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2080" yWindow="460" windowWidth="26420" windowHeight="132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8" l="1"/>
  <c r="D15" i="18"/>
  <c r="C14" i="18"/>
  <c r="D14" i="18"/>
  <c r="C13" i="18"/>
  <c r="D13" i="18"/>
  <c r="J93" i="11"/>
  <c r="O64" i="9"/>
  <c r="N64" i="9"/>
  <c r="M64" i="9"/>
  <c r="L64" i="9"/>
  <c r="K64" i="9"/>
  <c r="J64" i="9"/>
  <c r="I64" i="9"/>
  <c r="H64" i="9"/>
  <c r="G64" i="9"/>
  <c r="E64" i="9"/>
  <c r="D64" i="9"/>
  <c r="A64" i="9"/>
  <c r="J92" i="11"/>
  <c r="O63" i="9"/>
  <c r="N63" i="9"/>
  <c r="M63" i="9"/>
  <c r="L63" i="9"/>
  <c r="K63" i="9"/>
  <c r="J63" i="9"/>
  <c r="I63" i="9"/>
  <c r="H63" i="9"/>
  <c r="G63" i="9"/>
  <c r="E63" i="9"/>
  <c r="D63" i="9"/>
  <c r="A63" i="9"/>
  <c r="AD93" i="10"/>
  <c r="AC93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AD92" i="10"/>
  <c r="AC92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N2" i="22"/>
  <c r="G2" i="22"/>
  <c r="F2" i="22"/>
  <c r="D2" i="22"/>
  <c r="C2" i="22"/>
  <c r="A2" i="22"/>
  <c r="J71" i="11"/>
  <c r="O47" i="9"/>
  <c r="N47" i="9"/>
  <c r="M47" i="9"/>
  <c r="L47" i="9"/>
  <c r="K47" i="9"/>
  <c r="J47" i="9"/>
  <c r="I47" i="9"/>
  <c r="H47" i="9"/>
  <c r="G47" i="9"/>
  <c r="E47" i="9"/>
  <c r="D47" i="9"/>
  <c r="A47" i="9"/>
  <c r="J70" i="11"/>
  <c r="O46" i="9"/>
  <c r="N46" i="9"/>
  <c r="M46" i="9"/>
  <c r="L46" i="9"/>
  <c r="K46" i="9"/>
  <c r="J46" i="9"/>
  <c r="I46" i="9"/>
  <c r="H46" i="9"/>
  <c r="G46" i="9"/>
  <c r="E46" i="9"/>
  <c r="D46" i="9"/>
  <c r="A46" i="9"/>
  <c r="J91" i="11"/>
  <c r="O62" i="9"/>
  <c r="N62" i="9"/>
  <c r="M62" i="9"/>
  <c r="L62" i="9"/>
  <c r="K62" i="9"/>
  <c r="J62" i="9"/>
  <c r="I62" i="9"/>
  <c r="H62" i="9"/>
  <c r="G62" i="9"/>
  <c r="E62" i="9"/>
  <c r="D62" i="9"/>
  <c r="A62" i="9"/>
  <c r="J90" i="11"/>
  <c r="O61" i="9"/>
  <c r="N61" i="9"/>
  <c r="M61" i="9"/>
  <c r="L61" i="9"/>
  <c r="K61" i="9"/>
  <c r="J61" i="9"/>
  <c r="I61" i="9"/>
  <c r="H61" i="9"/>
  <c r="G61" i="9"/>
  <c r="E61" i="9"/>
  <c r="D61" i="9"/>
  <c r="A61" i="9"/>
  <c r="AC3" i="10"/>
  <c r="AD3" i="10"/>
  <c r="AC4" i="10"/>
  <c r="AD4" i="10"/>
  <c r="AC5" i="10"/>
  <c r="AD5" i="10"/>
  <c r="AC6" i="10"/>
  <c r="AD6" i="10"/>
  <c r="AC7" i="10"/>
  <c r="AD7" i="10"/>
  <c r="AC8" i="10"/>
  <c r="AD8" i="10"/>
  <c r="AC9" i="10"/>
  <c r="AD9" i="10"/>
  <c r="AC10" i="10"/>
  <c r="AD10" i="10"/>
  <c r="AC11" i="10"/>
  <c r="AD11" i="10"/>
  <c r="AC12" i="10"/>
  <c r="AD12" i="10"/>
  <c r="AC13" i="10"/>
  <c r="AD13" i="10"/>
  <c r="AC14" i="10"/>
  <c r="AD14" i="10"/>
  <c r="AC15" i="10"/>
  <c r="AD15" i="10"/>
  <c r="AC16" i="10"/>
  <c r="AD16" i="10"/>
  <c r="AC17" i="10"/>
  <c r="AD17" i="10"/>
  <c r="AC18" i="10"/>
  <c r="AD18" i="10"/>
  <c r="AC19" i="10"/>
  <c r="AD19" i="10"/>
  <c r="AC20" i="10"/>
  <c r="AD20" i="10"/>
  <c r="AC21" i="10"/>
  <c r="AD21" i="10"/>
  <c r="AC22" i="10"/>
  <c r="AD22" i="10"/>
  <c r="AC23" i="10"/>
  <c r="AD23" i="10"/>
  <c r="AC24" i="10"/>
  <c r="AD24" i="10"/>
  <c r="AC25" i="10"/>
  <c r="AD25" i="10"/>
  <c r="AC26" i="10"/>
  <c r="AD26" i="10"/>
  <c r="AC27" i="10"/>
  <c r="AD27" i="10"/>
  <c r="AC28" i="10"/>
  <c r="AD28" i="10"/>
  <c r="AC29" i="10"/>
  <c r="AD29" i="10"/>
  <c r="AC30" i="10"/>
  <c r="AD30" i="10"/>
  <c r="AC31" i="10"/>
  <c r="AD31" i="10"/>
  <c r="AC32" i="10"/>
  <c r="AD32" i="10"/>
  <c r="AC33" i="10"/>
  <c r="AD33" i="10"/>
  <c r="AC34" i="10"/>
  <c r="AD34" i="10"/>
  <c r="AC35" i="10"/>
  <c r="AD35" i="10"/>
  <c r="AC36" i="10"/>
  <c r="AD36" i="10"/>
  <c r="AC37" i="10"/>
  <c r="AD37" i="10"/>
  <c r="AC38" i="10"/>
  <c r="AD38" i="10"/>
  <c r="AC39" i="10"/>
  <c r="AD39" i="10"/>
  <c r="AC40" i="10"/>
  <c r="AD40" i="10"/>
  <c r="AC41" i="10"/>
  <c r="AD41" i="10"/>
  <c r="AC42" i="10"/>
  <c r="AD42" i="10"/>
  <c r="AC43" i="10"/>
  <c r="AD43" i="10"/>
  <c r="AC44" i="10"/>
  <c r="AD44" i="10"/>
  <c r="AC45" i="10"/>
  <c r="AD45" i="10"/>
  <c r="AC46" i="10"/>
  <c r="AD46" i="10"/>
  <c r="AC47" i="10"/>
  <c r="AD47" i="10"/>
  <c r="AC48" i="10"/>
  <c r="AD48" i="10"/>
  <c r="AC49" i="10"/>
  <c r="AD49" i="10"/>
  <c r="AC50" i="10"/>
  <c r="AD50" i="10"/>
  <c r="AC51" i="10"/>
  <c r="AD51" i="10"/>
  <c r="AC52" i="10"/>
  <c r="AD52" i="10"/>
  <c r="AC53" i="10"/>
  <c r="AD53" i="10"/>
  <c r="AC54" i="10"/>
  <c r="AD54" i="10"/>
  <c r="AC55" i="10"/>
  <c r="AD55" i="10"/>
  <c r="AC56" i="10"/>
  <c r="AD56" i="10"/>
  <c r="AC57" i="10"/>
  <c r="AD57" i="10"/>
  <c r="AC58" i="10"/>
  <c r="AD58" i="10"/>
  <c r="AC59" i="10"/>
  <c r="AD59" i="10"/>
  <c r="AC60" i="10"/>
  <c r="AD60" i="10"/>
  <c r="AC61" i="10"/>
  <c r="AD61" i="10"/>
  <c r="AC62" i="10"/>
  <c r="AD62" i="10"/>
  <c r="AC63" i="10"/>
  <c r="AD63" i="10"/>
  <c r="AC64" i="10"/>
  <c r="AD64" i="10"/>
  <c r="AC65" i="10"/>
  <c r="AD65" i="10"/>
  <c r="AC66" i="10"/>
  <c r="AD66" i="10"/>
  <c r="AC67" i="10"/>
  <c r="AD67" i="10"/>
  <c r="AC68" i="10"/>
  <c r="AD68" i="10"/>
  <c r="AC69" i="10"/>
  <c r="AD69" i="10"/>
  <c r="AC70" i="10"/>
  <c r="AD70" i="10"/>
  <c r="AC71" i="10"/>
  <c r="AD71" i="10"/>
  <c r="AC72" i="10"/>
  <c r="AD72" i="10"/>
  <c r="AC73" i="10"/>
  <c r="AD73" i="10"/>
  <c r="AC74" i="10"/>
  <c r="AD74" i="10"/>
  <c r="AC75" i="10"/>
  <c r="AD75" i="10"/>
  <c r="AC76" i="10"/>
  <c r="AD76" i="10"/>
  <c r="AC77" i="10"/>
  <c r="AD77" i="10"/>
  <c r="AC78" i="10"/>
  <c r="AD78" i="10"/>
  <c r="AC79" i="10"/>
  <c r="AD79" i="10"/>
  <c r="AC80" i="10"/>
  <c r="AD80" i="10"/>
  <c r="AC81" i="10"/>
  <c r="AD81" i="10"/>
  <c r="AC82" i="10"/>
  <c r="AD82" i="10"/>
  <c r="AC83" i="10"/>
  <c r="AD83" i="10"/>
  <c r="AC84" i="10"/>
  <c r="AD84" i="10"/>
  <c r="AC85" i="10"/>
  <c r="AD85" i="10"/>
  <c r="AC86" i="10"/>
  <c r="AD86" i="10"/>
  <c r="AC87" i="10"/>
  <c r="AD87" i="10"/>
  <c r="AC88" i="10"/>
  <c r="AD88" i="10"/>
  <c r="AC89" i="10"/>
  <c r="AD89" i="10"/>
  <c r="AC90" i="10"/>
  <c r="AD90" i="10"/>
  <c r="AC91" i="10"/>
  <c r="AD91" i="10"/>
  <c r="AD2" i="10"/>
  <c r="AC2" i="10"/>
  <c r="J35" i="11"/>
  <c r="O21" i="9"/>
  <c r="N21" i="9"/>
  <c r="M21" i="9"/>
  <c r="L21" i="9"/>
  <c r="K21" i="9"/>
  <c r="J21" i="9"/>
  <c r="I21" i="9"/>
  <c r="H21" i="9"/>
  <c r="G21" i="9"/>
  <c r="E21" i="9"/>
  <c r="D21" i="9"/>
  <c r="A21" i="9"/>
  <c r="J34" i="11"/>
  <c r="O20" i="9"/>
  <c r="N20" i="9"/>
  <c r="M20" i="9"/>
  <c r="L20" i="9"/>
  <c r="K20" i="9"/>
  <c r="J20" i="9"/>
  <c r="I20" i="9"/>
  <c r="H20" i="9"/>
  <c r="G20" i="9"/>
  <c r="E20" i="9"/>
  <c r="D20" i="9"/>
  <c r="A20" i="9"/>
  <c r="J89" i="11"/>
  <c r="O60" i="9"/>
  <c r="N60" i="9"/>
  <c r="M60" i="9"/>
  <c r="L60" i="9"/>
  <c r="K60" i="9"/>
  <c r="J60" i="9"/>
  <c r="I60" i="9"/>
  <c r="H60" i="9"/>
  <c r="G60" i="9"/>
  <c r="E60" i="9"/>
  <c r="D60" i="9"/>
  <c r="A60" i="9"/>
  <c r="J88" i="11"/>
  <c r="O59" i="9"/>
  <c r="N59" i="9"/>
  <c r="M59" i="9"/>
  <c r="L59" i="9"/>
  <c r="K59" i="9"/>
  <c r="J59" i="9"/>
  <c r="I59" i="9"/>
  <c r="H59" i="9"/>
  <c r="G59" i="9"/>
  <c r="E59" i="9"/>
  <c r="D59" i="9"/>
  <c r="A59" i="9"/>
  <c r="J87" i="11"/>
  <c r="O58" i="9"/>
  <c r="N58" i="9"/>
  <c r="M58" i="9"/>
  <c r="L58" i="9"/>
  <c r="K58" i="9"/>
  <c r="J58" i="9"/>
  <c r="I58" i="9"/>
  <c r="H58" i="9"/>
  <c r="G58" i="9"/>
  <c r="E58" i="9"/>
  <c r="D58" i="9"/>
  <c r="A58" i="9"/>
  <c r="J86" i="11"/>
  <c r="O57" i="9"/>
  <c r="N57" i="9"/>
  <c r="M57" i="9"/>
  <c r="L57" i="9"/>
  <c r="K57" i="9"/>
  <c r="J57" i="9"/>
  <c r="I57" i="9"/>
  <c r="H57" i="9"/>
  <c r="G57" i="9"/>
  <c r="E57" i="9"/>
  <c r="D57" i="9"/>
  <c r="A57" i="9"/>
  <c r="J85" i="11"/>
  <c r="O56" i="9"/>
  <c r="N56" i="9"/>
  <c r="M56" i="9"/>
  <c r="L56" i="9"/>
  <c r="K56" i="9"/>
  <c r="J56" i="9"/>
  <c r="I56" i="9"/>
  <c r="H56" i="9"/>
  <c r="G56" i="9"/>
  <c r="E56" i="9"/>
  <c r="D56" i="9"/>
  <c r="A56" i="9"/>
  <c r="J84" i="11"/>
  <c r="O55" i="9"/>
  <c r="N55" i="9"/>
  <c r="M55" i="9"/>
  <c r="L55" i="9"/>
  <c r="K55" i="9"/>
  <c r="J55" i="9"/>
  <c r="I55" i="9"/>
  <c r="H55" i="9"/>
  <c r="G55" i="9"/>
  <c r="E55" i="9"/>
  <c r="D55" i="9"/>
  <c r="A55" i="9"/>
  <c r="J83" i="11"/>
  <c r="O54" i="9"/>
  <c r="N54" i="9"/>
  <c r="M54" i="9"/>
  <c r="L54" i="9"/>
  <c r="K54" i="9"/>
  <c r="J54" i="9"/>
  <c r="I54" i="9"/>
  <c r="H54" i="9"/>
  <c r="G54" i="9"/>
  <c r="E54" i="9"/>
  <c r="D54" i="9"/>
  <c r="A54" i="9"/>
  <c r="J82" i="11"/>
  <c r="O53" i="9"/>
  <c r="N53" i="9"/>
  <c r="M53" i="9"/>
  <c r="L53" i="9"/>
  <c r="K53" i="9"/>
  <c r="J53" i="9"/>
  <c r="I53" i="9"/>
  <c r="H53" i="9"/>
  <c r="G53" i="9"/>
  <c r="E53" i="9"/>
  <c r="D53" i="9"/>
  <c r="A53" i="9"/>
  <c r="J76" i="11"/>
  <c r="O52" i="9"/>
  <c r="N52" i="9"/>
  <c r="M52" i="9"/>
  <c r="L52" i="9"/>
  <c r="K52" i="9"/>
  <c r="J52" i="9"/>
  <c r="I52" i="9"/>
  <c r="H52" i="9"/>
  <c r="G52" i="9"/>
  <c r="E52" i="9"/>
  <c r="D52" i="9"/>
  <c r="A52" i="9"/>
  <c r="J75" i="11"/>
  <c r="O51" i="9"/>
  <c r="N51" i="9"/>
  <c r="M51" i="9"/>
  <c r="L51" i="9"/>
  <c r="K51" i="9"/>
  <c r="J51" i="9"/>
  <c r="I51" i="9"/>
  <c r="H51" i="9"/>
  <c r="G51" i="9"/>
  <c r="E51" i="9"/>
  <c r="D51" i="9"/>
  <c r="A51" i="9"/>
  <c r="J74" i="11"/>
  <c r="O50" i="9"/>
  <c r="N50" i="9"/>
  <c r="M50" i="9"/>
  <c r="L50" i="9"/>
  <c r="K50" i="9"/>
  <c r="J50" i="9"/>
  <c r="I50" i="9"/>
  <c r="H50" i="9"/>
  <c r="G50" i="9"/>
  <c r="E50" i="9"/>
  <c r="D50" i="9"/>
  <c r="A50" i="9"/>
  <c r="J73" i="11"/>
  <c r="O49" i="9"/>
  <c r="N49" i="9"/>
  <c r="M49" i="9"/>
  <c r="L49" i="9"/>
  <c r="K49" i="9"/>
  <c r="J49" i="9"/>
  <c r="I49" i="9"/>
  <c r="H49" i="9"/>
  <c r="G49" i="9"/>
  <c r="E49" i="9"/>
  <c r="D49" i="9"/>
  <c r="A49" i="9"/>
  <c r="J72" i="11"/>
  <c r="O48" i="9"/>
  <c r="N48" i="9"/>
  <c r="M48" i="9"/>
  <c r="L48" i="9"/>
  <c r="K48" i="9"/>
  <c r="J48" i="9"/>
  <c r="I48" i="9"/>
  <c r="H48" i="9"/>
  <c r="G48" i="9"/>
  <c r="E48" i="9"/>
  <c r="D48" i="9"/>
  <c r="A48" i="9"/>
  <c r="J69" i="11"/>
  <c r="O45" i="9"/>
  <c r="N45" i="9"/>
  <c r="M45" i="9"/>
  <c r="L45" i="9"/>
  <c r="K45" i="9"/>
  <c r="J45" i="9"/>
  <c r="I45" i="9"/>
  <c r="H45" i="9"/>
  <c r="G45" i="9"/>
  <c r="E45" i="9"/>
  <c r="D45" i="9"/>
  <c r="A45" i="9"/>
  <c r="J68" i="11"/>
  <c r="O44" i="9"/>
  <c r="N44" i="9"/>
  <c r="M44" i="9"/>
  <c r="L44" i="9"/>
  <c r="K44" i="9"/>
  <c r="J44" i="9"/>
  <c r="I44" i="9"/>
  <c r="H44" i="9"/>
  <c r="G44" i="9"/>
  <c r="E44" i="9"/>
  <c r="D44" i="9"/>
  <c r="A44" i="9"/>
  <c r="J67" i="11"/>
  <c r="O43" i="9"/>
  <c r="N43" i="9"/>
  <c r="M43" i="9"/>
  <c r="L43" i="9"/>
  <c r="K43" i="9"/>
  <c r="J43" i="9"/>
  <c r="I43" i="9"/>
  <c r="H43" i="9"/>
  <c r="G43" i="9"/>
  <c r="E43" i="9"/>
  <c r="D43" i="9"/>
  <c r="A43" i="9"/>
  <c r="J66" i="11"/>
  <c r="O42" i="9"/>
  <c r="N42" i="9"/>
  <c r="M42" i="9"/>
  <c r="L42" i="9"/>
  <c r="K42" i="9"/>
  <c r="J42" i="9"/>
  <c r="I42" i="9"/>
  <c r="H42" i="9"/>
  <c r="G42" i="9"/>
  <c r="E42" i="9"/>
  <c r="D42" i="9"/>
  <c r="A42" i="9"/>
  <c r="J65" i="11"/>
  <c r="O41" i="9"/>
  <c r="N41" i="9"/>
  <c r="M41" i="9"/>
  <c r="L41" i="9"/>
  <c r="K41" i="9"/>
  <c r="J41" i="9"/>
  <c r="I41" i="9"/>
  <c r="H41" i="9"/>
  <c r="G41" i="9"/>
  <c r="E41" i="9"/>
  <c r="D41" i="9"/>
  <c r="A41" i="9"/>
  <c r="J64" i="11"/>
  <c r="O40" i="9"/>
  <c r="N40" i="9"/>
  <c r="M40" i="9"/>
  <c r="L40" i="9"/>
  <c r="K40" i="9"/>
  <c r="J40" i="9"/>
  <c r="I40" i="9"/>
  <c r="H40" i="9"/>
  <c r="G40" i="9"/>
  <c r="E40" i="9"/>
  <c r="D40" i="9"/>
  <c r="A40" i="9"/>
  <c r="J63" i="11"/>
  <c r="O39" i="9"/>
  <c r="N39" i="9"/>
  <c r="M39" i="9"/>
  <c r="L39" i="9"/>
  <c r="K39" i="9"/>
  <c r="J39" i="9"/>
  <c r="I39" i="9"/>
  <c r="H39" i="9"/>
  <c r="G39" i="9"/>
  <c r="E39" i="9"/>
  <c r="D39" i="9"/>
  <c r="A39" i="9"/>
  <c r="J62" i="11"/>
  <c r="O38" i="9"/>
  <c r="N38" i="9"/>
  <c r="M38" i="9"/>
  <c r="L38" i="9"/>
  <c r="K38" i="9"/>
  <c r="J38" i="9"/>
  <c r="I38" i="9"/>
  <c r="H38" i="9"/>
  <c r="G38" i="9"/>
  <c r="E38" i="9"/>
  <c r="D38" i="9"/>
  <c r="A38" i="9"/>
  <c r="J60" i="11"/>
  <c r="O37" i="9"/>
  <c r="N37" i="9"/>
  <c r="M37" i="9"/>
  <c r="L37" i="9"/>
  <c r="K37" i="9"/>
  <c r="J37" i="9"/>
  <c r="I37" i="9"/>
  <c r="H37" i="9"/>
  <c r="G37" i="9"/>
  <c r="E37" i="9"/>
  <c r="D37" i="9"/>
  <c r="A37" i="9"/>
  <c r="J59" i="11"/>
  <c r="O36" i="9"/>
  <c r="N36" i="9"/>
  <c r="M36" i="9"/>
  <c r="L36" i="9"/>
  <c r="K36" i="9"/>
  <c r="J36" i="9"/>
  <c r="I36" i="9"/>
  <c r="H36" i="9"/>
  <c r="G36" i="9"/>
  <c r="E36" i="9"/>
  <c r="D36" i="9"/>
  <c r="A36" i="9"/>
  <c r="J58" i="11"/>
  <c r="O35" i="9"/>
  <c r="N35" i="9"/>
  <c r="M35" i="9"/>
  <c r="L35" i="9"/>
  <c r="K35" i="9"/>
  <c r="J35" i="9"/>
  <c r="I35" i="9"/>
  <c r="H35" i="9"/>
  <c r="G35" i="9"/>
  <c r="E35" i="9"/>
  <c r="D35" i="9"/>
  <c r="A35" i="9"/>
  <c r="J57" i="11"/>
  <c r="O34" i="9"/>
  <c r="N34" i="9"/>
  <c r="M34" i="9"/>
  <c r="L34" i="9"/>
  <c r="K34" i="9"/>
  <c r="J34" i="9"/>
  <c r="I34" i="9"/>
  <c r="H34" i="9"/>
  <c r="G34" i="9"/>
  <c r="E34" i="9"/>
  <c r="D34" i="9"/>
  <c r="A34" i="9"/>
  <c r="J56" i="11"/>
  <c r="O33" i="9"/>
  <c r="N33" i="9"/>
  <c r="M33" i="9"/>
  <c r="L33" i="9"/>
  <c r="K33" i="9"/>
  <c r="J33" i="9"/>
  <c r="I33" i="9"/>
  <c r="H33" i="9"/>
  <c r="G33" i="9"/>
  <c r="E33" i="9"/>
  <c r="D33" i="9"/>
  <c r="A33" i="9"/>
  <c r="J55" i="11"/>
  <c r="O32" i="9"/>
  <c r="N32" i="9"/>
  <c r="M32" i="9"/>
  <c r="L32" i="9"/>
  <c r="K32" i="9"/>
  <c r="J32" i="9"/>
  <c r="I32" i="9"/>
  <c r="H32" i="9"/>
  <c r="G32" i="9"/>
  <c r="E32" i="9"/>
  <c r="D32" i="9"/>
  <c r="A32" i="9"/>
  <c r="J54" i="11"/>
  <c r="O31" i="9"/>
  <c r="N31" i="9"/>
  <c r="M31" i="9"/>
  <c r="L31" i="9"/>
  <c r="K31" i="9"/>
  <c r="J31" i="9"/>
  <c r="I31" i="9"/>
  <c r="H31" i="9"/>
  <c r="G31" i="9"/>
  <c r="E31" i="9"/>
  <c r="D31" i="9"/>
  <c r="A31" i="9"/>
  <c r="J53" i="11"/>
  <c r="O30" i="9"/>
  <c r="N30" i="9"/>
  <c r="M30" i="9"/>
  <c r="L30" i="9"/>
  <c r="K30" i="9"/>
  <c r="J30" i="9"/>
  <c r="I30" i="9"/>
  <c r="H30" i="9"/>
  <c r="G30" i="9"/>
  <c r="E30" i="9"/>
  <c r="D30" i="9"/>
  <c r="A30" i="9"/>
  <c r="J52" i="11"/>
  <c r="O29" i="9"/>
  <c r="N29" i="9"/>
  <c r="M29" i="9"/>
  <c r="L29" i="9"/>
  <c r="K29" i="9"/>
  <c r="J29" i="9"/>
  <c r="I29" i="9"/>
  <c r="H29" i="9"/>
  <c r="G29" i="9"/>
  <c r="E29" i="9"/>
  <c r="D29" i="9"/>
  <c r="A29" i="9"/>
  <c r="J45" i="11"/>
  <c r="O28" i="9"/>
  <c r="N28" i="9"/>
  <c r="M28" i="9"/>
  <c r="L28" i="9"/>
  <c r="K28" i="9"/>
  <c r="J28" i="9"/>
  <c r="I28" i="9"/>
  <c r="H28" i="9"/>
  <c r="G28" i="9"/>
  <c r="E28" i="9"/>
  <c r="D28" i="9"/>
  <c r="A28" i="9"/>
  <c r="J44" i="11"/>
  <c r="O27" i="9"/>
  <c r="N27" i="9"/>
  <c r="M27" i="9"/>
  <c r="L27" i="9"/>
  <c r="K27" i="9"/>
  <c r="J27" i="9"/>
  <c r="I27" i="9"/>
  <c r="H27" i="9"/>
  <c r="G27" i="9"/>
  <c r="E27" i="9"/>
  <c r="D27" i="9"/>
  <c r="A27" i="9"/>
  <c r="J43" i="11"/>
  <c r="O26" i="9"/>
  <c r="N26" i="9"/>
  <c r="M26" i="9"/>
  <c r="L26" i="9"/>
  <c r="K26" i="9"/>
  <c r="J26" i="9"/>
  <c r="I26" i="9"/>
  <c r="H26" i="9"/>
  <c r="G26" i="9"/>
  <c r="E26" i="9"/>
  <c r="D26" i="9"/>
  <c r="A26" i="9"/>
  <c r="J42" i="11"/>
  <c r="O25" i="9"/>
  <c r="N25" i="9"/>
  <c r="M25" i="9"/>
  <c r="L25" i="9"/>
  <c r="K25" i="9"/>
  <c r="J25" i="9"/>
  <c r="I25" i="9"/>
  <c r="H25" i="9"/>
  <c r="G25" i="9"/>
  <c r="E25" i="9"/>
  <c r="D25" i="9"/>
  <c r="A25" i="9"/>
  <c r="J39" i="11"/>
  <c r="O24" i="9"/>
  <c r="N24" i="9"/>
  <c r="M24" i="9"/>
  <c r="L24" i="9"/>
  <c r="K24" i="9"/>
  <c r="J24" i="9"/>
  <c r="I24" i="9"/>
  <c r="H24" i="9"/>
  <c r="G24" i="9"/>
  <c r="E24" i="9"/>
  <c r="D24" i="9"/>
  <c r="A24" i="9"/>
  <c r="J38" i="11"/>
  <c r="O23" i="9"/>
  <c r="N23" i="9"/>
  <c r="M23" i="9"/>
  <c r="L23" i="9"/>
  <c r="K23" i="9"/>
  <c r="J23" i="9"/>
  <c r="I23" i="9"/>
  <c r="H23" i="9"/>
  <c r="G23" i="9"/>
  <c r="E23" i="9"/>
  <c r="D23" i="9"/>
  <c r="A23" i="9"/>
  <c r="J37" i="11"/>
  <c r="O22" i="9"/>
  <c r="N22" i="9"/>
  <c r="M22" i="9"/>
  <c r="L22" i="9"/>
  <c r="K22" i="9"/>
  <c r="J22" i="9"/>
  <c r="I22" i="9"/>
  <c r="H22" i="9"/>
  <c r="G22" i="9"/>
  <c r="E22" i="9"/>
  <c r="D22" i="9"/>
  <c r="A22" i="9"/>
  <c r="J33" i="11"/>
  <c r="O19" i="9"/>
  <c r="N19" i="9"/>
  <c r="M19" i="9"/>
  <c r="L19" i="9"/>
  <c r="K19" i="9"/>
  <c r="J19" i="9"/>
  <c r="I19" i="9"/>
  <c r="H19" i="9"/>
  <c r="G19" i="9"/>
  <c r="E19" i="9"/>
  <c r="D19" i="9"/>
  <c r="A19" i="9"/>
  <c r="J32" i="11"/>
  <c r="O18" i="9"/>
  <c r="N18" i="9"/>
  <c r="M18" i="9"/>
  <c r="L18" i="9"/>
  <c r="K18" i="9"/>
  <c r="J18" i="9"/>
  <c r="I18" i="9"/>
  <c r="H18" i="9"/>
  <c r="G18" i="9"/>
  <c r="E18" i="9"/>
  <c r="D18" i="9"/>
  <c r="A18" i="9"/>
  <c r="J29" i="11"/>
  <c r="O17" i="9"/>
  <c r="N17" i="9"/>
  <c r="M17" i="9"/>
  <c r="L17" i="9"/>
  <c r="K17" i="9"/>
  <c r="J17" i="9"/>
  <c r="I17" i="9"/>
  <c r="H17" i="9"/>
  <c r="G17" i="9"/>
  <c r="E17" i="9"/>
  <c r="D17" i="9"/>
  <c r="A17" i="9"/>
  <c r="J28" i="11"/>
  <c r="O16" i="9"/>
  <c r="N16" i="9"/>
  <c r="M16" i="9"/>
  <c r="L16" i="9"/>
  <c r="K16" i="9"/>
  <c r="J16" i="9"/>
  <c r="I16" i="9"/>
  <c r="H16" i="9"/>
  <c r="G16" i="9"/>
  <c r="E16" i="9"/>
  <c r="D16" i="9"/>
  <c r="A16" i="9"/>
  <c r="J27" i="11"/>
  <c r="O15" i="9"/>
  <c r="N15" i="9"/>
  <c r="M15" i="9"/>
  <c r="L15" i="9"/>
  <c r="K15" i="9"/>
  <c r="J15" i="9"/>
  <c r="I15" i="9"/>
  <c r="H15" i="9"/>
  <c r="G15" i="9"/>
  <c r="E15" i="9"/>
  <c r="D15" i="9"/>
  <c r="A15" i="9"/>
  <c r="J26" i="11"/>
  <c r="O14" i="9"/>
  <c r="N14" i="9"/>
  <c r="M14" i="9"/>
  <c r="L14" i="9"/>
  <c r="K14" i="9"/>
  <c r="J14" i="9"/>
  <c r="I14" i="9"/>
  <c r="H14" i="9"/>
  <c r="G14" i="9"/>
  <c r="E14" i="9"/>
  <c r="D14" i="9"/>
  <c r="A14" i="9"/>
  <c r="J25" i="11"/>
  <c r="O13" i="9"/>
  <c r="N13" i="9"/>
  <c r="M13" i="9"/>
  <c r="L13" i="9"/>
  <c r="K13" i="9"/>
  <c r="J13" i="9"/>
  <c r="I13" i="9"/>
  <c r="H13" i="9"/>
  <c r="G13" i="9"/>
  <c r="E13" i="9"/>
  <c r="D13" i="9"/>
  <c r="A13" i="9"/>
  <c r="J24" i="11"/>
  <c r="O12" i="9"/>
  <c r="N12" i="9"/>
  <c r="M12" i="9"/>
  <c r="L12" i="9"/>
  <c r="K12" i="9"/>
  <c r="J12" i="9"/>
  <c r="I12" i="9"/>
  <c r="H12" i="9"/>
  <c r="G12" i="9"/>
  <c r="E12" i="9"/>
  <c r="D12" i="9"/>
  <c r="A12" i="9"/>
  <c r="J23" i="11"/>
  <c r="O11" i="9"/>
  <c r="N11" i="9"/>
  <c r="M11" i="9"/>
  <c r="L11" i="9"/>
  <c r="K11" i="9"/>
  <c r="J11" i="9"/>
  <c r="I11" i="9"/>
  <c r="H11" i="9"/>
  <c r="G11" i="9"/>
  <c r="E11" i="9"/>
  <c r="D11" i="9"/>
  <c r="A11" i="9"/>
  <c r="J22" i="11"/>
  <c r="O10" i="9"/>
  <c r="N10" i="9"/>
  <c r="M10" i="9"/>
  <c r="L10" i="9"/>
  <c r="K10" i="9"/>
  <c r="J10" i="9"/>
  <c r="I10" i="9"/>
  <c r="H10" i="9"/>
  <c r="G10" i="9"/>
  <c r="E10" i="9"/>
  <c r="D10" i="9"/>
  <c r="A10" i="9"/>
  <c r="J15" i="11"/>
  <c r="O9" i="9"/>
  <c r="N9" i="9"/>
  <c r="M9" i="9"/>
  <c r="L9" i="9"/>
  <c r="K9" i="9"/>
  <c r="J9" i="9"/>
  <c r="I9" i="9"/>
  <c r="H9" i="9"/>
  <c r="G9" i="9"/>
  <c r="E9" i="9"/>
  <c r="D9" i="9"/>
  <c r="A9" i="9"/>
  <c r="J14" i="11"/>
  <c r="O8" i="9"/>
  <c r="N8" i="9"/>
  <c r="M8" i="9"/>
  <c r="L8" i="9"/>
  <c r="K8" i="9"/>
  <c r="J8" i="9"/>
  <c r="I8" i="9"/>
  <c r="H8" i="9"/>
  <c r="G8" i="9"/>
  <c r="E8" i="9"/>
  <c r="D8" i="9"/>
  <c r="A8" i="9"/>
  <c r="J13" i="11"/>
  <c r="O7" i="9"/>
  <c r="N7" i="9"/>
  <c r="M7" i="9"/>
  <c r="L7" i="9"/>
  <c r="K7" i="9"/>
  <c r="J7" i="9"/>
  <c r="I7" i="9"/>
  <c r="H7" i="9"/>
  <c r="G7" i="9"/>
  <c r="E7" i="9"/>
  <c r="D7" i="9"/>
  <c r="A7" i="9"/>
  <c r="J12" i="11"/>
  <c r="O6" i="9"/>
  <c r="N6" i="9"/>
  <c r="M6" i="9"/>
  <c r="L6" i="9"/>
  <c r="K6" i="9"/>
  <c r="J6" i="9"/>
  <c r="I6" i="9"/>
  <c r="H6" i="9"/>
  <c r="G6" i="9"/>
  <c r="E6" i="9"/>
  <c r="D6" i="9"/>
  <c r="A6" i="9"/>
  <c r="J8" i="11"/>
  <c r="O5" i="9"/>
  <c r="N5" i="9"/>
  <c r="M5" i="9"/>
  <c r="L5" i="9"/>
  <c r="K5" i="9"/>
  <c r="J5" i="9"/>
  <c r="I5" i="9"/>
  <c r="H5" i="9"/>
  <c r="G5" i="9"/>
  <c r="E5" i="9"/>
  <c r="D5" i="9"/>
  <c r="A5" i="9"/>
  <c r="J7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81" i="11"/>
  <c r="J80" i="11"/>
  <c r="J79" i="11"/>
  <c r="J78" i="11"/>
  <c r="J77" i="11"/>
  <c r="J61" i="11"/>
  <c r="J51" i="11"/>
  <c r="J50" i="11"/>
  <c r="J49" i="11"/>
  <c r="J48" i="11"/>
  <c r="J47" i="11"/>
  <c r="J46" i="11"/>
  <c r="J41" i="11"/>
  <c r="J40" i="11"/>
  <c r="J36" i="11"/>
  <c r="J31" i="11"/>
  <c r="J30" i="11"/>
  <c r="J21" i="11"/>
  <c r="J20" i="11"/>
  <c r="J19" i="11"/>
  <c r="J18" i="11"/>
  <c r="J17" i="11"/>
  <c r="J16" i="11"/>
  <c r="J11" i="11"/>
  <c r="J10" i="11"/>
  <c r="J9" i="11"/>
  <c r="J6" i="11"/>
  <c r="J5" i="11"/>
  <c r="J4" i="11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X8" i="1"/>
  <c r="X7" i="1"/>
  <c r="X6" i="1"/>
  <c r="X5" i="1"/>
  <c r="X4" i="1"/>
  <c r="X3" i="1"/>
  <c r="AF8" i="1"/>
  <c r="AI8" i="1"/>
  <c r="AG8" i="1"/>
  <c r="AE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F7" i="1"/>
  <c r="AI7" i="1"/>
  <c r="AG7" i="1"/>
  <c r="AE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F6" i="1"/>
  <c r="AI6" i="1"/>
  <c r="AG6" i="1"/>
  <c r="AE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F5" i="1"/>
  <c r="AI5" i="1"/>
  <c r="AG5" i="1"/>
  <c r="AE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6" i="2"/>
  <c r="E6" i="2"/>
  <c r="D6" i="2"/>
  <c r="H2" i="1"/>
  <c r="H3" i="1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C13" i="16"/>
  <c r="E13" i="16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X2" i="1"/>
  <c r="R2" i="7"/>
  <c r="Q2" i="7"/>
  <c r="P2" i="7"/>
  <c r="O2" i="7"/>
  <c r="N2" i="7"/>
  <c r="AG3" i="1"/>
  <c r="AF3" i="1"/>
  <c r="AE3" i="1"/>
  <c r="AG2" i="1"/>
  <c r="AF2" i="1"/>
  <c r="AE2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<sst xmlns="http://schemas.openxmlformats.org/spreadsheetml/2006/main" count="1282" uniqueCount="433">
  <si>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</si>
  <si>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</si>
  <si>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</si>
  <si>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</si>
  <si>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</si>
  <si>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</si>
  <si>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</si>
  <si>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</si>
  <si>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</si>
  <si>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</si>
  <si>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</si>
  <si>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</si>
  <si>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</si>
  <si>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</si>
  <si>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</si>
  <si>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</si>
  <si>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</si>
  <si>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</si>
  <si>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</si>
  <si>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</si>
  <si>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</si>
  <si>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</si>
  <si>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</si>
  <si>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</si>
  <si>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</si>
  <si>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</si>
  <si>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</si>
  <si>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</si>
  <si>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</si>
  <si>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</si>
  <si>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</si>
  <si>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</si>
  <si>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</si>
  <si>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</si>
  <si>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</si>
  <si>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</si>
  <si>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</si>
  <si>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</si>
  <si>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</si>
  <si>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</si>
  <si>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</si>
  <si>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</si>
  <si>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</si>
  <si>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</si>
  <si>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</si>
  <si>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</si>
  <si>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</si>
  <si>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</si>
  <si>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</si>
  <si>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</si>
  <si>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</si>
  <si>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</si>
  <si>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</si>
  <si>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</si>
  <si>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</si>
  <si>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</si>
  <si>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</si>
  <si>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</si>
  <si>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</si>
  <si>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</si>
  <si>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</si>
  <si>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</si>
  <si>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</si>
  <si>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</si>
  <si>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</si>
  <si>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</si>
  <si>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</si>
  <si>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</si>
  <si>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</si>
  <si>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</si>
  <si>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</si>
  <si>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</si>
  <si>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</si>
  <si>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</si>
  <si>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</si>
  <si>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</si>
  <si>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</si>
  <si>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</si>
  <si>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</si>
  <si>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</si>
  <si>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</si>
  <si>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</si>
  <si>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</si>
  <si>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</si>
  <si>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</si>
  <si>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</si>
  <si>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</si>
  <si>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</si>
  <si>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</si>
  <si>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</si>
  <si>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</si>
  <si>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</si>
  <si>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</si>
  <si>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</si>
  <si>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</si>
  <si>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</si>
  <si>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</si>
  <si>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</si>
  <si>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</si>
  <si>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</si>
  <si>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</si>
  <si>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</si>
  <si>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</si>
  <si>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</si>
  <si>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</si>
  <si>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</si>
  <si>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</si>
  <si>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</si>
  <si>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</si>
  <si>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</si>
  <si>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</si>
  <si>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</si>
  <si>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</si>
  <si>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</si>
  <si>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</si>
  <si>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</si>
  <si>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</si>
  <si>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</si>
  <si>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</si>
  <si>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</si>
  <si>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</si>
  <si>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</si>
  <si>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</si>
  <si>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</si>
  <si>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</si>
  <si>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</si>
  <si>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</si>
  <si>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</si>
  <si>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</si>
  <si>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</si>
  <si>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</si>
  <si>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</si>
  <si>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</si>
  <si>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</si>
  <si>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</si>
  <si>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</si>
  <si>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</si>
  <si>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</si>
  <si>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</si>
  <si>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</si>
  <si>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</si>
  <si>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</si>
  <si>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</si>
  <si>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</si>
  <si>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</si>
  <si>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</si>
  <si>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</si>
  <si>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</si>
  <si>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</si>
  <si>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</si>
  <si>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</si>
  <si>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</si>
  <si>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</si>
  <si>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</si>
  <si>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</si>
  <si>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</si>
  <si>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</si>
  <si>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</si>
  <si>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</si>
  <si>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</si>
  <si>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</si>
  <si>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</si>
  <si>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</si>
  <si>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</si>
  <si>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</si>
  <si>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</si>
  <si>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</si>
  <si>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</si>
  <si>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</si>
  <si>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</si>
  <si>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</si>
  <si>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</si>
  <si>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</si>
  <si>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</si>
  <si>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</si>
  <si>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</si>
  <si>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</si>
  <si>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</si>
  <si>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</si>
  <si>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</si>
  <si>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</si>
  <si>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</si>
  <si>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</si>
  <si>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</si>
  <si>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</si>
  <si>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</si>
  <si>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</si>
  <si>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</si>
  <si>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</si>
  <si>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</si>
  <si>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</si>
  <si>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</si>
  <si>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</si>
  <si>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</si>
  <si>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</si>
  <si>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</si>
  <si>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</si>
  <si>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</si>
  <si>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</si>
  <si>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</si>
  <si>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</si>
  <si>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</si>
  <si>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</si>
  <si>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</si>
  <si>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</si>
  <si>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</si>
  <si>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</si>
  <si>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</si>
  <si>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</si>
  <si>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</si>
  <si>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</si>
  <si>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</si>
  <si>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</si>
  <si>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</si>
  <si>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</si>
  <si>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</si>
  <si>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</si>
  <si>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</si>
  <si>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</si>
  <si>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</si>
  <si>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</si>
  <si>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</si>
  <si>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</si>
  <si>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</si>
  <si>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</si>
  <si>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</si>
  <si>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</si>
  <si>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</si>
  <si>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</si>
  <si>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</si>
  <si>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</si>
  <si>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</si>
  <si>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</si>
  <si>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</si>
  <si>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</si>
  <si>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</si>
  <si>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</si>
  <si>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</si>
  <si>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</si>
  <si>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</si>
  <si>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</si>
  <si>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</si>
  <si>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</si>
  <si>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</si>
  <si>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</si>
  <si>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</si>
  <si>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</si>
  <si>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</si>
  <si>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</si>
  <si>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</si>
  <si>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</si>
  <si>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タイチ</t>
    <phoneticPr fontId="5"/>
  </si>
  <si>
    <t>ゴクウ</t>
    <phoneticPr fontId="5"/>
  </si>
  <si>
    <t>予備枠</t>
    <rPh sb="0" eb="3">
      <t>ヨｂ</t>
    </rPh>
    <phoneticPr fontId="5"/>
  </si>
  <si>
    <t>貂蝉1</t>
    <rPh sb="0" eb="2">
      <t>チョ</t>
    </rPh>
    <phoneticPr fontId="5"/>
  </si>
  <si>
    <t>状態異常耐性</t>
    <rPh sb="0" eb="4">
      <t>ジョウタ</t>
    </rPh>
    <rPh sb="4" eb="6">
      <t>タイセ</t>
    </rPh>
    <phoneticPr fontId="5"/>
  </si>
  <si>
    <t>貂蝉2</t>
    <rPh sb="0" eb="2">
      <t>チョ</t>
    </rPh>
    <phoneticPr fontId="5"/>
  </si>
  <si>
    <t>ランラン</t>
    <phoneticPr fontId="5"/>
  </si>
  <si>
    <t>チェン</t>
    <phoneticPr fontId="5"/>
  </si>
  <si>
    <t>敵全体の攻撃力UP</t>
    <rPh sb="0" eb="1">
      <t>テｋ</t>
    </rPh>
    <rPh sb="1" eb="3">
      <t>テｋ</t>
    </rPh>
    <rPh sb="4" eb="7">
      <t>コウゲｋ</t>
    </rPh>
    <phoneticPr fontId="5"/>
  </si>
  <si>
    <t>蛟龍1</t>
    <rPh sb="0" eb="1">
      <t>ミズチ</t>
    </rPh>
    <rPh sb="1" eb="2">
      <t>リュ</t>
    </rPh>
    <phoneticPr fontId="5"/>
  </si>
  <si>
    <t>蛟龍2</t>
    <rPh sb="0" eb="1">
      <t>ミズチ</t>
    </rPh>
    <rPh sb="1" eb="2">
      <t>リュ</t>
    </rPh>
    <phoneticPr fontId="5"/>
  </si>
  <si>
    <t>曹操2</t>
    <rPh sb="0" eb="2">
      <t>ソウソウ</t>
    </rPh>
    <phoneticPr fontId="5"/>
  </si>
  <si>
    <t>[effect:enemy_message, val1:1.2, val2:1.2]</t>
    <phoneticPr fontId="5"/>
  </si>
  <si>
    <t>[effect:enemy_message, val1:1.2, val2:1.2],[effect:rush, count:4, val:0.3]</t>
    <phoneticPr fontId="5"/>
  </si>
  <si>
    <t>old</t>
    <phoneticPr fontId="5"/>
  </si>
  <si>
    <t>[effect:enemy_message, val1:1.2, val2:1.2],[effect:rush, count:4, val:0.3]</t>
    <phoneticPr fontId="5"/>
  </si>
  <si>
    <t>[effect:enemy_message, val1:1.2, val2:1.2],[effect:fix_speed, target:myself, turn:1]</t>
    <phoneticPr fontId="5"/>
  </si>
  <si>
    <t>クリティカル！</t>
    <phoneticPr fontId="5"/>
  </si>
  <si>
    <t>種族マシンのユニットに大ダメージの全体攻撃</t>
    <rPh sb="0" eb="2">
      <t>ｓｙ</t>
    </rPh>
    <rPh sb="11" eb="12">
      <t>ダ</t>
    </rPh>
    <rPh sb="17" eb="21">
      <t>ゼｎ</t>
    </rPh>
    <phoneticPr fontId="5"/>
  </si>
  <si>
    <t>4回連続攻撃</t>
    <rPh sb="1" eb="2">
      <t>カ</t>
    </rPh>
    <rPh sb="2" eb="6">
      <t>レンゾｋ</t>
    </rPh>
    <phoneticPr fontId="5"/>
  </si>
  <si>
    <t>3ターンハートパネル無効+6回連続攻撃</t>
    <rPh sb="10" eb="12">
      <t>ムコ</t>
    </rPh>
    <rPh sb="14" eb="15">
      <t>カ</t>
    </rPh>
    <rPh sb="15" eb="17">
      <t>レｎ</t>
    </rPh>
    <rPh sb="17" eb="19">
      <t>コウゲｋ</t>
    </rPh>
    <phoneticPr fontId="5"/>
  </si>
  <si>
    <t>[effect:enemy_message, val1:1.2, val2:1.2],[effect:enhance_enemy, target:myself, turn:3, status:attack, val:1.2, calc:mul, animation:enemy_enhance_attack]</t>
    <phoneticPr fontId="5"/>
  </si>
  <si>
    <t>[effect:enemy_message, val1:1.2, val2:1.2],[effect:enhance_enemy, target:enemy_all, turn:-1, status:attack, val:1.1, calc:mul, animation:enemy_enhance_attack]</t>
    <phoneticPr fontId="5"/>
  </si>
  <si>
    <t>3ターン攻撃力DOWN+単体攻撃</t>
    <rPh sb="4" eb="7">
      <t>コウゲｋ</t>
    </rPh>
    <rPh sb="12" eb="14">
      <t>タンタ</t>
    </rPh>
    <rPh sb="14" eb="16">
      <t>コ</t>
    </rPh>
    <phoneticPr fontId="5"/>
  </si>
  <si>
    <t>ランダムでパネルプロテクト(最大10個)+
2ターンタップ回数を2DOWN</t>
    <rPh sb="14" eb="16">
      <t>サ</t>
    </rPh>
    <rPh sb="18" eb="19">
      <t>コ</t>
    </rPh>
    <phoneticPr fontId="5"/>
  </si>
  <si>
    <t>状態異常耐性+ハートパネルドロップ率UP</t>
    <rPh sb="0" eb="6">
      <t>ｊｙ</t>
    </rPh>
    <phoneticPr fontId="5"/>
  </si>
  <si>
    <t>ハートパネルが出現しない+防御力UP</t>
    <rPh sb="7" eb="9">
      <t>ｓｙ</t>
    </rPh>
    <rPh sb="13" eb="16">
      <t>ボ</t>
    </rPh>
    <phoneticPr fontId="5"/>
  </si>
  <si>
    <t>ヒダルマダ！</t>
    <phoneticPr fontId="5"/>
  </si>
  <si>
    <t>ヤキツクス！</t>
    <phoneticPr fontId="5"/>
  </si>
  <si>
    <t>強乱打</t>
    <rPh sb="0" eb="1">
      <t>キョウ</t>
    </rPh>
    <rPh sb="1" eb="3">
      <t>ランダ</t>
    </rPh>
    <phoneticPr fontId="5"/>
  </si>
  <si>
    <t>玉石の舞</t>
    <phoneticPr fontId="5"/>
  </si>
  <si>
    <t>どうしても行くというのですね…</t>
    <rPh sb="5" eb="6">
      <t>イクｔ</t>
    </rPh>
    <phoneticPr fontId="5"/>
  </si>
  <si>
    <t>猿流武闘</t>
    <rPh sb="0" eb="2">
      <t>エンリュウ</t>
    </rPh>
    <rPh sb="2" eb="4">
      <t>ブｔ</t>
    </rPh>
    <phoneticPr fontId="5"/>
  </si>
  <si>
    <t>大炎会芸</t>
    <rPh sb="0" eb="4">
      <t>ダイエｎ</t>
    </rPh>
    <phoneticPr fontId="5"/>
  </si>
  <si>
    <t>瓦割り</t>
    <rPh sb="0" eb="2">
      <t>カｗ</t>
    </rPh>
    <phoneticPr fontId="5"/>
  </si>
  <si>
    <t>酔拳乱打</t>
    <rPh sb="0" eb="2">
      <t>ス</t>
    </rPh>
    <rPh sb="2" eb="4">
      <t>ランダ</t>
    </rPh>
    <phoneticPr fontId="5"/>
  </si>
  <si>
    <t>テールウィップ</t>
    <phoneticPr fontId="5"/>
  </si>
  <si>
    <t>混迷の海域</t>
    <rPh sb="0" eb="2">
      <t>コｎ</t>
    </rPh>
    <rPh sb="3" eb="5">
      <t>カ</t>
    </rPh>
    <phoneticPr fontId="5"/>
  </si>
  <si>
    <t>貴方達はまだ邂逅すべきではない…</t>
    <rPh sb="0" eb="2">
      <t>アナｔ</t>
    </rPh>
    <rPh sb="2" eb="3">
      <t>タチ</t>
    </rPh>
    <phoneticPr fontId="5"/>
  </si>
  <si>
    <t>士道を見極めて差し上げましょう…</t>
    <rPh sb="0" eb="2">
      <t>sidou</t>
    </rPh>
    <rPh sb="3" eb="5">
      <t>ミキワｍ</t>
    </rPh>
    <rPh sb="7" eb="8">
      <t>サｓ</t>
    </rPh>
    <phoneticPr fontId="5"/>
  </si>
  <si>
    <t>これでもなお叛意を見せるか…</t>
    <rPh sb="6" eb="8">
      <t>hanni</t>
    </rPh>
    <rPh sb="9" eb="10">
      <t>ミｓ</t>
    </rPh>
    <phoneticPr fontId="5"/>
  </si>
  <si>
    <t>まずは動きを止める</t>
    <rPh sb="3" eb="4">
      <t>ウゴｋ</t>
    </rPh>
    <rPh sb="6" eb="7">
      <t>トｍ</t>
    </rPh>
    <phoneticPr fontId="5"/>
  </si>
  <si>
    <t>これで身動きがとれまい</t>
    <rPh sb="3" eb="5">
      <t>ミウゴｋ</t>
    </rPh>
    <phoneticPr fontId="5"/>
  </si>
  <si>
    <t>よかろう、本気で相手をしよう</t>
    <rPh sb="5" eb="7">
      <t>ホｎ</t>
    </rPh>
    <rPh sb="8" eb="10">
      <t>ア</t>
    </rPh>
    <phoneticPr fontId="5"/>
  </si>
  <si>
    <t>これより先、通すわけにはいきません</t>
    <rPh sb="6" eb="7">
      <t>10ｓ</t>
    </rPh>
    <phoneticPr fontId="5"/>
  </si>
  <si>
    <t>我の手にかかれば造作もない</t>
    <rPh sb="0" eb="1">
      <t>ワｒ</t>
    </rPh>
    <rPh sb="2" eb="3">
      <t>テ</t>
    </rPh>
    <rPh sb="8" eb="10">
      <t>ゾウｓ</t>
    </rPh>
    <phoneticPr fontId="5"/>
  </si>
  <si>
    <t>志ない者に我が剣は折れぬ…</t>
    <rPh sb="0" eb="1">
      <t>ココロザｓ</t>
    </rPh>
    <rPh sb="3" eb="4">
      <t>モノニ</t>
    </rPh>
    <rPh sb="5" eb="6">
      <t>ワｇ</t>
    </rPh>
    <rPh sb="7" eb="8">
      <t>ケｎ</t>
    </rPh>
    <rPh sb="9" eb="10">
      <t>オレヌ</t>
    </rPh>
    <phoneticPr fontId="5"/>
  </si>
  <si>
    <t>これが王の一撃である</t>
    <rPh sb="3" eb="4">
      <t>オ</t>
    </rPh>
    <rPh sb="5" eb="7">
      <t>イチゲｋ</t>
    </rPh>
    <phoneticPr fontId="5"/>
  </si>
  <si>
    <t>油断してくれるなよ？</t>
    <rPh sb="0" eb="2">
      <t>ユダｎ</t>
    </rPh>
    <phoneticPr fontId="5"/>
  </si>
  <si>
    <t>迷いは敗北を生むぞ…</t>
    <rPh sb="0" eb="1">
      <t>マヨ</t>
    </rPh>
    <rPh sb="3" eb="5">
      <t>ハイボｋ</t>
    </rPh>
    <rPh sb="6" eb="7">
      <t>ウｍ</t>
    </rPh>
    <phoneticPr fontId="5"/>
  </si>
  <si>
    <t>身動きを封じよう…</t>
    <rPh sb="0" eb="2">
      <t>ミウゴｋ</t>
    </rPh>
    <rPh sb="4" eb="5">
      <t>フ</t>
    </rPh>
    <phoneticPr fontId="5"/>
  </si>
  <si>
    <t>君達も我が覇道に挑むのか…？</t>
    <rPh sb="0" eb="1">
      <t>キｍ</t>
    </rPh>
    <rPh sb="1" eb="2">
      <t>タチ</t>
    </rPh>
    <rPh sb="3" eb="4">
      <t>ワｇ</t>
    </rPh>
    <rPh sb="5" eb="7">
      <t>ハド</t>
    </rPh>
    <rPh sb="8" eb="9">
      <t>イドｍ</t>
    </rPh>
    <phoneticPr fontId="5"/>
  </si>
  <si>
    <t>これが天下に立つ者の力だ</t>
    <rPh sb="3" eb="5">
      <t>テンカ</t>
    </rPh>
    <rPh sb="6" eb="7">
      <t>タｔ</t>
    </rPh>
    <rPh sb="8" eb="9">
      <t>モノノ</t>
    </rPh>
    <rPh sb="10" eb="11">
      <t>チカｒ</t>
    </rPh>
    <phoneticPr fontId="5"/>
  </si>
  <si>
    <t>おもしろい…実におもしろいな</t>
    <rPh sb="6" eb="7">
      <t>ジｔ</t>
    </rPh>
    <phoneticPr fontId="5"/>
  </si>
  <si>
    <t>我が天命、未だ尽きぬ</t>
    <rPh sb="0" eb="1">
      <t>ワｇ</t>
    </rPh>
    <rPh sb="2" eb="4">
      <t>テｎ</t>
    </rPh>
    <rPh sb="5" eb="6">
      <t>イｍ</t>
    </rPh>
    <rPh sb="7" eb="8">
      <t>ツキヌ</t>
    </rPh>
    <phoneticPr fontId="5"/>
  </si>
  <si>
    <t>これが覇道に背いた末路だ</t>
    <rPh sb="3" eb="5">
      <t>ハド</t>
    </rPh>
    <rPh sb="6" eb="7">
      <t>ソｍ</t>
    </rPh>
    <rPh sb="9" eb="11">
      <t>マツｒ</t>
    </rPh>
    <phoneticPr fontId="5"/>
  </si>
  <si>
    <t>これに耐えられるか…？</t>
    <rPh sb="3" eb="4">
      <t>タ</t>
    </rPh>
    <phoneticPr fontId="5"/>
  </si>
  <si>
    <t>動けまい…覚悟するがいい</t>
    <rPh sb="0" eb="1">
      <t>ウゴｋ</t>
    </rPh>
    <rPh sb="5" eb="7">
      <t>カｋ</t>
    </rPh>
    <phoneticPr fontId="5"/>
  </si>
  <si>
    <t>その強い心を折る…</t>
    <phoneticPr fontId="5"/>
  </si>
  <si>
    <t>手は緩めぬぞ…</t>
    <phoneticPr fontId="5"/>
  </si>
  <si>
    <t>…果てなさい</t>
    <rPh sb="1" eb="2">
      <t>ハテナサイ</t>
    </rPh>
    <phoneticPr fontId="5"/>
  </si>
  <si>
    <t>わかりました…</t>
    <phoneticPr fontId="5"/>
  </si>
  <si>
    <t>くれぐれもお気をつけを…</t>
    <phoneticPr fontId="5"/>
  </si>
  <si>
    <t>連撃</t>
    <rPh sb="0" eb="2">
      <t>レンゲキ</t>
    </rPh>
    <phoneticPr fontId="5"/>
  </si>
  <si>
    <t>内丹掌底打ち</t>
    <rPh sb="0" eb="2">
      <t>ナイｔ</t>
    </rPh>
    <rPh sb="2" eb="5">
      <t>ショウテイ</t>
    </rPh>
    <phoneticPr fontId="5"/>
  </si>
  <si>
    <t>一気集中</t>
    <rPh sb="0" eb="4">
      <t>イｋｋ</t>
    </rPh>
    <phoneticPr fontId="5"/>
  </si>
  <si>
    <t>気合充実</t>
    <rPh sb="0" eb="2">
      <t>キア</t>
    </rPh>
    <phoneticPr fontId="5"/>
  </si>
  <si>
    <t>ここはワタクシが相手よ！</t>
    <rPh sb="8" eb="10">
      <t>アイテ</t>
    </rPh>
    <phoneticPr fontId="5"/>
  </si>
  <si>
    <t>曹操様まで辿りつかせはしない…！</t>
    <phoneticPr fontId="5"/>
  </si>
  <si>
    <t>露払いはワタクシの仕事…！</t>
    <rPh sb="0" eb="2">
      <t>ツｙ</t>
    </rPh>
    <rPh sb="9" eb="11">
      <t>シゴｔ</t>
    </rPh>
    <phoneticPr fontId="5"/>
  </si>
  <si>
    <t>チャフ・サブマリン</t>
    <phoneticPr fontId="5"/>
  </si>
  <si>
    <t>テールバインド</t>
    <phoneticPr fontId="5"/>
  </si>
  <si>
    <t>強い…だが美しくないな</t>
    <rPh sb="0" eb="1">
      <t>ツヨ</t>
    </rPh>
    <rPh sb="5" eb="6">
      <t>ウツｋ</t>
    </rPh>
    <phoneticPr fontId="5"/>
  </si>
  <si>
    <t>呂布…君はいつか我が手にて始末しよう</t>
    <rPh sb="0" eb="2">
      <t>リョｆ</t>
    </rPh>
    <rPh sb="3" eb="4">
      <t>キｍ</t>
    </rPh>
    <rPh sb="8" eb="9">
      <t>ワｇ</t>
    </rPh>
    <rPh sb="13" eb="15">
      <t>シマｔ</t>
    </rPh>
    <phoneticPr fontId="5"/>
  </si>
  <si>
    <t>関羽、君とは共に覇道を歩みたいものだ…</t>
    <rPh sb="0" eb="2">
      <t>カｎ</t>
    </rPh>
    <rPh sb="3" eb="4">
      <t>キｍ</t>
    </rPh>
    <phoneticPr fontId="5"/>
  </si>
  <si>
    <t>知らぬうちに強者が増えたものだ…</t>
    <rPh sb="0" eb="1">
      <t>シｒ</t>
    </rPh>
    <rPh sb="6" eb="8">
      <t>キョ</t>
    </rPh>
    <rPh sb="9" eb="10">
      <t>フ</t>
    </rPh>
    <phoneticPr fontId="5"/>
  </si>
  <si>
    <t>力による支配…実におもしろそうだ</t>
    <rPh sb="0" eb="1">
      <t>チカｒ</t>
    </rPh>
    <rPh sb="4" eb="6">
      <t>シｈ</t>
    </rPh>
    <rPh sb="7" eb="8">
      <t>ジツｎ</t>
    </rPh>
    <phoneticPr fontId="5"/>
  </si>
  <si>
    <t>その目、その力…実に素晴らしい</t>
    <rPh sb="8" eb="9">
      <t>ジｔ</t>
    </rPh>
    <rPh sb="10" eb="12">
      <t>スバラシ</t>
    </rPh>
    <phoneticPr fontId="5"/>
  </si>
  <si>
    <t>君は…ふむ、只者ではないようだな</t>
    <rPh sb="0" eb="1">
      <t>キｍ</t>
    </rPh>
    <rPh sb="6" eb="8">
      <t>タダモｎ</t>
    </rPh>
    <phoneticPr fontId="5"/>
  </si>
  <si>
    <t>状態異常耐性+赤パネルドロップ率UP</t>
    <rPh sb="0" eb="6">
      <t>ｊｙ</t>
    </rPh>
    <rPh sb="7" eb="8">
      <t>アｋ</t>
    </rPh>
    <phoneticPr fontId="5"/>
  </si>
  <si>
    <t>[effect:enemy_message, val1:1.2, val2:1.2],[effect:critical, val:1.5, animation:enemy_critical]</t>
    <phoneticPr fontId="5"/>
  </si>
  <si>
    <t>[effect:enemy_message, val1:1.2, val2:2.1],[effect:damage_anti_tribe, target:unit_all, tribe:machine, val1:1, val2:0.25]</t>
    <phoneticPr fontId="5"/>
  </si>
  <si>
    <t>[effect:enemy_message, val1:1.7, val2:1.2],[effect:fix_speed, target:myself, turn:1],[effect:tolerance, target:myself, turn:-1, count:-1, tolerance_effect:all, animation:enemy_tolerance]</t>
    <phoneticPr fontId="5"/>
  </si>
  <si>
    <t>[effect:enemy_message, val1:1.6, val2:1.2],[effect:fix_speed, target:myself, turn:1],[effect:tolerance, target:myself, turn:-1, count:-1, tolerance_effect:all, animation:enemy_tolerance]</t>
    <phoneticPr fontId="5"/>
  </si>
  <si>
    <t>[effect:enemy_message, val1:1.5, val2:1.2],[effect:enhance_enemy, target:myself, turn:-1, status:attack, val:0.5, calc:mul, animation:enemy_enhance_attack]</t>
    <phoneticPr fontId="5"/>
  </si>
  <si>
    <t>[effect:enemy_message, val1:1.2, val2:1.9],[effect:dis_heart, turn:3, animation:enemy_dis_heart],[effect:rush, count:6, val:0.2]</t>
    <phoneticPr fontId="5"/>
  </si>
  <si>
    <t>[effect:enemy_message, val1:1.2, val2:1.6],[effect:attack_break, target:unit_all, turn:3, val:0.5, calc:mul, animation:attack_break02],[effect:rush, count:1, val:1]</t>
    <phoneticPr fontId="5"/>
  </si>
  <si>
    <t>[effect:enemy_message, val1:1.2, val2:3.7],[effect:panel_freeze, target:normal, count:10],[effect:degrade_unit, target:unit_all, turn:2, status:action, val:2, calc:add, animation:enemy_tap_down]</t>
    <phoneticPr fontId="5"/>
  </si>
  <si>
    <t>[effect:enemy_message, val1:1.3, val2:1.2],[effect:enhance_enemy, target:myself, turn:-1, status:attack, val:0.8, calc:mul, animation:enemy_enhance_attack]</t>
    <phoneticPr fontId="5"/>
  </si>
  <si>
    <t>[effect:enemy_message, val1:1.4, val2:2.0],[effect:fix_speed, target:myself, turn:2],[effect:tolerance, target:myself, turn:-1, count:-1, tolerance_effect:all, animation:enemy_tolerance],[effect:change_panel_ratio, turn:-1, block_type:heal, val:0.4, animation:block_incidence04]</t>
    <phoneticPr fontId="5"/>
  </si>
  <si>
    <t>[effect:enemy_message, val1:1.3, val2:2.1],[effect:damage_anti_tribe, target:unit_all, tribe:machine, val1:1, val2:0.3]</t>
    <phoneticPr fontId="5"/>
  </si>
  <si>
    <t>[effect:enemy_message, val1:1.6, val2:2.0],[effect:fix_speed, target:myself, turn:2],[effect:tolerance, target:myself, turn:-1, count:-1, tolerance_effect:all, animation:enemy_tolerance],[effect:change_panel_ratio, turn:-1, block_type:heal, val:0.4, animation:block_incidence04]</t>
    <phoneticPr fontId="5"/>
  </si>
  <si>
    <t>[effect:enemy_message, val1:1.3, val2:2.0],[effect:fix_speed, target:myself, turn:2],[effect:tolerance, target:myself, turn:-1, count:-1, tolerance_effect:all, animation:enemy_tolerance],[effect:change_panel_ratio, turn:-1, block_type:heal, val:0.4, animation:block_incidence04]</t>
    <phoneticPr fontId="5"/>
  </si>
  <si>
    <t>[effect:enemy_message, val1:1.4, val2:2.0],[effect:fix_speed, target:myself, turn:1],[effect:tolerance, target:myself, turn:-1, count:-1, tolerance_effect:all, animation:enemy_tolerance],[effect:change_panel_ratio, turn:-1, block_type:heal, val:0.5, animation:block_incidence04]</t>
    <phoneticPr fontId="5"/>
  </si>
  <si>
    <t>[effect:enemy_message, val1:1.4, val2:1.8],[effect:fix_speed, target:myself, turn:1],[effect:tolerance, target:myself, turn:-1, count:-1, tolerance_effect:all, animation:enemy_tolerance],[effect:change_panel_ratio, turn:-1, block_type:red, val:0.6, animation:block_incidence04]</t>
    <phoneticPr fontId="5"/>
  </si>
  <si>
    <t>[effect:enemy_message, val1:1.2, val2:1.8],[effect:fix_speed, target:myself, turn:1],[effect:change_panel_ratio, turn:-1, block_type:heal, val:0.0, animation:block_incidence04],[effect:enhance_enemy, target:myself, turn:-1, status:defense, val:5000, calc:add, animation:enemy_enhance_defense]</t>
    <phoneticPr fontId="5"/>
  </si>
  <si>
    <t>everyone</t>
    <phoneticPr fontId="5"/>
  </si>
  <si>
    <t>full_member</t>
    <phoneticPr fontId="5"/>
  </si>
  <si>
    <t>unit</t>
    <phoneticPr fontId="5"/>
  </si>
  <si>
    <t>2016-5-27 0:00:00</t>
    <phoneticPr fontId="5"/>
  </si>
  <si>
    <t>2970-01-01 09:00:00</t>
    <phoneticPr fontId="5"/>
  </si>
  <si>
    <t>unit</t>
  </si>
  <si>
    <t>old</t>
  </si>
  <si>
    <t>old</t>
    <phoneticPr fontId="7"/>
  </si>
  <si>
    <t>タイチとゴクウはそれぞれ
種族サムライ以外と種族マシンに対して
大ダメージの攻撃を行います
パーティ編成時に注意しておきましょう</t>
    <phoneticPr fontId="5"/>
  </si>
  <si>
    <t>ランランはハートパネル無効や
ハートパネルを吸収して攻撃を行います
回復が難しくなるので回復のスキルを持つ
ユニットが役に立つでしょう</t>
    <phoneticPr fontId="5"/>
  </si>
  <si>
    <t>魏の王・曹操</t>
    <phoneticPr fontId="5"/>
  </si>
  <si>
    <t>野心家・曹操</t>
    <phoneticPr fontId="5"/>
  </si>
  <si>
    <t>曹操と関羽</t>
    <phoneticPr fontId="5"/>
  </si>
  <si>
    <t>曹操は関羽の実力や人格を評価しており
いつか自分の部下に引き入れたいと
考えているようです</t>
    <phoneticPr fontId="5"/>
  </si>
  <si>
    <t>曹操と呂布</t>
    <phoneticPr fontId="5"/>
  </si>
  <si>
    <t>興味深い力だ…受けて立とう</t>
    <phoneticPr fontId="5"/>
  </si>
  <si>
    <t>[effect:enemy_message, val1:1.2, val2:2.3]</t>
    <phoneticPr fontId="5"/>
  </si>
  <si>
    <t>[effect:enemy_message, val1:1.6, val2:2.1]</t>
    <phoneticPr fontId="5"/>
  </si>
  <si>
    <t>[effect:enemy_message, val1:1.5, val2:2.4]</t>
    <phoneticPr fontId="5"/>
  </si>
  <si>
    <t>曹操はクラッカーの中でも
「本気を出させたら最も恐ろしい男」
と噂されています</t>
    <rPh sb="22" eb="23">
      <t>モットモ</t>
    </rPh>
    <phoneticPr fontId="5"/>
  </si>
  <si>
    <t>曹操はアナタの尽力で活動を停止しました
しかし野心家である彼は関羽やアナタなど
実力ある者に強い興味を持ったようです</t>
    <rPh sb="44" eb="45">
      <t>モノ</t>
    </rPh>
    <phoneticPr fontId="5"/>
  </si>
  <si>
    <t>お互いにトップクラスの力を持つ二人ですが
その信じる道は交わることがなく
戦うことでしか本心を交わすことが
できないようです</t>
    <rPh sb="47" eb="48">
      <t>カワｓ</t>
    </rPh>
    <phoneticPr fontId="5"/>
  </si>
  <si>
    <t>貂蝉はお邪魔パネルを生成し
さらにお邪魔パネルを吸収して
強力な攻撃を行います
お邪魔パネルを処理できるスキルや
アビリティが役に立つでしょう</t>
    <rPh sb="65" eb="66">
      <t>タｔ</t>
    </rPh>
    <phoneticPr fontId="5"/>
  </si>
  <si>
    <t>2ゲージ目の蛟龍は攻撃力UPを行い
さらに強力な連続攻撃を行います
回復困難な大ダメージを受ける前に
速やかに倒しましょう</t>
    <rPh sb="4" eb="5">
      <t>メ</t>
    </rPh>
    <phoneticPr fontId="5"/>
  </si>
  <si>
    <t>1ゲージ目の蛟龍は攻撃力DOWNや
パネルのプロテクト、タップ回数DOWNなど
様々な妨害を行ってきます
スキルで対応して倒しましょう</t>
    <rPh sb="4" eb="5">
      <t>メ</t>
    </rPh>
    <phoneticPr fontId="5"/>
  </si>
  <si>
    <t>1ゲージ目の曹操はパネルプロテクトや
ダメージパネル変換などのスキルを
決まった順番で行います
順番を覚えて対処することで
攻略がスムーズになるでしょう</t>
    <rPh sb="4" eb="5">
      <t>メ</t>
    </rPh>
    <phoneticPr fontId="5"/>
  </si>
  <si>
    <t>2ゲージ目の曹操は1ゲージめと同じ内容の
スキルをランダムで使用します
油断しないように速やかに対処しましょう</t>
    <rPh sb="4" eb="5">
      <t>メ</t>
    </rPh>
    <phoneticPr fontId="5"/>
  </si>
  <si>
    <t>3ゲージ目の曹操は回復力DOWNや赤・ハート
パネルをプロテクト・お邪魔パネル変換する
など変化に富んだスキルを使用します
攻撃力も高いのでパターンを覚えて
油断せずに攻略しましょう</t>
    <rPh sb="4" eb="5">
      <t>メ</t>
    </rPh>
    <phoneticPr fontId="5"/>
  </si>
  <si>
    <t>種族サムライ以外のユニットに大ダメージの全体攻撃</t>
    <rPh sb="0" eb="2">
      <t>ｓｙ</t>
    </rPh>
    <rPh sb="6" eb="8">
      <t>イガ</t>
    </rPh>
    <rPh sb="14" eb="15">
      <t>ダ</t>
    </rPh>
    <rPh sb="20" eb="24">
      <t>ゼｎ</t>
    </rPh>
    <phoneticPr fontId="5"/>
  </si>
  <si>
    <t>ランダムでお邪魔パネルに最大5個変換+単体攻撃</t>
    <rPh sb="12" eb="14">
      <t>サ</t>
    </rPh>
    <rPh sb="15" eb="16">
      <t>コ</t>
    </rPh>
    <rPh sb="16" eb="18">
      <t>ヘンカｎ</t>
    </rPh>
    <rPh sb="19" eb="21">
      <t>タンタ</t>
    </rPh>
    <rPh sb="21" eb="23">
      <t>コウゲｋ</t>
    </rPh>
    <phoneticPr fontId="5"/>
  </si>
  <si>
    <t>お邪魔パネルを吸収して全体攻撃</t>
    <rPh sb="7" eb="9">
      <t>キュウシュ</t>
    </rPh>
    <rPh sb="11" eb="13">
      <t>ゼｎ</t>
    </rPh>
    <rPh sb="13" eb="15">
      <t>コウゲｋ</t>
    </rPh>
    <phoneticPr fontId="5"/>
  </si>
  <si>
    <t>自身の攻撃力UP</t>
    <rPh sb="0" eb="2">
      <t>ジシｎ</t>
    </rPh>
    <rPh sb="3" eb="6">
      <t>コウゲｋ</t>
    </rPh>
    <phoneticPr fontId="5"/>
  </si>
  <si>
    <t>ハートパネルを吸収して攻撃</t>
    <rPh sb="7" eb="9">
      <t>キュウシュ</t>
    </rPh>
    <rPh sb="11" eb="13">
      <t>コウゲｋ</t>
    </rPh>
    <phoneticPr fontId="5"/>
  </si>
  <si>
    <t>自身の行動頻度UP</t>
    <rPh sb="0" eb="2">
      <t>ジシｎ</t>
    </rPh>
    <rPh sb="3" eb="7">
      <t>コウド</t>
    </rPh>
    <phoneticPr fontId="5"/>
  </si>
  <si>
    <t>3ターン自身の攻撃力UP</t>
    <rPh sb="4" eb="6">
      <t>ジシｎ</t>
    </rPh>
    <rPh sb="7" eb="10">
      <t>コウゲｋ</t>
    </rPh>
    <phoneticPr fontId="5"/>
  </si>
  <si>
    <t>状態異常耐性+3ターン自身の防御力UP</t>
    <rPh sb="0" eb="6">
      <t>ｊｙ</t>
    </rPh>
    <rPh sb="11" eb="13">
      <t>ジシｎ</t>
    </rPh>
    <rPh sb="14" eb="17">
      <t>ボ</t>
    </rPh>
    <phoneticPr fontId="5"/>
  </si>
  <si>
    <t>ランダムでダメージパネルに最大4個変換+単体攻撃</t>
    <rPh sb="17" eb="19">
      <t>ヘンカｎ</t>
    </rPh>
    <rPh sb="20" eb="22">
      <t>タンタ</t>
    </rPh>
    <rPh sb="22" eb="24">
      <t>コウゲｋ</t>
    </rPh>
    <phoneticPr fontId="5"/>
  </si>
  <si>
    <t>3ターンハートパネル無効+
ハートパネルをプロテクト+単体攻撃</t>
    <rPh sb="10" eb="12">
      <t>ムコ</t>
    </rPh>
    <rPh sb="27" eb="29">
      <t>タンタ</t>
    </rPh>
    <rPh sb="29" eb="31">
      <t>コウゲｋ</t>
    </rPh>
    <phoneticPr fontId="5"/>
  </si>
  <si>
    <t>ランダムでダメージパネルに最大8個変換+単体攻撃</t>
    <rPh sb="17" eb="19">
      <t>ヘンカｎ</t>
    </rPh>
    <rPh sb="20" eb="22">
      <t>タンタ</t>
    </rPh>
    <rPh sb="22" eb="24">
      <t>コウゲｋ</t>
    </rPh>
    <phoneticPr fontId="5"/>
  </si>
  <si>
    <t>ハートパネルをお邪魔パネルに変換+単体攻撃</t>
    <rPh sb="14" eb="16">
      <t>ヘｎ</t>
    </rPh>
    <rPh sb="17" eb="21">
      <t>タンタ</t>
    </rPh>
    <phoneticPr fontId="5"/>
  </si>
  <si>
    <t>種族サムライのユニットを優先して攻撃
サムライ以外のユニットには大ダメージの3回連続攻撃</t>
    <phoneticPr fontId="5"/>
  </si>
  <si>
    <t>種族サムライのユニットを優先して攻撃
サムライ以外のユニットには大ダメージの4回連続攻撃</t>
    <phoneticPr fontId="5"/>
  </si>
  <si>
    <t>種族サムライのユニットを優先して攻撃
サムライ以外のユニットには大ダメージの5回連続攻撃</t>
    <phoneticPr fontId="5"/>
  </si>
  <si>
    <t>状態異常耐性+3ターン自身の攻撃力UP</t>
    <rPh sb="0" eb="6">
      <t>ｊｙ</t>
    </rPh>
    <rPh sb="11" eb="13">
      <t>ジシｎ</t>
    </rPh>
    <rPh sb="14" eb="17">
      <t>コ</t>
    </rPh>
    <phoneticPr fontId="5"/>
  </si>
  <si>
    <t>3ターン全ユニットの回復力DOWN+
ハートパネルをプロテクト+単体攻撃</t>
    <rPh sb="4" eb="5">
      <t>ゼｎ</t>
    </rPh>
    <rPh sb="10" eb="13">
      <t>カ</t>
    </rPh>
    <rPh sb="32" eb="34">
      <t>タンタ</t>
    </rPh>
    <rPh sb="34" eb="36">
      <t>コウゲｋ</t>
    </rPh>
    <phoneticPr fontId="5"/>
  </si>
  <si>
    <t>ハートパネルをお邪魔パネルに変換</t>
    <rPh sb="14" eb="16">
      <t>ヘｎ</t>
    </rPh>
    <phoneticPr fontId="5"/>
  </si>
  <si>
    <t>3ターン全ユニットの回復力DOWN+
赤パネルとハートパネルをプロテクト+単体攻撃</t>
    <rPh sb="4" eb="5">
      <t>ゼｎ</t>
    </rPh>
    <rPh sb="10" eb="13">
      <t>カイフｋ</t>
    </rPh>
    <rPh sb="19" eb="20">
      <t>アｋ</t>
    </rPh>
    <rPh sb="37" eb="39">
      <t>タンタ</t>
    </rPh>
    <rPh sb="39" eb="41">
      <t>コウゲｋ</t>
    </rPh>
    <phoneticPr fontId="5"/>
  </si>
  <si>
    <t>ランダムでダメージパネル最大8個変換+単体攻撃</t>
    <rPh sb="16" eb="18">
      <t>ヘンカｎ</t>
    </rPh>
    <rPh sb="19" eb="21">
      <t>タンタ</t>
    </rPh>
    <rPh sb="21" eb="23">
      <t>コウゲｋ</t>
    </rPh>
    <phoneticPr fontId="5"/>
  </si>
  <si>
    <t>赤パネルとハートパネルをお邪魔パネルに変換</t>
    <rPh sb="0" eb="1">
      <t>アｋ</t>
    </rPh>
    <rPh sb="19" eb="21">
      <t>ヘｎ</t>
    </rPh>
    <phoneticPr fontId="5"/>
  </si>
  <si>
    <t>お邪魔パネルを吸収して全体攻撃</t>
    <rPh sb="7" eb="9">
      <t>キュウシュ</t>
    </rPh>
    <rPh sb="11" eb="15">
      <t>ゼｎ</t>
    </rPh>
    <phoneticPr fontId="5"/>
  </si>
  <si>
    <t>[effect:enemy_message, val1:1.2, val2:2.4],[effect:damage_anti_tribe, target:unit_all, tribe:samurai, val1:0.2, val2:0.6]</t>
    <phoneticPr fontId="5"/>
  </si>
  <si>
    <t>[effect:enemy_message, val1:1.2, val2:2.3],[effect:force_change_block, new_block:jammer, target:block_all, ignore01:crash, ignore02:crack_bomb, ignore03:time_bomb, ignore04:damage, ignore05:color_break, ignore06:magnet, count:5, val:0, animation:change_block],[effect:rush, count:1, val:1]</t>
    <phoneticPr fontId="5"/>
  </si>
  <si>
    <t>[effect:enemy_message, val1:1.2, val2:1.5],[effect:break_attack, target:unit_all, val:0.05, lowest_val:1000, count:-1, color:yellow, block01:jammer]</t>
    <phoneticPr fontId="5"/>
  </si>
  <si>
    <t>[effect:enemy_message, val1:1.2, val2:2.3],[effect:force_change_block, new_block:jammer, target:block_all, ignore01:crash, ignore02:crack_bomb, ignore03:time_bomb, ignore04:damage, ignore05:color_break, ignore06:magnet, count:5, val:0, animation:change_block],[effect:rush, count:1, val:1]</t>
    <phoneticPr fontId="5"/>
  </si>
  <si>
    <t>[effect:enemy_message, val1:1.6, val2:2.4],[effect:damage_anti_tribe, target:unit_all, tribe:samurai, val1:0.2, val2:0.6]</t>
    <phoneticPr fontId="5"/>
  </si>
  <si>
    <t>[effect:enemy_message, val1:1.2, val2:1.5],[effect:break_attack, target:unit_all, val:0.05, lowest_val:1000, count:-1, color:yellow, block01:jammer]</t>
    <phoneticPr fontId="5"/>
  </si>
  <si>
    <t>[effect:enemy_message, val1:1.6, val2:2.4],[effect:damage_anti_tribe, target:unit_all, tribe:samurai, val1:0.2, val2:0.6]</t>
    <phoneticPr fontId="5"/>
  </si>
  <si>
    <t>[effect:enemy_message, val1:1.2, val2:1.3],[effect:break_attack, target:unit_one, val:0.1, lowest_val:1000, count:-1, color:green, block01:block_heart]</t>
    <phoneticPr fontId="5"/>
  </si>
  <si>
    <t>[effect:enemy_message, val1:1.2, val2:1.9],[effect:fix_speed, target:myself, turn:1],[effect:tolerance, target:myself, turn:-1, count:-1, tolerance_effect:all, animation:enemy_tolerance],[effect:enhance_enemy, target:myself, turn:3, status:defense, val:5000, calc:add, animation:enemy_enhance_defense]</t>
    <phoneticPr fontId="5"/>
  </si>
  <si>
    <t>[effect:enemy_message, val1:1.2, val2:2.4],[effect:force_change_block, new_block:damage, target:block_all, ignore01:crash, ignore02:crack_bomb, ignore03:damage, ignore04:color_break, ignore05:magnet, count:4, val:0.25, animation:change_block],[effect:rush, count:1, val:1]</t>
    <phoneticPr fontId="5"/>
  </si>
  <si>
    <t>[effect:enemy_message, val1:1.6, val2:1.9],[effect:fix_speed, target:myself, turn:1],[effect:tolerance, target:myself, turn:-1, count:-1, tolerance_effect:all, animation:enemy_tolerance],[effect:enhance_enemy, target:myself, turn:3, status:attack, val:0.6, calc:mul, animation:enemy_enhance_attack]</t>
    <phoneticPr fontId="5"/>
  </si>
  <si>
    <t>[effect:enemy_message, val1:1.2, val2:4.4],[effect:damage_anti_tribe, target:unit_one, tribe:samurai, val1:0.25, val2:0.3],[effect:damage_anti_tribe, target:unit_one, tribe:samurai, val1:0.25, val2:0.3],[effect:damage_anti_tribe, target:unit_one, tribe:samurai, val1:0.25, val2:0.3]</t>
    <phoneticPr fontId="5"/>
  </si>
  <si>
    <t>[effect:enemy_message, val1:1.2, val2:4.4],[effect:damage_anti_tribe,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t>
    <phoneticPr fontId="5"/>
  </si>
  <si>
    <t>[effect:enemy_message, val1:1.2, val2:4.4],[effect:damage_anti_tribe,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t>
    <phoneticPr fontId="5"/>
  </si>
  <si>
    <t>[effect:enemy_message, val1:1.2, val2:2.4],[effect:force_change_block, new_block:damage, target:block_all, ignore01:crash, ignore02:crack_bomb, ignore03:damage, ignore04:color_break, ignore05:magnet, count:4, val:0.3, animation:change_block],[effect:rush, count:1, val:1]</t>
    <phoneticPr fontId="5"/>
  </si>
  <si>
    <t>[effect:enemy_message, val1:1.2, val2:4.4],[effect:damage_anti_tribe, target:unit_one, tribe:samurai, val1:0.25, val2:0.3],[effect:damage_anti_tribe, target:unit_one, tribe:samurai, val1:0.25, val2:0.3],[effect:damage_anti_tribe, target:unit_one, tribe:samurai, val1:0.25, val2:0.3]</t>
    <phoneticPr fontId="5"/>
  </si>
  <si>
    <t>[effect:enemy_message, val1:1.2, val2:4.4],[effect:damage_anti_tribe,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t>
    <phoneticPr fontId="5"/>
  </si>
  <si>
    <t>[effect:enemy_message, val1:1.2, val2:3.1],[effect:dis_heart, turn:3, animation:enemy_dis_heart],[effect:panel_freeze, target:normal, color:block_heart, count:-1],[effect:rush, count:1, val:1]</t>
    <phoneticPr fontId="5"/>
  </si>
  <si>
    <t>[effect:enemy_message, val1:1.2, val2:2.4],[effect:force_change_block, new_block:damage, target:block_all, ignore01:crash, ignore02:crack_bomb, ignore03:damage, ignore04:color_break, ignore05:magnet, count:8, val:0.06, animation:change_block],[effect:rush, count:1, val:1]</t>
    <phoneticPr fontId="5"/>
  </si>
  <si>
    <t>[effect:enemy_message, val1:1.2, val2:2.1],[effect:force_change_block, new_block:jammer, target:block_heart, ignore01:crack_bomb, ignore02:jammer, ignore03:time_bomb,  ignore04:magnet, ignore05:damage, ignore06:color_break, ignore07:crash, count:0, val:0, animation:change_block],[effect:rush, count:1, val:1]</t>
    <phoneticPr fontId="5"/>
  </si>
  <si>
    <t>[effect:enemy_message, val1:1.2, val2:1.5],[effect:break_attack, target:unit_all, val:0.1, lowest_val:1000, count:-1, color:yellow, block01:jammer]</t>
    <phoneticPr fontId="5"/>
  </si>
  <si>
    <t>[effect:enemy_message, val1:1.3, val2:4.4],[effect:damage_anti_tribe, target:unit_one, tribe:samurai, val1:0.3, val2:0.6],[effect:damage_anti_tribe, target:unit_one, tribe:samurai, val1:0.3, val2:0.6],[effect:damage_anti_tribe, target:unit_one, tribe:samurai, val1:0.3, val2:0.6]</t>
    <phoneticPr fontId="5"/>
  </si>
  <si>
    <t>[effect:enemy_message, val1:1.2, val2:3.6],[effect:degrade_unit, target:unit_all, turn:3, status:heal, val:0.6, calc:mul, animation:degrade_unit_all_heal],[effect:panel_freeze, target:normal, color:block_heart, count:-1],[effect:rush, count:1, val:1]</t>
    <phoneticPr fontId="5"/>
  </si>
  <si>
    <t>[effect:enemy_message, val1:1.2, val2:2.4],[effect:force_change_block, new_block:damage, target:block_all, ignore01:crash, ignore02:crack_bomb, ignore03:damage, ignore04:color_break, ignore05:magnet, count:8, val:0.06, animation:change_block],[effect:rush, count:1, val:1]</t>
    <phoneticPr fontId="5"/>
  </si>
  <si>
    <t>[effect:enemy_message, val1:1.2, val2:1.6],[effect:force_change_block, new_block:jammer, target:block_heart, ignore01:crack_bomb, ignore02:jammer, ignore03:time_bomb,  ignore04:magnet, ignore05:damage, ignore06:color_break, ignore07:crash, count:0, val:0, animation:change_block]</t>
    <phoneticPr fontId="5"/>
  </si>
  <si>
    <t>[effect:enemy_message, val1:1.2, val2:1.5],[effect:break_attack, target:unit_all, val:0.1, lowest_val:1000, count:-1, color:yellow, block01:jammer]</t>
    <phoneticPr fontId="5"/>
  </si>
  <si>
    <t>[effect:enemy_message, val1:1.2, val2:4.1],[effect:degrade_unit, target:unit_all, turn:3, status:heal, val:0.6, calc:mul, animation:degrade_unit_all_heal],[effect:panel_freeze, target:normal, color:block_red, count:-1],[effect:panel_freeze, target:normal, color:block_heart, count:-1],[effect:rush, count:1, val:1]</t>
    <phoneticPr fontId="5"/>
  </si>
  <si>
    <t>[effect:enemy_message, val1:1.2, val2:2.3],[effect:force_change_block, new_block:damage, target:block_all, ignore01:crash, ignore02:crack_bomb, ignore03:damage, ignore04:color_break, ignore05:magnet, count:8, val:0.06, animation:change_block],[effect:rush, count:1, val:1]</t>
    <phoneticPr fontId="5"/>
  </si>
  <si>
    <t>[effect:enemy_message, val1:1.2, val2:2.1],[effect:force_change_block, new_block:jammer, target:block_all, ignore01:crash, ignore02:crack_bomb, ignore03:color_break, ignore04:magnet, ignore05:jammer, ignore06:time_bomb, ignore07:block_yellow, ignore08:block_green, ignore09:block_blue, ignore10:damage, count:0, val:0]</t>
    <phoneticPr fontId="5"/>
  </si>
  <si>
    <t>[effect:enemy_message, val1:1.2, val2:1.5],[effect:break_attack, target:unit_all, val:0.03, lowest_val:1000, count:-1, color:yellow, block01:jammer, ignore01:crash, ignore02:crack_bomb, ignore03:time_bomb, ignore04:color_break, ignore05:damage, ignore06:magnet]</t>
    <phoneticPr fontId="5"/>
  </si>
  <si>
    <t>自身の攻撃力UP+4回連続攻撃</t>
    <rPh sb="0" eb="2">
      <t>ジシｎ</t>
    </rPh>
    <rPh sb="3" eb="6">
      <t>コウゲｋ</t>
    </rPh>
    <rPh sb="10" eb="11">
      <t>カ</t>
    </rPh>
    <rPh sb="11" eb="15">
      <t>レンゾｋ</t>
    </rPh>
    <phoneticPr fontId="5"/>
  </si>
  <si>
    <t>赤パネルとハートパネルを吸収して攻撃力UP+
4回連続攻撃</t>
    <rPh sb="0" eb="1">
      <t>アｋ</t>
    </rPh>
    <rPh sb="12" eb="14">
      <t>キュウシュ</t>
    </rPh>
    <rPh sb="16" eb="19">
      <t>コウゲｋ</t>
    </rPh>
    <rPh sb="24" eb="25">
      <t>カ</t>
    </rPh>
    <rPh sb="25" eb="29">
      <t>レｎ</t>
    </rPh>
    <phoneticPr fontId="5"/>
  </si>
  <si>
    <t>[effect:enemy_message, val1:1.2, val2:2.9],[effect:break_enchance_enemy, target:myself, val:0.1, lowest_val:1, count:-1, status:attack, turn:1, block01:block_red, block02:block_heart, calc:mul, animation:enemy_enhance_attack],[effect:rush, count:4, val:0.25]</t>
    <phoneticPr fontId="5"/>
  </si>
  <si>
    <t>[effect:enemy_message, val1:1.4, val2:1.5],[effect:enhance_enemy, target:myself, turn:-1, status:attack, val:1.2, calc:mul, animation:enemy_enhance_attack],[effect:rush, count:4, val:0.3]</t>
    <phoneticPr fontId="5"/>
  </si>
  <si>
    <t>[effect:enemy_message, val1:1.6, val2:2.4],[effect:damage_anti_tribe, target:unit_all, tribe:samurai, val1:0.2, val2:0.6]</t>
    <phoneticPr fontId="5"/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</si>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</sst>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13" borderId="7" xfId="0" applyFont="1" applyFill="1" applyBorder="1" applyAlignment="1">
      <alignment horizontal="left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20" sqref="F2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265</v>
      </c>
      <c r="B2" s="56" t="s">
        <v>107</v>
      </c>
      <c r="C2" s="61">
        <v>58001</v>
      </c>
      <c r="D2" s="56" t="s">
        <v>108</v>
      </c>
      <c r="E2" s="55" t="str">
        <f>B2&amp;C2&amp;D2</f>
        <v>floors_58001.tmp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265</v>
      </c>
      <c r="B3" s="56" t="s">
        <v>110</v>
      </c>
      <c r="C3" s="61">
        <f>C$2</f>
        <v>58001</v>
      </c>
      <c r="D3" s="56" t="s">
        <v>108</v>
      </c>
      <c r="E3" s="55" t="str">
        <f>B3&amp;C3&amp;D3</f>
        <v>enemy_habitats_58001.tmp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179</v>
      </c>
    </row>
    <row r="4" spans="1:30" x14ac:dyDescent="0.15">
      <c r="A4" s="60" t="s">
        <v>265</v>
      </c>
      <c r="B4" s="56" t="s">
        <v>112</v>
      </c>
      <c r="C4" s="61">
        <f t="shared" ref="C4:C13" si="0">C$2</f>
        <v>58001</v>
      </c>
      <c r="D4" s="56" t="s">
        <v>108</v>
      </c>
      <c r="E4" s="55" t="str">
        <f>B4&amp;C4&amp;D4</f>
        <v>enemy_habitat_S_58001.tmp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265</v>
      </c>
      <c r="B5" s="56" t="s">
        <v>114</v>
      </c>
      <c r="C5" s="61">
        <f t="shared" si="0"/>
        <v>58001</v>
      </c>
      <c r="D5" s="56" t="s">
        <v>108</v>
      </c>
      <c r="E5" s="55" t="str">
        <f>B5&amp;C5&amp;D5</f>
        <v>enemy_skill_sets_58001.tmp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265</v>
      </c>
      <c r="B6" s="56" t="s">
        <v>116</v>
      </c>
      <c r="C6" s="61">
        <f t="shared" si="0"/>
        <v>58001</v>
      </c>
      <c r="D6" s="56" t="s">
        <v>117</v>
      </c>
      <c r="E6" s="55" t="str">
        <f t="shared" ref="E6:E10" si="1">B6&amp;C6&amp;D6</f>
        <v>enemy_skills_tmp_58001.tmp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265</v>
      </c>
      <c r="B7" s="56" t="s">
        <v>118</v>
      </c>
      <c r="C7" s="61">
        <f t="shared" si="0"/>
        <v>58001</v>
      </c>
      <c r="D7" s="56" t="s">
        <v>108</v>
      </c>
      <c r="E7" s="55" t="str">
        <f>B7&amp;C7&amp;D7</f>
        <v>enemy_skills_i18n_58001.tmp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265</v>
      </c>
      <c r="B8" s="56" t="s">
        <v>120</v>
      </c>
      <c r="C8" s="61">
        <f t="shared" si="0"/>
        <v>58001</v>
      </c>
      <c r="D8" s="56" t="s">
        <v>121</v>
      </c>
      <c r="E8" s="55" t="str">
        <f t="shared" si="1"/>
        <v>enemy_skill_triggers_58001.tmp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353</v>
      </c>
      <c r="B9" s="66" t="s">
        <v>178</v>
      </c>
      <c r="C9" s="61">
        <f t="shared" si="0"/>
        <v>58001</v>
      </c>
      <c r="D9" s="66" t="s">
        <v>172</v>
      </c>
      <c r="E9" s="67" t="str">
        <f t="shared" si="1"/>
        <v>stage_bug_bonuses_58001.tmp</v>
      </c>
      <c r="F9" s="66" t="s">
        <v>173</v>
      </c>
      <c r="G9" s="63" t="s">
        <v>151</v>
      </c>
      <c r="H9" s="63" t="s">
        <v>174</v>
      </c>
      <c r="I9" s="63" t="s">
        <v>175</v>
      </c>
      <c r="J9" s="65" t="s">
        <v>176</v>
      </c>
      <c r="K9" s="63" t="s">
        <v>177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6" t="s">
        <v>354</v>
      </c>
      <c r="B10" s="66" t="s">
        <v>201</v>
      </c>
      <c r="C10" s="61">
        <f>C$2</f>
        <v>58001</v>
      </c>
      <c r="D10" s="66" t="s">
        <v>181</v>
      </c>
      <c r="E10" s="67" t="str">
        <f t="shared" si="1"/>
        <v>stage_hints_data_c_58001.tmp</v>
      </c>
      <c r="F10" s="66" t="s">
        <v>209</v>
      </c>
      <c r="G10" s="72" t="s">
        <v>182</v>
      </c>
      <c r="H10" s="72" t="s">
        <v>174</v>
      </c>
      <c r="I10" s="73" t="s">
        <v>183</v>
      </c>
      <c r="J10" s="65" t="s">
        <v>184</v>
      </c>
      <c r="K10" s="65" t="s">
        <v>185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6" t="s">
        <v>354</v>
      </c>
      <c r="B11" s="66" t="s">
        <v>202</v>
      </c>
      <c r="C11" s="61">
        <f t="shared" si="0"/>
        <v>58001</v>
      </c>
      <c r="D11" s="66" t="s">
        <v>172</v>
      </c>
      <c r="E11" s="67" t="str">
        <f t="shared" ref="E11:E13" si="2">B11&amp;C11&amp;D11</f>
        <v>stage_hints_data_f_58001.tmp</v>
      </c>
      <c r="F11" s="66" t="s">
        <v>210</v>
      </c>
      <c r="G11" s="72" t="s">
        <v>182</v>
      </c>
      <c r="H11" s="72" t="s">
        <v>174</v>
      </c>
      <c r="I11" s="73" t="s">
        <v>183</v>
      </c>
      <c r="J11" s="65" t="s">
        <v>184</v>
      </c>
      <c r="K11" s="65" t="s">
        <v>185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6" t="s">
        <v>354</v>
      </c>
      <c r="B12" s="66" t="s">
        <v>203</v>
      </c>
      <c r="C12" s="61">
        <f t="shared" si="0"/>
        <v>58001</v>
      </c>
      <c r="D12" s="66" t="s">
        <v>172</v>
      </c>
      <c r="E12" s="67" t="str">
        <f t="shared" si="2"/>
        <v>stage_hints_i18n_58001.tmp</v>
      </c>
      <c r="F12" s="66" t="s">
        <v>211</v>
      </c>
      <c r="G12" s="73" t="s">
        <v>204</v>
      </c>
      <c r="H12" s="92" t="s">
        <v>205</v>
      </c>
      <c r="I12" s="72" t="s">
        <v>206</v>
      </c>
      <c r="J12" s="100" t="s">
        <v>207</v>
      </c>
      <c r="K12" s="65" t="s">
        <v>208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6" t="s">
        <v>354</v>
      </c>
      <c r="B13" s="66" t="s">
        <v>246</v>
      </c>
      <c r="C13" s="61">
        <f t="shared" si="0"/>
        <v>58001</v>
      </c>
      <c r="D13" s="66" t="s">
        <v>227</v>
      </c>
      <c r="E13" s="67" t="str">
        <f t="shared" si="2"/>
        <v>stage_bonuses_58001.tmp</v>
      </c>
      <c r="F13" s="66" t="s">
        <v>226</v>
      </c>
      <c r="G13" s="72" t="s">
        <v>228</v>
      </c>
      <c r="H13" s="72" t="s">
        <v>229</v>
      </c>
      <c r="I13" s="72" t="s">
        <v>230</v>
      </c>
      <c r="J13" s="72" t="s">
        <v>231</v>
      </c>
      <c r="K13" s="72" t="s">
        <v>232</v>
      </c>
      <c r="L13" s="72" t="s">
        <v>233</v>
      </c>
      <c r="M13" s="72" t="s">
        <v>234</v>
      </c>
      <c r="N13" s="72" t="s">
        <v>235</v>
      </c>
      <c r="O13" s="72" t="s">
        <v>236</v>
      </c>
      <c r="P13" s="72" t="s">
        <v>237</v>
      </c>
      <c r="Q13" s="72" t="s">
        <v>238</v>
      </c>
      <c r="R13" s="72" t="s">
        <v>239</v>
      </c>
      <c r="S13" s="72" t="s">
        <v>240</v>
      </c>
      <c r="T13" s="72" t="s">
        <v>241</v>
      </c>
      <c r="U13" s="72" t="s">
        <v>242</v>
      </c>
      <c r="V13" s="72" t="s">
        <v>243</v>
      </c>
      <c r="W13" s="72" t="s">
        <v>244</v>
      </c>
      <c r="X13" s="72" t="s">
        <v>245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9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58001_1-1</v>
      </c>
      <c r="B2" s="16" t="str">
        <f>IF(COUNTIF(enemy_habitats!$H:$H,A2),"OK","NG")</f>
        <v>OK</v>
      </c>
      <c r="C2" s="7">
        <v>58001</v>
      </c>
      <c r="D2" s="11" t="str">
        <f ca="1">VLOOKUP($C2,OFFSET([2]quests!$A$1,0,0,COUNTA([2]quests!$A:$A),MATCH(D$1,[2]quests!$1:$1,0)-MATCH($C$1,[2]quests!$1:$1,0)+1),MATCH(D$1,[2]quests!$1:$1,0)-MATCH($C$1,[2]quests!$1:$1,0)+1,FALSE)</f>
        <v>曹操襲来！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繁体字版超降臨1</v>
      </c>
      <c r="F2" s="21">
        <v>1</v>
      </c>
      <c r="G2" s="22" t="str">
        <f>C2&amp;"_"&amp;F2</f>
        <v>58001_1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【超ウィザード級】曹操襲来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58001_1-2</v>
      </c>
      <c r="B3" s="16" t="str">
        <f>IF(COUNTIF(enemy_habitats!$H:$H,A3),"OK","NG")</f>
        <v>OK</v>
      </c>
      <c r="C3" s="7">
        <v>58001</v>
      </c>
      <c r="D3" s="11" t="str">
        <f ca="1">VLOOKUP($C3,OFFSET([2]quests!$A$1,0,0,COUNTA([2]quests!$A:$A),MATCH(D$1,[2]quests!$1:$1,0)-MATCH($C$1,[2]quests!$1:$1,0)+1),MATCH(D$1,[2]quests!$1:$1,0)-MATCH($C$1,[2]quests!$1:$1,0)+1,FALSE)</f>
        <v>曹操襲来！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繁体字版超降臨1</v>
      </c>
      <c r="F3" s="21">
        <v>1</v>
      </c>
      <c r="G3" s="22" t="str">
        <f t="shared" ref="G3:G5" si="1">C3&amp;"_"&amp;F3</f>
        <v>58001_1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【超ウィザード級】曹操襲来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58001_1-3</v>
      </c>
      <c r="B4" s="16" t="str">
        <f>IF(COUNTIF(enemy_habitats!$H:$H,A4),"OK","NG")</f>
        <v>OK</v>
      </c>
      <c r="C4" s="7">
        <v>58001</v>
      </c>
      <c r="D4" s="11" t="str">
        <f ca="1">VLOOKUP($C4,OFFSET([2]quests!$A$1,0,0,COUNTA([2]quests!$A:$A),MATCH(D$1,[2]quests!$1:$1,0)-MATCH($C$1,[2]quests!$1:$1,0)+1),MATCH(D$1,[2]quests!$1:$1,0)-MATCH($C$1,[2]quests!$1:$1,0)+1,FALSE)</f>
        <v>曹操襲来！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繁体字版超降臨1</v>
      </c>
      <c r="F4" s="21">
        <v>1</v>
      </c>
      <c r="G4" s="22" t="str">
        <f t="shared" si="1"/>
        <v>58001_1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【超ウィザード級】曹操襲来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58001_1-4</v>
      </c>
      <c r="B5" s="16" t="str">
        <f>IF(COUNTIF(enemy_habitats!$H:$H,A5),"OK","NG")</f>
        <v>OK</v>
      </c>
      <c r="C5" s="7">
        <v>58001</v>
      </c>
      <c r="D5" s="11" t="str">
        <f ca="1">VLOOKUP($C5,OFFSET([2]quests!$A$1,0,0,COUNTA([2]quests!$A:$A),MATCH(D$1,[2]quests!$1:$1,0)-MATCH($C$1,[2]quests!$1:$1,0)+1),MATCH(D$1,[2]quests!$1:$1,0)-MATCH($C$1,[2]quests!$1:$1,0)+1,FALSE)</f>
        <v>曹操襲来！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繁体字版超降臨1</v>
      </c>
      <c r="F5" s="21">
        <v>1</v>
      </c>
      <c r="G5" s="22" t="str">
        <f t="shared" si="1"/>
        <v>58001_1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【超ウィザード級】曹操襲来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58001_1-5</v>
      </c>
      <c r="B6" s="16" t="str">
        <f>IF(COUNTIF(enemy_habitats!$H:$H,A6),"OK","NG")</f>
        <v>OK</v>
      </c>
      <c r="C6" s="7">
        <v>58001</v>
      </c>
      <c r="D6" s="11" t="str">
        <f ca="1">VLOOKUP($C6,OFFSET([2]quests!$A$1,0,0,COUNTA([2]quests!$A:$A),MATCH(D$1,[2]quests!$1:$1,0)-MATCH($C$1,[2]quests!$1:$1,0)+1),MATCH(D$1,[2]quests!$1:$1,0)-MATCH($C$1,[2]quests!$1:$1,0)+1,FALSE)</f>
        <v>曹操襲来！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繁体字版超降臨1</v>
      </c>
      <c r="F6" s="21">
        <v>1</v>
      </c>
      <c r="G6" s="22" t="str">
        <f>C6&amp;"_"&amp;F6</f>
        <v>58001_1</v>
      </c>
      <c r="H6" s="15" t="str">
        <f ca="1">VLOOKUP($G6,OFFSET([2]stages!$A$1,0,0,COUNTA([2]stages!$A:$A),MATCH(H$1,[2]stages!$2:$2,0)-MATCH($G$1,[2]stages!$2:$2,0)+1),MATCH(H$1,[2]stages!$2:$2,0)-MATCH($G$1,[2]stages!$2:$2,0)+1,FALSE)</f>
        <v>【超ウィザード級】曹操襲来</v>
      </c>
      <c r="I6" s="21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8"/>
  <sheetViews>
    <sheetView showGridLines="0" tabSelected="1" workbookViewId="0">
      <pane xSplit="17" ySplit="1" topLeftCell="AB2" activePane="bottomRight" state="frozen"/>
      <selection pane="topRight" activeCell="N1" sqref="N1"/>
      <selection pane="bottomLeft" activeCell="A2" sqref="A2"/>
      <selection pane="bottomRight" activeCell="AJ9" sqref="AJ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1" t="s">
        <v>247</v>
      </c>
      <c r="U1" s="25" t="s">
        <v>50</v>
      </c>
      <c r="V1" s="101" t="s">
        <v>248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180</v>
      </c>
    </row>
    <row r="2" spans="1:42" ht="21" customHeight="1" x14ac:dyDescent="0.15">
      <c r="A2" s="16" t="str">
        <f>B2&amp;"_"&amp;C2&amp;"-"&amp;G2&amp;"/"&amp;L2&amp;"&lt;lv"&amp;R2&amp;"&gt;s"&amp;AC2</f>
        <v>58001_1-1/370&lt;lv80&gt;s2</v>
      </c>
      <c r="B2" s="7">
        <v>58001</v>
      </c>
      <c r="C2" s="21">
        <v>1</v>
      </c>
      <c r="D2" s="2" t="str">
        <f>B2&amp;"_"&amp;C2</f>
        <v>58001_1</v>
      </c>
      <c r="E2" s="4" t="str">
        <f ca="1">VLOOKUP($B2,OFFSET([2]quests!$A$1,0,0,COUNTA([2]quests!$A:$A),MATCH(E$1,[2]quests!$1:$1,0)-MATCH($B$1,[2]quests!$1:$1,0)+1),MATCH(E$1,[2]quests!$1:$1,0)-MATCH($B$1,[2]quests!$1:$1,0)+1,FALSE)</f>
        <v>曹操襲来！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【超ウィザード級】曹操襲来</v>
      </c>
      <c r="G2" s="21">
        <v>1</v>
      </c>
      <c r="H2" s="15" t="str">
        <f>B2&amp;"_"&amp;C2&amp;"-"&amp;G2</f>
        <v>58001_1-1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20">
        <v>370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タイチ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4">
        <v>2.8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45640</v>
      </c>
      <c r="U2" s="24">
        <v>0.6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3980.3999999999996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58001001</v>
      </c>
      <c r="Z2" s="6">
        <v>2</v>
      </c>
      <c r="AA2" s="6">
        <v>100</v>
      </c>
      <c r="AB2" s="6">
        <v>0</v>
      </c>
      <c r="AC2" s="17">
        <v>2</v>
      </c>
      <c r="AD2" s="23">
        <v>370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3">
        <f ca="1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>B3&amp;"_"&amp;C3&amp;"-"&amp;G3&amp;"/"&amp;L3&amp;"&lt;lv"&amp;R3&amp;"&gt;s"&amp;AC3</f>
        <v>58001_1-1/33&lt;lv80&gt;s2</v>
      </c>
      <c r="B3" s="7">
        <v>58001</v>
      </c>
      <c r="C3" s="21">
        <v>1</v>
      </c>
      <c r="D3" s="2" t="str">
        <f>B3&amp;"_"&amp;C3</f>
        <v>58001_1</v>
      </c>
      <c r="E3" s="4" t="str">
        <f ca="1">VLOOKUP($B3,OFFSET([2]quests!$A$1,0,0,COUNTA([2]quests!$A:$A),MATCH(E$1,[2]quests!$1:$1,0)-MATCH($B$1,[2]quests!$1:$1,0)+1),MATCH(E$1,[2]quests!$1:$1,0)-MATCH($B$1,[2]quests!$1:$1,0)+1,FALSE)</f>
        <v>曹操襲来！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【超ウィザード級】曹操襲来</v>
      </c>
      <c r="G3" s="21">
        <v>1</v>
      </c>
      <c r="H3" s="15" t="str">
        <f>B3&amp;"_"&amp;C3&amp;"-"&amp;G3</f>
        <v>58001_1-1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20">
        <v>33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ゴクウ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4">
        <v>2.4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39120</v>
      </c>
      <c r="U3" s="24">
        <v>0.6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4378.2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">
        <v>58001002</v>
      </c>
      <c r="Z3" s="6">
        <v>2</v>
      </c>
      <c r="AA3" s="6">
        <v>100</v>
      </c>
      <c r="AB3" s="6">
        <v>1</v>
      </c>
      <c r="AC3" s="17">
        <v>2</v>
      </c>
      <c r="AD3" s="23">
        <v>33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3">
        <f ca="1">AF3</f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ref="A4:A8" si="0">B4&amp;"_"&amp;C4&amp;"-"&amp;G4&amp;"/"&amp;L4&amp;"&lt;lv"&amp;R4&amp;"&gt;s"&amp;AC4</f>
        <v>58001_1-2/1133&lt;lv80&gt;s1</v>
      </c>
      <c r="B4" s="7">
        <v>58001</v>
      </c>
      <c r="C4" s="21">
        <v>1</v>
      </c>
      <c r="D4" s="2" t="str">
        <f t="shared" ref="D4:D8" si="1">B4&amp;"_"&amp;C4</f>
        <v>58001_1</v>
      </c>
      <c r="E4" s="4" t="str">
        <f ca="1">VLOOKUP($B4,OFFSET([2]quests!$A$1,0,0,COUNTA([2]quests!$A:$A),MATCH(E$1,[2]quests!$1:$1,0)-MATCH($B$1,[2]quests!$1:$1,0)+1),MATCH(E$1,[2]quests!$1:$1,0)-MATCH($B$1,[2]quests!$1:$1,0)+1,FALSE)</f>
        <v>曹操襲来！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【超ウィザード級】曹操襲来</v>
      </c>
      <c r="G4" s="21">
        <v>2</v>
      </c>
      <c r="H4" s="15" t="str">
        <f t="shared" ref="H4:H8" si="2">B4&amp;"_"&amp;C4&amp;"-"&amp;G4</f>
        <v>58001_1-2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1</v>
      </c>
      <c r="L4" s="20">
        <v>1133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貂蝉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4">
        <v>4.5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574344</v>
      </c>
      <c r="U4" s="24">
        <v>1.2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14203.199999999999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58001003</v>
      </c>
      <c r="Z4" s="6">
        <v>1</v>
      </c>
      <c r="AA4" s="6">
        <v>100</v>
      </c>
      <c r="AB4" s="6">
        <v>1</v>
      </c>
      <c r="AC4" s="17">
        <v>1</v>
      </c>
      <c r="AD4" s="23">
        <v>1133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貂蝉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3">
        <f t="shared" ref="AI4:AI8" ca="1" si="3">AF4</f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58001_1-3/153&lt;lv80&gt;s2</v>
      </c>
      <c r="B5" s="7">
        <v>58001</v>
      </c>
      <c r="C5" s="21">
        <v>1</v>
      </c>
      <c r="D5" s="2" t="str">
        <f t="shared" si="1"/>
        <v>58001_1</v>
      </c>
      <c r="E5" s="4" t="str">
        <f ca="1">VLOOKUP($B5,OFFSET([2]quests!$A$1,0,0,COUNTA([2]quests!$A:$A),MATCH(E$1,[2]quests!$1:$1,0)-MATCH($B$1,[2]quests!$1:$1,0)+1),MATCH(E$1,[2]quests!$1:$1,0)-MATCH($B$1,[2]quests!$1:$1,0)+1,FALSE)</f>
        <v>曹操襲来！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【超ウィザード級】曹操襲来</v>
      </c>
      <c r="G5" s="21">
        <v>3</v>
      </c>
      <c r="H5" s="15" t="str">
        <f t="shared" si="2"/>
        <v>58001_1-3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20">
        <v>153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拳聖ランラン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4">
        <v>3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243804</v>
      </c>
      <c r="U5" s="24">
        <v>1.6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10006.400000000001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">
        <v>58001005</v>
      </c>
      <c r="Z5" s="6">
        <v>1</v>
      </c>
      <c r="AA5" s="6">
        <v>100</v>
      </c>
      <c r="AB5" s="6">
        <v>1</v>
      </c>
      <c r="AC5" s="17">
        <v>2</v>
      </c>
      <c r="AD5" s="23">
        <v>152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功夫少女ランラン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3">
        <f t="shared" ca="1" si="3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58001_1-3/57&lt;lv80&gt;s1</v>
      </c>
      <c r="B6" s="7">
        <v>58001</v>
      </c>
      <c r="C6" s="21">
        <v>1</v>
      </c>
      <c r="D6" s="2" t="str">
        <f t="shared" si="1"/>
        <v>58001_1</v>
      </c>
      <c r="E6" s="4" t="str">
        <f ca="1">VLOOKUP($B6,OFFSET([2]quests!$A$1,0,0,COUNTA([2]quests!$A:$A),MATCH(E$1,[2]quests!$1:$1,0)-MATCH($B$1,[2]quests!$1:$1,0)+1),MATCH(E$1,[2]quests!$1:$1,0)-MATCH($B$1,[2]quests!$1:$1,0)+1,FALSE)</f>
        <v>曹操襲来！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【超ウィザード級】曹操襲来</v>
      </c>
      <c r="G6" s="21">
        <v>3</v>
      </c>
      <c r="H6" s="15" t="str">
        <f t="shared" si="2"/>
        <v>58001_1-3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20">
        <v>57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チェン・リー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80</v>
      </c>
      <c r="S6" s="24">
        <v>4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65200</v>
      </c>
      <c r="U6" s="24">
        <v>0.7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3840.8999999999996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">
        <v>58001006</v>
      </c>
      <c r="Z6" s="6">
        <v>2</v>
      </c>
      <c r="AA6" s="6">
        <v>100</v>
      </c>
      <c r="AB6" s="6">
        <v>0</v>
      </c>
      <c r="AC6" s="17">
        <v>1</v>
      </c>
      <c r="AD6" s="23">
        <v>57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7">
        <v>1</v>
      </c>
      <c r="AI6" s="23">
        <f t="shared" ca="1" si="3"/>
        <v>2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58001_1-4/8003&lt;lv80&gt;s1</v>
      </c>
      <c r="B7" s="7">
        <v>58001</v>
      </c>
      <c r="C7" s="21">
        <v>1</v>
      </c>
      <c r="D7" s="2" t="str">
        <f t="shared" si="1"/>
        <v>58001_1</v>
      </c>
      <c r="E7" s="4" t="str">
        <f ca="1">VLOOKUP($B7,OFFSET([2]quests!$A$1,0,0,COUNTA([2]quests!$A:$A),MATCH(E$1,[2]quests!$1:$1,0)-MATCH($B$1,[2]quests!$1:$1,0)+1),MATCH(E$1,[2]quests!$1:$1,0)-MATCH($B$1,[2]quests!$1:$1,0)+1,FALSE)</f>
        <v>曹操襲来！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【超ウィザード級】曹操襲来</v>
      </c>
      <c r="G7" s="21">
        <v>4</v>
      </c>
      <c r="H7" s="15" t="str">
        <f t="shared" si="2"/>
        <v>58001_1-4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2</v>
      </c>
      <c r="L7" s="20">
        <v>8003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蛟龍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4">
        <v>4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24">
        <v>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">
        <v>58001007</v>
      </c>
      <c r="Z7" s="6">
        <v>1</v>
      </c>
      <c r="AA7" s="6">
        <v>100</v>
      </c>
      <c r="AB7" s="6">
        <v>1</v>
      </c>
      <c r="AC7" s="17">
        <v>1</v>
      </c>
      <c r="AD7" s="23">
        <v>8003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蛟龍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3">
        <f t="shared" ca="1" si="3"/>
        <v>5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t="shared" si="0"/>
        <v>58001_1-5/8083&lt;lv80&gt;s2</v>
      </c>
      <c r="B8" s="7">
        <v>58001</v>
      </c>
      <c r="C8" s="21">
        <v>1</v>
      </c>
      <c r="D8" s="2" t="str">
        <f t="shared" si="1"/>
        <v>58001_1</v>
      </c>
      <c r="E8" s="4" t="str">
        <f ca="1">VLOOKUP($B8,OFFSET([2]quests!$A$1,0,0,COUNTA([2]quests!$A:$A),MATCH(E$1,[2]quests!$1:$1,0)-MATCH($B$1,[2]quests!$1:$1,0)+1),MATCH(E$1,[2]quests!$1:$1,0)-MATCH($B$1,[2]quests!$1:$1,0)+1,FALSE)</f>
        <v>曹操襲来！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【超ウィザード級】曹操襲来</v>
      </c>
      <c r="G8" s="21">
        <v>5</v>
      </c>
      <c r="H8" s="15" t="str">
        <f t="shared" si="2"/>
        <v>58001_1-5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3</v>
      </c>
      <c r="L8" s="20">
        <v>8083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曹操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4">
        <v>5.5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0</v>
      </c>
      <c r="U8" s="24">
        <v>1.6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0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">
        <v>58001009</v>
      </c>
      <c r="Z8" s="6">
        <v>1</v>
      </c>
      <c r="AA8" s="6">
        <v>100</v>
      </c>
      <c r="AB8" s="6">
        <v>1</v>
      </c>
      <c r="AC8" s="17">
        <v>2</v>
      </c>
      <c r="AD8" s="23">
        <v>8083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曹操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8" s="7">
        <v>1</v>
      </c>
      <c r="AI8" s="23">
        <f t="shared" ca="1" si="3"/>
        <v>5</v>
      </c>
      <c r="AJ8" s="8">
        <v>85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4" sqref="M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1" t="s">
        <v>247</v>
      </c>
      <c r="V1" s="25" t="s">
        <v>50</v>
      </c>
      <c r="W1" s="101" t="s">
        <v>248</v>
      </c>
      <c r="X1" s="25" t="s">
        <v>52</v>
      </c>
      <c r="Y1" s="27" t="s">
        <v>130</v>
      </c>
      <c r="Z1" s="28" t="s">
        <v>129</v>
      </c>
      <c r="AA1" s="27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58001_1-2/1134&lt;lv80&gt;sq1st2</v>
      </c>
      <c r="B2" s="7">
        <v>58001</v>
      </c>
      <c r="C2" s="21">
        <v>1</v>
      </c>
      <c r="D2" s="2" t="str">
        <f>B2&amp;"_"&amp;C2</f>
        <v>58001_1</v>
      </c>
      <c r="E2" s="4" t="str">
        <f ca="1">VLOOKUP($B2,OFFSET([2]quests!$A$1,0,0,COUNTA([2]quests!$A:$A),MATCH(E$1,[2]quests!$1:$1,0)-MATCH($B$1,[2]quests!$1:$1,0)+1),MATCH(E$1,[2]quests!$1:$1,0)-MATCH($B$1,[2]quests!$1:$1,0)+1,FALSE)</f>
        <v>曹操襲来！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【超ウィザード級】曹操襲来</v>
      </c>
      <c r="G2" s="21">
        <v>2</v>
      </c>
      <c r="H2" s="15" t="str">
        <f>B2&amp;"_"&amp;C2&amp;"-"&amp;G2</f>
        <v>58001_1-2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1134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月隠れの美麗酔 貂蝉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4">
        <v>4.5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574344</v>
      </c>
      <c r="V2" s="24">
        <v>1.4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16570.399999999998</v>
      </c>
      <c r="X2" s="5">
        <v>0</v>
      </c>
      <c r="Y2" s="4"/>
      <c r="Z2" s="4">
        <v>58001004</v>
      </c>
      <c r="AA2" s="69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58001_1-4/8074&lt;lv80&gt;sq2st2</v>
      </c>
      <c r="B3" s="7">
        <v>58001</v>
      </c>
      <c r="C3" s="21">
        <v>1</v>
      </c>
      <c r="D3" s="2" t="str">
        <f>B3&amp;"_"&amp;C3</f>
        <v>58001_1</v>
      </c>
      <c r="E3" s="4" t="str">
        <f ca="1">VLOOKUP($B3,OFFSET([2]quests!$A$1,0,0,COUNTA([2]quests!$A:$A),MATCH(E$1,[2]quests!$1:$1,0)-MATCH($B$1,[2]quests!$1:$1,0)+1),MATCH(E$1,[2]quests!$1:$1,0)-MATCH($B$1,[2]quests!$1:$1,0)+1,FALSE)</f>
        <v>曹操襲来！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【超ウィザード級】曹操襲来</v>
      </c>
      <c r="G3" s="21">
        <v>4</v>
      </c>
      <c r="H3" s="15" t="str">
        <f>B3&amp;"_"&amp;C3&amp;"-"&amp;G3</f>
        <v>58001_1-4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20">
        <v>8074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海戀の絶龍姫 蛟龍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4">
        <v>4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4">
        <v>1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/>
      <c r="Z3" s="4">
        <v>58001008</v>
      </c>
      <c r="AA3" s="69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58001_1-5/8084&lt;lv80&gt;sq3st2</v>
      </c>
      <c r="B4" s="7">
        <v>58001</v>
      </c>
      <c r="C4" s="21">
        <v>1</v>
      </c>
      <c r="D4" s="2" t="str">
        <f>B4&amp;"_"&amp;C4</f>
        <v>58001_1</v>
      </c>
      <c r="E4" s="4" t="str">
        <f ca="1">VLOOKUP($B4,OFFSET([2]quests!$A$1,0,0,COUNTA([2]quests!$A:$A),MATCH(E$1,[2]quests!$1:$1,0)-MATCH($B$1,[2]quests!$1:$1,0)+1),MATCH(E$1,[2]quests!$1:$1,0)-MATCH($B$1,[2]quests!$1:$1,0)+1,FALSE)</f>
        <v>曹操襲来！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【超ウィザード級】曹操襲来</v>
      </c>
      <c r="G4" s="21">
        <v>5</v>
      </c>
      <c r="H4" s="15" t="str">
        <f>B4&amp;"_"&amp;C4&amp;"-"&amp;G4</f>
        <v>58001_1-5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2</v>
      </c>
      <c r="M4" s="20">
        <v>8084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★６曹操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4">
        <v>6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4">
        <v>1.6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/>
      <c r="Z4" s="4">
        <v>58001010</v>
      </c>
      <c r="AA4" s="69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58001_1-5/8084&lt;lv80&gt;sq3st3</v>
      </c>
      <c r="B5" s="7">
        <v>58001</v>
      </c>
      <c r="C5" s="21">
        <v>1</v>
      </c>
      <c r="D5" s="2" t="str">
        <f>B5&amp;"_"&amp;C5</f>
        <v>58001_1</v>
      </c>
      <c r="E5" s="4" t="str">
        <f ca="1">VLOOKUP($B5,OFFSET([2]quests!$A$1,0,0,COUNTA([2]quests!$A:$A),MATCH(E$1,[2]quests!$1:$1,0)-MATCH($B$1,[2]quests!$1:$1,0)+1),MATCH(E$1,[2]quests!$1:$1,0)-MATCH($B$1,[2]quests!$1:$1,0)+1,FALSE)</f>
        <v>曹操襲来！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【超ウィザード級】曹操襲来</v>
      </c>
      <c r="G5" s="21">
        <v>5</v>
      </c>
      <c r="H5" s="15" t="str">
        <f>B5&amp;"_"&amp;C5&amp;"-"&amp;G5</f>
        <v>58001_1-5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37">
        <v>3</v>
      </c>
      <c r="M5" s="20">
        <v>8084</v>
      </c>
      <c r="N5" s="17" t="str">
        <f ca="1">VLOOKUP($M5,OFFSET([3]enemies!$A$1,0,0,COUNTA([3]enemies!$A:$A),MATCH(N$1,[3]enemies!$1:$1,0)-MATCH($M$1,[3]enemies!$1:$1,0)+1),MATCH(N$1,[3]enemies!$1:$1,0)-MATCH($M$1,[3]enemies!$1:$1,0)+1,FALSE)</f>
        <v>★６曹操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4">
        <v>7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24">
        <v>1.8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5">
        <v>0</v>
      </c>
      <c r="Y5" s="4"/>
      <c r="Z5" s="4">
        <v>58001011</v>
      </c>
      <c r="AA5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4"/>
  <sheetViews>
    <sheetView showGridLines="0" workbookViewId="0">
      <pane xSplit="5" ySplit="1" topLeftCell="F57" activePane="bottomRight" state="frozen"/>
      <selection pane="topRight"/>
      <selection pane="bottomLeft"/>
      <selection pane="bottomRight" activeCell="F67" sqref="F67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58001001_58001000</v>
      </c>
      <c r="B2" s="46">
        <v>58001001</v>
      </c>
      <c r="C2" s="46">
        <v>58001000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ヒダルマダ！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46">
        <v>58001000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" s="46"/>
      <c r="Q2" s="46"/>
      <c r="R2" s="46"/>
    </row>
    <row r="3" spans="1:18" ht="21" customHeight="1" x14ac:dyDescent="0.15">
      <c r="A3" s="38" t="str">
        <f t="shared" ref="A3:A42" si="1">B3&amp;"_"&amp;C3</f>
        <v>58001001_58001001</v>
      </c>
      <c r="B3" s="46">
        <v>58001001</v>
      </c>
      <c r="C3" s="46">
        <v>58001001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ヤキツクス！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3" s="46">
        <v>58001001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58001002_58001005</v>
      </c>
      <c r="B4" s="46">
        <v>58001002</v>
      </c>
      <c r="C4" s="46">
        <v>58001005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強乱打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" s="46">
        <v>58001005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" s="46"/>
      <c r="Q4" s="46"/>
      <c r="R4" s="46"/>
    </row>
    <row r="5" spans="1:18" ht="21" customHeight="1" x14ac:dyDescent="0.15">
      <c r="A5" s="38" t="str">
        <f t="shared" si="1"/>
        <v>58001002_58001006</v>
      </c>
      <c r="B5" s="46">
        <v>58001002</v>
      </c>
      <c r="C5" s="46">
        <v>58001006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猿流武闘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種族サムライ以外のユニットに大ダメージの全体攻撃</v>
      </c>
      <c r="F5" s="46">
        <v>58001006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58001003_58001010</v>
      </c>
      <c r="B6" s="46">
        <v>58001003</v>
      </c>
      <c r="C6" s="46">
        <v>58001010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これより先、通すわけにはいきません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" s="46">
        <v>58001010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58001003_58001011</v>
      </c>
      <c r="B7" s="46">
        <v>58001003</v>
      </c>
      <c r="C7" s="46">
        <v>58001011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玉石の舞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ランダムでお邪魔パネルに最大5個変換+単体攻撃</v>
      </c>
      <c r="F7" s="46">
        <v>58001011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58001003_58001012</v>
      </c>
      <c r="B8" s="46">
        <v>58001003</v>
      </c>
      <c r="C8" s="46">
        <v>58001012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…果てなさい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8" s="46">
        <v>58001012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58001003_58001013</v>
      </c>
      <c r="B9" s="46">
        <v>58001003</v>
      </c>
      <c r="C9" s="46">
        <v>58001013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士道を見極めて差し上げましょう…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種族サムライ以外のユニットに大ダメージの全体攻撃</v>
      </c>
      <c r="F9" s="46">
        <v>58001013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58001004_58001020</v>
      </c>
      <c r="B10" s="46">
        <v>58001004</v>
      </c>
      <c r="C10" s="46">
        <v>58001020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貴方達はまだ邂逅すべきではない…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" s="46">
        <v>58001020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58001004_58001021</v>
      </c>
      <c r="B11" s="46">
        <v>58001004</v>
      </c>
      <c r="C11" s="46">
        <v>58001021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玉石の舞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ランダムでお邪魔パネルに最大5個変換+単体攻撃</v>
      </c>
      <c r="F11" s="46">
        <v>58001021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58001004_58001022</v>
      </c>
      <c r="B12" s="46">
        <v>58001004</v>
      </c>
      <c r="C12" s="46">
        <v>58001022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…果てなさい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2" s="46">
        <v>58001022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58001004_58001023</v>
      </c>
      <c r="B13" s="46">
        <v>58001004</v>
      </c>
      <c r="C13" s="46">
        <v>58001023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士道を見極めて差し上げましょう…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種族サムライ以外のユニットに大ダメージの全体攻撃</v>
      </c>
      <c r="F13" s="46">
        <v>58001023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58001004_58001024</v>
      </c>
      <c r="B14" s="46">
        <v>58001004</v>
      </c>
      <c r="C14" s="46">
        <v>58001024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どうしても行くというのですね…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4" s="46">
        <v>58001024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58001004_58001025</v>
      </c>
      <c r="B15" s="46">
        <v>58001004</v>
      </c>
      <c r="C15" s="46">
        <v>58001025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玉石の舞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ランダムでお邪魔パネルに最大5個変換+単体攻撃</v>
      </c>
      <c r="F15" s="46">
        <v>58001025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58001004_58001026</v>
      </c>
      <c r="B16" s="46">
        <v>58001004</v>
      </c>
      <c r="C16" s="46">
        <v>58001026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…果てなさい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6" s="46">
        <v>58001026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58001004_58001027</v>
      </c>
      <c r="B17" s="46">
        <v>58001004</v>
      </c>
      <c r="C17" s="46">
        <v>58001027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士道を見極めて差し上げましょう…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種族サムライ以外のユニットに大ダメージの全体攻撃</v>
      </c>
      <c r="F17" s="46">
        <v>58001027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58001005_58001030</v>
      </c>
      <c r="B18" s="46">
        <v>58001005</v>
      </c>
      <c r="C18" s="46">
        <v>58001030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連撃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3ターンハートパネル無効+6回連続攻撃</v>
      </c>
      <c r="F18" s="46">
        <v>58001030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58001005_58001031</v>
      </c>
      <c r="B19" s="46">
        <v>58001005</v>
      </c>
      <c r="C19" s="46">
        <v>58001031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内丹掌底打ち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19" s="46">
        <v>58001031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ref="A20:A21" si="2">B20&amp;"_"&amp;C20</f>
        <v>58001005_58001032</v>
      </c>
      <c r="B20" s="46">
        <v>58001005</v>
      </c>
      <c r="C20" s="46">
        <v>58001032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一気集中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自身の行動頻度UP</v>
      </c>
      <c r="F20" s="46">
        <v>58001032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57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2"/>
        <v>58001005_58001033</v>
      </c>
      <c r="B21" s="46">
        <v>58001005</v>
      </c>
      <c r="C21" s="46">
        <v>58001033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気合充実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3ターン自身の攻撃力UP</v>
      </c>
      <c r="F21" s="46">
        <v>58001033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57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58001006_58001035</v>
      </c>
      <c r="B22" s="46">
        <v>58001006</v>
      </c>
      <c r="C22" s="46">
        <v>58001035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大炎会芸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敵全体の攻撃力UP</v>
      </c>
      <c r="F22" s="46">
        <v>58001035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6"/>
      <c r="Q22" s="46"/>
      <c r="R22" s="46"/>
    </row>
    <row r="23" spans="1:18" ht="21" customHeight="1" x14ac:dyDescent="0.15">
      <c r="A23" s="38" t="str">
        <f t="shared" si="1"/>
        <v>58001006_58001036</v>
      </c>
      <c r="B23" s="46">
        <v>58001006</v>
      </c>
      <c r="C23" s="46">
        <v>58001036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酔拳乱打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3" s="46">
        <v>58001036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6"/>
      <c r="Q23" s="46"/>
      <c r="R23" s="46"/>
    </row>
    <row r="24" spans="1:18" ht="21" customHeight="1" x14ac:dyDescent="0.15">
      <c r="A24" s="38" t="str">
        <f t="shared" si="1"/>
        <v>58001006_58001037</v>
      </c>
      <c r="B24" s="46">
        <v>58001006</v>
      </c>
      <c r="C24" s="46">
        <v>58001037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瓦割り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24" s="46">
        <v>58001037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58001007_58001040</v>
      </c>
      <c r="B25" s="46">
        <v>58001007</v>
      </c>
      <c r="C25" s="46">
        <v>58001040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ここはワタクシが相手よ！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状態異常耐性+3ターン自身の防御力UP</v>
      </c>
      <c r="F25" s="46">
        <v>58001040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7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1"/>
        <v>58001007_58001041</v>
      </c>
      <c r="B26" s="46">
        <v>58001007</v>
      </c>
      <c r="C26" s="46">
        <v>58001041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チャフ・サブマリン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3ターン攻撃力DOWN+単体攻撃</v>
      </c>
      <c r="F26" s="46">
        <v>58001041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6"/>
      <c r="Q26" s="46"/>
      <c r="R26" s="46"/>
    </row>
    <row r="27" spans="1:18" ht="21" customHeight="1" x14ac:dyDescent="0.15">
      <c r="A27" s="38" t="str">
        <f t="shared" si="1"/>
        <v>58001007_58001042</v>
      </c>
      <c r="B27" s="46">
        <v>58001007</v>
      </c>
      <c r="C27" s="46">
        <v>58001042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テールバインド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ランダムでパネルプロテクト(最大10個)+_x000D_2ターンタップ回数を2DOWN</v>
      </c>
      <c r="F27" s="46">
        <v>58001042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7" s="46"/>
      <c r="Q27" s="46"/>
      <c r="R27" s="46"/>
    </row>
    <row r="28" spans="1:18" ht="21" customHeight="1" x14ac:dyDescent="0.15">
      <c r="A28" s="38" t="str">
        <f t="shared" si="1"/>
        <v>58001007_58001043</v>
      </c>
      <c r="B28" s="46">
        <v>58001007</v>
      </c>
      <c r="C28" s="46">
        <v>58001043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混迷の海域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ランダムでダメージパネルに最大4個変換+単体攻撃</v>
      </c>
      <c r="F28" s="46">
        <v>58001043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8" s="46"/>
      <c r="Q28" s="46"/>
      <c r="R28" s="46"/>
    </row>
    <row r="29" spans="1:18" ht="21" customHeight="1" x14ac:dyDescent="0.15">
      <c r="A29" s="38" t="str">
        <f t="shared" si="1"/>
        <v>58001008_58001050</v>
      </c>
      <c r="B29" s="46">
        <v>58001008</v>
      </c>
      <c r="C29" s="46">
        <v>58001050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曹操様まで辿りつかせはしない…！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状態異常耐性+3ターン自身の攻撃力UP</v>
      </c>
      <c r="F29" s="46">
        <v>58001050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7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1"/>
        <v>58001008_58001051</v>
      </c>
      <c r="B30" s="46">
        <v>58001008</v>
      </c>
      <c r="C30" s="46">
        <v>58001051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種族サムライのユニットを優先して攻撃_x000D_サムライ以外のユニットには大ダメージの3回連続攻撃</v>
      </c>
      <c r="F30" s="46">
        <v>58001051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0" s="46"/>
      <c r="Q30" s="46"/>
      <c r="R30" s="46"/>
    </row>
    <row r="31" spans="1:18" ht="21" customHeight="1" x14ac:dyDescent="0.15">
      <c r="A31" s="38" t="str">
        <f t="shared" si="1"/>
        <v>58001008_58001052</v>
      </c>
      <c r="B31" s="46">
        <v>58001008</v>
      </c>
      <c r="C31" s="46">
        <v>58001052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種族サムライのユニットを優先して攻撃_x000D_サムライ以外のユニットには大ダメージの4回連続攻撃</v>
      </c>
      <c r="F31" s="46">
        <v>58001052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1" s="46"/>
      <c r="Q31" s="46"/>
      <c r="R31" s="46"/>
    </row>
    <row r="32" spans="1:18" ht="21" customHeight="1" x14ac:dyDescent="0.15">
      <c r="A32" s="38" t="str">
        <f t="shared" si="1"/>
        <v>58001008_58001053</v>
      </c>
      <c r="B32" s="46">
        <v>58001008</v>
      </c>
      <c r="C32" s="46">
        <v>58001053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種族サムライのユニットを優先して攻撃_x000D_サムライ以外のユニットには大ダメージの5回連続攻撃</v>
      </c>
      <c r="F32" s="46">
        <v>58001053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32" s="4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2" s="46"/>
      <c r="Q32" s="46"/>
      <c r="R32" s="46"/>
    </row>
    <row r="33" spans="1:18" ht="21" customHeight="1" x14ac:dyDescent="0.15">
      <c r="A33" s="38" t="str">
        <f t="shared" si="1"/>
        <v>58001008_58001054</v>
      </c>
      <c r="B33" s="46">
        <v>58001008</v>
      </c>
      <c r="C33" s="46">
        <v>58001054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混迷の海域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ランダムでダメージパネルに最大4個変換+単体攻撃</v>
      </c>
      <c r="F33" s="46">
        <v>58001054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33" s="47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1"/>
        <v>58001008_58001055</v>
      </c>
      <c r="B34" s="46">
        <v>58001008</v>
      </c>
      <c r="C34" s="46">
        <v>58001055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露払いはワタクシの仕事…！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34" s="46">
        <v>58001055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1"/>
        <v>58001008_58001056</v>
      </c>
      <c r="B35" s="46">
        <v>58001008</v>
      </c>
      <c r="C35" s="46">
        <v>58001056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種族サムライのユニットを優先して攻撃_x000D_サムライ以外のユニットには大ダメージの3回連続攻撃</v>
      </c>
      <c r="F35" s="46">
        <v>58001056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5" s="47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5" s="46"/>
      <c r="Q35" s="46"/>
      <c r="R35" s="46"/>
    </row>
    <row r="36" spans="1:18" ht="21" customHeight="1" x14ac:dyDescent="0.15">
      <c r="A36" s="38" t="str">
        <f t="shared" si="1"/>
        <v>58001008_58001057</v>
      </c>
      <c r="B36" s="46">
        <v>58001008</v>
      </c>
      <c r="C36" s="46">
        <v>58001057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種族サムライのユニットを優先して攻撃_x000D_サムライ以外のユニットには大ダメージの4回連続攻撃</v>
      </c>
      <c r="F36" s="46">
        <v>58001057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6" s="47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6" s="46"/>
      <c r="Q36" s="46"/>
      <c r="R36" s="46"/>
    </row>
    <row r="37" spans="1:18" ht="21" customHeight="1" x14ac:dyDescent="0.15">
      <c r="A37" s="38" t="str">
        <f t="shared" si="1"/>
        <v>58001008_58001058</v>
      </c>
      <c r="B37" s="46">
        <v>58001008</v>
      </c>
      <c r="C37" s="46">
        <v>58001058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種族サムライのユニットを優先して攻撃_x000D_サムライ以外のユニットには大ダメージの5回連続攻撃</v>
      </c>
      <c r="F37" s="46">
        <v>58001058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1"/>
        <v>58001009_58001060</v>
      </c>
      <c r="B38" s="46">
        <v>58001009</v>
      </c>
      <c r="C38" s="46">
        <v>58001060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君達も我が覇道に挑むのか…？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状態異常耐性+ハートパネルドロップ率UP</v>
      </c>
      <c r="F38" s="46">
        <v>58001060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1"/>
        <v>58001009_58001061</v>
      </c>
      <c r="B39" s="46">
        <v>58001009</v>
      </c>
      <c r="C39" s="46">
        <v>58001061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まずは動きを止める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3ターンハートパネル無効+_x000D_ハートパネルをプロテクト+単体攻撃</v>
      </c>
      <c r="F39" s="46">
        <v>58001061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7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 t="shared" si="1"/>
        <v>58001009_58001062</v>
      </c>
      <c r="B40" s="46">
        <v>58001009</v>
      </c>
      <c r="C40" s="46">
        <v>58001062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油断してくれるなよ？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ランダムでダメージパネルに最大8個変換+単体攻撃</v>
      </c>
      <c r="F40" s="46">
        <v>58001062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1"/>
        <v>58001009_58001063</v>
      </c>
      <c r="B41" s="46">
        <v>58001009</v>
      </c>
      <c r="C41" s="46">
        <v>58001063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我の手にかかれば造作もない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41" s="46">
        <v>58001063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1"/>
        <v>58001009_58001064</v>
      </c>
      <c r="B42" s="46">
        <v>58001009</v>
      </c>
      <c r="C42" s="46">
        <v>58001064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これで身動きがとれまい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ハートパネルをお邪魔パネルに変換+単体攻撃</v>
      </c>
      <c r="F42" s="46">
        <v>58001064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ref="A43:A60" si="3">B43&amp;"_"&amp;C43</f>
        <v>58001009_58001065</v>
      </c>
      <c r="B43" s="46">
        <v>58001009</v>
      </c>
      <c r="C43" s="46">
        <v>58001065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これが王の一撃である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43" s="46">
        <v>58001065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si="3"/>
        <v>58001009_58001066</v>
      </c>
      <c r="B44" s="46">
        <v>58001009</v>
      </c>
      <c r="C44" s="46">
        <v>58001066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志ない者に我が剣は折れぬ…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種族サムライのユニットを優先して攻撃_x000D_サムライ以外のユニットには大ダメージの3回連続攻撃</v>
      </c>
      <c r="F44" s="46">
        <v>58001066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3"/>
        <v>58001009_58001067</v>
      </c>
      <c r="B45" s="46">
        <v>58001009</v>
      </c>
      <c r="C45" s="46">
        <v>58001067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これでもなお叛意を見せるか…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自身の攻撃力UP+4回連続攻撃</v>
      </c>
      <c r="F45" s="46">
        <v>58001067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ref="A46:A47" si="4">B46&amp;"_"&amp;C46</f>
        <v>58001009_58001068</v>
      </c>
      <c r="B46" s="46">
        <v>58001009</v>
      </c>
      <c r="C46" s="46">
        <v>58001068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君は…ふむ、只者ではないようだな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状態異常耐性+ハートパネルドロップ率UP</v>
      </c>
      <c r="F46" s="46">
        <v>58001068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8081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4"/>
        <v>58001009_58001069</v>
      </c>
      <c r="B47" s="46">
        <v>58001009</v>
      </c>
      <c r="C47" s="46">
        <v>58001069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興味深い力だ…受けて立とう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状態異常耐性+ハートパネルドロップ率UP</v>
      </c>
      <c r="F47" s="46">
        <v>58001069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3"/>
        <v>58001010_58001070</v>
      </c>
      <c r="B48" s="46">
        <v>58001010</v>
      </c>
      <c r="C48" s="46">
        <v>58001070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よかろう、本気で相手をしよう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状態異常耐性+ハートパネルドロップ率UP</v>
      </c>
      <c r="F48" s="46">
        <v>58001070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7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ht="21" customHeight="1" x14ac:dyDescent="0.15">
      <c r="A49" s="38" t="str">
        <f t="shared" si="3"/>
        <v>58001010_58001071</v>
      </c>
      <c r="B49" s="46">
        <v>58001010</v>
      </c>
      <c r="C49" s="46">
        <v>58001071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手は緩めぬぞ…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3ターン全ユニットの回復力DOWN+_x000D_ハートパネルをプロテクト+単体攻撃</v>
      </c>
      <c r="F49" s="46">
        <v>58001071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9" s="46"/>
      <c r="Q49" s="46"/>
      <c r="R49" s="46"/>
    </row>
    <row r="50" spans="1:18" ht="21" customHeight="1" x14ac:dyDescent="0.15">
      <c r="A50" s="38" t="str">
        <f t="shared" si="3"/>
        <v>58001010_58001072</v>
      </c>
      <c r="B50" s="46">
        <v>58001010</v>
      </c>
      <c r="C50" s="46">
        <v>58001072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迷いは敗北を生むぞ…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ランダムでダメージパネルに最大8個変換+単体攻撃</v>
      </c>
      <c r="F50" s="46">
        <v>58001072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0" s="46"/>
      <c r="Q50" s="46"/>
      <c r="R50" s="46"/>
    </row>
    <row r="51" spans="1:18" ht="21" customHeight="1" x14ac:dyDescent="0.15">
      <c r="A51" s="38" t="str">
        <f t="shared" si="3"/>
        <v>58001010_58001073</v>
      </c>
      <c r="B51" s="46">
        <v>58001010</v>
      </c>
      <c r="C51" s="46">
        <v>58001073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身動きを封じよう…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</v>
      </c>
      <c r="F51" s="46">
        <v>58001073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7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x14ac:dyDescent="0.15">
      <c r="A52" s="38" t="str">
        <f t="shared" si="3"/>
        <v>58001010_58001074</v>
      </c>
      <c r="B52" s="46">
        <v>58001010</v>
      </c>
      <c r="C52" s="46">
        <v>58001074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これに耐えられるか…？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52" s="46">
        <v>58001074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ht="21" customHeight="1" x14ac:dyDescent="0.15">
      <c r="A53" s="38" t="str">
        <f t="shared" si="3"/>
        <v>58001011_58001080</v>
      </c>
      <c r="B53" s="46">
        <v>58001011</v>
      </c>
      <c r="C53" s="46">
        <v>58001080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おもしろい…実におもしろいな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状態異常耐性+赤パネルドロップ率UP</v>
      </c>
      <c r="F53" s="46">
        <v>58001080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7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ht="21" customHeight="1" x14ac:dyDescent="0.15">
      <c r="A54" s="38" t="str">
        <f t="shared" si="3"/>
        <v>58001011_58001081</v>
      </c>
      <c r="B54" s="46">
        <v>58001011</v>
      </c>
      <c r="C54" s="46">
        <v>58001081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その強い心を折る…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3ターン全ユニットの回復力DOWN+_x000D_赤パネルとハートパネルをプロテクト+単体攻撃</v>
      </c>
      <c r="F54" s="46">
        <v>58001081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71</v>
      </c>
      <c r="L54" s="4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6"/>
      <c r="Q54" s="46"/>
      <c r="R54" s="46"/>
    </row>
    <row r="55" spans="1:18" ht="21" customHeight="1" x14ac:dyDescent="0.15">
      <c r="A55" s="38" t="str">
        <f t="shared" si="3"/>
        <v>58001011_58001082</v>
      </c>
      <c r="B55" s="46">
        <v>58001011</v>
      </c>
      <c r="C55" s="46">
        <v>58001082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迷いは敗北を生むぞ…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ランダムでダメージパネル最大8個変換+単体攻撃</v>
      </c>
      <c r="F55" s="46">
        <v>58001082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71</v>
      </c>
      <c r="L55" s="47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5" s="46"/>
      <c r="Q55" s="46"/>
      <c r="R55" s="46"/>
    </row>
    <row r="56" spans="1:18" ht="21" customHeight="1" x14ac:dyDescent="0.15">
      <c r="A56" s="38" t="str">
        <f t="shared" si="3"/>
        <v>58001011_58001083</v>
      </c>
      <c r="B56" s="46">
        <v>58001011</v>
      </c>
      <c r="C56" s="46">
        <v>58001083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動けまい…覚悟するがいい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赤パネルとハートパネルをお邪魔パネルに変換</v>
      </c>
      <c r="F56" s="46">
        <v>58001083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71</v>
      </c>
      <c r="L56" s="47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7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  <row r="57" spans="1:18" ht="21" customHeight="1" x14ac:dyDescent="0.15">
      <c r="A57" s="38" t="str">
        <f t="shared" si="3"/>
        <v>58001011_58001084</v>
      </c>
      <c r="B57" s="46">
        <v>58001011</v>
      </c>
      <c r="C57" s="46">
        <v>58001084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これが覇道に背いた末路だ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57" s="46">
        <v>58001084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71</v>
      </c>
      <c r="L57" s="47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7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ht="21" customHeight="1" x14ac:dyDescent="0.15">
      <c r="A58" s="38" t="str">
        <f t="shared" si="3"/>
        <v>58001011_58001085</v>
      </c>
      <c r="B58" s="46">
        <v>58001011</v>
      </c>
      <c r="C58" s="46">
        <v>58001085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我が天命、未だ尽きぬ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ハートパネルが出現しない+防御力UP</v>
      </c>
      <c r="F58" s="46">
        <v>58001085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3"/>
        <v>58001011_58001086</v>
      </c>
      <c r="B59" s="46">
        <v>58001011</v>
      </c>
      <c r="C59" s="46">
        <v>58001086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これが天下に立つ者の力だ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赤パネルとハートパネルを吸収して攻撃力UP+_x000D_4回連続攻撃</v>
      </c>
      <c r="F59" s="46">
        <v>58001086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ht="21" customHeight="1" x14ac:dyDescent="0.15">
      <c r="A60" s="38" t="str">
        <f t="shared" si="3"/>
        <v>58001011_58001087</v>
      </c>
      <c r="B60" s="46">
        <v>58001011</v>
      </c>
      <c r="C60" s="46">
        <v>58001087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その目、その力…実に素晴らしい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関羽、君とは共に覇道を歩みたいものだ…</v>
      </c>
      <c r="F60" s="46">
        <v>58001087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7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7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8081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6"/>
      <c r="R60" s="46"/>
    </row>
    <row r="61" spans="1:18" ht="21" customHeight="1" x14ac:dyDescent="0.15">
      <c r="A61" s="38" t="str">
        <f t="shared" ref="A61:A62" si="5">B61&amp;"_"&amp;C61</f>
        <v>58001011_58001088</v>
      </c>
      <c r="B61" s="46">
        <v>58001011</v>
      </c>
      <c r="C61" s="46">
        <v>58001088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強い…だが美しくないな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呂布…君はいつか我が手にて始末しよう</v>
      </c>
      <c r="F61" s="46">
        <v>58001088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7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7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6"/>
      <c r="R61" s="46"/>
    </row>
    <row r="62" spans="1:18" ht="21" customHeight="1" x14ac:dyDescent="0.15">
      <c r="A62" s="38" t="str">
        <f t="shared" si="5"/>
        <v>58001011_58001089</v>
      </c>
      <c r="B62" s="46">
        <v>58001011</v>
      </c>
      <c r="C62" s="46">
        <v>58001089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知らぬうちに強者が増えたものだ…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力による支配…実におもしろそうだ</v>
      </c>
      <c r="F62" s="46">
        <v>58001089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7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7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6"/>
      <c r="R62" s="46"/>
    </row>
    <row r="63" spans="1:18" ht="21" customHeight="1" x14ac:dyDescent="0.15">
      <c r="A63" s="38" t="str">
        <f t="shared" ref="A63:A64" si="6">B63&amp;"_"&amp;C63</f>
        <v>58001011_58001090</v>
      </c>
      <c r="B63" s="46">
        <v>58001011</v>
      </c>
      <c r="C63" s="46">
        <v>58001090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その目、その力…実に素晴らしい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関羽、君とは共に覇道を歩みたいものだ…</v>
      </c>
      <c r="F63" s="46">
        <v>58001090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199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7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47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8082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6"/>
      <c r="R63" s="46"/>
    </row>
    <row r="64" spans="1:18" ht="21" customHeight="1" x14ac:dyDescent="0.15">
      <c r="A64" s="38" t="str">
        <f t="shared" si="6"/>
        <v>58001011_58001091</v>
      </c>
      <c r="B64" s="46">
        <v>58001011</v>
      </c>
      <c r="C64" s="46">
        <v>58001091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強い…だが美しくないな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呂布…君はいつか我が手にて始末しよう</v>
      </c>
      <c r="F64" s="46">
        <v>58001091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189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7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7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6"/>
      <c r="Q64" s="46"/>
      <c r="R64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93"/>
  <sheetViews>
    <sheetView showGridLines="0" workbookViewId="0">
      <pane ySplit="1" topLeftCell="A8" activePane="bottomLeft" state="frozenSplit"/>
      <selection pane="bottomLeft" activeCell="B25" sqref="B25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84.832031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customWidth="1" outlineLevel="1"/>
    <col min="8" max="8" width="18.33203125" style="48" customWidth="1" outlineLevel="1"/>
    <col min="9" max="11" width="18.6640625" style="48" customWidth="1" outlineLevel="1"/>
    <col min="12" max="12" width="23.6640625" style="48" customWidth="1"/>
    <col min="13" max="18" width="23.6640625" style="48" customWidth="1" outlineLevel="1"/>
    <col min="19" max="19" width="23.6640625" style="48" customWidth="1"/>
    <col min="20" max="24" width="23.6640625" style="48" customWidth="1" outlineLevel="1"/>
    <col min="25" max="25" width="23.6640625" style="48" customWidth="1"/>
    <col min="26" max="27" width="12.83203125" style="48"/>
    <col min="28" max="28" width="44.5" style="48" customWidth="1"/>
    <col min="29" max="16384" width="12.83203125" style="48"/>
  </cols>
  <sheetData>
    <row r="1" spans="1:30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30" ht="21" customHeight="1" x14ac:dyDescent="0.15">
      <c r="A2" s="46">
        <v>58001000</v>
      </c>
      <c r="B2" s="46" t="s">
        <v>331</v>
      </c>
      <c r="C2" s="49">
        <v>1</v>
      </c>
      <c r="D2" s="49" t="s">
        <v>128</v>
      </c>
      <c r="E2" s="50" t="s">
        <v>278</v>
      </c>
      <c r="F2" s="50" t="s">
        <v>268</v>
      </c>
      <c r="G2" s="62" t="str">
        <f>IFERROR(LEFT(B2,FIND("],",B2)),B2)</f>
        <v>[effect:enemy_message, val1:1.2, val2:1.2]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IFERROR(VLOOKUP(MID(G2,J2,K2-J2),[6]skilldef!$C:$D,2,FALSE),"-") &amp; " / " &amp; IFERROR(VLOOKUP(MID(G2,H2,I2-H2),[6]skilldef!$A:$B,2,FALSE),"-")</f>
        <v>- / -</v>
      </c>
      <c r="M2" s="62" t="str">
        <f>IFERROR(RIGHT(B2,LEN(B2)-FIND("],",B2)-1),"none")</f>
        <v>[effect:critical, val:1.5, animation:enemy_critical]</v>
      </c>
      <c r="N2" s="47" t="str">
        <f>IFERROR(LEFT(M2,FIND("],",M2)+S12),M2)</f>
        <v>[effect:critical, val:1.5, animation:enemy_critical]</v>
      </c>
      <c r="O2" s="62">
        <f>FIND("effect:",N2)+7</f>
        <v>9</v>
      </c>
      <c r="P2" s="62">
        <f>IFERROR(FIND(",",N2),LEN(N2))</f>
        <v>17</v>
      </c>
      <c r="Q2" s="62" t="e">
        <f>FIND("target:",N2)+7</f>
        <v>#VALUE!</v>
      </c>
      <c r="R2" s="62">
        <f>FIND(",",N2,P2+1)</f>
        <v>26</v>
      </c>
      <c r="S2" s="62" t="str">
        <f>IFERROR(VLOOKUP(MID(N2,Q2,R2-Q2),[6]skilldef!$C:$D,2,FALSE),"-") &amp; " / " &amp; IFERROR(VLOOKUP(MID(N2,O2,P2-O2),[6]skilldef!$A:$B,2,FALSE),"-")</f>
        <v>- / 大攻撃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  <c r="AC2" s="48">
        <f>LEN(E2)</f>
        <v>6</v>
      </c>
      <c r="AD2" s="48">
        <f>LEN(F2)</f>
        <v>7</v>
      </c>
    </row>
    <row r="3" spans="1:30" ht="21" customHeight="1" x14ac:dyDescent="0.15">
      <c r="A3" s="46">
        <v>58001001</v>
      </c>
      <c r="B3" s="46" t="s">
        <v>332</v>
      </c>
      <c r="C3" s="49">
        <v>1</v>
      </c>
      <c r="D3" s="49" t="s">
        <v>128</v>
      </c>
      <c r="E3" s="50" t="s">
        <v>279</v>
      </c>
      <c r="F3" s="50" t="s">
        <v>269</v>
      </c>
      <c r="G3" s="62" t="str">
        <f t="shared" ref="G3:G66" si="0">IFERROR(LEFT(B3,FIND("],",B3)),B3)</f>
        <v>[effect:enemy_message, val1:1.2, val2:2.1]</v>
      </c>
      <c r="H3" s="62">
        <f t="shared" ref="H3:H66" si="1">FIND("effect:",G3)+7</f>
        <v>9</v>
      </c>
      <c r="I3" s="62">
        <f t="shared" ref="I3:I66" si="2">IFERROR(FIND(",",G3),LEN(G3))</f>
        <v>22</v>
      </c>
      <c r="J3" s="62" t="e">
        <f t="shared" ref="J3:J66" si="3">FIND("target:",G3)+7</f>
        <v>#VALUE!</v>
      </c>
      <c r="K3" s="62">
        <f t="shared" ref="K3:K66" si="4">FIND(",",G3,I3+1)</f>
        <v>32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ref="M3:M66" si="5">IFERROR(RIGHT(B3,LEN(B3)-FIND("],",B3)-1),"none")</f>
        <v>[effect:damage_anti_tribe, target:unit_all, tribe:machine, val1:1, val2:0.25]</v>
      </c>
      <c r="N3" s="47" t="str">
        <f t="shared" ref="N3:N66" si="6">IFERROR(LEFT(M3,FIND("],",M3)+S13),M3)</f>
        <v>[effect:damage_anti_tribe, target:unit_all, tribe:machine, val1:1, val2:0.25]</v>
      </c>
      <c r="O3" s="62">
        <f t="shared" ref="O3:O66" si="7">FIND("effect:",N3)+7</f>
        <v>9</v>
      </c>
      <c r="P3" s="62">
        <f t="shared" ref="P3:P66" si="8">IFERROR(FIND(",",N3),LEN(N3))</f>
        <v>26</v>
      </c>
      <c r="Q3" s="62">
        <f t="shared" ref="Q3:Q66" si="9">FIND("target:",N3)+7</f>
        <v>35</v>
      </c>
      <c r="R3" s="62">
        <f t="shared" ref="R3:R66" si="10">FIND(",",N3,P3+1)</f>
        <v>43</v>
      </c>
      <c r="S3" s="62" t="str">
        <f>IFERROR(VLOOKUP(MID(N3,Q3,R3-Q3),[6]skilldef!$C:$D,2,FALSE),"-") &amp; " / " &amp; IFERROR(VLOOKUP(MID(N3,O3,P3-O3),[6]skilldef!$A:$B,2,FALSE),"-")</f>
        <v>味方全体に / 種族キラー</v>
      </c>
      <c r="T3" s="47" t="str">
        <f t="shared" ref="T3:T66" si="11">IFERROR(RIGHT(M3,LEN(M3)-FIND("],",M3)-1),"none")</f>
        <v>none</v>
      </c>
      <c r="U3" s="62" t="e">
        <f t="shared" ref="U3:U66" si="12">FIND("effect:",T3)+7</f>
        <v>#VALUE!</v>
      </c>
      <c r="V3" s="62">
        <f t="shared" ref="V3:V66" si="13">IFERROR(FIND(",",T3),LEN(T3))</f>
        <v>4</v>
      </c>
      <c r="W3" s="62" t="e">
        <f t="shared" ref="W3:W66" si="14">FIND("target:",T3)+7</f>
        <v>#VALUE!</v>
      </c>
      <c r="X3" s="62" t="e">
        <f t="shared" ref="X3:X66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  <c r="AC3" s="48">
        <f t="shared" ref="AC3:AC66" si="16">LEN(E3)</f>
        <v>6</v>
      </c>
      <c r="AD3" s="48">
        <f t="shared" ref="AD3:AD66" si="17">LEN(F3)</f>
        <v>21</v>
      </c>
    </row>
    <row r="4" spans="1:30" ht="21" customHeight="1" x14ac:dyDescent="0.15">
      <c r="A4" s="46">
        <v>58001002</v>
      </c>
      <c r="B4" s="46" t="s">
        <v>263</v>
      </c>
      <c r="C4" s="49">
        <v>1</v>
      </c>
      <c r="D4" s="49" t="s">
        <v>128</v>
      </c>
      <c r="E4" s="50" t="s">
        <v>251</v>
      </c>
      <c r="F4" s="50" t="s">
        <v>253</v>
      </c>
      <c r="G4" s="62" t="str">
        <f t="shared" si="0"/>
        <v>[effect:enemy_message, val1:1.2, val2:1.2]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5"/>
        <v>none</v>
      </c>
      <c r="N4" s="47" t="str">
        <f t="shared" si="6"/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IFERROR(VLOOKUP(MID(N4,Q4,R4-Q4),[6]skilldef!$C:$D,2,FALSE),"-") &amp; " / " &amp; IFERROR(VLOOKUP(MID(N4,O4,P4-O4),[6]skilldef!$A:$B,2,FALSE),"-")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  <c r="AC4" s="48">
        <f t="shared" si="16"/>
        <v>3</v>
      </c>
      <c r="AD4" s="48">
        <f t="shared" si="17"/>
        <v>3</v>
      </c>
    </row>
    <row r="5" spans="1:30" ht="21" customHeight="1" x14ac:dyDescent="0.15">
      <c r="A5" s="46">
        <v>58001003</v>
      </c>
      <c r="B5" s="46" t="s">
        <v>263</v>
      </c>
      <c r="C5" s="49">
        <v>1</v>
      </c>
      <c r="D5" s="49" t="s">
        <v>128</v>
      </c>
      <c r="E5" s="50" t="s">
        <v>251</v>
      </c>
      <c r="F5" s="50" t="s">
        <v>253</v>
      </c>
      <c r="G5" s="62" t="str">
        <f t="shared" si="0"/>
        <v>[effect:enemy_message, val1:1.2, val2:1.2]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none</v>
      </c>
      <c r="N5" s="47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  <c r="AC5" s="48">
        <f t="shared" si="16"/>
        <v>3</v>
      </c>
      <c r="AD5" s="48">
        <f t="shared" si="17"/>
        <v>3</v>
      </c>
    </row>
    <row r="6" spans="1:30" ht="21" customHeight="1" x14ac:dyDescent="0.15">
      <c r="A6" s="46">
        <v>58001004</v>
      </c>
      <c r="B6" s="46" t="s">
        <v>263</v>
      </c>
      <c r="C6" s="49">
        <v>1</v>
      </c>
      <c r="D6" s="49" t="s">
        <v>128</v>
      </c>
      <c r="E6" s="50" t="s">
        <v>251</v>
      </c>
      <c r="F6" s="50" t="s">
        <v>253</v>
      </c>
      <c r="G6" s="62" t="str">
        <f t="shared" si="0"/>
        <v>[effect:enemy_message, val1:1.2, val2:1.2]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5"/>
        <v>none</v>
      </c>
      <c r="N6" s="47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  <c r="AC6" s="48">
        <f t="shared" si="16"/>
        <v>3</v>
      </c>
      <c r="AD6" s="48">
        <f t="shared" si="17"/>
        <v>3</v>
      </c>
    </row>
    <row r="7" spans="1:30" ht="21" customHeight="1" x14ac:dyDescent="0.15">
      <c r="A7" s="46">
        <v>58001005</v>
      </c>
      <c r="B7" s="46" t="s">
        <v>264</v>
      </c>
      <c r="C7" s="49">
        <v>1</v>
      </c>
      <c r="D7" s="49" t="s">
        <v>128</v>
      </c>
      <c r="E7" s="50" t="s">
        <v>280</v>
      </c>
      <c r="F7" s="50" t="s">
        <v>270</v>
      </c>
      <c r="G7" s="62" t="str">
        <f t="shared" si="0"/>
        <v>[effect:enemy_message, val1:1.2, val2:1.2]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[effect:rush, count:4, val:0.3]</v>
      </c>
      <c r="N7" s="47" t="str">
        <f t="shared" si="6"/>
        <v>[effect:rush, count:4, val:0.3]</v>
      </c>
      <c r="O7" s="62">
        <f t="shared" si="7"/>
        <v>9</v>
      </c>
      <c r="P7" s="62">
        <f t="shared" si="8"/>
        <v>13</v>
      </c>
      <c r="Q7" s="62" t="e">
        <f t="shared" si="9"/>
        <v>#VALUE!</v>
      </c>
      <c r="R7" s="62">
        <f t="shared" si="10"/>
        <v>22</v>
      </c>
      <c r="S7" s="62" t="str">
        <f>IFERROR(VLOOKUP(MID(N7,Q7,R7-Q7),[6]skilldef!$C:$D,2,FALSE),"-") &amp; " / " &amp; IFERROR(VLOOKUP(MID(N7,O7,P7-O7),[6]skilldef!$A:$B,2,FALSE),"-")</f>
        <v>- / 連続攻撃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  <c r="AC7" s="48">
        <f t="shared" si="16"/>
        <v>3</v>
      </c>
      <c r="AD7" s="48">
        <f t="shared" si="17"/>
        <v>6</v>
      </c>
    </row>
    <row r="8" spans="1:30" ht="21" customHeight="1" x14ac:dyDescent="0.15">
      <c r="A8" s="46">
        <v>58001006</v>
      </c>
      <c r="B8" s="46" t="s">
        <v>397</v>
      </c>
      <c r="C8" s="49">
        <v>1</v>
      </c>
      <c r="D8" s="49" t="s">
        <v>128</v>
      </c>
      <c r="E8" s="50" t="s">
        <v>283</v>
      </c>
      <c r="F8" s="105" t="s">
        <v>375</v>
      </c>
      <c r="G8" s="62" t="str">
        <f t="shared" si="0"/>
        <v>[effect:enemy_message, val1:1.2, val2:2.4]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5"/>
        <v>[effect:damage_anti_tribe, target:unit_all, tribe:samurai, val1:0.2, val2:0.6]</v>
      </c>
      <c r="N8" s="47" t="str">
        <f t="shared" si="6"/>
        <v>[effect:damage_anti_tribe, target:unit_all, tribe:samurai, val1:0.2, val2:0.6]</v>
      </c>
      <c r="O8" s="62">
        <f t="shared" si="7"/>
        <v>9</v>
      </c>
      <c r="P8" s="62">
        <f t="shared" si="8"/>
        <v>26</v>
      </c>
      <c r="Q8" s="62">
        <f t="shared" si="9"/>
        <v>35</v>
      </c>
      <c r="R8" s="62">
        <f t="shared" si="10"/>
        <v>43</v>
      </c>
      <c r="S8" s="62" t="str">
        <f>IFERROR(VLOOKUP(MID(N8,Q8,R8-Q8),[6]skilldef!$C:$D,2,FALSE),"-") &amp; " / " &amp; IFERROR(VLOOKUP(MID(N8,O8,P8-O8),[6]skilldef!$A:$B,2,FALSE),"-")</f>
        <v>味方全体に / 種族キラー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/>
      <c r="AA8" s="51"/>
      <c r="AB8" s="49"/>
      <c r="AC8" s="48">
        <f t="shared" si="16"/>
        <v>4</v>
      </c>
      <c r="AD8" s="48">
        <f t="shared" si="17"/>
        <v>24</v>
      </c>
    </row>
    <row r="9" spans="1:30" ht="21" customHeight="1" x14ac:dyDescent="0.15">
      <c r="A9" s="46">
        <v>58001007</v>
      </c>
      <c r="B9" s="46" t="s">
        <v>263</v>
      </c>
      <c r="C9" s="49">
        <v>1</v>
      </c>
      <c r="D9" s="49" t="s">
        <v>128</v>
      </c>
      <c r="E9" s="50" t="s">
        <v>252</v>
      </c>
      <c r="F9" s="50" t="s">
        <v>253</v>
      </c>
      <c r="G9" s="62" t="str">
        <f t="shared" si="0"/>
        <v>[effect:enemy_message, val1:1.2, val2:1.2]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5"/>
        <v>none</v>
      </c>
      <c r="N9" s="47" t="str">
        <f t="shared" si="6"/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IFERROR(VLOOKUP(MID(N9,Q9,R9-Q9),[6]skilldef!$C:$D,2,FALSE),"-") &amp; " / " &amp; IFERROR(VLOOKUP(MID(N9,O9,P9-O9),[6]skilldef!$A:$B,2,FALSE),"-")</f>
        <v>-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  <c r="AC9" s="48">
        <f t="shared" si="16"/>
        <v>3</v>
      </c>
      <c r="AD9" s="48">
        <f t="shared" si="17"/>
        <v>3</v>
      </c>
    </row>
    <row r="10" spans="1:30" ht="21" customHeight="1" x14ac:dyDescent="0.15">
      <c r="A10" s="46">
        <v>58001008</v>
      </c>
      <c r="B10" s="46" t="s">
        <v>263</v>
      </c>
      <c r="C10" s="49">
        <v>1</v>
      </c>
      <c r="D10" s="49" t="s">
        <v>128</v>
      </c>
      <c r="E10" s="50" t="s">
        <v>252</v>
      </c>
      <c r="F10" s="50" t="s">
        <v>253</v>
      </c>
      <c r="G10" s="62" t="str">
        <f t="shared" si="0"/>
        <v>[effect:enemy_message, val1:1.2, val2:1.2]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5"/>
        <v>none</v>
      </c>
      <c r="N10" s="47" t="str">
        <f t="shared" si="6"/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IFERROR(VLOOKUP(MID(N10,Q10,R10-Q10),[6]skilldef!$C:$D,2,FALSE),"-") &amp; " / " &amp; IFERROR(VLOOKUP(MID(N10,O10,P10-O10),[6]skilldef!$A:$B,2,FALSE),"-")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  <c r="AC10" s="48">
        <f t="shared" si="16"/>
        <v>3</v>
      </c>
      <c r="AD10" s="48">
        <f t="shared" si="17"/>
        <v>3</v>
      </c>
    </row>
    <row r="11" spans="1:30" ht="21" customHeight="1" x14ac:dyDescent="0.15">
      <c r="A11" s="46">
        <v>58001009</v>
      </c>
      <c r="B11" s="46" t="s">
        <v>263</v>
      </c>
      <c r="C11" s="49">
        <v>1</v>
      </c>
      <c r="D11" s="49" t="s">
        <v>128</v>
      </c>
      <c r="E11" s="50" t="s">
        <v>252</v>
      </c>
      <c r="F11" s="50" t="s">
        <v>253</v>
      </c>
      <c r="G11" s="62" t="str">
        <f t="shared" si="0"/>
        <v>[effect:enemy_message, val1:1.2, val2:1.2]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5"/>
        <v>none</v>
      </c>
      <c r="N11" s="47" t="str">
        <f t="shared" si="6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IFERROR(VLOOKUP(MID(N11,Q11,R11-Q11),[6]skilldef!$C:$D,2,FALSE),"-") &amp; " / " &amp; IFERROR(VLOOKUP(MID(N11,O11,P11-O11),[6]skilldef!$A:$B,2,FALSE),"-")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  <c r="AC11" s="48">
        <f t="shared" si="16"/>
        <v>3</v>
      </c>
      <c r="AD11" s="48">
        <f t="shared" si="17"/>
        <v>3</v>
      </c>
    </row>
    <row r="12" spans="1:30" ht="21" customHeight="1" x14ac:dyDescent="0.15">
      <c r="A12" s="46">
        <v>58001010</v>
      </c>
      <c r="B12" s="46" t="s">
        <v>333</v>
      </c>
      <c r="C12" s="49">
        <v>1</v>
      </c>
      <c r="D12" s="49" t="s">
        <v>128</v>
      </c>
      <c r="E12" s="50" t="s">
        <v>295</v>
      </c>
      <c r="F12" s="50" t="s">
        <v>255</v>
      </c>
      <c r="G12" s="62" t="str">
        <f t="shared" si="0"/>
        <v>[effect:enemy_message, val1:1.7, val2:1.2]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5"/>
        <v>[effect:fix_speed, target:myself, turn:1],[effect:tolerance, target:myself, turn:-1, count:-1, tolerance_effect:all, animation:enemy_tolerance]</v>
      </c>
      <c r="N12" s="47" t="str">
        <f t="shared" si="6"/>
        <v>[effect:fix_speed, target:myself, turn:1],[effect:tolerance, target:myself, turn:-1, count:-1, tolerance_effect:all, animation:enemy_tolerance]</v>
      </c>
      <c r="O12" s="62">
        <f t="shared" si="7"/>
        <v>9</v>
      </c>
      <c r="P12" s="62">
        <f t="shared" si="8"/>
        <v>18</v>
      </c>
      <c r="Q12" s="62">
        <f t="shared" si="9"/>
        <v>27</v>
      </c>
      <c r="R12" s="62">
        <f t="shared" si="10"/>
        <v>33</v>
      </c>
      <c r="S12" s="62" t="str">
        <f>IFERROR(VLOOKUP(MID(N12,Q12,R12-Q12),[6]skilldef!$C:$D,2,FALSE),"-") &amp; " / " &amp; IFERROR(VLOOKUP(MID(N12,O12,P12-O12),[6]skilldef!$A:$B,2,FALSE),"-")</f>
        <v>自分自身に / 行動値設定</v>
      </c>
      <c r="T12" s="47" t="str">
        <f t="shared" si="11"/>
        <v>[effect:tolerance, target:myself, turn:-1, count:-1, tolerance_effect:all, animation:enemy_tolerance]</v>
      </c>
      <c r="U12" s="62">
        <f t="shared" si="12"/>
        <v>9</v>
      </c>
      <c r="V12" s="62">
        <f t="shared" si="13"/>
        <v>18</v>
      </c>
      <c r="W12" s="62">
        <f t="shared" si="14"/>
        <v>27</v>
      </c>
      <c r="X12" s="62">
        <f t="shared" si="15"/>
        <v>33</v>
      </c>
      <c r="Y12" s="62" t="str">
        <f>IFERROR(VLOOKUP(MID(T12,W12,X12-W12),[6]skilldef!$C:$D,2,FALSE),"-") &amp; " / " &amp; IFERROR(VLOOKUP(MID(T12,U12,V12-U12),[6]skilldef!$A:$B,2,FALSE),"-")</f>
        <v>自分自身に / 状態異常耐性</v>
      </c>
      <c r="Z12" s="49"/>
      <c r="AA12" s="51"/>
      <c r="AB12" s="49"/>
      <c r="AC12" s="48">
        <f t="shared" si="16"/>
        <v>17</v>
      </c>
      <c r="AD12" s="48">
        <f t="shared" si="17"/>
        <v>6</v>
      </c>
    </row>
    <row r="13" spans="1:30" ht="21" customHeight="1" x14ac:dyDescent="0.15">
      <c r="A13" s="46">
        <v>58001011</v>
      </c>
      <c r="B13" s="46" t="s">
        <v>398</v>
      </c>
      <c r="C13" s="49">
        <v>1</v>
      </c>
      <c r="D13" s="49" t="s">
        <v>128</v>
      </c>
      <c r="E13" s="50" t="s">
        <v>281</v>
      </c>
      <c r="F13" s="105" t="s">
        <v>376</v>
      </c>
      <c r="G13" s="62" t="str">
        <f t="shared" si="0"/>
        <v>[effect:enemy_message, val1:1.2, val2:2.3]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IFERROR(VLOOKUP(MID(G13,J13,K13-J13),[6]skilldef!$C:$D,2,FALSE),"-") &amp; " / " &amp; IFERROR(VLOOKUP(MID(G13,H13,I13-H13),[6]skilldef!$A:$B,2,FALSE),"-")</f>
        <v>- / -</v>
      </c>
      <c r="M13" s="62" t="str">
        <f t="shared" si="5"/>
        <v>[effect:force_change_block, new_block:jammer, target:block_all, ignore01:crash, ignore02:crack_bomb, ignore03:time_bomb, ignore04:damage, ignore05:color_break, ignore06:magnet, count:5, val:0, animation:change_block],[effect:rush, count:1, val:1]</v>
      </c>
      <c r="N13" s="47" t="str">
        <f t="shared" si="6"/>
        <v>[effect:force_change_block, new_block:jammer, target:block_all, ignore01:crash, ignore02:crack_bomb, ignore03:time_bomb, ignore04:damage, ignore05:color_break, ignore06:magnet, count:5, val:0, animation:change_block],[effect:rush, count:1, val:1]</v>
      </c>
      <c r="O13" s="62">
        <f t="shared" si="7"/>
        <v>9</v>
      </c>
      <c r="P13" s="62">
        <f t="shared" si="8"/>
        <v>27</v>
      </c>
      <c r="Q13" s="62">
        <f t="shared" si="9"/>
        <v>54</v>
      </c>
      <c r="R13" s="62">
        <f t="shared" si="10"/>
        <v>45</v>
      </c>
      <c r="S13" s="62" t="str">
        <f>IFERROR(VLOOKUP(MID(N13,Q13,R13-Q13),[6]skilldef!$C:$D,2,FALSE),"-") &amp; " / " &amp; IFERROR(VLOOKUP(MID(N13,O13,P13-O13),[6]skilldef!$A:$B,2,FALSE),"-")</f>
        <v>- / -</v>
      </c>
      <c r="T13" s="47" t="str">
        <f t="shared" si="11"/>
        <v>[effect:rush, count:1, val:1]</v>
      </c>
      <c r="U13" s="62">
        <f t="shared" si="12"/>
        <v>9</v>
      </c>
      <c r="V13" s="62">
        <f t="shared" si="13"/>
        <v>13</v>
      </c>
      <c r="W13" s="62" t="e">
        <f t="shared" si="14"/>
        <v>#VALUE!</v>
      </c>
      <c r="X13" s="62">
        <f t="shared" si="15"/>
        <v>22</v>
      </c>
      <c r="Y13" s="62" t="str">
        <f>IFERROR(VLOOKUP(MID(T13,W13,X13-W13),[6]skilldef!$C:$D,2,FALSE),"-") &amp; " / " &amp; IFERROR(VLOOKUP(MID(T13,U13,V13-U13),[6]skilldef!$A:$B,2,FALSE),"-")</f>
        <v>- / 連続攻撃</v>
      </c>
      <c r="Z13" s="49"/>
      <c r="AA13" s="51"/>
      <c r="AB13" s="49"/>
      <c r="AC13" s="48">
        <f t="shared" si="16"/>
        <v>4</v>
      </c>
      <c r="AD13" s="48">
        <f t="shared" si="17"/>
        <v>23</v>
      </c>
    </row>
    <row r="14" spans="1:30" ht="21" customHeight="1" x14ac:dyDescent="0.15">
      <c r="A14" s="46">
        <v>58001012</v>
      </c>
      <c r="B14" s="46" t="s">
        <v>399</v>
      </c>
      <c r="C14" s="49">
        <v>1</v>
      </c>
      <c r="D14" s="49" t="s">
        <v>128</v>
      </c>
      <c r="E14" s="50" t="s">
        <v>311</v>
      </c>
      <c r="F14" s="105" t="s">
        <v>377</v>
      </c>
      <c r="G14" s="62" t="str">
        <f t="shared" si="0"/>
        <v>[effect:enemy_message, val1:1.2, val2:1.5]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5"/>
        <v>[effect:break_attack, target:unit_all, val:0.05, lowest_val:1000, count:-1, color:yellow, block01:jammer]</v>
      </c>
      <c r="N14" s="47" t="str">
        <f t="shared" si="6"/>
        <v>[effect:break_attack, target:unit_all, val:0.05, lowest_val:1000, count:-1, color:yellow, block01:jammer]</v>
      </c>
      <c r="O14" s="62">
        <f t="shared" si="7"/>
        <v>9</v>
      </c>
      <c r="P14" s="62">
        <f t="shared" si="8"/>
        <v>21</v>
      </c>
      <c r="Q14" s="62">
        <f t="shared" si="9"/>
        <v>30</v>
      </c>
      <c r="R14" s="62">
        <f t="shared" si="10"/>
        <v>38</v>
      </c>
      <c r="S14" s="62" t="str">
        <f>IFERROR(VLOOKUP(MID(N14,Q14,R14-Q14),[6]skilldef!$C:$D,2,FALSE),"-") &amp; " / " &amp; IFERROR(VLOOKUP(MID(N14,O14,P14-O14),[6]skilldef!$A:$B,2,FALSE),"-")</f>
        <v>味方全体に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  <c r="AC14" s="48">
        <f t="shared" si="16"/>
        <v>6</v>
      </c>
      <c r="AD14" s="48">
        <f t="shared" si="17"/>
        <v>15</v>
      </c>
    </row>
    <row r="15" spans="1:30" ht="21" customHeight="1" x14ac:dyDescent="0.15">
      <c r="A15" s="46">
        <v>58001013</v>
      </c>
      <c r="B15" s="46" t="s">
        <v>431</v>
      </c>
      <c r="C15" s="49">
        <v>1</v>
      </c>
      <c r="D15" s="49" t="s">
        <v>128</v>
      </c>
      <c r="E15" s="50" t="s">
        <v>290</v>
      </c>
      <c r="F15" s="105" t="s">
        <v>375</v>
      </c>
      <c r="G15" s="62" t="str">
        <f t="shared" si="0"/>
        <v>[effect:enemy_message, val1:1.6, val2:2.4]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si="5"/>
        <v>[effect:damage_anti_tribe, target:unit_all, tribe:samurai, val1:0.2, val2:0.6]</v>
      </c>
      <c r="N15" s="47" t="str">
        <f t="shared" si="6"/>
        <v>[effect:damage_anti_tribe, target:unit_all, tribe:samurai, val1:0.2, val2:0.6]</v>
      </c>
      <c r="O15" s="62">
        <f t="shared" si="7"/>
        <v>9</v>
      </c>
      <c r="P15" s="62">
        <f t="shared" si="8"/>
        <v>26</v>
      </c>
      <c r="Q15" s="62">
        <f t="shared" si="9"/>
        <v>35</v>
      </c>
      <c r="R15" s="62">
        <f t="shared" si="10"/>
        <v>43</v>
      </c>
      <c r="S15" s="62" t="str">
        <f>IFERROR(VLOOKUP(MID(N15,Q15,R15-Q15),[6]skilldef!$C:$D,2,FALSE),"-") &amp; " / " &amp; IFERROR(VLOOKUP(MID(N15,O15,P15-O15),[6]skilldef!$A:$B,2,FALSE),"-")</f>
        <v>味方全体に / 種族キラー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  <c r="AC15" s="48">
        <f t="shared" si="16"/>
        <v>16</v>
      </c>
      <c r="AD15" s="48">
        <f t="shared" si="17"/>
        <v>24</v>
      </c>
    </row>
    <row r="16" spans="1:30" ht="21" customHeight="1" x14ac:dyDescent="0.15">
      <c r="A16" s="46">
        <v>58001014</v>
      </c>
      <c r="B16" s="46" t="s">
        <v>263</v>
      </c>
      <c r="C16" s="49">
        <v>1</v>
      </c>
      <c r="D16" s="49" t="s">
        <v>128</v>
      </c>
      <c r="E16" s="50" t="s">
        <v>254</v>
      </c>
      <c r="F16" s="50" t="s">
        <v>253</v>
      </c>
      <c r="G16" s="62" t="str">
        <f t="shared" si="0"/>
        <v>[effect:enemy_message, val1:1.2, val2:1.2]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5"/>
        <v>none</v>
      </c>
      <c r="N16" s="47" t="str">
        <f t="shared" si="6"/>
        <v>none</v>
      </c>
      <c r="O16" s="62" t="e">
        <f t="shared" si="7"/>
        <v>#VALUE!</v>
      </c>
      <c r="P16" s="62">
        <f t="shared" si="8"/>
        <v>4</v>
      </c>
      <c r="Q16" s="62" t="e">
        <f t="shared" si="9"/>
        <v>#VALUE!</v>
      </c>
      <c r="R16" s="62" t="e">
        <f t="shared" si="10"/>
        <v>#VALUE!</v>
      </c>
      <c r="S16" s="62" t="str">
        <f>IFERROR(VLOOKUP(MID(N16,Q16,R16-Q16),[6]skilldef!$C:$D,2,FALSE),"-") &amp; " / " &amp; IFERROR(VLOOKUP(MID(N16,O16,P16-O16),[6]skilldef!$A:$B,2,FALSE),"-")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  <c r="AC16" s="48">
        <f t="shared" si="16"/>
        <v>3</v>
      </c>
      <c r="AD16" s="48">
        <f t="shared" si="17"/>
        <v>3</v>
      </c>
    </row>
    <row r="17" spans="1:30" ht="21" customHeight="1" x14ac:dyDescent="0.15">
      <c r="A17" s="46">
        <v>58001015</v>
      </c>
      <c r="B17" s="46" t="s">
        <v>263</v>
      </c>
      <c r="C17" s="49">
        <v>1</v>
      </c>
      <c r="D17" s="49" t="s">
        <v>128</v>
      </c>
      <c r="E17" s="50" t="s">
        <v>254</v>
      </c>
      <c r="F17" s="50" t="s">
        <v>253</v>
      </c>
      <c r="G17" s="62" t="str">
        <f t="shared" si="0"/>
        <v>[effect:enemy_message, val1:1.2, val2:1.2]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si="5"/>
        <v>none</v>
      </c>
      <c r="N17" s="47" t="str">
        <f t="shared" si="6"/>
        <v>none</v>
      </c>
      <c r="O17" s="62" t="e">
        <f t="shared" si="7"/>
        <v>#VALUE!</v>
      </c>
      <c r="P17" s="62">
        <f t="shared" si="8"/>
        <v>4</v>
      </c>
      <c r="Q17" s="62" t="e">
        <f t="shared" si="9"/>
        <v>#VALUE!</v>
      </c>
      <c r="R17" s="62" t="e">
        <f t="shared" si="10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  <c r="AC17" s="48">
        <f t="shared" si="16"/>
        <v>3</v>
      </c>
      <c r="AD17" s="48">
        <f t="shared" si="17"/>
        <v>3</v>
      </c>
    </row>
    <row r="18" spans="1:30" ht="21" customHeight="1" x14ac:dyDescent="0.15">
      <c r="A18" s="46">
        <v>58001016</v>
      </c>
      <c r="B18" s="46" t="s">
        <v>263</v>
      </c>
      <c r="C18" s="49">
        <v>1</v>
      </c>
      <c r="D18" s="49" t="s">
        <v>128</v>
      </c>
      <c r="E18" s="50" t="s">
        <v>254</v>
      </c>
      <c r="F18" s="50" t="s">
        <v>253</v>
      </c>
      <c r="G18" s="62" t="str">
        <f t="shared" si="0"/>
        <v>[effect:enemy_message, val1:1.2, val2:1.2]</v>
      </c>
      <c r="H18" s="62">
        <f t="shared" si="1"/>
        <v>9</v>
      </c>
      <c r="I18" s="62">
        <f t="shared" si="2"/>
        <v>22</v>
      </c>
      <c r="J18" s="62" t="e">
        <f t="shared" si="3"/>
        <v>#VALUE!</v>
      </c>
      <c r="K18" s="62">
        <f t="shared" si="4"/>
        <v>32</v>
      </c>
      <c r="L18" s="62" t="str">
        <f>IFERROR(VLOOKUP(MID(G18,J18,K18-J18),[6]skilldef!$C:$D,2,FALSE),"-") &amp; " / " &amp; IFERROR(VLOOKUP(MID(G18,H18,I18-H18),[6]skilldef!$A:$B,2,FALSE),"-")</f>
        <v>- / -</v>
      </c>
      <c r="M18" s="62" t="str">
        <f t="shared" si="5"/>
        <v>none</v>
      </c>
      <c r="N18" s="47" t="str">
        <f t="shared" si="6"/>
        <v>none</v>
      </c>
      <c r="O18" s="62" t="e">
        <f t="shared" si="7"/>
        <v>#VALUE!</v>
      </c>
      <c r="P18" s="62">
        <f t="shared" si="8"/>
        <v>4</v>
      </c>
      <c r="Q18" s="62" t="e">
        <f t="shared" si="9"/>
        <v>#VALUE!</v>
      </c>
      <c r="R18" s="62" t="e">
        <f t="shared" si="10"/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si="11"/>
        <v>none</v>
      </c>
      <c r="U18" s="62" t="e">
        <f t="shared" si="12"/>
        <v>#VALUE!</v>
      </c>
      <c r="V18" s="62">
        <f t="shared" si="13"/>
        <v>4</v>
      </c>
      <c r="W18" s="62" t="e">
        <f t="shared" si="14"/>
        <v>#VALUE!</v>
      </c>
      <c r="X18" s="62" t="e">
        <f t="shared" si="15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  <c r="AC18" s="48">
        <f t="shared" si="16"/>
        <v>3</v>
      </c>
      <c r="AD18" s="48">
        <f t="shared" si="17"/>
        <v>3</v>
      </c>
    </row>
    <row r="19" spans="1:30" ht="21" customHeight="1" x14ac:dyDescent="0.15">
      <c r="A19" s="46">
        <v>58001017</v>
      </c>
      <c r="B19" s="46" t="s">
        <v>263</v>
      </c>
      <c r="C19" s="49">
        <v>1</v>
      </c>
      <c r="D19" s="49" t="s">
        <v>128</v>
      </c>
      <c r="E19" s="50" t="s">
        <v>254</v>
      </c>
      <c r="F19" s="50" t="s">
        <v>253</v>
      </c>
      <c r="G19" s="62" t="str">
        <f t="shared" si="0"/>
        <v>[effect:enemy_message, val1:1.2, val2:1.2]</v>
      </c>
      <c r="H19" s="62">
        <f t="shared" si="1"/>
        <v>9</v>
      </c>
      <c r="I19" s="62">
        <f t="shared" si="2"/>
        <v>22</v>
      </c>
      <c r="J19" s="62" t="e">
        <f t="shared" si="3"/>
        <v>#VALUE!</v>
      </c>
      <c r="K19" s="62">
        <f t="shared" si="4"/>
        <v>32</v>
      </c>
      <c r="L19" s="62" t="str">
        <f>IFERROR(VLOOKUP(MID(G19,J19,K19-J19),[6]skilldef!$C:$D,2,FALSE),"-") &amp; " / " &amp; IFERROR(VLOOKUP(MID(G19,H19,I19-H19),[6]skilldef!$A:$B,2,FALSE),"-")</f>
        <v>- / -</v>
      </c>
      <c r="M19" s="62" t="str">
        <f t="shared" si="5"/>
        <v>none</v>
      </c>
      <c r="N19" s="47" t="str">
        <f t="shared" si="6"/>
        <v>none</v>
      </c>
      <c r="O19" s="62" t="e">
        <f t="shared" si="7"/>
        <v>#VALUE!</v>
      </c>
      <c r="P19" s="62">
        <f t="shared" si="8"/>
        <v>4</v>
      </c>
      <c r="Q19" s="62" t="e">
        <f t="shared" si="9"/>
        <v>#VALUE!</v>
      </c>
      <c r="R19" s="62" t="e">
        <f t="shared" si="10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7" t="str">
        <f t="shared" si="11"/>
        <v>none</v>
      </c>
      <c r="U19" s="62" t="e">
        <f t="shared" si="12"/>
        <v>#VALUE!</v>
      </c>
      <c r="V19" s="62">
        <f t="shared" si="13"/>
        <v>4</v>
      </c>
      <c r="W19" s="62" t="e">
        <f t="shared" si="14"/>
        <v>#VALUE!</v>
      </c>
      <c r="X19" s="62" t="e">
        <f t="shared" si="15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  <c r="AC19" s="48">
        <f t="shared" si="16"/>
        <v>3</v>
      </c>
      <c r="AD19" s="48">
        <f t="shared" si="17"/>
        <v>3</v>
      </c>
    </row>
    <row r="20" spans="1:30" ht="21" customHeight="1" x14ac:dyDescent="0.15">
      <c r="A20" s="46">
        <v>58001018</v>
      </c>
      <c r="B20" s="46" t="s">
        <v>263</v>
      </c>
      <c r="C20" s="49">
        <v>1</v>
      </c>
      <c r="D20" s="49" t="s">
        <v>128</v>
      </c>
      <c r="E20" s="50" t="s">
        <v>254</v>
      </c>
      <c r="F20" s="50" t="s">
        <v>253</v>
      </c>
      <c r="G20" s="62" t="str">
        <f t="shared" si="0"/>
        <v>[effect:enemy_message, val1:1.2, val2:1.2]</v>
      </c>
      <c r="H20" s="62">
        <f t="shared" si="1"/>
        <v>9</v>
      </c>
      <c r="I20" s="62">
        <f t="shared" si="2"/>
        <v>22</v>
      </c>
      <c r="J20" s="62" t="e">
        <f t="shared" si="3"/>
        <v>#VALUE!</v>
      </c>
      <c r="K20" s="62">
        <f t="shared" si="4"/>
        <v>32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si="5"/>
        <v>none</v>
      </c>
      <c r="N20" s="47" t="str">
        <f t="shared" si="6"/>
        <v>none</v>
      </c>
      <c r="O20" s="62" t="e">
        <f t="shared" si="7"/>
        <v>#VALUE!</v>
      </c>
      <c r="P20" s="62">
        <f t="shared" si="8"/>
        <v>4</v>
      </c>
      <c r="Q20" s="62" t="e">
        <f t="shared" si="9"/>
        <v>#VALUE!</v>
      </c>
      <c r="R20" s="62" t="e">
        <f t="shared" si="10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11"/>
        <v>none</v>
      </c>
      <c r="U20" s="62" t="e">
        <f t="shared" si="12"/>
        <v>#VALUE!</v>
      </c>
      <c r="V20" s="62">
        <f t="shared" si="13"/>
        <v>4</v>
      </c>
      <c r="W20" s="62" t="e">
        <f t="shared" si="14"/>
        <v>#VALUE!</v>
      </c>
      <c r="X20" s="62" t="e">
        <f t="shared" si="15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  <c r="AC20" s="48">
        <f t="shared" si="16"/>
        <v>3</v>
      </c>
      <c r="AD20" s="48">
        <f t="shared" si="17"/>
        <v>3</v>
      </c>
    </row>
    <row r="21" spans="1:30" ht="21" customHeight="1" x14ac:dyDescent="0.15">
      <c r="A21" s="46">
        <v>58001019</v>
      </c>
      <c r="B21" s="46" t="s">
        <v>263</v>
      </c>
      <c r="C21" s="49">
        <v>1</v>
      </c>
      <c r="D21" s="49" t="s">
        <v>128</v>
      </c>
      <c r="E21" s="50" t="s">
        <v>254</v>
      </c>
      <c r="F21" s="50" t="s">
        <v>253</v>
      </c>
      <c r="G21" s="62" t="str">
        <f t="shared" si="0"/>
        <v>[effect:enemy_message, val1:1.2, val2:1.2]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si="5"/>
        <v>none</v>
      </c>
      <c r="N21" s="47" t="str">
        <f t="shared" si="6"/>
        <v>none</v>
      </c>
      <c r="O21" s="62" t="e">
        <f t="shared" si="7"/>
        <v>#VALUE!</v>
      </c>
      <c r="P21" s="62">
        <f t="shared" si="8"/>
        <v>4</v>
      </c>
      <c r="Q21" s="62" t="e">
        <f t="shared" si="9"/>
        <v>#VALUE!</v>
      </c>
      <c r="R21" s="62" t="e">
        <f t="shared" si="10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si="11"/>
        <v>none</v>
      </c>
      <c r="U21" s="62" t="e">
        <f t="shared" si="12"/>
        <v>#VALUE!</v>
      </c>
      <c r="V21" s="62">
        <f t="shared" si="13"/>
        <v>4</v>
      </c>
      <c r="W21" s="62" t="e">
        <f t="shared" si="14"/>
        <v>#VALUE!</v>
      </c>
      <c r="X21" s="62" t="e">
        <f t="shared" si="15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  <c r="AC21" s="48">
        <f t="shared" si="16"/>
        <v>3</v>
      </c>
      <c r="AD21" s="48">
        <f t="shared" si="17"/>
        <v>3</v>
      </c>
    </row>
    <row r="22" spans="1:30" ht="21" customHeight="1" x14ac:dyDescent="0.15">
      <c r="A22" s="46">
        <v>58001020</v>
      </c>
      <c r="B22" s="46" t="s">
        <v>334</v>
      </c>
      <c r="C22" s="49">
        <v>1</v>
      </c>
      <c r="D22" s="49" t="s">
        <v>128</v>
      </c>
      <c r="E22" s="50" t="s">
        <v>289</v>
      </c>
      <c r="F22" s="50" t="s">
        <v>255</v>
      </c>
      <c r="G22" s="62" t="str">
        <f t="shared" si="0"/>
        <v>[effect:enemy_message, val1:1.6, val2:1.2]</v>
      </c>
      <c r="H22" s="62">
        <f t="shared" si="1"/>
        <v>9</v>
      </c>
      <c r="I22" s="62">
        <f t="shared" si="2"/>
        <v>22</v>
      </c>
      <c r="J22" s="62" t="e">
        <f t="shared" si="3"/>
        <v>#VALUE!</v>
      </c>
      <c r="K22" s="62">
        <f t="shared" si="4"/>
        <v>32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5"/>
        <v>[effect:fix_speed, target:myself, turn:1],[effect:tolerance, target:myself, turn:-1, count:-1, tolerance_effect:all, animation:enemy_tolerance]</v>
      </c>
      <c r="N22" s="47" t="str">
        <f t="shared" si="6"/>
        <v>[effect:fix_speed, target:myself, turn:1],[effect:tolerance, target:myself, turn:-1, count:-1, tolerance_effect:all, animation:enemy_tolerance]</v>
      </c>
      <c r="O22" s="62">
        <f t="shared" si="7"/>
        <v>9</v>
      </c>
      <c r="P22" s="62">
        <f t="shared" si="8"/>
        <v>18</v>
      </c>
      <c r="Q22" s="62">
        <f t="shared" si="9"/>
        <v>27</v>
      </c>
      <c r="R22" s="62">
        <f t="shared" si="10"/>
        <v>33</v>
      </c>
      <c r="S22" s="62" t="str">
        <f>IFERROR(VLOOKUP(MID(N22,Q22,R22-Q22),[6]skilldef!$C:$D,2,FALSE),"-") &amp; " / " &amp; IFERROR(VLOOKUP(MID(N22,O22,P22-O22),[6]skilldef!$A:$B,2,FALSE),"-")</f>
        <v>自分自身に / 行動値設定</v>
      </c>
      <c r="T22" s="47" t="str">
        <f t="shared" si="11"/>
        <v>[effect:tolerance, target:myself, turn:-1, count:-1, tolerance_effect:all, animation:enemy_tolerance]</v>
      </c>
      <c r="U22" s="62">
        <f t="shared" si="12"/>
        <v>9</v>
      </c>
      <c r="V22" s="62">
        <f t="shared" si="13"/>
        <v>18</v>
      </c>
      <c r="W22" s="62">
        <f t="shared" si="14"/>
        <v>27</v>
      </c>
      <c r="X22" s="62">
        <f t="shared" si="15"/>
        <v>33</v>
      </c>
      <c r="Y22" s="62" t="str">
        <f>IFERROR(VLOOKUP(MID(T22,W22,X22-W22),[6]skilldef!$C:$D,2,FALSE),"-") &amp; " / " &amp; IFERROR(VLOOKUP(MID(T22,U22,V22-U22),[6]skilldef!$A:$B,2,FALSE),"-")</f>
        <v>自分自身に / 状態異常耐性</v>
      </c>
      <c r="Z22" s="49"/>
      <c r="AA22" s="51"/>
      <c r="AB22" s="49"/>
      <c r="AC22" s="48">
        <f t="shared" si="16"/>
        <v>16</v>
      </c>
      <c r="AD22" s="48">
        <f t="shared" si="17"/>
        <v>6</v>
      </c>
    </row>
    <row r="23" spans="1:30" ht="21" customHeight="1" x14ac:dyDescent="0.15">
      <c r="A23" s="46">
        <v>58001021</v>
      </c>
      <c r="B23" s="46" t="s">
        <v>400</v>
      </c>
      <c r="C23" s="49">
        <v>1</v>
      </c>
      <c r="D23" s="49" t="s">
        <v>128</v>
      </c>
      <c r="E23" s="50" t="s">
        <v>281</v>
      </c>
      <c r="F23" s="105" t="s">
        <v>376</v>
      </c>
      <c r="G23" s="62" t="str">
        <f t="shared" si="0"/>
        <v>[effect:enemy_message, val1:1.2, val2:2.3]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IFERROR(VLOOKUP(MID(G23,J23,K23-J23),[6]skilldef!$C:$D,2,FALSE),"-") &amp; " / " &amp; IFERROR(VLOOKUP(MID(G23,H23,I23-H23),[6]skilldef!$A:$B,2,FALSE),"-")</f>
        <v>- / -</v>
      </c>
      <c r="M23" s="62" t="str">
        <f t="shared" si="5"/>
        <v>[effect:force_change_block, new_block:jammer, target:block_all, ignore01:crash, ignore02:crack_bomb, ignore03:time_bomb, ignore04:damage, ignore05:color_break, ignore06:magnet, count:5, val:0, animation:change_block],[effect:rush, count:1, val:1]</v>
      </c>
      <c r="N23" s="47" t="str">
        <f t="shared" si="6"/>
        <v>[effect:force_change_block, new_block:jammer, target:block_all, ignore01:crash, ignore02:crack_bomb, ignore03:time_bomb, ignore04:damage, ignore05:color_break, ignore06:magnet, count:5, val:0, animation:change_block],[effect:rush, count:1, val:1]</v>
      </c>
      <c r="O23" s="62">
        <f t="shared" si="7"/>
        <v>9</v>
      </c>
      <c r="P23" s="62">
        <f t="shared" si="8"/>
        <v>27</v>
      </c>
      <c r="Q23" s="62">
        <f t="shared" si="9"/>
        <v>54</v>
      </c>
      <c r="R23" s="62">
        <f t="shared" si="10"/>
        <v>45</v>
      </c>
      <c r="S23" s="62" t="str">
        <f>IFERROR(VLOOKUP(MID(N23,Q23,R23-Q23),[6]skilldef!$C:$D,2,FALSE),"-") &amp; " / " &amp; IFERROR(VLOOKUP(MID(N23,O23,P23-O23),[6]skilldef!$A:$B,2,FALSE),"-")</f>
        <v>- / -</v>
      </c>
      <c r="T23" s="47" t="str">
        <f t="shared" si="11"/>
        <v>[effect:rush, count:1, val:1]</v>
      </c>
      <c r="U23" s="62">
        <f t="shared" si="12"/>
        <v>9</v>
      </c>
      <c r="V23" s="62">
        <f t="shared" si="13"/>
        <v>13</v>
      </c>
      <c r="W23" s="62" t="e">
        <f t="shared" si="14"/>
        <v>#VALUE!</v>
      </c>
      <c r="X23" s="62">
        <f t="shared" si="15"/>
        <v>22</v>
      </c>
      <c r="Y23" s="62" t="str">
        <f>IFERROR(VLOOKUP(MID(T23,W23,X23-W23),[6]skilldef!$C:$D,2,FALSE),"-") &amp; " / " &amp; IFERROR(VLOOKUP(MID(T23,U23,V23-U23),[6]skilldef!$A:$B,2,FALSE),"-")</f>
        <v>- / 連続攻撃</v>
      </c>
      <c r="Z23" s="49"/>
      <c r="AA23" s="51"/>
      <c r="AB23" s="49"/>
      <c r="AC23" s="48">
        <f t="shared" si="16"/>
        <v>4</v>
      </c>
      <c r="AD23" s="48">
        <f t="shared" si="17"/>
        <v>23</v>
      </c>
    </row>
    <row r="24" spans="1:30" ht="21" customHeight="1" x14ac:dyDescent="0.15">
      <c r="A24" s="46">
        <v>58001022</v>
      </c>
      <c r="B24" s="46" t="s">
        <v>399</v>
      </c>
      <c r="C24" s="49">
        <v>1</v>
      </c>
      <c r="D24" s="49" t="s">
        <v>128</v>
      </c>
      <c r="E24" s="50" t="s">
        <v>311</v>
      </c>
      <c r="F24" s="105" t="s">
        <v>377</v>
      </c>
      <c r="G24" s="62" t="str">
        <f t="shared" si="0"/>
        <v>[effect:enemy_message, val1:1.2, val2:1.5]</v>
      </c>
      <c r="H24" s="62">
        <f t="shared" si="1"/>
        <v>9</v>
      </c>
      <c r="I24" s="62">
        <f t="shared" si="2"/>
        <v>22</v>
      </c>
      <c r="J24" s="62" t="e">
        <f t="shared" si="3"/>
        <v>#VALUE!</v>
      </c>
      <c r="K24" s="62">
        <f t="shared" si="4"/>
        <v>32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5"/>
        <v>[effect:break_attack, target:unit_all, val:0.05, lowest_val:1000, count:-1, color:yellow, block01:jammer]</v>
      </c>
      <c r="N24" s="47" t="str">
        <f t="shared" si="6"/>
        <v>[effect:break_attack, target:unit_all, val:0.05, lowest_val:1000, count:-1, color:yellow, block01:jammer]</v>
      </c>
      <c r="O24" s="62">
        <f t="shared" si="7"/>
        <v>9</v>
      </c>
      <c r="P24" s="62">
        <f t="shared" si="8"/>
        <v>21</v>
      </c>
      <c r="Q24" s="62">
        <f t="shared" si="9"/>
        <v>30</v>
      </c>
      <c r="R24" s="62">
        <f t="shared" si="10"/>
        <v>38</v>
      </c>
      <c r="S24" s="62" t="str">
        <f>IFERROR(VLOOKUP(MID(N24,Q24,R24-Q24),[6]skilldef!$C:$D,2,FALSE),"-") &amp; " / " &amp; IFERROR(VLOOKUP(MID(N24,O24,P24-O24),[6]skilldef!$A:$B,2,FALSE),"-")</f>
        <v>味方全体に / -</v>
      </c>
      <c r="T24" s="47" t="str">
        <f t="shared" si="11"/>
        <v>none</v>
      </c>
      <c r="U24" s="62" t="e">
        <f t="shared" si="12"/>
        <v>#VALUE!</v>
      </c>
      <c r="V24" s="62">
        <f t="shared" si="13"/>
        <v>4</v>
      </c>
      <c r="W24" s="62" t="e">
        <f t="shared" si="14"/>
        <v>#VALUE!</v>
      </c>
      <c r="X24" s="62" t="e">
        <f t="shared" si="15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  <c r="AC24" s="48">
        <f t="shared" si="16"/>
        <v>6</v>
      </c>
      <c r="AD24" s="48">
        <f t="shared" si="17"/>
        <v>15</v>
      </c>
    </row>
    <row r="25" spans="1:30" ht="21" customHeight="1" x14ac:dyDescent="0.15">
      <c r="A25" s="46">
        <v>58001023</v>
      </c>
      <c r="B25" s="46" t="s">
        <v>401</v>
      </c>
      <c r="C25" s="49">
        <v>1</v>
      </c>
      <c r="D25" s="49" t="s">
        <v>128</v>
      </c>
      <c r="E25" s="50" t="s">
        <v>290</v>
      </c>
      <c r="F25" s="105" t="s">
        <v>375</v>
      </c>
      <c r="G25" s="62" t="str">
        <f t="shared" si="0"/>
        <v>[effect:enemy_message, val1:1.6, val2:2.4]</v>
      </c>
      <c r="H25" s="62">
        <f t="shared" si="1"/>
        <v>9</v>
      </c>
      <c r="I25" s="62">
        <f t="shared" si="2"/>
        <v>22</v>
      </c>
      <c r="J25" s="62" t="e">
        <f t="shared" si="3"/>
        <v>#VALUE!</v>
      </c>
      <c r="K25" s="62">
        <f t="shared" si="4"/>
        <v>32</v>
      </c>
      <c r="L25" s="62" t="str">
        <f>IFERROR(VLOOKUP(MID(G25,J25,K25-J25),[6]skilldef!$C:$D,2,FALSE),"-") &amp; " / " &amp; IFERROR(VLOOKUP(MID(G25,H25,I25-H25),[6]skilldef!$A:$B,2,FALSE),"-")</f>
        <v>- / -</v>
      </c>
      <c r="M25" s="62" t="str">
        <f t="shared" si="5"/>
        <v>[effect:damage_anti_tribe, target:unit_all, tribe:samurai, val1:0.2, val2:0.6]</v>
      </c>
      <c r="N25" s="47" t="str">
        <f t="shared" si="6"/>
        <v>[effect:damage_anti_tribe, target:unit_all, tribe:samurai, val1:0.2, val2:0.6]</v>
      </c>
      <c r="O25" s="62">
        <f t="shared" si="7"/>
        <v>9</v>
      </c>
      <c r="P25" s="62">
        <f t="shared" si="8"/>
        <v>26</v>
      </c>
      <c r="Q25" s="62">
        <f t="shared" si="9"/>
        <v>35</v>
      </c>
      <c r="R25" s="62">
        <f t="shared" si="10"/>
        <v>43</v>
      </c>
      <c r="S25" s="62" t="str">
        <f>IFERROR(VLOOKUP(MID(N25,Q25,R25-Q25),[6]skilldef!$C:$D,2,FALSE),"-") &amp; " / " &amp; IFERROR(VLOOKUP(MID(N25,O25,P25-O25),[6]skilldef!$A:$B,2,FALSE),"-")</f>
        <v>味方全体に / 種族キラー</v>
      </c>
      <c r="T25" s="47" t="str">
        <f t="shared" si="11"/>
        <v>none</v>
      </c>
      <c r="U25" s="62" t="e">
        <f t="shared" si="12"/>
        <v>#VALUE!</v>
      </c>
      <c r="V25" s="62">
        <f t="shared" si="13"/>
        <v>4</v>
      </c>
      <c r="W25" s="62" t="e">
        <f t="shared" si="14"/>
        <v>#VALUE!</v>
      </c>
      <c r="X25" s="62" t="e">
        <f t="shared" si="15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  <c r="AC25" s="48">
        <f t="shared" si="16"/>
        <v>16</v>
      </c>
      <c r="AD25" s="48">
        <f t="shared" si="17"/>
        <v>24</v>
      </c>
    </row>
    <row r="26" spans="1:30" ht="21" customHeight="1" x14ac:dyDescent="0.15">
      <c r="A26" s="46">
        <v>58001024</v>
      </c>
      <c r="B26" s="46" t="s">
        <v>335</v>
      </c>
      <c r="C26" s="49">
        <v>1</v>
      </c>
      <c r="D26" s="49" t="s">
        <v>128</v>
      </c>
      <c r="E26" s="50" t="s">
        <v>282</v>
      </c>
      <c r="F26" s="105" t="s">
        <v>378</v>
      </c>
      <c r="G26" s="62" t="str">
        <f t="shared" si="0"/>
        <v>[effect:enemy_message, val1:1.5, val2:1.2]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si="5"/>
        <v>[effect:enhance_enemy, target:myself, turn:-1, status:attack, val:0.5, calc:mul, animation:enemy_enhance_attack]</v>
      </c>
      <c r="N26" s="47" t="str">
        <f t="shared" si="6"/>
        <v>[effect:enhance_enemy, target:myself, turn:-1, status:attack, val:0.5, calc:mul, animation:enemy_enhance_attack]</v>
      </c>
      <c r="O26" s="62">
        <f t="shared" si="7"/>
        <v>9</v>
      </c>
      <c r="P26" s="62">
        <f t="shared" si="8"/>
        <v>22</v>
      </c>
      <c r="Q26" s="62">
        <f t="shared" si="9"/>
        <v>31</v>
      </c>
      <c r="R26" s="62">
        <f t="shared" si="10"/>
        <v>37</v>
      </c>
      <c r="S26" s="62" t="str">
        <f>IFERROR(VLOOKUP(MID(N26,Q26,R26-Q26),[6]skilldef!$C:$D,2,FALSE),"-") &amp; " / " &amp; IFERROR(VLOOKUP(MID(N26,O26,P26-O26),[6]skilldef!$A:$B,2,FALSE),"-")</f>
        <v>自分自身に / ステータス強化</v>
      </c>
      <c r="T26" s="47" t="str">
        <f t="shared" si="11"/>
        <v>none</v>
      </c>
      <c r="U26" s="62" t="e">
        <f t="shared" si="12"/>
        <v>#VALUE!</v>
      </c>
      <c r="V26" s="62">
        <f t="shared" si="13"/>
        <v>4</v>
      </c>
      <c r="W26" s="62" t="e">
        <f t="shared" si="14"/>
        <v>#VALUE!</v>
      </c>
      <c r="X26" s="62" t="e">
        <f t="shared" si="15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  <c r="AC26" s="48">
        <f t="shared" si="16"/>
        <v>15</v>
      </c>
      <c r="AD26" s="48">
        <f t="shared" si="17"/>
        <v>8</v>
      </c>
    </row>
    <row r="27" spans="1:30" ht="21" customHeight="1" x14ac:dyDescent="0.15">
      <c r="A27" s="46">
        <v>58001025</v>
      </c>
      <c r="B27" s="46" t="s">
        <v>398</v>
      </c>
      <c r="C27" s="49">
        <v>1</v>
      </c>
      <c r="D27" s="49" t="s">
        <v>128</v>
      </c>
      <c r="E27" s="50" t="s">
        <v>281</v>
      </c>
      <c r="F27" s="105" t="s">
        <v>376</v>
      </c>
      <c r="G27" s="62" t="str">
        <f t="shared" si="0"/>
        <v>[effect:enemy_message, val1:1.2, val2:2.3]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32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si="5"/>
        <v>[effect:force_change_block, new_block:jammer, target:block_all, ignore01:crash, ignore02:crack_bomb, ignore03:time_bomb, ignore04:damage, ignore05:color_break, ignore06:magnet, count:5, val:0, animation:change_block],[effect:rush, count:1, val:1]</v>
      </c>
      <c r="N27" s="47" t="str">
        <f t="shared" si="6"/>
        <v>[effect:force_change_block, new_block:jammer, target:block_all, ignore01:crash, ignore02:crack_bomb, ignore03:time_bomb, ignore04:damage, ignore05:color_break, ignore06:magnet, count:5, val:0, animation:change_block],[effect:rush, count:1, val:1]</v>
      </c>
      <c r="O27" s="62">
        <f t="shared" si="7"/>
        <v>9</v>
      </c>
      <c r="P27" s="62">
        <f t="shared" si="8"/>
        <v>27</v>
      </c>
      <c r="Q27" s="62">
        <f t="shared" si="9"/>
        <v>54</v>
      </c>
      <c r="R27" s="62">
        <f t="shared" si="10"/>
        <v>45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si="11"/>
        <v>[effect:rush, count:1, val:1]</v>
      </c>
      <c r="U27" s="62">
        <f t="shared" si="12"/>
        <v>9</v>
      </c>
      <c r="V27" s="62">
        <f t="shared" si="13"/>
        <v>13</v>
      </c>
      <c r="W27" s="62" t="e">
        <f t="shared" si="14"/>
        <v>#VALUE!</v>
      </c>
      <c r="X27" s="62">
        <f t="shared" si="15"/>
        <v>22</v>
      </c>
      <c r="Y27" s="62" t="str">
        <f>IFERROR(VLOOKUP(MID(T27,W27,X27-W27),[6]skilldef!$C:$D,2,FALSE),"-") &amp; " / " &amp; IFERROR(VLOOKUP(MID(T27,U27,V27-U27),[6]skilldef!$A:$B,2,FALSE),"-")</f>
        <v>- / 連続攻撃</v>
      </c>
      <c r="Z27" s="49"/>
      <c r="AA27" s="51"/>
      <c r="AB27" s="49"/>
      <c r="AC27" s="48">
        <f t="shared" si="16"/>
        <v>4</v>
      </c>
      <c r="AD27" s="48">
        <f t="shared" si="17"/>
        <v>23</v>
      </c>
    </row>
    <row r="28" spans="1:30" ht="21" customHeight="1" x14ac:dyDescent="0.15">
      <c r="A28" s="46">
        <v>58001026</v>
      </c>
      <c r="B28" s="46" t="s">
        <v>402</v>
      </c>
      <c r="C28" s="49">
        <v>1</v>
      </c>
      <c r="D28" s="49" t="s">
        <v>128</v>
      </c>
      <c r="E28" s="50" t="s">
        <v>311</v>
      </c>
      <c r="F28" s="105" t="s">
        <v>377</v>
      </c>
      <c r="G28" s="62" t="str">
        <f t="shared" si="0"/>
        <v>[effect:enemy_message, val1:1.2, val2:1.5]</v>
      </c>
      <c r="H28" s="62">
        <f t="shared" si="1"/>
        <v>9</v>
      </c>
      <c r="I28" s="62">
        <f t="shared" si="2"/>
        <v>22</v>
      </c>
      <c r="J28" s="62" t="e">
        <f t="shared" si="3"/>
        <v>#VALUE!</v>
      </c>
      <c r="K28" s="62">
        <f t="shared" si="4"/>
        <v>32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5"/>
        <v>[effect:break_attack, target:unit_all, val:0.05, lowest_val:1000, count:-1, color:yellow, block01:jammer]</v>
      </c>
      <c r="N28" s="47" t="str">
        <f t="shared" si="6"/>
        <v>[effect:break_attack, target:unit_all, val:0.05, lowest_val:1000, count:-1, color:yellow, block01:jammer]</v>
      </c>
      <c r="O28" s="62">
        <f t="shared" si="7"/>
        <v>9</v>
      </c>
      <c r="P28" s="62">
        <f t="shared" si="8"/>
        <v>21</v>
      </c>
      <c r="Q28" s="62">
        <f t="shared" si="9"/>
        <v>30</v>
      </c>
      <c r="R28" s="62">
        <f t="shared" si="10"/>
        <v>38</v>
      </c>
      <c r="S28" s="62" t="str">
        <f>IFERROR(VLOOKUP(MID(N28,Q28,R28-Q28),[6]skilldef!$C:$D,2,FALSE),"-") &amp; " / " &amp; IFERROR(VLOOKUP(MID(N28,O28,P28-O28),[6]skilldef!$A:$B,2,FALSE),"-")</f>
        <v>味方全体に / -</v>
      </c>
      <c r="T28" s="47" t="str">
        <f t="shared" si="11"/>
        <v>none</v>
      </c>
      <c r="U28" s="62" t="e">
        <f t="shared" si="12"/>
        <v>#VALUE!</v>
      </c>
      <c r="V28" s="62">
        <f t="shared" si="13"/>
        <v>4</v>
      </c>
      <c r="W28" s="62" t="e">
        <f t="shared" si="14"/>
        <v>#VALUE!</v>
      </c>
      <c r="X28" s="62" t="e">
        <f t="shared" si="15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  <c r="AC28" s="48">
        <f t="shared" si="16"/>
        <v>6</v>
      </c>
      <c r="AD28" s="48">
        <f t="shared" si="17"/>
        <v>15</v>
      </c>
    </row>
    <row r="29" spans="1:30" ht="21" customHeight="1" x14ac:dyDescent="0.15">
      <c r="A29" s="46">
        <v>58001027</v>
      </c>
      <c r="B29" s="46" t="s">
        <v>403</v>
      </c>
      <c r="C29" s="49">
        <v>1</v>
      </c>
      <c r="D29" s="49" t="s">
        <v>128</v>
      </c>
      <c r="E29" s="50" t="s">
        <v>290</v>
      </c>
      <c r="F29" s="105" t="s">
        <v>375</v>
      </c>
      <c r="G29" s="62" t="str">
        <f t="shared" si="0"/>
        <v>[effect:enemy_message, val1:1.6, val2:2.4]</v>
      </c>
      <c r="H29" s="62">
        <f t="shared" si="1"/>
        <v>9</v>
      </c>
      <c r="I29" s="62">
        <f t="shared" si="2"/>
        <v>22</v>
      </c>
      <c r="J29" s="62" t="e">
        <f t="shared" si="3"/>
        <v>#VALUE!</v>
      </c>
      <c r="K29" s="62">
        <f t="shared" si="4"/>
        <v>32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si="5"/>
        <v>[effect:damage_anti_tribe, target:unit_all, tribe:samurai, val1:0.2, val2:0.6]</v>
      </c>
      <c r="N29" s="47" t="str">
        <f t="shared" si="6"/>
        <v>[effect:damage_anti_tribe, target:unit_all, tribe:samurai, val1:0.2, val2:0.6]</v>
      </c>
      <c r="O29" s="62">
        <f t="shared" si="7"/>
        <v>9</v>
      </c>
      <c r="P29" s="62">
        <f t="shared" si="8"/>
        <v>26</v>
      </c>
      <c r="Q29" s="62">
        <f t="shared" si="9"/>
        <v>35</v>
      </c>
      <c r="R29" s="62">
        <f t="shared" si="10"/>
        <v>43</v>
      </c>
      <c r="S29" s="62" t="str">
        <f>IFERROR(VLOOKUP(MID(N29,Q29,R29-Q29),[6]skilldef!$C:$D,2,FALSE),"-") &amp; " / " &amp; IFERROR(VLOOKUP(MID(N29,O29,P29-O29),[6]skilldef!$A:$B,2,FALSE),"-")</f>
        <v>味方全体に / 種族キラー</v>
      </c>
      <c r="T29" s="47" t="str">
        <f t="shared" si="11"/>
        <v>none</v>
      </c>
      <c r="U29" s="62" t="e">
        <f t="shared" si="12"/>
        <v>#VALUE!</v>
      </c>
      <c r="V29" s="62">
        <f t="shared" si="13"/>
        <v>4</v>
      </c>
      <c r="W29" s="62" t="e">
        <f t="shared" si="14"/>
        <v>#VALUE!</v>
      </c>
      <c r="X29" s="62" t="e">
        <f t="shared" si="15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  <c r="AC29" s="48">
        <f t="shared" si="16"/>
        <v>16</v>
      </c>
      <c r="AD29" s="48">
        <f t="shared" si="17"/>
        <v>24</v>
      </c>
    </row>
    <row r="30" spans="1:30" ht="21" customHeight="1" x14ac:dyDescent="0.15">
      <c r="A30" s="46">
        <v>58001028</v>
      </c>
      <c r="B30" s="46" t="s">
        <v>263</v>
      </c>
      <c r="C30" s="49">
        <v>1</v>
      </c>
      <c r="D30" s="49" t="s">
        <v>128</v>
      </c>
      <c r="E30" s="50" t="s">
        <v>312</v>
      </c>
      <c r="F30" s="50" t="s">
        <v>313</v>
      </c>
      <c r="G30" s="62" t="str">
        <f t="shared" si="0"/>
        <v>[effect:enemy_message, val1:1.2, val2:1.2]</v>
      </c>
      <c r="H30" s="62">
        <f t="shared" si="1"/>
        <v>9</v>
      </c>
      <c r="I30" s="62">
        <f t="shared" si="2"/>
        <v>22</v>
      </c>
      <c r="J30" s="62" t="e">
        <f t="shared" si="3"/>
        <v>#VALUE!</v>
      </c>
      <c r="K30" s="62">
        <f t="shared" si="4"/>
        <v>32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5"/>
        <v>none</v>
      </c>
      <c r="N30" s="47" t="str">
        <f t="shared" si="6"/>
        <v>none</v>
      </c>
      <c r="O30" s="62" t="e">
        <f t="shared" si="7"/>
        <v>#VALUE!</v>
      </c>
      <c r="P30" s="62">
        <f t="shared" si="8"/>
        <v>4</v>
      </c>
      <c r="Q30" s="62" t="e">
        <f t="shared" si="9"/>
        <v>#VALUE!</v>
      </c>
      <c r="R30" s="62" t="e">
        <f t="shared" si="10"/>
        <v>#VALUE!</v>
      </c>
      <c r="S30" s="62" t="str">
        <f>IFERROR(VLOOKUP(MID(N30,Q30,R30-Q30),[6]skilldef!$C:$D,2,FALSE),"-") &amp; " / " &amp; IFERROR(VLOOKUP(MID(N30,O30,P30-O30),[6]skilldef!$A:$B,2,FALSE),"-")</f>
        <v>- / -</v>
      </c>
      <c r="T30" s="47" t="str">
        <f t="shared" si="11"/>
        <v>none</v>
      </c>
      <c r="U30" s="62" t="e">
        <f t="shared" si="12"/>
        <v>#VALUE!</v>
      </c>
      <c r="V30" s="62">
        <f t="shared" si="13"/>
        <v>4</v>
      </c>
      <c r="W30" s="62" t="e">
        <f t="shared" si="14"/>
        <v>#VALUE!</v>
      </c>
      <c r="X30" s="62" t="e">
        <f t="shared" si="15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  <c r="AC30" s="48">
        <f t="shared" si="16"/>
        <v>7</v>
      </c>
      <c r="AD30" s="48">
        <f t="shared" si="17"/>
        <v>12</v>
      </c>
    </row>
    <row r="31" spans="1:30" ht="21" customHeight="1" x14ac:dyDescent="0.15">
      <c r="A31" s="46">
        <v>58001029</v>
      </c>
      <c r="B31" s="46" t="s">
        <v>263</v>
      </c>
      <c r="C31" s="49">
        <v>1</v>
      </c>
      <c r="D31" s="49" t="s">
        <v>128</v>
      </c>
      <c r="E31" s="50" t="s">
        <v>256</v>
      </c>
      <c r="F31" s="50" t="s">
        <v>253</v>
      </c>
      <c r="G31" s="62" t="str">
        <f t="shared" si="0"/>
        <v>[effect:enemy_message, val1:1.2, val2:1.2]</v>
      </c>
      <c r="H31" s="62">
        <f t="shared" si="1"/>
        <v>9</v>
      </c>
      <c r="I31" s="62">
        <f t="shared" si="2"/>
        <v>22</v>
      </c>
      <c r="J31" s="62" t="e">
        <f t="shared" si="3"/>
        <v>#VALUE!</v>
      </c>
      <c r="K31" s="62">
        <f t="shared" si="4"/>
        <v>32</v>
      </c>
      <c r="L31" s="62" t="str">
        <f>IFERROR(VLOOKUP(MID(G31,J31,K31-J31),[6]skilldef!$C:$D,2,FALSE),"-") &amp; " / " &amp; IFERROR(VLOOKUP(MID(G31,H31,I31-H31),[6]skilldef!$A:$B,2,FALSE),"-")</f>
        <v>- / -</v>
      </c>
      <c r="M31" s="62" t="str">
        <f t="shared" si="5"/>
        <v>none</v>
      </c>
      <c r="N31" s="47" t="str">
        <f t="shared" si="6"/>
        <v>none</v>
      </c>
      <c r="O31" s="62" t="e">
        <f t="shared" si="7"/>
        <v>#VALUE!</v>
      </c>
      <c r="P31" s="62">
        <f t="shared" si="8"/>
        <v>4</v>
      </c>
      <c r="Q31" s="62" t="e">
        <f t="shared" si="9"/>
        <v>#VALUE!</v>
      </c>
      <c r="R31" s="62" t="e">
        <f t="shared" si="10"/>
        <v>#VALUE!</v>
      </c>
      <c r="S31" s="62" t="str">
        <f>IFERROR(VLOOKUP(MID(N31,Q31,R31-Q31),[6]skilldef!$C:$D,2,FALSE),"-") &amp; " / " &amp; IFERROR(VLOOKUP(MID(N31,O31,P31-O31),[6]skilldef!$A:$B,2,FALSE),"-")</f>
        <v>- / -</v>
      </c>
      <c r="T31" s="47" t="str">
        <f t="shared" si="11"/>
        <v>none</v>
      </c>
      <c r="U31" s="62" t="e">
        <f t="shared" si="12"/>
        <v>#VALUE!</v>
      </c>
      <c r="V31" s="62">
        <f t="shared" si="13"/>
        <v>4</v>
      </c>
      <c r="W31" s="62" t="e">
        <f t="shared" si="14"/>
        <v>#VALUE!</v>
      </c>
      <c r="X31" s="62" t="e">
        <f t="shared" si="15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  <c r="AC31" s="48">
        <f t="shared" si="16"/>
        <v>3</v>
      </c>
      <c r="AD31" s="48">
        <f t="shared" si="17"/>
        <v>3</v>
      </c>
    </row>
    <row r="32" spans="1:30" ht="21" customHeight="1" x14ac:dyDescent="0.15">
      <c r="A32" s="46">
        <v>58001030</v>
      </c>
      <c r="B32" s="46" t="s">
        <v>336</v>
      </c>
      <c r="C32" s="49">
        <v>1</v>
      </c>
      <c r="D32" s="49" t="s">
        <v>128</v>
      </c>
      <c r="E32" s="50" t="s">
        <v>314</v>
      </c>
      <c r="F32" s="50" t="s">
        <v>271</v>
      </c>
      <c r="G32" s="62" t="str">
        <f t="shared" si="0"/>
        <v>[effect:enemy_message, val1:1.2, val2:1.9]</v>
      </c>
      <c r="H32" s="62">
        <f t="shared" si="1"/>
        <v>9</v>
      </c>
      <c r="I32" s="62">
        <f t="shared" si="2"/>
        <v>22</v>
      </c>
      <c r="J32" s="62" t="e">
        <f t="shared" si="3"/>
        <v>#VALUE!</v>
      </c>
      <c r="K32" s="62">
        <f t="shared" si="4"/>
        <v>32</v>
      </c>
      <c r="L32" s="62" t="str">
        <f>IFERROR(VLOOKUP(MID(G32,J32,K32-J32),[6]skilldef!$C:$D,2,FALSE),"-") &amp; " / " &amp; IFERROR(VLOOKUP(MID(G32,H32,I32-H32),[6]skilldef!$A:$B,2,FALSE),"-")</f>
        <v>- / -</v>
      </c>
      <c r="M32" s="62" t="str">
        <f t="shared" si="5"/>
        <v>[effect:dis_heart, turn:3, animation:enemy_dis_heart],[effect:rush, count:6, val:0.2]</v>
      </c>
      <c r="N32" s="47" t="str">
        <f t="shared" si="6"/>
        <v>[effect:dis_heart, turn:3, animation:enemy_dis_heart],[effect:rush, count:6, val:0.2]</v>
      </c>
      <c r="O32" s="62">
        <f t="shared" si="7"/>
        <v>9</v>
      </c>
      <c r="P32" s="62">
        <f t="shared" si="8"/>
        <v>18</v>
      </c>
      <c r="Q32" s="62" t="e">
        <f t="shared" si="9"/>
        <v>#VALUE!</v>
      </c>
      <c r="R32" s="62">
        <f t="shared" si="10"/>
        <v>26</v>
      </c>
      <c r="S32" s="62" t="str">
        <f>IFERROR(VLOOKUP(MID(N32,Q32,R32-Q32),[6]skilldef!$C:$D,2,FALSE),"-") &amp; " / " &amp; IFERROR(VLOOKUP(MID(N32,O32,P32-O32),[6]skilldef!$A:$B,2,FALSE),"-")</f>
        <v>- / ディスハート</v>
      </c>
      <c r="T32" s="47" t="str">
        <f t="shared" si="11"/>
        <v>[effect:rush, count:6, val:0.2]</v>
      </c>
      <c r="U32" s="62">
        <f t="shared" si="12"/>
        <v>9</v>
      </c>
      <c r="V32" s="62">
        <f t="shared" si="13"/>
        <v>13</v>
      </c>
      <c r="W32" s="62" t="e">
        <f t="shared" si="14"/>
        <v>#VALUE!</v>
      </c>
      <c r="X32" s="62">
        <f t="shared" si="15"/>
        <v>22</v>
      </c>
      <c r="Y32" s="62" t="str">
        <f>IFERROR(VLOOKUP(MID(T32,W32,X32-W32),[6]skilldef!$C:$D,2,FALSE),"-") &amp; " / " &amp; IFERROR(VLOOKUP(MID(T32,U32,V32-U32),[6]skilldef!$A:$B,2,FALSE),"-")</f>
        <v>- / 連続攻撃</v>
      </c>
      <c r="Z32" s="49"/>
      <c r="AA32" s="51"/>
      <c r="AB32" s="49"/>
      <c r="AC32" s="48">
        <f t="shared" si="16"/>
        <v>2</v>
      </c>
      <c r="AD32" s="48">
        <f t="shared" si="17"/>
        <v>19</v>
      </c>
    </row>
    <row r="33" spans="1:30" ht="21" customHeight="1" x14ac:dyDescent="0.15">
      <c r="A33" s="46">
        <v>58001031</v>
      </c>
      <c r="B33" s="46" t="s">
        <v>404</v>
      </c>
      <c r="C33" s="49">
        <v>1</v>
      </c>
      <c r="D33" s="49" t="s">
        <v>128</v>
      </c>
      <c r="E33" s="50" t="s">
        <v>315</v>
      </c>
      <c r="F33" s="105" t="s">
        <v>379</v>
      </c>
      <c r="G33" s="62" t="str">
        <f t="shared" si="0"/>
        <v>[effect:enemy_message, val1:1.2, val2:1.3]</v>
      </c>
      <c r="H33" s="62">
        <f t="shared" si="1"/>
        <v>9</v>
      </c>
      <c r="I33" s="62">
        <f t="shared" si="2"/>
        <v>22</v>
      </c>
      <c r="J33" s="62" t="e">
        <f t="shared" si="3"/>
        <v>#VALUE!</v>
      </c>
      <c r="K33" s="62">
        <f t="shared" si="4"/>
        <v>32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5"/>
        <v>[effect:break_attack, target:unit_one, val:0.1, lowest_val:1000, count:-1, color:green, block01:block_heart]</v>
      </c>
      <c r="N33" s="47" t="str">
        <f t="shared" si="6"/>
        <v>[effect:break_attack, target:unit_one, val:0.1, lowest_val:1000, count:-1, color:green, block01:block_heart]</v>
      </c>
      <c r="O33" s="62">
        <f t="shared" si="7"/>
        <v>9</v>
      </c>
      <c r="P33" s="62">
        <f t="shared" si="8"/>
        <v>21</v>
      </c>
      <c r="Q33" s="62">
        <f t="shared" si="9"/>
        <v>30</v>
      </c>
      <c r="R33" s="62">
        <f t="shared" si="10"/>
        <v>38</v>
      </c>
      <c r="S33" s="62" t="str">
        <f>IFERROR(VLOOKUP(MID(N33,Q33,R33-Q33),[6]skilldef!$C:$D,2,FALSE),"-") &amp; " / " &amp; IFERROR(VLOOKUP(MID(N33,O33,P33-O33),[6]skilldef!$A:$B,2,FALSE),"-")</f>
        <v>味方単体に / -</v>
      </c>
      <c r="T33" s="47" t="str">
        <f t="shared" si="11"/>
        <v>none</v>
      </c>
      <c r="U33" s="62" t="e">
        <f t="shared" si="12"/>
        <v>#VALUE!</v>
      </c>
      <c r="V33" s="62">
        <f t="shared" si="13"/>
        <v>4</v>
      </c>
      <c r="W33" s="62" t="e">
        <f t="shared" si="14"/>
        <v>#VALUE!</v>
      </c>
      <c r="X33" s="62" t="e">
        <f t="shared" si="15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  <c r="AC33" s="48">
        <f t="shared" si="16"/>
        <v>6</v>
      </c>
      <c r="AD33" s="48">
        <f t="shared" si="17"/>
        <v>13</v>
      </c>
    </row>
    <row r="34" spans="1:30" ht="21" customHeight="1" x14ac:dyDescent="0.15">
      <c r="A34" s="46">
        <v>58001032</v>
      </c>
      <c r="B34" s="46" t="s">
        <v>267</v>
      </c>
      <c r="C34" s="49">
        <v>1</v>
      </c>
      <c r="D34" s="49" t="s">
        <v>128</v>
      </c>
      <c r="E34" s="50" t="s">
        <v>316</v>
      </c>
      <c r="F34" s="105" t="s">
        <v>380</v>
      </c>
      <c r="G34" s="62" t="str">
        <f t="shared" si="0"/>
        <v>[effect:enemy_message, val1:1.2, val2:1.2]</v>
      </c>
      <c r="H34" s="62">
        <f t="shared" si="1"/>
        <v>9</v>
      </c>
      <c r="I34" s="62">
        <f t="shared" si="2"/>
        <v>22</v>
      </c>
      <c r="J34" s="62" t="e">
        <f t="shared" si="3"/>
        <v>#VALUE!</v>
      </c>
      <c r="K34" s="62">
        <f t="shared" si="4"/>
        <v>32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5"/>
        <v>[effect:fix_speed, target:myself, turn:1]</v>
      </c>
      <c r="N34" s="47" t="str">
        <f t="shared" si="6"/>
        <v>[effect:fix_speed, target:myself, turn:1]</v>
      </c>
      <c r="O34" s="62">
        <f t="shared" si="7"/>
        <v>9</v>
      </c>
      <c r="P34" s="62">
        <f t="shared" si="8"/>
        <v>18</v>
      </c>
      <c r="Q34" s="62">
        <f t="shared" si="9"/>
        <v>27</v>
      </c>
      <c r="R34" s="62">
        <f t="shared" si="10"/>
        <v>33</v>
      </c>
      <c r="S34" s="62" t="str">
        <f>IFERROR(VLOOKUP(MID(N34,Q34,R34-Q34),[6]skilldef!$C:$D,2,FALSE),"-") &amp; " / " &amp; IFERROR(VLOOKUP(MID(N34,O34,P34-O34),[6]skilldef!$A:$B,2,FALSE),"-")</f>
        <v>自分自身に / 行動値設定</v>
      </c>
      <c r="T34" s="47" t="str">
        <f t="shared" si="11"/>
        <v>none</v>
      </c>
      <c r="U34" s="62" t="e">
        <f t="shared" si="12"/>
        <v>#VALUE!</v>
      </c>
      <c r="V34" s="62">
        <f t="shared" si="13"/>
        <v>4</v>
      </c>
      <c r="W34" s="62" t="e">
        <f t="shared" si="14"/>
        <v>#VALUE!</v>
      </c>
      <c r="X34" s="62" t="e">
        <f t="shared" si="15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  <c r="AC34" s="48">
        <f t="shared" si="16"/>
        <v>4</v>
      </c>
      <c r="AD34" s="48">
        <f t="shared" si="17"/>
        <v>9</v>
      </c>
    </row>
    <row r="35" spans="1:30" ht="21" customHeight="1" x14ac:dyDescent="0.15">
      <c r="A35" s="46">
        <v>58001033</v>
      </c>
      <c r="B35" s="46" t="s">
        <v>272</v>
      </c>
      <c r="C35" s="49">
        <v>1</v>
      </c>
      <c r="D35" s="49" t="s">
        <v>128</v>
      </c>
      <c r="E35" s="50" t="s">
        <v>317</v>
      </c>
      <c r="F35" s="105" t="s">
        <v>381</v>
      </c>
      <c r="G35" s="62" t="str">
        <f t="shared" si="0"/>
        <v>[effect:enemy_message, val1:1.2, val2:1.2]</v>
      </c>
      <c r="H35" s="62">
        <f t="shared" si="1"/>
        <v>9</v>
      </c>
      <c r="I35" s="62">
        <f t="shared" si="2"/>
        <v>22</v>
      </c>
      <c r="J35" s="62" t="e">
        <f t="shared" si="3"/>
        <v>#VALUE!</v>
      </c>
      <c r="K35" s="62">
        <f t="shared" si="4"/>
        <v>32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5"/>
        <v>[effect:enhance_enemy, target:myself, turn:3, status:attack, val:1.2, calc:mul, animation:enemy_enhance_attack]</v>
      </c>
      <c r="N35" s="47" t="str">
        <f t="shared" si="6"/>
        <v>[effect:enhance_enemy, target:myself, turn:3, status:attack, val:1.2, calc:mul, animation:enemy_enhance_attack]</v>
      </c>
      <c r="O35" s="62">
        <f t="shared" si="7"/>
        <v>9</v>
      </c>
      <c r="P35" s="62">
        <f t="shared" si="8"/>
        <v>22</v>
      </c>
      <c r="Q35" s="62">
        <f t="shared" si="9"/>
        <v>31</v>
      </c>
      <c r="R35" s="62">
        <f t="shared" si="10"/>
        <v>37</v>
      </c>
      <c r="S35" s="62" t="str">
        <f>IFERROR(VLOOKUP(MID(N35,Q35,R35-Q35),[6]skilldef!$C:$D,2,FALSE),"-") &amp; " / " &amp; IFERROR(VLOOKUP(MID(N35,O35,P35-O35),[6]skilldef!$A:$B,2,FALSE),"-")</f>
        <v>自分自身に / ステータス強化</v>
      </c>
      <c r="T35" s="47" t="str">
        <f t="shared" si="11"/>
        <v>none</v>
      </c>
      <c r="U35" s="62" t="e">
        <f t="shared" si="12"/>
        <v>#VALUE!</v>
      </c>
      <c r="V35" s="62">
        <f t="shared" si="13"/>
        <v>4</v>
      </c>
      <c r="W35" s="62" t="e">
        <f t="shared" si="14"/>
        <v>#VALUE!</v>
      </c>
      <c r="X35" s="62" t="e">
        <f t="shared" si="15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49"/>
      <c r="AA35" s="51"/>
      <c r="AB35" s="49"/>
      <c r="AC35" s="48">
        <f t="shared" si="16"/>
        <v>4</v>
      </c>
      <c r="AD35" s="48">
        <f t="shared" si="17"/>
        <v>12</v>
      </c>
    </row>
    <row r="36" spans="1:30" ht="21" customHeight="1" x14ac:dyDescent="0.15">
      <c r="A36" s="46">
        <v>58001034</v>
      </c>
      <c r="B36" s="46" t="s">
        <v>263</v>
      </c>
      <c r="C36" s="49">
        <v>1</v>
      </c>
      <c r="D36" s="49" t="s">
        <v>128</v>
      </c>
      <c r="E36" s="50" t="s">
        <v>257</v>
      </c>
      <c r="F36" s="50" t="s">
        <v>253</v>
      </c>
      <c r="G36" s="62" t="str">
        <f t="shared" si="0"/>
        <v>[effect:enemy_message, val1:1.2, val2:1.2]</v>
      </c>
      <c r="H36" s="62">
        <f t="shared" si="1"/>
        <v>9</v>
      </c>
      <c r="I36" s="62">
        <f t="shared" si="2"/>
        <v>22</v>
      </c>
      <c r="J36" s="62" t="e">
        <f t="shared" si="3"/>
        <v>#VALUE!</v>
      </c>
      <c r="K36" s="62">
        <f t="shared" si="4"/>
        <v>32</v>
      </c>
      <c r="L36" s="62" t="str">
        <f>IFERROR(VLOOKUP(MID(G36,J36,K36-J36),[6]skilldef!$C:$D,2,FALSE),"-") &amp; " / " &amp; IFERROR(VLOOKUP(MID(G36,H36,I36-H36),[6]skilldef!$A:$B,2,FALSE),"-")</f>
        <v>- / -</v>
      </c>
      <c r="M36" s="62" t="str">
        <f t="shared" si="5"/>
        <v>none</v>
      </c>
      <c r="N36" s="47" t="str">
        <f t="shared" si="6"/>
        <v>none</v>
      </c>
      <c r="O36" s="62" t="e">
        <f t="shared" si="7"/>
        <v>#VALUE!</v>
      </c>
      <c r="P36" s="62">
        <f t="shared" si="8"/>
        <v>4</v>
      </c>
      <c r="Q36" s="62" t="e">
        <f t="shared" si="9"/>
        <v>#VALUE!</v>
      </c>
      <c r="R36" s="62" t="e">
        <f t="shared" si="10"/>
        <v>#VALUE!</v>
      </c>
      <c r="S36" s="62" t="str">
        <f>IFERROR(VLOOKUP(MID(N36,Q36,R36-Q36),[6]skilldef!$C:$D,2,FALSE),"-") &amp; " / " &amp; IFERROR(VLOOKUP(MID(N36,O36,P36-O36),[6]skilldef!$A:$B,2,FALSE),"-")</f>
        <v>- / -</v>
      </c>
      <c r="T36" s="47" t="str">
        <f t="shared" si="11"/>
        <v>none</v>
      </c>
      <c r="U36" s="62" t="e">
        <f t="shared" si="12"/>
        <v>#VALUE!</v>
      </c>
      <c r="V36" s="62">
        <f t="shared" si="13"/>
        <v>4</v>
      </c>
      <c r="W36" s="62" t="e">
        <f t="shared" si="14"/>
        <v>#VALUE!</v>
      </c>
      <c r="X36" s="62" t="e">
        <f t="shared" si="15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  <c r="AC36" s="48">
        <f t="shared" si="16"/>
        <v>4</v>
      </c>
      <c r="AD36" s="48">
        <f t="shared" si="17"/>
        <v>3</v>
      </c>
    </row>
    <row r="37" spans="1:30" ht="21" customHeight="1" x14ac:dyDescent="0.15">
      <c r="A37" s="46">
        <v>58001035</v>
      </c>
      <c r="B37" s="46" t="s">
        <v>273</v>
      </c>
      <c r="C37" s="49">
        <v>1</v>
      </c>
      <c r="D37" s="49" t="s">
        <v>128</v>
      </c>
      <c r="E37" s="50" t="s">
        <v>284</v>
      </c>
      <c r="F37" s="50" t="s">
        <v>259</v>
      </c>
      <c r="G37" s="62" t="str">
        <f t="shared" si="0"/>
        <v>[effect:enemy_message, val1:1.2, val2:1.2]</v>
      </c>
      <c r="H37" s="62">
        <f t="shared" si="1"/>
        <v>9</v>
      </c>
      <c r="I37" s="62">
        <f t="shared" si="2"/>
        <v>22</v>
      </c>
      <c r="J37" s="62" t="e">
        <f t="shared" si="3"/>
        <v>#VALUE!</v>
      </c>
      <c r="K37" s="62">
        <f t="shared" si="4"/>
        <v>32</v>
      </c>
      <c r="L37" s="62" t="str">
        <f>IFERROR(VLOOKUP(MID(G37,J37,K37-J37),[6]skilldef!$C:$D,2,FALSE),"-") &amp; " / " &amp; IFERROR(VLOOKUP(MID(G37,H37,I37-H37),[6]skilldef!$A:$B,2,FALSE),"-")</f>
        <v>- / -</v>
      </c>
      <c r="M37" s="62" t="str">
        <f t="shared" si="5"/>
        <v>[effect:enhance_enemy, target:enemy_all, turn:-1, status:attack, val:1.1, calc:mul, animation:enemy_enhance_attack]</v>
      </c>
      <c r="N37" s="47" t="str">
        <f t="shared" si="6"/>
        <v>[effect:enhance_enemy, target:enemy_all, turn:-1, status:attack, val:1.1, calc:mul, animation:enemy_enhance_attack]</v>
      </c>
      <c r="O37" s="62">
        <f t="shared" si="7"/>
        <v>9</v>
      </c>
      <c r="P37" s="62">
        <f t="shared" si="8"/>
        <v>22</v>
      </c>
      <c r="Q37" s="62">
        <f t="shared" si="9"/>
        <v>31</v>
      </c>
      <c r="R37" s="62">
        <f t="shared" si="10"/>
        <v>40</v>
      </c>
      <c r="S37" s="62" t="str">
        <f>IFERROR(VLOOKUP(MID(N37,Q37,R37-Q37),[6]skilldef!$C:$D,2,FALSE),"-") &amp; " / " &amp; IFERROR(VLOOKUP(MID(N37,O37,P37-O37),[6]skilldef!$A:$B,2,FALSE),"-")</f>
        <v>敵全体に / ステータス強化</v>
      </c>
      <c r="T37" s="47" t="str">
        <f t="shared" si="11"/>
        <v>none</v>
      </c>
      <c r="U37" s="62" t="e">
        <f t="shared" si="12"/>
        <v>#VALUE!</v>
      </c>
      <c r="V37" s="62">
        <f t="shared" si="13"/>
        <v>4</v>
      </c>
      <c r="W37" s="62" t="e">
        <f t="shared" si="14"/>
        <v>#VALUE!</v>
      </c>
      <c r="X37" s="62" t="e">
        <f t="shared" si="15"/>
        <v>#VALUE!</v>
      </c>
      <c r="Y37" s="62" t="str">
        <f>IFERROR(VLOOKUP(MID(T37,W37,X37-W37),[6]skilldef!$C:$D,2,FALSE),"-") &amp; " / " &amp; IFERROR(VLOOKUP(MID(T37,U37,V37-U37),[6]skilldef!$A:$B,2,FALSE),"-")</f>
        <v>- / -</v>
      </c>
      <c r="Z37" s="49"/>
      <c r="AA37" s="51"/>
      <c r="AB37" s="49"/>
      <c r="AC37" s="48">
        <f t="shared" si="16"/>
        <v>4</v>
      </c>
      <c r="AD37" s="48">
        <f t="shared" si="17"/>
        <v>9</v>
      </c>
    </row>
    <row r="38" spans="1:30" ht="21" customHeight="1" x14ac:dyDescent="0.15">
      <c r="A38" s="46">
        <v>58001036</v>
      </c>
      <c r="B38" s="46" t="s">
        <v>266</v>
      </c>
      <c r="C38" s="49">
        <v>1</v>
      </c>
      <c r="D38" s="49" t="s">
        <v>128</v>
      </c>
      <c r="E38" s="50" t="s">
        <v>286</v>
      </c>
      <c r="F38" s="50" t="s">
        <v>270</v>
      </c>
      <c r="G38" s="62" t="str">
        <f t="shared" si="0"/>
        <v>[effect:enemy_message, val1:1.2, val2:1.2]</v>
      </c>
      <c r="H38" s="62">
        <f t="shared" si="1"/>
        <v>9</v>
      </c>
      <c r="I38" s="62">
        <f t="shared" si="2"/>
        <v>22</v>
      </c>
      <c r="J38" s="62" t="e">
        <f t="shared" si="3"/>
        <v>#VALUE!</v>
      </c>
      <c r="K38" s="62">
        <f t="shared" si="4"/>
        <v>32</v>
      </c>
      <c r="L38" s="62" t="str">
        <f>IFERROR(VLOOKUP(MID(G38,J38,K38-J38),[6]skilldef!$C:$D,2,FALSE),"-") &amp; " / " &amp; IFERROR(VLOOKUP(MID(G38,H38,I38-H38),[6]skilldef!$A:$B,2,FALSE),"-")</f>
        <v>- / -</v>
      </c>
      <c r="M38" s="62" t="str">
        <f t="shared" si="5"/>
        <v>[effect:rush, count:4, val:0.3]</v>
      </c>
      <c r="N38" s="47" t="str">
        <f t="shared" si="6"/>
        <v>[effect:rush, count:4, val:0.3]</v>
      </c>
      <c r="O38" s="62">
        <f t="shared" si="7"/>
        <v>9</v>
      </c>
      <c r="P38" s="62">
        <f t="shared" si="8"/>
        <v>13</v>
      </c>
      <c r="Q38" s="62" t="e">
        <f t="shared" si="9"/>
        <v>#VALUE!</v>
      </c>
      <c r="R38" s="62">
        <f t="shared" si="10"/>
        <v>22</v>
      </c>
      <c r="S38" s="62" t="str">
        <f>IFERROR(VLOOKUP(MID(N38,Q38,R38-Q38),[6]skilldef!$C:$D,2,FALSE),"-") &amp; " / " &amp; IFERROR(VLOOKUP(MID(N38,O38,P38-O38),[6]skilldef!$A:$B,2,FALSE),"-")</f>
        <v>- / 連続攻撃</v>
      </c>
      <c r="T38" s="47" t="str">
        <f t="shared" si="11"/>
        <v>none</v>
      </c>
      <c r="U38" s="62" t="e">
        <f t="shared" si="12"/>
        <v>#VALUE!</v>
      </c>
      <c r="V38" s="62">
        <f t="shared" si="13"/>
        <v>4</v>
      </c>
      <c r="W38" s="62" t="e">
        <f t="shared" si="14"/>
        <v>#VALUE!</v>
      </c>
      <c r="X38" s="62" t="e">
        <f t="shared" si="15"/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49"/>
      <c r="AA38" s="51"/>
      <c r="AB38" s="49"/>
      <c r="AC38" s="48">
        <f t="shared" si="16"/>
        <v>4</v>
      </c>
      <c r="AD38" s="48">
        <f t="shared" si="17"/>
        <v>6</v>
      </c>
    </row>
    <row r="39" spans="1:30" ht="21" customHeight="1" x14ac:dyDescent="0.15">
      <c r="A39" s="46">
        <v>58001037</v>
      </c>
      <c r="B39" s="46" t="s">
        <v>332</v>
      </c>
      <c r="C39" s="49">
        <v>1</v>
      </c>
      <c r="D39" s="49" t="s">
        <v>128</v>
      </c>
      <c r="E39" s="50" t="s">
        <v>285</v>
      </c>
      <c r="F39" s="50" t="s">
        <v>269</v>
      </c>
      <c r="G39" s="62" t="str">
        <f t="shared" si="0"/>
        <v>[effect:enemy_message, val1:1.2, val2:2.1]</v>
      </c>
      <c r="H39" s="62">
        <f t="shared" si="1"/>
        <v>9</v>
      </c>
      <c r="I39" s="62">
        <f t="shared" si="2"/>
        <v>22</v>
      </c>
      <c r="J39" s="62" t="e">
        <f t="shared" si="3"/>
        <v>#VALUE!</v>
      </c>
      <c r="K39" s="62">
        <f t="shared" si="4"/>
        <v>32</v>
      </c>
      <c r="L39" s="62" t="str">
        <f>IFERROR(VLOOKUP(MID(G39,J39,K39-J39),[6]skilldef!$C:$D,2,FALSE),"-") &amp; " / " &amp; IFERROR(VLOOKUP(MID(G39,H39,I39-H39),[6]skilldef!$A:$B,2,FALSE),"-")</f>
        <v>- / -</v>
      </c>
      <c r="M39" s="62" t="str">
        <f t="shared" si="5"/>
        <v>[effect:damage_anti_tribe, target:unit_all, tribe:machine, val1:1, val2:0.25]</v>
      </c>
      <c r="N39" s="47" t="str">
        <f t="shared" si="6"/>
        <v>[effect:damage_anti_tribe, target:unit_all, tribe:machine, val1:1, val2:0.25]</v>
      </c>
      <c r="O39" s="62">
        <f t="shared" si="7"/>
        <v>9</v>
      </c>
      <c r="P39" s="62">
        <f t="shared" si="8"/>
        <v>26</v>
      </c>
      <c r="Q39" s="62">
        <f t="shared" si="9"/>
        <v>35</v>
      </c>
      <c r="R39" s="62">
        <f t="shared" si="10"/>
        <v>43</v>
      </c>
      <c r="S39" s="62" t="str">
        <f>IFERROR(VLOOKUP(MID(N39,Q39,R39-Q39),[6]skilldef!$C:$D,2,FALSE),"-") &amp; " / " &amp; IFERROR(VLOOKUP(MID(N39,O39,P39-O39),[6]skilldef!$A:$B,2,FALSE),"-")</f>
        <v>味方全体に / 種族キラー</v>
      </c>
      <c r="T39" s="47" t="str">
        <f t="shared" si="11"/>
        <v>none</v>
      </c>
      <c r="U39" s="62" t="e">
        <f t="shared" si="12"/>
        <v>#VALUE!</v>
      </c>
      <c r="V39" s="62">
        <f t="shared" si="13"/>
        <v>4</v>
      </c>
      <c r="W39" s="62" t="e">
        <f t="shared" si="14"/>
        <v>#VALUE!</v>
      </c>
      <c r="X39" s="62" t="e">
        <f t="shared" si="15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49"/>
      <c r="AA39" s="51"/>
      <c r="AB39" s="49"/>
      <c r="AC39" s="48">
        <f t="shared" si="16"/>
        <v>3</v>
      </c>
      <c r="AD39" s="48">
        <f t="shared" si="17"/>
        <v>21</v>
      </c>
    </row>
    <row r="40" spans="1:30" ht="21" customHeight="1" x14ac:dyDescent="0.15">
      <c r="A40" s="46">
        <v>58001038</v>
      </c>
      <c r="B40" s="46" t="s">
        <v>263</v>
      </c>
      <c r="C40" s="49">
        <v>1</v>
      </c>
      <c r="D40" s="49" t="s">
        <v>128</v>
      </c>
      <c r="E40" s="50" t="s">
        <v>258</v>
      </c>
      <c r="F40" s="50" t="s">
        <v>253</v>
      </c>
      <c r="G40" s="62" t="str">
        <f t="shared" si="0"/>
        <v>[effect:enemy_message, val1:1.2, val2:1.2]</v>
      </c>
      <c r="H40" s="62">
        <f t="shared" si="1"/>
        <v>9</v>
      </c>
      <c r="I40" s="62">
        <f t="shared" si="2"/>
        <v>22</v>
      </c>
      <c r="J40" s="62" t="e">
        <f t="shared" si="3"/>
        <v>#VALUE!</v>
      </c>
      <c r="K40" s="62">
        <f t="shared" si="4"/>
        <v>32</v>
      </c>
      <c r="L40" s="62" t="str">
        <f>IFERROR(VLOOKUP(MID(G40,J40,K40-J40),[6]skilldef!$C:$D,2,FALSE),"-") &amp; " / " &amp; IFERROR(VLOOKUP(MID(G40,H40,I40-H40),[6]skilldef!$A:$B,2,FALSE),"-")</f>
        <v>- / -</v>
      </c>
      <c r="M40" s="62" t="str">
        <f t="shared" si="5"/>
        <v>none</v>
      </c>
      <c r="N40" s="47" t="str">
        <f t="shared" si="6"/>
        <v>none</v>
      </c>
      <c r="O40" s="62" t="e">
        <f t="shared" si="7"/>
        <v>#VALUE!</v>
      </c>
      <c r="P40" s="62">
        <f t="shared" si="8"/>
        <v>4</v>
      </c>
      <c r="Q40" s="62" t="e">
        <f t="shared" si="9"/>
        <v>#VALUE!</v>
      </c>
      <c r="R40" s="62" t="e">
        <f t="shared" si="10"/>
        <v>#VALUE!</v>
      </c>
      <c r="S40" s="62" t="str">
        <f>IFERROR(VLOOKUP(MID(N40,Q40,R40-Q40),[6]skilldef!$C:$D,2,FALSE),"-") &amp; " / " &amp; IFERROR(VLOOKUP(MID(N40,O40,P40-O40),[6]skilldef!$A:$B,2,FALSE),"-")</f>
        <v>- / -</v>
      </c>
      <c r="T40" s="47" t="str">
        <f t="shared" si="11"/>
        <v>none</v>
      </c>
      <c r="U40" s="62" t="e">
        <f t="shared" si="12"/>
        <v>#VALUE!</v>
      </c>
      <c r="V40" s="62">
        <f t="shared" si="13"/>
        <v>4</v>
      </c>
      <c r="W40" s="62" t="e">
        <f t="shared" si="14"/>
        <v>#VALUE!</v>
      </c>
      <c r="X40" s="62" t="e">
        <f t="shared" si="15"/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49"/>
      <c r="AA40" s="51"/>
      <c r="AB40" s="49"/>
      <c r="AC40" s="48">
        <f t="shared" si="16"/>
        <v>3</v>
      </c>
      <c r="AD40" s="48">
        <f t="shared" si="17"/>
        <v>3</v>
      </c>
    </row>
    <row r="41" spans="1:30" ht="21" customHeight="1" x14ac:dyDescent="0.15">
      <c r="A41" s="46">
        <v>58001039</v>
      </c>
      <c r="B41" s="46" t="s">
        <v>263</v>
      </c>
      <c r="C41" s="49">
        <v>1</v>
      </c>
      <c r="D41" s="49" t="s">
        <v>128</v>
      </c>
      <c r="E41" s="50" t="s">
        <v>258</v>
      </c>
      <c r="F41" s="50" t="s">
        <v>253</v>
      </c>
      <c r="G41" s="62" t="str">
        <f t="shared" si="0"/>
        <v>[effect:enemy_message, val1:1.2, val2:1.2]</v>
      </c>
      <c r="H41" s="62">
        <f t="shared" si="1"/>
        <v>9</v>
      </c>
      <c r="I41" s="62">
        <f t="shared" si="2"/>
        <v>22</v>
      </c>
      <c r="J41" s="62" t="e">
        <f t="shared" si="3"/>
        <v>#VALUE!</v>
      </c>
      <c r="K41" s="62">
        <f t="shared" si="4"/>
        <v>32</v>
      </c>
      <c r="L41" s="62" t="str">
        <f>IFERROR(VLOOKUP(MID(G41,J41,K41-J41),[6]skilldef!$C:$D,2,FALSE),"-") &amp; " / " &amp; IFERROR(VLOOKUP(MID(G41,H41,I41-H41),[6]skilldef!$A:$B,2,FALSE),"-")</f>
        <v>- / -</v>
      </c>
      <c r="M41" s="62" t="str">
        <f t="shared" si="5"/>
        <v>none</v>
      </c>
      <c r="N41" s="47" t="str">
        <f t="shared" si="6"/>
        <v>none</v>
      </c>
      <c r="O41" s="62" t="e">
        <f t="shared" si="7"/>
        <v>#VALUE!</v>
      </c>
      <c r="P41" s="62">
        <f t="shared" si="8"/>
        <v>4</v>
      </c>
      <c r="Q41" s="62" t="e">
        <f t="shared" si="9"/>
        <v>#VALUE!</v>
      </c>
      <c r="R41" s="62" t="e">
        <f t="shared" si="10"/>
        <v>#VALUE!</v>
      </c>
      <c r="S41" s="62" t="str">
        <f>IFERROR(VLOOKUP(MID(N41,Q41,R41-Q41),[6]skilldef!$C:$D,2,FALSE),"-") &amp; " / " &amp; IFERROR(VLOOKUP(MID(N41,O41,P41-O41),[6]skilldef!$A:$B,2,FALSE),"-")</f>
        <v>- / -</v>
      </c>
      <c r="T41" s="47" t="str">
        <f t="shared" si="11"/>
        <v>none</v>
      </c>
      <c r="U41" s="62" t="e">
        <f t="shared" si="12"/>
        <v>#VALUE!</v>
      </c>
      <c r="V41" s="62">
        <f t="shared" si="13"/>
        <v>4</v>
      </c>
      <c r="W41" s="62" t="e">
        <f t="shared" si="14"/>
        <v>#VALUE!</v>
      </c>
      <c r="X41" s="62" t="e">
        <f t="shared" si="15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49"/>
      <c r="AA41" s="51"/>
      <c r="AB41" s="49"/>
      <c r="AC41" s="48">
        <f t="shared" si="16"/>
        <v>3</v>
      </c>
      <c r="AD41" s="48">
        <f t="shared" si="17"/>
        <v>3</v>
      </c>
    </row>
    <row r="42" spans="1:30" ht="21" customHeight="1" x14ac:dyDescent="0.15">
      <c r="A42" s="46">
        <v>58001040</v>
      </c>
      <c r="B42" s="46" t="s">
        <v>405</v>
      </c>
      <c r="C42" s="49">
        <v>1</v>
      </c>
      <c r="D42" s="49" t="s">
        <v>128</v>
      </c>
      <c r="E42" s="50" t="s">
        <v>318</v>
      </c>
      <c r="F42" s="105" t="s">
        <v>382</v>
      </c>
      <c r="G42" s="62" t="str">
        <f t="shared" si="0"/>
        <v>[effect:enemy_message, val1:1.2, val2:1.9]</v>
      </c>
      <c r="H42" s="62">
        <f t="shared" si="1"/>
        <v>9</v>
      </c>
      <c r="I42" s="62">
        <f t="shared" si="2"/>
        <v>22</v>
      </c>
      <c r="J42" s="62" t="e">
        <f t="shared" si="3"/>
        <v>#VALUE!</v>
      </c>
      <c r="K42" s="62">
        <f t="shared" si="4"/>
        <v>32</v>
      </c>
      <c r="L42" s="62" t="str">
        <f>IFERROR(VLOOKUP(MID(G42,J42,K42-J42),[6]skilldef!$C:$D,2,FALSE),"-") &amp; " / " &amp; IFERROR(VLOOKUP(MID(G42,H42,I42-H42),[6]skilldef!$A:$B,2,FALSE),"-")</f>
        <v>- / -</v>
      </c>
      <c r="M42" s="62" t="str">
        <f t="shared" si="5"/>
        <v>[effect:fix_speed, target:myself, turn:1],[effect:tolerance, target:myself, turn:-1, count:-1, tolerance_effect:all, animation:enemy_tolerance],[effect:enhance_enemy, target:myself, turn:3, status:defense, val:5000, calc:add, animation:enemy_enhance_defense]</v>
      </c>
      <c r="N42" s="47" t="str">
        <f t="shared" si="6"/>
        <v>[effect:fix_speed, target:myself, turn:1],[effect:tolerance, target:myself, turn:-1, count:-1, tolerance_effect:all, animation:enemy_tolerance],[effect:enhance_enemy, target:myself, turn:3, status:defense, val:5000, calc:add, animation:enemy_enhance_defense]</v>
      </c>
      <c r="O42" s="62">
        <f t="shared" si="7"/>
        <v>9</v>
      </c>
      <c r="P42" s="62">
        <f t="shared" si="8"/>
        <v>18</v>
      </c>
      <c r="Q42" s="62">
        <f t="shared" si="9"/>
        <v>27</v>
      </c>
      <c r="R42" s="62">
        <f t="shared" si="10"/>
        <v>33</v>
      </c>
      <c r="S42" s="62" t="str">
        <f>IFERROR(VLOOKUP(MID(N42,Q42,R42-Q42),[6]skilldef!$C:$D,2,FALSE),"-") &amp; " / " &amp; IFERROR(VLOOKUP(MID(N42,O42,P42-O42),[6]skilldef!$A:$B,2,FALSE),"-")</f>
        <v>自分自身に / 行動値設定</v>
      </c>
      <c r="T42" s="47" t="str">
        <f t="shared" si="11"/>
        <v>[effect:tolerance, target:myself, turn:-1, count:-1, tolerance_effect:all, animation:enemy_tolerance],[effect:enhance_enemy, target:myself, turn:3, status:defense, val:5000, calc:add, animation:enemy_enhance_defense]</v>
      </c>
      <c r="U42" s="62">
        <f t="shared" si="12"/>
        <v>9</v>
      </c>
      <c r="V42" s="62">
        <f t="shared" si="13"/>
        <v>18</v>
      </c>
      <c r="W42" s="62">
        <f t="shared" si="14"/>
        <v>27</v>
      </c>
      <c r="X42" s="62">
        <f t="shared" si="15"/>
        <v>33</v>
      </c>
      <c r="Y42" s="62" t="str">
        <f>IFERROR(VLOOKUP(MID(T42,W42,X42-W42),[6]skilldef!$C:$D,2,FALSE),"-") &amp; " / " &amp; IFERROR(VLOOKUP(MID(T42,U42,V42-U42),[6]skilldef!$A:$B,2,FALSE),"-")</f>
        <v>自分自身に / 状態異常耐性</v>
      </c>
      <c r="Z42" s="49"/>
      <c r="AA42" s="51"/>
      <c r="AB42" s="49"/>
      <c r="AC42" s="48">
        <f t="shared" si="16"/>
        <v>12</v>
      </c>
      <c r="AD42" s="48">
        <f t="shared" si="17"/>
        <v>19</v>
      </c>
    </row>
    <row r="43" spans="1:30" ht="21" customHeight="1" x14ac:dyDescent="0.15">
      <c r="A43" s="46">
        <v>58001041</v>
      </c>
      <c r="B43" s="46" t="s">
        <v>337</v>
      </c>
      <c r="C43" s="49">
        <v>1</v>
      </c>
      <c r="D43" s="49" t="s">
        <v>128</v>
      </c>
      <c r="E43" s="50" t="s">
        <v>321</v>
      </c>
      <c r="F43" s="50" t="s">
        <v>274</v>
      </c>
      <c r="G43" s="62" t="str">
        <f t="shared" si="0"/>
        <v>[effect:enemy_message, val1:1.2, val2:1.6]</v>
      </c>
      <c r="H43" s="62">
        <f t="shared" si="1"/>
        <v>9</v>
      </c>
      <c r="I43" s="62">
        <f t="shared" si="2"/>
        <v>22</v>
      </c>
      <c r="J43" s="62" t="e">
        <f t="shared" si="3"/>
        <v>#VALUE!</v>
      </c>
      <c r="K43" s="62">
        <f t="shared" si="4"/>
        <v>32</v>
      </c>
      <c r="L43" s="62" t="str">
        <f>IFERROR(VLOOKUP(MID(G43,J43,K43-J43),[6]skilldef!$C:$D,2,FALSE),"-") &amp; " / " &amp; IFERROR(VLOOKUP(MID(G43,H43,I43-H43),[6]skilldef!$A:$B,2,FALSE),"-")</f>
        <v>- / -</v>
      </c>
      <c r="M43" s="62" t="str">
        <f t="shared" si="5"/>
        <v>[effect:attack_break, target:unit_all, turn:3, val:0.5, calc:mul, animation:attack_break02],[effect:rush, count:1, val:1]</v>
      </c>
      <c r="N43" s="47" t="str">
        <f t="shared" si="6"/>
        <v>[effect:attack_break, target:unit_all, turn:3, val:0.5, calc:mul, animation:attack_break02],[effect:rush, count:1, val:1]</v>
      </c>
      <c r="O43" s="62">
        <f t="shared" si="7"/>
        <v>9</v>
      </c>
      <c r="P43" s="62">
        <f t="shared" si="8"/>
        <v>21</v>
      </c>
      <c r="Q43" s="62">
        <f t="shared" si="9"/>
        <v>30</v>
      </c>
      <c r="R43" s="62">
        <f t="shared" si="10"/>
        <v>38</v>
      </c>
      <c r="S43" s="62" t="str">
        <f>IFERROR(VLOOKUP(MID(N43,Q43,R43-Q43),[6]skilldef!$C:$D,2,FALSE),"-") &amp; " / " &amp; IFERROR(VLOOKUP(MID(N43,O43,P43-O43),[6]skilldef!$A:$B,2,FALSE),"-")</f>
        <v>味方全体に / -</v>
      </c>
      <c r="T43" s="47" t="str">
        <f t="shared" si="11"/>
        <v>[effect:rush, count:1, val:1]</v>
      </c>
      <c r="U43" s="62">
        <f t="shared" si="12"/>
        <v>9</v>
      </c>
      <c r="V43" s="62">
        <f t="shared" si="13"/>
        <v>13</v>
      </c>
      <c r="W43" s="62" t="e">
        <f t="shared" si="14"/>
        <v>#VALUE!</v>
      </c>
      <c r="X43" s="62">
        <f t="shared" si="15"/>
        <v>22</v>
      </c>
      <c r="Y43" s="62" t="str">
        <f>IFERROR(VLOOKUP(MID(T43,W43,X43-W43),[6]skilldef!$C:$D,2,FALSE),"-") &amp; " / " &amp; IFERROR(VLOOKUP(MID(T43,U43,V43-U43),[6]skilldef!$A:$B,2,FALSE),"-")</f>
        <v>- / 連続攻撃</v>
      </c>
      <c r="Z43" s="49"/>
      <c r="AA43" s="51"/>
      <c r="AB43" s="49"/>
      <c r="AC43" s="48">
        <f t="shared" si="16"/>
        <v>9</v>
      </c>
      <c r="AD43" s="48">
        <f t="shared" si="17"/>
        <v>16</v>
      </c>
    </row>
    <row r="44" spans="1:30" ht="21" customHeight="1" x14ac:dyDescent="0.15">
      <c r="A44" s="46">
        <v>58001042</v>
      </c>
      <c r="B44" s="46" t="s">
        <v>338</v>
      </c>
      <c r="C44" s="49">
        <v>1</v>
      </c>
      <c r="D44" s="49" t="s">
        <v>128</v>
      </c>
      <c r="E44" s="50" t="s">
        <v>322</v>
      </c>
      <c r="F44" s="50" t="s">
        <v>275</v>
      </c>
      <c r="G44" s="62" t="str">
        <f t="shared" si="0"/>
        <v>[effect:enemy_message, val1:1.2, val2:3.7]</v>
      </c>
      <c r="H44" s="62">
        <f t="shared" si="1"/>
        <v>9</v>
      </c>
      <c r="I44" s="62">
        <f t="shared" si="2"/>
        <v>22</v>
      </c>
      <c r="J44" s="62" t="e">
        <f t="shared" si="3"/>
        <v>#VALUE!</v>
      </c>
      <c r="K44" s="62">
        <f t="shared" si="4"/>
        <v>32</v>
      </c>
      <c r="L44" s="62" t="str">
        <f>IFERROR(VLOOKUP(MID(G44,J44,K44-J44),[6]skilldef!$C:$D,2,FALSE),"-") &amp; " / " &amp; IFERROR(VLOOKUP(MID(G44,H44,I44-H44),[6]skilldef!$A:$B,2,FALSE),"-")</f>
        <v>- / -</v>
      </c>
      <c r="M44" s="62" t="str">
        <f t="shared" si="5"/>
        <v>[effect:panel_freeze, target:normal, count:10],[effect:degrade_unit, target:unit_all, turn:2, status:action, val:2, calc:add, animation:enemy_tap_down]</v>
      </c>
      <c r="N44" s="47" t="str">
        <f t="shared" si="6"/>
        <v>[effect:panel_freeze, target:normal, count:10],[effect:degrade_unit, target:unit_all, turn:2, status:action, val:2, calc:add, animation:enemy_tap_down]</v>
      </c>
      <c r="O44" s="62">
        <f t="shared" si="7"/>
        <v>9</v>
      </c>
      <c r="P44" s="62">
        <f t="shared" si="8"/>
        <v>21</v>
      </c>
      <c r="Q44" s="62">
        <f t="shared" si="9"/>
        <v>30</v>
      </c>
      <c r="R44" s="62">
        <f t="shared" si="10"/>
        <v>36</v>
      </c>
      <c r="S44" s="62" t="str">
        <f>IFERROR(VLOOKUP(MID(N44,Q44,R44-Q44),[6]skilldef!$C:$D,2,FALSE),"-") &amp; " / " &amp; IFERROR(VLOOKUP(MID(N44,O44,P44-O44),[6]skilldef!$A:$B,2,FALSE),"-")</f>
        <v>- / -</v>
      </c>
      <c r="T44" s="47" t="str">
        <f t="shared" si="11"/>
        <v>[effect:degrade_unit, target:unit_all, turn:2, status:action, val:2, calc:add, animation:enemy_tap_down]</v>
      </c>
      <c r="U44" s="62">
        <f t="shared" si="12"/>
        <v>9</v>
      </c>
      <c r="V44" s="62">
        <f t="shared" si="13"/>
        <v>21</v>
      </c>
      <c r="W44" s="62">
        <f t="shared" si="14"/>
        <v>30</v>
      </c>
      <c r="X44" s="62">
        <f t="shared" si="15"/>
        <v>38</v>
      </c>
      <c r="Y44" s="62" t="str">
        <f>IFERROR(VLOOKUP(MID(T44,W44,X44-W44),[6]skilldef!$C:$D,2,FALSE),"-") &amp; " / " &amp; IFERROR(VLOOKUP(MID(T44,U44,V44-U44),[6]skilldef!$A:$B,2,FALSE),"-")</f>
        <v>味方全体に / ステータスDOWN</v>
      </c>
      <c r="Z44" s="49"/>
      <c r="AA44" s="51"/>
      <c r="AB44" s="49"/>
      <c r="AC44" s="48">
        <f t="shared" si="16"/>
        <v>7</v>
      </c>
      <c r="AD44" s="48">
        <f t="shared" si="17"/>
        <v>37</v>
      </c>
    </row>
    <row r="45" spans="1:30" ht="21" customHeight="1" x14ac:dyDescent="0.15">
      <c r="A45" s="46">
        <v>58001043</v>
      </c>
      <c r="B45" s="46" t="s">
        <v>406</v>
      </c>
      <c r="C45" s="49">
        <v>1</v>
      </c>
      <c r="D45" s="49" t="s">
        <v>128</v>
      </c>
      <c r="E45" s="50" t="s">
        <v>288</v>
      </c>
      <c r="F45" s="105" t="s">
        <v>383</v>
      </c>
      <c r="G45" s="62" t="str">
        <f t="shared" si="0"/>
        <v>[effect:enemy_message, val1:1.2, val2:2.4]</v>
      </c>
      <c r="H45" s="62">
        <f t="shared" si="1"/>
        <v>9</v>
      </c>
      <c r="I45" s="62">
        <f t="shared" si="2"/>
        <v>22</v>
      </c>
      <c r="J45" s="62" t="e">
        <f t="shared" si="3"/>
        <v>#VALUE!</v>
      </c>
      <c r="K45" s="62">
        <f t="shared" si="4"/>
        <v>32</v>
      </c>
      <c r="L45" s="62" t="str">
        <f>IFERROR(VLOOKUP(MID(G45,J45,K45-J45),[6]skilldef!$C:$D,2,FALSE),"-") &amp; " / " &amp; IFERROR(VLOOKUP(MID(G45,H45,I45-H45),[6]skilldef!$A:$B,2,FALSE),"-")</f>
        <v>- / -</v>
      </c>
      <c r="M45" s="62" t="str">
        <f t="shared" si="5"/>
        <v>[effect:force_change_block, new_block:damage, target:block_all, ignore01:crash, ignore02:crack_bomb, ignore03:damage, ignore04:color_break, ignore05:magnet, count:4, val:0.25, animation:change_block],[effect:rush, count:1, val:1]</v>
      </c>
      <c r="N45" s="47" t="str">
        <f t="shared" si="6"/>
        <v>[effect:force_change_block, new_block:damage, target:block_all, ignore01:crash, ignore02:crack_bomb, ignore03:damage, ignore04:color_break, ignore05:magnet, count:4, val:0.25, animation:change_block],[effect:rush, count:1, val:1]</v>
      </c>
      <c r="O45" s="62">
        <f t="shared" si="7"/>
        <v>9</v>
      </c>
      <c r="P45" s="62">
        <f t="shared" si="8"/>
        <v>27</v>
      </c>
      <c r="Q45" s="62">
        <f t="shared" si="9"/>
        <v>54</v>
      </c>
      <c r="R45" s="62">
        <f t="shared" si="10"/>
        <v>45</v>
      </c>
      <c r="S45" s="62" t="str">
        <f>IFERROR(VLOOKUP(MID(N45,Q45,R45-Q45),[6]skilldef!$C:$D,2,FALSE),"-") &amp; " / " &amp; IFERROR(VLOOKUP(MID(N45,O45,P45-O45),[6]skilldef!$A:$B,2,FALSE),"-")</f>
        <v>- / -</v>
      </c>
      <c r="T45" s="47" t="str">
        <f t="shared" si="11"/>
        <v>[effect:rush, count:1, val:1]</v>
      </c>
      <c r="U45" s="62">
        <f t="shared" si="12"/>
        <v>9</v>
      </c>
      <c r="V45" s="62">
        <f t="shared" si="13"/>
        <v>13</v>
      </c>
      <c r="W45" s="62" t="e">
        <f t="shared" si="14"/>
        <v>#VALUE!</v>
      </c>
      <c r="X45" s="62">
        <f t="shared" si="15"/>
        <v>22</v>
      </c>
      <c r="Y45" s="62" t="str">
        <f>IFERROR(VLOOKUP(MID(T45,W45,X45-W45),[6]skilldef!$C:$D,2,FALSE),"-") &amp; " / " &amp; IFERROR(VLOOKUP(MID(T45,U45,V45-U45),[6]skilldef!$A:$B,2,FALSE),"-")</f>
        <v>- / 連続攻撃</v>
      </c>
      <c r="Z45" s="49"/>
      <c r="AA45" s="51"/>
      <c r="AB45" s="49"/>
      <c r="AC45" s="48">
        <f t="shared" si="16"/>
        <v>5</v>
      </c>
      <c r="AD45" s="48">
        <f t="shared" si="17"/>
        <v>24</v>
      </c>
    </row>
    <row r="46" spans="1:30" ht="21" customHeight="1" x14ac:dyDescent="0.15">
      <c r="A46" s="46">
        <v>58001044</v>
      </c>
      <c r="B46" s="46" t="s">
        <v>263</v>
      </c>
      <c r="C46" s="49">
        <v>1</v>
      </c>
      <c r="D46" s="49" t="s">
        <v>128</v>
      </c>
      <c r="E46" s="50" t="s">
        <v>260</v>
      </c>
      <c r="F46" s="50" t="s">
        <v>253</v>
      </c>
      <c r="G46" s="62" t="str">
        <f t="shared" si="0"/>
        <v>[effect:enemy_message, val1:1.2, val2:1.2]</v>
      </c>
      <c r="H46" s="62">
        <f t="shared" si="1"/>
        <v>9</v>
      </c>
      <c r="I46" s="62">
        <f t="shared" si="2"/>
        <v>22</v>
      </c>
      <c r="J46" s="62" t="e">
        <f t="shared" si="3"/>
        <v>#VALUE!</v>
      </c>
      <c r="K46" s="62">
        <f t="shared" si="4"/>
        <v>32</v>
      </c>
      <c r="L46" s="62" t="str">
        <f>IFERROR(VLOOKUP(MID(G46,J46,K46-J46),[6]skilldef!$C:$D,2,FALSE),"-") &amp; " / " &amp; IFERROR(VLOOKUP(MID(G46,H46,I46-H46),[6]skilldef!$A:$B,2,FALSE),"-")</f>
        <v>- / -</v>
      </c>
      <c r="M46" s="62" t="str">
        <f t="shared" si="5"/>
        <v>none</v>
      </c>
      <c r="N46" s="47" t="str">
        <f t="shared" si="6"/>
        <v>none</v>
      </c>
      <c r="O46" s="62" t="e">
        <f t="shared" si="7"/>
        <v>#VALUE!</v>
      </c>
      <c r="P46" s="62">
        <f t="shared" si="8"/>
        <v>4</v>
      </c>
      <c r="Q46" s="62" t="e">
        <f t="shared" si="9"/>
        <v>#VALUE!</v>
      </c>
      <c r="R46" s="62" t="e">
        <f t="shared" si="10"/>
        <v>#VALUE!</v>
      </c>
      <c r="S46" s="62" t="str">
        <f>IFERROR(VLOOKUP(MID(N46,Q46,R46-Q46),[6]skilldef!$C:$D,2,FALSE),"-") &amp; " / " &amp; IFERROR(VLOOKUP(MID(N46,O46,P46-O46),[6]skilldef!$A:$B,2,FALSE),"-")</f>
        <v>- / -</v>
      </c>
      <c r="T46" s="47" t="str">
        <f t="shared" si="11"/>
        <v>none</v>
      </c>
      <c r="U46" s="62" t="e">
        <f t="shared" si="12"/>
        <v>#VALUE!</v>
      </c>
      <c r="V46" s="62">
        <f t="shared" si="13"/>
        <v>4</v>
      </c>
      <c r="W46" s="62" t="e">
        <f t="shared" si="14"/>
        <v>#VALUE!</v>
      </c>
      <c r="X46" s="62" t="e">
        <f t="shared" si="15"/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49"/>
      <c r="AA46" s="51"/>
      <c r="AB46" s="49"/>
      <c r="AC46" s="48">
        <f t="shared" si="16"/>
        <v>3</v>
      </c>
      <c r="AD46" s="48">
        <f t="shared" si="17"/>
        <v>3</v>
      </c>
    </row>
    <row r="47" spans="1:30" ht="21" customHeight="1" x14ac:dyDescent="0.15">
      <c r="A47" s="46">
        <v>58001045</v>
      </c>
      <c r="B47" s="46" t="s">
        <v>263</v>
      </c>
      <c r="C47" s="49">
        <v>1</v>
      </c>
      <c r="D47" s="49" t="s">
        <v>128</v>
      </c>
      <c r="E47" s="50" t="s">
        <v>260</v>
      </c>
      <c r="F47" s="50" t="s">
        <v>253</v>
      </c>
      <c r="G47" s="62" t="str">
        <f t="shared" si="0"/>
        <v>[effect:enemy_message, val1:1.2, val2:1.2]</v>
      </c>
      <c r="H47" s="62">
        <f t="shared" si="1"/>
        <v>9</v>
      </c>
      <c r="I47" s="62">
        <f t="shared" si="2"/>
        <v>22</v>
      </c>
      <c r="J47" s="62" t="e">
        <f t="shared" si="3"/>
        <v>#VALUE!</v>
      </c>
      <c r="K47" s="62">
        <f t="shared" si="4"/>
        <v>32</v>
      </c>
      <c r="L47" s="62" t="str">
        <f>IFERROR(VLOOKUP(MID(G47,J47,K47-J47),[6]skilldef!$C:$D,2,FALSE),"-") &amp; " / " &amp; IFERROR(VLOOKUP(MID(G47,H47,I47-H47),[6]skilldef!$A:$B,2,FALSE),"-")</f>
        <v>- / -</v>
      </c>
      <c r="M47" s="62" t="str">
        <f t="shared" si="5"/>
        <v>none</v>
      </c>
      <c r="N47" s="47" t="str">
        <f t="shared" si="6"/>
        <v>none</v>
      </c>
      <c r="O47" s="62" t="e">
        <f t="shared" si="7"/>
        <v>#VALUE!</v>
      </c>
      <c r="P47" s="62">
        <f t="shared" si="8"/>
        <v>4</v>
      </c>
      <c r="Q47" s="62" t="e">
        <f t="shared" si="9"/>
        <v>#VALUE!</v>
      </c>
      <c r="R47" s="62" t="e">
        <f t="shared" si="10"/>
        <v>#VALUE!</v>
      </c>
      <c r="S47" s="62" t="str">
        <f>IFERROR(VLOOKUP(MID(N47,Q47,R47-Q47),[6]skilldef!$C:$D,2,FALSE),"-") &amp; " / " &amp; IFERROR(VLOOKUP(MID(N47,O47,P47-O47),[6]skilldef!$A:$B,2,FALSE),"-")</f>
        <v>- / -</v>
      </c>
      <c r="T47" s="47" t="str">
        <f t="shared" si="11"/>
        <v>none</v>
      </c>
      <c r="U47" s="62" t="e">
        <f t="shared" si="12"/>
        <v>#VALUE!</v>
      </c>
      <c r="V47" s="62">
        <f t="shared" si="13"/>
        <v>4</v>
      </c>
      <c r="W47" s="62" t="e">
        <f t="shared" si="14"/>
        <v>#VALUE!</v>
      </c>
      <c r="X47" s="62" t="e">
        <f t="shared" si="15"/>
        <v>#VALUE!</v>
      </c>
      <c r="Y47" s="62" t="str">
        <f>IFERROR(VLOOKUP(MID(T47,W47,X47-W47),[6]skilldef!$C:$D,2,FALSE),"-") &amp; " / " &amp; IFERROR(VLOOKUP(MID(T47,U47,V47-U47),[6]skilldef!$A:$B,2,FALSE),"-")</f>
        <v>- / -</v>
      </c>
      <c r="Z47" s="49"/>
      <c r="AA47" s="51"/>
      <c r="AB47" s="49"/>
      <c r="AC47" s="48">
        <f t="shared" si="16"/>
        <v>3</v>
      </c>
      <c r="AD47" s="48">
        <f t="shared" si="17"/>
        <v>3</v>
      </c>
    </row>
    <row r="48" spans="1:30" ht="21" customHeight="1" x14ac:dyDescent="0.15">
      <c r="A48" s="46">
        <v>58001046</v>
      </c>
      <c r="B48" s="46" t="s">
        <v>263</v>
      </c>
      <c r="C48" s="49">
        <v>1</v>
      </c>
      <c r="D48" s="49" t="s">
        <v>128</v>
      </c>
      <c r="E48" s="50" t="s">
        <v>260</v>
      </c>
      <c r="F48" s="50" t="s">
        <v>253</v>
      </c>
      <c r="G48" s="62" t="str">
        <f t="shared" si="0"/>
        <v>[effect:enemy_message, val1:1.2, val2:1.2]</v>
      </c>
      <c r="H48" s="62">
        <f t="shared" si="1"/>
        <v>9</v>
      </c>
      <c r="I48" s="62">
        <f t="shared" si="2"/>
        <v>22</v>
      </c>
      <c r="J48" s="62" t="e">
        <f t="shared" si="3"/>
        <v>#VALUE!</v>
      </c>
      <c r="K48" s="62">
        <f t="shared" si="4"/>
        <v>32</v>
      </c>
      <c r="L48" s="62" t="str">
        <f>IFERROR(VLOOKUP(MID(G48,J48,K48-J48),[6]skilldef!$C:$D,2,FALSE),"-") &amp; " / " &amp; IFERROR(VLOOKUP(MID(G48,H48,I48-H48),[6]skilldef!$A:$B,2,FALSE),"-")</f>
        <v>- / -</v>
      </c>
      <c r="M48" s="62" t="str">
        <f t="shared" si="5"/>
        <v>none</v>
      </c>
      <c r="N48" s="47" t="str">
        <f t="shared" si="6"/>
        <v>none</v>
      </c>
      <c r="O48" s="62" t="e">
        <f t="shared" si="7"/>
        <v>#VALUE!</v>
      </c>
      <c r="P48" s="62">
        <f t="shared" si="8"/>
        <v>4</v>
      </c>
      <c r="Q48" s="62" t="e">
        <f t="shared" si="9"/>
        <v>#VALUE!</v>
      </c>
      <c r="R48" s="62" t="e">
        <f t="shared" si="10"/>
        <v>#VALUE!</v>
      </c>
      <c r="S48" s="62" t="str">
        <f>IFERROR(VLOOKUP(MID(N48,Q48,R48-Q48),[6]skilldef!$C:$D,2,FALSE),"-") &amp; " / " &amp; IFERROR(VLOOKUP(MID(N48,O48,P48-O48),[6]skilldef!$A:$B,2,FALSE),"-")</f>
        <v>- / -</v>
      </c>
      <c r="T48" s="47" t="str">
        <f t="shared" si="11"/>
        <v>none</v>
      </c>
      <c r="U48" s="62" t="e">
        <f t="shared" si="12"/>
        <v>#VALUE!</v>
      </c>
      <c r="V48" s="62">
        <f t="shared" si="13"/>
        <v>4</v>
      </c>
      <c r="W48" s="62" t="e">
        <f t="shared" si="14"/>
        <v>#VALUE!</v>
      </c>
      <c r="X48" s="62" t="e">
        <f t="shared" si="15"/>
        <v>#VALUE!</v>
      </c>
      <c r="Y48" s="62" t="str">
        <f>IFERROR(VLOOKUP(MID(T48,W48,X48-W48),[6]skilldef!$C:$D,2,FALSE),"-") &amp; " / " &amp; IFERROR(VLOOKUP(MID(T48,U48,V48-U48),[6]skilldef!$A:$B,2,FALSE),"-")</f>
        <v>- / -</v>
      </c>
      <c r="Z48" s="49"/>
      <c r="AA48" s="51"/>
      <c r="AB48" s="49"/>
      <c r="AC48" s="48">
        <f t="shared" si="16"/>
        <v>3</v>
      </c>
      <c r="AD48" s="48">
        <f t="shared" si="17"/>
        <v>3</v>
      </c>
    </row>
    <row r="49" spans="1:30" ht="21" customHeight="1" x14ac:dyDescent="0.15">
      <c r="A49" s="46">
        <v>58001047</v>
      </c>
      <c r="B49" s="46" t="s">
        <v>263</v>
      </c>
      <c r="C49" s="49">
        <v>1</v>
      </c>
      <c r="D49" s="49" t="s">
        <v>128</v>
      </c>
      <c r="E49" s="50" t="s">
        <v>260</v>
      </c>
      <c r="F49" s="50" t="s">
        <v>253</v>
      </c>
      <c r="G49" s="62" t="str">
        <f t="shared" si="0"/>
        <v>[effect:enemy_message, val1:1.2, val2:1.2]</v>
      </c>
      <c r="H49" s="62">
        <f t="shared" si="1"/>
        <v>9</v>
      </c>
      <c r="I49" s="62">
        <f t="shared" si="2"/>
        <v>22</v>
      </c>
      <c r="J49" s="62" t="e">
        <f t="shared" si="3"/>
        <v>#VALUE!</v>
      </c>
      <c r="K49" s="62">
        <f t="shared" si="4"/>
        <v>32</v>
      </c>
      <c r="L49" s="62" t="str">
        <f>IFERROR(VLOOKUP(MID(G49,J49,K49-J49),[6]skilldef!$C:$D,2,FALSE),"-") &amp; " / " &amp; IFERROR(VLOOKUP(MID(G49,H49,I49-H49),[6]skilldef!$A:$B,2,FALSE),"-")</f>
        <v>- / -</v>
      </c>
      <c r="M49" s="62" t="str">
        <f t="shared" si="5"/>
        <v>none</v>
      </c>
      <c r="N49" s="47" t="str">
        <f t="shared" si="6"/>
        <v>none</v>
      </c>
      <c r="O49" s="62" t="e">
        <f t="shared" si="7"/>
        <v>#VALUE!</v>
      </c>
      <c r="P49" s="62">
        <f t="shared" si="8"/>
        <v>4</v>
      </c>
      <c r="Q49" s="62" t="e">
        <f t="shared" si="9"/>
        <v>#VALUE!</v>
      </c>
      <c r="R49" s="62" t="e">
        <f t="shared" si="10"/>
        <v>#VALUE!</v>
      </c>
      <c r="S49" s="62" t="str">
        <f>IFERROR(VLOOKUP(MID(N49,Q49,R49-Q49),[6]skilldef!$C:$D,2,FALSE),"-") &amp; " / " &amp; IFERROR(VLOOKUP(MID(N49,O49,P49-O49),[6]skilldef!$A:$B,2,FALSE),"-")</f>
        <v>- / -</v>
      </c>
      <c r="T49" s="47" t="str">
        <f t="shared" si="11"/>
        <v>none</v>
      </c>
      <c r="U49" s="62" t="e">
        <f t="shared" si="12"/>
        <v>#VALUE!</v>
      </c>
      <c r="V49" s="62">
        <f t="shared" si="13"/>
        <v>4</v>
      </c>
      <c r="W49" s="62" t="e">
        <f t="shared" si="14"/>
        <v>#VALUE!</v>
      </c>
      <c r="X49" s="62" t="e">
        <f t="shared" si="15"/>
        <v>#VALUE!</v>
      </c>
      <c r="Y49" s="62" t="str">
        <f>IFERROR(VLOOKUP(MID(T49,W49,X49-W49),[6]skilldef!$C:$D,2,FALSE),"-") &amp; " / " &amp; IFERROR(VLOOKUP(MID(T49,U49,V49-U49),[6]skilldef!$A:$B,2,FALSE),"-")</f>
        <v>- / -</v>
      </c>
      <c r="Z49" s="49"/>
      <c r="AA49" s="51"/>
      <c r="AB49" s="49"/>
      <c r="AC49" s="48">
        <f t="shared" si="16"/>
        <v>3</v>
      </c>
      <c r="AD49" s="48">
        <f t="shared" si="17"/>
        <v>3</v>
      </c>
    </row>
    <row r="50" spans="1:30" ht="21" customHeight="1" x14ac:dyDescent="0.15">
      <c r="A50" s="46">
        <v>58001048</v>
      </c>
      <c r="B50" s="46" t="s">
        <v>263</v>
      </c>
      <c r="C50" s="49">
        <v>1</v>
      </c>
      <c r="D50" s="49" t="s">
        <v>128</v>
      </c>
      <c r="E50" s="50" t="s">
        <v>260</v>
      </c>
      <c r="F50" s="50" t="s">
        <v>253</v>
      </c>
      <c r="G50" s="62" t="str">
        <f t="shared" si="0"/>
        <v>[effect:enemy_message, val1:1.2, val2:1.2]</v>
      </c>
      <c r="H50" s="62">
        <f t="shared" si="1"/>
        <v>9</v>
      </c>
      <c r="I50" s="62">
        <f t="shared" si="2"/>
        <v>22</v>
      </c>
      <c r="J50" s="62" t="e">
        <f t="shared" si="3"/>
        <v>#VALUE!</v>
      </c>
      <c r="K50" s="62">
        <f t="shared" si="4"/>
        <v>32</v>
      </c>
      <c r="L50" s="62" t="str">
        <f>IFERROR(VLOOKUP(MID(G50,J50,K50-J50),[6]skilldef!$C:$D,2,FALSE),"-") &amp; " / " &amp; IFERROR(VLOOKUP(MID(G50,H50,I50-H50),[6]skilldef!$A:$B,2,FALSE),"-")</f>
        <v>- / -</v>
      </c>
      <c r="M50" s="62" t="str">
        <f t="shared" si="5"/>
        <v>none</v>
      </c>
      <c r="N50" s="47" t="str">
        <f t="shared" si="6"/>
        <v>none</v>
      </c>
      <c r="O50" s="62" t="e">
        <f t="shared" si="7"/>
        <v>#VALUE!</v>
      </c>
      <c r="P50" s="62">
        <f t="shared" si="8"/>
        <v>4</v>
      </c>
      <c r="Q50" s="62" t="e">
        <f t="shared" si="9"/>
        <v>#VALUE!</v>
      </c>
      <c r="R50" s="62" t="e">
        <f t="shared" si="10"/>
        <v>#VALUE!</v>
      </c>
      <c r="S50" s="62" t="str">
        <f>IFERROR(VLOOKUP(MID(N50,Q50,R50-Q50),[6]skilldef!$C:$D,2,FALSE),"-") &amp; " / " &amp; IFERROR(VLOOKUP(MID(N50,O50,P50-O50),[6]skilldef!$A:$B,2,FALSE),"-")</f>
        <v>- / -</v>
      </c>
      <c r="T50" s="47" t="str">
        <f t="shared" si="11"/>
        <v>none</v>
      </c>
      <c r="U50" s="62" t="e">
        <f t="shared" si="12"/>
        <v>#VALUE!</v>
      </c>
      <c r="V50" s="62">
        <f t="shared" si="13"/>
        <v>4</v>
      </c>
      <c r="W50" s="62" t="e">
        <f t="shared" si="14"/>
        <v>#VALUE!</v>
      </c>
      <c r="X50" s="62" t="e">
        <f t="shared" si="15"/>
        <v>#VALUE!</v>
      </c>
      <c r="Y50" s="62" t="str">
        <f>IFERROR(VLOOKUP(MID(T50,W50,X50-W50),[6]skilldef!$C:$D,2,FALSE),"-") &amp; " / " &amp; IFERROR(VLOOKUP(MID(T50,U50,V50-U50),[6]skilldef!$A:$B,2,FALSE),"-")</f>
        <v>- / -</v>
      </c>
      <c r="Z50" s="49"/>
      <c r="AA50" s="51"/>
      <c r="AB50" s="49"/>
      <c r="AC50" s="48">
        <f t="shared" si="16"/>
        <v>3</v>
      </c>
      <c r="AD50" s="48">
        <f t="shared" si="17"/>
        <v>3</v>
      </c>
    </row>
    <row r="51" spans="1:30" ht="21" customHeight="1" x14ac:dyDescent="0.15">
      <c r="A51" s="46">
        <v>58001049</v>
      </c>
      <c r="B51" s="46" t="s">
        <v>263</v>
      </c>
      <c r="C51" s="49">
        <v>1</v>
      </c>
      <c r="D51" s="49" t="s">
        <v>128</v>
      </c>
      <c r="E51" s="50" t="s">
        <v>260</v>
      </c>
      <c r="F51" s="50" t="s">
        <v>253</v>
      </c>
      <c r="G51" s="62" t="str">
        <f t="shared" si="0"/>
        <v>[effect:enemy_message, val1:1.2, val2:1.2]</v>
      </c>
      <c r="H51" s="62">
        <f t="shared" si="1"/>
        <v>9</v>
      </c>
      <c r="I51" s="62">
        <f t="shared" si="2"/>
        <v>22</v>
      </c>
      <c r="J51" s="62" t="e">
        <f t="shared" si="3"/>
        <v>#VALUE!</v>
      </c>
      <c r="K51" s="62">
        <f t="shared" si="4"/>
        <v>32</v>
      </c>
      <c r="L51" s="62" t="str">
        <f>IFERROR(VLOOKUP(MID(G51,J51,K51-J51),[6]skilldef!$C:$D,2,FALSE),"-") &amp; " / " &amp; IFERROR(VLOOKUP(MID(G51,H51,I51-H51),[6]skilldef!$A:$B,2,FALSE),"-")</f>
        <v>- / -</v>
      </c>
      <c r="M51" s="62" t="str">
        <f t="shared" si="5"/>
        <v>none</v>
      </c>
      <c r="N51" s="47" t="str">
        <f t="shared" si="6"/>
        <v>none</v>
      </c>
      <c r="O51" s="62" t="e">
        <f t="shared" si="7"/>
        <v>#VALUE!</v>
      </c>
      <c r="P51" s="62">
        <f t="shared" si="8"/>
        <v>4</v>
      </c>
      <c r="Q51" s="62" t="e">
        <f t="shared" si="9"/>
        <v>#VALUE!</v>
      </c>
      <c r="R51" s="62" t="e">
        <f t="shared" si="10"/>
        <v>#VALUE!</v>
      </c>
      <c r="S51" s="62" t="str">
        <f>IFERROR(VLOOKUP(MID(N51,Q51,R51-Q51),[6]skilldef!$C:$D,2,FALSE),"-") &amp; " / " &amp; IFERROR(VLOOKUP(MID(N51,O51,P51-O51),[6]skilldef!$A:$B,2,FALSE),"-")</f>
        <v>- / -</v>
      </c>
      <c r="T51" s="47" t="str">
        <f t="shared" si="11"/>
        <v>none</v>
      </c>
      <c r="U51" s="62" t="e">
        <f t="shared" si="12"/>
        <v>#VALUE!</v>
      </c>
      <c r="V51" s="62">
        <f t="shared" si="13"/>
        <v>4</v>
      </c>
      <c r="W51" s="62" t="e">
        <f t="shared" si="14"/>
        <v>#VALUE!</v>
      </c>
      <c r="X51" s="62" t="e">
        <f t="shared" si="15"/>
        <v>#VALUE!</v>
      </c>
      <c r="Y51" s="62" t="str">
        <f>IFERROR(VLOOKUP(MID(T51,W51,X51-W51),[6]skilldef!$C:$D,2,FALSE),"-") &amp; " / " &amp; IFERROR(VLOOKUP(MID(T51,U51,V51-U51),[6]skilldef!$A:$B,2,FALSE),"-")</f>
        <v>- / -</v>
      </c>
      <c r="Z51" s="49"/>
      <c r="AA51" s="51"/>
      <c r="AB51" s="49"/>
      <c r="AC51" s="48">
        <f t="shared" si="16"/>
        <v>3</v>
      </c>
      <c r="AD51" s="48">
        <f t="shared" si="17"/>
        <v>3</v>
      </c>
    </row>
    <row r="52" spans="1:30" ht="21" customHeight="1" x14ac:dyDescent="0.15">
      <c r="A52" s="46">
        <v>58001050</v>
      </c>
      <c r="B52" s="46" t="s">
        <v>407</v>
      </c>
      <c r="C52" s="49">
        <v>1</v>
      </c>
      <c r="D52" s="49" t="s">
        <v>128</v>
      </c>
      <c r="E52" s="50" t="s">
        <v>319</v>
      </c>
      <c r="F52" s="105" t="s">
        <v>390</v>
      </c>
      <c r="G52" s="62" t="str">
        <f t="shared" si="0"/>
        <v>[effect:enemy_message, val1:1.6, val2:1.9]</v>
      </c>
      <c r="H52" s="62">
        <f t="shared" si="1"/>
        <v>9</v>
      </c>
      <c r="I52" s="62">
        <f t="shared" si="2"/>
        <v>22</v>
      </c>
      <c r="J52" s="62" t="e">
        <f t="shared" si="3"/>
        <v>#VALUE!</v>
      </c>
      <c r="K52" s="62">
        <f t="shared" si="4"/>
        <v>32</v>
      </c>
      <c r="L52" s="62" t="str">
        <f>IFERROR(VLOOKUP(MID(G52,J52,K52-J52),[6]skilldef!$C:$D,2,FALSE),"-") &amp; " / " &amp; IFERROR(VLOOKUP(MID(G52,H52,I52-H52),[6]skilldef!$A:$B,2,FALSE),"-")</f>
        <v>- / -</v>
      </c>
      <c r="M52" s="62" t="str">
        <f t="shared" si="5"/>
        <v>[effect:fix_speed, target:myself, turn:1],[effect:tolerance, target:myself, turn:-1, count:-1, tolerance_effect:all, animation:enemy_tolerance],[effect:enhance_enemy, target:myself, turn:3, status:attack, val:0.6, calc:mul, animation:enemy_enhance_attack]</v>
      </c>
      <c r="N52" s="47" t="str">
        <f t="shared" si="6"/>
        <v>[effect:fix_speed, target:myself, turn:1],[effect:tolerance, target:myself, turn:-1, count:-1, tolerance_effect:all, animation:enemy_tolerance],[effect:enhance_enemy, target:myself, turn:3, status:attack, val:0.6, calc:mul, animation:enemy_enhance_attack]</v>
      </c>
      <c r="O52" s="62">
        <f t="shared" si="7"/>
        <v>9</v>
      </c>
      <c r="P52" s="62">
        <f t="shared" si="8"/>
        <v>18</v>
      </c>
      <c r="Q52" s="62">
        <f t="shared" si="9"/>
        <v>27</v>
      </c>
      <c r="R52" s="62">
        <f t="shared" si="10"/>
        <v>33</v>
      </c>
      <c r="S52" s="62" t="str">
        <f>IFERROR(VLOOKUP(MID(N52,Q52,R52-Q52),[6]skilldef!$C:$D,2,FALSE),"-") &amp; " / " &amp; IFERROR(VLOOKUP(MID(N52,O52,P52-O52),[6]skilldef!$A:$B,2,FALSE),"-")</f>
        <v>自分自身に / 行動値設定</v>
      </c>
      <c r="T52" s="47" t="str">
        <f t="shared" si="11"/>
        <v>[effect:tolerance, target:myself, turn:-1, count:-1, tolerance_effect:all, animation:enemy_tolerance],[effect:enhance_enemy, target:myself, turn:3, status:attack, val:0.6, calc:mul, animation:enemy_enhance_attack]</v>
      </c>
      <c r="U52" s="62">
        <f t="shared" si="12"/>
        <v>9</v>
      </c>
      <c r="V52" s="62">
        <f t="shared" si="13"/>
        <v>18</v>
      </c>
      <c r="W52" s="62">
        <f t="shared" si="14"/>
        <v>27</v>
      </c>
      <c r="X52" s="62">
        <f t="shared" si="15"/>
        <v>33</v>
      </c>
      <c r="Y52" s="62" t="str">
        <f>IFERROR(VLOOKUP(MID(T52,W52,X52-W52),[6]skilldef!$C:$D,2,FALSE),"-") &amp; " / " &amp; IFERROR(VLOOKUP(MID(T52,U52,V52-U52),[6]skilldef!$A:$B,2,FALSE),"-")</f>
        <v>自分自身に / 状態異常耐性</v>
      </c>
      <c r="Z52" s="49"/>
      <c r="AA52" s="51"/>
      <c r="AB52" s="49"/>
      <c r="AC52" s="48">
        <f t="shared" si="16"/>
        <v>16</v>
      </c>
      <c r="AD52" s="48">
        <f t="shared" si="17"/>
        <v>19</v>
      </c>
    </row>
    <row r="53" spans="1:30" ht="21" customHeight="1" x14ac:dyDescent="0.15">
      <c r="A53" s="46">
        <v>58001051</v>
      </c>
      <c r="B53" s="46" t="s">
        <v>408</v>
      </c>
      <c r="C53" s="49">
        <v>1</v>
      </c>
      <c r="D53" s="49" t="s">
        <v>128</v>
      </c>
      <c r="E53" s="50" t="s">
        <v>287</v>
      </c>
      <c r="F53" s="105" t="s">
        <v>387</v>
      </c>
      <c r="G53" s="62" t="str">
        <f t="shared" si="0"/>
        <v>[effect:enemy_message, val1:1.2, val2:4.4]</v>
      </c>
      <c r="H53" s="62">
        <f t="shared" si="1"/>
        <v>9</v>
      </c>
      <c r="I53" s="62">
        <f t="shared" si="2"/>
        <v>22</v>
      </c>
      <c r="J53" s="62" t="e">
        <f t="shared" si="3"/>
        <v>#VALUE!</v>
      </c>
      <c r="K53" s="62">
        <f t="shared" si="4"/>
        <v>32</v>
      </c>
      <c r="L53" s="62" t="str">
        <f>IFERROR(VLOOKUP(MID(G53,J53,K53-J53),[6]skilldef!$C:$D,2,FALSE),"-") &amp; " / " &amp; IFERROR(VLOOKUP(MID(G53,H53,I53-H53),[6]skilldef!$A:$B,2,FALSE),"-")</f>
        <v>- / -</v>
      </c>
      <c r="M53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N53" s="47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O53" s="62">
        <f t="shared" si="7"/>
        <v>9</v>
      </c>
      <c r="P53" s="62">
        <f t="shared" si="8"/>
        <v>26</v>
      </c>
      <c r="Q53" s="62">
        <f t="shared" si="9"/>
        <v>35</v>
      </c>
      <c r="R53" s="62">
        <f t="shared" si="10"/>
        <v>43</v>
      </c>
      <c r="S53" s="62" t="str">
        <f>IFERROR(VLOOKUP(MID(N53,Q53,R53-Q53),[6]skilldef!$C:$D,2,FALSE),"-") &amp; " / " &amp; IFERROR(VLOOKUP(MID(N53,O53,P53-O53),[6]skilldef!$A:$B,2,FALSE),"-")</f>
        <v>味方単体に / 種族キラー</v>
      </c>
      <c r="T53" s="47" t="str">
        <f t="shared" si="11"/>
        <v>[effect:damage_anti_tribe, target:unit_one, tribe:samurai, val1:0.25, val2:0.3],[effect:damage_anti_tribe, target:unit_one, tribe:samurai, val1:0.25, val2:0.3]</v>
      </c>
      <c r="U53" s="62">
        <f t="shared" si="12"/>
        <v>9</v>
      </c>
      <c r="V53" s="62">
        <f t="shared" si="13"/>
        <v>26</v>
      </c>
      <c r="W53" s="62">
        <f t="shared" si="14"/>
        <v>35</v>
      </c>
      <c r="X53" s="62">
        <f t="shared" si="15"/>
        <v>43</v>
      </c>
      <c r="Y53" s="62" t="str">
        <f>IFERROR(VLOOKUP(MID(T53,W53,X53-W53),[6]skilldef!$C:$D,2,FALSE),"-") &amp; " / " &amp; IFERROR(VLOOKUP(MID(T53,U53,V53-U53),[6]skilldef!$A:$B,2,FALSE),"-")</f>
        <v>味方単体に / 種族キラー</v>
      </c>
      <c r="Z53" s="49"/>
      <c r="AA53" s="51"/>
      <c r="AB53" s="49"/>
      <c r="AC53" s="48">
        <f t="shared" si="16"/>
        <v>7</v>
      </c>
      <c r="AD53" s="48">
        <f t="shared" si="17"/>
        <v>44</v>
      </c>
    </row>
    <row r="54" spans="1:30" ht="21" customHeight="1" x14ac:dyDescent="0.15">
      <c r="A54" s="46">
        <v>58001052</v>
      </c>
      <c r="B54" s="46" t="s">
        <v>409</v>
      </c>
      <c r="C54" s="49">
        <v>1</v>
      </c>
      <c r="D54" s="49" t="s">
        <v>128</v>
      </c>
      <c r="E54" s="50" t="s">
        <v>287</v>
      </c>
      <c r="F54" s="105" t="s">
        <v>388</v>
      </c>
      <c r="G54" s="62" t="str">
        <f t="shared" si="0"/>
        <v>[effect:enemy_message, val1:1.2, val2:4.4]</v>
      </c>
      <c r="H54" s="62">
        <f t="shared" si="1"/>
        <v>9</v>
      </c>
      <c r="I54" s="62">
        <f t="shared" si="2"/>
        <v>22</v>
      </c>
      <c r="J54" s="62" t="e">
        <f t="shared" si="3"/>
        <v>#VALUE!</v>
      </c>
      <c r="K54" s="62">
        <f t="shared" si="4"/>
        <v>32</v>
      </c>
      <c r="L54" s="62" t="str">
        <f>IFERROR(VLOOKUP(MID(G54,J54,K54-J54),[6]skilldef!$C:$D,2,FALSE),"-") &amp; " / " &amp; IFERROR(VLOOKUP(MID(G54,H54,I54-H54),[6]skilldef!$A:$B,2,FALSE),"-")</f>
        <v>- / -</v>
      </c>
      <c r="M54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N54" s="47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O54" s="62">
        <f t="shared" si="7"/>
        <v>9</v>
      </c>
      <c r="P54" s="62">
        <f t="shared" si="8"/>
        <v>26</v>
      </c>
      <c r="Q54" s="62">
        <f t="shared" si="9"/>
        <v>35</v>
      </c>
      <c r="R54" s="62">
        <f t="shared" si="10"/>
        <v>43</v>
      </c>
      <c r="S54" s="62" t="str">
        <f>IFERROR(VLOOKUP(MID(N54,Q54,R54-Q54),[6]skilldef!$C:$D,2,FALSE),"-") &amp; " / " &amp; IFERROR(VLOOKUP(MID(N54,O54,P54-O54),[6]skilldef!$A:$B,2,FALSE),"-")</f>
        <v>味方単体に / 種族キラー</v>
      </c>
      <c r="T54" s="47" t="str">
        <f t="shared" si="11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U54" s="62">
        <f t="shared" si="12"/>
        <v>9</v>
      </c>
      <c r="V54" s="62">
        <f t="shared" si="13"/>
        <v>26</v>
      </c>
      <c r="W54" s="62">
        <f t="shared" si="14"/>
        <v>35</v>
      </c>
      <c r="X54" s="62">
        <f t="shared" si="15"/>
        <v>43</v>
      </c>
      <c r="Y54" s="62" t="str">
        <f>IFERROR(VLOOKUP(MID(T54,W54,X54-W54),[6]skilldef!$C:$D,2,FALSE),"-") &amp; " / " &amp; IFERROR(VLOOKUP(MID(T54,U54,V54-U54),[6]skilldef!$A:$B,2,FALSE),"-")</f>
        <v>味方単体に / 種族キラー</v>
      </c>
      <c r="Z54" s="49"/>
      <c r="AA54" s="51"/>
      <c r="AB54" s="49"/>
      <c r="AC54" s="48">
        <f t="shared" si="16"/>
        <v>7</v>
      </c>
      <c r="AD54" s="48">
        <f t="shared" si="17"/>
        <v>44</v>
      </c>
    </row>
    <row r="55" spans="1:30" ht="21" customHeight="1" x14ac:dyDescent="0.15">
      <c r="A55" s="46">
        <v>58001053</v>
      </c>
      <c r="B55" s="46" t="s">
        <v>410</v>
      </c>
      <c r="C55" s="49">
        <v>1</v>
      </c>
      <c r="D55" s="49" t="s">
        <v>128</v>
      </c>
      <c r="E55" s="50" t="s">
        <v>287</v>
      </c>
      <c r="F55" s="105" t="s">
        <v>389</v>
      </c>
      <c r="G55" s="62" t="str">
        <f t="shared" si="0"/>
        <v>[effect:enemy_message, val1:1.2, val2:4.4]</v>
      </c>
      <c r="H55" s="62">
        <f t="shared" si="1"/>
        <v>9</v>
      </c>
      <c r="I55" s="62">
        <f t="shared" si="2"/>
        <v>22</v>
      </c>
      <c r="J55" s="62" t="e">
        <f t="shared" si="3"/>
        <v>#VALUE!</v>
      </c>
      <c r="K55" s="62">
        <f t="shared" si="4"/>
        <v>32</v>
      </c>
      <c r="L55" s="62" t="str">
        <f>IFERROR(VLOOKUP(MID(G55,J55,K55-J55),[6]skilldef!$C:$D,2,FALSE),"-") &amp; " / " &amp; IFERROR(VLOOKUP(MID(G55,H55,I55-H55),[6]skilldef!$A:$B,2,FALSE),"-")</f>
        <v>- / -</v>
      </c>
      <c r="M55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N55" s="47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O55" s="62">
        <f t="shared" si="7"/>
        <v>9</v>
      </c>
      <c r="P55" s="62">
        <f t="shared" si="8"/>
        <v>26</v>
      </c>
      <c r="Q55" s="62">
        <f t="shared" si="9"/>
        <v>35</v>
      </c>
      <c r="R55" s="62">
        <f t="shared" si="10"/>
        <v>43</v>
      </c>
      <c r="S55" s="62" t="str">
        <f>IFERROR(VLOOKUP(MID(N55,Q55,R55-Q55),[6]skilldef!$C:$D,2,FALSE),"-") &amp; " / " &amp; IFERROR(VLOOKUP(MID(N55,O55,P55-O55),[6]skilldef!$A:$B,2,FALSE),"-")</f>
        <v>味方単体に / 種族キラー</v>
      </c>
      <c r="T55" s="47" t="str">
        <f t="shared" si="11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U55" s="62">
        <f t="shared" si="12"/>
        <v>9</v>
      </c>
      <c r="V55" s="62">
        <f t="shared" si="13"/>
        <v>26</v>
      </c>
      <c r="W55" s="62">
        <f t="shared" si="14"/>
        <v>35</v>
      </c>
      <c r="X55" s="62">
        <f t="shared" si="15"/>
        <v>43</v>
      </c>
      <c r="Y55" s="62" t="str">
        <f>IFERROR(VLOOKUP(MID(T55,W55,X55-W55),[6]skilldef!$C:$D,2,FALSE),"-") &amp; " / " &amp; IFERROR(VLOOKUP(MID(T55,U55,V55-U55),[6]skilldef!$A:$B,2,FALSE),"-")</f>
        <v>味方単体に / 種族キラー</v>
      </c>
      <c r="Z55" s="49"/>
      <c r="AA55" s="51"/>
      <c r="AB55" s="49"/>
      <c r="AC55" s="48">
        <f t="shared" si="16"/>
        <v>7</v>
      </c>
      <c r="AD55" s="48">
        <f t="shared" si="17"/>
        <v>44</v>
      </c>
    </row>
    <row r="56" spans="1:30" ht="21" customHeight="1" x14ac:dyDescent="0.15">
      <c r="A56" s="46">
        <v>58001054</v>
      </c>
      <c r="B56" s="46" t="s">
        <v>411</v>
      </c>
      <c r="C56" s="49">
        <v>1</v>
      </c>
      <c r="D56" s="49" t="s">
        <v>128</v>
      </c>
      <c r="E56" s="50" t="s">
        <v>288</v>
      </c>
      <c r="F56" s="105" t="s">
        <v>383</v>
      </c>
      <c r="G56" s="62" t="str">
        <f t="shared" si="0"/>
        <v>[effect:enemy_message, val1:1.2, val2:2.4]</v>
      </c>
      <c r="H56" s="62">
        <f t="shared" si="1"/>
        <v>9</v>
      </c>
      <c r="I56" s="62">
        <f t="shared" si="2"/>
        <v>22</v>
      </c>
      <c r="J56" s="62" t="e">
        <f t="shared" si="3"/>
        <v>#VALUE!</v>
      </c>
      <c r="K56" s="62">
        <f t="shared" si="4"/>
        <v>32</v>
      </c>
      <c r="L56" s="62" t="str">
        <f>IFERROR(VLOOKUP(MID(G56,J56,K56-J56),[6]skilldef!$C:$D,2,FALSE),"-") &amp; " / " &amp; IFERROR(VLOOKUP(MID(G56,H56,I56-H56),[6]skilldef!$A:$B,2,FALSE),"-")</f>
        <v>- / -</v>
      </c>
      <c r="M56" s="62" t="str">
        <f t="shared" si="5"/>
        <v>[effect:force_change_block, new_block:damage, target:block_all, ignore01:crash, ignore02:crack_bomb, ignore03:damage, ignore04:color_break, ignore05:magnet, count:4, val:0.3, animation:change_block],[effect:rush, count:1, val:1]</v>
      </c>
      <c r="N56" s="47" t="str">
        <f t="shared" si="6"/>
        <v>[effect:force_change_block, new_block:damage, target:block_all, ignore01:crash, ignore02:crack_bomb, ignore03:damage, ignore04:color_break, ignore05:magnet, count:4, val:0.3, animation:change_block],[effect:rush, count:1, val:1]</v>
      </c>
      <c r="O56" s="62">
        <f t="shared" si="7"/>
        <v>9</v>
      </c>
      <c r="P56" s="62">
        <f t="shared" si="8"/>
        <v>27</v>
      </c>
      <c r="Q56" s="62">
        <f t="shared" si="9"/>
        <v>54</v>
      </c>
      <c r="R56" s="62">
        <f t="shared" si="10"/>
        <v>45</v>
      </c>
      <c r="S56" s="62" t="str">
        <f>IFERROR(VLOOKUP(MID(N56,Q56,R56-Q56),[6]skilldef!$C:$D,2,FALSE),"-") &amp; " / " &amp; IFERROR(VLOOKUP(MID(N56,O56,P56-O56),[6]skilldef!$A:$B,2,FALSE),"-")</f>
        <v>- / -</v>
      </c>
      <c r="T56" s="47" t="str">
        <f t="shared" si="11"/>
        <v>[effect:rush, count:1, val:1]</v>
      </c>
      <c r="U56" s="62">
        <f t="shared" si="12"/>
        <v>9</v>
      </c>
      <c r="V56" s="62">
        <f t="shared" si="13"/>
        <v>13</v>
      </c>
      <c r="W56" s="62" t="e">
        <f t="shared" si="14"/>
        <v>#VALUE!</v>
      </c>
      <c r="X56" s="62">
        <f t="shared" si="15"/>
        <v>22</v>
      </c>
      <c r="Y56" s="62" t="str">
        <f>IFERROR(VLOOKUP(MID(T56,W56,X56-W56),[6]skilldef!$C:$D,2,FALSE),"-") &amp; " / " &amp; IFERROR(VLOOKUP(MID(T56,U56,V56-U56),[6]skilldef!$A:$B,2,FALSE),"-")</f>
        <v>- / 連続攻撃</v>
      </c>
      <c r="Z56" s="49"/>
      <c r="AA56" s="51"/>
      <c r="AB56" s="49"/>
      <c r="AC56" s="48">
        <f t="shared" si="16"/>
        <v>5</v>
      </c>
      <c r="AD56" s="48">
        <f t="shared" si="17"/>
        <v>24</v>
      </c>
    </row>
    <row r="57" spans="1:30" ht="21" customHeight="1" x14ac:dyDescent="0.15">
      <c r="A57" s="46">
        <v>58001055</v>
      </c>
      <c r="B57" s="46" t="s">
        <v>339</v>
      </c>
      <c r="C57" s="49">
        <v>1</v>
      </c>
      <c r="D57" s="49" t="s">
        <v>128</v>
      </c>
      <c r="E57" s="50" t="s">
        <v>320</v>
      </c>
      <c r="F57" s="105" t="s">
        <v>378</v>
      </c>
      <c r="G57" s="62" t="str">
        <f t="shared" si="0"/>
        <v>[effect:enemy_message, val1:1.3, val2:1.2]</v>
      </c>
      <c r="H57" s="62">
        <f t="shared" si="1"/>
        <v>9</v>
      </c>
      <c r="I57" s="62">
        <f t="shared" si="2"/>
        <v>22</v>
      </c>
      <c r="J57" s="62" t="e">
        <f t="shared" si="3"/>
        <v>#VALUE!</v>
      </c>
      <c r="K57" s="62">
        <f t="shared" si="4"/>
        <v>32</v>
      </c>
      <c r="L57" s="62" t="str">
        <f>IFERROR(VLOOKUP(MID(G57,J57,K57-J57),[6]skilldef!$C:$D,2,FALSE),"-") &amp; " / " &amp; IFERROR(VLOOKUP(MID(G57,H57,I57-H57),[6]skilldef!$A:$B,2,FALSE),"-")</f>
        <v>- / -</v>
      </c>
      <c r="M57" s="62" t="str">
        <f t="shared" si="5"/>
        <v>[effect:enhance_enemy, target:myself, turn:-1, status:attack, val:0.8, calc:mul, animation:enemy_enhance_attack]</v>
      </c>
      <c r="N57" s="47" t="str">
        <f t="shared" si="6"/>
        <v>[effect:enhance_enemy, target:myself, turn:-1, status:attack, val:0.8, calc:mul, animation:enemy_enhance_attack]</v>
      </c>
      <c r="O57" s="62">
        <f t="shared" si="7"/>
        <v>9</v>
      </c>
      <c r="P57" s="62">
        <f t="shared" si="8"/>
        <v>22</v>
      </c>
      <c r="Q57" s="62">
        <f t="shared" si="9"/>
        <v>31</v>
      </c>
      <c r="R57" s="62">
        <f t="shared" si="10"/>
        <v>37</v>
      </c>
      <c r="S57" s="62" t="str">
        <f>IFERROR(VLOOKUP(MID(N57,Q57,R57-Q57),[6]skilldef!$C:$D,2,FALSE),"-") &amp; " / " &amp; IFERROR(VLOOKUP(MID(N57,O57,P57-O57),[6]skilldef!$A:$B,2,FALSE),"-")</f>
        <v>自分自身に / ステータス強化</v>
      </c>
      <c r="T57" s="47" t="str">
        <f t="shared" si="11"/>
        <v>none</v>
      </c>
      <c r="U57" s="62" t="e">
        <f t="shared" si="12"/>
        <v>#VALUE!</v>
      </c>
      <c r="V57" s="62">
        <f t="shared" si="13"/>
        <v>4</v>
      </c>
      <c r="W57" s="62" t="e">
        <f t="shared" si="14"/>
        <v>#VALUE!</v>
      </c>
      <c r="X57" s="62" t="e">
        <f t="shared" si="15"/>
        <v>#VALUE!</v>
      </c>
      <c r="Y57" s="62" t="str">
        <f>IFERROR(VLOOKUP(MID(T57,W57,X57-W57),[6]skilldef!$C:$D,2,FALSE),"-") &amp; " / " &amp; IFERROR(VLOOKUP(MID(T57,U57,V57-U57),[6]skilldef!$A:$B,2,FALSE),"-")</f>
        <v>- / -</v>
      </c>
      <c r="Z57" s="49"/>
      <c r="AA57" s="51"/>
      <c r="AB57" s="49"/>
      <c r="AC57" s="48">
        <f t="shared" si="16"/>
        <v>13</v>
      </c>
      <c r="AD57" s="48">
        <f t="shared" si="17"/>
        <v>8</v>
      </c>
    </row>
    <row r="58" spans="1:30" ht="21" customHeight="1" x14ac:dyDescent="0.15">
      <c r="A58" s="46">
        <v>58001056</v>
      </c>
      <c r="B58" s="46" t="s">
        <v>412</v>
      </c>
      <c r="C58" s="49">
        <v>1</v>
      </c>
      <c r="D58" s="49" t="s">
        <v>128</v>
      </c>
      <c r="E58" s="50" t="s">
        <v>287</v>
      </c>
      <c r="F58" s="105" t="s">
        <v>387</v>
      </c>
      <c r="G58" s="62" t="str">
        <f t="shared" si="0"/>
        <v>[effect:enemy_message, val1:1.2, val2:4.4]</v>
      </c>
      <c r="H58" s="62">
        <f t="shared" si="1"/>
        <v>9</v>
      </c>
      <c r="I58" s="62">
        <f t="shared" si="2"/>
        <v>22</v>
      </c>
      <c r="J58" s="62" t="e">
        <f t="shared" si="3"/>
        <v>#VALUE!</v>
      </c>
      <c r="K58" s="62">
        <f t="shared" si="4"/>
        <v>32</v>
      </c>
      <c r="L58" s="62" t="str">
        <f>IFERROR(VLOOKUP(MID(G58,J58,K58-J58),[6]skilldef!$C:$D,2,FALSE),"-") &amp; " / " &amp; IFERROR(VLOOKUP(MID(G58,H58,I58-H58),[6]skilldef!$A:$B,2,FALSE),"-")</f>
        <v>- / -</v>
      </c>
      <c r="M58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N58" s="47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O58" s="62">
        <f t="shared" si="7"/>
        <v>9</v>
      </c>
      <c r="P58" s="62">
        <f t="shared" si="8"/>
        <v>26</v>
      </c>
      <c r="Q58" s="62">
        <f t="shared" si="9"/>
        <v>35</v>
      </c>
      <c r="R58" s="62">
        <f t="shared" si="10"/>
        <v>43</v>
      </c>
      <c r="S58" s="62" t="str">
        <f>IFERROR(VLOOKUP(MID(N58,Q58,R58-Q58),[6]skilldef!$C:$D,2,FALSE),"-") &amp; " / " &amp; IFERROR(VLOOKUP(MID(N58,O58,P58-O58),[6]skilldef!$A:$B,2,FALSE),"-")</f>
        <v>味方単体に / 種族キラー</v>
      </c>
      <c r="T58" s="47" t="str">
        <f t="shared" si="11"/>
        <v>[effect:damage_anti_tribe, target:unit_one, tribe:samurai, val1:0.25, val2:0.3],[effect:damage_anti_tribe, target:unit_one, tribe:samurai, val1:0.25, val2:0.3]</v>
      </c>
      <c r="U58" s="62">
        <f t="shared" si="12"/>
        <v>9</v>
      </c>
      <c r="V58" s="62">
        <f t="shared" si="13"/>
        <v>26</v>
      </c>
      <c r="W58" s="62">
        <f t="shared" si="14"/>
        <v>35</v>
      </c>
      <c r="X58" s="62">
        <f t="shared" si="15"/>
        <v>43</v>
      </c>
      <c r="Y58" s="62" t="str">
        <f>IFERROR(VLOOKUP(MID(T58,W58,X58-W58),[6]skilldef!$C:$D,2,FALSE),"-") &amp; " / " &amp; IFERROR(VLOOKUP(MID(T58,U58,V58-U58),[6]skilldef!$A:$B,2,FALSE),"-")</f>
        <v>味方単体に / 種族キラー</v>
      </c>
      <c r="Z58" s="49"/>
      <c r="AA58" s="51"/>
      <c r="AB58" s="49"/>
      <c r="AC58" s="48">
        <f t="shared" si="16"/>
        <v>7</v>
      </c>
      <c r="AD58" s="48">
        <f t="shared" si="17"/>
        <v>44</v>
      </c>
    </row>
    <row r="59" spans="1:30" ht="21" customHeight="1" x14ac:dyDescent="0.15">
      <c r="A59" s="46">
        <v>58001057</v>
      </c>
      <c r="B59" s="46" t="s">
        <v>409</v>
      </c>
      <c r="C59" s="49">
        <v>1</v>
      </c>
      <c r="D59" s="49" t="s">
        <v>128</v>
      </c>
      <c r="E59" s="50" t="s">
        <v>287</v>
      </c>
      <c r="F59" s="105" t="s">
        <v>388</v>
      </c>
      <c r="G59" s="62" t="str">
        <f t="shared" si="0"/>
        <v>[effect:enemy_message, val1:1.2, val2:4.4]</v>
      </c>
      <c r="H59" s="62">
        <f t="shared" si="1"/>
        <v>9</v>
      </c>
      <c r="I59" s="62">
        <f t="shared" si="2"/>
        <v>22</v>
      </c>
      <c r="J59" s="62" t="e">
        <f t="shared" si="3"/>
        <v>#VALUE!</v>
      </c>
      <c r="K59" s="62">
        <f t="shared" si="4"/>
        <v>32</v>
      </c>
      <c r="L59" s="62" t="str">
        <f>IFERROR(VLOOKUP(MID(G59,J59,K59-J59),[6]skilldef!$C:$D,2,FALSE),"-") &amp; " / " &amp; IFERROR(VLOOKUP(MID(G59,H59,I59-H59),[6]skilldef!$A:$B,2,FALSE),"-")</f>
        <v>- / -</v>
      </c>
      <c r="M59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N59" s="47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O59" s="62">
        <f t="shared" si="7"/>
        <v>9</v>
      </c>
      <c r="P59" s="62">
        <f t="shared" si="8"/>
        <v>26</v>
      </c>
      <c r="Q59" s="62">
        <f t="shared" si="9"/>
        <v>35</v>
      </c>
      <c r="R59" s="62">
        <f t="shared" si="10"/>
        <v>43</v>
      </c>
      <c r="S59" s="62" t="str">
        <f>IFERROR(VLOOKUP(MID(N59,Q59,R59-Q59),[6]skilldef!$C:$D,2,FALSE),"-") &amp; " / " &amp; IFERROR(VLOOKUP(MID(N59,O59,P59-O59),[6]skilldef!$A:$B,2,FALSE),"-")</f>
        <v>味方単体に / 種族キラー</v>
      </c>
      <c r="T59" s="47" t="str">
        <f t="shared" si="11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U59" s="62">
        <f t="shared" si="12"/>
        <v>9</v>
      </c>
      <c r="V59" s="62">
        <f t="shared" si="13"/>
        <v>26</v>
      </c>
      <c r="W59" s="62">
        <f t="shared" si="14"/>
        <v>35</v>
      </c>
      <c r="X59" s="62">
        <f t="shared" si="15"/>
        <v>43</v>
      </c>
      <c r="Y59" s="62" t="str">
        <f>IFERROR(VLOOKUP(MID(T59,W59,X59-W59),[6]skilldef!$C:$D,2,FALSE),"-") &amp; " / " &amp; IFERROR(VLOOKUP(MID(T59,U59,V59-U59),[6]skilldef!$A:$B,2,FALSE),"-")</f>
        <v>味方単体に / 種族キラー</v>
      </c>
      <c r="Z59" s="49"/>
      <c r="AA59" s="51"/>
      <c r="AB59" s="49"/>
      <c r="AC59" s="48">
        <f t="shared" si="16"/>
        <v>7</v>
      </c>
      <c r="AD59" s="48">
        <f t="shared" si="17"/>
        <v>44</v>
      </c>
    </row>
    <row r="60" spans="1:30" ht="21" customHeight="1" x14ac:dyDescent="0.15">
      <c r="A60" s="46">
        <v>58001058</v>
      </c>
      <c r="B60" s="46" t="s">
        <v>413</v>
      </c>
      <c r="C60" s="49">
        <v>1</v>
      </c>
      <c r="D60" s="49" t="s">
        <v>128</v>
      </c>
      <c r="E60" s="50" t="s">
        <v>287</v>
      </c>
      <c r="F60" s="105" t="s">
        <v>389</v>
      </c>
      <c r="G60" s="62" t="str">
        <f t="shared" si="0"/>
        <v>[effect:enemy_message, val1:1.2, val2:4.4]</v>
      </c>
      <c r="H60" s="62">
        <f t="shared" si="1"/>
        <v>9</v>
      </c>
      <c r="I60" s="62">
        <f t="shared" si="2"/>
        <v>22</v>
      </c>
      <c r="J60" s="62" t="e">
        <f t="shared" si="3"/>
        <v>#VALUE!</v>
      </c>
      <c r="K60" s="62">
        <f t="shared" si="4"/>
        <v>32</v>
      </c>
      <c r="L60" s="62" t="str">
        <f>IFERROR(VLOOKUP(MID(G60,J60,K60-J60),[6]skilldef!$C:$D,2,FALSE),"-") &amp; " / " &amp; IFERROR(VLOOKUP(MID(G60,H60,I60-H60),[6]skilldef!$A:$B,2,FALSE),"-")</f>
        <v>- / -</v>
      </c>
      <c r="M60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N60" s="47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O60" s="62">
        <f t="shared" si="7"/>
        <v>9</v>
      </c>
      <c r="P60" s="62">
        <f t="shared" si="8"/>
        <v>26</v>
      </c>
      <c r="Q60" s="62">
        <f t="shared" si="9"/>
        <v>35</v>
      </c>
      <c r="R60" s="62">
        <f t="shared" si="10"/>
        <v>43</v>
      </c>
      <c r="S60" s="62" t="str">
        <f>IFERROR(VLOOKUP(MID(N60,Q60,R60-Q60),[6]skilldef!$C:$D,2,FALSE),"-") &amp; " / " &amp; IFERROR(VLOOKUP(MID(N60,O60,P60-O60),[6]skilldef!$A:$B,2,FALSE),"-")</f>
        <v>味方単体に / 種族キラー</v>
      </c>
      <c r="T60" s="47" t="str">
        <f t="shared" si="11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U60" s="62">
        <f t="shared" si="12"/>
        <v>9</v>
      </c>
      <c r="V60" s="62">
        <f t="shared" si="13"/>
        <v>26</v>
      </c>
      <c r="W60" s="62">
        <f t="shared" si="14"/>
        <v>35</v>
      </c>
      <c r="X60" s="62">
        <f t="shared" si="15"/>
        <v>43</v>
      </c>
      <c r="Y60" s="62" t="str">
        <f>IFERROR(VLOOKUP(MID(T60,W60,X60-W60),[6]skilldef!$C:$D,2,FALSE),"-") &amp; " / " &amp; IFERROR(VLOOKUP(MID(T60,U60,V60-U60),[6]skilldef!$A:$B,2,FALSE),"-")</f>
        <v>味方単体に / 種族キラー</v>
      </c>
      <c r="Z60" s="49"/>
      <c r="AA60" s="51"/>
      <c r="AB60" s="49"/>
      <c r="AC60" s="48">
        <f t="shared" si="16"/>
        <v>7</v>
      </c>
      <c r="AD60" s="48">
        <f t="shared" si="17"/>
        <v>44</v>
      </c>
    </row>
    <row r="61" spans="1:30" ht="21" customHeight="1" x14ac:dyDescent="0.15">
      <c r="A61" s="46">
        <v>58001059</v>
      </c>
      <c r="B61" s="46" t="s">
        <v>263</v>
      </c>
      <c r="C61" s="49">
        <v>1</v>
      </c>
      <c r="D61" s="49" t="s">
        <v>128</v>
      </c>
      <c r="E61" s="50" t="s">
        <v>261</v>
      </c>
      <c r="F61" s="50" t="s">
        <v>253</v>
      </c>
      <c r="G61" s="62" t="str">
        <f t="shared" si="0"/>
        <v>[effect:enemy_message, val1:1.2, val2:1.2]</v>
      </c>
      <c r="H61" s="62">
        <f t="shared" si="1"/>
        <v>9</v>
      </c>
      <c r="I61" s="62">
        <f t="shared" si="2"/>
        <v>22</v>
      </c>
      <c r="J61" s="62" t="e">
        <f t="shared" si="3"/>
        <v>#VALUE!</v>
      </c>
      <c r="K61" s="62">
        <f t="shared" si="4"/>
        <v>32</v>
      </c>
      <c r="L61" s="62" t="str">
        <f>IFERROR(VLOOKUP(MID(G61,J61,K61-J61),[6]skilldef!$C:$D,2,FALSE),"-") &amp; " / " &amp; IFERROR(VLOOKUP(MID(G61,H61,I61-H61),[6]skilldef!$A:$B,2,FALSE),"-")</f>
        <v>- / -</v>
      </c>
      <c r="M61" s="62" t="str">
        <f t="shared" si="5"/>
        <v>none</v>
      </c>
      <c r="N61" s="47" t="str">
        <f t="shared" si="6"/>
        <v>none</v>
      </c>
      <c r="O61" s="62" t="e">
        <f t="shared" si="7"/>
        <v>#VALUE!</v>
      </c>
      <c r="P61" s="62">
        <f t="shared" si="8"/>
        <v>4</v>
      </c>
      <c r="Q61" s="62" t="e">
        <f t="shared" si="9"/>
        <v>#VALUE!</v>
      </c>
      <c r="R61" s="62" t="e">
        <f t="shared" si="10"/>
        <v>#VALUE!</v>
      </c>
      <c r="S61" s="62" t="str">
        <f>IFERROR(VLOOKUP(MID(N61,Q61,R61-Q61),[6]skilldef!$C:$D,2,FALSE),"-") &amp; " / " &amp; IFERROR(VLOOKUP(MID(N61,O61,P61-O61),[6]skilldef!$A:$B,2,FALSE),"-")</f>
        <v>- / -</v>
      </c>
      <c r="T61" s="47" t="str">
        <f t="shared" si="11"/>
        <v>none</v>
      </c>
      <c r="U61" s="62" t="e">
        <f t="shared" si="12"/>
        <v>#VALUE!</v>
      </c>
      <c r="V61" s="62">
        <f t="shared" si="13"/>
        <v>4</v>
      </c>
      <c r="W61" s="62" t="e">
        <f t="shared" si="14"/>
        <v>#VALUE!</v>
      </c>
      <c r="X61" s="62" t="e">
        <f t="shared" si="15"/>
        <v>#VALUE!</v>
      </c>
      <c r="Y61" s="62" t="str">
        <f>IFERROR(VLOOKUP(MID(T61,W61,X61-W61),[6]skilldef!$C:$D,2,FALSE),"-") &amp; " / " &amp; IFERROR(VLOOKUP(MID(T61,U61,V61-U61),[6]skilldef!$A:$B,2,FALSE),"-")</f>
        <v>- / -</v>
      </c>
      <c r="Z61" s="49"/>
      <c r="AA61" s="51"/>
      <c r="AB61" s="49"/>
      <c r="AC61" s="48">
        <f t="shared" si="16"/>
        <v>3</v>
      </c>
      <c r="AD61" s="48">
        <f t="shared" si="17"/>
        <v>3</v>
      </c>
    </row>
    <row r="62" spans="1:30" ht="21" customHeight="1" x14ac:dyDescent="0.15">
      <c r="A62" s="46">
        <v>58001060</v>
      </c>
      <c r="B62" s="46" t="s">
        <v>340</v>
      </c>
      <c r="C62" s="49">
        <v>1</v>
      </c>
      <c r="D62" s="49" t="s">
        <v>128</v>
      </c>
      <c r="E62" s="50" t="s">
        <v>302</v>
      </c>
      <c r="F62" s="50" t="s">
        <v>276</v>
      </c>
      <c r="G62" s="62" t="str">
        <f t="shared" si="0"/>
        <v>[effect:enemy_message, val1:1.4, val2:2.0]</v>
      </c>
      <c r="H62" s="62">
        <f t="shared" si="1"/>
        <v>9</v>
      </c>
      <c r="I62" s="62">
        <f t="shared" si="2"/>
        <v>22</v>
      </c>
      <c r="J62" s="62" t="e">
        <f t="shared" si="3"/>
        <v>#VALUE!</v>
      </c>
      <c r="K62" s="62">
        <f t="shared" si="4"/>
        <v>32</v>
      </c>
      <c r="L62" s="62" t="str">
        <f>IFERROR(VLOOKUP(MID(G62,J62,K62-J62),[6]skilldef!$C:$D,2,FALSE),"-") &amp; " / " &amp; IFERROR(VLOOKUP(MID(G62,H62,I62-H62),[6]skilldef!$A:$B,2,FALSE),"-")</f>
        <v>- / -</v>
      </c>
      <c r="M62" s="62" t="str">
        <f t="shared" si="5"/>
        <v>[effect:fix_speed, target:myself, turn:2],[effect:tolerance, target:myself, turn:-1, count:-1, tolerance_effect:all, animation:enemy_tolerance],[effect:change_panel_ratio, turn:-1, block_type:heal, val:0.4, animation:block_incidence04]</v>
      </c>
      <c r="N62" s="47" t="str">
        <f t="shared" si="6"/>
        <v>[effect:fix_speed, target:myself, turn:2],[effect:tolerance, target:myself, turn:-1, count:-1, tolerance_effect:all, animation:enemy_tolerance],[effect:change_panel_ratio, turn:-1, block_type:heal, val:0.4, animation:block_incidence04]</v>
      </c>
      <c r="O62" s="62">
        <f t="shared" si="7"/>
        <v>9</v>
      </c>
      <c r="P62" s="62">
        <f t="shared" si="8"/>
        <v>18</v>
      </c>
      <c r="Q62" s="62">
        <f t="shared" si="9"/>
        <v>27</v>
      </c>
      <c r="R62" s="62">
        <f t="shared" si="10"/>
        <v>33</v>
      </c>
      <c r="S62" s="62" t="str">
        <f>IFERROR(VLOOKUP(MID(N62,Q62,R62-Q62),[6]skilldef!$C:$D,2,FALSE),"-") &amp; " / " &amp; IFERROR(VLOOKUP(MID(N62,O62,P62-O62),[6]skilldef!$A:$B,2,FALSE),"-")</f>
        <v>自分自身に / 行動値設定</v>
      </c>
      <c r="T62" s="47" t="str">
        <f t="shared" si="11"/>
        <v>[effect:tolerance, target:myself, turn:-1, count:-1, tolerance_effect:all, animation:enemy_tolerance],[effect:change_panel_ratio, turn:-1, block_type:heal, val:0.4, animation:block_incidence04]</v>
      </c>
      <c r="U62" s="62">
        <f t="shared" si="12"/>
        <v>9</v>
      </c>
      <c r="V62" s="62">
        <f t="shared" si="13"/>
        <v>18</v>
      </c>
      <c r="W62" s="62">
        <f t="shared" si="14"/>
        <v>27</v>
      </c>
      <c r="X62" s="62">
        <f t="shared" si="15"/>
        <v>33</v>
      </c>
      <c r="Y62" s="62" t="str">
        <f>IFERROR(VLOOKUP(MID(T62,W62,X62-W62),[6]skilldef!$C:$D,2,FALSE),"-") &amp; " / " &amp; IFERROR(VLOOKUP(MID(T62,U62,V62-U62),[6]skilldef!$A:$B,2,FALSE),"-")</f>
        <v>自分自身に / 状態異常耐性</v>
      </c>
      <c r="Z62" s="49"/>
      <c r="AA62" s="51"/>
      <c r="AB62" s="49"/>
      <c r="AC62" s="48">
        <f t="shared" si="16"/>
        <v>14</v>
      </c>
      <c r="AD62" s="48">
        <f t="shared" si="17"/>
        <v>20</v>
      </c>
    </row>
    <row r="63" spans="1:30" ht="21" customHeight="1" x14ac:dyDescent="0.15">
      <c r="A63" s="46">
        <v>58001061</v>
      </c>
      <c r="B63" s="46" t="s">
        <v>414</v>
      </c>
      <c r="C63" s="49">
        <v>1</v>
      </c>
      <c r="D63" s="49" t="s">
        <v>128</v>
      </c>
      <c r="E63" s="50" t="s">
        <v>292</v>
      </c>
      <c r="F63" s="105" t="s">
        <v>384</v>
      </c>
      <c r="G63" s="62" t="str">
        <f t="shared" si="0"/>
        <v>[effect:enemy_message, val1:1.2, val2:3.1]</v>
      </c>
      <c r="H63" s="62">
        <f t="shared" si="1"/>
        <v>9</v>
      </c>
      <c r="I63" s="62">
        <f t="shared" si="2"/>
        <v>22</v>
      </c>
      <c r="J63" s="62" t="e">
        <f t="shared" si="3"/>
        <v>#VALUE!</v>
      </c>
      <c r="K63" s="62">
        <f t="shared" si="4"/>
        <v>32</v>
      </c>
      <c r="L63" s="62" t="str">
        <f>IFERROR(VLOOKUP(MID(G63,J63,K63-J63),[6]skilldef!$C:$D,2,FALSE),"-") &amp; " / " &amp; IFERROR(VLOOKUP(MID(G63,H63,I63-H63),[6]skilldef!$A:$B,2,FALSE),"-")</f>
        <v>- / -</v>
      </c>
      <c r="M63" s="62" t="str">
        <f t="shared" si="5"/>
        <v>[effect:dis_heart, turn:3, animation:enemy_dis_heart],[effect:panel_freeze, target:normal, color:block_heart, count:-1],[effect:rush, count:1, val:1]</v>
      </c>
      <c r="N63" s="47" t="str">
        <f t="shared" si="6"/>
        <v>[effect:dis_heart, turn:3, animation:enemy_dis_heart],[effect:panel_freeze, target:normal, color:block_heart, count:-1],[effect:rush, count:1, val:1]</v>
      </c>
      <c r="O63" s="62">
        <f t="shared" si="7"/>
        <v>9</v>
      </c>
      <c r="P63" s="62">
        <f t="shared" si="8"/>
        <v>18</v>
      </c>
      <c r="Q63" s="62">
        <f t="shared" si="9"/>
        <v>84</v>
      </c>
      <c r="R63" s="62">
        <f t="shared" si="10"/>
        <v>26</v>
      </c>
      <c r="S63" s="62" t="str">
        <f>IFERROR(VLOOKUP(MID(N63,Q63,R63-Q63),[6]skilldef!$C:$D,2,FALSE),"-") &amp; " / " &amp; IFERROR(VLOOKUP(MID(N63,O63,P63-O63),[6]skilldef!$A:$B,2,FALSE),"-")</f>
        <v>- / ディスハート</v>
      </c>
      <c r="T63" s="47" t="str">
        <f t="shared" si="11"/>
        <v>[effect:panel_freeze, target:normal, color:block_heart, count:-1],[effect:rush, count:1, val:1]</v>
      </c>
      <c r="U63" s="62">
        <f t="shared" si="12"/>
        <v>9</v>
      </c>
      <c r="V63" s="62">
        <f t="shared" si="13"/>
        <v>21</v>
      </c>
      <c r="W63" s="62">
        <f t="shared" si="14"/>
        <v>30</v>
      </c>
      <c r="X63" s="62">
        <f t="shared" si="15"/>
        <v>36</v>
      </c>
      <c r="Y63" s="62" t="str">
        <f>IFERROR(VLOOKUP(MID(T63,W63,X63-W63),[6]skilldef!$C:$D,2,FALSE),"-") &amp; " / " &amp; IFERROR(VLOOKUP(MID(T63,U63,V63-U63),[6]skilldef!$A:$B,2,FALSE),"-")</f>
        <v>- / -</v>
      </c>
      <c r="Z63" s="49"/>
      <c r="AA63" s="51"/>
      <c r="AB63" s="49"/>
      <c r="AC63" s="48">
        <f t="shared" si="16"/>
        <v>9</v>
      </c>
      <c r="AD63" s="48">
        <f t="shared" si="17"/>
        <v>31</v>
      </c>
    </row>
    <row r="64" spans="1:30" ht="21" customHeight="1" x14ac:dyDescent="0.15">
      <c r="A64" s="46">
        <v>58001062</v>
      </c>
      <c r="B64" s="46" t="s">
        <v>415</v>
      </c>
      <c r="C64" s="49">
        <v>1</v>
      </c>
      <c r="D64" s="49" t="s">
        <v>128</v>
      </c>
      <c r="E64" s="50" t="s">
        <v>299</v>
      </c>
      <c r="F64" s="105" t="s">
        <v>385</v>
      </c>
      <c r="G64" s="62" t="str">
        <f t="shared" si="0"/>
        <v>[effect:enemy_message, val1:1.2, val2:2.4]</v>
      </c>
      <c r="H64" s="62">
        <f t="shared" si="1"/>
        <v>9</v>
      </c>
      <c r="I64" s="62">
        <f t="shared" si="2"/>
        <v>22</v>
      </c>
      <c r="J64" s="62" t="e">
        <f t="shared" si="3"/>
        <v>#VALUE!</v>
      </c>
      <c r="K64" s="62">
        <f t="shared" si="4"/>
        <v>32</v>
      </c>
      <c r="L64" s="62" t="str">
        <f>IFERROR(VLOOKUP(MID(G64,J64,K64-J64),[6]skilldef!$C:$D,2,FALSE),"-") &amp; " / " &amp; IFERROR(VLOOKUP(MID(G64,H64,I64-H64),[6]skilldef!$A:$B,2,FALSE),"-")</f>
        <v>- / -</v>
      </c>
      <c r="M64" s="62" t="str">
        <f t="shared" si="5"/>
        <v>[effect:force_change_block, new_block:damage, target:block_all, ignore01:crash, ignore02:crack_bomb, ignore03:damage, ignore04:color_break, ignore05:magnet, count:8, val:0.06, animation:change_block],[effect:rush, count:1, val:1]</v>
      </c>
      <c r="N64" s="47" t="str">
        <f t="shared" si="6"/>
        <v>[effect:force_change_block, new_block:damage, target:block_all, ignore01:crash, ignore02:crack_bomb, ignore03:damage, ignore04:color_break, ignore05:magnet, count:8, val:0.06, animation:change_block],[effect:rush, count:1, val:1]</v>
      </c>
      <c r="O64" s="62">
        <f t="shared" si="7"/>
        <v>9</v>
      </c>
      <c r="P64" s="62">
        <f t="shared" si="8"/>
        <v>27</v>
      </c>
      <c r="Q64" s="62">
        <f t="shared" si="9"/>
        <v>54</v>
      </c>
      <c r="R64" s="62">
        <f t="shared" si="10"/>
        <v>45</v>
      </c>
      <c r="S64" s="62" t="str">
        <f>IFERROR(VLOOKUP(MID(N64,Q64,R64-Q64),[6]skilldef!$C:$D,2,FALSE),"-") &amp; " / " &amp; IFERROR(VLOOKUP(MID(N64,O64,P64-O64),[6]skilldef!$A:$B,2,FALSE),"-")</f>
        <v>- / -</v>
      </c>
      <c r="T64" s="47" t="str">
        <f t="shared" si="11"/>
        <v>[effect:rush, count:1, val:1]</v>
      </c>
      <c r="U64" s="62">
        <f t="shared" si="12"/>
        <v>9</v>
      </c>
      <c r="V64" s="62">
        <f t="shared" si="13"/>
        <v>13</v>
      </c>
      <c r="W64" s="62" t="e">
        <f t="shared" si="14"/>
        <v>#VALUE!</v>
      </c>
      <c r="X64" s="62">
        <f t="shared" si="15"/>
        <v>22</v>
      </c>
      <c r="Y64" s="62" t="str">
        <f>IFERROR(VLOOKUP(MID(T64,W64,X64-W64),[6]skilldef!$C:$D,2,FALSE),"-") &amp; " / " &amp; IFERROR(VLOOKUP(MID(T64,U64,V64-U64),[6]skilldef!$A:$B,2,FALSE),"-")</f>
        <v>- / 連続攻撃</v>
      </c>
      <c r="Z64" s="49"/>
      <c r="AA64" s="51"/>
      <c r="AB64" s="49"/>
      <c r="AC64" s="48">
        <f t="shared" si="16"/>
        <v>10</v>
      </c>
      <c r="AD64" s="48">
        <f t="shared" si="17"/>
        <v>24</v>
      </c>
    </row>
    <row r="65" spans="1:30" ht="21" customHeight="1" x14ac:dyDescent="0.15">
      <c r="A65" s="46">
        <v>58001063</v>
      </c>
      <c r="B65" s="46" t="s">
        <v>341</v>
      </c>
      <c r="C65" s="49">
        <v>1</v>
      </c>
      <c r="D65" s="49" t="s">
        <v>128</v>
      </c>
      <c r="E65" s="50" t="s">
        <v>296</v>
      </c>
      <c r="F65" s="50" t="s">
        <v>269</v>
      </c>
      <c r="G65" s="62" t="str">
        <f t="shared" si="0"/>
        <v>[effect:enemy_message, val1:1.3, val2:2.1]</v>
      </c>
      <c r="H65" s="62">
        <f t="shared" si="1"/>
        <v>9</v>
      </c>
      <c r="I65" s="62">
        <f t="shared" si="2"/>
        <v>22</v>
      </c>
      <c r="J65" s="62" t="e">
        <f t="shared" si="3"/>
        <v>#VALUE!</v>
      </c>
      <c r="K65" s="62">
        <f t="shared" si="4"/>
        <v>32</v>
      </c>
      <c r="L65" s="62" t="str">
        <f>IFERROR(VLOOKUP(MID(G65,J65,K65-J65),[6]skilldef!$C:$D,2,FALSE),"-") &amp; " / " &amp; IFERROR(VLOOKUP(MID(G65,H65,I65-H65),[6]skilldef!$A:$B,2,FALSE),"-")</f>
        <v>- / -</v>
      </c>
      <c r="M65" s="62" t="str">
        <f t="shared" si="5"/>
        <v>[effect:damage_anti_tribe, target:unit_all, tribe:machine, val1:1, val2:0.3]</v>
      </c>
      <c r="N65" s="47" t="str">
        <f t="shared" si="6"/>
        <v>[effect:damage_anti_tribe, target:unit_all, tribe:machine, val1:1, val2:0.3]</v>
      </c>
      <c r="O65" s="62">
        <f t="shared" si="7"/>
        <v>9</v>
      </c>
      <c r="P65" s="62">
        <f t="shared" si="8"/>
        <v>26</v>
      </c>
      <c r="Q65" s="62">
        <f t="shared" si="9"/>
        <v>35</v>
      </c>
      <c r="R65" s="62">
        <f t="shared" si="10"/>
        <v>43</v>
      </c>
      <c r="S65" s="62" t="str">
        <f>IFERROR(VLOOKUP(MID(N65,Q65,R65-Q65),[6]skilldef!$C:$D,2,FALSE),"-") &amp; " / " &amp; IFERROR(VLOOKUP(MID(N65,O65,P65-O65),[6]skilldef!$A:$B,2,FALSE),"-")</f>
        <v>味方全体に / 種族キラー</v>
      </c>
      <c r="T65" s="47" t="str">
        <f t="shared" si="11"/>
        <v>none</v>
      </c>
      <c r="U65" s="62" t="e">
        <f t="shared" si="12"/>
        <v>#VALUE!</v>
      </c>
      <c r="V65" s="62">
        <f t="shared" si="13"/>
        <v>4</v>
      </c>
      <c r="W65" s="62" t="e">
        <f t="shared" si="14"/>
        <v>#VALUE!</v>
      </c>
      <c r="X65" s="62" t="e">
        <f t="shared" si="15"/>
        <v>#VALUE!</v>
      </c>
      <c r="Y65" s="62" t="str">
        <f>IFERROR(VLOOKUP(MID(T65,W65,X65-W65),[6]skilldef!$C:$D,2,FALSE),"-") &amp; " / " &amp; IFERROR(VLOOKUP(MID(T65,U65,V65-U65),[6]skilldef!$A:$B,2,FALSE),"-")</f>
        <v>- / -</v>
      </c>
      <c r="Z65" s="49"/>
      <c r="AA65" s="51"/>
      <c r="AB65" s="49"/>
      <c r="AC65" s="48">
        <f t="shared" si="16"/>
        <v>13</v>
      </c>
      <c r="AD65" s="48">
        <f t="shared" si="17"/>
        <v>21</v>
      </c>
    </row>
    <row r="66" spans="1:30" ht="21" customHeight="1" x14ac:dyDescent="0.15">
      <c r="A66" s="46">
        <v>58001064</v>
      </c>
      <c r="B66" s="46" t="s">
        <v>416</v>
      </c>
      <c r="C66" s="49">
        <v>1</v>
      </c>
      <c r="D66" s="49" t="s">
        <v>128</v>
      </c>
      <c r="E66" s="50" t="s">
        <v>293</v>
      </c>
      <c r="F66" s="105" t="s">
        <v>386</v>
      </c>
      <c r="G66" s="62" t="str">
        <f t="shared" si="0"/>
        <v>[effect:enemy_message, val1:1.2, val2:2.1]</v>
      </c>
      <c r="H66" s="62">
        <f t="shared" si="1"/>
        <v>9</v>
      </c>
      <c r="I66" s="62">
        <f t="shared" si="2"/>
        <v>22</v>
      </c>
      <c r="J66" s="62" t="e">
        <f t="shared" si="3"/>
        <v>#VALUE!</v>
      </c>
      <c r="K66" s="62">
        <f t="shared" si="4"/>
        <v>32</v>
      </c>
      <c r="L66" s="62" t="str">
        <f>IFERROR(VLOOKUP(MID(G66,J66,K66-J66),[6]skilldef!$C:$D,2,FALSE),"-") &amp; " / " &amp; IFERROR(VLOOKUP(MID(G66,H66,I66-H66),[6]skilldef!$A:$B,2,FALSE),"-")</f>
        <v>- / -</v>
      </c>
      <c r="M66" s="62" t="str">
        <f t="shared" si="5"/>
        <v>[effect:force_change_block, new_block:jammer, target:block_heart, ignore01:crack_bomb, ignore02:jammer, ignore03:time_bomb,  ignore04:magnet, ignore05:damage, ignore06:color_break, ignore07:crash, count:0, val:0, animation:change_block],[effect:rush, count:1, val:1]</v>
      </c>
      <c r="N66" s="47" t="str">
        <f t="shared" si="6"/>
        <v>[effect:force_change_block, new_block:jammer, target:block_heart, ignore01:crack_bomb, ignore02:jammer, ignore03:time_bomb,  ignore04:magnet, ignore05:damage, ignore06:color_break, ignore07:crash, count:0, val:0, animation:change_block],[effect:rush, count:1, val:1]</v>
      </c>
      <c r="O66" s="62">
        <f t="shared" si="7"/>
        <v>9</v>
      </c>
      <c r="P66" s="62">
        <f t="shared" si="8"/>
        <v>27</v>
      </c>
      <c r="Q66" s="62">
        <f t="shared" si="9"/>
        <v>54</v>
      </c>
      <c r="R66" s="62">
        <f t="shared" si="10"/>
        <v>45</v>
      </c>
      <c r="S66" s="62" t="str">
        <f>IFERROR(VLOOKUP(MID(N66,Q66,R66-Q66),[6]skilldef!$C:$D,2,FALSE),"-") &amp; " / " &amp; IFERROR(VLOOKUP(MID(N66,O66,P66-O66),[6]skilldef!$A:$B,2,FALSE),"-")</f>
        <v>- / -</v>
      </c>
      <c r="T66" s="47" t="str">
        <f t="shared" si="11"/>
        <v>[effect:rush, count:1, val:1]</v>
      </c>
      <c r="U66" s="62">
        <f t="shared" si="12"/>
        <v>9</v>
      </c>
      <c r="V66" s="62">
        <f t="shared" si="13"/>
        <v>13</v>
      </c>
      <c r="W66" s="62" t="e">
        <f t="shared" si="14"/>
        <v>#VALUE!</v>
      </c>
      <c r="X66" s="62">
        <f t="shared" si="15"/>
        <v>22</v>
      </c>
      <c r="Y66" s="62" t="str">
        <f>IFERROR(VLOOKUP(MID(T66,W66,X66-W66),[6]skilldef!$C:$D,2,FALSE),"-") &amp; " / " &amp; IFERROR(VLOOKUP(MID(T66,U66,V66-U66),[6]skilldef!$A:$B,2,FALSE),"-")</f>
        <v>- / 連続攻撃</v>
      </c>
      <c r="Z66" s="49"/>
      <c r="AA66" s="51"/>
      <c r="AB66" s="49"/>
      <c r="AC66" s="48">
        <f t="shared" si="16"/>
        <v>11</v>
      </c>
      <c r="AD66" s="48">
        <f t="shared" si="17"/>
        <v>21</v>
      </c>
    </row>
    <row r="67" spans="1:30" ht="21" customHeight="1" x14ac:dyDescent="0.15">
      <c r="A67" s="46">
        <v>58001065</v>
      </c>
      <c r="B67" s="46" t="s">
        <v>417</v>
      </c>
      <c r="C67" s="49">
        <v>1</v>
      </c>
      <c r="D67" s="49" t="s">
        <v>128</v>
      </c>
      <c r="E67" s="50" t="s">
        <v>298</v>
      </c>
      <c r="F67" s="105" t="s">
        <v>377</v>
      </c>
      <c r="G67" s="62" t="str">
        <f t="shared" ref="G67:G91" si="18">IFERROR(LEFT(B67,FIND("],",B67)),B67)</f>
        <v>[effect:enemy_message, val1:1.2, val2:1.5]</v>
      </c>
      <c r="H67" s="62">
        <f t="shared" ref="H67:H91" si="19">FIND("effect:",G67)+7</f>
        <v>9</v>
      </c>
      <c r="I67" s="62">
        <f t="shared" ref="I67:I91" si="20">IFERROR(FIND(",",G67),LEN(G67))</f>
        <v>22</v>
      </c>
      <c r="J67" s="62" t="e">
        <f t="shared" ref="J67:J91" si="21">FIND("target:",G67)+7</f>
        <v>#VALUE!</v>
      </c>
      <c r="K67" s="62">
        <f t="shared" ref="K67:K91" si="22">FIND(",",G67,I67+1)</f>
        <v>32</v>
      </c>
      <c r="L67" s="62" t="str">
        <f>IFERROR(VLOOKUP(MID(G67,J67,K67-J67),[6]skilldef!$C:$D,2,FALSE),"-") &amp; " / " &amp; IFERROR(VLOOKUP(MID(G67,H67,I67-H67),[6]skilldef!$A:$B,2,FALSE),"-")</f>
        <v>- / -</v>
      </c>
      <c r="M67" s="62" t="str">
        <f t="shared" ref="M67:M91" si="23">IFERROR(RIGHT(B67,LEN(B67)-FIND("],",B67)-1),"none")</f>
        <v>[effect:break_attack, target:unit_all, val:0.1, lowest_val:1000, count:-1, color:yellow, block01:jammer]</v>
      </c>
      <c r="N67" s="47" t="str">
        <f t="shared" ref="N67:N81" si="24">IFERROR(LEFT(M67,FIND("],",M67)+S77),M67)</f>
        <v>[effect:break_attack, target:unit_all, val:0.1, lowest_val:1000, count:-1, color:yellow, block01:jammer]</v>
      </c>
      <c r="O67" s="62">
        <f t="shared" ref="O67:O91" si="25">FIND("effect:",N67)+7</f>
        <v>9</v>
      </c>
      <c r="P67" s="62">
        <f t="shared" ref="P67:P91" si="26">IFERROR(FIND(",",N67),LEN(N67))</f>
        <v>21</v>
      </c>
      <c r="Q67" s="62">
        <f t="shared" ref="Q67:Q91" si="27">FIND("target:",N67)+7</f>
        <v>30</v>
      </c>
      <c r="R67" s="62">
        <f t="shared" ref="R67:R91" si="28">FIND(",",N67,P67+1)</f>
        <v>38</v>
      </c>
      <c r="S67" s="62" t="str">
        <f>IFERROR(VLOOKUP(MID(N67,Q67,R67-Q67),[6]skilldef!$C:$D,2,FALSE),"-") &amp; " / " &amp; IFERROR(VLOOKUP(MID(N67,O67,P67-O67),[6]skilldef!$A:$B,2,FALSE),"-")</f>
        <v>味方全体に / -</v>
      </c>
      <c r="T67" s="47" t="str">
        <f t="shared" ref="T67:T91" si="29">IFERROR(RIGHT(M67,LEN(M67)-FIND("],",M67)-1),"none")</f>
        <v>none</v>
      </c>
      <c r="U67" s="62" t="e">
        <f t="shared" ref="U67:U91" si="30">FIND("effect:",T67)+7</f>
        <v>#VALUE!</v>
      </c>
      <c r="V67" s="62">
        <f t="shared" ref="V67:V91" si="31">IFERROR(FIND(",",T67),LEN(T67))</f>
        <v>4</v>
      </c>
      <c r="W67" s="62" t="e">
        <f t="shared" ref="W67:W91" si="32">FIND("target:",T67)+7</f>
        <v>#VALUE!</v>
      </c>
      <c r="X67" s="62" t="e">
        <f t="shared" ref="X67:X91" si="33">FIND(",",T67,V67+1)</f>
        <v>#VALUE!</v>
      </c>
      <c r="Y67" s="62" t="str">
        <f>IFERROR(VLOOKUP(MID(T67,W67,X67-W67),[6]skilldef!$C:$D,2,FALSE),"-") &amp; " / " &amp; IFERROR(VLOOKUP(MID(T67,U67,V67-U67),[6]skilldef!$A:$B,2,FALSE),"-")</f>
        <v>- / -</v>
      </c>
      <c r="Z67" s="49"/>
      <c r="AA67" s="51"/>
      <c r="AB67" s="49"/>
      <c r="AC67" s="48">
        <f t="shared" ref="AC67:AC91" si="34">LEN(E67)</f>
        <v>10</v>
      </c>
      <c r="AD67" s="48">
        <f t="shared" ref="AD67:AD91" si="35">LEN(F67)</f>
        <v>15</v>
      </c>
    </row>
    <row r="68" spans="1:30" ht="21" customHeight="1" x14ac:dyDescent="0.15">
      <c r="A68" s="46">
        <v>58001066</v>
      </c>
      <c r="B68" s="46" t="s">
        <v>418</v>
      </c>
      <c r="C68" s="49">
        <v>1</v>
      </c>
      <c r="D68" s="49" t="s">
        <v>128</v>
      </c>
      <c r="E68" s="50" t="s">
        <v>297</v>
      </c>
      <c r="F68" s="105" t="s">
        <v>387</v>
      </c>
      <c r="G68" s="62" t="str">
        <f t="shared" si="18"/>
        <v>[effect:enemy_message, val1:1.3, val2:4.4]</v>
      </c>
      <c r="H68" s="62">
        <f t="shared" si="19"/>
        <v>9</v>
      </c>
      <c r="I68" s="62">
        <f t="shared" si="20"/>
        <v>22</v>
      </c>
      <c r="J68" s="62" t="e">
        <f t="shared" si="21"/>
        <v>#VALUE!</v>
      </c>
      <c r="K68" s="62">
        <f t="shared" si="22"/>
        <v>32</v>
      </c>
      <c r="L68" s="62" t="str">
        <f>IFERROR(VLOOKUP(MID(G68,J68,K68-J68),[6]skilldef!$C:$D,2,FALSE),"-") &amp; " / " &amp; IFERROR(VLOOKUP(MID(G68,H68,I68-H68),[6]skilldef!$A:$B,2,FALSE),"-")</f>
        <v>- / -</v>
      </c>
      <c r="M68" s="62" t="str">
        <f t="shared" si="23"/>
        <v>[effect:damage_anti_tribe, target:unit_one, tribe:samurai, val1:0.3, val2:0.6],[effect:damage_anti_tribe, target:unit_one, tribe:samurai, val1:0.3, val2:0.6],[effect:damage_anti_tribe, target:unit_one, tribe:samurai, val1:0.3, val2:0.6]</v>
      </c>
      <c r="N68" s="47" t="str">
        <f t="shared" si="24"/>
        <v>[effect:damage_anti_tribe, target:unit_one, tribe:samurai, val1:0.3, val2:0.6],[effect:damage_anti_tribe, target:unit_one, tribe:samurai, val1:0.3, val2:0.6],[effect:damage_anti_tribe, target:unit_one, tribe:samurai, val1:0.3, val2:0.6]</v>
      </c>
      <c r="O68" s="62">
        <f t="shared" si="25"/>
        <v>9</v>
      </c>
      <c r="P68" s="62">
        <f t="shared" si="26"/>
        <v>26</v>
      </c>
      <c r="Q68" s="62">
        <f t="shared" si="27"/>
        <v>35</v>
      </c>
      <c r="R68" s="62">
        <f t="shared" si="28"/>
        <v>43</v>
      </c>
      <c r="S68" s="62" t="str">
        <f>IFERROR(VLOOKUP(MID(N68,Q68,R68-Q68),[6]skilldef!$C:$D,2,FALSE),"-") &amp; " / " &amp; IFERROR(VLOOKUP(MID(N68,O68,P68-O68),[6]skilldef!$A:$B,2,FALSE),"-")</f>
        <v>味方単体に / 種族キラー</v>
      </c>
      <c r="T68" s="47" t="str">
        <f t="shared" si="29"/>
        <v>[effect:damage_anti_tribe, target:unit_one, tribe:samurai, val1:0.3, val2:0.6],[effect:damage_anti_tribe, target:unit_one, tribe:samurai, val1:0.3, val2:0.6]</v>
      </c>
      <c r="U68" s="62">
        <f t="shared" si="30"/>
        <v>9</v>
      </c>
      <c r="V68" s="62">
        <f t="shared" si="31"/>
        <v>26</v>
      </c>
      <c r="W68" s="62">
        <f t="shared" si="32"/>
        <v>35</v>
      </c>
      <c r="X68" s="62">
        <f t="shared" si="33"/>
        <v>43</v>
      </c>
      <c r="Y68" s="62" t="str">
        <f>IFERROR(VLOOKUP(MID(T68,W68,X68-W68),[6]skilldef!$C:$D,2,FALSE),"-") &amp; " / " &amp; IFERROR(VLOOKUP(MID(T68,U68,V68-U68),[6]skilldef!$A:$B,2,FALSE),"-")</f>
        <v>味方単体に / 種族キラー</v>
      </c>
      <c r="Z68" s="49"/>
      <c r="AA68" s="51"/>
      <c r="AB68" s="49"/>
      <c r="AC68" s="48">
        <f t="shared" si="34"/>
        <v>13</v>
      </c>
      <c r="AD68" s="48">
        <f t="shared" si="35"/>
        <v>44</v>
      </c>
    </row>
    <row r="69" spans="1:30" ht="21" customHeight="1" x14ac:dyDescent="0.15">
      <c r="A69" s="46">
        <v>58001067</v>
      </c>
      <c r="B69" s="46" t="s">
        <v>430</v>
      </c>
      <c r="C69" s="49">
        <v>1</v>
      </c>
      <c r="D69" s="49" t="s">
        <v>128</v>
      </c>
      <c r="E69" s="50" t="s">
        <v>291</v>
      </c>
      <c r="F69" s="105" t="s">
        <v>427</v>
      </c>
      <c r="G69" s="62" t="str">
        <f t="shared" si="18"/>
        <v>[effect:enemy_message, val1:1.4, val2:1.5]</v>
      </c>
      <c r="H69" s="62">
        <f t="shared" si="19"/>
        <v>9</v>
      </c>
      <c r="I69" s="62">
        <f t="shared" si="20"/>
        <v>22</v>
      </c>
      <c r="J69" s="62" t="e">
        <f t="shared" si="21"/>
        <v>#VALUE!</v>
      </c>
      <c r="K69" s="62">
        <f t="shared" si="22"/>
        <v>32</v>
      </c>
      <c r="L69" s="62" t="str">
        <f>IFERROR(VLOOKUP(MID(G69,J69,K69-J69),[6]skilldef!$C:$D,2,FALSE),"-") &amp; " / " &amp; IFERROR(VLOOKUP(MID(G69,H69,I69-H69),[6]skilldef!$A:$B,2,FALSE),"-")</f>
        <v>- / -</v>
      </c>
      <c r="M69" s="62" t="str">
        <f t="shared" si="23"/>
        <v>[effect:enhance_enemy, target:myself, turn:-1, status:attack, val:1.2, calc:mul, animation:enemy_enhance_attack],[effect:rush, count:4, val:0.3]</v>
      </c>
      <c r="N69" s="47" t="str">
        <f t="shared" si="24"/>
        <v>[effect:enhance_enemy, target:myself, turn:-1, status:attack, val:1.2, calc:mul, animation:enemy_enhance_attack],[effect:rush, count:4, val:0.3]</v>
      </c>
      <c r="O69" s="62">
        <f t="shared" si="25"/>
        <v>9</v>
      </c>
      <c r="P69" s="62">
        <f t="shared" si="26"/>
        <v>22</v>
      </c>
      <c r="Q69" s="62">
        <f t="shared" si="27"/>
        <v>31</v>
      </c>
      <c r="R69" s="62">
        <f t="shared" si="28"/>
        <v>37</v>
      </c>
      <c r="S69" s="62" t="str">
        <f>IFERROR(VLOOKUP(MID(N69,Q69,R69-Q69),[6]skilldef!$C:$D,2,FALSE),"-") &amp; " / " &amp; IFERROR(VLOOKUP(MID(N69,O69,P69-O69),[6]skilldef!$A:$B,2,FALSE),"-")</f>
        <v>自分自身に / ステータス強化</v>
      </c>
      <c r="T69" s="47" t="str">
        <f t="shared" si="29"/>
        <v>[effect:rush, count:4, val:0.3]</v>
      </c>
      <c r="U69" s="62">
        <f t="shared" si="30"/>
        <v>9</v>
      </c>
      <c r="V69" s="62">
        <f t="shared" si="31"/>
        <v>13</v>
      </c>
      <c r="W69" s="62" t="e">
        <f t="shared" si="32"/>
        <v>#VALUE!</v>
      </c>
      <c r="X69" s="62">
        <f t="shared" si="33"/>
        <v>22</v>
      </c>
      <c r="Y69" s="62" t="str">
        <f>IFERROR(VLOOKUP(MID(T69,W69,X69-W69),[6]skilldef!$C:$D,2,FALSE),"-") &amp; " / " &amp; IFERROR(VLOOKUP(MID(T69,U69,V69-U69),[6]skilldef!$A:$B,2,FALSE),"-")</f>
        <v>- / 連続攻撃</v>
      </c>
      <c r="Z69" s="49"/>
      <c r="AA69" s="51"/>
      <c r="AB69" s="49"/>
      <c r="AC69" s="48">
        <f t="shared" si="34"/>
        <v>14</v>
      </c>
      <c r="AD69" s="48">
        <f t="shared" si="35"/>
        <v>15</v>
      </c>
    </row>
    <row r="70" spans="1:30" ht="21" customHeight="1" x14ac:dyDescent="0.15">
      <c r="A70" s="46">
        <v>58001068</v>
      </c>
      <c r="B70" s="46" t="s">
        <v>342</v>
      </c>
      <c r="C70" s="49">
        <v>1</v>
      </c>
      <c r="D70" s="49" t="s">
        <v>128</v>
      </c>
      <c r="E70" s="50" t="s">
        <v>329</v>
      </c>
      <c r="F70" s="50" t="s">
        <v>276</v>
      </c>
      <c r="G70" s="62" t="str">
        <f t="shared" si="18"/>
        <v>[effect:enemy_message, val1:1.6, val2:2.0]</v>
      </c>
      <c r="H70" s="62">
        <f t="shared" si="19"/>
        <v>9</v>
      </c>
      <c r="I70" s="62">
        <f t="shared" si="20"/>
        <v>22</v>
      </c>
      <c r="J70" s="62" t="e">
        <f t="shared" si="21"/>
        <v>#VALUE!</v>
      </c>
      <c r="K70" s="62">
        <f t="shared" si="22"/>
        <v>32</v>
      </c>
      <c r="L70" s="62" t="str">
        <f>IFERROR(VLOOKUP(MID(G70,J70,K70-J70),[6]skilldef!$C:$D,2,FALSE),"-") &amp; " / " &amp; IFERROR(VLOOKUP(MID(G70,H70,I70-H70),[6]skilldef!$A:$B,2,FALSE),"-")</f>
        <v>- / -</v>
      </c>
      <c r="M70" s="62" t="str">
        <f t="shared" si="23"/>
        <v>[effect:fix_speed, target:myself, turn:2],[effect:tolerance, target:myself, turn:-1, count:-1, tolerance_effect:all, animation:enemy_tolerance],[effect:change_panel_ratio, turn:-1, block_type:heal, val:0.4, animation:block_incidence04]</v>
      </c>
      <c r="N70" s="47" t="str">
        <f t="shared" si="24"/>
        <v>[effect:fix_speed, target:myself, turn:2],[effect:tolerance, target:myself, turn:-1, count:-1, tolerance_effect:all, animation:enemy_tolerance],[effect:change_panel_ratio, turn:-1, block_type:heal, val:0.4, animation:block_incidence04]</v>
      </c>
      <c r="O70" s="62">
        <f t="shared" si="25"/>
        <v>9</v>
      </c>
      <c r="P70" s="62">
        <f t="shared" si="26"/>
        <v>18</v>
      </c>
      <c r="Q70" s="62">
        <f t="shared" si="27"/>
        <v>27</v>
      </c>
      <c r="R70" s="62">
        <f t="shared" si="28"/>
        <v>33</v>
      </c>
      <c r="S70" s="62" t="str">
        <f>IFERROR(VLOOKUP(MID(N70,Q70,R70-Q70),[6]skilldef!$C:$D,2,FALSE),"-") &amp; " / " &amp; IFERROR(VLOOKUP(MID(N70,O70,P70-O70),[6]skilldef!$A:$B,2,FALSE),"-")</f>
        <v>自分自身に / 行動値設定</v>
      </c>
      <c r="T70" s="47" t="str">
        <f t="shared" si="29"/>
        <v>[effect:tolerance, target:myself, turn:-1, count:-1, tolerance_effect:all, animation:enemy_tolerance],[effect:change_panel_ratio, turn:-1, block_type:heal, val:0.4, animation:block_incidence04]</v>
      </c>
      <c r="U70" s="62">
        <f t="shared" si="30"/>
        <v>9</v>
      </c>
      <c r="V70" s="62">
        <f t="shared" si="31"/>
        <v>18</v>
      </c>
      <c r="W70" s="62">
        <f t="shared" si="32"/>
        <v>27</v>
      </c>
      <c r="X70" s="62">
        <f t="shared" si="33"/>
        <v>33</v>
      </c>
      <c r="Y70" s="62" t="str">
        <f>IFERROR(VLOOKUP(MID(T70,W70,X70-W70),[6]skilldef!$C:$D,2,FALSE),"-") &amp; " / " &amp; IFERROR(VLOOKUP(MID(T70,U70,V70-U70),[6]skilldef!$A:$B,2,FALSE),"-")</f>
        <v>自分自身に / 状態異常耐性</v>
      </c>
      <c r="Z70" s="49"/>
      <c r="AA70" s="51"/>
      <c r="AB70" s="49"/>
      <c r="AC70" s="48">
        <f t="shared" si="34"/>
        <v>16</v>
      </c>
      <c r="AD70" s="48">
        <f t="shared" si="35"/>
        <v>20</v>
      </c>
    </row>
    <row r="71" spans="1:30" ht="21" customHeight="1" x14ac:dyDescent="0.15">
      <c r="A71" s="46">
        <v>58001069</v>
      </c>
      <c r="B71" s="46" t="s">
        <v>343</v>
      </c>
      <c r="C71" s="49">
        <v>1</v>
      </c>
      <c r="D71" s="49" t="s">
        <v>128</v>
      </c>
      <c r="E71" s="50" t="s">
        <v>362</v>
      </c>
      <c r="F71" s="50" t="s">
        <v>276</v>
      </c>
      <c r="G71" s="62" t="str">
        <f t="shared" si="18"/>
        <v>[effect:enemy_message, val1:1.3, val2:2.0]</v>
      </c>
      <c r="H71" s="62">
        <f t="shared" si="19"/>
        <v>9</v>
      </c>
      <c r="I71" s="62">
        <f t="shared" si="20"/>
        <v>22</v>
      </c>
      <c r="J71" s="62" t="e">
        <f t="shared" si="21"/>
        <v>#VALUE!</v>
      </c>
      <c r="K71" s="62">
        <f t="shared" si="22"/>
        <v>32</v>
      </c>
      <c r="L71" s="62" t="str">
        <f>IFERROR(VLOOKUP(MID(G71,J71,K71-J71),[6]skilldef!$C:$D,2,FALSE),"-") &amp; " / " &amp; IFERROR(VLOOKUP(MID(G71,H71,I71-H71),[6]skilldef!$A:$B,2,FALSE),"-")</f>
        <v>- / -</v>
      </c>
      <c r="M71" s="62" t="str">
        <f t="shared" si="23"/>
        <v>[effect:fix_speed, target:myself, turn:2],[effect:tolerance, target:myself, turn:-1, count:-1, tolerance_effect:all, animation:enemy_tolerance],[effect:change_panel_ratio, turn:-1, block_type:heal, val:0.4, animation:block_incidence04]</v>
      </c>
      <c r="N71" s="47" t="str">
        <f t="shared" si="24"/>
        <v>[effect:fix_speed, target:myself, turn:2],[effect:tolerance, target:myself, turn:-1, count:-1, tolerance_effect:all, animation:enemy_tolerance],[effect:change_panel_ratio, turn:-1, block_type:heal, val:0.4, animation:block_incidence04]</v>
      </c>
      <c r="O71" s="62">
        <f t="shared" si="25"/>
        <v>9</v>
      </c>
      <c r="P71" s="62">
        <f t="shared" si="26"/>
        <v>18</v>
      </c>
      <c r="Q71" s="62">
        <f t="shared" si="27"/>
        <v>27</v>
      </c>
      <c r="R71" s="62">
        <f t="shared" si="28"/>
        <v>33</v>
      </c>
      <c r="S71" s="62" t="str">
        <f>IFERROR(VLOOKUP(MID(N71,Q71,R71-Q71),[6]skilldef!$C:$D,2,FALSE),"-") &amp; " / " &amp; IFERROR(VLOOKUP(MID(N71,O71,P71-O71),[6]skilldef!$A:$B,2,FALSE),"-")</f>
        <v>自分自身に / 行動値設定</v>
      </c>
      <c r="T71" s="47" t="str">
        <f t="shared" si="29"/>
        <v>[effect:tolerance, target:myself, turn:-1, count:-1, tolerance_effect:all, animation:enemy_tolerance],[effect:change_panel_ratio, turn:-1, block_type:heal, val:0.4, animation:block_incidence04]</v>
      </c>
      <c r="U71" s="62">
        <f t="shared" si="30"/>
        <v>9</v>
      </c>
      <c r="V71" s="62">
        <f t="shared" si="31"/>
        <v>18</v>
      </c>
      <c r="W71" s="62">
        <f t="shared" si="32"/>
        <v>27</v>
      </c>
      <c r="X71" s="62">
        <f t="shared" si="33"/>
        <v>33</v>
      </c>
      <c r="Y71" s="62" t="str">
        <f>IFERROR(VLOOKUP(MID(T71,W71,X71-W71),[6]skilldef!$C:$D,2,FALSE),"-") &amp; " / " &amp; IFERROR(VLOOKUP(MID(T71,U71,V71-U71),[6]skilldef!$A:$B,2,FALSE),"-")</f>
        <v>自分自身に / 状態異常耐性</v>
      </c>
      <c r="Z71" s="49"/>
      <c r="AA71" s="51"/>
      <c r="AB71" s="49"/>
      <c r="AC71" s="48">
        <f t="shared" si="34"/>
        <v>13</v>
      </c>
      <c r="AD71" s="48">
        <f t="shared" si="35"/>
        <v>20</v>
      </c>
    </row>
    <row r="72" spans="1:30" ht="21" customHeight="1" x14ac:dyDescent="0.15">
      <c r="A72" s="46">
        <v>58001070</v>
      </c>
      <c r="B72" s="46" t="s">
        <v>344</v>
      </c>
      <c r="C72" s="49">
        <v>1</v>
      </c>
      <c r="D72" s="49" t="s">
        <v>128</v>
      </c>
      <c r="E72" s="50" t="s">
        <v>294</v>
      </c>
      <c r="F72" s="50" t="s">
        <v>276</v>
      </c>
      <c r="G72" s="62" t="str">
        <f t="shared" si="18"/>
        <v>[effect:enemy_message, val1:1.4, val2:2.0]</v>
      </c>
      <c r="H72" s="62">
        <f t="shared" si="19"/>
        <v>9</v>
      </c>
      <c r="I72" s="62">
        <f t="shared" si="20"/>
        <v>22</v>
      </c>
      <c r="J72" s="62" t="e">
        <f t="shared" si="21"/>
        <v>#VALUE!</v>
      </c>
      <c r="K72" s="62">
        <f t="shared" si="22"/>
        <v>32</v>
      </c>
      <c r="L72" s="62" t="str">
        <f>IFERROR(VLOOKUP(MID(G72,J72,K72-J72),[6]skilldef!$C:$D,2,FALSE),"-") &amp; " / " &amp; IFERROR(VLOOKUP(MID(G72,H72,I72-H72),[6]skilldef!$A:$B,2,FALSE),"-")</f>
        <v>- / -</v>
      </c>
      <c r="M72" s="62" t="str">
        <f t="shared" si="23"/>
        <v>[effect:fix_speed, target:myself, turn:1],[effect:tolerance, target:myself, turn:-1, count:-1, tolerance_effect:all, animation:enemy_tolerance],[effect:change_panel_ratio, turn:-1, block_type:heal, val:0.5, animation:block_incidence04]</v>
      </c>
      <c r="N72" s="47" t="str">
        <f t="shared" si="24"/>
        <v>[effect:fix_speed, target:myself, turn:1],[effect:tolerance, target:myself, turn:-1, count:-1, tolerance_effect:all, animation:enemy_tolerance],[effect:change_panel_ratio, turn:-1, block_type:heal, val:0.5, animation:block_incidence04]</v>
      </c>
      <c r="O72" s="62">
        <f t="shared" si="25"/>
        <v>9</v>
      </c>
      <c r="P72" s="62">
        <f t="shared" si="26"/>
        <v>18</v>
      </c>
      <c r="Q72" s="62">
        <f t="shared" si="27"/>
        <v>27</v>
      </c>
      <c r="R72" s="62">
        <f t="shared" si="28"/>
        <v>33</v>
      </c>
      <c r="S72" s="62" t="str">
        <f>IFERROR(VLOOKUP(MID(N72,Q72,R72-Q72),[6]skilldef!$C:$D,2,FALSE),"-") &amp; " / " &amp; IFERROR(VLOOKUP(MID(N72,O72,P72-O72),[6]skilldef!$A:$B,2,FALSE),"-")</f>
        <v>自分自身に / 行動値設定</v>
      </c>
      <c r="T72" s="47" t="str">
        <f t="shared" si="29"/>
        <v>[effect:tolerance, target:myself, turn:-1, count:-1, tolerance_effect:all, animation:enemy_tolerance],[effect:change_panel_ratio, turn:-1, block_type:heal, val:0.5, animation:block_incidence04]</v>
      </c>
      <c r="U72" s="62">
        <f t="shared" si="30"/>
        <v>9</v>
      </c>
      <c r="V72" s="62">
        <f t="shared" si="31"/>
        <v>18</v>
      </c>
      <c r="W72" s="62">
        <f t="shared" si="32"/>
        <v>27</v>
      </c>
      <c r="X72" s="62">
        <f t="shared" si="33"/>
        <v>33</v>
      </c>
      <c r="Y72" s="62" t="str">
        <f>IFERROR(VLOOKUP(MID(T72,W72,X72-W72),[6]skilldef!$C:$D,2,FALSE),"-") &amp; " / " &amp; IFERROR(VLOOKUP(MID(T72,U72,V72-U72),[6]skilldef!$A:$B,2,FALSE),"-")</f>
        <v>自分自身に / 状態異常耐性</v>
      </c>
      <c r="Z72" s="49"/>
      <c r="AA72" s="51"/>
      <c r="AB72" s="49"/>
      <c r="AC72" s="48">
        <f t="shared" si="34"/>
        <v>14</v>
      </c>
      <c r="AD72" s="48">
        <f t="shared" si="35"/>
        <v>20</v>
      </c>
    </row>
    <row r="73" spans="1:30" ht="21" customHeight="1" x14ac:dyDescent="0.15">
      <c r="A73" s="46">
        <v>58001071</v>
      </c>
      <c r="B73" s="46" t="s">
        <v>419</v>
      </c>
      <c r="C73" s="49">
        <v>1</v>
      </c>
      <c r="D73" s="49" t="s">
        <v>128</v>
      </c>
      <c r="E73" s="50" t="s">
        <v>310</v>
      </c>
      <c r="F73" s="105" t="s">
        <v>391</v>
      </c>
      <c r="G73" s="62" t="str">
        <f t="shared" si="18"/>
        <v>[effect:enemy_message, val1:1.2, val2:3.6]</v>
      </c>
      <c r="H73" s="62">
        <f t="shared" si="19"/>
        <v>9</v>
      </c>
      <c r="I73" s="62">
        <f t="shared" si="20"/>
        <v>22</v>
      </c>
      <c r="J73" s="62" t="e">
        <f t="shared" si="21"/>
        <v>#VALUE!</v>
      </c>
      <c r="K73" s="62">
        <f t="shared" si="22"/>
        <v>32</v>
      </c>
      <c r="L73" s="62" t="str">
        <f>IFERROR(VLOOKUP(MID(G73,J73,K73-J73),[6]skilldef!$C:$D,2,FALSE),"-") &amp; " / " &amp; IFERROR(VLOOKUP(MID(G73,H73,I73-H73),[6]skilldef!$A:$B,2,FALSE),"-")</f>
        <v>- / -</v>
      </c>
      <c r="M73" s="62" t="str">
        <f t="shared" si="23"/>
        <v>[effect:degrade_unit, target:unit_all, turn:3, status:heal, val:0.6, calc:mul, animation:degrade_unit_all_heal],[effect:panel_freeze, target:normal, color:block_heart, count:-1],[effect:rush, count:1, val:1]</v>
      </c>
      <c r="N73" s="47" t="str">
        <f t="shared" si="24"/>
        <v>[effect:degrade_unit, target:unit_all, turn:3, status:heal, val:0.6, calc:mul, animation:degrade_unit_all_heal],[effect:panel_freeze, target:normal, color:block_heart, count:-1],[effect:rush, count:1, val:1]</v>
      </c>
      <c r="O73" s="62">
        <f t="shared" si="25"/>
        <v>9</v>
      </c>
      <c r="P73" s="62">
        <f t="shared" si="26"/>
        <v>21</v>
      </c>
      <c r="Q73" s="62">
        <f t="shared" si="27"/>
        <v>30</v>
      </c>
      <c r="R73" s="62">
        <f t="shared" si="28"/>
        <v>38</v>
      </c>
      <c r="S73" s="62" t="str">
        <f>IFERROR(VLOOKUP(MID(N73,Q73,R73-Q73),[6]skilldef!$C:$D,2,FALSE),"-") &amp; " / " &amp; IFERROR(VLOOKUP(MID(N73,O73,P73-O73),[6]skilldef!$A:$B,2,FALSE),"-")</f>
        <v>味方全体に / ステータスDOWN</v>
      </c>
      <c r="T73" s="47" t="str">
        <f t="shared" si="29"/>
        <v>[effect:panel_freeze, target:normal, color:block_heart, count:-1],[effect:rush, count:1, val:1]</v>
      </c>
      <c r="U73" s="62">
        <f t="shared" si="30"/>
        <v>9</v>
      </c>
      <c r="V73" s="62">
        <f t="shared" si="31"/>
        <v>21</v>
      </c>
      <c r="W73" s="62">
        <f t="shared" si="32"/>
        <v>30</v>
      </c>
      <c r="X73" s="62">
        <f t="shared" si="33"/>
        <v>36</v>
      </c>
      <c r="Y73" s="62" t="str">
        <f>IFERROR(VLOOKUP(MID(T73,W73,X73-W73),[6]skilldef!$C:$D,2,FALSE),"-") &amp; " / " &amp; IFERROR(VLOOKUP(MID(T73,U73,V73-U73),[6]skilldef!$A:$B,2,FALSE),"-")</f>
        <v>- / -</v>
      </c>
      <c r="Z73" s="49"/>
      <c r="AA73" s="51"/>
      <c r="AB73" s="49"/>
      <c r="AC73" s="48">
        <f t="shared" si="34"/>
        <v>7</v>
      </c>
      <c r="AD73" s="48">
        <f t="shared" si="35"/>
        <v>36</v>
      </c>
    </row>
    <row r="74" spans="1:30" ht="21" customHeight="1" x14ac:dyDescent="0.15">
      <c r="A74" s="46">
        <v>58001072</v>
      </c>
      <c r="B74" s="46" t="s">
        <v>420</v>
      </c>
      <c r="C74" s="49">
        <v>1</v>
      </c>
      <c r="D74" s="49" t="s">
        <v>128</v>
      </c>
      <c r="E74" s="50" t="s">
        <v>300</v>
      </c>
      <c r="F74" s="105" t="s">
        <v>385</v>
      </c>
      <c r="G74" s="62" t="str">
        <f t="shared" si="18"/>
        <v>[effect:enemy_message, val1:1.2, val2:2.4]</v>
      </c>
      <c r="H74" s="62">
        <f t="shared" si="19"/>
        <v>9</v>
      </c>
      <c r="I74" s="62">
        <f t="shared" si="20"/>
        <v>22</v>
      </c>
      <c r="J74" s="62" t="e">
        <f t="shared" si="21"/>
        <v>#VALUE!</v>
      </c>
      <c r="K74" s="62">
        <f t="shared" si="22"/>
        <v>32</v>
      </c>
      <c r="L74" s="62" t="str">
        <f>IFERROR(VLOOKUP(MID(G74,J74,K74-J74),[6]skilldef!$C:$D,2,FALSE),"-") &amp; " / " &amp; IFERROR(VLOOKUP(MID(G74,H74,I74-H74),[6]skilldef!$A:$B,2,FALSE),"-")</f>
        <v>- / -</v>
      </c>
      <c r="M74" s="62" t="str">
        <f t="shared" si="23"/>
        <v>[effect:force_change_block, new_block:damage, target:block_all, ignore01:crash, ignore02:crack_bomb, ignore03:damage, ignore04:color_break, ignore05:magnet, count:8, val:0.06, animation:change_block],[effect:rush, count:1, val:1]</v>
      </c>
      <c r="N74" s="47" t="str">
        <f t="shared" si="24"/>
        <v>[effect:force_change_block, new_block:damage, target:block_all, ignore01:crash, ignore02:crack_bomb, ignore03:damage, ignore04:color_break, ignore05:magnet, count:8, val:0.06, animation:change_block],[effect:rush, count:1, val:1]</v>
      </c>
      <c r="O74" s="62">
        <f t="shared" si="25"/>
        <v>9</v>
      </c>
      <c r="P74" s="62">
        <f t="shared" si="26"/>
        <v>27</v>
      </c>
      <c r="Q74" s="62">
        <f t="shared" si="27"/>
        <v>54</v>
      </c>
      <c r="R74" s="62">
        <f t="shared" si="28"/>
        <v>45</v>
      </c>
      <c r="S74" s="62" t="str">
        <f>IFERROR(VLOOKUP(MID(N74,Q74,R74-Q74),[6]skilldef!$C:$D,2,FALSE),"-") &amp; " / " &amp; IFERROR(VLOOKUP(MID(N74,O74,P74-O74),[6]skilldef!$A:$B,2,FALSE),"-")</f>
        <v>- / -</v>
      </c>
      <c r="T74" s="47" t="str">
        <f t="shared" si="29"/>
        <v>[effect:rush, count:1, val:1]</v>
      </c>
      <c r="U74" s="62">
        <f t="shared" si="30"/>
        <v>9</v>
      </c>
      <c r="V74" s="62">
        <f t="shared" si="31"/>
        <v>13</v>
      </c>
      <c r="W74" s="62" t="e">
        <f t="shared" si="32"/>
        <v>#VALUE!</v>
      </c>
      <c r="X74" s="62">
        <f t="shared" si="33"/>
        <v>22</v>
      </c>
      <c r="Y74" s="62" t="str">
        <f>IFERROR(VLOOKUP(MID(T74,W74,X74-W74),[6]skilldef!$C:$D,2,FALSE),"-") &amp; " / " &amp; IFERROR(VLOOKUP(MID(T74,U74,V74-U74),[6]skilldef!$A:$B,2,FALSE),"-")</f>
        <v>- / 連続攻撃</v>
      </c>
      <c r="Z74" s="49"/>
      <c r="AA74" s="51"/>
      <c r="AB74" s="49"/>
      <c r="AC74" s="48">
        <f t="shared" si="34"/>
        <v>10</v>
      </c>
      <c r="AD74" s="48">
        <f t="shared" si="35"/>
        <v>24</v>
      </c>
    </row>
    <row r="75" spans="1:30" ht="21" customHeight="1" x14ac:dyDescent="0.15">
      <c r="A75" s="46">
        <v>58001073</v>
      </c>
      <c r="B75" s="46" t="s">
        <v>421</v>
      </c>
      <c r="C75" s="49">
        <v>1</v>
      </c>
      <c r="D75" s="49" t="s">
        <v>128</v>
      </c>
      <c r="E75" s="50" t="s">
        <v>301</v>
      </c>
      <c r="F75" s="105" t="s">
        <v>392</v>
      </c>
      <c r="G75" s="62" t="str">
        <f t="shared" si="18"/>
        <v>[effect:enemy_message, val1:1.2, val2:1.6]</v>
      </c>
      <c r="H75" s="62">
        <f t="shared" si="19"/>
        <v>9</v>
      </c>
      <c r="I75" s="62">
        <f t="shared" si="20"/>
        <v>22</v>
      </c>
      <c r="J75" s="62" t="e">
        <f t="shared" si="21"/>
        <v>#VALUE!</v>
      </c>
      <c r="K75" s="62">
        <f t="shared" si="22"/>
        <v>32</v>
      </c>
      <c r="L75" s="62" t="str">
        <f>IFERROR(VLOOKUP(MID(G75,J75,K75-J75),[6]skilldef!$C:$D,2,FALSE),"-") &amp; " / " &amp; IFERROR(VLOOKUP(MID(G75,H75,I75-H75),[6]skilldef!$A:$B,2,FALSE),"-")</f>
        <v>- / -</v>
      </c>
      <c r="M75" s="62" t="str">
        <f t="shared" si="23"/>
        <v>[effect:force_change_block, new_block:jammer, target:block_heart, ignore01:crack_bomb, ignore02:jammer, ignore03:time_bomb,  ignore04:magnet, ignore05:damage, ignore06:color_break, ignore07:crash, count:0, val:0, animation:change_block]</v>
      </c>
      <c r="N75" s="47" t="str">
        <f t="shared" si="24"/>
        <v>[effect:force_change_block, new_block:jammer, target:block_heart, ignore01:crack_bomb, ignore02:jammer, ignore03:time_bomb,  ignore04:magnet, ignore05:damage, ignore06:color_break, ignore07:crash, count:0, val:0, animation:change_block]</v>
      </c>
      <c r="O75" s="62">
        <f t="shared" si="25"/>
        <v>9</v>
      </c>
      <c r="P75" s="62">
        <f t="shared" si="26"/>
        <v>27</v>
      </c>
      <c r="Q75" s="62">
        <f t="shared" si="27"/>
        <v>54</v>
      </c>
      <c r="R75" s="62">
        <f t="shared" si="28"/>
        <v>45</v>
      </c>
      <c r="S75" s="62" t="str">
        <f>IFERROR(VLOOKUP(MID(N75,Q75,R75-Q75),[6]skilldef!$C:$D,2,FALSE),"-") &amp; " / " &amp; IFERROR(VLOOKUP(MID(N75,O75,P75-O75),[6]skilldef!$A:$B,2,FALSE),"-")</f>
        <v>- / -</v>
      </c>
      <c r="T75" s="47" t="str">
        <f t="shared" si="29"/>
        <v>none</v>
      </c>
      <c r="U75" s="62" t="e">
        <f t="shared" si="30"/>
        <v>#VALUE!</v>
      </c>
      <c r="V75" s="62">
        <f t="shared" si="31"/>
        <v>4</v>
      </c>
      <c r="W75" s="62" t="e">
        <f t="shared" si="32"/>
        <v>#VALUE!</v>
      </c>
      <c r="X75" s="62" t="e">
        <f t="shared" si="33"/>
        <v>#VALUE!</v>
      </c>
      <c r="Y75" s="62" t="str">
        <f>IFERROR(VLOOKUP(MID(T75,W75,X75-W75),[6]skilldef!$C:$D,2,FALSE),"-") &amp; " / " &amp; IFERROR(VLOOKUP(MID(T75,U75,V75-U75),[6]skilldef!$A:$B,2,FALSE),"-")</f>
        <v>- / -</v>
      </c>
      <c r="Z75" s="49"/>
      <c r="AA75" s="51"/>
      <c r="AB75" s="49"/>
      <c r="AC75" s="48">
        <f t="shared" si="34"/>
        <v>9</v>
      </c>
      <c r="AD75" s="48">
        <f t="shared" si="35"/>
        <v>16</v>
      </c>
    </row>
    <row r="76" spans="1:30" ht="21" customHeight="1" x14ac:dyDescent="0.15">
      <c r="A76" s="46">
        <v>58001074</v>
      </c>
      <c r="B76" s="46" t="s">
        <v>422</v>
      </c>
      <c r="C76" s="49">
        <v>1</v>
      </c>
      <c r="D76" s="49" t="s">
        <v>128</v>
      </c>
      <c r="E76" s="50" t="s">
        <v>307</v>
      </c>
      <c r="F76" s="105" t="s">
        <v>377</v>
      </c>
      <c r="G76" s="62" t="str">
        <f t="shared" si="18"/>
        <v>[effect:enemy_message, val1:1.2, val2:1.5]</v>
      </c>
      <c r="H76" s="62">
        <f t="shared" si="19"/>
        <v>9</v>
      </c>
      <c r="I76" s="62">
        <f t="shared" si="20"/>
        <v>22</v>
      </c>
      <c r="J76" s="62" t="e">
        <f t="shared" si="21"/>
        <v>#VALUE!</v>
      </c>
      <c r="K76" s="62">
        <f t="shared" si="22"/>
        <v>32</v>
      </c>
      <c r="L76" s="62" t="str">
        <f>IFERROR(VLOOKUP(MID(G76,J76,K76-J76),[6]skilldef!$C:$D,2,FALSE),"-") &amp; " / " &amp; IFERROR(VLOOKUP(MID(G76,H76,I76-H76),[6]skilldef!$A:$B,2,FALSE),"-")</f>
        <v>- / -</v>
      </c>
      <c r="M76" s="62" t="str">
        <f t="shared" si="23"/>
        <v>[effect:break_attack, target:unit_all, val:0.1, lowest_val:1000, count:-1, color:yellow, block01:jammer]</v>
      </c>
      <c r="N76" s="47" t="str">
        <f t="shared" si="24"/>
        <v>[effect:break_attack, target:unit_all, val:0.1, lowest_val:1000, count:-1, color:yellow, block01:jammer]</v>
      </c>
      <c r="O76" s="62">
        <f t="shared" si="25"/>
        <v>9</v>
      </c>
      <c r="P76" s="62">
        <f t="shared" si="26"/>
        <v>21</v>
      </c>
      <c r="Q76" s="62">
        <f t="shared" si="27"/>
        <v>30</v>
      </c>
      <c r="R76" s="62">
        <f t="shared" si="28"/>
        <v>38</v>
      </c>
      <c r="S76" s="62" t="str">
        <f>IFERROR(VLOOKUP(MID(N76,Q76,R76-Q76),[6]skilldef!$C:$D,2,FALSE),"-") &amp; " / " &amp; IFERROR(VLOOKUP(MID(N76,O76,P76-O76),[6]skilldef!$A:$B,2,FALSE),"-")</f>
        <v>味方全体に / -</v>
      </c>
      <c r="T76" s="47" t="str">
        <f t="shared" si="29"/>
        <v>none</v>
      </c>
      <c r="U76" s="62" t="e">
        <f t="shared" si="30"/>
        <v>#VALUE!</v>
      </c>
      <c r="V76" s="62">
        <f t="shared" si="31"/>
        <v>4</v>
      </c>
      <c r="W76" s="62" t="e">
        <f t="shared" si="32"/>
        <v>#VALUE!</v>
      </c>
      <c r="X76" s="62" t="e">
        <f t="shared" si="33"/>
        <v>#VALUE!</v>
      </c>
      <c r="Y76" s="62" t="str">
        <f>IFERROR(VLOOKUP(MID(T76,W76,X76-W76),[6]skilldef!$C:$D,2,FALSE),"-") &amp; " / " &amp; IFERROR(VLOOKUP(MID(T76,U76,V76-U76),[6]skilldef!$A:$B,2,FALSE),"-")</f>
        <v>- / -</v>
      </c>
      <c r="Z76" s="49"/>
      <c r="AA76" s="51"/>
      <c r="AB76" s="49"/>
      <c r="AC76" s="48">
        <f t="shared" si="34"/>
        <v>11</v>
      </c>
      <c r="AD76" s="48">
        <f t="shared" si="35"/>
        <v>15</v>
      </c>
    </row>
    <row r="77" spans="1:30" ht="21" customHeight="1" x14ac:dyDescent="0.15">
      <c r="A77" s="46">
        <v>58001075</v>
      </c>
      <c r="B77" s="46" t="s">
        <v>263</v>
      </c>
      <c r="C77" s="49">
        <v>1</v>
      </c>
      <c r="D77" s="49" t="s">
        <v>128</v>
      </c>
      <c r="E77" s="50" t="s">
        <v>262</v>
      </c>
      <c r="F77" s="50" t="s">
        <v>253</v>
      </c>
      <c r="G77" s="62" t="str">
        <f t="shared" si="18"/>
        <v>[effect:enemy_message, val1:1.2, val2:1.2]</v>
      </c>
      <c r="H77" s="62">
        <f t="shared" si="19"/>
        <v>9</v>
      </c>
      <c r="I77" s="62">
        <f t="shared" si="20"/>
        <v>22</v>
      </c>
      <c r="J77" s="62" t="e">
        <f t="shared" si="21"/>
        <v>#VALUE!</v>
      </c>
      <c r="K77" s="62">
        <f t="shared" si="22"/>
        <v>32</v>
      </c>
      <c r="L77" s="62" t="str">
        <f>IFERROR(VLOOKUP(MID(G77,J77,K77-J77),[6]skilldef!$C:$D,2,FALSE),"-") &amp; " / " &amp; IFERROR(VLOOKUP(MID(G77,H77,I77-H77),[6]skilldef!$A:$B,2,FALSE),"-")</f>
        <v>- / -</v>
      </c>
      <c r="M77" s="62" t="str">
        <f t="shared" si="23"/>
        <v>none</v>
      </c>
      <c r="N77" s="47" t="str">
        <f t="shared" si="24"/>
        <v>none</v>
      </c>
      <c r="O77" s="62" t="e">
        <f t="shared" si="25"/>
        <v>#VALUE!</v>
      </c>
      <c r="P77" s="62">
        <f t="shared" si="26"/>
        <v>4</v>
      </c>
      <c r="Q77" s="62" t="e">
        <f t="shared" si="27"/>
        <v>#VALUE!</v>
      </c>
      <c r="R77" s="62" t="e">
        <f t="shared" si="28"/>
        <v>#VALUE!</v>
      </c>
      <c r="S77" s="62" t="str">
        <f>IFERROR(VLOOKUP(MID(N77,Q77,R77-Q77),[6]skilldef!$C:$D,2,FALSE),"-") &amp; " / " &amp; IFERROR(VLOOKUP(MID(N77,O77,P77-O77),[6]skilldef!$A:$B,2,FALSE),"-")</f>
        <v>- / -</v>
      </c>
      <c r="T77" s="47" t="str">
        <f t="shared" si="29"/>
        <v>none</v>
      </c>
      <c r="U77" s="62" t="e">
        <f t="shared" si="30"/>
        <v>#VALUE!</v>
      </c>
      <c r="V77" s="62">
        <f t="shared" si="31"/>
        <v>4</v>
      </c>
      <c r="W77" s="62" t="e">
        <f t="shared" si="32"/>
        <v>#VALUE!</v>
      </c>
      <c r="X77" s="62" t="e">
        <f t="shared" si="33"/>
        <v>#VALUE!</v>
      </c>
      <c r="Y77" s="62" t="str">
        <f>IFERROR(VLOOKUP(MID(T77,W77,X77-W77),[6]skilldef!$C:$D,2,FALSE),"-") &amp; " / " &amp; IFERROR(VLOOKUP(MID(T77,U77,V77-U77),[6]skilldef!$A:$B,2,FALSE),"-")</f>
        <v>- / -</v>
      </c>
      <c r="Z77" s="49"/>
      <c r="AA77" s="51"/>
      <c r="AB77" s="49"/>
      <c r="AC77" s="48">
        <f t="shared" si="34"/>
        <v>3</v>
      </c>
      <c r="AD77" s="48">
        <f t="shared" si="35"/>
        <v>3</v>
      </c>
    </row>
    <row r="78" spans="1:30" ht="21" customHeight="1" x14ac:dyDescent="0.15">
      <c r="A78" s="46">
        <v>58001076</v>
      </c>
      <c r="B78" s="46" t="s">
        <v>263</v>
      </c>
      <c r="C78" s="49">
        <v>1</v>
      </c>
      <c r="D78" s="49" t="s">
        <v>128</v>
      </c>
      <c r="E78" s="50" t="s">
        <v>262</v>
      </c>
      <c r="F78" s="50" t="s">
        <v>253</v>
      </c>
      <c r="G78" s="62" t="str">
        <f t="shared" si="18"/>
        <v>[effect:enemy_message, val1:1.2, val2:1.2]</v>
      </c>
      <c r="H78" s="62">
        <f t="shared" si="19"/>
        <v>9</v>
      </c>
      <c r="I78" s="62">
        <f t="shared" si="20"/>
        <v>22</v>
      </c>
      <c r="J78" s="62" t="e">
        <f t="shared" si="21"/>
        <v>#VALUE!</v>
      </c>
      <c r="K78" s="62">
        <f t="shared" si="22"/>
        <v>32</v>
      </c>
      <c r="L78" s="62" t="str">
        <f>IFERROR(VLOOKUP(MID(G78,J78,K78-J78),[6]skilldef!$C:$D,2,FALSE),"-") &amp; " / " &amp; IFERROR(VLOOKUP(MID(G78,H78,I78-H78),[6]skilldef!$A:$B,2,FALSE),"-")</f>
        <v>- / -</v>
      </c>
      <c r="M78" s="62" t="str">
        <f t="shared" si="23"/>
        <v>none</v>
      </c>
      <c r="N78" s="47" t="str">
        <f t="shared" si="24"/>
        <v>none</v>
      </c>
      <c r="O78" s="62" t="e">
        <f t="shared" si="25"/>
        <v>#VALUE!</v>
      </c>
      <c r="P78" s="62">
        <f t="shared" si="26"/>
        <v>4</v>
      </c>
      <c r="Q78" s="62" t="e">
        <f t="shared" si="27"/>
        <v>#VALUE!</v>
      </c>
      <c r="R78" s="62" t="e">
        <f t="shared" si="28"/>
        <v>#VALUE!</v>
      </c>
      <c r="S78" s="62" t="str">
        <f>IFERROR(VLOOKUP(MID(N78,Q78,R78-Q78),[6]skilldef!$C:$D,2,FALSE),"-") &amp; " / " &amp; IFERROR(VLOOKUP(MID(N78,O78,P78-O78),[6]skilldef!$A:$B,2,FALSE),"-")</f>
        <v>- / -</v>
      </c>
      <c r="T78" s="47" t="str">
        <f t="shared" si="29"/>
        <v>none</v>
      </c>
      <c r="U78" s="62" t="e">
        <f t="shared" si="30"/>
        <v>#VALUE!</v>
      </c>
      <c r="V78" s="62">
        <f t="shared" si="31"/>
        <v>4</v>
      </c>
      <c r="W78" s="62" t="e">
        <f t="shared" si="32"/>
        <v>#VALUE!</v>
      </c>
      <c r="X78" s="62" t="e">
        <f t="shared" si="33"/>
        <v>#VALUE!</v>
      </c>
      <c r="Y78" s="62" t="str">
        <f>IFERROR(VLOOKUP(MID(T78,W78,X78-W78),[6]skilldef!$C:$D,2,FALSE),"-") &amp; " / " &amp; IFERROR(VLOOKUP(MID(T78,U78,V78-U78),[6]skilldef!$A:$B,2,FALSE),"-")</f>
        <v>- / -</v>
      </c>
      <c r="Z78" s="49"/>
      <c r="AA78" s="51"/>
      <c r="AB78" s="49"/>
      <c r="AC78" s="48">
        <f t="shared" si="34"/>
        <v>3</v>
      </c>
      <c r="AD78" s="48">
        <f t="shared" si="35"/>
        <v>3</v>
      </c>
    </row>
    <row r="79" spans="1:30" ht="21" customHeight="1" x14ac:dyDescent="0.15">
      <c r="A79" s="46">
        <v>58001077</v>
      </c>
      <c r="B79" s="46" t="s">
        <v>263</v>
      </c>
      <c r="C79" s="49">
        <v>1</v>
      </c>
      <c r="D79" s="49" t="s">
        <v>128</v>
      </c>
      <c r="E79" s="50" t="s">
        <v>262</v>
      </c>
      <c r="F79" s="50" t="s">
        <v>253</v>
      </c>
      <c r="G79" s="62" t="str">
        <f t="shared" si="18"/>
        <v>[effect:enemy_message, val1:1.2, val2:1.2]</v>
      </c>
      <c r="H79" s="62">
        <f t="shared" si="19"/>
        <v>9</v>
      </c>
      <c r="I79" s="62">
        <f t="shared" si="20"/>
        <v>22</v>
      </c>
      <c r="J79" s="62" t="e">
        <f t="shared" si="21"/>
        <v>#VALUE!</v>
      </c>
      <c r="K79" s="62">
        <f t="shared" si="22"/>
        <v>32</v>
      </c>
      <c r="L79" s="62" t="str">
        <f>IFERROR(VLOOKUP(MID(G79,J79,K79-J79),[6]skilldef!$C:$D,2,FALSE),"-") &amp; " / " &amp; IFERROR(VLOOKUP(MID(G79,H79,I79-H79),[6]skilldef!$A:$B,2,FALSE),"-")</f>
        <v>- / -</v>
      </c>
      <c r="M79" s="62" t="str">
        <f t="shared" si="23"/>
        <v>none</v>
      </c>
      <c r="N79" s="47" t="str">
        <f t="shared" si="24"/>
        <v>none</v>
      </c>
      <c r="O79" s="62" t="e">
        <f t="shared" si="25"/>
        <v>#VALUE!</v>
      </c>
      <c r="P79" s="62">
        <f t="shared" si="26"/>
        <v>4</v>
      </c>
      <c r="Q79" s="62" t="e">
        <f t="shared" si="27"/>
        <v>#VALUE!</v>
      </c>
      <c r="R79" s="62" t="e">
        <f t="shared" si="28"/>
        <v>#VALUE!</v>
      </c>
      <c r="S79" s="62" t="str">
        <f>IFERROR(VLOOKUP(MID(N79,Q79,R79-Q79),[6]skilldef!$C:$D,2,FALSE),"-") &amp; " / " &amp; IFERROR(VLOOKUP(MID(N79,O79,P79-O79),[6]skilldef!$A:$B,2,FALSE),"-")</f>
        <v>- / -</v>
      </c>
      <c r="T79" s="47" t="str">
        <f t="shared" si="29"/>
        <v>none</v>
      </c>
      <c r="U79" s="62" t="e">
        <f t="shared" si="30"/>
        <v>#VALUE!</v>
      </c>
      <c r="V79" s="62">
        <f t="shared" si="31"/>
        <v>4</v>
      </c>
      <c r="W79" s="62" t="e">
        <f t="shared" si="32"/>
        <v>#VALUE!</v>
      </c>
      <c r="X79" s="62" t="e">
        <f t="shared" si="33"/>
        <v>#VALUE!</v>
      </c>
      <c r="Y79" s="62" t="str">
        <f>IFERROR(VLOOKUP(MID(T79,W79,X79-W79),[6]skilldef!$C:$D,2,FALSE),"-") &amp; " / " &amp; IFERROR(VLOOKUP(MID(T79,U79,V79-U79),[6]skilldef!$A:$B,2,FALSE),"-")</f>
        <v>- / -</v>
      </c>
      <c r="Z79" s="49"/>
      <c r="AA79" s="51"/>
      <c r="AB79" s="49"/>
      <c r="AC79" s="48">
        <f t="shared" si="34"/>
        <v>3</v>
      </c>
      <c r="AD79" s="48">
        <f t="shared" si="35"/>
        <v>3</v>
      </c>
    </row>
    <row r="80" spans="1:30" ht="21" customHeight="1" x14ac:dyDescent="0.15">
      <c r="A80" s="46">
        <v>58001078</v>
      </c>
      <c r="B80" s="46" t="s">
        <v>263</v>
      </c>
      <c r="C80" s="49">
        <v>1</v>
      </c>
      <c r="D80" s="49" t="s">
        <v>128</v>
      </c>
      <c r="E80" s="50" t="s">
        <v>262</v>
      </c>
      <c r="F80" s="50" t="s">
        <v>253</v>
      </c>
      <c r="G80" s="62" t="str">
        <f t="shared" si="18"/>
        <v>[effect:enemy_message, val1:1.2, val2:1.2]</v>
      </c>
      <c r="H80" s="62">
        <f t="shared" si="19"/>
        <v>9</v>
      </c>
      <c r="I80" s="62">
        <f t="shared" si="20"/>
        <v>22</v>
      </c>
      <c r="J80" s="62" t="e">
        <f t="shared" si="21"/>
        <v>#VALUE!</v>
      </c>
      <c r="K80" s="62">
        <f t="shared" si="22"/>
        <v>32</v>
      </c>
      <c r="L80" s="62" t="str">
        <f>IFERROR(VLOOKUP(MID(G80,J80,K80-J80),[6]skilldef!$C:$D,2,FALSE),"-") &amp; " / " &amp; IFERROR(VLOOKUP(MID(G80,H80,I80-H80),[6]skilldef!$A:$B,2,FALSE),"-")</f>
        <v>- / -</v>
      </c>
      <c r="M80" s="62" t="str">
        <f t="shared" si="23"/>
        <v>none</v>
      </c>
      <c r="N80" s="47" t="str">
        <f t="shared" si="24"/>
        <v>none</v>
      </c>
      <c r="O80" s="62" t="e">
        <f t="shared" si="25"/>
        <v>#VALUE!</v>
      </c>
      <c r="P80" s="62">
        <f t="shared" si="26"/>
        <v>4</v>
      </c>
      <c r="Q80" s="62" t="e">
        <f t="shared" si="27"/>
        <v>#VALUE!</v>
      </c>
      <c r="R80" s="62" t="e">
        <f t="shared" si="28"/>
        <v>#VALUE!</v>
      </c>
      <c r="S80" s="62" t="str">
        <f>IFERROR(VLOOKUP(MID(N80,Q80,R80-Q80),[6]skilldef!$C:$D,2,FALSE),"-") &amp; " / " &amp; IFERROR(VLOOKUP(MID(N80,O80,P80-O80),[6]skilldef!$A:$B,2,FALSE),"-")</f>
        <v>- / -</v>
      </c>
      <c r="T80" s="47" t="str">
        <f t="shared" si="29"/>
        <v>none</v>
      </c>
      <c r="U80" s="62" t="e">
        <f t="shared" si="30"/>
        <v>#VALUE!</v>
      </c>
      <c r="V80" s="62">
        <f t="shared" si="31"/>
        <v>4</v>
      </c>
      <c r="W80" s="62" t="e">
        <f t="shared" si="32"/>
        <v>#VALUE!</v>
      </c>
      <c r="X80" s="62" t="e">
        <f t="shared" si="33"/>
        <v>#VALUE!</v>
      </c>
      <c r="Y80" s="62" t="str">
        <f>IFERROR(VLOOKUP(MID(T80,W80,X80-W80),[6]skilldef!$C:$D,2,FALSE),"-") &amp; " / " &amp; IFERROR(VLOOKUP(MID(T80,U80,V80-U80),[6]skilldef!$A:$B,2,FALSE),"-")</f>
        <v>- / -</v>
      </c>
      <c r="Z80" s="49"/>
      <c r="AA80" s="51"/>
      <c r="AB80" s="49"/>
      <c r="AC80" s="48">
        <f t="shared" si="34"/>
        <v>3</v>
      </c>
      <c r="AD80" s="48">
        <f t="shared" si="35"/>
        <v>3</v>
      </c>
    </row>
    <row r="81" spans="1:30" ht="21" customHeight="1" x14ac:dyDescent="0.15">
      <c r="A81" s="46">
        <v>58001079</v>
      </c>
      <c r="B81" s="46" t="s">
        <v>263</v>
      </c>
      <c r="C81" s="49">
        <v>1</v>
      </c>
      <c r="D81" s="49" t="s">
        <v>128</v>
      </c>
      <c r="E81" s="50" t="s">
        <v>262</v>
      </c>
      <c r="F81" s="50" t="s">
        <v>253</v>
      </c>
      <c r="G81" s="62" t="str">
        <f t="shared" si="18"/>
        <v>[effect:enemy_message, val1:1.2, val2:1.2]</v>
      </c>
      <c r="H81" s="62">
        <f t="shared" si="19"/>
        <v>9</v>
      </c>
      <c r="I81" s="62">
        <f t="shared" si="20"/>
        <v>22</v>
      </c>
      <c r="J81" s="62" t="e">
        <f t="shared" si="21"/>
        <v>#VALUE!</v>
      </c>
      <c r="K81" s="62">
        <f t="shared" si="22"/>
        <v>32</v>
      </c>
      <c r="L81" s="62" t="str">
        <f>IFERROR(VLOOKUP(MID(G81,J81,K81-J81),[6]skilldef!$C:$D,2,FALSE),"-") &amp; " / " &amp; IFERROR(VLOOKUP(MID(G81,H81,I81-H81),[6]skilldef!$A:$B,2,FALSE),"-")</f>
        <v>- / -</v>
      </c>
      <c r="M81" s="62" t="str">
        <f t="shared" si="23"/>
        <v>none</v>
      </c>
      <c r="N81" s="47" t="str">
        <f t="shared" si="24"/>
        <v>none</v>
      </c>
      <c r="O81" s="62" t="e">
        <f t="shared" si="25"/>
        <v>#VALUE!</v>
      </c>
      <c r="P81" s="62">
        <f t="shared" si="26"/>
        <v>4</v>
      </c>
      <c r="Q81" s="62" t="e">
        <f t="shared" si="27"/>
        <v>#VALUE!</v>
      </c>
      <c r="R81" s="62" t="e">
        <f t="shared" si="28"/>
        <v>#VALUE!</v>
      </c>
      <c r="S81" s="62" t="str">
        <f>IFERROR(VLOOKUP(MID(N81,Q81,R81-Q81),[6]skilldef!$C:$D,2,FALSE),"-") &amp; " / " &amp; IFERROR(VLOOKUP(MID(N81,O81,P81-O81),[6]skilldef!$A:$B,2,FALSE),"-")</f>
        <v>- / -</v>
      </c>
      <c r="T81" s="47" t="str">
        <f t="shared" si="29"/>
        <v>none</v>
      </c>
      <c r="U81" s="62" t="e">
        <f t="shared" si="30"/>
        <v>#VALUE!</v>
      </c>
      <c r="V81" s="62">
        <f t="shared" si="31"/>
        <v>4</v>
      </c>
      <c r="W81" s="62" t="e">
        <f t="shared" si="32"/>
        <v>#VALUE!</v>
      </c>
      <c r="X81" s="62" t="e">
        <f t="shared" si="33"/>
        <v>#VALUE!</v>
      </c>
      <c r="Y81" s="62" t="str">
        <f>IFERROR(VLOOKUP(MID(T81,W81,X81-W81),[6]skilldef!$C:$D,2,FALSE),"-") &amp; " / " &amp; IFERROR(VLOOKUP(MID(T81,U81,V81-U81),[6]skilldef!$A:$B,2,FALSE),"-")</f>
        <v>- / -</v>
      </c>
      <c r="Z81" s="49"/>
      <c r="AA81" s="51"/>
      <c r="AB81" s="49"/>
      <c r="AC81" s="48">
        <f t="shared" si="34"/>
        <v>3</v>
      </c>
      <c r="AD81" s="48">
        <f t="shared" si="35"/>
        <v>3</v>
      </c>
    </row>
    <row r="82" spans="1:30" ht="21" customHeight="1" x14ac:dyDescent="0.15">
      <c r="A82" s="46">
        <v>58001080</v>
      </c>
      <c r="B82" s="46" t="s">
        <v>345</v>
      </c>
      <c r="C82" s="49">
        <v>1</v>
      </c>
      <c r="D82" s="49" t="s">
        <v>128</v>
      </c>
      <c r="E82" s="50" t="s">
        <v>304</v>
      </c>
      <c r="F82" s="50" t="s">
        <v>330</v>
      </c>
      <c r="G82" s="62" t="str">
        <f t="shared" si="18"/>
        <v>[effect:enemy_message, val1:1.4, val2:1.8]</v>
      </c>
      <c r="H82" s="62">
        <f t="shared" si="19"/>
        <v>9</v>
      </c>
      <c r="I82" s="62">
        <f t="shared" si="20"/>
        <v>22</v>
      </c>
      <c r="J82" s="62" t="e">
        <f t="shared" si="21"/>
        <v>#VALUE!</v>
      </c>
      <c r="K82" s="62">
        <f t="shared" si="22"/>
        <v>32</v>
      </c>
      <c r="L82" s="62" t="str">
        <f>IFERROR(VLOOKUP(MID(G82,J82,K82-J82),[6]skilldef!$C:$D,2,FALSE),"-") &amp; " / " &amp; IFERROR(VLOOKUP(MID(G82,H82,I82-H82),[6]skilldef!$A:$B,2,FALSE),"-")</f>
        <v>- / -</v>
      </c>
      <c r="M82" s="62" t="str">
        <f t="shared" si="23"/>
        <v>[effect:fix_speed, target:myself, turn:1],[effect:tolerance, target:myself, turn:-1, count:-1, tolerance_effect:all, animation:enemy_tolerance],[effect:change_panel_ratio, turn:-1, block_type:red, val:0.6, animation:block_incidence04]</v>
      </c>
      <c r="N82" s="47" t="str">
        <f>IFERROR(LEFT(M82,FIND("],",M82)+#REF!),M82)</f>
        <v>[effect:fix_speed, target:myself, turn:1],[effect:tolerance, target:myself, turn:-1, count:-1, tolerance_effect:all, animation:enemy_tolerance],[effect:change_panel_ratio, turn:-1, block_type:red, val:0.6, animation:block_incidence04]</v>
      </c>
      <c r="O82" s="62">
        <f t="shared" si="25"/>
        <v>9</v>
      </c>
      <c r="P82" s="62">
        <f t="shared" si="26"/>
        <v>18</v>
      </c>
      <c r="Q82" s="62">
        <f t="shared" si="27"/>
        <v>27</v>
      </c>
      <c r="R82" s="62">
        <f t="shared" si="28"/>
        <v>33</v>
      </c>
      <c r="S82" s="62" t="str">
        <f>IFERROR(VLOOKUP(MID(N82,Q82,R82-Q82),[6]skilldef!$C:$D,2,FALSE),"-") &amp; " / " &amp; IFERROR(VLOOKUP(MID(N82,O82,P82-O82),[6]skilldef!$A:$B,2,FALSE),"-")</f>
        <v>自分自身に / 行動値設定</v>
      </c>
      <c r="T82" s="47" t="str">
        <f t="shared" si="29"/>
        <v>[effect:tolerance, target:myself, turn:-1, count:-1, tolerance_effect:all, animation:enemy_tolerance],[effect:change_panel_ratio, turn:-1, block_type:red, val:0.6, animation:block_incidence04]</v>
      </c>
      <c r="U82" s="62">
        <f t="shared" si="30"/>
        <v>9</v>
      </c>
      <c r="V82" s="62">
        <f t="shared" si="31"/>
        <v>18</v>
      </c>
      <c r="W82" s="62">
        <f t="shared" si="32"/>
        <v>27</v>
      </c>
      <c r="X82" s="62">
        <f t="shared" si="33"/>
        <v>33</v>
      </c>
      <c r="Y82" s="62" t="str">
        <f>IFERROR(VLOOKUP(MID(T82,W82,X82-W82),[6]skilldef!$C:$D,2,FALSE),"-") &amp; " / " &amp; IFERROR(VLOOKUP(MID(T82,U82,V82-U82),[6]skilldef!$A:$B,2,FALSE),"-")</f>
        <v>自分自身に / 状態異常耐性</v>
      </c>
      <c r="Z82" s="49"/>
      <c r="AA82" s="51"/>
      <c r="AB82" s="49"/>
      <c r="AC82" s="48">
        <f t="shared" si="34"/>
        <v>14</v>
      </c>
      <c r="AD82" s="48">
        <f t="shared" si="35"/>
        <v>18</v>
      </c>
    </row>
    <row r="83" spans="1:30" ht="21" customHeight="1" x14ac:dyDescent="0.15">
      <c r="A83" s="46">
        <v>58001081</v>
      </c>
      <c r="B83" s="46" t="s">
        <v>423</v>
      </c>
      <c r="C83" s="49">
        <v>1</v>
      </c>
      <c r="D83" s="49" t="s">
        <v>128</v>
      </c>
      <c r="E83" s="50" t="s">
        <v>309</v>
      </c>
      <c r="F83" s="105" t="s">
        <v>393</v>
      </c>
      <c r="G83" s="62" t="str">
        <f t="shared" si="18"/>
        <v>[effect:enemy_message, val1:1.2, val2:4.1]</v>
      </c>
      <c r="H83" s="62">
        <f t="shared" si="19"/>
        <v>9</v>
      </c>
      <c r="I83" s="62">
        <f t="shared" si="20"/>
        <v>22</v>
      </c>
      <c r="J83" s="62" t="e">
        <f t="shared" si="21"/>
        <v>#VALUE!</v>
      </c>
      <c r="K83" s="62">
        <f t="shared" si="22"/>
        <v>32</v>
      </c>
      <c r="L83" s="62" t="str">
        <f>IFERROR(VLOOKUP(MID(G83,J83,K83-J83),[6]skilldef!$C:$D,2,FALSE),"-") &amp; " / " &amp; IFERROR(VLOOKUP(MID(G83,H83,I83-H83),[6]skilldef!$A:$B,2,FALSE),"-")</f>
        <v>- / -</v>
      </c>
      <c r="M83" s="62" t="str">
        <f t="shared" si="23"/>
        <v>[effect:degrade_unit, target:unit_all, turn:3, status:heal, val:0.6, calc:mul, animation:degrade_unit_all_heal],[effect:panel_freeze, target:normal, color:block_red, count:-1],[effect:panel_freeze, target:normal, color:block_heart, count:-1],[effect:rush, count:1, val:1]</v>
      </c>
      <c r="N83" s="47" t="str">
        <f>IFERROR(LEFT(M83,FIND("],",M83)+#REF!),M83)</f>
        <v>[effect:degrade_unit, target:unit_all, turn:3, status:heal, val:0.6, calc:mul, animation:degrade_unit_all_heal],[effect:panel_freeze, target:normal, color:block_red, count:-1],[effect:panel_freeze, target:normal, color:block_heart, count:-1],[effect:rush, count:1, val:1]</v>
      </c>
      <c r="O83" s="62">
        <f t="shared" si="25"/>
        <v>9</v>
      </c>
      <c r="P83" s="62">
        <f t="shared" si="26"/>
        <v>21</v>
      </c>
      <c r="Q83" s="62">
        <f t="shared" si="27"/>
        <v>30</v>
      </c>
      <c r="R83" s="62">
        <f t="shared" si="28"/>
        <v>38</v>
      </c>
      <c r="S83" s="62" t="str">
        <f>IFERROR(VLOOKUP(MID(N83,Q83,R83-Q83),[6]skilldef!$C:$D,2,FALSE),"-") &amp; " / " &amp; IFERROR(VLOOKUP(MID(N83,O83,P83-O83),[6]skilldef!$A:$B,2,FALSE),"-")</f>
        <v>味方全体に / ステータスDOWN</v>
      </c>
      <c r="T83" s="47" t="str">
        <f t="shared" si="29"/>
        <v>[effect:panel_freeze, target:normal, color:block_red, count:-1],[effect:panel_freeze, target:normal, color:block_heart, count:-1],[effect:rush, count:1, val:1]</v>
      </c>
      <c r="U83" s="62">
        <f t="shared" si="30"/>
        <v>9</v>
      </c>
      <c r="V83" s="62">
        <f t="shared" si="31"/>
        <v>21</v>
      </c>
      <c r="W83" s="62">
        <f t="shared" si="32"/>
        <v>30</v>
      </c>
      <c r="X83" s="62">
        <f t="shared" si="33"/>
        <v>36</v>
      </c>
      <c r="Y83" s="62" t="str">
        <f>IFERROR(VLOOKUP(MID(T83,W83,X83-W83),[6]skilldef!$C:$D,2,FALSE),"-") &amp; " / " &amp; IFERROR(VLOOKUP(MID(T83,U83,V83-U83),[6]skilldef!$A:$B,2,FALSE),"-")</f>
        <v>- / -</v>
      </c>
      <c r="Z83" s="49"/>
      <c r="AA83" s="51"/>
      <c r="AB83" s="49"/>
      <c r="AC83" s="48">
        <f t="shared" si="34"/>
        <v>9</v>
      </c>
      <c r="AD83" s="48">
        <f t="shared" si="35"/>
        <v>41</v>
      </c>
    </row>
    <row r="84" spans="1:30" ht="21" customHeight="1" x14ac:dyDescent="0.15">
      <c r="A84" s="46">
        <v>58001082</v>
      </c>
      <c r="B84" s="46" t="s">
        <v>424</v>
      </c>
      <c r="C84" s="49">
        <v>1</v>
      </c>
      <c r="D84" s="49" t="s">
        <v>128</v>
      </c>
      <c r="E84" s="50" t="s">
        <v>300</v>
      </c>
      <c r="F84" s="105" t="s">
        <v>394</v>
      </c>
      <c r="G84" s="62" t="str">
        <f t="shared" si="18"/>
        <v>[effect:enemy_message, val1:1.2, val2:2.3]</v>
      </c>
      <c r="H84" s="62">
        <f t="shared" si="19"/>
        <v>9</v>
      </c>
      <c r="I84" s="62">
        <f t="shared" si="20"/>
        <v>22</v>
      </c>
      <c r="J84" s="62" t="e">
        <f t="shared" si="21"/>
        <v>#VALUE!</v>
      </c>
      <c r="K84" s="62">
        <f t="shared" si="22"/>
        <v>32</v>
      </c>
      <c r="L84" s="62" t="str">
        <f>IFERROR(VLOOKUP(MID(G84,J84,K84-J84),[6]skilldef!$C:$D,2,FALSE),"-") &amp; " / " &amp; IFERROR(VLOOKUP(MID(G84,H84,I84-H84),[6]skilldef!$A:$B,2,FALSE),"-")</f>
        <v>- / -</v>
      </c>
      <c r="M84" s="62" t="str">
        <f t="shared" si="23"/>
        <v>[effect:force_change_block, new_block:damage, target:block_all, ignore01:crash, ignore02:crack_bomb, ignore03:damage, ignore04:color_break, ignore05:magnet, count:8, val:0.06, animation:change_block],[effect:rush, count:1, val:1]</v>
      </c>
      <c r="N84" s="47" t="str">
        <f>IFERROR(LEFT(M84,FIND("],",M84)+#REF!),M84)</f>
        <v>[effect:force_change_block, new_block:damage, target:block_all, ignore01:crash, ignore02:crack_bomb, ignore03:damage, ignore04:color_break, ignore05:magnet, count:8, val:0.06, animation:change_block],[effect:rush, count:1, val:1]</v>
      </c>
      <c r="O84" s="62">
        <f t="shared" si="25"/>
        <v>9</v>
      </c>
      <c r="P84" s="62">
        <f t="shared" si="26"/>
        <v>27</v>
      </c>
      <c r="Q84" s="62">
        <f t="shared" si="27"/>
        <v>54</v>
      </c>
      <c r="R84" s="62">
        <f t="shared" si="28"/>
        <v>45</v>
      </c>
      <c r="S84" s="62" t="str">
        <f>IFERROR(VLOOKUP(MID(N84,Q84,R84-Q84),[6]skilldef!$C:$D,2,FALSE),"-") &amp; " / " &amp; IFERROR(VLOOKUP(MID(N84,O84,P84-O84),[6]skilldef!$A:$B,2,FALSE),"-")</f>
        <v>- / -</v>
      </c>
      <c r="T84" s="47" t="str">
        <f t="shared" si="29"/>
        <v>[effect:rush, count:1, val:1]</v>
      </c>
      <c r="U84" s="62">
        <f t="shared" si="30"/>
        <v>9</v>
      </c>
      <c r="V84" s="62">
        <f t="shared" si="31"/>
        <v>13</v>
      </c>
      <c r="W84" s="62" t="e">
        <f t="shared" si="32"/>
        <v>#VALUE!</v>
      </c>
      <c r="X84" s="62">
        <f t="shared" si="33"/>
        <v>22</v>
      </c>
      <c r="Y84" s="62" t="str">
        <f>IFERROR(VLOOKUP(MID(T84,W84,X84-W84),[6]skilldef!$C:$D,2,FALSE),"-") &amp; " / " &amp; IFERROR(VLOOKUP(MID(T84,U84,V84-U84),[6]skilldef!$A:$B,2,FALSE),"-")</f>
        <v>- / 連続攻撃</v>
      </c>
      <c r="Z84" s="49"/>
      <c r="AA84" s="51"/>
      <c r="AB84" s="49"/>
      <c r="AC84" s="48">
        <f t="shared" si="34"/>
        <v>10</v>
      </c>
      <c r="AD84" s="48">
        <f t="shared" si="35"/>
        <v>23</v>
      </c>
    </row>
    <row r="85" spans="1:30" ht="21" customHeight="1" x14ac:dyDescent="0.15">
      <c r="A85" s="46">
        <v>58001083</v>
      </c>
      <c r="B85" s="46" t="s">
        <v>425</v>
      </c>
      <c r="C85" s="49">
        <v>1</v>
      </c>
      <c r="D85" s="49" t="s">
        <v>128</v>
      </c>
      <c r="E85" s="50" t="s">
        <v>308</v>
      </c>
      <c r="F85" s="105" t="s">
        <v>395</v>
      </c>
      <c r="G85" s="62" t="str">
        <f t="shared" si="18"/>
        <v>[effect:enemy_message, val1:1.2, val2:2.1]</v>
      </c>
      <c r="H85" s="62">
        <f t="shared" si="19"/>
        <v>9</v>
      </c>
      <c r="I85" s="62">
        <f t="shared" si="20"/>
        <v>22</v>
      </c>
      <c r="J85" s="62" t="e">
        <f t="shared" si="21"/>
        <v>#VALUE!</v>
      </c>
      <c r="K85" s="62">
        <f t="shared" si="22"/>
        <v>32</v>
      </c>
      <c r="L85" s="62" t="str">
        <f>IFERROR(VLOOKUP(MID(G85,J85,K85-J85),[6]skilldef!$C:$D,2,FALSE),"-") &amp; " / " &amp; IFERROR(VLOOKUP(MID(G85,H85,I85-H85),[6]skilldef!$A:$B,2,FALSE),"-")</f>
        <v>- / -</v>
      </c>
      <c r="M85" s="62" t="str">
        <f t="shared" si="23"/>
        <v>[effect:force_change_block, new_block:jammer, target:block_all, ignore01:crash, ignore02:crack_bomb, ignore03:color_break, ignore04:magnet, ignore05:jammer, ignore06:time_bomb, ignore07:block_yellow, ignore08:block_green, ignore09:block_blue, ignore10:damage, count:0, val:0]</v>
      </c>
      <c r="N85" s="47" t="str">
        <f>IFERROR(LEFT(M85,FIND("],",M85)+#REF!),M85)</f>
        <v>[effect:force_change_block, new_block:jammer, target:block_all, ignore01:crash, ignore02:crack_bomb, ignore03:color_break, ignore04:magnet, ignore05:jammer, ignore06:time_bomb, ignore07:block_yellow, ignore08:block_green, ignore09:block_blue, ignore10:damage, count:0, val:0]</v>
      </c>
      <c r="O85" s="62">
        <f t="shared" si="25"/>
        <v>9</v>
      </c>
      <c r="P85" s="62">
        <f t="shared" si="26"/>
        <v>27</v>
      </c>
      <c r="Q85" s="62">
        <f t="shared" si="27"/>
        <v>54</v>
      </c>
      <c r="R85" s="62">
        <f t="shared" si="28"/>
        <v>45</v>
      </c>
      <c r="S85" s="62" t="str">
        <f>IFERROR(VLOOKUP(MID(N85,Q85,R85-Q85),[6]skilldef!$C:$D,2,FALSE),"-") &amp; " / " &amp; IFERROR(VLOOKUP(MID(N85,O85,P85-O85),[6]skilldef!$A:$B,2,FALSE),"-")</f>
        <v>- / -</v>
      </c>
      <c r="T85" s="47" t="str">
        <f t="shared" si="29"/>
        <v>none</v>
      </c>
      <c r="U85" s="62" t="e">
        <f t="shared" si="30"/>
        <v>#VALUE!</v>
      </c>
      <c r="V85" s="62">
        <f t="shared" si="31"/>
        <v>4</v>
      </c>
      <c r="W85" s="62" t="e">
        <f t="shared" si="32"/>
        <v>#VALUE!</v>
      </c>
      <c r="X85" s="62" t="e">
        <f t="shared" si="33"/>
        <v>#VALUE!</v>
      </c>
      <c r="Y85" s="62" t="str">
        <f>IFERROR(VLOOKUP(MID(T85,W85,X85-W85),[6]skilldef!$C:$D,2,FALSE),"-") &amp; " / " &amp; IFERROR(VLOOKUP(MID(T85,U85,V85-U85),[6]skilldef!$A:$B,2,FALSE),"-")</f>
        <v>- / -</v>
      </c>
      <c r="Z85" s="49"/>
      <c r="AA85" s="51"/>
      <c r="AB85" s="49"/>
      <c r="AC85" s="48">
        <f t="shared" si="34"/>
        <v>12</v>
      </c>
      <c r="AD85" s="48">
        <f t="shared" si="35"/>
        <v>21</v>
      </c>
    </row>
    <row r="86" spans="1:30" ht="21" customHeight="1" x14ac:dyDescent="0.15">
      <c r="A86" s="46">
        <v>58001084</v>
      </c>
      <c r="B86" s="46" t="s">
        <v>426</v>
      </c>
      <c r="C86" s="49">
        <v>1</v>
      </c>
      <c r="D86" s="49" t="s">
        <v>128</v>
      </c>
      <c r="E86" s="50" t="s">
        <v>306</v>
      </c>
      <c r="F86" s="105" t="s">
        <v>396</v>
      </c>
      <c r="G86" s="62" t="str">
        <f t="shared" si="18"/>
        <v>[effect:enemy_message, val1:1.2, val2:1.5]</v>
      </c>
      <c r="H86" s="62">
        <f t="shared" si="19"/>
        <v>9</v>
      </c>
      <c r="I86" s="62">
        <f t="shared" si="20"/>
        <v>22</v>
      </c>
      <c r="J86" s="62" t="e">
        <f t="shared" si="21"/>
        <v>#VALUE!</v>
      </c>
      <c r="K86" s="62">
        <f t="shared" si="22"/>
        <v>32</v>
      </c>
      <c r="L86" s="62" t="str">
        <f>IFERROR(VLOOKUP(MID(G86,J86,K86-J86),[6]skilldef!$C:$D,2,FALSE),"-") &amp; " / " &amp; IFERROR(VLOOKUP(MID(G86,H86,I86-H86),[6]skilldef!$A:$B,2,FALSE),"-")</f>
        <v>- / -</v>
      </c>
      <c r="M86" s="62" t="str">
        <f t="shared" si="23"/>
        <v>[effect:break_attack, target:unit_all, val:0.03, lowest_val:1000, count:-1, color:yellow, block01:jammer, ignore01:crash, ignore02:crack_bomb, ignore03:time_bomb, ignore04:color_break, ignore05:damage, ignore06:magnet]</v>
      </c>
      <c r="N86" s="47" t="str">
        <f>IFERROR(LEFT(M86,FIND("],",M86)+#REF!),M86)</f>
        <v>[effect:break_attack, target:unit_all, val:0.03, lowest_val:1000, count:-1, color:yellow, block01:jammer, ignore01:crash, ignore02:crack_bomb, ignore03:time_bomb, ignore04:color_break, ignore05:damage, ignore06:magnet]</v>
      </c>
      <c r="O86" s="62">
        <f t="shared" si="25"/>
        <v>9</v>
      </c>
      <c r="P86" s="62">
        <f t="shared" si="26"/>
        <v>21</v>
      </c>
      <c r="Q86" s="62">
        <f t="shared" si="27"/>
        <v>30</v>
      </c>
      <c r="R86" s="62">
        <f t="shared" si="28"/>
        <v>38</v>
      </c>
      <c r="S86" s="62" t="str">
        <f>IFERROR(VLOOKUP(MID(N86,Q86,R86-Q86),[6]skilldef!$C:$D,2,FALSE),"-") &amp; " / " &amp; IFERROR(VLOOKUP(MID(N86,O86,P86-O86),[6]skilldef!$A:$B,2,FALSE),"-")</f>
        <v>味方全体に / -</v>
      </c>
      <c r="T86" s="47" t="str">
        <f t="shared" si="29"/>
        <v>none</v>
      </c>
      <c r="U86" s="62" t="e">
        <f t="shared" si="30"/>
        <v>#VALUE!</v>
      </c>
      <c r="V86" s="62">
        <f t="shared" si="31"/>
        <v>4</v>
      </c>
      <c r="W86" s="62" t="e">
        <f t="shared" si="32"/>
        <v>#VALUE!</v>
      </c>
      <c r="X86" s="62" t="e">
        <f t="shared" si="33"/>
        <v>#VALUE!</v>
      </c>
      <c r="Y86" s="62" t="str">
        <f>IFERROR(VLOOKUP(MID(T86,W86,X86-W86),[6]skilldef!$C:$D,2,FALSE),"-") &amp; " / " &amp; IFERROR(VLOOKUP(MID(T86,U86,V86-U86),[6]skilldef!$A:$B,2,FALSE),"-")</f>
        <v>- / -</v>
      </c>
      <c r="Z86" s="49"/>
      <c r="AA86" s="51"/>
      <c r="AB86" s="49"/>
      <c r="AC86" s="48">
        <f t="shared" si="34"/>
        <v>12</v>
      </c>
      <c r="AD86" s="48">
        <f t="shared" si="35"/>
        <v>15</v>
      </c>
    </row>
    <row r="87" spans="1:30" ht="21" customHeight="1" x14ac:dyDescent="0.15">
      <c r="A87" s="46">
        <v>58001085</v>
      </c>
      <c r="B87" s="46" t="s">
        <v>346</v>
      </c>
      <c r="C87" s="49">
        <v>1</v>
      </c>
      <c r="D87" s="49" t="s">
        <v>128</v>
      </c>
      <c r="E87" s="50" t="s">
        <v>305</v>
      </c>
      <c r="F87" s="50" t="s">
        <v>277</v>
      </c>
      <c r="G87" s="62" t="str">
        <f t="shared" si="18"/>
        <v>[effect:enemy_message, val1:1.2, val2:1.8]</v>
      </c>
      <c r="H87" s="62">
        <f t="shared" si="19"/>
        <v>9</v>
      </c>
      <c r="I87" s="62">
        <f t="shared" si="20"/>
        <v>22</v>
      </c>
      <c r="J87" s="62" t="e">
        <f t="shared" si="21"/>
        <v>#VALUE!</v>
      </c>
      <c r="K87" s="62">
        <f t="shared" si="22"/>
        <v>32</v>
      </c>
      <c r="L87" s="62" t="str">
        <f>IFERROR(VLOOKUP(MID(G87,J87,K87-J87),[6]skilldef!$C:$D,2,FALSE),"-") &amp; " / " &amp; IFERROR(VLOOKUP(MID(G87,H87,I87-H87),[6]skilldef!$A:$B,2,FALSE),"-")</f>
        <v>- / -</v>
      </c>
      <c r="M87" s="62" t="str">
        <f t="shared" si="23"/>
        <v>[effect:fix_speed, target:myself, turn:1],[effect:change_panel_ratio, turn:-1, block_type:heal, val:0.0, animation:block_incidence04],[effect:enhance_enemy, target:myself, turn:-1, status:defense, val:5000, calc:add, animation:enemy_enhance_defense]</v>
      </c>
      <c r="N87" s="47" t="str">
        <f>IFERROR(LEFT(M87,FIND("],",M87)+#REF!),M87)</f>
        <v>[effect:fix_speed, target:myself, turn:1],[effect:change_panel_ratio, turn:-1, block_type:heal, val:0.0, animation:block_incidence04],[effect:enhance_enemy, target:myself, turn:-1, status:defense, val:5000, calc:add, animation:enemy_enhance_defense]</v>
      </c>
      <c r="O87" s="62">
        <f t="shared" si="25"/>
        <v>9</v>
      </c>
      <c r="P87" s="62">
        <f t="shared" si="26"/>
        <v>18</v>
      </c>
      <c r="Q87" s="62">
        <f t="shared" si="27"/>
        <v>27</v>
      </c>
      <c r="R87" s="62">
        <f t="shared" si="28"/>
        <v>33</v>
      </c>
      <c r="S87" s="62" t="str">
        <f>IFERROR(VLOOKUP(MID(N87,Q87,R87-Q87),[6]skilldef!$C:$D,2,FALSE),"-") &amp; " / " &amp; IFERROR(VLOOKUP(MID(N87,O87,P87-O87),[6]skilldef!$A:$B,2,FALSE),"-")</f>
        <v>自分自身に / 行動値設定</v>
      </c>
      <c r="T87" s="47" t="str">
        <f t="shared" si="29"/>
        <v>[effect:change_panel_ratio, turn:-1, block_type:heal, val:0.0, animation:block_incidence04],[effect:enhance_enemy, target:myself, turn:-1, status:defense, val:5000, calc:add, animation:enemy_enhance_defense]</v>
      </c>
      <c r="U87" s="62">
        <f t="shared" si="30"/>
        <v>9</v>
      </c>
      <c r="V87" s="62">
        <f t="shared" si="31"/>
        <v>27</v>
      </c>
      <c r="W87" s="62">
        <f t="shared" si="32"/>
        <v>123</v>
      </c>
      <c r="X87" s="62">
        <f t="shared" si="33"/>
        <v>36</v>
      </c>
      <c r="Y87" s="62" t="str">
        <f>IFERROR(VLOOKUP(MID(T87,W87,X87-W87),[6]skilldef!$C:$D,2,FALSE),"-") &amp; " / " &amp; IFERROR(VLOOKUP(MID(T87,U87,V87-U87),[6]skilldef!$A:$B,2,FALSE),"-")</f>
        <v>- / -</v>
      </c>
      <c r="Z87" s="49"/>
      <c r="AA87" s="51"/>
      <c r="AB87" s="49"/>
      <c r="AC87" s="48">
        <f t="shared" si="34"/>
        <v>10</v>
      </c>
      <c r="AD87" s="48">
        <f t="shared" si="35"/>
        <v>18</v>
      </c>
    </row>
    <row r="88" spans="1:30" ht="21" customHeight="1" x14ac:dyDescent="0.15">
      <c r="A88" s="46">
        <v>58001086</v>
      </c>
      <c r="B88" s="46" t="s">
        <v>429</v>
      </c>
      <c r="C88" s="49">
        <v>1</v>
      </c>
      <c r="D88" s="49" t="s">
        <v>128</v>
      </c>
      <c r="E88" s="50" t="s">
        <v>303</v>
      </c>
      <c r="F88" s="105" t="s">
        <v>428</v>
      </c>
      <c r="G88" s="62" t="str">
        <f t="shared" si="18"/>
        <v>[effect:enemy_message, val1:1.2, val2:2.9]</v>
      </c>
      <c r="H88" s="62">
        <f t="shared" si="19"/>
        <v>9</v>
      </c>
      <c r="I88" s="62">
        <f t="shared" si="20"/>
        <v>22</v>
      </c>
      <c r="J88" s="62" t="e">
        <f t="shared" si="21"/>
        <v>#VALUE!</v>
      </c>
      <c r="K88" s="62">
        <f t="shared" si="22"/>
        <v>32</v>
      </c>
      <c r="L88" s="62" t="str">
        <f>IFERROR(VLOOKUP(MID(G88,J88,K88-J88),[6]skilldef!$C:$D,2,FALSE),"-") &amp; " / " &amp; IFERROR(VLOOKUP(MID(G88,H88,I88-H88),[6]skilldef!$A:$B,2,FALSE),"-")</f>
        <v>- / -</v>
      </c>
      <c r="M88" s="62" t="str">
        <f t="shared" si="23"/>
        <v>[effect:break_enchance_enemy, target:myself, val:0.1, lowest_val:1, count:-1, status:attack, turn:1, block01:block_red, block02:block_heart, calc:mul, animation:enemy_enhance_attack],[effect:rush, count:4, val:0.25]</v>
      </c>
      <c r="N88" s="47" t="str">
        <f>IFERROR(LEFT(M88,FIND("],",M88)+#REF!),M88)</f>
        <v>[effect:break_enchance_enemy, target:myself, val:0.1, lowest_val:1, count:-1, status:attack, turn:1, block01:block_red, block02:block_heart, calc:mul, animation:enemy_enhance_attack],[effect:rush, count:4, val:0.25]</v>
      </c>
      <c r="O88" s="62">
        <f t="shared" si="25"/>
        <v>9</v>
      </c>
      <c r="P88" s="62">
        <f t="shared" si="26"/>
        <v>29</v>
      </c>
      <c r="Q88" s="62">
        <f t="shared" si="27"/>
        <v>38</v>
      </c>
      <c r="R88" s="62">
        <f t="shared" si="28"/>
        <v>44</v>
      </c>
      <c r="S88" s="62" t="str">
        <f>IFERROR(VLOOKUP(MID(N88,Q88,R88-Q88),[6]skilldef!$C:$D,2,FALSE),"-") &amp; " / " &amp; IFERROR(VLOOKUP(MID(N88,O88,P88-O88),[6]skilldef!$A:$B,2,FALSE),"-")</f>
        <v>自分自身に / -</v>
      </c>
      <c r="T88" s="47" t="str">
        <f t="shared" si="29"/>
        <v>[effect:rush, count:4, val:0.25]</v>
      </c>
      <c r="U88" s="62">
        <f t="shared" si="30"/>
        <v>9</v>
      </c>
      <c r="V88" s="62">
        <f t="shared" si="31"/>
        <v>13</v>
      </c>
      <c r="W88" s="62" t="e">
        <f t="shared" si="32"/>
        <v>#VALUE!</v>
      </c>
      <c r="X88" s="62">
        <f t="shared" si="33"/>
        <v>22</v>
      </c>
      <c r="Y88" s="62" t="str">
        <f>IFERROR(VLOOKUP(MID(T88,W88,X88-W88),[6]skilldef!$C:$D,2,FALSE),"-") &amp; " / " &amp; IFERROR(VLOOKUP(MID(T88,U88,V88-U88),[6]skilldef!$A:$B,2,FALSE),"-")</f>
        <v>- / 連続攻撃</v>
      </c>
      <c r="Z88" s="49"/>
      <c r="AA88" s="51"/>
      <c r="AB88" s="49"/>
      <c r="AC88" s="48">
        <f t="shared" si="34"/>
        <v>12</v>
      </c>
      <c r="AD88" s="48">
        <f t="shared" si="35"/>
        <v>29</v>
      </c>
    </row>
    <row r="89" spans="1:30" ht="21" customHeight="1" x14ac:dyDescent="0.15">
      <c r="A89" s="46">
        <v>58001087</v>
      </c>
      <c r="B89" s="46" t="s">
        <v>365</v>
      </c>
      <c r="C89" s="49">
        <v>1</v>
      </c>
      <c r="D89" s="49" t="s">
        <v>128</v>
      </c>
      <c r="E89" s="50" t="s">
        <v>328</v>
      </c>
      <c r="F89" s="50" t="s">
        <v>325</v>
      </c>
      <c r="G89" s="62" t="str">
        <f t="shared" si="18"/>
        <v>[effect:enemy_message, val1:1.5, val2:2.4]</v>
      </c>
      <c r="H89" s="62">
        <f t="shared" si="19"/>
        <v>9</v>
      </c>
      <c r="I89" s="62">
        <f t="shared" si="20"/>
        <v>22</v>
      </c>
      <c r="J89" s="62" t="e">
        <f t="shared" si="21"/>
        <v>#VALUE!</v>
      </c>
      <c r="K89" s="62">
        <f t="shared" si="22"/>
        <v>32</v>
      </c>
      <c r="L89" s="62" t="str">
        <f>IFERROR(VLOOKUP(MID(G89,J89,K89-J89),[6]skilldef!$C:$D,2,FALSE),"-") &amp; " / " &amp; IFERROR(VLOOKUP(MID(G89,H89,I89-H89),[6]skilldef!$A:$B,2,FALSE),"-")</f>
        <v>- / -</v>
      </c>
      <c r="M89" s="62" t="str">
        <f t="shared" si="23"/>
        <v>none</v>
      </c>
      <c r="N89" s="47" t="str">
        <f>IFERROR(LEFT(M89,FIND("],",M89)+#REF!),M89)</f>
        <v>none</v>
      </c>
      <c r="O89" s="62" t="e">
        <f t="shared" si="25"/>
        <v>#VALUE!</v>
      </c>
      <c r="P89" s="62">
        <f t="shared" si="26"/>
        <v>4</v>
      </c>
      <c r="Q89" s="62" t="e">
        <f t="shared" si="27"/>
        <v>#VALUE!</v>
      </c>
      <c r="R89" s="62" t="e">
        <f t="shared" si="28"/>
        <v>#VALUE!</v>
      </c>
      <c r="S89" s="62" t="str">
        <f>IFERROR(VLOOKUP(MID(N89,Q89,R89-Q89),[6]skilldef!$C:$D,2,FALSE),"-") &amp; " / " &amp; IFERROR(VLOOKUP(MID(N89,O89,P89-O89),[6]skilldef!$A:$B,2,FALSE),"-")</f>
        <v>- / -</v>
      </c>
      <c r="T89" s="47" t="str">
        <f t="shared" si="29"/>
        <v>none</v>
      </c>
      <c r="U89" s="62" t="e">
        <f t="shared" si="30"/>
        <v>#VALUE!</v>
      </c>
      <c r="V89" s="62">
        <f t="shared" si="31"/>
        <v>4</v>
      </c>
      <c r="W89" s="62" t="e">
        <f t="shared" si="32"/>
        <v>#VALUE!</v>
      </c>
      <c r="X89" s="62" t="e">
        <f t="shared" si="33"/>
        <v>#VALUE!</v>
      </c>
      <c r="Y89" s="62" t="str">
        <f>IFERROR(VLOOKUP(MID(T89,W89,X89-W89),[6]skilldef!$C:$D,2,FALSE),"-") &amp; " / " &amp; IFERROR(VLOOKUP(MID(T89,U89,V89-U89),[6]skilldef!$A:$B,2,FALSE),"-")</f>
        <v>- / -</v>
      </c>
      <c r="Z89" s="49"/>
      <c r="AA89" s="51"/>
      <c r="AB89" s="49"/>
      <c r="AC89" s="48">
        <f t="shared" si="34"/>
        <v>15</v>
      </c>
      <c r="AD89" s="48">
        <f t="shared" si="35"/>
        <v>19</v>
      </c>
    </row>
    <row r="90" spans="1:30" ht="21" customHeight="1" x14ac:dyDescent="0.15">
      <c r="A90" s="46">
        <v>58001088</v>
      </c>
      <c r="B90" s="46" t="s">
        <v>363</v>
      </c>
      <c r="C90" s="49">
        <v>1</v>
      </c>
      <c r="D90" s="49" t="s">
        <v>128</v>
      </c>
      <c r="E90" s="50" t="s">
        <v>323</v>
      </c>
      <c r="F90" s="50" t="s">
        <v>324</v>
      </c>
      <c r="G90" s="62" t="str">
        <f t="shared" si="18"/>
        <v>[effect:enemy_message, val1:1.2, val2:2.3]</v>
      </c>
      <c r="H90" s="62">
        <f t="shared" si="19"/>
        <v>9</v>
      </c>
      <c r="I90" s="62">
        <f t="shared" si="20"/>
        <v>22</v>
      </c>
      <c r="J90" s="62" t="e">
        <f t="shared" si="21"/>
        <v>#VALUE!</v>
      </c>
      <c r="K90" s="62">
        <f t="shared" si="22"/>
        <v>32</v>
      </c>
      <c r="L90" s="62" t="str">
        <f>IFERROR(VLOOKUP(MID(G90,J90,K90-J90),[6]skilldef!$C:$D,2,FALSE),"-") &amp; " / " &amp; IFERROR(VLOOKUP(MID(G90,H90,I90-H90),[6]skilldef!$A:$B,2,FALSE),"-")</f>
        <v>- / -</v>
      </c>
      <c r="M90" s="62" t="str">
        <f t="shared" si="23"/>
        <v>none</v>
      </c>
      <c r="N90" s="47" t="str">
        <f>IFERROR(LEFT(M90,FIND("],",M90)+#REF!),M90)</f>
        <v>none</v>
      </c>
      <c r="O90" s="62" t="e">
        <f t="shared" si="25"/>
        <v>#VALUE!</v>
      </c>
      <c r="P90" s="62">
        <f t="shared" si="26"/>
        <v>4</v>
      </c>
      <c r="Q90" s="62" t="e">
        <f t="shared" si="27"/>
        <v>#VALUE!</v>
      </c>
      <c r="R90" s="62" t="e">
        <f t="shared" si="28"/>
        <v>#VALUE!</v>
      </c>
      <c r="S90" s="62" t="str">
        <f>IFERROR(VLOOKUP(MID(N90,Q90,R90-Q90),[6]skilldef!$C:$D,2,FALSE),"-") &amp; " / " &amp; IFERROR(VLOOKUP(MID(N90,O90,P90-O90),[6]skilldef!$A:$B,2,FALSE),"-")</f>
        <v>- / -</v>
      </c>
      <c r="T90" s="47" t="str">
        <f t="shared" si="29"/>
        <v>none</v>
      </c>
      <c r="U90" s="62" t="e">
        <f t="shared" si="30"/>
        <v>#VALUE!</v>
      </c>
      <c r="V90" s="62">
        <f t="shared" si="31"/>
        <v>4</v>
      </c>
      <c r="W90" s="62" t="e">
        <f t="shared" si="32"/>
        <v>#VALUE!</v>
      </c>
      <c r="X90" s="62" t="e">
        <f t="shared" si="33"/>
        <v>#VALUE!</v>
      </c>
      <c r="Y90" s="62" t="str">
        <f>IFERROR(VLOOKUP(MID(T90,W90,X90-W90),[6]skilldef!$C:$D,2,FALSE),"-") &amp; " / " &amp; IFERROR(VLOOKUP(MID(T90,U90,V90-U90),[6]skilldef!$A:$B,2,FALSE),"-")</f>
        <v>- / -</v>
      </c>
      <c r="Z90" s="49"/>
      <c r="AA90" s="51"/>
      <c r="AB90" s="49"/>
      <c r="AC90" s="48">
        <f t="shared" si="34"/>
        <v>11</v>
      </c>
      <c r="AD90" s="48">
        <f t="shared" si="35"/>
        <v>18</v>
      </c>
    </row>
    <row r="91" spans="1:30" ht="21" customHeight="1" x14ac:dyDescent="0.15">
      <c r="A91" s="46">
        <v>58001089</v>
      </c>
      <c r="B91" s="46" t="s">
        <v>364</v>
      </c>
      <c r="C91" s="49">
        <v>1</v>
      </c>
      <c r="D91" s="49" t="s">
        <v>128</v>
      </c>
      <c r="E91" s="50" t="s">
        <v>326</v>
      </c>
      <c r="F91" s="50" t="s">
        <v>327</v>
      </c>
      <c r="G91" s="62" t="str">
        <f t="shared" si="18"/>
        <v>[effect:enemy_message, val1:1.6, val2:2.1]</v>
      </c>
      <c r="H91" s="62">
        <f t="shared" si="19"/>
        <v>9</v>
      </c>
      <c r="I91" s="62">
        <f t="shared" si="20"/>
        <v>22</v>
      </c>
      <c r="J91" s="62" t="e">
        <f t="shared" si="21"/>
        <v>#VALUE!</v>
      </c>
      <c r="K91" s="62">
        <f t="shared" si="22"/>
        <v>32</v>
      </c>
      <c r="L91" s="62" t="str">
        <f>IFERROR(VLOOKUP(MID(G91,J91,K91-J91),[6]skilldef!$C:$D,2,FALSE),"-") &amp; " / " &amp; IFERROR(VLOOKUP(MID(G91,H91,I91-H91),[6]skilldef!$A:$B,2,FALSE),"-")</f>
        <v>- / -</v>
      </c>
      <c r="M91" s="62" t="str">
        <f t="shared" si="23"/>
        <v>none</v>
      </c>
      <c r="N91" s="47" t="str">
        <f>IFERROR(LEFT(M91,FIND("],",M91)+#REF!),M91)</f>
        <v>none</v>
      </c>
      <c r="O91" s="62" t="e">
        <f t="shared" si="25"/>
        <v>#VALUE!</v>
      </c>
      <c r="P91" s="62">
        <f t="shared" si="26"/>
        <v>4</v>
      </c>
      <c r="Q91" s="62" t="e">
        <f t="shared" si="27"/>
        <v>#VALUE!</v>
      </c>
      <c r="R91" s="62" t="e">
        <f t="shared" si="28"/>
        <v>#VALUE!</v>
      </c>
      <c r="S91" s="62" t="str">
        <f>IFERROR(VLOOKUP(MID(N91,Q91,R91-Q91),[6]skilldef!$C:$D,2,FALSE),"-") &amp; " / " &amp; IFERROR(VLOOKUP(MID(N91,O91,P91-O91),[6]skilldef!$A:$B,2,FALSE),"-")</f>
        <v>- / -</v>
      </c>
      <c r="T91" s="47" t="str">
        <f t="shared" si="29"/>
        <v>none</v>
      </c>
      <c r="U91" s="62" t="e">
        <f t="shared" si="30"/>
        <v>#VALUE!</v>
      </c>
      <c r="V91" s="62">
        <f t="shared" si="31"/>
        <v>4</v>
      </c>
      <c r="W91" s="62" t="e">
        <f t="shared" si="32"/>
        <v>#VALUE!</v>
      </c>
      <c r="X91" s="62" t="e">
        <f t="shared" si="33"/>
        <v>#VALUE!</v>
      </c>
      <c r="Y91" s="62" t="str">
        <f>IFERROR(VLOOKUP(MID(T91,W91,X91-W91),[6]skilldef!$C:$D,2,FALSE),"-") &amp; " / " &amp; IFERROR(VLOOKUP(MID(T91,U91,V91-U91),[6]skilldef!$A:$B,2,FALSE),"-")</f>
        <v>- / -</v>
      </c>
      <c r="Z91" s="49"/>
      <c r="AA91" s="51"/>
      <c r="AB91" s="49"/>
      <c r="AC91" s="48">
        <f t="shared" si="34"/>
        <v>16</v>
      </c>
      <c r="AD91" s="48">
        <f t="shared" si="35"/>
        <v>16</v>
      </c>
    </row>
    <row r="92" spans="1:30" ht="21" customHeight="1" x14ac:dyDescent="0.15">
      <c r="A92" s="46">
        <v>58001090</v>
      </c>
      <c r="B92" s="46" t="s">
        <v>365</v>
      </c>
      <c r="C92" s="49">
        <v>1</v>
      </c>
      <c r="D92" s="49" t="s">
        <v>128</v>
      </c>
      <c r="E92" s="50" t="s">
        <v>328</v>
      </c>
      <c r="F92" s="50" t="s">
        <v>325</v>
      </c>
      <c r="G92" s="62" t="str">
        <f t="shared" ref="G92:G93" si="36">IFERROR(LEFT(B92,FIND("],",B92)),B92)</f>
        <v>[effect:enemy_message, val1:1.5, val2:2.4]</v>
      </c>
      <c r="H92" s="62">
        <f t="shared" ref="H92:H93" si="37">FIND("effect:",G92)+7</f>
        <v>9</v>
      </c>
      <c r="I92" s="62">
        <f t="shared" ref="I92:I93" si="38">IFERROR(FIND(",",G92),LEN(G92))</f>
        <v>22</v>
      </c>
      <c r="J92" s="62" t="e">
        <f t="shared" ref="J92:J93" si="39">FIND("target:",G92)+7</f>
        <v>#VALUE!</v>
      </c>
      <c r="K92" s="62">
        <f t="shared" ref="K92:K93" si="40">FIND(",",G92,I92+1)</f>
        <v>32</v>
      </c>
      <c r="L92" s="62" t="str">
        <f>IFERROR(VLOOKUP(MID(G92,J92,K92-J92),[6]skilldef!$C:$D,2,FALSE),"-") &amp; " / " &amp; IFERROR(VLOOKUP(MID(G92,H92,I92-H92),[6]skilldef!$A:$B,2,FALSE),"-")</f>
        <v>- / -</v>
      </c>
      <c r="M92" s="62" t="str">
        <f t="shared" ref="M92:M93" si="41">IFERROR(RIGHT(B92,LEN(B92)-FIND("],",B92)-1),"none")</f>
        <v>none</v>
      </c>
      <c r="N92" s="47" t="str">
        <f>IFERROR(LEFT(M92,FIND("],",M92)+#REF!),M92)</f>
        <v>none</v>
      </c>
      <c r="O92" s="62" t="e">
        <f t="shared" ref="O92:O93" si="42">FIND("effect:",N92)+7</f>
        <v>#VALUE!</v>
      </c>
      <c r="P92" s="62">
        <f t="shared" ref="P92:P93" si="43">IFERROR(FIND(",",N92),LEN(N92))</f>
        <v>4</v>
      </c>
      <c r="Q92" s="62" t="e">
        <f t="shared" ref="Q92:Q93" si="44">FIND("target:",N92)+7</f>
        <v>#VALUE!</v>
      </c>
      <c r="R92" s="62" t="e">
        <f t="shared" ref="R92:R93" si="45">FIND(",",N92,P92+1)</f>
        <v>#VALUE!</v>
      </c>
      <c r="S92" s="62" t="str">
        <f>IFERROR(VLOOKUP(MID(N92,Q92,R92-Q92),[6]skilldef!$C:$D,2,FALSE),"-") &amp; " / " &amp; IFERROR(VLOOKUP(MID(N92,O92,P92-O92),[6]skilldef!$A:$B,2,FALSE),"-")</f>
        <v>- / -</v>
      </c>
      <c r="T92" s="47" t="str">
        <f t="shared" ref="T92:T93" si="46">IFERROR(RIGHT(M92,LEN(M92)-FIND("],",M92)-1),"none")</f>
        <v>none</v>
      </c>
      <c r="U92" s="62" t="e">
        <f t="shared" ref="U92:U93" si="47">FIND("effect:",T92)+7</f>
        <v>#VALUE!</v>
      </c>
      <c r="V92" s="62">
        <f t="shared" ref="V92:V93" si="48">IFERROR(FIND(",",T92),LEN(T92))</f>
        <v>4</v>
      </c>
      <c r="W92" s="62" t="e">
        <f t="shared" ref="W92:W93" si="49">FIND("target:",T92)+7</f>
        <v>#VALUE!</v>
      </c>
      <c r="X92" s="62" t="e">
        <f t="shared" ref="X92:X93" si="50">FIND(",",T92,V92+1)</f>
        <v>#VALUE!</v>
      </c>
      <c r="Y92" s="62" t="str">
        <f>IFERROR(VLOOKUP(MID(T92,W92,X92-W92),[6]skilldef!$C:$D,2,FALSE),"-") &amp; " / " &amp; IFERROR(VLOOKUP(MID(T92,U92,V92-U92),[6]skilldef!$A:$B,2,FALSE),"-")</f>
        <v>- / -</v>
      </c>
      <c r="Z92" s="49"/>
      <c r="AA92" s="51"/>
      <c r="AB92" s="49"/>
      <c r="AC92" s="48">
        <f t="shared" ref="AC92:AC93" si="51">LEN(E92)</f>
        <v>15</v>
      </c>
      <c r="AD92" s="48">
        <f t="shared" ref="AD92:AD93" si="52">LEN(F92)</f>
        <v>19</v>
      </c>
    </row>
    <row r="93" spans="1:30" ht="21" customHeight="1" x14ac:dyDescent="0.15">
      <c r="A93" s="46">
        <v>58001091</v>
      </c>
      <c r="B93" s="46" t="s">
        <v>363</v>
      </c>
      <c r="C93" s="49">
        <v>1</v>
      </c>
      <c r="D93" s="49" t="s">
        <v>128</v>
      </c>
      <c r="E93" s="50" t="s">
        <v>323</v>
      </c>
      <c r="F93" s="50" t="s">
        <v>324</v>
      </c>
      <c r="G93" s="62" t="str">
        <f t="shared" si="36"/>
        <v>[effect:enemy_message, val1:1.2, val2:2.3]</v>
      </c>
      <c r="H93" s="62">
        <f t="shared" si="37"/>
        <v>9</v>
      </c>
      <c r="I93" s="62">
        <f t="shared" si="38"/>
        <v>22</v>
      </c>
      <c r="J93" s="62" t="e">
        <f t="shared" si="39"/>
        <v>#VALUE!</v>
      </c>
      <c r="K93" s="62">
        <f t="shared" si="40"/>
        <v>32</v>
      </c>
      <c r="L93" s="62" t="str">
        <f>IFERROR(VLOOKUP(MID(G93,J93,K93-J93),[6]skilldef!$C:$D,2,FALSE),"-") &amp; " / " &amp; IFERROR(VLOOKUP(MID(G93,H93,I93-H93),[6]skilldef!$A:$B,2,FALSE),"-")</f>
        <v>- / -</v>
      </c>
      <c r="M93" s="62" t="str">
        <f t="shared" si="41"/>
        <v>none</v>
      </c>
      <c r="N93" s="47" t="str">
        <f>IFERROR(LEFT(M93,FIND("],",M93)+#REF!),M93)</f>
        <v>none</v>
      </c>
      <c r="O93" s="62" t="e">
        <f t="shared" si="42"/>
        <v>#VALUE!</v>
      </c>
      <c r="P93" s="62">
        <f t="shared" si="43"/>
        <v>4</v>
      </c>
      <c r="Q93" s="62" t="e">
        <f t="shared" si="44"/>
        <v>#VALUE!</v>
      </c>
      <c r="R93" s="62" t="e">
        <f t="shared" si="45"/>
        <v>#VALUE!</v>
      </c>
      <c r="S93" s="62" t="str">
        <f>IFERROR(VLOOKUP(MID(N93,Q93,R93-Q93),[6]skilldef!$C:$D,2,FALSE),"-") &amp; " / " &amp; IFERROR(VLOOKUP(MID(N93,O93,P93-O93),[6]skilldef!$A:$B,2,FALSE),"-")</f>
        <v>- / -</v>
      </c>
      <c r="T93" s="47" t="str">
        <f t="shared" si="46"/>
        <v>none</v>
      </c>
      <c r="U93" s="62" t="e">
        <f t="shared" si="47"/>
        <v>#VALUE!</v>
      </c>
      <c r="V93" s="62">
        <f t="shared" si="48"/>
        <v>4</v>
      </c>
      <c r="W93" s="62" t="e">
        <f t="shared" si="49"/>
        <v>#VALUE!</v>
      </c>
      <c r="X93" s="62" t="e">
        <f t="shared" si="50"/>
        <v>#VALUE!</v>
      </c>
      <c r="Y93" s="62" t="str">
        <f>IFERROR(VLOOKUP(MID(T93,W93,X93-W93),[6]skilldef!$C:$D,2,FALSE),"-") &amp; " / " &amp; IFERROR(VLOOKUP(MID(T93,U93,V93-U93),[6]skilldef!$A:$B,2,FALSE),"-")</f>
        <v>- / -</v>
      </c>
      <c r="Z93" s="49"/>
      <c r="AA93" s="51"/>
      <c r="AB93" s="49"/>
      <c r="AC93" s="48">
        <f t="shared" si="51"/>
        <v>11</v>
      </c>
      <c r="AD93" s="48">
        <f t="shared" si="52"/>
        <v>18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3"/>
  <sheetViews>
    <sheetView showGridLines="0" workbookViewId="0">
      <pane ySplit="1" topLeftCell="A80" activePane="bottomLeft" state="frozenSplit"/>
      <selection pane="bottomLeft" activeCell="C94" sqref="C94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58001000</v>
      </c>
      <c r="B2" s="46">
        <v>0</v>
      </c>
      <c r="C2" s="46" t="s">
        <v>89</v>
      </c>
      <c r="D2" s="46">
        <v>60</v>
      </c>
      <c r="E2" s="46" t="s">
        <v>250</v>
      </c>
      <c r="F2" s="46" t="s">
        <v>90</v>
      </c>
      <c r="G2" s="46" t="s">
        <v>250</v>
      </c>
      <c r="H2" s="46" t="s">
        <v>90</v>
      </c>
      <c r="I2" s="46" t="s">
        <v>90</v>
      </c>
      <c r="J2" s="47">
        <f t="shared" ref="J2" si="0">D2</f>
        <v>60</v>
      </c>
    </row>
    <row r="3" spans="1:11" ht="21" customHeight="1" x14ac:dyDescent="0.15">
      <c r="A3" s="46">
        <v>58001001</v>
      </c>
      <c r="B3" s="46">
        <v>0</v>
      </c>
      <c r="C3" s="46" t="s">
        <v>89</v>
      </c>
      <c r="D3" s="46">
        <v>100</v>
      </c>
      <c r="E3" s="46" t="s">
        <v>250</v>
      </c>
      <c r="F3" s="46" t="s">
        <v>90</v>
      </c>
      <c r="G3" s="46" t="s">
        <v>250</v>
      </c>
      <c r="H3" s="46" t="s">
        <v>90</v>
      </c>
      <c r="I3" s="46" t="s">
        <v>90</v>
      </c>
      <c r="J3" s="47">
        <f t="shared" ref="J3:J66" si="1">D3</f>
        <v>100</v>
      </c>
    </row>
    <row r="4" spans="1:11" ht="21" customHeight="1" x14ac:dyDescent="0.15">
      <c r="A4" s="46">
        <v>58001002</v>
      </c>
      <c r="B4" s="46">
        <v>0</v>
      </c>
      <c r="C4" s="46" t="s">
        <v>89</v>
      </c>
      <c r="D4" s="46">
        <v>100</v>
      </c>
      <c r="E4" s="46" t="s">
        <v>250</v>
      </c>
      <c r="F4" s="46" t="s">
        <v>90</v>
      </c>
      <c r="G4" s="46" t="s">
        <v>250</v>
      </c>
      <c r="H4" s="46" t="s">
        <v>90</v>
      </c>
      <c r="I4" s="46" t="s">
        <v>90</v>
      </c>
      <c r="J4" s="47">
        <f t="shared" si="1"/>
        <v>100</v>
      </c>
    </row>
    <row r="5" spans="1:11" ht="21" customHeight="1" x14ac:dyDescent="0.15">
      <c r="A5" s="46">
        <v>58001003</v>
      </c>
      <c r="B5" s="46">
        <v>0</v>
      </c>
      <c r="C5" s="46" t="s">
        <v>89</v>
      </c>
      <c r="D5" s="46">
        <v>100</v>
      </c>
      <c r="E5" s="46" t="s">
        <v>250</v>
      </c>
      <c r="F5" s="46" t="s">
        <v>90</v>
      </c>
      <c r="G5" s="46" t="s">
        <v>250</v>
      </c>
      <c r="H5" s="46" t="s">
        <v>90</v>
      </c>
      <c r="I5" s="46" t="s">
        <v>90</v>
      </c>
      <c r="J5" s="47">
        <f t="shared" si="1"/>
        <v>100</v>
      </c>
    </row>
    <row r="6" spans="1:11" ht="21" customHeight="1" x14ac:dyDescent="0.15">
      <c r="A6" s="46">
        <v>58001004</v>
      </c>
      <c r="B6" s="46">
        <v>0</v>
      </c>
      <c r="C6" s="46" t="s">
        <v>89</v>
      </c>
      <c r="D6" s="46">
        <v>100</v>
      </c>
      <c r="E6" s="46" t="s">
        <v>250</v>
      </c>
      <c r="F6" s="46" t="s">
        <v>90</v>
      </c>
      <c r="G6" s="46" t="s">
        <v>250</v>
      </c>
      <c r="H6" s="46" t="s">
        <v>90</v>
      </c>
      <c r="I6" s="46" t="s">
        <v>90</v>
      </c>
      <c r="J6" s="47">
        <f t="shared" si="1"/>
        <v>100</v>
      </c>
    </row>
    <row r="7" spans="1:11" ht="21" customHeight="1" x14ac:dyDescent="0.15">
      <c r="A7" s="46">
        <v>58001005</v>
      </c>
      <c r="B7" s="46">
        <v>0</v>
      </c>
      <c r="C7" s="46" t="s">
        <v>89</v>
      </c>
      <c r="D7" s="46">
        <v>60</v>
      </c>
      <c r="E7" s="46" t="s">
        <v>250</v>
      </c>
      <c r="F7" s="46" t="s">
        <v>90</v>
      </c>
      <c r="G7" s="46" t="s">
        <v>250</v>
      </c>
      <c r="H7" s="46" t="s">
        <v>90</v>
      </c>
      <c r="I7" s="46" t="s">
        <v>90</v>
      </c>
      <c r="J7" s="47">
        <f t="shared" si="1"/>
        <v>60</v>
      </c>
    </row>
    <row r="8" spans="1:11" ht="21" customHeight="1" x14ac:dyDescent="0.15">
      <c r="A8" s="46">
        <v>58001006</v>
      </c>
      <c r="B8" s="46">
        <v>0</v>
      </c>
      <c r="C8" s="46" t="s">
        <v>89</v>
      </c>
      <c r="D8" s="46">
        <v>100</v>
      </c>
      <c r="E8" s="46" t="s">
        <v>250</v>
      </c>
      <c r="F8" s="46" t="s">
        <v>90</v>
      </c>
      <c r="G8" s="46" t="s">
        <v>250</v>
      </c>
      <c r="H8" s="46" t="s">
        <v>90</v>
      </c>
      <c r="I8" s="46" t="s">
        <v>90</v>
      </c>
      <c r="J8" s="47">
        <f t="shared" si="1"/>
        <v>100</v>
      </c>
    </row>
    <row r="9" spans="1:11" ht="21" customHeight="1" x14ac:dyDescent="0.15">
      <c r="A9" s="46">
        <v>58001007</v>
      </c>
      <c r="B9" s="46">
        <v>0</v>
      </c>
      <c r="C9" s="46" t="s">
        <v>89</v>
      </c>
      <c r="D9" s="46">
        <v>100</v>
      </c>
      <c r="E9" s="46" t="s">
        <v>250</v>
      </c>
      <c r="F9" s="46" t="s">
        <v>90</v>
      </c>
      <c r="G9" s="46" t="s">
        <v>250</v>
      </c>
      <c r="H9" s="46" t="s">
        <v>90</v>
      </c>
      <c r="I9" s="46" t="s">
        <v>90</v>
      </c>
      <c r="J9" s="47">
        <f t="shared" si="1"/>
        <v>100</v>
      </c>
    </row>
    <row r="10" spans="1:11" ht="21" customHeight="1" x14ac:dyDescent="0.15">
      <c r="A10" s="46">
        <v>58001008</v>
      </c>
      <c r="B10" s="46">
        <v>0</v>
      </c>
      <c r="C10" s="46" t="s">
        <v>89</v>
      </c>
      <c r="D10" s="46">
        <v>100</v>
      </c>
      <c r="E10" s="46" t="s">
        <v>250</v>
      </c>
      <c r="F10" s="46" t="s">
        <v>90</v>
      </c>
      <c r="G10" s="46" t="s">
        <v>250</v>
      </c>
      <c r="H10" s="46" t="s">
        <v>90</v>
      </c>
      <c r="I10" s="46" t="s">
        <v>90</v>
      </c>
      <c r="J10" s="47">
        <f t="shared" si="1"/>
        <v>100</v>
      </c>
    </row>
    <row r="11" spans="1:11" ht="21" customHeight="1" x14ac:dyDescent="0.15">
      <c r="A11" s="46">
        <v>58001009</v>
      </c>
      <c r="B11" s="46">
        <v>0</v>
      </c>
      <c r="C11" s="46" t="s">
        <v>89</v>
      </c>
      <c r="D11" s="46">
        <v>100</v>
      </c>
      <c r="E11" s="46" t="s">
        <v>250</v>
      </c>
      <c r="F11" s="46" t="s">
        <v>90</v>
      </c>
      <c r="G11" s="46" t="s">
        <v>250</v>
      </c>
      <c r="H11" s="46" t="s">
        <v>90</v>
      </c>
      <c r="I11" s="46" t="s">
        <v>90</v>
      </c>
      <c r="J11" s="47">
        <f t="shared" si="1"/>
        <v>100</v>
      </c>
    </row>
    <row r="12" spans="1:11" ht="21" customHeight="1" x14ac:dyDescent="0.15">
      <c r="A12" s="46">
        <v>58001010</v>
      </c>
      <c r="B12" s="46">
        <v>1</v>
      </c>
      <c r="C12" s="46" t="s">
        <v>89</v>
      </c>
      <c r="D12" s="46">
        <v>100</v>
      </c>
      <c r="E12" s="46" t="s">
        <v>250</v>
      </c>
      <c r="F12" s="46" t="s">
        <v>90</v>
      </c>
      <c r="G12" s="46">
        <v>1</v>
      </c>
      <c r="H12" s="46" t="s">
        <v>90</v>
      </c>
      <c r="I12" s="46" t="s">
        <v>90</v>
      </c>
      <c r="J12" s="47">
        <f t="shared" si="1"/>
        <v>100</v>
      </c>
    </row>
    <row r="13" spans="1:11" ht="21" customHeight="1" x14ac:dyDescent="0.15">
      <c r="A13" s="46">
        <v>58001011</v>
      </c>
      <c r="B13" s="46">
        <v>0</v>
      </c>
      <c r="C13" s="46">
        <v>90</v>
      </c>
      <c r="D13" s="46">
        <v>100</v>
      </c>
      <c r="E13" s="46" t="s">
        <v>250</v>
      </c>
      <c r="F13" s="46" t="s">
        <v>90</v>
      </c>
      <c r="G13" s="46" t="s">
        <v>250</v>
      </c>
      <c r="H13" s="46">
        <v>2</v>
      </c>
      <c r="I13" s="46" t="s">
        <v>90</v>
      </c>
      <c r="J13" s="47">
        <f t="shared" si="1"/>
        <v>100</v>
      </c>
    </row>
    <row r="14" spans="1:11" ht="21" customHeight="1" x14ac:dyDescent="0.15">
      <c r="A14" s="46">
        <v>58001012</v>
      </c>
      <c r="B14" s="46">
        <v>0</v>
      </c>
      <c r="C14" s="46">
        <v>100</v>
      </c>
      <c r="D14" s="46">
        <v>100</v>
      </c>
      <c r="E14" s="46" t="s">
        <v>250</v>
      </c>
      <c r="F14" s="46" t="s">
        <v>90</v>
      </c>
      <c r="G14" s="46" t="s">
        <v>250</v>
      </c>
      <c r="H14" s="46">
        <v>3</v>
      </c>
      <c r="I14" s="46" t="s">
        <v>90</v>
      </c>
      <c r="J14" s="47">
        <f t="shared" si="1"/>
        <v>100</v>
      </c>
    </row>
    <row r="15" spans="1:11" ht="21" customHeight="1" x14ac:dyDescent="0.15">
      <c r="A15" s="46">
        <v>58001013</v>
      </c>
      <c r="B15" s="46">
        <v>0</v>
      </c>
      <c r="C15" s="46">
        <v>80</v>
      </c>
      <c r="D15" s="46">
        <v>100</v>
      </c>
      <c r="E15" s="46" t="s">
        <v>250</v>
      </c>
      <c r="F15" s="46" t="s">
        <v>90</v>
      </c>
      <c r="G15" s="46" t="s">
        <v>250</v>
      </c>
      <c r="H15" s="46" t="s">
        <v>90</v>
      </c>
      <c r="I15" s="46" t="s">
        <v>90</v>
      </c>
      <c r="J15" s="47">
        <f t="shared" si="1"/>
        <v>100</v>
      </c>
    </row>
    <row r="16" spans="1:11" ht="21" customHeight="1" x14ac:dyDescent="0.15">
      <c r="A16" s="46">
        <v>58001014</v>
      </c>
      <c r="B16" s="46">
        <v>0</v>
      </c>
      <c r="C16" s="46" t="s">
        <v>89</v>
      </c>
      <c r="D16" s="46">
        <v>100</v>
      </c>
      <c r="E16" s="46" t="s">
        <v>250</v>
      </c>
      <c r="F16" s="46" t="s">
        <v>90</v>
      </c>
      <c r="G16" s="46" t="s">
        <v>250</v>
      </c>
      <c r="H16" s="46" t="s">
        <v>90</v>
      </c>
      <c r="I16" s="46" t="s">
        <v>90</v>
      </c>
      <c r="J16" s="47">
        <f t="shared" si="1"/>
        <v>100</v>
      </c>
    </row>
    <row r="17" spans="1:10" ht="21" customHeight="1" x14ac:dyDescent="0.15">
      <c r="A17" s="46">
        <v>58001015</v>
      </c>
      <c r="B17" s="46">
        <v>0</v>
      </c>
      <c r="C17" s="46" t="s">
        <v>89</v>
      </c>
      <c r="D17" s="46">
        <v>100</v>
      </c>
      <c r="E17" s="46" t="s">
        <v>250</v>
      </c>
      <c r="F17" s="46" t="s">
        <v>90</v>
      </c>
      <c r="G17" s="46" t="s">
        <v>250</v>
      </c>
      <c r="H17" s="46" t="s">
        <v>90</v>
      </c>
      <c r="I17" s="46" t="s">
        <v>90</v>
      </c>
      <c r="J17" s="47">
        <f t="shared" si="1"/>
        <v>100</v>
      </c>
    </row>
    <row r="18" spans="1:10" ht="21" customHeight="1" x14ac:dyDescent="0.15">
      <c r="A18" s="46">
        <v>58001016</v>
      </c>
      <c r="B18" s="46">
        <v>0</v>
      </c>
      <c r="C18" s="46" t="s">
        <v>89</v>
      </c>
      <c r="D18" s="46">
        <v>100</v>
      </c>
      <c r="E18" s="46" t="s">
        <v>250</v>
      </c>
      <c r="F18" s="46" t="s">
        <v>90</v>
      </c>
      <c r="G18" s="46" t="s">
        <v>250</v>
      </c>
      <c r="H18" s="46" t="s">
        <v>90</v>
      </c>
      <c r="I18" s="46" t="s">
        <v>90</v>
      </c>
      <c r="J18" s="47">
        <f t="shared" si="1"/>
        <v>100</v>
      </c>
    </row>
    <row r="19" spans="1:10" ht="21" customHeight="1" x14ac:dyDescent="0.15">
      <c r="A19" s="46">
        <v>58001017</v>
      </c>
      <c r="B19" s="46">
        <v>0</v>
      </c>
      <c r="C19" s="46" t="s">
        <v>89</v>
      </c>
      <c r="D19" s="46">
        <v>100</v>
      </c>
      <c r="E19" s="46" t="s">
        <v>250</v>
      </c>
      <c r="F19" s="46" t="s">
        <v>90</v>
      </c>
      <c r="G19" s="46" t="s">
        <v>250</v>
      </c>
      <c r="H19" s="46" t="s">
        <v>90</v>
      </c>
      <c r="I19" s="46" t="s">
        <v>90</v>
      </c>
      <c r="J19" s="47">
        <f t="shared" si="1"/>
        <v>100</v>
      </c>
    </row>
    <row r="20" spans="1:10" ht="21" customHeight="1" x14ac:dyDescent="0.15">
      <c r="A20" s="46">
        <v>58001018</v>
      </c>
      <c r="B20" s="46">
        <v>0</v>
      </c>
      <c r="C20" s="46" t="s">
        <v>89</v>
      </c>
      <c r="D20" s="46">
        <v>100</v>
      </c>
      <c r="E20" s="46" t="s">
        <v>250</v>
      </c>
      <c r="F20" s="46" t="s">
        <v>90</v>
      </c>
      <c r="G20" s="46" t="s">
        <v>250</v>
      </c>
      <c r="H20" s="46" t="s">
        <v>90</v>
      </c>
      <c r="I20" s="46" t="s">
        <v>90</v>
      </c>
      <c r="J20" s="47">
        <f t="shared" si="1"/>
        <v>100</v>
      </c>
    </row>
    <row r="21" spans="1:10" ht="21" customHeight="1" x14ac:dyDescent="0.15">
      <c r="A21" s="46">
        <v>58001019</v>
      </c>
      <c r="B21" s="46">
        <v>0</v>
      </c>
      <c r="C21" s="46" t="s">
        <v>89</v>
      </c>
      <c r="D21" s="46">
        <v>100</v>
      </c>
      <c r="E21" s="46" t="s">
        <v>250</v>
      </c>
      <c r="F21" s="46" t="s">
        <v>90</v>
      </c>
      <c r="G21" s="46" t="s">
        <v>250</v>
      </c>
      <c r="H21" s="46" t="s">
        <v>90</v>
      </c>
      <c r="I21" s="46" t="s">
        <v>90</v>
      </c>
      <c r="J21" s="47">
        <f t="shared" si="1"/>
        <v>100</v>
      </c>
    </row>
    <row r="22" spans="1:10" ht="21" customHeight="1" x14ac:dyDescent="0.15">
      <c r="A22" s="46">
        <v>58001020</v>
      </c>
      <c r="B22" s="46">
        <v>1</v>
      </c>
      <c r="C22" s="46" t="s">
        <v>89</v>
      </c>
      <c r="D22" s="46">
        <v>100</v>
      </c>
      <c r="E22" s="46" t="s">
        <v>250</v>
      </c>
      <c r="F22" s="46" t="s">
        <v>90</v>
      </c>
      <c r="G22" s="46">
        <v>1</v>
      </c>
      <c r="H22" s="46" t="s">
        <v>90</v>
      </c>
      <c r="I22" s="46" t="s">
        <v>90</v>
      </c>
      <c r="J22" s="47">
        <f t="shared" si="1"/>
        <v>100</v>
      </c>
    </row>
    <row r="23" spans="1:10" ht="21" customHeight="1" x14ac:dyDescent="0.15">
      <c r="A23" s="46">
        <v>58001021</v>
      </c>
      <c r="B23" s="46">
        <v>0</v>
      </c>
      <c r="C23" s="46">
        <v>90</v>
      </c>
      <c r="D23" s="46">
        <v>100</v>
      </c>
      <c r="E23" s="46" t="s">
        <v>250</v>
      </c>
      <c r="F23" s="46" t="s">
        <v>90</v>
      </c>
      <c r="G23" s="46" t="s">
        <v>250</v>
      </c>
      <c r="H23" s="46">
        <v>2</v>
      </c>
      <c r="I23" s="46" t="s">
        <v>90</v>
      </c>
      <c r="J23" s="47">
        <f t="shared" si="1"/>
        <v>100</v>
      </c>
    </row>
    <row r="24" spans="1:10" ht="21" customHeight="1" x14ac:dyDescent="0.15">
      <c r="A24" s="46">
        <v>58001022</v>
      </c>
      <c r="B24" s="46">
        <v>0</v>
      </c>
      <c r="C24" s="46">
        <v>100</v>
      </c>
      <c r="D24" s="46">
        <v>100</v>
      </c>
      <c r="E24" s="46" t="s">
        <v>250</v>
      </c>
      <c r="F24" s="46" t="s">
        <v>90</v>
      </c>
      <c r="G24" s="46" t="s">
        <v>250</v>
      </c>
      <c r="H24" s="46">
        <v>3</v>
      </c>
      <c r="I24" s="46" t="s">
        <v>90</v>
      </c>
      <c r="J24" s="47">
        <f t="shared" si="1"/>
        <v>100</v>
      </c>
    </row>
    <row r="25" spans="1:10" ht="21" customHeight="1" x14ac:dyDescent="0.15">
      <c r="A25" s="46">
        <v>58001023</v>
      </c>
      <c r="B25" s="46">
        <v>0</v>
      </c>
      <c r="C25" s="46">
        <v>80</v>
      </c>
      <c r="D25" s="46">
        <v>100</v>
      </c>
      <c r="E25" s="46" t="s">
        <v>250</v>
      </c>
      <c r="F25" s="46" t="s">
        <v>90</v>
      </c>
      <c r="G25" s="46" t="s">
        <v>250</v>
      </c>
      <c r="H25" s="46" t="s">
        <v>90</v>
      </c>
      <c r="I25" s="46" t="s">
        <v>90</v>
      </c>
      <c r="J25" s="47">
        <f t="shared" si="1"/>
        <v>100</v>
      </c>
    </row>
    <row r="26" spans="1:10" ht="21" customHeight="1" x14ac:dyDescent="0.15">
      <c r="A26" s="46">
        <v>58001024</v>
      </c>
      <c r="B26" s="46">
        <v>0</v>
      </c>
      <c r="C26" s="46">
        <v>210</v>
      </c>
      <c r="D26" s="46">
        <v>100</v>
      </c>
      <c r="E26" s="46">
        <v>50</v>
      </c>
      <c r="F26" s="46" t="s">
        <v>90</v>
      </c>
      <c r="G26" s="46">
        <v>1</v>
      </c>
      <c r="H26" s="46" t="s">
        <v>90</v>
      </c>
      <c r="I26" s="46" t="s">
        <v>90</v>
      </c>
      <c r="J26" s="47">
        <f t="shared" si="1"/>
        <v>100</v>
      </c>
    </row>
    <row r="27" spans="1:10" ht="21" customHeight="1" x14ac:dyDescent="0.15">
      <c r="A27" s="46">
        <v>58001025</v>
      </c>
      <c r="B27" s="46">
        <v>0</v>
      </c>
      <c r="C27" s="46">
        <v>190</v>
      </c>
      <c r="D27" s="46">
        <v>100</v>
      </c>
      <c r="E27" s="46">
        <v>50</v>
      </c>
      <c r="F27" s="46" t="s">
        <v>90</v>
      </c>
      <c r="G27" s="46" t="s">
        <v>250</v>
      </c>
      <c r="H27" s="46">
        <v>2</v>
      </c>
      <c r="I27" s="46" t="s">
        <v>90</v>
      </c>
      <c r="J27" s="47">
        <f t="shared" si="1"/>
        <v>100</v>
      </c>
    </row>
    <row r="28" spans="1:10" ht="21" customHeight="1" x14ac:dyDescent="0.15">
      <c r="A28" s="46">
        <v>58001026</v>
      </c>
      <c r="B28" s="46">
        <v>0</v>
      </c>
      <c r="C28" s="46">
        <v>200</v>
      </c>
      <c r="D28" s="46">
        <v>100</v>
      </c>
      <c r="E28" s="46">
        <v>50</v>
      </c>
      <c r="F28" s="46" t="s">
        <v>90</v>
      </c>
      <c r="G28" s="46" t="s">
        <v>250</v>
      </c>
      <c r="H28" s="46">
        <v>3</v>
      </c>
      <c r="I28" s="46" t="s">
        <v>90</v>
      </c>
      <c r="J28" s="47">
        <f t="shared" si="1"/>
        <v>100</v>
      </c>
    </row>
    <row r="29" spans="1:10" ht="21" customHeight="1" x14ac:dyDescent="0.15">
      <c r="A29" s="46">
        <v>58001027</v>
      </c>
      <c r="B29" s="46">
        <v>0</v>
      </c>
      <c r="C29" s="46">
        <v>180</v>
      </c>
      <c r="D29" s="46">
        <v>100</v>
      </c>
      <c r="E29" s="46">
        <v>50</v>
      </c>
      <c r="F29" s="46" t="s">
        <v>90</v>
      </c>
      <c r="G29" s="46" t="s">
        <v>250</v>
      </c>
      <c r="H29" s="46" t="s">
        <v>90</v>
      </c>
      <c r="I29" s="46" t="s">
        <v>90</v>
      </c>
      <c r="J29" s="47">
        <f t="shared" si="1"/>
        <v>100</v>
      </c>
    </row>
    <row r="30" spans="1:10" ht="21" customHeight="1" x14ac:dyDescent="0.15">
      <c r="A30" s="46">
        <v>58001028</v>
      </c>
      <c r="B30" s="46">
        <v>0</v>
      </c>
      <c r="C30" s="46" t="s">
        <v>89</v>
      </c>
      <c r="D30" s="46">
        <v>100</v>
      </c>
      <c r="E30" s="46" t="s">
        <v>250</v>
      </c>
      <c r="F30" s="46" t="s">
        <v>90</v>
      </c>
      <c r="G30" s="46" t="s">
        <v>250</v>
      </c>
      <c r="H30" s="46" t="s">
        <v>90</v>
      </c>
      <c r="I30" s="46" t="s">
        <v>90</v>
      </c>
      <c r="J30" s="47">
        <f t="shared" si="1"/>
        <v>100</v>
      </c>
    </row>
    <row r="31" spans="1:10" ht="21" customHeight="1" x14ac:dyDescent="0.15">
      <c r="A31" s="46">
        <v>58001029</v>
      </c>
      <c r="B31" s="46">
        <v>0</v>
      </c>
      <c r="C31" s="46" t="s">
        <v>89</v>
      </c>
      <c r="D31" s="46">
        <v>100</v>
      </c>
      <c r="E31" s="46" t="s">
        <v>250</v>
      </c>
      <c r="F31" s="46" t="s">
        <v>90</v>
      </c>
      <c r="G31" s="46" t="s">
        <v>250</v>
      </c>
      <c r="H31" s="46" t="s">
        <v>90</v>
      </c>
      <c r="I31" s="46" t="s">
        <v>90</v>
      </c>
      <c r="J31" s="47">
        <f t="shared" si="1"/>
        <v>100</v>
      </c>
    </row>
    <row r="32" spans="1:10" ht="21" customHeight="1" x14ac:dyDescent="0.15">
      <c r="A32" s="46">
        <v>58001030</v>
      </c>
      <c r="B32" s="46">
        <v>0</v>
      </c>
      <c r="C32" s="46">
        <v>100</v>
      </c>
      <c r="D32" s="46">
        <v>100</v>
      </c>
      <c r="E32" s="46" t="s">
        <v>250</v>
      </c>
      <c r="F32" s="46" t="s">
        <v>90</v>
      </c>
      <c r="G32" s="46" t="s">
        <v>250</v>
      </c>
      <c r="H32" s="46" t="s">
        <v>90</v>
      </c>
      <c r="I32" s="46" t="s">
        <v>90</v>
      </c>
      <c r="J32" s="47">
        <f t="shared" si="1"/>
        <v>100</v>
      </c>
    </row>
    <row r="33" spans="1:10" ht="21" customHeight="1" x14ac:dyDescent="0.15">
      <c r="A33" s="46">
        <v>58001031</v>
      </c>
      <c r="B33" s="46">
        <v>0</v>
      </c>
      <c r="C33" s="46">
        <v>90</v>
      </c>
      <c r="D33" s="46">
        <v>100</v>
      </c>
      <c r="E33" s="46" t="s">
        <v>250</v>
      </c>
      <c r="F33" s="46" t="s">
        <v>90</v>
      </c>
      <c r="G33" s="46" t="s">
        <v>250</v>
      </c>
      <c r="H33" s="46">
        <v>2</v>
      </c>
      <c r="I33" s="46" t="s">
        <v>90</v>
      </c>
      <c r="J33" s="47">
        <f t="shared" si="1"/>
        <v>100</v>
      </c>
    </row>
    <row r="34" spans="1:10" ht="21" customHeight="1" x14ac:dyDescent="0.15">
      <c r="A34" s="46">
        <v>58001032</v>
      </c>
      <c r="B34" s="46">
        <v>0</v>
      </c>
      <c r="C34" s="46" t="s">
        <v>89</v>
      </c>
      <c r="D34" s="46">
        <v>100</v>
      </c>
      <c r="E34" s="46" t="s">
        <v>250</v>
      </c>
      <c r="F34" s="46" t="s">
        <v>90</v>
      </c>
      <c r="G34" s="46">
        <v>1</v>
      </c>
      <c r="H34" s="46" t="s">
        <v>90</v>
      </c>
      <c r="I34" s="46">
        <v>57</v>
      </c>
      <c r="J34" s="47">
        <f t="shared" si="1"/>
        <v>100</v>
      </c>
    </row>
    <row r="35" spans="1:10" ht="21" customHeight="1" x14ac:dyDescent="0.15">
      <c r="A35" s="46">
        <v>58001033</v>
      </c>
      <c r="B35" s="46">
        <v>0</v>
      </c>
      <c r="C35" s="46" t="s">
        <v>89</v>
      </c>
      <c r="D35" s="46">
        <v>100</v>
      </c>
      <c r="E35" s="46" t="s">
        <v>250</v>
      </c>
      <c r="F35" s="46" t="s">
        <v>90</v>
      </c>
      <c r="G35" s="46">
        <v>1</v>
      </c>
      <c r="H35" s="46" t="s">
        <v>90</v>
      </c>
      <c r="I35" s="46">
        <v>57</v>
      </c>
      <c r="J35" s="47">
        <f t="shared" si="1"/>
        <v>100</v>
      </c>
    </row>
    <row r="36" spans="1:10" ht="21" customHeight="1" x14ac:dyDescent="0.15">
      <c r="A36" s="46">
        <v>58001034</v>
      </c>
      <c r="B36" s="46">
        <v>0</v>
      </c>
      <c r="C36" s="46" t="s">
        <v>89</v>
      </c>
      <c r="D36" s="46">
        <v>100</v>
      </c>
      <c r="E36" s="46" t="s">
        <v>250</v>
      </c>
      <c r="F36" s="46" t="s">
        <v>90</v>
      </c>
      <c r="G36" s="46" t="s">
        <v>250</v>
      </c>
      <c r="H36" s="46" t="s">
        <v>90</v>
      </c>
      <c r="I36" s="46" t="s">
        <v>90</v>
      </c>
      <c r="J36" s="47">
        <f t="shared" si="1"/>
        <v>100</v>
      </c>
    </row>
    <row r="37" spans="1:10" ht="21" customHeight="1" x14ac:dyDescent="0.15">
      <c r="A37" s="46">
        <v>58001035</v>
      </c>
      <c r="B37" s="46">
        <v>0</v>
      </c>
      <c r="C37" s="46">
        <v>100</v>
      </c>
      <c r="D37" s="46">
        <v>50</v>
      </c>
      <c r="E37" s="46" t="s">
        <v>250</v>
      </c>
      <c r="F37" s="46" t="s">
        <v>90</v>
      </c>
      <c r="G37" s="46" t="s">
        <v>250</v>
      </c>
      <c r="H37" s="46">
        <v>3</v>
      </c>
      <c r="I37" s="46" t="s">
        <v>90</v>
      </c>
      <c r="J37" s="47">
        <f t="shared" si="1"/>
        <v>50</v>
      </c>
    </row>
    <row r="38" spans="1:10" ht="21" customHeight="1" x14ac:dyDescent="0.15">
      <c r="A38" s="46">
        <v>58001036</v>
      </c>
      <c r="B38" s="46">
        <v>0</v>
      </c>
      <c r="C38" s="46">
        <v>90</v>
      </c>
      <c r="D38" s="46">
        <v>50</v>
      </c>
      <c r="E38" s="46" t="s">
        <v>250</v>
      </c>
      <c r="F38" s="46" t="s">
        <v>90</v>
      </c>
      <c r="G38" s="46" t="s">
        <v>250</v>
      </c>
      <c r="H38" s="46" t="s">
        <v>90</v>
      </c>
      <c r="I38" s="46" t="s">
        <v>90</v>
      </c>
      <c r="J38" s="47">
        <f t="shared" si="1"/>
        <v>50</v>
      </c>
    </row>
    <row r="39" spans="1:10" ht="21" customHeight="1" x14ac:dyDescent="0.15">
      <c r="A39" s="46">
        <v>58001037</v>
      </c>
      <c r="B39" s="46">
        <v>0</v>
      </c>
      <c r="C39" s="46" t="s">
        <v>89</v>
      </c>
      <c r="D39" s="46">
        <v>100</v>
      </c>
      <c r="E39" s="46" t="s">
        <v>250</v>
      </c>
      <c r="F39" s="46" t="s">
        <v>90</v>
      </c>
      <c r="G39" s="46" t="s">
        <v>250</v>
      </c>
      <c r="H39" s="46" t="s">
        <v>90</v>
      </c>
      <c r="I39" s="46" t="s">
        <v>90</v>
      </c>
      <c r="J39" s="47">
        <f t="shared" si="1"/>
        <v>100</v>
      </c>
    </row>
    <row r="40" spans="1:10" ht="21" customHeight="1" x14ac:dyDescent="0.15">
      <c r="A40" s="46">
        <v>58001038</v>
      </c>
      <c r="B40" s="46">
        <v>0</v>
      </c>
      <c r="C40" s="46" t="s">
        <v>89</v>
      </c>
      <c r="D40" s="46">
        <v>100</v>
      </c>
      <c r="E40" s="46" t="s">
        <v>250</v>
      </c>
      <c r="F40" s="46" t="s">
        <v>90</v>
      </c>
      <c r="G40" s="46" t="s">
        <v>250</v>
      </c>
      <c r="H40" s="46" t="s">
        <v>90</v>
      </c>
      <c r="I40" s="46" t="s">
        <v>90</v>
      </c>
      <c r="J40" s="47">
        <f t="shared" si="1"/>
        <v>100</v>
      </c>
    </row>
    <row r="41" spans="1:10" ht="21" customHeight="1" x14ac:dyDescent="0.15">
      <c r="A41" s="46">
        <v>58001039</v>
      </c>
      <c r="B41" s="46">
        <v>0</v>
      </c>
      <c r="C41" s="46" t="s">
        <v>89</v>
      </c>
      <c r="D41" s="46">
        <v>100</v>
      </c>
      <c r="E41" s="46" t="s">
        <v>250</v>
      </c>
      <c r="F41" s="46" t="s">
        <v>90</v>
      </c>
      <c r="G41" s="46" t="s">
        <v>250</v>
      </c>
      <c r="H41" s="46" t="s">
        <v>90</v>
      </c>
      <c r="I41" s="46" t="s">
        <v>90</v>
      </c>
      <c r="J41" s="47">
        <f t="shared" si="1"/>
        <v>100</v>
      </c>
    </row>
    <row r="42" spans="1:10" ht="21" customHeight="1" x14ac:dyDescent="0.15">
      <c r="A42" s="46">
        <v>58001040</v>
      </c>
      <c r="B42" s="46">
        <v>1</v>
      </c>
      <c r="C42" s="46" t="s">
        <v>89</v>
      </c>
      <c r="D42" s="46">
        <v>100</v>
      </c>
      <c r="E42" s="46" t="s">
        <v>250</v>
      </c>
      <c r="F42" s="46" t="s">
        <v>90</v>
      </c>
      <c r="G42" s="46">
        <v>1</v>
      </c>
      <c r="H42" s="46" t="s">
        <v>90</v>
      </c>
      <c r="I42" s="46" t="s">
        <v>90</v>
      </c>
      <c r="J42" s="47">
        <f t="shared" si="1"/>
        <v>100</v>
      </c>
    </row>
    <row r="43" spans="1:10" ht="21" customHeight="1" x14ac:dyDescent="0.15">
      <c r="A43" s="46">
        <v>58001041</v>
      </c>
      <c r="B43" s="46">
        <v>0</v>
      </c>
      <c r="C43" s="46">
        <v>100</v>
      </c>
      <c r="D43" s="46">
        <v>50</v>
      </c>
      <c r="E43" s="46" t="s">
        <v>250</v>
      </c>
      <c r="F43" s="46" t="s">
        <v>90</v>
      </c>
      <c r="G43" s="46" t="s">
        <v>250</v>
      </c>
      <c r="H43" s="46">
        <v>2</v>
      </c>
      <c r="I43" s="46" t="s">
        <v>90</v>
      </c>
      <c r="J43" s="47">
        <f t="shared" si="1"/>
        <v>50</v>
      </c>
    </row>
    <row r="44" spans="1:10" ht="21" customHeight="1" x14ac:dyDescent="0.15">
      <c r="A44" s="46">
        <v>58001042</v>
      </c>
      <c r="B44" s="46">
        <v>0</v>
      </c>
      <c r="C44" s="46">
        <v>90</v>
      </c>
      <c r="D44" s="46">
        <v>60</v>
      </c>
      <c r="E44" s="46" t="s">
        <v>250</v>
      </c>
      <c r="F44" s="46" t="s">
        <v>90</v>
      </c>
      <c r="G44" s="46" t="s">
        <v>250</v>
      </c>
      <c r="H44" s="46">
        <v>3</v>
      </c>
      <c r="I44" s="46" t="s">
        <v>90</v>
      </c>
      <c r="J44" s="47">
        <f t="shared" si="1"/>
        <v>60</v>
      </c>
    </row>
    <row r="45" spans="1:10" ht="21" customHeight="1" x14ac:dyDescent="0.15">
      <c r="A45" s="46">
        <v>58001043</v>
      </c>
      <c r="B45" s="46">
        <v>0</v>
      </c>
      <c r="C45" s="46">
        <v>80</v>
      </c>
      <c r="D45" s="46">
        <v>80</v>
      </c>
      <c r="E45" s="46" t="s">
        <v>250</v>
      </c>
      <c r="F45" s="46" t="s">
        <v>90</v>
      </c>
      <c r="G45" s="46" t="s">
        <v>250</v>
      </c>
      <c r="H45" s="46">
        <v>1</v>
      </c>
      <c r="I45" s="46" t="s">
        <v>90</v>
      </c>
      <c r="J45" s="47">
        <f t="shared" si="1"/>
        <v>80</v>
      </c>
    </row>
    <row r="46" spans="1:10" ht="21" customHeight="1" x14ac:dyDescent="0.15">
      <c r="A46" s="46">
        <v>58001044</v>
      </c>
      <c r="B46" s="46">
        <v>0</v>
      </c>
      <c r="C46" s="46" t="s">
        <v>89</v>
      </c>
      <c r="D46" s="46">
        <v>100</v>
      </c>
      <c r="E46" s="46" t="s">
        <v>250</v>
      </c>
      <c r="F46" s="46" t="s">
        <v>90</v>
      </c>
      <c r="G46" s="46" t="s">
        <v>250</v>
      </c>
      <c r="H46" s="46" t="s">
        <v>90</v>
      </c>
      <c r="I46" s="46" t="s">
        <v>90</v>
      </c>
      <c r="J46" s="47">
        <f t="shared" si="1"/>
        <v>100</v>
      </c>
    </row>
    <row r="47" spans="1:10" ht="21" customHeight="1" x14ac:dyDescent="0.15">
      <c r="A47" s="46">
        <v>58001045</v>
      </c>
      <c r="B47" s="46">
        <v>0</v>
      </c>
      <c r="C47" s="46" t="s">
        <v>89</v>
      </c>
      <c r="D47" s="46">
        <v>100</v>
      </c>
      <c r="E47" s="46" t="s">
        <v>250</v>
      </c>
      <c r="F47" s="46" t="s">
        <v>90</v>
      </c>
      <c r="G47" s="46" t="s">
        <v>250</v>
      </c>
      <c r="H47" s="46" t="s">
        <v>90</v>
      </c>
      <c r="I47" s="46" t="s">
        <v>90</v>
      </c>
      <c r="J47" s="47">
        <f t="shared" si="1"/>
        <v>100</v>
      </c>
    </row>
    <row r="48" spans="1:10" ht="21" customHeight="1" x14ac:dyDescent="0.15">
      <c r="A48" s="46">
        <v>58001046</v>
      </c>
      <c r="B48" s="46">
        <v>0</v>
      </c>
      <c r="C48" s="46" t="s">
        <v>89</v>
      </c>
      <c r="D48" s="46">
        <v>100</v>
      </c>
      <c r="E48" s="46" t="s">
        <v>250</v>
      </c>
      <c r="F48" s="46" t="s">
        <v>90</v>
      </c>
      <c r="G48" s="46" t="s">
        <v>250</v>
      </c>
      <c r="H48" s="46" t="s">
        <v>90</v>
      </c>
      <c r="I48" s="46" t="s">
        <v>90</v>
      </c>
      <c r="J48" s="47">
        <f t="shared" si="1"/>
        <v>100</v>
      </c>
    </row>
    <row r="49" spans="1:10" ht="21" customHeight="1" x14ac:dyDescent="0.15">
      <c r="A49" s="46">
        <v>58001047</v>
      </c>
      <c r="B49" s="46">
        <v>0</v>
      </c>
      <c r="C49" s="46" t="s">
        <v>89</v>
      </c>
      <c r="D49" s="46">
        <v>100</v>
      </c>
      <c r="E49" s="46" t="s">
        <v>250</v>
      </c>
      <c r="F49" s="46" t="s">
        <v>90</v>
      </c>
      <c r="G49" s="46" t="s">
        <v>250</v>
      </c>
      <c r="H49" s="46" t="s">
        <v>90</v>
      </c>
      <c r="I49" s="46" t="s">
        <v>90</v>
      </c>
      <c r="J49" s="47">
        <f t="shared" si="1"/>
        <v>100</v>
      </c>
    </row>
    <row r="50" spans="1:10" ht="21" customHeight="1" x14ac:dyDescent="0.15">
      <c r="A50" s="46">
        <v>58001048</v>
      </c>
      <c r="B50" s="46">
        <v>0</v>
      </c>
      <c r="C50" s="46" t="s">
        <v>89</v>
      </c>
      <c r="D50" s="46">
        <v>100</v>
      </c>
      <c r="E50" s="46" t="s">
        <v>250</v>
      </c>
      <c r="F50" s="46" t="s">
        <v>90</v>
      </c>
      <c r="G50" s="46" t="s">
        <v>250</v>
      </c>
      <c r="H50" s="46" t="s">
        <v>90</v>
      </c>
      <c r="I50" s="46" t="s">
        <v>90</v>
      </c>
      <c r="J50" s="47">
        <f t="shared" si="1"/>
        <v>100</v>
      </c>
    </row>
    <row r="51" spans="1:10" ht="21" customHeight="1" x14ac:dyDescent="0.15">
      <c r="A51" s="46">
        <v>58001049</v>
      </c>
      <c r="B51" s="46">
        <v>0</v>
      </c>
      <c r="C51" s="46" t="s">
        <v>89</v>
      </c>
      <c r="D51" s="46">
        <v>100</v>
      </c>
      <c r="E51" s="46" t="s">
        <v>250</v>
      </c>
      <c r="F51" s="46" t="s">
        <v>90</v>
      </c>
      <c r="G51" s="46" t="s">
        <v>250</v>
      </c>
      <c r="H51" s="46" t="s">
        <v>90</v>
      </c>
      <c r="I51" s="46" t="s">
        <v>90</v>
      </c>
      <c r="J51" s="47">
        <f t="shared" si="1"/>
        <v>100</v>
      </c>
    </row>
    <row r="52" spans="1:10" ht="21" customHeight="1" x14ac:dyDescent="0.15">
      <c r="A52" s="46">
        <v>58001050</v>
      </c>
      <c r="B52" s="46">
        <v>1</v>
      </c>
      <c r="C52" s="46" t="s">
        <v>89</v>
      </c>
      <c r="D52" s="46">
        <v>100</v>
      </c>
      <c r="E52" s="46" t="s">
        <v>250</v>
      </c>
      <c r="F52" s="46" t="s">
        <v>90</v>
      </c>
      <c r="G52" s="46">
        <v>1</v>
      </c>
      <c r="H52" s="46" t="s">
        <v>90</v>
      </c>
      <c r="I52" s="46" t="s">
        <v>90</v>
      </c>
      <c r="J52" s="47">
        <f t="shared" si="1"/>
        <v>100</v>
      </c>
    </row>
    <row r="53" spans="1:10" ht="21" customHeight="1" x14ac:dyDescent="0.15">
      <c r="A53" s="46">
        <v>58001051</v>
      </c>
      <c r="B53" s="46">
        <v>0</v>
      </c>
      <c r="C53" s="46">
        <v>70</v>
      </c>
      <c r="D53" s="46">
        <v>25</v>
      </c>
      <c r="E53" s="46" t="s">
        <v>250</v>
      </c>
      <c r="F53" s="46">
        <v>61</v>
      </c>
      <c r="G53" s="46" t="s">
        <v>250</v>
      </c>
      <c r="H53" s="46" t="s">
        <v>90</v>
      </c>
      <c r="I53" s="46" t="s">
        <v>90</v>
      </c>
      <c r="J53" s="47">
        <f t="shared" si="1"/>
        <v>25</v>
      </c>
    </row>
    <row r="54" spans="1:10" ht="21" customHeight="1" x14ac:dyDescent="0.15">
      <c r="A54" s="46">
        <v>58001052</v>
      </c>
      <c r="B54" s="46">
        <v>0</v>
      </c>
      <c r="C54" s="46">
        <v>60</v>
      </c>
      <c r="D54" s="46">
        <v>60</v>
      </c>
      <c r="E54" s="46" t="s">
        <v>250</v>
      </c>
      <c r="F54" s="46">
        <v>61</v>
      </c>
      <c r="G54" s="46" t="s">
        <v>250</v>
      </c>
      <c r="H54" s="46" t="s">
        <v>90</v>
      </c>
      <c r="I54" s="46" t="s">
        <v>90</v>
      </c>
      <c r="J54" s="47">
        <f t="shared" si="1"/>
        <v>60</v>
      </c>
    </row>
    <row r="55" spans="1:10" ht="21" customHeight="1" x14ac:dyDescent="0.15">
      <c r="A55" s="46">
        <v>58001053</v>
      </c>
      <c r="B55" s="46">
        <v>0</v>
      </c>
      <c r="C55" s="46">
        <v>50</v>
      </c>
      <c r="D55" s="46">
        <v>75</v>
      </c>
      <c r="E55" s="46" t="s">
        <v>250</v>
      </c>
      <c r="F55" s="46">
        <v>61</v>
      </c>
      <c r="G55" s="46" t="s">
        <v>250</v>
      </c>
      <c r="H55" s="46" t="s">
        <v>90</v>
      </c>
      <c r="I55" s="46" t="s">
        <v>90</v>
      </c>
      <c r="J55" s="47">
        <f t="shared" si="1"/>
        <v>75</v>
      </c>
    </row>
    <row r="56" spans="1:10" ht="21" customHeight="1" x14ac:dyDescent="0.15">
      <c r="A56" s="46">
        <v>58001054</v>
      </c>
      <c r="B56" s="46">
        <v>0</v>
      </c>
      <c r="C56" s="46">
        <v>80</v>
      </c>
      <c r="D56" s="46">
        <v>100</v>
      </c>
      <c r="E56" s="46" t="s">
        <v>250</v>
      </c>
      <c r="F56" s="46">
        <v>61</v>
      </c>
      <c r="G56" s="46" t="s">
        <v>250</v>
      </c>
      <c r="H56" s="46">
        <v>3</v>
      </c>
      <c r="I56" s="46" t="s">
        <v>90</v>
      </c>
      <c r="J56" s="47">
        <f t="shared" si="1"/>
        <v>100</v>
      </c>
    </row>
    <row r="57" spans="1:10" ht="21" customHeight="1" x14ac:dyDescent="0.15">
      <c r="A57" s="46">
        <v>58001055</v>
      </c>
      <c r="B57" s="46">
        <v>0</v>
      </c>
      <c r="C57" s="46">
        <v>200</v>
      </c>
      <c r="D57" s="46">
        <v>100</v>
      </c>
      <c r="E57" s="46">
        <v>60</v>
      </c>
      <c r="F57" s="46" t="s">
        <v>90</v>
      </c>
      <c r="G57" s="46">
        <v>1</v>
      </c>
      <c r="H57" s="46" t="s">
        <v>90</v>
      </c>
      <c r="I57" s="46" t="s">
        <v>90</v>
      </c>
      <c r="J57" s="47">
        <f t="shared" si="1"/>
        <v>100</v>
      </c>
    </row>
    <row r="58" spans="1:10" ht="21" customHeight="1" x14ac:dyDescent="0.15">
      <c r="A58" s="46">
        <v>58001056</v>
      </c>
      <c r="B58" s="46">
        <v>0</v>
      </c>
      <c r="C58" s="46">
        <v>170</v>
      </c>
      <c r="D58" s="46">
        <v>25</v>
      </c>
      <c r="E58" s="46">
        <v>60</v>
      </c>
      <c r="F58" s="46" t="s">
        <v>90</v>
      </c>
      <c r="G58" s="46" t="s">
        <v>250</v>
      </c>
      <c r="H58" s="46" t="s">
        <v>90</v>
      </c>
      <c r="I58" s="46" t="s">
        <v>90</v>
      </c>
      <c r="J58" s="47">
        <f t="shared" si="1"/>
        <v>25</v>
      </c>
    </row>
    <row r="59" spans="1:10" ht="21" customHeight="1" x14ac:dyDescent="0.15">
      <c r="A59" s="46">
        <v>58001057</v>
      </c>
      <c r="B59" s="46">
        <v>0</v>
      </c>
      <c r="C59" s="46">
        <v>160</v>
      </c>
      <c r="D59" s="46">
        <v>60</v>
      </c>
      <c r="E59" s="46">
        <v>60</v>
      </c>
      <c r="F59" s="46" t="s">
        <v>90</v>
      </c>
      <c r="G59" s="46" t="s">
        <v>250</v>
      </c>
      <c r="H59" s="46" t="s">
        <v>90</v>
      </c>
      <c r="I59" s="46" t="s">
        <v>90</v>
      </c>
      <c r="J59" s="47">
        <f t="shared" si="1"/>
        <v>60</v>
      </c>
    </row>
    <row r="60" spans="1:10" ht="21" customHeight="1" x14ac:dyDescent="0.15">
      <c r="A60" s="46">
        <v>58001058</v>
      </c>
      <c r="B60" s="46">
        <v>0</v>
      </c>
      <c r="C60" s="46">
        <v>150</v>
      </c>
      <c r="D60" s="46">
        <v>100</v>
      </c>
      <c r="E60" s="46">
        <v>60</v>
      </c>
      <c r="F60" s="46" t="s">
        <v>90</v>
      </c>
      <c r="G60" s="46" t="s">
        <v>250</v>
      </c>
      <c r="H60" s="46" t="s">
        <v>90</v>
      </c>
      <c r="I60" s="46" t="s">
        <v>90</v>
      </c>
      <c r="J60" s="47">
        <f t="shared" si="1"/>
        <v>100</v>
      </c>
    </row>
    <row r="61" spans="1:10" ht="21" customHeight="1" x14ac:dyDescent="0.15">
      <c r="A61" s="46">
        <v>58001059</v>
      </c>
      <c r="B61" s="46">
        <v>0</v>
      </c>
      <c r="C61" s="46" t="s">
        <v>53</v>
      </c>
      <c r="D61" s="46">
        <v>100</v>
      </c>
      <c r="E61" s="46" t="s">
        <v>250</v>
      </c>
      <c r="F61" s="46" t="s">
        <v>90</v>
      </c>
      <c r="G61" s="46" t="s">
        <v>250</v>
      </c>
      <c r="H61" s="46" t="s">
        <v>90</v>
      </c>
      <c r="I61" s="46" t="s">
        <v>90</v>
      </c>
      <c r="J61" s="47">
        <f t="shared" si="1"/>
        <v>100</v>
      </c>
    </row>
    <row r="62" spans="1:10" ht="21" customHeight="1" x14ac:dyDescent="0.15">
      <c r="A62" s="46">
        <v>58001060</v>
      </c>
      <c r="B62" s="46">
        <v>1</v>
      </c>
      <c r="C62" s="46">
        <v>180</v>
      </c>
      <c r="D62" s="46">
        <v>100</v>
      </c>
      <c r="E62" s="46" t="s">
        <v>250</v>
      </c>
      <c r="F62" s="46" t="s">
        <v>90</v>
      </c>
      <c r="G62" s="46">
        <v>1</v>
      </c>
      <c r="H62" s="46" t="s">
        <v>90</v>
      </c>
      <c r="I62" s="46" t="s">
        <v>90</v>
      </c>
      <c r="J62" s="47">
        <f t="shared" si="1"/>
        <v>100</v>
      </c>
    </row>
    <row r="63" spans="1:10" ht="21" customHeight="1" x14ac:dyDescent="0.15">
      <c r="A63" s="46">
        <v>58001061</v>
      </c>
      <c r="B63" s="46">
        <v>0</v>
      </c>
      <c r="C63" s="46" t="s">
        <v>89</v>
      </c>
      <c r="D63" s="46">
        <v>100</v>
      </c>
      <c r="E63" s="46" t="s">
        <v>250</v>
      </c>
      <c r="F63" s="46" t="s">
        <v>90</v>
      </c>
      <c r="G63" s="46">
        <v>1</v>
      </c>
      <c r="H63" s="46">
        <v>1</v>
      </c>
      <c r="I63" s="46" t="s">
        <v>90</v>
      </c>
      <c r="J63" s="47">
        <f t="shared" si="1"/>
        <v>100</v>
      </c>
    </row>
    <row r="64" spans="1:10" ht="21" customHeight="1" x14ac:dyDescent="0.15">
      <c r="A64" s="46">
        <v>58001062</v>
      </c>
      <c r="B64" s="46">
        <v>0</v>
      </c>
      <c r="C64" s="46" t="s">
        <v>89</v>
      </c>
      <c r="D64" s="46">
        <v>100</v>
      </c>
      <c r="E64" s="46" t="s">
        <v>250</v>
      </c>
      <c r="F64" s="46" t="s">
        <v>90</v>
      </c>
      <c r="G64" s="46">
        <v>1</v>
      </c>
      <c r="H64" s="46">
        <v>2</v>
      </c>
      <c r="I64" s="46" t="s">
        <v>90</v>
      </c>
      <c r="J64" s="47">
        <f t="shared" si="1"/>
        <v>100</v>
      </c>
    </row>
    <row r="65" spans="1:10" ht="21" customHeight="1" x14ac:dyDescent="0.15">
      <c r="A65" s="46">
        <v>58001063</v>
      </c>
      <c r="B65" s="46">
        <v>0</v>
      </c>
      <c r="C65" s="46" t="s">
        <v>89</v>
      </c>
      <c r="D65" s="46">
        <v>100</v>
      </c>
      <c r="E65" s="46" t="s">
        <v>250</v>
      </c>
      <c r="F65" s="46" t="s">
        <v>90</v>
      </c>
      <c r="G65" s="46">
        <v>1</v>
      </c>
      <c r="H65" s="46">
        <v>3</v>
      </c>
      <c r="I65" s="46" t="s">
        <v>90</v>
      </c>
      <c r="J65" s="47">
        <f t="shared" si="1"/>
        <v>100</v>
      </c>
    </row>
    <row r="66" spans="1:10" ht="21" customHeight="1" x14ac:dyDescent="0.15">
      <c r="A66" s="46">
        <v>58001064</v>
      </c>
      <c r="B66" s="46">
        <v>0</v>
      </c>
      <c r="C66" s="46" t="s">
        <v>89</v>
      </c>
      <c r="D66" s="46">
        <v>100</v>
      </c>
      <c r="E66" s="46" t="s">
        <v>250</v>
      </c>
      <c r="F66" s="46" t="s">
        <v>90</v>
      </c>
      <c r="G66" s="46">
        <v>1</v>
      </c>
      <c r="H66" s="46">
        <v>4</v>
      </c>
      <c r="I66" s="46" t="s">
        <v>90</v>
      </c>
      <c r="J66" s="47">
        <f t="shared" si="1"/>
        <v>100</v>
      </c>
    </row>
    <row r="67" spans="1:10" ht="21" customHeight="1" x14ac:dyDescent="0.15">
      <c r="A67" s="46">
        <v>58001065</v>
      </c>
      <c r="B67" s="46">
        <v>0</v>
      </c>
      <c r="C67" s="46" t="s">
        <v>89</v>
      </c>
      <c r="D67" s="46">
        <v>100</v>
      </c>
      <c r="E67" s="46" t="s">
        <v>250</v>
      </c>
      <c r="F67" s="46" t="s">
        <v>90</v>
      </c>
      <c r="G67" s="46">
        <v>1</v>
      </c>
      <c r="H67" s="46">
        <v>5</v>
      </c>
      <c r="I67" s="46" t="s">
        <v>90</v>
      </c>
      <c r="J67" s="47">
        <f t="shared" ref="J67:J90" si="2">D67</f>
        <v>100</v>
      </c>
    </row>
    <row r="68" spans="1:10" ht="21" customHeight="1" x14ac:dyDescent="0.15">
      <c r="A68" s="46">
        <v>58001066</v>
      </c>
      <c r="B68" s="46">
        <v>0</v>
      </c>
      <c r="C68" s="46" t="s">
        <v>89</v>
      </c>
      <c r="D68" s="46">
        <v>100</v>
      </c>
      <c r="E68" s="46" t="s">
        <v>250</v>
      </c>
      <c r="F68" s="46" t="s">
        <v>90</v>
      </c>
      <c r="G68" s="46">
        <v>1</v>
      </c>
      <c r="H68" s="46">
        <v>6</v>
      </c>
      <c r="I68" s="46" t="s">
        <v>90</v>
      </c>
      <c r="J68" s="47">
        <f t="shared" si="2"/>
        <v>100</v>
      </c>
    </row>
    <row r="69" spans="1:10" ht="21" customHeight="1" x14ac:dyDescent="0.15">
      <c r="A69" s="46">
        <v>58001067</v>
      </c>
      <c r="B69" s="46">
        <v>0</v>
      </c>
      <c r="C69" s="46" t="s">
        <v>89</v>
      </c>
      <c r="D69" s="46">
        <v>100</v>
      </c>
      <c r="E69" s="46" t="s">
        <v>250</v>
      </c>
      <c r="F69" s="46" t="s">
        <v>90</v>
      </c>
      <c r="G69" s="46" t="s">
        <v>250</v>
      </c>
      <c r="H69" s="46" t="s">
        <v>90</v>
      </c>
      <c r="I69" s="46" t="s">
        <v>90</v>
      </c>
      <c r="J69" s="47">
        <f t="shared" si="2"/>
        <v>100</v>
      </c>
    </row>
    <row r="70" spans="1:10" ht="21" customHeight="1" x14ac:dyDescent="0.15">
      <c r="A70" s="46">
        <v>58001068</v>
      </c>
      <c r="B70" s="46">
        <v>1</v>
      </c>
      <c r="C70" s="46">
        <v>200</v>
      </c>
      <c r="D70" s="46">
        <v>100</v>
      </c>
      <c r="E70" s="46" t="s">
        <v>250</v>
      </c>
      <c r="F70" s="46" t="s">
        <v>90</v>
      </c>
      <c r="G70" s="46">
        <v>1</v>
      </c>
      <c r="H70" s="46" t="s">
        <v>90</v>
      </c>
      <c r="I70" s="46">
        <v>8081</v>
      </c>
      <c r="J70" s="47">
        <f t="shared" si="2"/>
        <v>100</v>
      </c>
    </row>
    <row r="71" spans="1:10" ht="21" customHeight="1" x14ac:dyDescent="0.15">
      <c r="A71" s="46">
        <v>58001069</v>
      </c>
      <c r="B71" s="46">
        <v>1</v>
      </c>
      <c r="C71" s="46">
        <v>190</v>
      </c>
      <c r="D71" s="46">
        <v>100</v>
      </c>
      <c r="E71" s="46" t="s">
        <v>250</v>
      </c>
      <c r="F71" s="46" t="s">
        <v>90</v>
      </c>
      <c r="G71" s="46">
        <v>1</v>
      </c>
      <c r="H71" s="46" t="s">
        <v>90</v>
      </c>
      <c r="I71" s="46">
        <v>1135</v>
      </c>
      <c r="J71" s="47">
        <f t="shared" si="2"/>
        <v>100</v>
      </c>
    </row>
    <row r="72" spans="1:10" ht="21" customHeight="1" x14ac:dyDescent="0.15">
      <c r="A72" s="46">
        <v>58001070</v>
      </c>
      <c r="B72" s="46">
        <v>1</v>
      </c>
      <c r="C72" s="46" t="s">
        <v>89</v>
      </c>
      <c r="D72" s="46">
        <v>100</v>
      </c>
      <c r="E72" s="46" t="s">
        <v>250</v>
      </c>
      <c r="F72" s="46" t="s">
        <v>90</v>
      </c>
      <c r="G72" s="46">
        <v>1</v>
      </c>
      <c r="H72" s="46" t="s">
        <v>90</v>
      </c>
      <c r="I72" s="46" t="s">
        <v>90</v>
      </c>
      <c r="J72" s="47">
        <f t="shared" si="2"/>
        <v>100</v>
      </c>
    </row>
    <row r="73" spans="1:10" ht="21" customHeight="1" x14ac:dyDescent="0.15">
      <c r="A73" s="46">
        <v>58001071</v>
      </c>
      <c r="B73" s="46">
        <v>0</v>
      </c>
      <c r="C73" s="46">
        <v>80</v>
      </c>
      <c r="D73" s="46">
        <v>30</v>
      </c>
      <c r="E73" s="46" t="s">
        <v>250</v>
      </c>
      <c r="F73" s="46" t="s">
        <v>90</v>
      </c>
      <c r="G73" s="46" t="s">
        <v>250</v>
      </c>
      <c r="H73" s="46" t="s">
        <v>90</v>
      </c>
      <c r="I73" s="46" t="s">
        <v>90</v>
      </c>
      <c r="J73" s="47">
        <f t="shared" si="2"/>
        <v>30</v>
      </c>
    </row>
    <row r="74" spans="1:10" ht="21" customHeight="1" x14ac:dyDescent="0.15">
      <c r="A74" s="46">
        <v>58001072</v>
      </c>
      <c r="B74" s="46">
        <v>0</v>
      </c>
      <c r="C74" s="46">
        <v>70</v>
      </c>
      <c r="D74" s="46">
        <v>80</v>
      </c>
      <c r="E74" s="46" t="s">
        <v>250</v>
      </c>
      <c r="F74" s="46" t="s">
        <v>90</v>
      </c>
      <c r="G74" s="46" t="s">
        <v>250</v>
      </c>
      <c r="H74" s="46" t="s">
        <v>90</v>
      </c>
      <c r="I74" s="46" t="s">
        <v>90</v>
      </c>
      <c r="J74" s="47">
        <f t="shared" si="2"/>
        <v>80</v>
      </c>
    </row>
    <row r="75" spans="1:10" ht="21" customHeight="1" x14ac:dyDescent="0.15">
      <c r="A75" s="46">
        <v>58001073</v>
      </c>
      <c r="B75" s="46">
        <v>0</v>
      </c>
      <c r="C75" s="46">
        <v>100</v>
      </c>
      <c r="D75" s="46">
        <v>100</v>
      </c>
      <c r="E75" s="46" t="s">
        <v>250</v>
      </c>
      <c r="F75" s="46" t="s">
        <v>90</v>
      </c>
      <c r="G75" s="46" t="s">
        <v>250</v>
      </c>
      <c r="H75" s="46">
        <v>3</v>
      </c>
      <c r="I75" s="46" t="s">
        <v>90</v>
      </c>
      <c r="J75" s="47">
        <f t="shared" si="2"/>
        <v>100</v>
      </c>
    </row>
    <row r="76" spans="1:10" ht="21" customHeight="1" x14ac:dyDescent="0.15">
      <c r="A76" s="46">
        <v>58001074</v>
      </c>
      <c r="B76" s="46">
        <v>0</v>
      </c>
      <c r="C76" s="46">
        <v>90</v>
      </c>
      <c r="D76" s="46">
        <v>100</v>
      </c>
      <c r="E76" s="46" t="s">
        <v>250</v>
      </c>
      <c r="F76" s="46" t="s">
        <v>90</v>
      </c>
      <c r="G76" s="46" t="s">
        <v>250</v>
      </c>
      <c r="H76" s="46">
        <v>4</v>
      </c>
      <c r="I76" s="46" t="s">
        <v>90</v>
      </c>
      <c r="J76" s="47">
        <f t="shared" si="2"/>
        <v>100</v>
      </c>
    </row>
    <row r="77" spans="1:10" ht="21" customHeight="1" x14ac:dyDescent="0.15">
      <c r="A77" s="46">
        <v>58001075</v>
      </c>
      <c r="B77" s="46">
        <v>0</v>
      </c>
      <c r="C77" s="46" t="s">
        <v>89</v>
      </c>
      <c r="D77" s="46">
        <v>100</v>
      </c>
      <c r="E77" s="46" t="s">
        <v>250</v>
      </c>
      <c r="F77" s="46" t="s">
        <v>90</v>
      </c>
      <c r="G77" s="46" t="s">
        <v>250</v>
      </c>
      <c r="H77" s="46" t="s">
        <v>90</v>
      </c>
      <c r="I77" s="46" t="s">
        <v>90</v>
      </c>
      <c r="J77" s="47">
        <f t="shared" si="2"/>
        <v>100</v>
      </c>
    </row>
    <row r="78" spans="1:10" ht="21" customHeight="1" x14ac:dyDescent="0.15">
      <c r="A78" s="46">
        <v>58001076</v>
      </c>
      <c r="B78" s="46">
        <v>0</v>
      </c>
      <c r="C78" s="46" t="s">
        <v>89</v>
      </c>
      <c r="D78" s="46">
        <v>100</v>
      </c>
      <c r="E78" s="46" t="s">
        <v>250</v>
      </c>
      <c r="F78" s="46" t="s">
        <v>90</v>
      </c>
      <c r="G78" s="46" t="s">
        <v>250</v>
      </c>
      <c r="H78" s="46" t="s">
        <v>90</v>
      </c>
      <c r="I78" s="46" t="s">
        <v>90</v>
      </c>
      <c r="J78" s="47">
        <f t="shared" si="2"/>
        <v>100</v>
      </c>
    </row>
    <row r="79" spans="1:10" ht="21" customHeight="1" x14ac:dyDescent="0.15">
      <c r="A79" s="46">
        <v>58001077</v>
      </c>
      <c r="B79" s="46">
        <v>0</v>
      </c>
      <c r="C79" s="46" t="s">
        <v>89</v>
      </c>
      <c r="D79" s="46">
        <v>100</v>
      </c>
      <c r="E79" s="46" t="s">
        <v>250</v>
      </c>
      <c r="F79" s="46" t="s">
        <v>90</v>
      </c>
      <c r="G79" s="46" t="s">
        <v>250</v>
      </c>
      <c r="H79" s="46" t="s">
        <v>90</v>
      </c>
      <c r="I79" s="46" t="s">
        <v>90</v>
      </c>
      <c r="J79" s="47">
        <f t="shared" si="2"/>
        <v>100</v>
      </c>
    </row>
    <row r="80" spans="1:10" ht="21" customHeight="1" x14ac:dyDescent="0.15">
      <c r="A80" s="46">
        <v>58001078</v>
      </c>
      <c r="B80" s="46">
        <v>0</v>
      </c>
      <c r="C80" s="46" t="s">
        <v>89</v>
      </c>
      <c r="D80" s="46">
        <v>100</v>
      </c>
      <c r="E80" s="46" t="s">
        <v>250</v>
      </c>
      <c r="F80" s="46" t="s">
        <v>90</v>
      </c>
      <c r="G80" s="46" t="s">
        <v>250</v>
      </c>
      <c r="H80" s="46" t="s">
        <v>90</v>
      </c>
      <c r="I80" s="46" t="s">
        <v>90</v>
      </c>
      <c r="J80" s="47">
        <f t="shared" si="2"/>
        <v>100</v>
      </c>
    </row>
    <row r="81" spans="1:10" ht="21" customHeight="1" x14ac:dyDescent="0.15">
      <c r="A81" s="46">
        <v>58001079</v>
      </c>
      <c r="B81" s="46">
        <v>0</v>
      </c>
      <c r="C81" s="46" t="s">
        <v>89</v>
      </c>
      <c r="D81" s="46">
        <v>100</v>
      </c>
      <c r="E81" s="46" t="s">
        <v>250</v>
      </c>
      <c r="F81" s="46" t="s">
        <v>90</v>
      </c>
      <c r="G81" s="46" t="s">
        <v>250</v>
      </c>
      <c r="H81" s="46" t="s">
        <v>90</v>
      </c>
      <c r="I81" s="46" t="s">
        <v>90</v>
      </c>
      <c r="J81" s="47">
        <f t="shared" si="2"/>
        <v>100</v>
      </c>
    </row>
    <row r="82" spans="1:10" ht="21" customHeight="1" x14ac:dyDescent="0.15">
      <c r="A82" s="46">
        <v>58001080</v>
      </c>
      <c r="B82" s="46">
        <v>1</v>
      </c>
      <c r="C82" s="46" t="s">
        <v>89</v>
      </c>
      <c r="D82" s="46">
        <v>100</v>
      </c>
      <c r="E82" s="46" t="s">
        <v>250</v>
      </c>
      <c r="F82" s="46" t="s">
        <v>90</v>
      </c>
      <c r="G82" s="46">
        <v>1</v>
      </c>
      <c r="H82" s="46" t="s">
        <v>90</v>
      </c>
      <c r="I82" s="46" t="s">
        <v>90</v>
      </c>
      <c r="J82" s="47">
        <f t="shared" si="2"/>
        <v>100</v>
      </c>
    </row>
    <row r="83" spans="1:10" ht="21" customHeight="1" x14ac:dyDescent="0.15">
      <c r="A83" s="46">
        <v>58001081</v>
      </c>
      <c r="B83" s="46">
        <v>0</v>
      </c>
      <c r="C83" s="46">
        <v>80</v>
      </c>
      <c r="D83" s="46">
        <v>50</v>
      </c>
      <c r="E83" s="46" t="s">
        <v>250</v>
      </c>
      <c r="F83" s="46">
        <v>71</v>
      </c>
      <c r="G83" s="46" t="s">
        <v>250</v>
      </c>
      <c r="H83" s="46" t="s">
        <v>90</v>
      </c>
      <c r="I83" s="46" t="s">
        <v>90</v>
      </c>
      <c r="J83" s="47">
        <f t="shared" si="2"/>
        <v>50</v>
      </c>
    </row>
    <row r="84" spans="1:10" ht="21" customHeight="1" x14ac:dyDescent="0.15">
      <c r="A84" s="46">
        <v>58001082</v>
      </c>
      <c r="B84" s="46">
        <v>0</v>
      </c>
      <c r="C84" s="46">
        <v>70</v>
      </c>
      <c r="D84" s="46">
        <v>80</v>
      </c>
      <c r="E84" s="46" t="s">
        <v>250</v>
      </c>
      <c r="F84" s="46">
        <v>71</v>
      </c>
      <c r="G84" s="46" t="s">
        <v>250</v>
      </c>
      <c r="H84" s="46" t="s">
        <v>90</v>
      </c>
      <c r="I84" s="46" t="s">
        <v>90</v>
      </c>
      <c r="J84" s="47">
        <f t="shared" si="2"/>
        <v>80</v>
      </c>
    </row>
    <row r="85" spans="1:10" ht="21" customHeight="1" x14ac:dyDescent="0.15">
      <c r="A85" s="46">
        <v>58001083</v>
      </c>
      <c r="B85" s="46">
        <v>0</v>
      </c>
      <c r="C85" s="46">
        <v>100</v>
      </c>
      <c r="D85" s="46">
        <v>100</v>
      </c>
      <c r="E85" s="46" t="s">
        <v>250</v>
      </c>
      <c r="F85" s="46">
        <v>71</v>
      </c>
      <c r="G85" s="46" t="s">
        <v>250</v>
      </c>
      <c r="H85" s="46">
        <v>3</v>
      </c>
      <c r="I85" s="46" t="s">
        <v>90</v>
      </c>
      <c r="J85" s="47">
        <f t="shared" si="2"/>
        <v>100</v>
      </c>
    </row>
    <row r="86" spans="1:10" ht="21" customHeight="1" x14ac:dyDescent="0.15">
      <c r="A86" s="46">
        <v>58001084</v>
      </c>
      <c r="B86" s="46">
        <v>0</v>
      </c>
      <c r="C86" s="46">
        <v>90</v>
      </c>
      <c r="D86" s="46">
        <v>100</v>
      </c>
      <c r="E86" s="46" t="s">
        <v>250</v>
      </c>
      <c r="F86" s="46">
        <v>71</v>
      </c>
      <c r="G86" s="46" t="s">
        <v>250</v>
      </c>
      <c r="H86" s="46">
        <v>4</v>
      </c>
      <c r="I86" s="46" t="s">
        <v>90</v>
      </c>
      <c r="J86" s="47">
        <f t="shared" si="2"/>
        <v>100</v>
      </c>
    </row>
    <row r="87" spans="1:10" ht="21" customHeight="1" x14ac:dyDescent="0.15">
      <c r="A87" s="46">
        <v>58001085</v>
      </c>
      <c r="B87" s="46">
        <v>0</v>
      </c>
      <c r="C87" s="46">
        <v>120</v>
      </c>
      <c r="D87" s="46">
        <v>100</v>
      </c>
      <c r="E87" s="46">
        <v>70</v>
      </c>
      <c r="F87" s="46" t="s">
        <v>90</v>
      </c>
      <c r="G87" s="46">
        <v>1</v>
      </c>
      <c r="H87" s="46" t="s">
        <v>90</v>
      </c>
      <c r="I87" s="46" t="s">
        <v>90</v>
      </c>
      <c r="J87" s="47">
        <f t="shared" si="2"/>
        <v>100</v>
      </c>
    </row>
    <row r="88" spans="1:10" ht="21" customHeight="1" x14ac:dyDescent="0.15">
      <c r="A88" s="46">
        <v>58001086</v>
      </c>
      <c r="B88" s="46">
        <v>0</v>
      </c>
      <c r="C88" s="46">
        <v>110</v>
      </c>
      <c r="D88" s="46">
        <v>100</v>
      </c>
      <c r="E88" s="46">
        <v>70</v>
      </c>
      <c r="F88" s="46" t="s">
        <v>90</v>
      </c>
      <c r="G88" s="46" t="s">
        <v>250</v>
      </c>
      <c r="H88" s="46" t="s">
        <v>90</v>
      </c>
      <c r="I88" s="46" t="s">
        <v>90</v>
      </c>
      <c r="J88" s="47">
        <f t="shared" si="2"/>
        <v>100</v>
      </c>
    </row>
    <row r="89" spans="1:10" ht="21" customHeight="1" x14ac:dyDescent="0.15">
      <c r="A89" s="46">
        <v>58001087</v>
      </c>
      <c r="B89" s="46">
        <v>0</v>
      </c>
      <c r="C89" s="46">
        <v>200</v>
      </c>
      <c r="D89" s="46">
        <v>100</v>
      </c>
      <c r="E89" s="46" t="s">
        <v>250</v>
      </c>
      <c r="F89" s="46" t="s">
        <v>90</v>
      </c>
      <c r="G89" s="46">
        <v>0</v>
      </c>
      <c r="H89" s="46">
        <v>1</v>
      </c>
      <c r="I89" s="46">
        <v>8081</v>
      </c>
      <c r="J89" s="47">
        <f t="shared" si="2"/>
        <v>100</v>
      </c>
    </row>
    <row r="90" spans="1:10" ht="21" customHeight="1" x14ac:dyDescent="0.15">
      <c r="A90" s="46">
        <v>58001088</v>
      </c>
      <c r="B90" s="46">
        <v>0</v>
      </c>
      <c r="C90" s="46">
        <v>190</v>
      </c>
      <c r="D90" s="46">
        <v>100</v>
      </c>
      <c r="E90" s="46" t="s">
        <v>250</v>
      </c>
      <c r="F90" s="46" t="s">
        <v>90</v>
      </c>
      <c r="G90" s="46">
        <v>0</v>
      </c>
      <c r="H90" s="46">
        <v>1</v>
      </c>
      <c r="I90" s="46">
        <v>1135</v>
      </c>
      <c r="J90" s="47">
        <f t="shared" si="2"/>
        <v>100</v>
      </c>
    </row>
    <row r="91" spans="1:10" ht="21" customHeight="1" x14ac:dyDescent="0.15">
      <c r="A91" s="46">
        <v>58001089</v>
      </c>
      <c r="B91" s="46">
        <v>0</v>
      </c>
      <c r="C91" s="46">
        <v>180</v>
      </c>
      <c r="D91" s="46">
        <v>100</v>
      </c>
      <c r="E91" s="46" t="s">
        <v>250</v>
      </c>
      <c r="F91" s="46" t="s">
        <v>90</v>
      </c>
      <c r="G91" s="46">
        <v>0</v>
      </c>
      <c r="H91" s="46">
        <v>1</v>
      </c>
      <c r="I91" s="46">
        <v>0</v>
      </c>
      <c r="J91" s="47">
        <f t="shared" ref="J91:J93" si="3">D91</f>
        <v>100</v>
      </c>
    </row>
    <row r="92" spans="1:10" ht="21" customHeight="1" x14ac:dyDescent="0.15">
      <c r="A92" s="46">
        <v>58001090</v>
      </c>
      <c r="B92" s="46">
        <v>0</v>
      </c>
      <c r="C92" s="46">
        <v>199</v>
      </c>
      <c r="D92" s="46">
        <v>100</v>
      </c>
      <c r="E92" s="46" t="s">
        <v>250</v>
      </c>
      <c r="F92" s="46" t="s">
        <v>53</v>
      </c>
      <c r="G92" s="46">
        <v>0</v>
      </c>
      <c r="H92" s="46">
        <v>1</v>
      </c>
      <c r="I92" s="46">
        <v>8082</v>
      </c>
      <c r="J92" s="47">
        <f t="shared" si="3"/>
        <v>100</v>
      </c>
    </row>
    <row r="93" spans="1:10" ht="21" customHeight="1" x14ac:dyDescent="0.15">
      <c r="A93" s="46">
        <v>58001091</v>
      </c>
      <c r="B93" s="46">
        <v>0</v>
      </c>
      <c r="C93" s="46">
        <v>189</v>
      </c>
      <c r="D93" s="46">
        <v>100</v>
      </c>
      <c r="E93" s="46" t="s">
        <v>250</v>
      </c>
      <c r="F93" s="46" t="s">
        <v>53</v>
      </c>
      <c r="G93" s="46">
        <v>0</v>
      </c>
      <c r="H93" s="46">
        <v>1</v>
      </c>
      <c r="I93" s="46">
        <v>1136</v>
      </c>
      <c r="J93" s="47">
        <f t="shared" si="3"/>
        <v>100</v>
      </c>
    </row>
  </sheetData>
  <autoFilter ref="A1:G1"/>
  <phoneticPr fontId="5"/>
  <conditionalFormatting sqref="K1:K2 K92:K1048576">
    <cfRule type="duplicateValues" dxfId="2" priority="3"/>
  </conditionalFormatting>
  <conditionalFormatting sqref="K3:K90">
    <cfRule type="duplicateValues" dxfId="1" priority="2"/>
  </conditionalFormatting>
  <conditionalFormatting sqref="K9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topLeftCell="B1" workbookViewId="0">
      <selection activeCell="G16" sqref="G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1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56">
        <v>58001</v>
      </c>
      <c r="B2" s="56">
        <v>1</v>
      </c>
      <c r="C2" s="70" t="str">
        <f>A2&amp; "_"&amp;B2</f>
        <v>58001_1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169</v>
      </c>
      <c r="G2" s="56">
        <v>65000</v>
      </c>
      <c r="H2" s="56" t="s">
        <v>432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50</v>
      </c>
      <c r="Q2" s="56" t="s">
        <v>170</v>
      </c>
      <c r="R2" s="56" t="s">
        <v>171</v>
      </c>
    </row>
    <row r="3" spans="1:18" x14ac:dyDescent="0.15">
      <c r="A3" s="56">
        <v>58001</v>
      </c>
      <c r="B3" s="56">
        <v>1</v>
      </c>
      <c r="C3" s="70" t="str">
        <f t="shared" ref="C3:C12" si="0">A3&amp; "_"&amp;B3</f>
        <v>58001_1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352</v>
      </c>
      <c r="G3" s="56">
        <v>347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250</v>
      </c>
      <c r="Q3" s="56" t="s">
        <v>170</v>
      </c>
      <c r="R3" s="56" t="s">
        <v>171</v>
      </c>
    </row>
    <row r="4" spans="1:18" x14ac:dyDescent="0.15">
      <c r="A4" s="56">
        <v>58001</v>
      </c>
      <c r="B4" s="56">
        <v>1</v>
      </c>
      <c r="C4" s="70" t="str">
        <f t="shared" si="0"/>
        <v>58001_1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352</v>
      </c>
      <c r="G4" s="56">
        <v>355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50</v>
      </c>
      <c r="Q4" s="56" t="s">
        <v>170</v>
      </c>
      <c r="R4" s="56" t="s">
        <v>171</v>
      </c>
    </row>
    <row r="5" spans="1:18" x14ac:dyDescent="0.15">
      <c r="A5" s="56">
        <v>58001</v>
      </c>
      <c r="B5" s="56">
        <v>1</v>
      </c>
      <c r="C5" s="70" t="str">
        <f t="shared" si="0"/>
        <v>58001_1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352</v>
      </c>
      <c r="G5" s="56">
        <v>125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30</v>
      </c>
      <c r="Q5" s="56" t="s">
        <v>170</v>
      </c>
      <c r="R5" s="56" t="s">
        <v>171</v>
      </c>
    </row>
    <row r="6" spans="1:18" x14ac:dyDescent="0.15">
      <c r="A6" s="56">
        <v>58001</v>
      </c>
      <c r="B6" s="56">
        <v>1</v>
      </c>
      <c r="C6" s="70" t="str">
        <f t="shared" si="0"/>
        <v>58001_1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352</v>
      </c>
      <c r="G6" s="56">
        <v>607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80</v>
      </c>
      <c r="Q6" s="56" t="s">
        <v>170</v>
      </c>
      <c r="R6" s="56" t="s">
        <v>171</v>
      </c>
    </row>
    <row r="7" spans="1:18" x14ac:dyDescent="0.15">
      <c r="A7" s="56">
        <v>58001</v>
      </c>
      <c r="B7" s="56">
        <v>1</v>
      </c>
      <c r="C7" s="70" t="str">
        <f t="shared" si="0"/>
        <v>58001_1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352</v>
      </c>
      <c r="G7" s="56">
        <v>608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80</v>
      </c>
      <c r="Q7" s="56" t="s">
        <v>170</v>
      </c>
      <c r="R7" s="56" t="s">
        <v>171</v>
      </c>
    </row>
    <row r="8" spans="1:18" x14ac:dyDescent="0.15">
      <c r="A8" s="56">
        <v>58001</v>
      </c>
      <c r="B8" s="56">
        <v>1</v>
      </c>
      <c r="C8" s="70" t="str">
        <f t="shared" si="0"/>
        <v>58001_1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352</v>
      </c>
      <c r="G8" s="56">
        <v>609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80</v>
      </c>
      <c r="Q8" s="56" t="s">
        <v>170</v>
      </c>
      <c r="R8" s="56" t="s">
        <v>171</v>
      </c>
    </row>
    <row r="9" spans="1:18" x14ac:dyDescent="0.15">
      <c r="A9" s="56">
        <v>58001</v>
      </c>
      <c r="B9" s="56">
        <v>1</v>
      </c>
      <c r="C9" s="70" t="str">
        <f t="shared" si="0"/>
        <v>58001_1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352</v>
      </c>
      <c r="G9" s="83">
        <v>610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20</v>
      </c>
      <c r="Q9" s="56" t="s">
        <v>170</v>
      </c>
      <c r="R9" s="56" t="s">
        <v>171</v>
      </c>
    </row>
    <row r="10" spans="1:18" x14ac:dyDescent="0.15">
      <c r="A10" s="56">
        <v>58001</v>
      </c>
      <c r="B10" s="56">
        <v>1</v>
      </c>
      <c r="C10" s="70" t="str">
        <f t="shared" si="0"/>
        <v>58001_1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352</v>
      </c>
      <c r="G10" s="56">
        <v>611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30</v>
      </c>
      <c r="Q10" s="56" t="s">
        <v>170</v>
      </c>
      <c r="R10" s="56" t="s">
        <v>171</v>
      </c>
    </row>
    <row r="11" spans="1:18" x14ac:dyDescent="0.15">
      <c r="A11" s="56">
        <v>58001</v>
      </c>
      <c r="B11" s="56">
        <v>1</v>
      </c>
      <c r="C11" s="70" t="str">
        <f t="shared" si="0"/>
        <v>58001_1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6">
        <v>10</v>
      </c>
      <c r="F11" s="56" t="s">
        <v>352</v>
      </c>
      <c r="G11" s="56">
        <v>612</v>
      </c>
      <c r="H11" s="56">
        <v>1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30</v>
      </c>
      <c r="Q11" s="56" t="s">
        <v>170</v>
      </c>
      <c r="R11" s="56" t="s">
        <v>171</v>
      </c>
    </row>
    <row r="12" spans="1:18" x14ac:dyDescent="0.15">
      <c r="A12" s="56">
        <v>58001</v>
      </c>
      <c r="B12" s="56">
        <v>1</v>
      </c>
      <c r="C12" s="70" t="str">
        <f t="shared" si="0"/>
        <v>58001_1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11</v>
      </c>
      <c r="F12" s="56" t="s">
        <v>352</v>
      </c>
      <c r="G12" s="56">
        <v>613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56">
        <v>30</v>
      </c>
      <c r="Q12" s="56" t="s">
        <v>170</v>
      </c>
      <c r="R12" s="56" t="s">
        <v>171</v>
      </c>
    </row>
    <row r="13" spans="1:18" x14ac:dyDescent="0.15">
      <c r="A13" s="56">
        <v>58001</v>
      </c>
      <c r="B13" s="56">
        <v>1</v>
      </c>
      <c r="C13" s="70" t="str">
        <f t="shared" ref="C13:C15" si="1">A13&amp; "_"&amp;B13</f>
        <v>58001_1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352</v>
      </c>
      <c r="G13" s="56">
        <v>614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10</v>
      </c>
      <c r="Q13" s="56" t="s">
        <v>170</v>
      </c>
      <c r="R13" s="56" t="s">
        <v>171</v>
      </c>
    </row>
    <row r="14" spans="1:18" x14ac:dyDescent="0.15">
      <c r="A14" s="56">
        <v>58001</v>
      </c>
      <c r="B14" s="56">
        <v>1</v>
      </c>
      <c r="C14" s="70" t="str">
        <f t="shared" si="1"/>
        <v>58001_1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13</v>
      </c>
      <c r="F14" s="56" t="s">
        <v>352</v>
      </c>
      <c r="G14" s="56">
        <v>837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10</v>
      </c>
      <c r="Q14" s="56" t="s">
        <v>170</v>
      </c>
      <c r="R14" s="56" t="s">
        <v>171</v>
      </c>
    </row>
    <row r="15" spans="1:18" x14ac:dyDescent="0.15">
      <c r="A15" s="56">
        <v>58001</v>
      </c>
      <c r="B15" s="56">
        <v>1</v>
      </c>
      <c r="C15" s="70" t="str">
        <f t="shared" si="1"/>
        <v>58001_1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14</v>
      </c>
      <c r="F15" s="56" t="s">
        <v>352</v>
      </c>
      <c r="G15" s="56">
        <v>8083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250</v>
      </c>
      <c r="Q15" s="56" t="s">
        <v>170</v>
      </c>
      <c r="R15" s="56" t="s">
        <v>171</v>
      </c>
    </row>
  </sheetData>
  <phoneticPr fontId="5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:XFD136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188</v>
      </c>
      <c r="B1" s="72" t="s">
        <v>189</v>
      </c>
      <c r="C1" s="76" t="s">
        <v>190</v>
      </c>
      <c r="D1" s="76" t="s">
        <v>33</v>
      </c>
      <c r="E1" s="72" t="s">
        <v>191</v>
      </c>
      <c r="F1" s="76" t="s">
        <v>192</v>
      </c>
      <c r="G1" s="76" t="s">
        <v>33</v>
      </c>
      <c r="H1" s="72" t="s">
        <v>193</v>
      </c>
      <c r="I1" s="90" t="s">
        <v>195</v>
      </c>
      <c r="J1" s="78" t="s">
        <v>127</v>
      </c>
      <c r="K1" s="77" t="s">
        <v>187</v>
      </c>
      <c r="L1" s="91" t="s">
        <v>186</v>
      </c>
      <c r="M1" s="79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M6" sqref="M6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188</v>
      </c>
      <c r="B1" s="72" t="s">
        <v>151</v>
      </c>
      <c r="C1" s="76" t="s">
        <v>190</v>
      </c>
      <c r="D1" s="76" t="s">
        <v>33</v>
      </c>
      <c r="E1" s="72" t="s">
        <v>191</v>
      </c>
      <c r="F1" s="76" t="s">
        <v>18</v>
      </c>
      <c r="G1" s="76" t="s">
        <v>33</v>
      </c>
      <c r="H1" s="72" t="s">
        <v>193</v>
      </c>
      <c r="I1" s="88" t="s">
        <v>194</v>
      </c>
      <c r="J1" s="90" t="s">
        <v>195</v>
      </c>
      <c r="K1" s="78" t="s">
        <v>127</v>
      </c>
      <c r="L1" s="77" t="s">
        <v>187</v>
      </c>
      <c r="M1" s="91" t="s">
        <v>186</v>
      </c>
      <c r="N1" s="79" t="s">
        <v>196</v>
      </c>
    </row>
    <row r="2" spans="1:14" ht="56" x14ac:dyDescent="0.15">
      <c r="A2" s="80" t="s">
        <v>197</v>
      </c>
      <c r="B2" s="81">
        <f>floors!$C$2</f>
        <v>58001</v>
      </c>
      <c r="C2" s="82" t="str">
        <f ca="1">VLOOKUP($B2,OFFSET([2]quests!$A$1,0,0,COUNTA([2]quests!$A:$A),MATCH(C$1,[2]quests!$1:$1,0)-MATCH($B$1,[2]quests!$1:$1,0)+1),MATCH(C$1,[2]quests!$1:$1,0)-MATCH($B$1,[2]quests!$1:$1,0)+1,FALSE)</f>
        <v>曹操襲来！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繁体字版超降臨1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繁体字版超降臨1</v>
      </c>
      <c r="H2" s="84">
        <v>1</v>
      </c>
      <c r="I2" s="89">
        <f>ROW()-1</f>
        <v>1</v>
      </c>
      <c r="J2" s="85" t="str">
        <f>B2&amp;TEXT(I2,"00")</f>
        <v>5800101</v>
      </c>
      <c r="K2" s="83" t="s">
        <v>198</v>
      </c>
      <c r="L2" s="86" t="s">
        <v>249</v>
      </c>
      <c r="M2" s="104" t="s">
        <v>355</v>
      </c>
      <c r="N2" s="56" t="s">
        <v>199</v>
      </c>
    </row>
    <row r="3" spans="1:14" ht="70" x14ac:dyDescent="0.15">
      <c r="A3" s="80" t="s">
        <v>197</v>
      </c>
      <c r="B3" s="81">
        <f>floors!$C$2</f>
        <v>58001</v>
      </c>
      <c r="C3" s="82" t="str">
        <f ca="1">VLOOKUP($B3,OFFSET([2]quests!$A$1,0,0,COUNTA([2]quests!$A:$A),MATCH(C$1,[2]quests!$1:$1,0)-MATCH($B$1,[2]quests!$1:$1,0)+1),MATCH(C$1,[2]quests!$1:$1,0)-MATCH($B$1,[2]quests!$1:$1,0)+1,FALSE)</f>
        <v>曹操襲来！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繁体字版超降臨1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繁体字版超降臨1</v>
      </c>
      <c r="H3" s="84">
        <v>2</v>
      </c>
      <c r="I3" s="89">
        <f t="shared" ref="I3:I13" si="0">ROW()-1</f>
        <v>2</v>
      </c>
      <c r="J3" s="85" t="str">
        <f t="shared" ref="J3:J13" si="1">B3&amp;TEXT(I3,"00")</f>
        <v>5800102</v>
      </c>
      <c r="K3" s="83" t="s">
        <v>198</v>
      </c>
      <c r="L3" s="86" t="s">
        <v>249</v>
      </c>
      <c r="M3" s="104" t="s">
        <v>369</v>
      </c>
      <c r="N3" s="56" t="s">
        <v>199</v>
      </c>
    </row>
    <row r="4" spans="1:14" ht="56" x14ac:dyDescent="0.15">
      <c r="A4" s="80" t="s">
        <v>197</v>
      </c>
      <c r="B4" s="81">
        <f>floors!$C$2</f>
        <v>58001</v>
      </c>
      <c r="C4" s="82" t="str">
        <f ca="1">VLOOKUP($B4,OFFSET([2]quests!$A$1,0,0,COUNTA([2]quests!$A:$A),MATCH(C$1,[2]quests!$1:$1,0)-MATCH($B$1,[2]quests!$1:$1,0)+1),MATCH(C$1,[2]quests!$1:$1,0)-MATCH($B$1,[2]quests!$1:$1,0)+1,FALSE)</f>
        <v>曹操襲来！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繁体字版超降臨1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繁体字版超降臨1</v>
      </c>
      <c r="H4" s="84">
        <v>3</v>
      </c>
      <c r="I4" s="89">
        <f t="shared" si="0"/>
        <v>3</v>
      </c>
      <c r="J4" s="85" t="str">
        <f t="shared" si="1"/>
        <v>5800103</v>
      </c>
      <c r="K4" s="83" t="s">
        <v>198</v>
      </c>
      <c r="L4" s="86" t="s">
        <v>249</v>
      </c>
      <c r="M4" s="104" t="s">
        <v>356</v>
      </c>
      <c r="N4" s="56" t="s">
        <v>199</v>
      </c>
    </row>
    <row r="5" spans="1:14" ht="56" x14ac:dyDescent="0.15">
      <c r="A5" s="80" t="s">
        <v>197</v>
      </c>
      <c r="B5" s="81">
        <f>floors!$C$2</f>
        <v>58001</v>
      </c>
      <c r="C5" s="82" t="str">
        <f ca="1">VLOOKUP($B5,OFFSET([2]quests!$A$1,0,0,COUNTA([2]quests!$A:$A),MATCH(C$1,[2]quests!$1:$1,0)-MATCH($B$1,[2]quests!$1:$1,0)+1),MATCH(C$1,[2]quests!$1:$1,0)-MATCH($B$1,[2]quests!$1:$1,0)+1,FALSE)</f>
        <v>曹操襲来！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繁体字版超降臨1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繁体字版超降臨1</v>
      </c>
      <c r="H5" s="84">
        <v>4</v>
      </c>
      <c r="I5" s="89">
        <f t="shared" si="0"/>
        <v>4</v>
      </c>
      <c r="J5" s="85" t="str">
        <f t="shared" si="1"/>
        <v>5800104</v>
      </c>
      <c r="K5" s="83" t="s">
        <v>198</v>
      </c>
      <c r="L5" s="86" t="s">
        <v>249</v>
      </c>
      <c r="M5" s="104" t="s">
        <v>371</v>
      </c>
      <c r="N5" s="56" t="s">
        <v>199</v>
      </c>
    </row>
    <row r="6" spans="1:14" ht="56" x14ac:dyDescent="0.15">
      <c r="A6" s="80" t="s">
        <v>197</v>
      </c>
      <c r="B6" s="81">
        <f>floors!$C$2</f>
        <v>58001</v>
      </c>
      <c r="C6" s="82" t="str">
        <f ca="1">VLOOKUP($B6,OFFSET([2]quests!$A$1,0,0,COUNTA([2]quests!$A:$A),MATCH(C$1,[2]quests!$1:$1,0)-MATCH($B$1,[2]quests!$1:$1,0)+1),MATCH(C$1,[2]quests!$1:$1,0)-MATCH($B$1,[2]quests!$1:$1,0)+1,FALSE)</f>
        <v>曹操襲来！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繁体字版超降臨1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繁体字版超降臨1</v>
      </c>
      <c r="H6" s="84">
        <v>4</v>
      </c>
      <c r="I6" s="89">
        <f t="shared" si="0"/>
        <v>5</v>
      </c>
      <c r="J6" s="85" t="str">
        <f t="shared" si="1"/>
        <v>5800105</v>
      </c>
      <c r="K6" s="83" t="s">
        <v>198</v>
      </c>
      <c r="L6" s="86" t="s">
        <v>249</v>
      </c>
      <c r="M6" s="104" t="s">
        <v>370</v>
      </c>
      <c r="N6" s="56" t="s">
        <v>199</v>
      </c>
    </row>
    <row r="7" spans="1:14" ht="70" x14ac:dyDescent="0.15">
      <c r="A7" s="80" t="s">
        <v>197</v>
      </c>
      <c r="B7" s="81">
        <f>floors!$C$2</f>
        <v>58001</v>
      </c>
      <c r="C7" s="82" t="str">
        <f ca="1">VLOOKUP($B7,OFFSET([2]quests!$A$1,0,0,COUNTA([2]quests!$A:$A),MATCH(C$1,[2]quests!$1:$1,0)-MATCH($B$1,[2]quests!$1:$1,0)+1),MATCH(C$1,[2]quests!$1:$1,0)-MATCH($B$1,[2]quests!$1:$1,0)+1,FALSE)</f>
        <v>曹操襲来！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繁体字版超降臨1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繁体字版超降臨1</v>
      </c>
      <c r="H7" s="84">
        <v>5</v>
      </c>
      <c r="I7" s="89">
        <f t="shared" si="0"/>
        <v>6</v>
      </c>
      <c r="J7" s="85" t="str">
        <f t="shared" si="1"/>
        <v>5800106</v>
      </c>
      <c r="K7" s="83" t="s">
        <v>198</v>
      </c>
      <c r="L7" s="86" t="s">
        <v>249</v>
      </c>
      <c r="M7" s="104" t="s">
        <v>372</v>
      </c>
      <c r="N7" s="56" t="s">
        <v>199</v>
      </c>
    </row>
    <row r="8" spans="1:14" ht="42" x14ac:dyDescent="0.15">
      <c r="A8" s="80" t="s">
        <v>197</v>
      </c>
      <c r="B8" s="81">
        <f>floors!$C$2</f>
        <v>58001</v>
      </c>
      <c r="C8" s="82" t="str">
        <f ca="1">VLOOKUP($B8,OFFSET([2]quests!$A$1,0,0,COUNTA([2]quests!$A:$A),MATCH(C$1,[2]quests!$1:$1,0)-MATCH($B$1,[2]quests!$1:$1,0)+1),MATCH(C$1,[2]quests!$1:$1,0)-MATCH($B$1,[2]quests!$1:$1,0)+1,FALSE)</f>
        <v>曹操襲来！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繁体字版超降臨1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繁体字版超降臨1</v>
      </c>
      <c r="H8" s="84">
        <v>5</v>
      </c>
      <c r="I8" s="89">
        <f t="shared" si="0"/>
        <v>7</v>
      </c>
      <c r="J8" s="85" t="str">
        <f t="shared" si="1"/>
        <v>5800107</v>
      </c>
      <c r="K8" s="83" t="s">
        <v>198</v>
      </c>
      <c r="L8" s="86" t="s">
        <v>249</v>
      </c>
      <c r="M8" s="104" t="s">
        <v>373</v>
      </c>
      <c r="N8" s="56" t="s">
        <v>199</v>
      </c>
    </row>
    <row r="9" spans="1:14" ht="70" x14ac:dyDescent="0.15">
      <c r="A9" s="80" t="s">
        <v>197</v>
      </c>
      <c r="B9" s="81">
        <f>floors!$C$2</f>
        <v>58001</v>
      </c>
      <c r="C9" s="82" t="str">
        <f ca="1">VLOOKUP($B9,OFFSET([2]quests!$A$1,0,0,COUNTA([2]quests!$A:$A),MATCH(C$1,[2]quests!$1:$1,0)-MATCH($B$1,[2]quests!$1:$1,0)+1),MATCH(C$1,[2]quests!$1:$1,0)-MATCH($B$1,[2]quests!$1:$1,0)+1,FALSE)</f>
        <v>曹操襲来！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繁体字版超降臨1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繁体字版超降臨1</v>
      </c>
      <c r="H9" s="84">
        <v>5</v>
      </c>
      <c r="I9" s="89">
        <f t="shared" si="0"/>
        <v>8</v>
      </c>
      <c r="J9" s="85" t="str">
        <f t="shared" si="1"/>
        <v>5800108</v>
      </c>
      <c r="K9" s="83" t="s">
        <v>198</v>
      </c>
      <c r="L9" s="86" t="s">
        <v>249</v>
      </c>
      <c r="M9" s="104" t="s">
        <v>374</v>
      </c>
      <c r="N9" s="56" t="s">
        <v>199</v>
      </c>
    </row>
    <row r="10" spans="1:14" ht="42" x14ac:dyDescent="0.15">
      <c r="A10" s="80" t="s">
        <v>200</v>
      </c>
      <c r="B10" s="81">
        <f>floors!$C$2</f>
        <v>58001</v>
      </c>
      <c r="C10" s="82" t="str">
        <f ca="1">VLOOKUP($B10,OFFSET([2]quests!$A$1,0,0,COUNTA([2]quests!$A:$A),MATCH(C$1,[2]quests!$1:$1,0)-MATCH($B$1,[2]quests!$1:$1,0)+1),MATCH(C$1,[2]quests!$1:$1,0)-MATCH($B$1,[2]quests!$1:$1,0)+1,FALSE)</f>
        <v>曹操襲来！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繁体字版超降臨1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繁体字版超降臨1</v>
      </c>
      <c r="H10" s="84">
        <v>0</v>
      </c>
      <c r="I10" s="89">
        <f t="shared" si="0"/>
        <v>9</v>
      </c>
      <c r="J10" s="85" t="str">
        <f t="shared" si="1"/>
        <v>5800109</v>
      </c>
      <c r="K10" s="83" t="s">
        <v>198</v>
      </c>
      <c r="L10" s="86" t="s">
        <v>357</v>
      </c>
      <c r="M10" s="104" t="s">
        <v>366</v>
      </c>
      <c r="N10" s="56" t="s">
        <v>199</v>
      </c>
    </row>
    <row r="11" spans="1:14" ht="42" x14ac:dyDescent="0.15">
      <c r="A11" s="80" t="s">
        <v>200</v>
      </c>
      <c r="B11" s="81">
        <f>floors!$C$2</f>
        <v>58001</v>
      </c>
      <c r="C11" s="82" t="str">
        <f ca="1">VLOOKUP($B11,OFFSET([2]quests!$A$1,0,0,COUNTA([2]quests!$A:$A),MATCH(C$1,[2]quests!$1:$1,0)-MATCH($B$1,[2]quests!$1:$1,0)+1),MATCH(C$1,[2]quests!$1:$1,0)-MATCH($B$1,[2]quests!$1:$1,0)+1,FALSE)</f>
        <v>曹操襲来！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繁体字版超降臨1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繁体字版超降臨1</v>
      </c>
      <c r="H11" s="84">
        <v>0</v>
      </c>
      <c r="I11" s="89">
        <f t="shared" si="0"/>
        <v>10</v>
      </c>
      <c r="J11" s="85" t="str">
        <f t="shared" si="1"/>
        <v>5800110</v>
      </c>
      <c r="K11" s="83" t="s">
        <v>198</v>
      </c>
      <c r="L11" s="86" t="s">
        <v>358</v>
      </c>
      <c r="M11" s="104" t="s">
        <v>367</v>
      </c>
      <c r="N11" s="56" t="s">
        <v>199</v>
      </c>
    </row>
    <row r="12" spans="1:14" ht="42" x14ac:dyDescent="0.15">
      <c r="A12" s="80" t="s">
        <v>200</v>
      </c>
      <c r="B12" s="81">
        <f>floors!$C$2</f>
        <v>58001</v>
      </c>
      <c r="C12" s="82" t="str">
        <f ca="1">VLOOKUP($B12,OFFSET([2]quests!$A$1,0,0,COUNTA([2]quests!$A:$A),MATCH(C$1,[2]quests!$1:$1,0)-MATCH($B$1,[2]quests!$1:$1,0)+1),MATCH(C$1,[2]quests!$1:$1,0)-MATCH($B$1,[2]quests!$1:$1,0)+1,FALSE)</f>
        <v>曹操襲来！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繁体字版超降臨1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繁体字版超降臨1</v>
      </c>
      <c r="H12" s="84">
        <v>0</v>
      </c>
      <c r="I12" s="89">
        <f t="shared" si="0"/>
        <v>11</v>
      </c>
      <c r="J12" s="85" t="str">
        <f t="shared" si="1"/>
        <v>5800111</v>
      </c>
      <c r="K12" s="83" t="s">
        <v>198</v>
      </c>
      <c r="L12" s="86" t="s">
        <v>359</v>
      </c>
      <c r="M12" s="104" t="s">
        <v>360</v>
      </c>
      <c r="N12" s="56" t="s">
        <v>199</v>
      </c>
    </row>
    <row r="13" spans="1:14" ht="56" x14ac:dyDescent="0.15">
      <c r="A13" s="80" t="s">
        <v>200</v>
      </c>
      <c r="B13" s="81">
        <f>floors!$C$2</f>
        <v>58001</v>
      </c>
      <c r="C13" s="82" t="str">
        <f ca="1">VLOOKUP($B13,OFFSET([2]quests!$A$1,0,0,COUNTA([2]quests!$A:$A),MATCH(C$1,[2]quests!$1:$1,0)-MATCH($B$1,[2]quests!$1:$1,0)+1),MATCH(C$1,[2]quests!$1:$1,0)-MATCH($B$1,[2]quests!$1:$1,0)+1,FALSE)</f>
        <v>曹操襲来！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繁体字版超降臨1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繁体字版超降臨1</v>
      </c>
      <c r="H13" s="84">
        <v>0</v>
      </c>
      <c r="I13" s="89">
        <f t="shared" si="0"/>
        <v>12</v>
      </c>
      <c r="J13" s="85" t="str">
        <f t="shared" si="1"/>
        <v>5800112</v>
      </c>
      <c r="K13" s="83" t="s">
        <v>198</v>
      </c>
      <c r="L13" s="86" t="s">
        <v>361</v>
      </c>
      <c r="M13" s="104" t="s">
        <v>368</v>
      </c>
      <c r="N13" s="56" t="s">
        <v>199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M2" sqref="M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212</v>
      </c>
      <c r="B1" s="94" t="s">
        <v>213</v>
      </c>
      <c r="C1" s="76" t="s">
        <v>214</v>
      </c>
      <c r="D1" s="76" t="s">
        <v>33</v>
      </c>
      <c r="E1" s="94" t="s">
        <v>215</v>
      </c>
      <c r="F1" s="76" t="s">
        <v>216</v>
      </c>
      <c r="G1" s="76" t="s">
        <v>33</v>
      </c>
      <c r="H1" s="94" t="s">
        <v>217</v>
      </c>
      <c r="I1" s="94" t="s">
        <v>218</v>
      </c>
      <c r="J1" s="94" t="s">
        <v>219</v>
      </c>
      <c r="K1" s="72" t="s">
        <v>220</v>
      </c>
      <c r="L1" s="72" t="s">
        <v>221</v>
      </c>
      <c r="M1" s="72" t="s">
        <v>157</v>
      </c>
      <c r="N1" s="76" t="s">
        <v>16</v>
      </c>
      <c r="O1" s="72" t="s">
        <v>222</v>
      </c>
      <c r="P1" s="72" t="s">
        <v>57</v>
      </c>
      <c r="Q1" s="72" t="s">
        <v>223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224</v>
      </c>
      <c r="X1" s="72" t="s">
        <v>225</v>
      </c>
    </row>
    <row r="2" spans="1:24" x14ac:dyDescent="0.15">
      <c r="A2" s="95" t="str">
        <f>B2&amp;"_"&amp;E2&amp;"_"&amp;H2&amp;"_"&amp;I2&amp;"_"&amp;J2</f>
        <v>58001_1_everyone_full_member_1</v>
      </c>
      <c r="B2" s="81">
        <v>58001</v>
      </c>
      <c r="C2" s="82" t="str">
        <f ca="1">VLOOKUP($B2,OFFSET([2]quests!$A$1,0,0,COUNTA([2]quests!$A:$A),MATCH(C$1,[2]quests!$1:$1,0)-MATCH($B$1,[2]quests!$1:$1,0)+1),MATCH(C$1,[2]quests!$1:$1,0)-MATCH($B$1,[2]quests!$1:$1,0)+1,FALSE)</f>
        <v>曹操襲来！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繁体字版超降臨1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繁体字版超降臨1</v>
      </c>
      <c r="H2" s="84" t="s">
        <v>347</v>
      </c>
      <c r="I2" s="83" t="s">
        <v>348</v>
      </c>
      <c r="J2" s="83">
        <v>1</v>
      </c>
      <c r="K2" s="83">
        <v>100</v>
      </c>
      <c r="L2" s="83" t="s">
        <v>349</v>
      </c>
      <c r="M2" s="83">
        <v>8083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曹操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350</v>
      </c>
      <c r="X2" s="98" t="s">
        <v>351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2017-05-08T09:55:52Z</dcterms:modified>
</cp:coreProperties>
</file>