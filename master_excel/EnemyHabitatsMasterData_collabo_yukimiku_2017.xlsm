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840" yWindow="580" windowWidth="25580" windowHeight="199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enemy_skill_sets!$A$1:$R$786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stage_hints_failure!$B$1:$M$5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9" i="11" l="1"/>
  <c r="O727" i="9"/>
  <c r="N727" i="9"/>
  <c r="M727" i="9"/>
  <c r="L727" i="9"/>
  <c r="K727" i="9"/>
  <c r="J727" i="9"/>
  <c r="I727" i="9"/>
  <c r="H727" i="9"/>
  <c r="G727" i="9"/>
  <c r="E727" i="9"/>
  <c r="D727" i="9"/>
  <c r="A727" i="9"/>
  <c r="J70" i="11"/>
  <c r="O698" i="9"/>
  <c r="N698" i="9"/>
  <c r="M698" i="9"/>
  <c r="L698" i="9"/>
  <c r="K698" i="9"/>
  <c r="J698" i="9"/>
  <c r="I698" i="9"/>
  <c r="H698" i="9"/>
  <c r="G698" i="9"/>
  <c r="E698" i="9"/>
  <c r="D698" i="9"/>
  <c r="A698" i="9"/>
  <c r="J43" i="11"/>
  <c r="O671" i="9"/>
  <c r="N671" i="9"/>
  <c r="M671" i="9"/>
  <c r="L671" i="9"/>
  <c r="K671" i="9"/>
  <c r="J671" i="9"/>
  <c r="I671" i="9"/>
  <c r="H671" i="9"/>
  <c r="G671" i="9"/>
  <c r="E671" i="9"/>
  <c r="D671" i="9"/>
  <c r="A671" i="9"/>
  <c r="O570" i="9"/>
  <c r="N570" i="9"/>
  <c r="M570" i="9"/>
  <c r="L570" i="9"/>
  <c r="K570" i="9"/>
  <c r="J570" i="9"/>
  <c r="I570" i="9"/>
  <c r="H570" i="9"/>
  <c r="G570" i="9"/>
  <c r="E570" i="9"/>
  <c r="D570" i="9"/>
  <c r="A570" i="9"/>
  <c r="O541" i="9"/>
  <c r="N541" i="9"/>
  <c r="M541" i="9"/>
  <c r="L541" i="9"/>
  <c r="K541" i="9"/>
  <c r="J541" i="9"/>
  <c r="I541" i="9"/>
  <c r="H541" i="9"/>
  <c r="G541" i="9"/>
  <c r="E541" i="9"/>
  <c r="D541" i="9"/>
  <c r="A541" i="9"/>
  <c r="O514" i="9"/>
  <c r="N514" i="9"/>
  <c r="M514" i="9"/>
  <c r="L514" i="9"/>
  <c r="K514" i="9"/>
  <c r="J514" i="9"/>
  <c r="I514" i="9"/>
  <c r="H514" i="9"/>
  <c r="G514" i="9"/>
  <c r="E514" i="9"/>
  <c r="D514" i="9"/>
  <c r="A514" i="9"/>
  <c r="O413" i="9"/>
  <c r="N413" i="9"/>
  <c r="M413" i="9"/>
  <c r="L413" i="9"/>
  <c r="K413" i="9"/>
  <c r="J413" i="9"/>
  <c r="I413" i="9"/>
  <c r="H413" i="9"/>
  <c r="G413" i="9"/>
  <c r="E413" i="9"/>
  <c r="D413" i="9"/>
  <c r="A413" i="9"/>
  <c r="O384" i="9"/>
  <c r="N384" i="9"/>
  <c r="M384" i="9"/>
  <c r="L384" i="9"/>
  <c r="K384" i="9"/>
  <c r="J384" i="9"/>
  <c r="I384" i="9"/>
  <c r="H384" i="9"/>
  <c r="G384" i="9"/>
  <c r="E384" i="9"/>
  <c r="D384" i="9"/>
  <c r="A384" i="9"/>
  <c r="O357" i="9"/>
  <c r="N357" i="9"/>
  <c r="M357" i="9"/>
  <c r="L357" i="9"/>
  <c r="K357" i="9"/>
  <c r="J357" i="9"/>
  <c r="I357" i="9"/>
  <c r="H357" i="9"/>
  <c r="G357" i="9"/>
  <c r="E357" i="9"/>
  <c r="D357" i="9"/>
  <c r="A357" i="9"/>
  <c r="O256" i="9"/>
  <c r="N256" i="9"/>
  <c r="M256" i="9"/>
  <c r="L256" i="9"/>
  <c r="K256" i="9"/>
  <c r="J256" i="9"/>
  <c r="I256" i="9"/>
  <c r="H256" i="9"/>
  <c r="G256" i="9"/>
  <c r="E256" i="9"/>
  <c r="D256" i="9"/>
  <c r="A256" i="9"/>
  <c r="O227" i="9"/>
  <c r="N227" i="9"/>
  <c r="M227" i="9"/>
  <c r="L227" i="9"/>
  <c r="K227" i="9"/>
  <c r="J227" i="9"/>
  <c r="I227" i="9"/>
  <c r="H227" i="9"/>
  <c r="G227" i="9"/>
  <c r="E227" i="9"/>
  <c r="D227" i="9"/>
  <c r="A227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O99" i="9"/>
  <c r="N99" i="9"/>
  <c r="M99" i="9"/>
  <c r="L99" i="9"/>
  <c r="K99" i="9"/>
  <c r="J99" i="9"/>
  <c r="I99" i="9"/>
  <c r="H99" i="9"/>
  <c r="G99" i="9"/>
  <c r="E99" i="9"/>
  <c r="D99" i="9"/>
  <c r="A99" i="9"/>
  <c r="O70" i="9"/>
  <c r="N70" i="9"/>
  <c r="M70" i="9"/>
  <c r="L70" i="9"/>
  <c r="K70" i="9"/>
  <c r="J70" i="9"/>
  <c r="I70" i="9"/>
  <c r="H70" i="9"/>
  <c r="G70" i="9"/>
  <c r="E70" i="9"/>
  <c r="D70" i="9"/>
  <c r="A70" i="9"/>
  <c r="O43" i="9"/>
  <c r="N43" i="9"/>
  <c r="M43" i="9"/>
  <c r="L43" i="9"/>
  <c r="K43" i="9"/>
  <c r="J43" i="9"/>
  <c r="I43" i="9"/>
  <c r="H43" i="9"/>
  <c r="G43" i="9"/>
  <c r="E43" i="9"/>
  <c r="D43" i="9"/>
  <c r="A43" i="9"/>
  <c r="J93" i="11"/>
  <c r="J64" i="11"/>
  <c r="J37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5" i="11"/>
  <c r="J66" i="11"/>
  <c r="J67" i="11"/>
  <c r="J68" i="11"/>
  <c r="J69" i="11"/>
  <c r="J35" i="11"/>
  <c r="N3" i="22"/>
  <c r="G3" i="22"/>
  <c r="F3" i="22"/>
  <c r="D3" i="22"/>
  <c r="C3" i="22"/>
  <c r="A3" i="22"/>
  <c r="N2" i="22"/>
  <c r="G2" i="22"/>
  <c r="F2" i="22"/>
  <c r="D2" i="22"/>
  <c r="C2" i="22"/>
  <c r="A2" i="22"/>
  <c r="C50" i="18"/>
  <c r="C51" i="18"/>
  <c r="C52" i="18"/>
  <c r="C53" i="18"/>
  <c r="C54" i="18"/>
  <c r="D51" i="18"/>
  <c r="D52" i="18"/>
  <c r="D53" i="18"/>
  <c r="D54" i="18"/>
  <c r="C55" i="18"/>
  <c r="D55" i="18"/>
  <c r="I34" i="21"/>
  <c r="J34" i="21"/>
  <c r="G34" i="21"/>
  <c r="F34" i="21"/>
  <c r="D34" i="21"/>
  <c r="C34" i="21"/>
  <c r="I33" i="21"/>
  <c r="J33" i="21"/>
  <c r="G33" i="21"/>
  <c r="F33" i="21"/>
  <c r="D33" i="21"/>
  <c r="C33" i="21"/>
  <c r="I32" i="21"/>
  <c r="J32" i="21"/>
  <c r="G32" i="21"/>
  <c r="F32" i="21"/>
  <c r="D32" i="21"/>
  <c r="C32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A158" i="9"/>
  <c r="D158" i="9"/>
  <c r="E158" i="9"/>
  <c r="G158" i="9"/>
  <c r="H158" i="9"/>
  <c r="I158" i="9"/>
  <c r="J158" i="9"/>
  <c r="K158" i="9"/>
  <c r="L158" i="9"/>
  <c r="M158" i="9"/>
  <c r="N158" i="9"/>
  <c r="J158" i="11"/>
  <c r="O158" i="9"/>
  <c r="I44" i="21"/>
  <c r="J44" i="21"/>
  <c r="G44" i="21"/>
  <c r="F44" i="21"/>
  <c r="D44" i="21"/>
  <c r="C44" i="21"/>
  <c r="I43" i="21"/>
  <c r="J43" i="21"/>
  <c r="G43" i="21"/>
  <c r="F43" i="21"/>
  <c r="D43" i="21"/>
  <c r="C43" i="21"/>
  <c r="I42" i="21"/>
  <c r="J42" i="21"/>
  <c r="G42" i="21"/>
  <c r="F42" i="21"/>
  <c r="D42" i="21"/>
  <c r="C42" i="21"/>
  <c r="I51" i="21"/>
  <c r="J51" i="21"/>
  <c r="G51" i="21"/>
  <c r="F51" i="21"/>
  <c r="D51" i="21"/>
  <c r="C51" i="21"/>
  <c r="I50" i="21"/>
  <c r="J50" i="21"/>
  <c r="G50" i="21"/>
  <c r="F50" i="21"/>
  <c r="D50" i="21"/>
  <c r="C50" i="21"/>
  <c r="I49" i="21"/>
  <c r="J49" i="21"/>
  <c r="G49" i="21"/>
  <c r="F49" i="21"/>
  <c r="D49" i="21"/>
  <c r="C49" i="21"/>
  <c r="I48" i="21"/>
  <c r="J48" i="21"/>
  <c r="G48" i="21"/>
  <c r="F48" i="21"/>
  <c r="D48" i="21"/>
  <c r="C48" i="21"/>
  <c r="I47" i="21"/>
  <c r="J47" i="21"/>
  <c r="G47" i="21"/>
  <c r="F47" i="21"/>
  <c r="D47" i="21"/>
  <c r="C47" i="21"/>
  <c r="I46" i="21"/>
  <c r="J46" i="21"/>
  <c r="G46" i="21"/>
  <c r="F46" i="21"/>
  <c r="D46" i="21"/>
  <c r="C46" i="21"/>
  <c r="I45" i="21"/>
  <c r="J45" i="21"/>
  <c r="G45" i="21"/>
  <c r="F45" i="21"/>
  <c r="D45" i="21"/>
  <c r="C45" i="21"/>
  <c r="I41" i="21"/>
  <c r="J41" i="21"/>
  <c r="G41" i="21"/>
  <c r="F41" i="21"/>
  <c r="D41" i="21"/>
  <c r="C41" i="21"/>
  <c r="I40" i="21"/>
  <c r="J40" i="21"/>
  <c r="G40" i="21"/>
  <c r="F40" i="21"/>
  <c r="D40" i="21"/>
  <c r="C40" i="21"/>
  <c r="I39" i="21"/>
  <c r="J39" i="21"/>
  <c r="G39" i="21"/>
  <c r="F39" i="21"/>
  <c r="D39" i="21"/>
  <c r="C39" i="21"/>
  <c r="I38" i="21"/>
  <c r="J38" i="21"/>
  <c r="G38" i="21"/>
  <c r="F38" i="21"/>
  <c r="D38" i="21"/>
  <c r="C38" i="21"/>
  <c r="I37" i="21"/>
  <c r="J37" i="21"/>
  <c r="G37" i="21"/>
  <c r="F37" i="21"/>
  <c r="D37" i="21"/>
  <c r="C37" i="21"/>
  <c r="I36" i="21"/>
  <c r="J36" i="21"/>
  <c r="G36" i="21"/>
  <c r="F36" i="21"/>
  <c r="D36" i="21"/>
  <c r="C36" i="21"/>
  <c r="I35" i="21"/>
  <c r="J35" i="21"/>
  <c r="G35" i="21"/>
  <c r="F35" i="21"/>
  <c r="D35" i="21"/>
  <c r="C35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O786" i="9"/>
  <c r="N786" i="9"/>
  <c r="M786" i="9"/>
  <c r="L786" i="9"/>
  <c r="K786" i="9"/>
  <c r="J786" i="9"/>
  <c r="I786" i="9"/>
  <c r="H786" i="9"/>
  <c r="G786" i="9"/>
  <c r="E786" i="9"/>
  <c r="D786" i="9"/>
  <c r="A786" i="9"/>
  <c r="J157" i="11"/>
  <c r="O785" i="9"/>
  <c r="N785" i="9"/>
  <c r="M785" i="9"/>
  <c r="L785" i="9"/>
  <c r="K785" i="9"/>
  <c r="J785" i="9"/>
  <c r="I785" i="9"/>
  <c r="H785" i="9"/>
  <c r="G785" i="9"/>
  <c r="E785" i="9"/>
  <c r="D785" i="9"/>
  <c r="A785" i="9"/>
  <c r="J156" i="11"/>
  <c r="O784" i="9"/>
  <c r="N784" i="9"/>
  <c r="M784" i="9"/>
  <c r="L784" i="9"/>
  <c r="K784" i="9"/>
  <c r="J784" i="9"/>
  <c r="I784" i="9"/>
  <c r="H784" i="9"/>
  <c r="G784" i="9"/>
  <c r="E784" i="9"/>
  <c r="D784" i="9"/>
  <c r="A784" i="9"/>
  <c r="J155" i="11"/>
  <c r="O783" i="9"/>
  <c r="N783" i="9"/>
  <c r="M783" i="9"/>
  <c r="L783" i="9"/>
  <c r="K783" i="9"/>
  <c r="J783" i="9"/>
  <c r="I783" i="9"/>
  <c r="H783" i="9"/>
  <c r="G783" i="9"/>
  <c r="E783" i="9"/>
  <c r="D783" i="9"/>
  <c r="A783" i="9"/>
  <c r="J154" i="11"/>
  <c r="O782" i="9"/>
  <c r="N782" i="9"/>
  <c r="M782" i="9"/>
  <c r="L782" i="9"/>
  <c r="K782" i="9"/>
  <c r="J782" i="9"/>
  <c r="I782" i="9"/>
  <c r="H782" i="9"/>
  <c r="G782" i="9"/>
  <c r="E782" i="9"/>
  <c r="D782" i="9"/>
  <c r="A782" i="9"/>
  <c r="J153" i="11"/>
  <c r="O781" i="9"/>
  <c r="N781" i="9"/>
  <c r="M781" i="9"/>
  <c r="L781" i="9"/>
  <c r="K781" i="9"/>
  <c r="J781" i="9"/>
  <c r="I781" i="9"/>
  <c r="H781" i="9"/>
  <c r="G781" i="9"/>
  <c r="E781" i="9"/>
  <c r="D781" i="9"/>
  <c r="A781" i="9"/>
  <c r="J152" i="11"/>
  <c r="O780" i="9"/>
  <c r="N780" i="9"/>
  <c r="M780" i="9"/>
  <c r="L780" i="9"/>
  <c r="K780" i="9"/>
  <c r="J780" i="9"/>
  <c r="I780" i="9"/>
  <c r="H780" i="9"/>
  <c r="G780" i="9"/>
  <c r="E780" i="9"/>
  <c r="D780" i="9"/>
  <c r="A780" i="9"/>
  <c r="J151" i="11"/>
  <c r="O779" i="9"/>
  <c r="N779" i="9"/>
  <c r="M779" i="9"/>
  <c r="L779" i="9"/>
  <c r="K779" i="9"/>
  <c r="J779" i="9"/>
  <c r="I779" i="9"/>
  <c r="H779" i="9"/>
  <c r="G779" i="9"/>
  <c r="E779" i="9"/>
  <c r="D779" i="9"/>
  <c r="A779" i="9"/>
  <c r="J150" i="11"/>
  <c r="O778" i="9"/>
  <c r="N778" i="9"/>
  <c r="M778" i="9"/>
  <c r="L778" i="9"/>
  <c r="K778" i="9"/>
  <c r="J778" i="9"/>
  <c r="I778" i="9"/>
  <c r="H778" i="9"/>
  <c r="G778" i="9"/>
  <c r="E778" i="9"/>
  <c r="D778" i="9"/>
  <c r="A778" i="9"/>
  <c r="J149" i="11"/>
  <c r="O777" i="9"/>
  <c r="N777" i="9"/>
  <c r="M777" i="9"/>
  <c r="L777" i="9"/>
  <c r="K777" i="9"/>
  <c r="J777" i="9"/>
  <c r="I777" i="9"/>
  <c r="H777" i="9"/>
  <c r="G777" i="9"/>
  <c r="E777" i="9"/>
  <c r="D777" i="9"/>
  <c r="A777" i="9"/>
  <c r="J148" i="11"/>
  <c r="O776" i="9"/>
  <c r="N776" i="9"/>
  <c r="M776" i="9"/>
  <c r="L776" i="9"/>
  <c r="K776" i="9"/>
  <c r="J776" i="9"/>
  <c r="I776" i="9"/>
  <c r="H776" i="9"/>
  <c r="G776" i="9"/>
  <c r="E776" i="9"/>
  <c r="D776" i="9"/>
  <c r="A776" i="9"/>
  <c r="J147" i="11"/>
  <c r="O775" i="9"/>
  <c r="N775" i="9"/>
  <c r="M775" i="9"/>
  <c r="L775" i="9"/>
  <c r="K775" i="9"/>
  <c r="J775" i="9"/>
  <c r="I775" i="9"/>
  <c r="H775" i="9"/>
  <c r="G775" i="9"/>
  <c r="E775" i="9"/>
  <c r="D775" i="9"/>
  <c r="A775" i="9"/>
  <c r="J146" i="11"/>
  <c r="O774" i="9"/>
  <c r="N774" i="9"/>
  <c r="M774" i="9"/>
  <c r="L774" i="9"/>
  <c r="K774" i="9"/>
  <c r="J774" i="9"/>
  <c r="I774" i="9"/>
  <c r="H774" i="9"/>
  <c r="G774" i="9"/>
  <c r="E774" i="9"/>
  <c r="D774" i="9"/>
  <c r="A774" i="9"/>
  <c r="J145" i="11"/>
  <c r="O773" i="9"/>
  <c r="N773" i="9"/>
  <c r="M773" i="9"/>
  <c r="L773" i="9"/>
  <c r="K773" i="9"/>
  <c r="J773" i="9"/>
  <c r="I773" i="9"/>
  <c r="H773" i="9"/>
  <c r="G773" i="9"/>
  <c r="E773" i="9"/>
  <c r="D773" i="9"/>
  <c r="A773" i="9"/>
  <c r="J144" i="11"/>
  <c r="O772" i="9"/>
  <c r="N772" i="9"/>
  <c r="M772" i="9"/>
  <c r="L772" i="9"/>
  <c r="K772" i="9"/>
  <c r="J772" i="9"/>
  <c r="I772" i="9"/>
  <c r="H772" i="9"/>
  <c r="G772" i="9"/>
  <c r="E772" i="9"/>
  <c r="D772" i="9"/>
  <c r="A772" i="9"/>
  <c r="J143" i="11"/>
  <c r="O771" i="9"/>
  <c r="N771" i="9"/>
  <c r="M771" i="9"/>
  <c r="L771" i="9"/>
  <c r="K771" i="9"/>
  <c r="J771" i="9"/>
  <c r="I771" i="9"/>
  <c r="H771" i="9"/>
  <c r="G771" i="9"/>
  <c r="E771" i="9"/>
  <c r="D771" i="9"/>
  <c r="A771" i="9"/>
  <c r="J142" i="11"/>
  <c r="O770" i="9"/>
  <c r="N770" i="9"/>
  <c r="M770" i="9"/>
  <c r="L770" i="9"/>
  <c r="K770" i="9"/>
  <c r="J770" i="9"/>
  <c r="I770" i="9"/>
  <c r="H770" i="9"/>
  <c r="G770" i="9"/>
  <c r="E770" i="9"/>
  <c r="D770" i="9"/>
  <c r="A770" i="9"/>
  <c r="J141" i="11"/>
  <c r="O769" i="9"/>
  <c r="N769" i="9"/>
  <c r="M769" i="9"/>
  <c r="L769" i="9"/>
  <c r="K769" i="9"/>
  <c r="J769" i="9"/>
  <c r="I769" i="9"/>
  <c r="H769" i="9"/>
  <c r="G769" i="9"/>
  <c r="E769" i="9"/>
  <c r="D769" i="9"/>
  <c r="A769" i="9"/>
  <c r="J140" i="11"/>
  <c r="O768" i="9"/>
  <c r="N768" i="9"/>
  <c r="M768" i="9"/>
  <c r="L768" i="9"/>
  <c r="K768" i="9"/>
  <c r="J768" i="9"/>
  <c r="I768" i="9"/>
  <c r="H768" i="9"/>
  <c r="G768" i="9"/>
  <c r="E768" i="9"/>
  <c r="D768" i="9"/>
  <c r="A768" i="9"/>
  <c r="J139" i="11"/>
  <c r="O767" i="9"/>
  <c r="N767" i="9"/>
  <c r="M767" i="9"/>
  <c r="L767" i="9"/>
  <c r="K767" i="9"/>
  <c r="J767" i="9"/>
  <c r="I767" i="9"/>
  <c r="H767" i="9"/>
  <c r="G767" i="9"/>
  <c r="E767" i="9"/>
  <c r="D767" i="9"/>
  <c r="A767" i="9"/>
  <c r="J138" i="11"/>
  <c r="O766" i="9"/>
  <c r="N766" i="9"/>
  <c r="M766" i="9"/>
  <c r="L766" i="9"/>
  <c r="K766" i="9"/>
  <c r="J766" i="9"/>
  <c r="I766" i="9"/>
  <c r="H766" i="9"/>
  <c r="G766" i="9"/>
  <c r="E766" i="9"/>
  <c r="D766" i="9"/>
  <c r="A766" i="9"/>
  <c r="J137" i="11"/>
  <c r="O765" i="9"/>
  <c r="N765" i="9"/>
  <c r="M765" i="9"/>
  <c r="L765" i="9"/>
  <c r="K765" i="9"/>
  <c r="J765" i="9"/>
  <c r="I765" i="9"/>
  <c r="H765" i="9"/>
  <c r="G765" i="9"/>
  <c r="E765" i="9"/>
  <c r="D765" i="9"/>
  <c r="A765" i="9"/>
  <c r="J136" i="11"/>
  <c r="O764" i="9"/>
  <c r="N764" i="9"/>
  <c r="M764" i="9"/>
  <c r="L764" i="9"/>
  <c r="K764" i="9"/>
  <c r="J764" i="9"/>
  <c r="I764" i="9"/>
  <c r="H764" i="9"/>
  <c r="G764" i="9"/>
  <c r="E764" i="9"/>
  <c r="D764" i="9"/>
  <c r="A764" i="9"/>
  <c r="J135" i="11"/>
  <c r="O763" i="9"/>
  <c r="N763" i="9"/>
  <c r="M763" i="9"/>
  <c r="L763" i="9"/>
  <c r="K763" i="9"/>
  <c r="J763" i="9"/>
  <c r="I763" i="9"/>
  <c r="H763" i="9"/>
  <c r="G763" i="9"/>
  <c r="E763" i="9"/>
  <c r="D763" i="9"/>
  <c r="A763" i="9"/>
  <c r="J134" i="11"/>
  <c r="O762" i="9"/>
  <c r="N762" i="9"/>
  <c r="M762" i="9"/>
  <c r="L762" i="9"/>
  <c r="K762" i="9"/>
  <c r="J762" i="9"/>
  <c r="I762" i="9"/>
  <c r="H762" i="9"/>
  <c r="G762" i="9"/>
  <c r="E762" i="9"/>
  <c r="D762" i="9"/>
  <c r="A762" i="9"/>
  <c r="J133" i="11"/>
  <c r="O761" i="9"/>
  <c r="N761" i="9"/>
  <c r="M761" i="9"/>
  <c r="L761" i="9"/>
  <c r="K761" i="9"/>
  <c r="J761" i="9"/>
  <c r="I761" i="9"/>
  <c r="H761" i="9"/>
  <c r="G761" i="9"/>
  <c r="E761" i="9"/>
  <c r="D761" i="9"/>
  <c r="A761" i="9"/>
  <c r="J132" i="11"/>
  <c r="O760" i="9"/>
  <c r="N760" i="9"/>
  <c r="M760" i="9"/>
  <c r="L760" i="9"/>
  <c r="K760" i="9"/>
  <c r="J760" i="9"/>
  <c r="I760" i="9"/>
  <c r="H760" i="9"/>
  <c r="G760" i="9"/>
  <c r="E760" i="9"/>
  <c r="D760" i="9"/>
  <c r="A760" i="9"/>
  <c r="J131" i="11"/>
  <c r="O759" i="9"/>
  <c r="N759" i="9"/>
  <c r="M759" i="9"/>
  <c r="L759" i="9"/>
  <c r="K759" i="9"/>
  <c r="J759" i="9"/>
  <c r="I759" i="9"/>
  <c r="H759" i="9"/>
  <c r="G759" i="9"/>
  <c r="E759" i="9"/>
  <c r="D759" i="9"/>
  <c r="A759" i="9"/>
  <c r="J130" i="11"/>
  <c r="O758" i="9"/>
  <c r="N758" i="9"/>
  <c r="M758" i="9"/>
  <c r="L758" i="9"/>
  <c r="K758" i="9"/>
  <c r="J758" i="9"/>
  <c r="I758" i="9"/>
  <c r="H758" i="9"/>
  <c r="G758" i="9"/>
  <c r="E758" i="9"/>
  <c r="D758" i="9"/>
  <c r="A758" i="9"/>
  <c r="J129" i="11"/>
  <c r="O757" i="9"/>
  <c r="N757" i="9"/>
  <c r="M757" i="9"/>
  <c r="L757" i="9"/>
  <c r="K757" i="9"/>
  <c r="J757" i="9"/>
  <c r="I757" i="9"/>
  <c r="H757" i="9"/>
  <c r="G757" i="9"/>
  <c r="E757" i="9"/>
  <c r="D757" i="9"/>
  <c r="A757" i="9"/>
  <c r="J128" i="11"/>
  <c r="O756" i="9"/>
  <c r="N756" i="9"/>
  <c r="M756" i="9"/>
  <c r="L756" i="9"/>
  <c r="K756" i="9"/>
  <c r="J756" i="9"/>
  <c r="I756" i="9"/>
  <c r="H756" i="9"/>
  <c r="G756" i="9"/>
  <c r="E756" i="9"/>
  <c r="D756" i="9"/>
  <c r="A756" i="9"/>
  <c r="J127" i="11"/>
  <c r="O755" i="9"/>
  <c r="N755" i="9"/>
  <c r="M755" i="9"/>
  <c r="L755" i="9"/>
  <c r="K755" i="9"/>
  <c r="J755" i="9"/>
  <c r="I755" i="9"/>
  <c r="H755" i="9"/>
  <c r="G755" i="9"/>
  <c r="E755" i="9"/>
  <c r="D755" i="9"/>
  <c r="A755" i="9"/>
  <c r="J126" i="11"/>
  <c r="O754" i="9"/>
  <c r="N754" i="9"/>
  <c r="M754" i="9"/>
  <c r="L754" i="9"/>
  <c r="K754" i="9"/>
  <c r="J754" i="9"/>
  <c r="I754" i="9"/>
  <c r="H754" i="9"/>
  <c r="G754" i="9"/>
  <c r="E754" i="9"/>
  <c r="D754" i="9"/>
  <c r="A754" i="9"/>
  <c r="J125" i="11"/>
  <c r="O753" i="9"/>
  <c r="N753" i="9"/>
  <c r="M753" i="9"/>
  <c r="L753" i="9"/>
  <c r="K753" i="9"/>
  <c r="J753" i="9"/>
  <c r="I753" i="9"/>
  <c r="H753" i="9"/>
  <c r="G753" i="9"/>
  <c r="E753" i="9"/>
  <c r="D753" i="9"/>
  <c r="A753" i="9"/>
  <c r="J124" i="11"/>
  <c r="O752" i="9"/>
  <c r="N752" i="9"/>
  <c r="M752" i="9"/>
  <c r="L752" i="9"/>
  <c r="K752" i="9"/>
  <c r="J752" i="9"/>
  <c r="I752" i="9"/>
  <c r="H752" i="9"/>
  <c r="G752" i="9"/>
  <c r="E752" i="9"/>
  <c r="D752" i="9"/>
  <c r="A752" i="9"/>
  <c r="J123" i="11"/>
  <c r="O751" i="9"/>
  <c r="N751" i="9"/>
  <c r="M751" i="9"/>
  <c r="L751" i="9"/>
  <c r="K751" i="9"/>
  <c r="J751" i="9"/>
  <c r="I751" i="9"/>
  <c r="H751" i="9"/>
  <c r="G751" i="9"/>
  <c r="E751" i="9"/>
  <c r="D751" i="9"/>
  <c r="A751" i="9"/>
  <c r="J122" i="11"/>
  <c r="O750" i="9"/>
  <c r="N750" i="9"/>
  <c r="M750" i="9"/>
  <c r="L750" i="9"/>
  <c r="K750" i="9"/>
  <c r="J750" i="9"/>
  <c r="I750" i="9"/>
  <c r="H750" i="9"/>
  <c r="G750" i="9"/>
  <c r="E750" i="9"/>
  <c r="D750" i="9"/>
  <c r="A750" i="9"/>
  <c r="J121" i="11"/>
  <c r="O749" i="9"/>
  <c r="N749" i="9"/>
  <c r="M749" i="9"/>
  <c r="L749" i="9"/>
  <c r="K749" i="9"/>
  <c r="J749" i="9"/>
  <c r="I749" i="9"/>
  <c r="H749" i="9"/>
  <c r="G749" i="9"/>
  <c r="E749" i="9"/>
  <c r="D749" i="9"/>
  <c r="A749" i="9"/>
  <c r="J120" i="11"/>
  <c r="O748" i="9"/>
  <c r="N748" i="9"/>
  <c r="M748" i="9"/>
  <c r="L748" i="9"/>
  <c r="K748" i="9"/>
  <c r="J748" i="9"/>
  <c r="I748" i="9"/>
  <c r="H748" i="9"/>
  <c r="G748" i="9"/>
  <c r="E748" i="9"/>
  <c r="D748" i="9"/>
  <c r="A748" i="9"/>
  <c r="J119" i="11"/>
  <c r="O747" i="9"/>
  <c r="N747" i="9"/>
  <c r="M747" i="9"/>
  <c r="L747" i="9"/>
  <c r="K747" i="9"/>
  <c r="J747" i="9"/>
  <c r="I747" i="9"/>
  <c r="H747" i="9"/>
  <c r="G747" i="9"/>
  <c r="E747" i="9"/>
  <c r="D747" i="9"/>
  <c r="A747" i="9"/>
  <c r="J118" i="11"/>
  <c r="O746" i="9"/>
  <c r="N746" i="9"/>
  <c r="M746" i="9"/>
  <c r="L746" i="9"/>
  <c r="K746" i="9"/>
  <c r="J746" i="9"/>
  <c r="I746" i="9"/>
  <c r="H746" i="9"/>
  <c r="G746" i="9"/>
  <c r="E746" i="9"/>
  <c r="D746" i="9"/>
  <c r="A746" i="9"/>
  <c r="J117" i="11"/>
  <c r="O745" i="9"/>
  <c r="N745" i="9"/>
  <c r="M745" i="9"/>
  <c r="L745" i="9"/>
  <c r="K745" i="9"/>
  <c r="J745" i="9"/>
  <c r="I745" i="9"/>
  <c r="H745" i="9"/>
  <c r="G745" i="9"/>
  <c r="E745" i="9"/>
  <c r="D745" i="9"/>
  <c r="A745" i="9"/>
  <c r="J116" i="11"/>
  <c r="O744" i="9"/>
  <c r="N744" i="9"/>
  <c r="M744" i="9"/>
  <c r="L744" i="9"/>
  <c r="K744" i="9"/>
  <c r="J744" i="9"/>
  <c r="I744" i="9"/>
  <c r="H744" i="9"/>
  <c r="G744" i="9"/>
  <c r="E744" i="9"/>
  <c r="D744" i="9"/>
  <c r="A744" i="9"/>
  <c r="J115" i="11"/>
  <c r="O743" i="9"/>
  <c r="N743" i="9"/>
  <c r="M743" i="9"/>
  <c r="L743" i="9"/>
  <c r="K743" i="9"/>
  <c r="J743" i="9"/>
  <c r="I743" i="9"/>
  <c r="H743" i="9"/>
  <c r="G743" i="9"/>
  <c r="E743" i="9"/>
  <c r="D743" i="9"/>
  <c r="A743" i="9"/>
  <c r="J114" i="11"/>
  <c r="O742" i="9"/>
  <c r="N742" i="9"/>
  <c r="M742" i="9"/>
  <c r="L742" i="9"/>
  <c r="K742" i="9"/>
  <c r="J742" i="9"/>
  <c r="I742" i="9"/>
  <c r="H742" i="9"/>
  <c r="G742" i="9"/>
  <c r="E742" i="9"/>
  <c r="D742" i="9"/>
  <c r="A742" i="9"/>
  <c r="J113" i="11"/>
  <c r="O741" i="9"/>
  <c r="N741" i="9"/>
  <c r="M741" i="9"/>
  <c r="L741" i="9"/>
  <c r="K741" i="9"/>
  <c r="J741" i="9"/>
  <c r="I741" i="9"/>
  <c r="H741" i="9"/>
  <c r="G741" i="9"/>
  <c r="E741" i="9"/>
  <c r="D741" i="9"/>
  <c r="A741" i="9"/>
  <c r="J112" i="11"/>
  <c r="O740" i="9"/>
  <c r="N740" i="9"/>
  <c r="M740" i="9"/>
  <c r="L740" i="9"/>
  <c r="K740" i="9"/>
  <c r="J740" i="9"/>
  <c r="I740" i="9"/>
  <c r="H740" i="9"/>
  <c r="G740" i="9"/>
  <c r="E740" i="9"/>
  <c r="D740" i="9"/>
  <c r="A740" i="9"/>
  <c r="J111" i="11"/>
  <c r="O739" i="9"/>
  <c r="N739" i="9"/>
  <c r="M739" i="9"/>
  <c r="L739" i="9"/>
  <c r="K739" i="9"/>
  <c r="J739" i="9"/>
  <c r="I739" i="9"/>
  <c r="H739" i="9"/>
  <c r="G739" i="9"/>
  <c r="E739" i="9"/>
  <c r="D739" i="9"/>
  <c r="A739" i="9"/>
  <c r="J110" i="11"/>
  <c r="O738" i="9"/>
  <c r="N738" i="9"/>
  <c r="M738" i="9"/>
  <c r="L738" i="9"/>
  <c r="K738" i="9"/>
  <c r="J738" i="9"/>
  <c r="I738" i="9"/>
  <c r="H738" i="9"/>
  <c r="G738" i="9"/>
  <c r="E738" i="9"/>
  <c r="D738" i="9"/>
  <c r="A738" i="9"/>
  <c r="J109" i="11"/>
  <c r="O737" i="9"/>
  <c r="N737" i="9"/>
  <c r="M737" i="9"/>
  <c r="L737" i="9"/>
  <c r="K737" i="9"/>
  <c r="J737" i="9"/>
  <c r="I737" i="9"/>
  <c r="H737" i="9"/>
  <c r="G737" i="9"/>
  <c r="E737" i="9"/>
  <c r="D737" i="9"/>
  <c r="A737" i="9"/>
  <c r="J108" i="11"/>
  <c r="O736" i="9"/>
  <c r="N736" i="9"/>
  <c r="M736" i="9"/>
  <c r="L736" i="9"/>
  <c r="K736" i="9"/>
  <c r="J736" i="9"/>
  <c r="I736" i="9"/>
  <c r="H736" i="9"/>
  <c r="G736" i="9"/>
  <c r="E736" i="9"/>
  <c r="D736" i="9"/>
  <c r="A736" i="9"/>
  <c r="J107" i="11"/>
  <c r="O735" i="9"/>
  <c r="N735" i="9"/>
  <c r="M735" i="9"/>
  <c r="L735" i="9"/>
  <c r="K735" i="9"/>
  <c r="J735" i="9"/>
  <c r="I735" i="9"/>
  <c r="H735" i="9"/>
  <c r="G735" i="9"/>
  <c r="E735" i="9"/>
  <c r="D735" i="9"/>
  <c r="A735" i="9"/>
  <c r="J106" i="11"/>
  <c r="O734" i="9"/>
  <c r="N734" i="9"/>
  <c r="M734" i="9"/>
  <c r="L734" i="9"/>
  <c r="K734" i="9"/>
  <c r="J734" i="9"/>
  <c r="I734" i="9"/>
  <c r="H734" i="9"/>
  <c r="G734" i="9"/>
  <c r="E734" i="9"/>
  <c r="D734" i="9"/>
  <c r="A734" i="9"/>
  <c r="J105" i="11"/>
  <c r="O733" i="9"/>
  <c r="N733" i="9"/>
  <c r="M733" i="9"/>
  <c r="L733" i="9"/>
  <c r="K733" i="9"/>
  <c r="J733" i="9"/>
  <c r="I733" i="9"/>
  <c r="H733" i="9"/>
  <c r="G733" i="9"/>
  <c r="E733" i="9"/>
  <c r="D733" i="9"/>
  <c r="A733" i="9"/>
  <c r="J104" i="11"/>
  <c r="O732" i="9"/>
  <c r="N732" i="9"/>
  <c r="M732" i="9"/>
  <c r="L732" i="9"/>
  <c r="K732" i="9"/>
  <c r="J732" i="9"/>
  <c r="I732" i="9"/>
  <c r="H732" i="9"/>
  <c r="G732" i="9"/>
  <c r="E732" i="9"/>
  <c r="D732" i="9"/>
  <c r="A732" i="9"/>
  <c r="J103" i="11"/>
  <c r="O731" i="9"/>
  <c r="N731" i="9"/>
  <c r="M731" i="9"/>
  <c r="L731" i="9"/>
  <c r="K731" i="9"/>
  <c r="J731" i="9"/>
  <c r="I731" i="9"/>
  <c r="H731" i="9"/>
  <c r="G731" i="9"/>
  <c r="E731" i="9"/>
  <c r="D731" i="9"/>
  <c r="A731" i="9"/>
  <c r="J102" i="11"/>
  <c r="O730" i="9"/>
  <c r="N730" i="9"/>
  <c r="M730" i="9"/>
  <c r="L730" i="9"/>
  <c r="K730" i="9"/>
  <c r="J730" i="9"/>
  <c r="I730" i="9"/>
  <c r="H730" i="9"/>
  <c r="G730" i="9"/>
  <c r="E730" i="9"/>
  <c r="D730" i="9"/>
  <c r="A730" i="9"/>
  <c r="J101" i="11"/>
  <c r="O729" i="9"/>
  <c r="N729" i="9"/>
  <c r="M729" i="9"/>
  <c r="L729" i="9"/>
  <c r="K729" i="9"/>
  <c r="J729" i="9"/>
  <c r="I729" i="9"/>
  <c r="H729" i="9"/>
  <c r="G729" i="9"/>
  <c r="E729" i="9"/>
  <c r="D729" i="9"/>
  <c r="A729" i="9"/>
  <c r="J100" i="11"/>
  <c r="O728" i="9"/>
  <c r="N728" i="9"/>
  <c r="M728" i="9"/>
  <c r="L728" i="9"/>
  <c r="K728" i="9"/>
  <c r="J728" i="9"/>
  <c r="I728" i="9"/>
  <c r="H728" i="9"/>
  <c r="G728" i="9"/>
  <c r="E728" i="9"/>
  <c r="D728" i="9"/>
  <c r="A728" i="9"/>
  <c r="J98" i="11"/>
  <c r="O726" i="9"/>
  <c r="N726" i="9"/>
  <c r="M726" i="9"/>
  <c r="L726" i="9"/>
  <c r="K726" i="9"/>
  <c r="J726" i="9"/>
  <c r="I726" i="9"/>
  <c r="H726" i="9"/>
  <c r="G726" i="9"/>
  <c r="E726" i="9"/>
  <c r="D726" i="9"/>
  <c r="A726" i="9"/>
  <c r="J97" i="11"/>
  <c r="O725" i="9"/>
  <c r="N725" i="9"/>
  <c r="M725" i="9"/>
  <c r="L725" i="9"/>
  <c r="K725" i="9"/>
  <c r="J725" i="9"/>
  <c r="I725" i="9"/>
  <c r="H725" i="9"/>
  <c r="G725" i="9"/>
  <c r="E725" i="9"/>
  <c r="D725" i="9"/>
  <c r="A725" i="9"/>
  <c r="J96" i="11"/>
  <c r="O724" i="9"/>
  <c r="N724" i="9"/>
  <c r="M724" i="9"/>
  <c r="L724" i="9"/>
  <c r="K724" i="9"/>
  <c r="J724" i="9"/>
  <c r="I724" i="9"/>
  <c r="H724" i="9"/>
  <c r="G724" i="9"/>
  <c r="E724" i="9"/>
  <c r="D724" i="9"/>
  <c r="A724" i="9"/>
  <c r="J95" i="11"/>
  <c r="O723" i="9"/>
  <c r="N723" i="9"/>
  <c r="M723" i="9"/>
  <c r="L723" i="9"/>
  <c r="K723" i="9"/>
  <c r="J723" i="9"/>
  <c r="I723" i="9"/>
  <c r="H723" i="9"/>
  <c r="G723" i="9"/>
  <c r="E723" i="9"/>
  <c r="D723" i="9"/>
  <c r="A723" i="9"/>
  <c r="J94" i="11"/>
  <c r="O722" i="9"/>
  <c r="N722" i="9"/>
  <c r="M722" i="9"/>
  <c r="L722" i="9"/>
  <c r="K722" i="9"/>
  <c r="J722" i="9"/>
  <c r="I722" i="9"/>
  <c r="H722" i="9"/>
  <c r="G722" i="9"/>
  <c r="E722" i="9"/>
  <c r="D722" i="9"/>
  <c r="A722" i="9"/>
  <c r="O721" i="9"/>
  <c r="N721" i="9"/>
  <c r="M721" i="9"/>
  <c r="L721" i="9"/>
  <c r="K721" i="9"/>
  <c r="J721" i="9"/>
  <c r="I721" i="9"/>
  <c r="H721" i="9"/>
  <c r="G721" i="9"/>
  <c r="E721" i="9"/>
  <c r="D721" i="9"/>
  <c r="A721" i="9"/>
  <c r="J92" i="11"/>
  <c r="O720" i="9"/>
  <c r="N720" i="9"/>
  <c r="M720" i="9"/>
  <c r="L720" i="9"/>
  <c r="K720" i="9"/>
  <c r="J720" i="9"/>
  <c r="I720" i="9"/>
  <c r="H720" i="9"/>
  <c r="G720" i="9"/>
  <c r="E720" i="9"/>
  <c r="D720" i="9"/>
  <c r="A720" i="9"/>
  <c r="J91" i="11"/>
  <c r="O719" i="9"/>
  <c r="N719" i="9"/>
  <c r="M719" i="9"/>
  <c r="L719" i="9"/>
  <c r="K719" i="9"/>
  <c r="J719" i="9"/>
  <c r="I719" i="9"/>
  <c r="H719" i="9"/>
  <c r="G719" i="9"/>
  <c r="E719" i="9"/>
  <c r="D719" i="9"/>
  <c r="A719" i="9"/>
  <c r="J90" i="11"/>
  <c r="O718" i="9"/>
  <c r="N718" i="9"/>
  <c r="M718" i="9"/>
  <c r="L718" i="9"/>
  <c r="K718" i="9"/>
  <c r="J718" i="9"/>
  <c r="I718" i="9"/>
  <c r="H718" i="9"/>
  <c r="G718" i="9"/>
  <c r="E718" i="9"/>
  <c r="D718" i="9"/>
  <c r="A718" i="9"/>
  <c r="J89" i="11"/>
  <c r="O717" i="9"/>
  <c r="N717" i="9"/>
  <c r="M717" i="9"/>
  <c r="L717" i="9"/>
  <c r="K717" i="9"/>
  <c r="J717" i="9"/>
  <c r="I717" i="9"/>
  <c r="H717" i="9"/>
  <c r="G717" i="9"/>
  <c r="E717" i="9"/>
  <c r="D717" i="9"/>
  <c r="A717" i="9"/>
  <c r="J88" i="11"/>
  <c r="O716" i="9"/>
  <c r="N716" i="9"/>
  <c r="M716" i="9"/>
  <c r="L716" i="9"/>
  <c r="K716" i="9"/>
  <c r="J716" i="9"/>
  <c r="I716" i="9"/>
  <c r="H716" i="9"/>
  <c r="G716" i="9"/>
  <c r="E716" i="9"/>
  <c r="D716" i="9"/>
  <c r="A716" i="9"/>
  <c r="J87" i="11"/>
  <c r="O715" i="9"/>
  <c r="N715" i="9"/>
  <c r="M715" i="9"/>
  <c r="L715" i="9"/>
  <c r="K715" i="9"/>
  <c r="J715" i="9"/>
  <c r="I715" i="9"/>
  <c r="H715" i="9"/>
  <c r="G715" i="9"/>
  <c r="E715" i="9"/>
  <c r="D715" i="9"/>
  <c r="A715" i="9"/>
  <c r="J86" i="11"/>
  <c r="O714" i="9"/>
  <c r="N714" i="9"/>
  <c r="M714" i="9"/>
  <c r="L714" i="9"/>
  <c r="K714" i="9"/>
  <c r="J714" i="9"/>
  <c r="I714" i="9"/>
  <c r="H714" i="9"/>
  <c r="G714" i="9"/>
  <c r="E714" i="9"/>
  <c r="D714" i="9"/>
  <c r="A714" i="9"/>
  <c r="J85" i="11"/>
  <c r="O713" i="9"/>
  <c r="N713" i="9"/>
  <c r="M713" i="9"/>
  <c r="L713" i="9"/>
  <c r="K713" i="9"/>
  <c r="J713" i="9"/>
  <c r="I713" i="9"/>
  <c r="H713" i="9"/>
  <c r="G713" i="9"/>
  <c r="E713" i="9"/>
  <c r="D713" i="9"/>
  <c r="A713" i="9"/>
  <c r="J84" i="11"/>
  <c r="O712" i="9"/>
  <c r="N712" i="9"/>
  <c r="M712" i="9"/>
  <c r="L712" i="9"/>
  <c r="K712" i="9"/>
  <c r="J712" i="9"/>
  <c r="I712" i="9"/>
  <c r="H712" i="9"/>
  <c r="G712" i="9"/>
  <c r="E712" i="9"/>
  <c r="D712" i="9"/>
  <c r="A712" i="9"/>
  <c r="J83" i="11"/>
  <c r="O711" i="9"/>
  <c r="N711" i="9"/>
  <c r="M711" i="9"/>
  <c r="L711" i="9"/>
  <c r="K711" i="9"/>
  <c r="J711" i="9"/>
  <c r="I711" i="9"/>
  <c r="H711" i="9"/>
  <c r="G711" i="9"/>
  <c r="E711" i="9"/>
  <c r="D711" i="9"/>
  <c r="A711" i="9"/>
  <c r="J82" i="11"/>
  <c r="O710" i="9"/>
  <c r="N710" i="9"/>
  <c r="M710" i="9"/>
  <c r="L710" i="9"/>
  <c r="K710" i="9"/>
  <c r="J710" i="9"/>
  <c r="I710" i="9"/>
  <c r="H710" i="9"/>
  <c r="G710" i="9"/>
  <c r="E710" i="9"/>
  <c r="D710" i="9"/>
  <c r="A710" i="9"/>
  <c r="J81" i="11"/>
  <c r="O709" i="9"/>
  <c r="N709" i="9"/>
  <c r="M709" i="9"/>
  <c r="L709" i="9"/>
  <c r="K709" i="9"/>
  <c r="J709" i="9"/>
  <c r="I709" i="9"/>
  <c r="H709" i="9"/>
  <c r="G709" i="9"/>
  <c r="E709" i="9"/>
  <c r="D709" i="9"/>
  <c r="A709" i="9"/>
  <c r="J80" i="11"/>
  <c r="O708" i="9"/>
  <c r="N708" i="9"/>
  <c r="M708" i="9"/>
  <c r="L708" i="9"/>
  <c r="K708" i="9"/>
  <c r="J708" i="9"/>
  <c r="I708" i="9"/>
  <c r="H708" i="9"/>
  <c r="G708" i="9"/>
  <c r="E708" i="9"/>
  <c r="D708" i="9"/>
  <c r="A708" i="9"/>
  <c r="J79" i="11"/>
  <c r="O707" i="9"/>
  <c r="N707" i="9"/>
  <c r="M707" i="9"/>
  <c r="L707" i="9"/>
  <c r="K707" i="9"/>
  <c r="J707" i="9"/>
  <c r="I707" i="9"/>
  <c r="H707" i="9"/>
  <c r="G707" i="9"/>
  <c r="E707" i="9"/>
  <c r="D707" i="9"/>
  <c r="A707" i="9"/>
  <c r="J78" i="11"/>
  <c r="O706" i="9"/>
  <c r="N706" i="9"/>
  <c r="M706" i="9"/>
  <c r="L706" i="9"/>
  <c r="K706" i="9"/>
  <c r="J706" i="9"/>
  <c r="I706" i="9"/>
  <c r="H706" i="9"/>
  <c r="G706" i="9"/>
  <c r="E706" i="9"/>
  <c r="D706" i="9"/>
  <c r="A706" i="9"/>
  <c r="J77" i="11"/>
  <c r="O705" i="9"/>
  <c r="N705" i="9"/>
  <c r="M705" i="9"/>
  <c r="L705" i="9"/>
  <c r="K705" i="9"/>
  <c r="J705" i="9"/>
  <c r="I705" i="9"/>
  <c r="H705" i="9"/>
  <c r="G705" i="9"/>
  <c r="E705" i="9"/>
  <c r="D705" i="9"/>
  <c r="A705" i="9"/>
  <c r="J76" i="11"/>
  <c r="O704" i="9"/>
  <c r="N704" i="9"/>
  <c r="M704" i="9"/>
  <c r="L704" i="9"/>
  <c r="K704" i="9"/>
  <c r="J704" i="9"/>
  <c r="I704" i="9"/>
  <c r="H704" i="9"/>
  <c r="G704" i="9"/>
  <c r="E704" i="9"/>
  <c r="D704" i="9"/>
  <c r="A704" i="9"/>
  <c r="J75" i="11"/>
  <c r="O703" i="9"/>
  <c r="N703" i="9"/>
  <c r="M703" i="9"/>
  <c r="L703" i="9"/>
  <c r="K703" i="9"/>
  <c r="J703" i="9"/>
  <c r="I703" i="9"/>
  <c r="H703" i="9"/>
  <c r="G703" i="9"/>
  <c r="E703" i="9"/>
  <c r="D703" i="9"/>
  <c r="A703" i="9"/>
  <c r="J74" i="11"/>
  <c r="O702" i="9"/>
  <c r="N702" i="9"/>
  <c r="M702" i="9"/>
  <c r="L702" i="9"/>
  <c r="K702" i="9"/>
  <c r="J702" i="9"/>
  <c r="I702" i="9"/>
  <c r="H702" i="9"/>
  <c r="G702" i="9"/>
  <c r="E702" i="9"/>
  <c r="D702" i="9"/>
  <c r="A702" i="9"/>
  <c r="J73" i="11"/>
  <c r="O701" i="9"/>
  <c r="N701" i="9"/>
  <c r="M701" i="9"/>
  <c r="L701" i="9"/>
  <c r="K701" i="9"/>
  <c r="J701" i="9"/>
  <c r="I701" i="9"/>
  <c r="H701" i="9"/>
  <c r="G701" i="9"/>
  <c r="E701" i="9"/>
  <c r="D701" i="9"/>
  <c r="A701" i="9"/>
  <c r="J72" i="11"/>
  <c r="O700" i="9"/>
  <c r="N700" i="9"/>
  <c r="M700" i="9"/>
  <c r="L700" i="9"/>
  <c r="K700" i="9"/>
  <c r="J700" i="9"/>
  <c r="I700" i="9"/>
  <c r="H700" i="9"/>
  <c r="G700" i="9"/>
  <c r="E700" i="9"/>
  <c r="D700" i="9"/>
  <c r="A700" i="9"/>
  <c r="J71" i="11"/>
  <c r="O699" i="9"/>
  <c r="N699" i="9"/>
  <c r="M699" i="9"/>
  <c r="L699" i="9"/>
  <c r="K699" i="9"/>
  <c r="J699" i="9"/>
  <c r="I699" i="9"/>
  <c r="H699" i="9"/>
  <c r="G699" i="9"/>
  <c r="E699" i="9"/>
  <c r="D699" i="9"/>
  <c r="A699" i="9"/>
  <c r="O697" i="9"/>
  <c r="N697" i="9"/>
  <c r="M697" i="9"/>
  <c r="L697" i="9"/>
  <c r="K697" i="9"/>
  <c r="J697" i="9"/>
  <c r="I697" i="9"/>
  <c r="H697" i="9"/>
  <c r="G697" i="9"/>
  <c r="E697" i="9"/>
  <c r="D697" i="9"/>
  <c r="A697" i="9"/>
  <c r="O696" i="9"/>
  <c r="N696" i="9"/>
  <c r="M696" i="9"/>
  <c r="L696" i="9"/>
  <c r="K696" i="9"/>
  <c r="J696" i="9"/>
  <c r="I696" i="9"/>
  <c r="H696" i="9"/>
  <c r="G696" i="9"/>
  <c r="E696" i="9"/>
  <c r="D696" i="9"/>
  <c r="A696" i="9"/>
  <c r="O695" i="9"/>
  <c r="N695" i="9"/>
  <c r="M695" i="9"/>
  <c r="L695" i="9"/>
  <c r="K695" i="9"/>
  <c r="J695" i="9"/>
  <c r="I695" i="9"/>
  <c r="H695" i="9"/>
  <c r="G695" i="9"/>
  <c r="E695" i="9"/>
  <c r="D695" i="9"/>
  <c r="A695" i="9"/>
  <c r="O694" i="9"/>
  <c r="N694" i="9"/>
  <c r="M694" i="9"/>
  <c r="L694" i="9"/>
  <c r="K694" i="9"/>
  <c r="J694" i="9"/>
  <c r="I694" i="9"/>
  <c r="H694" i="9"/>
  <c r="G694" i="9"/>
  <c r="E694" i="9"/>
  <c r="D694" i="9"/>
  <c r="A694" i="9"/>
  <c r="O693" i="9"/>
  <c r="N693" i="9"/>
  <c r="M693" i="9"/>
  <c r="L693" i="9"/>
  <c r="K693" i="9"/>
  <c r="J693" i="9"/>
  <c r="I693" i="9"/>
  <c r="H693" i="9"/>
  <c r="G693" i="9"/>
  <c r="E693" i="9"/>
  <c r="D693" i="9"/>
  <c r="A693" i="9"/>
  <c r="O692" i="9"/>
  <c r="N692" i="9"/>
  <c r="M692" i="9"/>
  <c r="L692" i="9"/>
  <c r="K692" i="9"/>
  <c r="J692" i="9"/>
  <c r="I692" i="9"/>
  <c r="H692" i="9"/>
  <c r="G692" i="9"/>
  <c r="E692" i="9"/>
  <c r="D692" i="9"/>
  <c r="A692" i="9"/>
  <c r="O691" i="9"/>
  <c r="N691" i="9"/>
  <c r="M691" i="9"/>
  <c r="L691" i="9"/>
  <c r="K691" i="9"/>
  <c r="J691" i="9"/>
  <c r="I691" i="9"/>
  <c r="H691" i="9"/>
  <c r="G691" i="9"/>
  <c r="E691" i="9"/>
  <c r="D691" i="9"/>
  <c r="A691" i="9"/>
  <c r="O690" i="9"/>
  <c r="N690" i="9"/>
  <c r="M690" i="9"/>
  <c r="L690" i="9"/>
  <c r="K690" i="9"/>
  <c r="J690" i="9"/>
  <c r="I690" i="9"/>
  <c r="H690" i="9"/>
  <c r="G690" i="9"/>
  <c r="E690" i="9"/>
  <c r="D690" i="9"/>
  <c r="A690" i="9"/>
  <c r="O689" i="9"/>
  <c r="N689" i="9"/>
  <c r="M689" i="9"/>
  <c r="L689" i="9"/>
  <c r="K689" i="9"/>
  <c r="J689" i="9"/>
  <c r="I689" i="9"/>
  <c r="H689" i="9"/>
  <c r="G689" i="9"/>
  <c r="E689" i="9"/>
  <c r="D689" i="9"/>
  <c r="A689" i="9"/>
  <c r="O688" i="9"/>
  <c r="N688" i="9"/>
  <c r="M688" i="9"/>
  <c r="L688" i="9"/>
  <c r="K688" i="9"/>
  <c r="J688" i="9"/>
  <c r="I688" i="9"/>
  <c r="H688" i="9"/>
  <c r="G688" i="9"/>
  <c r="E688" i="9"/>
  <c r="D688" i="9"/>
  <c r="A688" i="9"/>
  <c r="O687" i="9"/>
  <c r="N687" i="9"/>
  <c r="M687" i="9"/>
  <c r="L687" i="9"/>
  <c r="K687" i="9"/>
  <c r="J687" i="9"/>
  <c r="I687" i="9"/>
  <c r="H687" i="9"/>
  <c r="G687" i="9"/>
  <c r="E687" i="9"/>
  <c r="D687" i="9"/>
  <c r="A687" i="9"/>
  <c r="O686" i="9"/>
  <c r="N686" i="9"/>
  <c r="M686" i="9"/>
  <c r="L686" i="9"/>
  <c r="K686" i="9"/>
  <c r="J686" i="9"/>
  <c r="I686" i="9"/>
  <c r="H686" i="9"/>
  <c r="G686" i="9"/>
  <c r="E686" i="9"/>
  <c r="D686" i="9"/>
  <c r="A686" i="9"/>
  <c r="O685" i="9"/>
  <c r="N685" i="9"/>
  <c r="M685" i="9"/>
  <c r="L685" i="9"/>
  <c r="K685" i="9"/>
  <c r="J685" i="9"/>
  <c r="I685" i="9"/>
  <c r="H685" i="9"/>
  <c r="G685" i="9"/>
  <c r="E685" i="9"/>
  <c r="D685" i="9"/>
  <c r="A685" i="9"/>
  <c r="O684" i="9"/>
  <c r="N684" i="9"/>
  <c r="M684" i="9"/>
  <c r="L684" i="9"/>
  <c r="K684" i="9"/>
  <c r="J684" i="9"/>
  <c r="I684" i="9"/>
  <c r="H684" i="9"/>
  <c r="G684" i="9"/>
  <c r="E684" i="9"/>
  <c r="D684" i="9"/>
  <c r="A684" i="9"/>
  <c r="O683" i="9"/>
  <c r="N683" i="9"/>
  <c r="M683" i="9"/>
  <c r="L683" i="9"/>
  <c r="K683" i="9"/>
  <c r="J683" i="9"/>
  <c r="I683" i="9"/>
  <c r="H683" i="9"/>
  <c r="G683" i="9"/>
  <c r="E683" i="9"/>
  <c r="D683" i="9"/>
  <c r="A683" i="9"/>
  <c r="O682" i="9"/>
  <c r="N682" i="9"/>
  <c r="M682" i="9"/>
  <c r="L682" i="9"/>
  <c r="K682" i="9"/>
  <c r="J682" i="9"/>
  <c r="I682" i="9"/>
  <c r="H682" i="9"/>
  <c r="G682" i="9"/>
  <c r="E682" i="9"/>
  <c r="D682" i="9"/>
  <c r="A682" i="9"/>
  <c r="O681" i="9"/>
  <c r="N681" i="9"/>
  <c r="M681" i="9"/>
  <c r="L681" i="9"/>
  <c r="K681" i="9"/>
  <c r="J681" i="9"/>
  <c r="I681" i="9"/>
  <c r="H681" i="9"/>
  <c r="G681" i="9"/>
  <c r="E681" i="9"/>
  <c r="D681" i="9"/>
  <c r="A681" i="9"/>
  <c r="O680" i="9"/>
  <c r="N680" i="9"/>
  <c r="M680" i="9"/>
  <c r="L680" i="9"/>
  <c r="K680" i="9"/>
  <c r="J680" i="9"/>
  <c r="I680" i="9"/>
  <c r="H680" i="9"/>
  <c r="G680" i="9"/>
  <c r="E680" i="9"/>
  <c r="D680" i="9"/>
  <c r="A680" i="9"/>
  <c r="O679" i="9"/>
  <c r="N679" i="9"/>
  <c r="M679" i="9"/>
  <c r="L679" i="9"/>
  <c r="K679" i="9"/>
  <c r="J679" i="9"/>
  <c r="I679" i="9"/>
  <c r="H679" i="9"/>
  <c r="G679" i="9"/>
  <c r="E679" i="9"/>
  <c r="D679" i="9"/>
  <c r="A679" i="9"/>
  <c r="O678" i="9"/>
  <c r="N678" i="9"/>
  <c r="M678" i="9"/>
  <c r="L678" i="9"/>
  <c r="K678" i="9"/>
  <c r="J678" i="9"/>
  <c r="I678" i="9"/>
  <c r="H678" i="9"/>
  <c r="G678" i="9"/>
  <c r="E678" i="9"/>
  <c r="D678" i="9"/>
  <c r="A678" i="9"/>
  <c r="O677" i="9"/>
  <c r="N677" i="9"/>
  <c r="M677" i="9"/>
  <c r="L677" i="9"/>
  <c r="K677" i="9"/>
  <c r="J677" i="9"/>
  <c r="I677" i="9"/>
  <c r="H677" i="9"/>
  <c r="G677" i="9"/>
  <c r="E677" i="9"/>
  <c r="D677" i="9"/>
  <c r="A677" i="9"/>
  <c r="O676" i="9"/>
  <c r="N676" i="9"/>
  <c r="M676" i="9"/>
  <c r="L676" i="9"/>
  <c r="K676" i="9"/>
  <c r="J676" i="9"/>
  <c r="I676" i="9"/>
  <c r="H676" i="9"/>
  <c r="G676" i="9"/>
  <c r="E676" i="9"/>
  <c r="D676" i="9"/>
  <c r="A676" i="9"/>
  <c r="O675" i="9"/>
  <c r="N675" i="9"/>
  <c r="M675" i="9"/>
  <c r="L675" i="9"/>
  <c r="K675" i="9"/>
  <c r="J675" i="9"/>
  <c r="I675" i="9"/>
  <c r="H675" i="9"/>
  <c r="G675" i="9"/>
  <c r="E675" i="9"/>
  <c r="D675" i="9"/>
  <c r="A675" i="9"/>
  <c r="J46" i="11"/>
  <c r="O674" i="9"/>
  <c r="N674" i="9"/>
  <c r="M674" i="9"/>
  <c r="L674" i="9"/>
  <c r="K674" i="9"/>
  <c r="J674" i="9"/>
  <c r="I674" i="9"/>
  <c r="H674" i="9"/>
  <c r="G674" i="9"/>
  <c r="E674" i="9"/>
  <c r="D674" i="9"/>
  <c r="A674" i="9"/>
  <c r="J45" i="11"/>
  <c r="O673" i="9"/>
  <c r="N673" i="9"/>
  <c r="M673" i="9"/>
  <c r="L673" i="9"/>
  <c r="K673" i="9"/>
  <c r="J673" i="9"/>
  <c r="I673" i="9"/>
  <c r="H673" i="9"/>
  <c r="G673" i="9"/>
  <c r="E673" i="9"/>
  <c r="D673" i="9"/>
  <c r="A673" i="9"/>
  <c r="J44" i="11"/>
  <c r="O672" i="9"/>
  <c r="N672" i="9"/>
  <c r="M672" i="9"/>
  <c r="L672" i="9"/>
  <c r="K672" i="9"/>
  <c r="J672" i="9"/>
  <c r="I672" i="9"/>
  <c r="H672" i="9"/>
  <c r="G672" i="9"/>
  <c r="E672" i="9"/>
  <c r="D672" i="9"/>
  <c r="A672" i="9"/>
  <c r="J42" i="11"/>
  <c r="J41" i="11"/>
  <c r="J40" i="11"/>
  <c r="J39" i="11"/>
  <c r="J38" i="11"/>
  <c r="J36" i="11"/>
  <c r="J34" i="11"/>
  <c r="J33" i="11"/>
  <c r="J32" i="11"/>
  <c r="J31" i="11"/>
  <c r="J30" i="11"/>
  <c r="O670" i="9"/>
  <c r="N670" i="9"/>
  <c r="M670" i="9"/>
  <c r="L670" i="9"/>
  <c r="K670" i="9"/>
  <c r="J670" i="9"/>
  <c r="I670" i="9"/>
  <c r="H670" i="9"/>
  <c r="G670" i="9"/>
  <c r="E670" i="9"/>
  <c r="D670" i="9"/>
  <c r="A670" i="9"/>
  <c r="O669" i="9"/>
  <c r="N669" i="9"/>
  <c r="M669" i="9"/>
  <c r="L669" i="9"/>
  <c r="K669" i="9"/>
  <c r="J669" i="9"/>
  <c r="I669" i="9"/>
  <c r="H669" i="9"/>
  <c r="G669" i="9"/>
  <c r="E669" i="9"/>
  <c r="D669" i="9"/>
  <c r="A669" i="9"/>
  <c r="O668" i="9"/>
  <c r="N668" i="9"/>
  <c r="M668" i="9"/>
  <c r="L668" i="9"/>
  <c r="K668" i="9"/>
  <c r="J668" i="9"/>
  <c r="I668" i="9"/>
  <c r="H668" i="9"/>
  <c r="G668" i="9"/>
  <c r="E668" i="9"/>
  <c r="D668" i="9"/>
  <c r="A668" i="9"/>
  <c r="O667" i="9"/>
  <c r="N667" i="9"/>
  <c r="M667" i="9"/>
  <c r="L667" i="9"/>
  <c r="K667" i="9"/>
  <c r="J667" i="9"/>
  <c r="I667" i="9"/>
  <c r="H667" i="9"/>
  <c r="G667" i="9"/>
  <c r="E667" i="9"/>
  <c r="D667" i="9"/>
  <c r="A667" i="9"/>
  <c r="J29" i="11"/>
  <c r="O666" i="9"/>
  <c r="N666" i="9"/>
  <c r="M666" i="9"/>
  <c r="L666" i="9"/>
  <c r="K666" i="9"/>
  <c r="J666" i="9"/>
  <c r="I666" i="9"/>
  <c r="H666" i="9"/>
  <c r="G666" i="9"/>
  <c r="E666" i="9"/>
  <c r="D666" i="9"/>
  <c r="A666" i="9"/>
  <c r="O665" i="9"/>
  <c r="N665" i="9"/>
  <c r="M665" i="9"/>
  <c r="L665" i="9"/>
  <c r="K665" i="9"/>
  <c r="J665" i="9"/>
  <c r="I665" i="9"/>
  <c r="H665" i="9"/>
  <c r="G665" i="9"/>
  <c r="E665" i="9"/>
  <c r="D665" i="9"/>
  <c r="A665" i="9"/>
  <c r="J28" i="11"/>
  <c r="O664" i="9"/>
  <c r="N664" i="9"/>
  <c r="M664" i="9"/>
  <c r="L664" i="9"/>
  <c r="K664" i="9"/>
  <c r="J664" i="9"/>
  <c r="I664" i="9"/>
  <c r="H664" i="9"/>
  <c r="G664" i="9"/>
  <c r="E664" i="9"/>
  <c r="D664" i="9"/>
  <c r="A664" i="9"/>
  <c r="O663" i="9"/>
  <c r="N663" i="9"/>
  <c r="M663" i="9"/>
  <c r="L663" i="9"/>
  <c r="K663" i="9"/>
  <c r="J663" i="9"/>
  <c r="I663" i="9"/>
  <c r="H663" i="9"/>
  <c r="G663" i="9"/>
  <c r="E663" i="9"/>
  <c r="D663" i="9"/>
  <c r="A663" i="9"/>
  <c r="J27" i="11"/>
  <c r="O662" i="9"/>
  <c r="N662" i="9"/>
  <c r="M662" i="9"/>
  <c r="L662" i="9"/>
  <c r="K662" i="9"/>
  <c r="J662" i="9"/>
  <c r="I662" i="9"/>
  <c r="H662" i="9"/>
  <c r="G662" i="9"/>
  <c r="E662" i="9"/>
  <c r="D662" i="9"/>
  <c r="A662" i="9"/>
  <c r="O661" i="9"/>
  <c r="N661" i="9"/>
  <c r="M661" i="9"/>
  <c r="L661" i="9"/>
  <c r="K661" i="9"/>
  <c r="J661" i="9"/>
  <c r="I661" i="9"/>
  <c r="H661" i="9"/>
  <c r="G661" i="9"/>
  <c r="E661" i="9"/>
  <c r="D661" i="9"/>
  <c r="A661" i="9"/>
  <c r="O660" i="9"/>
  <c r="N660" i="9"/>
  <c r="M660" i="9"/>
  <c r="L660" i="9"/>
  <c r="K660" i="9"/>
  <c r="J660" i="9"/>
  <c r="I660" i="9"/>
  <c r="H660" i="9"/>
  <c r="G660" i="9"/>
  <c r="E660" i="9"/>
  <c r="D660" i="9"/>
  <c r="A660" i="9"/>
  <c r="O659" i="9"/>
  <c r="N659" i="9"/>
  <c r="M659" i="9"/>
  <c r="L659" i="9"/>
  <c r="K659" i="9"/>
  <c r="J659" i="9"/>
  <c r="I659" i="9"/>
  <c r="H659" i="9"/>
  <c r="G659" i="9"/>
  <c r="E659" i="9"/>
  <c r="D659" i="9"/>
  <c r="A659" i="9"/>
  <c r="J26" i="11"/>
  <c r="O658" i="9"/>
  <c r="N658" i="9"/>
  <c r="M658" i="9"/>
  <c r="L658" i="9"/>
  <c r="K658" i="9"/>
  <c r="J658" i="9"/>
  <c r="I658" i="9"/>
  <c r="H658" i="9"/>
  <c r="G658" i="9"/>
  <c r="E658" i="9"/>
  <c r="D658" i="9"/>
  <c r="A658" i="9"/>
  <c r="O657" i="9"/>
  <c r="N657" i="9"/>
  <c r="M657" i="9"/>
  <c r="L657" i="9"/>
  <c r="K657" i="9"/>
  <c r="J657" i="9"/>
  <c r="I657" i="9"/>
  <c r="H657" i="9"/>
  <c r="G657" i="9"/>
  <c r="E657" i="9"/>
  <c r="D657" i="9"/>
  <c r="A657" i="9"/>
  <c r="J25" i="11"/>
  <c r="O656" i="9"/>
  <c r="N656" i="9"/>
  <c r="M656" i="9"/>
  <c r="L656" i="9"/>
  <c r="K656" i="9"/>
  <c r="J656" i="9"/>
  <c r="I656" i="9"/>
  <c r="H656" i="9"/>
  <c r="G656" i="9"/>
  <c r="E656" i="9"/>
  <c r="D656" i="9"/>
  <c r="A656" i="9"/>
  <c r="J24" i="11"/>
  <c r="O655" i="9"/>
  <c r="N655" i="9"/>
  <c r="M655" i="9"/>
  <c r="L655" i="9"/>
  <c r="K655" i="9"/>
  <c r="J655" i="9"/>
  <c r="I655" i="9"/>
  <c r="H655" i="9"/>
  <c r="G655" i="9"/>
  <c r="E655" i="9"/>
  <c r="D655" i="9"/>
  <c r="A655" i="9"/>
  <c r="J23" i="11"/>
  <c r="O654" i="9"/>
  <c r="N654" i="9"/>
  <c r="M654" i="9"/>
  <c r="L654" i="9"/>
  <c r="K654" i="9"/>
  <c r="J654" i="9"/>
  <c r="I654" i="9"/>
  <c r="H654" i="9"/>
  <c r="G654" i="9"/>
  <c r="E654" i="9"/>
  <c r="D654" i="9"/>
  <c r="A654" i="9"/>
  <c r="O653" i="9"/>
  <c r="N653" i="9"/>
  <c r="M653" i="9"/>
  <c r="L653" i="9"/>
  <c r="K653" i="9"/>
  <c r="J653" i="9"/>
  <c r="I653" i="9"/>
  <c r="H653" i="9"/>
  <c r="G653" i="9"/>
  <c r="E653" i="9"/>
  <c r="D653" i="9"/>
  <c r="A653" i="9"/>
  <c r="J22" i="11"/>
  <c r="O652" i="9"/>
  <c r="N652" i="9"/>
  <c r="M652" i="9"/>
  <c r="L652" i="9"/>
  <c r="K652" i="9"/>
  <c r="J652" i="9"/>
  <c r="I652" i="9"/>
  <c r="H652" i="9"/>
  <c r="G652" i="9"/>
  <c r="E652" i="9"/>
  <c r="D652" i="9"/>
  <c r="A652" i="9"/>
  <c r="O651" i="9"/>
  <c r="N651" i="9"/>
  <c r="M651" i="9"/>
  <c r="L651" i="9"/>
  <c r="K651" i="9"/>
  <c r="J651" i="9"/>
  <c r="I651" i="9"/>
  <c r="H651" i="9"/>
  <c r="G651" i="9"/>
  <c r="E651" i="9"/>
  <c r="D651" i="9"/>
  <c r="A651" i="9"/>
  <c r="O650" i="9"/>
  <c r="N650" i="9"/>
  <c r="M650" i="9"/>
  <c r="L650" i="9"/>
  <c r="K650" i="9"/>
  <c r="J650" i="9"/>
  <c r="I650" i="9"/>
  <c r="H650" i="9"/>
  <c r="G650" i="9"/>
  <c r="E650" i="9"/>
  <c r="D650" i="9"/>
  <c r="A650" i="9"/>
  <c r="J21" i="11"/>
  <c r="O649" i="9"/>
  <c r="N649" i="9"/>
  <c r="M649" i="9"/>
  <c r="L649" i="9"/>
  <c r="K649" i="9"/>
  <c r="J649" i="9"/>
  <c r="I649" i="9"/>
  <c r="H649" i="9"/>
  <c r="G649" i="9"/>
  <c r="E649" i="9"/>
  <c r="D649" i="9"/>
  <c r="A649" i="9"/>
  <c r="J20" i="11"/>
  <c r="O648" i="9"/>
  <c r="N648" i="9"/>
  <c r="M648" i="9"/>
  <c r="L648" i="9"/>
  <c r="K648" i="9"/>
  <c r="J648" i="9"/>
  <c r="I648" i="9"/>
  <c r="H648" i="9"/>
  <c r="G648" i="9"/>
  <c r="E648" i="9"/>
  <c r="D648" i="9"/>
  <c r="A648" i="9"/>
  <c r="J19" i="11"/>
  <c r="O647" i="9"/>
  <c r="N647" i="9"/>
  <c r="M647" i="9"/>
  <c r="L647" i="9"/>
  <c r="K647" i="9"/>
  <c r="J647" i="9"/>
  <c r="I647" i="9"/>
  <c r="H647" i="9"/>
  <c r="G647" i="9"/>
  <c r="E647" i="9"/>
  <c r="D647" i="9"/>
  <c r="A647" i="9"/>
  <c r="J18" i="11"/>
  <c r="O646" i="9"/>
  <c r="N646" i="9"/>
  <c r="M646" i="9"/>
  <c r="L646" i="9"/>
  <c r="K646" i="9"/>
  <c r="J646" i="9"/>
  <c r="I646" i="9"/>
  <c r="H646" i="9"/>
  <c r="G646" i="9"/>
  <c r="E646" i="9"/>
  <c r="D646" i="9"/>
  <c r="A646" i="9"/>
  <c r="J17" i="11"/>
  <c r="O645" i="9"/>
  <c r="N645" i="9"/>
  <c r="M645" i="9"/>
  <c r="L645" i="9"/>
  <c r="K645" i="9"/>
  <c r="J645" i="9"/>
  <c r="I645" i="9"/>
  <c r="H645" i="9"/>
  <c r="G645" i="9"/>
  <c r="E645" i="9"/>
  <c r="D645" i="9"/>
  <c r="A645" i="9"/>
  <c r="J16" i="11"/>
  <c r="O644" i="9"/>
  <c r="N644" i="9"/>
  <c r="M644" i="9"/>
  <c r="L644" i="9"/>
  <c r="K644" i="9"/>
  <c r="J644" i="9"/>
  <c r="I644" i="9"/>
  <c r="H644" i="9"/>
  <c r="G644" i="9"/>
  <c r="E644" i="9"/>
  <c r="D644" i="9"/>
  <c r="A644" i="9"/>
  <c r="J15" i="11"/>
  <c r="O643" i="9"/>
  <c r="N643" i="9"/>
  <c r="M643" i="9"/>
  <c r="L643" i="9"/>
  <c r="K643" i="9"/>
  <c r="J643" i="9"/>
  <c r="I643" i="9"/>
  <c r="H643" i="9"/>
  <c r="G643" i="9"/>
  <c r="E643" i="9"/>
  <c r="D643" i="9"/>
  <c r="A643" i="9"/>
  <c r="J14" i="11"/>
  <c r="O642" i="9"/>
  <c r="N642" i="9"/>
  <c r="M642" i="9"/>
  <c r="L642" i="9"/>
  <c r="K642" i="9"/>
  <c r="J642" i="9"/>
  <c r="I642" i="9"/>
  <c r="H642" i="9"/>
  <c r="G642" i="9"/>
  <c r="E642" i="9"/>
  <c r="D642" i="9"/>
  <c r="A642" i="9"/>
  <c r="J13" i="11"/>
  <c r="O641" i="9"/>
  <c r="N641" i="9"/>
  <c r="M641" i="9"/>
  <c r="L641" i="9"/>
  <c r="K641" i="9"/>
  <c r="J641" i="9"/>
  <c r="I641" i="9"/>
  <c r="H641" i="9"/>
  <c r="G641" i="9"/>
  <c r="E641" i="9"/>
  <c r="D641" i="9"/>
  <c r="A641" i="9"/>
  <c r="J12" i="11"/>
  <c r="O640" i="9"/>
  <c r="N640" i="9"/>
  <c r="M640" i="9"/>
  <c r="L640" i="9"/>
  <c r="K640" i="9"/>
  <c r="J640" i="9"/>
  <c r="I640" i="9"/>
  <c r="H640" i="9"/>
  <c r="G640" i="9"/>
  <c r="E640" i="9"/>
  <c r="D640" i="9"/>
  <c r="A640" i="9"/>
  <c r="J11" i="11"/>
  <c r="O639" i="9"/>
  <c r="N639" i="9"/>
  <c r="M639" i="9"/>
  <c r="L639" i="9"/>
  <c r="K639" i="9"/>
  <c r="J639" i="9"/>
  <c r="I639" i="9"/>
  <c r="H639" i="9"/>
  <c r="G639" i="9"/>
  <c r="E639" i="9"/>
  <c r="D639" i="9"/>
  <c r="A639" i="9"/>
  <c r="J10" i="11"/>
  <c r="O638" i="9"/>
  <c r="N638" i="9"/>
  <c r="M638" i="9"/>
  <c r="L638" i="9"/>
  <c r="K638" i="9"/>
  <c r="J638" i="9"/>
  <c r="I638" i="9"/>
  <c r="H638" i="9"/>
  <c r="G638" i="9"/>
  <c r="E638" i="9"/>
  <c r="D638" i="9"/>
  <c r="A638" i="9"/>
  <c r="J9" i="11"/>
  <c r="O637" i="9"/>
  <c r="N637" i="9"/>
  <c r="M637" i="9"/>
  <c r="L637" i="9"/>
  <c r="K637" i="9"/>
  <c r="J637" i="9"/>
  <c r="I637" i="9"/>
  <c r="H637" i="9"/>
  <c r="G637" i="9"/>
  <c r="E637" i="9"/>
  <c r="D637" i="9"/>
  <c r="A637" i="9"/>
  <c r="J8" i="11"/>
  <c r="O636" i="9"/>
  <c r="N636" i="9"/>
  <c r="M636" i="9"/>
  <c r="L636" i="9"/>
  <c r="K636" i="9"/>
  <c r="J636" i="9"/>
  <c r="I636" i="9"/>
  <c r="H636" i="9"/>
  <c r="G636" i="9"/>
  <c r="E636" i="9"/>
  <c r="D636" i="9"/>
  <c r="A636" i="9"/>
  <c r="J7" i="11"/>
  <c r="O635" i="9"/>
  <c r="N635" i="9"/>
  <c r="M635" i="9"/>
  <c r="L635" i="9"/>
  <c r="K635" i="9"/>
  <c r="J635" i="9"/>
  <c r="I635" i="9"/>
  <c r="H635" i="9"/>
  <c r="G635" i="9"/>
  <c r="E635" i="9"/>
  <c r="D635" i="9"/>
  <c r="A635" i="9"/>
  <c r="J6" i="11"/>
  <c r="O634" i="9"/>
  <c r="N634" i="9"/>
  <c r="M634" i="9"/>
  <c r="L634" i="9"/>
  <c r="K634" i="9"/>
  <c r="J634" i="9"/>
  <c r="I634" i="9"/>
  <c r="H634" i="9"/>
  <c r="G634" i="9"/>
  <c r="E634" i="9"/>
  <c r="D634" i="9"/>
  <c r="A634" i="9"/>
  <c r="J5" i="11"/>
  <c r="O633" i="9"/>
  <c r="N633" i="9"/>
  <c r="M633" i="9"/>
  <c r="L633" i="9"/>
  <c r="K633" i="9"/>
  <c r="J633" i="9"/>
  <c r="I633" i="9"/>
  <c r="H633" i="9"/>
  <c r="G633" i="9"/>
  <c r="E633" i="9"/>
  <c r="D633" i="9"/>
  <c r="A633" i="9"/>
  <c r="J4" i="11"/>
  <c r="O632" i="9"/>
  <c r="N632" i="9"/>
  <c r="M632" i="9"/>
  <c r="L632" i="9"/>
  <c r="K632" i="9"/>
  <c r="J632" i="9"/>
  <c r="I632" i="9"/>
  <c r="H632" i="9"/>
  <c r="G632" i="9"/>
  <c r="E632" i="9"/>
  <c r="D632" i="9"/>
  <c r="A632" i="9"/>
  <c r="J3" i="11"/>
  <c r="O631" i="9"/>
  <c r="N631" i="9"/>
  <c r="M631" i="9"/>
  <c r="L631" i="9"/>
  <c r="K631" i="9"/>
  <c r="J631" i="9"/>
  <c r="I631" i="9"/>
  <c r="H631" i="9"/>
  <c r="G631" i="9"/>
  <c r="E631" i="9"/>
  <c r="D631" i="9"/>
  <c r="A631" i="9"/>
  <c r="J2" i="11"/>
  <c r="O630" i="9"/>
  <c r="N630" i="9"/>
  <c r="M630" i="9"/>
  <c r="L630" i="9"/>
  <c r="K630" i="9"/>
  <c r="J630" i="9"/>
  <c r="I630" i="9"/>
  <c r="H630" i="9"/>
  <c r="G630" i="9"/>
  <c r="E630" i="9"/>
  <c r="D630" i="9"/>
  <c r="A630" i="9"/>
  <c r="O629" i="9"/>
  <c r="N629" i="9"/>
  <c r="M629" i="9"/>
  <c r="L629" i="9"/>
  <c r="K629" i="9"/>
  <c r="J629" i="9"/>
  <c r="I629" i="9"/>
  <c r="H629" i="9"/>
  <c r="G629" i="9"/>
  <c r="E629" i="9"/>
  <c r="D629" i="9"/>
  <c r="A629" i="9"/>
  <c r="O628" i="9"/>
  <c r="N628" i="9"/>
  <c r="M628" i="9"/>
  <c r="L628" i="9"/>
  <c r="K628" i="9"/>
  <c r="J628" i="9"/>
  <c r="I628" i="9"/>
  <c r="H628" i="9"/>
  <c r="G628" i="9"/>
  <c r="E628" i="9"/>
  <c r="D628" i="9"/>
  <c r="A628" i="9"/>
  <c r="O627" i="9"/>
  <c r="N627" i="9"/>
  <c r="M627" i="9"/>
  <c r="L627" i="9"/>
  <c r="K627" i="9"/>
  <c r="J627" i="9"/>
  <c r="I627" i="9"/>
  <c r="H627" i="9"/>
  <c r="G627" i="9"/>
  <c r="E627" i="9"/>
  <c r="D627" i="9"/>
  <c r="A627" i="9"/>
  <c r="O626" i="9"/>
  <c r="N626" i="9"/>
  <c r="M626" i="9"/>
  <c r="L626" i="9"/>
  <c r="K626" i="9"/>
  <c r="J626" i="9"/>
  <c r="I626" i="9"/>
  <c r="H626" i="9"/>
  <c r="G626" i="9"/>
  <c r="E626" i="9"/>
  <c r="D626" i="9"/>
  <c r="A626" i="9"/>
  <c r="O625" i="9"/>
  <c r="N625" i="9"/>
  <c r="M625" i="9"/>
  <c r="L625" i="9"/>
  <c r="K625" i="9"/>
  <c r="J625" i="9"/>
  <c r="I625" i="9"/>
  <c r="H625" i="9"/>
  <c r="G625" i="9"/>
  <c r="E625" i="9"/>
  <c r="D625" i="9"/>
  <c r="A625" i="9"/>
  <c r="O624" i="9"/>
  <c r="N624" i="9"/>
  <c r="M624" i="9"/>
  <c r="L624" i="9"/>
  <c r="K624" i="9"/>
  <c r="J624" i="9"/>
  <c r="I624" i="9"/>
  <c r="H624" i="9"/>
  <c r="G624" i="9"/>
  <c r="E624" i="9"/>
  <c r="D624" i="9"/>
  <c r="A624" i="9"/>
  <c r="O623" i="9"/>
  <c r="N623" i="9"/>
  <c r="M623" i="9"/>
  <c r="L623" i="9"/>
  <c r="K623" i="9"/>
  <c r="J623" i="9"/>
  <c r="I623" i="9"/>
  <c r="H623" i="9"/>
  <c r="G623" i="9"/>
  <c r="E623" i="9"/>
  <c r="D623" i="9"/>
  <c r="A623" i="9"/>
  <c r="O622" i="9"/>
  <c r="N622" i="9"/>
  <c r="M622" i="9"/>
  <c r="L622" i="9"/>
  <c r="K622" i="9"/>
  <c r="J622" i="9"/>
  <c r="I622" i="9"/>
  <c r="H622" i="9"/>
  <c r="G622" i="9"/>
  <c r="E622" i="9"/>
  <c r="D622" i="9"/>
  <c r="A622" i="9"/>
  <c r="O621" i="9"/>
  <c r="N621" i="9"/>
  <c r="M621" i="9"/>
  <c r="L621" i="9"/>
  <c r="K621" i="9"/>
  <c r="J621" i="9"/>
  <c r="I621" i="9"/>
  <c r="H621" i="9"/>
  <c r="G621" i="9"/>
  <c r="E621" i="9"/>
  <c r="D621" i="9"/>
  <c r="A621" i="9"/>
  <c r="O620" i="9"/>
  <c r="N620" i="9"/>
  <c r="M620" i="9"/>
  <c r="L620" i="9"/>
  <c r="K620" i="9"/>
  <c r="J620" i="9"/>
  <c r="I620" i="9"/>
  <c r="H620" i="9"/>
  <c r="G620" i="9"/>
  <c r="E620" i="9"/>
  <c r="D620" i="9"/>
  <c r="A620" i="9"/>
  <c r="O619" i="9"/>
  <c r="N619" i="9"/>
  <c r="M619" i="9"/>
  <c r="L619" i="9"/>
  <c r="K619" i="9"/>
  <c r="J619" i="9"/>
  <c r="I619" i="9"/>
  <c r="H619" i="9"/>
  <c r="G619" i="9"/>
  <c r="E619" i="9"/>
  <c r="D619" i="9"/>
  <c r="A619" i="9"/>
  <c r="O618" i="9"/>
  <c r="N618" i="9"/>
  <c r="M618" i="9"/>
  <c r="L618" i="9"/>
  <c r="K618" i="9"/>
  <c r="J618" i="9"/>
  <c r="I618" i="9"/>
  <c r="H618" i="9"/>
  <c r="G618" i="9"/>
  <c r="E618" i="9"/>
  <c r="D618" i="9"/>
  <c r="A618" i="9"/>
  <c r="O617" i="9"/>
  <c r="N617" i="9"/>
  <c r="M617" i="9"/>
  <c r="L617" i="9"/>
  <c r="K617" i="9"/>
  <c r="J617" i="9"/>
  <c r="I617" i="9"/>
  <c r="H617" i="9"/>
  <c r="G617" i="9"/>
  <c r="E617" i="9"/>
  <c r="D617" i="9"/>
  <c r="A617" i="9"/>
  <c r="O616" i="9"/>
  <c r="N616" i="9"/>
  <c r="M616" i="9"/>
  <c r="L616" i="9"/>
  <c r="K616" i="9"/>
  <c r="J616" i="9"/>
  <c r="I616" i="9"/>
  <c r="H616" i="9"/>
  <c r="G616" i="9"/>
  <c r="E616" i="9"/>
  <c r="D616" i="9"/>
  <c r="A616" i="9"/>
  <c r="O615" i="9"/>
  <c r="N615" i="9"/>
  <c r="M615" i="9"/>
  <c r="L615" i="9"/>
  <c r="K615" i="9"/>
  <c r="J615" i="9"/>
  <c r="I615" i="9"/>
  <c r="H615" i="9"/>
  <c r="G615" i="9"/>
  <c r="E615" i="9"/>
  <c r="D615" i="9"/>
  <c r="A615" i="9"/>
  <c r="O614" i="9"/>
  <c r="N614" i="9"/>
  <c r="M614" i="9"/>
  <c r="L614" i="9"/>
  <c r="K614" i="9"/>
  <c r="J614" i="9"/>
  <c r="I614" i="9"/>
  <c r="H614" i="9"/>
  <c r="G614" i="9"/>
  <c r="E614" i="9"/>
  <c r="D614" i="9"/>
  <c r="A614" i="9"/>
  <c r="O613" i="9"/>
  <c r="N613" i="9"/>
  <c r="M613" i="9"/>
  <c r="L613" i="9"/>
  <c r="K613" i="9"/>
  <c r="J613" i="9"/>
  <c r="I613" i="9"/>
  <c r="H613" i="9"/>
  <c r="G613" i="9"/>
  <c r="E613" i="9"/>
  <c r="D613" i="9"/>
  <c r="A613" i="9"/>
  <c r="O612" i="9"/>
  <c r="N612" i="9"/>
  <c r="M612" i="9"/>
  <c r="L612" i="9"/>
  <c r="K612" i="9"/>
  <c r="J612" i="9"/>
  <c r="I612" i="9"/>
  <c r="H612" i="9"/>
  <c r="G612" i="9"/>
  <c r="E612" i="9"/>
  <c r="D612" i="9"/>
  <c r="A612" i="9"/>
  <c r="O611" i="9"/>
  <c r="N611" i="9"/>
  <c r="M611" i="9"/>
  <c r="L611" i="9"/>
  <c r="K611" i="9"/>
  <c r="J611" i="9"/>
  <c r="I611" i="9"/>
  <c r="H611" i="9"/>
  <c r="G611" i="9"/>
  <c r="E611" i="9"/>
  <c r="D611" i="9"/>
  <c r="A611" i="9"/>
  <c r="O610" i="9"/>
  <c r="N610" i="9"/>
  <c r="M610" i="9"/>
  <c r="L610" i="9"/>
  <c r="K610" i="9"/>
  <c r="J610" i="9"/>
  <c r="I610" i="9"/>
  <c r="H610" i="9"/>
  <c r="G610" i="9"/>
  <c r="E610" i="9"/>
  <c r="D610" i="9"/>
  <c r="A610" i="9"/>
  <c r="O609" i="9"/>
  <c r="N609" i="9"/>
  <c r="M609" i="9"/>
  <c r="L609" i="9"/>
  <c r="K609" i="9"/>
  <c r="J609" i="9"/>
  <c r="I609" i="9"/>
  <c r="H609" i="9"/>
  <c r="G609" i="9"/>
  <c r="E609" i="9"/>
  <c r="D609" i="9"/>
  <c r="A609" i="9"/>
  <c r="O608" i="9"/>
  <c r="N608" i="9"/>
  <c r="M608" i="9"/>
  <c r="L608" i="9"/>
  <c r="K608" i="9"/>
  <c r="J608" i="9"/>
  <c r="I608" i="9"/>
  <c r="H608" i="9"/>
  <c r="G608" i="9"/>
  <c r="E608" i="9"/>
  <c r="D608" i="9"/>
  <c r="A608" i="9"/>
  <c r="O607" i="9"/>
  <c r="N607" i="9"/>
  <c r="M607" i="9"/>
  <c r="L607" i="9"/>
  <c r="K607" i="9"/>
  <c r="J607" i="9"/>
  <c r="I607" i="9"/>
  <c r="H607" i="9"/>
  <c r="G607" i="9"/>
  <c r="E607" i="9"/>
  <c r="D607" i="9"/>
  <c r="A607" i="9"/>
  <c r="O606" i="9"/>
  <c r="N606" i="9"/>
  <c r="M606" i="9"/>
  <c r="L606" i="9"/>
  <c r="K606" i="9"/>
  <c r="J606" i="9"/>
  <c r="I606" i="9"/>
  <c r="H606" i="9"/>
  <c r="G606" i="9"/>
  <c r="E606" i="9"/>
  <c r="D606" i="9"/>
  <c r="A606" i="9"/>
  <c r="O605" i="9"/>
  <c r="N605" i="9"/>
  <c r="M605" i="9"/>
  <c r="L605" i="9"/>
  <c r="K605" i="9"/>
  <c r="J605" i="9"/>
  <c r="I605" i="9"/>
  <c r="H605" i="9"/>
  <c r="G605" i="9"/>
  <c r="E605" i="9"/>
  <c r="D605" i="9"/>
  <c r="A605" i="9"/>
  <c r="O604" i="9"/>
  <c r="N604" i="9"/>
  <c r="M604" i="9"/>
  <c r="L604" i="9"/>
  <c r="K604" i="9"/>
  <c r="J604" i="9"/>
  <c r="I604" i="9"/>
  <c r="H604" i="9"/>
  <c r="G604" i="9"/>
  <c r="E604" i="9"/>
  <c r="D604" i="9"/>
  <c r="A604" i="9"/>
  <c r="O603" i="9"/>
  <c r="N603" i="9"/>
  <c r="M603" i="9"/>
  <c r="L603" i="9"/>
  <c r="K603" i="9"/>
  <c r="J603" i="9"/>
  <c r="I603" i="9"/>
  <c r="H603" i="9"/>
  <c r="G603" i="9"/>
  <c r="E603" i="9"/>
  <c r="D603" i="9"/>
  <c r="A603" i="9"/>
  <c r="O602" i="9"/>
  <c r="N602" i="9"/>
  <c r="M602" i="9"/>
  <c r="L602" i="9"/>
  <c r="K602" i="9"/>
  <c r="J602" i="9"/>
  <c r="I602" i="9"/>
  <c r="H602" i="9"/>
  <c r="G602" i="9"/>
  <c r="E602" i="9"/>
  <c r="D602" i="9"/>
  <c r="A602" i="9"/>
  <c r="O601" i="9"/>
  <c r="N601" i="9"/>
  <c r="M601" i="9"/>
  <c r="L601" i="9"/>
  <c r="K601" i="9"/>
  <c r="J601" i="9"/>
  <c r="I601" i="9"/>
  <c r="H601" i="9"/>
  <c r="G601" i="9"/>
  <c r="E601" i="9"/>
  <c r="D601" i="9"/>
  <c r="A601" i="9"/>
  <c r="O600" i="9"/>
  <c r="N600" i="9"/>
  <c r="M600" i="9"/>
  <c r="L600" i="9"/>
  <c r="K600" i="9"/>
  <c r="J600" i="9"/>
  <c r="I600" i="9"/>
  <c r="H600" i="9"/>
  <c r="G600" i="9"/>
  <c r="E600" i="9"/>
  <c r="D600" i="9"/>
  <c r="A600" i="9"/>
  <c r="O599" i="9"/>
  <c r="N599" i="9"/>
  <c r="M599" i="9"/>
  <c r="L599" i="9"/>
  <c r="K599" i="9"/>
  <c r="J599" i="9"/>
  <c r="I599" i="9"/>
  <c r="H599" i="9"/>
  <c r="G599" i="9"/>
  <c r="E599" i="9"/>
  <c r="D599" i="9"/>
  <c r="A599" i="9"/>
  <c r="O598" i="9"/>
  <c r="N598" i="9"/>
  <c r="M598" i="9"/>
  <c r="L598" i="9"/>
  <c r="K598" i="9"/>
  <c r="J598" i="9"/>
  <c r="I598" i="9"/>
  <c r="H598" i="9"/>
  <c r="G598" i="9"/>
  <c r="E598" i="9"/>
  <c r="D598" i="9"/>
  <c r="A598" i="9"/>
  <c r="O597" i="9"/>
  <c r="N597" i="9"/>
  <c r="M597" i="9"/>
  <c r="L597" i="9"/>
  <c r="K597" i="9"/>
  <c r="J597" i="9"/>
  <c r="I597" i="9"/>
  <c r="H597" i="9"/>
  <c r="G597" i="9"/>
  <c r="E597" i="9"/>
  <c r="D597" i="9"/>
  <c r="A597" i="9"/>
  <c r="O596" i="9"/>
  <c r="N596" i="9"/>
  <c r="M596" i="9"/>
  <c r="L596" i="9"/>
  <c r="K596" i="9"/>
  <c r="J596" i="9"/>
  <c r="I596" i="9"/>
  <c r="H596" i="9"/>
  <c r="G596" i="9"/>
  <c r="E596" i="9"/>
  <c r="D596" i="9"/>
  <c r="A596" i="9"/>
  <c r="O595" i="9"/>
  <c r="N595" i="9"/>
  <c r="M595" i="9"/>
  <c r="L595" i="9"/>
  <c r="K595" i="9"/>
  <c r="J595" i="9"/>
  <c r="I595" i="9"/>
  <c r="H595" i="9"/>
  <c r="G595" i="9"/>
  <c r="E595" i="9"/>
  <c r="D595" i="9"/>
  <c r="A595" i="9"/>
  <c r="O594" i="9"/>
  <c r="N594" i="9"/>
  <c r="M594" i="9"/>
  <c r="L594" i="9"/>
  <c r="K594" i="9"/>
  <c r="J594" i="9"/>
  <c r="I594" i="9"/>
  <c r="H594" i="9"/>
  <c r="G594" i="9"/>
  <c r="E594" i="9"/>
  <c r="D594" i="9"/>
  <c r="A594" i="9"/>
  <c r="O593" i="9"/>
  <c r="N593" i="9"/>
  <c r="M593" i="9"/>
  <c r="L593" i="9"/>
  <c r="K593" i="9"/>
  <c r="J593" i="9"/>
  <c r="I593" i="9"/>
  <c r="H593" i="9"/>
  <c r="G593" i="9"/>
  <c r="E593" i="9"/>
  <c r="D593" i="9"/>
  <c r="A593" i="9"/>
  <c r="O592" i="9"/>
  <c r="N592" i="9"/>
  <c r="M592" i="9"/>
  <c r="L592" i="9"/>
  <c r="K592" i="9"/>
  <c r="J592" i="9"/>
  <c r="I592" i="9"/>
  <c r="H592" i="9"/>
  <c r="G592" i="9"/>
  <c r="E592" i="9"/>
  <c r="D592" i="9"/>
  <c r="A592" i="9"/>
  <c r="O591" i="9"/>
  <c r="N591" i="9"/>
  <c r="M591" i="9"/>
  <c r="L591" i="9"/>
  <c r="K591" i="9"/>
  <c r="J591" i="9"/>
  <c r="I591" i="9"/>
  <c r="H591" i="9"/>
  <c r="G591" i="9"/>
  <c r="E591" i="9"/>
  <c r="D591" i="9"/>
  <c r="A591" i="9"/>
  <c r="O590" i="9"/>
  <c r="N590" i="9"/>
  <c r="M590" i="9"/>
  <c r="L590" i="9"/>
  <c r="K590" i="9"/>
  <c r="J590" i="9"/>
  <c r="I590" i="9"/>
  <c r="H590" i="9"/>
  <c r="G590" i="9"/>
  <c r="E590" i="9"/>
  <c r="D590" i="9"/>
  <c r="A590" i="9"/>
  <c r="O589" i="9"/>
  <c r="N589" i="9"/>
  <c r="M589" i="9"/>
  <c r="L589" i="9"/>
  <c r="K589" i="9"/>
  <c r="J589" i="9"/>
  <c r="I589" i="9"/>
  <c r="H589" i="9"/>
  <c r="G589" i="9"/>
  <c r="E589" i="9"/>
  <c r="D589" i="9"/>
  <c r="A589" i="9"/>
  <c r="O588" i="9"/>
  <c r="N588" i="9"/>
  <c r="M588" i="9"/>
  <c r="L588" i="9"/>
  <c r="K588" i="9"/>
  <c r="J588" i="9"/>
  <c r="I588" i="9"/>
  <c r="H588" i="9"/>
  <c r="G588" i="9"/>
  <c r="E588" i="9"/>
  <c r="D588" i="9"/>
  <c r="A588" i="9"/>
  <c r="O587" i="9"/>
  <c r="N587" i="9"/>
  <c r="M587" i="9"/>
  <c r="L587" i="9"/>
  <c r="K587" i="9"/>
  <c r="J587" i="9"/>
  <c r="I587" i="9"/>
  <c r="H587" i="9"/>
  <c r="G587" i="9"/>
  <c r="E587" i="9"/>
  <c r="D587" i="9"/>
  <c r="A587" i="9"/>
  <c r="O586" i="9"/>
  <c r="N586" i="9"/>
  <c r="M586" i="9"/>
  <c r="L586" i="9"/>
  <c r="K586" i="9"/>
  <c r="J586" i="9"/>
  <c r="I586" i="9"/>
  <c r="H586" i="9"/>
  <c r="G586" i="9"/>
  <c r="E586" i="9"/>
  <c r="D586" i="9"/>
  <c r="A586" i="9"/>
  <c r="O585" i="9"/>
  <c r="N585" i="9"/>
  <c r="M585" i="9"/>
  <c r="L585" i="9"/>
  <c r="K585" i="9"/>
  <c r="J585" i="9"/>
  <c r="I585" i="9"/>
  <c r="H585" i="9"/>
  <c r="G585" i="9"/>
  <c r="E585" i="9"/>
  <c r="D585" i="9"/>
  <c r="A585" i="9"/>
  <c r="O584" i="9"/>
  <c r="N584" i="9"/>
  <c r="M584" i="9"/>
  <c r="L584" i="9"/>
  <c r="K584" i="9"/>
  <c r="J584" i="9"/>
  <c r="I584" i="9"/>
  <c r="H584" i="9"/>
  <c r="G584" i="9"/>
  <c r="E584" i="9"/>
  <c r="D584" i="9"/>
  <c r="A584" i="9"/>
  <c r="O583" i="9"/>
  <c r="N583" i="9"/>
  <c r="M583" i="9"/>
  <c r="L583" i="9"/>
  <c r="K583" i="9"/>
  <c r="J583" i="9"/>
  <c r="I583" i="9"/>
  <c r="H583" i="9"/>
  <c r="G583" i="9"/>
  <c r="E583" i="9"/>
  <c r="D583" i="9"/>
  <c r="A583" i="9"/>
  <c r="O582" i="9"/>
  <c r="N582" i="9"/>
  <c r="M582" i="9"/>
  <c r="L582" i="9"/>
  <c r="K582" i="9"/>
  <c r="J582" i="9"/>
  <c r="I582" i="9"/>
  <c r="H582" i="9"/>
  <c r="G582" i="9"/>
  <c r="E582" i="9"/>
  <c r="D582" i="9"/>
  <c r="A582" i="9"/>
  <c r="O581" i="9"/>
  <c r="N581" i="9"/>
  <c r="M581" i="9"/>
  <c r="L581" i="9"/>
  <c r="K581" i="9"/>
  <c r="J581" i="9"/>
  <c r="I581" i="9"/>
  <c r="H581" i="9"/>
  <c r="G581" i="9"/>
  <c r="E581" i="9"/>
  <c r="D581" i="9"/>
  <c r="A581" i="9"/>
  <c r="O580" i="9"/>
  <c r="N580" i="9"/>
  <c r="M580" i="9"/>
  <c r="L580" i="9"/>
  <c r="K580" i="9"/>
  <c r="J580" i="9"/>
  <c r="I580" i="9"/>
  <c r="H580" i="9"/>
  <c r="G580" i="9"/>
  <c r="E580" i="9"/>
  <c r="D580" i="9"/>
  <c r="A580" i="9"/>
  <c r="O579" i="9"/>
  <c r="N579" i="9"/>
  <c r="M579" i="9"/>
  <c r="L579" i="9"/>
  <c r="K579" i="9"/>
  <c r="J579" i="9"/>
  <c r="I579" i="9"/>
  <c r="H579" i="9"/>
  <c r="G579" i="9"/>
  <c r="E579" i="9"/>
  <c r="D579" i="9"/>
  <c r="A579" i="9"/>
  <c r="O578" i="9"/>
  <c r="N578" i="9"/>
  <c r="M578" i="9"/>
  <c r="L578" i="9"/>
  <c r="K578" i="9"/>
  <c r="J578" i="9"/>
  <c r="I578" i="9"/>
  <c r="H578" i="9"/>
  <c r="G578" i="9"/>
  <c r="E578" i="9"/>
  <c r="D578" i="9"/>
  <c r="A578" i="9"/>
  <c r="O577" i="9"/>
  <c r="N577" i="9"/>
  <c r="M577" i="9"/>
  <c r="L577" i="9"/>
  <c r="K577" i="9"/>
  <c r="J577" i="9"/>
  <c r="I577" i="9"/>
  <c r="H577" i="9"/>
  <c r="G577" i="9"/>
  <c r="E577" i="9"/>
  <c r="D577" i="9"/>
  <c r="A577" i="9"/>
  <c r="O576" i="9"/>
  <c r="N576" i="9"/>
  <c r="M576" i="9"/>
  <c r="L576" i="9"/>
  <c r="K576" i="9"/>
  <c r="J576" i="9"/>
  <c r="I576" i="9"/>
  <c r="H576" i="9"/>
  <c r="G576" i="9"/>
  <c r="E576" i="9"/>
  <c r="D576" i="9"/>
  <c r="A576" i="9"/>
  <c r="O575" i="9"/>
  <c r="N575" i="9"/>
  <c r="M575" i="9"/>
  <c r="L575" i="9"/>
  <c r="K575" i="9"/>
  <c r="J575" i="9"/>
  <c r="I575" i="9"/>
  <c r="H575" i="9"/>
  <c r="G575" i="9"/>
  <c r="E575" i="9"/>
  <c r="D575" i="9"/>
  <c r="A575" i="9"/>
  <c r="O574" i="9"/>
  <c r="N574" i="9"/>
  <c r="M574" i="9"/>
  <c r="L574" i="9"/>
  <c r="K574" i="9"/>
  <c r="J574" i="9"/>
  <c r="I574" i="9"/>
  <c r="H574" i="9"/>
  <c r="G574" i="9"/>
  <c r="E574" i="9"/>
  <c r="D574" i="9"/>
  <c r="A574" i="9"/>
  <c r="O573" i="9"/>
  <c r="N573" i="9"/>
  <c r="M573" i="9"/>
  <c r="L573" i="9"/>
  <c r="K573" i="9"/>
  <c r="J573" i="9"/>
  <c r="I573" i="9"/>
  <c r="H573" i="9"/>
  <c r="G573" i="9"/>
  <c r="E573" i="9"/>
  <c r="D573" i="9"/>
  <c r="A573" i="9"/>
  <c r="O572" i="9"/>
  <c r="N572" i="9"/>
  <c r="M572" i="9"/>
  <c r="L572" i="9"/>
  <c r="K572" i="9"/>
  <c r="J572" i="9"/>
  <c r="I572" i="9"/>
  <c r="H572" i="9"/>
  <c r="G572" i="9"/>
  <c r="E572" i="9"/>
  <c r="D572" i="9"/>
  <c r="A572" i="9"/>
  <c r="O571" i="9"/>
  <c r="N571" i="9"/>
  <c r="M571" i="9"/>
  <c r="L571" i="9"/>
  <c r="K571" i="9"/>
  <c r="J571" i="9"/>
  <c r="I571" i="9"/>
  <c r="H571" i="9"/>
  <c r="G571" i="9"/>
  <c r="E571" i="9"/>
  <c r="D571" i="9"/>
  <c r="A571" i="9"/>
  <c r="O569" i="9"/>
  <c r="N569" i="9"/>
  <c r="M569" i="9"/>
  <c r="L569" i="9"/>
  <c r="K569" i="9"/>
  <c r="J569" i="9"/>
  <c r="I569" i="9"/>
  <c r="H569" i="9"/>
  <c r="G569" i="9"/>
  <c r="E569" i="9"/>
  <c r="D569" i="9"/>
  <c r="A569" i="9"/>
  <c r="O568" i="9"/>
  <c r="N568" i="9"/>
  <c r="M568" i="9"/>
  <c r="L568" i="9"/>
  <c r="K568" i="9"/>
  <c r="J568" i="9"/>
  <c r="I568" i="9"/>
  <c r="H568" i="9"/>
  <c r="G568" i="9"/>
  <c r="E568" i="9"/>
  <c r="D568" i="9"/>
  <c r="A568" i="9"/>
  <c r="O567" i="9"/>
  <c r="N567" i="9"/>
  <c r="M567" i="9"/>
  <c r="L567" i="9"/>
  <c r="K567" i="9"/>
  <c r="J567" i="9"/>
  <c r="I567" i="9"/>
  <c r="H567" i="9"/>
  <c r="G567" i="9"/>
  <c r="E567" i="9"/>
  <c r="D567" i="9"/>
  <c r="A567" i="9"/>
  <c r="O566" i="9"/>
  <c r="N566" i="9"/>
  <c r="M566" i="9"/>
  <c r="L566" i="9"/>
  <c r="K566" i="9"/>
  <c r="J566" i="9"/>
  <c r="I566" i="9"/>
  <c r="H566" i="9"/>
  <c r="G566" i="9"/>
  <c r="E566" i="9"/>
  <c r="D566" i="9"/>
  <c r="A566" i="9"/>
  <c r="O565" i="9"/>
  <c r="N565" i="9"/>
  <c r="M565" i="9"/>
  <c r="L565" i="9"/>
  <c r="K565" i="9"/>
  <c r="J565" i="9"/>
  <c r="I565" i="9"/>
  <c r="H565" i="9"/>
  <c r="G565" i="9"/>
  <c r="E565" i="9"/>
  <c r="D565" i="9"/>
  <c r="A565" i="9"/>
  <c r="O564" i="9"/>
  <c r="N564" i="9"/>
  <c r="M564" i="9"/>
  <c r="L564" i="9"/>
  <c r="K564" i="9"/>
  <c r="J564" i="9"/>
  <c r="I564" i="9"/>
  <c r="H564" i="9"/>
  <c r="G564" i="9"/>
  <c r="E564" i="9"/>
  <c r="D564" i="9"/>
  <c r="A564" i="9"/>
  <c r="O563" i="9"/>
  <c r="N563" i="9"/>
  <c r="M563" i="9"/>
  <c r="L563" i="9"/>
  <c r="K563" i="9"/>
  <c r="J563" i="9"/>
  <c r="I563" i="9"/>
  <c r="H563" i="9"/>
  <c r="G563" i="9"/>
  <c r="E563" i="9"/>
  <c r="D563" i="9"/>
  <c r="A563" i="9"/>
  <c r="O562" i="9"/>
  <c r="N562" i="9"/>
  <c r="M562" i="9"/>
  <c r="L562" i="9"/>
  <c r="K562" i="9"/>
  <c r="J562" i="9"/>
  <c r="I562" i="9"/>
  <c r="H562" i="9"/>
  <c r="G562" i="9"/>
  <c r="E562" i="9"/>
  <c r="D562" i="9"/>
  <c r="A562" i="9"/>
  <c r="O561" i="9"/>
  <c r="N561" i="9"/>
  <c r="M561" i="9"/>
  <c r="L561" i="9"/>
  <c r="K561" i="9"/>
  <c r="J561" i="9"/>
  <c r="I561" i="9"/>
  <c r="H561" i="9"/>
  <c r="G561" i="9"/>
  <c r="E561" i="9"/>
  <c r="D561" i="9"/>
  <c r="A561" i="9"/>
  <c r="O560" i="9"/>
  <c r="N560" i="9"/>
  <c r="M560" i="9"/>
  <c r="L560" i="9"/>
  <c r="K560" i="9"/>
  <c r="J560" i="9"/>
  <c r="I560" i="9"/>
  <c r="H560" i="9"/>
  <c r="G560" i="9"/>
  <c r="E560" i="9"/>
  <c r="D560" i="9"/>
  <c r="A560" i="9"/>
  <c r="O559" i="9"/>
  <c r="N559" i="9"/>
  <c r="M559" i="9"/>
  <c r="L559" i="9"/>
  <c r="K559" i="9"/>
  <c r="J559" i="9"/>
  <c r="I559" i="9"/>
  <c r="H559" i="9"/>
  <c r="G559" i="9"/>
  <c r="E559" i="9"/>
  <c r="D559" i="9"/>
  <c r="A559" i="9"/>
  <c r="O558" i="9"/>
  <c r="N558" i="9"/>
  <c r="M558" i="9"/>
  <c r="L558" i="9"/>
  <c r="K558" i="9"/>
  <c r="J558" i="9"/>
  <c r="I558" i="9"/>
  <c r="H558" i="9"/>
  <c r="G558" i="9"/>
  <c r="E558" i="9"/>
  <c r="D558" i="9"/>
  <c r="A558" i="9"/>
  <c r="O557" i="9"/>
  <c r="N557" i="9"/>
  <c r="M557" i="9"/>
  <c r="L557" i="9"/>
  <c r="K557" i="9"/>
  <c r="J557" i="9"/>
  <c r="I557" i="9"/>
  <c r="H557" i="9"/>
  <c r="G557" i="9"/>
  <c r="E557" i="9"/>
  <c r="D557" i="9"/>
  <c r="A557" i="9"/>
  <c r="O556" i="9"/>
  <c r="N556" i="9"/>
  <c r="M556" i="9"/>
  <c r="L556" i="9"/>
  <c r="K556" i="9"/>
  <c r="J556" i="9"/>
  <c r="I556" i="9"/>
  <c r="H556" i="9"/>
  <c r="G556" i="9"/>
  <c r="E556" i="9"/>
  <c r="D556" i="9"/>
  <c r="A556" i="9"/>
  <c r="O555" i="9"/>
  <c r="N555" i="9"/>
  <c r="M555" i="9"/>
  <c r="L555" i="9"/>
  <c r="K555" i="9"/>
  <c r="J555" i="9"/>
  <c r="I555" i="9"/>
  <c r="H555" i="9"/>
  <c r="G555" i="9"/>
  <c r="E555" i="9"/>
  <c r="D555" i="9"/>
  <c r="A555" i="9"/>
  <c r="O554" i="9"/>
  <c r="N554" i="9"/>
  <c r="M554" i="9"/>
  <c r="L554" i="9"/>
  <c r="K554" i="9"/>
  <c r="J554" i="9"/>
  <c r="I554" i="9"/>
  <c r="H554" i="9"/>
  <c r="G554" i="9"/>
  <c r="E554" i="9"/>
  <c r="D554" i="9"/>
  <c r="A554" i="9"/>
  <c r="O553" i="9"/>
  <c r="N553" i="9"/>
  <c r="M553" i="9"/>
  <c r="L553" i="9"/>
  <c r="K553" i="9"/>
  <c r="J553" i="9"/>
  <c r="I553" i="9"/>
  <c r="H553" i="9"/>
  <c r="G553" i="9"/>
  <c r="E553" i="9"/>
  <c r="D553" i="9"/>
  <c r="A553" i="9"/>
  <c r="O552" i="9"/>
  <c r="N552" i="9"/>
  <c r="M552" i="9"/>
  <c r="L552" i="9"/>
  <c r="K552" i="9"/>
  <c r="J552" i="9"/>
  <c r="I552" i="9"/>
  <c r="H552" i="9"/>
  <c r="G552" i="9"/>
  <c r="E552" i="9"/>
  <c r="D552" i="9"/>
  <c r="A552" i="9"/>
  <c r="O551" i="9"/>
  <c r="N551" i="9"/>
  <c r="M551" i="9"/>
  <c r="L551" i="9"/>
  <c r="K551" i="9"/>
  <c r="J551" i="9"/>
  <c r="I551" i="9"/>
  <c r="H551" i="9"/>
  <c r="G551" i="9"/>
  <c r="E551" i="9"/>
  <c r="D551" i="9"/>
  <c r="A551" i="9"/>
  <c r="O550" i="9"/>
  <c r="N550" i="9"/>
  <c r="M550" i="9"/>
  <c r="L550" i="9"/>
  <c r="K550" i="9"/>
  <c r="J550" i="9"/>
  <c r="I550" i="9"/>
  <c r="H550" i="9"/>
  <c r="G550" i="9"/>
  <c r="E550" i="9"/>
  <c r="D550" i="9"/>
  <c r="A550" i="9"/>
  <c r="O549" i="9"/>
  <c r="N549" i="9"/>
  <c r="M549" i="9"/>
  <c r="L549" i="9"/>
  <c r="K549" i="9"/>
  <c r="J549" i="9"/>
  <c r="I549" i="9"/>
  <c r="H549" i="9"/>
  <c r="G549" i="9"/>
  <c r="E549" i="9"/>
  <c r="D549" i="9"/>
  <c r="A549" i="9"/>
  <c r="O548" i="9"/>
  <c r="N548" i="9"/>
  <c r="M548" i="9"/>
  <c r="L548" i="9"/>
  <c r="K548" i="9"/>
  <c r="J548" i="9"/>
  <c r="I548" i="9"/>
  <c r="H548" i="9"/>
  <c r="G548" i="9"/>
  <c r="E548" i="9"/>
  <c r="D548" i="9"/>
  <c r="A548" i="9"/>
  <c r="O547" i="9"/>
  <c r="N547" i="9"/>
  <c r="M547" i="9"/>
  <c r="L547" i="9"/>
  <c r="K547" i="9"/>
  <c r="J547" i="9"/>
  <c r="I547" i="9"/>
  <c r="H547" i="9"/>
  <c r="G547" i="9"/>
  <c r="E547" i="9"/>
  <c r="D547" i="9"/>
  <c r="A547" i="9"/>
  <c r="O546" i="9"/>
  <c r="N546" i="9"/>
  <c r="M546" i="9"/>
  <c r="L546" i="9"/>
  <c r="K546" i="9"/>
  <c r="J546" i="9"/>
  <c r="I546" i="9"/>
  <c r="H546" i="9"/>
  <c r="G546" i="9"/>
  <c r="E546" i="9"/>
  <c r="D546" i="9"/>
  <c r="A546" i="9"/>
  <c r="O545" i="9"/>
  <c r="N545" i="9"/>
  <c r="M545" i="9"/>
  <c r="L545" i="9"/>
  <c r="K545" i="9"/>
  <c r="J545" i="9"/>
  <c r="I545" i="9"/>
  <c r="H545" i="9"/>
  <c r="G545" i="9"/>
  <c r="E545" i="9"/>
  <c r="D545" i="9"/>
  <c r="A545" i="9"/>
  <c r="O544" i="9"/>
  <c r="N544" i="9"/>
  <c r="M544" i="9"/>
  <c r="L544" i="9"/>
  <c r="K544" i="9"/>
  <c r="J544" i="9"/>
  <c r="I544" i="9"/>
  <c r="H544" i="9"/>
  <c r="G544" i="9"/>
  <c r="E544" i="9"/>
  <c r="D544" i="9"/>
  <c r="A544" i="9"/>
  <c r="O543" i="9"/>
  <c r="N543" i="9"/>
  <c r="M543" i="9"/>
  <c r="L543" i="9"/>
  <c r="K543" i="9"/>
  <c r="J543" i="9"/>
  <c r="I543" i="9"/>
  <c r="H543" i="9"/>
  <c r="G543" i="9"/>
  <c r="E543" i="9"/>
  <c r="D543" i="9"/>
  <c r="A543" i="9"/>
  <c r="O542" i="9"/>
  <c r="N542" i="9"/>
  <c r="M542" i="9"/>
  <c r="L542" i="9"/>
  <c r="K542" i="9"/>
  <c r="J542" i="9"/>
  <c r="I542" i="9"/>
  <c r="H542" i="9"/>
  <c r="G542" i="9"/>
  <c r="E542" i="9"/>
  <c r="D542" i="9"/>
  <c r="A542" i="9"/>
  <c r="O540" i="9"/>
  <c r="N540" i="9"/>
  <c r="M540" i="9"/>
  <c r="L540" i="9"/>
  <c r="K540" i="9"/>
  <c r="J540" i="9"/>
  <c r="I540" i="9"/>
  <c r="H540" i="9"/>
  <c r="G540" i="9"/>
  <c r="E540" i="9"/>
  <c r="D540" i="9"/>
  <c r="A540" i="9"/>
  <c r="O539" i="9"/>
  <c r="N539" i="9"/>
  <c r="M539" i="9"/>
  <c r="L539" i="9"/>
  <c r="K539" i="9"/>
  <c r="J539" i="9"/>
  <c r="I539" i="9"/>
  <c r="H539" i="9"/>
  <c r="G539" i="9"/>
  <c r="E539" i="9"/>
  <c r="D539" i="9"/>
  <c r="A539" i="9"/>
  <c r="O538" i="9"/>
  <c r="N538" i="9"/>
  <c r="M538" i="9"/>
  <c r="L538" i="9"/>
  <c r="K538" i="9"/>
  <c r="J538" i="9"/>
  <c r="I538" i="9"/>
  <c r="H538" i="9"/>
  <c r="G538" i="9"/>
  <c r="E538" i="9"/>
  <c r="D538" i="9"/>
  <c r="A538" i="9"/>
  <c r="O537" i="9"/>
  <c r="N537" i="9"/>
  <c r="M537" i="9"/>
  <c r="L537" i="9"/>
  <c r="K537" i="9"/>
  <c r="J537" i="9"/>
  <c r="I537" i="9"/>
  <c r="H537" i="9"/>
  <c r="G537" i="9"/>
  <c r="E537" i="9"/>
  <c r="D537" i="9"/>
  <c r="A537" i="9"/>
  <c r="O536" i="9"/>
  <c r="N536" i="9"/>
  <c r="M536" i="9"/>
  <c r="L536" i="9"/>
  <c r="K536" i="9"/>
  <c r="J536" i="9"/>
  <c r="I536" i="9"/>
  <c r="H536" i="9"/>
  <c r="G536" i="9"/>
  <c r="E536" i="9"/>
  <c r="D536" i="9"/>
  <c r="A536" i="9"/>
  <c r="O535" i="9"/>
  <c r="N535" i="9"/>
  <c r="M535" i="9"/>
  <c r="L535" i="9"/>
  <c r="K535" i="9"/>
  <c r="J535" i="9"/>
  <c r="I535" i="9"/>
  <c r="H535" i="9"/>
  <c r="G535" i="9"/>
  <c r="E535" i="9"/>
  <c r="D535" i="9"/>
  <c r="A535" i="9"/>
  <c r="O534" i="9"/>
  <c r="N534" i="9"/>
  <c r="M534" i="9"/>
  <c r="L534" i="9"/>
  <c r="K534" i="9"/>
  <c r="J534" i="9"/>
  <c r="I534" i="9"/>
  <c r="H534" i="9"/>
  <c r="G534" i="9"/>
  <c r="E534" i="9"/>
  <c r="D534" i="9"/>
  <c r="A534" i="9"/>
  <c r="O533" i="9"/>
  <c r="N533" i="9"/>
  <c r="M533" i="9"/>
  <c r="L533" i="9"/>
  <c r="K533" i="9"/>
  <c r="J533" i="9"/>
  <c r="I533" i="9"/>
  <c r="H533" i="9"/>
  <c r="G533" i="9"/>
  <c r="E533" i="9"/>
  <c r="D533" i="9"/>
  <c r="A533" i="9"/>
  <c r="O532" i="9"/>
  <c r="N532" i="9"/>
  <c r="M532" i="9"/>
  <c r="L532" i="9"/>
  <c r="K532" i="9"/>
  <c r="J532" i="9"/>
  <c r="I532" i="9"/>
  <c r="H532" i="9"/>
  <c r="G532" i="9"/>
  <c r="E532" i="9"/>
  <c r="D532" i="9"/>
  <c r="A532" i="9"/>
  <c r="O531" i="9"/>
  <c r="N531" i="9"/>
  <c r="M531" i="9"/>
  <c r="L531" i="9"/>
  <c r="K531" i="9"/>
  <c r="J531" i="9"/>
  <c r="I531" i="9"/>
  <c r="H531" i="9"/>
  <c r="G531" i="9"/>
  <c r="E531" i="9"/>
  <c r="D531" i="9"/>
  <c r="A531" i="9"/>
  <c r="O530" i="9"/>
  <c r="N530" i="9"/>
  <c r="M530" i="9"/>
  <c r="L530" i="9"/>
  <c r="K530" i="9"/>
  <c r="J530" i="9"/>
  <c r="I530" i="9"/>
  <c r="H530" i="9"/>
  <c r="G530" i="9"/>
  <c r="E530" i="9"/>
  <c r="D530" i="9"/>
  <c r="A530" i="9"/>
  <c r="O529" i="9"/>
  <c r="N529" i="9"/>
  <c r="M529" i="9"/>
  <c r="L529" i="9"/>
  <c r="K529" i="9"/>
  <c r="J529" i="9"/>
  <c r="I529" i="9"/>
  <c r="H529" i="9"/>
  <c r="G529" i="9"/>
  <c r="E529" i="9"/>
  <c r="D529" i="9"/>
  <c r="A529" i="9"/>
  <c r="O528" i="9"/>
  <c r="N528" i="9"/>
  <c r="M528" i="9"/>
  <c r="L528" i="9"/>
  <c r="K528" i="9"/>
  <c r="J528" i="9"/>
  <c r="I528" i="9"/>
  <c r="H528" i="9"/>
  <c r="G528" i="9"/>
  <c r="E528" i="9"/>
  <c r="D528" i="9"/>
  <c r="A528" i="9"/>
  <c r="O527" i="9"/>
  <c r="N527" i="9"/>
  <c r="M527" i="9"/>
  <c r="L527" i="9"/>
  <c r="K527" i="9"/>
  <c r="J527" i="9"/>
  <c r="I527" i="9"/>
  <c r="H527" i="9"/>
  <c r="G527" i="9"/>
  <c r="E527" i="9"/>
  <c r="D527" i="9"/>
  <c r="A527" i="9"/>
  <c r="O526" i="9"/>
  <c r="N526" i="9"/>
  <c r="M526" i="9"/>
  <c r="L526" i="9"/>
  <c r="K526" i="9"/>
  <c r="J526" i="9"/>
  <c r="I526" i="9"/>
  <c r="H526" i="9"/>
  <c r="G526" i="9"/>
  <c r="E526" i="9"/>
  <c r="D526" i="9"/>
  <c r="A526" i="9"/>
  <c r="O525" i="9"/>
  <c r="N525" i="9"/>
  <c r="M525" i="9"/>
  <c r="L525" i="9"/>
  <c r="K525" i="9"/>
  <c r="J525" i="9"/>
  <c r="I525" i="9"/>
  <c r="H525" i="9"/>
  <c r="G525" i="9"/>
  <c r="E525" i="9"/>
  <c r="D525" i="9"/>
  <c r="A525" i="9"/>
  <c r="O524" i="9"/>
  <c r="N524" i="9"/>
  <c r="M524" i="9"/>
  <c r="L524" i="9"/>
  <c r="K524" i="9"/>
  <c r="J524" i="9"/>
  <c r="I524" i="9"/>
  <c r="H524" i="9"/>
  <c r="G524" i="9"/>
  <c r="E524" i="9"/>
  <c r="D524" i="9"/>
  <c r="A524" i="9"/>
  <c r="O523" i="9"/>
  <c r="N523" i="9"/>
  <c r="M523" i="9"/>
  <c r="L523" i="9"/>
  <c r="K523" i="9"/>
  <c r="J523" i="9"/>
  <c r="I523" i="9"/>
  <c r="H523" i="9"/>
  <c r="G523" i="9"/>
  <c r="E523" i="9"/>
  <c r="D523" i="9"/>
  <c r="A523" i="9"/>
  <c r="O522" i="9"/>
  <c r="N522" i="9"/>
  <c r="M522" i="9"/>
  <c r="L522" i="9"/>
  <c r="K522" i="9"/>
  <c r="J522" i="9"/>
  <c r="I522" i="9"/>
  <c r="H522" i="9"/>
  <c r="G522" i="9"/>
  <c r="E522" i="9"/>
  <c r="D522" i="9"/>
  <c r="A522" i="9"/>
  <c r="O521" i="9"/>
  <c r="N521" i="9"/>
  <c r="M521" i="9"/>
  <c r="L521" i="9"/>
  <c r="K521" i="9"/>
  <c r="J521" i="9"/>
  <c r="I521" i="9"/>
  <c r="H521" i="9"/>
  <c r="G521" i="9"/>
  <c r="E521" i="9"/>
  <c r="D521" i="9"/>
  <c r="A521" i="9"/>
  <c r="O520" i="9"/>
  <c r="N520" i="9"/>
  <c r="M520" i="9"/>
  <c r="L520" i="9"/>
  <c r="K520" i="9"/>
  <c r="J520" i="9"/>
  <c r="I520" i="9"/>
  <c r="H520" i="9"/>
  <c r="G520" i="9"/>
  <c r="E520" i="9"/>
  <c r="D520" i="9"/>
  <c r="A520" i="9"/>
  <c r="O519" i="9"/>
  <c r="N519" i="9"/>
  <c r="M519" i="9"/>
  <c r="L519" i="9"/>
  <c r="K519" i="9"/>
  <c r="J519" i="9"/>
  <c r="I519" i="9"/>
  <c r="H519" i="9"/>
  <c r="G519" i="9"/>
  <c r="E519" i="9"/>
  <c r="D519" i="9"/>
  <c r="A519" i="9"/>
  <c r="O518" i="9"/>
  <c r="N518" i="9"/>
  <c r="M518" i="9"/>
  <c r="L518" i="9"/>
  <c r="K518" i="9"/>
  <c r="J518" i="9"/>
  <c r="I518" i="9"/>
  <c r="H518" i="9"/>
  <c r="G518" i="9"/>
  <c r="E518" i="9"/>
  <c r="D518" i="9"/>
  <c r="A518" i="9"/>
  <c r="O517" i="9"/>
  <c r="N517" i="9"/>
  <c r="M517" i="9"/>
  <c r="L517" i="9"/>
  <c r="K517" i="9"/>
  <c r="J517" i="9"/>
  <c r="I517" i="9"/>
  <c r="H517" i="9"/>
  <c r="G517" i="9"/>
  <c r="E517" i="9"/>
  <c r="D517" i="9"/>
  <c r="A517" i="9"/>
  <c r="O516" i="9"/>
  <c r="N516" i="9"/>
  <c r="M516" i="9"/>
  <c r="L516" i="9"/>
  <c r="K516" i="9"/>
  <c r="J516" i="9"/>
  <c r="I516" i="9"/>
  <c r="H516" i="9"/>
  <c r="G516" i="9"/>
  <c r="E516" i="9"/>
  <c r="D516" i="9"/>
  <c r="A516" i="9"/>
  <c r="O515" i="9"/>
  <c r="N515" i="9"/>
  <c r="M515" i="9"/>
  <c r="L515" i="9"/>
  <c r="K515" i="9"/>
  <c r="J515" i="9"/>
  <c r="I515" i="9"/>
  <c r="H515" i="9"/>
  <c r="G515" i="9"/>
  <c r="E515" i="9"/>
  <c r="D515" i="9"/>
  <c r="A515" i="9"/>
  <c r="O513" i="9"/>
  <c r="N513" i="9"/>
  <c r="M513" i="9"/>
  <c r="L513" i="9"/>
  <c r="K513" i="9"/>
  <c r="J513" i="9"/>
  <c r="I513" i="9"/>
  <c r="H513" i="9"/>
  <c r="G513" i="9"/>
  <c r="E513" i="9"/>
  <c r="D513" i="9"/>
  <c r="A513" i="9"/>
  <c r="O512" i="9"/>
  <c r="N512" i="9"/>
  <c r="M512" i="9"/>
  <c r="L512" i="9"/>
  <c r="K512" i="9"/>
  <c r="J512" i="9"/>
  <c r="I512" i="9"/>
  <c r="H512" i="9"/>
  <c r="G512" i="9"/>
  <c r="E512" i="9"/>
  <c r="D512" i="9"/>
  <c r="A512" i="9"/>
  <c r="O511" i="9"/>
  <c r="N511" i="9"/>
  <c r="M511" i="9"/>
  <c r="L511" i="9"/>
  <c r="K511" i="9"/>
  <c r="J511" i="9"/>
  <c r="I511" i="9"/>
  <c r="H511" i="9"/>
  <c r="G511" i="9"/>
  <c r="E511" i="9"/>
  <c r="D511" i="9"/>
  <c r="A511" i="9"/>
  <c r="O510" i="9"/>
  <c r="N510" i="9"/>
  <c r="M510" i="9"/>
  <c r="L510" i="9"/>
  <c r="K510" i="9"/>
  <c r="J510" i="9"/>
  <c r="I510" i="9"/>
  <c r="H510" i="9"/>
  <c r="G510" i="9"/>
  <c r="E510" i="9"/>
  <c r="D510" i="9"/>
  <c r="A510" i="9"/>
  <c r="O509" i="9"/>
  <c r="N509" i="9"/>
  <c r="M509" i="9"/>
  <c r="L509" i="9"/>
  <c r="K509" i="9"/>
  <c r="J509" i="9"/>
  <c r="I509" i="9"/>
  <c r="H509" i="9"/>
  <c r="G509" i="9"/>
  <c r="E509" i="9"/>
  <c r="D509" i="9"/>
  <c r="A509" i="9"/>
  <c r="O508" i="9"/>
  <c r="N508" i="9"/>
  <c r="M508" i="9"/>
  <c r="L508" i="9"/>
  <c r="K508" i="9"/>
  <c r="J508" i="9"/>
  <c r="I508" i="9"/>
  <c r="H508" i="9"/>
  <c r="G508" i="9"/>
  <c r="E508" i="9"/>
  <c r="D508" i="9"/>
  <c r="A508" i="9"/>
  <c r="O507" i="9"/>
  <c r="N507" i="9"/>
  <c r="M507" i="9"/>
  <c r="L507" i="9"/>
  <c r="K507" i="9"/>
  <c r="J507" i="9"/>
  <c r="I507" i="9"/>
  <c r="H507" i="9"/>
  <c r="G507" i="9"/>
  <c r="E507" i="9"/>
  <c r="D507" i="9"/>
  <c r="A507" i="9"/>
  <c r="O506" i="9"/>
  <c r="N506" i="9"/>
  <c r="M506" i="9"/>
  <c r="L506" i="9"/>
  <c r="K506" i="9"/>
  <c r="J506" i="9"/>
  <c r="I506" i="9"/>
  <c r="H506" i="9"/>
  <c r="G506" i="9"/>
  <c r="E506" i="9"/>
  <c r="D506" i="9"/>
  <c r="A506" i="9"/>
  <c r="O505" i="9"/>
  <c r="N505" i="9"/>
  <c r="M505" i="9"/>
  <c r="L505" i="9"/>
  <c r="K505" i="9"/>
  <c r="J505" i="9"/>
  <c r="I505" i="9"/>
  <c r="H505" i="9"/>
  <c r="G505" i="9"/>
  <c r="E505" i="9"/>
  <c r="D505" i="9"/>
  <c r="A505" i="9"/>
  <c r="O504" i="9"/>
  <c r="N504" i="9"/>
  <c r="M504" i="9"/>
  <c r="L504" i="9"/>
  <c r="K504" i="9"/>
  <c r="J504" i="9"/>
  <c r="I504" i="9"/>
  <c r="H504" i="9"/>
  <c r="G504" i="9"/>
  <c r="E504" i="9"/>
  <c r="D504" i="9"/>
  <c r="A504" i="9"/>
  <c r="O503" i="9"/>
  <c r="N503" i="9"/>
  <c r="M503" i="9"/>
  <c r="L503" i="9"/>
  <c r="K503" i="9"/>
  <c r="J503" i="9"/>
  <c r="I503" i="9"/>
  <c r="H503" i="9"/>
  <c r="G503" i="9"/>
  <c r="E503" i="9"/>
  <c r="D503" i="9"/>
  <c r="A503" i="9"/>
  <c r="O502" i="9"/>
  <c r="N502" i="9"/>
  <c r="M502" i="9"/>
  <c r="L502" i="9"/>
  <c r="K502" i="9"/>
  <c r="J502" i="9"/>
  <c r="I502" i="9"/>
  <c r="H502" i="9"/>
  <c r="G502" i="9"/>
  <c r="E502" i="9"/>
  <c r="D502" i="9"/>
  <c r="A502" i="9"/>
  <c r="O501" i="9"/>
  <c r="N501" i="9"/>
  <c r="M501" i="9"/>
  <c r="L501" i="9"/>
  <c r="K501" i="9"/>
  <c r="J501" i="9"/>
  <c r="I501" i="9"/>
  <c r="H501" i="9"/>
  <c r="G501" i="9"/>
  <c r="E501" i="9"/>
  <c r="D501" i="9"/>
  <c r="A501" i="9"/>
  <c r="O500" i="9"/>
  <c r="N500" i="9"/>
  <c r="M500" i="9"/>
  <c r="L500" i="9"/>
  <c r="K500" i="9"/>
  <c r="J500" i="9"/>
  <c r="I500" i="9"/>
  <c r="H500" i="9"/>
  <c r="G500" i="9"/>
  <c r="E500" i="9"/>
  <c r="D500" i="9"/>
  <c r="A500" i="9"/>
  <c r="O499" i="9"/>
  <c r="N499" i="9"/>
  <c r="M499" i="9"/>
  <c r="L499" i="9"/>
  <c r="K499" i="9"/>
  <c r="J499" i="9"/>
  <c r="I499" i="9"/>
  <c r="H499" i="9"/>
  <c r="G499" i="9"/>
  <c r="E499" i="9"/>
  <c r="D499" i="9"/>
  <c r="A499" i="9"/>
  <c r="O498" i="9"/>
  <c r="N498" i="9"/>
  <c r="M498" i="9"/>
  <c r="L498" i="9"/>
  <c r="K498" i="9"/>
  <c r="J498" i="9"/>
  <c r="I498" i="9"/>
  <c r="H498" i="9"/>
  <c r="G498" i="9"/>
  <c r="E498" i="9"/>
  <c r="D498" i="9"/>
  <c r="A498" i="9"/>
  <c r="O497" i="9"/>
  <c r="N497" i="9"/>
  <c r="M497" i="9"/>
  <c r="L497" i="9"/>
  <c r="K497" i="9"/>
  <c r="J497" i="9"/>
  <c r="I497" i="9"/>
  <c r="H497" i="9"/>
  <c r="G497" i="9"/>
  <c r="E497" i="9"/>
  <c r="D497" i="9"/>
  <c r="A497" i="9"/>
  <c r="O496" i="9"/>
  <c r="N496" i="9"/>
  <c r="M496" i="9"/>
  <c r="L496" i="9"/>
  <c r="K496" i="9"/>
  <c r="J496" i="9"/>
  <c r="I496" i="9"/>
  <c r="H496" i="9"/>
  <c r="G496" i="9"/>
  <c r="E496" i="9"/>
  <c r="D496" i="9"/>
  <c r="A496" i="9"/>
  <c r="O495" i="9"/>
  <c r="N495" i="9"/>
  <c r="M495" i="9"/>
  <c r="L495" i="9"/>
  <c r="K495" i="9"/>
  <c r="J495" i="9"/>
  <c r="I495" i="9"/>
  <c r="H495" i="9"/>
  <c r="G495" i="9"/>
  <c r="E495" i="9"/>
  <c r="D495" i="9"/>
  <c r="A495" i="9"/>
  <c r="O494" i="9"/>
  <c r="N494" i="9"/>
  <c r="M494" i="9"/>
  <c r="L494" i="9"/>
  <c r="K494" i="9"/>
  <c r="J494" i="9"/>
  <c r="I494" i="9"/>
  <c r="H494" i="9"/>
  <c r="G494" i="9"/>
  <c r="E494" i="9"/>
  <c r="D494" i="9"/>
  <c r="A494" i="9"/>
  <c r="O493" i="9"/>
  <c r="N493" i="9"/>
  <c r="M493" i="9"/>
  <c r="L493" i="9"/>
  <c r="K493" i="9"/>
  <c r="J493" i="9"/>
  <c r="I493" i="9"/>
  <c r="H493" i="9"/>
  <c r="G493" i="9"/>
  <c r="E493" i="9"/>
  <c r="D493" i="9"/>
  <c r="A493" i="9"/>
  <c r="O492" i="9"/>
  <c r="N492" i="9"/>
  <c r="M492" i="9"/>
  <c r="L492" i="9"/>
  <c r="K492" i="9"/>
  <c r="J492" i="9"/>
  <c r="I492" i="9"/>
  <c r="H492" i="9"/>
  <c r="G492" i="9"/>
  <c r="E492" i="9"/>
  <c r="D492" i="9"/>
  <c r="A492" i="9"/>
  <c r="O491" i="9"/>
  <c r="N491" i="9"/>
  <c r="M491" i="9"/>
  <c r="L491" i="9"/>
  <c r="K491" i="9"/>
  <c r="J491" i="9"/>
  <c r="I491" i="9"/>
  <c r="H491" i="9"/>
  <c r="G491" i="9"/>
  <c r="E491" i="9"/>
  <c r="D491" i="9"/>
  <c r="A491" i="9"/>
  <c r="O490" i="9"/>
  <c r="N490" i="9"/>
  <c r="M490" i="9"/>
  <c r="L490" i="9"/>
  <c r="K490" i="9"/>
  <c r="J490" i="9"/>
  <c r="I490" i="9"/>
  <c r="H490" i="9"/>
  <c r="G490" i="9"/>
  <c r="E490" i="9"/>
  <c r="D490" i="9"/>
  <c r="A490" i="9"/>
  <c r="O489" i="9"/>
  <c r="N489" i="9"/>
  <c r="M489" i="9"/>
  <c r="L489" i="9"/>
  <c r="K489" i="9"/>
  <c r="J489" i="9"/>
  <c r="I489" i="9"/>
  <c r="H489" i="9"/>
  <c r="G489" i="9"/>
  <c r="E489" i="9"/>
  <c r="D489" i="9"/>
  <c r="A489" i="9"/>
  <c r="O488" i="9"/>
  <c r="N488" i="9"/>
  <c r="M488" i="9"/>
  <c r="L488" i="9"/>
  <c r="K488" i="9"/>
  <c r="J488" i="9"/>
  <c r="I488" i="9"/>
  <c r="H488" i="9"/>
  <c r="G488" i="9"/>
  <c r="E488" i="9"/>
  <c r="D488" i="9"/>
  <c r="A488" i="9"/>
  <c r="O487" i="9"/>
  <c r="N487" i="9"/>
  <c r="M487" i="9"/>
  <c r="L487" i="9"/>
  <c r="K487" i="9"/>
  <c r="J487" i="9"/>
  <c r="I487" i="9"/>
  <c r="H487" i="9"/>
  <c r="G487" i="9"/>
  <c r="E487" i="9"/>
  <c r="D487" i="9"/>
  <c r="A487" i="9"/>
  <c r="O486" i="9"/>
  <c r="N486" i="9"/>
  <c r="M486" i="9"/>
  <c r="L486" i="9"/>
  <c r="K486" i="9"/>
  <c r="J486" i="9"/>
  <c r="I486" i="9"/>
  <c r="H486" i="9"/>
  <c r="G486" i="9"/>
  <c r="E486" i="9"/>
  <c r="D486" i="9"/>
  <c r="A486" i="9"/>
  <c r="O485" i="9"/>
  <c r="N485" i="9"/>
  <c r="M485" i="9"/>
  <c r="L485" i="9"/>
  <c r="K485" i="9"/>
  <c r="J485" i="9"/>
  <c r="I485" i="9"/>
  <c r="H485" i="9"/>
  <c r="G485" i="9"/>
  <c r="E485" i="9"/>
  <c r="D485" i="9"/>
  <c r="A485" i="9"/>
  <c r="O484" i="9"/>
  <c r="N484" i="9"/>
  <c r="M484" i="9"/>
  <c r="L484" i="9"/>
  <c r="K484" i="9"/>
  <c r="J484" i="9"/>
  <c r="I484" i="9"/>
  <c r="H484" i="9"/>
  <c r="G484" i="9"/>
  <c r="E484" i="9"/>
  <c r="D484" i="9"/>
  <c r="A484" i="9"/>
  <c r="O483" i="9"/>
  <c r="N483" i="9"/>
  <c r="M483" i="9"/>
  <c r="L483" i="9"/>
  <c r="K483" i="9"/>
  <c r="J483" i="9"/>
  <c r="I483" i="9"/>
  <c r="H483" i="9"/>
  <c r="G483" i="9"/>
  <c r="E483" i="9"/>
  <c r="D483" i="9"/>
  <c r="A483" i="9"/>
  <c r="O482" i="9"/>
  <c r="N482" i="9"/>
  <c r="M482" i="9"/>
  <c r="L482" i="9"/>
  <c r="K482" i="9"/>
  <c r="J482" i="9"/>
  <c r="I482" i="9"/>
  <c r="H482" i="9"/>
  <c r="G482" i="9"/>
  <c r="E482" i="9"/>
  <c r="D482" i="9"/>
  <c r="A482" i="9"/>
  <c r="O481" i="9"/>
  <c r="N481" i="9"/>
  <c r="M481" i="9"/>
  <c r="L481" i="9"/>
  <c r="K481" i="9"/>
  <c r="J481" i="9"/>
  <c r="I481" i="9"/>
  <c r="H481" i="9"/>
  <c r="G481" i="9"/>
  <c r="E481" i="9"/>
  <c r="D481" i="9"/>
  <c r="A481" i="9"/>
  <c r="O480" i="9"/>
  <c r="N480" i="9"/>
  <c r="M480" i="9"/>
  <c r="L480" i="9"/>
  <c r="K480" i="9"/>
  <c r="J480" i="9"/>
  <c r="I480" i="9"/>
  <c r="H480" i="9"/>
  <c r="G480" i="9"/>
  <c r="E480" i="9"/>
  <c r="D480" i="9"/>
  <c r="A480" i="9"/>
  <c r="O479" i="9"/>
  <c r="N479" i="9"/>
  <c r="M479" i="9"/>
  <c r="L479" i="9"/>
  <c r="K479" i="9"/>
  <c r="J479" i="9"/>
  <c r="I479" i="9"/>
  <c r="H479" i="9"/>
  <c r="G479" i="9"/>
  <c r="E479" i="9"/>
  <c r="D479" i="9"/>
  <c r="A479" i="9"/>
  <c r="O478" i="9"/>
  <c r="N478" i="9"/>
  <c r="M478" i="9"/>
  <c r="L478" i="9"/>
  <c r="K478" i="9"/>
  <c r="J478" i="9"/>
  <c r="I478" i="9"/>
  <c r="H478" i="9"/>
  <c r="G478" i="9"/>
  <c r="E478" i="9"/>
  <c r="D478" i="9"/>
  <c r="A478" i="9"/>
  <c r="O477" i="9"/>
  <c r="N477" i="9"/>
  <c r="M477" i="9"/>
  <c r="L477" i="9"/>
  <c r="K477" i="9"/>
  <c r="J477" i="9"/>
  <c r="I477" i="9"/>
  <c r="H477" i="9"/>
  <c r="G477" i="9"/>
  <c r="E477" i="9"/>
  <c r="D477" i="9"/>
  <c r="A477" i="9"/>
  <c r="O476" i="9"/>
  <c r="N476" i="9"/>
  <c r="M476" i="9"/>
  <c r="L476" i="9"/>
  <c r="K476" i="9"/>
  <c r="J476" i="9"/>
  <c r="I476" i="9"/>
  <c r="H476" i="9"/>
  <c r="G476" i="9"/>
  <c r="E476" i="9"/>
  <c r="D476" i="9"/>
  <c r="A476" i="9"/>
  <c r="O475" i="9"/>
  <c r="N475" i="9"/>
  <c r="M475" i="9"/>
  <c r="L475" i="9"/>
  <c r="K475" i="9"/>
  <c r="J475" i="9"/>
  <c r="I475" i="9"/>
  <c r="H475" i="9"/>
  <c r="G475" i="9"/>
  <c r="E475" i="9"/>
  <c r="D475" i="9"/>
  <c r="A475" i="9"/>
  <c r="O474" i="9"/>
  <c r="N474" i="9"/>
  <c r="M474" i="9"/>
  <c r="L474" i="9"/>
  <c r="K474" i="9"/>
  <c r="J474" i="9"/>
  <c r="I474" i="9"/>
  <c r="H474" i="9"/>
  <c r="G474" i="9"/>
  <c r="E474" i="9"/>
  <c r="D474" i="9"/>
  <c r="A474" i="9"/>
  <c r="O473" i="9"/>
  <c r="N473" i="9"/>
  <c r="M473" i="9"/>
  <c r="L473" i="9"/>
  <c r="K473" i="9"/>
  <c r="J473" i="9"/>
  <c r="I473" i="9"/>
  <c r="H473" i="9"/>
  <c r="G473" i="9"/>
  <c r="E473" i="9"/>
  <c r="D473" i="9"/>
  <c r="A473" i="9"/>
  <c r="O472" i="9"/>
  <c r="N472" i="9"/>
  <c r="M472" i="9"/>
  <c r="L472" i="9"/>
  <c r="K472" i="9"/>
  <c r="J472" i="9"/>
  <c r="I472" i="9"/>
  <c r="H472" i="9"/>
  <c r="G472" i="9"/>
  <c r="E472" i="9"/>
  <c r="D472" i="9"/>
  <c r="A472" i="9"/>
  <c r="O471" i="9"/>
  <c r="N471" i="9"/>
  <c r="M471" i="9"/>
  <c r="L471" i="9"/>
  <c r="K471" i="9"/>
  <c r="J471" i="9"/>
  <c r="I471" i="9"/>
  <c r="H471" i="9"/>
  <c r="G471" i="9"/>
  <c r="E471" i="9"/>
  <c r="D471" i="9"/>
  <c r="A471" i="9"/>
  <c r="O470" i="9"/>
  <c r="N470" i="9"/>
  <c r="M470" i="9"/>
  <c r="L470" i="9"/>
  <c r="K470" i="9"/>
  <c r="J470" i="9"/>
  <c r="I470" i="9"/>
  <c r="H470" i="9"/>
  <c r="G470" i="9"/>
  <c r="E470" i="9"/>
  <c r="D470" i="9"/>
  <c r="A470" i="9"/>
  <c r="O469" i="9"/>
  <c r="N469" i="9"/>
  <c r="M469" i="9"/>
  <c r="L469" i="9"/>
  <c r="K469" i="9"/>
  <c r="J469" i="9"/>
  <c r="I469" i="9"/>
  <c r="H469" i="9"/>
  <c r="G469" i="9"/>
  <c r="E469" i="9"/>
  <c r="D469" i="9"/>
  <c r="A469" i="9"/>
  <c r="O468" i="9"/>
  <c r="N468" i="9"/>
  <c r="M468" i="9"/>
  <c r="L468" i="9"/>
  <c r="K468" i="9"/>
  <c r="J468" i="9"/>
  <c r="I468" i="9"/>
  <c r="H468" i="9"/>
  <c r="G468" i="9"/>
  <c r="E468" i="9"/>
  <c r="D468" i="9"/>
  <c r="A468" i="9"/>
  <c r="O467" i="9"/>
  <c r="N467" i="9"/>
  <c r="M467" i="9"/>
  <c r="L467" i="9"/>
  <c r="K467" i="9"/>
  <c r="J467" i="9"/>
  <c r="I467" i="9"/>
  <c r="H467" i="9"/>
  <c r="G467" i="9"/>
  <c r="E467" i="9"/>
  <c r="D467" i="9"/>
  <c r="A467" i="9"/>
  <c r="O466" i="9"/>
  <c r="N466" i="9"/>
  <c r="M466" i="9"/>
  <c r="L466" i="9"/>
  <c r="K466" i="9"/>
  <c r="J466" i="9"/>
  <c r="I466" i="9"/>
  <c r="H466" i="9"/>
  <c r="G466" i="9"/>
  <c r="E466" i="9"/>
  <c r="D466" i="9"/>
  <c r="A466" i="9"/>
  <c r="O465" i="9"/>
  <c r="N465" i="9"/>
  <c r="M465" i="9"/>
  <c r="L465" i="9"/>
  <c r="K465" i="9"/>
  <c r="J465" i="9"/>
  <c r="I465" i="9"/>
  <c r="H465" i="9"/>
  <c r="G465" i="9"/>
  <c r="E465" i="9"/>
  <c r="D465" i="9"/>
  <c r="A465" i="9"/>
  <c r="O464" i="9"/>
  <c r="N464" i="9"/>
  <c r="M464" i="9"/>
  <c r="L464" i="9"/>
  <c r="K464" i="9"/>
  <c r="J464" i="9"/>
  <c r="I464" i="9"/>
  <c r="H464" i="9"/>
  <c r="G464" i="9"/>
  <c r="E464" i="9"/>
  <c r="D464" i="9"/>
  <c r="A464" i="9"/>
  <c r="O463" i="9"/>
  <c r="N463" i="9"/>
  <c r="M463" i="9"/>
  <c r="L463" i="9"/>
  <c r="K463" i="9"/>
  <c r="J463" i="9"/>
  <c r="I463" i="9"/>
  <c r="H463" i="9"/>
  <c r="G463" i="9"/>
  <c r="E463" i="9"/>
  <c r="D463" i="9"/>
  <c r="A463" i="9"/>
  <c r="O462" i="9"/>
  <c r="N462" i="9"/>
  <c r="M462" i="9"/>
  <c r="L462" i="9"/>
  <c r="K462" i="9"/>
  <c r="J462" i="9"/>
  <c r="I462" i="9"/>
  <c r="H462" i="9"/>
  <c r="G462" i="9"/>
  <c r="E462" i="9"/>
  <c r="D462" i="9"/>
  <c r="A462" i="9"/>
  <c r="O461" i="9"/>
  <c r="N461" i="9"/>
  <c r="M461" i="9"/>
  <c r="L461" i="9"/>
  <c r="K461" i="9"/>
  <c r="J461" i="9"/>
  <c r="I461" i="9"/>
  <c r="H461" i="9"/>
  <c r="G461" i="9"/>
  <c r="E461" i="9"/>
  <c r="D461" i="9"/>
  <c r="A461" i="9"/>
  <c r="O460" i="9"/>
  <c r="N460" i="9"/>
  <c r="M460" i="9"/>
  <c r="L460" i="9"/>
  <c r="K460" i="9"/>
  <c r="J460" i="9"/>
  <c r="I460" i="9"/>
  <c r="H460" i="9"/>
  <c r="G460" i="9"/>
  <c r="E460" i="9"/>
  <c r="D460" i="9"/>
  <c r="A460" i="9"/>
  <c r="O459" i="9"/>
  <c r="N459" i="9"/>
  <c r="M459" i="9"/>
  <c r="L459" i="9"/>
  <c r="K459" i="9"/>
  <c r="J459" i="9"/>
  <c r="I459" i="9"/>
  <c r="H459" i="9"/>
  <c r="G459" i="9"/>
  <c r="E459" i="9"/>
  <c r="D459" i="9"/>
  <c r="A459" i="9"/>
  <c r="O458" i="9"/>
  <c r="N458" i="9"/>
  <c r="M458" i="9"/>
  <c r="L458" i="9"/>
  <c r="K458" i="9"/>
  <c r="J458" i="9"/>
  <c r="I458" i="9"/>
  <c r="H458" i="9"/>
  <c r="G458" i="9"/>
  <c r="E458" i="9"/>
  <c r="D458" i="9"/>
  <c r="A458" i="9"/>
  <c r="O457" i="9"/>
  <c r="N457" i="9"/>
  <c r="M457" i="9"/>
  <c r="L457" i="9"/>
  <c r="K457" i="9"/>
  <c r="J457" i="9"/>
  <c r="I457" i="9"/>
  <c r="H457" i="9"/>
  <c r="G457" i="9"/>
  <c r="E457" i="9"/>
  <c r="D457" i="9"/>
  <c r="A457" i="9"/>
  <c r="O456" i="9"/>
  <c r="N456" i="9"/>
  <c r="M456" i="9"/>
  <c r="L456" i="9"/>
  <c r="K456" i="9"/>
  <c r="J456" i="9"/>
  <c r="I456" i="9"/>
  <c r="H456" i="9"/>
  <c r="G456" i="9"/>
  <c r="E456" i="9"/>
  <c r="D456" i="9"/>
  <c r="A456" i="9"/>
  <c r="O455" i="9"/>
  <c r="N455" i="9"/>
  <c r="M455" i="9"/>
  <c r="L455" i="9"/>
  <c r="K455" i="9"/>
  <c r="J455" i="9"/>
  <c r="I455" i="9"/>
  <c r="H455" i="9"/>
  <c r="G455" i="9"/>
  <c r="E455" i="9"/>
  <c r="D455" i="9"/>
  <c r="A455" i="9"/>
  <c r="O454" i="9"/>
  <c r="N454" i="9"/>
  <c r="M454" i="9"/>
  <c r="L454" i="9"/>
  <c r="K454" i="9"/>
  <c r="J454" i="9"/>
  <c r="I454" i="9"/>
  <c r="H454" i="9"/>
  <c r="G454" i="9"/>
  <c r="E454" i="9"/>
  <c r="D454" i="9"/>
  <c r="A454" i="9"/>
  <c r="O453" i="9"/>
  <c r="N453" i="9"/>
  <c r="M453" i="9"/>
  <c r="L453" i="9"/>
  <c r="K453" i="9"/>
  <c r="J453" i="9"/>
  <c r="I453" i="9"/>
  <c r="H453" i="9"/>
  <c r="G453" i="9"/>
  <c r="E453" i="9"/>
  <c r="D453" i="9"/>
  <c r="A453" i="9"/>
  <c r="O452" i="9"/>
  <c r="N452" i="9"/>
  <c r="M452" i="9"/>
  <c r="L452" i="9"/>
  <c r="K452" i="9"/>
  <c r="J452" i="9"/>
  <c r="I452" i="9"/>
  <c r="H452" i="9"/>
  <c r="G452" i="9"/>
  <c r="E452" i="9"/>
  <c r="D452" i="9"/>
  <c r="A452" i="9"/>
  <c r="O451" i="9"/>
  <c r="N451" i="9"/>
  <c r="M451" i="9"/>
  <c r="L451" i="9"/>
  <c r="K451" i="9"/>
  <c r="J451" i="9"/>
  <c r="I451" i="9"/>
  <c r="H451" i="9"/>
  <c r="G451" i="9"/>
  <c r="E451" i="9"/>
  <c r="D451" i="9"/>
  <c r="A451" i="9"/>
  <c r="O450" i="9"/>
  <c r="N450" i="9"/>
  <c r="M450" i="9"/>
  <c r="L450" i="9"/>
  <c r="K450" i="9"/>
  <c r="J450" i="9"/>
  <c r="I450" i="9"/>
  <c r="H450" i="9"/>
  <c r="G450" i="9"/>
  <c r="E450" i="9"/>
  <c r="D450" i="9"/>
  <c r="A450" i="9"/>
  <c r="O449" i="9"/>
  <c r="N449" i="9"/>
  <c r="M449" i="9"/>
  <c r="L449" i="9"/>
  <c r="K449" i="9"/>
  <c r="J449" i="9"/>
  <c r="I449" i="9"/>
  <c r="H449" i="9"/>
  <c r="G449" i="9"/>
  <c r="E449" i="9"/>
  <c r="D449" i="9"/>
  <c r="A449" i="9"/>
  <c r="O448" i="9"/>
  <c r="N448" i="9"/>
  <c r="M448" i="9"/>
  <c r="L448" i="9"/>
  <c r="K448" i="9"/>
  <c r="J448" i="9"/>
  <c r="I448" i="9"/>
  <c r="H448" i="9"/>
  <c r="G448" i="9"/>
  <c r="E448" i="9"/>
  <c r="D448" i="9"/>
  <c r="A448" i="9"/>
  <c r="O447" i="9"/>
  <c r="N447" i="9"/>
  <c r="M447" i="9"/>
  <c r="L447" i="9"/>
  <c r="K447" i="9"/>
  <c r="J447" i="9"/>
  <c r="I447" i="9"/>
  <c r="H447" i="9"/>
  <c r="G447" i="9"/>
  <c r="E447" i="9"/>
  <c r="D447" i="9"/>
  <c r="A447" i="9"/>
  <c r="O446" i="9"/>
  <c r="N446" i="9"/>
  <c r="M446" i="9"/>
  <c r="L446" i="9"/>
  <c r="K446" i="9"/>
  <c r="J446" i="9"/>
  <c r="I446" i="9"/>
  <c r="H446" i="9"/>
  <c r="G446" i="9"/>
  <c r="E446" i="9"/>
  <c r="D446" i="9"/>
  <c r="A446" i="9"/>
  <c r="O445" i="9"/>
  <c r="N445" i="9"/>
  <c r="M445" i="9"/>
  <c r="L445" i="9"/>
  <c r="K445" i="9"/>
  <c r="J445" i="9"/>
  <c r="I445" i="9"/>
  <c r="H445" i="9"/>
  <c r="G445" i="9"/>
  <c r="E445" i="9"/>
  <c r="D445" i="9"/>
  <c r="A445" i="9"/>
  <c r="O444" i="9"/>
  <c r="N444" i="9"/>
  <c r="M444" i="9"/>
  <c r="L444" i="9"/>
  <c r="K444" i="9"/>
  <c r="J444" i="9"/>
  <c r="I444" i="9"/>
  <c r="H444" i="9"/>
  <c r="G444" i="9"/>
  <c r="E444" i="9"/>
  <c r="D444" i="9"/>
  <c r="A444" i="9"/>
  <c r="O443" i="9"/>
  <c r="N443" i="9"/>
  <c r="M443" i="9"/>
  <c r="L443" i="9"/>
  <c r="K443" i="9"/>
  <c r="J443" i="9"/>
  <c r="I443" i="9"/>
  <c r="H443" i="9"/>
  <c r="G443" i="9"/>
  <c r="E443" i="9"/>
  <c r="D443" i="9"/>
  <c r="A443" i="9"/>
  <c r="O442" i="9"/>
  <c r="N442" i="9"/>
  <c r="M442" i="9"/>
  <c r="L442" i="9"/>
  <c r="K442" i="9"/>
  <c r="J442" i="9"/>
  <c r="I442" i="9"/>
  <c r="H442" i="9"/>
  <c r="G442" i="9"/>
  <c r="E442" i="9"/>
  <c r="D442" i="9"/>
  <c r="A442" i="9"/>
  <c r="O441" i="9"/>
  <c r="N441" i="9"/>
  <c r="M441" i="9"/>
  <c r="L441" i="9"/>
  <c r="K441" i="9"/>
  <c r="J441" i="9"/>
  <c r="I441" i="9"/>
  <c r="H441" i="9"/>
  <c r="G441" i="9"/>
  <c r="E441" i="9"/>
  <c r="D441" i="9"/>
  <c r="A441" i="9"/>
  <c r="O440" i="9"/>
  <c r="N440" i="9"/>
  <c r="M440" i="9"/>
  <c r="L440" i="9"/>
  <c r="K440" i="9"/>
  <c r="J440" i="9"/>
  <c r="I440" i="9"/>
  <c r="H440" i="9"/>
  <c r="G440" i="9"/>
  <c r="E440" i="9"/>
  <c r="D440" i="9"/>
  <c r="A440" i="9"/>
  <c r="O439" i="9"/>
  <c r="N439" i="9"/>
  <c r="M439" i="9"/>
  <c r="L439" i="9"/>
  <c r="K439" i="9"/>
  <c r="J439" i="9"/>
  <c r="I439" i="9"/>
  <c r="H439" i="9"/>
  <c r="G439" i="9"/>
  <c r="E439" i="9"/>
  <c r="D439" i="9"/>
  <c r="A439" i="9"/>
  <c r="O438" i="9"/>
  <c r="N438" i="9"/>
  <c r="M438" i="9"/>
  <c r="L438" i="9"/>
  <c r="K438" i="9"/>
  <c r="J438" i="9"/>
  <c r="I438" i="9"/>
  <c r="H438" i="9"/>
  <c r="G438" i="9"/>
  <c r="E438" i="9"/>
  <c r="D438" i="9"/>
  <c r="A438" i="9"/>
  <c r="O437" i="9"/>
  <c r="N437" i="9"/>
  <c r="M437" i="9"/>
  <c r="L437" i="9"/>
  <c r="K437" i="9"/>
  <c r="J437" i="9"/>
  <c r="I437" i="9"/>
  <c r="H437" i="9"/>
  <c r="G437" i="9"/>
  <c r="E437" i="9"/>
  <c r="D437" i="9"/>
  <c r="A437" i="9"/>
  <c r="O436" i="9"/>
  <c r="N436" i="9"/>
  <c r="M436" i="9"/>
  <c r="L436" i="9"/>
  <c r="K436" i="9"/>
  <c r="J436" i="9"/>
  <c r="I436" i="9"/>
  <c r="H436" i="9"/>
  <c r="G436" i="9"/>
  <c r="E436" i="9"/>
  <c r="D436" i="9"/>
  <c r="A436" i="9"/>
  <c r="O435" i="9"/>
  <c r="N435" i="9"/>
  <c r="M435" i="9"/>
  <c r="L435" i="9"/>
  <c r="K435" i="9"/>
  <c r="J435" i="9"/>
  <c r="I435" i="9"/>
  <c r="H435" i="9"/>
  <c r="G435" i="9"/>
  <c r="E435" i="9"/>
  <c r="D435" i="9"/>
  <c r="A435" i="9"/>
  <c r="O434" i="9"/>
  <c r="N434" i="9"/>
  <c r="M434" i="9"/>
  <c r="L434" i="9"/>
  <c r="K434" i="9"/>
  <c r="J434" i="9"/>
  <c r="I434" i="9"/>
  <c r="H434" i="9"/>
  <c r="G434" i="9"/>
  <c r="E434" i="9"/>
  <c r="D434" i="9"/>
  <c r="A434" i="9"/>
  <c r="O433" i="9"/>
  <c r="N433" i="9"/>
  <c r="M433" i="9"/>
  <c r="L433" i="9"/>
  <c r="K433" i="9"/>
  <c r="J433" i="9"/>
  <c r="I433" i="9"/>
  <c r="H433" i="9"/>
  <c r="G433" i="9"/>
  <c r="E433" i="9"/>
  <c r="D433" i="9"/>
  <c r="A433" i="9"/>
  <c r="O432" i="9"/>
  <c r="N432" i="9"/>
  <c r="M432" i="9"/>
  <c r="L432" i="9"/>
  <c r="K432" i="9"/>
  <c r="J432" i="9"/>
  <c r="I432" i="9"/>
  <c r="H432" i="9"/>
  <c r="G432" i="9"/>
  <c r="E432" i="9"/>
  <c r="D432" i="9"/>
  <c r="A432" i="9"/>
  <c r="O431" i="9"/>
  <c r="N431" i="9"/>
  <c r="M431" i="9"/>
  <c r="L431" i="9"/>
  <c r="K431" i="9"/>
  <c r="J431" i="9"/>
  <c r="I431" i="9"/>
  <c r="H431" i="9"/>
  <c r="G431" i="9"/>
  <c r="E431" i="9"/>
  <c r="D431" i="9"/>
  <c r="A431" i="9"/>
  <c r="O430" i="9"/>
  <c r="N430" i="9"/>
  <c r="M430" i="9"/>
  <c r="L430" i="9"/>
  <c r="K430" i="9"/>
  <c r="J430" i="9"/>
  <c r="I430" i="9"/>
  <c r="H430" i="9"/>
  <c r="G430" i="9"/>
  <c r="E430" i="9"/>
  <c r="D430" i="9"/>
  <c r="A430" i="9"/>
  <c r="O429" i="9"/>
  <c r="N429" i="9"/>
  <c r="M429" i="9"/>
  <c r="L429" i="9"/>
  <c r="K429" i="9"/>
  <c r="J429" i="9"/>
  <c r="I429" i="9"/>
  <c r="H429" i="9"/>
  <c r="G429" i="9"/>
  <c r="E429" i="9"/>
  <c r="D429" i="9"/>
  <c r="A429" i="9"/>
  <c r="O428" i="9"/>
  <c r="N428" i="9"/>
  <c r="M428" i="9"/>
  <c r="L428" i="9"/>
  <c r="K428" i="9"/>
  <c r="J428" i="9"/>
  <c r="I428" i="9"/>
  <c r="H428" i="9"/>
  <c r="G428" i="9"/>
  <c r="E428" i="9"/>
  <c r="D428" i="9"/>
  <c r="A428" i="9"/>
  <c r="O427" i="9"/>
  <c r="N427" i="9"/>
  <c r="M427" i="9"/>
  <c r="L427" i="9"/>
  <c r="K427" i="9"/>
  <c r="J427" i="9"/>
  <c r="I427" i="9"/>
  <c r="H427" i="9"/>
  <c r="G427" i="9"/>
  <c r="E427" i="9"/>
  <c r="D427" i="9"/>
  <c r="A427" i="9"/>
  <c r="O426" i="9"/>
  <c r="N426" i="9"/>
  <c r="M426" i="9"/>
  <c r="L426" i="9"/>
  <c r="K426" i="9"/>
  <c r="J426" i="9"/>
  <c r="I426" i="9"/>
  <c r="H426" i="9"/>
  <c r="G426" i="9"/>
  <c r="E426" i="9"/>
  <c r="D426" i="9"/>
  <c r="A426" i="9"/>
  <c r="O425" i="9"/>
  <c r="N425" i="9"/>
  <c r="M425" i="9"/>
  <c r="L425" i="9"/>
  <c r="K425" i="9"/>
  <c r="J425" i="9"/>
  <c r="I425" i="9"/>
  <c r="H425" i="9"/>
  <c r="G425" i="9"/>
  <c r="E425" i="9"/>
  <c r="D425" i="9"/>
  <c r="A425" i="9"/>
  <c r="O424" i="9"/>
  <c r="N424" i="9"/>
  <c r="M424" i="9"/>
  <c r="L424" i="9"/>
  <c r="K424" i="9"/>
  <c r="J424" i="9"/>
  <c r="I424" i="9"/>
  <c r="H424" i="9"/>
  <c r="G424" i="9"/>
  <c r="E424" i="9"/>
  <c r="D424" i="9"/>
  <c r="A424" i="9"/>
  <c r="O423" i="9"/>
  <c r="N423" i="9"/>
  <c r="M423" i="9"/>
  <c r="L423" i="9"/>
  <c r="K423" i="9"/>
  <c r="J423" i="9"/>
  <c r="I423" i="9"/>
  <c r="H423" i="9"/>
  <c r="G423" i="9"/>
  <c r="E423" i="9"/>
  <c r="D423" i="9"/>
  <c r="A423" i="9"/>
  <c r="O422" i="9"/>
  <c r="N422" i="9"/>
  <c r="M422" i="9"/>
  <c r="L422" i="9"/>
  <c r="K422" i="9"/>
  <c r="J422" i="9"/>
  <c r="I422" i="9"/>
  <c r="H422" i="9"/>
  <c r="G422" i="9"/>
  <c r="E422" i="9"/>
  <c r="D422" i="9"/>
  <c r="A422" i="9"/>
  <c r="O421" i="9"/>
  <c r="N421" i="9"/>
  <c r="M421" i="9"/>
  <c r="L421" i="9"/>
  <c r="K421" i="9"/>
  <c r="J421" i="9"/>
  <c r="I421" i="9"/>
  <c r="H421" i="9"/>
  <c r="G421" i="9"/>
  <c r="E421" i="9"/>
  <c r="D421" i="9"/>
  <c r="A421" i="9"/>
  <c r="O420" i="9"/>
  <c r="N420" i="9"/>
  <c r="M420" i="9"/>
  <c r="L420" i="9"/>
  <c r="K420" i="9"/>
  <c r="J420" i="9"/>
  <c r="I420" i="9"/>
  <c r="H420" i="9"/>
  <c r="G420" i="9"/>
  <c r="E420" i="9"/>
  <c r="D420" i="9"/>
  <c r="A420" i="9"/>
  <c r="O419" i="9"/>
  <c r="N419" i="9"/>
  <c r="M419" i="9"/>
  <c r="L419" i="9"/>
  <c r="K419" i="9"/>
  <c r="J419" i="9"/>
  <c r="I419" i="9"/>
  <c r="H419" i="9"/>
  <c r="G419" i="9"/>
  <c r="E419" i="9"/>
  <c r="D419" i="9"/>
  <c r="A419" i="9"/>
  <c r="O418" i="9"/>
  <c r="N418" i="9"/>
  <c r="M418" i="9"/>
  <c r="L418" i="9"/>
  <c r="K418" i="9"/>
  <c r="J418" i="9"/>
  <c r="I418" i="9"/>
  <c r="H418" i="9"/>
  <c r="G418" i="9"/>
  <c r="E418" i="9"/>
  <c r="D418" i="9"/>
  <c r="A418" i="9"/>
  <c r="O417" i="9"/>
  <c r="N417" i="9"/>
  <c r="M417" i="9"/>
  <c r="L417" i="9"/>
  <c r="K417" i="9"/>
  <c r="J417" i="9"/>
  <c r="I417" i="9"/>
  <c r="H417" i="9"/>
  <c r="G417" i="9"/>
  <c r="E417" i="9"/>
  <c r="D417" i="9"/>
  <c r="A417" i="9"/>
  <c r="O416" i="9"/>
  <c r="N416" i="9"/>
  <c r="M416" i="9"/>
  <c r="L416" i="9"/>
  <c r="K416" i="9"/>
  <c r="J416" i="9"/>
  <c r="I416" i="9"/>
  <c r="H416" i="9"/>
  <c r="G416" i="9"/>
  <c r="E416" i="9"/>
  <c r="D416" i="9"/>
  <c r="A416" i="9"/>
  <c r="O415" i="9"/>
  <c r="N415" i="9"/>
  <c r="M415" i="9"/>
  <c r="L415" i="9"/>
  <c r="K415" i="9"/>
  <c r="J415" i="9"/>
  <c r="I415" i="9"/>
  <c r="H415" i="9"/>
  <c r="G415" i="9"/>
  <c r="E415" i="9"/>
  <c r="D415" i="9"/>
  <c r="A415" i="9"/>
  <c r="O414" i="9"/>
  <c r="N414" i="9"/>
  <c r="M414" i="9"/>
  <c r="L414" i="9"/>
  <c r="K414" i="9"/>
  <c r="J414" i="9"/>
  <c r="I414" i="9"/>
  <c r="H414" i="9"/>
  <c r="G414" i="9"/>
  <c r="E414" i="9"/>
  <c r="D414" i="9"/>
  <c r="A414" i="9"/>
  <c r="O412" i="9"/>
  <c r="N412" i="9"/>
  <c r="M412" i="9"/>
  <c r="L412" i="9"/>
  <c r="K412" i="9"/>
  <c r="J412" i="9"/>
  <c r="I412" i="9"/>
  <c r="H412" i="9"/>
  <c r="G412" i="9"/>
  <c r="E412" i="9"/>
  <c r="D412" i="9"/>
  <c r="A412" i="9"/>
  <c r="O411" i="9"/>
  <c r="N411" i="9"/>
  <c r="M411" i="9"/>
  <c r="L411" i="9"/>
  <c r="K411" i="9"/>
  <c r="J411" i="9"/>
  <c r="I411" i="9"/>
  <c r="H411" i="9"/>
  <c r="G411" i="9"/>
  <c r="E411" i="9"/>
  <c r="D411" i="9"/>
  <c r="A411" i="9"/>
  <c r="O410" i="9"/>
  <c r="N410" i="9"/>
  <c r="M410" i="9"/>
  <c r="L410" i="9"/>
  <c r="K410" i="9"/>
  <c r="J410" i="9"/>
  <c r="I410" i="9"/>
  <c r="H410" i="9"/>
  <c r="G410" i="9"/>
  <c r="E410" i="9"/>
  <c r="D410" i="9"/>
  <c r="A410" i="9"/>
  <c r="O409" i="9"/>
  <c r="N409" i="9"/>
  <c r="M409" i="9"/>
  <c r="L409" i="9"/>
  <c r="K409" i="9"/>
  <c r="J409" i="9"/>
  <c r="I409" i="9"/>
  <c r="H409" i="9"/>
  <c r="G409" i="9"/>
  <c r="E409" i="9"/>
  <c r="D409" i="9"/>
  <c r="A409" i="9"/>
  <c r="O408" i="9"/>
  <c r="N408" i="9"/>
  <c r="M408" i="9"/>
  <c r="L408" i="9"/>
  <c r="K408" i="9"/>
  <c r="J408" i="9"/>
  <c r="I408" i="9"/>
  <c r="H408" i="9"/>
  <c r="G408" i="9"/>
  <c r="E408" i="9"/>
  <c r="D408" i="9"/>
  <c r="A408" i="9"/>
  <c r="O407" i="9"/>
  <c r="N407" i="9"/>
  <c r="M407" i="9"/>
  <c r="L407" i="9"/>
  <c r="K407" i="9"/>
  <c r="J407" i="9"/>
  <c r="I407" i="9"/>
  <c r="H407" i="9"/>
  <c r="G407" i="9"/>
  <c r="E407" i="9"/>
  <c r="D407" i="9"/>
  <c r="A407" i="9"/>
  <c r="O406" i="9"/>
  <c r="N406" i="9"/>
  <c r="M406" i="9"/>
  <c r="L406" i="9"/>
  <c r="K406" i="9"/>
  <c r="J406" i="9"/>
  <c r="I406" i="9"/>
  <c r="H406" i="9"/>
  <c r="G406" i="9"/>
  <c r="E406" i="9"/>
  <c r="D406" i="9"/>
  <c r="A406" i="9"/>
  <c r="O405" i="9"/>
  <c r="N405" i="9"/>
  <c r="M405" i="9"/>
  <c r="L405" i="9"/>
  <c r="K405" i="9"/>
  <c r="J405" i="9"/>
  <c r="I405" i="9"/>
  <c r="H405" i="9"/>
  <c r="G405" i="9"/>
  <c r="E405" i="9"/>
  <c r="D405" i="9"/>
  <c r="A405" i="9"/>
  <c r="O404" i="9"/>
  <c r="N404" i="9"/>
  <c r="M404" i="9"/>
  <c r="L404" i="9"/>
  <c r="K404" i="9"/>
  <c r="J404" i="9"/>
  <c r="I404" i="9"/>
  <c r="H404" i="9"/>
  <c r="G404" i="9"/>
  <c r="E404" i="9"/>
  <c r="D404" i="9"/>
  <c r="A404" i="9"/>
  <c r="O403" i="9"/>
  <c r="N403" i="9"/>
  <c r="M403" i="9"/>
  <c r="L403" i="9"/>
  <c r="K403" i="9"/>
  <c r="J403" i="9"/>
  <c r="I403" i="9"/>
  <c r="H403" i="9"/>
  <c r="G403" i="9"/>
  <c r="E403" i="9"/>
  <c r="D403" i="9"/>
  <c r="A403" i="9"/>
  <c r="O402" i="9"/>
  <c r="N402" i="9"/>
  <c r="M402" i="9"/>
  <c r="L402" i="9"/>
  <c r="K402" i="9"/>
  <c r="J402" i="9"/>
  <c r="I402" i="9"/>
  <c r="H402" i="9"/>
  <c r="G402" i="9"/>
  <c r="E402" i="9"/>
  <c r="D402" i="9"/>
  <c r="A402" i="9"/>
  <c r="O401" i="9"/>
  <c r="N401" i="9"/>
  <c r="M401" i="9"/>
  <c r="L401" i="9"/>
  <c r="K401" i="9"/>
  <c r="J401" i="9"/>
  <c r="I401" i="9"/>
  <c r="H401" i="9"/>
  <c r="G401" i="9"/>
  <c r="E401" i="9"/>
  <c r="D401" i="9"/>
  <c r="A401" i="9"/>
  <c r="O400" i="9"/>
  <c r="N400" i="9"/>
  <c r="M400" i="9"/>
  <c r="L400" i="9"/>
  <c r="K400" i="9"/>
  <c r="J400" i="9"/>
  <c r="I400" i="9"/>
  <c r="H400" i="9"/>
  <c r="G400" i="9"/>
  <c r="E400" i="9"/>
  <c r="D400" i="9"/>
  <c r="A400" i="9"/>
  <c r="O399" i="9"/>
  <c r="N399" i="9"/>
  <c r="M399" i="9"/>
  <c r="L399" i="9"/>
  <c r="K399" i="9"/>
  <c r="J399" i="9"/>
  <c r="I399" i="9"/>
  <c r="H399" i="9"/>
  <c r="G399" i="9"/>
  <c r="E399" i="9"/>
  <c r="D399" i="9"/>
  <c r="A399" i="9"/>
  <c r="O398" i="9"/>
  <c r="N398" i="9"/>
  <c r="M398" i="9"/>
  <c r="L398" i="9"/>
  <c r="K398" i="9"/>
  <c r="J398" i="9"/>
  <c r="I398" i="9"/>
  <c r="H398" i="9"/>
  <c r="G398" i="9"/>
  <c r="E398" i="9"/>
  <c r="D398" i="9"/>
  <c r="A398" i="9"/>
  <c r="O397" i="9"/>
  <c r="N397" i="9"/>
  <c r="M397" i="9"/>
  <c r="L397" i="9"/>
  <c r="K397" i="9"/>
  <c r="J397" i="9"/>
  <c r="I397" i="9"/>
  <c r="H397" i="9"/>
  <c r="G397" i="9"/>
  <c r="E397" i="9"/>
  <c r="D397" i="9"/>
  <c r="A397" i="9"/>
  <c r="O396" i="9"/>
  <c r="N396" i="9"/>
  <c r="M396" i="9"/>
  <c r="L396" i="9"/>
  <c r="K396" i="9"/>
  <c r="J396" i="9"/>
  <c r="I396" i="9"/>
  <c r="H396" i="9"/>
  <c r="G396" i="9"/>
  <c r="E396" i="9"/>
  <c r="D396" i="9"/>
  <c r="A396" i="9"/>
  <c r="O395" i="9"/>
  <c r="N395" i="9"/>
  <c r="M395" i="9"/>
  <c r="L395" i="9"/>
  <c r="K395" i="9"/>
  <c r="J395" i="9"/>
  <c r="I395" i="9"/>
  <c r="H395" i="9"/>
  <c r="G395" i="9"/>
  <c r="E395" i="9"/>
  <c r="D395" i="9"/>
  <c r="A395" i="9"/>
  <c r="O394" i="9"/>
  <c r="N394" i="9"/>
  <c r="M394" i="9"/>
  <c r="L394" i="9"/>
  <c r="K394" i="9"/>
  <c r="J394" i="9"/>
  <c r="I394" i="9"/>
  <c r="H394" i="9"/>
  <c r="G394" i="9"/>
  <c r="E394" i="9"/>
  <c r="D394" i="9"/>
  <c r="A394" i="9"/>
  <c r="O393" i="9"/>
  <c r="N393" i="9"/>
  <c r="M393" i="9"/>
  <c r="L393" i="9"/>
  <c r="K393" i="9"/>
  <c r="J393" i="9"/>
  <c r="I393" i="9"/>
  <c r="H393" i="9"/>
  <c r="G393" i="9"/>
  <c r="E393" i="9"/>
  <c r="D393" i="9"/>
  <c r="A393" i="9"/>
  <c r="O392" i="9"/>
  <c r="N392" i="9"/>
  <c r="M392" i="9"/>
  <c r="L392" i="9"/>
  <c r="K392" i="9"/>
  <c r="J392" i="9"/>
  <c r="I392" i="9"/>
  <c r="H392" i="9"/>
  <c r="G392" i="9"/>
  <c r="E392" i="9"/>
  <c r="D392" i="9"/>
  <c r="A392" i="9"/>
  <c r="O391" i="9"/>
  <c r="N391" i="9"/>
  <c r="M391" i="9"/>
  <c r="L391" i="9"/>
  <c r="K391" i="9"/>
  <c r="J391" i="9"/>
  <c r="I391" i="9"/>
  <c r="H391" i="9"/>
  <c r="G391" i="9"/>
  <c r="E391" i="9"/>
  <c r="D391" i="9"/>
  <c r="A391" i="9"/>
  <c r="O390" i="9"/>
  <c r="N390" i="9"/>
  <c r="M390" i="9"/>
  <c r="L390" i="9"/>
  <c r="K390" i="9"/>
  <c r="J390" i="9"/>
  <c r="I390" i="9"/>
  <c r="H390" i="9"/>
  <c r="G390" i="9"/>
  <c r="E390" i="9"/>
  <c r="D390" i="9"/>
  <c r="A390" i="9"/>
  <c r="O389" i="9"/>
  <c r="N389" i="9"/>
  <c r="M389" i="9"/>
  <c r="L389" i="9"/>
  <c r="K389" i="9"/>
  <c r="J389" i="9"/>
  <c r="I389" i="9"/>
  <c r="H389" i="9"/>
  <c r="G389" i="9"/>
  <c r="E389" i="9"/>
  <c r="D389" i="9"/>
  <c r="A389" i="9"/>
  <c r="O388" i="9"/>
  <c r="N388" i="9"/>
  <c r="M388" i="9"/>
  <c r="L388" i="9"/>
  <c r="K388" i="9"/>
  <c r="J388" i="9"/>
  <c r="I388" i="9"/>
  <c r="H388" i="9"/>
  <c r="G388" i="9"/>
  <c r="E388" i="9"/>
  <c r="D388" i="9"/>
  <c r="A388" i="9"/>
  <c r="O387" i="9"/>
  <c r="N387" i="9"/>
  <c r="M387" i="9"/>
  <c r="L387" i="9"/>
  <c r="K387" i="9"/>
  <c r="J387" i="9"/>
  <c r="I387" i="9"/>
  <c r="H387" i="9"/>
  <c r="G387" i="9"/>
  <c r="E387" i="9"/>
  <c r="D387" i="9"/>
  <c r="A387" i="9"/>
  <c r="O386" i="9"/>
  <c r="N386" i="9"/>
  <c r="M386" i="9"/>
  <c r="L386" i="9"/>
  <c r="K386" i="9"/>
  <c r="J386" i="9"/>
  <c r="I386" i="9"/>
  <c r="H386" i="9"/>
  <c r="G386" i="9"/>
  <c r="E386" i="9"/>
  <c r="D386" i="9"/>
  <c r="A386" i="9"/>
  <c r="O385" i="9"/>
  <c r="N385" i="9"/>
  <c r="M385" i="9"/>
  <c r="L385" i="9"/>
  <c r="K385" i="9"/>
  <c r="J385" i="9"/>
  <c r="I385" i="9"/>
  <c r="H385" i="9"/>
  <c r="G385" i="9"/>
  <c r="E385" i="9"/>
  <c r="D385" i="9"/>
  <c r="A385" i="9"/>
  <c r="O383" i="9"/>
  <c r="N383" i="9"/>
  <c r="M383" i="9"/>
  <c r="L383" i="9"/>
  <c r="K383" i="9"/>
  <c r="J383" i="9"/>
  <c r="I383" i="9"/>
  <c r="H383" i="9"/>
  <c r="G383" i="9"/>
  <c r="E383" i="9"/>
  <c r="D383" i="9"/>
  <c r="A383" i="9"/>
  <c r="O382" i="9"/>
  <c r="N382" i="9"/>
  <c r="M382" i="9"/>
  <c r="L382" i="9"/>
  <c r="K382" i="9"/>
  <c r="J382" i="9"/>
  <c r="I382" i="9"/>
  <c r="H382" i="9"/>
  <c r="G382" i="9"/>
  <c r="E382" i="9"/>
  <c r="D382" i="9"/>
  <c r="A382" i="9"/>
  <c r="O381" i="9"/>
  <c r="N381" i="9"/>
  <c r="M381" i="9"/>
  <c r="L381" i="9"/>
  <c r="K381" i="9"/>
  <c r="J381" i="9"/>
  <c r="I381" i="9"/>
  <c r="H381" i="9"/>
  <c r="G381" i="9"/>
  <c r="E381" i="9"/>
  <c r="D381" i="9"/>
  <c r="A381" i="9"/>
  <c r="O380" i="9"/>
  <c r="N380" i="9"/>
  <c r="M380" i="9"/>
  <c r="L380" i="9"/>
  <c r="K380" i="9"/>
  <c r="J380" i="9"/>
  <c r="I380" i="9"/>
  <c r="H380" i="9"/>
  <c r="G380" i="9"/>
  <c r="E380" i="9"/>
  <c r="D380" i="9"/>
  <c r="A380" i="9"/>
  <c r="O379" i="9"/>
  <c r="N379" i="9"/>
  <c r="M379" i="9"/>
  <c r="L379" i="9"/>
  <c r="K379" i="9"/>
  <c r="J379" i="9"/>
  <c r="I379" i="9"/>
  <c r="H379" i="9"/>
  <c r="G379" i="9"/>
  <c r="E379" i="9"/>
  <c r="D379" i="9"/>
  <c r="A379" i="9"/>
  <c r="O378" i="9"/>
  <c r="N378" i="9"/>
  <c r="M378" i="9"/>
  <c r="L378" i="9"/>
  <c r="K378" i="9"/>
  <c r="J378" i="9"/>
  <c r="I378" i="9"/>
  <c r="H378" i="9"/>
  <c r="G378" i="9"/>
  <c r="E378" i="9"/>
  <c r="D378" i="9"/>
  <c r="A378" i="9"/>
  <c r="O377" i="9"/>
  <c r="N377" i="9"/>
  <c r="M377" i="9"/>
  <c r="L377" i="9"/>
  <c r="K377" i="9"/>
  <c r="J377" i="9"/>
  <c r="I377" i="9"/>
  <c r="H377" i="9"/>
  <c r="G377" i="9"/>
  <c r="E377" i="9"/>
  <c r="D377" i="9"/>
  <c r="A377" i="9"/>
  <c r="O376" i="9"/>
  <c r="N376" i="9"/>
  <c r="M376" i="9"/>
  <c r="L376" i="9"/>
  <c r="K376" i="9"/>
  <c r="J376" i="9"/>
  <c r="I376" i="9"/>
  <c r="H376" i="9"/>
  <c r="G376" i="9"/>
  <c r="E376" i="9"/>
  <c r="D376" i="9"/>
  <c r="A376" i="9"/>
  <c r="O375" i="9"/>
  <c r="N375" i="9"/>
  <c r="M375" i="9"/>
  <c r="L375" i="9"/>
  <c r="K375" i="9"/>
  <c r="J375" i="9"/>
  <c r="I375" i="9"/>
  <c r="H375" i="9"/>
  <c r="G375" i="9"/>
  <c r="E375" i="9"/>
  <c r="D375" i="9"/>
  <c r="A375" i="9"/>
  <c r="O374" i="9"/>
  <c r="N374" i="9"/>
  <c r="M374" i="9"/>
  <c r="L374" i="9"/>
  <c r="K374" i="9"/>
  <c r="J374" i="9"/>
  <c r="I374" i="9"/>
  <c r="H374" i="9"/>
  <c r="G374" i="9"/>
  <c r="E374" i="9"/>
  <c r="D374" i="9"/>
  <c r="A374" i="9"/>
  <c r="O373" i="9"/>
  <c r="N373" i="9"/>
  <c r="M373" i="9"/>
  <c r="L373" i="9"/>
  <c r="K373" i="9"/>
  <c r="J373" i="9"/>
  <c r="I373" i="9"/>
  <c r="H373" i="9"/>
  <c r="G373" i="9"/>
  <c r="E373" i="9"/>
  <c r="D373" i="9"/>
  <c r="A373" i="9"/>
  <c r="O372" i="9"/>
  <c r="N372" i="9"/>
  <c r="M372" i="9"/>
  <c r="L372" i="9"/>
  <c r="K372" i="9"/>
  <c r="J372" i="9"/>
  <c r="I372" i="9"/>
  <c r="H372" i="9"/>
  <c r="G372" i="9"/>
  <c r="E372" i="9"/>
  <c r="D372" i="9"/>
  <c r="A372" i="9"/>
  <c r="O371" i="9"/>
  <c r="N371" i="9"/>
  <c r="M371" i="9"/>
  <c r="L371" i="9"/>
  <c r="K371" i="9"/>
  <c r="J371" i="9"/>
  <c r="I371" i="9"/>
  <c r="H371" i="9"/>
  <c r="G371" i="9"/>
  <c r="E371" i="9"/>
  <c r="D371" i="9"/>
  <c r="A371" i="9"/>
  <c r="O370" i="9"/>
  <c r="N370" i="9"/>
  <c r="M370" i="9"/>
  <c r="L370" i="9"/>
  <c r="K370" i="9"/>
  <c r="J370" i="9"/>
  <c r="I370" i="9"/>
  <c r="H370" i="9"/>
  <c r="G370" i="9"/>
  <c r="E370" i="9"/>
  <c r="D370" i="9"/>
  <c r="A370" i="9"/>
  <c r="O369" i="9"/>
  <c r="N369" i="9"/>
  <c r="M369" i="9"/>
  <c r="L369" i="9"/>
  <c r="K369" i="9"/>
  <c r="J369" i="9"/>
  <c r="I369" i="9"/>
  <c r="H369" i="9"/>
  <c r="G369" i="9"/>
  <c r="E369" i="9"/>
  <c r="D369" i="9"/>
  <c r="A369" i="9"/>
  <c r="O368" i="9"/>
  <c r="N368" i="9"/>
  <c r="M368" i="9"/>
  <c r="L368" i="9"/>
  <c r="K368" i="9"/>
  <c r="J368" i="9"/>
  <c r="I368" i="9"/>
  <c r="H368" i="9"/>
  <c r="G368" i="9"/>
  <c r="E368" i="9"/>
  <c r="D368" i="9"/>
  <c r="A368" i="9"/>
  <c r="O367" i="9"/>
  <c r="N367" i="9"/>
  <c r="M367" i="9"/>
  <c r="L367" i="9"/>
  <c r="K367" i="9"/>
  <c r="J367" i="9"/>
  <c r="I367" i="9"/>
  <c r="H367" i="9"/>
  <c r="G367" i="9"/>
  <c r="E367" i="9"/>
  <c r="D367" i="9"/>
  <c r="A367" i="9"/>
  <c r="O366" i="9"/>
  <c r="N366" i="9"/>
  <c r="M366" i="9"/>
  <c r="L366" i="9"/>
  <c r="K366" i="9"/>
  <c r="J366" i="9"/>
  <c r="I366" i="9"/>
  <c r="H366" i="9"/>
  <c r="G366" i="9"/>
  <c r="E366" i="9"/>
  <c r="D366" i="9"/>
  <c r="A366" i="9"/>
  <c r="O365" i="9"/>
  <c r="N365" i="9"/>
  <c r="M365" i="9"/>
  <c r="L365" i="9"/>
  <c r="K365" i="9"/>
  <c r="J365" i="9"/>
  <c r="I365" i="9"/>
  <c r="H365" i="9"/>
  <c r="G365" i="9"/>
  <c r="E365" i="9"/>
  <c r="D365" i="9"/>
  <c r="A365" i="9"/>
  <c r="O364" i="9"/>
  <c r="N364" i="9"/>
  <c r="M364" i="9"/>
  <c r="L364" i="9"/>
  <c r="K364" i="9"/>
  <c r="J364" i="9"/>
  <c r="I364" i="9"/>
  <c r="H364" i="9"/>
  <c r="G364" i="9"/>
  <c r="E364" i="9"/>
  <c r="D364" i="9"/>
  <c r="A364" i="9"/>
  <c r="O363" i="9"/>
  <c r="N363" i="9"/>
  <c r="M363" i="9"/>
  <c r="L363" i="9"/>
  <c r="K363" i="9"/>
  <c r="J363" i="9"/>
  <c r="I363" i="9"/>
  <c r="H363" i="9"/>
  <c r="G363" i="9"/>
  <c r="E363" i="9"/>
  <c r="D363" i="9"/>
  <c r="A363" i="9"/>
  <c r="O362" i="9"/>
  <c r="N362" i="9"/>
  <c r="M362" i="9"/>
  <c r="L362" i="9"/>
  <c r="K362" i="9"/>
  <c r="J362" i="9"/>
  <c r="I362" i="9"/>
  <c r="H362" i="9"/>
  <c r="G362" i="9"/>
  <c r="E362" i="9"/>
  <c r="D362" i="9"/>
  <c r="A362" i="9"/>
  <c r="O361" i="9"/>
  <c r="N361" i="9"/>
  <c r="M361" i="9"/>
  <c r="L361" i="9"/>
  <c r="K361" i="9"/>
  <c r="J361" i="9"/>
  <c r="I361" i="9"/>
  <c r="H361" i="9"/>
  <c r="G361" i="9"/>
  <c r="E361" i="9"/>
  <c r="D361" i="9"/>
  <c r="A361" i="9"/>
  <c r="O360" i="9"/>
  <c r="N360" i="9"/>
  <c r="M360" i="9"/>
  <c r="L360" i="9"/>
  <c r="K360" i="9"/>
  <c r="J360" i="9"/>
  <c r="I360" i="9"/>
  <c r="H360" i="9"/>
  <c r="G360" i="9"/>
  <c r="E360" i="9"/>
  <c r="D360" i="9"/>
  <c r="A360" i="9"/>
  <c r="O359" i="9"/>
  <c r="N359" i="9"/>
  <c r="M359" i="9"/>
  <c r="L359" i="9"/>
  <c r="K359" i="9"/>
  <c r="J359" i="9"/>
  <c r="I359" i="9"/>
  <c r="H359" i="9"/>
  <c r="G359" i="9"/>
  <c r="E359" i="9"/>
  <c r="D359" i="9"/>
  <c r="A359" i="9"/>
  <c r="O358" i="9"/>
  <c r="N358" i="9"/>
  <c r="M358" i="9"/>
  <c r="L358" i="9"/>
  <c r="K358" i="9"/>
  <c r="J358" i="9"/>
  <c r="I358" i="9"/>
  <c r="H358" i="9"/>
  <c r="G358" i="9"/>
  <c r="E358" i="9"/>
  <c r="D358" i="9"/>
  <c r="A358" i="9"/>
  <c r="O356" i="9"/>
  <c r="N356" i="9"/>
  <c r="M356" i="9"/>
  <c r="L356" i="9"/>
  <c r="K356" i="9"/>
  <c r="J356" i="9"/>
  <c r="I356" i="9"/>
  <c r="H356" i="9"/>
  <c r="G356" i="9"/>
  <c r="E356" i="9"/>
  <c r="D356" i="9"/>
  <c r="A356" i="9"/>
  <c r="O355" i="9"/>
  <c r="N355" i="9"/>
  <c r="M355" i="9"/>
  <c r="L355" i="9"/>
  <c r="K355" i="9"/>
  <c r="J355" i="9"/>
  <c r="I355" i="9"/>
  <c r="H355" i="9"/>
  <c r="G355" i="9"/>
  <c r="E355" i="9"/>
  <c r="D355" i="9"/>
  <c r="A355" i="9"/>
  <c r="O354" i="9"/>
  <c r="N354" i="9"/>
  <c r="M354" i="9"/>
  <c r="L354" i="9"/>
  <c r="K354" i="9"/>
  <c r="J354" i="9"/>
  <c r="I354" i="9"/>
  <c r="H354" i="9"/>
  <c r="G354" i="9"/>
  <c r="E354" i="9"/>
  <c r="D354" i="9"/>
  <c r="A354" i="9"/>
  <c r="O353" i="9"/>
  <c r="N353" i="9"/>
  <c r="M353" i="9"/>
  <c r="L353" i="9"/>
  <c r="K353" i="9"/>
  <c r="J353" i="9"/>
  <c r="I353" i="9"/>
  <c r="H353" i="9"/>
  <c r="G353" i="9"/>
  <c r="E353" i="9"/>
  <c r="D353" i="9"/>
  <c r="A353" i="9"/>
  <c r="O352" i="9"/>
  <c r="N352" i="9"/>
  <c r="M352" i="9"/>
  <c r="L352" i="9"/>
  <c r="K352" i="9"/>
  <c r="J352" i="9"/>
  <c r="I352" i="9"/>
  <c r="H352" i="9"/>
  <c r="G352" i="9"/>
  <c r="E352" i="9"/>
  <c r="D352" i="9"/>
  <c r="A352" i="9"/>
  <c r="O351" i="9"/>
  <c r="N351" i="9"/>
  <c r="M351" i="9"/>
  <c r="L351" i="9"/>
  <c r="K351" i="9"/>
  <c r="J351" i="9"/>
  <c r="I351" i="9"/>
  <c r="H351" i="9"/>
  <c r="G351" i="9"/>
  <c r="E351" i="9"/>
  <c r="D351" i="9"/>
  <c r="A351" i="9"/>
  <c r="O350" i="9"/>
  <c r="N350" i="9"/>
  <c r="M350" i="9"/>
  <c r="L350" i="9"/>
  <c r="K350" i="9"/>
  <c r="J350" i="9"/>
  <c r="I350" i="9"/>
  <c r="H350" i="9"/>
  <c r="G350" i="9"/>
  <c r="E350" i="9"/>
  <c r="D350" i="9"/>
  <c r="A350" i="9"/>
  <c r="O349" i="9"/>
  <c r="N349" i="9"/>
  <c r="M349" i="9"/>
  <c r="L349" i="9"/>
  <c r="K349" i="9"/>
  <c r="J349" i="9"/>
  <c r="I349" i="9"/>
  <c r="H349" i="9"/>
  <c r="G349" i="9"/>
  <c r="E349" i="9"/>
  <c r="D349" i="9"/>
  <c r="A349" i="9"/>
  <c r="O348" i="9"/>
  <c r="N348" i="9"/>
  <c r="M348" i="9"/>
  <c r="L348" i="9"/>
  <c r="K348" i="9"/>
  <c r="J348" i="9"/>
  <c r="I348" i="9"/>
  <c r="H348" i="9"/>
  <c r="G348" i="9"/>
  <c r="E348" i="9"/>
  <c r="D348" i="9"/>
  <c r="A348" i="9"/>
  <c r="O347" i="9"/>
  <c r="N347" i="9"/>
  <c r="M347" i="9"/>
  <c r="L347" i="9"/>
  <c r="K347" i="9"/>
  <c r="J347" i="9"/>
  <c r="I347" i="9"/>
  <c r="H347" i="9"/>
  <c r="G347" i="9"/>
  <c r="E347" i="9"/>
  <c r="D347" i="9"/>
  <c r="A347" i="9"/>
  <c r="O346" i="9"/>
  <c r="N346" i="9"/>
  <c r="M346" i="9"/>
  <c r="L346" i="9"/>
  <c r="K346" i="9"/>
  <c r="J346" i="9"/>
  <c r="I346" i="9"/>
  <c r="H346" i="9"/>
  <c r="G346" i="9"/>
  <c r="E346" i="9"/>
  <c r="D346" i="9"/>
  <c r="A346" i="9"/>
  <c r="O345" i="9"/>
  <c r="N345" i="9"/>
  <c r="M345" i="9"/>
  <c r="L345" i="9"/>
  <c r="K345" i="9"/>
  <c r="J345" i="9"/>
  <c r="I345" i="9"/>
  <c r="H345" i="9"/>
  <c r="G345" i="9"/>
  <c r="E345" i="9"/>
  <c r="D345" i="9"/>
  <c r="A345" i="9"/>
  <c r="O344" i="9"/>
  <c r="N344" i="9"/>
  <c r="M344" i="9"/>
  <c r="L344" i="9"/>
  <c r="K344" i="9"/>
  <c r="J344" i="9"/>
  <c r="I344" i="9"/>
  <c r="H344" i="9"/>
  <c r="G344" i="9"/>
  <c r="E344" i="9"/>
  <c r="D344" i="9"/>
  <c r="A344" i="9"/>
  <c r="O343" i="9"/>
  <c r="N343" i="9"/>
  <c r="M343" i="9"/>
  <c r="L343" i="9"/>
  <c r="K343" i="9"/>
  <c r="J343" i="9"/>
  <c r="I343" i="9"/>
  <c r="H343" i="9"/>
  <c r="G343" i="9"/>
  <c r="E343" i="9"/>
  <c r="D343" i="9"/>
  <c r="A343" i="9"/>
  <c r="O342" i="9"/>
  <c r="N342" i="9"/>
  <c r="M342" i="9"/>
  <c r="L342" i="9"/>
  <c r="K342" i="9"/>
  <c r="J342" i="9"/>
  <c r="I342" i="9"/>
  <c r="H342" i="9"/>
  <c r="G342" i="9"/>
  <c r="E342" i="9"/>
  <c r="D342" i="9"/>
  <c r="A342" i="9"/>
  <c r="O341" i="9"/>
  <c r="N341" i="9"/>
  <c r="M341" i="9"/>
  <c r="L341" i="9"/>
  <c r="K341" i="9"/>
  <c r="J341" i="9"/>
  <c r="I341" i="9"/>
  <c r="H341" i="9"/>
  <c r="G341" i="9"/>
  <c r="E341" i="9"/>
  <c r="D341" i="9"/>
  <c r="A341" i="9"/>
  <c r="O340" i="9"/>
  <c r="N340" i="9"/>
  <c r="M340" i="9"/>
  <c r="L340" i="9"/>
  <c r="K340" i="9"/>
  <c r="J340" i="9"/>
  <c r="I340" i="9"/>
  <c r="H340" i="9"/>
  <c r="G340" i="9"/>
  <c r="E340" i="9"/>
  <c r="D340" i="9"/>
  <c r="A340" i="9"/>
  <c r="O339" i="9"/>
  <c r="N339" i="9"/>
  <c r="M339" i="9"/>
  <c r="L339" i="9"/>
  <c r="K339" i="9"/>
  <c r="J339" i="9"/>
  <c r="I339" i="9"/>
  <c r="H339" i="9"/>
  <c r="G339" i="9"/>
  <c r="E339" i="9"/>
  <c r="D339" i="9"/>
  <c r="A339" i="9"/>
  <c r="O338" i="9"/>
  <c r="N338" i="9"/>
  <c r="M338" i="9"/>
  <c r="L338" i="9"/>
  <c r="K338" i="9"/>
  <c r="J338" i="9"/>
  <c r="I338" i="9"/>
  <c r="H338" i="9"/>
  <c r="G338" i="9"/>
  <c r="E338" i="9"/>
  <c r="D338" i="9"/>
  <c r="A338" i="9"/>
  <c r="O337" i="9"/>
  <c r="N337" i="9"/>
  <c r="M337" i="9"/>
  <c r="L337" i="9"/>
  <c r="K337" i="9"/>
  <c r="J337" i="9"/>
  <c r="I337" i="9"/>
  <c r="H337" i="9"/>
  <c r="G337" i="9"/>
  <c r="E337" i="9"/>
  <c r="D337" i="9"/>
  <c r="A337" i="9"/>
  <c r="O336" i="9"/>
  <c r="N336" i="9"/>
  <c r="M336" i="9"/>
  <c r="L336" i="9"/>
  <c r="K336" i="9"/>
  <c r="J336" i="9"/>
  <c r="I336" i="9"/>
  <c r="H336" i="9"/>
  <c r="G336" i="9"/>
  <c r="E336" i="9"/>
  <c r="D336" i="9"/>
  <c r="A336" i="9"/>
  <c r="O335" i="9"/>
  <c r="N335" i="9"/>
  <c r="M335" i="9"/>
  <c r="L335" i="9"/>
  <c r="K335" i="9"/>
  <c r="J335" i="9"/>
  <c r="I335" i="9"/>
  <c r="H335" i="9"/>
  <c r="G335" i="9"/>
  <c r="E335" i="9"/>
  <c r="D335" i="9"/>
  <c r="A335" i="9"/>
  <c r="O334" i="9"/>
  <c r="N334" i="9"/>
  <c r="M334" i="9"/>
  <c r="L334" i="9"/>
  <c r="K334" i="9"/>
  <c r="J334" i="9"/>
  <c r="I334" i="9"/>
  <c r="H334" i="9"/>
  <c r="G334" i="9"/>
  <c r="E334" i="9"/>
  <c r="D334" i="9"/>
  <c r="A334" i="9"/>
  <c r="O333" i="9"/>
  <c r="N333" i="9"/>
  <c r="M333" i="9"/>
  <c r="L333" i="9"/>
  <c r="K333" i="9"/>
  <c r="J333" i="9"/>
  <c r="I333" i="9"/>
  <c r="H333" i="9"/>
  <c r="G333" i="9"/>
  <c r="E333" i="9"/>
  <c r="D333" i="9"/>
  <c r="A333" i="9"/>
  <c r="O332" i="9"/>
  <c r="N332" i="9"/>
  <c r="M332" i="9"/>
  <c r="L332" i="9"/>
  <c r="K332" i="9"/>
  <c r="J332" i="9"/>
  <c r="I332" i="9"/>
  <c r="H332" i="9"/>
  <c r="G332" i="9"/>
  <c r="E332" i="9"/>
  <c r="D332" i="9"/>
  <c r="A332" i="9"/>
  <c r="O331" i="9"/>
  <c r="N331" i="9"/>
  <c r="M331" i="9"/>
  <c r="L331" i="9"/>
  <c r="K331" i="9"/>
  <c r="J331" i="9"/>
  <c r="I331" i="9"/>
  <c r="H331" i="9"/>
  <c r="G331" i="9"/>
  <c r="E331" i="9"/>
  <c r="D331" i="9"/>
  <c r="A331" i="9"/>
  <c r="O330" i="9"/>
  <c r="N330" i="9"/>
  <c r="M330" i="9"/>
  <c r="L330" i="9"/>
  <c r="K330" i="9"/>
  <c r="J330" i="9"/>
  <c r="I330" i="9"/>
  <c r="H330" i="9"/>
  <c r="G330" i="9"/>
  <c r="E330" i="9"/>
  <c r="D330" i="9"/>
  <c r="A330" i="9"/>
  <c r="O329" i="9"/>
  <c r="N329" i="9"/>
  <c r="M329" i="9"/>
  <c r="L329" i="9"/>
  <c r="K329" i="9"/>
  <c r="J329" i="9"/>
  <c r="I329" i="9"/>
  <c r="H329" i="9"/>
  <c r="G329" i="9"/>
  <c r="E329" i="9"/>
  <c r="D329" i="9"/>
  <c r="A329" i="9"/>
  <c r="O328" i="9"/>
  <c r="N328" i="9"/>
  <c r="M328" i="9"/>
  <c r="L328" i="9"/>
  <c r="K328" i="9"/>
  <c r="J328" i="9"/>
  <c r="I328" i="9"/>
  <c r="H328" i="9"/>
  <c r="G328" i="9"/>
  <c r="E328" i="9"/>
  <c r="D328" i="9"/>
  <c r="A328" i="9"/>
  <c r="O327" i="9"/>
  <c r="N327" i="9"/>
  <c r="M327" i="9"/>
  <c r="L327" i="9"/>
  <c r="K327" i="9"/>
  <c r="J327" i="9"/>
  <c r="I327" i="9"/>
  <c r="H327" i="9"/>
  <c r="G327" i="9"/>
  <c r="E327" i="9"/>
  <c r="D327" i="9"/>
  <c r="A327" i="9"/>
  <c r="O326" i="9"/>
  <c r="N326" i="9"/>
  <c r="M326" i="9"/>
  <c r="L326" i="9"/>
  <c r="K326" i="9"/>
  <c r="J326" i="9"/>
  <c r="I326" i="9"/>
  <c r="H326" i="9"/>
  <c r="G326" i="9"/>
  <c r="E326" i="9"/>
  <c r="D326" i="9"/>
  <c r="A326" i="9"/>
  <c r="O325" i="9"/>
  <c r="N325" i="9"/>
  <c r="M325" i="9"/>
  <c r="L325" i="9"/>
  <c r="K325" i="9"/>
  <c r="J325" i="9"/>
  <c r="I325" i="9"/>
  <c r="H325" i="9"/>
  <c r="G325" i="9"/>
  <c r="E325" i="9"/>
  <c r="D325" i="9"/>
  <c r="A325" i="9"/>
  <c r="O324" i="9"/>
  <c r="N324" i="9"/>
  <c r="M324" i="9"/>
  <c r="L324" i="9"/>
  <c r="K324" i="9"/>
  <c r="J324" i="9"/>
  <c r="I324" i="9"/>
  <c r="H324" i="9"/>
  <c r="G324" i="9"/>
  <c r="E324" i="9"/>
  <c r="D324" i="9"/>
  <c r="A324" i="9"/>
  <c r="O323" i="9"/>
  <c r="N323" i="9"/>
  <c r="M323" i="9"/>
  <c r="L323" i="9"/>
  <c r="K323" i="9"/>
  <c r="J323" i="9"/>
  <c r="I323" i="9"/>
  <c r="H323" i="9"/>
  <c r="G323" i="9"/>
  <c r="E323" i="9"/>
  <c r="D323" i="9"/>
  <c r="A323" i="9"/>
  <c r="O322" i="9"/>
  <c r="N322" i="9"/>
  <c r="M322" i="9"/>
  <c r="L322" i="9"/>
  <c r="K322" i="9"/>
  <c r="J322" i="9"/>
  <c r="I322" i="9"/>
  <c r="H322" i="9"/>
  <c r="G322" i="9"/>
  <c r="E322" i="9"/>
  <c r="D322" i="9"/>
  <c r="A322" i="9"/>
  <c r="O321" i="9"/>
  <c r="N321" i="9"/>
  <c r="M321" i="9"/>
  <c r="L321" i="9"/>
  <c r="K321" i="9"/>
  <c r="J321" i="9"/>
  <c r="I321" i="9"/>
  <c r="H321" i="9"/>
  <c r="G321" i="9"/>
  <c r="E321" i="9"/>
  <c r="D321" i="9"/>
  <c r="A321" i="9"/>
  <c r="O320" i="9"/>
  <c r="N320" i="9"/>
  <c r="M320" i="9"/>
  <c r="L320" i="9"/>
  <c r="K320" i="9"/>
  <c r="J320" i="9"/>
  <c r="I320" i="9"/>
  <c r="H320" i="9"/>
  <c r="G320" i="9"/>
  <c r="E320" i="9"/>
  <c r="D320" i="9"/>
  <c r="A320" i="9"/>
  <c r="O319" i="9"/>
  <c r="N319" i="9"/>
  <c r="M319" i="9"/>
  <c r="L319" i="9"/>
  <c r="K319" i="9"/>
  <c r="J319" i="9"/>
  <c r="I319" i="9"/>
  <c r="H319" i="9"/>
  <c r="G319" i="9"/>
  <c r="E319" i="9"/>
  <c r="D319" i="9"/>
  <c r="A319" i="9"/>
  <c r="O318" i="9"/>
  <c r="N318" i="9"/>
  <c r="M318" i="9"/>
  <c r="L318" i="9"/>
  <c r="K318" i="9"/>
  <c r="J318" i="9"/>
  <c r="I318" i="9"/>
  <c r="H318" i="9"/>
  <c r="G318" i="9"/>
  <c r="E318" i="9"/>
  <c r="D318" i="9"/>
  <c r="A318" i="9"/>
  <c r="O317" i="9"/>
  <c r="N317" i="9"/>
  <c r="M317" i="9"/>
  <c r="L317" i="9"/>
  <c r="K317" i="9"/>
  <c r="J317" i="9"/>
  <c r="I317" i="9"/>
  <c r="H317" i="9"/>
  <c r="G317" i="9"/>
  <c r="E317" i="9"/>
  <c r="D317" i="9"/>
  <c r="A317" i="9"/>
  <c r="O316" i="9"/>
  <c r="N316" i="9"/>
  <c r="M316" i="9"/>
  <c r="L316" i="9"/>
  <c r="K316" i="9"/>
  <c r="J316" i="9"/>
  <c r="I316" i="9"/>
  <c r="H316" i="9"/>
  <c r="G316" i="9"/>
  <c r="E316" i="9"/>
  <c r="D316" i="9"/>
  <c r="A316" i="9"/>
  <c r="O315" i="9"/>
  <c r="N315" i="9"/>
  <c r="M315" i="9"/>
  <c r="L315" i="9"/>
  <c r="K315" i="9"/>
  <c r="J315" i="9"/>
  <c r="I315" i="9"/>
  <c r="H315" i="9"/>
  <c r="G315" i="9"/>
  <c r="E315" i="9"/>
  <c r="D315" i="9"/>
  <c r="A315" i="9"/>
  <c r="O314" i="9"/>
  <c r="N314" i="9"/>
  <c r="M314" i="9"/>
  <c r="L314" i="9"/>
  <c r="K314" i="9"/>
  <c r="J314" i="9"/>
  <c r="I314" i="9"/>
  <c r="H314" i="9"/>
  <c r="G314" i="9"/>
  <c r="E314" i="9"/>
  <c r="D314" i="9"/>
  <c r="A314" i="9"/>
  <c r="O313" i="9"/>
  <c r="N313" i="9"/>
  <c r="M313" i="9"/>
  <c r="L313" i="9"/>
  <c r="K313" i="9"/>
  <c r="J313" i="9"/>
  <c r="I313" i="9"/>
  <c r="H313" i="9"/>
  <c r="G313" i="9"/>
  <c r="E313" i="9"/>
  <c r="D313" i="9"/>
  <c r="A313" i="9"/>
  <c r="O312" i="9"/>
  <c r="N312" i="9"/>
  <c r="M312" i="9"/>
  <c r="L312" i="9"/>
  <c r="K312" i="9"/>
  <c r="J312" i="9"/>
  <c r="I312" i="9"/>
  <c r="H312" i="9"/>
  <c r="G312" i="9"/>
  <c r="E312" i="9"/>
  <c r="D312" i="9"/>
  <c r="A312" i="9"/>
  <c r="O311" i="9"/>
  <c r="N311" i="9"/>
  <c r="M311" i="9"/>
  <c r="L311" i="9"/>
  <c r="K311" i="9"/>
  <c r="J311" i="9"/>
  <c r="I311" i="9"/>
  <c r="H311" i="9"/>
  <c r="G311" i="9"/>
  <c r="E311" i="9"/>
  <c r="D311" i="9"/>
  <c r="A311" i="9"/>
  <c r="O310" i="9"/>
  <c r="N310" i="9"/>
  <c r="M310" i="9"/>
  <c r="L310" i="9"/>
  <c r="K310" i="9"/>
  <c r="J310" i="9"/>
  <c r="I310" i="9"/>
  <c r="H310" i="9"/>
  <c r="G310" i="9"/>
  <c r="E310" i="9"/>
  <c r="D310" i="9"/>
  <c r="A310" i="9"/>
  <c r="O309" i="9"/>
  <c r="N309" i="9"/>
  <c r="M309" i="9"/>
  <c r="L309" i="9"/>
  <c r="K309" i="9"/>
  <c r="J309" i="9"/>
  <c r="I309" i="9"/>
  <c r="H309" i="9"/>
  <c r="G309" i="9"/>
  <c r="E309" i="9"/>
  <c r="D309" i="9"/>
  <c r="A309" i="9"/>
  <c r="O308" i="9"/>
  <c r="N308" i="9"/>
  <c r="M308" i="9"/>
  <c r="L308" i="9"/>
  <c r="K308" i="9"/>
  <c r="J308" i="9"/>
  <c r="I308" i="9"/>
  <c r="H308" i="9"/>
  <c r="G308" i="9"/>
  <c r="E308" i="9"/>
  <c r="D308" i="9"/>
  <c r="A308" i="9"/>
  <c r="O307" i="9"/>
  <c r="N307" i="9"/>
  <c r="M307" i="9"/>
  <c r="L307" i="9"/>
  <c r="K307" i="9"/>
  <c r="J307" i="9"/>
  <c r="I307" i="9"/>
  <c r="H307" i="9"/>
  <c r="G307" i="9"/>
  <c r="E307" i="9"/>
  <c r="D307" i="9"/>
  <c r="A307" i="9"/>
  <c r="O306" i="9"/>
  <c r="N306" i="9"/>
  <c r="M306" i="9"/>
  <c r="L306" i="9"/>
  <c r="K306" i="9"/>
  <c r="J306" i="9"/>
  <c r="I306" i="9"/>
  <c r="H306" i="9"/>
  <c r="G306" i="9"/>
  <c r="E306" i="9"/>
  <c r="D306" i="9"/>
  <c r="A306" i="9"/>
  <c r="O305" i="9"/>
  <c r="N305" i="9"/>
  <c r="M305" i="9"/>
  <c r="L305" i="9"/>
  <c r="K305" i="9"/>
  <c r="J305" i="9"/>
  <c r="I305" i="9"/>
  <c r="H305" i="9"/>
  <c r="G305" i="9"/>
  <c r="E305" i="9"/>
  <c r="D305" i="9"/>
  <c r="A305" i="9"/>
  <c r="O304" i="9"/>
  <c r="N304" i="9"/>
  <c r="M304" i="9"/>
  <c r="L304" i="9"/>
  <c r="K304" i="9"/>
  <c r="J304" i="9"/>
  <c r="I304" i="9"/>
  <c r="H304" i="9"/>
  <c r="G304" i="9"/>
  <c r="E304" i="9"/>
  <c r="D304" i="9"/>
  <c r="A304" i="9"/>
  <c r="O303" i="9"/>
  <c r="N303" i="9"/>
  <c r="M303" i="9"/>
  <c r="L303" i="9"/>
  <c r="K303" i="9"/>
  <c r="J303" i="9"/>
  <c r="I303" i="9"/>
  <c r="H303" i="9"/>
  <c r="G303" i="9"/>
  <c r="E303" i="9"/>
  <c r="D303" i="9"/>
  <c r="A303" i="9"/>
  <c r="O302" i="9"/>
  <c r="N302" i="9"/>
  <c r="M302" i="9"/>
  <c r="L302" i="9"/>
  <c r="K302" i="9"/>
  <c r="J302" i="9"/>
  <c r="I302" i="9"/>
  <c r="H302" i="9"/>
  <c r="G302" i="9"/>
  <c r="E302" i="9"/>
  <c r="D302" i="9"/>
  <c r="A302" i="9"/>
  <c r="O301" i="9"/>
  <c r="N301" i="9"/>
  <c r="M301" i="9"/>
  <c r="L301" i="9"/>
  <c r="K301" i="9"/>
  <c r="J301" i="9"/>
  <c r="I301" i="9"/>
  <c r="H301" i="9"/>
  <c r="G301" i="9"/>
  <c r="E301" i="9"/>
  <c r="D301" i="9"/>
  <c r="A301" i="9"/>
  <c r="O300" i="9"/>
  <c r="N300" i="9"/>
  <c r="M300" i="9"/>
  <c r="L300" i="9"/>
  <c r="K300" i="9"/>
  <c r="J300" i="9"/>
  <c r="I300" i="9"/>
  <c r="H300" i="9"/>
  <c r="G300" i="9"/>
  <c r="E300" i="9"/>
  <c r="D300" i="9"/>
  <c r="A300" i="9"/>
  <c r="O299" i="9"/>
  <c r="N299" i="9"/>
  <c r="M299" i="9"/>
  <c r="L299" i="9"/>
  <c r="K299" i="9"/>
  <c r="J299" i="9"/>
  <c r="I299" i="9"/>
  <c r="H299" i="9"/>
  <c r="G299" i="9"/>
  <c r="E299" i="9"/>
  <c r="D299" i="9"/>
  <c r="A299" i="9"/>
  <c r="O298" i="9"/>
  <c r="N298" i="9"/>
  <c r="M298" i="9"/>
  <c r="L298" i="9"/>
  <c r="K298" i="9"/>
  <c r="J298" i="9"/>
  <c r="I298" i="9"/>
  <c r="H298" i="9"/>
  <c r="G298" i="9"/>
  <c r="E298" i="9"/>
  <c r="D298" i="9"/>
  <c r="A298" i="9"/>
  <c r="O297" i="9"/>
  <c r="N297" i="9"/>
  <c r="M297" i="9"/>
  <c r="L297" i="9"/>
  <c r="K297" i="9"/>
  <c r="J297" i="9"/>
  <c r="I297" i="9"/>
  <c r="H297" i="9"/>
  <c r="G297" i="9"/>
  <c r="E297" i="9"/>
  <c r="D297" i="9"/>
  <c r="A297" i="9"/>
  <c r="O296" i="9"/>
  <c r="N296" i="9"/>
  <c r="M296" i="9"/>
  <c r="L296" i="9"/>
  <c r="K296" i="9"/>
  <c r="J296" i="9"/>
  <c r="I296" i="9"/>
  <c r="H296" i="9"/>
  <c r="G296" i="9"/>
  <c r="E296" i="9"/>
  <c r="D296" i="9"/>
  <c r="A296" i="9"/>
  <c r="O295" i="9"/>
  <c r="N295" i="9"/>
  <c r="M295" i="9"/>
  <c r="L295" i="9"/>
  <c r="K295" i="9"/>
  <c r="J295" i="9"/>
  <c r="I295" i="9"/>
  <c r="H295" i="9"/>
  <c r="G295" i="9"/>
  <c r="E295" i="9"/>
  <c r="D295" i="9"/>
  <c r="A295" i="9"/>
  <c r="O294" i="9"/>
  <c r="N294" i="9"/>
  <c r="M294" i="9"/>
  <c r="L294" i="9"/>
  <c r="K294" i="9"/>
  <c r="J294" i="9"/>
  <c r="I294" i="9"/>
  <c r="H294" i="9"/>
  <c r="G294" i="9"/>
  <c r="E294" i="9"/>
  <c r="D294" i="9"/>
  <c r="A294" i="9"/>
  <c r="O293" i="9"/>
  <c r="N293" i="9"/>
  <c r="M293" i="9"/>
  <c r="L293" i="9"/>
  <c r="K293" i="9"/>
  <c r="J293" i="9"/>
  <c r="I293" i="9"/>
  <c r="H293" i="9"/>
  <c r="G293" i="9"/>
  <c r="E293" i="9"/>
  <c r="D293" i="9"/>
  <c r="A293" i="9"/>
  <c r="O292" i="9"/>
  <c r="N292" i="9"/>
  <c r="M292" i="9"/>
  <c r="L292" i="9"/>
  <c r="K292" i="9"/>
  <c r="J292" i="9"/>
  <c r="I292" i="9"/>
  <c r="H292" i="9"/>
  <c r="G292" i="9"/>
  <c r="E292" i="9"/>
  <c r="D292" i="9"/>
  <c r="A292" i="9"/>
  <c r="O291" i="9"/>
  <c r="N291" i="9"/>
  <c r="M291" i="9"/>
  <c r="L291" i="9"/>
  <c r="K291" i="9"/>
  <c r="J291" i="9"/>
  <c r="I291" i="9"/>
  <c r="H291" i="9"/>
  <c r="G291" i="9"/>
  <c r="E291" i="9"/>
  <c r="D291" i="9"/>
  <c r="A291" i="9"/>
  <c r="O290" i="9"/>
  <c r="N290" i="9"/>
  <c r="M290" i="9"/>
  <c r="L290" i="9"/>
  <c r="K290" i="9"/>
  <c r="J290" i="9"/>
  <c r="I290" i="9"/>
  <c r="H290" i="9"/>
  <c r="G290" i="9"/>
  <c r="E290" i="9"/>
  <c r="D290" i="9"/>
  <c r="A290" i="9"/>
  <c r="O289" i="9"/>
  <c r="N289" i="9"/>
  <c r="M289" i="9"/>
  <c r="L289" i="9"/>
  <c r="K289" i="9"/>
  <c r="J289" i="9"/>
  <c r="I289" i="9"/>
  <c r="H289" i="9"/>
  <c r="G289" i="9"/>
  <c r="E289" i="9"/>
  <c r="D289" i="9"/>
  <c r="A289" i="9"/>
  <c r="O288" i="9"/>
  <c r="N288" i="9"/>
  <c r="M288" i="9"/>
  <c r="L288" i="9"/>
  <c r="K288" i="9"/>
  <c r="J288" i="9"/>
  <c r="I288" i="9"/>
  <c r="H288" i="9"/>
  <c r="G288" i="9"/>
  <c r="E288" i="9"/>
  <c r="D288" i="9"/>
  <c r="A288" i="9"/>
  <c r="O287" i="9"/>
  <c r="N287" i="9"/>
  <c r="M287" i="9"/>
  <c r="L287" i="9"/>
  <c r="K287" i="9"/>
  <c r="J287" i="9"/>
  <c r="I287" i="9"/>
  <c r="H287" i="9"/>
  <c r="G287" i="9"/>
  <c r="E287" i="9"/>
  <c r="D287" i="9"/>
  <c r="A287" i="9"/>
  <c r="O286" i="9"/>
  <c r="N286" i="9"/>
  <c r="M286" i="9"/>
  <c r="L286" i="9"/>
  <c r="K286" i="9"/>
  <c r="J286" i="9"/>
  <c r="I286" i="9"/>
  <c r="H286" i="9"/>
  <c r="G286" i="9"/>
  <c r="E286" i="9"/>
  <c r="D286" i="9"/>
  <c r="A286" i="9"/>
  <c r="O285" i="9"/>
  <c r="N285" i="9"/>
  <c r="M285" i="9"/>
  <c r="L285" i="9"/>
  <c r="K285" i="9"/>
  <c r="J285" i="9"/>
  <c r="I285" i="9"/>
  <c r="H285" i="9"/>
  <c r="G285" i="9"/>
  <c r="E285" i="9"/>
  <c r="D285" i="9"/>
  <c r="A285" i="9"/>
  <c r="O284" i="9"/>
  <c r="N284" i="9"/>
  <c r="M284" i="9"/>
  <c r="L284" i="9"/>
  <c r="K284" i="9"/>
  <c r="J284" i="9"/>
  <c r="I284" i="9"/>
  <c r="H284" i="9"/>
  <c r="G284" i="9"/>
  <c r="E284" i="9"/>
  <c r="D284" i="9"/>
  <c r="A284" i="9"/>
  <c r="O283" i="9"/>
  <c r="N283" i="9"/>
  <c r="M283" i="9"/>
  <c r="L283" i="9"/>
  <c r="K283" i="9"/>
  <c r="J283" i="9"/>
  <c r="I283" i="9"/>
  <c r="H283" i="9"/>
  <c r="G283" i="9"/>
  <c r="E283" i="9"/>
  <c r="D283" i="9"/>
  <c r="A283" i="9"/>
  <c r="O282" i="9"/>
  <c r="N282" i="9"/>
  <c r="M282" i="9"/>
  <c r="L282" i="9"/>
  <c r="K282" i="9"/>
  <c r="J282" i="9"/>
  <c r="I282" i="9"/>
  <c r="H282" i="9"/>
  <c r="G282" i="9"/>
  <c r="E282" i="9"/>
  <c r="D282" i="9"/>
  <c r="A282" i="9"/>
  <c r="O281" i="9"/>
  <c r="N281" i="9"/>
  <c r="M281" i="9"/>
  <c r="L281" i="9"/>
  <c r="K281" i="9"/>
  <c r="J281" i="9"/>
  <c r="I281" i="9"/>
  <c r="H281" i="9"/>
  <c r="G281" i="9"/>
  <c r="E281" i="9"/>
  <c r="D281" i="9"/>
  <c r="A281" i="9"/>
  <c r="O280" i="9"/>
  <c r="N280" i="9"/>
  <c r="M280" i="9"/>
  <c r="L280" i="9"/>
  <c r="K280" i="9"/>
  <c r="J280" i="9"/>
  <c r="I280" i="9"/>
  <c r="H280" i="9"/>
  <c r="G280" i="9"/>
  <c r="E280" i="9"/>
  <c r="D280" i="9"/>
  <c r="A280" i="9"/>
  <c r="O279" i="9"/>
  <c r="N279" i="9"/>
  <c r="M279" i="9"/>
  <c r="L279" i="9"/>
  <c r="K279" i="9"/>
  <c r="J279" i="9"/>
  <c r="I279" i="9"/>
  <c r="H279" i="9"/>
  <c r="G279" i="9"/>
  <c r="E279" i="9"/>
  <c r="D279" i="9"/>
  <c r="A279" i="9"/>
  <c r="O278" i="9"/>
  <c r="N278" i="9"/>
  <c r="M278" i="9"/>
  <c r="L278" i="9"/>
  <c r="K278" i="9"/>
  <c r="J278" i="9"/>
  <c r="I278" i="9"/>
  <c r="H278" i="9"/>
  <c r="G278" i="9"/>
  <c r="E278" i="9"/>
  <c r="D278" i="9"/>
  <c r="A278" i="9"/>
  <c r="O277" i="9"/>
  <c r="N277" i="9"/>
  <c r="M277" i="9"/>
  <c r="L277" i="9"/>
  <c r="K277" i="9"/>
  <c r="J277" i="9"/>
  <c r="I277" i="9"/>
  <c r="H277" i="9"/>
  <c r="G277" i="9"/>
  <c r="E277" i="9"/>
  <c r="D277" i="9"/>
  <c r="A277" i="9"/>
  <c r="O276" i="9"/>
  <c r="N276" i="9"/>
  <c r="M276" i="9"/>
  <c r="L276" i="9"/>
  <c r="K276" i="9"/>
  <c r="J276" i="9"/>
  <c r="I276" i="9"/>
  <c r="H276" i="9"/>
  <c r="G276" i="9"/>
  <c r="E276" i="9"/>
  <c r="D276" i="9"/>
  <c r="A276" i="9"/>
  <c r="O275" i="9"/>
  <c r="N275" i="9"/>
  <c r="M275" i="9"/>
  <c r="L275" i="9"/>
  <c r="K275" i="9"/>
  <c r="J275" i="9"/>
  <c r="I275" i="9"/>
  <c r="H275" i="9"/>
  <c r="G275" i="9"/>
  <c r="E275" i="9"/>
  <c r="D275" i="9"/>
  <c r="A275" i="9"/>
  <c r="O274" i="9"/>
  <c r="N274" i="9"/>
  <c r="M274" i="9"/>
  <c r="L274" i="9"/>
  <c r="K274" i="9"/>
  <c r="J274" i="9"/>
  <c r="I274" i="9"/>
  <c r="H274" i="9"/>
  <c r="G274" i="9"/>
  <c r="E274" i="9"/>
  <c r="D274" i="9"/>
  <c r="A274" i="9"/>
  <c r="O273" i="9"/>
  <c r="N273" i="9"/>
  <c r="M273" i="9"/>
  <c r="L273" i="9"/>
  <c r="K273" i="9"/>
  <c r="J273" i="9"/>
  <c r="I273" i="9"/>
  <c r="H273" i="9"/>
  <c r="G273" i="9"/>
  <c r="E273" i="9"/>
  <c r="D273" i="9"/>
  <c r="A273" i="9"/>
  <c r="O272" i="9"/>
  <c r="N272" i="9"/>
  <c r="M272" i="9"/>
  <c r="L272" i="9"/>
  <c r="K272" i="9"/>
  <c r="J272" i="9"/>
  <c r="I272" i="9"/>
  <c r="H272" i="9"/>
  <c r="G272" i="9"/>
  <c r="E272" i="9"/>
  <c r="D272" i="9"/>
  <c r="A272" i="9"/>
  <c r="O271" i="9"/>
  <c r="N271" i="9"/>
  <c r="M271" i="9"/>
  <c r="L271" i="9"/>
  <c r="K271" i="9"/>
  <c r="J271" i="9"/>
  <c r="I271" i="9"/>
  <c r="H271" i="9"/>
  <c r="G271" i="9"/>
  <c r="E271" i="9"/>
  <c r="D271" i="9"/>
  <c r="A271" i="9"/>
  <c r="O270" i="9"/>
  <c r="N270" i="9"/>
  <c r="M270" i="9"/>
  <c r="L270" i="9"/>
  <c r="K270" i="9"/>
  <c r="J270" i="9"/>
  <c r="I270" i="9"/>
  <c r="H270" i="9"/>
  <c r="G270" i="9"/>
  <c r="E270" i="9"/>
  <c r="D270" i="9"/>
  <c r="A270" i="9"/>
  <c r="O269" i="9"/>
  <c r="N269" i="9"/>
  <c r="M269" i="9"/>
  <c r="L269" i="9"/>
  <c r="K269" i="9"/>
  <c r="J269" i="9"/>
  <c r="I269" i="9"/>
  <c r="H269" i="9"/>
  <c r="G269" i="9"/>
  <c r="E269" i="9"/>
  <c r="D269" i="9"/>
  <c r="A269" i="9"/>
  <c r="O268" i="9"/>
  <c r="N268" i="9"/>
  <c r="M268" i="9"/>
  <c r="L268" i="9"/>
  <c r="K268" i="9"/>
  <c r="J268" i="9"/>
  <c r="I268" i="9"/>
  <c r="H268" i="9"/>
  <c r="G268" i="9"/>
  <c r="E268" i="9"/>
  <c r="D268" i="9"/>
  <c r="A268" i="9"/>
  <c r="O267" i="9"/>
  <c r="N267" i="9"/>
  <c r="M267" i="9"/>
  <c r="L267" i="9"/>
  <c r="K267" i="9"/>
  <c r="J267" i="9"/>
  <c r="I267" i="9"/>
  <c r="H267" i="9"/>
  <c r="G267" i="9"/>
  <c r="E267" i="9"/>
  <c r="D267" i="9"/>
  <c r="A267" i="9"/>
  <c r="O266" i="9"/>
  <c r="N266" i="9"/>
  <c r="M266" i="9"/>
  <c r="L266" i="9"/>
  <c r="K266" i="9"/>
  <c r="J266" i="9"/>
  <c r="I266" i="9"/>
  <c r="H266" i="9"/>
  <c r="G266" i="9"/>
  <c r="E266" i="9"/>
  <c r="D266" i="9"/>
  <c r="A266" i="9"/>
  <c r="O265" i="9"/>
  <c r="N265" i="9"/>
  <c r="M265" i="9"/>
  <c r="L265" i="9"/>
  <c r="K265" i="9"/>
  <c r="J265" i="9"/>
  <c r="I265" i="9"/>
  <c r="H265" i="9"/>
  <c r="G265" i="9"/>
  <c r="E265" i="9"/>
  <c r="D265" i="9"/>
  <c r="A265" i="9"/>
  <c r="O264" i="9"/>
  <c r="N264" i="9"/>
  <c r="M264" i="9"/>
  <c r="L264" i="9"/>
  <c r="K264" i="9"/>
  <c r="J264" i="9"/>
  <c r="I264" i="9"/>
  <c r="H264" i="9"/>
  <c r="G264" i="9"/>
  <c r="E264" i="9"/>
  <c r="D264" i="9"/>
  <c r="A264" i="9"/>
  <c r="O263" i="9"/>
  <c r="N263" i="9"/>
  <c r="M263" i="9"/>
  <c r="L263" i="9"/>
  <c r="K263" i="9"/>
  <c r="J263" i="9"/>
  <c r="I263" i="9"/>
  <c r="H263" i="9"/>
  <c r="G263" i="9"/>
  <c r="E263" i="9"/>
  <c r="D263" i="9"/>
  <c r="A263" i="9"/>
  <c r="O262" i="9"/>
  <c r="N262" i="9"/>
  <c r="M262" i="9"/>
  <c r="L262" i="9"/>
  <c r="K262" i="9"/>
  <c r="J262" i="9"/>
  <c r="I262" i="9"/>
  <c r="H262" i="9"/>
  <c r="G262" i="9"/>
  <c r="E262" i="9"/>
  <c r="D262" i="9"/>
  <c r="A262" i="9"/>
  <c r="O261" i="9"/>
  <c r="N261" i="9"/>
  <c r="M261" i="9"/>
  <c r="L261" i="9"/>
  <c r="K261" i="9"/>
  <c r="J261" i="9"/>
  <c r="I261" i="9"/>
  <c r="H261" i="9"/>
  <c r="G261" i="9"/>
  <c r="E261" i="9"/>
  <c r="D261" i="9"/>
  <c r="A261" i="9"/>
  <c r="O260" i="9"/>
  <c r="N260" i="9"/>
  <c r="M260" i="9"/>
  <c r="L260" i="9"/>
  <c r="K260" i="9"/>
  <c r="J260" i="9"/>
  <c r="I260" i="9"/>
  <c r="H260" i="9"/>
  <c r="G260" i="9"/>
  <c r="E260" i="9"/>
  <c r="D260" i="9"/>
  <c r="A260" i="9"/>
  <c r="O259" i="9"/>
  <c r="N259" i="9"/>
  <c r="M259" i="9"/>
  <c r="L259" i="9"/>
  <c r="K259" i="9"/>
  <c r="J259" i="9"/>
  <c r="I259" i="9"/>
  <c r="H259" i="9"/>
  <c r="G259" i="9"/>
  <c r="E259" i="9"/>
  <c r="D259" i="9"/>
  <c r="A259" i="9"/>
  <c r="O258" i="9"/>
  <c r="N258" i="9"/>
  <c r="M258" i="9"/>
  <c r="L258" i="9"/>
  <c r="K258" i="9"/>
  <c r="J258" i="9"/>
  <c r="I258" i="9"/>
  <c r="H258" i="9"/>
  <c r="G258" i="9"/>
  <c r="E258" i="9"/>
  <c r="D258" i="9"/>
  <c r="A258" i="9"/>
  <c r="O257" i="9"/>
  <c r="N257" i="9"/>
  <c r="M257" i="9"/>
  <c r="L257" i="9"/>
  <c r="K257" i="9"/>
  <c r="J257" i="9"/>
  <c r="I257" i="9"/>
  <c r="H257" i="9"/>
  <c r="G257" i="9"/>
  <c r="E257" i="9"/>
  <c r="D257" i="9"/>
  <c r="A257" i="9"/>
  <c r="O255" i="9"/>
  <c r="N255" i="9"/>
  <c r="M255" i="9"/>
  <c r="L255" i="9"/>
  <c r="K255" i="9"/>
  <c r="J255" i="9"/>
  <c r="I255" i="9"/>
  <c r="H255" i="9"/>
  <c r="G255" i="9"/>
  <c r="E255" i="9"/>
  <c r="D255" i="9"/>
  <c r="A255" i="9"/>
  <c r="O254" i="9"/>
  <c r="N254" i="9"/>
  <c r="M254" i="9"/>
  <c r="L254" i="9"/>
  <c r="K254" i="9"/>
  <c r="J254" i="9"/>
  <c r="I254" i="9"/>
  <c r="H254" i="9"/>
  <c r="G254" i="9"/>
  <c r="E254" i="9"/>
  <c r="D254" i="9"/>
  <c r="A254" i="9"/>
  <c r="O253" i="9"/>
  <c r="N253" i="9"/>
  <c r="M253" i="9"/>
  <c r="L253" i="9"/>
  <c r="K253" i="9"/>
  <c r="J253" i="9"/>
  <c r="I253" i="9"/>
  <c r="H253" i="9"/>
  <c r="G253" i="9"/>
  <c r="E253" i="9"/>
  <c r="D253" i="9"/>
  <c r="A253" i="9"/>
  <c r="O252" i="9"/>
  <c r="N252" i="9"/>
  <c r="M252" i="9"/>
  <c r="L252" i="9"/>
  <c r="K252" i="9"/>
  <c r="J252" i="9"/>
  <c r="I252" i="9"/>
  <c r="H252" i="9"/>
  <c r="G252" i="9"/>
  <c r="E252" i="9"/>
  <c r="D252" i="9"/>
  <c r="A252" i="9"/>
  <c r="O251" i="9"/>
  <c r="N251" i="9"/>
  <c r="M251" i="9"/>
  <c r="L251" i="9"/>
  <c r="K251" i="9"/>
  <c r="J251" i="9"/>
  <c r="I251" i="9"/>
  <c r="H251" i="9"/>
  <c r="G251" i="9"/>
  <c r="E251" i="9"/>
  <c r="D251" i="9"/>
  <c r="A251" i="9"/>
  <c r="O250" i="9"/>
  <c r="N250" i="9"/>
  <c r="M250" i="9"/>
  <c r="L250" i="9"/>
  <c r="K250" i="9"/>
  <c r="J250" i="9"/>
  <c r="I250" i="9"/>
  <c r="H250" i="9"/>
  <c r="G250" i="9"/>
  <c r="E250" i="9"/>
  <c r="D250" i="9"/>
  <c r="A250" i="9"/>
  <c r="O249" i="9"/>
  <c r="N249" i="9"/>
  <c r="M249" i="9"/>
  <c r="L249" i="9"/>
  <c r="K249" i="9"/>
  <c r="J249" i="9"/>
  <c r="I249" i="9"/>
  <c r="H249" i="9"/>
  <c r="G249" i="9"/>
  <c r="E249" i="9"/>
  <c r="D249" i="9"/>
  <c r="A249" i="9"/>
  <c r="O248" i="9"/>
  <c r="N248" i="9"/>
  <c r="M248" i="9"/>
  <c r="L248" i="9"/>
  <c r="K248" i="9"/>
  <c r="J248" i="9"/>
  <c r="I248" i="9"/>
  <c r="H248" i="9"/>
  <c r="G248" i="9"/>
  <c r="E248" i="9"/>
  <c r="D248" i="9"/>
  <c r="A248" i="9"/>
  <c r="O247" i="9"/>
  <c r="N247" i="9"/>
  <c r="M247" i="9"/>
  <c r="L247" i="9"/>
  <c r="K247" i="9"/>
  <c r="J247" i="9"/>
  <c r="I247" i="9"/>
  <c r="H247" i="9"/>
  <c r="G247" i="9"/>
  <c r="E247" i="9"/>
  <c r="D247" i="9"/>
  <c r="A247" i="9"/>
  <c r="O246" i="9"/>
  <c r="N246" i="9"/>
  <c r="M246" i="9"/>
  <c r="L246" i="9"/>
  <c r="K246" i="9"/>
  <c r="J246" i="9"/>
  <c r="I246" i="9"/>
  <c r="H246" i="9"/>
  <c r="G246" i="9"/>
  <c r="E246" i="9"/>
  <c r="D246" i="9"/>
  <c r="A246" i="9"/>
  <c r="O245" i="9"/>
  <c r="N245" i="9"/>
  <c r="M245" i="9"/>
  <c r="L245" i="9"/>
  <c r="K245" i="9"/>
  <c r="J245" i="9"/>
  <c r="I245" i="9"/>
  <c r="H245" i="9"/>
  <c r="G245" i="9"/>
  <c r="E245" i="9"/>
  <c r="D245" i="9"/>
  <c r="A245" i="9"/>
  <c r="O244" i="9"/>
  <c r="N244" i="9"/>
  <c r="M244" i="9"/>
  <c r="L244" i="9"/>
  <c r="K244" i="9"/>
  <c r="J244" i="9"/>
  <c r="I244" i="9"/>
  <c r="H244" i="9"/>
  <c r="G244" i="9"/>
  <c r="E244" i="9"/>
  <c r="D244" i="9"/>
  <c r="A244" i="9"/>
  <c r="O243" i="9"/>
  <c r="N243" i="9"/>
  <c r="M243" i="9"/>
  <c r="L243" i="9"/>
  <c r="K243" i="9"/>
  <c r="J243" i="9"/>
  <c r="I243" i="9"/>
  <c r="H243" i="9"/>
  <c r="G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33" i="9"/>
  <c r="N233" i="9"/>
  <c r="M233" i="9"/>
  <c r="L233" i="9"/>
  <c r="K233" i="9"/>
  <c r="J233" i="9"/>
  <c r="I233" i="9"/>
  <c r="H233" i="9"/>
  <c r="G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E230" i="9"/>
  <c r="D230" i="9"/>
  <c r="A230" i="9"/>
  <c r="O229" i="9"/>
  <c r="N229" i="9"/>
  <c r="M229" i="9"/>
  <c r="L229" i="9"/>
  <c r="K229" i="9"/>
  <c r="J229" i="9"/>
  <c r="I229" i="9"/>
  <c r="H229" i="9"/>
  <c r="G229" i="9"/>
  <c r="E229" i="9"/>
  <c r="D229" i="9"/>
  <c r="A229" i="9"/>
  <c r="O228" i="9"/>
  <c r="N228" i="9"/>
  <c r="M228" i="9"/>
  <c r="L228" i="9"/>
  <c r="K228" i="9"/>
  <c r="J228" i="9"/>
  <c r="I228" i="9"/>
  <c r="H228" i="9"/>
  <c r="G228" i="9"/>
  <c r="E228" i="9"/>
  <c r="D228" i="9"/>
  <c r="A228" i="9"/>
  <c r="O226" i="9"/>
  <c r="N226" i="9"/>
  <c r="M226" i="9"/>
  <c r="L226" i="9"/>
  <c r="K226" i="9"/>
  <c r="J226" i="9"/>
  <c r="I226" i="9"/>
  <c r="H226" i="9"/>
  <c r="G226" i="9"/>
  <c r="E226" i="9"/>
  <c r="D226" i="9"/>
  <c r="A226" i="9"/>
  <c r="O225" i="9"/>
  <c r="N225" i="9"/>
  <c r="M225" i="9"/>
  <c r="L225" i="9"/>
  <c r="K225" i="9"/>
  <c r="J225" i="9"/>
  <c r="I225" i="9"/>
  <c r="H225" i="9"/>
  <c r="G225" i="9"/>
  <c r="E225" i="9"/>
  <c r="D225" i="9"/>
  <c r="A225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O223" i="9"/>
  <c r="N223" i="9"/>
  <c r="M223" i="9"/>
  <c r="L223" i="9"/>
  <c r="K223" i="9"/>
  <c r="J223" i="9"/>
  <c r="I223" i="9"/>
  <c r="H223" i="9"/>
  <c r="G223" i="9"/>
  <c r="E223" i="9"/>
  <c r="D223" i="9"/>
  <c r="A223" i="9"/>
  <c r="O222" i="9"/>
  <c r="N222" i="9"/>
  <c r="M222" i="9"/>
  <c r="L222" i="9"/>
  <c r="K222" i="9"/>
  <c r="J222" i="9"/>
  <c r="I222" i="9"/>
  <c r="H222" i="9"/>
  <c r="G222" i="9"/>
  <c r="E222" i="9"/>
  <c r="D222" i="9"/>
  <c r="A222" i="9"/>
  <c r="O221" i="9"/>
  <c r="N221" i="9"/>
  <c r="M221" i="9"/>
  <c r="L221" i="9"/>
  <c r="K221" i="9"/>
  <c r="J221" i="9"/>
  <c r="I221" i="9"/>
  <c r="H221" i="9"/>
  <c r="G221" i="9"/>
  <c r="E221" i="9"/>
  <c r="D221" i="9"/>
  <c r="A221" i="9"/>
  <c r="O220" i="9"/>
  <c r="N220" i="9"/>
  <c r="M220" i="9"/>
  <c r="L220" i="9"/>
  <c r="K220" i="9"/>
  <c r="J220" i="9"/>
  <c r="I220" i="9"/>
  <c r="H220" i="9"/>
  <c r="G220" i="9"/>
  <c r="E220" i="9"/>
  <c r="D220" i="9"/>
  <c r="A220" i="9"/>
  <c r="O219" i="9"/>
  <c r="N219" i="9"/>
  <c r="M219" i="9"/>
  <c r="L219" i="9"/>
  <c r="K219" i="9"/>
  <c r="J219" i="9"/>
  <c r="I219" i="9"/>
  <c r="H219" i="9"/>
  <c r="G219" i="9"/>
  <c r="E219" i="9"/>
  <c r="D219" i="9"/>
  <c r="A219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O217" i="9"/>
  <c r="N217" i="9"/>
  <c r="M217" i="9"/>
  <c r="L217" i="9"/>
  <c r="K217" i="9"/>
  <c r="J217" i="9"/>
  <c r="I217" i="9"/>
  <c r="H217" i="9"/>
  <c r="G217" i="9"/>
  <c r="E217" i="9"/>
  <c r="D217" i="9"/>
  <c r="A217" i="9"/>
  <c r="O216" i="9"/>
  <c r="N216" i="9"/>
  <c r="M216" i="9"/>
  <c r="L216" i="9"/>
  <c r="K216" i="9"/>
  <c r="J216" i="9"/>
  <c r="I216" i="9"/>
  <c r="H216" i="9"/>
  <c r="G216" i="9"/>
  <c r="E216" i="9"/>
  <c r="D216" i="9"/>
  <c r="A216" i="9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O213" i="9"/>
  <c r="N213" i="9"/>
  <c r="M213" i="9"/>
  <c r="L213" i="9"/>
  <c r="K213" i="9"/>
  <c r="J213" i="9"/>
  <c r="I213" i="9"/>
  <c r="H213" i="9"/>
  <c r="G213" i="9"/>
  <c r="E213" i="9"/>
  <c r="D213" i="9"/>
  <c r="A213" i="9"/>
  <c r="O212" i="9"/>
  <c r="N212" i="9"/>
  <c r="M212" i="9"/>
  <c r="L212" i="9"/>
  <c r="K212" i="9"/>
  <c r="J212" i="9"/>
  <c r="I212" i="9"/>
  <c r="H212" i="9"/>
  <c r="G212" i="9"/>
  <c r="E212" i="9"/>
  <c r="D212" i="9"/>
  <c r="A212" i="9"/>
  <c r="O211" i="9"/>
  <c r="N211" i="9"/>
  <c r="M211" i="9"/>
  <c r="L211" i="9"/>
  <c r="K211" i="9"/>
  <c r="J211" i="9"/>
  <c r="I211" i="9"/>
  <c r="H211" i="9"/>
  <c r="G211" i="9"/>
  <c r="E211" i="9"/>
  <c r="D211" i="9"/>
  <c r="A211" i="9"/>
  <c r="O210" i="9"/>
  <c r="N210" i="9"/>
  <c r="M210" i="9"/>
  <c r="L210" i="9"/>
  <c r="K210" i="9"/>
  <c r="J210" i="9"/>
  <c r="I210" i="9"/>
  <c r="H210" i="9"/>
  <c r="G210" i="9"/>
  <c r="E210" i="9"/>
  <c r="D210" i="9"/>
  <c r="A210" i="9"/>
  <c r="O209" i="9"/>
  <c r="N209" i="9"/>
  <c r="M209" i="9"/>
  <c r="L209" i="9"/>
  <c r="K209" i="9"/>
  <c r="J209" i="9"/>
  <c r="I209" i="9"/>
  <c r="H209" i="9"/>
  <c r="G209" i="9"/>
  <c r="E209" i="9"/>
  <c r="D209" i="9"/>
  <c r="A209" i="9"/>
  <c r="O208" i="9"/>
  <c r="N208" i="9"/>
  <c r="M208" i="9"/>
  <c r="L208" i="9"/>
  <c r="K208" i="9"/>
  <c r="J208" i="9"/>
  <c r="I208" i="9"/>
  <c r="H208" i="9"/>
  <c r="G208" i="9"/>
  <c r="E208" i="9"/>
  <c r="D208" i="9"/>
  <c r="A208" i="9"/>
  <c r="O207" i="9"/>
  <c r="N207" i="9"/>
  <c r="M207" i="9"/>
  <c r="L207" i="9"/>
  <c r="K207" i="9"/>
  <c r="J207" i="9"/>
  <c r="I207" i="9"/>
  <c r="H207" i="9"/>
  <c r="G207" i="9"/>
  <c r="E207" i="9"/>
  <c r="D207" i="9"/>
  <c r="A207" i="9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E197" i="9"/>
  <c r="D197" i="9"/>
  <c r="A197" i="9"/>
  <c r="O196" i="9"/>
  <c r="N196" i="9"/>
  <c r="M196" i="9"/>
  <c r="L196" i="9"/>
  <c r="K196" i="9"/>
  <c r="J196" i="9"/>
  <c r="I196" i="9"/>
  <c r="H196" i="9"/>
  <c r="G196" i="9"/>
  <c r="E196" i="9"/>
  <c r="D196" i="9"/>
  <c r="A196" i="9"/>
  <c r="O195" i="9"/>
  <c r="N195" i="9"/>
  <c r="M195" i="9"/>
  <c r="L195" i="9"/>
  <c r="K195" i="9"/>
  <c r="J195" i="9"/>
  <c r="I195" i="9"/>
  <c r="H195" i="9"/>
  <c r="G195" i="9"/>
  <c r="E195" i="9"/>
  <c r="D195" i="9"/>
  <c r="A195" i="9"/>
  <c r="O194" i="9"/>
  <c r="N194" i="9"/>
  <c r="M194" i="9"/>
  <c r="L194" i="9"/>
  <c r="K194" i="9"/>
  <c r="J194" i="9"/>
  <c r="I194" i="9"/>
  <c r="H194" i="9"/>
  <c r="G194" i="9"/>
  <c r="E194" i="9"/>
  <c r="D194" i="9"/>
  <c r="A194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M51" i="10"/>
  <c r="T51" i="10"/>
  <c r="W51" i="10"/>
  <c r="V51" i="10"/>
  <c r="X51" i="10"/>
  <c r="U51" i="10"/>
  <c r="Y51" i="10"/>
  <c r="M62" i="10"/>
  <c r="M71" i="10"/>
  <c r="N71" i="10"/>
  <c r="Q71" i="10"/>
  <c r="P71" i="10"/>
  <c r="R71" i="10"/>
  <c r="O71" i="10"/>
  <c r="S71" i="10"/>
  <c r="N62" i="10"/>
  <c r="Q62" i="10"/>
  <c r="P62" i="10"/>
  <c r="R62" i="10"/>
  <c r="O62" i="10"/>
  <c r="S62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2" i="10"/>
  <c r="T52" i="10"/>
  <c r="W52" i="10"/>
  <c r="V52" i="10"/>
  <c r="X52" i="10"/>
  <c r="U52" i="10"/>
  <c r="Y52" i="10"/>
  <c r="M63" i="10"/>
  <c r="M72" i="10"/>
  <c r="N72" i="10"/>
  <c r="Q72" i="10"/>
  <c r="P72" i="10"/>
  <c r="R72" i="10"/>
  <c r="O72" i="10"/>
  <c r="S72" i="10"/>
  <c r="N63" i="10"/>
  <c r="Q63" i="10"/>
  <c r="P63" i="10"/>
  <c r="R63" i="10"/>
  <c r="O63" i="10"/>
  <c r="S63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3" i="10"/>
  <c r="T53" i="10"/>
  <c r="W53" i="10"/>
  <c r="V53" i="10"/>
  <c r="X53" i="10"/>
  <c r="U53" i="10"/>
  <c r="Y53" i="10"/>
  <c r="M64" i="10"/>
  <c r="M73" i="10"/>
  <c r="N73" i="10"/>
  <c r="Q73" i="10"/>
  <c r="P73" i="10"/>
  <c r="R73" i="10"/>
  <c r="O73" i="10"/>
  <c r="S73" i="10"/>
  <c r="N64" i="10"/>
  <c r="Q64" i="10"/>
  <c r="P64" i="10"/>
  <c r="R64" i="10"/>
  <c r="O64" i="10"/>
  <c r="S64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4" i="10"/>
  <c r="T54" i="10"/>
  <c r="W54" i="10"/>
  <c r="V54" i="10"/>
  <c r="X54" i="10"/>
  <c r="U54" i="10"/>
  <c r="Y54" i="10"/>
  <c r="M74" i="10"/>
  <c r="N74" i="10"/>
  <c r="Q74" i="10"/>
  <c r="P74" i="10"/>
  <c r="R74" i="10"/>
  <c r="O74" i="10"/>
  <c r="S7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5" i="10"/>
  <c r="T55" i="10"/>
  <c r="W55" i="10"/>
  <c r="V55" i="10"/>
  <c r="X55" i="10"/>
  <c r="U55" i="10"/>
  <c r="Y55" i="10"/>
  <c r="M65" i="10"/>
  <c r="M75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6" i="10"/>
  <c r="T56" i="10"/>
  <c r="W56" i="10"/>
  <c r="V56" i="10"/>
  <c r="X56" i="10"/>
  <c r="U56" i="10"/>
  <c r="Y56" i="10"/>
  <c r="M66" i="10"/>
  <c r="N66" i="10"/>
  <c r="Q66" i="10"/>
  <c r="P66" i="10"/>
  <c r="R66" i="10"/>
  <c r="O66" i="10"/>
  <c r="S6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57" i="10"/>
  <c r="T57" i="10"/>
  <c r="W57" i="10"/>
  <c r="V57" i="10"/>
  <c r="X57" i="10"/>
  <c r="U57" i="10"/>
  <c r="Y57" i="10"/>
  <c r="M67" i="10"/>
  <c r="N67" i="10"/>
  <c r="Q67" i="10"/>
  <c r="P67" i="10"/>
  <c r="R67" i="10"/>
  <c r="O67" i="10"/>
  <c r="S6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56" i="18"/>
  <c r="D56" i="18"/>
  <c r="D50" i="18"/>
  <c r="C49" i="18"/>
  <c r="D49" i="18"/>
  <c r="C48" i="18"/>
  <c r="D48" i="18"/>
  <c r="C47" i="18"/>
  <c r="D47" i="18"/>
  <c r="C46" i="18"/>
  <c r="D46" i="18"/>
  <c r="C45" i="18"/>
  <c r="D45" i="18"/>
  <c r="C44" i="18"/>
  <c r="D44" i="18"/>
  <c r="E76" i="9"/>
  <c r="Y16" i="7"/>
  <c r="W16" i="7"/>
  <c r="U16" i="7"/>
  <c r="R16" i="7"/>
  <c r="Q16" i="7"/>
  <c r="P16" i="7"/>
  <c r="O16" i="7"/>
  <c r="N16" i="7"/>
  <c r="H16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J16" i="7"/>
  <c r="I16" i="7"/>
  <c r="D16" i="7"/>
  <c r="F16" i="7"/>
  <c r="E16" i="7"/>
  <c r="A16" i="7"/>
  <c r="E47" i="9"/>
  <c r="Y15" i="7"/>
  <c r="W15" i="7"/>
  <c r="U15" i="7"/>
  <c r="R15" i="7"/>
  <c r="Q15" i="7"/>
  <c r="P15" i="7"/>
  <c r="O15" i="7"/>
  <c r="N15" i="7"/>
  <c r="H15" i="7"/>
  <c r="J15" i="7"/>
  <c r="I15" i="7"/>
  <c r="D15" i="7"/>
  <c r="F15" i="7"/>
  <c r="E15" i="7"/>
  <c r="A15" i="7"/>
  <c r="E10" i="9"/>
  <c r="Y14" i="7"/>
  <c r="W14" i="7"/>
  <c r="U14" i="7"/>
  <c r="R14" i="7"/>
  <c r="Q14" i="7"/>
  <c r="P14" i="7"/>
  <c r="O14" i="7"/>
  <c r="N14" i="7"/>
  <c r="H14" i="7"/>
  <c r="J14" i="7"/>
  <c r="I14" i="7"/>
  <c r="D14" i="7"/>
  <c r="F14" i="7"/>
  <c r="E14" i="7"/>
  <c r="A14" i="7"/>
  <c r="Y13" i="7"/>
  <c r="W13" i="7"/>
  <c r="U13" i="7"/>
  <c r="R13" i="7"/>
  <c r="Q13" i="7"/>
  <c r="P13" i="7"/>
  <c r="O13" i="7"/>
  <c r="N13" i="7"/>
  <c r="A13" i="7"/>
  <c r="Y12" i="7"/>
  <c r="W12" i="7"/>
  <c r="U12" i="7"/>
  <c r="R12" i="7"/>
  <c r="Q12" i="7"/>
  <c r="P12" i="7"/>
  <c r="O12" i="7"/>
  <c r="N12" i="7"/>
  <c r="A12" i="7"/>
  <c r="Y11" i="7"/>
  <c r="W11" i="7"/>
  <c r="U11" i="7"/>
  <c r="R11" i="7"/>
  <c r="Q11" i="7"/>
  <c r="P11" i="7"/>
  <c r="O11" i="7"/>
  <c r="N11" i="7"/>
  <c r="A11" i="7"/>
  <c r="Y10" i="7"/>
  <c r="W10" i="7"/>
  <c r="U10" i="7"/>
  <c r="R10" i="7"/>
  <c r="Q10" i="7"/>
  <c r="P10" i="7"/>
  <c r="O10" i="7"/>
  <c r="N10" i="7"/>
  <c r="D10" i="7"/>
  <c r="F10" i="7"/>
  <c r="E10" i="7"/>
  <c r="A10" i="7"/>
  <c r="Y9" i="7"/>
  <c r="W9" i="7"/>
  <c r="U9" i="7"/>
  <c r="R9" i="7"/>
  <c r="Q9" i="7"/>
  <c r="P9" i="7"/>
  <c r="O9" i="7"/>
  <c r="N9" i="7"/>
  <c r="D9" i="7"/>
  <c r="F9" i="7"/>
  <c r="E9" i="7"/>
  <c r="A9" i="7"/>
  <c r="Y8" i="7"/>
  <c r="W8" i="7"/>
  <c r="U8" i="7"/>
  <c r="R8" i="7"/>
  <c r="Q8" i="7"/>
  <c r="P8" i="7"/>
  <c r="O8" i="7"/>
  <c r="N8" i="7"/>
  <c r="D8" i="7"/>
  <c r="F8" i="7"/>
  <c r="E8" i="7"/>
  <c r="A8" i="7"/>
  <c r="Y7" i="7"/>
  <c r="W7" i="7"/>
  <c r="U7" i="7"/>
  <c r="R7" i="7"/>
  <c r="Q7" i="7"/>
  <c r="P7" i="7"/>
  <c r="O7" i="7"/>
  <c r="N7" i="7"/>
  <c r="D7" i="7"/>
  <c r="F7" i="7"/>
  <c r="E7" i="7"/>
  <c r="A7" i="7"/>
  <c r="Y6" i="7"/>
  <c r="W6" i="7"/>
  <c r="U6" i="7"/>
  <c r="R6" i="7"/>
  <c r="Q6" i="7"/>
  <c r="P6" i="7"/>
  <c r="O6" i="7"/>
  <c r="N6" i="7"/>
  <c r="D6" i="7"/>
  <c r="F6" i="7"/>
  <c r="E6" i="7"/>
  <c r="A6" i="7"/>
  <c r="Y5" i="7"/>
  <c r="W5" i="7"/>
  <c r="U5" i="7"/>
  <c r="R5" i="7"/>
  <c r="Q5" i="7"/>
  <c r="P5" i="7"/>
  <c r="O5" i="7"/>
  <c r="N5" i="7"/>
  <c r="D5" i="7"/>
  <c r="F5" i="7"/>
  <c r="E5" i="7"/>
  <c r="A5" i="7"/>
  <c r="AD101" i="1"/>
  <c r="AF101" i="1"/>
  <c r="AI101" i="1"/>
  <c r="AG101" i="1"/>
  <c r="AE101" i="1"/>
  <c r="E20" i="9"/>
  <c r="X101" i="1"/>
  <c r="V101" i="1"/>
  <c r="T101" i="1"/>
  <c r="Q101" i="1"/>
  <c r="P101" i="1"/>
  <c r="O101" i="1"/>
  <c r="N101" i="1"/>
  <c r="M101" i="1"/>
  <c r="H101" i="1"/>
  <c r="J101" i="1"/>
  <c r="I101" i="1"/>
  <c r="D101" i="1"/>
  <c r="F101" i="1"/>
  <c r="E101" i="1"/>
  <c r="A101" i="1"/>
  <c r="AD100" i="1"/>
  <c r="AF100" i="1"/>
  <c r="AI100" i="1"/>
  <c r="AG100" i="1"/>
  <c r="AE100" i="1"/>
  <c r="E19" i="9"/>
  <c r="X100" i="1"/>
  <c r="V100" i="1"/>
  <c r="T100" i="1"/>
  <c r="Q100" i="1"/>
  <c r="P100" i="1"/>
  <c r="O100" i="1"/>
  <c r="N100" i="1"/>
  <c r="M100" i="1"/>
  <c r="H100" i="1"/>
  <c r="J100" i="1"/>
  <c r="I100" i="1"/>
  <c r="D100" i="1"/>
  <c r="F100" i="1"/>
  <c r="E100" i="1"/>
  <c r="A100" i="1"/>
  <c r="AD99" i="1"/>
  <c r="AF99" i="1"/>
  <c r="AI99" i="1"/>
  <c r="AG99" i="1"/>
  <c r="AE99" i="1"/>
  <c r="E18" i="9"/>
  <c r="X99" i="1"/>
  <c r="V99" i="1"/>
  <c r="T99" i="1"/>
  <c r="Q99" i="1"/>
  <c r="P99" i="1"/>
  <c r="O99" i="1"/>
  <c r="N99" i="1"/>
  <c r="M99" i="1"/>
  <c r="H99" i="1"/>
  <c r="J99" i="1"/>
  <c r="I99" i="1"/>
  <c r="D99" i="1"/>
  <c r="F99" i="1"/>
  <c r="E99" i="1"/>
  <c r="A99" i="1"/>
  <c r="AD98" i="1"/>
  <c r="AF98" i="1"/>
  <c r="AI98" i="1"/>
  <c r="AG98" i="1"/>
  <c r="AE98" i="1"/>
  <c r="X98" i="1"/>
  <c r="V98" i="1"/>
  <c r="T98" i="1"/>
  <c r="Q98" i="1"/>
  <c r="P98" i="1"/>
  <c r="O98" i="1"/>
  <c r="N98" i="1"/>
  <c r="M98" i="1"/>
  <c r="H98" i="1"/>
  <c r="J98" i="1"/>
  <c r="I98" i="1"/>
  <c r="D98" i="1"/>
  <c r="F98" i="1"/>
  <c r="E98" i="1"/>
  <c r="A98" i="1"/>
  <c r="AD97" i="1"/>
  <c r="AF97" i="1"/>
  <c r="AI97" i="1"/>
  <c r="AG97" i="1"/>
  <c r="AE97" i="1"/>
  <c r="X97" i="1"/>
  <c r="V97" i="1"/>
  <c r="T97" i="1"/>
  <c r="Q97" i="1"/>
  <c r="P97" i="1"/>
  <c r="O97" i="1"/>
  <c r="N97" i="1"/>
  <c r="M97" i="1"/>
  <c r="H97" i="1"/>
  <c r="J97" i="1"/>
  <c r="I97" i="1"/>
  <c r="D97" i="1"/>
  <c r="F97" i="1"/>
  <c r="E97" i="1"/>
  <c r="A97" i="1"/>
  <c r="AD96" i="1"/>
  <c r="AF96" i="1"/>
  <c r="AI96" i="1"/>
  <c r="AG96" i="1"/>
  <c r="AE96" i="1"/>
  <c r="X96" i="1"/>
  <c r="V96" i="1"/>
  <c r="T96" i="1"/>
  <c r="Q96" i="1"/>
  <c r="P96" i="1"/>
  <c r="O96" i="1"/>
  <c r="N96" i="1"/>
  <c r="M96" i="1"/>
  <c r="H96" i="1"/>
  <c r="J96" i="1"/>
  <c r="I96" i="1"/>
  <c r="D96" i="1"/>
  <c r="F96" i="1"/>
  <c r="E96" i="1"/>
  <c r="A96" i="1"/>
  <c r="AD95" i="1"/>
  <c r="AF95" i="1"/>
  <c r="AI95" i="1"/>
  <c r="AG95" i="1"/>
  <c r="AE95" i="1"/>
  <c r="X95" i="1"/>
  <c r="V95" i="1"/>
  <c r="T95" i="1"/>
  <c r="Q95" i="1"/>
  <c r="P95" i="1"/>
  <c r="O95" i="1"/>
  <c r="N95" i="1"/>
  <c r="M95" i="1"/>
  <c r="H95" i="1"/>
  <c r="J95" i="1"/>
  <c r="I95" i="1"/>
  <c r="D95" i="1"/>
  <c r="F95" i="1"/>
  <c r="E95" i="1"/>
  <c r="A95" i="1"/>
  <c r="AD94" i="1"/>
  <c r="AF94" i="1"/>
  <c r="AI94" i="1"/>
  <c r="AG94" i="1"/>
  <c r="AE94" i="1"/>
  <c r="X94" i="1"/>
  <c r="V94" i="1"/>
  <c r="T94" i="1"/>
  <c r="Q94" i="1"/>
  <c r="P94" i="1"/>
  <c r="O94" i="1"/>
  <c r="N94" i="1"/>
  <c r="M94" i="1"/>
  <c r="H94" i="1"/>
  <c r="J94" i="1"/>
  <c r="I94" i="1"/>
  <c r="D94" i="1"/>
  <c r="F94" i="1"/>
  <c r="E94" i="1"/>
  <c r="A94" i="1"/>
  <c r="AD93" i="1"/>
  <c r="AF93" i="1"/>
  <c r="AI93" i="1"/>
  <c r="AG93" i="1"/>
  <c r="AE93" i="1"/>
  <c r="X93" i="1"/>
  <c r="V93" i="1"/>
  <c r="T93" i="1"/>
  <c r="Q93" i="1"/>
  <c r="P93" i="1"/>
  <c r="O93" i="1"/>
  <c r="N93" i="1"/>
  <c r="M93" i="1"/>
  <c r="H93" i="1"/>
  <c r="J93" i="1"/>
  <c r="I93" i="1"/>
  <c r="D93" i="1"/>
  <c r="F93" i="1"/>
  <c r="E93" i="1"/>
  <c r="A93" i="1"/>
  <c r="AD92" i="1"/>
  <c r="AF92" i="1"/>
  <c r="AI92" i="1"/>
  <c r="AG92" i="1"/>
  <c r="AE92" i="1"/>
  <c r="X92" i="1"/>
  <c r="V92" i="1"/>
  <c r="T92" i="1"/>
  <c r="Q92" i="1"/>
  <c r="P92" i="1"/>
  <c r="O92" i="1"/>
  <c r="N92" i="1"/>
  <c r="M92" i="1"/>
  <c r="H92" i="1"/>
  <c r="J92" i="1"/>
  <c r="I92" i="1"/>
  <c r="D92" i="1"/>
  <c r="F92" i="1"/>
  <c r="E92" i="1"/>
  <c r="A92" i="1"/>
  <c r="AD91" i="1"/>
  <c r="AF91" i="1"/>
  <c r="AI91" i="1"/>
  <c r="AG91" i="1"/>
  <c r="AE91" i="1"/>
  <c r="X91" i="1"/>
  <c r="V91" i="1"/>
  <c r="T91" i="1"/>
  <c r="Q91" i="1"/>
  <c r="P91" i="1"/>
  <c r="O91" i="1"/>
  <c r="N91" i="1"/>
  <c r="M91" i="1"/>
  <c r="H91" i="1"/>
  <c r="J91" i="1"/>
  <c r="I91" i="1"/>
  <c r="D91" i="1"/>
  <c r="F91" i="1"/>
  <c r="E91" i="1"/>
  <c r="A91" i="1"/>
  <c r="AD90" i="1"/>
  <c r="AF90" i="1"/>
  <c r="AI90" i="1"/>
  <c r="AG90" i="1"/>
  <c r="AE90" i="1"/>
  <c r="E2" i="9"/>
  <c r="X90" i="1"/>
  <c r="V90" i="1"/>
  <c r="T90" i="1"/>
  <c r="Q90" i="1"/>
  <c r="P90" i="1"/>
  <c r="O90" i="1"/>
  <c r="N90" i="1"/>
  <c r="M90" i="1"/>
  <c r="H90" i="1"/>
  <c r="J90" i="1"/>
  <c r="I90" i="1"/>
  <c r="D90" i="1"/>
  <c r="F90" i="1"/>
  <c r="E90" i="1"/>
  <c r="A90" i="1"/>
  <c r="AD89" i="1"/>
  <c r="AF89" i="1"/>
  <c r="AI89" i="1"/>
  <c r="AG89" i="1"/>
  <c r="AE89" i="1"/>
  <c r="X89" i="1"/>
  <c r="V89" i="1"/>
  <c r="T89" i="1"/>
  <c r="Q89" i="1"/>
  <c r="P89" i="1"/>
  <c r="O89" i="1"/>
  <c r="N89" i="1"/>
  <c r="M89" i="1"/>
  <c r="H89" i="1"/>
  <c r="J89" i="1"/>
  <c r="I89" i="1"/>
  <c r="D89" i="1"/>
  <c r="F89" i="1"/>
  <c r="E89" i="1"/>
  <c r="A89" i="1"/>
  <c r="AD88" i="1"/>
  <c r="AF88" i="1"/>
  <c r="AI88" i="1"/>
  <c r="AG88" i="1"/>
  <c r="AE88" i="1"/>
  <c r="X88" i="1"/>
  <c r="V88" i="1"/>
  <c r="T88" i="1"/>
  <c r="Q88" i="1"/>
  <c r="P88" i="1"/>
  <c r="O88" i="1"/>
  <c r="N88" i="1"/>
  <c r="M88" i="1"/>
  <c r="H88" i="1"/>
  <c r="J88" i="1"/>
  <c r="I88" i="1"/>
  <c r="D88" i="1"/>
  <c r="F88" i="1"/>
  <c r="E88" i="1"/>
  <c r="A88" i="1"/>
  <c r="AD87" i="1"/>
  <c r="AF87" i="1"/>
  <c r="AI87" i="1"/>
  <c r="AG87" i="1"/>
  <c r="AE87" i="1"/>
  <c r="X87" i="1"/>
  <c r="V87" i="1"/>
  <c r="T87" i="1"/>
  <c r="Q87" i="1"/>
  <c r="P87" i="1"/>
  <c r="O87" i="1"/>
  <c r="N87" i="1"/>
  <c r="M87" i="1"/>
  <c r="H87" i="1"/>
  <c r="J87" i="1"/>
  <c r="I87" i="1"/>
  <c r="D87" i="1"/>
  <c r="F87" i="1"/>
  <c r="E87" i="1"/>
  <c r="A87" i="1"/>
  <c r="AD86" i="1"/>
  <c r="AF86" i="1"/>
  <c r="AI86" i="1"/>
  <c r="AG86" i="1"/>
  <c r="AE86" i="1"/>
  <c r="X86" i="1"/>
  <c r="V86" i="1"/>
  <c r="T86" i="1"/>
  <c r="Q86" i="1"/>
  <c r="P86" i="1"/>
  <c r="O86" i="1"/>
  <c r="N86" i="1"/>
  <c r="M86" i="1"/>
  <c r="H86" i="1"/>
  <c r="J86" i="1"/>
  <c r="I86" i="1"/>
  <c r="D86" i="1"/>
  <c r="F86" i="1"/>
  <c r="E86" i="1"/>
  <c r="A86" i="1"/>
  <c r="AD85" i="1"/>
  <c r="AF85" i="1"/>
  <c r="AI85" i="1"/>
  <c r="AG85" i="1"/>
  <c r="AE85" i="1"/>
  <c r="X85" i="1"/>
  <c r="V85" i="1"/>
  <c r="T85" i="1"/>
  <c r="Q85" i="1"/>
  <c r="P85" i="1"/>
  <c r="O85" i="1"/>
  <c r="N85" i="1"/>
  <c r="M85" i="1"/>
  <c r="H85" i="1"/>
  <c r="J85" i="1"/>
  <c r="I85" i="1"/>
  <c r="D85" i="1"/>
  <c r="F85" i="1"/>
  <c r="E85" i="1"/>
  <c r="A85" i="1"/>
  <c r="AD84" i="1"/>
  <c r="AF84" i="1"/>
  <c r="AI84" i="1"/>
  <c r="AG84" i="1"/>
  <c r="AE84" i="1"/>
  <c r="X84" i="1"/>
  <c r="V84" i="1"/>
  <c r="T84" i="1"/>
  <c r="Q84" i="1"/>
  <c r="P84" i="1"/>
  <c r="O84" i="1"/>
  <c r="N84" i="1"/>
  <c r="M84" i="1"/>
  <c r="H84" i="1"/>
  <c r="J84" i="1"/>
  <c r="I84" i="1"/>
  <c r="D84" i="1"/>
  <c r="F84" i="1"/>
  <c r="E84" i="1"/>
  <c r="A84" i="1"/>
  <c r="AD83" i="1"/>
  <c r="AF83" i="1"/>
  <c r="AI83" i="1"/>
  <c r="AG83" i="1"/>
  <c r="AE83" i="1"/>
  <c r="X83" i="1"/>
  <c r="V83" i="1"/>
  <c r="T83" i="1"/>
  <c r="Q83" i="1"/>
  <c r="P83" i="1"/>
  <c r="O83" i="1"/>
  <c r="N83" i="1"/>
  <c r="M83" i="1"/>
  <c r="H83" i="1"/>
  <c r="J83" i="1"/>
  <c r="I83" i="1"/>
  <c r="D83" i="1"/>
  <c r="F83" i="1"/>
  <c r="E83" i="1"/>
  <c r="A83" i="1"/>
  <c r="AD82" i="1"/>
  <c r="AF82" i="1"/>
  <c r="AI82" i="1"/>
  <c r="AG82" i="1"/>
  <c r="AE82" i="1"/>
  <c r="X82" i="1"/>
  <c r="V82" i="1"/>
  <c r="T82" i="1"/>
  <c r="Q82" i="1"/>
  <c r="P82" i="1"/>
  <c r="O82" i="1"/>
  <c r="N82" i="1"/>
  <c r="M82" i="1"/>
  <c r="H82" i="1"/>
  <c r="J82" i="1"/>
  <c r="I82" i="1"/>
  <c r="D82" i="1"/>
  <c r="F82" i="1"/>
  <c r="E82" i="1"/>
  <c r="A82" i="1"/>
  <c r="AD81" i="1"/>
  <c r="AF81" i="1"/>
  <c r="AI81" i="1"/>
  <c r="AG81" i="1"/>
  <c r="AE81" i="1"/>
  <c r="X81" i="1"/>
  <c r="V81" i="1"/>
  <c r="T81" i="1"/>
  <c r="Q81" i="1"/>
  <c r="P81" i="1"/>
  <c r="O81" i="1"/>
  <c r="N81" i="1"/>
  <c r="M81" i="1"/>
  <c r="H81" i="1"/>
  <c r="J81" i="1"/>
  <c r="I81" i="1"/>
  <c r="D81" i="1"/>
  <c r="F81" i="1"/>
  <c r="E81" i="1"/>
  <c r="A81" i="1"/>
  <c r="AD80" i="1"/>
  <c r="AF80" i="1"/>
  <c r="AI80" i="1"/>
  <c r="AG80" i="1"/>
  <c r="AE80" i="1"/>
  <c r="X80" i="1"/>
  <c r="V80" i="1"/>
  <c r="T80" i="1"/>
  <c r="Q80" i="1"/>
  <c r="P80" i="1"/>
  <c r="O80" i="1"/>
  <c r="N80" i="1"/>
  <c r="M80" i="1"/>
  <c r="H80" i="1"/>
  <c r="J80" i="1"/>
  <c r="I80" i="1"/>
  <c r="D80" i="1"/>
  <c r="F80" i="1"/>
  <c r="E80" i="1"/>
  <c r="A80" i="1"/>
  <c r="AD79" i="1"/>
  <c r="AF79" i="1"/>
  <c r="AI79" i="1"/>
  <c r="AG79" i="1"/>
  <c r="AE79" i="1"/>
  <c r="X79" i="1"/>
  <c r="V79" i="1"/>
  <c r="T79" i="1"/>
  <c r="Q79" i="1"/>
  <c r="P79" i="1"/>
  <c r="O79" i="1"/>
  <c r="N79" i="1"/>
  <c r="M79" i="1"/>
  <c r="H79" i="1"/>
  <c r="J79" i="1"/>
  <c r="I79" i="1"/>
  <c r="D79" i="1"/>
  <c r="F79" i="1"/>
  <c r="E79" i="1"/>
  <c r="A79" i="1"/>
  <c r="AD78" i="1"/>
  <c r="AF78" i="1"/>
  <c r="AI78" i="1"/>
  <c r="AG78" i="1"/>
  <c r="AE78" i="1"/>
  <c r="X78" i="1"/>
  <c r="V78" i="1"/>
  <c r="T78" i="1"/>
  <c r="Q78" i="1"/>
  <c r="P78" i="1"/>
  <c r="O78" i="1"/>
  <c r="N78" i="1"/>
  <c r="M78" i="1"/>
  <c r="H78" i="1"/>
  <c r="J78" i="1"/>
  <c r="I78" i="1"/>
  <c r="D78" i="1"/>
  <c r="F78" i="1"/>
  <c r="E78" i="1"/>
  <c r="A78" i="1"/>
  <c r="AD77" i="1"/>
  <c r="AF77" i="1"/>
  <c r="AI77" i="1"/>
  <c r="AG77" i="1"/>
  <c r="AE77" i="1"/>
  <c r="X77" i="1"/>
  <c r="V77" i="1"/>
  <c r="T77" i="1"/>
  <c r="Q77" i="1"/>
  <c r="P77" i="1"/>
  <c r="O77" i="1"/>
  <c r="N77" i="1"/>
  <c r="M77" i="1"/>
  <c r="H77" i="1"/>
  <c r="J77" i="1"/>
  <c r="I77" i="1"/>
  <c r="D77" i="1"/>
  <c r="F77" i="1"/>
  <c r="E77" i="1"/>
  <c r="A77" i="1"/>
  <c r="AD76" i="1"/>
  <c r="AF76" i="1"/>
  <c r="AI76" i="1"/>
  <c r="AG76" i="1"/>
  <c r="AE76" i="1"/>
  <c r="X76" i="1"/>
  <c r="V76" i="1"/>
  <c r="T76" i="1"/>
  <c r="Q76" i="1"/>
  <c r="P76" i="1"/>
  <c r="O76" i="1"/>
  <c r="N76" i="1"/>
  <c r="M76" i="1"/>
  <c r="H76" i="1"/>
  <c r="J76" i="1"/>
  <c r="I76" i="1"/>
  <c r="D76" i="1"/>
  <c r="F76" i="1"/>
  <c r="E76" i="1"/>
  <c r="A76" i="1"/>
  <c r="AD75" i="1"/>
  <c r="AF75" i="1"/>
  <c r="AI75" i="1"/>
  <c r="AG75" i="1"/>
  <c r="AE75" i="1"/>
  <c r="X75" i="1"/>
  <c r="V75" i="1"/>
  <c r="T75" i="1"/>
  <c r="Q75" i="1"/>
  <c r="P75" i="1"/>
  <c r="O75" i="1"/>
  <c r="N75" i="1"/>
  <c r="M75" i="1"/>
  <c r="H75" i="1"/>
  <c r="J75" i="1"/>
  <c r="I75" i="1"/>
  <c r="D75" i="1"/>
  <c r="F75" i="1"/>
  <c r="E75" i="1"/>
  <c r="A75" i="1"/>
  <c r="AD74" i="1"/>
  <c r="AF74" i="1"/>
  <c r="AI74" i="1"/>
  <c r="AG74" i="1"/>
  <c r="AE74" i="1"/>
  <c r="X74" i="1"/>
  <c r="V74" i="1"/>
  <c r="T74" i="1"/>
  <c r="Q74" i="1"/>
  <c r="P74" i="1"/>
  <c r="O74" i="1"/>
  <c r="N74" i="1"/>
  <c r="M74" i="1"/>
  <c r="H74" i="1"/>
  <c r="J74" i="1"/>
  <c r="I74" i="1"/>
  <c r="D74" i="1"/>
  <c r="F74" i="1"/>
  <c r="E74" i="1"/>
  <c r="A74" i="1"/>
  <c r="AD73" i="1"/>
  <c r="AF73" i="1"/>
  <c r="AI73" i="1"/>
  <c r="AG73" i="1"/>
  <c r="AE73" i="1"/>
  <c r="X73" i="1"/>
  <c r="V73" i="1"/>
  <c r="T73" i="1"/>
  <c r="Q73" i="1"/>
  <c r="P73" i="1"/>
  <c r="O73" i="1"/>
  <c r="N73" i="1"/>
  <c r="M73" i="1"/>
  <c r="H73" i="1"/>
  <c r="J73" i="1"/>
  <c r="I73" i="1"/>
  <c r="D73" i="1"/>
  <c r="F73" i="1"/>
  <c r="E73" i="1"/>
  <c r="A73" i="1"/>
  <c r="AD72" i="1"/>
  <c r="AF72" i="1"/>
  <c r="AI72" i="1"/>
  <c r="AG72" i="1"/>
  <c r="AE72" i="1"/>
  <c r="X72" i="1"/>
  <c r="V72" i="1"/>
  <c r="T72" i="1"/>
  <c r="Q72" i="1"/>
  <c r="P72" i="1"/>
  <c r="O72" i="1"/>
  <c r="N72" i="1"/>
  <c r="M72" i="1"/>
  <c r="H72" i="1"/>
  <c r="J72" i="1"/>
  <c r="I72" i="1"/>
  <c r="D72" i="1"/>
  <c r="F72" i="1"/>
  <c r="E72" i="1"/>
  <c r="A72" i="1"/>
  <c r="AD71" i="1"/>
  <c r="AF71" i="1"/>
  <c r="AI71" i="1"/>
  <c r="AG71" i="1"/>
  <c r="AE71" i="1"/>
  <c r="X71" i="1"/>
  <c r="V71" i="1"/>
  <c r="T71" i="1"/>
  <c r="Q71" i="1"/>
  <c r="P71" i="1"/>
  <c r="O71" i="1"/>
  <c r="N71" i="1"/>
  <c r="M71" i="1"/>
  <c r="H71" i="1"/>
  <c r="J71" i="1"/>
  <c r="I71" i="1"/>
  <c r="D71" i="1"/>
  <c r="F71" i="1"/>
  <c r="E71" i="1"/>
  <c r="A71" i="1"/>
  <c r="AD70" i="1"/>
  <c r="AF70" i="1"/>
  <c r="AI70" i="1"/>
  <c r="AG70" i="1"/>
  <c r="AE70" i="1"/>
  <c r="X70" i="1"/>
  <c r="V70" i="1"/>
  <c r="T70" i="1"/>
  <c r="Q70" i="1"/>
  <c r="P70" i="1"/>
  <c r="O70" i="1"/>
  <c r="N70" i="1"/>
  <c r="M70" i="1"/>
  <c r="H70" i="1"/>
  <c r="J70" i="1"/>
  <c r="I70" i="1"/>
  <c r="D70" i="1"/>
  <c r="F70" i="1"/>
  <c r="E70" i="1"/>
  <c r="A70" i="1"/>
  <c r="AD69" i="1"/>
  <c r="AF69" i="1"/>
  <c r="AI69" i="1"/>
  <c r="AG69" i="1"/>
  <c r="AE69" i="1"/>
  <c r="X69" i="1"/>
  <c r="V69" i="1"/>
  <c r="T69" i="1"/>
  <c r="Q69" i="1"/>
  <c r="P69" i="1"/>
  <c r="O69" i="1"/>
  <c r="N69" i="1"/>
  <c r="M69" i="1"/>
  <c r="H69" i="1"/>
  <c r="J69" i="1"/>
  <c r="I69" i="1"/>
  <c r="D69" i="1"/>
  <c r="F69" i="1"/>
  <c r="E69" i="1"/>
  <c r="A69" i="1"/>
  <c r="AD68" i="1"/>
  <c r="AF68" i="1"/>
  <c r="AI68" i="1"/>
  <c r="AG68" i="1"/>
  <c r="AE68" i="1"/>
  <c r="X68" i="1"/>
  <c r="V68" i="1"/>
  <c r="T68" i="1"/>
  <c r="Q68" i="1"/>
  <c r="P68" i="1"/>
  <c r="O68" i="1"/>
  <c r="N68" i="1"/>
  <c r="M68" i="1"/>
  <c r="H68" i="1"/>
  <c r="J68" i="1"/>
  <c r="I68" i="1"/>
  <c r="D68" i="1"/>
  <c r="F68" i="1"/>
  <c r="E68" i="1"/>
  <c r="A68" i="1"/>
  <c r="AD67" i="1"/>
  <c r="AF67" i="1"/>
  <c r="AI67" i="1"/>
  <c r="AG67" i="1"/>
  <c r="AE67" i="1"/>
  <c r="X67" i="1"/>
  <c r="V67" i="1"/>
  <c r="T67" i="1"/>
  <c r="Q67" i="1"/>
  <c r="P67" i="1"/>
  <c r="O67" i="1"/>
  <c r="N67" i="1"/>
  <c r="M67" i="1"/>
  <c r="H67" i="1"/>
  <c r="J67" i="1"/>
  <c r="I67" i="1"/>
  <c r="D67" i="1"/>
  <c r="F67" i="1"/>
  <c r="E67" i="1"/>
  <c r="A67" i="1"/>
  <c r="AD66" i="1"/>
  <c r="AF66" i="1"/>
  <c r="AI66" i="1"/>
  <c r="AG66" i="1"/>
  <c r="AE66" i="1"/>
  <c r="X66" i="1"/>
  <c r="V66" i="1"/>
  <c r="T66" i="1"/>
  <c r="Q66" i="1"/>
  <c r="P66" i="1"/>
  <c r="O66" i="1"/>
  <c r="N66" i="1"/>
  <c r="M66" i="1"/>
  <c r="H66" i="1"/>
  <c r="J66" i="1"/>
  <c r="I66" i="1"/>
  <c r="D66" i="1"/>
  <c r="F66" i="1"/>
  <c r="E66" i="1"/>
  <c r="A66" i="1"/>
  <c r="AD65" i="1"/>
  <c r="AF65" i="1"/>
  <c r="AI65" i="1"/>
  <c r="AG65" i="1"/>
  <c r="AE65" i="1"/>
  <c r="X65" i="1"/>
  <c r="V65" i="1"/>
  <c r="T65" i="1"/>
  <c r="Q65" i="1"/>
  <c r="P65" i="1"/>
  <c r="O65" i="1"/>
  <c r="N65" i="1"/>
  <c r="M65" i="1"/>
  <c r="H65" i="1"/>
  <c r="J65" i="1"/>
  <c r="I65" i="1"/>
  <c r="D65" i="1"/>
  <c r="F65" i="1"/>
  <c r="E65" i="1"/>
  <c r="A65" i="1"/>
  <c r="AD64" i="1"/>
  <c r="AF64" i="1"/>
  <c r="AI64" i="1"/>
  <c r="AG64" i="1"/>
  <c r="AE64" i="1"/>
  <c r="X64" i="1"/>
  <c r="V64" i="1"/>
  <c r="T64" i="1"/>
  <c r="Q64" i="1"/>
  <c r="P64" i="1"/>
  <c r="O64" i="1"/>
  <c r="N64" i="1"/>
  <c r="M64" i="1"/>
  <c r="H64" i="1"/>
  <c r="J64" i="1"/>
  <c r="I64" i="1"/>
  <c r="D64" i="1"/>
  <c r="F64" i="1"/>
  <c r="E64" i="1"/>
  <c r="A64" i="1"/>
  <c r="AD63" i="1"/>
  <c r="AF63" i="1"/>
  <c r="AI63" i="1"/>
  <c r="AG63" i="1"/>
  <c r="AE63" i="1"/>
  <c r="X63" i="1"/>
  <c r="V63" i="1"/>
  <c r="T63" i="1"/>
  <c r="Q63" i="1"/>
  <c r="P63" i="1"/>
  <c r="O63" i="1"/>
  <c r="N63" i="1"/>
  <c r="M63" i="1"/>
  <c r="H63" i="1"/>
  <c r="J63" i="1"/>
  <c r="I63" i="1"/>
  <c r="D63" i="1"/>
  <c r="F63" i="1"/>
  <c r="E63" i="1"/>
  <c r="A63" i="1"/>
  <c r="AD62" i="1"/>
  <c r="AF62" i="1"/>
  <c r="AI62" i="1"/>
  <c r="AG62" i="1"/>
  <c r="AE62" i="1"/>
  <c r="X62" i="1"/>
  <c r="V62" i="1"/>
  <c r="T62" i="1"/>
  <c r="Q62" i="1"/>
  <c r="P62" i="1"/>
  <c r="O62" i="1"/>
  <c r="N62" i="1"/>
  <c r="M62" i="1"/>
  <c r="H62" i="1"/>
  <c r="J62" i="1"/>
  <c r="I62" i="1"/>
  <c r="D62" i="1"/>
  <c r="F62" i="1"/>
  <c r="E62" i="1"/>
  <c r="A62" i="1"/>
  <c r="AD61" i="1"/>
  <c r="AF61" i="1"/>
  <c r="AI61" i="1"/>
  <c r="AG61" i="1"/>
  <c r="AE61" i="1"/>
  <c r="X61" i="1"/>
  <c r="V61" i="1"/>
  <c r="T61" i="1"/>
  <c r="Q61" i="1"/>
  <c r="P61" i="1"/>
  <c r="O61" i="1"/>
  <c r="N61" i="1"/>
  <c r="M61" i="1"/>
  <c r="H61" i="1"/>
  <c r="J61" i="1"/>
  <c r="I61" i="1"/>
  <c r="D61" i="1"/>
  <c r="F61" i="1"/>
  <c r="E61" i="1"/>
  <c r="A61" i="1"/>
  <c r="AD60" i="1"/>
  <c r="AF60" i="1"/>
  <c r="AI60" i="1"/>
  <c r="AG60" i="1"/>
  <c r="AE60" i="1"/>
  <c r="X60" i="1"/>
  <c r="V60" i="1"/>
  <c r="T60" i="1"/>
  <c r="Q60" i="1"/>
  <c r="P60" i="1"/>
  <c r="O60" i="1"/>
  <c r="N60" i="1"/>
  <c r="M60" i="1"/>
  <c r="H60" i="1"/>
  <c r="J60" i="1"/>
  <c r="I60" i="1"/>
  <c r="D60" i="1"/>
  <c r="F60" i="1"/>
  <c r="E60" i="1"/>
  <c r="A60" i="1"/>
  <c r="AD59" i="1"/>
  <c r="AF59" i="1"/>
  <c r="AI59" i="1"/>
  <c r="AG59" i="1"/>
  <c r="AE59" i="1"/>
  <c r="X59" i="1"/>
  <c r="V59" i="1"/>
  <c r="T59" i="1"/>
  <c r="Q59" i="1"/>
  <c r="P59" i="1"/>
  <c r="O59" i="1"/>
  <c r="N59" i="1"/>
  <c r="M59" i="1"/>
  <c r="H59" i="1"/>
  <c r="J59" i="1"/>
  <c r="I59" i="1"/>
  <c r="D59" i="1"/>
  <c r="F59" i="1"/>
  <c r="E59" i="1"/>
  <c r="A59" i="1"/>
  <c r="AD58" i="1"/>
  <c r="AF58" i="1"/>
  <c r="AI58" i="1"/>
  <c r="AG58" i="1"/>
  <c r="AE58" i="1"/>
  <c r="X58" i="1"/>
  <c r="V58" i="1"/>
  <c r="T58" i="1"/>
  <c r="Q58" i="1"/>
  <c r="P58" i="1"/>
  <c r="O58" i="1"/>
  <c r="N58" i="1"/>
  <c r="M58" i="1"/>
  <c r="H58" i="1"/>
  <c r="J58" i="1"/>
  <c r="I58" i="1"/>
  <c r="D58" i="1"/>
  <c r="F58" i="1"/>
  <c r="E58" i="1"/>
  <c r="A58" i="1"/>
  <c r="AD57" i="1"/>
  <c r="AF57" i="1"/>
  <c r="AI57" i="1"/>
  <c r="AG57" i="1"/>
  <c r="AE57" i="1"/>
  <c r="X57" i="1"/>
  <c r="V57" i="1"/>
  <c r="T57" i="1"/>
  <c r="Q57" i="1"/>
  <c r="P57" i="1"/>
  <c r="O57" i="1"/>
  <c r="N57" i="1"/>
  <c r="M57" i="1"/>
  <c r="H57" i="1"/>
  <c r="J57" i="1"/>
  <c r="I57" i="1"/>
  <c r="D57" i="1"/>
  <c r="F57" i="1"/>
  <c r="E57" i="1"/>
  <c r="A57" i="1"/>
  <c r="AD56" i="1"/>
  <c r="AF56" i="1"/>
  <c r="AI56" i="1"/>
  <c r="AG56" i="1"/>
  <c r="AE56" i="1"/>
  <c r="X56" i="1"/>
  <c r="V56" i="1"/>
  <c r="T56" i="1"/>
  <c r="Q56" i="1"/>
  <c r="P56" i="1"/>
  <c r="O56" i="1"/>
  <c r="N56" i="1"/>
  <c r="M56" i="1"/>
  <c r="H56" i="1"/>
  <c r="J56" i="1"/>
  <c r="I56" i="1"/>
  <c r="D56" i="1"/>
  <c r="F56" i="1"/>
  <c r="E56" i="1"/>
  <c r="A56" i="1"/>
  <c r="AD55" i="1"/>
  <c r="AF55" i="1"/>
  <c r="AI55" i="1"/>
  <c r="AG55" i="1"/>
  <c r="AE55" i="1"/>
  <c r="X55" i="1"/>
  <c r="V55" i="1"/>
  <c r="T55" i="1"/>
  <c r="Q55" i="1"/>
  <c r="P55" i="1"/>
  <c r="O55" i="1"/>
  <c r="N55" i="1"/>
  <c r="M55" i="1"/>
  <c r="H55" i="1"/>
  <c r="J55" i="1"/>
  <c r="I55" i="1"/>
  <c r="D55" i="1"/>
  <c r="F55" i="1"/>
  <c r="E55" i="1"/>
  <c r="A55" i="1"/>
  <c r="AD54" i="1"/>
  <c r="AF54" i="1"/>
  <c r="AI54" i="1"/>
  <c r="AG54" i="1"/>
  <c r="AE54" i="1"/>
  <c r="X54" i="1"/>
  <c r="V54" i="1"/>
  <c r="T54" i="1"/>
  <c r="Q54" i="1"/>
  <c r="P54" i="1"/>
  <c r="O54" i="1"/>
  <c r="N54" i="1"/>
  <c r="M54" i="1"/>
  <c r="H54" i="1"/>
  <c r="J54" i="1"/>
  <c r="I54" i="1"/>
  <c r="D54" i="1"/>
  <c r="F54" i="1"/>
  <c r="E54" i="1"/>
  <c r="A54" i="1"/>
  <c r="AD53" i="1"/>
  <c r="AF53" i="1"/>
  <c r="AI53" i="1"/>
  <c r="AG53" i="1"/>
  <c r="AE53" i="1"/>
  <c r="X53" i="1"/>
  <c r="V53" i="1"/>
  <c r="T53" i="1"/>
  <c r="Q53" i="1"/>
  <c r="P53" i="1"/>
  <c r="O53" i="1"/>
  <c r="N53" i="1"/>
  <c r="M53" i="1"/>
  <c r="H53" i="1"/>
  <c r="J53" i="1"/>
  <c r="I53" i="1"/>
  <c r="D53" i="1"/>
  <c r="F53" i="1"/>
  <c r="E53" i="1"/>
  <c r="A53" i="1"/>
  <c r="AD52" i="1"/>
  <c r="AF52" i="1"/>
  <c r="AI52" i="1"/>
  <c r="AG52" i="1"/>
  <c r="AE52" i="1"/>
  <c r="X52" i="1"/>
  <c r="V52" i="1"/>
  <c r="T52" i="1"/>
  <c r="Q52" i="1"/>
  <c r="P52" i="1"/>
  <c r="O52" i="1"/>
  <c r="N52" i="1"/>
  <c r="M52" i="1"/>
  <c r="H52" i="1"/>
  <c r="J52" i="1"/>
  <c r="I52" i="1"/>
  <c r="D52" i="1"/>
  <c r="F52" i="1"/>
  <c r="E52" i="1"/>
  <c r="A52" i="1"/>
  <c r="AD51" i="1"/>
  <c r="AF51" i="1"/>
  <c r="AI51" i="1"/>
  <c r="AG51" i="1"/>
  <c r="AE51" i="1"/>
  <c r="X51" i="1"/>
  <c r="V51" i="1"/>
  <c r="T51" i="1"/>
  <c r="Q51" i="1"/>
  <c r="P51" i="1"/>
  <c r="O51" i="1"/>
  <c r="N51" i="1"/>
  <c r="M51" i="1"/>
  <c r="H51" i="1"/>
  <c r="J51" i="1"/>
  <c r="I51" i="1"/>
  <c r="D51" i="1"/>
  <c r="F51" i="1"/>
  <c r="E51" i="1"/>
  <c r="A51" i="1"/>
  <c r="AD50" i="1"/>
  <c r="AF50" i="1"/>
  <c r="AI50" i="1"/>
  <c r="AG50" i="1"/>
  <c r="AE50" i="1"/>
  <c r="X50" i="1"/>
  <c r="V50" i="1"/>
  <c r="T50" i="1"/>
  <c r="Q50" i="1"/>
  <c r="P50" i="1"/>
  <c r="O50" i="1"/>
  <c r="N50" i="1"/>
  <c r="M50" i="1"/>
  <c r="H50" i="1"/>
  <c r="J50" i="1"/>
  <c r="I50" i="1"/>
  <c r="D50" i="1"/>
  <c r="F50" i="1"/>
  <c r="E50" i="1"/>
  <c r="A50" i="1"/>
  <c r="AD49" i="1"/>
  <c r="AF49" i="1"/>
  <c r="AI49" i="1"/>
  <c r="AG49" i="1"/>
  <c r="AE49" i="1"/>
  <c r="X49" i="1"/>
  <c r="V49" i="1"/>
  <c r="T49" i="1"/>
  <c r="Q49" i="1"/>
  <c r="P49" i="1"/>
  <c r="O49" i="1"/>
  <c r="N49" i="1"/>
  <c r="M49" i="1"/>
  <c r="H49" i="1"/>
  <c r="J49" i="1"/>
  <c r="I49" i="1"/>
  <c r="D49" i="1"/>
  <c r="F49" i="1"/>
  <c r="E49" i="1"/>
  <c r="A49" i="1"/>
  <c r="AD48" i="1"/>
  <c r="AF48" i="1"/>
  <c r="AI48" i="1"/>
  <c r="AG48" i="1"/>
  <c r="AE48" i="1"/>
  <c r="X48" i="1"/>
  <c r="V48" i="1"/>
  <c r="T48" i="1"/>
  <c r="Q48" i="1"/>
  <c r="P48" i="1"/>
  <c r="O48" i="1"/>
  <c r="N48" i="1"/>
  <c r="M48" i="1"/>
  <c r="H48" i="1"/>
  <c r="J48" i="1"/>
  <c r="I48" i="1"/>
  <c r="D48" i="1"/>
  <c r="F48" i="1"/>
  <c r="E48" i="1"/>
  <c r="A48" i="1"/>
  <c r="AD47" i="1"/>
  <c r="AF47" i="1"/>
  <c r="AI47" i="1"/>
  <c r="AG47" i="1"/>
  <c r="AE47" i="1"/>
  <c r="X47" i="1"/>
  <c r="V47" i="1"/>
  <c r="T47" i="1"/>
  <c r="Q47" i="1"/>
  <c r="P47" i="1"/>
  <c r="O47" i="1"/>
  <c r="N47" i="1"/>
  <c r="M47" i="1"/>
  <c r="H47" i="1"/>
  <c r="J47" i="1"/>
  <c r="I47" i="1"/>
  <c r="D47" i="1"/>
  <c r="F47" i="1"/>
  <c r="E47" i="1"/>
  <c r="A47" i="1"/>
  <c r="AD46" i="1"/>
  <c r="AF46" i="1"/>
  <c r="AI46" i="1"/>
  <c r="AG46" i="1"/>
  <c r="AE46" i="1"/>
  <c r="X46" i="1"/>
  <c r="V46" i="1"/>
  <c r="T46" i="1"/>
  <c r="Q46" i="1"/>
  <c r="P46" i="1"/>
  <c r="O46" i="1"/>
  <c r="N46" i="1"/>
  <c r="M46" i="1"/>
  <c r="H46" i="1"/>
  <c r="J46" i="1"/>
  <c r="I46" i="1"/>
  <c r="D46" i="1"/>
  <c r="F46" i="1"/>
  <c r="E46" i="1"/>
  <c r="A46" i="1"/>
  <c r="AD45" i="1"/>
  <c r="AF45" i="1"/>
  <c r="AI45" i="1"/>
  <c r="AG45" i="1"/>
  <c r="AE45" i="1"/>
  <c r="X45" i="1"/>
  <c r="V45" i="1"/>
  <c r="T45" i="1"/>
  <c r="Q45" i="1"/>
  <c r="P45" i="1"/>
  <c r="O45" i="1"/>
  <c r="N45" i="1"/>
  <c r="M45" i="1"/>
  <c r="H45" i="1"/>
  <c r="J45" i="1"/>
  <c r="I45" i="1"/>
  <c r="D45" i="1"/>
  <c r="F45" i="1"/>
  <c r="E45" i="1"/>
  <c r="A45" i="1"/>
  <c r="AD44" i="1"/>
  <c r="AF44" i="1"/>
  <c r="AI44" i="1"/>
  <c r="AG44" i="1"/>
  <c r="AE44" i="1"/>
  <c r="X44" i="1"/>
  <c r="V44" i="1"/>
  <c r="T44" i="1"/>
  <c r="Q44" i="1"/>
  <c r="P44" i="1"/>
  <c r="O44" i="1"/>
  <c r="N44" i="1"/>
  <c r="M44" i="1"/>
  <c r="H44" i="1"/>
  <c r="J44" i="1"/>
  <c r="I44" i="1"/>
  <c r="D44" i="1"/>
  <c r="F44" i="1"/>
  <c r="E44" i="1"/>
  <c r="A44" i="1"/>
  <c r="AD43" i="1"/>
  <c r="AF43" i="1"/>
  <c r="AI43" i="1"/>
  <c r="AG43" i="1"/>
  <c r="AE43" i="1"/>
  <c r="X43" i="1"/>
  <c r="V43" i="1"/>
  <c r="T43" i="1"/>
  <c r="Q43" i="1"/>
  <c r="P43" i="1"/>
  <c r="O43" i="1"/>
  <c r="N43" i="1"/>
  <c r="M43" i="1"/>
  <c r="H43" i="1"/>
  <c r="J43" i="1"/>
  <c r="I43" i="1"/>
  <c r="D43" i="1"/>
  <c r="F43" i="1"/>
  <c r="E43" i="1"/>
  <c r="A43" i="1"/>
  <c r="AD42" i="1"/>
  <c r="AF42" i="1"/>
  <c r="AI42" i="1"/>
  <c r="AG42" i="1"/>
  <c r="AE42" i="1"/>
  <c r="X42" i="1"/>
  <c r="V42" i="1"/>
  <c r="T42" i="1"/>
  <c r="Q42" i="1"/>
  <c r="P42" i="1"/>
  <c r="O42" i="1"/>
  <c r="N42" i="1"/>
  <c r="M42" i="1"/>
  <c r="H42" i="1"/>
  <c r="J42" i="1"/>
  <c r="I42" i="1"/>
  <c r="D42" i="1"/>
  <c r="F42" i="1"/>
  <c r="E42" i="1"/>
  <c r="A42" i="1"/>
  <c r="AD41" i="1"/>
  <c r="AF41" i="1"/>
  <c r="AI41" i="1"/>
  <c r="AG41" i="1"/>
  <c r="AE41" i="1"/>
  <c r="X41" i="1"/>
  <c r="V41" i="1"/>
  <c r="T41" i="1"/>
  <c r="Q41" i="1"/>
  <c r="P41" i="1"/>
  <c r="O41" i="1"/>
  <c r="N41" i="1"/>
  <c r="M41" i="1"/>
  <c r="H41" i="1"/>
  <c r="J41" i="1"/>
  <c r="I41" i="1"/>
  <c r="D41" i="1"/>
  <c r="F41" i="1"/>
  <c r="E41" i="1"/>
  <c r="A41" i="1"/>
  <c r="AD40" i="1"/>
  <c r="AF40" i="1"/>
  <c r="AI40" i="1"/>
  <c r="AG40" i="1"/>
  <c r="AE40" i="1"/>
  <c r="X40" i="1"/>
  <c r="V40" i="1"/>
  <c r="T40" i="1"/>
  <c r="Q40" i="1"/>
  <c r="P40" i="1"/>
  <c r="O40" i="1"/>
  <c r="N40" i="1"/>
  <c r="M40" i="1"/>
  <c r="H40" i="1"/>
  <c r="J40" i="1"/>
  <c r="I40" i="1"/>
  <c r="D40" i="1"/>
  <c r="F40" i="1"/>
  <c r="E40" i="1"/>
  <c r="A40" i="1"/>
  <c r="AD39" i="1"/>
  <c r="AF39" i="1"/>
  <c r="AI39" i="1"/>
  <c r="AG39" i="1"/>
  <c r="AE39" i="1"/>
  <c r="X39" i="1"/>
  <c r="V39" i="1"/>
  <c r="T39" i="1"/>
  <c r="Q39" i="1"/>
  <c r="P39" i="1"/>
  <c r="O39" i="1"/>
  <c r="N39" i="1"/>
  <c r="M39" i="1"/>
  <c r="H39" i="1"/>
  <c r="J39" i="1"/>
  <c r="I39" i="1"/>
  <c r="D39" i="1"/>
  <c r="F39" i="1"/>
  <c r="E39" i="1"/>
  <c r="A39" i="1"/>
  <c r="AD38" i="1"/>
  <c r="AF38" i="1"/>
  <c r="AI38" i="1"/>
  <c r="AG38" i="1"/>
  <c r="AE38" i="1"/>
  <c r="X38" i="1"/>
  <c r="V38" i="1"/>
  <c r="T38" i="1"/>
  <c r="Q38" i="1"/>
  <c r="P38" i="1"/>
  <c r="O38" i="1"/>
  <c r="N38" i="1"/>
  <c r="M38" i="1"/>
  <c r="H38" i="1"/>
  <c r="J38" i="1"/>
  <c r="I38" i="1"/>
  <c r="D38" i="1"/>
  <c r="F38" i="1"/>
  <c r="E38" i="1"/>
  <c r="A38" i="1"/>
  <c r="AD37" i="1"/>
  <c r="AF37" i="1"/>
  <c r="AI37" i="1"/>
  <c r="AG37" i="1"/>
  <c r="AE37" i="1"/>
  <c r="X37" i="1"/>
  <c r="V37" i="1"/>
  <c r="T37" i="1"/>
  <c r="Q37" i="1"/>
  <c r="P37" i="1"/>
  <c r="O37" i="1"/>
  <c r="N37" i="1"/>
  <c r="M37" i="1"/>
  <c r="H37" i="1"/>
  <c r="J37" i="1"/>
  <c r="I37" i="1"/>
  <c r="D37" i="1"/>
  <c r="F37" i="1"/>
  <c r="E37" i="1"/>
  <c r="A37" i="1"/>
  <c r="AD36" i="1"/>
  <c r="AF36" i="1"/>
  <c r="AI36" i="1"/>
  <c r="AG36" i="1"/>
  <c r="AE36" i="1"/>
  <c r="X36" i="1"/>
  <c r="V36" i="1"/>
  <c r="T36" i="1"/>
  <c r="Q36" i="1"/>
  <c r="P36" i="1"/>
  <c r="O36" i="1"/>
  <c r="N36" i="1"/>
  <c r="M36" i="1"/>
  <c r="H36" i="1"/>
  <c r="J36" i="1"/>
  <c r="I36" i="1"/>
  <c r="D36" i="1"/>
  <c r="F36" i="1"/>
  <c r="E36" i="1"/>
  <c r="A36" i="1"/>
  <c r="AD35" i="1"/>
  <c r="AF35" i="1"/>
  <c r="AI35" i="1"/>
  <c r="AG35" i="1"/>
  <c r="AE35" i="1"/>
  <c r="X35" i="1"/>
  <c r="V35" i="1"/>
  <c r="T35" i="1"/>
  <c r="Q35" i="1"/>
  <c r="P35" i="1"/>
  <c r="O35" i="1"/>
  <c r="N35" i="1"/>
  <c r="M35" i="1"/>
  <c r="H35" i="1"/>
  <c r="J35" i="1"/>
  <c r="I35" i="1"/>
  <c r="D35" i="1"/>
  <c r="F35" i="1"/>
  <c r="E35" i="1"/>
  <c r="A35" i="1"/>
  <c r="AD34" i="1"/>
  <c r="AF34" i="1"/>
  <c r="AI34" i="1"/>
  <c r="AG34" i="1"/>
  <c r="AE34" i="1"/>
  <c r="X34" i="1"/>
  <c r="V34" i="1"/>
  <c r="T34" i="1"/>
  <c r="Q34" i="1"/>
  <c r="P34" i="1"/>
  <c r="O34" i="1"/>
  <c r="N34" i="1"/>
  <c r="M34" i="1"/>
  <c r="H34" i="1"/>
  <c r="J34" i="1"/>
  <c r="I34" i="1"/>
  <c r="D34" i="1"/>
  <c r="F34" i="1"/>
  <c r="E34" i="1"/>
  <c r="A34" i="1"/>
  <c r="AD33" i="1"/>
  <c r="AF33" i="1"/>
  <c r="AI33" i="1"/>
  <c r="AG33" i="1"/>
  <c r="AE33" i="1"/>
  <c r="X33" i="1"/>
  <c r="V33" i="1"/>
  <c r="T33" i="1"/>
  <c r="Q33" i="1"/>
  <c r="P33" i="1"/>
  <c r="O33" i="1"/>
  <c r="N33" i="1"/>
  <c r="M33" i="1"/>
  <c r="H33" i="1"/>
  <c r="J33" i="1"/>
  <c r="I33" i="1"/>
  <c r="D33" i="1"/>
  <c r="F33" i="1"/>
  <c r="E33" i="1"/>
  <c r="A33" i="1"/>
  <c r="AD32" i="1"/>
  <c r="AF32" i="1"/>
  <c r="AI32" i="1"/>
  <c r="AG32" i="1"/>
  <c r="AE32" i="1"/>
  <c r="X32" i="1"/>
  <c r="V32" i="1"/>
  <c r="T32" i="1"/>
  <c r="Q32" i="1"/>
  <c r="P32" i="1"/>
  <c r="O32" i="1"/>
  <c r="N32" i="1"/>
  <c r="M32" i="1"/>
  <c r="H32" i="1"/>
  <c r="J32" i="1"/>
  <c r="I32" i="1"/>
  <c r="D32" i="1"/>
  <c r="F32" i="1"/>
  <c r="E32" i="1"/>
  <c r="A32" i="1"/>
  <c r="AD31" i="1"/>
  <c r="AF31" i="1"/>
  <c r="AI31" i="1"/>
  <c r="AG31" i="1"/>
  <c r="AE31" i="1"/>
  <c r="X31" i="1"/>
  <c r="V31" i="1"/>
  <c r="T31" i="1"/>
  <c r="Q31" i="1"/>
  <c r="P31" i="1"/>
  <c r="O31" i="1"/>
  <c r="N31" i="1"/>
  <c r="M31" i="1"/>
  <c r="H31" i="1"/>
  <c r="J31" i="1"/>
  <c r="I31" i="1"/>
  <c r="D31" i="1"/>
  <c r="F31" i="1"/>
  <c r="E31" i="1"/>
  <c r="A31" i="1"/>
  <c r="AD30" i="1"/>
  <c r="AF30" i="1"/>
  <c r="AI30" i="1"/>
  <c r="AG30" i="1"/>
  <c r="AE30" i="1"/>
  <c r="X30" i="1"/>
  <c r="V30" i="1"/>
  <c r="T30" i="1"/>
  <c r="Q30" i="1"/>
  <c r="P30" i="1"/>
  <c r="O30" i="1"/>
  <c r="N30" i="1"/>
  <c r="M30" i="1"/>
  <c r="H30" i="1"/>
  <c r="J30" i="1"/>
  <c r="I30" i="1"/>
  <c r="D30" i="1"/>
  <c r="F30" i="1"/>
  <c r="E30" i="1"/>
  <c r="A30" i="1"/>
  <c r="AD29" i="1"/>
  <c r="AF29" i="1"/>
  <c r="AI29" i="1"/>
  <c r="AG29" i="1"/>
  <c r="AE29" i="1"/>
  <c r="X29" i="1"/>
  <c r="V29" i="1"/>
  <c r="T29" i="1"/>
  <c r="Q29" i="1"/>
  <c r="P29" i="1"/>
  <c r="O29" i="1"/>
  <c r="N29" i="1"/>
  <c r="M29" i="1"/>
  <c r="H29" i="1"/>
  <c r="J29" i="1"/>
  <c r="I29" i="1"/>
  <c r="D29" i="1"/>
  <c r="F29" i="1"/>
  <c r="E29" i="1"/>
  <c r="A29" i="1"/>
  <c r="AD28" i="1"/>
  <c r="AF28" i="1"/>
  <c r="AI28" i="1"/>
  <c r="AG28" i="1"/>
  <c r="AE28" i="1"/>
  <c r="X28" i="1"/>
  <c r="V28" i="1"/>
  <c r="T28" i="1"/>
  <c r="Q28" i="1"/>
  <c r="P28" i="1"/>
  <c r="O28" i="1"/>
  <c r="N28" i="1"/>
  <c r="M28" i="1"/>
  <c r="H28" i="1"/>
  <c r="J28" i="1"/>
  <c r="I28" i="1"/>
  <c r="D28" i="1"/>
  <c r="F28" i="1"/>
  <c r="E28" i="1"/>
  <c r="A28" i="1"/>
  <c r="AD27" i="1"/>
  <c r="AF27" i="1"/>
  <c r="AI27" i="1"/>
  <c r="AG27" i="1"/>
  <c r="AE27" i="1"/>
  <c r="X27" i="1"/>
  <c r="V27" i="1"/>
  <c r="T27" i="1"/>
  <c r="Q27" i="1"/>
  <c r="P27" i="1"/>
  <c r="O27" i="1"/>
  <c r="N27" i="1"/>
  <c r="M27" i="1"/>
  <c r="H27" i="1"/>
  <c r="J27" i="1"/>
  <c r="I27" i="1"/>
  <c r="D27" i="1"/>
  <c r="F27" i="1"/>
  <c r="E27" i="1"/>
  <c r="A27" i="1"/>
  <c r="AD26" i="1"/>
  <c r="AF26" i="1"/>
  <c r="AI26" i="1"/>
  <c r="AG26" i="1"/>
  <c r="AE26" i="1"/>
  <c r="X26" i="1"/>
  <c r="V26" i="1"/>
  <c r="T26" i="1"/>
  <c r="Q26" i="1"/>
  <c r="P26" i="1"/>
  <c r="O26" i="1"/>
  <c r="N26" i="1"/>
  <c r="M26" i="1"/>
  <c r="H26" i="1"/>
  <c r="J26" i="1"/>
  <c r="I26" i="1"/>
  <c r="D26" i="1"/>
  <c r="F26" i="1"/>
  <c r="E26" i="1"/>
  <c r="A26" i="1"/>
  <c r="AD25" i="1"/>
  <c r="AF25" i="1"/>
  <c r="AI25" i="1"/>
  <c r="AG25" i="1"/>
  <c r="AE25" i="1"/>
  <c r="X25" i="1"/>
  <c r="V25" i="1"/>
  <c r="T25" i="1"/>
  <c r="Q25" i="1"/>
  <c r="P25" i="1"/>
  <c r="O25" i="1"/>
  <c r="N25" i="1"/>
  <c r="M25" i="1"/>
  <c r="H25" i="1"/>
  <c r="J25" i="1"/>
  <c r="I25" i="1"/>
  <c r="D25" i="1"/>
  <c r="F25" i="1"/>
  <c r="E25" i="1"/>
  <c r="A25" i="1"/>
  <c r="AD24" i="1"/>
  <c r="AF24" i="1"/>
  <c r="AI24" i="1"/>
  <c r="AG24" i="1"/>
  <c r="AE24" i="1"/>
  <c r="X24" i="1"/>
  <c r="V24" i="1"/>
  <c r="T24" i="1"/>
  <c r="Q24" i="1"/>
  <c r="P24" i="1"/>
  <c r="O24" i="1"/>
  <c r="N24" i="1"/>
  <c r="M24" i="1"/>
  <c r="H24" i="1"/>
  <c r="J24" i="1"/>
  <c r="I24" i="1"/>
  <c r="D24" i="1"/>
  <c r="F24" i="1"/>
  <c r="E24" i="1"/>
  <c r="A24" i="1"/>
  <c r="AD23" i="1"/>
  <c r="AF23" i="1"/>
  <c r="AI23" i="1"/>
  <c r="AG23" i="1"/>
  <c r="AE23" i="1"/>
  <c r="X23" i="1"/>
  <c r="V23" i="1"/>
  <c r="T23" i="1"/>
  <c r="Q23" i="1"/>
  <c r="P23" i="1"/>
  <c r="O23" i="1"/>
  <c r="N23" i="1"/>
  <c r="M23" i="1"/>
  <c r="H23" i="1"/>
  <c r="J23" i="1"/>
  <c r="I23" i="1"/>
  <c r="D23" i="1"/>
  <c r="F23" i="1"/>
  <c r="E23" i="1"/>
  <c r="A23" i="1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H21" i="2"/>
  <c r="E21" i="2"/>
  <c r="D2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76" i="9"/>
  <c r="N76" i="9"/>
  <c r="M76" i="9"/>
  <c r="L76" i="9"/>
  <c r="K76" i="9"/>
  <c r="J76" i="9"/>
  <c r="I76" i="9"/>
  <c r="H76" i="9"/>
  <c r="G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47" i="9"/>
  <c r="N47" i="9"/>
  <c r="M47" i="9"/>
  <c r="L47" i="9"/>
  <c r="K47" i="9"/>
  <c r="J47" i="9"/>
  <c r="I47" i="9"/>
  <c r="H47" i="9"/>
  <c r="G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20" i="9"/>
  <c r="N20" i="9"/>
  <c r="M20" i="9"/>
  <c r="L20" i="9"/>
  <c r="K20" i="9"/>
  <c r="J20" i="9"/>
  <c r="I20" i="9"/>
  <c r="H20" i="9"/>
  <c r="G20" i="9"/>
  <c r="D20" i="9"/>
  <c r="A20" i="9"/>
  <c r="O19" i="9"/>
  <c r="N19" i="9"/>
  <c r="M19" i="9"/>
  <c r="L19" i="9"/>
  <c r="K19" i="9"/>
  <c r="J19" i="9"/>
  <c r="I19" i="9"/>
  <c r="H19" i="9"/>
  <c r="G19" i="9"/>
  <c r="D19" i="9"/>
  <c r="A19" i="9"/>
  <c r="O18" i="9"/>
  <c r="N18" i="9"/>
  <c r="M18" i="9"/>
  <c r="L18" i="9"/>
  <c r="K18" i="9"/>
  <c r="J18" i="9"/>
  <c r="I18" i="9"/>
  <c r="H18" i="9"/>
  <c r="G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Y4" i="7"/>
  <c r="W4" i="7"/>
  <c r="U4" i="7"/>
  <c r="R4" i="7"/>
  <c r="Q4" i="7"/>
  <c r="P4" i="7"/>
  <c r="O4" i="7"/>
  <c r="N4" i="7"/>
  <c r="D4" i="7"/>
  <c r="F4" i="7"/>
  <c r="E4" i="7"/>
  <c r="A4" i="7"/>
  <c r="Y3" i="7"/>
  <c r="W3" i="7"/>
  <c r="U3" i="7"/>
  <c r="R3" i="7"/>
  <c r="Q3" i="7"/>
  <c r="P3" i="7"/>
  <c r="O3" i="7"/>
  <c r="N3" i="7"/>
  <c r="D3" i="7"/>
  <c r="F3" i="7"/>
  <c r="E3" i="7"/>
  <c r="A3" i="7"/>
  <c r="AD21" i="1"/>
  <c r="AF21" i="1"/>
  <c r="AI21" i="1"/>
  <c r="AG21" i="1"/>
  <c r="AE21" i="1"/>
  <c r="X21" i="1"/>
  <c r="V21" i="1"/>
  <c r="T21" i="1"/>
  <c r="Q21" i="1"/>
  <c r="P21" i="1"/>
  <c r="O21" i="1"/>
  <c r="N21" i="1"/>
  <c r="M21" i="1"/>
  <c r="J21" i="1"/>
  <c r="I21" i="1"/>
  <c r="D21" i="1"/>
  <c r="F21" i="1"/>
  <c r="E21" i="1"/>
  <c r="A21" i="1"/>
  <c r="A20" i="1"/>
  <c r="D20" i="1"/>
  <c r="E20" i="1"/>
  <c r="F20" i="1"/>
  <c r="I20" i="1"/>
  <c r="J20" i="1"/>
  <c r="M20" i="1"/>
  <c r="N20" i="1"/>
  <c r="O20" i="1"/>
  <c r="P20" i="1"/>
  <c r="Q20" i="1"/>
  <c r="T20" i="1"/>
  <c r="V20" i="1"/>
  <c r="X20" i="1"/>
  <c r="AD20" i="1"/>
  <c r="AE20" i="1"/>
  <c r="AF20" i="1"/>
  <c r="AG20" i="1"/>
  <c r="AI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H5" i="2"/>
  <c r="E5" i="2"/>
  <c r="D5" i="2"/>
  <c r="B5" i="2"/>
  <c r="H4" i="2"/>
  <c r="E4" i="2"/>
  <c r="D4" i="2"/>
  <c r="B4" i="2"/>
  <c r="H3" i="2"/>
  <c r="E3" i="2"/>
  <c r="D3" i="2"/>
  <c r="B3" i="2"/>
  <c r="Y2" i="7"/>
  <c r="X2" i="1"/>
  <c r="W2" i="7"/>
  <c r="U2" i="7"/>
  <c r="V3" i="1"/>
  <c r="V2" i="1"/>
  <c r="T3" i="1"/>
  <c r="T2" i="1"/>
  <c r="E13" i="16"/>
  <c r="I5" i="21"/>
  <c r="J5" i="21"/>
  <c r="G5" i="21"/>
  <c r="F5" i="21"/>
  <c r="D5" i="21"/>
  <c r="C5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30" i="10"/>
  <c r="T30" i="10"/>
  <c r="V30" i="10"/>
  <c r="N30" i="10"/>
  <c r="P30" i="10"/>
  <c r="G30" i="10"/>
  <c r="I30" i="10"/>
  <c r="X30" i="10"/>
  <c r="W30" i="10"/>
  <c r="U30" i="10"/>
  <c r="Y30" i="10"/>
  <c r="R30" i="10"/>
  <c r="Q30" i="10"/>
  <c r="O30" i="10"/>
  <c r="S30" i="10"/>
  <c r="K30" i="10"/>
  <c r="J30" i="10"/>
  <c r="H30" i="10"/>
  <c r="L30" i="10"/>
  <c r="AI2" i="1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<sst xmlns="http://schemas.openxmlformats.org/spreadsheetml/2006/main" count="1982" uniqueCount="493">
  <si>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</si>
  <si>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</si>
  <si>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</si>
  <si>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</si>
  <si>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</si>
  <si>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</si>
  <si>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</si>
  <si>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</si>
  <si>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</si>
  <si>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</si>
  <si>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</si>
  <si>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</si>
  <si>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</si>
  <si>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</si>
  <si>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</si>
  <si>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</si>
  <si>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</si>
  <si>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</si>
  <si>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</si>
  <si>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</si>
  <si>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</si>
  <si>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</si>
  <si>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</si>
  <si>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</si>
  <si>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</si>
  <si>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</si>
  <si>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</si>
  <si>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</si>
  <si>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</si>
  <si>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</si>
  <si>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</si>
  <si>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</si>
  <si>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</si>
  <si>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</si>
  <si>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</si>
  <si>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</si>
  <si>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</si>
  <si>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</si>
  <si>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</si>
  <si>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</si>
  <si>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</si>
  <si>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</si>
  <si>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</si>
  <si>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</si>
  <si>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</si>
  <si>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</si>
  <si>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</si>
  <si>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</si>
  <si>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</si>
  <si>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</si>
  <si>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</si>
  <si>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</si>
  <si>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</si>
  <si>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</si>
  <si>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</si>
  <si>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</si>
  <si>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</si>
  <si>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</si>
  <si>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</si>
  <si>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</si>
  <si>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</si>
  <si>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</si>
  <si>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</si>
  <si>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</si>
  <si>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</si>
  <si>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</si>
  <si>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</si>
  <si>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</si>
  <si>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</si>
  <si>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</si>
  <si>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</si>
  <si>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</si>
  <si>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</si>
  <si>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</si>
  <si>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</si>
  <si>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</si>
  <si>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</si>
  <si>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</si>
  <si>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</si>
  <si>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</si>
  <si>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</si>
  <si>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</si>
  <si>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</si>
  <si>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</si>
  <si>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</si>
  <si>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</si>
  <si>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</si>
  <si>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</si>
  <si>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</si>
  <si>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</si>
  <si>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</si>
  <si>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</si>
  <si>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</si>
  <si>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</si>
  <si>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</si>
  <si>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</si>
  <si>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</si>
  <si>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</si>
  <si>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</si>
  <si>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</si>
  <si>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</si>
  <si>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</si>
  <si>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</si>
  <si>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</si>
  <si>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</si>
  <si>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</si>
  <si>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</si>
  <si>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</si>
  <si>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</si>
  <si>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</si>
  <si>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</si>
  <si>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</si>
  <si>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</si>
  <si>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</si>
  <si>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</si>
  <si>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</si>
  <si>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</si>
  <si>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</si>
  <si>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</si>
  <si>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</si>
  <si>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</si>
  <si>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</si>
  <si>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</si>
  <si>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</si>
  <si>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</si>
  <si>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</si>
  <si>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</si>
  <si>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</si>
  <si>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</si>
  <si>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</si>
  <si>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</si>
  <si>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</si>
  <si>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</si>
  <si>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</si>
  <si>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</si>
  <si>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</si>
  <si>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</si>
  <si>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</si>
  <si>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</si>
  <si>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</si>
  <si>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</si>
  <si>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</si>
  <si>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</si>
  <si>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</si>
  <si>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</si>
  <si>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</si>
  <si>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</si>
  <si>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</si>
  <si>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</si>
  <si>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</si>
  <si>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</si>
  <si>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</si>
  <si>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</si>
  <si>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</si>
  <si>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</si>
  <si>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</si>
  <si>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</si>
  <si>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</si>
  <si>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</si>
  <si>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</si>
  <si>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</si>
  <si>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</si>
  <si>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</si>
  <si>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</si>
  <si>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</si>
  <si>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</si>
  <si>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</si>
  <si>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</si>
  <si>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</si>
  <si>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</si>
  <si>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</si>
  <si>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</si>
  <si>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</si>
  <si>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</si>
  <si>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</si>
  <si>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</si>
  <si>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</si>
  <si>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</si>
  <si>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</si>
  <si>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</si>
  <si>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</si>
  <si>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</si>
  <si>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</si>
  <si>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</si>
  <si>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</si>
  <si>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</si>
  <si>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</si>
  <si>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</si>
  <si>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</si>
  <si>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</si>
  <si>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</si>
  <si>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</si>
  <si>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</si>
  <si>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</si>
  <si>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</si>
  <si>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</si>
  <si>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</si>
  <si>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</si>
  <si>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</si>
  <si>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</si>
  <si>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</si>
  <si>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</si>
  <si>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</si>
  <si>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</si>
  <si>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</si>
  <si>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</si>
  <si>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</si>
  <si>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</si>
  <si>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</si>
  <si>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</si>
  <si>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</si>
  <si>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</si>
  <si>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</si>
  <si>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</si>
  <si>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</si>
  <si>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</si>
  <si>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</si>
  <si>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</si>
  <si>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</si>
  <si>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</si>
  <si>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</si>
  <si>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</si>
  <si>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</si>
  <si>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</si>
  <si>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</si>
  <si>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</si>
  <si>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</si>
  <si>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</si>
  <si>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</si>
  <si>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</si>
  <si>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</si>
  <si>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</si>
  <si>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</si>
  <si>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</si>
  <si>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</si>
  <si>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</si>
  <si>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</si>
  <si>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</si>
  <si>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</si>
  <si>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</si>
  <si>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</si>
  <si>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</si>
  <si>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</si>
  <si>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</si>
  <si>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</si>
  <si>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</si>
  <si>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</si>
  <si>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</si>
  <si>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</si>
  <si>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</si>
  <si>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</si>
  <si>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</si>
  <si>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[effect:rush, count:3, val:0.44]</t>
    <phoneticPr fontId="5"/>
  </si>
  <si>
    <t>[effect:damage_gravity, val:0.3, animation:fevergauge_down]</t>
    <phoneticPr fontId="5"/>
  </si>
  <si>
    <t>[effect:spread, val:0.33]</t>
    <phoneticPr fontId="5"/>
  </si>
  <si>
    <t>[effect:critical, val:1.3, animation:enemy_critical]</t>
    <phoneticPr fontId="5"/>
  </si>
  <si>
    <t>old</t>
    <phoneticPr fontId="5"/>
  </si>
  <si>
    <t>old</t>
  </si>
  <si>
    <t>3ターン防御力UP</t>
  </si>
  <si>
    <t>3ターン防御力UP</t>
    <phoneticPr fontId="5"/>
  </si>
  <si>
    <t>3回連続攻撃</t>
    <phoneticPr fontId="5"/>
  </si>
  <si>
    <t>自己回復+全体攻撃</t>
    <rPh sb="5" eb="9">
      <t>ゼンタイコウゲキ</t>
    </rPh>
    <phoneticPr fontId="5"/>
  </si>
  <si>
    <t>3ターン攻撃力UP</t>
    <rPh sb="4" eb="6">
      <t>コウゲキ</t>
    </rPh>
    <phoneticPr fontId="5"/>
  </si>
  <si>
    <t>自己回復</t>
    <rPh sb="0" eb="4">
      <t>ジコカイフク</t>
    </rPh>
    <phoneticPr fontId="5"/>
  </si>
  <si>
    <t>3ターン攻撃頻度UP</t>
    <rPh sb="4" eb="8">
      <t>コウゲキヒンド</t>
    </rPh>
    <phoneticPr fontId="5"/>
  </si>
  <si>
    <t>自己回復+2回連続攻撃</t>
    <rPh sb="6" eb="11">
      <t>カイレンゾクコウゲキ</t>
    </rPh>
    <phoneticPr fontId="5"/>
  </si>
  <si>
    <t>緑パネルを緑のダメージパネルに8個変換</t>
    <rPh sb="0" eb="1">
      <t>ミドリ</t>
    </rPh>
    <rPh sb="5" eb="6">
      <t>ミドリノ</t>
    </rPh>
    <phoneticPr fontId="5"/>
  </si>
  <si>
    <t>全体攻撃</t>
    <rPh sb="0" eb="4">
      <t>ゼンタイコウゲキ</t>
    </rPh>
    <phoneticPr fontId="5"/>
  </si>
  <si>
    <t>3ターン攻撃力UP+2回連続攻撃</t>
    <rPh sb="4" eb="6">
      <t>コウゲキ</t>
    </rPh>
    <rPh sb="11" eb="16">
      <t>カイレンゾク</t>
    </rPh>
    <phoneticPr fontId="5"/>
  </si>
  <si>
    <t>クリティカル！</t>
    <phoneticPr fontId="5"/>
  </si>
  <si>
    <t>状態異常耐性</t>
    <rPh sb="0" eb="6">
      <t xml:space="preserve">[effect:tolerance, target:myself, turn:-1, count:-1, tolerance_effect:all, animation:enemy_tolerance]				</t>
    </rPh>
    <phoneticPr fontId="5"/>
  </si>
  <si>
    <t>ハートパネルプロテクト(最大5個)+2回連続攻撃</t>
    <rPh sb="19" eb="24">
      <t>カイレンゾク</t>
    </rPh>
    <phoneticPr fontId="5"/>
  </si>
  <si>
    <t>5ターン防御力UP+4回連続攻撃</t>
    <rPh sb="11" eb="16">
      <t>カイレンゾクコウゲキ</t>
    </rPh>
    <phoneticPr fontId="5"/>
  </si>
  <si>
    <t>null</t>
  </si>
  <si>
    <t>link</t>
  </si>
  <si>
    <t>unit</t>
  </si>
  <si>
    <t>link</t>
    <phoneticPr fontId="5"/>
  </si>
  <si>
    <t>オリオンシュート</t>
  </si>
  <si>
    <t>アストロパワー</t>
  </si>
  <si>
    <t>こずみっくチャージ</t>
  </si>
  <si>
    <t>こずみっくシールド</t>
  </si>
  <si>
    <t>こずみっくメロディ</t>
  </si>
  <si>
    <t>こずみっくアクセル</t>
  </si>
  <si>
    <t>ハッピー！</t>
    <phoneticPr fontId="5"/>
  </si>
  <si>
    <t>きらきら流星群☆</t>
  </si>
  <si>
    <t>クリティカル！+
残りHPが少ないほど威力UP</t>
    <phoneticPr fontId="5"/>
  </si>
  <si>
    <t>種族を複数持つユニットに大ダメージの全体攻撃</t>
    <rPh sb="3" eb="5">
      <t>フクスウ</t>
    </rPh>
    <rPh sb="5" eb="6">
      <t>モツ</t>
    </rPh>
    <rPh sb="18" eb="22">
      <t>ゼンタイコウゲキ</t>
    </rPh>
    <phoneticPr fontId="5"/>
  </si>
  <si>
    <t>雪ミクちゃんだぁ♪
会えて嬉しいな☆</t>
    <phoneticPr fontId="5"/>
  </si>
  <si>
    <t>ミクちゃん♪
一緒に天体観測しよっ☆</t>
    <phoneticPr fontId="5"/>
  </si>
  <si>
    <t>ルカさん♪
一緒に願い星さがそっ☆</t>
    <phoneticPr fontId="5"/>
  </si>
  <si>
    <t>KAITOさーん！
アイスの星座つくろっ☆</t>
    <phoneticPr fontId="5"/>
  </si>
  <si>
    <t>かわいい衣装だぁ♪
楽しんでいってね☆</t>
    <phoneticPr fontId="5"/>
  </si>
  <si>
    <t>みんな来てくれてありがとう☆
またね♪</t>
    <phoneticPr fontId="5"/>
  </si>
  <si>
    <t>雪まつりへようこそ♪</t>
    <phoneticPr fontId="5"/>
  </si>
  <si>
    <t>3ターン防御力UP</t>
    <phoneticPr fontId="5"/>
  </si>
  <si>
    <t>こずみっくチャージ</t>
    <phoneticPr fontId="5"/>
  </si>
  <si>
    <t>星の輝きのように強く♪</t>
    <phoneticPr fontId="5"/>
  </si>
  <si>
    <t>残りHPの30%ダメージ！</t>
    <phoneticPr fontId="5"/>
  </si>
  <si>
    <t>パワフルな願い星をどうぞ☆</t>
    <phoneticPr fontId="5"/>
  </si>
  <si>
    <t>神秘的な光芒を見て…☆</t>
    <phoneticPr fontId="5"/>
  </si>
  <si>
    <t>ツインスターシュート</t>
    <phoneticPr fontId="5"/>
  </si>
  <si>
    <t>お星様にお願いしよっ♪</t>
    <phoneticPr fontId="5"/>
  </si>
  <si>
    <t>きらきら流星群をどうぞ☆</t>
    <phoneticPr fontId="5"/>
  </si>
  <si>
    <t>クリティカル！+
残りHPが少ないほど威力UP</t>
    <phoneticPr fontId="5"/>
  </si>
  <si>
    <t>スターダスト・ファンタジア</t>
    <phoneticPr fontId="5"/>
  </si>
  <si>
    <t>スターライト・ファンタジア</t>
    <phoneticPr fontId="5"/>
  </si>
  <si>
    <t>ハーフムーン・ファンタジア</t>
    <phoneticPr fontId="5"/>
  </si>
  <si>
    <t>もうすぐ夜が明けるよ…♪</t>
    <phoneticPr fontId="5"/>
  </si>
  <si>
    <t>星の加護がありますように…☆</t>
    <phoneticPr fontId="5"/>
  </si>
  <si>
    <t>守護星の瞬きをどうぞ☆</t>
    <phoneticPr fontId="5"/>
  </si>
  <si>
    <t>ばいばい…
またあなたに会えますように☆</t>
    <phoneticPr fontId="5"/>
  </si>
  <si>
    <t>こんにちわ♪</t>
    <phoneticPr fontId="5"/>
  </si>
  <si>
    <t>3ターン回復効果付与</t>
    <phoneticPr fontId="5"/>
  </si>
  <si>
    <t>[effect:fix_speed, target:myself, turn:2],[effect:regenerate, turn:3, val:0.1, type:hp_ratio, animation:heal01],[effect:suicide, target:myself, val:1, dead_type:escape]</t>
    <phoneticPr fontId="5"/>
  </si>
  <si>
    <t>39009_5</t>
  </si>
  <si>
    <t>S17</t>
  </si>
  <si>
    <t>【超絶級】S17</t>
  </si>
  <si>
    <t>39009_5-2</t>
  </si>
  <si>
    <t>39009_5-4</t>
  </si>
  <si>
    <t>[effect:fix_speed, target:myself, turn:2]</t>
  </si>
  <si>
    <t>自分自身に / 行動値設定</t>
  </si>
  <si>
    <t>[effect:enhance_enemy, target:enemy_all, turn:3, status:defense, val:1080, calc:add, animation:enemy_enhance_defense]</t>
  </si>
  <si>
    <t>敵全体に / ステータス強化</t>
  </si>
  <si>
    <t>none</t>
  </si>
  <si>
    <t>- / -</t>
  </si>
  <si>
    <t>[effect:enhance_enemy, target:enemy_all, turn:3, status:defense, val:1440, calc:add, animation:enemy_enhance_defense]</t>
  </si>
  <si>
    <t>[effect:force_change_block, new_block:damage, target:block_green, ignore01:crash, ignore02:crack_bomb, ignore03:time_bomb, ignore04:jammer, ignore05:damage, color:block_green, count:8, val:0.038, animation:change_block]</t>
  </si>
  <si>
    <t>[effect:enemy_message, val1:1, val2:2.6]</t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</si>
  <si>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val:1440, calc:add]</t>
  </si>
  <si>
    <t>[effect:fix_speed, target:myself, turn:1]</t>
  </si>
  <si>
    <t>[effect:tolerance, target:myself, turn:-1, count:-1, tolerance_effect:all, animation:enemy_tolerance],[effect:change_panel_ratio, turn:1, block_type:heal, val:0.6, animation:block_incidence04],[effect:enhance_unit, target:unit_all, turn:1, status:defense, val:1440, calc:add]</t>
  </si>
  <si>
    <t>自分自身に / 状態異常耐性</t>
  </si>
  <si>
    <t>[effect:enemy_message, val1:1, val2:2]</t>
  </si>
  <si>
    <t>[effect:panel_freeze, target:block_heart, count:5],[effect:rush, count:2, val:0.25]</t>
  </si>
  <si>
    <t>[effect:panel_freeze, target:block_heart, count:5]</t>
  </si>
  <si>
    <t>ハートパネルを / -</t>
  </si>
  <si>
    <t>[effect:rush, count:2, val:0.25]</t>
  </si>
  <si>
    <t>- / 連続攻撃</t>
  </si>
  <si>
    <t>[effect:enhance_enemy, target:enemy_all, turn:5, status:defense, val:1080, calc:add, animation:enemy_enhance_defense]</t>
  </si>
  <si>
    <t>[effect:rush, count:4, val:0.33]</t>
  </si>
  <si>
    <t>緑パネルを緑のダメージパネルに4個変換</t>
    <rPh sb="0" eb="1">
      <t>ミドリ</t>
    </rPh>
    <rPh sb="5" eb="6">
      <t>ミドリノ</t>
    </rPh>
    <phoneticPr fontId="5"/>
  </si>
  <si>
    <t>ハートパネルプロテクト(最大3個)+2回連続攻撃</t>
    <rPh sb="19" eb="24">
      <t>カイレンゾク</t>
    </rPh>
    <phoneticPr fontId="5"/>
  </si>
  <si>
    <t>緑パネルを緑のダメージパネルに2個変換</t>
    <rPh sb="0" eb="1">
      <t>ミドリ</t>
    </rPh>
    <rPh sb="5" eb="6">
      <t>ミドリノ</t>
    </rPh>
    <phoneticPr fontId="5"/>
  </si>
  <si>
    <t>フロア2の雪ミク2017の1ゲージ目は
複数の種族を持つユニットに対しての
キラー攻撃を行います
パーティ編成に注意しましょう</t>
    <phoneticPr fontId="5"/>
  </si>
  <si>
    <t>フロア2の雪ミク2017は
HPが50%以下になると確率で
自身に対して色々なスキルを
使用するようになります</t>
    <phoneticPr fontId="5"/>
  </si>
  <si>
    <t>フロア4の雪ミク2017の1ゲージ目は
HPが50%以下になると3ターンの間
自身の攻撃力をUPするスキルを使用します</t>
    <phoneticPr fontId="5"/>
  </si>
  <si>
    <t>フロア4の雪ミク2017の2ゲージ目は
HPが50%以下になると3ターンの間
ハートパネルのドロップ率と味方全体の
回復力をDOWNさせるスキルを使用します</t>
    <phoneticPr fontId="5"/>
  </si>
  <si>
    <t>フロア4の雪ミク2017の3ゲージ目は
複数の種族を持つユニットに対しての
キラー攻撃を行います
パーティ編成に注意しましょう</t>
    <phoneticPr fontId="5"/>
  </si>
  <si>
    <t>こずみっくシールド</t>
    <phoneticPr fontId="5"/>
  </si>
  <si>
    <t>きらきら流星群☆</t>
    <phoneticPr fontId="5"/>
  </si>
  <si>
    <t>トゥインクルノーツ</t>
    <phoneticPr fontId="5"/>
  </si>
  <si>
    <t>こずみっくメロディ</t>
    <phoneticPr fontId="5"/>
  </si>
  <si>
    <t>こずみっくアクセル</t>
    <phoneticPr fontId="5"/>
  </si>
  <si>
    <t>オリオンシュート</t>
    <phoneticPr fontId="5"/>
  </si>
  <si>
    <t>シャイニーメテオ</t>
    <phoneticPr fontId="5"/>
  </si>
  <si>
    <t>ユキネちゃん、いらっしゃい☆</t>
    <phoneticPr fontId="5"/>
  </si>
  <si>
    <t>リンちゃん、一緒に星座つくろっ☆</t>
    <phoneticPr fontId="5"/>
  </si>
  <si>
    <t>レンくん、一緒に流れ星さがそっ☆</t>
    <phoneticPr fontId="5"/>
  </si>
  <si>
    <t>MEIKOさん、素敵な夜にしようねっ☆</t>
    <phoneticPr fontId="5"/>
  </si>
  <si>
    <t>メテオシャワー</t>
    <phoneticPr fontId="5"/>
  </si>
  <si>
    <t>フルムーン・ファンタジア</t>
    <phoneticPr fontId="5"/>
  </si>
  <si>
    <t>ゆっくり楽しもうね♪</t>
    <phoneticPr fontId="5"/>
  </si>
  <si>
    <t>シャイニーポラリス</t>
    <phoneticPr fontId="5"/>
  </si>
  <si>
    <t>雪ミク</t>
    <phoneticPr fontId="5"/>
  </si>
  <si>
    <t>幸せを運ぶウィルス</t>
    <phoneticPr fontId="5"/>
  </si>
  <si>
    <t>雪ミクが届ける幸せな音色に誘われて
とあるウィルスも顔を見せるようです
アナタはもう出会えましたか？</t>
    <phoneticPr fontId="5"/>
  </si>
  <si>
    <t>雪まつり</t>
    <phoneticPr fontId="5"/>
  </si>
  <si>
    <t>今年の雪まつりイベントでは
星空を見ながらコンサートを楽しめるため
癒やしを求めるアバターに人気だそうです</t>
    <phoneticPr fontId="5"/>
  </si>
  <si>
    <t>参照用コード</t>
    <rPh sb="0" eb="3">
      <t>サンショウヨウ</t>
    </rPh>
    <phoneticPr fontId="5"/>
  </si>
  <si>
    <t>[effect:fix_speed, target:myself, turn:2],[effect:force_change_block, new_block:damage, target:block_green, ignore01:crash, ignore02:crack_bomb, ignore03:time_bomb, ignore04:jammer, ignore05:damage, color:block_green, count:2, val:0.038, animation:change_block]</t>
    <phoneticPr fontId="5"/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</si>
  <si>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val:200, calc:add]</t>
    <phoneticPr fontId="5"/>
  </si>
  <si>
    <t>[effect:panel_freeze, target:block_heart, count:3],[effect:rush, count:2, val:0.25]</t>
    <phoneticPr fontId="5"/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</si>
  <si>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val:350, calc:add]</t>
    <phoneticPr fontId="5"/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</si>
  <si>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val:700, calc:add]</t>
    <phoneticPr fontId="5"/>
  </si>
  <si>
    <t>[effect:fix_speed, target:myself, turn:2],[effect:force_change_block, new_block:damage, target:block_green, ignore01:crash, ignore02:crack_bomb, ignore03:time_bomb, ignore04:jammer, ignore05:damage, color:block_green, count:4, val:0.038, animation:change_block]</t>
    <phoneticPr fontId="5"/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</si>
  <si>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val:1000, calc:add]</t>
    <phoneticPr fontId="5"/>
  </si>
  <si>
    <t>[effect:panel_freeze, target:block_heart, count:5],[effect:rush, count:2, val:0.25]</t>
    <phoneticPr fontId="5"/>
  </si>
  <si>
    <t>[effect:fix_speed, target:myself, turn:2]</t>
    <phoneticPr fontId="5"/>
  </si>
  <si>
    <t>[effect:fix_speed, target:myself, turn:2],[effect:force_change_block, new_block:damage, target:block_green, ignore01:crash, ignore02:crack_bomb, ignore03:time_bomb, ignore04:jammer, ignore05:damage, color:block_green, count:8, val:0.038, animation:change_block]</t>
    <phoneticPr fontId="5"/>
  </si>
  <si>
    <t>[effect:degrade_unit, target:unit_all, turn:3, status:heal, val:0.5, calc:mul, animation:degrade_unit_all_heal]</t>
    <phoneticPr fontId="5"/>
  </si>
  <si>
    <t>[effect:fix_speed, target:myself, turn:2],[effect:enhance_unit, target:unit_all, turn:1, status:attack, val:0.3, calc:mul],[effect:change_panel_ratio, turn:1, block_type:heal, val:0.6, animation:block_incidence04]</t>
    <phoneticPr fontId="5"/>
  </si>
  <si>
    <t>[effect:critical, val:1.2, animation:enemy_critical]</t>
    <phoneticPr fontId="5"/>
  </si>
  <si>
    <t>[effect:critical, val:1.4, animation:enemy_critical]</t>
    <phoneticPr fontId="5"/>
  </si>
  <si>
    <t>[effect:critical, val:1.6, animation:enemy_critical]</t>
    <phoneticPr fontId="5"/>
  </si>
  <si>
    <t>[effect:critical, val:1.8, animation:enemy_critical]</t>
    <phoneticPr fontId="5"/>
  </si>
  <si>
    <t>[effect:change_panel_ratio, turn:3, block_type:heal, val:0.05],[effect:degrade_unit, target:unit_all, turn:3, status:heal, val:0.5, calc:mul, animation:degrade_unit_all_heal]</t>
    <phoneticPr fontId="5"/>
  </si>
  <si>
    <t>[effect:fix_speed, target:myself, turn:1],[effect:tolerance, target:myself, turn:-1, count:-1, tolerance_effect:all, animation:enemy_tolerance]</t>
    <phoneticPr fontId="5"/>
  </si>
  <si>
    <t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val:1440, calc:add]</t>
    <phoneticPr fontId="5"/>
  </si>
  <si>
    <t>[表示しない]</t>
    <phoneticPr fontId="5"/>
  </si>
  <si>
    <t>状態異常耐性+1ターン全ユニットの防御力UP+
ハートパネルドロップ率UP</t>
    <rPh sb="0" eb="6">
      <t xml:space="preserve">[effect:tolerance, target:myself, turn:-1, count:-1, tolerance_effect:all, animation:enemy_tolerance]				</t>
    </rPh>
    <rPh sb="11" eb="12">
      <t>ゼンユニット</t>
    </rPh>
    <rPh sb="17" eb="19">
      <t>ボウギョ</t>
    </rPh>
    <phoneticPr fontId="5"/>
  </si>
  <si>
    <t>状態異常耐性+1ターン全ユニットの防御力UP+
ハートパネルドロップ率UP</t>
    <rPh sb="0" eb="6">
      <t xml:space="preserve">[effect:tolerance, target:myself, turn:-1, count:-1, tolerance_effect:all, animation:enemy_tolerance]				</t>
    </rPh>
    <rPh sb="17" eb="19">
      <t>ボウギョ</t>
    </rPh>
    <phoneticPr fontId="5"/>
  </si>
  <si>
    <t>3ターン全ユニットの回復力50%DOWN</t>
    <rPh sb="10" eb="12">
      <t>カイフク</t>
    </rPh>
    <phoneticPr fontId="5"/>
  </si>
  <si>
    <t>1ターン全ユニットの攻撃力UP+
ハートパネルドロップ率UP</t>
    <phoneticPr fontId="5"/>
  </si>
  <si>
    <t>3ターン全ユニットの回復力50%DOWN+
ハートパネルドロップ率DOWN</t>
    <phoneticPr fontId="5"/>
  </si>
  <si>
    <t>[effect:heal, target:myself, val:0.2, animation:enemy_heal],[effect:spread, val:0.25]</t>
    <phoneticPr fontId="5"/>
  </si>
  <si>
    <t>[effect:enhance_enemy, target:myself, turn:3, status:attack, val:0.3, calc:mul, animation:enemy_enhance_attack]</t>
  </si>
  <si>
    <t>[effect:enhance_enemy, target:myself, turn:3, status:attack, val:0.3, calc:mul, animation:enemy_enhance_attack]</t>
    <phoneticPr fontId="5"/>
  </si>
  <si>
    <t>[effect:enhance_enemy, target:myself, turn:3, status:defense, val:1440, calc:add, animation:enemy_enhance_defense]</t>
  </si>
  <si>
    <t>[effect:enhance_enemy, target:myself, turn:3, status:defense, val:1440, calc:add, animation:enemy_enhance_defense]</t>
    <phoneticPr fontId="5"/>
  </si>
  <si>
    <t>[effect:freq_turn, target:myself, turn:3, val:1, animation:enemy_freq_turn]</t>
  </si>
  <si>
    <t>[effect:freq_turn, target:myself, turn:3, val:1, animation:enemy_freq_turn]</t>
    <phoneticPr fontId="5"/>
  </si>
  <si>
    <t>[effect:heal, target:myself, val:0.3, animation:enemy_heal]</t>
  </si>
  <si>
    <t>[effect:heal, target:myself, val:0.3, animation:enemy_heal]</t>
    <phoneticPr fontId="5"/>
  </si>
  <si>
    <t>[effect:fix_speed, target:myself, turn:2],[effect:enhance_enemy, target:myself, turn:3, status:defense, val:150, calc:add, animation:enemy_enhance_defense]</t>
    <phoneticPr fontId="5"/>
  </si>
  <si>
    <t>[effect:enhance_enemy, target:myself, turn:3, status:defense, val:200, calc:add, animation:enemy_enhance_defense]</t>
    <phoneticPr fontId="5"/>
  </si>
  <si>
    <t>[effect:enhance_enemy, target:myself, turn:3, status:defense, val:200, calc:add, animation:enemy_enhance_defense]</t>
    <phoneticPr fontId="5"/>
  </si>
  <si>
    <t>[effect:enhance_enemy, target:myself, turn:5, status:defense, val:150, calc:add, animation:enemy_enhance_defense],[effect:rush, count:4, val:0.33]</t>
  </si>
  <si>
    <t>[effect:fix_speed, target:myself, turn:2],[effect:enhance_enemy, target:myself, turn:3, status:defense, val:250, calc:add, animation:enemy_enhance_defense]</t>
  </si>
  <si>
    <t>[effect:enhance_enemy, target:myself, turn:3, status:defense, val:350, calc:add, animation:enemy_enhance_defense]</t>
  </si>
  <si>
    <t>[effect:enhance_enemy, target:myself, turn:5, status:defense, val:250, calc:add, animation:enemy_enhance_defense],[effect:rush, count:4, val:0.33]</t>
  </si>
  <si>
    <t>[effect:fix_speed, target:myself, turn:2],[effect:enhance_enemy, target:myself, turn:3, status:defense, val:500, calc:add, animation:enemy_enhance_defense]</t>
  </si>
  <si>
    <t>[effect:enhance_enemy, target:myself, turn:3, status:defense, val:700, calc:add, animation:enemy_enhance_defense]</t>
  </si>
  <si>
    <t>[effect:enhance_enemy, target:myself, turn:5, status:defense, val:500, calc:add, animation:enemy_enhance_defense],[effect:rush, count:4, val:0.33]</t>
  </si>
  <si>
    <t>[effect:fix_speed, target:myself, turn:2],[effect:enhance_enemy, target:myself, turn:3, status:defense, val:700, calc:add, animation:enemy_enhance_defense]</t>
  </si>
  <si>
    <t>[effect:enhance_enemy, target:myself, turn:3, status:defense, val:1000, calc:add, animation:enemy_enhance_defense]</t>
  </si>
  <si>
    <t>[effect:enhance_enemy, target:myself, turn:5, status:defense, val:700, calc:add, animation:enemy_enhance_defense],[effect:rush, count:4, val:0.33]</t>
  </si>
  <si>
    <t>[effect:fix_speed, target:myself, turn:2],[effect:enhance_enemy, target:myself, turn:3, status:attack, val:0.1, calc:mul, animation:enemy_enhance_attack]</t>
  </si>
  <si>
    <t>[effect:heal, target:myself, val:0.2, animation:enemy_heal],[effect:rush, count:2, val:0.35]</t>
  </si>
  <si>
    <t>[effect:enhance_enemy, target:myself, turn:3, status:attack, val:0.3, calc:mul, animation:enemy_enhance_attack],[effect:rush, count:2, val:0.35]</t>
  </si>
  <si>
    <t>[effect:enhance_enemy, target:myself, turn:5, status:defense, val:1080, calc:add, animation:enemy_enhance_defense],[effect:rush, count:4, val:0.33]</t>
  </si>
  <si>
    <t>everyone</t>
    <phoneticPr fontId="5"/>
  </si>
  <si>
    <t>clear</t>
    <phoneticPr fontId="5"/>
  </si>
  <si>
    <t>2016-5-27 0:00:00</t>
    <phoneticPr fontId="5"/>
  </si>
  <si>
    <t>2970-01-01 09:00:00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</si>
  <si>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</si>
  <si>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</si>
  <si>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</si>
  <si>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</si>
  <si>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full_member</t>
    <phoneticPr fontId="5"/>
  </si>
  <si>
    <t>unit</t>
    <phoneticPr fontId="5"/>
  </si>
  <si>
    <t>[effect:enemy_message, val1:1.2, val2:1.2],[effect:fix_speed, target:myself, turn:2],[effect:enhance_enemy, target:myself, turn:3, status:defense, val:150, calc:add, animation:enemy_enhance_defense]</t>
  </si>
  <si>
    <t>[effect:enemy_message, val1:1.2, val2:1.2],[effect:enhance_enemy, target:myself, turn:3, status:defense, val:200, calc:add, animation:enemy_enhance_defense]</t>
  </si>
  <si>
    <t>[effect:enemy_message, val1:1.3, val2:1.9],[effect:fix_speed, target:myself, turn:2],[effect:force_change_block, new_block:damage, target:block_green, ignore01:crash, ignore02:crack_bomb, ignore03:time_bomb, ignore04:jammer, ignore05:damage, color:block_green, count:2, val:0.038, animation:change_block]</t>
  </si>
  <si>
    <t>[effect:enemy_message, val1:1.4, val2:3.7],[effect:fix_speed,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val:200, calc:add]</t>
  </si>
  <si>
    <t>[effect:enemy_message, val1:1.2, val2:2.4],[effect:panel_freeze, target:block_heart, count:3],[effect:rush, count:2, val:0.25]</t>
  </si>
  <si>
    <t>[effect:enemy_message, val1:1.2, val2:1.6],[effect:enhance_enemy, target:myself, turn:5, status:defense, val:150, calc:add, animation:enemy_enhance_defense],[effect:rush, count:4, val:0.33]</t>
  </si>
  <si>
    <t>[effect:enemy_message, val1:1.2, val2:1.2],[effect:fix_speed, target:myself, turn:2],[effect:enhance_enemy, target:myself, turn:3, status:defense, val:250, calc:add, animation:enemy_enhance_defense]</t>
  </si>
  <si>
    <t>[effect:enemy_message, val1:1.2, val2:1.2],[effect:enhance_enemy, target:myself, turn:3, status:defense, val:350, calc:add, animation:enemy_enhance_defense]</t>
  </si>
  <si>
    <t>[effect:enemy_message, val1:1.4, val2:3.7],[effect:fix_speed,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val:350, calc:add]</t>
  </si>
  <si>
    <t>[effect:enemy_message, val1:1.2, val2:1.6],[effect:enhance_enemy, target:myself, turn:5, status:defense, val:250, calc:add, animation:enemy_enhance_defense],[effect:rush, count:4, val:0.33]</t>
  </si>
  <si>
    <t>[effect:enemy_message, val1:1.2, val2:1.2],[effect:fix_speed, target:myself, turn:2],[effect:enhance_enemy, target:myself, turn:3, status:defense, val:500, calc:add, animation:enemy_enhance_defense]</t>
  </si>
  <si>
    <t>[effect:enemy_message, val1:1.2, val2:1.2],[effect:enhance_enemy, target:myself, turn:3, status:defense, val:700, calc:add, animation:enemy_enhance_defense]</t>
  </si>
  <si>
    <t>[effect:enemy_message, val1:1.4, val2:3.7],[effect:fix_speed,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val:700, calc:add]</t>
  </si>
  <si>
    <t>[effect:enemy_message, val1:1.2, val2:1.6],[effect:enhance_enemy, target:myself, turn:5, status:defense, val:500, calc:add, animation:enemy_enhance_defense],[effect:rush, count:4, val:0.33]</t>
  </si>
  <si>
    <t>[effect:enemy_message, val1:1.2, val2:1.2],[effect:fix_speed, target:myself, turn:2],[effect:enhance_enemy, target:myself, turn:3, status:defense, val:700, calc:add, animation:enemy_enhance_defense]</t>
  </si>
  <si>
    <t>[effect:enemy_message, val1:1.2, val2:1.2],[effect:enhance_enemy, target:myself, turn:3, status:defense, val:1000, calc:add, animation:enemy_enhance_defense]</t>
  </si>
  <si>
    <t>[effect:enemy_message, val1:1.3, val2:1.9],[effect:fix_speed, target:myself, turn:2],[effect:force_change_block, new_block:damage, target:block_green, ignore01:crash, ignore02:crack_bomb, ignore03:time_bomb, ignore04:jammer, ignore05:damage, color:block_green, count:4, val:0.038, animation:change_block]</t>
  </si>
  <si>
    <t>[effect:enemy_message, val1:1.4, val2:3.7],[effect:fix_speed,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val:1000, calc:add]</t>
  </si>
  <si>
    <t>[effect:enemy_message, val1:1.2, val2:2.4],[effect:panel_freeze, target:block_heart, count:5],[effect:rush, count:2, val:0.25]</t>
  </si>
  <si>
    <t>[effect:enemy_message, val1:1.2, val2:1.6],[effect:enhance_enemy, target:myself, turn:5, status:defense, val:700, calc:add, animation:enemy_enhance_defense],[effect:rush, count:4, val:0.33]</t>
  </si>
  <si>
    <t>[effect:enemy_message, val1:1.2, val2:1.2],[effect:rush, count:3, val:0.44]</t>
  </si>
  <si>
    <t>[effect:enemy_message, val1:1.2, val2:1.2],[effect:heal, target:myself, val:0.2, animation:enemy_heal],[effect:spread, val:0.25]</t>
  </si>
  <si>
    <t>[effect:enemy_message, val1:1.2, val2:1.2],[effect:enhance_enemy, target:myself, turn:3, status:attack, val:0.3, calc:mul, animation:enemy_enhance_attack]</t>
  </si>
  <si>
    <t>[effect:enemy_message, val1:1.2, val2:1.2],[effect:enhance_enemy, target:myself, turn:3, status:defense, val:1440, calc:add, animation:enemy_enhance_defense]</t>
  </si>
  <si>
    <t>[effect:enemy_message, val1:1.2, val2:1.2],[effect:heal, target:myself, val:0.3, animation:enemy_heal]</t>
  </si>
  <si>
    <t>[effect:enemy_message, val1:1.2, val2:1.2],[effect:freq_turn, target:myself, turn:3, val:1, animation:enemy_freq_turn]</t>
  </si>
  <si>
    <t>[effect:enemy_message, val1:1.2, val2:1.2],[effect:fix_speed, target:myself, turn:2],[effect:enhance_enemy, target:myself, turn:3, status:attack, val:0.1, calc:mul, animation:enemy_enhance_attack]</t>
  </si>
  <si>
    <t>[effect:enemy_message, val1:1.2, val2:1.2],[effect:heal, target:myself, val:0.2, animation:enemy_heal],[effect:rush, count:2, val:0.35]</t>
  </si>
  <si>
    <t>[effect:enemy_message, val1:1.2, val2:1.3],[effect:damage_gravity, val:0.3, animation:fevergauge_down]</t>
  </si>
  <si>
    <t>[effect:enemy_message, val1:1.2, val2:1.2],[effect:fix_speed, target:myself, turn:2],[effect:regenerate, turn:3, val:0.1, type:hp_ratio, animation:heal01],[effect:suicide, target:myself, val:1, dead_type:escape]</t>
  </si>
  <si>
    <t>[effect:enemy_message, val1:1.2, val2:0.0],[effect:fix_speed, target:myself, turn:2]</t>
  </si>
  <si>
    <t>[effect:enemy_message, val1:1.3, val2:1.9],[effect:fix_speed, target:myself, turn:2],[effect:force_change_block, new_block:damage, target:block_green, ignore01:crash, ignore02:crack_bomb, ignore03:time_bomb, ignore04:jammer, ignore05:damage, color:block_green, count:8, val:0.038, animation:change_block]</t>
  </si>
  <si>
    <t>[effect:enemy_message, val1:1.4, val2:0.0],[effect:fix_speed, target:myself, turn:2]</t>
  </si>
  <si>
    <t>[effect:enemy_message, val1:1.8, val2:0.0],[effect:fix_speed, target:myself, turn:2]</t>
  </si>
  <si>
    <t>[effect:enemy_message, val1:1.6, val2:0.0],[effect:fix_speed, target:myself, turn:2]</t>
  </si>
  <si>
    <t>[effect:enemy_message, val1:1.7, val2:0.0],[effect:fix_speed, target:myself, turn:2]</t>
  </si>
  <si>
    <t>[effect:enemy_message, val1:1.9, val2:0.0],[effect:fix_speed, target:myself, turn:2]</t>
  </si>
  <si>
    <t>[effect:enemy_message, val1:2.1, val2:0.0],[effect:fix_speed, target:myself, turn:2]</t>
  </si>
  <si>
    <t>[effect:enemy_message, val1:1.2, val2:2.0],[effect:degrade_unit, target:unit_all, turn:3, status:heal, val:0.5, calc:mul, animation:degrade_unit_all_heal]</t>
  </si>
  <si>
    <t>[effect:enemy_message, val1:1.2, val2:1.2],[effect:spread, val:0.33]</t>
  </si>
  <si>
    <t>[effect:enemy_message, val1:1.2, val2:1.6],[effect:enhance_enemy, target:myself, turn:3, status:attack, val:0.3, calc:mul, animation:enemy_enhance_attack],[effect:rush, count:2, val:0.35]</t>
  </si>
  <si>
    <t>[effect:enemy_message, val1:1.2, val2:3.0],[effect:fix_speed, target:myself, turn:2],[effect:enhance_unit, target:unit_all, turn:1, status:attack, val:0.3, calc:mul],[effect:change_panel_ratio, turn:1, block_type:heal, val:0.6, animation:block_incidence04]</t>
  </si>
  <si>
    <t>[effect:enemy_message, val1:1.3, val2:2.3],[effect:critical, val:1.2, animation:enemy_critical]</t>
  </si>
  <si>
    <t>[effect:enemy_message, val1:1.3, val2:2.3],[effect:critical, val:1.4, animation:enemy_critical]</t>
  </si>
  <si>
    <t>[effect:enemy_message, val1:1.3, val2:2.3],[effect:critical, val:1.6, animation:enemy_critical]</t>
  </si>
  <si>
    <t>[effect:enemy_message, val1:1.2, val2:2.3],[effect:critical, val:1.8, animation:enemy_critical]</t>
  </si>
  <si>
    <t>[effect:enemy_message, val1:1.2, val2:3.7],[effect:change_panel_ratio, turn:3, block_type:heal, val:0.05],[effect:degrade_unit, target:unit_all, turn:3, status:heal, val:0.5, calc:mul, animation:degrade_unit_all_heal]</t>
  </si>
  <si>
    <t>[effect:enemy_message, val1:1.2, val2:1.2],[effect:fix_speed, target:myself, turn:1],[effect:tolerance, target:myself, turn:-1, count:-1, tolerance_effect:all, animation:enemy_tolerance]</t>
  </si>
  <si>
    <t>[effect:enemy_message, val1:1.4, val2:3.7],[effect:fix_speed,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val:1440, calc:add]</t>
  </si>
  <si>
    <t>[effect:enemy_message, val1:1.2, val2:1.2],[effect:critical, val:1.3, animation:enemy_critical]</t>
  </si>
  <si>
    <t>[effect:enemy_message, val1:1.2, val2:1.6],[effect:enhance_enemy, target:myself, turn:5, status:defense, val:1080, calc:add, animation:enemy_enhance_defense],[effect:rush, count:4, val:0.33]</t>
  </si>
  <si>
    <t>[effect:enemy_message, val1:2.0, val2:0.0]</t>
  </si>
  <si>
    <t>[effect:enemy_message, val1:1.9, val2:0.0]</t>
  </si>
  <si>
    <t>neighbor_dead_id</t>
    <phoneticPr fontId="5"/>
  </si>
  <si>
    <t>フロア1は敵が多いため
まずは数を減らしましょう
タップでターゲットをすると
狙い撃ちできます</t>
    <phoneticPr fontId="5"/>
  </si>
  <si>
    <t>フロア3は敵が多いため
まずは数を減らしましょう
タップでターゲットをすると
狙い撃ちできます</t>
    <phoneticPr fontId="5"/>
  </si>
  <si>
    <t>雪ミクは雪まつりを応援する
初音ミクのもう1つの姿です
毎年様々なコスチュームを披露して
雪まつりを盛り上げています</t>
  </si>
  <si>
    <t>[effect:enemy_message, val1:1.2, val2:2.2],[effect:damage_anti_tribe, target:unit_all, tribe:none, val1:0.18, val2:1.3]</t>
    <phoneticPr fontId="5"/>
  </si>
  <si>
    <t>[effect:enemy_message, val1:1.2, val2:1.2],[effect:fix_speed, target:myself, turn:2],[effect:enhance_enemy, target:myself, turn:3, status:defense, val:1080, calc:add, animation:enemy_enhance_defense]</t>
    <phoneticPr fontId="5"/>
  </si>
  <si>
    <t>[effect:fix_speed, target:myself, turn:2],[effect:enhance_enemy, target:myself, turn:3, status:defense, val:1080, calc:add, animation:enemy_enhance_defense]</t>
    <phoneticPr fontId="5"/>
  </si>
  <si>
    <t>[effect:damage_anti_tribe, target:unit_all, tribe:none/not, val1:0.18, val2:1.3]</t>
    <phoneticPr fontId="5"/>
  </si>
  <si>
    <t>[effect:enemy_message, val1:1.2, val2:2.2],[effect:damage_anti_tribe, target:unit_all, tribe:none, val1:0.18, val2:1.3]</t>
    <phoneticPr fontId="5"/>
  </si>
  <si>
    <t>[effect:damage_anti_tribe, target:unit_all, tribe:none, val1:0.18, val2:1.3]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</si>
</sst>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0" fillId="0" borderId="23" xfId="0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7" xfId="0" applyFill="1" applyBorder="1"/>
    <xf numFmtId="0" fontId="0" fillId="0" borderId="23" xfId="0" applyFill="1" applyBorder="1"/>
    <xf numFmtId="0" fontId="27" fillId="0" borderId="23" xfId="0" applyFont="1" applyFill="1" applyBorder="1"/>
    <xf numFmtId="0" fontId="27" fillId="0" borderId="12" xfId="0" applyFont="1" applyBorder="1"/>
    <xf numFmtId="0" fontId="27" fillId="0" borderId="7" xfId="0" applyFont="1" applyBorder="1"/>
    <xf numFmtId="0" fontId="27" fillId="0" borderId="23" xfId="0" applyFont="1" applyBorder="1"/>
    <xf numFmtId="0" fontId="4" fillId="13" borderId="1" xfId="0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4" fillId="13" borderId="7" xfId="0" applyFont="1" applyFill="1" applyBorder="1" applyAlignment="1">
      <alignment horizontal="center" vertical="center"/>
    </xf>
    <xf numFmtId="0" fontId="6" fillId="13" borderId="7" xfId="0" applyFont="1" applyFill="1" applyBorder="1" applyAlignment="1">
      <alignment vertical="center"/>
    </xf>
    <xf numFmtId="0" fontId="8" fillId="13" borderId="4" xfId="0" applyFont="1" applyFill="1" applyBorder="1" applyAlignment="1">
      <alignment vertical="center"/>
    </xf>
    <xf numFmtId="177" fontId="8" fillId="13" borderId="4" xfId="0" applyNumberFormat="1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4" fillId="13" borderId="5" xfId="0" applyFont="1" applyFill="1" applyBorder="1" applyAlignment="1">
      <alignment vertical="center"/>
    </xf>
    <xf numFmtId="0" fontId="6" fillId="13" borderId="9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176" fontId="4" fillId="13" borderId="3" xfId="0" applyNumberFormat="1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4" fillId="33" borderId="6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34" borderId="7" xfId="0" applyFont="1" applyFill="1" applyBorder="1" applyAlignment="1">
      <alignment vertical="center"/>
    </xf>
    <xf numFmtId="0" fontId="52" fillId="37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30" fillId="34" borderId="7" xfId="0" applyFont="1" applyFill="1" applyBorder="1"/>
    <xf numFmtId="0" fontId="30" fillId="35" borderId="7" xfId="0" applyFont="1" applyFill="1" applyBorder="1"/>
    <xf numFmtId="0" fontId="27" fillId="13" borderId="7" xfId="0" applyFont="1" applyFill="1" applyBorder="1"/>
    <xf numFmtId="0" fontId="28" fillId="13" borderId="7" xfId="0" applyFont="1" applyFill="1" applyBorder="1"/>
    <xf numFmtId="0" fontId="31" fillId="0" borderId="7" xfId="0" applyFont="1" applyFill="1" applyBorder="1" applyAlignment="1">
      <alignment wrapText="1"/>
    </xf>
    <xf numFmtId="0" fontId="30" fillId="38" borderId="7" xfId="0" applyFont="1" applyFill="1" applyBorder="1"/>
    <xf numFmtId="0" fontId="30" fillId="39" borderId="7" xfId="0" applyFont="1" applyFill="1" applyBorder="1"/>
    <xf numFmtId="0" fontId="52" fillId="0" borderId="7" xfId="0" applyFont="1" applyFill="1" applyBorder="1" applyAlignment="1">
      <alignment vertical="center" wrapText="1"/>
    </xf>
    <xf numFmtId="0" fontId="52" fillId="34" borderId="7" xfId="0" applyFont="1" applyFill="1" applyBorder="1" applyAlignment="1">
      <alignment vertical="center" wrapText="1"/>
    </xf>
    <xf numFmtId="0" fontId="52" fillId="37" borderId="7" xfId="0" applyFont="1" applyFill="1" applyBorder="1" applyAlignment="1">
      <alignment vertical="center" wrapText="1"/>
    </xf>
    <xf numFmtId="0" fontId="16" fillId="0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vertical="center" wrapText="1"/>
    </xf>
    <xf numFmtId="0" fontId="16" fillId="36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 wrapText="1"/>
    </xf>
    <xf numFmtId="0" fontId="13" fillId="7" borderId="0" xfId="0" applyFont="1" applyFill="1" applyAlignment="1">
      <alignment horizontal="left" indent="1"/>
    </xf>
    <xf numFmtId="0" fontId="29" fillId="0" borderId="12" xfId="0" applyFont="1" applyFill="1" applyBorder="1" applyAlignment="1">
      <alignment vertical="center"/>
    </xf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30" fillId="3" borderId="7" xfId="0" applyFont="1" applyFill="1" applyBorder="1"/>
    <xf numFmtId="0" fontId="16" fillId="13" borderId="7" xfId="0" applyFont="1" applyFill="1" applyBorder="1" applyAlignment="1">
      <alignment vertical="center"/>
    </xf>
    <xf numFmtId="0" fontId="16" fillId="0" borderId="0" xfId="0" applyFont="1" applyAlignment="1">
      <alignment vertical="center"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30048</v>
          </cell>
        </row>
        <row r="176">
          <cell r="A176">
            <v>39001</v>
          </cell>
        </row>
        <row r="177">
          <cell r="A177">
            <v>39002</v>
          </cell>
        </row>
        <row r="178">
          <cell r="A178">
            <v>39003</v>
          </cell>
        </row>
        <row r="179">
          <cell r="A179">
            <v>39004</v>
          </cell>
        </row>
        <row r="180">
          <cell r="A180">
            <v>39005</v>
          </cell>
        </row>
        <row r="181">
          <cell r="A181">
            <v>39006</v>
          </cell>
        </row>
        <row r="182">
          <cell r="A182">
            <v>39007</v>
          </cell>
        </row>
        <row r="183">
          <cell r="A183">
            <v>39008</v>
          </cell>
        </row>
        <row r="184">
          <cell r="A184">
            <v>39009</v>
          </cell>
        </row>
        <row r="185">
          <cell r="A185">
            <v>39010</v>
          </cell>
        </row>
        <row r="186">
          <cell r="A186">
            <v>39011</v>
          </cell>
        </row>
        <row r="187">
          <cell r="A187">
            <v>40001</v>
          </cell>
        </row>
        <row r="188">
          <cell r="A188">
            <v>40002</v>
          </cell>
        </row>
        <row r="189">
          <cell r="A189">
            <v>40003</v>
          </cell>
        </row>
        <row r="190">
          <cell r="A190">
            <v>40004</v>
          </cell>
        </row>
        <row r="191">
          <cell r="A191">
            <v>40005</v>
          </cell>
        </row>
        <row r="192">
          <cell r="A192">
            <v>40006</v>
          </cell>
        </row>
        <row r="193">
          <cell r="A193">
            <v>40007</v>
          </cell>
        </row>
        <row r="194">
          <cell r="A194">
            <v>40008</v>
          </cell>
        </row>
        <row r="195">
          <cell r="A195">
            <v>40009</v>
          </cell>
        </row>
        <row r="196">
          <cell r="A196">
            <v>40010</v>
          </cell>
        </row>
        <row r="197">
          <cell r="A197">
            <v>40011</v>
          </cell>
        </row>
        <row r="198">
          <cell r="A198">
            <v>40012</v>
          </cell>
        </row>
        <row r="199">
          <cell r="A199">
            <v>40013</v>
          </cell>
        </row>
        <row r="200">
          <cell r="A200">
            <v>40014</v>
          </cell>
        </row>
        <row r="201">
          <cell r="A201">
            <v>40015</v>
          </cell>
        </row>
        <row r="202">
          <cell r="A202">
            <v>40016</v>
          </cell>
        </row>
        <row r="203">
          <cell r="A203">
            <v>40017</v>
          </cell>
        </row>
        <row r="204">
          <cell r="A204">
            <v>40018</v>
          </cell>
        </row>
        <row r="205">
          <cell r="A205">
            <v>40019</v>
          </cell>
        </row>
        <row r="206">
          <cell r="A206">
            <v>40021</v>
          </cell>
        </row>
        <row r="207">
          <cell r="A207">
            <v>40022</v>
          </cell>
        </row>
        <row r="208">
          <cell r="A208">
            <v>40023</v>
          </cell>
        </row>
        <row r="209">
          <cell r="A209">
            <v>40024</v>
          </cell>
        </row>
        <row r="210">
          <cell r="A210">
            <v>40025</v>
          </cell>
        </row>
        <row r="211">
          <cell r="A211">
            <v>40026</v>
          </cell>
        </row>
        <row r="212">
          <cell r="A212">
            <v>40027</v>
          </cell>
        </row>
        <row r="213">
          <cell r="A213">
            <v>40028</v>
          </cell>
        </row>
        <row r="214">
          <cell r="A214">
            <v>40029</v>
          </cell>
        </row>
        <row r="215">
          <cell r="A215">
            <v>40030</v>
          </cell>
        </row>
        <row r="216">
          <cell r="A216">
            <v>40031</v>
          </cell>
        </row>
        <row r="217">
          <cell r="A217">
            <v>40032</v>
          </cell>
        </row>
        <row r="218">
          <cell r="A218">
            <v>40033</v>
          </cell>
        </row>
        <row r="219">
          <cell r="A219">
            <v>40034</v>
          </cell>
        </row>
        <row r="220">
          <cell r="A220">
            <v>40035</v>
          </cell>
        </row>
        <row r="221">
          <cell r="A221">
            <v>40036</v>
          </cell>
        </row>
        <row r="222">
          <cell r="A222">
            <v>40037</v>
          </cell>
        </row>
        <row r="223">
          <cell r="A223">
            <v>40038</v>
          </cell>
        </row>
        <row r="224">
          <cell r="A224">
            <v>40039</v>
          </cell>
        </row>
        <row r="225">
          <cell r="A225">
            <v>40040</v>
          </cell>
        </row>
        <row r="226">
          <cell r="A226">
            <v>40041</v>
          </cell>
        </row>
        <row r="227">
          <cell r="A227">
            <v>40042</v>
          </cell>
        </row>
        <row r="228">
          <cell r="A228">
            <v>40043</v>
          </cell>
        </row>
        <row r="229">
          <cell r="A229">
            <v>48001</v>
          </cell>
        </row>
        <row r="230">
          <cell r="A230">
            <v>48002</v>
          </cell>
        </row>
        <row r="231">
          <cell r="A231">
            <v>48003</v>
          </cell>
        </row>
        <row r="232">
          <cell r="A232">
            <v>48004</v>
          </cell>
        </row>
        <row r="233">
          <cell r="A233">
            <v>48005</v>
          </cell>
        </row>
        <row r="234">
          <cell r="A234">
            <v>48006</v>
          </cell>
        </row>
        <row r="235">
          <cell r="A235">
            <v>48007</v>
          </cell>
        </row>
        <row r="236">
          <cell r="A236">
            <v>48008</v>
          </cell>
        </row>
        <row r="237">
          <cell r="A237">
            <v>48009</v>
          </cell>
        </row>
        <row r="238">
          <cell r="A238">
            <v>48010</v>
          </cell>
        </row>
        <row r="239">
          <cell r="A239">
            <v>48011</v>
          </cell>
        </row>
        <row r="240">
          <cell r="A240">
            <v>48501</v>
          </cell>
        </row>
        <row r="241">
          <cell r="A241">
            <v>41001</v>
          </cell>
        </row>
        <row r="242">
          <cell r="A242">
            <v>41002</v>
          </cell>
        </row>
        <row r="243">
          <cell r="A243">
            <v>41003</v>
          </cell>
        </row>
        <row r="244">
          <cell r="A244">
            <v>41004</v>
          </cell>
        </row>
        <row r="245">
          <cell r="A245">
            <v>41005</v>
          </cell>
        </row>
        <row r="246">
          <cell r="A246">
            <v>41006</v>
          </cell>
        </row>
        <row r="247">
          <cell r="A247">
            <v>41007</v>
          </cell>
        </row>
        <row r="248">
          <cell r="A248">
            <v>41008</v>
          </cell>
        </row>
        <row r="249">
          <cell r="A249">
            <v>41009</v>
          </cell>
        </row>
        <row r="250">
          <cell r="A250">
            <v>41010</v>
          </cell>
        </row>
        <row r="251">
          <cell r="A251">
            <v>41011</v>
          </cell>
        </row>
        <row r="252">
          <cell r="A252">
            <v>41012</v>
          </cell>
        </row>
        <row r="253">
          <cell r="A253">
            <v>41013</v>
          </cell>
        </row>
        <row r="254">
          <cell r="A254">
            <v>41014</v>
          </cell>
        </row>
        <row r="255">
          <cell r="A255">
            <v>41015</v>
          </cell>
        </row>
        <row r="256">
          <cell r="A256">
            <v>47001</v>
          </cell>
        </row>
        <row r="257">
          <cell r="A257">
            <v>47002</v>
          </cell>
        </row>
        <row r="258">
          <cell r="A258">
            <v>47003</v>
          </cell>
        </row>
        <row r="259">
          <cell r="A259">
            <v>47004</v>
          </cell>
        </row>
        <row r="260">
          <cell r="A260">
            <v>47005</v>
          </cell>
        </row>
        <row r="261">
          <cell r="A261">
            <v>47006</v>
          </cell>
        </row>
        <row r="262">
          <cell r="A262">
            <v>47007</v>
          </cell>
        </row>
        <row r="263">
          <cell r="A263">
            <v>49001</v>
          </cell>
        </row>
        <row r="264">
          <cell r="A264">
            <v>49002</v>
          </cell>
        </row>
        <row r="265">
          <cell r="A265">
            <v>49003</v>
          </cell>
        </row>
        <row r="266">
          <cell r="A266">
            <v>49004</v>
          </cell>
        </row>
        <row r="267">
          <cell r="A267">
            <v>49005</v>
          </cell>
        </row>
        <row r="268">
          <cell r="A268">
            <v>49006</v>
          </cell>
        </row>
        <row r="269">
          <cell r="A269">
            <v>49007</v>
          </cell>
        </row>
        <row r="270">
          <cell r="A270">
            <v>49008</v>
          </cell>
        </row>
        <row r="271">
          <cell r="A271">
            <v>49009</v>
          </cell>
        </row>
        <row r="272">
          <cell r="A272">
            <v>49010</v>
          </cell>
        </row>
        <row r="273">
          <cell r="A273">
            <v>49011</v>
          </cell>
        </row>
        <row r="274">
          <cell r="A274">
            <v>49012</v>
          </cell>
        </row>
        <row r="275">
          <cell r="A275">
            <v>49013</v>
          </cell>
        </row>
        <row r="276">
          <cell r="A276">
            <v>50001</v>
          </cell>
        </row>
        <row r="277">
          <cell r="A277">
            <v>50002</v>
          </cell>
        </row>
        <row r="278">
          <cell r="A278">
            <v>50003</v>
          </cell>
        </row>
        <row r="279">
          <cell r="A279">
            <v>50004</v>
          </cell>
        </row>
        <row r="280">
          <cell r="A280">
            <v>50005</v>
          </cell>
        </row>
        <row r="281">
          <cell r="A281">
            <v>50006</v>
          </cell>
        </row>
        <row r="282">
          <cell r="A282">
            <v>50007</v>
          </cell>
        </row>
        <row r="283">
          <cell r="A283">
            <v>50008</v>
          </cell>
        </row>
        <row r="284">
          <cell r="A284">
            <v>50009</v>
          </cell>
        </row>
        <row r="285">
          <cell r="A285">
            <v>50010</v>
          </cell>
        </row>
        <row r="286">
          <cell r="A286">
            <v>50011</v>
          </cell>
        </row>
        <row r="287">
          <cell r="A287">
            <v>50012</v>
          </cell>
        </row>
        <row r="288">
          <cell r="A288">
            <v>50013</v>
          </cell>
        </row>
        <row r="289">
          <cell r="A289">
            <v>50014</v>
          </cell>
        </row>
        <row r="290">
          <cell r="A290">
            <v>51001</v>
          </cell>
        </row>
        <row r="291">
          <cell r="A291">
            <v>51002</v>
          </cell>
        </row>
        <row r="292">
          <cell r="A292">
            <v>59001</v>
          </cell>
        </row>
        <row r="293">
          <cell r="A293">
            <v>60001</v>
          </cell>
        </row>
        <row r="294">
          <cell r="A294">
            <v>60002</v>
          </cell>
        </row>
        <row r="295">
          <cell r="A295">
            <v>60003</v>
          </cell>
        </row>
        <row r="296">
          <cell r="A296">
            <v>60004</v>
          </cell>
        </row>
        <row r="297">
          <cell r="A297">
            <v>60005</v>
          </cell>
        </row>
        <row r="298">
          <cell r="A298">
            <v>60006</v>
          </cell>
        </row>
        <row r="299">
          <cell r="A299">
            <v>60007</v>
          </cell>
        </row>
        <row r="300">
          <cell r="A300">
            <v>60010</v>
          </cell>
        </row>
        <row r="301">
          <cell r="A301">
            <v>60011</v>
          </cell>
        </row>
        <row r="302">
          <cell r="A302">
            <v>61011</v>
          </cell>
        </row>
        <row r="303">
          <cell r="A303">
            <v>60012</v>
          </cell>
        </row>
        <row r="304">
          <cell r="A304">
            <v>60013</v>
          </cell>
        </row>
        <row r="305">
          <cell r="A305">
            <v>60014</v>
          </cell>
        </row>
        <row r="306">
          <cell r="A306">
            <v>60015</v>
          </cell>
        </row>
        <row r="307">
          <cell r="A307">
            <v>60016</v>
          </cell>
        </row>
        <row r="308">
          <cell r="A308">
            <v>60017</v>
          </cell>
        </row>
        <row r="309">
          <cell r="A309">
            <v>60018</v>
          </cell>
        </row>
        <row r="310">
          <cell r="A310">
            <v>60019</v>
          </cell>
        </row>
        <row r="311">
          <cell r="A311">
            <v>60020</v>
          </cell>
        </row>
        <row r="312">
          <cell r="A312">
            <v>60025</v>
          </cell>
        </row>
        <row r="313">
          <cell r="A313">
            <v>60026</v>
          </cell>
        </row>
        <row r="314">
          <cell r="A314">
            <v>60027</v>
          </cell>
        </row>
        <row r="315">
          <cell r="A315">
            <v>65525</v>
          </cell>
        </row>
        <row r="316">
          <cell r="A316">
            <v>65526</v>
          </cell>
        </row>
        <row r="317">
          <cell r="A317">
            <v>65527</v>
          </cell>
        </row>
        <row r="318">
          <cell r="A318">
            <v>65528</v>
          </cell>
        </row>
        <row r="319">
          <cell r="A319">
            <v>65529</v>
          </cell>
        </row>
        <row r="320">
          <cell r="A320">
            <v>65530</v>
          </cell>
        </row>
        <row r="321">
          <cell r="A321">
            <v>65531</v>
          </cell>
        </row>
        <row r="322">
          <cell r="A322">
            <v>65532</v>
          </cell>
        </row>
        <row r="323">
          <cell r="A323">
            <v>65533</v>
          </cell>
        </row>
        <row r="324">
          <cell r="A324">
            <v>65534</v>
          </cell>
        </row>
        <row r="325">
          <cell r="A325">
            <v>65535</v>
          </cell>
        </row>
        <row r="326">
          <cell r="A326">
            <v>60021</v>
          </cell>
        </row>
        <row r="327">
          <cell r="A327">
            <v>60022</v>
          </cell>
        </row>
        <row r="328">
          <cell r="A328">
            <v>60023</v>
          </cell>
        </row>
        <row r="329">
          <cell r="A3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30048_1</v>
          </cell>
        </row>
        <row r="638">
          <cell r="A638" t="str">
            <v>30048_2</v>
          </cell>
        </row>
        <row r="639">
          <cell r="A639" t="str">
            <v>30048_3</v>
          </cell>
        </row>
        <row r="640">
          <cell r="A640" t="str">
            <v>39001_1</v>
          </cell>
        </row>
        <row r="641">
          <cell r="A641" t="str">
            <v>39001_2</v>
          </cell>
        </row>
        <row r="642">
          <cell r="A642" t="str">
            <v>39001_3</v>
          </cell>
        </row>
        <row r="643">
          <cell r="A643" t="str">
            <v>39001_4</v>
          </cell>
        </row>
        <row r="644">
          <cell r="A644" t="str">
            <v>39001_5</v>
          </cell>
        </row>
        <row r="645">
          <cell r="A645" t="str">
            <v>39002_1</v>
          </cell>
        </row>
        <row r="646">
          <cell r="A646" t="str">
            <v>39002_2</v>
          </cell>
        </row>
        <row r="647">
          <cell r="A647" t="str">
            <v>39002_3</v>
          </cell>
        </row>
        <row r="648">
          <cell r="A648" t="str">
            <v>39002_4</v>
          </cell>
        </row>
        <row r="649">
          <cell r="A649" t="str">
            <v>39003_1</v>
          </cell>
        </row>
        <row r="650">
          <cell r="A650" t="str">
            <v>39003_2</v>
          </cell>
        </row>
        <row r="651">
          <cell r="A651" t="str">
            <v>39003_3</v>
          </cell>
        </row>
        <row r="652">
          <cell r="A652" t="str">
            <v>39003_4</v>
          </cell>
        </row>
        <row r="653">
          <cell r="A653" t="str">
            <v>39004_1</v>
          </cell>
        </row>
        <row r="654">
          <cell r="A654" t="str">
            <v>39004_2</v>
          </cell>
        </row>
        <row r="655">
          <cell r="A655" t="str">
            <v>39004_3</v>
          </cell>
        </row>
        <row r="656">
          <cell r="A656" t="str">
            <v>39004_4</v>
          </cell>
        </row>
        <row r="657">
          <cell r="A657" t="str">
            <v>39005_1</v>
          </cell>
        </row>
        <row r="658">
          <cell r="A658" t="str">
            <v>39005_2</v>
          </cell>
        </row>
        <row r="659">
          <cell r="A659" t="str">
            <v>39005_3</v>
          </cell>
        </row>
        <row r="660">
          <cell r="A660" t="str">
            <v>39005_4</v>
          </cell>
        </row>
        <row r="661">
          <cell r="A661" t="str">
            <v>39005_5</v>
          </cell>
        </row>
        <row r="662">
          <cell r="A662" t="str">
            <v>39006_1</v>
          </cell>
        </row>
        <row r="663">
          <cell r="A663" t="str">
            <v>39006_2</v>
          </cell>
        </row>
        <row r="664">
          <cell r="A664" t="str">
            <v>39006_3</v>
          </cell>
        </row>
        <row r="665">
          <cell r="A665" t="str">
            <v>39006_4</v>
          </cell>
        </row>
        <row r="666">
          <cell r="A666" t="str">
            <v>39007_1</v>
          </cell>
        </row>
        <row r="667">
          <cell r="A667" t="str">
            <v>39007_2</v>
          </cell>
        </row>
        <row r="668">
          <cell r="A668" t="str">
            <v>39007_3</v>
          </cell>
        </row>
        <row r="669">
          <cell r="A669" t="str">
            <v>39007_4</v>
          </cell>
        </row>
        <row r="670">
          <cell r="A670" t="str">
            <v>39008_1</v>
          </cell>
        </row>
        <row r="671">
          <cell r="A671" t="str">
            <v>39008_2</v>
          </cell>
        </row>
        <row r="672">
          <cell r="A672" t="str">
            <v>39008_3</v>
          </cell>
        </row>
        <row r="673">
          <cell r="A673" t="str">
            <v>39008_4</v>
          </cell>
        </row>
        <row r="674">
          <cell r="A674" t="str">
            <v>39008_5</v>
          </cell>
        </row>
        <row r="675">
          <cell r="A675" t="str">
            <v>39009_1</v>
          </cell>
        </row>
        <row r="676">
          <cell r="A676" t="str">
            <v>39009_2</v>
          </cell>
        </row>
        <row r="677">
          <cell r="A677" t="str">
            <v>39009_3</v>
          </cell>
        </row>
        <row r="678">
          <cell r="A678" t="str">
            <v>39009_4</v>
          </cell>
        </row>
        <row r="679">
          <cell r="A679" t="str">
            <v>39009_5</v>
          </cell>
        </row>
        <row r="680">
          <cell r="A680" t="str">
            <v>39010_1</v>
          </cell>
        </row>
        <row r="681">
          <cell r="A681" t="str">
            <v>39010_2</v>
          </cell>
        </row>
        <row r="682">
          <cell r="A682" t="str">
            <v>39010_3</v>
          </cell>
        </row>
        <row r="683">
          <cell r="A683" t="str">
            <v>39010_4</v>
          </cell>
        </row>
        <row r="684">
          <cell r="A684" t="str">
            <v>39011_1</v>
          </cell>
        </row>
        <row r="685">
          <cell r="A685" t="str">
            <v>39011_2</v>
          </cell>
        </row>
        <row r="686">
          <cell r="A686" t="str">
            <v>39011_3</v>
          </cell>
        </row>
        <row r="687">
          <cell r="A687" t="str">
            <v>39011_4</v>
          </cell>
        </row>
        <row r="688">
          <cell r="A688" t="str">
            <v>40001_1</v>
          </cell>
        </row>
        <row r="689">
          <cell r="A689" t="str">
            <v>40002_1</v>
          </cell>
        </row>
        <row r="690">
          <cell r="A690" t="str">
            <v>40002_2</v>
          </cell>
        </row>
        <row r="691">
          <cell r="A691" t="str">
            <v>40002_3</v>
          </cell>
        </row>
        <row r="692">
          <cell r="A692" t="str">
            <v>40003_1</v>
          </cell>
        </row>
        <row r="693">
          <cell r="A693" t="str">
            <v>40004_1</v>
          </cell>
        </row>
        <row r="694">
          <cell r="A694" t="str">
            <v>40005_1</v>
          </cell>
        </row>
        <row r="695">
          <cell r="A695" t="str">
            <v>40006_1</v>
          </cell>
        </row>
        <row r="696">
          <cell r="A696" t="str">
            <v>40007_1</v>
          </cell>
        </row>
        <row r="697">
          <cell r="A697" t="str">
            <v>40008_1</v>
          </cell>
        </row>
        <row r="698">
          <cell r="A698" t="str">
            <v>40009_1</v>
          </cell>
        </row>
        <row r="699">
          <cell r="A699" t="str">
            <v>40010_1</v>
          </cell>
        </row>
        <row r="700">
          <cell r="A700" t="str">
            <v>40011_1</v>
          </cell>
        </row>
        <row r="701">
          <cell r="A701" t="str">
            <v>40012_1</v>
          </cell>
        </row>
        <row r="702">
          <cell r="A702" t="str">
            <v>40013_1</v>
          </cell>
        </row>
        <row r="703">
          <cell r="A703" t="str">
            <v>40014_1</v>
          </cell>
        </row>
        <row r="704">
          <cell r="A704" t="str">
            <v>40015_1</v>
          </cell>
        </row>
        <row r="705">
          <cell r="A705" t="str">
            <v>40016_1</v>
          </cell>
        </row>
        <row r="706">
          <cell r="A706" t="str">
            <v>40016_2</v>
          </cell>
        </row>
        <row r="707">
          <cell r="A707" t="str">
            <v>40017_1</v>
          </cell>
        </row>
        <row r="708">
          <cell r="A708" t="str">
            <v>40017_2</v>
          </cell>
        </row>
        <row r="709">
          <cell r="A709" t="str">
            <v>40017_3</v>
          </cell>
        </row>
        <row r="710">
          <cell r="A710" t="str">
            <v>40018_1</v>
          </cell>
        </row>
        <row r="711">
          <cell r="A711" t="str">
            <v>40018_2</v>
          </cell>
        </row>
        <row r="712">
          <cell r="A712" t="str">
            <v>40018_3</v>
          </cell>
        </row>
        <row r="713">
          <cell r="A713" t="str">
            <v>40019_1</v>
          </cell>
        </row>
        <row r="714">
          <cell r="A714" t="str">
            <v>40019_2</v>
          </cell>
        </row>
        <row r="715">
          <cell r="A715" t="str">
            <v>40019_3</v>
          </cell>
        </row>
        <row r="716">
          <cell r="A716" t="str">
            <v>40021_1</v>
          </cell>
        </row>
        <row r="717">
          <cell r="A717" t="str">
            <v>40021_2</v>
          </cell>
        </row>
        <row r="718">
          <cell r="A718" t="str">
            <v>40022_1</v>
          </cell>
        </row>
        <row r="719">
          <cell r="A719" t="str">
            <v>40022_2</v>
          </cell>
        </row>
        <row r="720">
          <cell r="A720" t="str">
            <v>40023_1</v>
          </cell>
        </row>
        <row r="721">
          <cell r="A721" t="str">
            <v>40023_2</v>
          </cell>
        </row>
        <row r="722">
          <cell r="A722" t="str">
            <v>40024_1</v>
          </cell>
        </row>
        <row r="723">
          <cell r="A723" t="str">
            <v>40024_2</v>
          </cell>
        </row>
        <row r="724">
          <cell r="A724" t="str">
            <v>40025_1</v>
          </cell>
        </row>
        <row r="725">
          <cell r="A725" t="str">
            <v>40025_2</v>
          </cell>
        </row>
        <row r="726">
          <cell r="A726" t="str">
            <v>40026_1</v>
          </cell>
        </row>
        <row r="727">
          <cell r="A727" t="str">
            <v>40026_2</v>
          </cell>
        </row>
        <row r="728">
          <cell r="A728" t="str">
            <v>40027_1</v>
          </cell>
        </row>
        <row r="729">
          <cell r="A729" t="str">
            <v>40027_2</v>
          </cell>
        </row>
        <row r="730">
          <cell r="A730" t="str">
            <v>40028_1</v>
          </cell>
        </row>
        <row r="731">
          <cell r="A731" t="str">
            <v>40028_2</v>
          </cell>
        </row>
        <row r="732">
          <cell r="A732" t="str">
            <v>40029_1</v>
          </cell>
        </row>
        <row r="733">
          <cell r="A733" t="str">
            <v>40029_2</v>
          </cell>
        </row>
        <row r="734">
          <cell r="A734" t="str">
            <v>40030_1</v>
          </cell>
        </row>
        <row r="735">
          <cell r="A735" t="str">
            <v>40030_2</v>
          </cell>
        </row>
        <row r="736">
          <cell r="A736" t="str">
            <v>40031_1</v>
          </cell>
        </row>
        <row r="737">
          <cell r="A737" t="str">
            <v>40031_2</v>
          </cell>
        </row>
        <row r="738">
          <cell r="A738" t="str">
            <v>40032_1</v>
          </cell>
        </row>
        <row r="739">
          <cell r="A739" t="str">
            <v>40032_2</v>
          </cell>
        </row>
        <row r="740">
          <cell r="A740" t="str">
            <v>40033_1</v>
          </cell>
        </row>
        <row r="741">
          <cell r="A741" t="str">
            <v>40033_2</v>
          </cell>
        </row>
        <row r="742">
          <cell r="A742" t="str">
            <v>40034_1</v>
          </cell>
        </row>
        <row r="743">
          <cell r="A743" t="str">
            <v>40034_2</v>
          </cell>
        </row>
        <row r="744">
          <cell r="A744" t="str">
            <v>40035_1</v>
          </cell>
        </row>
        <row r="745">
          <cell r="A745" t="str">
            <v>40035_2</v>
          </cell>
        </row>
        <row r="746">
          <cell r="A746" t="str">
            <v>40036_1</v>
          </cell>
        </row>
        <row r="747">
          <cell r="A747" t="str">
            <v>40036_2</v>
          </cell>
        </row>
        <row r="748">
          <cell r="A748" t="str">
            <v>40037_1</v>
          </cell>
        </row>
        <row r="749">
          <cell r="A749" t="str">
            <v>40037_2</v>
          </cell>
        </row>
        <row r="750">
          <cell r="A750" t="str">
            <v>40038_1</v>
          </cell>
        </row>
        <row r="751">
          <cell r="A751" t="str">
            <v>40038_2</v>
          </cell>
        </row>
        <row r="752">
          <cell r="A752" t="str">
            <v>40039_1</v>
          </cell>
        </row>
        <row r="753">
          <cell r="A753" t="str">
            <v>40039_2</v>
          </cell>
        </row>
        <row r="754">
          <cell r="A754" t="str">
            <v>40040_1</v>
          </cell>
        </row>
        <row r="755">
          <cell r="A755" t="str">
            <v>40040_2</v>
          </cell>
        </row>
        <row r="756">
          <cell r="A756" t="str">
            <v>40041_1</v>
          </cell>
        </row>
        <row r="757">
          <cell r="A757" t="str">
            <v>40041_2</v>
          </cell>
        </row>
        <row r="758">
          <cell r="A758" t="str">
            <v>40042_1</v>
          </cell>
        </row>
        <row r="759">
          <cell r="A759" t="str">
            <v>40042_2</v>
          </cell>
        </row>
        <row r="760">
          <cell r="A760" t="str">
            <v>40043_1</v>
          </cell>
        </row>
        <row r="761">
          <cell r="A761" t="str">
            <v>40043_2</v>
          </cell>
        </row>
        <row r="762">
          <cell r="A762" t="str">
            <v>41001_1</v>
          </cell>
        </row>
        <row r="763">
          <cell r="A763" t="str">
            <v>41001_2</v>
          </cell>
        </row>
        <row r="764">
          <cell r="A764" t="str">
            <v>41001_3</v>
          </cell>
        </row>
        <row r="765">
          <cell r="A765" t="str">
            <v>41002_1</v>
          </cell>
        </row>
        <row r="766">
          <cell r="A766" t="str">
            <v>41002_2</v>
          </cell>
        </row>
        <row r="767">
          <cell r="A767" t="str">
            <v>41002_3</v>
          </cell>
        </row>
        <row r="768">
          <cell r="A768" t="str">
            <v>41003_1</v>
          </cell>
        </row>
        <row r="769">
          <cell r="A769" t="str">
            <v>41003_2</v>
          </cell>
        </row>
        <row r="770">
          <cell r="A770" t="str">
            <v>41003_3</v>
          </cell>
        </row>
        <row r="771">
          <cell r="A771" t="str">
            <v>41004_1</v>
          </cell>
        </row>
        <row r="772">
          <cell r="A772" t="str">
            <v>41004_2</v>
          </cell>
        </row>
        <row r="773">
          <cell r="A773" t="str">
            <v>41004_3</v>
          </cell>
        </row>
        <row r="774">
          <cell r="A774" t="str">
            <v>41005_1</v>
          </cell>
        </row>
        <row r="775">
          <cell r="A775" t="str">
            <v>41005_2</v>
          </cell>
        </row>
        <row r="776">
          <cell r="A776" t="str">
            <v>41005_3</v>
          </cell>
        </row>
        <row r="777">
          <cell r="A777" t="str">
            <v>41006_1</v>
          </cell>
        </row>
        <row r="778">
          <cell r="A778" t="str">
            <v>41006_2</v>
          </cell>
        </row>
        <row r="779">
          <cell r="A779" t="str">
            <v>41006_3</v>
          </cell>
        </row>
        <row r="780">
          <cell r="A780" t="str">
            <v>41007_1</v>
          </cell>
        </row>
        <row r="781">
          <cell r="A781" t="str">
            <v>41007_2</v>
          </cell>
        </row>
        <row r="782">
          <cell r="A782" t="str">
            <v>41007_3</v>
          </cell>
        </row>
        <row r="783">
          <cell r="A783" t="str">
            <v>41008_1</v>
          </cell>
        </row>
        <row r="784">
          <cell r="A784" t="str">
            <v>41008_2</v>
          </cell>
        </row>
        <row r="785">
          <cell r="A785" t="str">
            <v>41008_3</v>
          </cell>
        </row>
        <row r="786">
          <cell r="A786" t="str">
            <v>41009_1</v>
          </cell>
        </row>
        <row r="787">
          <cell r="A787" t="str">
            <v>41009_2</v>
          </cell>
        </row>
        <row r="788">
          <cell r="A788" t="str">
            <v>41009_3</v>
          </cell>
        </row>
        <row r="789">
          <cell r="A789" t="str">
            <v>41010_1</v>
          </cell>
        </row>
        <row r="790">
          <cell r="A790" t="str">
            <v>41010_2</v>
          </cell>
        </row>
        <row r="791">
          <cell r="A791" t="str">
            <v>41010_3</v>
          </cell>
        </row>
        <row r="792">
          <cell r="A792" t="str">
            <v>41011_1</v>
          </cell>
        </row>
        <row r="793">
          <cell r="A793" t="str">
            <v>41011_2</v>
          </cell>
        </row>
        <row r="794">
          <cell r="A794" t="str">
            <v>41012_1</v>
          </cell>
        </row>
        <row r="795">
          <cell r="A795" t="str">
            <v>41012_2</v>
          </cell>
        </row>
        <row r="796">
          <cell r="A796" t="str">
            <v>41013_1</v>
          </cell>
        </row>
        <row r="797">
          <cell r="A797" t="str">
            <v>41013_2</v>
          </cell>
        </row>
        <row r="798">
          <cell r="A798" t="str">
            <v>41014_1</v>
          </cell>
        </row>
        <row r="799">
          <cell r="A799" t="str">
            <v>41014_2</v>
          </cell>
        </row>
        <row r="800">
          <cell r="A800" t="str">
            <v>41015_1</v>
          </cell>
        </row>
        <row r="801">
          <cell r="A801" t="str">
            <v>41015_2</v>
          </cell>
        </row>
        <row r="802">
          <cell r="A802" t="str">
            <v>47001_1</v>
          </cell>
        </row>
        <row r="803">
          <cell r="A803" t="str">
            <v>47001_2</v>
          </cell>
        </row>
        <row r="804">
          <cell r="A804" t="str">
            <v>47002_1</v>
          </cell>
        </row>
        <row r="805">
          <cell r="A805" t="str">
            <v>47002_2</v>
          </cell>
        </row>
        <row r="806">
          <cell r="A806" t="str">
            <v>47003_1</v>
          </cell>
        </row>
        <row r="807">
          <cell r="A807" t="str">
            <v>47003_2</v>
          </cell>
        </row>
        <row r="808">
          <cell r="A808" t="str">
            <v>47003_3</v>
          </cell>
        </row>
        <row r="809">
          <cell r="A809" t="str">
            <v>47003_4</v>
          </cell>
        </row>
        <row r="810">
          <cell r="A810" t="str">
            <v>47004_1</v>
          </cell>
        </row>
        <row r="811">
          <cell r="A811" t="str">
            <v>47004_2</v>
          </cell>
        </row>
        <row r="812">
          <cell r="A812" t="str">
            <v>47004_3</v>
          </cell>
        </row>
        <row r="813">
          <cell r="A813" t="str">
            <v>47004_4</v>
          </cell>
        </row>
        <row r="814">
          <cell r="A814" t="str">
            <v>47005_1</v>
          </cell>
        </row>
        <row r="815">
          <cell r="A815" t="str">
            <v>47006_1</v>
          </cell>
        </row>
        <row r="816">
          <cell r="A816" t="str">
            <v>47006_2</v>
          </cell>
        </row>
        <row r="817">
          <cell r="A817" t="str">
            <v>47007_1</v>
          </cell>
        </row>
        <row r="818">
          <cell r="A818" t="str">
            <v>47007_2</v>
          </cell>
        </row>
        <row r="819">
          <cell r="A819" t="str">
            <v>48001_1</v>
          </cell>
        </row>
        <row r="820">
          <cell r="A820" t="str">
            <v>48002_1</v>
          </cell>
        </row>
        <row r="821">
          <cell r="A821" t="str">
            <v>48002_2</v>
          </cell>
        </row>
        <row r="822">
          <cell r="A822" t="str">
            <v>48002_3</v>
          </cell>
        </row>
        <row r="823">
          <cell r="A823" t="str">
            <v>48003_1</v>
          </cell>
        </row>
        <row r="824">
          <cell r="A824" t="str">
            <v>48003_2</v>
          </cell>
        </row>
        <row r="825">
          <cell r="A825" t="str">
            <v>48004_1</v>
          </cell>
        </row>
        <row r="826">
          <cell r="A826" t="str">
            <v>48004_2</v>
          </cell>
        </row>
        <row r="827">
          <cell r="A827" t="str">
            <v>48005_1</v>
          </cell>
        </row>
        <row r="828">
          <cell r="A828" t="str">
            <v>48005_2</v>
          </cell>
        </row>
        <row r="829">
          <cell r="A829" t="str">
            <v>48006_1</v>
          </cell>
        </row>
        <row r="830">
          <cell r="A830" t="str">
            <v>48006_2</v>
          </cell>
        </row>
        <row r="831">
          <cell r="A831" t="str">
            <v>48007_1</v>
          </cell>
        </row>
        <row r="832">
          <cell r="A832" t="str">
            <v>48007_2</v>
          </cell>
        </row>
        <row r="833">
          <cell r="A833" t="str">
            <v>48008_1</v>
          </cell>
        </row>
        <row r="834">
          <cell r="A834" t="str">
            <v>48008_2</v>
          </cell>
        </row>
        <row r="835">
          <cell r="A835" t="str">
            <v>48009_1</v>
          </cell>
        </row>
        <row r="836">
          <cell r="A836" t="str">
            <v>48009_2</v>
          </cell>
        </row>
        <row r="837">
          <cell r="A837" t="str">
            <v>48010_1</v>
          </cell>
        </row>
        <row r="838">
          <cell r="A838" t="str">
            <v>48011_1</v>
          </cell>
        </row>
        <row r="839">
          <cell r="A839" t="str">
            <v>48011_2</v>
          </cell>
        </row>
        <row r="840">
          <cell r="A840" t="str">
            <v>48501_1</v>
          </cell>
        </row>
        <row r="841">
          <cell r="A841" t="str">
            <v>48501_2</v>
          </cell>
        </row>
        <row r="842">
          <cell r="A842" t="str">
            <v>49001_1</v>
          </cell>
        </row>
        <row r="843">
          <cell r="A843" t="str">
            <v>49002_1</v>
          </cell>
        </row>
        <row r="844">
          <cell r="A844" t="str">
            <v>49002_2</v>
          </cell>
        </row>
        <row r="845">
          <cell r="A845" t="str">
            <v>49003_1</v>
          </cell>
        </row>
        <row r="846">
          <cell r="A846" t="str">
            <v>49003_2</v>
          </cell>
        </row>
        <row r="847">
          <cell r="A847" t="str">
            <v>49004_1</v>
          </cell>
        </row>
        <row r="848">
          <cell r="A848" t="str">
            <v>49004_2</v>
          </cell>
        </row>
        <row r="849">
          <cell r="A849" t="str">
            <v>49004_3</v>
          </cell>
        </row>
        <row r="850">
          <cell r="A850" t="str">
            <v>49005_1</v>
          </cell>
        </row>
        <row r="851">
          <cell r="A851" t="str">
            <v>49006_1</v>
          </cell>
        </row>
        <row r="852">
          <cell r="A852" t="str">
            <v>49006_2</v>
          </cell>
        </row>
        <row r="853">
          <cell r="A853" t="str">
            <v>49007_1</v>
          </cell>
        </row>
        <row r="854">
          <cell r="A854" t="str">
            <v>49007_2</v>
          </cell>
        </row>
        <row r="855">
          <cell r="A855" t="str">
            <v>49007_3</v>
          </cell>
        </row>
        <row r="856">
          <cell r="A856" t="str">
            <v>49008_1</v>
          </cell>
        </row>
        <row r="857">
          <cell r="A857" t="str">
            <v>49009_1</v>
          </cell>
        </row>
        <row r="858">
          <cell r="A858" t="str">
            <v>49010_1</v>
          </cell>
        </row>
        <row r="859">
          <cell r="A859" t="str">
            <v>49011_1</v>
          </cell>
        </row>
        <row r="860">
          <cell r="A860" t="str">
            <v>49012_1</v>
          </cell>
        </row>
        <row r="861">
          <cell r="A861" t="str">
            <v>49013_1</v>
          </cell>
        </row>
        <row r="862">
          <cell r="A862" t="str">
            <v>50001_1</v>
          </cell>
        </row>
        <row r="863">
          <cell r="A863" t="str">
            <v>50002_1</v>
          </cell>
        </row>
        <row r="864">
          <cell r="A864" t="str">
            <v>50003_1</v>
          </cell>
        </row>
        <row r="865">
          <cell r="A865" t="str">
            <v>50004_1</v>
          </cell>
        </row>
        <row r="866">
          <cell r="A866" t="str">
            <v>50005_1</v>
          </cell>
        </row>
        <row r="867">
          <cell r="A867" t="str">
            <v>50006_1</v>
          </cell>
        </row>
        <row r="868">
          <cell r="A868" t="str">
            <v>50007_1</v>
          </cell>
        </row>
        <row r="869">
          <cell r="A869" t="str">
            <v>50008_1</v>
          </cell>
        </row>
        <row r="870">
          <cell r="A870" t="str">
            <v>50009_1</v>
          </cell>
        </row>
        <row r="871">
          <cell r="A871" t="str">
            <v>50010_1</v>
          </cell>
        </row>
        <row r="872">
          <cell r="A872" t="str">
            <v>50011_1</v>
          </cell>
        </row>
        <row r="873">
          <cell r="A873" t="str">
            <v>50012_1</v>
          </cell>
        </row>
        <row r="874">
          <cell r="A874" t="str">
            <v>50013_1</v>
          </cell>
        </row>
        <row r="875">
          <cell r="A875" t="str">
            <v>50014_1</v>
          </cell>
        </row>
        <row r="876">
          <cell r="A876" t="str">
            <v>51001_1</v>
          </cell>
        </row>
        <row r="877">
          <cell r="A877" t="str">
            <v>51002_1</v>
          </cell>
        </row>
        <row r="878">
          <cell r="A878" t="str">
            <v>59001_1</v>
          </cell>
        </row>
        <row r="879">
          <cell r="A879" t="str">
            <v>60001_1</v>
          </cell>
        </row>
        <row r="880">
          <cell r="A880" t="str">
            <v>60002_1</v>
          </cell>
        </row>
        <row r="881">
          <cell r="A881" t="str">
            <v>60002_2</v>
          </cell>
        </row>
        <row r="882">
          <cell r="A882" t="str">
            <v>60003_1</v>
          </cell>
        </row>
        <row r="883">
          <cell r="A883" t="str">
            <v>60003_2</v>
          </cell>
        </row>
        <row r="884">
          <cell r="A884" t="str">
            <v>60003_3</v>
          </cell>
        </row>
        <row r="885">
          <cell r="A885" t="str">
            <v>60004_1</v>
          </cell>
        </row>
        <row r="886">
          <cell r="A886" t="str">
            <v>60005_1</v>
          </cell>
        </row>
        <row r="887">
          <cell r="A887" t="str">
            <v>60006_1</v>
          </cell>
        </row>
        <row r="888">
          <cell r="A888" t="str">
            <v>60006_2</v>
          </cell>
        </row>
        <row r="889">
          <cell r="A889" t="str">
            <v>60006_3</v>
          </cell>
        </row>
        <row r="890">
          <cell r="A890" t="str">
            <v>60007_1</v>
          </cell>
        </row>
        <row r="891">
          <cell r="A891" t="str">
            <v>60007_2</v>
          </cell>
        </row>
        <row r="892">
          <cell r="A892" t="str">
            <v>60007_3</v>
          </cell>
        </row>
        <row r="893">
          <cell r="A893" t="str">
            <v>60010_1</v>
          </cell>
        </row>
        <row r="894">
          <cell r="A894" t="str">
            <v>60011_1</v>
          </cell>
        </row>
        <row r="895">
          <cell r="A895" t="str">
            <v>60011_2</v>
          </cell>
        </row>
        <row r="896">
          <cell r="A896" t="str">
            <v>60012_1</v>
          </cell>
        </row>
        <row r="897">
          <cell r="A897" t="str">
            <v>60013_1</v>
          </cell>
        </row>
        <row r="898">
          <cell r="A898" t="str">
            <v>60013_2</v>
          </cell>
        </row>
        <row r="899">
          <cell r="A899" t="str">
            <v>60013_3</v>
          </cell>
        </row>
        <row r="900">
          <cell r="A900" t="str">
            <v>60014_1</v>
          </cell>
        </row>
        <row r="901">
          <cell r="A901" t="str">
            <v>60015_1</v>
          </cell>
        </row>
        <row r="902">
          <cell r="A902" t="str">
            <v>60016_1</v>
          </cell>
        </row>
        <row r="903">
          <cell r="A903" t="str">
            <v>60017_1</v>
          </cell>
        </row>
        <row r="904">
          <cell r="A904" t="str">
            <v>60018_1</v>
          </cell>
        </row>
        <row r="905">
          <cell r="A905" t="str">
            <v>60019_1</v>
          </cell>
        </row>
        <row r="906">
          <cell r="A906" t="str">
            <v>60020_1</v>
          </cell>
        </row>
        <row r="907">
          <cell r="A907" t="str">
            <v>60021_3</v>
          </cell>
        </row>
        <row r="908">
          <cell r="A908" t="str">
            <v>60022_3</v>
          </cell>
        </row>
        <row r="909">
          <cell r="A909" t="str">
            <v>60023_3</v>
          </cell>
        </row>
        <row r="910">
          <cell r="A910" t="str">
            <v>60024_3</v>
          </cell>
        </row>
        <row r="911">
          <cell r="A911" t="str">
            <v>60025_1</v>
          </cell>
        </row>
        <row r="912">
          <cell r="A912" t="str">
            <v>60026_1</v>
          </cell>
        </row>
        <row r="913">
          <cell r="A913" t="str">
            <v>61011_1</v>
          </cell>
        </row>
        <row r="914">
          <cell r="A914" t="str">
            <v>60027_1</v>
          </cell>
        </row>
        <row r="915">
          <cell r="A915" t="str">
            <v>65525_1</v>
          </cell>
        </row>
        <row r="916">
          <cell r="A916" t="str">
            <v>65526_1</v>
          </cell>
        </row>
        <row r="917">
          <cell r="A917" t="str">
            <v>65526_2</v>
          </cell>
        </row>
        <row r="918">
          <cell r="A918" t="str">
            <v>65527_1</v>
          </cell>
        </row>
        <row r="919">
          <cell r="A919" t="str">
            <v>65528_1</v>
          </cell>
        </row>
        <row r="920">
          <cell r="A920" t="str">
            <v>65529_1</v>
          </cell>
        </row>
        <row r="921">
          <cell r="A921" t="str">
            <v>65530_1</v>
          </cell>
        </row>
        <row r="922">
          <cell r="A922" t="str">
            <v>65531_1</v>
          </cell>
        </row>
        <row r="923">
          <cell r="A923" t="str">
            <v>65531_2</v>
          </cell>
        </row>
        <row r="924">
          <cell r="A924" t="str">
            <v>65532_1</v>
          </cell>
        </row>
        <row r="925">
          <cell r="A925" t="str">
            <v>65532_2</v>
          </cell>
        </row>
        <row r="926">
          <cell r="A926" t="str">
            <v>65533_1</v>
          </cell>
        </row>
        <row r="927">
          <cell r="A927" t="str">
            <v>65533_2</v>
          </cell>
        </row>
        <row r="928">
          <cell r="A928" t="str">
            <v>65534_1</v>
          </cell>
        </row>
        <row r="929">
          <cell r="A929" t="str">
            <v>65535_1</v>
          </cell>
        </row>
        <row r="930">
          <cell r="A930" t="str">
            <v>65535_2</v>
          </cell>
        </row>
        <row r="931">
          <cell r="A931" t="str">
            <v>65535_3</v>
          </cell>
        </row>
        <row r="932">
          <cell r="A932" t="str">
            <v>65535_4</v>
          </cell>
        </row>
        <row r="933">
          <cell r="A933" t="str">
            <v>65535_5</v>
          </cell>
        </row>
        <row r="934">
          <cell r="A934" t="str">
            <v>65535_6</v>
          </cell>
        </row>
        <row r="935">
          <cell r="A935" t="str">
            <v>65535_7</v>
          </cell>
        </row>
        <row r="936">
          <cell r="A936" t="str">
            <v>65535_8</v>
          </cell>
        </row>
        <row r="937">
          <cell r="A937" t="str">
            <v>65535_9</v>
          </cell>
        </row>
        <row r="938">
          <cell r="A93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5001</v>
          </cell>
        </row>
        <row r="1324">
          <cell r="A1324">
            <v>5002</v>
          </cell>
        </row>
        <row r="1325">
          <cell r="A1325">
            <v>5003</v>
          </cell>
        </row>
        <row r="1326">
          <cell r="A1326">
            <v>5004</v>
          </cell>
        </row>
        <row r="1327">
          <cell r="A1327">
            <v>6001</v>
          </cell>
        </row>
        <row r="1328">
          <cell r="A1328">
            <v>6002</v>
          </cell>
        </row>
        <row r="1329">
          <cell r="A1329">
            <v>6003</v>
          </cell>
        </row>
        <row r="1330">
          <cell r="A1330">
            <v>6004</v>
          </cell>
        </row>
        <row r="1331">
          <cell r="A1331">
            <v>6005</v>
          </cell>
        </row>
        <row r="1332">
          <cell r="A1332">
            <v>6006</v>
          </cell>
        </row>
        <row r="1333">
          <cell r="A1333">
            <v>6007</v>
          </cell>
        </row>
        <row r="1334">
          <cell r="A1334">
            <v>6008</v>
          </cell>
        </row>
        <row r="1335">
          <cell r="A1335">
            <v>6009</v>
          </cell>
        </row>
        <row r="1336">
          <cell r="A1336">
            <v>6010</v>
          </cell>
        </row>
        <row r="1337">
          <cell r="A1337">
            <v>6011</v>
          </cell>
        </row>
        <row r="1338">
          <cell r="A1338">
            <v>6012</v>
          </cell>
        </row>
        <row r="1339">
          <cell r="A1339">
            <v>6013</v>
          </cell>
        </row>
        <row r="1340">
          <cell r="A1340">
            <v>6014</v>
          </cell>
        </row>
        <row r="1341">
          <cell r="A1341">
            <v>6015</v>
          </cell>
        </row>
        <row r="1342">
          <cell r="A1342">
            <v>6016</v>
          </cell>
        </row>
        <row r="1343">
          <cell r="A1343">
            <v>6017</v>
          </cell>
        </row>
        <row r="1344">
          <cell r="A1344">
            <v>6018</v>
          </cell>
        </row>
        <row r="1345">
          <cell r="A1345">
            <v>6019</v>
          </cell>
        </row>
        <row r="1346">
          <cell r="A1346">
            <v>6020</v>
          </cell>
        </row>
        <row r="1347">
          <cell r="A1347">
            <v>8001</v>
          </cell>
        </row>
        <row r="1348">
          <cell r="A1348">
            <v>8002</v>
          </cell>
        </row>
        <row r="1349">
          <cell r="A1349">
            <v>8003</v>
          </cell>
        </row>
        <row r="1350">
          <cell r="A1350">
            <v>8004</v>
          </cell>
        </row>
        <row r="1351">
          <cell r="A1351">
            <v>8005</v>
          </cell>
        </row>
        <row r="1352">
          <cell r="A1352">
            <v>8006</v>
          </cell>
        </row>
        <row r="1353">
          <cell r="A1353">
            <v>8007</v>
          </cell>
        </row>
        <row r="1354">
          <cell r="A1354">
            <v>8008</v>
          </cell>
        </row>
        <row r="1355">
          <cell r="A1355">
            <v>8009</v>
          </cell>
        </row>
        <row r="1356">
          <cell r="A1356">
            <v>8010</v>
          </cell>
        </row>
        <row r="1357">
          <cell r="A1357">
            <v>8011</v>
          </cell>
        </row>
        <row r="1358">
          <cell r="A1358">
            <v>8012</v>
          </cell>
        </row>
        <row r="1359">
          <cell r="A1359">
            <v>8013</v>
          </cell>
        </row>
        <row r="1360">
          <cell r="A1360">
            <v>8014</v>
          </cell>
        </row>
        <row r="1361">
          <cell r="A1361">
            <v>8015</v>
          </cell>
        </row>
        <row r="1362">
          <cell r="A1362">
            <v>8016</v>
          </cell>
        </row>
        <row r="1363">
          <cell r="A1363">
            <v>8017</v>
          </cell>
        </row>
        <row r="1364">
          <cell r="A1364">
            <v>8018</v>
          </cell>
        </row>
        <row r="1365">
          <cell r="A1365">
            <v>8019</v>
          </cell>
        </row>
        <row r="1366">
          <cell r="A1366">
            <v>8020</v>
          </cell>
        </row>
        <row r="1367">
          <cell r="A1367">
            <v>8021</v>
          </cell>
        </row>
        <row r="1368">
          <cell r="A1368">
            <v>8022</v>
          </cell>
        </row>
        <row r="1369">
          <cell r="A1369">
            <v>8023</v>
          </cell>
        </row>
        <row r="1370">
          <cell r="A1370">
            <v>8024</v>
          </cell>
        </row>
        <row r="1371">
          <cell r="A1371">
            <v>8025</v>
          </cell>
        </row>
        <row r="1372">
          <cell r="A1372">
            <v>8026</v>
          </cell>
        </row>
        <row r="1373">
          <cell r="A1373">
            <v>8027</v>
          </cell>
        </row>
        <row r="1374">
          <cell r="A1374">
            <v>8028</v>
          </cell>
        </row>
        <row r="1375">
          <cell r="A1375">
            <v>8029</v>
          </cell>
        </row>
        <row r="1376">
          <cell r="A1376">
            <v>8030</v>
          </cell>
        </row>
        <row r="1377">
          <cell r="A1377">
            <v>8031</v>
          </cell>
        </row>
        <row r="1378">
          <cell r="A1378">
            <v>8032</v>
          </cell>
        </row>
        <row r="1379">
          <cell r="A1379">
            <v>8033</v>
          </cell>
        </row>
        <row r="1380">
          <cell r="A1380">
            <v>8034</v>
          </cell>
        </row>
        <row r="1381">
          <cell r="A1381">
            <v>8035</v>
          </cell>
        </row>
        <row r="1382">
          <cell r="A1382">
            <v>8036</v>
          </cell>
        </row>
        <row r="1383">
          <cell r="A1383">
            <v>8037</v>
          </cell>
        </row>
        <row r="1384">
          <cell r="A1384">
            <v>8038</v>
          </cell>
        </row>
        <row r="1385">
          <cell r="A1385">
            <v>8039</v>
          </cell>
        </row>
        <row r="1386">
          <cell r="A1386">
            <v>8040</v>
          </cell>
        </row>
        <row r="1387">
          <cell r="A1387">
            <v>8041</v>
          </cell>
        </row>
        <row r="1388">
          <cell r="A1388">
            <v>8042</v>
          </cell>
        </row>
        <row r="1389">
          <cell r="A1389">
            <v>8043</v>
          </cell>
        </row>
        <row r="1390">
          <cell r="A1390">
            <v>8044</v>
          </cell>
        </row>
        <row r="1391">
          <cell r="A1391">
            <v>8045</v>
          </cell>
        </row>
        <row r="1392">
          <cell r="A1392">
            <v>8046</v>
          </cell>
        </row>
        <row r="1393">
          <cell r="A1393">
            <v>8047</v>
          </cell>
        </row>
        <row r="1394">
          <cell r="A1394">
            <v>8048</v>
          </cell>
        </row>
        <row r="1395">
          <cell r="A1395">
            <v>8049</v>
          </cell>
        </row>
        <row r="1396">
          <cell r="A1396">
            <v>8050</v>
          </cell>
        </row>
        <row r="1397">
          <cell r="A1397">
            <v>8051</v>
          </cell>
        </row>
        <row r="1398">
          <cell r="A1398">
            <v>8052</v>
          </cell>
        </row>
        <row r="1399">
          <cell r="A1399">
            <v>8053</v>
          </cell>
        </row>
        <row r="1400">
          <cell r="A1400">
            <v>8054</v>
          </cell>
        </row>
        <row r="1401">
          <cell r="A1401">
            <v>8055</v>
          </cell>
        </row>
        <row r="1402">
          <cell r="A1402">
            <v>8056</v>
          </cell>
        </row>
        <row r="1403">
          <cell r="A1403">
            <v>8057</v>
          </cell>
        </row>
        <row r="1404">
          <cell r="A1404">
            <v>8058</v>
          </cell>
        </row>
        <row r="1405">
          <cell r="A1405">
            <v>8059</v>
          </cell>
        </row>
        <row r="1406">
          <cell r="A1406">
            <v>8060</v>
          </cell>
        </row>
        <row r="1407">
          <cell r="A1407">
            <v>8061</v>
          </cell>
        </row>
        <row r="1408">
          <cell r="A1408">
            <v>8062</v>
          </cell>
        </row>
        <row r="1409">
          <cell r="A1409">
            <v>8063</v>
          </cell>
        </row>
        <row r="1410">
          <cell r="A1410">
            <v>8064</v>
          </cell>
        </row>
        <row r="1411">
          <cell r="A1411">
            <v>8065</v>
          </cell>
        </row>
        <row r="1412">
          <cell r="A1412">
            <v>8066</v>
          </cell>
        </row>
        <row r="1413">
          <cell r="A1413">
            <v>8067</v>
          </cell>
        </row>
        <row r="1414">
          <cell r="A1414">
            <v>8068</v>
          </cell>
        </row>
        <row r="1415">
          <cell r="A1415">
            <v>8069</v>
          </cell>
        </row>
        <row r="1416">
          <cell r="A1416">
            <v>8070</v>
          </cell>
        </row>
        <row r="1417">
          <cell r="A1417">
            <v>8071</v>
          </cell>
        </row>
        <row r="1418">
          <cell r="A1418">
            <v>8072</v>
          </cell>
        </row>
        <row r="1419">
          <cell r="A1419">
            <v>8077</v>
          </cell>
        </row>
        <row r="1420">
          <cell r="A1420">
            <v>8078</v>
          </cell>
        </row>
        <row r="1421">
          <cell r="A1421">
            <v>8079</v>
          </cell>
        </row>
        <row r="1422">
          <cell r="A1422">
            <v>8080</v>
          </cell>
        </row>
        <row r="1423">
          <cell r="A1423">
            <v>8087</v>
          </cell>
        </row>
        <row r="1424">
          <cell r="A1424">
            <v>8088</v>
          </cell>
        </row>
        <row r="1425">
          <cell r="A1425">
            <v>8089</v>
          </cell>
        </row>
        <row r="1426">
          <cell r="A1426">
            <v>8090</v>
          </cell>
        </row>
        <row r="1427">
          <cell r="A1427">
            <v>8095</v>
          </cell>
        </row>
        <row r="1428">
          <cell r="A1428">
            <v>8096</v>
          </cell>
        </row>
        <row r="1429">
          <cell r="A1429">
            <v>8097</v>
          </cell>
        </row>
        <row r="1430">
          <cell r="A1430">
            <v>8098</v>
          </cell>
        </row>
        <row r="1431">
          <cell r="A1431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8087</v>
          </cell>
        </row>
        <row r="1482">
          <cell r="A1482">
            <v>8088</v>
          </cell>
        </row>
        <row r="1483">
          <cell r="A1483">
            <v>8089</v>
          </cell>
        </row>
        <row r="1484">
          <cell r="A1484">
            <v>8090</v>
          </cell>
        </row>
        <row r="1485">
          <cell r="A1485">
            <v>8095</v>
          </cell>
        </row>
        <row r="1486">
          <cell r="A1486">
            <v>8096</v>
          </cell>
        </row>
        <row r="1487">
          <cell r="A1487">
            <v>8097</v>
          </cell>
        </row>
        <row r="1488">
          <cell r="A1488">
            <v>8098</v>
          </cell>
        </row>
        <row r="1489">
          <cell r="A1489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256</v>
      </c>
      <c r="B2" s="57" t="s">
        <v>107</v>
      </c>
      <c r="C2" s="63">
        <v>39009</v>
      </c>
      <c r="D2" s="57" t="s">
        <v>108</v>
      </c>
      <c r="E2" s="56" t="str">
        <f>B2&amp;C2&amp;D2</f>
        <v>floors_39009.tmp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256</v>
      </c>
      <c r="B3" s="57" t="s">
        <v>110</v>
      </c>
      <c r="C3" s="63">
        <v>39009</v>
      </c>
      <c r="D3" s="57" t="s">
        <v>108</v>
      </c>
      <c r="E3" s="56" t="str">
        <f>B3&amp;C3&amp;D3</f>
        <v>enemy_habitats_39009.tmp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257</v>
      </c>
      <c r="B4" s="57" t="s">
        <v>112</v>
      </c>
      <c r="C4" s="63">
        <v>39009</v>
      </c>
      <c r="D4" s="57" t="s">
        <v>108</v>
      </c>
      <c r="E4" s="56" t="str">
        <f>B4&amp;C4&amp;D4</f>
        <v>enemy_habitat_S_39009.tmp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114</v>
      </c>
      <c r="C5" s="63">
        <v>39009</v>
      </c>
      <c r="D5" s="57" t="s">
        <v>108</v>
      </c>
      <c r="E5" s="56" t="str">
        <f>B5&amp;C5&amp;D5</f>
        <v>enemy_skill_sets_39009.tmp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116</v>
      </c>
      <c r="C6" s="63">
        <v>39009</v>
      </c>
      <c r="D6" s="57" t="s">
        <v>117</v>
      </c>
      <c r="E6" s="56" t="str">
        <f t="shared" ref="E6:E10" si="0">B6&amp;C6&amp;D6</f>
        <v>enemy_skills_tmp_39009.tmp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118</v>
      </c>
      <c r="C7" s="63">
        <v>39009</v>
      </c>
      <c r="D7" s="57" t="s">
        <v>108</v>
      </c>
      <c r="E7" s="56" t="str">
        <f>B7&amp;C7&amp;D7</f>
        <v>enemy_skills_i18n_39009.tmp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120</v>
      </c>
      <c r="C8" s="63">
        <v>39009</v>
      </c>
      <c r="D8" s="57" t="s">
        <v>121</v>
      </c>
      <c r="E8" s="56" t="str">
        <f t="shared" si="0"/>
        <v>enemy_skill_triggers_39009.tmp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257</v>
      </c>
      <c r="B9" s="68" t="s">
        <v>178</v>
      </c>
      <c r="C9" s="63">
        <v>39009</v>
      </c>
      <c r="D9" s="68" t="s">
        <v>172</v>
      </c>
      <c r="E9" s="69" t="str">
        <f t="shared" si="0"/>
        <v>stage_bug_bonuses_39009.tmp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8" t="s">
        <v>203</v>
      </c>
      <c r="C10" s="63">
        <v>39009</v>
      </c>
      <c r="D10" s="68" t="s">
        <v>181</v>
      </c>
      <c r="E10" s="69" t="str">
        <f t="shared" si="0"/>
        <v>stage_hints_data_c_39009.tmp</v>
      </c>
      <c r="F10" s="68" t="s">
        <v>211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5" customFormat="1" x14ac:dyDescent="0.15">
      <c r="A11" s="61" t="s">
        <v>257</v>
      </c>
      <c r="B11" s="68" t="s">
        <v>204</v>
      </c>
      <c r="C11" s="63">
        <v>39009</v>
      </c>
      <c r="D11" s="68" t="s">
        <v>172</v>
      </c>
      <c r="E11" s="69" t="str">
        <f t="shared" ref="E11:E13" si="1">B11&amp;C11&amp;D11</f>
        <v>stage_hints_data_f_39009.tmp</v>
      </c>
      <c r="F11" s="68" t="s">
        <v>212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5" customFormat="1" x14ac:dyDescent="0.15">
      <c r="A12" s="61" t="s">
        <v>257</v>
      </c>
      <c r="B12" s="68" t="s">
        <v>205</v>
      </c>
      <c r="C12" s="63">
        <v>39009</v>
      </c>
      <c r="D12" s="68" t="s">
        <v>172</v>
      </c>
      <c r="E12" s="69" t="str">
        <f t="shared" si="1"/>
        <v>stage_hints_i18n_39009.tmp</v>
      </c>
      <c r="F12" s="68" t="s">
        <v>213</v>
      </c>
      <c r="G12" s="74" t="s">
        <v>206</v>
      </c>
      <c r="H12" s="92" t="s">
        <v>207</v>
      </c>
      <c r="I12" s="73" t="s">
        <v>208</v>
      </c>
      <c r="J12" s="96" t="s">
        <v>209</v>
      </c>
      <c r="K12" s="67" t="s">
        <v>210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5" customFormat="1" x14ac:dyDescent="0.15">
      <c r="A13" s="61" t="s">
        <v>257</v>
      </c>
      <c r="B13" s="68" t="s">
        <v>249</v>
      </c>
      <c r="C13" s="63">
        <v>39009</v>
      </c>
      <c r="D13" s="68" t="s">
        <v>230</v>
      </c>
      <c r="E13" s="69" t="str">
        <f t="shared" si="1"/>
        <v>stage_bonuses_39009.tmp</v>
      </c>
      <c r="F13" s="68" t="s">
        <v>229</v>
      </c>
      <c r="G13" s="73" t="s">
        <v>231</v>
      </c>
      <c r="H13" s="73" t="s">
        <v>232</v>
      </c>
      <c r="I13" s="73" t="s">
        <v>233</v>
      </c>
      <c r="J13" s="73" t="s">
        <v>234</v>
      </c>
      <c r="K13" s="73" t="s">
        <v>235</v>
      </c>
      <c r="L13" s="73" t="s">
        <v>236</v>
      </c>
      <c r="M13" s="73" t="s">
        <v>237</v>
      </c>
      <c r="N13" s="73" t="s">
        <v>238</v>
      </c>
      <c r="O13" s="73" t="s">
        <v>239</v>
      </c>
      <c r="P13" s="73" t="s">
        <v>240</v>
      </c>
      <c r="Q13" s="73" t="s">
        <v>241</v>
      </c>
      <c r="R13" s="73" t="s">
        <v>242</v>
      </c>
      <c r="S13" s="73" t="s">
        <v>243</v>
      </c>
      <c r="T13" s="73" t="s">
        <v>244</v>
      </c>
      <c r="U13" s="73" t="s">
        <v>245</v>
      </c>
      <c r="V13" s="73" t="s">
        <v>246</v>
      </c>
      <c r="W13" s="73" t="s">
        <v>247</v>
      </c>
      <c r="X13" s="73" t="s">
        <v>248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1"/>
  <sheetViews>
    <sheetView showGridLines="0" workbookViewId="0">
      <pane ySplit="1" topLeftCell="A2" activePane="bottomLeft" state="frozen"/>
      <selection activeCell="V2" sqref="V2:X34"/>
      <selection pane="bottomLeft" activeCell="G18" sqref="G1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21" si="0">G2&amp;"-"&amp;I2</f>
        <v>39009_1-1</v>
      </c>
      <c r="B2" s="16" t="str">
        <f>IF(COUNTIF(enemy_habitats!$H:$H,A2),"OK","NG")</f>
        <v>OK</v>
      </c>
      <c r="C2" s="7">
        <v>39009</v>
      </c>
      <c r="D2" s="11" t="str">
        <f ca="1">VLOOKUP($C2,OFFSET([2]quests!$A$1,0,0,COUNTA([2]quests!$A:$A),MATCH(D$1,[2]quests!$1:$1,0)-MATCH($C$1,[2]quests!$1:$1,0)+1),MATCH(D$1,[2]quests!$1:$1,0)-MATCH($C$1,[2]quests!$1:$1,0)+1,FALSE)</f>
        <v>星空の歌姫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1</v>
      </c>
      <c r="G2" s="23" t="str">
        <f t="shared" ref="G2:G21" si="1">C2&amp;"_"&amp;F2</f>
        <v>39009_1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【初級】星空の歌姫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39009_1-2</v>
      </c>
      <c r="B3" s="16" t="str">
        <f>IF(COUNTIF(enemy_habitats!$H:$H,A3),"OK","NG")</f>
        <v>OK</v>
      </c>
      <c r="C3" s="7">
        <v>39009</v>
      </c>
      <c r="D3" s="11" t="str">
        <f ca="1">VLOOKUP($C3,OFFSET([2]quests!$A$1,0,0,COUNTA([2]quests!$A:$A),MATCH(D$1,[2]quests!$1:$1,0)-MATCH($C$1,[2]quests!$1:$1,0)+1),MATCH(D$1,[2]quests!$1:$1,0)-MATCH($C$1,[2]quests!$1:$1,0)+1,FALSE)</f>
        <v>星空の歌姫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1</v>
      </c>
      <c r="G3" s="23" t="str">
        <f t="shared" si="1"/>
        <v>39009_1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【初級】星空の歌姫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39009_1-3</v>
      </c>
      <c r="B4" s="16" t="str">
        <f>IF(COUNTIF(enemy_habitats!$H:$H,A4),"OK","NG")</f>
        <v>OK</v>
      </c>
      <c r="C4" s="7">
        <v>39009</v>
      </c>
      <c r="D4" s="11" t="str">
        <f ca="1">VLOOKUP($C4,OFFSET([2]quests!$A$1,0,0,COUNTA([2]quests!$A:$A),MATCH(D$1,[2]quests!$1:$1,0)-MATCH($C$1,[2]quests!$1:$1,0)+1),MATCH(D$1,[2]quests!$1:$1,0)-MATCH($C$1,[2]quests!$1:$1,0)+1,FALSE)</f>
        <v>星空の歌姫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1</v>
      </c>
      <c r="G4" s="23" t="str">
        <f t="shared" si="1"/>
        <v>39009_1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【初級】星空の歌姫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39009_1-4</v>
      </c>
      <c r="B5" s="16" t="str">
        <f>IF(COUNTIF(enemy_habitats!$H:$H,A5),"OK","NG")</f>
        <v>OK</v>
      </c>
      <c r="C5" s="7">
        <v>39009</v>
      </c>
      <c r="D5" s="11" t="str">
        <f ca="1">VLOOKUP($C5,OFFSET([2]quests!$A$1,0,0,COUNTA([2]quests!$A:$A),MATCH(D$1,[2]quests!$1:$1,0)-MATCH($C$1,[2]quests!$1:$1,0)+1),MATCH(D$1,[2]quests!$1:$1,0)-MATCH($C$1,[2]quests!$1:$1,0)+1,FALSE)</f>
        <v>星空の歌姫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1</v>
      </c>
      <c r="G5" s="23" t="str">
        <f t="shared" si="1"/>
        <v>39009_1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【初級】星空の歌姫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39009_2-1</v>
      </c>
      <c r="B6" s="16" t="str">
        <f>IF(COUNTIF(enemy_habitats!$H:$H,A6),"OK","NG")</f>
        <v>OK</v>
      </c>
      <c r="C6" s="7">
        <v>39009</v>
      </c>
      <c r="D6" s="11" t="str">
        <f ca="1">VLOOKUP($C6,OFFSET([2]quests!$A$1,0,0,COUNTA([2]quests!$A:$A),MATCH(D$1,[2]quests!$1:$1,0)-MATCH($C$1,[2]quests!$1:$1,0)+1),MATCH(D$1,[2]quests!$1:$1,0)-MATCH($C$1,[2]quests!$1:$1,0)+1,FALSE)</f>
        <v>星空の歌姫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2</v>
      </c>
      <c r="G6" s="23" t="str">
        <f t="shared" si="1"/>
        <v>39009_2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【中級】星空の歌姫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39009_2-2</v>
      </c>
      <c r="B7" s="16" t="str">
        <f>IF(COUNTIF(enemy_habitats!$H:$H,A7),"OK","NG")</f>
        <v>OK</v>
      </c>
      <c r="C7" s="7">
        <v>39009</v>
      </c>
      <c r="D7" s="11" t="str">
        <f ca="1">VLOOKUP($C7,OFFSET([2]quests!$A$1,0,0,COUNTA([2]quests!$A:$A),MATCH(D$1,[2]quests!$1:$1,0)-MATCH($C$1,[2]quests!$1:$1,0)+1),MATCH(D$1,[2]quests!$1:$1,0)-MATCH($C$1,[2]quests!$1:$1,0)+1,FALSE)</f>
        <v>星空の歌姫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1">
        <v>2</v>
      </c>
      <c r="G7" s="23" t="str">
        <f t="shared" si="1"/>
        <v>39009_2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【中級】星空の歌姫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39009_2-3</v>
      </c>
      <c r="B8" s="16" t="str">
        <f>IF(COUNTIF(enemy_habitats!$H:$H,A8),"OK","NG")</f>
        <v>OK</v>
      </c>
      <c r="C8" s="7">
        <v>39009</v>
      </c>
      <c r="D8" s="11" t="str">
        <f ca="1">VLOOKUP($C8,OFFSET([2]quests!$A$1,0,0,COUNTA([2]quests!$A:$A),MATCH(D$1,[2]quests!$1:$1,0)-MATCH($C$1,[2]quests!$1:$1,0)+1),MATCH(D$1,[2]quests!$1:$1,0)-MATCH($C$1,[2]quests!$1:$1,0)+1,FALSE)</f>
        <v>星空の歌姫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1">
        <v>2</v>
      </c>
      <c r="G8" s="23" t="str">
        <f t="shared" si="1"/>
        <v>39009_2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【中級】星空の歌姫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39009_2-4</v>
      </c>
      <c r="B9" s="16" t="str">
        <f>IF(COUNTIF(enemy_habitats!$H:$H,A9),"OK","NG")</f>
        <v>OK</v>
      </c>
      <c r="C9" s="7">
        <v>39009</v>
      </c>
      <c r="D9" s="11" t="str">
        <f ca="1">VLOOKUP($C9,OFFSET([2]quests!$A$1,0,0,COUNTA([2]quests!$A:$A),MATCH(D$1,[2]quests!$1:$1,0)-MATCH($C$1,[2]quests!$1:$1,0)+1),MATCH(D$1,[2]quests!$1:$1,0)-MATCH($C$1,[2]quests!$1:$1,0)+1,FALSE)</f>
        <v>星空の歌姫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1">
        <v>2</v>
      </c>
      <c r="G9" s="23" t="str">
        <f t="shared" si="1"/>
        <v>39009_2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【中級】星空の歌姫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39009_3-1</v>
      </c>
      <c r="B10" s="16" t="str">
        <f>IF(COUNTIF(enemy_habitats!$H:$H,A10),"OK","NG")</f>
        <v>OK</v>
      </c>
      <c r="C10" s="7">
        <v>39009</v>
      </c>
      <c r="D10" s="11" t="str">
        <f ca="1">VLOOKUP($C10,OFFSET([2]quests!$A$1,0,0,COUNTA([2]quests!$A:$A),MATCH(D$1,[2]quests!$1:$1,0)-MATCH($C$1,[2]quests!$1:$1,0)+1),MATCH(D$1,[2]quests!$1:$1,0)-MATCH($C$1,[2]quests!$1:$1,0)+1,FALSE)</f>
        <v>星空の歌姫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1">
        <v>3</v>
      </c>
      <c r="G10" s="23" t="str">
        <f t="shared" si="1"/>
        <v>39009_3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【上級】星空の歌姫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39009_3-2</v>
      </c>
      <c r="B11" s="16" t="str">
        <f>IF(COUNTIF(enemy_habitats!$H:$H,A11),"OK","NG")</f>
        <v>OK</v>
      </c>
      <c r="C11" s="7">
        <v>39009</v>
      </c>
      <c r="D11" s="11" t="str">
        <f ca="1">VLOOKUP($C11,OFFSET([2]quests!$A$1,0,0,COUNTA([2]quests!$A:$A),MATCH(D$1,[2]quests!$1:$1,0)-MATCH($C$1,[2]quests!$1:$1,0)+1),MATCH(D$1,[2]quests!$1:$1,0)-MATCH($C$1,[2]quests!$1:$1,0)+1,FALSE)</f>
        <v>星空の歌姫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1">
        <v>3</v>
      </c>
      <c r="G11" s="23" t="str">
        <f t="shared" si="1"/>
        <v>39009_3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【上級】星空の歌姫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39009_3-3</v>
      </c>
      <c r="B12" s="16" t="str">
        <f>IF(COUNTIF(enemy_habitats!$H:$H,A12),"OK","NG")</f>
        <v>OK</v>
      </c>
      <c r="C12" s="7">
        <v>39009</v>
      </c>
      <c r="D12" s="11" t="str">
        <f ca="1">VLOOKUP($C12,OFFSET([2]quests!$A$1,0,0,COUNTA([2]quests!$A:$A),MATCH(D$1,[2]quests!$1:$1,0)-MATCH($C$1,[2]quests!$1:$1,0)+1),MATCH(D$1,[2]quests!$1:$1,0)-MATCH($C$1,[2]quests!$1:$1,0)+1,FALSE)</f>
        <v>星空の歌姫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1">
        <v>3</v>
      </c>
      <c r="G12" s="23" t="str">
        <f t="shared" si="1"/>
        <v>39009_3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【上級】星空の歌姫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39009_3-4</v>
      </c>
      <c r="B13" s="16" t="str">
        <f>IF(COUNTIF(enemy_habitats!$H:$H,A13),"OK","NG")</f>
        <v>OK</v>
      </c>
      <c r="C13" s="7">
        <v>39009</v>
      </c>
      <c r="D13" s="11" t="str">
        <f ca="1">VLOOKUP($C13,OFFSET([2]quests!$A$1,0,0,COUNTA([2]quests!$A:$A),MATCH(D$1,[2]quests!$1:$1,0)-MATCH($C$1,[2]quests!$1:$1,0)+1),MATCH(D$1,[2]quests!$1:$1,0)-MATCH($C$1,[2]quests!$1:$1,0)+1,FALSE)</f>
        <v>星空の歌姫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1">
        <v>3</v>
      </c>
      <c r="G13" s="23" t="str">
        <f t="shared" si="1"/>
        <v>39009_3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【上級】星空の歌姫</v>
      </c>
      <c r="I13" s="21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si="0"/>
        <v>39009_4-1</v>
      </c>
      <c r="B14" s="16" t="str">
        <f>IF(COUNTIF(enemy_habitats!$H:$H,A14),"OK","NG")</f>
        <v>OK</v>
      </c>
      <c r="C14" s="7">
        <v>39009</v>
      </c>
      <c r="D14" s="11" t="str">
        <f ca="1">VLOOKUP($C14,OFFSET([2]quests!$A$1,0,0,COUNTA([2]quests!$A:$A),MATCH(D$1,[2]quests!$1:$1,0)-MATCH($C$1,[2]quests!$1:$1,0)+1),MATCH(D$1,[2]quests!$1:$1,0)-MATCH($C$1,[2]quests!$1:$1,0)+1,FALSE)</f>
        <v>星空の歌姫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1">
        <v>4</v>
      </c>
      <c r="G14" s="23" t="str">
        <f t="shared" si="1"/>
        <v>39009_4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【超級】星空の歌姫</v>
      </c>
      <c r="I14" s="21">
        <v>1</v>
      </c>
      <c r="J14" s="12">
        <v>60</v>
      </c>
      <c r="K14" s="12">
        <v>60</v>
      </c>
    </row>
    <row r="15" spans="1:11" ht="21" customHeight="1" x14ac:dyDescent="0.15">
      <c r="A15" s="16" t="str">
        <f t="shared" si="0"/>
        <v>39009_4-2</v>
      </c>
      <c r="B15" s="16" t="str">
        <f>IF(COUNTIF(enemy_habitats!$H:$H,A15),"OK","NG")</f>
        <v>OK</v>
      </c>
      <c r="C15" s="7">
        <v>39009</v>
      </c>
      <c r="D15" s="11" t="str">
        <f ca="1">VLOOKUP($C15,OFFSET([2]quests!$A$1,0,0,COUNTA([2]quests!$A:$A),MATCH(D$1,[2]quests!$1:$1,0)-MATCH($C$1,[2]quests!$1:$1,0)+1),MATCH(D$1,[2]quests!$1:$1,0)-MATCH($C$1,[2]quests!$1:$1,0)+1,FALSE)</f>
        <v>星空の歌姫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1">
        <v>4</v>
      </c>
      <c r="G15" s="23" t="str">
        <f t="shared" si="1"/>
        <v>39009_4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【超級】星空の歌姫</v>
      </c>
      <c r="I15" s="21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0"/>
        <v>39009_4-3</v>
      </c>
      <c r="B16" s="16" t="str">
        <f>IF(COUNTIF(enemy_habitats!$H:$H,A16),"OK","NG")</f>
        <v>OK</v>
      </c>
      <c r="C16" s="7">
        <v>39009</v>
      </c>
      <c r="D16" s="11" t="str">
        <f ca="1">VLOOKUP($C16,OFFSET([2]quests!$A$1,0,0,COUNTA([2]quests!$A:$A),MATCH(D$1,[2]quests!$1:$1,0)-MATCH($C$1,[2]quests!$1:$1,0)+1),MATCH(D$1,[2]quests!$1:$1,0)-MATCH($C$1,[2]quests!$1:$1,0)+1,FALSE)</f>
        <v>星空の歌姫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1">
        <v>4</v>
      </c>
      <c r="G16" s="23" t="str">
        <f t="shared" si="1"/>
        <v>39009_4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【超級】星空の歌姫</v>
      </c>
      <c r="I16" s="21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0"/>
        <v>39009_4-4</v>
      </c>
      <c r="B17" s="16" t="str">
        <f>IF(COUNTIF(enemy_habitats!$H:$H,A17),"OK","NG")</f>
        <v>OK</v>
      </c>
      <c r="C17" s="7">
        <v>39009</v>
      </c>
      <c r="D17" s="11" t="str">
        <f ca="1">VLOOKUP($C17,OFFSET([2]quests!$A$1,0,0,COUNTA([2]quests!$A:$A),MATCH(D$1,[2]quests!$1:$1,0)-MATCH($C$1,[2]quests!$1:$1,0)+1),MATCH(D$1,[2]quests!$1:$1,0)-MATCH($C$1,[2]quests!$1:$1,0)+1,FALSE)</f>
        <v>星空の歌姫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1">
        <v>4</v>
      </c>
      <c r="G17" s="23" t="str">
        <f t="shared" si="1"/>
        <v>39009_4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【超級】星空の歌姫</v>
      </c>
      <c r="I17" s="21">
        <v>4</v>
      </c>
      <c r="J17" s="12">
        <v>60</v>
      </c>
      <c r="K17" s="12">
        <v>60</v>
      </c>
    </row>
    <row r="18" spans="1:11" ht="21" customHeight="1" x14ac:dyDescent="0.15">
      <c r="A18" s="16" t="str">
        <f t="shared" si="0"/>
        <v>39009_5-1</v>
      </c>
      <c r="B18" s="16" t="str">
        <f>IF(COUNTIF(enemy_habitats!$H:$H,A18),"OK","NG")</f>
        <v>OK</v>
      </c>
      <c r="C18" s="7">
        <v>39009</v>
      </c>
      <c r="D18" s="11" t="str">
        <f ca="1">VLOOKUP($C18,OFFSET([2]quests!$A$1,0,0,COUNTA([2]quests!$A:$A),MATCH(D$1,[2]quests!$1:$1,0)-MATCH($C$1,[2]quests!$1:$1,0)+1),MATCH(D$1,[2]quests!$1:$1,0)-MATCH($C$1,[2]quests!$1:$1,0)+1,FALSE)</f>
        <v>星空の歌姫</v>
      </c>
      <c r="E18" s="18" t="str">
        <f ca="1">VLOOKUP($C18,OFFSET([2]quests!$A$1,0,0,COUNTA([2]quests!$A:$A),MATCH(E$1,[2]quests!$1:$1,0)-MATCH($C$1,[2]quests!$1:$1,0)+1),MATCH(E$1,[2]quests!$1:$1,0)-MATCH($C$1,[2]quests!$1:$1,0)+1,FALSE)</f>
        <v>コラボクエスト</v>
      </c>
      <c r="F18" s="21">
        <v>5</v>
      </c>
      <c r="G18" s="23" t="str">
        <f t="shared" si="1"/>
        <v>39009_5</v>
      </c>
      <c r="H18" s="15" t="str">
        <f ca="1">VLOOKUP($G18,OFFSET([2]stages!$A$1,0,0,COUNTA([2]stages!$A:$A),MATCH(H$1,[2]stages!$2:$2,0)-MATCH($G$1,[2]stages!$2:$2,0)+1),MATCH(H$1,[2]stages!$2:$2,0)-MATCH($G$1,[2]stages!$2:$2,0)+1,FALSE)</f>
        <v>【超絶級】星空の歌姫</v>
      </c>
      <c r="I18" s="21">
        <v>1</v>
      </c>
      <c r="J18" s="12">
        <v>60</v>
      </c>
      <c r="K18" s="12">
        <v>60</v>
      </c>
    </row>
    <row r="19" spans="1:11" ht="21" customHeight="1" x14ac:dyDescent="0.15">
      <c r="A19" s="16" t="str">
        <f t="shared" si="0"/>
        <v>39009_5-2</v>
      </c>
      <c r="B19" s="16" t="str">
        <f>IF(COUNTIF(enemy_habitats!$H:$H,A19),"OK","NG")</f>
        <v>OK</v>
      </c>
      <c r="C19" s="7">
        <v>39009</v>
      </c>
      <c r="D19" s="11" t="str">
        <f ca="1">VLOOKUP($C19,OFFSET([2]quests!$A$1,0,0,COUNTA([2]quests!$A:$A),MATCH(D$1,[2]quests!$1:$1,0)-MATCH($C$1,[2]quests!$1:$1,0)+1),MATCH(D$1,[2]quests!$1:$1,0)-MATCH($C$1,[2]quests!$1:$1,0)+1,FALSE)</f>
        <v>星空の歌姫</v>
      </c>
      <c r="E19" s="18" t="str">
        <f ca="1">VLOOKUP($C19,OFFSET([2]quests!$A$1,0,0,COUNTA([2]quests!$A:$A),MATCH(E$1,[2]quests!$1:$1,0)-MATCH($C$1,[2]quests!$1:$1,0)+1),MATCH(E$1,[2]quests!$1:$1,0)-MATCH($C$1,[2]quests!$1:$1,0)+1,FALSE)</f>
        <v>コラボクエスト</v>
      </c>
      <c r="F19" s="21">
        <v>5</v>
      </c>
      <c r="G19" s="23" t="str">
        <f t="shared" si="1"/>
        <v>39009_5</v>
      </c>
      <c r="H19" s="15" t="str">
        <f ca="1">VLOOKUP($G19,OFFSET([2]stages!$A$1,0,0,COUNTA([2]stages!$A:$A),MATCH(H$1,[2]stages!$2:$2,0)-MATCH($G$1,[2]stages!$2:$2,0)+1),MATCH(H$1,[2]stages!$2:$2,0)-MATCH($G$1,[2]stages!$2:$2,0)+1,FALSE)</f>
        <v>【超絶級】星空の歌姫</v>
      </c>
      <c r="I19" s="21">
        <v>2</v>
      </c>
      <c r="J19" s="12">
        <v>60</v>
      </c>
      <c r="K19" s="12">
        <v>60</v>
      </c>
    </row>
    <row r="20" spans="1:11" ht="21" customHeight="1" x14ac:dyDescent="0.15">
      <c r="A20" s="16" t="str">
        <f t="shared" si="0"/>
        <v>39009_5-3</v>
      </c>
      <c r="B20" s="16" t="str">
        <f>IF(COUNTIF(enemy_habitats!$H:$H,A20),"OK","NG")</f>
        <v>OK</v>
      </c>
      <c r="C20" s="7">
        <v>39009</v>
      </c>
      <c r="D20" s="11" t="str">
        <f ca="1">VLOOKUP($C20,OFFSET([2]quests!$A$1,0,0,COUNTA([2]quests!$A:$A),MATCH(D$1,[2]quests!$1:$1,0)-MATCH($C$1,[2]quests!$1:$1,0)+1),MATCH(D$1,[2]quests!$1:$1,0)-MATCH($C$1,[2]quests!$1:$1,0)+1,FALSE)</f>
        <v>星空の歌姫</v>
      </c>
      <c r="E20" s="18" t="str">
        <f ca="1">VLOOKUP($C20,OFFSET([2]quests!$A$1,0,0,COUNTA([2]quests!$A:$A),MATCH(E$1,[2]quests!$1:$1,0)-MATCH($C$1,[2]quests!$1:$1,0)+1),MATCH(E$1,[2]quests!$1:$1,0)-MATCH($C$1,[2]quests!$1:$1,0)+1,FALSE)</f>
        <v>コラボクエスト</v>
      </c>
      <c r="F20" s="21">
        <v>5</v>
      </c>
      <c r="G20" s="23" t="str">
        <f t="shared" si="1"/>
        <v>39009_5</v>
      </c>
      <c r="H20" s="15" t="str">
        <f ca="1">VLOOKUP($G20,OFFSET([2]stages!$A$1,0,0,COUNTA([2]stages!$A:$A),MATCH(H$1,[2]stages!$2:$2,0)-MATCH($G$1,[2]stages!$2:$2,0)+1),MATCH(H$1,[2]stages!$2:$2,0)-MATCH($G$1,[2]stages!$2:$2,0)+1,FALSE)</f>
        <v>【超絶級】星空の歌姫</v>
      </c>
      <c r="I20" s="21">
        <v>3</v>
      </c>
      <c r="J20" s="12">
        <v>60</v>
      </c>
      <c r="K20" s="12">
        <v>60</v>
      </c>
    </row>
    <row r="21" spans="1:11" ht="21" customHeight="1" x14ac:dyDescent="0.15">
      <c r="A21" s="16" t="str">
        <f t="shared" si="0"/>
        <v>39009_5-4</v>
      </c>
      <c r="B21" s="16" t="str">
        <f>IF(COUNTIF(enemy_habitats!$H:$H,A21),"OK","NG")</f>
        <v>OK</v>
      </c>
      <c r="C21" s="7">
        <v>39009</v>
      </c>
      <c r="D21" s="11" t="str">
        <f ca="1">VLOOKUP($C21,OFFSET([2]quests!$A$1,0,0,COUNTA([2]quests!$A:$A),MATCH(D$1,[2]quests!$1:$1,0)-MATCH($C$1,[2]quests!$1:$1,0)+1),MATCH(D$1,[2]quests!$1:$1,0)-MATCH($C$1,[2]quests!$1:$1,0)+1,FALSE)</f>
        <v>星空の歌姫</v>
      </c>
      <c r="E21" s="18" t="str">
        <f ca="1">VLOOKUP($C21,OFFSET([2]quests!$A$1,0,0,COUNTA([2]quests!$A:$A),MATCH(E$1,[2]quests!$1:$1,0)-MATCH($C$1,[2]quests!$1:$1,0)+1),MATCH(E$1,[2]quests!$1:$1,0)-MATCH($C$1,[2]quests!$1:$1,0)+1,FALSE)</f>
        <v>コラボクエスト</v>
      </c>
      <c r="F21" s="21">
        <v>5</v>
      </c>
      <c r="G21" s="23" t="str">
        <f t="shared" si="1"/>
        <v>39009_5</v>
      </c>
      <c r="H21" s="15" t="str">
        <f ca="1">VLOOKUP($G21,OFFSET([2]stages!$A$1,0,0,COUNTA([2]stages!$A:$A),MATCH(H$1,[2]stages!$2:$2,0)-MATCH($G$1,[2]stages!$2:$2,0)+1),MATCH(H$1,[2]stages!$2:$2,0)-MATCH($G$1,[2]stages!$2:$2,0)+1,FALSE)</f>
        <v>【超絶級】星空の歌姫</v>
      </c>
      <c r="I21" s="21">
        <v>4</v>
      </c>
      <c r="J21" s="12">
        <v>60</v>
      </c>
      <c r="K2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01"/>
  <sheetViews>
    <sheetView showGridLines="0" zoomScale="75" zoomScaleNormal="75" zoomScalePageLayoutView="75" workbookViewId="0">
      <pane xSplit="17" ySplit="1" topLeftCell="R5" activePane="bottomRight" state="frozen"/>
      <selection pane="topRight" activeCell="N1" sqref="N1"/>
      <selection pane="bottomLeft" activeCell="A2" sqref="A2"/>
      <selection pane="bottomRight" activeCell="U38" sqref="U3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7" t="s">
        <v>250</v>
      </c>
      <c r="U1" s="26" t="s">
        <v>50</v>
      </c>
      <c r="V1" s="97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21" si="0">B2&amp;"_"&amp;C2&amp;"-"&amp;G2&amp;"/"&amp;L2&amp;"&lt;lv"&amp;R2&amp;"&gt;s"&amp;AC2</f>
        <v>39009_1-1/529&lt;lv10&gt;s1</v>
      </c>
      <c r="B2" s="22">
        <v>39009</v>
      </c>
      <c r="C2" s="21">
        <v>1</v>
      </c>
      <c r="D2" s="2" t="str">
        <f t="shared" ref="D2:D21" si="1">B2&amp;"_"&amp;C2</f>
        <v>39009_1</v>
      </c>
      <c r="E2" s="4" t="str">
        <f ca="1">VLOOKUP($B2,OFFSET([2]quests!$A$1,0,0,COUNTA([2]quests!$A:$A),MATCH(E$1,[2]quests!$1:$1,0)-MATCH($B$1,[2]quests!$1:$1,0)+1),MATCH(E$1,[2]quests!$1:$1,0)-MATCH($B$1,[2]quests!$1:$1,0)+1,FALSE)</f>
        <v>星空の歌姫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【初級】星空の歌姫</v>
      </c>
      <c r="G2" s="21">
        <v>1</v>
      </c>
      <c r="H2" s="15" t="str">
        <f t="shared" ref="H2:H21" si="2">B2&amp;"_"&amp;C2&amp;"-"&amp;G2</f>
        <v>39009_1-1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529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冬服ジェリー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25">
        <v>0.8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1840</v>
      </c>
      <c r="U2" s="25">
        <v>0.3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283.5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62">
        <v>0</v>
      </c>
      <c r="Z2" s="6">
        <v>0</v>
      </c>
      <c r="AA2" s="6">
        <v>100</v>
      </c>
      <c r="AB2" s="6">
        <v>0</v>
      </c>
      <c r="AC2" s="100">
        <v>1</v>
      </c>
      <c r="AD2" s="24">
        <f t="shared" ref="AD2:AD21" si="3">L2</f>
        <v>529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21" ca="1" si="4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39009_1-1/530&lt;lv10&gt;s2</v>
      </c>
      <c r="B3" s="22">
        <v>39009</v>
      </c>
      <c r="C3" s="21">
        <v>1</v>
      </c>
      <c r="D3" s="2" t="str">
        <f t="shared" si="1"/>
        <v>39009_1</v>
      </c>
      <c r="E3" s="4" t="str">
        <f ca="1">VLOOKUP($B3,OFFSET([2]quests!$A$1,0,0,COUNTA([2]quests!$A:$A),MATCH(E$1,[2]quests!$1:$1,0)-MATCH($B$1,[2]quests!$1:$1,0)+1),MATCH(E$1,[2]quests!$1:$1,0)-MATCH($B$1,[2]quests!$1:$1,0)+1,FALSE)</f>
        <v>星空の歌姫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【初級】星空の歌姫</v>
      </c>
      <c r="G3" s="21">
        <v>1</v>
      </c>
      <c r="H3" s="15" t="str">
        <f t="shared" si="2"/>
        <v>39009_1-1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冬服ジョー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1.1000000000000001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2580.6000000000004</v>
      </c>
      <c r="U3" s="25">
        <v>0.5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338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2">
        <v>0</v>
      </c>
      <c r="Z3" s="6">
        <v>0</v>
      </c>
      <c r="AA3" s="6">
        <v>100</v>
      </c>
      <c r="AB3" s="6">
        <v>0</v>
      </c>
      <c r="AC3" s="100">
        <v>2</v>
      </c>
      <c r="AD3" s="24">
        <f t="shared" si="3"/>
        <v>530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ca="1" si="4"/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39009_1-1/531&lt;lv10&gt;s3</v>
      </c>
      <c r="B4" s="22">
        <v>39009</v>
      </c>
      <c r="C4" s="21">
        <v>1</v>
      </c>
      <c r="D4" s="2" t="str">
        <f t="shared" si="1"/>
        <v>39009_1</v>
      </c>
      <c r="E4" s="4" t="str">
        <f ca="1">VLOOKUP($B4,OFFSET([2]quests!$A$1,0,0,COUNTA([2]quests!$A:$A),MATCH(E$1,[2]quests!$1:$1,0)-MATCH($B$1,[2]quests!$1:$1,0)+1),MATCH(E$1,[2]quests!$1:$1,0)-MATCH($B$1,[2]quests!$1:$1,0)+1,FALSE)</f>
        <v>星空の歌姫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【初級】星空の歌姫</v>
      </c>
      <c r="G4" s="21">
        <v>1</v>
      </c>
      <c r="H4" s="15" t="str">
        <f t="shared" si="2"/>
        <v>39009_1-1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531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冬服ポチ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5">
        <v>0.7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1288</v>
      </c>
      <c r="U4" s="25">
        <v>0.5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263.5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62">
        <v>0</v>
      </c>
      <c r="Z4" s="6">
        <v>0</v>
      </c>
      <c r="AA4" s="6">
        <v>100</v>
      </c>
      <c r="AB4" s="6">
        <v>0</v>
      </c>
      <c r="AC4" s="100">
        <v>3</v>
      </c>
      <c r="AD4" s="24">
        <f t="shared" si="3"/>
        <v>531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4">
        <f t="shared" ca="1" si="4"/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39009_1-1/532&lt;lv10&gt;s2</v>
      </c>
      <c r="B5" s="22">
        <v>39009</v>
      </c>
      <c r="C5" s="21">
        <v>1</v>
      </c>
      <c r="D5" s="2" t="str">
        <f t="shared" si="1"/>
        <v>39009_1</v>
      </c>
      <c r="E5" s="4" t="str">
        <f ca="1">VLOOKUP($B5,OFFSET([2]quests!$A$1,0,0,COUNTA([2]quests!$A:$A),MATCH(E$1,[2]quests!$1:$1,0)-MATCH($B$1,[2]quests!$1:$1,0)+1),MATCH(E$1,[2]quests!$1:$1,0)-MATCH($B$1,[2]quests!$1:$1,0)+1,FALSE)</f>
        <v>星空の歌姫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【初級】星空の歌姫</v>
      </c>
      <c r="G5" s="21">
        <v>1</v>
      </c>
      <c r="H5" s="15" t="str">
        <f t="shared" si="2"/>
        <v>39009_1-1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532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冬服エレキポット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5">
        <v>0.9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2028.6000000000001</v>
      </c>
      <c r="U5" s="25">
        <v>0.3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278.09999999999997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62">
        <v>0</v>
      </c>
      <c r="Z5" s="6">
        <v>0</v>
      </c>
      <c r="AA5" s="6">
        <v>100</v>
      </c>
      <c r="AB5" s="6">
        <v>0</v>
      </c>
      <c r="AC5" s="100">
        <v>2</v>
      </c>
      <c r="AD5" s="24">
        <f t="shared" si="3"/>
        <v>532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ca="1" si="4"/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39009_1-1/533&lt;lv10&gt;s3</v>
      </c>
      <c r="B6" s="22">
        <v>39009</v>
      </c>
      <c r="C6" s="21">
        <v>1</v>
      </c>
      <c r="D6" s="2" t="str">
        <f t="shared" si="1"/>
        <v>39009_1</v>
      </c>
      <c r="E6" s="4" t="str">
        <f ca="1">VLOOKUP($B6,OFFSET([2]quests!$A$1,0,0,COUNTA([2]quests!$A:$A),MATCH(E$1,[2]quests!$1:$1,0)-MATCH($B$1,[2]quests!$1:$1,0)+1),MATCH(E$1,[2]quests!$1:$1,0)-MATCH($B$1,[2]quests!$1:$1,0)+1,FALSE)</f>
        <v>星空の歌姫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【初級】星空の歌姫</v>
      </c>
      <c r="G6" s="21">
        <v>1</v>
      </c>
      <c r="H6" s="15" t="str">
        <f t="shared" si="2"/>
        <v>39009_1-1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533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冬服アカネ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0.9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1945.8</v>
      </c>
      <c r="U6" s="25">
        <v>0.6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418.2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62">
        <v>0</v>
      </c>
      <c r="Z6" s="6">
        <v>0</v>
      </c>
      <c r="AA6" s="6">
        <v>100</v>
      </c>
      <c r="AB6" s="6">
        <v>0</v>
      </c>
      <c r="AC6" s="100">
        <v>3</v>
      </c>
      <c r="AD6" s="24">
        <f t="shared" si="3"/>
        <v>533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Drop1W</v>
      </c>
      <c r="AH6" s="7">
        <v>1</v>
      </c>
      <c r="AI6" s="24">
        <f t="shared" ca="1" si="4"/>
        <v>1</v>
      </c>
      <c r="AJ6" s="8">
        <v>20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39009_1-1/534&lt;lv10&gt;s1</v>
      </c>
      <c r="B7" s="22">
        <v>39009</v>
      </c>
      <c r="C7" s="21">
        <v>1</v>
      </c>
      <c r="D7" s="2" t="str">
        <f t="shared" si="1"/>
        <v>39009_1</v>
      </c>
      <c r="E7" s="4" t="str">
        <f ca="1">VLOOKUP($B7,OFFSET([2]quests!$A$1,0,0,COUNTA([2]quests!$A:$A),MATCH(E$1,[2]quests!$1:$1,0)-MATCH($B$1,[2]quests!$1:$1,0)+1),MATCH(E$1,[2]quests!$1:$1,0)-MATCH($B$1,[2]quests!$1:$1,0)+1,FALSE)</f>
        <v>星空の歌姫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【初級】星空の歌姫</v>
      </c>
      <c r="G7" s="21">
        <v>1</v>
      </c>
      <c r="H7" s="15" t="str">
        <f t="shared" si="2"/>
        <v>39009_1-1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534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冬服パトライン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25">
        <v>1.4</v>
      </c>
      <c r="T7" s="9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2627.7999999999997</v>
      </c>
      <c r="U7" s="25">
        <v>0.5</v>
      </c>
      <c r="V7" s="9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263.5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62">
        <v>0</v>
      </c>
      <c r="Z7" s="6">
        <v>0</v>
      </c>
      <c r="AA7" s="6">
        <v>100</v>
      </c>
      <c r="AB7" s="6">
        <v>0</v>
      </c>
      <c r="AC7" s="100">
        <v>1</v>
      </c>
      <c r="AD7" s="24">
        <f t="shared" si="3"/>
        <v>534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7">
        <v>1</v>
      </c>
      <c r="AI7" s="24">
        <f t="shared" ca="1" si="4"/>
        <v>1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39009_1-1/535&lt;lv10&gt;s2</v>
      </c>
      <c r="B8" s="22">
        <v>39009</v>
      </c>
      <c r="C8" s="21">
        <v>1</v>
      </c>
      <c r="D8" s="2" t="str">
        <f t="shared" si="1"/>
        <v>39009_1</v>
      </c>
      <c r="E8" s="4" t="str">
        <f ca="1">VLOOKUP($B8,OFFSET([2]quests!$A$1,0,0,COUNTA([2]quests!$A:$A),MATCH(E$1,[2]quests!$1:$1,0)-MATCH($B$1,[2]quests!$1:$1,0)+1),MATCH(E$1,[2]quests!$1:$1,0)-MATCH($B$1,[2]quests!$1:$1,0)+1,FALSE)</f>
        <v>星空の歌姫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【初級】星空の歌姫</v>
      </c>
      <c r="G8" s="21">
        <v>1</v>
      </c>
      <c r="H8" s="15" t="str">
        <f t="shared" si="2"/>
        <v>39009_1-1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535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冬服リム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10</v>
      </c>
      <c r="S8" s="25">
        <v>0.6</v>
      </c>
      <c r="T8" s="9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1297.2</v>
      </c>
      <c r="U8" s="25">
        <v>0.4</v>
      </c>
      <c r="V8" s="9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267.60000000000002</v>
      </c>
      <c r="W8" s="5">
        <v>0</v>
      </c>
      <c r="X8" s="4" t="e">
        <f ca="1">VLOOKUP($Y8,OFFSET(enemy_skill_sets!$B$1,0,0,COUNTA(enemy_skill_sets!$B:$B),MATCH(M$1,enemy_skill_sets!$1:$1,0)-MATCH($Y$1,enemy_skill_sets!$1:$1,0)+2),MATCH(M$1,enemy_skill_sets!$1:$1,0)-MATCH($Y$1,enemy_skill_sets!$1:$1,0)+2,FALSE)</f>
        <v>#N/A</v>
      </c>
      <c r="Y8" s="62">
        <v>0</v>
      </c>
      <c r="Z8" s="6">
        <v>0</v>
      </c>
      <c r="AA8" s="6">
        <v>100</v>
      </c>
      <c r="AB8" s="6">
        <v>0</v>
      </c>
      <c r="AC8" s="100">
        <v>2</v>
      </c>
      <c r="AD8" s="24">
        <f t="shared" si="3"/>
        <v>535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7">
        <v>1</v>
      </c>
      <c r="AI8" s="24">
        <f t="shared" ca="1" si="4"/>
        <v>1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39009_1-1/536&lt;lv10&gt;s2</v>
      </c>
      <c r="B9" s="22">
        <v>39009</v>
      </c>
      <c r="C9" s="21">
        <v>1</v>
      </c>
      <c r="D9" s="2" t="str">
        <f t="shared" si="1"/>
        <v>39009_1</v>
      </c>
      <c r="E9" s="4" t="str">
        <f ca="1">VLOOKUP($B9,OFFSET([2]quests!$A$1,0,0,COUNTA([2]quests!$A:$A),MATCH(E$1,[2]quests!$1:$1,0)-MATCH($B$1,[2]quests!$1:$1,0)+1),MATCH(E$1,[2]quests!$1:$1,0)-MATCH($B$1,[2]quests!$1:$1,0)+1,FALSE)</f>
        <v>星空の歌姫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【初級】星空の歌姫</v>
      </c>
      <c r="G9" s="21">
        <v>1</v>
      </c>
      <c r="H9" s="15" t="str">
        <f t="shared" si="2"/>
        <v>39009_1-1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536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冬服ミミ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0.9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2028.6000000000001</v>
      </c>
      <c r="U9" s="25">
        <v>0.3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306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62">
        <v>0</v>
      </c>
      <c r="Z9" s="6">
        <v>0</v>
      </c>
      <c r="AA9" s="6">
        <v>100</v>
      </c>
      <c r="AB9" s="6">
        <v>0</v>
      </c>
      <c r="AC9" s="100">
        <v>2</v>
      </c>
      <c r="AD9" s="24">
        <f t="shared" si="3"/>
        <v>536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7">
        <v>1</v>
      </c>
      <c r="AI9" s="24">
        <f t="shared" ca="1" si="4"/>
        <v>1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39009_1-2/1297&lt;lv10&gt;s2</v>
      </c>
      <c r="B10" s="22">
        <v>39009</v>
      </c>
      <c r="C10" s="21">
        <v>1</v>
      </c>
      <c r="D10" s="2" t="str">
        <f t="shared" si="1"/>
        <v>39009_1</v>
      </c>
      <c r="E10" s="4" t="str">
        <f ca="1">VLOOKUP($B10,OFFSET([2]quests!$A$1,0,0,COUNTA([2]quests!$A:$A),MATCH(E$1,[2]quests!$1:$1,0)-MATCH($B$1,[2]quests!$1:$1,0)+1),MATCH(E$1,[2]quests!$1:$1,0)-MATCH($B$1,[2]quests!$1:$1,0)+1,FALSE)</f>
        <v>星空の歌姫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【初級】星空の歌姫</v>
      </c>
      <c r="G10" s="21">
        <v>2</v>
      </c>
      <c r="H10" s="15" t="str">
        <f t="shared" si="2"/>
        <v>39009_1-2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1297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雪ミク2017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10</v>
      </c>
      <c r="S10" s="25">
        <v>0.6</v>
      </c>
      <c r="T10" s="98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11495.4</v>
      </c>
      <c r="U10" s="25">
        <v>1.3</v>
      </c>
      <c r="V10" s="98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1648.4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3ターン防御力UP</v>
      </c>
      <c r="Y10" s="62">
        <v>39009001</v>
      </c>
      <c r="Z10" s="6">
        <v>1</v>
      </c>
      <c r="AA10" s="6">
        <v>100</v>
      </c>
      <c r="AB10" s="6">
        <v>1</v>
      </c>
      <c r="AC10" s="100">
        <v>2</v>
      </c>
      <c r="AD10" s="24">
        <f t="shared" si="3"/>
        <v>1297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4"/>
        <v>5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39009_1-3/529&lt;lv10&gt;s1</v>
      </c>
      <c r="B11" s="22">
        <v>39009</v>
      </c>
      <c r="C11" s="21">
        <v>1</v>
      </c>
      <c r="D11" s="2" t="str">
        <f t="shared" si="1"/>
        <v>39009_1</v>
      </c>
      <c r="E11" s="4" t="str">
        <f ca="1">VLOOKUP($B11,OFFSET([2]quests!$A$1,0,0,COUNTA([2]quests!$A:$A),MATCH(E$1,[2]quests!$1:$1,0)-MATCH($B$1,[2]quests!$1:$1,0)+1),MATCH(E$1,[2]quests!$1:$1,0)-MATCH($B$1,[2]quests!$1:$1,0)+1,FALSE)</f>
        <v>星空の歌姫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【初級】星空の歌姫</v>
      </c>
      <c r="G11" s="21">
        <v>3</v>
      </c>
      <c r="H11" s="15" t="str">
        <f t="shared" si="2"/>
        <v>39009_1-3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529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冬服ジェリー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10</v>
      </c>
      <c r="S11" s="25">
        <v>2.2999999999999998</v>
      </c>
      <c r="T11" s="9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5290</v>
      </c>
      <c r="U11" s="25">
        <v>0.7</v>
      </c>
      <c r="V11" s="9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661.5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62">
        <v>0</v>
      </c>
      <c r="Z11" s="6">
        <v>0</v>
      </c>
      <c r="AA11" s="6">
        <v>100</v>
      </c>
      <c r="AB11" s="6">
        <v>0</v>
      </c>
      <c r="AC11" s="100">
        <v>1</v>
      </c>
      <c r="AD11" s="24">
        <f t="shared" si="3"/>
        <v>529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1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Drop1T</v>
      </c>
      <c r="AH11" s="7">
        <v>1</v>
      </c>
      <c r="AI11" s="24">
        <f t="shared" ca="1" si="4"/>
        <v>1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0"/>
        <v>39009_1-3/530&lt;lv10&gt;s2</v>
      </c>
      <c r="B12" s="22">
        <v>39009</v>
      </c>
      <c r="C12" s="21">
        <v>1</v>
      </c>
      <c r="D12" s="2" t="str">
        <f t="shared" si="1"/>
        <v>39009_1</v>
      </c>
      <c r="E12" s="4" t="str">
        <f ca="1">VLOOKUP($B12,OFFSET([2]quests!$A$1,0,0,COUNTA([2]quests!$A:$A),MATCH(E$1,[2]quests!$1:$1,0)-MATCH($B$1,[2]quests!$1:$1,0)+1),MATCH(E$1,[2]quests!$1:$1,0)-MATCH($B$1,[2]quests!$1:$1,0)+1,FALSE)</f>
        <v>星空の歌姫</v>
      </c>
      <c r="F12" s="4" t="str">
        <f ca="1">VLOOKUP($D12,OFFSET([2]stages!$A$1,0,0,COUNTA([2]stages!$A:$A),MATCH(F$1,[2]stages!$2:$2,0)-MATCH($D$1,[2]stages!$2:$2,0)+1),MATCH(F$1,[2]stages!$2:$2,0)-MATCH($D$1,[2]stages!$2:$2,0)+1,FALSE)</f>
        <v>【初級】星空の歌姫</v>
      </c>
      <c r="G12" s="21">
        <v>3</v>
      </c>
      <c r="H12" s="15" t="str">
        <f t="shared" si="2"/>
        <v>39009_1-3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530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冬服ジョー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10</v>
      </c>
      <c r="S12" s="25">
        <v>3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7038</v>
      </c>
      <c r="U12" s="25">
        <v>1.7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1149.2</v>
      </c>
      <c r="W12" s="5">
        <v>0</v>
      </c>
      <c r="X12" s="4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62">
        <v>0</v>
      </c>
      <c r="Z12" s="6">
        <v>0</v>
      </c>
      <c r="AA12" s="6">
        <v>100</v>
      </c>
      <c r="AB12" s="6">
        <v>0</v>
      </c>
      <c r="AC12" s="100">
        <v>2</v>
      </c>
      <c r="AD12" s="24">
        <f t="shared" si="3"/>
        <v>530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7">
        <v>1</v>
      </c>
      <c r="AI12" s="24">
        <f t="shared" ca="1" si="4"/>
        <v>1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0"/>
        <v>39009_1-3/531&lt;lv10&gt;s3</v>
      </c>
      <c r="B13" s="22">
        <v>39009</v>
      </c>
      <c r="C13" s="21">
        <v>1</v>
      </c>
      <c r="D13" s="2" t="str">
        <f t="shared" si="1"/>
        <v>39009_1</v>
      </c>
      <c r="E13" s="4" t="str">
        <f ca="1">VLOOKUP($B13,OFFSET([2]quests!$A$1,0,0,COUNTA([2]quests!$A:$A),MATCH(E$1,[2]quests!$1:$1,0)-MATCH($B$1,[2]quests!$1:$1,0)+1),MATCH(E$1,[2]quests!$1:$1,0)-MATCH($B$1,[2]quests!$1:$1,0)+1,FALSE)</f>
        <v>星空の歌姫</v>
      </c>
      <c r="F13" s="4" t="str">
        <f ca="1">VLOOKUP($D13,OFFSET([2]stages!$A$1,0,0,COUNTA([2]stages!$A:$A),MATCH(F$1,[2]stages!$2:$2,0)-MATCH($D$1,[2]stages!$2:$2,0)+1),MATCH(F$1,[2]stages!$2:$2,0)-MATCH($D$1,[2]stages!$2:$2,0)+1,FALSE)</f>
        <v>【初級】星空の歌姫</v>
      </c>
      <c r="G13" s="21">
        <v>3</v>
      </c>
      <c r="H13" s="15" t="str">
        <f t="shared" si="2"/>
        <v>39009_1-3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531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冬服ポチ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10</v>
      </c>
      <c r="S13" s="25">
        <v>2.1</v>
      </c>
      <c r="T13" s="98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3864</v>
      </c>
      <c r="U13" s="25">
        <v>1.5</v>
      </c>
      <c r="V13" s="98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790.5</v>
      </c>
      <c r="W13" s="5">
        <v>0</v>
      </c>
      <c r="X13" s="4" t="e">
        <f ca="1">VLOOKUP($Y13,OFFSET(enemy_skill_sets!$B$1,0,0,COUNTA(enemy_skill_sets!$B:$B),MATCH(M$1,enemy_skill_sets!$1:$1,0)-MATCH($Y$1,enemy_skill_sets!$1:$1,0)+2),MATCH(M$1,enemy_skill_sets!$1:$1,0)-MATCH($Y$1,enemy_skill_sets!$1:$1,0)+2,FALSE)</f>
        <v>#N/A</v>
      </c>
      <c r="Y13" s="62">
        <v>0</v>
      </c>
      <c r="Z13" s="6">
        <v>0</v>
      </c>
      <c r="AA13" s="6">
        <v>100</v>
      </c>
      <c r="AB13" s="6">
        <v>0</v>
      </c>
      <c r="AC13" s="100">
        <v>3</v>
      </c>
      <c r="AD13" s="24">
        <f t="shared" si="3"/>
        <v>531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7">
        <v>1</v>
      </c>
      <c r="AI13" s="24">
        <f t="shared" ca="1" si="4"/>
        <v>1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0"/>
        <v>39009_1-3/532&lt;lv10&gt;s2</v>
      </c>
      <c r="B14" s="22">
        <v>39009</v>
      </c>
      <c r="C14" s="21">
        <v>1</v>
      </c>
      <c r="D14" s="2" t="str">
        <f t="shared" si="1"/>
        <v>39009_1</v>
      </c>
      <c r="E14" s="4" t="str">
        <f ca="1">VLOOKUP($B14,OFFSET([2]quests!$A$1,0,0,COUNTA([2]quests!$A:$A),MATCH(E$1,[2]quests!$1:$1,0)-MATCH($B$1,[2]quests!$1:$1,0)+1),MATCH(E$1,[2]quests!$1:$1,0)-MATCH($B$1,[2]quests!$1:$1,0)+1,FALSE)</f>
        <v>星空の歌姫</v>
      </c>
      <c r="F14" s="4" t="str">
        <f ca="1">VLOOKUP($D14,OFFSET([2]stages!$A$1,0,0,COUNTA([2]stages!$A:$A),MATCH(F$1,[2]stages!$2:$2,0)-MATCH($D$1,[2]stages!$2:$2,0)+1),MATCH(F$1,[2]stages!$2:$2,0)-MATCH($D$1,[2]stages!$2:$2,0)+1,FALSE)</f>
        <v>【初級】星空の歌姫</v>
      </c>
      <c r="G14" s="21">
        <v>3</v>
      </c>
      <c r="H14" s="15" t="str">
        <f t="shared" si="2"/>
        <v>39009_1-3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532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冬服エレキポット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10</v>
      </c>
      <c r="S14" s="25">
        <v>2.4</v>
      </c>
      <c r="T14" s="9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5409.5999999999995</v>
      </c>
      <c r="U14" s="25">
        <v>0.9</v>
      </c>
      <c r="V14" s="9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834.30000000000007</v>
      </c>
      <c r="W14" s="5">
        <v>0</v>
      </c>
      <c r="X14" s="4" t="e">
        <f ca="1">VLOOKUP($Y14,OFFSET(enemy_skill_sets!$B$1,0,0,COUNTA(enemy_skill_sets!$B:$B),MATCH(M$1,enemy_skill_sets!$1:$1,0)-MATCH($Y$1,enemy_skill_sets!$1:$1,0)+2),MATCH(M$1,enemy_skill_sets!$1:$1,0)-MATCH($Y$1,enemy_skill_sets!$1:$1,0)+2,FALSE)</f>
        <v>#N/A</v>
      </c>
      <c r="Y14" s="62">
        <v>0</v>
      </c>
      <c r="Z14" s="6">
        <v>0</v>
      </c>
      <c r="AA14" s="6">
        <v>100</v>
      </c>
      <c r="AB14" s="6">
        <v>0</v>
      </c>
      <c r="AC14" s="100">
        <v>2</v>
      </c>
      <c r="AD14" s="24">
        <f t="shared" si="3"/>
        <v>532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Drop1T</v>
      </c>
      <c r="AH14" s="7">
        <v>1</v>
      </c>
      <c r="AI14" s="24">
        <f t="shared" ca="1" si="4"/>
        <v>1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0"/>
        <v>39009_1-3/533&lt;lv10&gt;s3</v>
      </c>
      <c r="B15" s="22">
        <v>39009</v>
      </c>
      <c r="C15" s="21">
        <v>1</v>
      </c>
      <c r="D15" s="2" t="str">
        <f t="shared" si="1"/>
        <v>39009_1</v>
      </c>
      <c r="E15" s="4" t="str">
        <f ca="1">VLOOKUP($B15,OFFSET([2]quests!$A$1,0,0,COUNTA([2]quests!$A:$A),MATCH(E$1,[2]quests!$1:$1,0)-MATCH($B$1,[2]quests!$1:$1,0)+1),MATCH(E$1,[2]quests!$1:$1,0)-MATCH($B$1,[2]quests!$1:$1,0)+1,FALSE)</f>
        <v>星空の歌姫</v>
      </c>
      <c r="F15" s="4" t="str">
        <f ca="1">VLOOKUP($D15,OFFSET([2]stages!$A$1,0,0,COUNTA([2]stages!$A:$A),MATCH(F$1,[2]stages!$2:$2,0)-MATCH($D$1,[2]stages!$2:$2,0)+1),MATCH(F$1,[2]stages!$2:$2,0)-MATCH($D$1,[2]stages!$2:$2,0)+1,FALSE)</f>
        <v>【初級】星空の歌姫</v>
      </c>
      <c r="G15" s="21">
        <v>3</v>
      </c>
      <c r="H15" s="15" t="str">
        <f t="shared" si="2"/>
        <v>39009_1-3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533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冬服アカネ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10</v>
      </c>
      <c r="S15" s="25">
        <v>2.5</v>
      </c>
      <c r="T15" s="98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5405</v>
      </c>
      <c r="U15" s="25">
        <v>1.6</v>
      </c>
      <c r="V15" s="98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1115.2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62">
        <v>0</v>
      </c>
      <c r="Z15" s="6">
        <v>0</v>
      </c>
      <c r="AA15" s="6">
        <v>100</v>
      </c>
      <c r="AB15" s="6">
        <v>0</v>
      </c>
      <c r="AC15" s="100">
        <v>3</v>
      </c>
      <c r="AD15" s="24">
        <f t="shared" si="3"/>
        <v>533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Drop1W</v>
      </c>
      <c r="AH15" s="7">
        <v>1</v>
      </c>
      <c r="AI15" s="24">
        <f t="shared" ca="1" si="4"/>
        <v>1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0"/>
        <v>39009_1-3/534&lt;lv10&gt;s1</v>
      </c>
      <c r="B16" s="22">
        <v>39009</v>
      </c>
      <c r="C16" s="21">
        <v>1</v>
      </c>
      <c r="D16" s="2" t="str">
        <f t="shared" si="1"/>
        <v>39009_1</v>
      </c>
      <c r="E16" s="4" t="str">
        <f ca="1">VLOOKUP($B16,OFFSET([2]quests!$A$1,0,0,COUNTA([2]quests!$A:$A),MATCH(E$1,[2]quests!$1:$1,0)-MATCH($B$1,[2]quests!$1:$1,0)+1),MATCH(E$1,[2]quests!$1:$1,0)-MATCH($B$1,[2]quests!$1:$1,0)+1,FALSE)</f>
        <v>星空の歌姫</v>
      </c>
      <c r="F16" s="4" t="str">
        <f ca="1">VLOOKUP($D16,OFFSET([2]stages!$A$1,0,0,COUNTA([2]stages!$A:$A),MATCH(F$1,[2]stages!$2:$2,0)-MATCH($D$1,[2]stages!$2:$2,0)+1),MATCH(F$1,[2]stages!$2:$2,0)-MATCH($D$1,[2]stages!$2:$2,0)+1,FALSE)</f>
        <v>【初級】星空の歌姫</v>
      </c>
      <c r="G16" s="21">
        <v>3</v>
      </c>
      <c r="H16" s="15" t="str">
        <f t="shared" si="2"/>
        <v>39009_1-3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534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冬服パトライン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10</v>
      </c>
      <c r="S16" s="25">
        <v>3.7</v>
      </c>
      <c r="T16" s="98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6944.9000000000005</v>
      </c>
      <c r="U16" s="25">
        <v>1.4</v>
      </c>
      <c r="V16" s="98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737.8</v>
      </c>
      <c r="W16" s="5">
        <v>0</v>
      </c>
      <c r="X16" s="4" t="e">
        <f ca="1">VLOOKUP($Y16,OFFSET(enemy_skill_sets!$B$1,0,0,COUNTA(enemy_skill_sets!$B:$B),MATCH(M$1,enemy_skill_sets!$1:$1,0)-MATCH($Y$1,enemy_skill_sets!$1:$1,0)+2),MATCH(M$1,enemy_skill_sets!$1:$1,0)-MATCH($Y$1,enemy_skill_sets!$1:$1,0)+2,FALSE)</f>
        <v>#N/A</v>
      </c>
      <c r="Y16" s="62">
        <v>0</v>
      </c>
      <c r="Z16" s="6">
        <v>0</v>
      </c>
      <c r="AA16" s="6">
        <v>100</v>
      </c>
      <c r="AB16" s="6">
        <v>0</v>
      </c>
      <c r="AC16" s="100">
        <v>1</v>
      </c>
      <c r="AD16" s="24">
        <f t="shared" si="3"/>
        <v>534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1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Drop1W</v>
      </c>
      <c r="AH16" s="7">
        <v>1</v>
      </c>
      <c r="AI16" s="24">
        <f t="shared" ca="1" si="4"/>
        <v>1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0"/>
        <v>39009_1-3/535&lt;lv10&gt;s2</v>
      </c>
      <c r="B17" s="22">
        <v>39009</v>
      </c>
      <c r="C17" s="21">
        <v>1</v>
      </c>
      <c r="D17" s="2" t="str">
        <f t="shared" si="1"/>
        <v>39009_1</v>
      </c>
      <c r="E17" s="4" t="str">
        <f ca="1">VLOOKUP($B17,OFFSET([2]quests!$A$1,0,0,COUNTA([2]quests!$A:$A),MATCH(E$1,[2]quests!$1:$1,0)-MATCH($B$1,[2]quests!$1:$1,0)+1),MATCH(E$1,[2]quests!$1:$1,0)-MATCH($B$1,[2]quests!$1:$1,0)+1,FALSE)</f>
        <v>星空の歌姫</v>
      </c>
      <c r="F17" s="4" t="str">
        <f ca="1">VLOOKUP($D17,OFFSET([2]stages!$A$1,0,0,COUNTA([2]stages!$A:$A),MATCH(F$1,[2]stages!$2:$2,0)-MATCH($D$1,[2]stages!$2:$2,0)+1),MATCH(F$1,[2]stages!$2:$2,0)-MATCH($D$1,[2]stages!$2:$2,0)+1,FALSE)</f>
        <v>【初級】星空の歌姫</v>
      </c>
      <c r="G17" s="21">
        <v>3</v>
      </c>
      <c r="H17" s="15" t="str">
        <f t="shared" si="2"/>
        <v>39009_1-3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535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冬服リム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10</v>
      </c>
      <c r="S17" s="25">
        <v>1.8</v>
      </c>
      <c r="T17" s="98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3891.6</v>
      </c>
      <c r="U17" s="25">
        <v>0.9</v>
      </c>
      <c r="V17" s="98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602.1</v>
      </c>
      <c r="W17" s="5">
        <v>0</v>
      </c>
      <c r="X17" s="4" t="e">
        <f ca="1">VLOOKUP($Y17,OFFSET(enemy_skill_sets!$B$1,0,0,COUNTA(enemy_skill_sets!$B:$B),MATCH(M$1,enemy_skill_sets!$1:$1,0)-MATCH($Y$1,enemy_skill_sets!$1:$1,0)+2),MATCH(M$1,enemy_skill_sets!$1:$1,0)-MATCH($Y$1,enemy_skill_sets!$1:$1,0)+2,FALSE)</f>
        <v>#N/A</v>
      </c>
      <c r="Y17" s="62">
        <v>0</v>
      </c>
      <c r="Z17" s="6">
        <v>0</v>
      </c>
      <c r="AA17" s="6">
        <v>100</v>
      </c>
      <c r="AB17" s="6">
        <v>0</v>
      </c>
      <c r="AC17" s="100">
        <v>2</v>
      </c>
      <c r="AD17" s="24">
        <f t="shared" si="3"/>
        <v>535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1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Drop1W</v>
      </c>
      <c r="AH17" s="7">
        <v>1</v>
      </c>
      <c r="AI17" s="24">
        <f t="shared" ca="1" si="4"/>
        <v>1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0"/>
        <v>39009_1-3/536&lt;lv10&gt;s2</v>
      </c>
      <c r="B18" s="22">
        <v>39009</v>
      </c>
      <c r="C18" s="21">
        <v>1</v>
      </c>
      <c r="D18" s="2" t="str">
        <f t="shared" si="1"/>
        <v>39009_1</v>
      </c>
      <c r="E18" s="4" t="str">
        <f ca="1">VLOOKUP($B18,OFFSET([2]quests!$A$1,0,0,COUNTA([2]quests!$A:$A),MATCH(E$1,[2]quests!$1:$1,0)-MATCH($B$1,[2]quests!$1:$1,0)+1),MATCH(E$1,[2]quests!$1:$1,0)-MATCH($B$1,[2]quests!$1:$1,0)+1,FALSE)</f>
        <v>星空の歌姫</v>
      </c>
      <c r="F18" s="4" t="str">
        <f ca="1">VLOOKUP($D18,OFFSET([2]stages!$A$1,0,0,COUNTA([2]stages!$A:$A),MATCH(F$1,[2]stages!$2:$2,0)-MATCH($D$1,[2]stages!$2:$2,0)+1),MATCH(F$1,[2]stages!$2:$2,0)-MATCH($D$1,[2]stages!$2:$2,0)+1,FALSE)</f>
        <v>【初級】星空の歌姫</v>
      </c>
      <c r="G18" s="21">
        <v>3</v>
      </c>
      <c r="H18" s="15" t="str">
        <f t="shared" si="2"/>
        <v>39009_1-3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536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冬服ミミ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10</v>
      </c>
      <c r="S18" s="25">
        <v>2.4</v>
      </c>
      <c r="T18" s="98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5409.5999999999995</v>
      </c>
      <c r="U18" s="25">
        <v>0.8</v>
      </c>
      <c r="V18" s="98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816</v>
      </c>
      <c r="W18" s="5">
        <v>0</v>
      </c>
      <c r="X18" s="4" t="e">
        <f ca="1">VLOOKUP($Y18,OFFSET(enemy_skill_sets!$B$1,0,0,COUNTA(enemy_skill_sets!$B:$B),MATCH(M$1,enemy_skill_sets!$1:$1,0)-MATCH($Y$1,enemy_skill_sets!$1:$1,0)+2),MATCH(M$1,enemy_skill_sets!$1:$1,0)-MATCH($Y$1,enemy_skill_sets!$1:$1,0)+2,FALSE)</f>
        <v>#N/A</v>
      </c>
      <c r="Y18" s="62">
        <v>0</v>
      </c>
      <c r="Z18" s="6">
        <v>0</v>
      </c>
      <c r="AA18" s="6">
        <v>100</v>
      </c>
      <c r="AB18" s="6">
        <v>0</v>
      </c>
      <c r="AC18" s="100">
        <v>2</v>
      </c>
      <c r="AD18" s="24">
        <f t="shared" si="3"/>
        <v>536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1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Drop1W</v>
      </c>
      <c r="AH18" s="7">
        <v>1</v>
      </c>
      <c r="AI18" s="24">
        <f t="shared" ca="1" si="4"/>
        <v>1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0"/>
        <v>39009_1-3/537&lt;lv10&gt;s2</v>
      </c>
      <c r="B19" s="22">
        <v>39009</v>
      </c>
      <c r="C19" s="21">
        <v>1</v>
      </c>
      <c r="D19" s="2" t="str">
        <f t="shared" si="1"/>
        <v>39009_1</v>
      </c>
      <c r="E19" s="4" t="str">
        <f ca="1">VLOOKUP($B19,OFFSET([2]quests!$A$1,0,0,COUNTA([2]quests!$A:$A),MATCH(E$1,[2]quests!$1:$1,0)-MATCH($B$1,[2]quests!$1:$1,0)+1),MATCH(E$1,[2]quests!$1:$1,0)-MATCH($B$1,[2]quests!$1:$1,0)+1,FALSE)</f>
        <v>星空の歌姫</v>
      </c>
      <c r="F19" s="4" t="str">
        <f ca="1">VLOOKUP($D19,OFFSET([2]stages!$A$1,0,0,COUNTA([2]stages!$A:$A),MATCH(F$1,[2]stages!$2:$2,0)-MATCH($D$1,[2]stages!$2:$2,0)+1),MATCH(F$1,[2]stages!$2:$2,0)-MATCH($D$1,[2]stages!$2:$2,0)+1,FALSE)</f>
        <v>【初級】星空の歌姫</v>
      </c>
      <c r="G19" s="21">
        <v>3</v>
      </c>
      <c r="H19" s="15" t="str">
        <f t="shared" si="2"/>
        <v>39009_1-3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537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冬服ハッピー100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25</v>
      </c>
      <c r="R19" s="5">
        <v>10</v>
      </c>
      <c r="S19" s="25">
        <v>9.3000000000000007</v>
      </c>
      <c r="T19" s="98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20943.600000000002</v>
      </c>
      <c r="U19" s="25">
        <v>1.7</v>
      </c>
      <c r="V19" s="98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1120.3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3ターン回復効果付与</v>
      </c>
      <c r="Y19" s="62">
        <v>39009003</v>
      </c>
      <c r="Z19" s="6">
        <v>0</v>
      </c>
      <c r="AA19" s="6">
        <v>100</v>
      </c>
      <c r="AB19" s="6">
        <v>1</v>
      </c>
      <c r="AC19" s="100">
        <v>2</v>
      </c>
      <c r="AD19" s="24">
        <f t="shared" si="3"/>
        <v>537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3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9" s="7">
        <v>1</v>
      </c>
      <c r="AI19" s="24">
        <f t="shared" ca="1" si="4"/>
        <v>3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0"/>
        <v>39009_1-3/538&lt;lv10&gt;s2</v>
      </c>
      <c r="B20" s="22">
        <v>39009</v>
      </c>
      <c r="C20" s="21">
        <v>1</v>
      </c>
      <c r="D20" s="2" t="str">
        <f t="shared" si="1"/>
        <v>39009_1</v>
      </c>
      <c r="E20" s="4" t="str">
        <f ca="1">VLOOKUP($B20,OFFSET([2]quests!$A$1,0,0,COUNTA([2]quests!$A:$A),MATCH(E$1,[2]quests!$1:$1,0)-MATCH($B$1,[2]quests!$1:$1,0)+1),MATCH(E$1,[2]quests!$1:$1,0)-MATCH($B$1,[2]quests!$1:$1,0)+1,FALSE)</f>
        <v>星空の歌姫</v>
      </c>
      <c r="F20" s="4" t="str">
        <f ca="1">VLOOKUP($D20,OFFSET([2]stages!$A$1,0,0,COUNTA([2]stages!$A:$A),MATCH(F$1,[2]stages!$2:$2,0)-MATCH($D$1,[2]stages!$2:$2,0)+1),MATCH(F$1,[2]stages!$2:$2,0)-MATCH($D$1,[2]stages!$2:$2,0)+1,FALSE)</f>
        <v>【初級】星空の歌姫</v>
      </c>
      <c r="G20" s="21">
        <v>3</v>
      </c>
      <c r="H20" s="15" t="str">
        <f t="shared" si="2"/>
        <v>39009_1-3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538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冬服ニムダ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DropWizW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25</v>
      </c>
      <c r="R20" s="5">
        <v>10</v>
      </c>
      <c r="S20" s="25">
        <v>7.4</v>
      </c>
      <c r="T20" s="98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16013.6</v>
      </c>
      <c r="U20" s="25">
        <v>1.3</v>
      </c>
      <c r="V20" s="98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882.7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0" s="62">
        <v>39009004</v>
      </c>
      <c r="Z20" s="6">
        <v>0</v>
      </c>
      <c r="AA20" s="6">
        <v>100</v>
      </c>
      <c r="AB20" s="6">
        <v>1</v>
      </c>
      <c r="AC20" s="100">
        <v>2</v>
      </c>
      <c r="AD20" s="24">
        <f t="shared" si="3"/>
        <v>538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3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0" s="7">
        <v>1</v>
      </c>
      <c r="AI20" s="24">
        <f t="shared" ca="1" si="4"/>
        <v>3</v>
      </c>
      <c r="AJ20" s="8">
        <v>20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  <row r="21" spans="1:42" ht="21" customHeight="1" x14ac:dyDescent="0.15">
      <c r="A21" s="16" t="str">
        <f t="shared" si="0"/>
        <v>39009_1-4/1297&lt;lv10&gt;s2</v>
      </c>
      <c r="B21" s="22">
        <v>39009</v>
      </c>
      <c r="C21" s="21">
        <v>1</v>
      </c>
      <c r="D21" s="2" t="str">
        <f t="shared" si="1"/>
        <v>39009_1</v>
      </c>
      <c r="E21" s="4" t="str">
        <f ca="1">VLOOKUP($B21,OFFSET([2]quests!$A$1,0,0,COUNTA([2]quests!$A:$A),MATCH(E$1,[2]quests!$1:$1,0)-MATCH($B$1,[2]quests!$1:$1,0)+1),MATCH(E$1,[2]quests!$1:$1,0)-MATCH($B$1,[2]quests!$1:$1,0)+1,FALSE)</f>
        <v>星空の歌姫</v>
      </c>
      <c r="F21" s="4" t="str">
        <f ca="1">VLOOKUP($D21,OFFSET([2]stages!$A$1,0,0,COUNTA([2]stages!$A:$A),MATCH(F$1,[2]stages!$2:$2,0)-MATCH($D$1,[2]stages!$2:$2,0)+1),MATCH(F$1,[2]stages!$2:$2,0)-MATCH($D$1,[2]stages!$2:$2,0)+1,FALSE)</f>
        <v>【初級】星空の歌姫</v>
      </c>
      <c r="G21" s="21">
        <v>4</v>
      </c>
      <c r="H21" s="15" t="str">
        <f t="shared" si="2"/>
        <v>39009_1-4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>
        <v>2</v>
      </c>
      <c r="L21" s="20">
        <v>1297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雪ミク2017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DropWizS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10</v>
      </c>
      <c r="S21" s="25">
        <v>2</v>
      </c>
      <c r="T21" s="98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38318</v>
      </c>
      <c r="U21" s="25">
        <v>1.6</v>
      </c>
      <c r="V21" s="98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2028.8000000000002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緑パネルを緑のダメージパネルに2個変換</v>
      </c>
      <c r="Y21" s="62">
        <v>39009005</v>
      </c>
      <c r="Z21" s="6">
        <v>1</v>
      </c>
      <c r="AA21" s="6">
        <v>100</v>
      </c>
      <c r="AB21" s="6">
        <v>1</v>
      </c>
      <c r="AC21" s="100">
        <v>2</v>
      </c>
      <c r="AD21" s="24">
        <f t="shared" si="3"/>
        <v>1297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5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1" s="7">
        <v>1</v>
      </c>
      <c r="AI21" s="24">
        <f t="shared" ca="1" si="4"/>
        <v>5</v>
      </c>
      <c r="AJ21" s="141">
        <v>35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70">
        <v>1</v>
      </c>
    </row>
    <row r="22" spans="1:42" ht="21" customHeight="1" x14ac:dyDescent="0.15">
      <c r="A22" s="16" t="str">
        <f t="shared" ref="A22:A61" si="5">B22&amp;"_"&amp;C22&amp;"-"&amp;G22&amp;"/"&amp;L22&amp;"&lt;lv"&amp;R22&amp;"&gt;s"&amp;AC22</f>
        <v>39009_2-1/529&lt;lv30&gt;s1</v>
      </c>
      <c r="B22" s="22">
        <v>39009</v>
      </c>
      <c r="C22" s="114">
        <v>2</v>
      </c>
      <c r="D22" s="114" t="str">
        <f t="shared" ref="D22:D61" si="6">B22&amp;"_"&amp;C22</f>
        <v>39009_2</v>
      </c>
      <c r="E22" s="115" t="str">
        <f ca="1">VLOOKUP($B22,OFFSET([2]quests!$A$1,0,0,COUNTA([2]quests!$A:$A),MATCH(E$1,[2]quests!$1:$1,0)-MATCH($B$1,[2]quests!$1:$1,0)+1),MATCH(E$1,[2]quests!$1:$1,0)-MATCH($B$1,[2]quests!$1:$1,0)+1,FALSE)</f>
        <v>星空の歌姫</v>
      </c>
      <c r="F22" s="115" t="str">
        <f ca="1">VLOOKUP($D22,OFFSET([2]stages!$A$1,0,0,COUNTA([2]stages!$A:$A),MATCH(F$1,[2]stages!$2:$2,0)-MATCH($D$1,[2]stages!$2:$2,0)+1),MATCH(F$1,[2]stages!$2:$2,0)-MATCH($D$1,[2]stages!$2:$2,0)+1,FALSE)</f>
        <v>【中級】星空の歌姫</v>
      </c>
      <c r="G22" s="114">
        <v>1</v>
      </c>
      <c r="H22" s="116" t="str">
        <f t="shared" ref="H22:H61" si="7">B22&amp;"_"&amp;C22&amp;"-"&amp;G22</f>
        <v>39009_2-1</v>
      </c>
      <c r="I22" s="115">
        <f ca="1">VLOOKUP($H22,OFFSET(floors!$A$1,0,0,COUNTA(floors!$A:$A),MATCH(I$1,floors!$1:$1,0)-MATCH($H$1,floors!$1:$1,0)+1),MATCH(I$1,floors!$1:$1,0)-MATCH($H$1,floors!$1:$1,0)+1,FALSE)</f>
        <v>60</v>
      </c>
      <c r="J22" s="115">
        <f ca="1">VLOOKUP($H22,OFFSET(floors!$A$1,0,0,COUNTA(floors!$A:$A),MATCH(J$1,floors!$1:$1,0)-MATCH($H$1,floors!$1:$1,0)+1),MATCH(J$1,floors!$1:$1,0)-MATCH($H$1,floors!$1:$1,0)+1,FALSE)</f>
        <v>60</v>
      </c>
      <c r="K22" s="117" t="s">
        <v>53</v>
      </c>
      <c r="L22" s="114">
        <v>529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冬服ジェリー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118">
        <v>30</v>
      </c>
      <c r="S22" s="119">
        <v>0.8</v>
      </c>
      <c r="T22" s="98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5040</v>
      </c>
      <c r="U22" s="119">
        <v>0.3</v>
      </c>
      <c r="V22" s="98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777</v>
      </c>
      <c r="W22" s="5">
        <v>0</v>
      </c>
      <c r="X22" s="4" t="e">
        <f ca="1">VLOOKUP($Y22,OFFSET(enemy_skill_sets!$B$1,0,0,COUNTA(enemy_skill_sets!$B:$B),MATCH(M$1,enemy_skill_sets!$1:$1,0)-MATCH($Y$1,enemy_skill_sets!$1:$1,0)+2),MATCH(M$1,enemy_skill_sets!$1:$1,0)-MATCH($Y$1,enemy_skill_sets!$1:$1,0)+2,FALSE)</f>
        <v>#N/A</v>
      </c>
      <c r="Y22" s="120">
        <v>0</v>
      </c>
      <c r="Z22" s="121">
        <v>0</v>
      </c>
      <c r="AA22" s="121">
        <v>100</v>
      </c>
      <c r="AB22" s="121">
        <v>0</v>
      </c>
      <c r="AC22" s="122">
        <v>1</v>
      </c>
      <c r="AD22" s="24">
        <f t="shared" ref="AD22:AD61" si="8">L22</f>
        <v>529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1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2" s="7">
        <v>1</v>
      </c>
      <c r="AI22" s="24">
        <f t="shared" ref="AI22:AI61" ca="1" si="9">AF22</f>
        <v>1</v>
      </c>
      <c r="AJ22" s="123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70">
        <v>1</v>
      </c>
    </row>
    <row r="23" spans="1:42" ht="21" customHeight="1" x14ac:dyDescent="0.15">
      <c r="A23" s="16" t="str">
        <f t="shared" si="5"/>
        <v>39009_2-1/530&lt;lv30&gt;s2</v>
      </c>
      <c r="B23" s="22">
        <v>39009</v>
      </c>
      <c r="C23" s="114">
        <v>2</v>
      </c>
      <c r="D23" s="114" t="str">
        <f t="shared" si="6"/>
        <v>39009_2</v>
      </c>
      <c r="E23" s="115" t="str">
        <f ca="1">VLOOKUP($B23,OFFSET([2]quests!$A$1,0,0,COUNTA([2]quests!$A:$A),MATCH(E$1,[2]quests!$1:$1,0)-MATCH($B$1,[2]quests!$1:$1,0)+1),MATCH(E$1,[2]quests!$1:$1,0)-MATCH($B$1,[2]quests!$1:$1,0)+1,FALSE)</f>
        <v>星空の歌姫</v>
      </c>
      <c r="F23" s="115" t="str">
        <f ca="1">VLOOKUP($D23,OFFSET([2]stages!$A$1,0,0,COUNTA([2]stages!$A:$A),MATCH(F$1,[2]stages!$2:$2,0)-MATCH($D$1,[2]stages!$2:$2,0)+1),MATCH(F$1,[2]stages!$2:$2,0)-MATCH($D$1,[2]stages!$2:$2,0)+1,FALSE)</f>
        <v>【中級】星空の歌姫</v>
      </c>
      <c r="G23" s="114">
        <v>1</v>
      </c>
      <c r="H23" s="116" t="str">
        <f t="shared" si="7"/>
        <v>39009_2-1</v>
      </c>
      <c r="I23" s="115">
        <f ca="1">VLOOKUP($H23,OFFSET(floors!$A$1,0,0,COUNTA(floors!$A:$A),MATCH(I$1,floors!$1:$1,0)-MATCH($H$1,floors!$1:$1,0)+1),MATCH(I$1,floors!$1:$1,0)-MATCH($H$1,floors!$1:$1,0)+1,FALSE)</f>
        <v>60</v>
      </c>
      <c r="J23" s="115">
        <f ca="1">VLOOKUP($H23,OFFSET(floors!$A$1,0,0,COUNTA(floors!$A:$A),MATCH(J$1,floors!$1:$1,0)-MATCH($H$1,floors!$1:$1,0)+1),MATCH(J$1,floors!$1:$1,0)-MATCH($H$1,floors!$1:$1,0)+1,FALSE)</f>
        <v>60</v>
      </c>
      <c r="K23" s="117" t="s">
        <v>53</v>
      </c>
      <c r="L23" s="114">
        <v>530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冬服ジョー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118">
        <v>30</v>
      </c>
      <c r="S23" s="119">
        <v>1.1000000000000001</v>
      </c>
      <c r="T23" s="98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7068.6</v>
      </c>
      <c r="U23" s="119">
        <v>0.5</v>
      </c>
      <c r="V23" s="98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926</v>
      </c>
      <c r="W23" s="5">
        <v>0</v>
      </c>
      <c r="X23" s="4" t="e">
        <f ca="1">VLOOKUP($Y23,OFFSET(enemy_skill_sets!$B$1,0,0,COUNTA(enemy_skill_sets!$B:$B),MATCH(M$1,enemy_skill_sets!$1:$1,0)-MATCH($Y$1,enemy_skill_sets!$1:$1,0)+2),MATCH(M$1,enemy_skill_sets!$1:$1,0)-MATCH($Y$1,enemy_skill_sets!$1:$1,0)+2,FALSE)</f>
        <v>#N/A</v>
      </c>
      <c r="Y23" s="120">
        <v>0</v>
      </c>
      <c r="Z23" s="121">
        <v>0</v>
      </c>
      <c r="AA23" s="121">
        <v>100</v>
      </c>
      <c r="AB23" s="121">
        <v>0</v>
      </c>
      <c r="AC23" s="122">
        <v>2</v>
      </c>
      <c r="AD23" s="24">
        <f t="shared" si="8"/>
        <v>530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1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Drop1T</v>
      </c>
      <c r="AH23" s="7">
        <v>1</v>
      </c>
      <c r="AI23" s="24">
        <f t="shared" ca="1" si="9"/>
        <v>1</v>
      </c>
      <c r="AJ23" s="123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70">
        <v>1</v>
      </c>
    </row>
    <row r="24" spans="1:42" ht="21" customHeight="1" x14ac:dyDescent="0.15">
      <c r="A24" s="16" t="str">
        <f t="shared" si="5"/>
        <v>39009_2-1/531&lt;lv30&gt;s3</v>
      </c>
      <c r="B24" s="22">
        <v>39009</v>
      </c>
      <c r="C24" s="114">
        <v>2</v>
      </c>
      <c r="D24" s="114" t="str">
        <f t="shared" si="6"/>
        <v>39009_2</v>
      </c>
      <c r="E24" s="115" t="str">
        <f ca="1">VLOOKUP($B24,OFFSET([2]quests!$A$1,0,0,COUNTA([2]quests!$A:$A),MATCH(E$1,[2]quests!$1:$1,0)-MATCH($B$1,[2]quests!$1:$1,0)+1),MATCH(E$1,[2]quests!$1:$1,0)-MATCH($B$1,[2]quests!$1:$1,0)+1,FALSE)</f>
        <v>星空の歌姫</v>
      </c>
      <c r="F24" s="115" t="str">
        <f ca="1">VLOOKUP($D24,OFFSET([2]stages!$A$1,0,0,COUNTA([2]stages!$A:$A),MATCH(F$1,[2]stages!$2:$2,0)-MATCH($D$1,[2]stages!$2:$2,0)+1),MATCH(F$1,[2]stages!$2:$2,0)-MATCH($D$1,[2]stages!$2:$2,0)+1,FALSE)</f>
        <v>【中級】星空の歌姫</v>
      </c>
      <c r="G24" s="114">
        <v>1</v>
      </c>
      <c r="H24" s="116" t="str">
        <f t="shared" si="7"/>
        <v>39009_2-1</v>
      </c>
      <c r="I24" s="115">
        <f ca="1">VLOOKUP($H24,OFFSET(floors!$A$1,0,0,COUNTA(floors!$A:$A),MATCH(I$1,floors!$1:$1,0)-MATCH($H$1,floors!$1:$1,0)+1),MATCH(I$1,floors!$1:$1,0)-MATCH($H$1,floors!$1:$1,0)+1,FALSE)</f>
        <v>60</v>
      </c>
      <c r="J24" s="115">
        <f ca="1">VLOOKUP($H24,OFFSET(floors!$A$1,0,0,COUNTA(floors!$A:$A),MATCH(J$1,floors!$1:$1,0)-MATCH($H$1,floors!$1:$1,0)+1),MATCH(J$1,floors!$1:$1,0)-MATCH($H$1,floors!$1:$1,0)+1,FALSE)</f>
        <v>60</v>
      </c>
      <c r="K24" s="117" t="s">
        <v>53</v>
      </c>
      <c r="L24" s="114">
        <v>531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冬服ポチ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118">
        <v>30</v>
      </c>
      <c r="S24" s="119">
        <v>0.7</v>
      </c>
      <c r="T24" s="98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3528</v>
      </c>
      <c r="U24" s="119">
        <v>0.5</v>
      </c>
      <c r="V24" s="98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722.5</v>
      </c>
      <c r="W24" s="5">
        <v>0</v>
      </c>
      <c r="X24" s="4" t="e">
        <f ca="1">VLOOKUP($Y24,OFFSET(enemy_skill_sets!$B$1,0,0,COUNTA(enemy_skill_sets!$B:$B),MATCH(M$1,enemy_skill_sets!$1:$1,0)-MATCH($Y$1,enemy_skill_sets!$1:$1,0)+2),MATCH(M$1,enemy_skill_sets!$1:$1,0)-MATCH($Y$1,enemy_skill_sets!$1:$1,0)+2,FALSE)</f>
        <v>#N/A</v>
      </c>
      <c r="Y24" s="120">
        <v>0</v>
      </c>
      <c r="Z24" s="121">
        <v>0</v>
      </c>
      <c r="AA24" s="121">
        <v>100</v>
      </c>
      <c r="AB24" s="121">
        <v>0</v>
      </c>
      <c r="AC24" s="122">
        <v>3</v>
      </c>
      <c r="AD24" s="24">
        <f t="shared" si="8"/>
        <v>531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1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Drop1T</v>
      </c>
      <c r="AH24" s="7">
        <v>1</v>
      </c>
      <c r="AI24" s="24">
        <f t="shared" ca="1" si="9"/>
        <v>1</v>
      </c>
      <c r="AJ24" s="123">
        <v>20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70">
        <v>1</v>
      </c>
    </row>
    <row r="25" spans="1:42" ht="21" customHeight="1" x14ac:dyDescent="0.15">
      <c r="A25" s="16" t="str">
        <f t="shared" si="5"/>
        <v>39009_2-1/532&lt;lv30&gt;s2</v>
      </c>
      <c r="B25" s="22">
        <v>39009</v>
      </c>
      <c r="C25" s="114">
        <v>2</v>
      </c>
      <c r="D25" s="114" t="str">
        <f t="shared" si="6"/>
        <v>39009_2</v>
      </c>
      <c r="E25" s="115" t="str">
        <f ca="1">VLOOKUP($B25,OFFSET([2]quests!$A$1,0,0,COUNTA([2]quests!$A:$A),MATCH(E$1,[2]quests!$1:$1,0)-MATCH($B$1,[2]quests!$1:$1,0)+1),MATCH(E$1,[2]quests!$1:$1,0)-MATCH($B$1,[2]quests!$1:$1,0)+1,FALSE)</f>
        <v>星空の歌姫</v>
      </c>
      <c r="F25" s="115" t="str">
        <f ca="1">VLOOKUP($D25,OFFSET([2]stages!$A$1,0,0,COUNTA([2]stages!$A:$A),MATCH(F$1,[2]stages!$2:$2,0)-MATCH($D$1,[2]stages!$2:$2,0)+1),MATCH(F$1,[2]stages!$2:$2,0)-MATCH($D$1,[2]stages!$2:$2,0)+1,FALSE)</f>
        <v>【中級】星空の歌姫</v>
      </c>
      <c r="G25" s="114">
        <v>1</v>
      </c>
      <c r="H25" s="116" t="str">
        <f t="shared" si="7"/>
        <v>39009_2-1</v>
      </c>
      <c r="I25" s="115">
        <f ca="1">VLOOKUP($H25,OFFSET(floors!$A$1,0,0,COUNTA(floors!$A:$A),MATCH(I$1,floors!$1:$1,0)-MATCH($H$1,floors!$1:$1,0)+1),MATCH(I$1,floors!$1:$1,0)-MATCH($H$1,floors!$1:$1,0)+1,FALSE)</f>
        <v>60</v>
      </c>
      <c r="J25" s="115">
        <f ca="1">VLOOKUP($H25,OFFSET(floors!$A$1,0,0,COUNTA(floors!$A:$A),MATCH(J$1,floors!$1:$1,0)-MATCH($H$1,floors!$1:$1,0)+1),MATCH(J$1,floors!$1:$1,0)-MATCH($H$1,floors!$1:$1,0)+1,FALSE)</f>
        <v>60</v>
      </c>
      <c r="K25" s="117" t="s">
        <v>53</v>
      </c>
      <c r="L25" s="114">
        <v>532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冬服エレキポット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Drop1T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118">
        <v>30</v>
      </c>
      <c r="S25" s="119">
        <v>0.9</v>
      </c>
      <c r="T25" s="98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5556.6</v>
      </c>
      <c r="U25" s="119">
        <v>0.3</v>
      </c>
      <c r="V25" s="98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761.69999999999993</v>
      </c>
      <c r="W25" s="5">
        <v>0</v>
      </c>
      <c r="X25" s="4" t="e">
        <f ca="1">VLOOKUP($Y25,OFFSET(enemy_skill_sets!$B$1,0,0,COUNTA(enemy_skill_sets!$B:$B),MATCH(M$1,enemy_skill_sets!$1:$1,0)-MATCH($Y$1,enemy_skill_sets!$1:$1,0)+2),MATCH(M$1,enemy_skill_sets!$1:$1,0)-MATCH($Y$1,enemy_skill_sets!$1:$1,0)+2,FALSE)</f>
        <v>#N/A</v>
      </c>
      <c r="Y25" s="120">
        <v>0</v>
      </c>
      <c r="Z25" s="121">
        <v>0</v>
      </c>
      <c r="AA25" s="121">
        <v>100</v>
      </c>
      <c r="AB25" s="121">
        <v>0</v>
      </c>
      <c r="AC25" s="122">
        <v>2</v>
      </c>
      <c r="AD25" s="24">
        <f t="shared" si="8"/>
        <v>532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1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Drop1T</v>
      </c>
      <c r="AH25" s="7">
        <v>1</v>
      </c>
      <c r="AI25" s="24">
        <f t="shared" ca="1" si="9"/>
        <v>1</v>
      </c>
      <c r="AJ25" s="123">
        <v>20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70">
        <v>1</v>
      </c>
    </row>
    <row r="26" spans="1:42" ht="21" customHeight="1" x14ac:dyDescent="0.15">
      <c r="A26" s="16" t="str">
        <f t="shared" si="5"/>
        <v>39009_2-1/533&lt;lv30&gt;s3</v>
      </c>
      <c r="B26" s="22">
        <v>39009</v>
      </c>
      <c r="C26" s="114">
        <v>2</v>
      </c>
      <c r="D26" s="114" t="str">
        <f t="shared" si="6"/>
        <v>39009_2</v>
      </c>
      <c r="E26" s="115" t="str">
        <f ca="1">VLOOKUP($B26,OFFSET([2]quests!$A$1,0,0,COUNTA([2]quests!$A:$A),MATCH(E$1,[2]quests!$1:$1,0)-MATCH($B$1,[2]quests!$1:$1,0)+1),MATCH(E$1,[2]quests!$1:$1,0)-MATCH($B$1,[2]quests!$1:$1,0)+1,FALSE)</f>
        <v>星空の歌姫</v>
      </c>
      <c r="F26" s="115" t="str">
        <f ca="1">VLOOKUP($D26,OFFSET([2]stages!$A$1,0,0,COUNTA([2]stages!$A:$A),MATCH(F$1,[2]stages!$2:$2,0)-MATCH($D$1,[2]stages!$2:$2,0)+1),MATCH(F$1,[2]stages!$2:$2,0)-MATCH($D$1,[2]stages!$2:$2,0)+1,FALSE)</f>
        <v>【中級】星空の歌姫</v>
      </c>
      <c r="G26" s="114">
        <v>1</v>
      </c>
      <c r="H26" s="116" t="str">
        <f t="shared" si="7"/>
        <v>39009_2-1</v>
      </c>
      <c r="I26" s="115">
        <f ca="1">VLOOKUP($H26,OFFSET(floors!$A$1,0,0,COUNTA(floors!$A:$A),MATCH(I$1,floors!$1:$1,0)-MATCH($H$1,floors!$1:$1,0)+1),MATCH(I$1,floors!$1:$1,0)-MATCH($H$1,floors!$1:$1,0)+1,FALSE)</f>
        <v>60</v>
      </c>
      <c r="J26" s="115">
        <f ca="1">VLOOKUP($H26,OFFSET(floors!$A$1,0,0,COUNTA(floors!$A:$A),MATCH(J$1,floors!$1:$1,0)-MATCH($H$1,floors!$1:$1,0)+1),MATCH(J$1,floors!$1:$1,0)-MATCH($H$1,floors!$1:$1,0)+1,FALSE)</f>
        <v>60</v>
      </c>
      <c r="K26" s="117" t="s">
        <v>53</v>
      </c>
      <c r="L26" s="114">
        <v>533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冬服アカネ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Drop1W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118">
        <v>30</v>
      </c>
      <c r="S26" s="119">
        <v>0.9</v>
      </c>
      <c r="T26" s="98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5329.8</v>
      </c>
      <c r="U26" s="119">
        <v>0.6</v>
      </c>
      <c r="V26" s="98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1145.3999999999999</v>
      </c>
      <c r="W26" s="5">
        <v>0</v>
      </c>
      <c r="X26" s="4" t="e">
        <f ca="1">VLOOKUP($Y26,OFFSET(enemy_skill_sets!$B$1,0,0,COUNTA(enemy_skill_sets!$B:$B),MATCH(M$1,enemy_skill_sets!$1:$1,0)-MATCH($Y$1,enemy_skill_sets!$1:$1,0)+2),MATCH(M$1,enemy_skill_sets!$1:$1,0)-MATCH($Y$1,enemy_skill_sets!$1:$1,0)+2,FALSE)</f>
        <v>#N/A</v>
      </c>
      <c r="Y26" s="120">
        <v>0</v>
      </c>
      <c r="Z26" s="121">
        <v>0</v>
      </c>
      <c r="AA26" s="121">
        <v>100</v>
      </c>
      <c r="AB26" s="121">
        <v>0</v>
      </c>
      <c r="AC26" s="122">
        <v>3</v>
      </c>
      <c r="AD26" s="24">
        <f t="shared" si="8"/>
        <v>533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1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Drop1W</v>
      </c>
      <c r="AH26" s="7">
        <v>1</v>
      </c>
      <c r="AI26" s="24">
        <f t="shared" ca="1" si="9"/>
        <v>1</v>
      </c>
      <c r="AJ26" s="123">
        <v>20</v>
      </c>
      <c r="AK26" s="7">
        <v>0</v>
      </c>
      <c r="AL26" s="7">
        <v>0</v>
      </c>
      <c r="AM26" s="7">
        <v>0</v>
      </c>
      <c r="AN26" s="7">
        <v>0</v>
      </c>
      <c r="AO26" s="7">
        <v>1</v>
      </c>
      <c r="AP26" s="70">
        <v>1</v>
      </c>
    </row>
    <row r="27" spans="1:42" ht="21" customHeight="1" x14ac:dyDescent="0.15">
      <c r="A27" s="16" t="str">
        <f t="shared" si="5"/>
        <v>39009_2-1/534&lt;lv30&gt;s1</v>
      </c>
      <c r="B27" s="22">
        <v>39009</v>
      </c>
      <c r="C27" s="114">
        <v>2</v>
      </c>
      <c r="D27" s="114" t="str">
        <f t="shared" si="6"/>
        <v>39009_2</v>
      </c>
      <c r="E27" s="115" t="str">
        <f ca="1">VLOOKUP($B27,OFFSET([2]quests!$A$1,0,0,COUNTA([2]quests!$A:$A),MATCH(E$1,[2]quests!$1:$1,0)-MATCH($B$1,[2]quests!$1:$1,0)+1),MATCH(E$1,[2]quests!$1:$1,0)-MATCH($B$1,[2]quests!$1:$1,0)+1,FALSE)</f>
        <v>星空の歌姫</v>
      </c>
      <c r="F27" s="115" t="str">
        <f ca="1">VLOOKUP($D27,OFFSET([2]stages!$A$1,0,0,COUNTA([2]stages!$A:$A),MATCH(F$1,[2]stages!$2:$2,0)-MATCH($D$1,[2]stages!$2:$2,0)+1),MATCH(F$1,[2]stages!$2:$2,0)-MATCH($D$1,[2]stages!$2:$2,0)+1,FALSE)</f>
        <v>【中級】星空の歌姫</v>
      </c>
      <c r="G27" s="114">
        <v>1</v>
      </c>
      <c r="H27" s="116" t="str">
        <f t="shared" si="7"/>
        <v>39009_2-1</v>
      </c>
      <c r="I27" s="115">
        <f ca="1">VLOOKUP($H27,OFFSET(floors!$A$1,0,0,COUNTA(floors!$A:$A),MATCH(I$1,floors!$1:$1,0)-MATCH($H$1,floors!$1:$1,0)+1),MATCH(I$1,floors!$1:$1,0)-MATCH($H$1,floors!$1:$1,0)+1,FALSE)</f>
        <v>60</v>
      </c>
      <c r="J27" s="115">
        <f ca="1">VLOOKUP($H27,OFFSET(floors!$A$1,0,0,COUNTA(floors!$A:$A),MATCH(J$1,floors!$1:$1,0)-MATCH($H$1,floors!$1:$1,0)+1),MATCH(J$1,floors!$1:$1,0)-MATCH($H$1,floors!$1:$1,0)+1,FALSE)</f>
        <v>60</v>
      </c>
      <c r="K27" s="117" t="s">
        <v>53</v>
      </c>
      <c r="L27" s="114">
        <v>534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冬服パトライン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Drop1W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118">
        <v>30</v>
      </c>
      <c r="S27" s="119">
        <v>1.4</v>
      </c>
      <c r="T27" s="98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7197.4</v>
      </c>
      <c r="U27" s="119">
        <v>0.5</v>
      </c>
      <c r="V27" s="98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722.5</v>
      </c>
      <c r="W27" s="5">
        <v>0</v>
      </c>
      <c r="X27" s="4" t="e">
        <f ca="1">VLOOKUP($Y27,OFFSET(enemy_skill_sets!$B$1,0,0,COUNTA(enemy_skill_sets!$B:$B),MATCH(M$1,enemy_skill_sets!$1:$1,0)-MATCH($Y$1,enemy_skill_sets!$1:$1,0)+2),MATCH(M$1,enemy_skill_sets!$1:$1,0)-MATCH($Y$1,enemy_skill_sets!$1:$1,0)+2,FALSE)</f>
        <v>#N/A</v>
      </c>
      <c r="Y27" s="120">
        <v>0</v>
      </c>
      <c r="Z27" s="121">
        <v>0</v>
      </c>
      <c r="AA27" s="121">
        <v>100</v>
      </c>
      <c r="AB27" s="121">
        <v>0</v>
      </c>
      <c r="AC27" s="122">
        <v>1</v>
      </c>
      <c r="AD27" s="24">
        <f t="shared" si="8"/>
        <v>534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1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Drop1W</v>
      </c>
      <c r="AH27" s="7">
        <v>1</v>
      </c>
      <c r="AI27" s="24">
        <f t="shared" ca="1" si="9"/>
        <v>1</v>
      </c>
      <c r="AJ27" s="123">
        <v>20</v>
      </c>
      <c r="AK27" s="7">
        <v>0</v>
      </c>
      <c r="AL27" s="7">
        <v>0</v>
      </c>
      <c r="AM27" s="7">
        <v>0</v>
      </c>
      <c r="AN27" s="7">
        <v>0</v>
      </c>
      <c r="AO27" s="7">
        <v>1</v>
      </c>
      <c r="AP27" s="70">
        <v>1</v>
      </c>
    </row>
    <row r="28" spans="1:42" ht="21" customHeight="1" x14ac:dyDescent="0.15">
      <c r="A28" s="16" t="str">
        <f t="shared" si="5"/>
        <v>39009_2-1/535&lt;lv30&gt;s2</v>
      </c>
      <c r="B28" s="22">
        <v>39009</v>
      </c>
      <c r="C28" s="114">
        <v>2</v>
      </c>
      <c r="D28" s="114" t="str">
        <f t="shared" si="6"/>
        <v>39009_2</v>
      </c>
      <c r="E28" s="115" t="str">
        <f ca="1">VLOOKUP($B28,OFFSET([2]quests!$A$1,0,0,COUNTA([2]quests!$A:$A),MATCH(E$1,[2]quests!$1:$1,0)-MATCH($B$1,[2]quests!$1:$1,0)+1),MATCH(E$1,[2]quests!$1:$1,0)-MATCH($B$1,[2]quests!$1:$1,0)+1,FALSE)</f>
        <v>星空の歌姫</v>
      </c>
      <c r="F28" s="115" t="str">
        <f ca="1">VLOOKUP($D28,OFFSET([2]stages!$A$1,0,0,COUNTA([2]stages!$A:$A),MATCH(F$1,[2]stages!$2:$2,0)-MATCH($D$1,[2]stages!$2:$2,0)+1),MATCH(F$1,[2]stages!$2:$2,0)-MATCH($D$1,[2]stages!$2:$2,0)+1,FALSE)</f>
        <v>【中級】星空の歌姫</v>
      </c>
      <c r="G28" s="114">
        <v>1</v>
      </c>
      <c r="H28" s="116" t="str">
        <f t="shared" si="7"/>
        <v>39009_2-1</v>
      </c>
      <c r="I28" s="115">
        <f ca="1">VLOOKUP($H28,OFFSET(floors!$A$1,0,0,COUNTA(floors!$A:$A),MATCH(I$1,floors!$1:$1,0)-MATCH($H$1,floors!$1:$1,0)+1),MATCH(I$1,floors!$1:$1,0)-MATCH($H$1,floors!$1:$1,0)+1,FALSE)</f>
        <v>60</v>
      </c>
      <c r="J28" s="115">
        <f ca="1">VLOOKUP($H28,OFFSET(floors!$A$1,0,0,COUNTA(floors!$A:$A),MATCH(J$1,floors!$1:$1,0)-MATCH($H$1,floors!$1:$1,0)+1),MATCH(J$1,floors!$1:$1,0)-MATCH($H$1,floors!$1:$1,0)+1,FALSE)</f>
        <v>60</v>
      </c>
      <c r="K28" s="117" t="s">
        <v>53</v>
      </c>
      <c r="L28" s="114">
        <v>535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冬服リム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Drop1W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human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118">
        <v>30</v>
      </c>
      <c r="S28" s="119">
        <v>0.6</v>
      </c>
      <c r="T28" s="98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3553.2</v>
      </c>
      <c r="U28" s="119">
        <v>0.4</v>
      </c>
      <c r="V28" s="98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733.6</v>
      </c>
      <c r="W28" s="5">
        <v>0</v>
      </c>
      <c r="X28" s="4" t="e">
        <f ca="1">VLOOKUP($Y28,OFFSET(enemy_skill_sets!$B$1,0,0,COUNTA(enemy_skill_sets!$B:$B),MATCH(M$1,enemy_skill_sets!$1:$1,0)-MATCH($Y$1,enemy_skill_sets!$1:$1,0)+2),MATCH(M$1,enemy_skill_sets!$1:$1,0)-MATCH($Y$1,enemy_skill_sets!$1:$1,0)+2,FALSE)</f>
        <v>#N/A</v>
      </c>
      <c r="Y28" s="120">
        <v>0</v>
      </c>
      <c r="Z28" s="121">
        <v>0</v>
      </c>
      <c r="AA28" s="121">
        <v>100</v>
      </c>
      <c r="AB28" s="121">
        <v>0</v>
      </c>
      <c r="AC28" s="122">
        <v>2</v>
      </c>
      <c r="AD28" s="24">
        <f t="shared" si="8"/>
        <v>535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1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Drop1W</v>
      </c>
      <c r="AH28" s="7">
        <v>1</v>
      </c>
      <c r="AI28" s="24">
        <f t="shared" ca="1" si="9"/>
        <v>1</v>
      </c>
      <c r="AJ28" s="123">
        <v>20</v>
      </c>
      <c r="AK28" s="7">
        <v>0</v>
      </c>
      <c r="AL28" s="7">
        <v>0</v>
      </c>
      <c r="AM28" s="7">
        <v>0</v>
      </c>
      <c r="AN28" s="7">
        <v>0</v>
      </c>
      <c r="AO28" s="7">
        <v>1</v>
      </c>
      <c r="AP28" s="70">
        <v>1</v>
      </c>
    </row>
    <row r="29" spans="1:42" ht="21" customHeight="1" x14ac:dyDescent="0.15">
      <c r="A29" s="16" t="str">
        <f t="shared" si="5"/>
        <v>39009_2-1/536&lt;lv30&gt;s2</v>
      </c>
      <c r="B29" s="22">
        <v>39009</v>
      </c>
      <c r="C29" s="114">
        <v>2</v>
      </c>
      <c r="D29" s="114" t="str">
        <f t="shared" si="6"/>
        <v>39009_2</v>
      </c>
      <c r="E29" s="115" t="str">
        <f ca="1">VLOOKUP($B29,OFFSET([2]quests!$A$1,0,0,COUNTA([2]quests!$A:$A),MATCH(E$1,[2]quests!$1:$1,0)-MATCH($B$1,[2]quests!$1:$1,0)+1),MATCH(E$1,[2]quests!$1:$1,0)-MATCH($B$1,[2]quests!$1:$1,0)+1,FALSE)</f>
        <v>星空の歌姫</v>
      </c>
      <c r="F29" s="115" t="str">
        <f ca="1">VLOOKUP($D29,OFFSET([2]stages!$A$1,0,0,COUNTA([2]stages!$A:$A),MATCH(F$1,[2]stages!$2:$2,0)-MATCH($D$1,[2]stages!$2:$2,0)+1),MATCH(F$1,[2]stages!$2:$2,0)-MATCH($D$1,[2]stages!$2:$2,0)+1,FALSE)</f>
        <v>【中級】星空の歌姫</v>
      </c>
      <c r="G29" s="114">
        <v>1</v>
      </c>
      <c r="H29" s="116" t="str">
        <f t="shared" si="7"/>
        <v>39009_2-1</v>
      </c>
      <c r="I29" s="115">
        <f ca="1">VLOOKUP($H29,OFFSET(floors!$A$1,0,0,COUNTA(floors!$A:$A),MATCH(I$1,floors!$1:$1,0)-MATCH($H$1,floors!$1:$1,0)+1),MATCH(I$1,floors!$1:$1,0)-MATCH($H$1,floors!$1:$1,0)+1,FALSE)</f>
        <v>60</v>
      </c>
      <c r="J29" s="115">
        <f ca="1">VLOOKUP($H29,OFFSET(floors!$A$1,0,0,COUNTA(floors!$A:$A),MATCH(J$1,floors!$1:$1,0)-MATCH($H$1,floors!$1:$1,0)+1),MATCH(J$1,floors!$1:$1,0)-MATCH($H$1,floors!$1:$1,0)+1,FALSE)</f>
        <v>60</v>
      </c>
      <c r="K29" s="117" t="s">
        <v>53</v>
      </c>
      <c r="L29" s="114">
        <v>536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冬服ミミ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Drop1W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118">
        <v>30</v>
      </c>
      <c r="S29" s="119">
        <v>0.9</v>
      </c>
      <c r="T29" s="98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5556.6</v>
      </c>
      <c r="U29" s="119">
        <v>0.3</v>
      </c>
      <c r="V29" s="98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837.9</v>
      </c>
      <c r="W29" s="5">
        <v>0</v>
      </c>
      <c r="X29" s="4" t="e">
        <f ca="1">VLOOKUP($Y29,OFFSET(enemy_skill_sets!$B$1,0,0,COUNTA(enemy_skill_sets!$B:$B),MATCH(M$1,enemy_skill_sets!$1:$1,0)-MATCH($Y$1,enemy_skill_sets!$1:$1,0)+2),MATCH(M$1,enemy_skill_sets!$1:$1,0)-MATCH($Y$1,enemy_skill_sets!$1:$1,0)+2,FALSE)</f>
        <v>#N/A</v>
      </c>
      <c r="Y29" s="120">
        <v>0</v>
      </c>
      <c r="Z29" s="121">
        <v>0</v>
      </c>
      <c r="AA29" s="121">
        <v>100</v>
      </c>
      <c r="AB29" s="121">
        <v>0</v>
      </c>
      <c r="AC29" s="122">
        <v>2</v>
      </c>
      <c r="AD29" s="24">
        <f t="shared" si="8"/>
        <v>536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1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Drop1W</v>
      </c>
      <c r="AH29" s="7">
        <v>1</v>
      </c>
      <c r="AI29" s="24">
        <f t="shared" ca="1" si="9"/>
        <v>1</v>
      </c>
      <c r="AJ29" s="123">
        <v>20</v>
      </c>
      <c r="AK29" s="7">
        <v>0</v>
      </c>
      <c r="AL29" s="7">
        <v>0</v>
      </c>
      <c r="AM29" s="7">
        <v>0</v>
      </c>
      <c r="AN29" s="7">
        <v>0</v>
      </c>
      <c r="AO29" s="7">
        <v>1</v>
      </c>
      <c r="AP29" s="70">
        <v>1</v>
      </c>
    </row>
    <row r="30" spans="1:42" ht="21" customHeight="1" x14ac:dyDescent="0.15">
      <c r="A30" s="16" t="str">
        <f t="shared" si="5"/>
        <v>39009_2-2/1297&lt;lv30&gt;s2</v>
      </c>
      <c r="B30" s="22">
        <v>39009</v>
      </c>
      <c r="C30" s="114">
        <v>2</v>
      </c>
      <c r="D30" s="114" t="str">
        <f t="shared" si="6"/>
        <v>39009_2</v>
      </c>
      <c r="E30" s="115" t="str">
        <f ca="1">VLOOKUP($B30,OFFSET([2]quests!$A$1,0,0,COUNTA([2]quests!$A:$A),MATCH(E$1,[2]quests!$1:$1,0)-MATCH($B$1,[2]quests!$1:$1,0)+1),MATCH(E$1,[2]quests!$1:$1,0)-MATCH($B$1,[2]quests!$1:$1,0)+1,FALSE)</f>
        <v>星空の歌姫</v>
      </c>
      <c r="F30" s="115" t="str">
        <f ca="1">VLOOKUP($D30,OFFSET([2]stages!$A$1,0,0,COUNTA([2]stages!$A:$A),MATCH(F$1,[2]stages!$2:$2,0)-MATCH($D$1,[2]stages!$2:$2,0)+1),MATCH(F$1,[2]stages!$2:$2,0)-MATCH($D$1,[2]stages!$2:$2,0)+1,FALSE)</f>
        <v>【中級】星空の歌姫</v>
      </c>
      <c r="G30" s="114">
        <v>2</v>
      </c>
      <c r="H30" s="116" t="str">
        <f t="shared" si="7"/>
        <v>39009_2-2</v>
      </c>
      <c r="I30" s="115">
        <f ca="1">VLOOKUP($H30,OFFSET(floors!$A$1,0,0,COUNTA(floors!$A:$A),MATCH(I$1,floors!$1:$1,0)-MATCH($H$1,floors!$1:$1,0)+1),MATCH(I$1,floors!$1:$1,0)-MATCH($H$1,floors!$1:$1,0)+1,FALSE)</f>
        <v>60</v>
      </c>
      <c r="J30" s="115">
        <f ca="1">VLOOKUP($H30,OFFSET(floors!$A$1,0,0,COUNTA(floors!$A:$A),MATCH(J$1,floors!$1:$1,0)-MATCH($H$1,floors!$1:$1,0)+1),MATCH(J$1,floors!$1:$1,0)-MATCH($H$1,floors!$1:$1,0)+1,FALSE)</f>
        <v>60</v>
      </c>
      <c r="K30" s="117">
        <v>3</v>
      </c>
      <c r="L30" s="114">
        <v>1297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雪ミク2017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DropWizS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60</v>
      </c>
      <c r="R30" s="118">
        <v>30</v>
      </c>
      <c r="S30" s="119">
        <v>0.6</v>
      </c>
      <c r="T30" s="98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31487.399999999998</v>
      </c>
      <c r="U30" s="119">
        <v>1.3</v>
      </c>
      <c r="V30" s="98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4516.2</v>
      </c>
      <c r="W30" s="5">
        <v>0</v>
      </c>
      <c r="X30" s="4" t="str">
        <f ca="1">VLOOKUP($Y30,OFFSET(enemy_skill_sets!$B$1,0,0,COUNTA(enemy_skill_sets!$B:$B),MATCH(M$1,enemy_skill_sets!$1:$1,0)-MATCH($Y$1,enemy_skill_sets!$1:$1,0)+2),MATCH(M$1,enemy_skill_sets!$1:$1,0)-MATCH($Y$1,enemy_skill_sets!$1:$1,0)+2,FALSE)</f>
        <v>3ターン防御力UP</v>
      </c>
      <c r="Y30" s="120">
        <v>39009008</v>
      </c>
      <c r="Z30" s="121">
        <v>1</v>
      </c>
      <c r="AA30" s="121">
        <v>100</v>
      </c>
      <c r="AB30" s="121">
        <v>1</v>
      </c>
      <c r="AC30" s="122">
        <v>2</v>
      </c>
      <c r="AD30" s="24">
        <f t="shared" si="8"/>
        <v>1297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5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0" s="7">
        <v>1</v>
      </c>
      <c r="AI30" s="24">
        <f t="shared" ca="1" si="9"/>
        <v>5</v>
      </c>
      <c r="AJ30" s="123">
        <v>0</v>
      </c>
      <c r="AK30" s="7">
        <v>0</v>
      </c>
      <c r="AL30" s="7">
        <v>0</v>
      </c>
      <c r="AM30" s="7">
        <v>0</v>
      </c>
      <c r="AN30" s="7">
        <v>0</v>
      </c>
      <c r="AO30" s="7">
        <v>1</v>
      </c>
      <c r="AP30" s="70">
        <v>1</v>
      </c>
    </row>
    <row r="31" spans="1:42" ht="21" customHeight="1" x14ac:dyDescent="0.15">
      <c r="A31" s="16" t="str">
        <f t="shared" si="5"/>
        <v>39009_2-3/529&lt;lv30&gt;s1</v>
      </c>
      <c r="B31" s="22">
        <v>39009</v>
      </c>
      <c r="C31" s="114">
        <v>2</v>
      </c>
      <c r="D31" s="114" t="str">
        <f t="shared" si="6"/>
        <v>39009_2</v>
      </c>
      <c r="E31" s="115" t="str">
        <f ca="1">VLOOKUP($B31,OFFSET([2]quests!$A$1,0,0,COUNTA([2]quests!$A:$A),MATCH(E$1,[2]quests!$1:$1,0)-MATCH($B$1,[2]quests!$1:$1,0)+1),MATCH(E$1,[2]quests!$1:$1,0)-MATCH($B$1,[2]quests!$1:$1,0)+1,FALSE)</f>
        <v>星空の歌姫</v>
      </c>
      <c r="F31" s="115" t="str">
        <f ca="1">VLOOKUP($D31,OFFSET([2]stages!$A$1,0,0,COUNTA([2]stages!$A:$A),MATCH(F$1,[2]stages!$2:$2,0)-MATCH($D$1,[2]stages!$2:$2,0)+1),MATCH(F$1,[2]stages!$2:$2,0)-MATCH($D$1,[2]stages!$2:$2,0)+1,FALSE)</f>
        <v>【中級】星空の歌姫</v>
      </c>
      <c r="G31" s="114">
        <v>3</v>
      </c>
      <c r="H31" s="116" t="str">
        <f t="shared" si="7"/>
        <v>39009_2-3</v>
      </c>
      <c r="I31" s="115">
        <f ca="1">VLOOKUP($H31,OFFSET(floors!$A$1,0,0,COUNTA(floors!$A:$A),MATCH(I$1,floors!$1:$1,0)-MATCH($H$1,floors!$1:$1,0)+1),MATCH(I$1,floors!$1:$1,0)-MATCH($H$1,floors!$1:$1,0)+1,FALSE)</f>
        <v>60</v>
      </c>
      <c r="J31" s="115">
        <f ca="1">VLOOKUP($H31,OFFSET(floors!$A$1,0,0,COUNTA(floors!$A:$A),MATCH(J$1,floors!$1:$1,0)-MATCH($H$1,floors!$1:$1,0)+1),MATCH(J$1,floors!$1:$1,0)-MATCH($H$1,floors!$1:$1,0)+1,FALSE)</f>
        <v>60</v>
      </c>
      <c r="K31" s="117" t="s">
        <v>53</v>
      </c>
      <c r="L31" s="114">
        <v>529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冬服ジェリー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red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118">
        <v>30</v>
      </c>
      <c r="S31" s="119">
        <v>2.2999999999999998</v>
      </c>
      <c r="T31" s="98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14489.999999999998</v>
      </c>
      <c r="U31" s="119">
        <v>0.7</v>
      </c>
      <c r="V31" s="98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1812.9999999999998</v>
      </c>
      <c r="W31" s="5">
        <v>0</v>
      </c>
      <c r="X31" s="4" t="e">
        <f ca="1">VLOOKUP($Y31,OFFSET(enemy_skill_sets!$B$1,0,0,COUNTA(enemy_skill_sets!$B:$B),MATCH(M$1,enemy_skill_sets!$1:$1,0)-MATCH($Y$1,enemy_skill_sets!$1:$1,0)+2),MATCH(M$1,enemy_skill_sets!$1:$1,0)-MATCH($Y$1,enemy_skill_sets!$1:$1,0)+2,FALSE)</f>
        <v>#N/A</v>
      </c>
      <c r="Y31" s="120">
        <v>0</v>
      </c>
      <c r="Z31" s="121">
        <v>0</v>
      </c>
      <c r="AA31" s="121">
        <v>100</v>
      </c>
      <c r="AB31" s="121">
        <v>0</v>
      </c>
      <c r="AC31" s="122">
        <v>1</v>
      </c>
      <c r="AD31" s="24">
        <f t="shared" si="8"/>
        <v>529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1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Drop1T</v>
      </c>
      <c r="AH31" s="7">
        <v>1</v>
      </c>
      <c r="AI31" s="24">
        <f t="shared" ca="1" si="9"/>
        <v>1</v>
      </c>
      <c r="AJ31" s="123">
        <v>0</v>
      </c>
      <c r="AK31" s="7">
        <v>0</v>
      </c>
      <c r="AL31" s="7">
        <v>0</v>
      </c>
      <c r="AM31" s="7">
        <v>0</v>
      </c>
      <c r="AN31" s="7">
        <v>0</v>
      </c>
      <c r="AO31" s="7">
        <v>1</v>
      </c>
      <c r="AP31" s="70">
        <v>1</v>
      </c>
    </row>
    <row r="32" spans="1:42" ht="21" customHeight="1" x14ac:dyDescent="0.15">
      <c r="A32" s="16" t="str">
        <f t="shared" si="5"/>
        <v>39009_2-3/530&lt;lv30&gt;s2</v>
      </c>
      <c r="B32" s="22">
        <v>39009</v>
      </c>
      <c r="C32" s="114">
        <v>2</v>
      </c>
      <c r="D32" s="114" t="str">
        <f t="shared" si="6"/>
        <v>39009_2</v>
      </c>
      <c r="E32" s="115" t="str">
        <f ca="1">VLOOKUP($B32,OFFSET([2]quests!$A$1,0,0,COUNTA([2]quests!$A:$A),MATCH(E$1,[2]quests!$1:$1,0)-MATCH($B$1,[2]quests!$1:$1,0)+1),MATCH(E$1,[2]quests!$1:$1,0)-MATCH($B$1,[2]quests!$1:$1,0)+1,FALSE)</f>
        <v>星空の歌姫</v>
      </c>
      <c r="F32" s="115" t="str">
        <f ca="1">VLOOKUP($D32,OFFSET([2]stages!$A$1,0,0,COUNTA([2]stages!$A:$A),MATCH(F$1,[2]stages!$2:$2,0)-MATCH($D$1,[2]stages!$2:$2,0)+1),MATCH(F$1,[2]stages!$2:$2,0)-MATCH($D$1,[2]stages!$2:$2,0)+1,FALSE)</f>
        <v>【中級】星空の歌姫</v>
      </c>
      <c r="G32" s="114">
        <v>3</v>
      </c>
      <c r="H32" s="116" t="str">
        <f t="shared" si="7"/>
        <v>39009_2-3</v>
      </c>
      <c r="I32" s="115">
        <f ca="1">VLOOKUP($H32,OFFSET(floors!$A$1,0,0,COUNTA(floors!$A:$A),MATCH(I$1,floors!$1:$1,0)-MATCH($H$1,floors!$1:$1,0)+1),MATCH(I$1,floors!$1:$1,0)-MATCH($H$1,floors!$1:$1,0)+1,FALSE)</f>
        <v>60</v>
      </c>
      <c r="J32" s="115">
        <f ca="1">VLOOKUP($H32,OFFSET(floors!$A$1,0,0,COUNTA(floors!$A:$A),MATCH(J$1,floors!$1:$1,0)-MATCH($H$1,floors!$1:$1,0)+1),MATCH(J$1,floors!$1:$1,0)-MATCH($H$1,floors!$1:$1,0)+1,FALSE)</f>
        <v>60</v>
      </c>
      <c r="K32" s="117" t="s">
        <v>53</v>
      </c>
      <c r="L32" s="114">
        <v>530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冬服ジョー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Drop1T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118">
        <v>30</v>
      </c>
      <c r="S32" s="119">
        <v>3</v>
      </c>
      <c r="T32" s="98">
        <f ca="1">ROUND(VLOOKUP(R32,[3]enemy_base_stats!$A:$F,2,FALSE)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INDIRECT("[EnemyMasterData.xlsm]enemies!AD"&amp;(L32+1))*[4]ステータス!$B$2,0)*S32</f>
        <v>19278</v>
      </c>
      <c r="U32" s="119">
        <v>1.7</v>
      </c>
      <c r="V32" s="98">
        <f ca="1">ROUND(VLOOKUP(R32,[3]enemy_base_stats!$A:$F,3,FALSE)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INDIRECT("[EnemyMasterData.xlsm]enemies!AE"&amp;(L32+1))*[4]ステータス!$C$2,0)*U32</f>
        <v>3148.4</v>
      </c>
      <c r="W32" s="5">
        <v>0</v>
      </c>
      <c r="X32" s="4" t="e">
        <f ca="1">VLOOKUP($Y32,OFFSET(enemy_skill_sets!$B$1,0,0,COUNTA(enemy_skill_sets!$B:$B),MATCH(M$1,enemy_skill_sets!$1:$1,0)-MATCH($Y$1,enemy_skill_sets!$1:$1,0)+2),MATCH(M$1,enemy_skill_sets!$1:$1,0)-MATCH($Y$1,enemy_skill_sets!$1:$1,0)+2,FALSE)</f>
        <v>#N/A</v>
      </c>
      <c r="Y32" s="120">
        <v>0</v>
      </c>
      <c r="Z32" s="121">
        <v>0</v>
      </c>
      <c r="AA32" s="121">
        <v>100</v>
      </c>
      <c r="AB32" s="121">
        <v>0</v>
      </c>
      <c r="AC32" s="122">
        <v>2</v>
      </c>
      <c r="AD32" s="24">
        <f t="shared" si="8"/>
        <v>530</v>
      </c>
      <c r="AE32" s="4" t="str">
        <f ca="1">VLOOKUP($AD32,OFFSET([4]characters!$A$1,0,0,COUNTA([4]characters!$A:$A),MATCH(AE$1,[4]characters!$1:$1,0)-MATCH("character_id",[4]characters!$1:$1,0)+1),MATCH(AE$1,[4]characters!$1:$1,0)-MATCH("character_id",[4]characters!$1:$1,0)+1,FALSE)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32" s="4">
        <f ca="1">VLOOKUP($AD32,OFFSET([4]characters!$A$1,0,0,COUNTA([4]characters!$A:$A),MATCH(AF$1,[4]characters!$1:$1,0)-MATCH("character_id",[4]characters!$1:$1,0)+1),MATCH(AF$1,[4]characters!$1:$1,0)-MATCH("character_id",[4]characters!$1:$1,0)+1,FALSE)</f>
        <v>1</v>
      </c>
      <c r="AG32" s="4" t="str">
        <f ca="1">VLOOKUP($AD32,OFFSET([4]characters!$A$1,0,0,COUNTA([4]characters!$A:$A),MATCH(AG$1,[4]characters!$1:$1,0)-MATCH("character_id",[4]characters!$1:$1,0)+1),MATCH(AG$1,[4]characters!$1:$1,0)-MATCH("character_id",[4]characters!$1:$1,0)+1,FALSE)</f>
        <v>Drop1T</v>
      </c>
      <c r="AH32" s="7">
        <v>1</v>
      </c>
      <c r="AI32" s="24">
        <f t="shared" ca="1" si="9"/>
        <v>1</v>
      </c>
      <c r="AJ32" s="123">
        <v>0</v>
      </c>
      <c r="AK32" s="7">
        <v>0</v>
      </c>
      <c r="AL32" s="7">
        <v>0</v>
      </c>
      <c r="AM32" s="7">
        <v>0</v>
      </c>
      <c r="AN32" s="7">
        <v>0</v>
      </c>
      <c r="AO32" s="7">
        <v>1</v>
      </c>
      <c r="AP32" s="70">
        <v>1</v>
      </c>
    </row>
    <row r="33" spans="1:42" ht="21" customHeight="1" x14ac:dyDescent="0.15">
      <c r="A33" s="16" t="str">
        <f t="shared" si="5"/>
        <v>39009_2-3/531&lt;lv30&gt;s3</v>
      </c>
      <c r="B33" s="22">
        <v>39009</v>
      </c>
      <c r="C33" s="114">
        <v>2</v>
      </c>
      <c r="D33" s="114" t="str">
        <f t="shared" si="6"/>
        <v>39009_2</v>
      </c>
      <c r="E33" s="115" t="str">
        <f ca="1">VLOOKUP($B33,OFFSET([2]quests!$A$1,0,0,COUNTA([2]quests!$A:$A),MATCH(E$1,[2]quests!$1:$1,0)-MATCH($B$1,[2]quests!$1:$1,0)+1),MATCH(E$1,[2]quests!$1:$1,0)-MATCH($B$1,[2]quests!$1:$1,0)+1,FALSE)</f>
        <v>星空の歌姫</v>
      </c>
      <c r="F33" s="115" t="str">
        <f ca="1">VLOOKUP($D33,OFFSET([2]stages!$A$1,0,0,COUNTA([2]stages!$A:$A),MATCH(F$1,[2]stages!$2:$2,0)-MATCH($D$1,[2]stages!$2:$2,0)+1),MATCH(F$1,[2]stages!$2:$2,0)-MATCH($D$1,[2]stages!$2:$2,0)+1,FALSE)</f>
        <v>【中級】星空の歌姫</v>
      </c>
      <c r="G33" s="114">
        <v>3</v>
      </c>
      <c r="H33" s="116" t="str">
        <f t="shared" si="7"/>
        <v>39009_2-3</v>
      </c>
      <c r="I33" s="115">
        <f ca="1">VLOOKUP($H33,OFFSET(floors!$A$1,0,0,COUNTA(floors!$A:$A),MATCH(I$1,floors!$1:$1,0)-MATCH($H$1,floors!$1:$1,0)+1),MATCH(I$1,floors!$1:$1,0)-MATCH($H$1,floors!$1:$1,0)+1,FALSE)</f>
        <v>60</v>
      </c>
      <c r="J33" s="115">
        <f ca="1">VLOOKUP($H33,OFFSET(floors!$A$1,0,0,COUNTA(floors!$A:$A),MATCH(J$1,floors!$1:$1,0)-MATCH($H$1,floors!$1:$1,0)+1),MATCH(J$1,floors!$1:$1,0)-MATCH($H$1,floors!$1:$1,0)+1,FALSE)</f>
        <v>60</v>
      </c>
      <c r="K33" s="117" t="s">
        <v>53</v>
      </c>
      <c r="L33" s="114">
        <v>531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冬服ポチ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Drop1T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118">
        <v>30</v>
      </c>
      <c r="S33" s="119">
        <v>2.1</v>
      </c>
      <c r="T33" s="98">
        <f ca="1">ROUND(VLOOKUP(R33,[3]enemy_base_stats!$A:$F,2,FALSE)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INDIRECT("[EnemyMasterData.xlsm]enemies!AD"&amp;(L33+1))*[4]ステータス!$B$2,0)*S33</f>
        <v>10584</v>
      </c>
      <c r="U33" s="119">
        <v>1.5</v>
      </c>
      <c r="V33" s="98">
        <f ca="1">ROUND(VLOOKUP(R33,[3]enemy_base_stats!$A:$F,3,FALSE)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INDIRECT("[EnemyMasterData.xlsm]enemies!AE"&amp;(L33+1))*[4]ステータス!$C$2,0)*U33</f>
        <v>2167.5</v>
      </c>
      <c r="W33" s="5">
        <v>0</v>
      </c>
      <c r="X33" s="4" t="e">
        <f ca="1">VLOOKUP($Y33,OFFSET(enemy_skill_sets!$B$1,0,0,COUNTA(enemy_skill_sets!$B:$B),MATCH(M$1,enemy_skill_sets!$1:$1,0)-MATCH($Y$1,enemy_skill_sets!$1:$1,0)+2),MATCH(M$1,enemy_skill_sets!$1:$1,0)-MATCH($Y$1,enemy_skill_sets!$1:$1,0)+2,FALSE)</f>
        <v>#N/A</v>
      </c>
      <c r="Y33" s="120">
        <v>0</v>
      </c>
      <c r="Z33" s="121">
        <v>0</v>
      </c>
      <c r="AA33" s="121">
        <v>100</v>
      </c>
      <c r="AB33" s="121">
        <v>0</v>
      </c>
      <c r="AC33" s="122">
        <v>3</v>
      </c>
      <c r="AD33" s="24">
        <f t="shared" si="8"/>
        <v>531</v>
      </c>
      <c r="AE33" s="4" t="str">
        <f ca="1">VLOOKUP($AD33,OFFSET([4]characters!$A$1,0,0,COUNTA([4]characters!$A:$A),MATCH(AE$1,[4]characters!$1:$1,0)-MATCH("character_id",[4]characters!$1:$1,0)+1),MATCH(AE$1,[4]characters!$1:$1,0)-MATCH("character_id",[4]characters!$1:$1,0)+1,FALSE)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33" s="4">
        <f ca="1">VLOOKUP($AD33,OFFSET([4]characters!$A$1,0,0,COUNTA([4]characters!$A:$A),MATCH(AF$1,[4]characters!$1:$1,0)-MATCH("character_id",[4]characters!$1:$1,0)+1),MATCH(AF$1,[4]characters!$1:$1,0)-MATCH("character_id",[4]characters!$1:$1,0)+1,FALSE)</f>
        <v>1</v>
      </c>
      <c r="AG33" s="4" t="str">
        <f ca="1">VLOOKUP($AD33,OFFSET([4]characters!$A$1,0,0,COUNTA([4]characters!$A:$A),MATCH(AG$1,[4]characters!$1:$1,0)-MATCH("character_id",[4]characters!$1:$1,0)+1),MATCH(AG$1,[4]characters!$1:$1,0)-MATCH("character_id",[4]characters!$1:$1,0)+1,FALSE)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3" s="7">
        <v>1</v>
      </c>
      <c r="AI33" s="24">
        <f t="shared" ca="1" si="9"/>
        <v>1</v>
      </c>
      <c r="AJ33" s="123">
        <v>0</v>
      </c>
      <c r="AK33" s="7">
        <v>0</v>
      </c>
      <c r="AL33" s="7">
        <v>0</v>
      </c>
      <c r="AM33" s="7">
        <v>0</v>
      </c>
      <c r="AN33" s="7">
        <v>0</v>
      </c>
      <c r="AO33" s="7">
        <v>1</v>
      </c>
      <c r="AP33" s="70">
        <v>1</v>
      </c>
    </row>
    <row r="34" spans="1:42" ht="21" customHeight="1" x14ac:dyDescent="0.15">
      <c r="A34" s="16" t="str">
        <f t="shared" si="5"/>
        <v>39009_2-3/532&lt;lv30&gt;s2</v>
      </c>
      <c r="B34" s="22">
        <v>39009</v>
      </c>
      <c r="C34" s="114">
        <v>2</v>
      </c>
      <c r="D34" s="114" t="str">
        <f t="shared" si="6"/>
        <v>39009_2</v>
      </c>
      <c r="E34" s="115" t="str">
        <f ca="1">VLOOKUP($B34,OFFSET([2]quests!$A$1,0,0,COUNTA([2]quests!$A:$A),MATCH(E$1,[2]quests!$1:$1,0)-MATCH($B$1,[2]quests!$1:$1,0)+1),MATCH(E$1,[2]quests!$1:$1,0)-MATCH($B$1,[2]quests!$1:$1,0)+1,FALSE)</f>
        <v>星空の歌姫</v>
      </c>
      <c r="F34" s="115" t="str">
        <f ca="1">VLOOKUP($D34,OFFSET([2]stages!$A$1,0,0,COUNTA([2]stages!$A:$A),MATCH(F$1,[2]stages!$2:$2,0)-MATCH($D$1,[2]stages!$2:$2,0)+1),MATCH(F$1,[2]stages!$2:$2,0)-MATCH($D$1,[2]stages!$2:$2,0)+1,FALSE)</f>
        <v>【中級】星空の歌姫</v>
      </c>
      <c r="G34" s="114">
        <v>3</v>
      </c>
      <c r="H34" s="116" t="str">
        <f t="shared" si="7"/>
        <v>39009_2-3</v>
      </c>
      <c r="I34" s="115">
        <f ca="1">VLOOKUP($H34,OFFSET(floors!$A$1,0,0,COUNTA(floors!$A:$A),MATCH(I$1,floors!$1:$1,0)-MATCH($H$1,floors!$1:$1,0)+1),MATCH(I$1,floors!$1:$1,0)-MATCH($H$1,floors!$1:$1,0)+1,FALSE)</f>
        <v>60</v>
      </c>
      <c r="J34" s="115">
        <f ca="1">VLOOKUP($H34,OFFSET(floors!$A$1,0,0,COUNTA(floors!$A:$A),MATCH(J$1,floors!$1:$1,0)-MATCH($H$1,floors!$1:$1,0)+1),MATCH(J$1,floors!$1:$1,0)-MATCH($H$1,floors!$1:$1,0)+1,FALSE)</f>
        <v>60</v>
      </c>
      <c r="K34" s="117" t="s">
        <v>53</v>
      </c>
      <c r="L34" s="114">
        <v>532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冬服エレキポット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Drop1T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118">
        <v>30</v>
      </c>
      <c r="S34" s="119">
        <v>2.4</v>
      </c>
      <c r="T34" s="98">
        <f ca="1">ROUND(VLOOKUP(R34,[3]enemy_base_stats!$A:$F,2,FALSE)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INDIRECT("[EnemyMasterData.xlsm]enemies!AD"&amp;(L34+1))*[4]ステータス!$B$2,0)*S34</f>
        <v>14817.599999999999</v>
      </c>
      <c r="U34" s="119">
        <v>0.9</v>
      </c>
      <c r="V34" s="98">
        <f ca="1">ROUND(VLOOKUP(R34,[3]enemy_base_stats!$A:$F,3,FALSE)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INDIRECT("[EnemyMasterData.xlsm]enemies!AE"&amp;(L34+1))*[4]ステータス!$C$2,0)*U34</f>
        <v>2285.1</v>
      </c>
      <c r="W34" s="5">
        <v>0</v>
      </c>
      <c r="X34" s="4" t="e">
        <f ca="1">VLOOKUP($Y34,OFFSET(enemy_skill_sets!$B$1,0,0,COUNTA(enemy_skill_sets!$B:$B),MATCH(M$1,enemy_skill_sets!$1:$1,0)-MATCH($Y$1,enemy_skill_sets!$1:$1,0)+2),MATCH(M$1,enemy_skill_sets!$1:$1,0)-MATCH($Y$1,enemy_skill_sets!$1:$1,0)+2,FALSE)</f>
        <v>#N/A</v>
      </c>
      <c r="Y34" s="120">
        <v>0</v>
      </c>
      <c r="Z34" s="121">
        <v>0</v>
      </c>
      <c r="AA34" s="121">
        <v>100</v>
      </c>
      <c r="AB34" s="121">
        <v>0</v>
      </c>
      <c r="AC34" s="122">
        <v>2</v>
      </c>
      <c r="AD34" s="24">
        <f t="shared" si="8"/>
        <v>532</v>
      </c>
      <c r="AE34" s="4" t="str">
        <f ca="1">VLOOKUP($AD34,OFFSET([4]characters!$A$1,0,0,COUNTA([4]characters!$A:$A),MATCH(AE$1,[4]characters!$1:$1,0)-MATCH("character_id",[4]characters!$1:$1,0)+1),MATCH(AE$1,[4]characters!$1:$1,0)-MATCH("character_id",[4]characters!$1:$1,0)+1,FALSE)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34" s="4">
        <f ca="1">VLOOKUP($AD34,OFFSET([4]characters!$A$1,0,0,COUNTA([4]characters!$A:$A),MATCH(AF$1,[4]characters!$1:$1,0)-MATCH("character_id",[4]characters!$1:$1,0)+1),MATCH(AF$1,[4]characters!$1:$1,0)-MATCH("character_id",[4]characters!$1:$1,0)+1,FALSE)</f>
        <v>1</v>
      </c>
      <c r="AG34" s="4" t="str">
        <f ca="1">VLOOKUP($AD34,OFFSET([4]characters!$A$1,0,0,COUNTA([4]characters!$A:$A),MATCH(AG$1,[4]characters!$1:$1,0)-MATCH("character_id",[4]characters!$1:$1,0)+1),MATCH(AG$1,[4]characters!$1:$1,0)-MATCH("character_id",[4]characters!$1:$1,0)+1,FALSE)</f>
        <v>Drop1T</v>
      </c>
      <c r="AH34" s="7">
        <v>1</v>
      </c>
      <c r="AI34" s="24">
        <f t="shared" ca="1" si="9"/>
        <v>1</v>
      </c>
      <c r="AJ34" s="123">
        <v>0</v>
      </c>
      <c r="AK34" s="7">
        <v>0</v>
      </c>
      <c r="AL34" s="7">
        <v>0</v>
      </c>
      <c r="AM34" s="7">
        <v>0</v>
      </c>
      <c r="AN34" s="7">
        <v>0</v>
      </c>
      <c r="AO34" s="7">
        <v>1</v>
      </c>
      <c r="AP34" s="70">
        <v>1</v>
      </c>
    </row>
    <row r="35" spans="1:42" ht="21" customHeight="1" x14ac:dyDescent="0.15">
      <c r="A35" s="16" t="str">
        <f t="shared" si="5"/>
        <v>39009_2-3/533&lt;lv30&gt;s3</v>
      </c>
      <c r="B35" s="22">
        <v>39009</v>
      </c>
      <c r="C35" s="114">
        <v>2</v>
      </c>
      <c r="D35" s="114" t="str">
        <f t="shared" si="6"/>
        <v>39009_2</v>
      </c>
      <c r="E35" s="115" t="str">
        <f ca="1">VLOOKUP($B35,OFFSET([2]quests!$A$1,0,0,COUNTA([2]quests!$A:$A),MATCH(E$1,[2]quests!$1:$1,0)-MATCH($B$1,[2]quests!$1:$1,0)+1),MATCH(E$1,[2]quests!$1:$1,0)-MATCH($B$1,[2]quests!$1:$1,0)+1,FALSE)</f>
        <v>星空の歌姫</v>
      </c>
      <c r="F35" s="115" t="str">
        <f ca="1">VLOOKUP($D35,OFFSET([2]stages!$A$1,0,0,COUNTA([2]stages!$A:$A),MATCH(F$1,[2]stages!$2:$2,0)-MATCH($D$1,[2]stages!$2:$2,0)+1),MATCH(F$1,[2]stages!$2:$2,0)-MATCH($D$1,[2]stages!$2:$2,0)+1,FALSE)</f>
        <v>【中級】星空の歌姫</v>
      </c>
      <c r="G35" s="114">
        <v>3</v>
      </c>
      <c r="H35" s="116" t="str">
        <f t="shared" si="7"/>
        <v>39009_2-3</v>
      </c>
      <c r="I35" s="115">
        <f ca="1">VLOOKUP($H35,OFFSET(floors!$A$1,0,0,COUNTA(floors!$A:$A),MATCH(I$1,floors!$1:$1,0)-MATCH($H$1,floors!$1:$1,0)+1),MATCH(I$1,floors!$1:$1,0)-MATCH($H$1,floors!$1:$1,0)+1,FALSE)</f>
        <v>60</v>
      </c>
      <c r="J35" s="115">
        <f ca="1">VLOOKUP($H35,OFFSET(floors!$A$1,0,0,COUNTA(floors!$A:$A),MATCH(J$1,floors!$1:$1,0)-MATCH($H$1,floors!$1:$1,0)+1),MATCH(J$1,floors!$1:$1,0)-MATCH($H$1,floors!$1:$1,0)+1,FALSE)</f>
        <v>60</v>
      </c>
      <c r="K35" s="117" t="s">
        <v>53</v>
      </c>
      <c r="L35" s="114">
        <v>533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冬服アカネ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red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Drop1W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118">
        <v>30</v>
      </c>
      <c r="S35" s="119">
        <v>2.5</v>
      </c>
      <c r="T35" s="98">
        <f ca="1">ROUND(VLOOKUP(R35,[3]enemy_base_stats!$A:$F,2,FALSE)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INDIRECT("[EnemyMasterData.xlsm]enemies!AD"&amp;(L35+1))*[4]ステータス!$B$2,0)*S35</f>
        <v>14805</v>
      </c>
      <c r="U35" s="119">
        <v>1.6</v>
      </c>
      <c r="V35" s="98">
        <f ca="1">ROUND(VLOOKUP(R35,[3]enemy_base_stats!$A:$F,3,FALSE)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INDIRECT("[EnemyMasterData.xlsm]enemies!AE"&amp;(L35+1))*[4]ステータス!$C$2,0)*U35</f>
        <v>3054.4</v>
      </c>
      <c r="W35" s="5">
        <v>0</v>
      </c>
      <c r="X35" s="4" t="e">
        <f ca="1">VLOOKUP($Y35,OFFSET(enemy_skill_sets!$B$1,0,0,COUNTA(enemy_skill_sets!$B:$B),MATCH(M$1,enemy_skill_sets!$1:$1,0)-MATCH($Y$1,enemy_skill_sets!$1:$1,0)+2),MATCH(M$1,enemy_skill_sets!$1:$1,0)-MATCH($Y$1,enemy_skill_sets!$1:$1,0)+2,FALSE)</f>
        <v>#N/A</v>
      </c>
      <c r="Y35" s="120">
        <v>0</v>
      </c>
      <c r="Z35" s="121">
        <v>0</v>
      </c>
      <c r="AA35" s="121">
        <v>100</v>
      </c>
      <c r="AB35" s="121">
        <v>0</v>
      </c>
      <c r="AC35" s="122">
        <v>3</v>
      </c>
      <c r="AD35" s="24">
        <f t="shared" si="8"/>
        <v>533</v>
      </c>
      <c r="AE35" s="4" t="str">
        <f ca="1">VLOOKUP($AD35,OFFSET([4]characters!$A$1,0,0,COUNTA([4]characters!$A:$A),MATCH(AE$1,[4]characters!$1:$1,0)-MATCH("character_id",[4]characters!$1:$1,0)+1),MATCH(AE$1,[4]characters!$1:$1,0)-MATCH("character_id",[4]characters!$1:$1,0)+1,FALSE)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35" s="4">
        <f ca="1">VLOOKUP($AD35,OFFSET([4]characters!$A$1,0,0,COUNTA([4]characters!$A:$A),MATCH(AF$1,[4]characters!$1:$1,0)-MATCH("character_id",[4]characters!$1:$1,0)+1),MATCH(AF$1,[4]characters!$1:$1,0)-MATCH("character_id",[4]characters!$1:$1,0)+1,FALSE)</f>
        <v>1</v>
      </c>
      <c r="AG35" s="4" t="str">
        <f ca="1">VLOOKUP($AD35,OFFSET([4]characters!$A$1,0,0,COUNTA([4]characters!$A:$A),MATCH(AG$1,[4]characters!$1:$1,0)-MATCH("character_id",[4]characters!$1:$1,0)+1),MATCH(AG$1,[4]characters!$1:$1,0)-MATCH("character_id",[4]characters!$1:$1,0)+1,FALSE)</f>
        <v>Drop1W</v>
      </c>
      <c r="AH35" s="7">
        <v>1</v>
      </c>
      <c r="AI35" s="24">
        <f t="shared" ca="1" si="9"/>
        <v>1</v>
      </c>
      <c r="AJ35" s="123">
        <v>0</v>
      </c>
      <c r="AK35" s="7">
        <v>0</v>
      </c>
      <c r="AL35" s="7">
        <v>0</v>
      </c>
      <c r="AM35" s="7">
        <v>0</v>
      </c>
      <c r="AN35" s="7">
        <v>0</v>
      </c>
      <c r="AO35" s="7">
        <v>1</v>
      </c>
      <c r="AP35" s="70">
        <v>1</v>
      </c>
    </row>
    <row r="36" spans="1:42" ht="21" customHeight="1" x14ac:dyDescent="0.15">
      <c r="A36" s="16" t="str">
        <f t="shared" si="5"/>
        <v>39009_2-3/534&lt;lv30&gt;s1</v>
      </c>
      <c r="B36" s="22">
        <v>39009</v>
      </c>
      <c r="C36" s="114">
        <v>2</v>
      </c>
      <c r="D36" s="114" t="str">
        <f t="shared" si="6"/>
        <v>39009_2</v>
      </c>
      <c r="E36" s="115" t="str">
        <f ca="1">VLOOKUP($B36,OFFSET([2]quests!$A$1,0,0,COUNTA([2]quests!$A:$A),MATCH(E$1,[2]quests!$1:$1,0)-MATCH($B$1,[2]quests!$1:$1,0)+1),MATCH(E$1,[2]quests!$1:$1,0)-MATCH($B$1,[2]quests!$1:$1,0)+1,FALSE)</f>
        <v>星空の歌姫</v>
      </c>
      <c r="F36" s="115" t="str">
        <f ca="1">VLOOKUP($D36,OFFSET([2]stages!$A$1,0,0,COUNTA([2]stages!$A:$A),MATCH(F$1,[2]stages!$2:$2,0)-MATCH($D$1,[2]stages!$2:$2,0)+1),MATCH(F$1,[2]stages!$2:$2,0)-MATCH($D$1,[2]stages!$2:$2,0)+1,FALSE)</f>
        <v>【中級】星空の歌姫</v>
      </c>
      <c r="G36" s="114">
        <v>3</v>
      </c>
      <c r="H36" s="116" t="str">
        <f t="shared" si="7"/>
        <v>39009_2-3</v>
      </c>
      <c r="I36" s="115">
        <f ca="1">VLOOKUP($H36,OFFSET(floors!$A$1,0,0,COUNTA(floors!$A:$A),MATCH(I$1,floors!$1:$1,0)-MATCH($H$1,floors!$1:$1,0)+1),MATCH(I$1,floors!$1:$1,0)-MATCH($H$1,floors!$1:$1,0)+1,FALSE)</f>
        <v>60</v>
      </c>
      <c r="J36" s="115">
        <f ca="1">VLOOKUP($H36,OFFSET(floors!$A$1,0,0,COUNTA(floors!$A:$A),MATCH(J$1,floors!$1:$1,0)-MATCH($H$1,floors!$1:$1,0)+1),MATCH(J$1,floors!$1:$1,0)-MATCH($H$1,floors!$1:$1,0)+1,FALSE)</f>
        <v>60</v>
      </c>
      <c r="K36" s="117" t="s">
        <v>53</v>
      </c>
      <c r="L36" s="114">
        <v>534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冬服パトライン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Drop1W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machine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118">
        <v>30</v>
      </c>
      <c r="S36" s="119">
        <v>3.7</v>
      </c>
      <c r="T36" s="98">
        <f ca="1">ROUND(VLOOKUP(R36,[3]enemy_base_stats!$A:$F,2,FALSE)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INDIRECT("[EnemyMasterData.xlsm]enemies!AD"&amp;(L36+1))*[4]ステータス!$B$2,0)*S36</f>
        <v>19021.7</v>
      </c>
      <c r="U36" s="119">
        <v>1.4</v>
      </c>
      <c r="V36" s="98">
        <f ca="1">ROUND(VLOOKUP(R36,[3]enemy_base_stats!$A:$F,3,FALSE)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INDIRECT("[EnemyMasterData.xlsm]enemies!AE"&amp;(L36+1))*[4]ステータス!$C$2,0)*U36</f>
        <v>2022.9999999999998</v>
      </c>
      <c r="W36" s="5">
        <v>0</v>
      </c>
      <c r="X36" s="4" t="e">
        <f ca="1">VLOOKUP($Y36,OFFSET(enemy_skill_sets!$B$1,0,0,COUNTA(enemy_skill_sets!$B:$B),MATCH(M$1,enemy_skill_sets!$1:$1,0)-MATCH($Y$1,enemy_skill_sets!$1:$1,0)+2),MATCH(M$1,enemy_skill_sets!$1:$1,0)-MATCH($Y$1,enemy_skill_sets!$1:$1,0)+2,FALSE)</f>
        <v>#N/A</v>
      </c>
      <c r="Y36" s="120">
        <v>0</v>
      </c>
      <c r="Z36" s="121">
        <v>0</v>
      </c>
      <c r="AA36" s="121">
        <v>100</v>
      </c>
      <c r="AB36" s="121">
        <v>0</v>
      </c>
      <c r="AC36" s="122">
        <v>1</v>
      </c>
      <c r="AD36" s="24">
        <f t="shared" si="8"/>
        <v>534</v>
      </c>
      <c r="AE36" s="4" t="str">
        <f ca="1">VLOOKUP($AD36,OFFSET([4]characters!$A$1,0,0,COUNTA([4]characters!$A:$A),MATCH(AE$1,[4]characters!$1:$1,0)-MATCH("character_id",[4]characters!$1:$1,0)+1),MATCH(AE$1,[4]characters!$1:$1,0)-MATCH("character_id",[4]characters!$1:$1,0)+1,FALSE)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36" s="4">
        <f ca="1">VLOOKUP($AD36,OFFSET([4]characters!$A$1,0,0,COUNTA([4]characters!$A:$A),MATCH(AF$1,[4]characters!$1:$1,0)-MATCH("character_id",[4]characters!$1:$1,0)+1),MATCH(AF$1,[4]characters!$1:$1,0)-MATCH("character_id",[4]characters!$1:$1,0)+1,FALSE)</f>
        <v>1</v>
      </c>
      <c r="AG36" s="4" t="str">
        <f ca="1">VLOOKUP($AD36,OFFSET([4]characters!$A$1,0,0,COUNTA([4]characters!$A:$A),MATCH(AG$1,[4]characters!$1:$1,0)-MATCH("character_id",[4]characters!$1:$1,0)+1),MATCH(AG$1,[4]characters!$1:$1,0)-MATCH("character_id",[4]characters!$1:$1,0)+1,FALSE)</f>
        <v>Drop1W</v>
      </c>
      <c r="AH36" s="7">
        <v>1</v>
      </c>
      <c r="AI36" s="24">
        <f t="shared" ca="1" si="9"/>
        <v>1</v>
      </c>
      <c r="AJ36" s="123">
        <v>0</v>
      </c>
      <c r="AK36" s="7">
        <v>0</v>
      </c>
      <c r="AL36" s="7">
        <v>0</v>
      </c>
      <c r="AM36" s="7">
        <v>0</v>
      </c>
      <c r="AN36" s="7">
        <v>0</v>
      </c>
      <c r="AO36" s="7">
        <v>1</v>
      </c>
      <c r="AP36" s="70">
        <v>1</v>
      </c>
    </row>
    <row r="37" spans="1:42" ht="21" customHeight="1" x14ac:dyDescent="0.15">
      <c r="A37" s="16" t="str">
        <f t="shared" si="5"/>
        <v>39009_2-3/535&lt;lv30&gt;s2</v>
      </c>
      <c r="B37" s="22">
        <v>39009</v>
      </c>
      <c r="C37" s="114">
        <v>2</v>
      </c>
      <c r="D37" s="114" t="str">
        <f t="shared" si="6"/>
        <v>39009_2</v>
      </c>
      <c r="E37" s="115" t="str">
        <f ca="1">VLOOKUP($B37,OFFSET([2]quests!$A$1,0,0,COUNTA([2]quests!$A:$A),MATCH(E$1,[2]quests!$1:$1,0)-MATCH($B$1,[2]quests!$1:$1,0)+1),MATCH(E$1,[2]quests!$1:$1,0)-MATCH($B$1,[2]quests!$1:$1,0)+1,FALSE)</f>
        <v>星空の歌姫</v>
      </c>
      <c r="F37" s="115" t="str">
        <f ca="1">VLOOKUP($D37,OFFSET([2]stages!$A$1,0,0,COUNTA([2]stages!$A:$A),MATCH(F$1,[2]stages!$2:$2,0)-MATCH($D$1,[2]stages!$2:$2,0)+1),MATCH(F$1,[2]stages!$2:$2,0)-MATCH($D$1,[2]stages!$2:$2,0)+1,FALSE)</f>
        <v>【中級】星空の歌姫</v>
      </c>
      <c r="G37" s="114">
        <v>3</v>
      </c>
      <c r="H37" s="116" t="str">
        <f t="shared" si="7"/>
        <v>39009_2-3</v>
      </c>
      <c r="I37" s="115">
        <f ca="1">VLOOKUP($H37,OFFSET(floors!$A$1,0,0,COUNTA(floors!$A:$A),MATCH(I$1,floors!$1:$1,0)-MATCH($H$1,floors!$1:$1,0)+1),MATCH(I$1,floors!$1:$1,0)-MATCH($H$1,floors!$1:$1,0)+1,FALSE)</f>
        <v>60</v>
      </c>
      <c r="J37" s="115">
        <f ca="1">VLOOKUP($H37,OFFSET(floors!$A$1,0,0,COUNTA(floors!$A:$A),MATCH(J$1,floors!$1:$1,0)-MATCH($H$1,floors!$1:$1,0)+1),MATCH(J$1,floors!$1:$1,0)-MATCH($H$1,floors!$1:$1,0)+1,FALSE)</f>
        <v>60</v>
      </c>
      <c r="K37" s="117" t="s">
        <v>53</v>
      </c>
      <c r="L37" s="114">
        <v>535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冬服リム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Drop1W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human</v>
      </c>
      <c r="Q37" s="17">
        <f ca="1">VLOOKUP($L37,OFFSET([3]enemies!$A$1,0,0,COUNTA([3]enemies!$A:$A),MATCH(Q$1,[3]enemies!$1:$1,0)-MATCH($L$1,[3]enemies!$1:$1,0)+1),MATCH(Q$1,[3]enemies!$1:$1,0)-MATCH($L$1,[3]enemies!$1:$1,0)+1,FALSE)</f>
        <v>15</v>
      </c>
      <c r="R37" s="118">
        <v>30</v>
      </c>
      <c r="S37" s="119">
        <v>1.8</v>
      </c>
      <c r="T37" s="98">
        <f ca="1">ROUND(VLOOKUP(R37,[3]enemy_base_stats!$A:$F,2,FALSE)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INDIRECT("[EnemyMasterData.xlsm]enemies!AD"&amp;(L37+1))*[4]ステータス!$B$2,0)*S37</f>
        <v>10659.6</v>
      </c>
      <c r="U37" s="119">
        <v>0.9</v>
      </c>
      <c r="V37" s="98">
        <f ca="1">ROUND(VLOOKUP(R37,[3]enemy_base_stats!$A:$F,3,FALSE)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INDIRECT("[EnemyMasterData.xlsm]enemies!AE"&amp;(L37+1))*[4]ステータス!$C$2,0)*U37</f>
        <v>1650.6000000000001</v>
      </c>
      <c r="W37" s="5">
        <v>0</v>
      </c>
      <c r="X37" s="4" t="e">
        <f ca="1">VLOOKUP($Y37,OFFSET(enemy_skill_sets!$B$1,0,0,COUNTA(enemy_skill_sets!$B:$B),MATCH(M$1,enemy_skill_sets!$1:$1,0)-MATCH($Y$1,enemy_skill_sets!$1:$1,0)+2),MATCH(M$1,enemy_skill_sets!$1:$1,0)-MATCH($Y$1,enemy_skill_sets!$1:$1,0)+2,FALSE)</f>
        <v>#N/A</v>
      </c>
      <c r="Y37" s="120">
        <v>0</v>
      </c>
      <c r="Z37" s="121">
        <v>0</v>
      </c>
      <c r="AA37" s="121">
        <v>100</v>
      </c>
      <c r="AB37" s="121">
        <v>0</v>
      </c>
      <c r="AC37" s="122">
        <v>2</v>
      </c>
      <c r="AD37" s="24">
        <f t="shared" si="8"/>
        <v>535</v>
      </c>
      <c r="AE37" s="4" t="str">
        <f ca="1">VLOOKUP($AD37,OFFSET([4]characters!$A$1,0,0,COUNTA([4]characters!$A:$A),MATCH(AE$1,[4]characters!$1:$1,0)-MATCH("character_id",[4]characters!$1:$1,0)+1),MATCH(AE$1,[4]characters!$1:$1,0)-MATCH("character_id",[4]characters!$1:$1,0)+1,FALSE)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37" s="4">
        <f ca="1">VLOOKUP($AD37,OFFSET([4]characters!$A$1,0,0,COUNTA([4]characters!$A:$A),MATCH(AF$1,[4]characters!$1:$1,0)-MATCH("character_id",[4]characters!$1:$1,0)+1),MATCH(AF$1,[4]characters!$1:$1,0)-MATCH("character_id",[4]characters!$1:$1,0)+1,FALSE)</f>
        <v>1</v>
      </c>
      <c r="AG37" s="4" t="str">
        <f ca="1">VLOOKUP($AD37,OFFSET([4]characters!$A$1,0,0,COUNTA([4]characters!$A:$A),MATCH(AG$1,[4]characters!$1:$1,0)-MATCH("character_id",[4]characters!$1:$1,0)+1),MATCH(AG$1,[4]characters!$1:$1,0)-MATCH("character_id",[4]characters!$1:$1,0)+1,FALSE)</f>
        <v>Drop1W</v>
      </c>
      <c r="AH37" s="7">
        <v>1</v>
      </c>
      <c r="AI37" s="24">
        <f t="shared" ca="1" si="9"/>
        <v>1</v>
      </c>
      <c r="AJ37" s="123">
        <v>0</v>
      </c>
      <c r="AK37" s="7">
        <v>0</v>
      </c>
      <c r="AL37" s="7">
        <v>0</v>
      </c>
      <c r="AM37" s="7">
        <v>0</v>
      </c>
      <c r="AN37" s="7">
        <v>0</v>
      </c>
      <c r="AO37" s="7">
        <v>1</v>
      </c>
      <c r="AP37" s="70">
        <v>1</v>
      </c>
    </row>
    <row r="38" spans="1:42" ht="21" customHeight="1" x14ac:dyDescent="0.15">
      <c r="A38" s="16" t="str">
        <f t="shared" si="5"/>
        <v>39009_2-3/536&lt;lv30&gt;s2</v>
      </c>
      <c r="B38" s="22">
        <v>39009</v>
      </c>
      <c r="C38" s="114">
        <v>2</v>
      </c>
      <c r="D38" s="114" t="str">
        <f t="shared" si="6"/>
        <v>39009_2</v>
      </c>
      <c r="E38" s="115" t="str">
        <f ca="1">VLOOKUP($B38,OFFSET([2]quests!$A$1,0,0,COUNTA([2]quests!$A:$A),MATCH(E$1,[2]quests!$1:$1,0)-MATCH($B$1,[2]quests!$1:$1,0)+1),MATCH(E$1,[2]quests!$1:$1,0)-MATCH($B$1,[2]quests!$1:$1,0)+1,FALSE)</f>
        <v>星空の歌姫</v>
      </c>
      <c r="F38" s="115" t="str">
        <f ca="1">VLOOKUP($D38,OFFSET([2]stages!$A$1,0,0,COUNTA([2]stages!$A:$A),MATCH(F$1,[2]stages!$2:$2,0)-MATCH($D$1,[2]stages!$2:$2,0)+1),MATCH(F$1,[2]stages!$2:$2,0)-MATCH($D$1,[2]stages!$2:$2,0)+1,FALSE)</f>
        <v>【中級】星空の歌姫</v>
      </c>
      <c r="G38" s="114">
        <v>3</v>
      </c>
      <c r="H38" s="116" t="str">
        <f t="shared" si="7"/>
        <v>39009_2-3</v>
      </c>
      <c r="I38" s="115">
        <f ca="1">VLOOKUP($H38,OFFSET(floors!$A$1,0,0,COUNTA(floors!$A:$A),MATCH(I$1,floors!$1:$1,0)-MATCH($H$1,floors!$1:$1,0)+1),MATCH(I$1,floors!$1:$1,0)-MATCH($H$1,floors!$1:$1,0)+1,FALSE)</f>
        <v>60</v>
      </c>
      <c r="J38" s="115">
        <f ca="1">VLOOKUP($H38,OFFSET(floors!$A$1,0,0,COUNTA(floors!$A:$A),MATCH(J$1,floors!$1:$1,0)-MATCH($H$1,floors!$1:$1,0)+1),MATCH(J$1,floors!$1:$1,0)-MATCH($H$1,floors!$1:$1,0)+1,FALSE)</f>
        <v>60</v>
      </c>
      <c r="K38" s="117" t="s">
        <v>53</v>
      </c>
      <c r="L38" s="114">
        <v>536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冬服ミミ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Drop1W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118">
        <v>30</v>
      </c>
      <c r="S38" s="119">
        <v>2.4</v>
      </c>
      <c r="T38" s="98">
        <f ca="1">ROUND(VLOOKUP(R38,[3]enemy_base_stats!$A:$F,2,FALSE) *INDIRECT("[EnemyMasterData.xlsm]enemies!Y"&amp;(L38+1))*  INDIRECT("[EnemyMasterData.xlsm]enemies!J"&amp;(L38+1))* INDIRECT("[EnemyMasterData.xlsm]enemies!O"&amp;(L38+1))* INDIRECT("[EnemyMasterData.xlsm]enemies!E"&amp;(L38+1))* INDIRECT("[EnemyMasterData.xlsm]enemies!S"&amp;(L38+1))* INDIRECT("[EnemyMasterData.xlsm]enemies!AD"&amp;(L38+1))*[4]ステータス!$B$2,0)*S38</f>
        <v>14817.599999999999</v>
      </c>
      <c r="U38" s="119">
        <v>0.8</v>
      </c>
      <c r="V38" s="98">
        <f ca="1">ROUND(VLOOKUP(R38,[3]enemy_base_stats!$A:$F,3,FALSE) *INDIRECT("[EnemyMasterData.xlsm]enemies!Z"&amp;(L38+1))*  INDIRECT("[EnemyMasterData.xlsm]enemies!K"&amp;(L38+1))* INDIRECT("[EnemyMasterData.xlsm]enemies!P"&amp;(L38+1))* INDIRECT("[EnemyMasterData.xlsm]enemies!F"&amp;(L38+1))* INDIRECT("[EnemyMasterData.xlsm]enemies!T"&amp;(L38+1))* INDIRECT("[EnemyMasterData.xlsm]enemies!AE"&amp;(L38+1))*[4]ステータス!$C$2,0)*U38</f>
        <v>2234.4</v>
      </c>
      <c r="W38" s="5">
        <v>0</v>
      </c>
      <c r="X38" s="4" t="e">
        <f ca="1">VLOOKUP($Y38,OFFSET(enemy_skill_sets!$B$1,0,0,COUNTA(enemy_skill_sets!$B:$B),MATCH(M$1,enemy_skill_sets!$1:$1,0)-MATCH($Y$1,enemy_skill_sets!$1:$1,0)+2),MATCH(M$1,enemy_skill_sets!$1:$1,0)-MATCH($Y$1,enemy_skill_sets!$1:$1,0)+2,FALSE)</f>
        <v>#N/A</v>
      </c>
      <c r="Y38" s="120">
        <v>0</v>
      </c>
      <c r="Z38" s="121">
        <v>0</v>
      </c>
      <c r="AA38" s="121">
        <v>100</v>
      </c>
      <c r="AB38" s="121">
        <v>0</v>
      </c>
      <c r="AC38" s="122">
        <v>2</v>
      </c>
      <c r="AD38" s="24">
        <f t="shared" si="8"/>
        <v>536</v>
      </c>
      <c r="AE38" s="4" t="str">
        <f ca="1">VLOOKUP($AD38,OFFSET([4]characters!$A$1,0,0,COUNTA([4]characters!$A:$A),MATCH(AE$1,[4]characters!$1:$1,0)-MATCH("character_id",[4]characters!$1:$1,0)+1),MATCH(AE$1,[4]characters!$1:$1,0)-MATCH("character_id",[4]characters!$1:$1,0)+1,FALSE)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38" s="4">
        <f ca="1">VLOOKUP($AD38,OFFSET([4]characters!$A$1,0,0,COUNTA([4]characters!$A:$A),MATCH(AF$1,[4]characters!$1:$1,0)-MATCH("character_id",[4]characters!$1:$1,0)+1),MATCH(AF$1,[4]characters!$1:$1,0)-MATCH("character_id",[4]characters!$1:$1,0)+1,FALSE)</f>
        <v>1</v>
      </c>
      <c r="AG38" s="4" t="str">
        <f ca="1">VLOOKUP($AD38,OFFSET([4]characters!$A$1,0,0,COUNTA([4]characters!$A:$A),MATCH(AG$1,[4]characters!$1:$1,0)-MATCH("character_id",[4]characters!$1:$1,0)+1),MATCH(AG$1,[4]characters!$1:$1,0)-MATCH("character_id",[4]characters!$1:$1,0)+1,FALSE)</f>
        <v>Drop1W</v>
      </c>
      <c r="AH38" s="7">
        <v>1</v>
      </c>
      <c r="AI38" s="24">
        <f t="shared" ca="1" si="9"/>
        <v>1</v>
      </c>
      <c r="AJ38" s="123">
        <v>0</v>
      </c>
      <c r="AK38" s="7">
        <v>0</v>
      </c>
      <c r="AL38" s="7">
        <v>0</v>
      </c>
      <c r="AM38" s="7">
        <v>0</v>
      </c>
      <c r="AN38" s="7">
        <v>0</v>
      </c>
      <c r="AO38" s="7">
        <v>1</v>
      </c>
      <c r="AP38" s="70">
        <v>1</v>
      </c>
    </row>
    <row r="39" spans="1:42" ht="21" customHeight="1" x14ac:dyDescent="0.15">
      <c r="A39" s="16" t="str">
        <f t="shared" si="5"/>
        <v>39009_2-3/537&lt;lv30&gt;s2</v>
      </c>
      <c r="B39" s="22">
        <v>39009</v>
      </c>
      <c r="C39" s="114">
        <v>2</v>
      </c>
      <c r="D39" s="114" t="str">
        <f t="shared" si="6"/>
        <v>39009_2</v>
      </c>
      <c r="E39" s="115" t="str">
        <f ca="1">VLOOKUP($B39,OFFSET([2]quests!$A$1,0,0,COUNTA([2]quests!$A:$A),MATCH(E$1,[2]quests!$1:$1,0)-MATCH($B$1,[2]quests!$1:$1,0)+1),MATCH(E$1,[2]quests!$1:$1,0)-MATCH($B$1,[2]quests!$1:$1,0)+1,FALSE)</f>
        <v>星空の歌姫</v>
      </c>
      <c r="F39" s="115" t="str">
        <f ca="1">VLOOKUP($D39,OFFSET([2]stages!$A$1,0,0,COUNTA([2]stages!$A:$A),MATCH(F$1,[2]stages!$2:$2,0)-MATCH($D$1,[2]stages!$2:$2,0)+1),MATCH(F$1,[2]stages!$2:$2,0)-MATCH($D$1,[2]stages!$2:$2,0)+1,FALSE)</f>
        <v>【中級】星空の歌姫</v>
      </c>
      <c r="G39" s="114">
        <v>3</v>
      </c>
      <c r="H39" s="116" t="str">
        <f t="shared" si="7"/>
        <v>39009_2-3</v>
      </c>
      <c r="I39" s="115">
        <f ca="1">VLOOKUP($H39,OFFSET(floors!$A$1,0,0,COUNTA(floors!$A:$A),MATCH(I$1,floors!$1:$1,0)-MATCH($H$1,floors!$1:$1,0)+1),MATCH(I$1,floors!$1:$1,0)-MATCH($H$1,floors!$1:$1,0)+1,FALSE)</f>
        <v>60</v>
      </c>
      <c r="J39" s="115">
        <f ca="1">VLOOKUP($H39,OFFSET(floors!$A$1,0,0,COUNTA(floors!$A:$A),MATCH(J$1,floors!$1:$1,0)-MATCH($H$1,floors!$1:$1,0)+1),MATCH(J$1,floors!$1:$1,0)-MATCH($H$1,floors!$1:$1,0)+1,FALSE)</f>
        <v>60</v>
      </c>
      <c r="K39" s="117" t="s">
        <v>53</v>
      </c>
      <c r="L39" s="114">
        <v>537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冬服ハッピー100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DropWizW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25</v>
      </c>
      <c r="R39" s="118">
        <v>30</v>
      </c>
      <c r="S39" s="119">
        <v>9.3000000000000007</v>
      </c>
      <c r="T39" s="98">
        <f ca="1">ROUND(VLOOKUP(R39,[3]enemy_base_stats!$A:$F,2,FALSE) *INDIRECT("[EnemyMasterData.xlsm]enemies!Y"&amp;(L39+1))*  INDIRECT("[EnemyMasterData.xlsm]enemies!J"&amp;(L39+1))* INDIRECT("[EnemyMasterData.xlsm]enemies!O"&amp;(L39+1))* INDIRECT("[EnemyMasterData.xlsm]enemies!E"&amp;(L39+1))* INDIRECT("[EnemyMasterData.xlsm]enemies!S"&amp;(L39+1))* INDIRECT("[EnemyMasterData.xlsm]enemies!AD"&amp;(L39+1))*[4]ステータス!$B$2,0)*S39</f>
        <v>57371.700000000004</v>
      </c>
      <c r="U39" s="119">
        <v>1.7</v>
      </c>
      <c r="V39" s="98">
        <f ca="1">ROUND(VLOOKUP(R39,[3]enemy_base_stats!$A:$F,3,FALSE) *INDIRECT("[EnemyMasterData.xlsm]enemies!Z"&amp;(L39+1))*  INDIRECT("[EnemyMasterData.xlsm]enemies!K"&amp;(L39+1))* INDIRECT("[EnemyMasterData.xlsm]enemies!P"&amp;(L39+1))* INDIRECT("[EnemyMasterData.xlsm]enemies!F"&amp;(L39+1))* INDIRECT("[EnemyMasterData.xlsm]enemies!T"&amp;(L39+1))* INDIRECT("[EnemyMasterData.xlsm]enemies!AE"&amp;(L39+1))*[4]ステータス!$C$2,0)*U39</f>
        <v>3070.2</v>
      </c>
      <c r="W39" s="5">
        <v>0</v>
      </c>
      <c r="X39" s="4" t="str">
        <f ca="1">VLOOKUP($Y39,OFFSET(enemy_skill_sets!$B$1,0,0,COUNTA(enemy_skill_sets!$B:$B),MATCH(M$1,enemy_skill_sets!$1:$1,0)-MATCH($Y$1,enemy_skill_sets!$1:$1,0)+2),MATCH(M$1,enemy_skill_sets!$1:$1,0)-MATCH($Y$1,enemy_skill_sets!$1:$1,0)+2,FALSE)</f>
        <v>3ターン回復効果付与</v>
      </c>
      <c r="Y39" s="120">
        <v>39009010</v>
      </c>
      <c r="Z39" s="121">
        <v>0</v>
      </c>
      <c r="AA39" s="121">
        <v>100</v>
      </c>
      <c r="AB39" s="121">
        <v>1</v>
      </c>
      <c r="AC39" s="122">
        <v>2</v>
      </c>
      <c r="AD39" s="24">
        <f t="shared" si="8"/>
        <v>537</v>
      </c>
      <c r="AE39" s="4" t="str">
        <f ca="1">VLOOKUP($AD39,OFFSET([4]characters!$A$1,0,0,COUNTA([4]characters!$A:$A),MATCH(AE$1,[4]characters!$1:$1,0)-MATCH("character_id",[4]characters!$1:$1,0)+1),MATCH(AE$1,[4]characters!$1:$1,0)-MATCH("character_id",[4]characters!$1:$1,0)+1,FALSE)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39" s="4">
        <f ca="1">VLOOKUP($AD39,OFFSET([4]characters!$A$1,0,0,COUNTA([4]characters!$A:$A),MATCH(AF$1,[4]characters!$1:$1,0)-MATCH("character_id",[4]characters!$1:$1,0)+1),MATCH(AF$1,[4]characters!$1:$1,0)-MATCH("character_id",[4]characters!$1:$1,0)+1,FALSE)</f>
        <v>3</v>
      </c>
      <c r="AG39" s="4" t="str">
        <f ca="1">VLOOKUP($AD39,OFFSET([4]characters!$A$1,0,0,COUNTA([4]characters!$A:$A),MATCH(AG$1,[4]characters!$1:$1,0)-MATCH("character_id",[4]characters!$1:$1,0)+1),MATCH(AG$1,[4]characters!$1:$1,0)-MATCH("character_id",[4]characters!$1:$1,0)+1,FALSE)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39" s="7">
        <v>1</v>
      </c>
      <c r="AI39" s="24">
        <f t="shared" ca="1" si="9"/>
        <v>3</v>
      </c>
      <c r="AJ39" s="123">
        <v>20</v>
      </c>
      <c r="AK39" s="7">
        <v>0</v>
      </c>
      <c r="AL39" s="7">
        <v>0</v>
      </c>
      <c r="AM39" s="7">
        <v>0</v>
      </c>
      <c r="AN39" s="7">
        <v>0</v>
      </c>
      <c r="AO39" s="7">
        <v>1</v>
      </c>
      <c r="AP39" s="70">
        <v>1</v>
      </c>
    </row>
    <row r="40" spans="1:42" ht="21" customHeight="1" x14ac:dyDescent="0.15">
      <c r="A40" s="16" t="str">
        <f t="shared" si="5"/>
        <v>39009_2-3/538&lt;lv30&gt;s2</v>
      </c>
      <c r="B40" s="22">
        <v>39009</v>
      </c>
      <c r="C40" s="114">
        <v>2</v>
      </c>
      <c r="D40" s="114" t="str">
        <f t="shared" si="6"/>
        <v>39009_2</v>
      </c>
      <c r="E40" s="115" t="str">
        <f ca="1">VLOOKUP($B40,OFFSET([2]quests!$A$1,0,0,COUNTA([2]quests!$A:$A),MATCH(E$1,[2]quests!$1:$1,0)-MATCH($B$1,[2]quests!$1:$1,0)+1),MATCH(E$1,[2]quests!$1:$1,0)-MATCH($B$1,[2]quests!$1:$1,0)+1,FALSE)</f>
        <v>星空の歌姫</v>
      </c>
      <c r="F40" s="115" t="str">
        <f ca="1">VLOOKUP($D40,OFFSET([2]stages!$A$1,0,0,COUNTA([2]stages!$A:$A),MATCH(F$1,[2]stages!$2:$2,0)-MATCH($D$1,[2]stages!$2:$2,0)+1),MATCH(F$1,[2]stages!$2:$2,0)-MATCH($D$1,[2]stages!$2:$2,0)+1,FALSE)</f>
        <v>【中級】星空の歌姫</v>
      </c>
      <c r="G40" s="114">
        <v>3</v>
      </c>
      <c r="H40" s="116" t="str">
        <f t="shared" si="7"/>
        <v>39009_2-3</v>
      </c>
      <c r="I40" s="115">
        <f ca="1">VLOOKUP($H40,OFFSET(floors!$A$1,0,0,COUNTA(floors!$A:$A),MATCH(I$1,floors!$1:$1,0)-MATCH($H$1,floors!$1:$1,0)+1),MATCH(I$1,floors!$1:$1,0)-MATCH($H$1,floors!$1:$1,0)+1,FALSE)</f>
        <v>60</v>
      </c>
      <c r="J40" s="115">
        <f ca="1">VLOOKUP($H40,OFFSET(floors!$A$1,0,0,COUNTA(floors!$A:$A),MATCH(J$1,floors!$1:$1,0)-MATCH($H$1,floors!$1:$1,0)+1),MATCH(J$1,floors!$1:$1,0)-MATCH($H$1,floors!$1:$1,0)+1,FALSE)</f>
        <v>60</v>
      </c>
      <c r="K40" s="117" t="s">
        <v>53</v>
      </c>
      <c r="L40" s="114">
        <v>538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冬服ニムダ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yellow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DropWizW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7">
        <f ca="1">VLOOKUP($L40,OFFSET([3]enemies!$A$1,0,0,COUNTA([3]enemies!$A:$A),MATCH(Q$1,[3]enemies!$1:$1,0)-MATCH($L$1,[3]enemies!$1:$1,0)+1),MATCH(Q$1,[3]enemies!$1:$1,0)-MATCH($L$1,[3]enemies!$1:$1,0)+1,FALSE)</f>
        <v>25</v>
      </c>
      <c r="R40" s="118">
        <v>30</v>
      </c>
      <c r="S40" s="119">
        <v>7.4</v>
      </c>
      <c r="T40" s="98">
        <f ca="1">ROUND(VLOOKUP(R40,[3]enemy_base_stats!$A:$F,2,FALSE) *INDIRECT("[EnemyMasterData.xlsm]enemies!Y"&amp;(L40+1))*  INDIRECT("[EnemyMasterData.xlsm]enemies!J"&amp;(L40+1))* INDIRECT("[EnemyMasterData.xlsm]enemies!O"&amp;(L40+1))* INDIRECT("[EnemyMasterData.xlsm]enemies!E"&amp;(L40+1))* INDIRECT("[EnemyMasterData.xlsm]enemies!S"&amp;(L40+1))* INDIRECT("[EnemyMasterData.xlsm]enemies!AD"&amp;(L40+1))*[4]ステータス!$B$2,0)*S40</f>
        <v>43859.8</v>
      </c>
      <c r="U40" s="119">
        <v>1.3</v>
      </c>
      <c r="V40" s="98">
        <f ca="1">ROUND(VLOOKUP(R40,[3]enemy_base_stats!$A:$F,3,FALSE) *INDIRECT("[EnemyMasterData.xlsm]enemies!Z"&amp;(L40+1))*  INDIRECT("[EnemyMasterData.xlsm]enemies!K"&amp;(L40+1))* INDIRECT("[EnemyMasterData.xlsm]enemies!P"&amp;(L40+1))* INDIRECT("[EnemyMasterData.xlsm]enemies!F"&amp;(L40+1))* INDIRECT("[EnemyMasterData.xlsm]enemies!T"&amp;(L40+1))* INDIRECT("[EnemyMasterData.xlsm]enemies!AE"&amp;(L40+1))*[4]ステータス!$C$2,0)*U40</f>
        <v>2419.3000000000002</v>
      </c>
      <c r="W40" s="5">
        <v>0</v>
      </c>
      <c r="X40" s="4" t="str">
        <f ca="1">VLOOKUP($Y40,OFFSET(enemy_skill_sets!$B$1,0,0,COUNTA(enemy_skill_sets!$B:$B),MATCH(M$1,enemy_skill_sets!$1:$1,0)-MATCH($Y$1,enemy_skill_sets!$1:$1,0)+2),MATCH(M$1,enemy_skill_sets!$1:$1,0)-MATCH($Y$1,enemy_skill_sets!$1:$1,0)+2,FALSE)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40" s="120">
        <v>39009011</v>
      </c>
      <c r="Z40" s="121">
        <v>0</v>
      </c>
      <c r="AA40" s="121">
        <v>100</v>
      </c>
      <c r="AB40" s="121">
        <v>1</v>
      </c>
      <c r="AC40" s="122">
        <v>2</v>
      </c>
      <c r="AD40" s="24">
        <f t="shared" si="8"/>
        <v>538</v>
      </c>
      <c r="AE40" s="4" t="str">
        <f ca="1">VLOOKUP($AD40,OFFSET([4]characters!$A$1,0,0,COUNTA([4]characters!$A:$A),MATCH(AE$1,[4]characters!$1:$1,0)-MATCH("character_id",[4]characters!$1:$1,0)+1),MATCH(AE$1,[4]characters!$1:$1,0)-MATCH("character_id",[4]characters!$1:$1,0)+1,FALSE)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40" s="4">
        <f ca="1">VLOOKUP($AD40,OFFSET([4]characters!$A$1,0,0,COUNTA([4]characters!$A:$A),MATCH(AF$1,[4]characters!$1:$1,0)-MATCH("character_id",[4]characters!$1:$1,0)+1),MATCH(AF$1,[4]characters!$1:$1,0)-MATCH("character_id",[4]characters!$1:$1,0)+1,FALSE)</f>
        <v>3</v>
      </c>
      <c r="AG40" s="4" t="str">
        <f ca="1">VLOOKUP($AD40,OFFSET([4]characters!$A$1,0,0,COUNTA([4]characters!$A:$A),MATCH(AG$1,[4]characters!$1:$1,0)-MATCH("character_id",[4]characters!$1:$1,0)+1),MATCH(AG$1,[4]characters!$1:$1,0)-MATCH("character_id",[4]characters!$1:$1,0)+1,FALSE)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0" s="7">
        <v>1</v>
      </c>
      <c r="AI40" s="24">
        <f t="shared" ca="1" si="9"/>
        <v>3</v>
      </c>
      <c r="AJ40" s="123">
        <v>20</v>
      </c>
      <c r="AK40" s="7">
        <v>0</v>
      </c>
      <c r="AL40" s="7">
        <v>0</v>
      </c>
      <c r="AM40" s="7">
        <v>0</v>
      </c>
      <c r="AN40" s="7">
        <v>0</v>
      </c>
      <c r="AO40" s="7">
        <v>1</v>
      </c>
      <c r="AP40" s="70">
        <v>1</v>
      </c>
    </row>
    <row r="41" spans="1:42" ht="21" customHeight="1" x14ac:dyDescent="0.15">
      <c r="A41" s="16" t="str">
        <f t="shared" si="5"/>
        <v>39009_2-4/1297&lt;lv30&gt;s2</v>
      </c>
      <c r="B41" s="22">
        <v>39009</v>
      </c>
      <c r="C41" s="114">
        <v>2</v>
      </c>
      <c r="D41" s="114" t="str">
        <f t="shared" si="6"/>
        <v>39009_2</v>
      </c>
      <c r="E41" s="115" t="str">
        <f ca="1">VLOOKUP($B41,OFFSET([2]quests!$A$1,0,0,COUNTA([2]quests!$A:$A),MATCH(E$1,[2]quests!$1:$1,0)-MATCH($B$1,[2]quests!$1:$1,0)+1),MATCH(E$1,[2]quests!$1:$1,0)-MATCH($B$1,[2]quests!$1:$1,0)+1,FALSE)</f>
        <v>星空の歌姫</v>
      </c>
      <c r="F41" s="115" t="str">
        <f ca="1">VLOOKUP($D41,OFFSET([2]stages!$A$1,0,0,COUNTA([2]stages!$A:$A),MATCH(F$1,[2]stages!$2:$2,0)-MATCH($D$1,[2]stages!$2:$2,0)+1),MATCH(F$1,[2]stages!$2:$2,0)-MATCH($D$1,[2]stages!$2:$2,0)+1,FALSE)</f>
        <v>【中級】星空の歌姫</v>
      </c>
      <c r="G41" s="114">
        <v>4</v>
      </c>
      <c r="H41" s="116" t="str">
        <f t="shared" si="7"/>
        <v>39009_2-4</v>
      </c>
      <c r="I41" s="115">
        <f ca="1">VLOOKUP($H41,OFFSET(floors!$A$1,0,0,COUNTA(floors!$A:$A),MATCH(I$1,floors!$1:$1,0)-MATCH($H$1,floors!$1:$1,0)+1),MATCH(I$1,floors!$1:$1,0)-MATCH($H$1,floors!$1:$1,0)+1,FALSE)</f>
        <v>60</v>
      </c>
      <c r="J41" s="115">
        <f ca="1">VLOOKUP($H41,OFFSET(floors!$A$1,0,0,COUNTA(floors!$A:$A),MATCH(J$1,floors!$1:$1,0)-MATCH($H$1,floors!$1:$1,0)+1),MATCH(J$1,floors!$1:$1,0)-MATCH($H$1,floors!$1:$1,0)+1,FALSE)</f>
        <v>60</v>
      </c>
      <c r="K41" s="117">
        <v>4</v>
      </c>
      <c r="L41" s="114">
        <v>1297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雪ミク2017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DropWizS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60</v>
      </c>
      <c r="R41" s="118">
        <v>30</v>
      </c>
      <c r="S41" s="119">
        <v>2</v>
      </c>
      <c r="T41" s="98">
        <f ca="1">ROUND(VLOOKUP(R41,[3]enemy_base_stats!$A:$F,2,FALSE) *INDIRECT("[EnemyMasterData.xlsm]enemies!Y"&amp;(L41+1))*  INDIRECT("[EnemyMasterData.xlsm]enemies!J"&amp;(L41+1))* INDIRECT("[EnemyMasterData.xlsm]enemies!O"&amp;(L41+1))* INDIRECT("[EnemyMasterData.xlsm]enemies!E"&amp;(L41+1))* INDIRECT("[EnemyMasterData.xlsm]enemies!S"&amp;(L41+1))* INDIRECT("[EnemyMasterData.xlsm]enemies!AD"&amp;(L41+1))*[4]ステータス!$B$2,0)*S41</f>
        <v>104958</v>
      </c>
      <c r="U41" s="119">
        <v>1.6</v>
      </c>
      <c r="V41" s="98">
        <f ca="1">ROUND(VLOOKUP(R41,[3]enemy_base_stats!$A:$F,3,FALSE) *INDIRECT("[EnemyMasterData.xlsm]enemies!Z"&amp;(L41+1))*  INDIRECT("[EnemyMasterData.xlsm]enemies!K"&amp;(L41+1))* INDIRECT("[EnemyMasterData.xlsm]enemies!P"&amp;(L41+1))* INDIRECT("[EnemyMasterData.xlsm]enemies!F"&amp;(L41+1))* INDIRECT("[EnemyMasterData.xlsm]enemies!T"&amp;(L41+1))* INDIRECT("[EnemyMasterData.xlsm]enemies!AE"&amp;(L41+1))*[4]ステータス!$C$2,0)*U41</f>
        <v>5558.4000000000005</v>
      </c>
      <c r="W41" s="5">
        <v>0</v>
      </c>
      <c r="X41" s="4" t="str">
        <f ca="1">VLOOKUP($Y41,OFFSET(enemy_skill_sets!$B$1,0,0,COUNTA(enemy_skill_sets!$B:$B),MATCH(M$1,enemy_skill_sets!$1:$1,0)-MATCH($Y$1,enemy_skill_sets!$1:$1,0)+2),MATCH(M$1,enemy_skill_sets!$1:$1,0)-MATCH($Y$1,enemy_skill_sets!$1:$1,0)+2,FALSE)</f>
        <v>緑パネルを緑のダメージパネルに2個変換</v>
      </c>
      <c r="Y41" s="120">
        <v>39009012</v>
      </c>
      <c r="Z41" s="121">
        <v>1</v>
      </c>
      <c r="AA41" s="121">
        <v>100</v>
      </c>
      <c r="AB41" s="121">
        <v>1</v>
      </c>
      <c r="AC41" s="122">
        <v>2</v>
      </c>
      <c r="AD41" s="24">
        <f t="shared" si="8"/>
        <v>1297</v>
      </c>
      <c r="AE41" s="4" t="str">
        <f ca="1">VLOOKUP($AD41,OFFSET([4]characters!$A$1,0,0,COUNTA([4]characters!$A:$A),MATCH(AE$1,[4]characters!$1:$1,0)-MATCH("character_id",[4]characters!$1:$1,0)+1),MATCH(AE$1,[4]characters!$1:$1,0)-MATCH("character_id",[4]characters!$1:$1,0)+1,FALSE)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41" s="4">
        <f ca="1">VLOOKUP($AD41,OFFSET([4]characters!$A$1,0,0,COUNTA([4]characters!$A:$A),MATCH(AF$1,[4]characters!$1:$1,0)-MATCH("character_id",[4]characters!$1:$1,0)+1),MATCH(AF$1,[4]characters!$1:$1,0)-MATCH("character_id",[4]characters!$1:$1,0)+1,FALSE)</f>
        <v>5</v>
      </c>
      <c r="AG41" s="4" t="str">
        <f ca="1">VLOOKUP($AD41,OFFSET([4]characters!$A$1,0,0,COUNTA([4]characters!$A:$A),MATCH(AG$1,[4]characters!$1:$1,0)-MATCH("character_id",[4]characters!$1:$1,0)+1),MATCH(AG$1,[4]characters!$1:$1,0)-MATCH("character_id",[4]characters!$1:$1,0)+1,FALSE)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1" s="7">
        <v>1</v>
      </c>
      <c r="AI41" s="24">
        <f t="shared" ca="1" si="9"/>
        <v>5</v>
      </c>
      <c r="AJ41" s="141">
        <v>45</v>
      </c>
      <c r="AK41" s="7">
        <v>0</v>
      </c>
      <c r="AL41" s="7">
        <v>0</v>
      </c>
      <c r="AM41" s="7">
        <v>0</v>
      </c>
      <c r="AN41" s="7">
        <v>0</v>
      </c>
      <c r="AO41" s="7">
        <v>1</v>
      </c>
      <c r="AP41" s="70">
        <v>1</v>
      </c>
    </row>
    <row r="42" spans="1:42" ht="21" customHeight="1" x14ac:dyDescent="0.15">
      <c r="A42" s="16" t="str">
        <f t="shared" si="5"/>
        <v>39009_3-1/529&lt;lv40&gt;s1</v>
      </c>
      <c r="B42" s="22">
        <v>39009</v>
      </c>
      <c r="C42" s="21">
        <v>3</v>
      </c>
      <c r="D42" s="2" t="str">
        <f t="shared" si="6"/>
        <v>39009_3</v>
      </c>
      <c r="E42" s="4" t="str">
        <f ca="1">VLOOKUP($B42,OFFSET([2]quests!$A$1,0,0,COUNTA([2]quests!$A:$A),MATCH(E$1,[2]quests!$1:$1,0)-MATCH($B$1,[2]quests!$1:$1,0)+1),MATCH(E$1,[2]quests!$1:$1,0)-MATCH($B$1,[2]quests!$1:$1,0)+1,FALSE)</f>
        <v>星空の歌姫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【上級】星空の歌姫</v>
      </c>
      <c r="G42" s="21">
        <v>1</v>
      </c>
      <c r="H42" s="15" t="str">
        <f t="shared" si="7"/>
        <v>39009_3-1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8" t="s">
        <v>53</v>
      </c>
      <c r="L42" s="20">
        <v>529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冬服ジェリー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Drop1T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40</v>
      </c>
      <c r="S42" s="25">
        <v>0.8</v>
      </c>
      <c r="T42" s="98">
        <f ca="1">ROUND(VLOOKUP(R42,[3]enemy_base_stats!$A:$F,2,FALSE) *INDIRECT("[EnemyMasterData.xlsm]enemies!Y"&amp;(L42+1))*  INDIRECT("[EnemyMasterData.xlsm]enemies!J"&amp;(L42+1))* INDIRECT("[EnemyMasterData.xlsm]enemies!O"&amp;(L42+1))* INDIRECT("[EnemyMasterData.xlsm]enemies!E"&amp;(L42+1))* INDIRECT("[EnemyMasterData.xlsm]enemies!S"&amp;(L42+1))* INDIRECT("[EnemyMasterData.xlsm]enemies!AD"&amp;(L42+1))*[4]ステータス!$B$2,0)*S42</f>
        <v>6640</v>
      </c>
      <c r="U42" s="25">
        <v>0.3</v>
      </c>
      <c r="V42" s="98">
        <f ca="1">ROUND(VLOOKUP(R42,[3]enemy_base_stats!$A:$F,3,FALSE) *INDIRECT("[EnemyMasterData.xlsm]enemies!Z"&amp;(L42+1))*  INDIRECT("[EnemyMasterData.xlsm]enemies!K"&amp;(L42+1))* INDIRECT("[EnemyMasterData.xlsm]enemies!P"&amp;(L42+1))* INDIRECT("[EnemyMasterData.xlsm]enemies!F"&amp;(L42+1))* INDIRECT("[EnemyMasterData.xlsm]enemies!T"&amp;(L42+1))* INDIRECT("[EnemyMasterData.xlsm]enemies!AE"&amp;(L42+1))*[4]ステータス!$C$2,0)*U42</f>
        <v>1023.5999999999999</v>
      </c>
      <c r="W42" s="5">
        <v>0</v>
      </c>
      <c r="X42" s="4" t="e">
        <f ca="1">VLOOKUP($Y42,OFFSET(enemy_skill_sets!$B$1,0,0,COUNTA(enemy_skill_sets!$B:$B),MATCH(M$1,enemy_skill_sets!$1:$1,0)-MATCH($Y$1,enemy_skill_sets!$1:$1,0)+2),MATCH(M$1,enemy_skill_sets!$1:$1,0)-MATCH($Y$1,enemy_skill_sets!$1:$1,0)+2,FALSE)</f>
        <v>#N/A</v>
      </c>
      <c r="Y42" s="62">
        <v>0</v>
      </c>
      <c r="Z42" s="6">
        <v>0</v>
      </c>
      <c r="AA42" s="6">
        <v>100</v>
      </c>
      <c r="AB42" s="6">
        <v>0</v>
      </c>
      <c r="AC42" s="100">
        <v>1</v>
      </c>
      <c r="AD42" s="24">
        <f t="shared" si="8"/>
        <v>529</v>
      </c>
      <c r="AE42" s="4" t="str">
        <f ca="1">VLOOKUP($AD42,OFFSET([4]characters!$A$1,0,0,COUNTA([4]characters!$A:$A),MATCH(AE$1,[4]characters!$1:$1,0)-MATCH("character_id",[4]characters!$1:$1,0)+1),MATCH(AE$1,[4]characters!$1:$1,0)-MATCH("character_id",[4]characters!$1:$1,0)+1,FALSE)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42" s="4">
        <f ca="1">VLOOKUP($AD42,OFFSET([4]characters!$A$1,0,0,COUNTA([4]characters!$A:$A),MATCH(AF$1,[4]characters!$1:$1,0)-MATCH("character_id",[4]characters!$1:$1,0)+1),MATCH(AF$1,[4]characters!$1:$1,0)-MATCH("character_id",[4]characters!$1:$1,0)+1,FALSE)</f>
        <v>1</v>
      </c>
      <c r="AG42" s="4" t="str">
        <f ca="1">VLOOKUP($AD42,OFFSET([4]characters!$A$1,0,0,COUNTA([4]characters!$A:$A),MATCH(AG$1,[4]characters!$1:$1,0)-MATCH("character_id",[4]characters!$1:$1,0)+1),MATCH(AG$1,[4]characters!$1:$1,0)-MATCH("character_id",[4]characters!$1:$1,0)+1,FALSE)</f>
        <v>Drop1T</v>
      </c>
      <c r="AH42" s="7">
        <v>1</v>
      </c>
      <c r="AI42" s="24">
        <f t="shared" ca="1" si="9"/>
        <v>1</v>
      </c>
      <c r="AJ42" s="8">
        <v>20</v>
      </c>
      <c r="AK42" s="7">
        <v>0</v>
      </c>
      <c r="AL42" s="7">
        <v>0</v>
      </c>
      <c r="AM42" s="7">
        <v>0</v>
      </c>
      <c r="AN42" s="7">
        <v>0</v>
      </c>
      <c r="AO42" s="7">
        <v>1</v>
      </c>
      <c r="AP42" s="70">
        <v>1</v>
      </c>
    </row>
    <row r="43" spans="1:42" ht="21" customHeight="1" x14ac:dyDescent="0.15">
      <c r="A43" s="16" t="str">
        <f t="shared" si="5"/>
        <v>39009_3-1/530&lt;lv40&gt;s2</v>
      </c>
      <c r="B43" s="22">
        <v>39009</v>
      </c>
      <c r="C43" s="21">
        <v>3</v>
      </c>
      <c r="D43" s="2" t="str">
        <f t="shared" si="6"/>
        <v>39009_3</v>
      </c>
      <c r="E43" s="4" t="str">
        <f ca="1">VLOOKUP($B43,OFFSET([2]quests!$A$1,0,0,COUNTA([2]quests!$A:$A),MATCH(E$1,[2]quests!$1:$1,0)-MATCH($B$1,[2]quests!$1:$1,0)+1),MATCH(E$1,[2]quests!$1:$1,0)-MATCH($B$1,[2]quests!$1:$1,0)+1,FALSE)</f>
        <v>星空の歌姫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【上級】星空の歌姫</v>
      </c>
      <c r="G43" s="21">
        <v>1</v>
      </c>
      <c r="H43" s="15" t="str">
        <f t="shared" si="7"/>
        <v>39009_3-1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8" t="s">
        <v>53</v>
      </c>
      <c r="L43" s="20">
        <v>530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冬服ジョー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Drop1T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40</v>
      </c>
      <c r="S43" s="25">
        <v>1.1000000000000001</v>
      </c>
      <c r="T43" s="98">
        <f ca="1">ROUND(VLOOKUP(R43,[3]enemy_base_stats!$A:$F,2,FALSE) *INDIRECT("[EnemyMasterData.xlsm]enemies!Y"&amp;(L43+1))*  INDIRECT("[EnemyMasterData.xlsm]enemies!J"&amp;(L43+1))* INDIRECT("[EnemyMasterData.xlsm]enemies!O"&amp;(L43+1))* INDIRECT("[EnemyMasterData.xlsm]enemies!E"&amp;(L43+1))* INDIRECT("[EnemyMasterData.xlsm]enemies!S"&amp;(L43+1))* INDIRECT("[EnemyMasterData.xlsm]enemies!AD"&amp;(L43+1))*[4]ステータス!$B$2,0)*S43</f>
        <v>9312.6</v>
      </c>
      <c r="U43" s="25">
        <v>0.5</v>
      </c>
      <c r="V43" s="98">
        <f ca="1">ROUND(VLOOKUP(R43,[3]enemy_base_stats!$A:$F,3,FALSE) *INDIRECT("[EnemyMasterData.xlsm]enemies!Z"&amp;(L43+1))*  INDIRECT("[EnemyMasterData.xlsm]enemies!K"&amp;(L43+1))* INDIRECT("[EnemyMasterData.xlsm]enemies!P"&amp;(L43+1))* INDIRECT("[EnemyMasterData.xlsm]enemies!F"&amp;(L43+1))* INDIRECT("[EnemyMasterData.xlsm]enemies!T"&amp;(L43+1))* INDIRECT("[EnemyMasterData.xlsm]enemies!AE"&amp;(L43+1))*[4]ステータス!$C$2,0)*U43</f>
        <v>1220</v>
      </c>
      <c r="W43" s="5">
        <v>0</v>
      </c>
      <c r="X43" s="4" t="e">
        <f ca="1">VLOOKUP($Y43,OFFSET(enemy_skill_sets!$B$1,0,0,COUNTA(enemy_skill_sets!$B:$B),MATCH(M$1,enemy_skill_sets!$1:$1,0)-MATCH($Y$1,enemy_skill_sets!$1:$1,0)+2),MATCH(M$1,enemy_skill_sets!$1:$1,0)-MATCH($Y$1,enemy_skill_sets!$1:$1,0)+2,FALSE)</f>
        <v>#N/A</v>
      </c>
      <c r="Y43" s="62">
        <v>0</v>
      </c>
      <c r="Z43" s="6">
        <v>0</v>
      </c>
      <c r="AA43" s="6">
        <v>100</v>
      </c>
      <c r="AB43" s="6">
        <v>0</v>
      </c>
      <c r="AC43" s="100">
        <v>2</v>
      </c>
      <c r="AD43" s="24">
        <f t="shared" si="8"/>
        <v>530</v>
      </c>
      <c r="AE43" s="4" t="str">
        <f ca="1">VLOOKUP($AD43,OFFSET([4]characters!$A$1,0,0,COUNTA([4]characters!$A:$A),MATCH(AE$1,[4]characters!$1:$1,0)-MATCH("character_id",[4]characters!$1:$1,0)+1),MATCH(AE$1,[4]characters!$1:$1,0)-MATCH("character_id",[4]characters!$1:$1,0)+1,FALSE)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43" s="4">
        <f ca="1">VLOOKUP($AD43,OFFSET([4]characters!$A$1,0,0,COUNTA([4]characters!$A:$A),MATCH(AF$1,[4]characters!$1:$1,0)-MATCH("character_id",[4]characters!$1:$1,0)+1),MATCH(AF$1,[4]characters!$1:$1,0)-MATCH("character_id",[4]characters!$1:$1,0)+1,FALSE)</f>
        <v>1</v>
      </c>
      <c r="AG43" s="4" t="str">
        <f ca="1">VLOOKUP($AD43,OFFSET([4]characters!$A$1,0,0,COUNTA([4]characters!$A:$A),MATCH(AG$1,[4]characters!$1:$1,0)-MATCH("character_id",[4]characters!$1:$1,0)+1),MATCH(AG$1,[4]characters!$1:$1,0)-MATCH("character_id",[4]characters!$1:$1,0)+1,FALSE)</f>
        <v>Drop1T</v>
      </c>
      <c r="AH43" s="7">
        <v>1</v>
      </c>
      <c r="AI43" s="24">
        <f t="shared" ca="1" si="9"/>
        <v>1</v>
      </c>
      <c r="AJ43" s="8">
        <v>20</v>
      </c>
      <c r="AK43" s="7">
        <v>0</v>
      </c>
      <c r="AL43" s="7">
        <v>0</v>
      </c>
      <c r="AM43" s="7">
        <v>0</v>
      </c>
      <c r="AN43" s="7">
        <v>0</v>
      </c>
      <c r="AO43" s="7">
        <v>1</v>
      </c>
      <c r="AP43" s="70">
        <v>1</v>
      </c>
    </row>
    <row r="44" spans="1:42" ht="21" customHeight="1" x14ac:dyDescent="0.15">
      <c r="A44" s="16" t="str">
        <f t="shared" si="5"/>
        <v>39009_3-1/531&lt;lv40&gt;s3</v>
      </c>
      <c r="B44" s="22">
        <v>39009</v>
      </c>
      <c r="C44" s="21">
        <v>3</v>
      </c>
      <c r="D44" s="2" t="str">
        <f t="shared" si="6"/>
        <v>39009_3</v>
      </c>
      <c r="E44" s="4" t="str">
        <f ca="1">VLOOKUP($B44,OFFSET([2]quests!$A$1,0,0,COUNTA([2]quests!$A:$A),MATCH(E$1,[2]quests!$1:$1,0)-MATCH($B$1,[2]quests!$1:$1,0)+1),MATCH(E$1,[2]quests!$1:$1,0)-MATCH($B$1,[2]quests!$1:$1,0)+1,FALSE)</f>
        <v>星空の歌姫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【上級】星空の歌姫</v>
      </c>
      <c r="G44" s="21">
        <v>1</v>
      </c>
      <c r="H44" s="15" t="str">
        <f t="shared" si="7"/>
        <v>39009_3-1</v>
      </c>
      <c r="I44" s="4">
        <f ca="1">VLOOKUP($H44,OFFSET(floors!$A$1,0,0,COUNTA(floors!$A:$A),MATCH(I$1,floors!$1:$1,0)-MATCH($H$1,floors!$1:$1,0)+1),MATCH(I$1,floors!$1:$1,0)-MATCH($H$1,floors!$1:$1,0)+1,FALSE)</f>
        <v>60</v>
      </c>
      <c r="J44" s="4">
        <f ca="1">VLOOKUP($H44,OFFSET(floors!$A$1,0,0,COUNTA(floors!$A:$A),MATCH(J$1,floors!$1:$1,0)-MATCH($H$1,floors!$1:$1,0)+1),MATCH(J$1,floors!$1:$1,0)-MATCH($H$1,floors!$1:$1,0)+1,FALSE)</f>
        <v>60</v>
      </c>
      <c r="K44" s="38" t="s">
        <v>53</v>
      </c>
      <c r="L44" s="20">
        <v>531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冬服ポチ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blue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Drop1T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7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40</v>
      </c>
      <c r="S44" s="25">
        <v>0.7</v>
      </c>
      <c r="T44" s="98">
        <f ca="1">ROUND(VLOOKUP(R44,[3]enemy_base_stats!$A:$F,2,FALSE) *INDIRECT("[EnemyMasterData.xlsm]enemies!Y"&amp;(L44+1))*  INDIRECT("[EnemyMasterData.xlsm]enemies!J"&amp;(L44+1))* INDIRECT("[EnemyMasterData.xlsm]enemies!O"&amp;(L44+1))* INDIRECT("[EnemyMasterData.xlsm]enemies!E"&amp;(L44+1))* INDIRECT("[EnemyMasterData.xlsm]enemies!S"&amp;(L44+1))* INDIRECT("[EnemyMasterData.xlsm]enemies!AD"&amp;(L44+1))*[4]ステータス!$B$2,0)*S44</f>
        <v>4648</v>
      </c>
      <c r="U44" s="25">
        <v>0.5</v>
      </c>
      <c r="V44" s="98">
        <f ca="1">ROUND(VLOOKUP(R44,[3]enemy_base_stats!$A:$F,3,FALSE) *INDIRECT("[EnemyMasterData.xlsm]enemies!Z"&amp;(L44+1))*  INDIRECT("[EnemyMasterData.xlsm]enemies!K"&amp;(L44+1))* INDIRECT("[EnemyMasterData.xlsm]enemies!P"&amp;(L44+1))* INDIRECT("[EnemyMasterData.xlsm]enemies!F"&amp;(L44+1))* INDIRECT("[EnemyMasterData.xlsm]enemies!T"&amp;(L44+1))* INDIRECT("[EnemyMasterData.xlsm]enemies!AE"&amp;(L44+1))*[4]ステータス!$C$2,0)*U44</f>
        <v>951.5</v>
      </c>
      <c r="W44" s="5">
        <v>0</v>
      </c>
      <c r="X44" s="4" t="e">
        <f ca="1">VLOOKUP($Y44,OFFSET(enemy_skill_sets!$B$1,0,0,COUNTA(enemy_skill_sets!$B:$B),MATCH(M$1,enemy_skill_sets!$1:$1,0)-MATCH($Y$1,enemy_skill_sets!$1:$1,0)+2),MATCH(M$1,enemy_skill_sets!$1:$1,0)-MATCH($Y$1,enemy_skill_sets!$1:$1,0)+2,FALSE)</f>
        <v>#N/A</v>
      </c>
      <c r="Y44" s="62">
        <v>0</v>
      </c>
      <c r="Z44" s="6">
        <v>0</v>
      </c>
      <c r="AA44" s="6">
        <v>100</v>
      </c>
      <c r="AB44" s="6">
        <v>0</v>
      </c>
      <c r="AC44" s="100">
        <v>3</v>
      </c>
      <c r="AD44" s="24">
        <f t="shared" si="8"/>
        <v>531</v>
      </c>
      <c r="AE44" s="4" t="str">
        <f ca="1">VLOOKUP($AD44,OFFSET([4]characters!$A$1,0,0,COUNTA([4]characters!$A:$A),MATCH(AE$1,[4]characters!$1:$1,0)-MATCH("character_id",[4]characters!$1:$1,0)+1),MATCH(AE$1,[4]characters!$1:$1,0)-MATCH("character_id",[4]characters!$1:$1,0)+1,FALSE)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44" s="4">
        <f ca="1">VLOOKUP($AD44,OFFSET([4]characters!$A$1,0,0,COUNTA([4]characters!$A:$A),MATCH(AF$1,[4]characters!$1:$1,0)-MATCH("character_id",[4]characters!$1:$1,0)+1),MATCH(AF$1,[4]characters!$1:$1,0)-MATCH("character_id",[4]characters!$1:$1,0)+1,FALSE)</f>
        <v>1</v>
      </c>
      <c r="AG44" s="4" t="str">
        <f ca="1">VLOOKUP($AD44,OFFSET([4]characters!$A$1,0,0,COUNTA([4]characters!$A:$A),MATCH(AG$1,[4]characters!$1:$1,0)-MATCH("character_id",[4]characters!$1:$1,0)+1),MATCH(AG$1,[4]characters!$1:$1,0)-MATCH("character_id",[4]characters!$1:$1,0)+1,FALSE)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4" s="7">
        <v>1</v>
      </c>
      <c r="AI44" s="24">
        <f t="shared" ca="1" si="9"/>
        <v>1</v>
      </c>
      <c r="AJ44" s="8">
        <v>20</v>
      </c>
      <c r="AK44" s="7">
        <v>0</v>
      </c>
      <c r="AL44" s="7">
        <v>0</v>
      </c>
      <c r="AM44" s="7">
        <v>0</v>
      </c>
      <c r="AN44" s="7">
        <v>0</v>
      </c>
      <c r="AO44" s="7">
        <v>1</v>
      </c>
      <c r="AP44" s="70">
        <v>1</v>
      </c>
    </row>
    <row r="45" spans="1:42" ht="21" customHeight="1" x14ac:dyDescent="0.15">
      <c r="A45" s="16" t="str">
        <f t="shared" si="5"/>
        <v>39009_3-1/532&lt;lv40&gt;s2</v>
      </c>
      <c r="B45" s="22">
        <v>39009</v>
      </c>
      <c r="C45" s="21">
        <v>3</v>
      </c>
      <c r="D45" s="2" t="str">
        <f t="shared" si="6"/>
        <v>39009_3</v>
      </c>
      <c r="E45" s="4" t="str">
        <f ca="1">VLOOKUP($B45,OFFSET([2]quests!$A$1,0,0,COUNTA([2]quests!$A:$A),MATCH(E$1,[2]quests!$1:$1,0)-MATCH($B$1,[2]quests!$1:$1,0)+1),MATCH(E$1,[2]quests!$1:$1,0)-MATCH($B$1,[2]quests!$1:$1,0)+1,FALSE)</f>
        <v>星空の歌姫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【上級】星空の歌姫</v>
      </c>
      <c r="G45" s="21">
        <v>1</v>
      </c>
      <c r="H45" s="15" t="str">
        <f t="shared" si="7"/>
        <v>39009_3-1</v>
      </c>
      <c r="I45" s="4">
        <f ca="1">VLOOKUP($H45,OFFSET(floors!$A$1,0,0,COUNTA(floors!$A:$A),MATCH(I$1,floors!$1:$1,0)-MATCH($H$1,floors!$1:$1,0)+1),MATCH(I$1,floors!$1:$1,0)-MATCH($H$1,floors!$1:$1,0)+1,FALSE)</f>
        <v>60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38" t="s">
        <v>53</v>
      </c>
      <c r="L45" s="20">
        <v>532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冬服エレキポット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Drop1T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7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40</v>
      </c>
      <c r="S45" s="25">
        <v>0.9</v>
      </c>
      <c r="T45" s="98">
        <f ca="1">ROUND(VLOOKUP(R45,[3]enemy_base_stats!$A:$F,2,FALSE) *INDIRECT("[EnemyMasterData.xlsm]enemies!Y"&amp;(L45+1))*  INDIRECT("[EnemyMasterData.xlsm]enemies!J"&amp;(L45+1))* INDIRECT("[EnemyMasterData.xlsm]enemies!O"&amp;(L45+1))* INDIRECT("[EnemyMasterData.xlsm]enemies!E"&amp;(L45+1))* INDIRECT("[EnemyMasterData.xlsm]enemies!S"&amp;(L45+1))* INDIRECT("[EnemyMasterData.xlsm]enemies!AD"&amp;(L45+1))*[4]ステータス!$B$2,0)*S45</f>
        <v>7320.6</v>
      </c>
      <c r="U45" s="25">
        <v>0.3</v>
      </c>
      <c r="V45" s="98">
        <f ca="1">ROUND(VLOOKUP(R45,[3]enemy_base_stats!$A:$F,3,FALSE) *INDIRECT("[EnemyMasterData.xlsm]enemies!Z"&amp;(L45+1))*  INDIRECT("[EnemyMasterData.xlsm]enemies!K"&amp;(L45+1))* INDIRECT("[EnemyMasterData.xlsm]enemies!P"&amp;(L45+1))* INDIRECT("[EnemyMasterData.xlsm]enemies!F"&amp;(L45+1))* INDIRECT("[EnemyMasterData.xlsm]enemies!T"&amp;(L45+1))* INDIRECT("[EnemyMasterData.xlsm]enemies!AE"&amp;(L45+1))*[4]ステータス!$C$2,0)*U45</f>
        <v>1003.5</v>
      </c>
      <c r="W45" s="5">
        <v>0</v>
      </c>
      <c r="X45" s="4" t="e">
        <f ca="1">VLOOKUP($Y45,OFFSET(enemy_skill_sets!$B$1,0,0,COUNTA(enemy_skill_sets!$B:$B),MATCH(M$1,enemy_skill_sets!$1:$1,0)-MATCH($Y$1,enemy_skill_sets!$1:$1,0)+2),MATCH(M$1,enemy_skill_sets!$1:$1,0)-MATCH($Y$1,enemy_skill_sets!$1:$1,0)+2,FALSE)</f>
        <v>#N/A</v>
      </c>
      <c r="Y45" s="62">
        <v>0</v>
      </c>
      <c r="Z45" s="6">
        <v>0</v>
      </c>
      <c r="AA45" s="6">
        <v>100</v>
      </c>
      <c r="AB45" s="6">
        <v>0</v>
      </c>
      <c r="AC45" s="100">
        <v>2</v>
      </c>
      <c r="AD45" s="24">
        <f t="shared" si="8"/>
        <v>532</v>
      </c>
      <c r="AE45" s="4" t="str">
        <f ca="1">VLOOKUP($AD45,OFFSET([4]characters!$A$1,0,0,COUNTA([4]characters!$A:$A),MATCH(AE$1,[4]characters!$1:$1,0)-MATCH("character_id",[4]characters!$1:$1,0)+1),MATCH(AE$1,[4]characters!$1:$1,0)-MATCH("character_id",[4]characters!$1:$1,0)+1,FALSE)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45" s="4">
        <f ca="1">VLOOKUP($AD45,OFFSET([4]characters!$A$1,0,0,COUNTA([4]characters!$A:$A),MATCH(AF$1,[4]characters!$1:$1,0)-MATCH("character_id",[4]characters!$1:$1,0)+1),MATCH(AF$1,[4]characters!$1:$1,0)-MATCH("character_id",[4]characters!$1:$1,0)+1,FALSE)</f>
        <v>1</v>
      </c>
      <c r="AG45" s="4" t="str">
        <f ca="1">VLOOKUP($AD45,OFFSET([4]characters!$A$1,0,0,COUNTA([4]characters!$A:$A),MATCH(AG$1,[4]characters!$1:$1,0)-MATCH("character_id",[4]characters!$1:$1,0)+1),MATCH(AG$1,[4]characters!$1:$1,0)-MATCH("character_id",[4]characters!$1:$1,0)+1,FALSE)</f>
        <v>Drop1T</v>
      </c>
      <c r="AH45" s="7">
        <v>1</v>
      </c>
      <c r="AI45" s="24">
        <f t="shared" ca="1" si="9"/>
        <v>1</v>
      </c>
      <c r="AJ45" s="8">
        <v>20</v>
      </c>
      <c r="AK45" s="7">
        <v>0</v>
      </c>
      <c r="AL45" s="7">
        <v>0</v>
      </c>
      <c r="AM45" s="7">
        <v>0</v>
      </c>
      <c r="AN45" s="7">
        <v>0</v>
      </c>
      <c r="AO45" s="7">
        <v>1</v>
      </c>
      <c r="AP45" s="70">
        <v>1</v>
      </c>
    </row>
    <row r="46" spans="1:42" ht="21" customHeight="1" x14ac:dyDescent="0.15">
      <c r="A46" s="16" t="str">
        <f t="shared" si="5"/>
        <v>39009_3-1/533&lt;lv40&gt;s3</v>
      </c>
      <c r="B46" s="22">
        <v>39009</v>
      </c>
      <c r="C46" s="21">
        <v>3</v>
      </c>
      <c r="D46" s="2" t="str">
        <f t="shared" si="6"/>
        <v>39009_3</v>
      </c>
      <c r="E46" s="4" t="str">
        <f ca="1">VLOOKUP($B46,OFFSET([2]quests!$A$1,0,0,COUNTA([2]quests!$A:$A),MATCH(E$1,[2]quests!$1:$1,0)-MATCH($B$1,[2]quests!$1:$1,0)+1),MATCH(E$1,[2]quests!$1:$1,0)-MATCH($B$1,[2]quests!$1:$1,0)+1,FALSE)</f>
        <v>星空の歌姫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【上級】星空の歌姫</v>
      </c>
      <c r="G46" s="21">
        <v>1</v>
      </c>
      <c r="H46" s="15" t="str">
        <f t="shared" si="7"/>
        <v>39009_3-1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38" t="s">
        <v>53</v>
      </c>
      <c r="L46" s="20">
        <v>533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冬服アカネ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Drop1W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human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40</v>
      </c>
      <c r="S46" s="25">
        <v>0.9</v>
      </c>
      <c r="T46" s="98">
        <f ca="1">ROUND(VLOOKUP(R46,[3]enemy_base_stats!$A:$F,2,FALSE) *INDIRECT("[EnemyMasterData.xlsm]enemies!Y"&amp;(L46+1))*  INDIRECT("[EnemyMasterData.xlsm]enemies!J"&amp;(L46+1))* INDIRECT("[EnemyMasterData.xlsm]enemies!O"&amp;(L46+1))* INDIRECT("[EnemyMasterData.xlsm]enemies!E"&amp;(L46+1))* INDIRECT("[EnemyMasterData.xlsm]enemies!S"&amp;(L46+1))* INDIRECT("[EnemyMasterData.xlsm]enemies!AD"&amp;(L46+1))*[4]ステータス!$B$2,0)*S46</f>
        <v>7021.8</v>
      </c>
      <c r="U46" s="25">
        <v>0.6</v>
      </c>
      <c r="V46" s="98">
        <f ca="1">ROUND(VLOOKUP(R46,[3]enemy_base_stats!$A:$F,3,FALSE) *INDIRECT("[EnemyMasterData.xlsm]enemies!Z"&amp;(L46+1))*  INDIRECT("[EnemyMasterData.xlsm]enemies!K"&amp;(L46+1))* INDIRECT("[EnemyMasterData.xlsm]enemies!P"&amp;(L46+1))* INDIRECT("[EnemyMasterData.xlsm]enemies!F"&amp;(L46+1))* INDIRECT("[EnemyMasterData.xlsm]enemies!T"&amp;(L46+1))* INDIRECT("[EnemyMasterData.xlsm]enemies!AE"&amp;(L46+1))*[4]ステータス!$C$2,0)*U46</f>
        <v>1508.3999999999999</v>
      </c>
      <c r="W46" s="5">
        <v>0</v>
      </c>
      <c r="X46" s="4" t="e">
        <f ca="1">VLOOKUP($Y46,OFFSET(enemy_skill_sets!$B$1,0,0,COUNTA(enemy_skill_sets!$B:$B),MATCH(M$1,enemy_skill_sets!$1:$1,0)-MATCH($Y$1,enemy_skill_sets!$1:$1,0)+2),MATCH(M$1,enemy_skill_sets!$1:$1,0)-MATCH($Y$1,enemy_skill_sets!$1:$1,0)+2,FALSE)</f>
        <v>#N/A</v>
      </c>
      <c r="Y46" s="62">
        <v>0</v>
      </c>
      <c r="Z46" s="6">
        <v>0</v>
      </c>
      <c r="AA46" s="6">
        <v>100</v>
      </c>
      <c r="AB46" s="6">
        <v>0</v>
      </c>
      <c r="AC46" s="100">
        <v>3</v>
      </c>
      <c r="AD46" s="24">
        <f t="shared" si="8"/>
        <v>533</v>
      </c>
      <c r="AE46" s="4" t="str">
        <f ca="1">VLOOKUP($AD46,OFFSET([4]characters!$A$1,0,0,COUNTA([4]characters!$A:$A),MATCH(AE$1,[4]characters!$1:$1,0)-MATCH("character_id",[4]characters!$1:$1,0)+1),MATCH(AE$1,[4]characters!$1:$1,0)-MATCH("character_id",[4]characters!$1:$1,0)+1,FALSE)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46" s="4">
        <f ca="1">VLOOKUP($AD46,OFFSET([4]characters!$A$1,0,0,COUNTA([4]characters!$A:$A),MATCH(AF$1,[4]characters!$1:$1,0)-MATCH("character_id",[4]characters!$1:$1,0)+1),MATCH(AF$1,[4]characters!$1:$1,0)-MATCH("character_id",[4]characters!$1:$1,0)+1,FALSE)</f>
        <v>1</v>
      </c>
      <c r="AG46" s="4" t="str">
        <f ca="1">VLOOKUP($AD46,OFFSET([4]characters!$A$1,0,0,COUNTA([4]characters!$A:$A),MATCH(AG$1,[4]characters!$1:$1,0)-MATCH("character_id",[4]characters!$1:$1,0)+1),MATCH(AG$1,[4]characters!$1:$1,0)-MATCH("character_id",[4]characters!$1:$1,0)+1,FALSE)</f>
        <v>Drop1W</v>
      </c>
      <c r="AH46" s="7">
        <v>1</v>
      </c>
      <c r="AI46" s="24">
        <f t="shared" ca="1" si="9"/>
        <v>1</v>
      </c>
      <c r="AJ46" s="8">
        <v>20</v>
      </c>
      <c r="AK46" s="7">
        <v>0</v>
      </c>
      <c r="AL46" s="7">
        <v>0</v>
      </c>
      <c r="AM46" s="7">
        <v>0</v>
      </c>
      <c r="AN46" s="7">
        <v>0</v>
      </c>
      <c r="AO46" s="7">
        <v>1</v>
      </c>
      <c r="AP46" s="70">
        <v>1</v>
      </c>
    </row>
    <row r="47" spans="1:42" ht="21" customHeight="1" x14ac:dyDescent="0.15">
      <c r="A47" s="16" t="str">
        <f t="shared" si="5"/>
        <v>39009_3-1/534&lt;lv40&gt;s1</v>
      </c>
      <c r="B47" s="22">
        <v>39009</v>
      </c>
      <c r="C47" s="21">
        <v>3</v>
      </c>
      <c r="D47" s="2" t="str">
        <f t="shared" si="6"/>
        <v>39009_3</v>
      </c>
      <c r="E47" s="4" t="str">
        <f ca="1">VLOOKUP($B47,OFFSET([2]quests!$A$1,0,0,COUNTA([2]quests!$A:$A),MATCH(E$1,[2]quests!$1:$1,0)-MATCH($B$1,[2]quests!$1:$1,0)+1),MATCH(E$1,[2]quests!$1:$1,0)-MATCH($B$1,[2]quests!$1:$1,0)+1,FALSE)</f>
        <v>星空の歌姫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【上級】星空の歌姫</v>
      </c>
      <c r="G47" s="21">
        <v>1</v>
      </c>
      <c r="H47" s="15" t="str">
        <f t="shared" si="7"/>
        <v>39009_3-1</v>
      </c>
      <c r="I47" s="4">
        <f ca="1">VLOOKUP($H47,OFFSET(floors!$A$1,0,0,COUNTA(floors!$A:$A),MATCH(I$1,floors!$1:$1,0)-MATCH($H$1,floors!$1:$1,0)+1),MATCH(I$1,floors!$1:$1,0)-MATCH($H$1,floors!$1:$1,0)+1,FALSE)</f>
        <v>60</v>
      </c>
      <c r="J47" s="4">
        <f ca="1">VLOOKUP($H47,OFFSET(floors!$A$1,0,0,COUNTA(floors!$A:$A),MATCH(J$1,floors!$1:$1,0)-MATCH($H$1,floors!$1:$1,0)+1),MATCH(J$1,floors!$1:$1,0)-MATCH($H$1,floors!$1:$1,0)+1,FALSE)</f>
        <v>60</v>
      </c>
      <c r="K47" s="38" t="s">
        <v>53</v>
      </c>
      <c r="L47" s="20">
        <v>534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冬服パトライン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Drop1W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machine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40</v>
      </c>
      <c r="S47" s="25">
        <v>1.4</v>
      </c>
      <c r="T47" s="98">
        <f ca="1">ROUND(VLOOKUP(R47,[3]enemy_base_stats!$A:$F,2,FALSE) *INDIRECT("[EnemyMasterData.xlsm]enemies!Y"&amp;(L47+1))*  INDIRECT("[EnemyMasterData.xlsm]enemies!J"&amp;(L47+1))* INDIRECT("[EnemyMasterData.xlsm]enemies!O"&amp;(L47+1))* INDIRECT("[EnemyMasterData.xlsm]enemies!E"&amp;(L47+1))* INDIRECT("[EnemyMasterData.xlsm]enemies!S"&amp;(L47+1))* INDIRECT("[EnemyMasterData.xlsm]enemies!AD"&amp;(L47+1))*[4]ステータス!$B$2,0)*S47</f>
        <v>9482.1999999999989</v>
      </c>
      <c r="U47" s="25">
        <v>0.5</v>
      </c>
      <c r="V47" s="98">
        <f ca="1">ROUND(VLOOKUP(R47,[3]enemy_base_stats!$A:$F,3,FALSE) *INDIRECT("[EnemyMasterData.xlsm]enemies!Z"&amp;(L47+1))*  INDIRECT("[EnemyMasterData.xlsm]enemies!K"&amp;(L47+1))* INDIRECT("[EnemyMasterData.xlsm]enemies!P"&amp;(L47+1))* INDIRECT("[EnemyMasterData.xlsm]enemies!F"&amp;(L47+1))* INDIRECT("[EnemyMasterData.xlsm]enemies!T"&amp;(L47+1))* INDIRECT("[EnemyMasterData.xlsm]enemies!AE"&amp;(L47+1))*[4]ステータス!$C$2,0)*U47</f>
        <v>951.5</v>
      </c>
      <c r="W47" s="5">
        <v>0</v>
      </c>
      <c r="X47" s="4" t="e">
        <f ca="1">VLOOKUP($Y47,OFFSET(enemy_skill_sets!$B$1,0,0,COUNTA(enemy_skill_sets!$B:$B),MATCH(M$1,enemy_skill_sets!$1:$1,0)-MATCH($Y$1,enemy_skill_sets!$1:$1,0)+2),MATCH(M$1,enemy_skill_sets!$1:$1,0)-MATCH($Y$1,enemy_skill_sets!$1:$1,0)+2,FALSE)</f>
        <v>#N/A</v>
      </c>
      <c r="Y47" s="62">
        <v>0</v>
      </c>
      <c r="Z47" s="6">
        <v>0</v>
      </c>
      <c r="AA47" s="6">
        <v>100</v>
      </c>
      <c r="AB47" s="6">
        <v>0</v>
      </c>
      <c r="AC47" s="100">
        <v>1</v>
      </c>
      <c r="AD47" s="24">
        <f t="shared" si="8"/>
        <v>534</v>
      </c>
      <c r="AE47" s="4" t="str">
        <f ca="1">VLOOKUP($AD47,OFFSET([4]characters!$A$1,0,0,COUNTA([4]characters!$A:$A),MATCH(AE$1,[4]characters!$1:$1,0)-MATCH("character_id",[4]characters!$1:$1,0)+1),MATCH(AE$1,[4]characters!$1:$1,0)-MATCH("character_id",[4]characters!$1:$1,0)+1,FALSE)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47" s="4">
        <f ca="1">VLOOKUP($AD47,OFFSET([4]characters!$A$1,0,0,COUNTA([4]characters!$A:$A),MATCH(AF$1,[4]characters!$1:$1,0)-MATCH("character_id",[4]characters!$1:$1,0)+1),MATCH(AF$1,[4]characters!$1:$1,0)-MATCH("character_id",[4]characters!$1:$1,0)+1,FALSE)</f>
        <v>1</v>
      </c>
      <c r="AG47" s="4" t="str">
        <f ca="1">VLOOKUP($AD47,OFFSET([4]characters!$A$1,0,0,COUNTA([4]characters!$A:$A),MATCH(AG$1,[4]characters!$1:$1,0)-MATCH("character_id",[4]characters!$1:$1,0)+1),MATCH(AG$1,[4]characters!$1:$1,0)-MATCH("character_id",[4]characters!$1:$1,0)+1,FALSE)</f>
        <v>Drop1W</v>
      </c>
      <c r="AH47" s="7">
        <v>1</v>
      </c>
      <c r="AI47" s="24">
        <f t="shared" ca="1" si="9"/>
        <v>1</v>
      </c>
      <c r="AJ47" s="8">
        <v>20</v>
      </c>
      <c r="AK47" s="7">
        <v>0</v>
      </c>
      <c r="AL47" s="7">
        <v>0</v>
      </c>
      <c r="AM47" s="7">
        <v>0</v>
      </c>
      <c r="AN47" s="7">
        <v>0</v>
      </c>
      <c r="AO47" s="7">
        <v>1</v>
      </c>
      <c r="AP47" s="70">
        <v>1</v>
      </c>
    </row>
    <row r="48" spans="1:42" ht="21" customHeight="1" x14ac:dyDescent="0.15">
      <c r="A48" s="16" t="str">
        <f t="shared" si="5"/>
        <v>39009_3-1/535&lt;lv40&gt;s2</v>
      </c>
      <c r="B48" s="22">
        <v>39009</v>
      </c>
      <c r="C48" s="21">
        <v>3</v>
      </c>
      <c r="D48" s="2" t="str">
        <f t="shared" si="6"/>
        <v>39009_3</v>
      </c>
      <c r="E48" s="4" t="str">
        <f ca="1">VLOOKUP($B48,OFFSET([2]quests!$A$1,0,0,COUNTA([2]quests!$A:$A),MATCH(E$1,[2]quests!$1:$1,0)-MATCH($B$1,[2]quests!$1:$1,0)+1),MATCH(E$1,[2]quests!$1:$1,0)-MATCH($B$1,[2]quests!$1:$1,0)+1,FALSE)</f>
        <v>星空の歌姫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【上級】星空の歌姫</v>
      </c>
      <c r="G48" s="21">
        <v>1</v>
      </c>
      <c r="H48" s="15" t="str">
        <f t="shared" si="7"/>
        <v>39009_3-1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8" t="s">
        <v>53</v>
      </c>
      <c r="L48" s="20">
        <v>535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冬服リム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blue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Drop1W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human</v>
      </c>
      <c r="Q48" s="17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40</v>
      </c>
      <c r="S48" s="25">
        <v>0.6</v>
      </c>
      <c r="T48" s="98">
        <f ca="1">ROUND(VLOOKUP(R48,[3]enemy_base_stats!$A:$F,2,FALSE) *INDIRECT("[EnemyMasterData.xlsm]enemies!Y"&amp;(L48+1))*  INDIRECT("[EnemyMasterData.xlsm]enemies!J"&amp;(L48+1))* INDIRECT("[EnemyMasterData.xlsm]enemies!O"&amp;(L48+1))* INDIRECT("[EnemyMasterData.xlsm]enemies!E"&amp;(L48+1))* INDIRECT("[EnemyMasterData.xlsm]enemies!S"&amp;(L48+1))* INDIRECT("[EnemyMasterData.xlsm]enemies!AD"&amp;(L48+1))*[4]ステータス!$B$2,0)*S48</f>
        <v>4681.2</v>
      </c>
      <c r="U48" s="25">
        <v>0.4</v>
      </c>
      <c r="V48" s="98">
        <f ca="1">ROUND(VLOOKUP(R48,[3]enemy_base_stats!$A:$F,3,FALSE) *INDIRECT("[EnemyMasterData.xlsm]enemies!Z"&amp;(L48+1))*  INDIRECT("[EnemyMasterData.xlsm]enemies!K"&amp;(L48+1))* INDIRECT("[EnemyMasterData.xlsm]enemies!P"&amp;(L48+1))* INDIRECT("[EnemyMasterData.xlsm]enemies!F"&amp;(L48+1))* INDIRECT("[EnemyMasterData.xlsm]enemies!T"&amp;(L48+1))* INDIRECT("[EnemyMasterData.xlsm]enemies!AE"&amp;(L48+1))*[4]ステータス!$C$2,0)*U48</f>
        <v>966.40000000000009</v>
      </c>
      <c r="W48" s="5">
        <v>0</v>
      </c>
      <c r="X48" s="4" t="e">
        <f ca="1">VLOOKUP($Y48,OFFSET(enemy_skill_sets!$B$1,0,0,COUNTA(enemy_skill_sets!$B:$B),MATCH(M$1,enemy_skill_sets!$1:$1,0)-MATCH($Y$1,enemy_skill_sets!$1:$1,0)+2),MATCH(M$1,enemy_skill_sets!$1:$1,0)-MATCH($Y$1,enemy_skill_sets!$1:$1,0)+2,FALSE)</f>
        <v>#N/A</v>
      </c>
      <c r="Y48" s="62">
        <v>0</v>
      </c>
      <c r="Z48" s="6">
        <v>0</v>
      </c>
      <c r="AA48" s="6">
        <v>100</v>
      </c>
      <c r="AB48" s="6">
        <v>0</v>
      </c>
      <c r="AC48" s="100">
        <v>2</v>
      </c>
      <c r="AD48" s="24">
        <f t="shared" si="8"/>
        <v>535</v>
      </c>
      <c r="AE48" s="4" t="str">
        <f ca="1">VLOOKUP($AD48,OFFSET([4]characters!$A$1,0,0,COUNTA([4]characters!$A:$A),MATCH(AE$1,[4]characters!$1:$1,0)-MATCH("character_id",[4]characters!$1:$1,0)+1),MATCH(AE$1,[4]characters!$1:$1,0)-MATCH("character_id",[4]characters!$1:$1,0)+1,FALSE)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48" s="4">
        <f ca="1">VLOOKUP($AD48,OFFSET([4]characters!$A$1,0,0,COUNTA([4]characters!$A:$A),MATCH(AF$1,[4]characters!$1:$1,0)-MATCH("character_id",[4]characters!$1:$1,0)+1),MATCH(AF$1,[4]characters!$1:$1,0)-MATCH("character_id",[4]characters!$1:$1,0)+1,FALSE)</f>
        <v>1</v>
      </c>
      <c r="AG48" s="4" t="str">
        <f ca="1">VLOOKUP($AD48,OFFSET([4]characters!$A$1,0,0,COUNTA([4]characters!$A:$A),MATCH(AG$1,[4]characters!$1:$1,0)-MATCH("character_id",[4]characters!$1:$1,0)+1),MATCH(AG$1,[4]characters!$1:$1,0)-MATCH("character_id",[4]characters!$1:$1,0)+1,FALSE)</f>
        <v>Drop1W</v>
      </c>
      <c r="AH48" s="7">
        <v>1</v>
      </c>
      <c r="AI48" s="24">
        <f t="shared" ca="1" si="9"/>
        <v>1</v>
      </c>
      <c r="AJ48" s="8">
        <v>20</v>
      </c>
      <c r="AK48" s="7">
        <v>0</v>
      </c>
      <c r="AL48" s="7">
        <v>0</v>
      </c>
      <c r="AM48" s="7">
        <v>0</v>
      </c>
      <c r="AN48" s="7">
        <v>0</v>
      </c>
      <c r="AO48" s="7">
        <v>1</v>
      </c>
      <c r="AP48" s="70">
        <v>1</v>
      </c>
    </row>
    <row r="49" spans="1:42" ht="21" customHeight="1" x14ac:dyDescent="0.15">
      <c r="A49" s="16" t="str">
        <f t="shared" si="5"/>
        <v>39009_3-1/536&lt;lv40&gt;s2</v>
      </c>
      <c r="B49" s="22">
        <v>39009</v>
      </c>
      <c r="C49" s="21">
        <v>3</v>
      </c>
      <c r="D49" s="2" t="str">
        <f t="shared" si="6"/>
        <v>39009_3</v>
      </c>
      <c r="E49" s="4" t="str">
        <f ca="1">VLOOKUP($B49,OFFSET([2]quests!$A$1,0,0,COUNTA([2]quests!$A:$A),MATCH(E$1,[2]quests!$1:$1,0)-MATCH($B$1,[2]quests!$1:$1,0)+1),MATCH(E$1,[2]quests!$1:$1,0)-MATCH($B$1,[2]quests!$1:$1,0)+1,FALSE)</f>
        <v>星空の歌姫</v>
      </c>
      <c r="F49" s="4" t="str">
        <f ca="1">VLOOKUP($D49,OFFSET([2]stages!$A$1,0,0,COUNTA([2]stages!$A:$A),MATCH(F$1,[2]stages!$2:$2,0)-MATCH($D$1,[2]stages!$2:$2,0)+1),MATCH(F$1,[2]stages!$2:$2,0)-MATCH($D$1,[2]stages!$2:$2,0)+1,FALSE)</f>
        <v>【上級】星空の歌姫</v>
      </c>
      <c r="G49" s="21">
        <v>1</v>
      </c>
      <c r="H49" s="15" t="str">
        <f t="shared" si="7"/>
        <v>39009_3-1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8" t="s">
        <v>53</v>
      </c>
      <c r="L49" s="20">
        <v>536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冬服ミミ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Drop1W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animal</v>
      </c>
      <c r="Q49" s="17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40</v>
      </c>
      <c r="S49" s="25">
        <v>0.9</v>
      </c>
      <c r="T49" s="98">
        <f ca="1">ROUND(VLOOKUP(R49,[3]enemy_base_stats!$A:$F,2,FALSE) *INDIRECT("[EnemyMasterData.xlsm]enemies!Y"&amp;(L49+1))*  INDIRECT("[EnemyMasterData.xlsm]enemies!J"&amp;(L49+1))* INDIRECT("[EnemyMasterData.xlsm]enemies!O"&amp;(L49+1))* INDIRECT("[EnemyMasterData.xlsm]enemies!E"&amp;(L49+1))* INDIRECT("[EnemyMasterData.xlsm]enemies!S"&amp;(L49+1))* INDIRECT("[EnemyMasterData.xlsm]enemies!AD"&amp;(L49+1))*[4]ステータス!$B$2,0)*S49</f>
        <v>7320.6</v>
      </c>
      <c r="U49" s="25">
        <v>0.3</v>
      </c>
      <c r="V49" s="98">
        <f ca="1">ROUND(VLOOKUP(R49,[3]enemy_base_stats!$A:$F,3,FALSE) *INDIRECT("[EnemyMasterData.xlsm]enemies!Z"&amp;(L49+1))*  INDIRECT("[EnemyMasterData.xlsm]enemies!K"&amp;(L49+1))* INDIRECT("[EnemyMasterData.xlsm]enemies!P"&amp;(L49+1))* INDIRECT("[EnemyMasterData.xlsm]enemies!F"&amp;(L49+1))* INDIRECT("[EnemyMasterData.xlsm]enemies!T"&amp;(L49+1))* INDIRECT("[EnemyMasterData.xlsm]enemies!AE"&amp;(L49+1))*[4]ステータス!$C$2,0)*U49</f>
        <v>1103.7</v>
      </c>
      <c r="W49" s="5">
        <v>0</v>
      </c>
      <c r="X49" s="4" t="e">
        <f ca="1">VLOOKUP($Y49,OFFSET(enemy_skill_sets!$B$1,0,0,COUNTA(enemy_skill_sets!$B:$B),MATCH(M$1,enemy_skill_sets!$1:$1,0)-MATCH($Y$1,enemy_skill_sets!$1:$1,0)+2),MATCH(M$1,enemy_skill_sets!$1:$1,0)-MATCH($Y$1,enemy_skill_sets!$1:$1,0)+2,FALSE)</f>
        <v>#N/A</v>
      </c>
      <c r="Y49" s="62">
        <v>0</v>
      </c>
      <c r="Z49" s="6">
        <v>0</v>
      </c>
      <c r="AA49" s="6">
        <v>100</v>
      </c>
      <c r="AB49" s="6">
        <v>0</v>
      </c>
      <c r="AC49" s="100">
        <v>2</v>
      </c>
      <c r="AD49" s="24">
        <f t="shared" si="8"/>
        <v>536</v>
      </c>
      <c r="AE49" s="4" t="str">
        <f ca="1">VLOOKUP($AD49,OFFSET([4]characters!$A$1,0,0,COUNTA([4]characters!$A:$A),MATCH(AE$1,[4]characters!$1:$1,0)-MATCH("character_id",[4]characters!$1:$1,0)+1),MATCH(AE$1,[4]characters!$1:$1,0)-MATCH("character_id",[4]characters!$1:$1,0)+1,FALSE)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49" s="4">
        <f ca="1">VLOOKUP($AD49,OFFSET([4]characters!$A$1,0,0,COUNTA([4]characters!$A:$A),MATCH(AF$1,[4]characters!$1:$1,0)-MATCH("character_id",[4]characters!$1:$1,0)+1),MATCH(AF$1,[4]characters!$1:$1,0)-MATCH("character_id",[4]characters!$1:$1,0)+1,FALSE)</f>
        <v>1</v>
      </c>
      <c r="AG49" s="4" t="str">
        <f ca="1">VLOOKUP($AD49,OFFSET([4]characters!$A$1,0,0,COUNTA([4]characters!$A:$A),MATCH(AG$1,[4]characters!$1:$1,0)-MATCH("character_id",[4]characters!$1:$1,0)+1),MATCH(AG$1,[4]characters!$1:$1,0)-MATCH("character_id",[4]characters!$1:$1,0)+1,FALSE)</f>
        <v>Drop1W</v>
      </c>
      <c r="AH49" s="7">
        <v>1</v>
      </c>
      <c r="AI49" s="24">
        <f t="shared" ca="1" si="9"/>
        <v>1</v>
      </c>
      <c r="AJ49" s="8">
        <v>20</v>
      </c>
      <c r="AK49" s="7">
        <v>0</v>
      </c>
      <c r="AL49" s="7">
        <v>0</v>
      </c>
      <c r="AM49" s="7">
        <v>0</v>
      </c>
      <c r="AN49" s="7">
        <v>0</v>
      </c>
      <c r="AO49" s="7">
        <v>1</v>
      </c>
      <c r="AP49" s="70">
        <v>1</v>
      </c>
    </row>
    <row r="50" spans="1:42" ht="21" customHeight="1" x14ac:dyDescent="0.15">
      <c r="A50" s="16" t="str">
        <f t="shared" si="5"/>
        <v>39009_3-2/1297&lt;lv40&gt;s2</v>
      </c>
      <c r="B50" s="22">
        <v>39009</v>
      </c>
      <c r="C50" s="21">
        <v>3</v>
      </c>
      <c r="D50" s="2" t="str">
        <f t="shared" si="6"/>
        <v>39009_3</v>
      </c>
      <c r="E50" s="4" t="str">
        <f ca="1">VLOOKUP($B50,OFFSET([2]quests!$A$1,0,0,COUNTA([2]quests!$A:$A),MATCH(E$1,[2]quests!$1:$1,0)-MATCH($B$1,[2]quests!$1:$1,0)+1),MATCH(E$1,[2]quests!$1:$1,0)-MATCH($B$1,[2]quests!$1:$1,0)+1,FALSE)</f>
        <v>星空の歌姫</v>
      </c>
      <c r="F50" s="4" t="str">
        <f ca="1">VLOOKUP($D50,OFFSET([2]stages!$A$1,0,0,COUNTA([2]stages!$A:$A),MATCH(F$1,[2]stages!$2:$2,0)-MATCH($D$1,[2]stages!$2:$2,0)+1),MATCH(F$1,[2]stages!$2:$2,0)-MATCH($D$1,[2]stages!$2:$2,0)+1,FALSE)</f>
        <v>【上級】星空の歌姫</v>
      </c>
      <c r="G50" s="21">
        <v>2</v>
      </c>
      <c r="H50" s="15" t="str">
        <f t="shared" si="7"/>
        <v>39009_3-2</v>
      </c>
      <c r="I50" s="4">
        <f ca="1">VLOOKUP($H50,OFFSET(floors!$A$1,0,0,COUNTA(floors!$A:$A),MATCH(I$1,floors!$1:$1,0)-MATCH($H$1,floors!$1:$1,0)+1),MATCH(I$1,floors!$1:$1,0)-MATCH($H$1,floors!$1:$1,0)+1,FALSE)</f>
        <v>60</v>
      </c>
      <c r="J50" s="4">
        <f ca="1">VLOOKUP($H50,OFFSET(floors!$A$1,0,0,COUNTA(floors!$A:$A),MATCH(J$1,floors!$1:$1,0)-MATCH($H$1,floors!$1:$1,0)+1),MATCH(J$1,floors!$1:$1,0)-MATCH($H$1,floors!$1:$1,0)+1,FALSE)</f>
        <v>60</v>
      </c>
      <c r="K50" s="38">
        <v>5</v>
      </c>
      <c r="L50" s="20">
        <v>1297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雪ミク2017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green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DropWizS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7">
        <f ca="1">VLOOKUP($L50,OFFSET([3]enemies!$A$1,0,0,COUNTA([3]enemies!$A:$A),MATCH(Q$1,[3]enemies!$1:$1,0)-MATCH($L$1,[3]enemies!$1:$1,0)+1),MATCH(Q$1,[3]enemies!$1:$1,0)-MATCH($L$1,[3]enemies!$1:$1,0)+1,FALSE)</f>
        <v>60</v>
      </c>
      <c r="R50" s="5">
        <v>40</v>
      </c>
      <c r="S50" s="25">
        <v>0.6</v>
      </c>
      <c r="T50" s="98">
        <f ca="1">ROUND(VLOOKUP(R50,[3]enemy_base_stats!$A:$F,2,FALSE) *INDIRECT("[EnemyMasterData.xlsm]enemies!Y"&amp;(L50+1))*  INDIRECT("[EnemyMasterData.xlsm]enemies!J"&amp;(L50+1))* INDIRECT("[EnemyMasterData.xlsm]enemies!O"&amp;(L50+1))* INDIRECT("[EnemyMasterData.xlsm]enemies!E"&amp;(L50+1))* INDIRECT("[EnemyMasterData.xlsm]enemies!S"&amp;(L50+1))* INDIRECT("[EnemyMasterData.xlsm]enemies!AD"&amp;(L50+1))*[4]ステータス!$B$2,0)*S50</f>
        <v>41483.4</v>
      </c>
      <c r="U50" s="25">
        <v>1.3</v>
      </c>
      <c r="V50" s="98">
        <f ca="1">ROUND(VLOOKUP(R50,[3]enemy_base_stats!$A:$F,3,FALSE) *INDIRECT("[EnemyMasterData.xlsm]enemies!Z"&amp;(L50+1))*  INDIRECT("[EnemyMasterData.xlsm]enemies!K"&amp;(L50+1))* INDIRECT("[EnemyMasterData.xlsm]enemies!P"&amp;(L50+1))* INDIRECT("[EnemyMasterData.xlsm]enemies!F"&amp;(L50+1))* INDIRECT("[EnemyMasterData.xlsm]enemies!T"&amp;(L50+1))* INDIRECT("[EnemyMasterData.xlsm]enemies!AE"&amp;(L50+1))*[4]ステータス!$C$2,0)*U50</f>
        <v>5950.1</v>
      </c>
      <c r="W50" s="5">
        <v>0</v>
      </c>
      <c r="X50" s="4" t="str">
        <f ca="1">VLOOKUP($Y50,OFFSET(enemy_skill_sets!$B$1,0,0,COUNTA(enemy_skill_sets!$B:$B),MATCH(M$1,enemy_skill_sets!$1:$1,0)-MATCH($Y$1,enemy_skill_sets!$1:$1,0)+2),MATCH(M$1,enemy_skill_sets!$1:$1,0)-MATCH($Y$1,enemy_skill_sets!$1:$1,0)+2,FALSE)</f>
        <v>3ターン防御力UP</v>
      </c>
      <c r="Y50" s="62">
        <v>39009015</v>
      </c>
      <c r="Z50" s="6">
        <v>1</v>
      </c>
      <c r="AA50" s="6">
        <v>100</v>
      </c>
      <c r="AB50" s="6">
        <v>1</v>
      </c>
      <c r="AC50" s="100">
        <v>2</v>
      </c>
      <c r="AD50" s="24">
        <f t="shared" si="8"/>
        <v>1297</v>
      </c>
      <c r="AE50" s="4" t="str">
        <f ca="1">VLOOKUP($AD50,OFFSET([4]characters!$A$1,0,0,COUNTA([4]characters!$A:$A),MATCH(AE$1,[4]characters!$1:$1,0)-MATCH("character_id",[4]characters!$1:$1,0)+1),MATCH(AE$1,[4]characters!$1:$1,0)-MATCH("character_id",[4]characters!$1:$1,0)+1,FALSE)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50" s="4">
        <f ca="1">VLOOKUP($AD50,OFFSET([4]characters!$A$1,0,0,COUNTA([4]characters!$A:$A),MATCH(AF$1,[4]characters!$1:$1,0)-MATCH("character_id",[4]characters!$1:$1,0)+1),MATCH(AF$1,[4]characters!$1:$1,0)-MATCH("character_id",[4]characters!$1:$1,0)+1,FALSE)</f>
        <v>5</v>
      </c>
      <c r="AG50" s="4" t="str">
        <f ca="1">VLOOKUP($AD50,OFFSET([4]characters!$A$1,0,0,COUNTA([4]characters!$A:$A),MATCH(AG$1,[4]characters!$1:$1,0)-MATCH("character_id",[4]characters!$1:$1,0)+1),MATCH(AG$1,[4]characters!$1:$1,0)-MATCH("character_id",[4]characters!$1:$1,0)+1,FALSE)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0" s="7">
        <v>1</v>
      </c>
      <c r="AI50" s="24">
        <f t="shared" ca="1" si="9"/>
        <v>5</v>
      </c>
      <c r="AJ50" s="8">
        <v>0</v>
      </c>
      <c r="AK50" s="7">
        <v>0</v>
      </c>
      <c r="AL50" s="7">
        <v>0</v>
      </c>
      <c r="AM50" s="7">
        <v>0</v>
      </c>
      <c r="AN50" s="7">
        <v>0</v>
      </c>
      <c r="AO50" s="7">
        <v>1</v>
      </c>
      <c r="AP50" s="70">
        <v>1</v>
      </c>
    </row>
    <row r="51" spans="1:42" ht="21" customHeight="1" x14ac:dyDescent="0.15">
      <c r="A51" s="16" t="str">
        <f t="shared" si="5"/>
        <v>39009_3-3/529&lt;lv40&gt;s1</v>
      </c>
      <c r="B51" s="22">
        <v>39009</v>
      </c>
      <c r="C51" s="21">
        <v>3</v>
      </c>
      <c r="D51" s="2" t="str">
        <f t="shared" si="6"/>
        <v>39009_3</v>
      </c>
      <c r="E51" s="4" t="str">
        <f ca="1">VLOOKUP($B51,OFFSET([2]quests!$A$1,0,0,COUNTA([2]quests!$A:$A),MATCH(E$1,[2]quests!$1:$1,0)-MATCH($B$1,[2]quests!$1:$1,0)+1),MATCH(E$1,[2]quests!$1:$1,0)-MATCH($B$1,[2]quests!$1:$1,0)+1,FALSE)</f>
        <v>星空の歌姫</v>
      </c>
      <c r="F51" s="4" t="str">
        <f ca="1">VLOOKUP($D51,OFFSET([2]stages!$A$1,0,0,COUNTA([2]stages!$A:$A),MATCH(F$1,[2]stages!$2:$2,0)-MATCH($D$1,[2]stages!$2:$2,0)+1),MATCH(F$1,[2]stages!$2:$2,0)-MATCH($D$1,[2]stages!$2:$2,0)+1,FALSE)</f>
        <v>【上級】星空の歌姫</v>
      </c>
      <c r="G51" s="21">
        <v>3</v>
      </c>
      <c r="H51" s="15" t="str">
        <f t="shared" si="7"/>
        <v>39009_3-3</v>
      </c>
      <c r="I51" s="4">
        <f ca="1">VLOOKUP($H51,OFFSET(floors!$A$1,0,0,COUNTA(floors!$A:$A),MATCH(I$1,floors!$1:$1,0)-MATCH($H$1,floors!$1:$1,0)+1),MATCH(I$1,floors!$1:$1,0)-MATCH($H$1,floors!$1:$1,0)+1,FALSE)</f>
        <v>60</v>
      </c>
      <c r="J51" s="4">
        <f ca="1">VLOOKUP($H51,OFFSET(floors!$A$1,0,0,COUNTA(floors!$A:$A),MATCH(J$1,floors!$1:$1,0)-MATCH($H$1,floors!$1:$1,0)+1),MATCH(J$1,floors!$1:$1,0)-MATCH($H$1,floors!$1:$1,0)+1,FALSE)</f>
        <v>60</v>
      </c>
      <c r="K51" s="38" t="s">
        <v>53</v>
      </c>
      <c r="L51" s="20">
        <v>529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冬服ジェリー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red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Drop1T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7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40</v>
      </c>
      <c r="S51" s="25">
        <v>2.2999999999999998</v>
      </c>
      <c r="T51" s="98">
        <f ca="1">ROUND(VLOOKUP(R51,[3]enemy_base_stats!$A:$F,2,FALSE) *INDIRECT("[EnemyMasterData.xlsm]enemies!Y"&amp;(L51+1))*  INDIRECT("[EnemyMasterData.xlsm]enemies!J"&amp;(L51+1))* INDIRECT("[EnemyMasterData.xlsm]enemies!O"&amp;(L51+1))* INDIRECT("[EnemyMasterData.xlsm]enemies!E"&amp;(L51+1))* INDIRECT("[EnemyMasterData.xlsm]enemies!S"&amp;(L51+1))* INDIRECT("[EnemyMasterData.xlsm]enemies!AD"&amp;(L51+1))*[4]ステータス!$B$2,0)*S51</f>
        <v>19090</v>
      </c>
      <c r="U51" s="25">
        <v>0.7</v>
      </c>
      <c r="V51" s="98">
        <f ca="1">ROUND(VLOOKUP(R51,[3]enemy_base_stats!$A:$F,3,FALSE) *INDIRECT("[EnemyMasterData.xlsm]enemies!Z"&amp;(L51+1))*  INDIRECT("[EnemyMasterData.xlsm]enemies!K"&amp;(L51+1))* INDIRECT("[EnemyMasterData.xlsm]enemies!P"&amp;(L51+1))* INDIRECT("[EnemyMasterData.xlsm]enemies!F"&amp;(L51+1))* INDIRECT("[EnemyMasterData.xlsm]enemies!T"&amp;(L51+1))* INDIRECT("[EnemyMasterData.xlsm]enemies!AE"&amp;(L51+1))*[4]ステータス!$C$2,0)*U51</f>
        <v>2388.3999999999996</v>
      </c>
      <c r="W51" s="5">
        <v>0</v>
      </c>
      <c r="X51" s="4" t="e">
        <f ca="1">VLOOKUP($Y51,OFFSET(enemy_skill_sets!$B$1,0,0,COUNTA(enemy_skill_sets!$B:$B),MATCH(M$1,enemy_skill_sets!$1:$1,0)-MATCH($Y$1,enemy_skill_sets!$1:$1,0)+2),MATCH(M$1,enemy_skill_sets!$1:$1,0)-MATCH($Y$1,enemy_skill_sets!$1:$1,0)+2,FALSE)</f>
        <v>#N/A</v>
      </c>
      <c r="Y51" s="62">
        <v>0</v>
      </c>
      <c r="Z51" s="6">
        <v>0</v>
      </c>
      <c r="AA51" s="6">
        <v>100</v>
      </c>
      <c r="AB51" s="6">
        <v>0</v>
      </c>
      <c r="AC51" s="100">
        <v>1</v>
      </c>
      <c r="AD51" s="24">
        <f t="shared" si="8"/>
        <v>529</v>
      </c>
      <c r="AE51" s="4" t="str">
        <f ca="1">VLOOKUP($AD51,OFFSET([4]characters!$A$1,0,0,COUNTA([4]characters!$A:$A),MATCH(AE$1,[4]characters!$1:$1,0)-MATCH("character_id",[4]characters!$1:$1,0)+1),MATCH(AE$1,[4]characters!$1:$1,0)-MATCH("character_id",[4]characters!$1:$1,0)+1,FALSE)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51" s="4">
        <f ca="1">VLOOKUP($AD51,OFFSET([4]characters!$A$1,0,0,COUNTA([4]characters!$A:$A),MATCH(AF$1,[4]characters!$1:$1,0)-MATCH("character_id",[4]characters!$1:$1,0)+1),MATCH(AF$1,[4]characters!$1:$1,0)-MATCH("character_id",[4]characters!$1:$1,0)+1,FALSE)</f>
        <v>1</v>
      </c>
      <c r="AG51" s="4" t="str">
        <f ca="1">VLOOKUP($AD51,OFFSET([4]characters!$A$1,0,0,COUNTA([4]characters!$A:$A),MATCH(AG$1,[4]characters!$1:$1,0)-MATCH("character_id",[4]characters!$1:$1,0)+1),MATCH(AG$1,[4]characters!$1:$1,0)-MATCH("character_id",[4]characters!$1:$1,0)+1,FALSE)</f>
        <v>Drop1T</v>
      </c>
      <c r="AH51" s="7">
        <v>1</v>
      </c>
      <c r="AI51" s="24">
        <f t="shared" ca="1" si="9"/>
        <v>1</v>
      </c>
      <c r="AJ51" s="8">
        <v>0</v>
      </c>
      <c r="AK51" s="7">
        <v>0</v>
      </c>
      <c r="AL51" s="7">
        <v>0</v>
      </c>
      <c r="AM51" s="7">
        <v>0</v>
      </c>
      <c r="AN51" s="7">
        <v>0</v>
      </c>
      <c r="AO51" s="7">
        <v>1</v>
      </c>
      <c r="AP51" s="70">
        <v>1</v>
      </c>
    </row>
    <row r="52" spans="1:42" ht="21" customHeight="1" x14ac:dyDescent="0.15">
      <c r="A52" s="16" t="str">
        <f t="shared" si="5"/>
        <v>39009_3-3/530&lt;lv40&gt;s2</v>
      </c>
      <c r="B52" s="22">
        <v>39009</v>
      </c>
      <c r="C52" s="21">
        <v>3</v>
      </c>
      <c r="D52" s="2" t="str">
        <f t="shared" si="6"/>
        <v>39009_3</v>
      </c>
      <c r="E52" s="4" t="str">
        <f ca="1">VLOOKUP($B52,OFFSET([2]quests!$A$1,0,0,COUNTA([2]quests!$A:$A),MATCH(E$1,[2]quests!$1:$1,0)-MATCH($B$1,[2]quests!$1:$1,0)+1),MATCH(E$1,[2]quests!$1:$1,0)-MATCH($B$1,[2]quests!$1:$1,0)+1,FALSE)</f>
        <v>星空の歌姫</v>
      </c>
      <c r="F52" s="4" t="str">
        <f ca="1">VLOOKUP($D52,OFFSET([2]stages!$A$1,0,0,COUNTA([2]stages!$A:$A),MATCH(F$1,[2]stages!$2:$2,0)-MATCH($D$1,[2]stages!$2:$2,0)+1),MATCH(F$1,[2]stages!$2:$2,0)-MATCH($D$1,[2]stages!$2:$2,0)+1,FALSE)</f>
        <v>【上級】星空の歌姫</v>
      </c>
      <c r="G52" s="21">
        <v>3</v>
      </c>
      <c r="H52" s="15" t="str">
        <f t="shared" si="7"/>
        <v>39009_3-3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8" t="s">
        <v>53</v>
      </c>
      <c r="L52" s="20">
        <v>530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冬服ジョー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green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Drop1T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17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40</v>
      </c>
      <c r="S52" s="25">
        <v>3</v>
      </c>
      <c r="T52" s="98">
        <f ca="1">ROUND(VLOOKUP(R52,[3]enemy_base_stats!$A:$F,2,FALSE) *INDIRECT("[EnemyMasterData.xlsm]enemies!Y"&amp;(L52+1))*  INDIRECT("[EnemyMasterData.xlsm]enemies!J"&amp;(L52+1))* INDIRECT("[EnemyMasterData.xlsm]enemies!O"&amp;(L52+1))* INDIRECT("[EnemyMasterData.xlsm]enemies!E"&amp;(L52+1))* INDIRECT("[EnemyMasterData.xlsm]enemies!S"&amp;(L52+1))* INDIRECT("[EnemyMasterData.xlsm]enemies!AD"&amp;(L52+1))*[4]ステータス!$B$2,0)*S52</f>
        <v>25398</v>
      </c>
      <c r="U52" s="25">
        <v>1.7</v>
      </c>
      <c r="V52" s="98">
        <f ca="1">ROUND(VLOOKUP(R52,[3]enemy_base_stats!$A:$F,3,FALSE) *INDIRECT("[EnemyMasterData.xlsm]enemies!Z"&amp;(L52+1))*  INDIRECT("[EnemyMasterData.xlsm]enemies!K"&amp;(L52+1))* INDIRECT("[EnemyMasterData.xlsm]enemies!P"&amp;(L52+1))* INDIRECT("[EnemyMasterData.xlsm]enemies!F"&amp;(L52+1))* INDIRECT("[EnemyMasterData.xlsm]enemies!T"&amp;(L52+1))* INDIRECT("[EnemyMasterData.xlsm]enemies!AE"&amp;(L52+1))*[4]ステータス!$C$2,0)*U52</f>
        <v>4148</v>
      </c>
      <c r="W52" s="5">
        <v>0</v>
      </c>
      <c r="X52" s="4" t="e">
        <f ca="1">VLOOKUP($Y52,OFFSET(enemy_skill_sets!$B$1,0,0,COUNTA(enemy_skill_sets!$B:$B),MATCH(M$1,enemy_skill_sets!$1:$1,0)-MATCH($Y$1,enemy_skill_sets!$1:$1,0)+2),MATCH(M$1,enemy_skill_sets!$1:$1,0)-MATCH($Y$1,enemy_skill_sets!$1:$1,0)+2,FALSE)</f>
        <v>#N/A</v>
      </c>
      <c r="Y52" s="62">
        <v>0</v>
      </c>
      <c r="Z52" s="6">
        <v>0</v>
      </c>
      <c r="AA52" s="6">
        <v>100</v>
      </c>
      <c r="AB52" s="6">
        <v>0</v>
      </c>
      <c r="AC52" s="100">
        <v>2</v>
      </c>
      <c r="AD52" s="24">
        <f t="shared" si="8"/>
        <v>530</v>
      </c>
      <c r="AE52" s="4" t="str">
        <f ca="1">VLOOKUP($AD52,OFFSET([4]characters!$A$1,0,0,COUNTA([4]characters!$A:$A),MATCH(AE$1,[4]characters!$1:$1,0)-MATCH("character_id",[4]characters!$1:$1,0)+1),MATCH(AE$1,[4]characters!$1:$1,0)-MATCH("character_id",[4]characters!$1:$1,0)+1,FALSE)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52" s="4">
        <f ca="1">VLOOKUP($AD52,OFFSET([4]characters!$A$1,0,0,COUNTA([4]characters!$A:$A),MATCH(AF$1,[4]characters!$1:$1,0)-MATCH("character_id",[4]characters!$1:$1,0)+1),MATCH(AF$1,[4]characters!$1:$1,0)-MATCH("character_id",[4]characters!$1:$1,0)+1,FALSE)</f>
        <v>1</v>
      </c>
      <c r="AG52" s="4" t="str">
        <f ca="1">VLOOKUP($AD52,OFFSET([4]characters!$A$1,0,0,COUNTA([4]characters!$A:$A),MATCH(AG$1,[4]characters!$1:$1,0)-MATCH("character_id",[4]characters!$1:$1,0)+1),MATCH(AG$1,[4]characters!$1:$1,0)-MATCH("character_id",[4]characters!$1:$1,0)+1,FALSE)</f>
        <v>Drop1T</v>
      </c>
      <c r="AH52" s="7">
        <v>1</v>
      </c>
      <c r="AI52" s="24">
        <f t="shared" ca="1" si="9"/>
        <v>1</v>
      </c>
      <c r="AJ52" s="8">
        <v>0</v>
      </c>
      <c r="AK52" s="7">
        <v>0</v>
      </c>
      <c r="AL52" s="7">
        <v>0</v>
      </c>
      <c r="AM52" s="7">
        <v>0</v>
      </c>
      <c r="AN52" s="7">
        <v>0</v>
      </c>
      <c r="AO52" s="7">
        <v>1</v>
      </c>
      <c r="AP52" s="70">
        <v>1</v>
      </c>
    </row>
    <row r="53" spans="1:42" ht="21" customHeight="1" x14ac:dyDescent="0.15">
      <c r="A53" s="16" t="str">
        <f t="shared" si="5"/>
        <v>39009_3-3/531&lt;lv40&gt;s3</v>
      </c>
      <c r="B53" s="22">
        <v>39009</v>
      </c>
      <c r="C53" s="21">
        <v>3</v>
      </c>
      <c r="D53" s="2" t="str">
        <f t="shared" si="6"/>
        <v>39009_3</v>
      </c>
      <c r="E53" s="4" t="str">
        <f ca="1">VLOOKUP($B53,OFFSET([2]quests!$A$1,0,0,COUNTA([2]quests!$A:$A),MATCH(E$1,[2]quests!$1:$1,0)-MATCH($B$1,[2]quests!$1:$1,0)+1),MATCH(E$1,[2]quests!$1:$1,0)-MATCH($B$1,[2]quests!$1:$1,0)+1,FALSE)</f>
        <v>星空の歌姫</v>
      </c>
      <c r="F53" s="4" t="str">
        <f ca="1">VLOOKUP($D53,OFFSET([2]stages!$A$1,0,0,COUNTA([2]stages!$A:$A),MATCH(F$1,[2]stages!$2:$2,0)-MATCH($D$1,[2]stages!$2:$2,0)+1),MATCH(F$1,[2]stages!$2:$2,0)-MATCH($D$1,[2]stages!$2:$2,0)+1,FALSE)</f>
        <v>【上級】星空の歌姫</v>
      </c>
      <c r="G53" s="21">
        <v>3</v>
      </c>
      <c r="H53" s="15" t="str">
        <f t="shared" si="7"/>
        <v>39009_3-3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8" t="s">
        <v>53</v>
      </c>
      <c r="L53" s="20">
        <v>531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冬服ポチ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blue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Drop1T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17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40</v>
      </c>
      <c r="S53" s="25">
        <v>2.1</v>
      </c>
      <c r="T53" s="98">
        <f ca="1">ROUND(VLOOKUP(R53,[3]enemy_base_stats!$A:$F,2,FALSE) *INDIRECT("[EnemyMasterData.xlsm]enemies!Y"&amp;(L53+1))*  INDIRECT("[EnemyMasterData.xlsm]enemies!J"&amp;(L53+1))* INDIRECT("[EnemyMasterData.xlsm]enemies!O"&amp;(L53+1))* INDIRECT("[EnemyMasterData.xlsm]enemies!E"&amp;(L53+1))* INDIRECT("[EnemyMasterData.xlsm]enemies!S"&amp;(L53+1))* INDIRECT("[EnemyMasterData.xlsm]enemies!AD"&amp;(L53+1))*[4]ステータス!$B$2,0)*S53</f>
        <v>13944</v>
      </c>
      <c r="U53" s="25">
        <v>1.5</v>
      </c>
      <c r="V53" s="98">
        <f ca="1">ROUND(VLOOKUP(R53,[3]enemy_base_stats!$A:$F,3,FALSE) *INDIRECT("[EnemyMasterData.xlsm]enemies!Z"&amp;(L53+1))*  INDIRECT("[EnemyMasterData.xlsm]enemies!K"&amp;(L53+1))* INDIRECT("[EnemyMasterData.xlsm]enemies!P"&amp;(L53+1))* INDIRECT("[EnemyMasterData.xlsm]enemies!F"&amp;(L53+1))* INDIRECT("[EnemyMasterData.xlsm]enemies!T"&amp;(L53+1))* INDIRECT("[EnemyMasterData.xlsm]enemies!AE"&amp;(L53+1))*[4]ステータス!$C$2,0)*U53</f>
        <v>2854.5</v>
      </c>
      <c r="W53" s="5">
        <v>0</v>
      </c>
      <c r="X53" s="4" t="e">
        <f ca="1">VLOOKUP($Y53,OFFSET(enemy_skill_sets!$B$1,0,0,COUNTA(enemy_skill_sets!$B:$B),MATCH(M$1,enemy_skill_sets!$1:$1,0)-MATCH($Y$1,enemy_skill_sets!$1:$1,0)+2),MATCH(M$1,enemy_skill_sets!$1:$1,0)-MATCH($Y$1,enemy_skill_sets!$1:$1,0)+2,FALSE)</f>
        <v>#N/A</v>
      </c>
      <c r="Y53" s="62">
        <v>0</v>
      </c>
      <c r="Z53" s="6">
        <v>0</v>
      </c>
      <c r="AA53" s="6">
        <v>100</v>
      </c>
      <c r="AB53" s="6">
        <v>0</v>
      </c>
      <c r="AC53" s="100">
        <v>3</v>
      </c>
      <c r="AD53" s="24">
        <f t="shared" si="8"/>
        <v>531</v>
      </c>
      <c r="AE53" s="4" t="str">
        <f ca="1">VLOOKUP($AD53,OFFSET([4]characters!$A$1,0,0,COUNTA([4]characters!$A:$A),MATCH(AE$1,[4]characters!$1:$1,0)-MATCH("character_id",[4]characters!$1:$1,0)+1),MATCH(AE$1,[4]characters!$1:$1,0)-MATCH("character_id",[4]characters!$1:$1,0)+1,FALSE)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53" s="4">
        <f ca="1">VLOOKUP($AD53,OFFSET([4]characters!$A$1,0,0,COUNTA([4]characters!$A:$A),MATCH(AF$1,[4]characters!$1:$1,0)-MATCH("character_id",[4]characters!$1:$1,0)+1),MATCH(AF$1,[4]characters!$1:$1,0)-MATCH("character_id",[4]characters!$1:$1,0)+1,FALSE)</f>
        <v>1</v>
      </c>
      <c r="AG53" s="4" t="str">
        <f ca="1">VLOOKUP($AD53,OFFSET([4]characters!$A$1,0,0,COUNTA([4]characters!$A:$A),MATCH(AG$1,[4]characters!$1:$1,0)-MATCH("character_id",[4]characters!$1:$1,0)+1),MATCH(AG$1,[4]characters!$1:$1,0)-MATCH("character_id",[4]characters!$1:$1,0)+1,FALSE)</f>
        <v>Drop1T</v>
      </c>
      <c r="AH53" s="7">
        <v>1</v>
      </c>
      <c r="AI53" s="24">
        <f t="shared" ca="1" si="9"/>
        <v>1</v>
      </c>
      <c r="AJ53" s="8">
        <v>0</v>
      </c>
      <c r="AK53" s="7">
        <v>0</v>
      </c>
      <c r="AL53" s="7">
        <v>0</v>
      </c>
      <c r="AM53" s="7">
        <v>0</v>
      </c>
      <c r="AN53" s="7">
        <v>0</v>
      </c>
      <c r="AO53" s="7">
        <v>1</v>
      </c>
      <c r="AP53" s="70">
        <v>1</v>
      </c>
    </row>
    <row r="54" spans="1:42" ht="21" customHeight="1" x14ac:dyDescent="0.15">
      <c r="A54" s="16" t="str">
        <f t="shared" si="5"/>
        <v>39009_3-3/532&lt;lv40&gt;s2</v>
      </c>
      <c r="B54" s="22">
        <v>39009</v>
      </c>
      <c r="C54" s="21">
        <v>3</v>
      </c>
      <c r="D54" s="2" t="str">
        <f t="shared" si="6"/>
        <v>39009_3</v>
      </c>
      <c r="E54" s="4" t="str">
        <f ca="1">VLOOKUP($B54,OFFSET([2]quests!$A$1,0,0,COUNTA([2]quests!$A:$A),MATCH(E$1,[2]quests!$1:$1,0)-MATCH($B$1,[2]quests!$1:$1,0)+1),MATCH(E$1,[2]quests!$1:$1,0)-MATCH($B$1,[2]quests!$1:$1,0)+1,FALSE)</f>
        <v>星空の歌姫</v>
      </c>
      <c r="F54" s="4" t="str">
        <f ca="1">VLOOKUP($D54,OFFSET([2]stages!$A$1,0,0,COUNTA([2]stages!$A:$A),MATCH(F$1,[2]stages!$2:$2,0)-MATCH($D$1,[2]stages!$2:$2,0)+1),MATCH(F$1,[2]stages!$2:$2,0)-MATCH($D$1,[2]stages!$2:$2,0)+1,FALSE)</f>
        <v>【上級】星空の歌姫</v>
      </c>
      <c r="G54" s="21">
        <v>3</v>
      </c>
      <c r="H54" s="15" t="str">
        <f t="shared" si="7"/>
        <v>39009_3-3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8" t="s">
        <v>53</v>
      </c>
      <c r="L54" s="20">
        <v>532</v>
      </c>
      <c r="M54" s="17" t="str">
        <f ca="1">VLOOKUP($L54,OFFSET([3]enemies!$A$1,0,0,COUNTA([3]enemies!$A:$A),MATCH(M$1,[3]enemies!$1:$1,0)-MATCH($L$1,[3]enemies!$1:$1,0)+1),MATCH(M$1,[3]enemies!$1:$1,0)-MATCH($L$1,[3]enemies!$1:$1,0)+1,FALSE)</f>
        <v>冬服エレキポット</v>
      </c>
      <c r="N54" s="17" t="str">
        <f ca="1">VLOOKUP($L54,OFFSET([3]enemies!$A$1,0,0,COUNTA([3]enemies!$A:$A),MATCH(N$1,[3]enemies!$1:$1,0)-MATCH($L$1,[3]enemies!$1:$1,0)+1),MATCH(N$1,[3]enemies!$1:$1,0)-MATCH($L$1,[3]enemies!$1:$1,0)+1,FALSE)</f>
        <v>yellow</v>
      </c>
      <c r="O54" s="17" t="str">
        <f ca="1">VLOOKUP($L54,OFFSET([4]characters!$A$1,0,0,COUNTA([4]characters!$A:$A),MATCH(O$1,[4]characters!$1:$1,0)-MATCH($L$1,[4]characters!$1:$1,0)+1),MATCH(O$1,[4]characters!$1:$1,0)-MATCH($L$1,[4]characters!$1:$1,0)+1,FALSE)</f>
        <v>Drop1T</v>
      </c>
      <c r="P54" s="17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17">
        <f ca="1">VLOOKUP($L54,OFFSET([3]enemies!$A$1,0,0,COUNTA([3]enemies!$A:$A),MATCH(Q$1,[3]enemies!$1:$1,0)-MATCH($L$1,[3]enemies!$1:$1,0)+1),MATCH(Q$1,[3]enemies!$1:$1,0)-MATCH($L$1,[3]enemies!$1:$1,0)+1,FALSE)</f>
        <v>15</v>
      </c>
      <c r="R54" s="5">
        <v>40</v>
      </c>
      <c r="S54" s="25">
        <v>2.4</v>
      </c>
      <c r="T54" s="98">
        <f ca="1">ROUND(VLOOKUP(R54,[3]enemy_base_stats!$A:$F,2,FALSE) *INDIRECT("[EnemyMasterData.xlsm]enemies!Y"&amp;(L54+1))*  INDIRECT("[EnemyMasterData.xlsm]enemies!J"&amp;(L54+1))* INDIRECT("[EnemyMasterData.xlsm]enemies!O"&amp;(L54+1))* INDIRECT("[EnemyMasterData.xlsm]enemies!E"&amp;(L54+1))* INDIRECT("[EnemyMasterData.xlsm]enemies!S"&amp;(L54+1))* INDIRECT("[EnemyMasterData.xlsm]enemies!AD"&amp;(L54+1))*[4]ステータス!$B$2,0)*S54</f>
        <v>19521.599999999999</v>
      </c>
      <c r="U54" s="25">
        <v>0.9</v>
      </c>
      <c r="V54" s="98">
        <f ca="1">ROUND(VLOOKUP(R54,[3]enemy_base_stats!$A:$F,3,FALSE) *INDIRECT("[EnemyMasterData.xlsm]enemies!Z"&amp;(L54+1))*  INDIRECT("[EnemyMasterData.xlsm]enemies!K"&amp;(L54+1))* INDIRECT("[EnemyMasterData.xlsm]enemies!P"&amp;(L54+1))* INDIRECT("[EnemyMasterData.xlsm]enemies!F"&amp;(L54+1))* INDIRECT("[EnemyMasterData.xlsm]enemies!T"&amp;(L54+1))* INDIRECT("[EnemyMasterData.xlsm]enemies!AE"&amp;(L54+1))*[4]ステータス!$C$2,0)*U54</f>
        <v>3010.5</v>
      </c>
      <c r="W54" s="5">
        <v>0</v>
      </c>
      <c r="X54" s="4" t="e">
        <f ca="1">VLOOKUP($Y54,OFFSET(enemy_skill_sets!$B$1,0,0,COUNTA(enemy_skill_sets!$B:$B),MATCH(M$1,enemy_skill_sets!$1:$1,0)-MATCH($Y$1,enemy_skill_sets!$1:$1,0)+2),MATCH(M$1,enemy_skill_sets!$1:$1,0)-MATCH($Y$1,enemy_skill_sets!$1:$1,0)+2,FALSE)</f>
        <v>#N/A</v>
      </c>
      <c r="Y54" s="62">
        <v>0</v>
      </c>
      <c r="Z54" s="6">
        <v>0</v>
      </c>
      <c r="AA54" s="6">
        <v>100</v>
      </c>
      <c r="AB54" s="6">
        <v>0</v>
      </c>
      <c r="AC54" s="100">
        <v>2</v>
      </c>
      <c r="AD54" s="24">
        <f t="shared" si="8"/>
        <v>532</v>
      </c>
      <c r="AE54" s="4" t="str">
        <f ca="1">VLOOKUP($AD54,OFFSET([4]characters!$A$1,0,0,COUNTA([4]characters!$A:$A),MATCH(AE$1,[4]characters!$1:$1,0)-MATCH("character_id",[4]characters!$1:$1,0)+1),MATCH(AE$1,[4]characters!$1:$1,0)-MATCH("character_id",[4]characters!$1:$1,0)+1,FALSE)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54" s="4">
        <f ca="1">VLOOKUP($AD54,OFFSET([4]characters!$A$1,0,0,COUNTA([4]characters!$A:$A),MATCH(AF$1,[4]characters!$1:$1,0)-MATCH("character_id",[4]characters!$1:$1,0)+1),MATCH(AF$1,[4]characters!$1:$1,0)-MATCH("character_id",[4]characters!$1:$1,0)+1,FALSE)</f>
        <v>1</v>
      </c>
      <c r="AG54" s="4" t="str">
        <f ca="1">VLOOKUP($AD54,OFFSET([4]characters!$A$1,0,0,COUNTA([4]characters!$A:$A),MATCH(AG$1,[4]characters!$1:$1,0)-MATCH("character_id",[4]characters!$1:$1,0)+1),MATCH(AG$1,[4]characters!$1:$1,0)-MATCH("character_id",[4]characters!$1:$1,0)+1,FALSE)</f>
        <v>Drop1T</v>
      </c>
      <c r="AH54" s="7">
        <v>1</v>
      </c>
      <c r="AI54" s="24">
        <f t="shared" ca="1" si="9"/>
        <v>1</v>
      </c>
      <c r="AJ54" s="8">
        <v>0</v>
      </c>
      <c r="AK54" s="7">
        <v>0</v>
      </c>
      <c r="AL54" s="7">
        <v>0</v>
      </c>
      <c r="AM54" s="7">
        <v>0</v>
      </c>
      <c r="AN54" s="7">
        <v>0</v>
      </c>
      <c r="AO54" s="7">
        <v>1</v>
      </c>
      <c r="AP54" s="70">
        <v>1</v>
      </c>
    </row>
    <row r="55" spans="1:42" ht="21" customHeight="1" x14ac:dyDescent="0.15">
      <c r="A55" s="16" t="str">
        <f t="shared" si="5"/>
        <v>39009_3-3/533&lt;lv40&gt;s3</v>
      </c>
      <c r="B55" s="22">
        <v>39009</v>
      </c>
      <c r="C55" s="21">
        <v>3</v>
      </c>
      <c r="D55" s="2" t="str">
        <f t="shared" si="6"/>
        <v>39009_3</v>
      </c>
      <c r="E55" s="4" t="str">
        <f ca="1">VLOOKUP($B55,OFFSET([2]quests!$A$1,0,0,COUNTA([2]quests!$A:$A),MATCH(E$1,[2]quests!$1:$1,0)-MATCH($B$1,[2]quests!$1:$1,0)+1),MATCH(E$1,[2]quests!$1:$1,0)-MATCH($B$1,[2]quests!$1:$1,0)+1,FALSE)</f>
        <v>星空の歌姫</v>
      </c>
      <c r="F55" s="4" t="str">
        <f ca="1">VLOOKUP($D55,OFFSET([2]stages!$A$1,0,0,COUNTA([2]stages!$A:$A),MATCH(F$1,[2]stages!$2:$2,0)-MATCH($D$1,[2]stages!$2:$2,0)+1),MATCH(F$1,[2]stages!$2:$2,0)-MATCH($D$1,[2]stages!$2:$2,0)+1,FALSE)</f>
        <v>【上級】星空の歌姫</v>
      </c>
      <c r="G55" s="21">
        <v>3</v>
      </c>
      <c r="H55" s="15" t="str">
        <f t="shared" si="7"/>
        <v>39009_3-3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8" t="s">
        <v>53</v>
      </c>
      <c r="L55" s="20">
        <v>533</v>
      </c>
      <c r="M55" s="17" t="str">
        <f ca="1">VLOOKUP($L55,OFFSET([3]enemies!$A$1,0,0,COUNTA([3]enemies!$A:$A),MATCH(M$1,[3]enemies!$1:$1,0)-MATCH($L$1,[3]enemies!$1:$1,0)+1),MATCH(M$1,[3]enemies!$1:$1,0)-MATCH($L$1,[3]enemies!$1:$1,0)+1,FALSE)</f>
        <v>冬服アカネ</v>
      </c>
      <c r="N55" s="17" t="str">
        <f ca="1">VLOOKUP($L55,OFFSET([3]enemies!$A$1,0,0,COUNTA([3]enemies!$A:$A),MATCH(N$1,[3]enemies!$1:$1,0)-MATCH($L$1,[3]enemies!$1:$1,0)+1),MATCH(N$1,[3]enemies!$1:$1,0)-MATCH($L$1,[3]enemies!$1:$1,0)+1,FALSE)</f>
        <v>red</v>
      </c>
      <c r="O55" s="17" t="str">
        <f ca="1">VLOOKUP($L55,OFFSET([4]characters!$A$1,0,0,COUNTA([4]characters!$A:$A),MATCH(O$1,[4]characters!$1:$1,0)-MATCH($L$1,[4]characters!$1:$1,0)+1),MATCH(O$1,[4]characters!$1:$1,0)-MATCH($L$1,[4]characters!$1:$1,0)+1,FALSE)</f>
        <v>Drop1W</v>
      </c>
      <c r="P55" s="17" t="str">
        <f ca="1">VLOOKUP($L55,OFFSET([3]enemies!$A$1,0,0,COUNTA([3]enemies!$A:$A),MATCH(P$1,[3]enemies!$1:$1,0)-MATCH($L$1,[3]enemies!$1:$1,0)+1),MATCH(P$1,[3]enemies!$1:$1,0)-MATCH($L$1,[3]enemies!$1:$1,0)+1,FALSE)</f>
        <v>human</v>
      </c>
      <c r="Q55" s="17">
        <f ca="1">VLOOKUP($L55,OFFSET([3]enemies!$A$1,0,0,COUNTA([3]enemies!$A:$A),MATCH(Q$1,[3]enemies!$1:$1,0)-MATCH($L$1,[3]enemies!$1:$1,0)+1),MATCH(Q$1,[3]enemies!$1:$1,0)-MATCH($L$1,[3]enemies!$1:$1,0)+1,FALSE)</f>
        <v>15</v>
      </c>
      <c r="R55" s="5">
        <v>40</v>
      </c>
      <c r="S55" s="25">
        <v>2.5</v>
      </c>
      <c r="T55" s="98">
        <f ca="1">ROUND(VLOOKUP(R55,[3]enemy_base_stats!$A:$F,2,FALSE) *INDIRECT("[EnemyMasterData.xlsm]enemies!Y"&amp;(L55+1))*  INDIRECT("[EnemyMasterData.xlsm]enemies!J"&amp;(L55+1))* INDIRECT("[EnemyMasterData.xlsm]enemies!O"&amp;(L55+1))* INDIRECT("[EnemyMasterData.xlsm]enemies!E"&amp;(L55+1))* INDIRECT("[EnemyMasterData.xlsm]enemies!S"&amp;(L55+1))* INDIRECT("[EnemyMasterData.xlsm]enemies!AD"&amp;(L55+1))*[4]ステータス!$B$2,0)*S55</f>
        <v>19505</v>
      </c>
      <c r="U55" s="25">
        <v>1.6</v>
      </c>
      <c r="V55" s="98">
        <f ca="1">ROUND(VLOOKUP(R55,[3]enemy_base_stats!$A:$F,3,FALSE) *INDIRECT("[EnemyMasterData.xlsm]enemies!Z"&amp;(L55+1))*  INDIRECT("[EnemyMasterData.xlsm]enemies!K"&amp;(L55+1))* INDIRECT("[EnemyMasterData.xlsm]enemies!P"&amp;(L55+1))* INDIRECT("[EnemyMasterData.xlsm]enemies!F"&amp;(L55+1))* INDIRECT("[EnemyMasterData.xlsm]enemies!T"&amp;(L55+1))* INDIRECT("[EnemyMasterData.xlsm]enemies!AE"&amp;(L55+1))*[4]ステータス!$C$2,0)*U55</f>
        <v>4022.4</v>
      </c>
      <c r="W55" s="5">
        <v>0</v>
      </c>
      <c r="X55" s="4" t="e">
        <f ca="1">VLOOKUP($Y55,OFFSET(enemy_skill_sets!$B$1,0,0,COUNTA(enemy_skill_sets!$B:$B),MATCH(M$1,enemy_skill_sets!$1:$1,0)-MATCH($Y$1,enemy_skill_sets!$1:$1,0)+2),MATCH(M$1,enemy_skill_sets!$1:$1,0)-MATCH($Y$1,enemy_skill_sets!$1:$1,0)+2,FALSE)</f>
        <v>#N/A</v>
      </c>
      <c r="Y55" s="62">
        <v>0</v>
      </c>
      <c r="Z55" s="6">
        <v>0</v>
      </c>
      <c r="AA55" s="6">
        <v>100</v>
      </c>
      <c r="AB55" s="6">
        <v>0</v>
      </c>
      <c r="AC55" s="100">
        <v>3</v>
      </c>
      <c r="AD55" s="24">
        <f t="shared" si="8"/>
        <v>533</v>
      </c>
      <c r="AE55" s="4" t="str">
        <f ca="1">VLOOKUP($AD55,OFFSET([4]characters!$A$1,0,0,COUNTA([4]characters!$A:$A),MATCH(AE$1,[4]characters!$1:$1,0)-MATCH("character_id",[4]characters!$1:$1,0)+1),MATCH(AE$1,[4]characters!$1:$1,0)-MATCH("character_id",[4]characters!$1:$1,0)+1,FALSE)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55" s="4">
        <f ca="1">VLOOKUP($AD55,OFFSET([4]characters!$A$1,0,0,COUNTA([4]characters!$A:$A),MATCH(AF$1,[4]characters!$1:$1,0)-MATCH("character_id",[4]characters!$1:$1,0)+1),MATCH(AF$1,[4]characters!$1:$1,0)-MATCH("character_id",[4]characters!$1:$1,0)+1,FALSE)</f>
        <v>1</v>
      </c>
      <c r="AG55" s="4" t="str">
        <f ca="1">VLOOKUP($AD55,OFFSET([4]characters!$A$1,0,0,COUNTA([4]characters!$A:$A),MATCH(AG$1,[4]characters!$1:$1,0)-MATCH("character_id",[4]characters!$1:$1,0)+1),MATCH(AG$1,[4]characters!$1:$1,0)-MATCH("character_id",[4]characters!$1:$1,0)+1,FALSE)</f>
        <v>Drop1W</v>
      </c>
      <c r="AH55" s="7">
        <v>1</v>
      </c>
      <c r="AI55" s="24">
        <f t="shared" ca="1" si="9"/>
        <v>1</v>
      </c>
      <c r="AJ55" s="8">
        <v>0</v>
      </c>
      <c r="AK55" s="7">
        <v>0</v>
      </c>
      <c r="AL55" s="7">
        <v>0</v>
      </c>
      <c r="AM55" s="7">
        <v>0</v>
      </c>
      <c r="AN55" s="7">
        <v>0</v>
      </c>
      <c r="AO55" s="7">
        <v>1</v>
      </c>
      <c r="AP55" s="70">
        <v>1</v>
      </c>
    </row>
    <row r="56" spans="1:42" ht="21" customHeight="1" x14ac:dyDescent="0.15">
      <c r="A56" s="16" t="str">
        <f t="shared" si="5"/>
        <v>39009_3-3/534&lt;lv40&gt;s1</v>
      </c>
      <c r="B56" s="22">
        <v>39009</v>
      </c>
      <c r="C56" s="21">
        <v>3</v>
      </c>
      <c r="D56" s="2" t="str">
        <f t="shared" si="6"/>
        <v>39009_3</v>
      </c>
      <c r="E56" s="4" t="str">
        <f ca="1">VLOOKUP($B56,OFFSET([2]quests!$A$1,0,0,COUNTA([2]quests!$A:$A),MATCH(E$1,[2]quests!$1:$1,0)-MATCH($B$1,[2]quests!$1:$1,0)+1),MATCH(E$1,[2]quests!$1:$1,0)-MATCH($B$1,[2]quests!$1:$1,0)+1,FALSE)</f>
        <v>星空の歌姫</v>
      </c>
      <c r="F56" s="4" t="str">
        <f ca="1">VLOOKUP($D56,OFFSET([2]stages!$A$1,0,0,COUNTA([2]stages!$A:$A),MATCH(F$1,[2]stages!$2:$2,0)-MATCH($D$1,[2]stages!$2:$2,0)+1),MATCH(F$1,[2]stages!$2:$2,0)-MATCH($D$1,[2]stages!$2:$2,0)+1,FALSE)</f>
        <v>【上級】星空の歌姫</v>
      </c>
      <c r="G56" s="21">
        <v>3</v>
      </c>
      <c r="H56" s="15" t="str">
        <f t="shared" si="7"/>
        <v>39009_3-3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8" t="s">
        <v>53</v>
      </c>
      <c r="L56" s="20">
        <v>534</v>
      </c>
      <c r="M56" s="17" t="str">
        <f ca="1">VLOOKUP($L56,OFFSET([3]enemies!$A$1,0,0,COUNTA([3]enemies!$A:$A),MATCH(M$1,[3]enemies!$1:$1,0)-MATCH($L$1,[3]enemies!$1:$1,0)+1),MATCH(M$1,[3]enemies!$1:$1,0)-MATCH($L$1,[3]enemies!$1:$1,0)+1,FALSE)</f>
        <v>冬服パトライン</v>
      </c>
      <c r="N56" s="17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7" t="str">
        <f ca="1">VLOOKUP($L56,OFFSET([4]characters!$A$1,0,0,COUNTA([4]characters!$A:$A),MATCH(O$1,[4]characters!$1:$1,0)-MATCH($L$1,[4]characters!$1:$1,0)+1),MATCH(O$1,[4]characters!$1:$1,0)-MATCH($L$1,[4]characters!$1:$1,0)+1,FALSE)</f>
        <v>Drop1W</v>
      </c>
      <c r="P56" s="17" t="str">
        <f ca="1">VLOOKUP($L56,OFFSET([3]enemies!$A$1,0,0,COUNTA([3]enemies!$A:$A),MATCH(P$1,[3]enemies!$1:$1,0)-MATCH($L$1,[3]enemies!$1:$1,0)+1),MATCH(P$1,[3]enemies!$1:$1,0)-MATCH($L$1,[3]enemies!$1:$1,0)+1,FALSE)</f>
        <v>machine</v>
      </c>
      <c r="Q56" s="17">
        <f ca="1">VLOOKUP($L56,OFFSET([3]enemies!$A$1,0,0,COUNTA([3]enemies!$A:$A),MATCH(Q$1,[3]enemies!$1:$1,0)-MATCH($L$1,[3]enemies!$1:$1,0)+1),MATCH(Q$1,[3]enemies!$1:$1,0)-MATCH($L$1,[3]enemies!$1:$1,0)+1,FALSE)</f>
        <v>15</v>
      </c>
      <c r="R56" s="5">
        <v>40</v>
      </c>
      <c r="S56" s="25">
        <v>3.7</v>
      </c>
      <c r="T56" s="98">
        <f ca="1">ROUND(VLOOKUP(R56,[3]enemy_base_stats!$A:$F,2,FALSE) *INDIRECT("[EnemyMasterData.xlsm]enemies!Y"&amp;(L56+1))*  INDIRECT("[EnemyMasterData.xlsm]enemies!J"&amp;(L56+1))* INDIRECT("[EnemyMasterData.xlsm]enemies!O"&amp;(L56+1))* INDIRECT("[EnemyMasterData.xlsm]enemies!E"&amp;(L56+1))* INDIRECT("[EnemyMasterData.xlsm]enemies!S"&amp;(L56+1))* INDIRECT("[EnemyMasterData.xlsm]enemies!AD"&amp;(L56+1))*[4]ステータス!$B$2,0)*S56</f>
        <v>25060.100000000002</v>
      </c>
      <c r="U56" s="25">
        <v>1.4</v>
      </c>
      <c r="V56" s="98">
        <f ca="1">ROUND(VLOOKUP(R56,[3]enemy_base_stats!$A:$F,3,FALSE) *INDIRECT("[EnemyMasterData.xlsm]enemies!Z"&amp;(L56+1))*  INDIRECT("[EnemyMasterData.xlsm]enemies!K"&amp;(L56+1))* INDIRECT("[EnemyMasterData.xlsm]enemies!P"&amp;(L56+1))* INDIRECT("[EnemyMasterData.xlsm]enemies!F"&amp;(L56+1))* INDIRECT("[EnemyMasterData.xlsm]enemies!T"&amp;(L56+1))* INDIRECT("[EnemyMasterData.xlsm]enemies!AE"&amp;(L56+1))*[4]ステータス!$C$2,0)*U56</f>
        <v>2664.2</v>
      </c>
      <c r="W56" s="5">
        <v>0</v>
      </c>
      <c r="X56" s="4" t="e">
        <f ca="1">VLOOKUP($Y56,OFFSET(enemy_skill_sets!$B$1,0,0,COUNTA(enemy_skill_sets!$B:$B),MATCH(M$1,enemy_skill_sets!$1:$1,0)-MATCH($Y$1,enemy_skill_sets!$1:$1,0)+2),MATCH(M$1,enemy_skill_sets!$1:$1,0)-MATCH($Y$1,enemy_skill_sets!$1:$1,0)+2,FALSE)</f>
        <v>#N/A</v>
      </c>
      <c r="Y56" s="62">
        <v>0</v>
      </c>
      <c r="Z56" s="6">
        <v>0</v>
      </c>
      <c r="AA56" s="6">
        <v>100</v>
      </c>
      <c r="AB56" s="6">
        <v>0</v>
      </c>
      <c r="AC56" s="100">
        <v>1</v>
      </c>
      <c r="AD56" s="24">
        <f t="shared" si="8"/>
        <v>534</v>
      </c>
      <c r="AE56" s="4" t="str">
        <f ca="1">VLOOKUP($AD56,OFFSET([4]characters!$A$1,0,0,COUNTA([4]characters!$A:$A),MATCH(AE$1,[4]characters!$1:$1,0)-MATCH("character_id",[4]characters!$1:$1,0)+1),MATCH(AE$1,[4]characters!$1:$1,0)-MATCH("character_id",[4]characters!$1:$1,0)+1,FALSE)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56" s="4">
        <f ca="1">VLOOKUP($AD56,OFFSET([4]characters!$A$1,0,0,COUNTA([4]characters!$A:$A),MATCH(AF$1,[4]characters!$1:$1,0)-MATCH("character_id",[4]characters!$1:$1,0)+1),MATCH(AF$1,[4]characters!$1:$1,0)-MATCH("character_id",[4]characters!$1:$1,0)+1,FALSE)</f>
        <v>1</v>
      </c>
      <c r="AG56" s="4" t="str">
        <f ca="1">VLOOKUP($AD56,OFFSET([4]characters!$A$1,0,0,COUNTA([4]characters!$A:$A),MATCH(AG$1,[4]characters!$1:$1,0)-MATCH("character_id",[4]characters!$1:$1,0)+1),MATCH(AG$1,[4]characters!$1:$1,0)-MATCH("character_id",[4]characters!$1:$1,0)+1,FALSE)</f>
        <v>Drop1W</v>
      </c>
      <c r="AH56" s="7">
        <v>1</v>
      </c>
      <c r="AI56" s="24">
        <f t="shared" ca="1" si="9"/>
        <v>1</v>
      </c>
      <c r="AJ56" s="8">
        <v>0</v>
      </c>
      <c r="AK56" s="7">
        <v>0</v>
      </c>
      <c r="AL56" s="7">
        <v>0</v>
      </c>
      <c r="AM56" s="7">
        <v>0</v>
      </c>
      <c r="AN56" s="7">
        <v>0</v>
      </c>
      <c r="AO56" s="7">
        <v>1</v>
      </c>
      <c r="AP56" s="70">
        <v>1</v>
      </c>
    </row>
    <row r="57" spans="1:42" ht="21" customHeight="1" x14ac:dyDescent="0.15">
      <c r="A57" s="16" t="str">
        <f t="shared" si="5"/>
        <v>39009_3-3/535&lt;lv40&gt;s2</v>
      </c>
      <c r="B57" s="22">
        <v>39009</v>
      </c>
      <c r="C57" s="21">
        <v>3</v>
      </c>
      <c r="D57" s="2" t="str">
        <f t="shared" si="6"/>
        <v>39009_3</v>
      </c>
      <c r="E57" s="4" t="str">
        <f ca="1">VLOOKUP($B57,OFFSET([2]quests!$A$1,0,0,COUNTA([2]quests!$A:$A),MATCH(E$1,[2]quests!$1:$1,0)-MATCH($B$1,[2]quests!$1:$1,0)+1),MATCH(E$1,[2]quests!$1:$1,0)-MATCH($B$1,[2]quests!$1:$1,0)+1,FALSE)</f>
        <v>星空の歌姫</v>
      </c>
      <c r="F57" s="4" t="str">
        <f ca="1">VLOOKUP($D57,OFFSET([2]stages!$A$1,0,0,COUNTA([2]stages!$A:$A),MATCH(F$1,[2]stages!$2:$2,0)-MATCH($D$1,[2]stages!$2:$2,0)+1),MATCH(F$1,[2]stages!$2:$2,0)-MATCH($D$1,[2]stages!$2:$2,0)+1,FALSE)</f>
        <v>【上級】星空の歌姫</v>
      </c>
      <c r="G57" s="21">
        <v>3</v>
      </c>
      <c r="H57" s="15" t="str">
        <f t="shared" si="7"/>
        <v>39009_3-3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8" t="s">
        <v>53</v>
      </c>
      <c r="L57" s="20">
        <v>535</v>
      </c>
      <c r="M57" s="17" t="str">
        <f ca="1">VLOOKUP($L57,OFFSET([3]enemies!$A$1,0,0,COUNTA([3]enemies!$A:$A),MATCH(M$1,[3]enemies!$1:$1,0)-MATCH($L$1,[3]enemies!$1:$1,0)+1),MATCH(M$1,[3]enemies!$1:$1,0)-MATCH($L$1,[3]enemies!$1:$1,0)+1,FALSE)</f>
        <v>冬服リム</v>
      </c>
      <c r="N57" s="17" t="str">
        <f ca="1">VLOOKUP($L57,OFFSET([3]enemies!$A$1,0,0,COUNTA([3]enemies!$A:$A),MATCH(N$1,[3]enemies!$1:$1,0)-MATCH($L$1,[3]enemies!$1:$1,0)+1),MATCH(N$1,[3]enemies!$1:$1,0)-MATCH($L$1,[3]enemies!$1:$1,0)+1,FALSE)</f>
        <v>blue</v>
      </c>
      <c r="O57" s="17" t="str">
        <f ca="1">VLOOKUP($L57,OFFSET([4]characters!$A$1,0,0,COUNTA([4]characters!$A:$A),MATCH(O$1,[4]characters!$1:$1,0)-MATCH($L$1,[4]characters!$1:$1,0)+1),MATCH(O$1,[4]characters!$1:$1,0)-MATCH($L$1,[4]characters!$1:$1,0)+1,FALSE)</f>
        <v>Drop1W</v>
      </c>
      <c r="P57" s="17" t="str">
        <f ca="1">VLOOKUP($L57,OFFSET([3]enemies!$A$1,0,0,COUNTA([3]enemies!$A:$A),MATCH(P$1,[3]enemies!$1:$1,0)-MATCH($L$1,[3]enemies!$1:$1,0)+1),MATCH(P$1,[3]enemies!$1:$1,0)-MATCH($L$1,[3]enemies!$1:$1,0)+1,FALSE)</f>
        <v>human</v>
      </c>
      <c r="Q57" s="17">
        <f ca="1">VLOOKUP($L57,OFFSET([3]enemies!$A$1,0,0,COUNTA([3]enemies!$A:$A),MATCH(Q$1,[3]enemies!$1:$1,0)-MATCH($L$1,[3]enemies!$1:$1,0)+1),MATCH(Q$1,[3]enemies!$1:$1,0)-MATCH($L$1,[3]enemies!$1:$1,0)+1,FALSE)</f>
        <v>15</v>
      </c>
      <c r="R57" s="5">
        <v>40</v>
      </c>
      <c r="S57" s="25">
        <v>1.8</v>
      </c>
      <c r="T57" s="98">
        <f ca="1">ROUND(VLOOKUP(R57,[3]enemy_base_stats!$A:$F,2,FALSE) *INDIRECT("[EnemyMasterData.xlsm]enemies!Y"&amp;(L57+1))*  INDIRECT("[EnemyMasterData.xlsm]enemies!J"&amp;(L57+1))* INDIRECT("[EnemyMasterData.xlsm]enemies!O"&amp;(L57+1))* INDIRECT("[EnemyMasterData.xlsm]enemies!E"&amp;(L57+1))* INDIRECT("[EnemyMasterData.xlsm]enemies!S"&amp;(L57+1))* INDIRECT("[EnemyMasterData.xlsm]enemies!AD"&amp;(L57+1))*[4]ステータス!$B$2,0)*S57</f>
        <v>14043.6</v>
      </c>
      <c r="U57" s="25">
        <v>0.9</v>
      </c>
      <c r="V57" s="98">
        <f ca="1">ROUND(VLOOKUP(R57,[3]enemy_base_stats!$A:$F,3,FALSE) *INDIRECT("[EnemyMasterData.xlsm]enemies!Z"&amp;(L57+1))*  INDIRECT("[EnemyMasterData.xlsm]enemies!K"&amp;(L57+1))* INDIRECT("[EnemyMasterData.xlsm]enemies!P"&amp;(L57+1))* INDIRECT("[EnemyMasterData.xlsm]enemies!F"&amp;(L57+1))* INDIRECT("[EnemyMasterData.xlsm]enemies!T"&amp;(L57+1))* INDIRECT("[EnemyMasterData.xlsm]enemies!AE"&amp;(L57+1))*[4]ステータス!$C$2,0)*U57</f>
        <v>2174.4</v>
      </c>
      <c r="W57" s="5">
        <v>0</v>
      </c>
      <c r="X57" s="4" t="e">
        <f ca="1">VLOOKUP($Y57,OFFSET(enemy_skill_sets!$B$1,0,0,COUNTA(enemy_skill_sets!$B:$B),MATCH(M$1,enemy_skill_sets!$1:$1,0)-MATCH($Y$1,enemy_skill_sets!$1:$1,0)+2),MATCH(M$1,enemy_skill_sets!$1:$1,0)-MATCH($Y$1,enemy_skill_sets!$1:$1,0)+2,FALSE)</f>
        <v>#N/A</v>
      </c>
      <c r="Y57" s="62">
        <v>0</v>
      </c>
      <c r="Z57" s="6">
        <v>0</v>
      </c>
      <c r="AA57" s="6">
        <v>100</v>
      </c>
      <c r="AB57" s="6">
        <v>0</v>
      </c>
      <c r="AC57" s="100">
        <v>2</v>
      </c>
      <c r="AD57" s="24">
        <f t="shared" si="8"/>
        <v>535</v>
      </c>
      <c r="AE57" s="4" t="str">
        <f ca="1">VLOOKUP($AD57,OFFSET([4]characters!$A$1,0,0,COUNTA([4]characters!$A:$A),MATCH(AE$1,[4]characters!$1:$1,0)-MATCH("character_id",[4]characters!$1:$1,0)+1),MATCH(AE$1,[4]characters!$1:$1,0)-MATCH("character_id",[4]characters!$1:$1,0)+1,FALSE)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57" s="4">
        <f ca="1">VLOOKUP($AD57,OFFSET([4]characters!$A$1,0,0,COUNTA([4]characters!$A:$A),MATCH(AF$1,[4]characters!$1:$1,0)-MATCH("character_id",[4]characters!$1:$1,0)+1),MATCH(AF$1,[4]characters!$1:$1,0)-MATCH("character_id",[4]characters!$1:$1,0)+1,FALSE)</f>
        <v>1</v>
      </c>
      <c r="AG57" s="4" t="str">
        <f ca="1">VLOOKUP($AD57,OFFSET([4]characters!$A$1,0,0,COUNTA([4]characters!$A:$A),MATCH(AG$1,[4]characters!$1:$1,0)-MATCH("character_id",[4]characters!$1:$1,0)+1),MATCH(AG$1,[4]characters!$1:$1,0)-MATCH("character_id",[4]characters!$1:$1,0)+1,FALSE)</f>
        <v>Drop1W</v>
      </c>
      <c r="AH57" s="7">
        <v>1</v>
      </c>
      <c r="AI57" s="24">
        <f t="shared" ca="1" si="9"/>
        <v>1</v>
      </c>
      <c r="AJ57" s="8">
        <v>0</v>
      </c>
      <c r="AK57" s="7">
        <v>0</v>
      </c>
      <c r="AL57" s="7">
        <v>0</v>
      </c>
      <c r="AM57" s="7">
        <v>0</v>
      </c>
      <c r="AN57" s="7">
        <v>0</v>
      </c>
      <c r="AO57" s="7">
        <v>1</v>
      </c>
      <c r="AP57" s="70">
        <v>1</v>
      </c>
    </row>
    <row r="58" spans="1:42" ht="21" customHeight="1" x14ac:dyDescent="0.15">
      <c r="A58" s="16" t="str">
        <f t="shared" si="5"/>
        <v>39009_3-3/536&lt;lv40&gt;s2</v>
      </c>
      <c r="B58" s="22">
        <v>39009</v>
      </c>
      <c r="C58" s="21">
        <v>3</v>
      </c>
      <c r="D58" s="2" t="str">
        <f t="shared" si="6"/>
        <v>39009_3</v>
      </c>
      <c r="E58" s="4" t="str">
        <f ca="1">VLOOKUP($B58,OFFSET([2]quests!$A$1,0,0,COUNTA([2]quests!$A:$A),MATCH(E$1,[2]quests!$1:$1,0)-MATCH($B$1,[2]quests!$1:$1,0)+1),MATCH(E$1,[2]quests!$1:$1,0)-MATCH($B$1,[2]quests!$1:$1,0)+1,FALSE)</f>
        <v>星空の歌姫</v>
      </c>
      <c r="F58" s="4" t="str">
        <f ca="1">VLOOKUP($D58,OFFSET([2]stages!$A$1,0,0,COUNTA([2]stages!$A:$A),MATCH(F$1,[2]stages!$2:$2,0)-MATCH($D$1,[2]stages!$2:$2,0)+1),MATCH(F$1,[2]stages!$2:$2,0)-MATCH($D$1,[2]stages!$2:$2,0)+1,FALSE)</f>
        <v>【上級】星空の歌姫</v>
      </c>
      <c r="G58" s="21">
        <v>3</v>
      </c>
      <c r="H58" s="15" t="str">
        <f t="shared" si="7"/>
        <v>39009_3-3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8" t="s">
        <v>53</v>
      </c>
      <c r="L58" s="20">
        <v>536</v>
      </c>
      <c r="M58" s="17" t="str">
        <f ca="1">VLOOKUP($L58,OFFSET([3]enemies!$A$1,0,0,COUNTA([3]enemies!$A:$A),MATCH(M$1,[3]enemies!$1:$1,0)-MATCH($L$1,[3]enemies!$1:$1,0)+1),MATCH(M$1,[3]enemies!$1:$1,0)-MATCH($L$1,[3]enemies!$1:$1,0)+1,FALSE)</f>
        <v>冬服ミミ</v>
      </c>
      <c r="N58" s="17" t="str">
        <f ca="1">VLOOKUP($L58,OFFSET([3]enemies!$A$1,0,0,COUNTA([3]enemies!$A:$A),MATCH(N$1,[3]enemies!$1:$1,0)-MATCH($L$1,[3]enemies!$1:$1,0)+1),MATCH(N$1,[3]enemies!$1:$1,0)-MATCH($L$1,[3]enemies!$1:$1,0)+1,FALSE)</f>
        <v>yellow</v>
      </c>
      <c r="O58" s="17" t="str">
        <f ca="1">VLOOKUP($L58,OFFSET([4]characters!$A$1,0,0,COUNTA([4]characters!$A:$A),MATCH(O$1,[4]characters!$1:$1,0)-MATCH($L$1,[4]characters!$1:$1,0)+1),MATCH(O$1,[4]characters!$1:$1,0)-MATCH($L$1,[4]characters!$1:$1,0)+1,FALSE)</f>
        <v>Drop1W</v>
      </c>
      <c r="P58" s="17" t="str">
        <f ca="1">VLOOKUP($L58,OFFSET([3]enemies!$A$1,0,0,COUNTA([3]enemies!$A:$A),MATCH(P$1,[3]enemies!$1:$1,0)-MATCH($L$1,[3]enemies!$1:$1,0)+1),MATCH(P$1,[3]enemies!$1:$1,0)-MATCH($L$1,[3]enemies!$1:$1,0)+1,FALSE)</f>
        <v>animal</v>
      </c>
      <c r="Q58" s="17">
        <f ca="1">VLOOKUP($L58,OFFSET([3]enemies!$A$1,0,0,COUNTA([3]enemies!$A:$A),MATCH(Q$1,[3]enemies!$1:$1,0)-MATCH($L$1,[3]enemies!$1:$1,0)+1),MATCH(Q$1,[3]enemies!$1:$1,0)-MATCH($L$1,[3]enemies!$1:$1,0)+1,FALSE)</f>
        <v>15</v>
      </c>
      <c r="R58" s="5">
        <v>40</v>
      </c>
      <c r="S58" s="25">
        <v>2.4</v>
      </c>
      <c r="T58" s="98">
        <f ca="1">ROUND(VLOOKUP(R58,[3]enemy_base_stats!$A:$F,2,FALSE) *INDIRECT("[EnemyMasterData.xlsm]enemies!Y"&amp;(L58+1))*  INDIRECT("[EnemyMasterData.xlsm]enemies!J"&amp;(L58+1))* INDIRECT("[EnemyMasterData.xlsm]enemies!O"&amp;(L58+1))* INDIRECT("[EnemyMasterData.xlsm]enemies!E"&amp;(L58+1))* INDIRECT("[EnemyMasterData.xlsm]enemies!S"&amp;(L58+1))* INDIRECT("[EnemyMasterData.xlsm]enemies!AD"&amp;(L58+1))*[4]ステータス!$B$2,0)*S58</f>
        <v>19521.599999999999</v>
      </c>
      <c r="U58" s="25">
        <v>0.8</v>
      </c>
      <c r="V58" s="98">
        <f ca="1">ROUND(VLOOKUP(R58,[3]enemy_base_stats!$A:$F,3,FALSE) *INDIRECT("[EnemyMasterData.xlsm]enemies!Z"&amp;(L58+1))*  INDIRECT("[EnemyMasterData.xlsm]enemies!K"&amp;(L58+1))* INDIRECT("[EnemyMasterData.xlsm]enemies!P"&amp;(L58+1))* INDIRECT("[EnemyMasterData.xlsm]enemies!F"&amp;(L58+1))* INDIRECT("[EnemyMasterData.xlsm]enemies!T"&amp;(L58+1))* INDIRECT("[EnemyMasterData.xlsm]enemies!AE"&amp;(L58+1))*[4]ステータス!$C$2,0)*U58</f>
        <v>2943.2000000000003</v>
      </c>
      <c r="W58" s="5">
        <v>0</v>
      </c>
      <c r="X58" s="4" t="e">
        <f ca="1">VLOOKUP($Y58,OFFSET(enemy_skill_sets!$B$1,0,0,COUNTA(enemy_skill_sets!$B:$B),MATCH(M$1,enemy_skill_sets!$1:$1,0)-MATCH($Y$1,enemy_skill_sets!$1:$1,0)+2),MATCH(M$1,enemy_skill_sets!$1:$1,0)-MATCH($Y$1,enemy_skill_sets!$1:$1,0)+2,FALSE)</f>
        <v>#N/A</v>
      </c>
      <c r="Y58" s="62">
        <v>0</v>
      </c>
      <c r="Z58" s="6">
        <v>0</v>
      </c>
      <c r="AA58" s="6">
        <v>100</v>
      </c>
      <c r="AB58" s="6">
        <v>0</v>
      </c>
      <c r="AC58" s="100">
        <v>2</v>
      </c>
      <c r="AD58" s="24">
        <f t="shared" si="8"/>
        <v>536</v>
      </c>
      <c r="AE58" s="4" t="str">
        <f ca="1">VLOOKUP($AD58,OFFSET([4]characters!$A$1,0,0,COUNTA([4]characters!$A:$A),MATCH(AE$1,[4]characters!$1:$1,0)-MATCH("character_id",[4]characters!$1:$1,0)+1),MATCH(AE$1,[4]characters!$1:$1,0)-MATCH("character_id",[4]characters!$1:$1,0)+1,FALSE)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58" s="4">
        <f ca="1">VLOOKUP($AD58,OFFSET([4]characters!$A$1,0,0,COUNTA([4]characters!$A:$A),MATCH(AF$1,[4]characters!$1:$1,0)-MATCH("character_id",[4]characters!$1:$1,0)+1),MATCH(AF$1,[4]characters!$1:$1,0)-MATCH("character_id",[4]characters!$1:$1,0)+1,FALSE)</f>
        <v>1</v>
      </c>
      <c r="AG58" s="4" t="str">
        <f ca="1">VLOOKUP($AD58,OFFSET([4]characters!$A$1,0,0,COUNTA([4]characters!$A:$A),MATCH(AG$1,[4]characters!$1:$1,0)-MATCH("character_id",[4]characters!$1:$1,0)+1),MATCH(AG$1,[4]characters!$1:$1,0)-MATCH("character_id",[4]characters!$1:$1,0)+1,FALSE)</f>
        <v>Drop1W</v>
      </c>
      <c r="AH58" s="7">
        <v>1</v>
      </c>
      <c r="AI58" s="24">
        <f t="shared" ca="1" si="9"/>
        <v>1</v>
      </c>
      <c r="AJ58" s="8">
        <v>0</v>
      </c>
      <c r="AK58" s="7">
        <v>0</v>
      </c>
      <c r="AL58" s="7">
        <v>0</v>
      </c>
      <c r="AM58" s="7">
        <v>0</v>
      </c>
      <c r="AN58" s="7">
        <v>0</v>
      </c>
      <c r="AO58" s="7">
        <v>1</v>
      </c>
      <c r="AP58" s="70">
        <v>1</v>
      </c>
    </row>
    <row r="59" spans="1:42" ht="21" customHeight="1" x14ac:dyDescent="0.15">
      <c r="A59" s="16" t="str">
        <f t="shared" si="5"/>
        <v>39009_3-3/537&lt;lv40&gt;s2</v>
      </c>
      <c r="B59" s="22">
        <v>39009</v>
      </c>
      <c r="C59" s="21">
        <v>3</v>
      </c>
      <c r="D59" s="2" t="str">
        <f t="shared" si="6"/>
        <v>39009_3</v>
      </c>
      <c r="E59" s="4" t="str">
        <f ca="1">VLOOKUP($B59,OFFSET([2]quests!$A$1,0,0,COUNTA([2]quests!$A:$A),MATCH(E$1,[2]quests!$1:$1,0)-MATCH($B$1,[2]quests!$1:$1,0)+1),MATCH(E$1,[2]quests!$1:$1,0)-MATCH($B$1,[2]quests!$1:$1,0)+1,FALSE)</f>
        <v>星空の歌姫</v>
      </c>
      <c r="F59" s="4" t="str">
        <f ca="1">VLOOKUP($D59,OFFSET([2]stages!$A$1,0,0,COUNTA([2]stages!$A:$A),MATCH(F$1,[2]stages!$2:$2,0)-MATCH($D$1,[2]stages!$2:$2,0)+1),MATCH(F$1,[2]stages!$2:$2,0)-MATCH($D$1,[2]stages!$2:$2,0)+1,FALSE)</f>
        <v>【上級】星空の歌姫</v>
      </c>
      <c r="G59" s="21">
        <v>3</v>
      </c>
      <c r="H59" s="15" t="str">
        <f t="shared" si="7"/>
        <v>39009_3-3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8" t="s">
        <v>53</v>
      </c>
      <c r="L59" s="20">
        <v>537</v>
      </c>
      <c r="M59" s="17" t="str">
        <f ca="1">VLOOKUP($L59,OFFSET([3]enemies!$A$1,0,0,COUNTA([3]enemies!$A:$A),MATCH(M$1,[3]enemies!$1:$1,0)-MATCH($L$1,[3]enemies!$1:$1,0)+1),MATCH(M$1,[3]enemies!$1:$1,0)-MATCH($L$1,[3]enemies!$1:$1,0)+1,FALSE)</f>
        <v>冬服ハッピー100</v>
      </c>
      <c r="N59" s="17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17" t="str">
        <f ca="1">VLOOKUP($L59,OFFSET([4]characters!$A$1,0,0,COUNTA([4]characters!$A:$A),MATCH(O$1,[4]characters!$1:$1,0)-MATCH($L$1,[4]characters!$1:$1,0)+1),MATCH(O$1,[4]characters!$1:$1,0)-MATCH($L$1,[4]characters!$1:$1,0)+1,FALSE)</f>
        <v>DropWizW</v>
      </c>
      <c r="P59" s="17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7">
        <f ca="1">VLOOKUP($L59,OFFSET([3]enemies!$A$1,0,0,COUNTA([3]enemies!$A:$A),MATCH(Q$1,[3]enemies!$1:$1,0)-MATCH($L$1,[3]enemies!$1:$1,0)+1),MATCH(Q$1,[3]enemies!$1:$1,0)-MATCH($L$1,[3]enemies!$1:$1,0)+1,FALSE)</f>
        <v>25</v>
      </c>
      <c r="R59" s="5">
        <v>40</v>
      </c>
      <c r="S59" s="25">
        <v>9.3000000000000007</v>
      </c>
      <c r="T59" s="98">
        <f ca="1">ROUND(VLOOKUP(R59,[3]enemy_base_stats!$A:$F,2,FALSE) *INDIRECT("[EnemyMasterData.xlsm]enemies!Y"&amp;(L59+1))*  INDIRECT("[EnemyMasterData.xlsm]enemies!J"&amp;(L59+1))* INDIRECT("[EnemyMasterData.xlsm]enemies!O"&amp;(L59+1))* INDIRECT("[EnemyMasterData.xlsm]enemies!E"&amp;(L59+1))* INDIRECT("[EnemyMasterData.xlsm]enemies!S"&amp;(L59+1))* INDIRECT("[EnemyMasterData.xlsm]enemies!AD"&amp;(L59+1))*[4]ステータス!$B$2,0)*S59</f>
        <v>75581.100000000006</v>
      </c>
      <c r="U59" s="25">
        <v>1.7</v>
      </c>
      <c r="V59" s="98">
        <f ca="1">ROUND(VLOOKUP(R59,[3]enemy_base_stats!$A:$F,3,FALSE) *INDIRECT("[EnemyMasterData.xlsm]enemies!Z"&amp;(L59+1))*  INDIRECT("[EnemyMasterData.xlsm]enemies!K"&amp;(L59+1))* INDIRECT("[EnemyMasterData.xlsm]enemies!P"&amp;(L59+1))* INDIRECT("[EnemyMasterData.xlsm]enemies!F"&amp;(L59+1))* INDIRECT("[EnemyMasterData.xlsm]enemies!T"&amp;(L59+1))* INDIRECT("[EnemyMasterData.xlsm]enemies!AE"&amp;(L59+1))*[4]ステータス!$C$2,0)*U59</f>
        <v>4044.2999999999997</v>
      </c>
      <c r="W59" s="5">
        <v>0</v>
      </c>
      <c r="X59" s="4" t="str">
        <f ca="1">VLOOKUP($Y59,OFFSET(enemy_skill_sets!$B$1,0,0,COUNTA(enemy_skill_sets!$B:$B),MATCH(M$1,enemy_skill_sets!$1:$1,0)-MATCH($Y$1,enemy_skill_sets!$1:$1,0)+2),MATCH(M$1,enemy_skill_sets!$1:$1,0)-MATCH($Y$1,enemy_skill_sets!$1:$1,0)+2,FALSE)</f>
        <v>3ターン回復効果付与</v>
      </c>
      <c r="Y59" s="62">
        <v>39009017</v>
      </c>
      <c r="Z59" s="6">
        <v>0</v>
      </c>
      <c r="AA59" s="6">
        <v>100</v>
      </c>
      <c r="AB59" s="6">
        <v>1</v>
      </c>
      <c r="AC59" s="100">
        <v>2</v>
      </c>
      <c r="AD59" s="24">
        <f t="shared" si="8"/>
        <v>537</v>
      </c>
      <c r="AE59" s="4" t="str">
        <f ca="1">VLOOKUP($AD59,OFFSET([4]characters!$A$1,0,0,COUNTA([4]characters!$A:$A),MATCH(AE$1,[4]characters!$1:$1,0)-MATCH("character_id",[4]characters!$1:$1,0)+1),MATCH(AE$1,[4]characters!$1:$1,0)-MATCH("character_id",[4]characters!$1:$1,0)+1,FALSE)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59" s="4">
        <f ca="1">VLOOKUP($AD59,OFFSET([4]characters!$A$1,0,0,COUNTA([4]characters!$A:$A),MATCH(AF$1,[4]characters!$1:$1,0)-MATCH("character_id",[4]characters!$1:$1,0)+1),MATCH(AF$1,[4]characters!$1:$1,0)-MATCH("character_id",[4]characters!$1:$1,0)+1,FALSE)</f>
        <v>3</v>
      </c>
      <c r="AG59" s="4" t="str">
        <f ca="1">VLOOKUP($AD59,OFFSET([4]characters!$A$1,0,0,COUNTA([4]characters!$A:$A),MATCH(AG$1,[4]characters!$1:$1,0)-MATCH("character_id",[4]characters!$1:$1,0)+1),MATCH(AG$1,[4]characters!$1:$1,0)-MATCH("character_id",[4]characters!$1:$1,0)+1,FALSE)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59" s="7">
        <v>1</v>
      </c>
      <c r="AI59" s="24">
        <f t="shared" ca="1" si="9"/>
        <v>3</v>
      </c>
      <c r="AJ59" s="8">
        <v>20</v>
      </c>
      <c r="AK59" s="7">
        <v>0</v>
      </c>
      <c r="AL59" s="7">
        <v>0</v>
      </c>
      <c r="AM59" s="7">
        <v>0</v>
      </c>
      <c r="AN59" s="7">
        <v>0</v>
      </c>
      <c r="AO59" s="7">
        <v>1</v>
      </c>
      <c r="AP59" s="70">
        <v>1</v>
      </c>
    </row>
    <row r="60" spans="1:42" ht="21" customHeight="1" x14ac:dyDescent="0.15">
      <c r="A60" s="16" t="str">
        <f t="shared" si="5"/>
        <v>39009_3-3/538&lt;lv40&gt;s2</v>
      </c>
      <c r="B60" s="22">
        <v>39009</v>
      </c>
      <c r="C60" s="21">
        <v>3</v>
      </c>
      <c r="D60" s="2" t="str">
        <f t="shared" si="6"/>
        <v>39009_3</v>
      </c>
      <c r="E60" s="4" t="str">
        <f ca="1">VLOOKUP($B60,OFFSET([2]quests!$A$1,0,0,COUNTA([2]quests!$A:$A),MATCH(E$1,[2]quests!$1:$1,0)-MATCH($B$1,[2]quests!$1:$1,0)+1),MATCH(E$1,[2]quests!$1:$1,0)-MATCH($B$1,[2]quests!$1:$1,0)+1,FALSE)</f>
        <v>星空の歌姫</v>
      </c>
      <c r="F60" s="4" t="str">
        <f ca="1">VLOOKUP($D60,OFFSET([2]stages!$A$1,0,0,COUNTA([2]stages!$A:$A),MATCH(F$1,[2]stages!$2:$2,0)-MATCH($D$1,[2]stages!$2:$2,0)+1),MATCH(F$1,[2]stages!$2:$2,0)-MATCH($D$1,[2]stages!$2:$2,0)+1,FALSE)</f>
        <v>【上級】星空の歌姫</v>
      </c>
      <c r="G60" s="21">
        <v>3</v>
      </c>
      <c r="H60" s="15" t="str">
        <f t="shared" si="7"/>
        <v>39009_3-3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8" t="s">
        <v>53</v>
      </c>
      <c r="L60" s="20">
        <v>538</v>
      </c>
      <c r="M60" s="17" t="str">
        <f ca="1">VLOOKUP($L60,OFFSET([3]enemies!$A$1,0,0,COUNTA([3]enemies!$A:$A),MATCH(M$1,[3]enemies!$1:$1,0)-MATCH($L$1,[3]enemies!$1:$1,0)+1),MATCH(M$1,[3]enemies!$1:$1,0)-MATCH($L$1,[3]enemies!$1:$1,0)+1,FALSE)</f>
        <v>冬服ニムダ</v>
      </c>
      <c r="N60" s="17" t="str">
        <f ca="1">VLOOKUP($L60,OFFSET([3]enemies!$A$1,0,0,COUNTA([3]enemies!$A:$A),MATCH(N$1,[3]enemies!$1:$1,0)-MATCH($L$1,[3]enemies!$1:$1,0)+1),MATCH(N$1,[3]enemies!$1:$1,0)-MATCH($L$1,[3]enemies!$1:$1,0)+1,FALSE)</f>
        <v>yellow</v>
      </c>
      <c r="O60" s="17" t="str">
        <f ca="1">VLOOKUP($L60,OFFSET([4]characters!$A$1,0,0,COUNTA([4]characters!$A:$A),MATCH(O$1,[4]characters!$1:$1,0)-MATCH($L$1,[4]characters!$1:$1,0)+1),MATCH(O$1,[4]characters!$1:$1,0)-MATCH($L$1,[4]characters!$1:$1,0)+1,FALSE)</f>
        <v>DropWizW</v>
      </c>
      <c r="P60" s="17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7">
        <f ca="1">VLOOKUP($L60,OFFSET([3]enemies!$A$1,0,0,COUNTA([3]enemies!$A:$A),MATCH(Q$1,[3]enemies!$1:$1,0)-MATCH($L$1,[3]enemies!$1:$1,0)+1),MATCH(Q$1,[3]enemies!$1:$1,0)-MATCH($L$1,[3]enemies!$1:$1,0)+1,FALSE)</f>
        <v>25</v>
      </c>
      <c r="R60" s="5">
        <v>40</v>
      </c>
      <c r="S60" s="25">
        <v>7.4</v>
      </c>
      <c r="T60" s="98">
        <f ca="1">ROUND(VLOOKUP(R60,[3]enemy_base_stats!$A:$F,2,FALSE) *INDIRECT("[EnemyMasterData.xlsm]enemies!Y"&amp;(L60+1))*  INDIRECT("[EnemyMasterData.xlsm]enemies!J"&amp;(L60+1))* INDIRECT("[EnemyMasterData.xlsm]enemies!O"&amp;(L60+1))* INDIRECT("[EnemyMasterData.xlsm]enemies!E"&amp;(L60+1))* INDIRECT("[EnemyMasterData.xlsm]enemies!S"&amp;(L60+1))* INDIRECT("[EnemyMasterData.xlsm]enemies!AD"&amp;(L60+1))*[4]ステータス!$B$2,0)*S60</f>
        <v>57786.600000000006</v>
      </c>
      <c r="U60" s="25">
        <v>1.3</v>
      </c>
      <c r="V60" s="98">
        <f ca="1">ROUND(VLOOKUP(R60,[3]enemy_base_stats!$A:$F,3,FALSE) *INDIRECT("[EnemyMasterData.xlsm]enemies!Z"&amp;(L60+1))*  INDIRECT("[EnemyMasterData.xlsm]enemies!K"&amp;(L60+1))* INDIRECT("[EnemyMasterData.xlsm]enemies!P"&amp;(L60+1))* INDIRECT("[EnemyMasterData.xlsm]enemies!F"&amp;(L60+1))* INDIRECT("[EnemyMasterData.xlsm]enemies!T"&amp;(L60+1))* INDIRECT("[EnemyMasterData.xlsm]enemies!AE"&amp;(L60+1))*[4]ステータス!$C$2,0)*U60</f>
        <v>3187.6</v>
      </c>
      <c r="W60" s="5">
        <v>0</v>
      </c>
      <c r="X60" s="4" t="str">
        <f ca="1">VLOOKUP($Y60,OFFSET(enemy_skill_sets!$B$1,0,0,COUNTA(enemy_skill_sets!$B:$B),MATCH(M$1,enemy_skill_sets!$1:$1,0)-MATCH($Y$1,enemy_skill_sets!$1:$1,0)+2),MATCH(M$1,enemy_skill_sets!$1:$1,0)-MATCH($Y$1,enemy_skill_sets!$1:$1,0)+2,FALSE)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60" s="62">
        <v>39009018</v>
      </c>
      <c r="Z60" s="6">
        <v>0</v>
      </c>
      <c r="AA60" s="6">
        <v>100</v>
      </c>
      <c r="AB60" s="6">
        <v>1</v>
      </c>
      <c r="AC60" s="100">
        <v>2</v>
      </c>
      <c r="AD60" s="24">
        <f t="shared" si="8"/>
        <v>538</v>
      </c>
      <c r="AE60" s="4" t="str">
        <f ca="1">VLOOKUP($AD60,OFFSET([4]characters!$A$1,0,0,COUNTA([4]characters!$A:$A),MATCH(AE$1,[4]characters!$1:$1,0)-MATCH("character_id",[4]characters!$1:$1,0)+1),MATCH(AE$1,[4]characters!$1:$1,0)-MATCH("character_id",[4]characters!$1:$1,0)+1,FALSE)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60" s="4">
        <f ca="1">VLOOKUP($AD60,OFFSET([4]characters!$A$1,0,0,COUNTA([4]characters!$A:$A),MATCH(AF$1,[4]characters!$1:$1,0)-MATCH("character_id",[4]characters!$1:$1,0)+1),MATCH(AF$1,[4]characters!$1:$1,0)-MATCH("character_id",[4]characters!$1:$1,0)+1,FALSE)</f>
        <v>3</v>
      </c>
      <c r="AG60" s="4" t="str">
        <f ca="1">VLOOKUP($AD60,OFFSET([4]characters!$A$1,0,0,COUNTA([4]characters!$A:$A),MATCH(AG$1,[4]characters!$1:$1,0)-MATCH("character_id",[4]characters!$1:$1,0)+1),MATCH(AG$1,[4]characters!$1:$1,0)-MATCH("character_id",[4]characters!$1:$1,0)+1,FALSE)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60" s="7">
        <v>1</v>
      </c>
      <c r="AI60" s="24">
        <f t="shared" ca="1" si="9"/>
        <v>3</v>
      </c>
      <c r="AJ60" s="8">
        <v>20</v>
      </c>
      <c r="AK60" s="7">
        <v>0</v>
      </c>
      <c r="AL60" s="7">
        <v>0</v>
      </c>
      <c r="AM60" s="7">
        <v>0</v>
      </c>
      <c r="AN60" s="7">
        <v>0</v>
      </c>
      <c r="AO60" s="7">
        <v>1</v>
      </c>
      <c r="AP60" s="70">
        <v>1</v>
      </c>
    </row>
    <row r="61" spans="1:42" ht="21" customHeight="1" x14ac:dyDescent="0.15">
      <c r="A61" s="16" t="str">
        <f t="shared" si="5"/>
        <v>39009_3-4/1297&lt;lv40&gt;s2</v>
      </c>
      <c r="B61" s="22">
        <v>39009</v>
      </c>
      <c r="C61" s="21">
        <v>3</v>
      </c>
      <c r="D61" s="2" t="str">
        <f t="shared" si="6"/>
        <v>39009_3</v>
      </c>
      <c r="E61" s="4" t="str">
        <f ca="1">VLOOKUP($B61,OFFSET([2]quests!$A$1,0,0,COUNTA([2]quests!$A:$A),MATCH(E$1,[2]quests!$1:$1,0)-MATCH($B$1,[2]quests!$1:$1,0)+1),MATCH(E$1,[2]quests!$1:$1,0)-MATCH($B$1,[2]quests!$1:$1,0)+1,FALSE)</f>
        <v>星空の歌姫</v>
      </c>
      <c r="F61" s="4" t="str">
        <f ca="1">VLOOKUP($D61,OFFSET([2]stages!$A$1,0,0,COUNTA([2]stages!$A:$A),MATCH(F$1,[2]stages!$2:$2,0)-MATCH($D$1,[2]stages!$2:$2,0)+1),MATCH(F$1,[2]stages!$2:$2,0)-MATCH($D$1,[2]stages!$2:$2,0)+1,FALSE)</f>
        <v>【上級】星空の歌姫</v>
      </c>
      <c r="G61" s="21">
        <v>4</v>
      </c>
      <c r="H61" s="15" t="str">
        <f t="shared" si="7"/>
        <v>39009_3-4</v>
      </c>
      <c r="I61" s="4">
        <f ca="1">VLOOKUP($H61,OFFSET(floors!$A$1,0,0,COUNTA(floors!$A:$A),MATCH(I$1,floors!$1:$1,0)-MATCH($H$1,floors!$1:$1,0)+1),MATCH(I$1,floors!$1:$1,0)-MATCH($H$1,floors!$1:$1,0)+1,FALSE)</f>
        <v>60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38">
        <v>6</v>
      </c>
      <c r="L61" s="20">
        <v>1297</v>
      </c>
      <c r="M61" s="17" t="str">
        <f ca="1">VLOOKUP($L61,OFFSET([3]enemies!$A$1,0,0,COUNTA([3]enemies!$A:$A),MATCH(M$1,[3]enemies!$1:$1,0)-MATCH($L$1,[3]enemies!$1:$1,0)+1),MATCH(M$1,[3]enemies!$1:$1,0)-MATCH($L$1,[3]enemies!$1:$1,0)+1,FALSE)</f>
        <v>雪ミク2017</v>
      </c>
      <c r="N61" s="17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17" t="str">
        <f ca="1">VLOOKUP($L61,OFFSET([4]characters!$A$1,0,0,COUNTA([4]characters!$A:$A),MATCH(O$1,[4]characters!$1:$1,0)-MATCH($L$1,[4]characters!$1:$1,0)+1),MATCH(O$1,[4]characters!$1:$1,0)-MATCH($L$1,[4]characters!$1:$1,0)+1,FALSE)</f>
        <v>DropWizS</v>
      </c>
      <c r="P61" s="17" t="str">
        <f ca="1">VLOOKUP($L61,OFFSET([3]enemies!$A$1,0,0,COUNTA([3]enemies!$A:$A),MATCH(P$1,[3]enemies!$1:$1,0)-MATCH($L$1,[3]enemies!$1:$1,0)+1),MATCH(P$1,[3]enemies!$1:$1,0)-MATCH($L$1,[3]enemies!$1:$1,0)+1,FALSE)</f>
        <v>unknown</v>
      </c>
      <c r="Q61" s="17">
        <f ca="1">VLOOKUP($L61,OFFSET([3]enemies!$A$1,0,0,COUNTA([3]enemies!$A:$A),MATCH(Q$1,[3]enemies!$1:$1,0)-MATCH($L$1,[3]enemies!$1:$1,0)+1),MATCH(Q$1,[3]enemies!$1:$1,0)-MATCH($L$1,[3]enemies!$1:$1,0)+1,FALSE)</f>
        <v>60</v>
      </c>
      <c r="R61" s="5">
        <v>40</v>
      </c>
      <c r="S61" s="25">
        <v>2</v>
      </c>
      <c r="T61" s="98">
        <f ca="1">ROUND(VLOOKUP(R61,[3]enemy_base_stats!$A:$F,2,FALSE) *INDIRECT("[EnemyMasterData.xlsm]enemies!Y"&amp;(L61+1))*  INDIRECT("[EnemyMasterData.xlsm]enemies!J"&amp;(L61+1))* INDIRECT("[EnemyMasterData.xlsm]enemies!O"&amp;(L61+1))* INDIRECT("[EnemyMasterData.xlsm]enemies!E"&amp;(L61+1))* INDIRECT("[EnemyMasterData.xlsm]enemies!S"&amp;(L61+1))* INDIRECT("[EnemyMasterData.xlsm]enemies!AD"&amp;(L61+1))*[4]ステータス!$B$2,0)*S61</f>
        <v>138278</v>
      </c>
      <c r="U61" s="25">
        <v>1.6</v>
      </c>
      <c r="V61" s="98">
        <f ca="1">ROUND(VLOOKUP(R61,[3]enemy_base_stats!$A:$F,3,FALSE) *INDIRECT("[EnemyMasterData.xlsm]enemies!Z"&amp;(L61+1))*  INDIRECT("[EnemyMasterData.xlsm]enemies!K"&amp;(L61+1))* INDIRECT("[EnemyMasterData.xlsm]enemies!P"&amp;(L61+1))* INDIRECT("[EnemyMasterData.xlsm]enemies!F"&amp;(L61+1))* INDIRECT("[EnemyMasterData.xlsm]enemies!T"&amp;(L61+1))* INDIRECT("[EnemyMasterData.xlsm]enemies!AE"&amp;(L61+1))*[4]ステータス!$C$2,0)*U61</f>
        <v>7323.2000000000007</v>
      </c>
      <c r="W61" s="5">
        <v>0</v>
      </c>
      <c r="X61" s="4" t="str">
        <f ca="1">VLOOKUP($Y61,OFFSET(enemy_skill_sets!$B$1,0,0,COUNTA(enemy_skill_sets!$B:$B),MATCH(M$1,enemy_skill_sets!$1:$1,0)-MATCH($Y$1,enemy_skill_sets!$1:$1,0)+2),MATCH(M$1,enemy_skill_sets!$1:$1,0)-MATCH($Y$1,enemy_skill_sets!$1:$1,0)+2,FALSE)</f>
        <v>緑パネルを緑のダメージパネルに2個変換</v>
      </c>
      <c r="Y61" s="62">
        <v>39009019</v>
      </c>
      <c r="Z61" s="6">
        <v>1</v>
      </c>
      <c r="AA61" s="6">
        <v>100</v>
      </c>
      <c r="AB61" s="6">
        <v>1</v>
      </c>
      <c r="AC61" s="100">
        <v>2</v>
      </c>
      <c r="AD61" s="24">
        <f t="shared" si="8"/>
        <v>1297</v>
      </c>
      <c r="AE61" s="4" t="str">
        <f ca="1">VLOOKUP($AD61,OFFSET([4]characters!$A$1,0,0,COUNTA([4]characters!$A:$A),MATCH(AE$1,[4]characters!$1:$1,0)-MATCH("character_id",[4]characters!$1:$1,0)+1),MATCH(AE$1,[4]characters!$1:$1,0)-MATCH("character_id",[4]characters!$1:$1,0)+1,FALSE)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61" s="4">
        <f ca="1">VLOOKUP($AD61,OFFSET([4]characters!$A$1,0,0,COUNTA([4]characters!$A:$A),MATCH(AF$1,[4]characters!$1:$1,0)-MATCH("character_id",[4]characters!$1:$1,0)+1),MATCH(AF$1,[4]characters!$1:$1,0)-MATCH("character_id",[4]characters!$1:$1,0)+1,FALSE)</f>
        <v>5</v>
      </c>
      <c r="AG61" s="4" t="str">
        <f ca="1">VLOOKUP($AD61,OFFSET([4]characters!$A$1,0,0,COUNTA([4]characters!$A:$A),MATCH(AG$1,[4]characters!$1:$1,0)-MATCH("character_id",[4]characters!$1:$1,0)+1),MATCH(AG$1,[4]characters!$1:$1,0)-MATCH("character_id",[4]characters!$1:$1,0)+1,FALSE)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1" s="7">
        <v>1</v>
      </c>
      <c r="AI61" s="24">
        <f t="shared" ca="1" si="9"/>
        <v>5</v>
      </c>
      <c r="AJ61" s="141">
        <v>55</v>
      </c>
      <c r="AK61" s="7">
        <v>0</v>
      </c>
      <c r="AL61" s="7">
        <v>0</v>
      </c>
      <c r="AM61" s="7">
        <v>0</v>
      </c>
      <c r="AN61" s="7">
        <v>0</v>
      </c>
      <c r="AO61" s="7">
        <v>1</v>
      </c>
      <c r="AP61" s="70">
        <v>1</v>
      </c>
    </row>
    <row r="62" spans="1:42" ht="21" customHeight="1" x14ac:dyDescent="0.15">
      <c r="A62" s="16" t="str">
        <f t="shared" ref="A62:A101" si="10">B62&amp;"_"&amp;C62&amp;"-"&amp;G62&amp;"/"&amp;L62&amp;"&lt;lv"&amp;R62&amp;"&gt;s"&amp;AC62</f>
        <v>39009_4-1/529&lt;lv60&gt;s1</v>
      </c>
      <c r="B62" s="22">
        <v>39009</v>
      </c>
      <c r="C62" s="114">
        <v>4</v>
      </c>
      <c r="D62" s="114" t="str">
        <f t="shared" ref="D62:D101" si="11">B62&amp;"_"&amp;C62</f>
        <v>39009_4</v>
      </c>
      <c r="E62" s="115" t="str">
        <f ca="1">VLOOKUP($B62,OFFSET([2]quests!$A$1,0,0,COUNTA([2]quests!$A:$A),MATCH(E$1,[2]quests!$1:$1,0)-MATCH($B$1,[2]quests!$1:$1,0)+1),MATCH(E$1,[2]quests!$1:$1,0)-MATCH($B$1,[2]quests!$1:$1,0)+1,FALSE)</f>
        <v>星空の歌姫</v>
      </c>
      <c r="F62" s="115" t="str">
        <f ca="1">VLOOKUP($D62,OFFSET([2]stages!$A$1,0,0,COUNTA([2]stages!$A:$A),MATCH(F$1,[2]stages!$2:$2,0)-MATCH($D$1,[2]stages!$2:$2,0)+1),MATCH(F$1,[2]stages!$2:$2,0)-MATCH($D$1,[2]stages!$2:$2,0)+1,FALSE)</f>
        <v>【超級】星空の歌姫</v>
      </c>
      <c r="G62" s="114">
        <v>1</v>
      </c>
      <c r="H62" s="116" t="str">
        <f t="shared" ref="H62:H101" si="12">B62&amp;"_"&amp;C62&amp;"-"&amp;G62</f>
        <v>39009_4-1</v>
      </c>
      <c r="I62" s="115">
        <f ca="1">VLOOKUP($H62,OFFSET(floors!$A$1,0,0,COUNTA(floors!$A:$A),MATCH(I$1,floors!$1:$1,0)-MATCH($H$1,floors!$1:$1,0)+1),MATCH(I$1,floors!$1:$1,0)-MATCH($H$1,floors!$1:$1,0)+1,FALSE)</f>
        <v>60</v>
      </c>
      <c r="J62" s="115">
        <f ca="1">VLOOKUP($H62,OFFSET(floors!$A$1,0,0,COUNTA(floors!$A:$A),MATCH(J$1,floors!$1:$1,0)-MATCH($H$1,floors!$1:$1,0)+1),MATCH(J$1,floors!$1:$1,0)-MATCH($H$1,floors!$1:$1,0)+1,FALSE)</f>
        <v>60</v>
      </c>
      <c r="K62" s="117" t="s">
        <v>53</v>
      </c>
      <c r="L62" s="114">
        <v>529</v>
      </c>
      <c r="M62" s="17" t="str">
        <f ca="1">VLOOKUP($L62,OFFSET([3]enemies!$A$1,0,0,COUNTA([3]enemies!$A:$A),MATCH(M$1,[3]enemies!$1:$1,0)-MATCH($L$1,[3]enemies!$1:$1,0)+1),MATCH(M$1,[3]enemies!$1:$1,0)-MATCH($L$1,[3]enemies!$1:$1,0)+1,FALSE)</f>
        <v>冬服ジェリー</v>
      </c>
      <c r="N62" s="17" t="str">
        <f ca="1">VLOOKUP($L62,OFFSET([3]enemies!$A$1,0,0,COUNTA([3]enemies!$A:$A),MATCH(N$1,[3]enemies!$1:$1,0)-MATCH($L$1,[3]enemies!$1:$1,0)+1),MATCH(N$1,[3]enemies!$1:$1,0)-MATCH($L$1,[3]enemies!$1:$1,0)+1,FALSE)</f>
        <v>red</v>
      </c>
      <c r="O62" s="17" t="str">
        <f ca="1">VLOOKUP($L62,OFFSET([4]characters!$A$1,0,0,COUNTA([4]characters!$A:$A),MATCH(O$1,[4]characters!$1:$1,0)-MATCH($L$1,[4]characters!$1:$1,0)+1),MATCH(O$1,[4]characters!$1:$1,0)-MATCH($L$1,[4]characters!$1:$1,0)+1,FALSE)</f>
        <v>Drop1T</v>
      </c>
      <c r="P62" s="17" t="str">
        <f ca="1">VLOOKUP($L62,OFFSET([3]enemies!$A$1,0,0,COUNTA([3]enemies!$A:$A),MATCH(P$1,[3]enemies!$1:$1,0)-MATCH($L$1,[3]enemies!$1:$1,0)+1),MATCH(P$1,[3]enemies!$1:$1,0)-MATCH($L$1,[3]enemies!$1:$1,0)+1,FALSE)</f>
        <v>unknown</v>
      </c>
      <c r="Q62" s="17">
        <f ca="1">VLOOKUP($L62,OFFSET([3]enemies!$A$1,0,0,COUNTA([3]enemies!$A:$A),MATCH(Q$1,[3]enemies!$1:$1,0)-MATCH($L$1,[3]enemies!$1:$1,0)+1),MATCH(Q$1,[3]enemies!$1:$1,0)-MATCH($L$1,[3]enemies!$1:$1,0)+1,FALSE)</f>
        <v>15</v>
      </c>
      <c r="R62" s="118">
        <v>60</v>
      </c>
      <c r="S62" s="119">
        <v>0.8</v>
      </c>
      <c r="T62" s="98">
        <f ca="1">ROUND(VLOOKUP(R62,[3]enemy_base_stats!$A:$F,2,FALSE) *INDIRECT("[EnemyMasterData.xlsm]enemies!Y"&amp;(L62+1))*  INDIRECT("[EnemyMasterData.xlsm]enemies!J"&amp;(L62+1))* INDIRECT("[EnemyMasterData.xlsm]enemies!O"&amp;(L62+1))* INDIRECT("[EnemyMasterData.xlsm]enemies!E"&amp;(L62+1))* INDIRECT("[EnemyMasterData.xlsm]enemies!S"&amp;(L62+1))* INDIRECT("[EnemyMasterData.xlsm]enemies!AD"&amp;(L62+1))*[4]ステータス!$B$2,0)*S62</f>
        <v>9840</v>
      </c>
      <c r="U62" s="119">
        <v>0.3</v>
      </c>
      <c r="V62" s="98">
        <f ca="1">ROUND(VLOOKUP(R62,[3]enemy_base_stats!$A:$F,3,FALSE) *INDIRECT("[EnemyMasterData.xlsm]enemies!Z"&amp;(L62+1))*  INDIRECT("[EnemyMasterData.xlsm]enemies!K"&amp;(L62+1))* INDIRECT("[EnemyMasterData.xlsm]enemies!P"&amp;(L62+1))* INDIRECT("[EnemyMasterData.xlsm]enemies!F"&amp;(L62+1))* INDIRECT("[EnemyMasterData.xlsm]enemies!T"&amp;(L62+1))* INDIRECT("[EnemyMasterData.xlsm]enemies!AE"&amp;(L62+1))*[4]ステータス!$C$2,0)*U62</f>
        <v>1516.8</v>
      </c>
      <c r="W62" s="5">
        <v>0</v>
      </c>
      <c r="X62" s="4" t="e">
        <f ca="1">VLOOKUP($Y62,OFFSET(enemy_skill_sets!$B$1,0,0,COUNTA(enemy_skill_sets!$B:$B),MATCH(M$1,enemy_skill_sets!$1:$1,0)-MATCH($Y$1,enemy_skill_sets!$1:$1,0)+2),MATCH(M$1,enemy_skill_sets!$1:$1,0)-MATCH($Y$1,enemy_skill_sets!$1:$1,0)+2,FALSE)</f>
        <v>#N/A</v>
      </c>
      <c r="Y62" s="120">
        <v>0</v>
      </c>
      <c r="Z62" s="121">
        <v>0</v>
      </c>
      <c r="AA62" s="121">
        <v>100</v>
      </c>
      <c r="AB62" s="121">
        <v>0</v>
      </c>
      <c r="AC62" s="122">
        <v>1</v>
      </c>
      <c r="AD62" s="24">
        <f t="shared" ref="AD62:AD101" si="13">L62</f>
        <v>529</v>
      </c>
      <c r="AE62" s="4" t="str">
        <f ca="1">VLOOKUP($AD62,OFFSET([4]characters!$A$1,0,0,COUNTA([4]characters!$A:$A),MATCH(AE$1,[4]characters!$1:$1,0)-MATCH("character_id",[4]characters!$1:$1,0)+1),MATCH(AE$1,[4]characters!$1:$1,0)-MATCH("character_id",[4]characters!$1:$1,0)+1,FALSE)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62" s="4">
        <f ca="1">VLOOKUP($AD62,OFFSET([4]characters!$A$1,0,0,COUNTA([4]characters!$A:$A),MATCH(AF$1,[4]characters!$1:$1,0)-MATCH("character_id",[4]characters!$1:$1,0)+1),MATCH(AF$1,[4]characters!$1:$1,0)-MATCH("character_id",[4]characters!$1:$1,0)+1,FALSE)</f>
        <v>1</v>
      </c>
      <c r="AG62" s="4" t="str">
        <f ca="1">VLOOKUP($AD62,OFFSET([4]characters!$A$1,0,0,COUNTA([4]characters!$A:$A),MATCH(AG$1,[4]characters!$1:$1,0)-MATCH("character_id",[4]characters!$1:$1,0)+1),MATCH(AG$1,[4]characters!$1:$1,0)-MATCH("character_id",[4]characters!$1:$1,0)+1,FALSE)</f>
        <v>Drop1T</v>
      </c>
      <c r="AH62" s="7">
        <v>1</v>
      </c>
      <c r="AI62" s="24">
        <f t="shared" ref="AI62:AI101" ca="1" si="14">AF62</f>
        <v>1</v>
      </c>
      <c r="AJ62" s="123">
        <v>20</v>
      </c>
      <c r="AK62" s="7">
        <v>0</v>
      </c>
      <c r="AL62" s="7">
        <v>0</v>
      </c>
      <c r="AM62" s="7">
        <v>0</v>
      </c>
      <c r="AN62" s="7">
        <v>0</v>
      </c>
      <c r="AO62" s="7">
        <v>1</v>
      </c>
      <c r="AP62" s="70">
        <v>1</v>
      </c>
    </row>
    <row r="63" spans="1:42" ht="21" customHeight="1" x14ac:dyDescent="0.15">
      <c r="A63" s="16" t="str">
        <f t="shared" si="10"/>
        <v>39009_4-1/530&lt;lv60&gt;s2</v>
      </c>
      <c r="B63" s="22">
        <v>39009</v>
      </c>
      <c r="C63" s="114">
        <v>4</v>
      </c>
      <c r="D63" s="114" t="str">
        <f t="shared" si="11"/>
        <v>39009_4</v>
      </c>
      <c r="E63" s="115" t="str">
        <f ca="1">VLOOKUP($B63,OFFSET([2]quests!$A$1,0,0,COUNTA([2]quests!$A:$A),MATCH(E$1,[2]quests!$1:$1,0)-MATCH($B$1,[2]quests!$1:$1,0)+1),MATCH(E$1,[2]quests!$1:$1,0)-MATCH($B$1,[2]quests!$1:$1,0)+1,FALSE)</f>
        <v>星空の歌姫</v>
      </c>
      <c r="F63" s="115" t="str">
        <f ca="1">VLOOKUP($D63,OFFSET([2]stages!$A$1,0,0,COUNTA([2]stages!$A:$A),MATCH(F$1,[2]stages!$2:$2,0)-MATCH($D$1,[2]stages!$2:$2,0)+1),MATCH(F$1,[2]stages!$2:$2,0)-MATCH($D$1,[2]stages!$2:$2,0)+1,FALSE)</f>
        <v>【超級】星空の歌姫</v>
      </c>
      <c r="G63" s="114">
        <v>1</v>
      </c>
      <c r="H63" s="116" t="str">
        <f t="shared" si="12"/>
        <v>39009_4-1</v>
      </c>
      <c r="I63" s="115">
        <f ca="1">VLOOKUP($H63,OFFSET(floors!$A$1,0,0,COUNTA(floors!$A:$A),MATCH(I$1,floors!$1:$1,0)-MATCH($H$1,floors!$1:$1,0)+1),MATCH(I$1,floors!$1:$1,0)-MATCH($H$1,floors!$1:$1,0)+1,FALSE)</f>
        <v>60</v>
      </c>
      <c r="J63" s="115">
        <f ca="1">VLOOKUP($H63,OFFSET(floors!$A$1,0,0,COUNTA(floors!$A:$A),MATCH(J$1,floors!$1:$1,0)-MATCH($H$1,floors!$1:$1,0)+1),MATCH(J$1,floors!$1:$1,0)-MATCH($H$1,floors!$1:$1,0)+1,FALSE)</f>
        <v>60</v>
      </c>
      <c r="K63" s="117" t="s">
        <v>53</v>
      </c>
      <c r="L63" s="114">
        <v>530</v>
      </c>
      <c r="M63" s="17" t="str">
        <f ca="1">VLOOKUP($L63,OFFSET([3]enemies!$A$1,0,0,COUNTA([3]enemies!$A:$A),MATCH(M$1,[3]enemies!$1:$1,0)-MATCH($L$1,[3]enemies!$1:$1,0)+1),MATCH(M$1,[3]enemies!$1:$1,0)-MATCH($L$1,[3]enemies!$1:$1,0)+1,FALSE)</f>
        <v>冬服ジョー</v>
      </c>
      <c r="N63" s="17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17" t="str">
        <f ca="1">VLOOKUP($L63,OFFSET([4]characters!$A$1,0,0,COUNTA([4]characters!$A:$A),MATCH(O$1,[4]characters!$1:$1,0)-MATCH($L$1,[4]characters!$1:$1,0)+1),MATCH(O$1,[4]characters!$1:$1,0)-MATCH($L$1,[4]characters!$1:$1,0)+1,FALSE)</f>
        <v>Drop1T</v>
      </c>
      <c r="P63" s="17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7">
        <f ca="1">VLOOKUP($L63,OFFSET([3]enemies!$A$1,0,0,COUNTA([3]enemies!$A:$A),MATCH(Q$1,[3]enemies!$1:$1,0)-MATCH($L$1,[3]enemies!$1:$1,0)+1),MATCH(Q$1,[3]enemies!$1:$1,0)-MATCH($L$1,[3]enemies!$1:$1,0)+1,FALSE)</f>
        <v>15</v>
      </c>
      <c r="R63" s="118">
        <v>60</v>
      </c>
      <c r="S63" s="119">
        <v>1.1000000000000001</v>
      </c>
      <c r="T63" s="98">
        <f ca="1">ROUND(VLOOKUP(R63,[3]enemy_base_stats!$A:$F,2,FALSE) *INDIRECT("[EnemyMasterData.xlsm]enemies!Y"&amp;(L63+1))*  INDIRECT("[EnemyMasterData.xlsm]enemies!J"&amp;(L63+1))* INDIRECT("[EnemyMasterData.xlsm]enemies!O"&amp;(L63+1))* INDIRECT("[EnemyMasterData.xlsm]enemies!E"&amp;(L63+1))* INDIRECT("[EnemyMasterData.xlsm]enemies!S"&amp;(L63+1))* INDIRECT("[EnemyMasterData.xlsm]enemies!AD"&amp;(L63+1))*[4]ステータス!$B$2,0)*S63</f>
        <v>13800.6</v>
      </c>
      <c r="U63" s="119">
        <v>0.5</v>
      </c>
      <c r="V63" s="98">
        <f ca="1">ROUND(VLOOKUP(R63,[3]enemy_base_stats!$A:$F,3,FALSE) *INDIRECT("[EnemyMasterData.xlsm]enemies!Z"&amp;(L63+1))*  INDIRECT("[EnemyMasterData.xlsm]enemies!K"&amp;(L63+1))* INDIRECT("[EnemyMasterData.xlsm]enemies!P"&amp;(L63+1))* INDIRECT("[EnemyMasterData.xlsm]enemies!F"&amp;(L63+1))* INDIRECT("[EnemyMasterData.xlsm]enemies!T"&amp;(L63+1))* INDIRECT("[EnemyMasterData.xlsm]enemies!AE"&amp;(L63+1))*[4]ステータス!$C$2,0)*U63</f>
        <v>1808</v>
      </c>
      <c r="W63" s="5">
        <v>0</v>
      </c>
      <c r="X63" s="4" t="e">
        <f ca="1">VLOOKUP($Y63,OFFSET(enemy_skill_sets!$B$1,0,0,COUNTA(enemy_skill_sets!$B:$B),MATCH(M$1,enemy_skill_sets!$1:$1,0)-MATCH($Y$1,enemy_skill_sets!$1:$1,0)+2),MATCH(M$1,enemy_skill_sets!$1:$1,0)-MATCH($Y$1,enemy_skill_sets!$1:$1,0)+2,FALSE)</f>
        <v>#N/A</v>
      </c>
      <c r="Y63" s="120">
        <v>0</v>
      </c>
      <c r="Z63" s="121">
        <v>0</v>
      </c>
      <c r="AA63" s="121">
        <v>100</v>
      </c>
      <c r="AB63" s="121">
        <v>0</v>
      </c>
      <c r="AC63" s="122">
        <v>2</v>
      </c>
      <c r="AD63" s="24">
        <f t="shared" si="13"/>
        <v>530</v>
      </c>
      <c r="AE63" s="4" t="str">
        <f ca="1">VLOOKUP($AD63,OFFSET([4]characters!$A$1,0,0,COUNTA([4]characters!$A:$A),MATCH(AE$1,[4]characters!$1:$1,0)-MATCH("character_id",[4]characters!$1:$1,0)+1),MATCH(AE$1,[4]characters!$1:$1,0)-MATCH("character_id",[4]characters!$1:$1,0)+1,FALSE)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63" s="4">
        <f ca="1">VLOOKUP($AD63,OFFSET([4]characters!$A$1,0,0,COUNTA([4]characters!$A:$A),MATCH(AF$1,[4]characters!$1:$1,0)-MATCH("character_id",[4]characters!$1:$1,0)+1),MATCH(AF$1,[4]characters!$1:$1,0)-MATCH("character_id",[4]characters!$1:$1,0)+1,FALSE)</f>
        <v>1</v>
      </c>
      <c r="AG63" s="4" t="str">
        <f ca="1">VLOOKUP($AD63,OFFSET([4]characters!$A$1,0,0,COUNTA([4]characters!$A:$A),MATCH(AG$1,[4]characters!$1:$1,0)-MATCH("character_id",[4]characters!$1:$1,0)+1),MATCH(AG$1,[4]characters!$1:$1,0)-MATCH("character_id",[4]characters!$1:$1,0)+1,FALSE)</f>
        <v>Drop1T</v>
      </c>
      <c r="AH63" s="7">
        <v>1</v>
      </c>
      <c r="AI63" s="24">
        <f t="shared" ca="1" si="14"/>
        <v>1</v>
      </c>
      <c r="AJ63" s="123">
        <v>20</v>
      </c>
      <c r="AK63" s="7">
        <v>0</v>
      </c>
      <c r="AL63" s="7">
        <v>0</v>
      </c>
      <c r="AM63" s="7">
        <v>0</v>
      </c>
      <c r="AN63" s="7">
        <v>0</v>
      </c>
      <c r="AO63" s="7">
        <v>1</v>
      </c>
      <c r="AP63" s="70">
        <v>1</v>
      </c>
    </row>
    <row r="64" spans="1:42" ht="21" customHeight="1" x14ac:dyDescent="0.15">
      <c r="A64" s="16" t="str">
        <f t="shared" si="10"/>
        <v>39009_4-1/531&lt;lv60&gt;s3</v>
      </c>
      <c r="B64" s="22">
        <v>39009</v>
      </c>
      <c r="C64" s="114">
        <v>4</v>
      </c>
      <c r="D64" s="114" t="str">
        <f t="shared" si="11"/>
        <v>39009_4</v>
      </c>
      <c r="E64" s="115" t="str">
        <f ca="1">VLOOKUP($B64,OFFSET([2]quests!$A$1,0,0,COUNTA([2]quests!$A:$A),MATCH(E$1,[2]quests!$1:$1,0)-MATCH($B$1,[2]quests!$1:$1,0)+1),MATCH(E$1,[2]quests!$1:$1,0)-MATCH($B$1,[2]quests!$1:$1,0)+1,FALSE)</f>
        <v>星空の歌姫</v>
      </c>
      <c r="F64" s="115" t="str">
        <f ca="1">VLOOKUP($D64,OFFSET([2]stages!$A$1,0,0,COUNTA([2]stages!$A:$A),MATCH(F$1,[2]stages!$2:$2,0)-MATCH($D$1,[2]stages!$2:$2,0)+1),MATCH(F$1,[2]stages!$2:$2,0)-MATCH($D$1,[2]stages!$2:$2,0)+1,FALSE)</f>
        <v>【超級】星空の歌姫</v>
      </c>
      <c r="G64" s="114">
        <v>1</v>
      </c>
      <c r="H64" s="116" t="str">
        <f t="shared" si="12"/>
        <v>39009_4-1</v>
      </c>
      <c r="I64" s="115">
        <f ca="1">VLOOKUP($H64,OFFSET(floors!$A$1,0,0,COUNTA(floors!$A:$A),MATCH(I$1,floors!$1:$1,0)-MATCH($H$1,floors!$1:$1,0)+1),MATCH(I$1,floors!$1:$1,0)-MATCH($H$1,floors!$1:$1,0)+1,FALSE)</f>
        <v>60</v>
      </c>
      <c r="J64" s="115">
        <f ca="1">VLOOKUP($H64,OFFSET(floors!$A$1,0,0,COUNTA(floors!$A:$A),MATCH(J$1,floors!$1:$1,0)-MATCH($H$1,floors!$1:$1,0)+1),MATCH(J$1,floors!$1:$1,0)-MATCH($H$1,floors!$1:$1,0)+1,FALSE)</f>
        <v>60</v>
      </c>
      <c r="K64" s="117" t="s">
        <v>53</v>
      </c>
      <c r="L64" s="114">
        <v>531</v>
      </c>
      <c r="M64" s="17" t="str">
        <f ca="1">VLOOKUP($L64,OFFSET([3]enemies!$A$1,0,0,COUNTA([3]enemies!$A:$A),MATCH(M$1,[3]enemies!$1:$1,0)-MATCH($L$1,[3]enemies!$1:$1,0)+1),MATCH(M$1,[3]enemies!$1:$1,0)-MATCH($L$1,[3]enemies!$1:$1,0)+1,FALSE)</f>
        <v>冬服ポチ</v>
      </c>
      <c r="N64" s="17" t="str">
        <f ca="1">VLOOKUP($L64,OFFSET([3]enemies!$A$1,0,0,COUNTA([3]enemies!$A:$A),MATCH(N$1,[3]enemies!$1:$1,0)-MATCH($L$1,[3]enemies!$1:$1,0)+1),MATCH(N$1,[3]enemies!$1:$1,0)-MATCH($L$1,[3]enemies!$1:$1,0)+1,FALSE)</f>
        <v>blue</v>
      </c>
      <c r="O64" s="17" t="str">
        <f ca="1">VLOOKUP($L64,OFFSET([4]characters!$A$1,0,0,COUNTA([4]characters!$A:$A),MATCH(O$1,[4]characters!$1:$1,0)-MATCH($L$1,[4]characters!$1:$1,0)+1),MATCH(O$1,[4]characters!$1:$1,0)-MATCH($L$1,[4]characters!$1:$1,0)+1,FALSE)</f>
        <v>Drop1T</v>
      </c>
      <c r="P64" s="17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17">
        <f ca="1">VLOOKUP($L64,OFFSET([3]enemies!$A$1,0,0,COUNTA([3]enemies!$A:$A),MATCH(Q$1,[3]enemies!$1:$1,0)-MATCH($L$1,[3]enemies!$1:$1,0)+1),MATCH(Q$1,[3]enemies!$1:$1,0)-MATCH($L$1,[3]enemies!$1:$1,0)+1,FALSE)</f>
        <v>15</v>
      </c>
      <c r="R64" s="118">
        <v>60</v>
      </c>
      <c r="S64" s="119">
        <v>0.7</v>
      </c>
      <c r="T64" s="98">
        <f ca="1">ROUND(VLOOKUP(R64,[3]enemy_base_stats!$A:$F,2,FALSE) *INDIRECT("[EnemyMasterData.xlsm]enemies!Y"&amp;(L64+1))*  INDIRECT("[EnemyMasterData.xlsm]enemies!J"&amp;(L64+1))* INDIRECT("[EnemyMasterData.xlsm]enemies!O"&amp;(L64+1))* INDIRECT("[EnemyMasterData.xlsm]enemies!E"&amp;(L64+1))* INDIRECT("[EnemyMasterData.xlsm]enemies!S"&amp;(L64+1))* INDIRECT("[EnemyMasterData.xlsm]enemies!AD"&amp;(L64+1))*[4]ステータス!$B$2,0)*S64</f>
        <v>6888</v>
      </c>
      <c r="U64" s="119">
        <v>0.5</v>
      </c>
      <c r="V64" s="98">
        <f ca="1">ROUND(VLOOKUP(R64,[3]enemy_base_stats!$A:$F,3,FALSE) *INDIRECT("[EnemyMasterData.xlsm]enemies!Z"&amp;(L64+1))*  INDIRECT("[EnemyMasterData.xlsm]enemies!K"&amp;(L64+1))* INDIRECT("[EnemyMasterData.xlsm]enemies!P"&amp;(L64+1))* INDIRECT("[EnemyMasterData.xlsm]enemies!F"&amp;(L64+1))* INDIRECT("[EnemyMasterData.xlsm]enemies!T"&amp;(L64+1))* INDIRECT("[EnemyMasterData.xlsm]enemies!AE"&amp;(L64+1))*[4]ステータス!$C$2,0)*U64</f>
        <v>1410.5</v>
      </c>
      <c r="W64" s="5">
        <v>0</v>
      </c>
      <c r="X64" s="4" t="e">
        <f ca="1">VLOOKUP($Y64,OFFSET(enemy_skill_sets!$B$1,0,0,COUNTA(enemy_skill_sets!$B:$B),MATCH(M$1,enemy_skill_sets!$1:$1,0)-MATCH($Y$1,enemy_skill_sets!$1:$1,0)+2),MATCH(M$1,enemy_skill_sets!$1:$1,0)-MATCH($Y$1,enemy_skill_sets!$1:$1,0)+2,FALSE)</f>
        <v>#N/A</v>
      </c>
      <c r="Y64" s="120">
        <v>0</v>
      </c>
      <c r="Z64" s="121">
        <v>0</v>
      </c>
      <c r="AA64" s="121">
        <v>100</v>
      </c>
      <c r="AB64" s="121">
        <v>0</v>
      </c>
      <c r="AC64" s="122">
        <v>3</v>
      </c>
      <c r="AD64" s="24">
        <f t="shared" si="13"/>
        <v>531</v>
      </c>
      <c r="AE64" s="4" t="str">
        <f ca="1">VLOOKUP($AD64,OFFSET([4]characters!$A$1,0,0,COUNTA([4]characters!$A:$A),MATCH(AE$1,[4]characters!$1:$1,0)-MATCH("character_id",[4]characters!$1:$1,0)+1),MATCH(AE$1,[4]characters!$1:$1,0)-MATCH("character_id",[4]characters!$1:$1,0)+1,FALSE)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64" s="4">
        <f ca="1">VLOOKUP($AD64,OFFSET([4]characters!$A$1,0,0,COUNTA([4]characters!$A:$A),MATCH(AF$1,[4]characters!$1:$1,0)-MATCH("character_id",[4]characters!$1:$1,0)+1),MATCH(AF$1,[4]characters!$1:$1,0)-MATCH("character_id",[4]characters!$1:$1,0)+1,FALSE)</f>
        <v>1</v>
      </c>
      <c r="AG64" s="4" t="str">
        <f ca="1">VLOOKUP($AD64,OFFSET([4]characters!$A$1,0,0,COUNTA([4]characters!$A:$A),MATCH(AG$1,[4]characters!$1:$1,0)-MATCH("character_id",[4]characters!$1:$1,0)+1),MATCH(AG$1,[4]characters!$1:$1,0)-MATCH("character_id",[4]characters!$1:$1,0)+1,FALSE)</f>
        <v>Drop1T</v>
      </c>
      <c r="AH64" s="7">
        <v>1</v>
      </c>
      <c r="AI64" s="24">
        <f t="shared" ca="1" si="14"/>
        <v>1</v>
      </c>
      <c r="AJ64" s="123">
        <v>20</v>
      </c>
      <c r="AK64" s="7">
        <v>0</v>
      </c>
      <c r="AL64" s="7">
        <v>0</v>
      </c>
      <c r="AM64" s="7">
        <v>0</v>
      </c>
      <c r="AN64" s="7">
        <v>0</v>
      </c>
      <c r="AO64" s="7">
        <v>1</v>
      </c>
      <c r="AP64" s="70">
        <v>1</v>
      </c>
    </row>
    <row r="65" spans="1:42" ht="21" customHeight="1" x14ac:dyDescent="0.15">
      <c r="A65" s="16" t="str">
        <f t="shared" si="10"/>
        <v>39009_4-1/532&lt;lv60&gt;s2</v>
      </c>
      <c r="B65" s="22">
        <v>39009</v>
      </c>
      <c r="C65" s="114">
        <v>4</v>
      </c>
      <c r="D65" s="114" t="str">
        <f t="shared" si="11"/>
        <v>39009_4</v>
      </c>
      <c r="E65" s="115" t="str">
        <f ca="1">VLOOKUP($B65,OFFSET([2]quests!$A$1,0,0,COUNTA([2]quests!$A:$A),MATCH(E$1,[2]quests!$1:$1,0)-MATCH($B$1,[2]quests!$1:$1,0)+1),MATCH(E$1,[2]quests!$1:$1,0)-MATCH($B$1,[2]quests!$1:$1,0)+1,FALSE)</f>
        <v>星空の歌姫</v>
      </c>
      <c r="F65" s="115" t="str">
        <f ca="1">VLOOKUP($D65,OFFSET([2]stages!$A$1,0,0,COUNTA([2]stages!$A:$A),MATCH(F$1,[2]stages!$2:$2,0)-MATCH($D$1,[2]stages!$2:$2,0)+1),MATCH(F$1,[2]stages!$2:$2,0)-MATCH($D$1,[2]stages!$2:$2,0)+1,FALSE)</f>
        <v>【超級】星空の歌姫</v>
      </c>
      <c r="G65" s="114">
        <v>1</v>
      </c>
      <c r="H65" s="116" t="str">
        <f t="shared" si="12"/>
        <v>39009_4-1</v>
      </c>
      <c r="I65" s="115">
        <f ca="1">VLOOKUP($H65,OFFSET(floors!$A$1,0,0,COUNTA(floors!$A:$A),MATCH(I$1,floors!$1:$1,0)-MATCH($H$1,floors!$1:$1,0)+1),MATCH(I$1,floors!$1:$1,0)-MATCH($H$1,floors!$1:$1,0)+1,FALSE)</f>
        <v>60</v>
      </c>
      <c r="J65" s="115">
        <f ca="1">VLOOKUP($H65,OFFSET(floors!$A$1,0,0,COUNTA(floors!$A:$A),MATCH(J$1,floors!$1:$1,0)-MATCH($H$1,floors!$1:$1,0)+1),MATCH(J$1,floors!$1:$1,0)-MATCH($H$1,floors!$1:$1,0)+1,FALSE)</f>
        <v>60</v>
      </c>
      <c r="K65" s="117" t="s">
        <v>53</v>
      </c>
      <c r="L65" s="114">
        <v>532</v>
      </c>
      <c r="M65" s="17" t="str">
        <f ca="1">VLOOKUP($L65,OFFSET([3]enemies!$A$1,0,0,COUNTA([3]enemies!$A:$A),MATCH(M$1,[3]enemies!$1:$1,0)-MATCH($L$1,[3]enemies!$1:$1,0)+1),MATCH(M$1,[3]enemies!$1:$1,0)-MATCH($L$1,[3]enemies!$1:$1,0)+1,FALSE)</f>
        <v>冬服エレキポット</v>
      </c>
      <c r="N65" s="17" t="str">
        <f ca="1">VLOOKUP($L65,OFFSET([3]enemies!$A$1,0,0,COUNTA([3]enemies!$A:$A),MATCH(N$1,[3]enemies!$1:$1,0)-MATCH($L$1,[3]enemies!$1:$1,0)+1),MATCH(N$1,[3]enemies!$1:$1,0)-MATCH($L$1,[3]enemies!$1:$1,0)+1,FALSE)</f>
        <v>yellow</v>
      </c>
      <c r="O65" s="17" t="str">
        <f ca="1">VLOOKUP($L65,OFFSET([4]characters!$A$1,0,0,COUNTA([4]characters!$A:$A),MATCH(O$1,[4]characters!$1:$1,0)-MATCH($L$1,[4]characters!$1:$1,0)+1),MATCH(O$1,[4]characters!$1:$1,0)-MATCH($L$1,[4]characters!$1:$1,0)+1,FALSE)</f>
        <v>Drop1T</v>
      </c>
      <c r="P65" s="17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17">
        <f ca="1">VLOOKUP($L65,OFFSET([3]enemies!$A$1,0,0,COUNTA([3]enemies!$A:$A),MATCH(Q$1,[3]enemies!$1:$1,0)-MATCH($L$1,[3]enemies!$1:$1,0)+1),MATCH(Q$1,[3]enemies!$1:$1,0)-MATCH($L$1,[3]enemies!$1:$1,0)+1,FALSE)</f>
        <v>15</v>
      </c>
      <c r="R65" s="118">
        <v>60</v>
      </c>
      <c r="S65" s="119">
        <v>0.9</v>
      </c>
      <c r="T65" s="98">
        <f ca="1">ROUND(VLOOKUP(R65,[3]enemy_base_stats!$A:$F,2,FALSE) *INDIRECT("[EnemyMasterData.xlsm]enemies!Y"&amp;(L65+1))*  INDIRECT("[EnemyMasterData.xlsm]enemies!J"&amp;(L65+1))* INDIRECT("[EnemyMasterData.xlsm]enemies!O"&amp;(L65+1))* INDIRECT("[EnemyMasterData.xlsm]enemies!E"&amp;(L65+1))* INDIRECT("[EnemyMasterData.xlsm]enemies!S"&amp;(L65+1))* INDIRECT("[EnemyMasterData.xlsm]enemies!AD"&amp;(L65+1))*[4]ステータス!$B$2,0)*S65</f>
        <v>10848.6</v>
      </c>
      <c r="U65" s="119">
        <v>0.3</v>
      </c>
      <c r="V65" s="98">
        <f ca="1">ROUND(VLOOKUP(R65,[3]enemy_base_stats!$A:$F,3,FALSE) *INDIRECT("[EnemyMasterData.xlsm]enemies!Z"&amp;(L65+1))*  INDIRECT("[EnemyMasterData.xlsm]enemies!K"&amp;(L65+1))* INDIRECT("[EnemyMasterData.xlsm]enemies!P"&amp;(L65+1))* INDIRECT("[EnemyMasterData.xlsm]enemies!F"&amp;(L65+1))* INDIRECT("[EnemyMasterData.xlsm]enemies!T"&amp;(L65+1))* INDIRECT("[EnemyMasterData.xlsm]enemies!AE"&amp;(L65+1))*[4]ステータス!$C$2,0)*U65</f>
        <v>1487.1</v>
      </c>
      <c r="W65" s="5">
        <v>0</v>
      </c>
      <c r="X65" s="4" t="e">
        <f ca="1">VLOOKUP($Y65,OFFSET(enemy_skill_sets!$B$1,0,0,COUNTA(enemy_skill_sets!$B:$B),MATCH(M$1,enemy_skill_sets!$1:$1,0)-MATCH($Y$1,enemy_skill_sets!$1:$1,0)+2),MATCH(M$1,enemy_skill_sets!$1:$1,0)-MATCH($Y$1,enemy_skill_sets!$1:$1,0)+2,FALSE)</f>
        <v>#N/A</v>
      </c>
      <c r="Y65" s="120">
        <v>0</v>
      </c>
      <c r="Z65" s="121">
        <v>0</v>
      </c>
      <c r="AA65" s="121">
        <v>100</v>
      </c>
      <c r="AB65" s="121">
        <v>0</v>
      </c>
      <c r="AC65" s="122">
        <v>2</v>
      </c>
      <c r="AD65" s="24">
        <f t="shared" si="13"/>
        <v>532</v>
      </c>
      <c r="AE65" s="4" t="str">
        <f ca="1">VLOOKUP($AD65,OFFSET([4]characters!$A$1,0,0,COUNTA([4]characters!$A:$A),MATCH(AE$1,[4]characters!$1:$1,0)-MATCH("character_id",[4]characters!$1:$1,0)+1),MATCH(AE$1,[4]characters!$1:$1,0)-MATCH("character_id",[4]characters!$1:$1,0)+1,FALSE)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65" s="4">
        <f ca="1">VLOOKUP($AD65,OFFSET([4]characters!$A$1,0,0,COUNTA([4]characters!$A:$A),MATCH(AF$1,[4]characters!$1:$1,0)-MATCH("character_id",[4]characters!$1:$1,0)+1),MATCH(AF$1,[4]characters!$1:$1,0)-MATCH("character_id",[4]characters!$1:$1,0)+1,FALSE)</f>
        <v>1</v>
      </c>
      <c r="AG65" s="4" t="str">
        <f ca="1">VLOOKUP($AD65,OFFSET([4]characters!$A$1,0,0,COUNTA([4]characters!$A:$A),MATCH(AG$1,[4]characters!$1:$1,0)-MATCH("character_id",[4]characters!$1:$1,0)+1),MATCH(AG$1,[4]characters!$1:$1,0)-MATCH("character_id",[4]characters!$1:$1,0)+1,FALSE)</f>
        <v>Drop1T</v>
      </c>
      <c r="AH65" s="7">
        <v>1</v>
      </c>
      <c r="AI65" s="24">
        <f t="shared" ca="1" si="14"/>
        <v>1</v>
      </c>
      <c r="AJ65" s="123">
        <v>20</v>
      </c>
      <c r="AK65" s="7">
        <v>0</v>
      </c>
      <c r="AL65" s="7">
        <v>0</v>
      </c>
      <c r="AM65" s="7">
        <v>0</v>
      </c>
      <c r="AN65" s="7">
        <v>0</v>
      </c>
      <c r="AO65" s="7">
        <v>1</v>
      </c>
      <c r="AP65" s="70">
        <v>1</v>
      </c>
    </row>
    <row r="66" spans="1:42" ht="21" customHeight="1" x14ac:dyDescent="0.15">
      <c r="A66" s="16" t="str">
        <f t="shared" si="10"/>
        <v>39009_4-1/533&lt;lv60&gt;s3</v>
      </c>
      <c r="B66" s="22">
        <v>39009</v>
      </c>
      <c r="C66" s="114">
        <v>4</v>
      </c>
      <c r="D66" s="114" t="str">
        <f t="shared" si="11"/>
        <v>39009_4</v>
      </c>
      <c r="E66" s="115" t="str">
        <f ca="1">VLOOKUP($B66,OFFSET([2]quests!$A$1,0,0,COUNTA([2]quests!$A:$A),MATCH(E$1,[2]quests!$1:$1,0)-MATCH($B$1,[2]quests!$1:$1,0)+1),MATCH(E$1,[2]quests!$1:$1,0)-MATCH($B$1,[2]quests!$1:$1,0)+1,FALSE)</f>
        <v>星空の歌姫</v>
      </c>
      <c r="F66" s="115" t="str">
        <f ca="1">VLOOKUP($D66,OFFSET([2]stages!$A$1,0,0,COUNTA([2]stages!$A:$A),MATCH(F$1,[2]stages!$2:$2,0)-MATCH($D$1,[2]stages!$2:$2,0)+1),MATCH(F$1,[2]stages!$2:$2,0)-MATCH($D$1,[2]stages!$2:$2,0)+1,FALSE)</f>
        <v>【超級】星空の歌姫</v>
      </c>
      <c r="G66" s="114">
        <v>1</v>
      </c>
      <c r="H66" s="116" t="str">
        <f t="shared" si="12"/>
        <v>39009_4-1</v>
      </c>
      <c r="I66" s="115">
        <f ca="1">VLOOKUP($H66,OFFSET(floors!$A$1,0,0,COUNTA(floors!$A:$A),MATCH(I$1,floors!$1:$1,0)-MATCH($H$1,floors!$1:$1,0)+1),MATCH(I$1,floors!$1:$1,0)-MATCH($H$1,floors!$1:$1,0)+1,FALSE)</f>
        <v>60</v>
      </c>
      <c r="J66" s="115">
        <f ca="1">VLOOKUP($H66,OFFSET(floors!$A$1,0,0,COUNTA(floors!$A:$A),MATCH(J$1,floors!$1:$1,0)-MATCH($H$1,floors!$1:$1,0)+1),MATCH(J$1,floors!$1:$1,0)-MATCH($H$1,floors!$1:$1,0)+1,FALSE)</f>
        <v>60</v>
      </c>
      <c r="K66" s="117" t="s">
        <v>53</v>
      </c>
      <c r="L66" s="114">
        <v>533</v>
      </c>
      <c r="M66" s="17" t="str">
        <f ca="1">VLOOKUP($L66,OFFSET([3]enemies!$A$1,0,0,COUNTA([3]enemies!$A:$A),MATCH(M$1,[3]enemies!$1:$1,0)-MATCH($L$1,[3]enemies!$1:$1,0)+1),MATCH(M$1,[3]enemies!$1:$1,0)-MATCH($L$1,[3]enemies!$1:$1,0)+1,FALSE)</f>
        <v>冬服アカネ</v>
      </c>
      <c r="N66" s="17" t="str">
        <f ca="1">VLOOKUP($L66,OFFSET([3]enemies!$A$1,0,0,COUNTA([3]enemies!$A:$A),MATCH(N$1,[3]enemies!$1:$1,0)-MATCH($L$1,[3]enemies!$1:$1,0)+1),MATCH(N$1,[3]enemies!$1:$1,0)-MATCH($L$1,[3]enemies!$1:$1,0)+1,FALSE)</f>
        <v>red</v>
      </c>
      <c r="O66" s="17" t="str">
        <f ca="1">VLOOKUP($L66,OFFSET([4]characters!$A$1,0,0,COUNTA([4]characters!$A:$A),MATCH(O$1,[4]characters!$1:$1,0)-MATCH($L$1,[4]characters!$1:$1,0)+1),MATCH(O$1,[4]characters!$1:$1,0)-MATCH($L$1,[4]characters!$1:$1,0)+1,FALSE)</f>
        <v>Drop1W</v>
      </c>
      <c r="P66" s="17" t="str">
        <f ca="1">VLOOKUP($L66,OFFSET([3]enemies!$A$1,0,0,COUNTA([3]enemies!$A:$A),MATCH(P$1,[3]enemies!$1:$1,0)-MATCH($L$1,[3]enemies!$1:$1,0)+1),MATCH(P$1,[3]enemies!$1:$1,0)-MATCH($L$1,[3]enemies!$1:$1,0)+1,FALSE)</f>
        <v>human</v>
      </c>
      <c r="Q66" s="17">
        <f ca="1">VLOOKUP($L66,OFFSET([3]enemies!$A$1,0,0,COUNTA([3]enemies!$A:$A),MATCH(Q$1,[3]enemies!$1:$1,0)-MATCH($L$1,[3]enemies!$1:$1,0)+1),MATCH(Q$1,[3]enemies!$1:$1,0)-MATCH($L$1,[3]enemies!$1:$1,0)+1,FALSE)</f>
        <v>15</v>
      </c>
      <c r="R66" s="118">
        <v>60</v>
      </c>
      <c r="S66" s="119">
        <v>0.9</v>
      </c>
      <c r="T66" s="98">
        <f ca="1">ROUND(VLOOKUP(R66,[3]enemy_base_stats!$A:$F,2,FALSE) *INDIRECT("[EnemyMasterData.xlsm]enemies!Y"&amp;(L66+1))*  INDIRECT("[EnemyMasterData.xlsm]enemies!J"&amp;(L66+1))* INDIRECT("[EnemyMasterData.xlsm]enemies!O"&amp;(L66+1))* INDIRECT("[EnemyMasterData.xlsm]enemies!E"&amp;(L66+1))* INDIRECT("[EnemyMasterData.xlsm]enemies!S"&amp;(L66+1))* INDIRECT("[EnemyMasterData.xlsm]enemies!AD"&amp;(L66+1))*[4]ステータス!$B$2,0)*S66</f>
        <v>10405.800000000001</v>
      </c>
      <c r="U66" s="119">
        <v>0.6</v>
      </c>
      <c r="V66" s="98">
        <f ca="1">ROUND(VLOOKUP(R66,[3]enemy_base_stats!$A:$F,3,FALSE) *INDIRECT("[EnemyMasterData.xlsm]enemies!Z"&amp;(L66+1))*  INDIRECT("[EnemyMasterData.xlsm]enemies!K"&amp;(L66+1))* INDIRECT("[EnemyMasterData.xlsm]enemies!P"&amp;(L66+1))* INDIRECT("[EnemyMasterData.xlsm]enemies!F"&amp;(L66+1))* INDIRECT("[EnemyMasterData.xlsm]enemies!T"&amp;(L66+1))* INDIRECT("[EnemyMasterData.xlsm]enemies!AE"&amp;(L66+1))*[4]ステータス!$C$2,0)*U66</f>
        <v>2235.6</v>
      </c>
      <c r="W66" s="5">
        <v>0</v>
      </c>
      <c r="X66" s="4" t="e">
        <f ca="1">VLOOKUP($Y66,OFFSET(enemy_skill_sets!$B$1,0,0,COUNTA(enemy_skill_sets!$B:$B),MATCH(M$1,enemy_skill_sets!$1:$1,0)-MATCH($Y$1,enemy_skill_sets!$1:$1,0)+2),MATCH(M$1,enemy_skill_sets!$1:$1,0)-MATCH($Y$1,enemy_skill_sets!$1:$1,0)+2,FALSE)</f>
        <v>#N/A</v>
      </c>
      <c r="Y66" s="120">
        <v>0</v>
      </c>
      <c r="Z66" s="121">
        <v>0</v>
      </c>
      <c r="AA66" s="121">
        <v>100</v>
      </c>
      <c r="AB66" s="121">
        <v>0</v>
      </c>
      <c r="AC66" s="122">
        <v>3</v>
      </c>
      <c r="AD66" s="24">
        <f t="shared" si="13"/>
        <v>533</v>
      </c>
      <c r="AE66" s="4" t="str">
        <f ca="1">VLOOKUP($AD66,OFFSET([4]characters!$A$1,0,0,COUNTA([4]characters!$A:$A),MATCH(AE$1,[4]characters!$1:$1,0)-MATCH("character_id",[4]characters!$1:$1,0)+1),MATCH(AE$1,[4]characters!$1:$1,0)-MATCH("character_id",[4]characters!$1:$1,0)+1,FALSE)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66" s="4">
        <f ca="1">VLOOKUP($AD66,OFFSET([4]characters!$A$1,0,0,COUNTA([4]characters!$A:$A),MATCH(AF$1,[4]characters!$1:$1,0)-MATCH("character_id",[4]characters!$1:$1,0)+1),MATCH(AF$1,[4]characters!$1:$1,0)-MATCH("character_id",[4]characters!$1:$1,0)+1,FALSE)</f>
        <v>1</v>
      </c>
      <c r="AG66" s="4" t="str">
        <f ca="1">VLOOKUP($AD66,OFFSET([4]characters!$A$1,0,0,COUNTA([4]characters!$A:$A),MATCH(AG$1,[4]characters!$1:$1,0)-MATCH("character_id",[4]characters!$1:$1,0)+1),MATCH(AG$1,[4]characters!$1:$1,0)-MATCH("character_id",[4]characters!$1:$1,0)+1,FALSE)</f>
        <v>Drop1W</v>
      </c>
      <c r="AH66" s="7">
        <v>1</v>
      </c>
      <c r="AI66" s="24">
        <f t="shared" ca="1" si="14"/>
        <v>1</v>
      </c>
      <c r="AJ66" s="123">
        <v>20</v>
      </c>
      <c r="AK66" s="7">
        <v>0</v>
      </c>
      <c r="AL66" s="7">
        <v>0</v>
      </c>
      <c r="AM66" s="7">
        <v>0</v>
      </c>
      <c r="AN66" s="7">
        <v>0</v>
      </c>
      <c r="AO66" s="7">
        <v>1</v>
      </c>
      <c r="AP66" s="70">
        <v>1</v>
      </c>
    </row>
    <row r="67" spans="1:42" ht="21" customHeight="1" x14ac:dyDescent="0.15">
      <c r="A67" s="16" t="str">
        <f t="shared" si="10"/>
        <v>39009_4-1/534&lt;lv60&gt;s1</v>
      </c>
      <c r="B67" s="22">
        <v>39009</v>
      </c>
      <c r="C67" s="114">
        <v>4</v>
      </c>
      <c r="D67" s="114" t="str">
        <f t="shared" si="11"/>
        <v>39009_4</v>
      </c>
      <c r="E67" s="115" t="str">
        <f ca="1">VLOOKUP($B67,OFFSET([2]quests!$A$1,0,0,COUNTA([2]quests!$A:$A),MATCH(E$1,[2]quests!$1:$1,0)-MATCH($B$1,[2]quests!$1:$1,0)+1),MATCH(E$1,[2]quests!$1:$1,0)-MATCH($B$1,[2]quests!$1:$1,0)+1,FALSE)</f>
        <v>星空の歌姫</v>
      </c>
      <c r="F67" s="115" t="str">
        <f ca="1">VLOOKUP($D67,OFFSET([2]stages!$A$1,0,0,COUNTA([2]stages!$A:$A),MATCH(F$1,[2]stages!$2:$2,0)-MATCH($D$1,[2]stages!$2:$2,0)+1),MATCH(F$1,[2]stages!$2:$2,0)-MATCH($D$1,[2]stages!$2:$2,0)+1,FALSE)</f>
        <v>【超級】星空の歌姫</v>
      </c>
      <c r="G67" s="114">
        <v>1</v>
      </c>
      <c r="H67" s="116" t="str">
        <f t="shared" si="12"/>
        <v>39009_4-1</v>
      </c>
      <c r="I67" s="115">
        <f ca="1">VLOOKUP($H67,OFFSET(floors!$A$1,0,0,COUNTA(floors!$A:$A),MATCH(I$1,floors!$1:$1,0)-MATCH($H$1,floors!$1:$1,0)+1),MATCH(I$1,floors!$1:$1,0)-MATCH($H$1,floors!$1:$1,0)+1,FALSE)</f>
        <v>60</v>
      </c>
      <c r="J67" s="115">
        <f ca="1">VLOOKUP($H67,OFFSET(floors!$A$1,0,0,COUNTA(floors!$A:$A),MATCH(J$1,floors!$1:$1,0)-MATCH($H$1,floors!$1:$1,0)+1),MATCH(J$1,floors!$1:$1,0)-MATCH($H$1,floors!$1:$1,0)+1,FALSE)</f>
        <v>60</v>
      </c>
      <c r="K67" s="117" t="s">
        <v>53</v>
      </c>
      <c r="L67" s="114">
        <v>534</v>
      </c>
      <c r="M67" s="17" t="str">
        <f ca="1">VLOOKUP($L67,OFFSET([3]enemies!$A$1,0,0,COUNTA([3]enemies!$A:$A),MATCH(M$1,[3]enemies!$1:$1,0)-MATCH($L$1,[3]enemies!$1:$1,0)+1),MATCH(M$1,[3]enemies!$1:$1,0)-MATCH($L$1,[3]enemies!$1:$1,0)+1,FALSE)</f>
        <v>冬服パトライン</v>
      </c>
      <c r="N67" s="17" t="str">
        <f ca="1">VLOOKUP($L67,OFFSET([3]enemies!$A$1,0,0,COUNTA([3]enemies!$A:$A),MATCH(N$1,[3]enemies!$1:$1,0)-MATCH($L$1,[3]enemies!$1:$1,0)+1),MATCH(N$1,[3]enemies!$1:$1,0)-MATCH($L$1,[3]enemies!$1:$1,0)+1,FALSE)</f>
        <v>green</v>
      </c>
      <c r="O67" s="17" t="str">
        <f ca="1">VLOOKUP($L67,OFFSET([4]characters!$A$1,0,0,COUNTA([4]characters!$A:$A),MATCH(O$1,[4]characters!$1:$1,0)-MATCH($L$1,[4]characters!$1:$1,0)+1),MATCH(O$1,[4]characters!$1:$1,0)-MATCH($L$1,[4]characters!$1:$1,0)+1,FALSE)</f>
        <v>Drop1W</v>
      </c>
      <c r="P67" s="17" t="str">
        <f ca="1">VLOOKUP($L67,OFFSET([3]enemies!$A$1,0,0,COUNTA([3]enemies!$A:$A),MATCH(P$1,[3]enemies!$1:$1,0)-MATCH($L$1,[3]enemies!$1:$1,0)+1),MATCH(P$1,[3]enemies!$1:$1,0)-MATCH($L$1,[3]enemies!$1:$1,0)+1,FALSE)</f>
        <v>machine</v>
      </c>
      <c r="Q67" s="17">
        <f ca="1">VLOOKUP($L67,OFFSET([3]enemies!$A$1,0,0,COUNTA([3]enemies!$A:$A),MATCH(Q$1,[3]enemies!$1:$1,0)-MATCH($L$1,[3]enemies!$1:$1,0)+1),MATCH(Q$1,[3]enemies!$1:$1,0)-MATCH($L$1,[3]enemies!$1:$1,0)+1,FALSE)</f>
        <v>15</v>
      </c>
      <c r="R67" s="118">
        <v>60</v>
      </c>
      <c r="S67" s="119">
        <v>1.4</v>
      </c>
      <c r="T67" s="98">
        <f ca="1">ROUND(VLOOKUP(R67,[3]enemy_base_stats!$A:$F,2,FALSE) *INDIRECT("[EnemyMasterData.xlsm]enemies!Y"&amp;(L67+1))*  INDIRECT("[EnemyMasterData.xlsm]enemies!J"&amp;(L67+1))* INDIRECT("[EnemyMasterData.xlsm]enemies!O"&amp;(L67+1))* INDIRECT("[EnemyMasterData.xlsm]enemies!E"&amp;(L67+1))* INDIRECT("[EnemyMasterData.xlsm]enemies!S"&amp;(L67+1))* INDIRECT("[EnemyMasterData.xlsm]enemies!AD"&amp;(L67+1))*[4]ステータス!$B$2,0)*S67</f>
        <v>14051.8</v>
      </c>
      <c r="U67" s="119">
        <v>0.5</v>
      </c>
      <c r="V67" s="98">
        <f ca="1">ROUND(VLOOKUP(R67,[3]enemy_base_stats!$A:$F,3,FALSE) *INDIRECT("[EnemyMasterData.xlsm]enemies!Z"&amp;(L67+1))*  INDIRECT("[EnemyMasterData.xlsm]enemies!K"&amp;(L67+1))* INDIRECT("[EnemyMasterData.xlsm]enemies!P"&amp;(L67+1))* INDIRECT("[EnemyMasterData.xlsm]enemies!F"&amp;(L67+1))* INDIRECT("[EnemyMasterData.xlsm]enemies!T"&amp;(L67+1))* INDIRECT("[EnemyMasterData.xlsm]enemies!AE"&amp;(L67+1))*[4]ステータス!$C$2,0)*U67</f>
        <v>1410.5</v>
      </c>
      <c r="W67" s="5">
        <v>0</v>
      </c>
      <c r="X67" s="4" t="e">
        <f ca="1">VLOOKUP($Y67,OFFSET(enemy_skill_sets!$B$1,0,0,COUNTA(enemy_skill_sets!$B:$B),MATCH(M$1,enemy_skill_sets!$1:$1,0)-MATCH($Y$1,enemy_skill_sets!$1:$1,0)+2),MATCH(M$1,enemy_skill_sets!$1:$1,0)-MATCH($Y$1,enemy_skill_sets!$1:$1,0)+2,FALSE)</f>
        <v>#N/A</v>
      </c>
      <c r="Y67" s="120">
        <v>0</v>
      </c>
      <c r="Z67" s="121">
        <v>0</v>
      </c>
      <c r="AA67" s="121">
        <v>100</v>
      </c>
      <c r="AB67" s="121">
        <v>0</v>
      </c>
      <c r="AC67" s="122">
        <v>1</v>
      </c>
      <c r="AD67" s="24">
        <f t="shared" si="13"/>
        <v>534</v>
      </c>
      <c r="AE67" s="4" t="str">
        <f ca="1">VLOOKUP($AD67,OFFSET([4]characters!$A$1,0,0,COUNTA([4]characters!$A:$A),MATCH(AE$1,[4]characters!$1:$1,0)-MATCH("character_id",[4]characters!$1:$1,0)+1),MATCH(AE$1,[4]characters!$1:$1,0)-MATCH("character_id",[4]characters!$1:$1,0)+1,FALSE)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67" s="4">
        <f ca="1">VLOOKUP($AD67,OFFSET([4]characters!$A$1,0,0,COUNTA([4]characters!$A:$A),MATCH(AF$1,[4]characters!$1:$1,0)-MATCH("character_id",[4]characters!$1:$1,0)+1),MATCH(AF$1,[4]characters!$1:$1,0)-MATCH("character_id",[4]characters!$1:$1,0)+1,FALSE)</f>
        <v>1</v>
      </c>
      <c r="AG67" s="4" t="str">
        <f ca="1">VLOOKUP($AD67,OFFSET([4]characters!$A$1,0,0,COUNTA([4]characters!$A:$A),MATCH(AG$1,[4]characters!$1:$1,0)-MATCH("character_id",[4]characters!$1:$1,0)+1),MATCH(AG$1,[4]characters!$1:$1,0)-MATCH("character_id",[4]characters!$1:$1,0)+1,FALSE)</f>
        <v>Drop1W</v>
      </c>
      <c r="AH67" s="7">
        <v>1</v>
      </c>
      <c r="AI67" s="24">
        <f t="shared" ca="1" si="14"/>
        <v>1</v>
      </c>
      <c r="AJ67" s="123">
        <v>20</v>
      </c>
      <c r="AK67" s="7">
        <v>0</v>
      </c>
      <c r="AL67" s="7">
        <v>0</v>
      </c>
      <c r="AM67" s="7">
        <v>0</v>
      </c>
      <c r="AN67" s="7">
        <v>0</v>
      </c>
      <c r="AO67" s="7">
        <v>1</v>
      </c>
      <c r="AP67" s="70">
        <v>1</v>
      </c>
    </row>
    <row r="68" spans="1:42" ht="21" customHeight="1" x14ac:dyDescent="0.15">
      <c r="A68" s="16" t="str">
        <f t="shared" si="10"/>
        <v>39009_4-1/535&lt;lv60&gt;s2</v>
      </c>
      <c r="B68" s="22">
        <v>39009</v>
      </c>
      <c r="C68" s="114">
        <v>4</v>
      </c>
      <c r="D68" s="114" t="str">
        <f t="shared" si="11"/>
        <v>39009_4</v>
      </c>
      <c r="E68" s="115" t="str">
        <f ca="1">VLOOKUP($B68,OFFSET([2]quests!$A$1,0,0,COUNTA([2]quests!$A:$A),MATCH(E$1,[2]quests!$1:$1,0)-MATCH($B$1,[2]quests!$1:$1,0)+1),MATCH(E$1,[2]quests!$1:$1,0)-MATCH($B$1,[2]quests!$1:$1,0)+1,FALSE)</f>
        <v>星空の歌姫</v>
      </c>
      <c r="F68" s="115" t="str">
        <f ca="1">VLOOKUP($D68,OFFSET([2]stages!$A$1,0,0,COUNTA([2]stages!$A:$A),MATCH(F$1,[2]stages!$2:$2,0)-MATCH($D$1,[2]stages!$2:$2,0)+1),MATCH(F$1,[2]stages!$2:$2,0)-MATCH($D$1,[2]stages!$2:$2,0)+1,FALSE)</f>
        <v>【超級】星空の歌姫</v>
      </c>
      <c r="G68" s="114">
        <v>1</v>
      </c>
      <c r="H68" s="116" t="str">
        <f t="shared" si="12"/>
        <v>39009_4-1</v>
      </c>
      <c r="I68" s="115">
        <f ca="1">VLOOKUP($H68,OFFSET(floors!$A$1,0,0,COUNTA(floors!$A:$A),MATCH(I$1,floors!$1:$1,0)-MATCH($H$1,floors!$1:$1,0)+1),MATCH(I$1,floors!$1:$1,0)-MATCH($H$1,floors!$1:$1,0)+1,FALSE)</f>
        <v>60</v>
      </c>
      <c r="J68" s="115">
        <f ca="1">VLOOKUP($H68,OFFSET(floors!$A$1,0,0,COUNTA(floors!$A:$A),MATCH(J$1,floors!$1:$1,0)-MATCH($H$1,floors!$1:$1,0)+1),MATCH(J$1,floors!$1:$1,0)-MATCH($H$1,floors!$1:$1,0)+1,FALSE)</f>
        <v>60</v>
      </c>
      <c r="K68" s="117" t="s">
        <v>53</v>
      </c>
      <c r="L68" s="114">
        <v>535</v>
      </c>
      <c r="M68" s="17" t="str">
        <f ca="1">VLOOKUP($L68,OFFSET([3]enemies!$A$1,0,0,COUNTA([3]enemies!$A:$A),MATCH(M$1,[3]enemies!$1:$1,0)-MATCH($L$1,[3]enemies!$1:$1,0)+1),MATCH(M$1,[3]enemies!$1:$1,0)-MATCH($L$1,[3]enemies!$1:$1,0)+1,FALSE)</f>
        <v>冬服リム</v>
      </c>
      <c r="N68" s="17" t="str">
        <f ca="1">VLOOKUP($L68,OFFSET([3]enemies!$A$1,0,0,COUNTA([3]enemies!$A:$A),MATCH(N$1,[3]enemies!$1:$1,0)-MATCH($L$1,[3]enemies!$1:$1,0)+1),MATCH(N$1,[3]enemies!$1:$1,0)-MATCH($L$1,[3]enemies!$1:$1,0)+1,FALSE)</f>
        <v>blue</v>
      </c>
      <c r="O68" s="17" t="str">
        <f ca="1">VLOOKUP($L68,OFFSET([4]characters!$A$1,0,0,COUNTA([4]characters!$A:$A),MATCH(O$1,[4]characters!$1:$1,0)-MATCH($L$1,[4]characters!$1:$1,0)+1),MATCH(O$1,[4]characters!$1:$1,0)-MATCH($L$1,[4]characters!$1:$1,0)+1,FALSE)</f>
        <v>Drop1W</v>
      </c>
      <c r="P68" s="17" t="str">
        <f ca="1">VLOOKUP($L68,OFFSET([3]enemies!$A$1,0,0,COUNTA([3]enemies!$A:$A),MATCH(P$1,[3]enemies!$1:$1,0)-MATCH($L$1,[3]enemies!$1:$1,0)+1),MATCH(P$1,[3]enemies!$1:$1,0)-MATCH($L$1,[3]enemies!$1:$1,0)+1,FALSE)</f>
        <v>human</v>
      </c>
      <c r="Q68" s="17">
        <f ca="1">VLOOKUP($L68,OFFSET([3]enemies!$A$1,0,0,COUNTA([3]enemies!$A:$A),MATCH(Q$1,[3]enemies!$1:$1,0)-MATCH($L$1,[3]enemies!$1:$1,0)+1),MATCH(Q$1,[3]enemies!$1:$1,0)-MATCH($L$1,[3]enemies!$1:$1,0)+1,FALSE)</f>
        <v>15</v>
      </c>
      <c r="R68" s="118">
        <v>60</v>
      </c>
      <c r="S68" s="119">
        <v>0.6</v>
      </c>
      <c r="T68" s="98">
        <f ca="1">ROUND(VLOOKUP(R68,[3]enemy_base_stats!$A:$F,2,FALSE) *INDIRECT("[EnemyMasterData.xlsm]enemies!Y"&amp;(L68+1))*  INDIRECT("[EnemyMasterData.xlsm]enemies!J"&amp;(L68+1))* INDIRECT("[EnemyMasterData.xlsm]enemies!O"&amp;(L68+1))* INDIRECT("[EnemyMasterData.xlsm]enemies!E"&amp;(L68+1))* INDIRECT("[EnemyMasterData.xlsm]enemies!S"&amp;(L68+1))* INDIRECT("[EnemyMasterData.xlsm]enemies!AD"&amp;(L68+1))*[4]ステータス!$B$2,0)*S68</f>
        <v>6937.2</v>
      </c>
      <c r="U68" s="119">
        <v>0.4</v>
      </c>
      <c r="V68" s="98">
        <f ca="1">ROUND(VLOOKUP(R68,[3]enemy_base_stats!$A:$F,3,FALSE) *INDIRECT("[EnemyMasterData.xlsm]enemies!Z"&amp;(L68+1))*  INDIRECT("[EnemyMasterData.xlsm]enemies!K"&amp;(L68+1))* INDIRECT("[EnemyMasterData.xlsm]enemies!P"&amp;(L68+1))* INDIRECT("[EnemyMasterData.xlsm]enemies!F"&amp;(L68+1))* INDIRECT("[EnemyMasterData.xlsm]enemies!T"&amp;(L68+1))* INDIRECT("[EnemyMasterData.xlsm]enemies!AE"&amp;(L68+1))*[4]ステータス!$C$2,0)*U68</f>
        <v>1432</v>
      </c>
      <c r="W68" s="5">
        <v>0</v>
      </c>
      <c r="X68" s="4" t="e">
        <f ca="1">VLOOKUP($Y68,OFFSET(enemy_skill_sets!$B$1,0,0,COUNTA(enemy_skill_sets!$B:$B),MATCH(M$1,enemy_skill_sets!$1:$1,0)-MATCH($Y$1,enemy_skill_sets!$1:$1,0)+2),MATCH(M$1,enemy_skill_sets!$1:$1,0)-MATCH($Y$1,enemy_skill_sets!$1:$1,0)+2,FALSE)</f>
        <v>#N/A</v>
      </c>
      <c r="Y68" s="120">
        <v>0</v>
      </c>
      <c r="Z68" s="121">
        <v>0</v>
      </c>
      <c r="AA68" s="121">
        <v>100</v>
      </c>
      <c r="AB68" s="121">
        <v>0</v>
      </c>
      <c r="AC68" s="122">
        <v>2</v>
      </c>
      <c r="AD68" s="24">
        <f t="shared" si="13"/>
        <v>535</v>
      </c>
      <c r="AE68" s="4" t="str">
        <f ca="1">VLOOKUP($AD68,OFFSET([4]characters!$A$1,0,0,COUNTA([4]characters!$A:$A),MATCH(AE$1,[4]characters!$1:$1,0)-MATCH("character_id",[4]characters!$1:$1,0)+1),MATCH(AE$1,[4]characters!$1:$1,0)-MATCH("character_id",[4]characters!$1:$1,0)+1,FALSE)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68" s="4">
        <f ca="1">VLOOKUP($AD68,OFFSET([4]characters!$A$1,0,0,COUNTA([4]characters!$A:$A),MATCH(AF$1,[4]characters!$1:$1,0)-MATCH("character_id",[4]characters!$1:$1,0)+1),MATCH(AF$1,[4]characters!$1:$1,0)-MATCH("character_id",[4]characters!$1:$1,0)+1,FALSE)</f>
        <v>1</v>
      </c>
      <c r="AG68" s="4" t="str">
        <f ca="1">VLOOKUP($AD68,OFFSET([4]characters!$A$1,0,0,COUNTA([4]characters!$A:$A),MATCH(AG$1,[4]characters!$1:$1,0)-MATCH("character_id",[4]characters!$1:$1,0)+1),MATCH(AG$1,[4]characters!$1:$1,0)-MATCH("character_id",[4]characters!$1:$1,0)+1,FALSE)</f>
        <v>Drop1W</v>
      </c>
      <c r="AH68" s="7">
        <v>1</v>
      </c>
      <c r="AI68" s="24">
        <f t="shared" ca="1" si="14"/>
        <v>1</v>
      </c>
      <c r="AJ68" s="123">
        <v>20</v>
      </c>
      <c r="AK68" s="7">
        <v>0</v>
      </c>
      <c r="AL68" s="7">
        <v>0</v>
      </c>
      <c r="AM68" s="7">
        <v>0</v>
      </c>
      <c r="AN68" s="7">
        <v>0</v>
      </c>
      <c r="AO68" s="7">
        <v>1</v>
      </c>
      <c r="AP68" s="70">
        <v>1</v>
      </c>
    </row>
    <row r="69" spans="1:42" ht="21" customHeight="1" x14ac:dyDescent="0.15">
      <c r="A69" s="16" t="str">
        <f t="shared" si="10"/>
        <v>39009_4-1/536&lt;lv60&gt;s2</v>
      </c>
      <c r="B69" s="22">
        <v>39009</v>
      </c>
      <c r="C69" s="114">
        <v>4</v>
      </c>
      <c r="D69" s="114" t="str">
        <f t="shared" si="11"/>
        <v>39009_4</v>
      </c>
      <c r="E69" s="115" t="str">
        <f ca="1">VLOOKUP($B69,OFFSET([2]quests!$A$1,0,0,COUNTA([2]quests!$A:$A),MATCH(E$1,[2]quests!$1:$1,0)-MATCH($B$1,[2]quests!$1:$1,0)+1),MATCH(E$1,[2]quests!$1:$1,0)-MATCH($B$1,[2]quests!$1:$1,0)+1,FALSE)</f>
        <v>星空の歌姫</v>
      </c>
      <c r="F69" s="115" t="str">
        <f ca="1">VLOOKUP($D69,OFFSET([2]stages!$A$1,0,0,COUNTA([2]stages!$A:$A),MATCH(F$1,[2]stages!$2:$2,0)-MATCH($D$1,[2]stages!$2:$2,0)+1),MATCH(F$1,[2]stages!$2:$2,0)-MATCH($D$1,[2]stages!$2:$2,0)+1,FALSE)</f>
        <v>【超級】星空の歌姫</v>
      </c>
      <c r="G69" s="114">
        <v>1</v>
      </c>
      <c r="H69" s="116" t="str">
        <f t="shared" si="12"/>
        <v>39009_4-1</v>
      </c>
      <c r="I69" s="115">
        <f ca="1">VLOOKUP($H69,OFFSET(floors!$A$1,0,0,COUNTA(floors!$A:$A),MATCH(I$1,floors!$1:$1,0)-MATCH($H$1,floors!$1:$1,0)+1),MATCH(I$1,floors!$1:$1,0)-MATCH($H$1,floors!$1:$1,0)+1,FALSE)</f>
        <v>60</v>
      </c>
      <c r="J69" s="115">
        <f ca="1">VLOOKUP($H69,OFFSET(floors!$A$1,0,0,COUNTA(floors!$A:$A),MATCH(J$1,floors!$1:$1,0)-MATCH($H$1,floors!$1:$1,0)+1),MATCH(J$1,floors!$1:$1,0)-MATCH($H$1,floors!$1:$1,0)+1,FALSE)</f>
        <v>60</v>
      </c>
      <c r="K69" s="117" t="s">
        <v>53</v>
      </c>
      <c r="L69" s="114">
        <v>536</v>
      </c>
      <c r="M69" s="17" t="str">
        <f ca="1">VLOOKUP($L69,OFFSET([3]enemies!$A$1,0,0,COUNTA([3]enemies!$A:$A),MATCH(M$1,[3]enemies!$1:$1,0)-MATCH($L$1,[3]enemies!$1:$1,0)+1),MATCH(M$1,[3]enemies!$1:$1,0)-MATCH($L$1,[3]enemies!$1:$1,0)+1,FALSE)</f>
        <v>冬服ミミ</v>
      </c>
      <c r="N69" s="17" t="str">
        <f ca="1">VLOOKUP($L69,OFFSET([3]enemies!$A$1,0,0,COUNTA([3]enemies!$A:$A),MATCH(N$1,[3]enemies!$1:$1,0)-MATCH($L$1,[3]enemies!$1:$1,0)+1),MATCH(N$1,[3]enemies!$1:$1,0)-MATCH($L$1,[3]enemies!$1:$1,0)+1,FALSE)</f>
        <v>yellow</v>
      </c>
      <c r="O69" s="17" t="str">
        <f ca="1">VLOOKUP($L69,OFFSET([4]characters!$A$1,0,0,COUNTA([4]characters!$A:$A),MATCH(O$1,[4]characters!$1:$1,0)-MATCH($L$1,[4]characters!$1:$1,0)+1),MATCH(O$1,[4]characters!$1:$1,0)-MATCH($L$1,[4]characters!$1:$1,0)+1,FALSE)</f>
        <v>Drop1W</v>
      </c>
      <c r="P69" s="17" t="str">
        <f ca="1">VLOOKUP($L69,OFFSET([3]enemies!$A$1,0,0,COUNTA([3]enemies!$A:$A),MATCH(P$1,[3]enemies!$1:$1,0)-MATCH($L$1,[3]enemies!$1:$1,0)+1),MATCH(P$1,[3]enemies!$1:$1,0)-MATCH($L$1,[3]enemies!$1:$1,0)+1,FALSE)</f>
        <v>animal</v>
      </c>
      <c r="Q69" s="17">
        <f ca="1">VLOOKUP($L69,OFFSET([3]enemies!$A$1,0,0,COUNTA([3]enemies!$A:$A),MATCH(Q$1,[3]enemies!$1:$1,0)-MATCH($L$1,[3]enemies!$1:$1,0)+1),MATCH(Q$1,[3]enemies!$1:$1,0)-MATCH($L$1,[3]enemies!$1:$1,0)+1,FALSE)</f>
        <v>15</v>
      </c>
      <c r="R69" s="118">
        <v>60</v>
      </c>
      <c r="S69" s="119">
        <v>0.9</v>
      </c>
      <c r="T69" s="98">
        <f ca="1">ROUND(VLOOKUP(R69,[3]enemy_base_stats!$A:$F,2,FALSE) *INDIRECT("[EnemyMasterData.xlsm]enemies!Y"&amp;(L69+1))*  INDIRECT("[EnemyMasterData.xlsm]enemies!J"&amp;(L69+1))* INDIRECT("[EnemyMasterData.xlsm]enemies!O"&amp;(L69+1))* INDIRECT("[EnemyMasterData.xlsm]enemies!E"&amp;(L69+1))* INDIRECT("[EnemyMasterData.xlsm]enemies!S"&amp;(L69+1))* INDIRECT("[EnemyMasterData.xlsm]enemies!AD"&amp;(L69+1))*[4]ステータス!$B$2,0)*S69</f>
        <v>10848.6</v>
      </c>
      <c r="U69" s="119">
        <v>0.3</v>
      </c>
      <c r="V69" s="98">
        <f ca="1">ROUND(VLOOKUP(R69,[3]enemy_base_stats!$A:$F,3,FALSE) *INDIRECT("[EnemyMasterData.xlsm]enemies!Z"&amp;(L69+1))*  INDIRECT("[EnemyMasterData.xlsm]enemies!K"&amp;(L69+1))* INDIRECT("[EnemyMasterData.xlsm]enemies!P"&amp;(L69+1))* INDIRECT("[EnemyMasterData.xlsm]enemies!F"&amp;(L69+1))* INDIRECT("[EnemyMasterData.xlsm]enemies!T"&amp;(L69+1))* INDIRECT("[EnemyMasterData.xlsm]enemies!AE"&amp;(L69+1))*[4]ステータス!$C$2,0)*U69</f>
        <v>1635.6</v>
      </c>
      <c r="W69" s="5">
        <v>0</v>
      </c>
      <c r="X69" s="4" t="e">
        <f ca="1">VLOOKUP($Y69,OFFSET(enemy_skill_sets!$B$1,0,0,COUNTA(enemy_skill_sets!$B:$B),MATCH(M$1,enemy_skill_sets!$1:$1,0)-MATCH($Y$1,enemy_skill_sets!$1:$1,0)+2),MATCH(M$1,enemy_skill_sets!$1:$1,0)-MATCH($Y$1,enemy_skill_sets!$1:$1,0)+2,FALSE)</f>
        <v>#N/A</v>
      </c>
      <c r="Y69" s="120">
        <v>0</v>
      </c>
      <c r="Z69" s="121">
        <v>0</v>
      </c>
      <c r="AA69" s="121">
        <v>100</v>
      </c>
      <c r="AB69" s="121">
        <v>0</v>
      </c>
      <c r="AC69" s="122">
        <v>2</v>
      </c>
      <c r="AD69" s="24">
        <f t="shared" si="13"/>
        <v>536</v>
      </c>
      <c r="AE69" s="4" t="str">
        <f ca="1">VLOOKUP($AD69,OFFSET([4]characters!$A$1,0,0,COUNTA([4]characters!$A:$A),MATCH(AE$1,[4]characters!$1:$1,0)-MATCH("character_id",[4]characters!$1:$1,0)+1),MATCH(AE$1,[4]characters!$1:$1,0)-MATCH("character_id",[4]characters!$1:$1,0)+1,FALSE)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69" s="4">
        <f ca="1">VLOOKUP($AD69,OFFSET([4]characters!$A$1,0,0,COUNTA([4]characters!$A:$A),MATCH(AF$1,[4]characters!$1:$1,0)-MATCH("character_id",[4]characters!$1:$1,0)+1),MATCH(AF$1,[4]characters!$1:$1,0)-MATCH("character_id",[4]characters!$1:$1,0)+1,FALSE)</f>
        <v>1</v>
      </c>
      <c r="AG69" s="4" t="str">
        <f ca="1">VLOOKUP($AD69,OFFSET([4]characters!$A$1,0,0,COUNTA([4]characters!$A:$A),MATCH(AG$1,[4]characters!$1:$1,0)-MATCH("character_id",[4]characters!$1:$1,0)+1),MATCH(AG$1,[4]characters!$1:$1,0)-MATCH("character_id",[4]characters!$1:$1,0)+1,FALSE)</f>
        <v>Drop1W</v>
      </c>
      <c r="AH69" s="7">
        <v>1</v>
      </c>
      <c r="AI69" s="24">
        <f t="shared" ca="1" si="14"/>
        <v>1</v>
      </c>
      <c r="AJ69" s="123">
        <v>20</v>
      </c>
      <c r="AK69" s="7">
        <v>0</v>
      </c>
      <c r="AL69" s="7">
        <v>0</v>
      </c>
      <c r="AM69" s="7">
        <v>0</v>
      </c>
      <c r="AN69" s="7">
        <v>0</v>
      </c>
      <c r="AO69" s="7">
        <v>1</v>
      </c>
      <c r="AP69" s="70">
        <v>1</v>
      </c>
    </row>
    <row r="70" spans="1:42" ht="21" customHeight="1" x14ac:dyDescent="0.15">
      <c r="A70" s="16" t="str">
        <f t="shared" si="10"/>
        <v>39009_4-2/1297&lt;lv60&gt;s2</v>
      </c>
      <c r="B70" s="22">
        <v>39009</v>
      </c>
      <c r="C70" s="114">
        <v>4</v>
      </c>
      <c r="D70" s="114" t="str">
        <f t="shared" si="11"/>
        <v>39009_4</v>
      </c>
      <c r="E70" s="115" t="str">
        <f ca="1">VLOOKUP($B70,OFFSET([2]quests!$A$1,0,0,COUNTA([2]quests!$A:$A),MATCH(E$1,[2]quests!$1:$1,0)-MATCH($B$1,[2]quests!$1:$1,0)+1),MATCH(E$1,[2]quests!$1:$1,0)-MATCH($B$1,[2]quests!$1:$1,0)+1,FALSE)</f>
        <v>星空の歌姫</v>
      </c>
      <c r="F70" s="115" t="str">
        <f ca="1">VLOOKUP($D70,OFFSET([2]stages!$A$1,0,0,COUNTA([2]stages!$A:$A),MATCH(F$1,[2]stages!$2:$2,0)-MATCH($D$1,[2]stages!$2:$2,0)+1),MATCH(F$1,[2]stages!$2:$2,0)-MATCH($D$1,[2]stages!$2:$2,0)+1,FALSE)</f>
        <v>【超級】星空の歌姫</v>
      </c>
      <c r="G70" s="114">
        <v>2</v>
      </c>
      <c r="H70" s="116" t="str">
        <f t="shared" si="12"/>
        <v>39009_4-2</v>
      </c>
      <c r="I70" s="115">
        <f ca="1">VLOOKUP($H70,OFFSET(floors!$A$1,0,0,COUNTA(floors!$A:$A),MATCH(I$1,floors!$1:$1,0)-MATCH($H$1,floors!$1:$1,0)+1),MATCH(I$1,floors!$1:$1,0)-MATCH($H$1,floors!$1:$1,0)+1,FALSE)</f>
        <v>60</v>
      </c>
      <c r="J70" s="115">
        <f ca="1">VLOOKUP($H70,OFFSET(floors!$A$1,0,0,COUNTA(floors!$A:$A),MATCH(J$1,floors!$1:$1,0)-MATCH($H$1,floors!$1:$1,0)+1),MATCH(J$1,floors!$1:$1,0)-MATCH($H$1,floors!$1:$1,0)+1,FALSE)</f>
        <v>60</v>
      </c>
      <c r="K70" s="117">
        <v>7</v>
      </c>
      <c r="L70" s="114">
        <v>1297</v>
      </c>
      <c r="M70" s="17" t="str">
        <f ca="1">VLOOKUP($L70,OFFSET([3]enemies!$A$1,0,0,COUNTA([3]enemies!$A:$A),MATCH(M$1,[3]enemies!$1:$1,0)-MATCH($L$1,[3]enemies!$1:$1,0)+1),MATCH(M$1,[3]enemies!$1:$1,0)-MATCH($L$1,[3]enemies!$1:$1,0)+1,FALSE)</f>
        <v>雪ミク2017</v>
      </c>
      <c r="N70" s="17" t="str">
        <f ca="1">VLOOKUP($L70,OFFSET([3]enemies!$A$1,0,0,COUNTA([3]enemies!$A:$A),MATCH(N$1,[3]enemies!$1:$1,0)-MATCH($L$1,[3]enemies!$1:$1,0)+1),MATCH(N$1,[3]enemies!$1:$1,0)-MATCH($L$1,[3]enemies!$1:$1,0)+1,FALSE)</f>
        <v>green</v>
      </c>
      <c r="O70" s="17" t="str">
        <f ca="1">VLOOKUP($L70,OFFSET([4]characters!$A$1,0,0,COUNTA([4]characters!$A:$A),MATCH(O$1,[4]characters!$1:$1,0)-MATCH($L$1,[4]characters!$1:$1,0)+1),MATCH(O$1,[4]characters!$1:$1,0)-MATCH($L$1,[4]characters!$1:$1,0)+1,FALSE)</f>
        <v>DropWizS</v>
      </c>
      <c r="P70" s="17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17">
        <f ca="1">VLOOKUP($L70,OFFSET([3]enemies!$A$1,0,0,COUNTA([3]enemies!$A:$A),MATCH(Q$1,[3]enemies!$1:$1,0)-MATCH($L$1,[3]enemies!$1:$1,0)+1),MATCH(Q$1,[3]enemies!$1:$1,0)-MATCH($L$1,[3]enemies!$1:$1,0)+1,FALSE)</f>
        <v>60</v>
      </c>
      <c r="R70" s="118">
        <v>60</v>
      </c>
      <c r="S70" s="119">
        <v>0.6</v>
      </c>
      <c r="T70" s="98">
        <f ca="1">ROUND(VLOOKUP(R70,[3]enemy_base_stats!$A:$F,2,FALSE) *INDIRECT("[EnemyMasterData.xlsm]enemies!Y"&amp;(L70+1))*  INDIRECT("[EnemyMasterData.xlsm]enemies!J"&amp;(L70+1))* INDIRECT("[EnemyMasterData.xlsm]enemies!O"&amp;(L70+1))* INDIRECT("[EnemyMasterData.xlsm]enemies!E"&amp;(L70+1))* INDIRECT("[EnemyMasterData.xlsm]enemies!S"&amp;(L70+1))* INDIRECT("[EnemyMasterData.xlsm]enemies!AD"&amp;(L70+1))*[4]ステータス!$B$2,0)*S70</f>
        <v>61475.399999999994</v>
      </c>
      <c r="U70" s="119">
        <v>1.3</v>
      </c>
      <c r="V70" s="98">
        <f ca="1">ROUND(VLOOKUP(R70,[3]enemy_base_stats!$A:$F,3,FALSE) *INDIRECT("[EnemyMasterData.xlsm]enemies!Z"&amp;(L70+1))*  INDIRECT("[EnemyMasterData.xlsm]enemies!K"&amp;(L70+1))* INDIRECT("[EnemyMasterData.xlsm]enemies!P"&amp;(L70+1))* INDIRECT("[EnemyMasterData.xlsm]enemies!F"&amp;(L70+1))* INDIRECT("[EnemyMasterData.xlsm]enemies!T"&amp;(L70+1))* INDIRECT("[EnemyMasterData.xlsm]enemies!AE"&amp;(L70+1))*[4]ステータス!$C$2,0)*U70</f>
        <v>8817.9</v>
      </c>
      <c r="W70" s="5">
        <v>0</v>
      </c>
      <c r="X70" s="4" t="str">
        <f ca="1">VLOOKUP($Y70,OFFSET(enemy_skill_sets!$B$1,0,0,COUNTA(enemy_skill_sets!$B:$B),MATCH(M$1,enemy_skill_sets!$1:$1,0)-MATCH($Y$1,enemy_skill_sets!$1:$1,0)+2),MATCH(M$1,enemy_skill_sets!$1:$1,0)-MATCH($Y$1,enemy_skill_sets!$1:$1,0)+2,FALSE)</f>
        <v>3ターン防御力UP</v>
      </c>
      <c r="Y70" s="120">
        <v>39009022</v>
      </c>
      <c r="Z70" s="121">
        <v>1</v>
      </c>
      <c r="AA70" s="121">
        <v>100</v>
      </c>
      <c r="AB70" s="121">
        <v>1</v>
      </c>
      <c r="AC70" s="122">
        <v>2</v>
      </c>
      <c r="AD70" s="24">
        <f t="shared" si="13"/>
        <v>1297</v>
      </c>
      <c r="AE70" s="4" t="str">
        <f ca="1">VLOOKUP($AD70,OFFSET([4]characters!$A$1,0,0,COUNTA([4]characters!$A:$A),MATCH(AE$1,[4]characters!$1:$1,0)-MATCH("character_id",[4]characters!$1:$1,0)+1),MATCH(AE$1,[4]characters!$1:$1,0)-MATCH("character_id",[4]characters!$1:$1,0)+1,FALSE)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70" s="4">
        <f ca="1">VLOOKUP($AD70,OFFSET([4]characters!$A$1,0,0,COUNTA([4]characters!$A:$A),MATCH(AF$1,[4]characters!$1:$1,0)-MATCH("character_id",[4]characters!$1:$1,0)+1),MATCH(AF$1,[4]characters!$1:$1,0)-MATCH("character_id",[4]characters!$1:$1,0)+1,FALSE)</f>
        <v>5</v>
      </c>
      <c r="AG70" s="4" t="str">
        <f ca="1">VLOOKUP($AD70,OFFSET([4]characters!$A$1,0,0,COUNTA([4]characters!$A:$A),MATCH(AG$1,[4]characters!$1:$1,0)-MATCH("character_id",[4]characters!$1:$1,0)+1),MATCH(AG$1,[4]characters!$1:$1,0)-MATCH("character_id",[4]characters!$1:$1,0)+1,FALSE)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0" s="7">
        <v>1</v>
      </c>
      <c r="AI70" s="24">
        <f t="shared" ca="1" si="14"/>
        <v>5</v>
      </c>
      <c r="AJ70" s="123">
        <v>0</v>
      </c>
      <c r="AK70" s="7">
        <v>0</v>
      </c>
      <c r="AL70" s="7">
        <v>0</v>
      </c>
      <c r="AM70" s="7">
        <v>0</v>
      </c>
      <c r="AN70" s="7">
        <v>0</v>
      </c>
      <c r="AO70" s="7">
        <v>1</v>
      </c>
      <c r="AP70" s="70">
        <v>1</v>
      </c>
    </row>
    <row r="71" spans="1:42" ht="21" customHeight="1" x14ac:dyDescent="0.15">
      <c r="A71" s="16" t="str">
        <f t="shared" si="10"/>
        <v>39009_4-3/529&lt;lv60&gt;s1</v>
      </c>
      <c r="B71" s="22">
        <v>39009</v>
      </c>
      <c r="C71" s="114">
        <v>4</v>
      </c>
      <c r="D71" s="114" t="str">
        <f t="shared" si="11"/>
        <v>39009_4</v>
      </c>
      <c r="E71" s="115" t="str">
        <f ca="1">VLOOKUP($B71,OFFSET([2]quests!$A$1,0,0,COUNTA([2]quests!$A:$A),MATCH(E$1,[2]quests!$1:$1,0)-MATCH($B$1,[2]quests!$1:$1,0)+1),MATCH(E$1,[2]quests!$1:$1,0)-MATCH($B$1,[2]quests!$1:$1,0)+1,FALSE)</f>
        <v>星空の歌姫</v>
      </c>
      <c r="F71" s="115" t="str">
        <f ca="1">VLOOKUP($D71,OFFSET([2]stages!$A$1,0,0,COUNTA([2]stages!$A:$A),MATCH(F$1,[2]stages!$2:$2,0)-MATCH($D$1,[2]stages!$2:$2,0)+1),MATCH(F$1,[2]stages!$2:$2,0)-MATCH($D$1,[2]stages!$2:$2,0)+1,FALSE)</f>
        <v>【超級】星空の歌姫</v>
      </c>
      <c r="G71" s="114">
        <v>3</v>
      </c>
      <c r="H71" s="116" t="str">
        <f t="shared" si="12"/>
        <v>39009_4-3</v>
      </c>
      <c r="I71" s="115">
        <f ca="1">VLOOKUP($H71,OFFSET(floors!$A$1,0,0,COUNTA(floors!$A:$A),MATCH(I$1,floors!$1:$1,0)-MATCH($H$1,floors!$1:$1,0)+1),MATCH(I$1,floors!$1:$1,0)-MATCH($H$1,floors!$1:$1,0)+1,FALSE)</f>
        <v>60</v>
      </c>
      <c r="J71" s="115">
        <f ca="1">VLOOKUP($H71,OFFSET(floors!$A$1,0,0,COUNTA(floors!$A:$A),MATCH(J$1,floors!$1:$1,0)-MATCH($H$1,floors!$1:$1,0)+1),MATCH(J$1,floors!$1:$1,0)-MATCH($H$1,floors!$1:$1,0)+1,FALSE)</f>
        <v>60</v>
      </c>
      <c r="K71" s="117" t="s">
        <v>53</v>
      </c>
      <c r="L71" s="114">
        <v>529</v>
      </c>
      <c r="M71" s="17" t="str">
        <f ca="1">VLOOKUP($L71,OFFSET([3]enemies!$A$1,0,0,COUNTA([3]enemies!$A:$A),MATCH(M$1,[3]enemies!$1:$1,0)-MATCH($L$1,[3]enemies!$1:$1,0)+1),MATCH(M$1,[3]enemies!$1:$1,0)-MATCH($L$1,[3]enemies!$1:$1,0)+1,FALSE)</f>
        <v>冬服ジェリー</v>
      </c>
      <c r="N71" s="17" t="str">
        <f ca="1">VLOOKUP($L71,OFFSET([3]enemies!$A$1,0,0,COUNTA([3]enemies!$A:$A),MATCH(N$1,[3]enemies!$1:$1,0)-MATCH($L$1,[3]enemies!$1:$1,0)+1),MATCH(N$1,[3]enemies!$1:$1,0)-MATCH($L$1,[3]enemies!$1:$1,0)+1,FALSE)</f>
        <v>red</v>
      </c>
      <c r="O71" s="17" t="str">
        <f ca="1">VLOOKUP($L71,OFFSET([4]characters!$A$1,0,0,COUNTA([4]characters!$A:$A),MATCH(O$1,[4]characters!$1:$1,0)-MATCH($L$1,[4]characters!$1:$1,0)+1),MATCH(O$1,[4]characters!$1:$1,0)-MATCH($L$1,[4]characters!$1:$1,0)+1,FALSE)</f>
        <v>Drop1T</v>
      </c>
      <c r="P71" s="17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7">
        <f ca="1">VLOOKUP($L71,OFFSET([3]enemies!$A$1,0,0,COUNTA([3]enemies!$A:$A),MATCH(Q$1,[3]enemies!$1:$1,0)-MATCH($L$1,[3]enemies!$1:$1,0)+1),MATCH(Q$1,[3]enemies!$1:$1,0)-MATCH($L$1,[3]enemies!$1:$1,0)+1,FALSE)</f>
        <v>15</v>
      </c>
      <c r="R71" s="118">
        <v>60</v>
      </c>
      <c r="S71" s="119">
        <v>2.2999999999999998</v>
      </c>
      <c r="T71" s="98">
        <f ca="1">ROUND(VLOOKUP(R71,[3]enemy_base_stats!$A:$F,2,FALSE) *INDIRECT("[EnemyMasterData.xlsm]enemies!Y"&amp;(L71+1))*  INDIRECT("[EnemyMasterData.xlsm]enemies!J"&amp;(L71+1))* INDIRECT("[EnemyMasterData.xlsm]enemies!O"&amp;(L71+1))* INDIRECT("[EnemyMasterData.xlsm]enemies!E"&amp;(L71+1))* INDIRECT("[EnemyMasterData.xlsm]enemies!S"&amp;(L71+1))* INDIRECT("[EnemyMasterData.xlsm]enemies!AD"&amp;(L71+1))*[4]ステータス!$B$2,0)*S71</f>
        <v>28289.999999999996</v>
      </c>
      <c r="U71" s="119">
        <v>0.7</v>
      </c>
      <c r="V71" s="98">
        <f ca="1">ROUND(VLOOKUP(R71,[3]enemy_base_stats!$A:$F,3,FALSE) *INDIRECT("[EnemyMasterData.xlsm]enemies!Z"&amp;(L71+1))*  INDIRECT("[EnemyMasterData.xlsm]enemies!K"&amp;(L71+1))* INDIRECT("[EnemyMasterData.xlsm]enemies!P"&amp;(L71+1))* INDIRECT("[EnemyMasterData.xlsm]enemies!F"&amp;(L71+1))* INDIRECT("[EnemyMasterData.xlsm]enemies!T"&amp;(L71+1))* INDIRECT("[EnemyMasterData.xlsm]enemies!AE"&amp;(L71+1))*[4]ステータス!$C$2,0)*U71</f>
        <v>3539.2</v>
      </c>
      <c r="W71" s="5">
        <v>0</v>
      </c>
      <c r="X71" s="4" t="e">
        <f ca="1">VLOOKUP($Y71,OFFSET(enemy_skill_sets!$B$1,0,0,COUNTA(enemy_skill_sets!$B:$B),MATCH(M$1,enemy_skill_sets!$1:$1,0)-MATCH($Y$1,enemy_skill_sets!$1:$1,0)+2),MATCH(M$1,enemy_skill_sets!$1:$1,0)-MATCH($Y$1,enemy_skill_sets!$1:$1,0)+2,FALSE)</f>
        <v>#N/A</v>
      </c>
      <c r="Y71" s="120">
        <v>0</v>
      </c>
      <c r="Z71" s="121">
        <v>0</v>
      </c>
      <c r="AA71" s="121">
        <v>100</v>
      </c>
      <c r="AB71" s="121">
        <v>0</v>
      </c>
      <c r="AC71" s="122">
        <v>1</v>
      </c>
      <c r="AD71" s="24">
        <f t="shared" si="13"/>
        <v>529</v>
      </c>
      <c r="AE71" s="4" t="str">
        <f ca="1">VLOOKUP($AD71,OFFSET([4]characters!$A$1,0,0,COUNTA([4]characters!$A:$A),MATCH(AE$1,[4]characters!$1:$1,0)-MATCH("character_id",[4]characters!$1:$1,0)+1),MATCH(AE$1,[4]characters!$1:$1,0)-MATCH("character_id",[4]characters!$1:$1,0)+1,FALSE)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71" s="4">
        <f ca="1">VLOOKUP($AD71,OFFSET([4]characters!$A$1,0,0,COUNTA([4]characters!$A:$A),MATCH(AF$1,[4]characters!$1:$1,0)-MATCH("character_id",[4]characters!$1:$1,0)+1),MATCH(AF$1,[4]characters!$1:$1,0)-MATCH("character_id",[4]characters!$1:$1,0)+1,FALSE)</f>
        <v>1</v>
      </c>
      <c r="AG71" s="4" t="str">
        <f ca="1">VLOOKUP($AD71,OFFSET([4]characters!$A$1,0,0,COUNTA([4]characters!$A:$A),MATCH(AG$1,[4]characters!$1:$1,0)-MATCH("character_id",[4]characters!$1:$1,0)+1),MATCH(AG$1,[4]characters!$1:$1,0)-MATCH("character_id",[4]characters!$1:$1,0)+1,FALSE)</f>
        <v>Drop1T</v>
      </c>
      <c r="AH71" s="7">
        <v>1</v>
      </c>
      <c r="AI71" s="24">
        <f t="shared" ca="1" si="14"/>
        <v>1</v>
      </c>
      <c r="AJ71" s="123">
        <v>0</v>
      </c>
      <c r="AK71" s="7">
        <v>0</v>
      </c>
      <c r="AL71" s="7">
        <v>0</v>
      </c>
      <c r="AM71" s="7">
        <v>0</v>
      </c>
      <c r="AN71" s="7">
        <v>0</v>
      </c>
      <c r="AO71" s="7">
        <v>1</v>
      </c>
      <c r="AP71" s="70">
        <v>1</v>
      </c>
    </row>
    <row r="72" spans="1:42" ht="21" customHeight="1" x14ac:dyDescent="0.15">
      <c r="A72" s="16" t="str">
        <f t="shared" si="10"/>
        <v>39009_4-3/530&lt;lv60&gt;s2</v>
      </c>
      <c r="B72" s="22">
        <v>39009</v>
      </c>
      <c r="C72" s="114">
        <v>4</v>
      </c>
      <c r="D72" s="114" t="str">
        <f t="shared" si="11"/>
        <v>39009_4</v>
      </c>
      <c r="E72" s="115" t="str">
        <f ca="1">VLOOKUP($B72,OFFSET([2]quests!$A$1,0,0,COUNTA([2]quests!$A:$A),MATCH(E$1,[2]quests!$1:$1,0)-MATCH($B$1,[2]quests!$1:$1,0)+1),MATCH(E$1,[2]quests!$1:$1,0)-MATCH($B$1,[2]quests!$1:$1,0)+1,FALSE)</f>
        <v>星空の歌姫</v>
      </c>
      <c r="F72" s="115" t="str">
        <f ca="1">VLOOKUP($D72,OFFSET([2]stages!$A$1,0,0,COUNTA([2]stages!$A:$A),MATCH(F$1,[2]stages!$2:$2,0)-MATCH($D$1,[2]stages!$2:$2,0)+1),MATCH(F$1,[2]stages!$2:$2,0)-MATCH($D$1,[2]stages!$2:$2,0)+1,FALSE)</f>
        <v>【超級】星空の歌姫</v>
      </c>
      <c r="G72" s="114">
        <v>3</v>
      </c>
      <c r="H72" s="116" t="str">
        <f t="shared" si="12"/>
        <v>39009_4-3</v>
      </c>
      <c r="I72" s="115">
        <f ca="1">VLOOKUP($H72,OFFSET(floors!$A$1,0,0,COUNTA(floors!$A:$A),MATCH(I$1,floors!$1:$1,0)-MATCH($H$1,floors!$1:$1,0)+1),MATCH(I$1,floors!$1:$1,0)-MATCH($H$1,floors!$1:$1,0)+1,FALSE)</f>
        <v>60</v>
      </c>
      <c r="J72" s="115">
        <f ca="1">VLOOKUP($H72,OFFSET(floors!$A$1,0,0,COUNTA(floors!$A:$A),MATCH(J$1,floors!$1:$1,0)-MATCH($H$1,floors!$1:$1,0)+1),MATCH(J$1,floors!$1:$1,0)-MATCH($H$1,floors!$1:$1,0)+1,FALSE)</f>
        <v>60</v>
      </c>
      <c r="K72" s="117" t="s">
        <v>53</v>
      </c>
      <c r="L72" s="114">
        <v>530</v>
      </c>
      <c r="M72" s="17" t="str">
        <f ca="1">VLOOKUP($L72,OFFSET([3]enemies!$A$1,0,0,COUNTA([3]enemies!$A:$A),MATCH(M$1,[3]enemies!$1:$1,0)-MATCH($L$1,[3]enemies!$1:$1,0)+1),MATCH(M$1,[3]enemies!$1:$1,0)-MATCH($L$1,[3]enemies!$1:$1,0)+1,FALSE)</f>
        <v>冬服ジョー</v>
      </c>
      <c r="N72" s="17" t="str">
        <f ca="1">VLOOKUP($L72,OFFSET([3]enemies!$A$1,0,0,COUNTA([3]enemies!$A:$A),MATCH(N$1,[3]enemies!$1:$1,0)-MATCH($L$1,[3]enemies!$1:$1,0)+1),MATCH(N$1,[3]enemies!$1:$1,0)-MATCH($L$1,[3]enemies!$1:$1,0)+1,FALSE)</f>
        <v>green</v>
      </c>
      <c r="O72" s="17" t="str">
        <f ca="1">VLOOKUP($L72,OFFSET([4]characters!$A$1,0,0,COUNTA([4]characters!$A:$A),MATCH(O$1,[4]characters!$1:$1,0)-MATCH($L$1,[4]characters!$1:$1,0)+1),MATCH(O$1,[4]characters!$1:$1,0)-MATCH($L$1,[4]characters!$1:$1,0)+1,FALSE)</f>
        <v>Drop1T</v>
      </c>
      <c r="P72" s="17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17">
        <f ca="1">VLOOKUP($L72,OFFSET([3]enemies!$A$1,0,0,COUNTA([3]enemies!$A:$A),MATCH(Q$1,[3]enemies!$1:$1,0)-MATCH($L$1,[3]enemies!$1:$1,0)+1),MATCH(Q$1,[3]enemies!$1:$1,0)-MATCH($L$1,[3]enemies!$1:$1,0)+1,FALSE)</f>
        <v>15</v>
      </c>
      <c r="R72" s="118">
        <v>60</v>
      </c>
      <c r="S72" s="119">
        <v>3</v>
      </c>
      <c r="T72" s="98">
        <f ca="1">ROUND(VLOOKUP(R72,[3]enemy_base_stats!$A:$F,2,FALSE) *INDIRECT("[EnemyMasterData.xlsm]enemies!Y"&amp;(L72+1))*  INDIRECT("[EnemyMasterData.xlsm]enemies!J"&amp;(L72+1))* INDIRECT("[EnemyMasterData.xlsm]enemies!O"&amp;(L72+1))* INDIRECT("[EnemyMasterData.xlsm]enemies!E"&amp;(L72+1))* INDIRECT("[EnemyMasterData.xlsm]enemies!S"&amp;(L72+1))* INDIRECT("[EnemyMasterData.xlsm]enemies!AD"&amp;(L72+1))*[4]ステータス!$B$2,0)*S72</f>
        <v>37638</v>
      </c>
      <c r="U72" s="119">
        <v>1.7</v>
      </c>
      <c r="V72" s="98">
        <f ca="1">ROUND(VLOOKUP(R72,[3]enemy_base_stats!$A:$F,3,FALSE) *INDIRECT("[EnemyMasterData.xlsm]enemies!Z"&amp;(L72+1))*  INDIRECT("[EnemyMasterData.xlsm]enemies!K"&amp;(L72+1))* INDIRECT("[EnemyMasterData.xlsm]enemies!P"&amp;(L72+1))* INDIRECT("[EnemyMasterData.xlsm]enemies!F"&amp;(L72+1))* INDIRECT("[EnemyMasterData.xlsm]enemies!T"&amp;(L72+1))* INDIRECT("[EnemyMasterData.xlsm]enemies!AE"&amp;(L72+1))*[4]ステータス!$C$2,0)*U72</f>
        <v>6147.2</v>
      </c>
      <c r="W72" s="5">
        <v>0</v>
      </c>
      <c r="X72" s="4" t="e">
        <f ca="1">VLOOKUP($Y72,OFFSET(enemy_skill_sets!$B$1,0,0,COUNTA(enemy_skill_sets!$B:$B),MATCH(M$1,enemy_skill_sets!$1:$1,0)-MATCH($Y$1,enemy_skill_sets!$1:$1,0)+2),MATCH(M$1,enemy_skill_sets!$1:$1,0)-MATCH($Y$1,enemy_skill_sets!$1:$1,0)+2,FALSE)</f>
        <v>#N/A</v>
      </c>
      <c r="Y72" s="120">
        <v>0</v>
      </c>
      <c r="Z72" s="121">
        <v>0</v>
      </c>
      <c r="AA72" s="121">
        <v>100</v>
      </c>
      <c r="AB72" s="121">
        <v>0</v>
      </c>
      <c r="AC72" s="122">
        <v>2</v>
      </c>
      <c r="AD72" s="24">
        <f t="shared" si="13"/>
        <v>530</v>
      </c>
      <c r="AE72" s="4" t="str">
        <f ca="1">VLOOKUP($AD72,OFFSET([4]characters!$A$1,0,0,COUNTA([4]characters!$A:$A),MATCH(AE$1,[4]characters!$1:$1,0)-MATCH("character_id",[4]characters!$1:$1,0)+1),MATCH(AE$1,[4]characters!$1:$1,0)-MATCH("character_id",[4]characters!$1:$1,0)+1,FALSE)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72" s="4">
        <f ca="1">VLOOKUP($AD72,OFFSET([4]characters!$A$1,0,0,COUNTA([4]characters!$A:$A),MATCH(AF$1,[4]characters!$1:$1,0)-MATCH("character_id",[4]characters!$1:$1,0)+1),MATCH(AF$1,[4]characters!$1:$1,0)-MATCH("character_id",[4]characters!$1:$1,0)+1,FALSE)</f>
        <v>1</v>
      </c>
      <c r="AG72" s="4" t="str">
        <f ca="1">VLOOKUP($AD72,OFFSET([4]characters!$A$1,0,0,COUNTA([4]characters!$A:$A),MATCH(AG$1,[4]characters!$1:$1,0)-MATCH("character_id",[4]characters!$1:$1,0)+1),MATCH(AG$1,[4]characters!$1:$1,0)-MATCH("character_id",[4]characters!$1:$1,0)+1,FALSE)</f>
        <v>Drop1T</v>
      </c>
      <c r="AH72" s="7">
        <v>1</v>
      </c>
      <c r="AI72" s="24">
        <f t="shared" ca="1" si="14"/>
        <v>1</v>
      </c>
      <c r="AJ72" s="123">
        <v>0</v>
      </c>
      <c r="AK72" s="7">
        <v>0</v>
      </c>
      <c r="AL72" s="7">
        <v>0</v>
      </c>
      <c r="AM72" s="7">
        <v>0</v>
      </c>
      <c r="AN72" s="7">
        <v>0</v>
      </c>
      <c r="AO72" s="7">
        <v>1</v>
      </c>
      <c r="AP72" s="70">
        <v>1</v>
      </c>
    </row>
    <row r="73" spans="1:42" ht="21" customHeight="1" x14ac:dyDescent="0.15">
      <c r="A73" s="16" t="str">
        <f t="shared" si="10"/>
        <v>39009_4-3/531&lt;lv60&gt;s3</v>
      </c>
      <c r="B73" s="22">
        <v>39009</v>
      </c>
      <c r="C73" s="114">
        <v>4</v>
      </c>
      <c r="D73" s="114" t="str">
        <f t="shared" si="11"/>
        <v>39009_4</v>
      </c>
      <c r="E73" s="115" t="str">
        <f ca="1">VLOOKUP($B73,OFFSET([2]quests!$A$1,0,0,COUNTA([2]quests!$A:$A),MATCH(E$1,[2]quests!$1:$1,0)-MATCH($B$1,[2]quests!$1:$1,0)+1),MATCH(E$1,[2]quests!$1:$1,0)-MATCH($B$1,[2]quests!$1:$1,0)+1,FALSE)</f>
        <v>星空の歌姫</v>
      </c>
      <c r="F73" s="115" t="str">
        <f ca="1">VLOOKUP($D73,OFFSET([2]stages!$A$1,0,0,COUNTA([2]stages!$A:$A),MATCH(F$1,[2]stages!$2:$2,0)-MATCH($D$1,[2]stages!$2:$2,0)+1),MATCH(F$1,[2]stages!$2:$2,0)-MATCH($D$1,[2]stages!$2:$2,0)+1,FALSE)</f>
        <v>【超級】星空の歌姫</v>
      </c>
      <c r="G73" s="114">
        <v>3</v>
      </c>
      <c r="H73" s="116" t="str">
        <f t="shared" si="12"/>
        <v>39009_4-3</v>
      </c>
      <c r="I73" s="115">
        <f ca="1">VLOOKUP($H73,OFFSET(floors!$A$1,0,0,COUNTA(floors!$A:$A),MATCH(I$1,floors!$1:$1,0)-MATCH($H$1,floors!$1:$1,0)+1),MATCH(I$1,floors!$1:$1,0)-MATCH($H$1,floors!$1:$1,0)+1,FALSE)</f>
        <v>60</v>
      </c>
      <c r="J73" s="115">
        <f ca="1">VLOOKUP($H73,OFFSET(floors!$A$1,0,0,COUNTA(floors!$A:$A),MATCH(J$1,floors!$1:$1,0)-MATCH($H$1,floors!$1:$1,0)+1),MATCH(J$1,floors!$1:$1,0)-MATCH($H$1,floors!$1:$1,0)+1,FALSE)</f>
        <v>60</v>
      </c>
      <c r="K73" s="117" t="s">
        <v>53</v>
      </c>
      <c r="L73" s="114">
        <v>531</v>
      </c>
      <c r="M73" s="17" t="str">
        <f ca="1">VLOOKUP($L73,OFFSET([3]enemies!$A$1,0,0,COUNTA([3]enemies!$A:$A),MATCH(M$1,[3]enemies!$1:$1,0)-MATCH($L$1,[3]enemies!$1:$1,0)+1),MATCH(M$1,[3]enemies!$1:$1,0)-MATCH($L$1,[3]enemies!$1:$1,0)+1,FALSE)</f>
        <v>冬服ポチ</v>
      </c>
      <c r="N73" s="17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17" t="str">
        <f ca="1">VLOOKUP($L73,OFFSET([4]characters!$A$1,0,0,COUNTA([4]characters!$A:$A),MATCH(O$1,[4]characters!$1:$1,0)-MATCH($L$1,[4]characters!$1:$1,0)+1),MATCH(O$1,[4]characters!$1:$1,0)-MATCH($L$1,[4]characters!$1:$1,0)+1,FALSE)</f>
        <v>Drop1T</v>
      </c>
      <c r="P73" s="17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7">
        <f ca="1">VLOOKUP($L73,OFFSET([3]enemies!$A$1,0,0,COUNTA([3]enemies!$A:$A),MATCH(Q$1,[3]enemies!$1:$1,0)-MATCH($L$1,[3]enemies!$1:$1,0)+1),MATCH(Q$1,[3]enemies!$1:$1,0)-MATCH($L$1,[3]enemies!$1:$1,0)+1,FALSE)</f>
        <v>15</v>
      </c>
      <c r="R73" s="118">
        <v>60</v>
      </c>
      <c r="S73" s="119">
        <v>2.1</v>
      </c>
      <c r="T73" s="98">
        <f ca="1">ROUND(VLOOKUP(R73,[3]enemy_base_stats!$A:$F,2,FALSE) *INDIRECT("[EnemyMasterData.xlsm]enemies!Y"&amp;(L73+1))*  INDIRECT("[EnemyMasterData.xlsm]enemies!J"&amp;(L73+1))* INDIRECT("[EnemyMasterData.xlsm]enemies!O"&amp;(L73+1))* INDIRECT("[EnemyMasterData.xlsm]enemies!E"&amp;(L73+1))* INDIRECT("[EnemyMasterData.xlsm]enemies!S"&amp;(L73+1))* INDIRECT("[EnemyMasterData.xlsm]enemies!AD"&amp;(L73+1))*[4]ステータス!$B$2,0)*S73</f>
        <v>20664</v>
      </c>
      <c r="U73" s="119">
        <v>1.5</v>
      </c>
      <c r="V73" s="98">
        <f ca="1">ROUND(VLOOKUP(R73,[3]enemy_base_stats!$A:$F,3,FALSE) *INDIRECT("[EnemyMasterData.xlsm]enemies!Z"&amp;(L73+1))*  INDIRECT("[EnemyMasterData.xlsm]enemies!K"&amp;(L73+1))* INDIRECT("[EnemyMasterData.xlsm]enemies!P"&amp;(L73+1))* INDIRECT("[EnemyMasterData.xlsm]enemies!F"&amp;(L73+1))* INDIRECT("[EnemyMasterData.xlsm]enemies!T"&amp;(L73+1))* INDIRECT("[EnemyMasterData.xlsm]enemies!AE"&amp;(L73+1))*[4]ステータス!$C$2,0)*U73</f>
        <v>4231.5</v>
      </c>
      <c r="W73" s="5">
        <v>0</v>
      </c>
      <c r="X73" s="4" t="e">
        <f ca="1">VLOOKUP($Y73,OFFSET(enemy_skill_sets!$B$1,0,0,COUNTA(enemy_skill_sets!$B:$B),MATCH(M$1,enemy_skill_sets!$1:$1,0)-MATCH($Y$1,enemy_skill_sets!$1:$1,0)+2),MATCH(M$1,enemy_skill_sets!$1:$1,0)-MATCH($Y$1,enemy_skill_sets!$1:$1,0)+2,FALSE)</f>
        <v>#N/A</v>
      </c>
      <c r="Y73" s="120">
        <v>0</v>
      </c>
      <c r="Z73" s="121">
        <v>0</v>
      </c>
      <c r="AA73" s="121">
        <v>100</v>
      </c>
      <c r="AB73" s="121">
        <v>0</v>
      </c>
      <c r="AC73" s="122">
        <v>3</v>
      </c>
      <c r="AD73" s="24">
        <f t="shared" si="13"/>
        <v>531</v>
      </c>
      <c r="AE73" s="4" t="str">
        <f ca="1">VLOOKUP($AD73,OFFSET([4]characters!$A$1,0,0,COUNTA([4]characters!$A:$A),MATCH(AE$1,[4]characters!$1:$1,0)-MATCH("character_id",[4]characters!$1:$1,0)+1),MATCH(AE$1,[4]characters!$1:$1,0)-MATCH("character_id",[4]characters!$1:$1,0)+1,FALSE)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73" s="4">
        <f ca="1">VLOOKUP($AD73,OFFSET([4]characters!$A$1,0,0,COUNTA([4]characters!$A:$A),MATCH(AF$1,[4]characters!$1:$1,0)-MATCH("character_id",[4]characters!$1:$1,0)+1),MATCH(AF$1,[4]characters!$1:$1,0)-MATCH("character_id",[4]characters!$1:$1,0)+1,FALSE)</f>
        <v>1</v>
      </c>
      <c r="AG73" s="4" t="str">
        <f ca="1">VLOOKUP($AD73,OFFSET([4]characters!$A$1,0,0,COUNTA([4]characters!$A:$A),MATCH(AG$1,[4]characters!$1:$1,0)-MATCH("character_id",[4]characters!$1:$1,0)+1),MATCH(AG$1,[4]characters!$1:$1,0)-MATCH("character_id",[4]characters!$1:$1,0)+1,FALSE)</f>
        <v>Drop1T</v>
      </c>
      <c r="AH73" s="7">
        <v>1</v>
      </c>
      <c r="AI73" s="24">
        <f t="shared" ca="1" si="14"/>
        <v>1</v>
      </c>
      <c r="AJ73" s="123">
        <v>0</v>
      </c>
      <c r="AK73" s="7">
        <v>0</v>
      </c>
      <c r="AL73" s="7">
        <v>0</v>
      </c>
      <c r="AM73" s="7">
        <v>0</v>
      </c>
      <c r="AN73" s="7">
        <v>0</v>
      </c>
      <c r="AO73" s="7">
        <v>1</v>
      </c>
      <c r="AP73" s="70">
        <v>1</v>
      </c>
    </row>
    <row r="74" spans="1:42" ht="21" customHeight="1" x14ac:dyDescent="0.15">
      <c r="A74" s="16" t="str">
        <f t="shared" si="10"/>
        <v>39009_4-3/532&lt;lv60&gt;s2</v>
      </c>
      <c r="B74" s="22">
        <v>39009</v>
      </c>
      <c r="C74" s="114">
        <v>4</v>
      </c>
      <c r="D74" s="114" t="str">
        <f t="shared" si="11"/>
        <v>39009_4</v>
      </c>
      <c r="E74" s="115" t="str">
        <f ca="1">VLOOKUP($B74,OFFSET([2]quests!$A$1,0,0,COUNTA([2]quests!$A:$A),MATCH(E$1,[2]quests!$1:$1,0)-MATCH($B$1,[2]quests!$1:$1,0)+1),MATCH(E$1,[2]quests!$1:$1,0)-MATCH($B$1,[2]quests!$1:$1,0)+1,FALSE)</f>
        <v>星空の歌姫</v>
      </c>
      <c r="F74" s="115" t="str">
        <f ca="1">VLOOKUP($D74,OFFSET([2]stages!$A$1,0,0,COUNTA([2]stages!$A:$A),MATCH(F$1,[2]stages!$2:$2,0)-MATCH($D$1,[2]stages!$2:$2,0)+1),MATCH(F$1,[2]stages!$2:$2,0)-MATCH($D$1,[2]stages!$2:$2,0)+1,FALSE)</f>
        <v>【超級】星空の歌姫</v>
      </c>
      <c r="G74" s="114">
        <v>3</v>
      </c>
      <c r="H74" s="116" t="str">
        <f t="shared" si="12"/>
        <v>39009_4-3</v>
      </c>
      <c r="I74" s="115">
        <f ca="1">VLOOKUP($H74,OFFSET(floors!$A$1,0,0,COUNTA(floors!$A:$A),MATCH(I$1,floors!$1:$1,0)-MATCH($H$1,floors!$1:$1,0)+1),MATCH(I$1,floors!$1:$1,0)-MATCH($H$1,floors!$1:$1,0)+1,FALSE)</f>
        <v>60</v>
      </c>
      <c r="J74" s="115">
        <f ca="1">VLOOKUP($H74,OFFSET(floors!$A$1,0,0,COUNTA(floors!$A:$A),MATCH(J$1,floors!$1:$1,0)-MATCH($H$1,floors!$1:$1,0)+1),MATCH(J$1,floors!$1:$1,0)-MATCH($H$1,floors!$1:$1,0)+1,FALSE)</f>
        <v>60</v>
      </c>
      <c r="K74" s="117" t="s">
        <v>53</v>
      </c>
      <c r="L74" s="114">
        <v>532</v>
      </c>
      <c r="M74" s="17" t="str">
        <f ca="1">VLOOKUP($L74,OFFSET([3]enemies!$A$1,0,0,COUNTA([3]enemies!$A:$A),MATCH(M$1,[3]enemies!$1:$1,0)-MATCH($L$1,[3]enemies!$1:$1,0)+1),MATCH(M$1,[3]enemies!$1:$1,0)-MATCH($L$1,[3]enemies!$1:$1,0)+1,FALSE)</f>
        <v>冬服エレキポット</v>
      </c>
      <c r="N74" s="17" t="str">
        <f ca="1">VLOOKUP($L74,OFFSET([3]enemies!$A$1,0,0,COUNTA([3]enemies!$A:$A),MATCH(N$1,[3]enemies!$1:$1,0)-MATCH($L$1,[3]enemies!$1:$1,0)+1),MATCH(N$1,[3]enemies!$1:$1,0)-MATCH($L$1,[3]enemies!$1:$1,0)+1,FALSE)</f>
        <v>yellow</v>
      </c>
      <c r="O74" s="17" t="str">
        <f ca="1">VLOOKUP($L74,OFFSET([4]characters!$A$1,0,0,COUNTA([4]characters!$A:$A),MATCH(O$1,[4]characters!$1:$1,0)-MATCH($L$1,[4]characters!$1:$1,0)+1),MATCH(O$1,[4]characters!$1:$1,0)-MATCH($L$1,[4]characters!$1:$1,0)+1,FALSE)</f>
        <v>Drop1T</v>
      </c>
      <c r="P74" s="17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17">
        <f ca="1">VLOOKUP($L74,OFFSET([3]enemies!$A$1,0,0,COUNTA([3]enemies!$A:$A),MATCH(Q$1,[3]enemies!$1:$1,0)-MATCH($L$1,[3]enemies!$1:$1,0)+1),MATCH(Q$1,[3]enemies!$1:$1,0)-MATCH($L$1,[3]enemies!$1:$1,0)+1,FALSE)</f>
        <v>15</v>
      </c>
      <c r="R74" s="118">
        <v>60</v>
      </c>
      <c r="S74" s="119">
        <v>2.4</v>
      </c>
      <c r="T74" s="98">
        <f ca="1">ROUND(VLOOKUP(R74,[3]enemy_base_stats!$A:$F,2,FALSE) *INDIRECT("[EnemyMasterData.xlsm]enemies!Y"&amp;(L74+1))*  INDIRECT("[EnemyMasterData.xlsm]enemies!J"&amp;(L74+1))* INDIRECT("[EnemyMasterData.xlsm]enemies!O"&amp;(L74+1))* INDIRECT("[EnemyMasterData.xlsm]enemies!E"&amp;(L74+1))* INDIRECT("[EnemyMasterData.xlsm]enemies!S"&amp;(L74+1))* INDIRECT("[EnemyMasterData.xlsm]enemies!AD"&amp;(L74+1))*[4]ステータス!$B$2,0)*S74</f>
        <v>28929.599999999999</v>
      </c>
      <c r="U74" s="119">
        <v>0.9</v>
      </c>
      <c r="V74" s="98">
        <f ca="1">ROUND(VLOOKUP(R74,[3]enemy_base_stats!$A:$F,3,FALSE) *INDIRECT("[EnemyMasterData.xlsm]enemies!Z"&amp;(L74+1))*  INDIRECT("[EnemyMasterData.xlsm]enemies!K"&amp;(L74+1))* INDIRECT("[EnemyMasterData.xlsm]enemies!P"&amp;(L74+1))* INDIRECT("[EnemyMasterData.xlsm]enemies!F"&amp;(L74+1))* INDIRECT("[EnemyMasterData.xlsm]enemies!T"&amp;(L74+1))* INDIRECT("[EnemyMasterData.xlsm]enemies!AE"&amp;(L74+1))*[4]ステータス!$C$2,0)*U74</f>
        <v>4461.3</v>
      </c>
      <c r="W74" s="5">
        <v>0</v>
      </c>
      <c r="X74" s="4" t="e">
        <f ca="1">VLOOKUP($Y74,OFFSET(enemy_skill_sets!$B$1,0,0,COUNTA(enemy_skill_sets!$B:$B),MATCH(M$1,enemy_skill_sets!$1:$1,0)-MATCH($Y$1,enemy_skill_sets!$1:$1,0)+2),MATCH(M$1,enemy_skill_sets!$1:$1,0)-MATCH($Y$1,enemy_skill_sets!$1:$1,0)+2,FALSE)</f>
        <v>#N/A</v>
      </c>
      <c r="Y74" s="120">
        <v>0</v>
      </c>
      <c r="Z74" s="121">
        <v>0</v>
      </c>
      <c r="AA74" s="121">
        <v>100</v>
      </c>
      <c r="AB74" s="121">
        <v>0</v>
      </c>
      <c r="AC74" s="122">
        <v>2</v>
      </c>
      <c r="AD74" s="24">
        <f t="shared" si="13"/>
        <v>532</v>
      </c>
      <c r="AE74" s="4" t="str">
        <f ca="1">VLOOKUP($AD74,OFFSET([4]characters!$A$1,0,0,COUNTA([4]characters!$A:$A),MATCH(AE$1,[4]characters!$1:$1,0)-MATCH("character_id",[4]characters!$1:$1,0)+1),MATCH(AE$1,[4]characters!$1:$1,0)-MATCH("character_id",[4]characters!$1:$1,0)+1,FALSE)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74" s="4">
        <f ca="1">VLOOKUP($AD74,OFFSET([4]characters!$A$1,0,0,COUNTA([4]characters!$A:$A),MATCH(AF$1,[4]characters!$1:$1,0)-MATCH("character_id",[4]characters!$1:$1,0)+1),MATCH(AF$1,[4]characters!$1:$1,0)-MATCH("character_id",[4]characters!$1:$1,0)+1,FALSE)</f>
        <v>1</v>
      </c>
      <c r="AG74" s="4" t="str">
        <f ca="1">VLOOKUP($AD74,OFFSET([4]characters!$A$1,0,0,COUNTA([4]characters!$A:$A),MATCH(AG$1,[4]characters!$1:$1,0)-MATCH("character_id",[4]characters!$1:$1,0)+1),MATCH(AG$1,[4]characters!$1:$1,0)-MATCH("character_id",[4]characters!$1:$1,0)+1,FALSE)</f>
        <v>Drop1T</v>
      </c>
      <c r="AH74" s="7">
        <v>1</v>
      </c>
      <c r="AI74" s="24">
        <f t="shared" ca="1" si="14"/>
        <v>1</v>
      </c>
      <c r="AJ74" s="123">
        <v>0</v>
      </c>
      <c r="AK74" s="7">
        <v>0</v>
      </c>
      <c r="AL74" s="7">
        <v>0</v>
      </c>
      <c r="AM74" s="7">
        <v>0</v>
      </c>
      <c r="AN74" s="7">
        <v>0</v>
      </c>
      <c r="AO74" s="7">
        <v>1</v>
      </c>
      <c r="AP74" s="70">
        <v>1</v>
      </c>
    </row>
    <row r="75" spans="1:42" ht="21" customHeight="1" x14ac:dyDescent="0.15">
      <c r="A75" s="16" t="str">
        <f t="shared" si="10"/>
        <v>39009_4-3/533&lt;lv60&gt;s3</v>
      </c>
      <c r="B75" s="22">
        <v>39009</v>
      </c>
      <c r="C75" s="114">
        <v>4</v>
      </c>
      <c r="D75" s="114" t="str">
        <f t="shared" si="11"/>
        <v>39009_4</v>
      </c>
      <c r="E75" s="115" t="str">
        <f ca="1">VLOOKUP($B75,OFFSET([2]quests!$A$1,0,0,COUNTA([2]quests!$A:$A),MATCH(E$1,[2]quests!$1:$1,0)-MATCH($B$1,[2]quests!$1:$1,0)+1),MATCH(E$1,[2]quests!$1:$1,0)-MATCH($B$1,[2]quests!$1:$1,0)+1,FALSE)</f>
        <v>星空の歌姫</v>
      </c>
      <c r="F75" s="115" t="str">
        <f ca="1">VLOOKUP($D75,OFFSET([2]stages!$A$1,0,0,COUNTA([2]stages!$A:$A),MATCH(F$1,[2]stages!$2:$2,0)-MATCH($D$1,[2]stages!$2:$2,0)+1),MATCH(F$1,[2]stages!$2:$2,0)-MATCH($D$1,[2]stages!$2:$2,0)+1,FALSE)</f>
        <v>【超級】星空の歌姫</v>
      </c>
      <c r="G75" s="114">
        <v>3</v>
      </c>
      <c r="H75" s="116" t="str">
        <f t="shared" si="12"/>
        <v>39009_4-3</v>
      </c>
      <c r="I75" s="115">
        <f ca="1">VLOOKUP($H75,OFFSET(floors!$A$1,0,0,COUNTA(floors!$A:$A),MATCH(I$1,floors!$1:$1,0)-MATCH($H$1,floors!$1:$1,0)+1),MATCH(I$1,floors!$1:$1,0)-MATCH($H$1,floors!$1:$1,0)+1,FALSE)</f>
        <v>60</v>
      </c>
      <c r="J75" s="115">
        <f ca="1">VLOOKUP($H75,OFFSET(floors!$A$1,0,0,COUNTA(floors!$A:$A),MATCH(J$1,floors!$1:$1,0)-MATCH($H$1,floors!$1:$1,0)+1),MATCH(J$1,floors!$1:$1,0)-MATCH($H$1,floors!$1:$1,0)+1,FALSE)</f>
        <v>60</v>
      </c>
      <c r="K75" s="117" t="s">
        <v>53</v>
      </c>
      <c r="L75" s="114">
        <v>533</v>
      </c>
      <c r="M75" s="17" t="str">
        <f ca="1">VLOOKUP($L75,OFFSET([3]enemies!$A$1,0,0,COUNTA([3]enemies!$A:$A),MATCH(M$1,[3]enemies!$1:$1,0)-MATCH($L$1,[3]enemies!$1:$1,0)+1),MATCH(M$1,[3]enemies!$1:$1,0)-MATCH($L$1,[3]enemies!$1:$1,0)+1,FALSE)</f>
        <v>冬服アカネ</v>
      </c>
      <c r="N75" s="17" t="str">
        <f ca="1">VLOOKUP($L75,OFFSET([3]enemies!$A$1,0,0,COUNTA([3]enemies!$A:$A),MATCH(N$1,[3]enemies!$1:$1,0)-MATCH($L$1,[3]enemies!$1:$1,0)+1),MATCH(N$1,[3]enemies!$1:$1,0)-MATCH($L$1,[3]enemies!$1:$1,0)+1,FALSE)</f>
        <v>red</v>
      </c>
      <c r="O75" s="17" t="str">
        <f ca="1">VLOOKUP($L75,OFFSET([4]characters!$A$1,0,0,COUNTA([4]characters!$A:$A),MATCH(O$1,[4]characters!$1:$1,0)-MATCH($L$1,[4]characters!$1:$1,0)+1),MATCH(O$1,[4]characters!$1:$1,0)-MATCH($L$1,[4]characters!$1:$1,0)+1,FALSE)</f>
        <v>Drop1W</v>
      </c>
      <c r="P75" s="17" t="str">
        <f ca="1">VLOOKUP($L75,OFFSET([3]enemies!$A$1,0,0,COUNTA([3]enemies!$A:$A),MATCH(P$1,[3]enemies!$1:$1,0)-MATCH($L$1,[3]enemies!$1:$1,0)+1),MATCH(P$1,[3]enemies!$1:$1,0)-MATCH($L$1,[3]enemies!$1:$1,0)+1,FALSE)</f>
        <v>human</v>
      </c>
      <c r="Q75" s="17">
        <f ca="1">VLOOKUP($L75,OFFSET([3]enemies!$A$1,0,0,COUNTA([3]enemies!$A:$A),MATCH(Q$1,[3]enemies!$1:$1,0)-MATCH($L$1,[3]enemies!$1:$1,0)+1),MATCH(Q$1,[3]enemies!$1:$1,0)-MATCH($L$1,[3]enemies!$1:$1,0)+1,FALSE)</f>
        <v>15</v>
      </c>
      <c r="R75" s="118">
        <v>60</v>
      </c>
      <c r="S75" s="119">
        <v>2.5</v>
      </c>
      <c r="T75" s="98">
        <f ca="1">ROUND(VLOOKUP(R75,[3]enemy_base_stats!$A:$F,2,FALSE) *INDIRECT("[EnemyMasterData.xlsm]enemies!Y"&amp;(L75+1))*  INDIRECT("[EnemyMasterData.xlsm]enemies!J"&amp;(L75+1))* INDIRECT("[EnemyMasterData.xlsm]enemies!O"&amp;(L75+1))* INDIRECT("[EnemyMasterData.xlsm]enemies!E"&amp;(L75+1))* INDIRECT("[EnemyMasterData.xlsm]enemies!S"&amp;(L75+1))* INDIRECT("[EnemyMasterData.xlsm]enemies!AD"&amp;(L75+1))*[4]ステータス!$B$2,0)*S75</f>
        <v>28905</v>
      </c>
      <c r="U75" s="119">
        <v>1.6</v>
      </c>
      <c r="V75" s="98">
        <f ca="1">ROUND(VLOOKUP(R75,[3]enemy_base_stats!$A:$F,3,FALSE) *INDIRECT("[EnemyMasterData.xlsm]enemies!Z"&amp;(L75+1))*  INDIRECT("[EnemyMasterData.xlsm]enemies!K"&amp;(L75+1))* INDIRECT("[EnemyMasterData.xlsm]enemies!P"&amp;(L75+1))* INDIRECT("[EnemyMasterData.xlsm]enemies!F"&amp;(L75+1))* INDIRECT("[EnemyMasterData.xlsm]enemies!T"&amp;(L75+1))* INDIRECT("[EnemyMasterData.xlsm]enemies!AE"&amp;(L75+1))*[4]ステータス!$C$2,0)*U75</f>
        <v>5961.6</v>
      </c>
      <c r="W75" s="5">
        <v>0</v>
      </c>
      <c r="X75" s="4" t="e">
        <f ca="1">VLOOKUP($Y75,OFFSET(enemy_skill_sets!$B$1,0,0,COUNTA(enemy_skill_sets!$B:$B),MATCH(M$1,enemy_skill_sets!$1:$1,0)-MATCH($Y$1,enemy_skill_sets!$1:$1,0)+2),MATCH(M$1,enemy_skill_sets!$1:$1,0)-MATCH($Y$1,enemy_skill_sets!$1:$1,0)+2,FALSE)</f>
        <v>#N/A</v>
      </c>
      <c r="Y75" s="120">
        <v>0</v>
      </c>
      <c r="Z75" s="121">
        <v>0</v>
      </c>
      <c r="AA75" s="121">
        <v>100</v>
      </c>
      <c r="AB75" s="121">
        <v>0</v>
      </c>
      <c r="AC75" s="122">
        <v>3</v>
      </c>
      <c r="AD75" s="24">
        <f t="shared" si="13"/>
        <v>533</v>
      </c>
      <c r="AE75" s="4" t="str">
        <f ca="1">VLOOKUP($AD75,OFFSET([4]characters!$A$1,0,0,COUNTA([4]characters!$A:$A),MATCH(AE$1,[4]characters!$1:$1,0)-MATCH("character_id",[4]characters!$1:$1,0)+1),MATCH(AE$1,[4]characters!$1:$1,0)-MATCH("character_id",[4]characters!$1:$1,0)+1,FALSE)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75" s="4">
        <f ca="1">VLOOKUP($AD75,OFFSET([4]characters!$A$1,0,0,COUNTA([4]characters!$A:$A),MATCH(AF$1,[4]characters!$1:$1,0)-MATCH("character_id",[4]characters!$1:$1,0)+1),MATCH(AF$1,[4]characters!$1:$1,0)-MATCH("character_id",[4]characters!$1:$1,0)+1,FALSE)</f>
        <v>1</v>
      </c>
      <c r="AG75" s="4" t="str">
        <f ca="1">VLOOKUP($AD75,OFFSET([4]characters!$A$1,0,0,COUNTA([4]characters!$A:$A),MATCH(AG$1,[4]characters!$1:$1,0)-MATCH("character_id",[4]characters!$1:$1,0)+1),MATCH(AG$1,[4]characters!$1:$1,0)-MATCH("character_id",[4]characters!$1:$1,0)+1,FALSE)</f>
        <v>Drop1W</v>
      </c>
      <c r="AH75" s="7">
        <v>1</v>
      </c>
      <c r="AI75" s="24">
        <f t="shared" ca="1" si="14"/>
        <v>1</v>
      </c>
      <c r="AJ75" s="123">
        <v>0</v>
      </c>
      <c r="AK75" s="7">
        <v>0</v>
      </c>
      <c r="AL75" s="7">
        <v>0</v>
      </c>
      <c r="AM75" s="7">
        <v>0</v>
      </c>
      <c r="AN75" s="7">
        <v>0</v>
      </c>
      <c r="AO75" s="7">
        <v>1</v>
      </c>
      <c r="AP75" s="70">
        <v>1</v>
      </c>
    </row>
    <row r="76" spans="1:42" ht="21" customHeight="1" x14ac:dyDescent="0.15">
      <c r="A76" s="16" t="str">
        <f t="shared" si="10"/>
        <v>39009_4-3/534&lt;lv60&gt;s1</v>
      </c>
      <c r="B76" s="22">
        <v>39009</v>
      </c>
      <c r="C76" s="114">
        <v>4</v>
      </c>
      <c r="D76" s="114" t="str">
        <f t="shared" si="11"/>
        <v>39009_4</v>
      </c>
      <c r="E76" s="115" t="str">
        <f ca="1">VLOOKUP($B76,OFFSET([2]quests!$A$1,0,0,COUNTA([2]quests!$A:$A),MATCH(E$1,[2]quests!$1:$1,0)-MATCH($B$1,[2]quests!$1:$1,0)+1),MATCH(E$1,[2]quests!$1:$1,0)-MATCH($B$1,[2]quests!$1:$1,0)+1,FALSE)</f>
        <v>星空の歌姫</v>
      </c>
      <c r="F76" s="115" t="str">
        <f ca="1">VLOOKUP($D76,OFFSET([2]stages!$A$1,0,0,COUNTA([2]stages!$A:$A),MATCH(F$1,[2]stages!$2:$2,0)-MATCH($D$1,[2]stages!$2:$2,0)+1),MATCH(F$1,[2]stages!$2:$2,0)-MATCH($D$1,[2]stages!$2:$2,0)+1,FALSE)</f>
        <v>【超級】星空の歌姫</v>
      </c>
      <c r="G76" s="114">
        <v>3</v>
      </c>
      <c r="H76" s="116" t="str">
        <f t="shared" si="12"/>
        <v>39009_4-3</v>
      </c>
      <c r="I76" s="115">
        <f ca="1">VLOOKUP($H76,OFFSET(floors!$A$1,0,0,COUNTA(floors!$A:$A),MATCH(I$1,floors!$1:$1,0)-MATCH($H$1,floors!$1:$1,0)+1),MATCH(I$1,floors!$1:$1,0)-MATCH($H$1,floors!$1:$1,0)+1,FALSE)</f>
        <v>60</v>
      </c>
      <c r="J76" s="115">
        <f ca="1">VLOOKUP($H76,OFFSET(floors!$A$1,0,0,COUNTA(floors!$A:$A),MATCH(J$1,floors!$1:$1,0)-MATCH($H$1,floors!$1:$1,0)+1),MATCH(J$1,floors!$1:$1,0)-MATCH($H$1,floors!$1:$1,0)+1,FALSE)</f>
        <v>60</v>
      </c>
      <c r="K76" s="117" t="s">
        <v>53</v>
      </c>
      <c r="L76" s="114">
        <v>534</v>
      </c>
      <c r="M76" s="17" t="str">
        <f ca="1">VLOOKUP($L76,OFFSET([3]enemies!$A$1,0,0,COUNTA([3]enemies!$A:$A),MATCH(M$1,[3]enemies!$1:$1,0)-MATCH($L$1,[3]enemies!$1:$1,0)+1),MATCH(M$1,[3]enemies!$1:$1,0)-MATCH($L$1,[3]enemies!$1:$1,0)+1,FALSE)</f>
        <v>冬服パトライン</v>
      </c>
      <c r="N76" s="17" t="str">
        <f ca="1">VLOOKUP($L76,OFFSET([3]enemies!$A$1,0,0,COUNTA([3]enemies!$A:$A),MATCH(N$1,[3]enemies!$1:$1,0)-MATCH($L$1,[3]enemies!$1:$1,0)+1),MATCH(N$1,[3]enemies!$1:$1,0)-MATCH($L$1,[3]enemies!$1:$1,0)+1,FALSE)</f>
        <v>green</v>
      </c>
      <c r="O76" s="17" t="str">
        <f ca="1">VLOOKUP($L76,OFFSET([4]characters!$A$1,0,0,COUNTA([4]characters!$A:$A),MATCH(O$1,[4]characters!$1:$1,0)-MATCH($L$1,[4]characters!$1:$1,0)+1),MATCH(O$1,[4]characters!$1:$1,0)-MATCH($L$1,[4]characters!$1:$1,0)+1,FALSE)</f>
        <v>Drop1W</v>
      </c>
      <c r="P76" s="17" t="str">
        <f ca="1">VLOOKUP($L76,OFFSET([3]enemies!$A$1,0,0,COUNTA([3]enemies!$A:$A),MATCH(P$1,[3]enemies!$1:$1,0)-MATCH($L$1,[3]enemies!$1:$1,0)+1),MATCH(P$1,[3]enemies!$1:$1,0)-MATCH($L$1,[3]enemies!$1:$1,0)+1,FALSE)</f>
        <v>machine</v>
      </c>
      <c r="Q76" s="17">
        <f ca="1">VLOOKUP($L76,OFFSET([3]enemies!$A$1,0,0,COUNTA([3]enemies!$A:$A),MATCH(Q$1,[3]enemies!$1:$1,0)-MATCH($L$1,[3]enemies!$1:$1,0)+1),MATCH(Q$1,[3]enemies!$1:$1,0)-MATCH($L$1,[3]enemies!$1:$1,0)+1,FALSE)</f>
        <v>15</v>
      </c>
      <c r="R76" s="118">
        <v>60</v>
      </c>
      <c r="S76" s="119">
        <v>3.7</v>
      </c>
      <c r="T76" s="98">
        <f ca="1">ROUND(VLOOKUP(R76,[3]enemy_base_stats!$A:$F,2,FALSE) *INDIRECT("[EnemyMasterData.xlsm]enemies!Y"&amp;(L76+1))*  INDIRECT("[EnemyMasterData.xlsm]enemies!J"&amp;(L76+1))* INDIRECT("[EnemyMasterData.xlsm]enemies!O"&amp;(L76+1))* INDIRECT("[EnemyMasterData.xlsm]enemies!E"&amp;(L76+1))* INDIRECT("[EnemyMasterData.xlsm]enemies!S"&amp;(L76+1))* INDIRECT("[EnemyMasterData.xlsm]enemies!AD"&amp;(L76+1))*[4]ステータス!$B$2,0)*S76</f>
        <v>37136.9</v>
      </c>
      <c r="U76" s="119">
        <v>1.4</v>
      </c>
      <c r="V76" s="98">
        <f ca="1">ROUND(VLOOKUP(R76,[3]enemy_base_stats!$A:$F,3,FALSE) *INDIRECT("[EnemyMasterData.xlsm]enemies!Z"&amp;(L76+1))*  INDIRECT("[EnemyMasterData.xlsm]enemies!K"&amp;(L76+1))* INDIRECT("[EnemyMasterData.xlsm]enemies!P"&amp;(L76+1))* INDIRECT("[EnemyMasterData.xlsm]enemies!F"&amp;(L76+1))* INDIRECT("[EnemyMasterData.xlsm]enemies!T"&amp;(L76+1))* INDIRECT("[EnemyMasterData.xlsm]enemies!AE"&amp;(L76+1))*[4]ステータス!$C$2,0)*U76</f>
        <v>3949.3999999999996</v>
      </c>
      <c r="W76" s="5">
        <v>0</v>
      </c>
      <c r="X76" s="4" t="e">
        <f ca="1">VLOOKUP($Y76,OFFSET(enemy_skill_sets!$B$1,0,0,COUNTA(enemy_skill_sets!$B:$B),MATCH(M$1,enemy_skill_sets!$1:$1,0)-MATCH($Y$1,enemy_skill_sets!$1:$1,0)+2),MATCH(M$1,enemy_skill_sets!$1:$1,0)-MATCH($Y$1,enemy_skill_sets!$1:$1,0)+2,FALSE)</f>
        <v>#N/A</v>
      </c>
      <c r="Y76" s="120">
        <v>0</v>
      </c>
      <c r="Z76" s="121">
        <v>0</v>
      </c>
      <c r="AA76" s="121">
        <v>100</v>
      </c>
      <c r="AB76" s="121">
        <v>0</v>
      </c>
      <c r="AC76" s="122">
        <v>1</v>
      </c>
      <c r="AD76" s="24">
        <f t="shared" si="13"/>
        <v>534</v>
      </c>
      <c r="AE76" s="4" t="str">
        <f ca="1">VLOOKUP($AD76,OFFSET([4]characters!$A$1,0,0,COUNTA([4]characters!$A:$A),MATCH(AE$1,[4]characters!$1:$1,0)-MATCH("character_id",[4]characters!$1:$1,0)+1),MATCH(AE$1,[4]characters!$1:$1,0)-MATCH("character_id",[4]characters!$1:$1,0)+1,FALSE)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76" s="4">
        <f ca="1">VLOOKUP($AD76,OFFSET([4]characters!$A$1,0,0,COUNTA([4]characters!$A:$A),MATCH(AF$1,[4]characters!$1:$1,0)-MATCH("character_id",[4]characters!$1:$1,0)+1),MATCH(AF$1,[4]characters!$1:$1,0)-MATCH("character_id",[4]characters!$1:$1,0)+1,FALSE)</f>
        <v>1</v>
      </c>
      <c r="AG76" s="4" t="str">
        <f ca="1">VLOOKUP($AD76,OFFSET([4]characters!$A$1,0,0,COUNTA([4]characters!$A:$A),MATCH(AG$1,[4]characters!$1:$1,0)-MATCH("character_id",[4]characters!$1:$1,0)+1),MATCH(AG$1,[4]characters!$1:$1,0)-MATCH("character_id",[4]characters!$1:$1,0)+1,FALSE)</f>
        <v>Drop1W</v>
      </c>
      <c r="AH76" s="7">
        <v>1</v>
      </c>
      <c r="AI76" s="24">
        <f t="shared" ca="1" si="14"/>
        <v>1</v>
      </c>
      <c r="AJ76" s="123">
        <v>0</v>
      </c>
      <c r="AK76" s="7">
        <v>0</v>
      </c>
      <c r="AL76" s="7">
        <v>0</v>
      </c>
      <c r="AM76" s="7">
        <v>0</v>
      </c>
      <c r="AN76" s="7">
        <v>0</v>
      </c>
      <c r="AO76" s="7">
        <v>1</v>
      </c>
      <c r="AP76" s="70">
        <v>1</v>
      </c>
    </row>
    <row r="77" spans="1:42" ht="21" customHeight="1" x14ac:dyDescent="0.15">
      <c r="A77" s="16" t="str">
        <f t="shared" si="10"/>
        <v>39009_4-3/535&lt;lv60&gt;s2</v>
      </c>
      <c r="B77" s="22">
        <v>39009</v>
      </c>
      <c r="C77" s="114">
        <v>4</v>
      </c>
      <c r="D77" s="114" t="str">
        <f t="shared" si="11"/>
        <v>39009_4</v>
      </c>
      <c r="E77" s="115" t="str">
        <f ca="1">VLOOKUP($B77,OFFSET([2]quests!$A$1,0,0,COUNTA([2]quests!$A:$A),MATCH(E$1,[2]quests!$1:$1,0)-MATCH($B$1,[2]quests!$1:$1,0)+1),MATCH(E$1,[2]quests!$1:$1,0)-MATCH($B$1,[2]quests!$1:$1,0)+1,FALSE)</f>
        <v>星空の歌姫</v>
      </c>
      <c r="F77" s="115" t="str">
        <f ca="1">VLOOKUP($D77,OFFSET([2]stages!$A$1,0,0,COUNTA([2]stages!$A:$A),MATCH(F$1,[2]stages!$2:$2,0)-MATCH($D$1,[2]stages!$2:$2,0)+1),MATCH(F$1,[2]stages!$2:$2,0)-MATCH($D$1,[2]stages!$2:$2,0)+1,FALSE)</f>
        <v>【超級】星空の歌姫</v>
      </c>
      <c r="G77" s="114">
        <v>3</v>
      </c>
      <c r="H77" s="116" t="str">
        <f t="shared" si="12"/>
        <v>39009_4-3</v>
      </c>
      <c r="I77" s="115">
        <f ca="1">VLOOKUP($H77,OFFSET(floors!$A$1,0,0,COUNTA(floors!$A:$A),MATCH(I$1,floors!$1:$1,0)-MATCH($H$1,floors!$1:$1,0)+1),MATCH(I$1,floors!$1:$1,0)-MATCH($H$1,floors!$1:$1,0)+1,FALSE)</f>
        <v>60</v>
      </c>
      <c r="J77" s="115">
        <f ca="1">VLOOKUP($H77,OFFSET(floors!$A$1,0,0,COUNTA(floors!$A:$A),MATCH(J$1,floors!$1:$1,0)-MATCH($H$1,floors!$1:$1,0)+1),MATCH(J$1,floors!$1:$1,0)-MATCH($H$1,floors!$1:$1,0)+1,FALSE)</f>
        <v>60</v>
      </c>
      <c r="K77" s="117" t="s">
        <v>53</v>
      </c>
      <c r="L77" s="114">
        <v>535</v>
      </c>
      <c r="M77" s="17" t="str">
        <f ca="1">VLOOKUP($L77,OFFSET([3]enemies!$A$1,0,0,COUNTA([3]enemies!$A:$A),MATCH(M$1,[3]enemies!$1:$1,0)-MATCH($L$1,[3]enemies!$1:$1,0)+1),MATCH(M$1,[3]enemies!$1:$1,0)-MATCH($L$1,[3]enemies!$1:$1,0)+1,FALSE)</f>
        <v>冬服リム</v>
      </c>
      <c r="N77" s="17" t="str">
        <f ca="1">VLOOKUP($L77,OFFSET([3]enemies!$A$1,0,0,COUNTA([3]enemies!$A:$A),MATCH(N$1,[3]enemies!$1:$1,0)-MATCH($L$1,[3]enemies!$1:$1,0)+1),MATCH(N$1,[3]enemies!$1:$1,0)-MATCH($L$1,[3]enemies!$1:$1,0)+1,FALSE)</f>
        <v>blue</v>
      </c>
      <c r="O77" s="17" t="str">
        <f ca="1">VLOOKUP($L77,OFFSET([4]characters!$A$1,0,0,COUNTA([4]characters!$A:$A),MATCH(O$1,[4]characters!$1:$1,0)-MATCH($L$1,[4]characters!$1:$1,0)+1),MATCH(O$1,[4]characters!$1:$1,0)-MATCH($L$1,[4]characters!$1:$1,0)+1,FALSE)</f>
        <v>Drop1W</v>
      </c>
      <c r="P77" s="17" t="str">
        <f ca="1">VLOOKUP($L77,OFFSET([3]enemies!$A$1,0,0,COUNTA([3]enemies!$A:$A),MATCH(P$1,[3]enemies!$1:$1,0)-MATCH($L$1,[3]enemies!$1:$1,0)+1),MATCH(P$1,[3]enemies!$1:$1,0)-MATCH($L$1,[3]enemies!$1:$1,0)+1,FALSE)</f>
        <v>human</v>
      </c>
      <c r="Q77" s="17">
        <f ca="1">VLOOKUP($L77,OFFSET([3]enemies!$A$1,0,0,COUNTA([3]enemies!$A:$A),MATCH(Q$1,[3]enemies!$1:$1,0)-MATCH($L$1,[3]enemies!$1:$1,0)+1),MATCH(Q$1,[3]enemies!$1:$1,0)-MATCH($L$1,[3]enemies!$1:$1,0)+1,FALSE)</f>
        <v>15</v>
      </c>
      <c r="R77" s="118">
        <v>60</v>
      </c>
      <c r="S77" s="119">
        <v>1.8</v>
      </c>
      <c r="T77" s="98">
        <f ca="1">ROUND(VLOOKUP(R77,[3]enemy_base_stats!$A:$F,2,FALSE) *INDIRECT("[EnemyMasterData.xlsm]enemies!Y"&amp;(L77+1))*  INDIRECT("[EnemyMasterData.xlsm]enemies!J"&amp;(L77+1))* INDIRECT("[EnemyMasterData.xlsm]enemies!O"&amp;(L77+1))* INDIRECT("[EnemyMasterData.xlsm]enemies!E"&amp;(L77+1))* INDIRECT("[EnemyMasterData.xlsm]enemies!S"&amp;(L77+1))* INDIRECT("[EnemyMasterData.xlsm]enemies!AD"&amp;(L77+1))*[4]ステータス!$B$2,0)*S77</f>
        <v>20811.600000000002</v>
      </c>
      <c r="U77" s="119">
        <v>0.9</v>
      </c>
      <c r="V77" s="98">
        <f ca="1">ROUND(VLOOKUP(R77,[3]enemy_base_stats!$A:$F,3,FALSE) *INDIRECT("[EnemyMasterData.xlsm]enemies!Z"&amp;(L77+1))*  INDIRECT("[EnemyMasterData.xlsm]enemies!K"&amp;(L77+1))* INDIRECT("[EnemyMasterData.xlsm]enemies!P"&amp;(L77+1))* INDIRECT("[EnemyMasterData.xlsm]enemies!F"&amp;(L77+1))* INDIRECT("[EnemyMasterData.xlsm]enemies!T"&amp;(L77+1))* INDIRECT("[EnemyMasterData.xlsm]enemies!AE"&amp;(L77+1))*[4]ステータス!$C$2,0)*U77</f>
        <v>3222</v>
      </c>
      <c r="W77" s="5">
        <v>0</v>
      </c>
      <c r="X77" s="4" t="e">
        <f ca="1">VLOOKUP($Y77,OFFSET(enemy_skill_sets!$B$1,0,0,COUNTA(enemy_skill_sets!$B:$B),MATCH(M$1,enemy_skill_sets!$1:$1,0)-MATCH($Y$1,enemy_skill_sets!$1:$1,0)+2),MATCH(M$1,enemy_skill_sets!$1:$1,0)-MATCH($Y$1,enemy_skill_sets!$1:$1,0)+2,FALSE)</f>
        <v>#N/A</v>
      </c>
      <c r="Y77" s="120">
        <v>0</v>
      </c>
      <c r="Z77" s="121">
        <v>0</v>
      </c>
      <c r="AA77" s="121">
        <v>100</v>
      </c>
      <c r="AB77" s="121">
        <v>0</v>
      </c>
      <c r="AC77" s="122">
        <v>2</v>
      </c>
      <c r="AD77" s="24">
        <f t="shared" si="13"/>
        <v>535</v>
      </c>
      <c r="AE77" s="4" t="str">
        <f ca="1">VLOOKUP($AD77,OFFSET([4]characters!$A$1,0,0,COUNTA([4]characters!$A:$A),MATCH(AE$1,[4]characters!$1:$1,0)-MATCH("character_id",[4]characters!$1:$1,0)+1),MATCH(AE$1,[4]characters!$1:$1,0)-MATCH("character_id",[4]characters!$1:$1,0)+1,FALSE)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77" s="4">
        <f ca="1">VLOOKUP($AD77,OFFSET([4]characters!$A$1,0,0,COUNTA([4]characters!$A:$A),MATCH(AF$1,[4]characters!$1:$1,0)-MATCH("character_id",[4]characters!$1:$1,0)+1),MATCH(AF$1,[4]characters!$1:$1,0)-MATCH("character_id",[4]characters!$1:$1,0)+1,FALSE)</f>
        <v>1</v>
      </c>
      <c r="AG77" s="4" t="str">
        <f ca="1">VLOOKUP($AD77,OFFSET([4]characters!$A$1,0,0,COUNTA([4]characters!$A:$A),MATCH(AG$1,[4]characters!$1:$1,0)-MATCH("character_id",[4]characters!$1:$1,0)+1),MATCH(AG$1,[4]characters!$1:$1,0)-MATCH("character_id",[4]characters!$1:$1,0)+1,FALSE)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7" s="7">
        <v>1</v>
      </c>
      <c r="AI77" s="24">
        <f t="shared" ca="1" si="14"/>
        <v>1</v>
      </c>
      <c r="AJ77" s="123">
        <v>0</v>
      </c>
      <c r="AK77" s="7">
        <v>0</v>
      </c>
      <c r="AL77" s="7">
        <v>0</v>
      </c>
      <c r="AM77" s="7">
        <v>0</v>
      </c>
      <c r="AN77" s="7">
        <v>0</v>
      </c>
      <c r="AO77" s="7">
        <v>1</v>
      </c>
      <c r="AP77" s="70">
        <v>1</v>
      </c>
    </row>
    <row r="78" spans="1:42" ht="21" customHeight="1" x14ac:dyDescent="0.15">
      <c r="A78" s="16" t="str">
        <f t="shared" si="10"/>
        <v>39009_4-3/536&lt;lv60&gt;s2</v>
      </c>
      <c r="B78" s="22">
        <v>39009</v>
      </c>
      <c r="C78" s="114">
        <v>4</v>
      </c>
      <c r="D78" s="114" t="str">
        <f t="shared" si="11"/>
        <v>39009_4</v>
      </c>
      <c r="E78" s="115" t="str">
        <f ca="1">VLOOKUP($B78,OFFSET([2]quests!$A$1,0,0,COUNTA([2]quests!$A:$A),MATCH(E$1,[2]quests!$1:$1,0)-MATCH($B$1,[2]quests!$1:$1,0)+1),MATCH(E$1,[2]quests!$1:$1,0)-MATCH($B$1,[2]quests!$1:$1,0)+1,FALSE)</f>
        <v>星空の歌姫</v>
      </c>
      <c r="F78" s="115" t="str">
        <f ca="1">VLOOKUP($D78,OFFSET([2]stages!$A$1,0,0,COUNTA([2]stages!$A:$A),MATCH(F$1,[2]stages!$2:$2,0)-MATCH($D$1,[2]stages!$2:$2,0)+1),MATCH(F$1,[2]stages!$2:$2,0)-MATCH($D$1,[2]stages!$2:$2,0)+1,FALSE)</f>
        <v>【超級】星空の歌姫</v>
      </c>
      <c r="G78" s="114">
        <v>3</v>
      </c>
      <c r="H78" s="116" t="str">
        <f t="shared" si="12"/>
        <v>39009_4-3</v>
      </c>
      <c r="I78" s="115">
        <f ca="1">VLOOKUP($H78,OFFSET(floors!$A$1,0,0,COUNTA(floors!$A:$A),MATCH(I$1,floors!$1:$1,0)-MATCH($H$1,floors!$1:$1,0)+1),MATCH(I$1,floors!$1:$1,0)-MATCH($H$1,floors!$1:$1,0)+1,FALSE)</f>
        <v>60</v>
      </c>
      <c r="J78" s="115">
        <f ca="1">VLOOKUP($H78,OFFSET(floors!$A$1,0,0,COUNTA(floors!$A:$A),MATCH(J$1,floors!$1:$1,0)-MATCH($H$1,floors!$1:$1,0)+1),MATCH(J$1,floors!$1:$1,0)-MATCH($H$1,floors!$1:$1,0)+1,FALSE)</f>
        <v>60</v>
      </c>
      <c r="K78" s="117" t="s">
        <v>53</v>
      </c>
      <c r="L78" s="114">
        <v>536</v>
      </c>
      <c r="M78" s="17" t="str">
        <f ca="1">VLOOKUP($L78,OFFSET([3]enemies!$A$1,0,0,COUNTA([3]enemies!$A:$A),MATCH(M$1,[3]enemies!$1:$1,0)-MATCH($L$1,[3]enemies!$1:$1,0)+1),MATCH(M$1,[3]enemies!$1:$1,0)-MATCH($L$1,[3]enemies!$1:$1,0)+1,FALSE)</f>
        <v>冬服ミミ</v>
      </c>
      <c r="N78" s="17" t="str">
        <f ca="1">VLOOKUP($L78,OFFSET([3]enemies!$A$1,0,0,COUNTA([3]enemies!$A:$A),MATCH(N$1,[3]enemies!$1:$1,0)-MATCH($L$1,[3]enemies!$1:$1,0)+1),MATCH(N$1,[3]enemies!$1:$1,0)-MATCH($L$1,[3]enemies!$1:$1,0)+1,FALSE)</f>
        <v>yellow</v>
      </c>
      <c r="O78" s="17" t="str">
        <f ca="1">VLOOKUP($L78,OFFSET([4]characters!$A$1,0,0,COUNTA([4]characters!$A:$A),MATCH(O$1,[4]characters!$1:$1,0)-MATCH($L$1,[4]characters!$1:$1,0)+1),MATCH(O$1,[4]characters!$1:$1,0)-MATCH($L$1,[4]characters!$1:$1,0)+1,FALSE)</f>
        <v>Drop1W</v>
      </c>
      <c r="P78" s="17" t="str">
        <f ca="1">VLOOKUP($L78,OFFSET([3]enemies!$A$1,0,0,COUNTA([3]enemies!$A:$A),MATCH(P$1,[3]enemies!$1:$1,0)-MATCH($L$1,[3]enemies!$1:$1,0)+1),MATCH(P$1,[3]enemies!$1:$1,0)-MATCH($L$1,[3]enemies!$1:$1,0)+1,FALSE)</f>
        <v>animal</v>
      </c>
      <c r="Q78" s="17">
        <f ca="1">VLOOKUP($L78,OFFSET([3]enemies!$A$1,0,0,COUNTA([3]enemies!$A:$A),MATCH(Q$1,[3]enemies!$1:$1,0)-MATCH($L$1,[3]enemies!$1:$1,0)+1),MATCH(Q$1,[3]enemies!$1:$1,0)-MATCH($L$1,[3]enemies!$1:$1,0)+1,FALSE)</f>
        <v>15</v>
      </c>
      <c r="R78" s="118">
        <v>60</v>
      </c>
      <c r="S78" s="119">
        <v>2.4</v>
      </c>
      <c r="T78" s="98">
        <f ca="1">ROUND(VLOOKUP(R78,[3]enemy_base_stats!$A:$F,2,FALSE) *INDIRECT("[EnemyMasterData.xlsm]enemies!Y"&amp;(L78+1))*  INDIRECT("[EnemyMasterData.xlsm]enemies!J"&amp;(L78+1))* INDIRECT("[EnemyMasterData.xlsm]enemies!O"&amp;(L78+1))* INDIRECT("[EnemyMasterData.xlsm]enemies!E"&amp;(L78+1))* INDIRECT("[EnemyMasterData.xlsm]enemies!S"&amp;(L78+1))* INDIRECT("[EnemyMasterData.xlsm]enemies!AD"&amp;(L78+1))*[4]ステータス!$B$2,0)*S78</f>
        <v>28929.599999999999</v>
      </c>
      <c r="U78" s="119">
        <v>0.8</v>
      </c>
      <c r="V78" s="98">
        <f ca="1">ROUND(VLOOKUP(R78,[3]enemy_base_stats!$A:$F,3,FALSE) *INDIRECT("[EnemyMasterData.xlsm]enemies!Z"&amp;(L78+1))*  INDIRECT("[EnemyMasterData.xlsm]enemies!K"&amp;(L78+1))* INDIRECT("[EnemyMasterData.xlsm]enemies!P"&amp;(L78+1))* INDIRECT("[EnemyMasterData.xlsm]enemies!F"&amp;(L78+1))* INDIRECT("[EnemyMasterData.xlsm]enemies!T"&amp;(L78+1))* INDIRECT("[EnemyMasterData.xlsm]enemies!AE"&amp;(L78+1))*[4]ステータス!$C$2,0)*U78</f>
        <v>4361.6000000000004</v>
      </c>
      <c r="W78" s="5">
        <v>0</v>
      </c>
      <c r="X78" s="4" t="e">
        <f ca="1">VLOOKUP($Y78,OFFSET(enemy_skill_sets!$B$1,0,0,COUNTA(enemy_skill_sets!$B:$B),MATCH(M$1,enemy_skill_sets!$1:$1,0)-MATCH($Y$1,enemy_skill_sets!$1:$1,0)+2),MATCH(M$1,enemy_skill_sets!$1:$1,0)-MATCH($Y$1,enemy_skill_sets!$1:$1,0)+2,FALSE)</f>
        <v>#N/A</v>
      </c>
      <c r="Y78" s="120">
        <v>0</v>
      </c>
      <c r="Z78" s="121">
        <v>0</v>
      </c>
      <c r="AA78" s="121">
        <v>100</v>
      </c>
      <c r="AB78" s="121">
        <v>0</v>
      </c>
      <c r="AC78" s="122">
        <v>2</v>
      </c>
      <c r="AD78" s="24">
        <f t="shared" si="13"/>
        <v>536</v>
      </c>
      <c r="AE78" s="4" t="str">
        <f ca="1">VLOOKUP($AD78,OFFSET([4]characters!$A$1,0,0,COUNTA([4]characters!$A:$A),MATCH(AE$1,[4]characters!$1:$1,0)-MATCH("character_id",[4]characters!$1:$1,0)+1),MATCH(AE$1,[4]characters!$1:$1,0)-MATCH("character_id",[4]characters!$1:$1,0)+1,FALSE)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78" s="4">
        <f ca="1">VLOOKUP($AD78,OFFSET([4]characters!$A$1,0,0,COUNTA([4]characters!$A:$A),MATCH(AF$1,[4]characters!$1:$1,0)-MATCH("character_id",[4]characters!$1:$1,0)+1),MATCH(AF$1,[4]characters!$1:$1,0)-MATCH("character_id",[4]characters!$1:$1,0)+1,FALSE)</f>
        <v>1</v>
      </c>
      <c r="AG78" s="4" t="str">
        <f ca="1">VLOOKUP($AD78,OFFSET([4]characters!$A$1,0,0,COUNTA([4]characters!$A:$A),MATCH(AG$1,[4]characters!$1:$1,0)-MATCH("character_id",[4]characters!$1:$1,0)+1),MATCH(AG$1,[4]characters!$1:$1,0)-MATCH("character_id",[4]characters!$1:$1,0)+1,FALSE)</f>
        <v>Drop1W</v>
      </c>
      <c r="AH78" s="7">
        <v>1</v>
      </c>
      <c r="AI78" s="24">
        <f t="shared" ca="1" si="14"/>
        <v>1</v>
      </c>
      <c r="AJ78" s="123">
        <v>0</v>
      </c>
      <c r="AK78" s="7">
        <v>0</v>
      </c>
      <c r="AL78" s="7">
        <v>0</v>
      </c>
      <c r="AM78" s="7">
        <v>0</v>
      </c>
      <c r="AN78" s="7">
        <v>0</v>
      </c>
      <c r="AO78" s="7">
        <v>1</v>
      </c>
      <c r="AP78" s="70">
        <v>1</v>
      </c>
    </row>
    <row r="79" spans="1:42" ht="21" customHeight="1" x14ac:dyDescent="0.15">
      <c r="A79" s="16" t="str">
        <f t="shared" si="10"/>
        <v>39009_4-3/537&lt;lv60&gt;s2</v>
      </c>
      <c r="B79" s="22">
        <v>39009</v>
      </c>
      <c r="C79" s="114">
        <v>4</v>
      </c>
      <c r="D79" s="114" t="str">
        <f t="shared" si="11"/>
        <v>39009_4</v>
      </c>
      <c r="E79" s="115" t="str">
        <f ca="1">VLOOKUP($B79,OFFSET([2]quests!$A$1,0,0,COUNTA([2]quests!$A:$A),MATCH(E$1,[2]quests!$1:$1,0)-MATCH($B$1,[2]quests!$1:$1,0)+1),MATCH(E$1,[2]quests!$1:$1,0)-MATCH($B$1,[2]quests!$1:$1,0)+1,FALSE)</f>
        <v>星空の歌姫</v>
      </c>
      <c r="F79" s="115" t="str">
        <f ca="1">VLOOKUP($D79,OFFSET([2]stages!$A$1,0,0,COUNTA([2]stages!$A:$A),MATCH(F$1,[2]stages!$2:$2,0)-MATCH($D$1,[2]stages!$2:$2,0)+1),MATCH(F$1,[2]stages!$2:$2,0)-MATCH($D$1,[2]stages!$2:$2,0)+1,FALSE)</f>
        <v>【超級】星空の歌姫</v>
      </c>
      <c r="G79" s="114">
        <v>3</v>
      </c>
      <c r="H79" s="116" t="str">
        <f t="shared" si="12"/>
        <v>39009_4-3</v>
      </c>
      <c r="I79" s="115">
        <f ca="1">VLOOKUP($H79,OFFSET(floors!$A$1,0,0,COUNTA(floors!$A:$A),MATCH(I$1,floors!$1:$1,0)-MATCH($H$1,floors!$1:$1,0)+1),MATCH(I$1,floors!$1:$1,0)-MATCH($H$1,floors!$1:$1,0)+1,FALSE)</f>
        <v>60</v>
      </c>
      <c r="J79" s="115">
        <f ca="1">VLOOKUP($H79,OFFSET(floors!$A$1,0,0,COUNTA(floors!$A:$A),MATCH(J$1,floors!$1:$1,0)-MATCH($H$1,floors!$1:$1,0)+1),MATCH(J$1,floors!$1:$1,0)-MATCH($H$1,floors!$1:$1,0)+1,FALSE)</f>
        <v>60</v>
      </c>
      <c r="K79" s="117" t="s">
        <v>53</v>
      </c>
      <c r="L79" s="114">
        <v>537</v>
      </c>
      <c r="M79" s="17" t="str">
        <f ca="1">VLOOKUP($L79,OFFSET([3]enemies!$A$1,0,0,COUNTA([3]enemies!$A:$A),MATCH(M$1,[3]enemies!$1:$1,0)-MATCH($L$1,[3]enemies!$1:$1,0)+1),MATCH(M$1,[3]enemies!$1:$1,0)-MATCH($L$1,[3]enemies!$1:$1,0)+1,FALSE)</f>
        <v>冬服ハッピー100</v>
      </c>
      <c r="N79" s="17" t="str">
        <f ca="1">VLOOKUP($L79,OFFSET([3]enemies!$A$1,0,0,COUNTA([3]enemies!$A:$A),MATCH(N$1,[3]enemies!$1:$1,0)-MATCH($L$1,[3]enemies!$1:$1,0)+1),MATCH(N$1,[3]enemies!$1:$1,0)-MATCH($L$1,[3]enemies!$1:$1,0)+1,FALSE)</f>
        <v>green</v>
      </c>
      <c r="O79" s="17" t="str">
        <f ca="1">VLOOKUP($L79,OFFSET([4]characters!$A$1,0,0,COUNTA([4]characters!$A:$A),MATCH(O$1,[4]characters!$1:$1,0)-MATCH($L$1,[4]characters!$1:$1,0)+1),MATCH(O$1,[4]characters!$1:$1,0)-MATCH($L$1,[4]characters!$1:$1,0)+1,FALSE)</f>
        <v>DropWizW</v>
      </c>
      <c r="P79" s="17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17">
        <f ca="1">VLOOKUP($L79,OFFSET([3]enemies!$A$1,0,0,COUNTA([3]enemies!$A:$A),MATCH(Q$1,[3]enemies!$1:$1,0)-MATCH($L$1,[3]enemies!$1:$1,0)+1),MATCH(Q$1,[3]enemies!$1:$1,0)-MATCH($L$1,[3]enemies!$1:$1,0)+1,FALSE)</f>
        <v>25</v>
      </c>
      <c r="R79" s="118">
        <v>60</v>
      </c>
      <c r="S79" s="119">
        <v>9.3000000000000007</v>
      </c>
      <c r="T79" s="98">
        <f ca="1">ROUND(VLOOKUP(R79,[3]enemy_base_stats!$A:$F,2,FALSE) *INDIRECT("[EnemyMasterData.xlsm]enemies!Y"&amp;(L79+1))*  INDIRECT("[EnemyMasterData.xlsm]enemies!J"&amp;(L79+1))* INDIRECT("[EnemyMasterData.xlsm]enemies!O"&amp;(L79+1))* INDIRECT("[EnemyMasterData.xlsm]enemies!E"&amp;(L79+1))* INDIRECT("[EnemyMasterData.xlsm]enemies!S"&amp;(L79+1))* INDIRECT("[EnemyMasterData.xlsm]enemies!AD"&amp;(L79+1))*[4]ステータス!$B$2,0)*S79</f>
        <v>112009.20000000001</v>
      </c>
      <c r="U79" s="119">
        <v>1.7</v>
      </c>
      <c r="V79" s="98">
        <f ca="1">ROUND(VLOOKUP(R79,[3]enemy_base_stats!$A:$F,3,FALSE) *INDIRECT("[EnemyMasterData.xlsm]enemies!Z"&amp;(L79+1))*  INDIRECT("[EnemyMasterData.xlsm]enemies!K"&amp;(L79+1))* INDIRECT("[EnemyMasterData.xlsm]enemies!P"&amp;(L79+1))* INDIRECT("[EnemyMasterData.xlsm]enemies!F"&amp;(L79+1))* INDIRECT("[EnemyMasterData.xlsm]enemies!T"&amp;(L79+1))* INDIRECT("[EnemyMasterData.xlsm]enemies!AE"&amp;(L79+1))*[4]ステータス!$C$2,0)*U79</f>
        <v>5994.2</v>
      </c>
      <c r="W79" s="5">
        <v>0</v>
      </c>
      <c r="X79" s="4" t="str">
        <f ca="1">VLOOKUP($Y79,OFFSET(enemy_skill_sets!$B$1,0,0,COUNTA(enemy_skill_sets!$B:$B),MATCH(M$1,enemy_skill_sets!$1:$1,0)-MATCH($Y$1,enemy_skill_sets!$1:$1,0)+2),MATCH(M$1,enemy_skill_sets!$1:$1,0)-MATCH($Y$1,enemy_skill_sets!$1:$1,0)+2,FALSE)</f>
        <v>3ターン回復効果付与</v>
      </c>
      <c r="Y79" s="120">
        <v>39009024</v>
      </c>
      <c r="Z79" s="121">
        <v>0</v>
      </c>
      <c r="AA79" s="121">
        <v>100</v>
      </c>
      <c r="AB79" s="121">
        <v>1</v>
      </c>
      <c r="AC79" s="122">
        <v>2</v>
      </c>
      <c r="AD79" s="24">
        <f t="shared" si="13"/>
        <v>537</v>
      </c>
      <c r="AE79" s="4" t="str">
        <f ca="1">VLOOKUP($AD79,OFFSET([4]characters!$A$1,0,0,COUNTA([4]characters!$A:$A),MATCH(AE$1,[4]characters!$1:$1,0)-MATCH("character_id",[4]characters!$1:$1,0)+1),MATCH(AE$1,[4]characters!$1:$1,0)-MATCH("character_id",[4]characters!$1:$1,0)+1,FALSE)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79" s="4">
        <f ca="1">VLOOKUP($AD79,OFFSET([4]characters!$A$1,0,0,COUNTA([4]characters!$A:$A),MATCH(AF$1,[4]characters!$1:$1,0)-MATCH("character_id",[4]characters!$1:$1,0)+1),MATCH(AF$1,[4]characters!$1:$1,0)-MATCH("character_id",[4]characters!$1:$1,0)+1,FALSE)</f>
        <v>3</v>
      </c>
      <c r="AG79" s="4" t="str">
        <f ca="1">VLOOKUP($AD79,OFFSET([4]characters!$A$1,0,0,COUNTA([4]characters!$A:$A),MATCH(AG$1,[4]characters!$1:$1,0)-MATCH("character_id",[4]characters!$1:$1,0)+1),MATCH(AG$1,[4]characters!$1:$1,0)-MATCH("character_id",[4]characters!$1:$1,0)+1,FALSE)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79" s="7">
        <v>1</v>
      </c>
      <c r="AI79" s="24">
        <f t="shared" ca="1" si="14"/>
        <v>3</v>
      </c>
      <c r="AJ79" s="123">
        <v>20</v>
      </c>
      <c r="AK79" s="7">
        <v>0</v>
      </c>
      <c r="AL79" s="7">
        <v>0</v>
      </c>
      <c r="AM79" s="7">
        <v>0</v>
      </c>
      <c r="AN79" s="7">
        <v>0</v>
      </c>
      <c r="AO79" s="7">
        <v>1</v>
      </c>
      <c r="AP79" s="70">
        <v>1</v>
      </c>
    </row>
    <row r="80" spans="1:42" ht="21" customHeight="1" x14ac:dyDescent="0.15">
      <c r="A80" s="16" t="str">
        <f t="shared" si="10"/>
        <v>39009_4-3/538&lt;lv60&gt;s2</v>
      </c>
      <c r="B80" s="22">
        <v>39009</v>
      </c>
      <c r="C80" s="114">
        <v>4</v>
      </c>
      <c r="D80" s="114" t="str">
        <f t="shared" si="11"/>
        <v>39009_4</v>
      </c>
      <c r="E80" s="115" t="str">
        <f ca="1">VLOOKUP($B80,OFFSET([2]quests!$A$1,0,0,COUNTA([2]quests!$A:$A),MATCH(E$1,[2]quests!$1:$1,0)-MATCH($B$1,[2]quests!$1:$1,0)+1),MATCH(E$1,[2]quests!$1:$1,0)-MATCH($B$1,[2]quests!$1:$1,0)+1,FALSE)</f>
        <v>星空の歌姫</v>
      </c>
      <c r="F80" s="115" t="str">
        <f ca="1">VLOOKUP($D80,OFFSET([2]stages!$A$1,0,0,COUNTA([2]stages!$A:$A),MATCH(F$1,[2]stages!$2:$2,0)-MATCH($D$1,[2]stages!$2:$2,0)+1),MATCH(F$1,[2]stages!$2:$2,0)-MATCH($D$1,[2]stages!$2:$2,0)+1,FALSE)</f>
        <v>【超級】星空の歌姫</v>
      </c>
      <c r="G80" s="114">
        <v>3</v>
      </c>
      <c r="H80" s="116" t="str">
        <f t="shared" si="12"/>
        <v>39009_4-3</v>
      </c>
      <c r="I80" s="115">
        <f ca="1">VLOOKUP($H80,OFFSET(floors!$A$1,0,0,COUNTA(floors!$A:$A),MATCH(I$1,floors!$1:$1,0)-MATCH($H$1,floors!$1:$1,0)+1),MATCH(I$1,floors!$1:$1,0)-MATCH($H$1,floors!$1:$1,0)+1,FALSE)</f>
        <v>60</v>
      </c>
      <c r="J80" s="115">
        <f ca="1">VLOOKUP($H80,OFFSET(floors!$A$1,0,0,COUNTA(floors!$A:$A),MATCH(J$1,floors!$1:$1,0)-MATCH($H$1,floors!$1:$1,0)+1),MATCH(J$1,floors!$1:$1,0)-MATCH($H$1,floors!$1:$1,0)+1,FALSE)</f>
        <v>60</v>
      </c>
      <c r="K80" s="117" t="s">
        <v>53</v>
      </c>
      <c r="L80" s="114">
        <v>538</v>
      </c>
      <c r="M80" s="17" t="str">
        <f ca="1">VLOOKUP($L80,OFFSET([3]enemies!$A$1,0,0,COUNTA([3]enemies!$A:$A),MATCH(M$1,[3]enemies!$1:$1,0)-MATCH($L$1,[3]enemies!$1:$1,0)+1),MATCH(M$1,[3]enemies!$1:$1,0)-MATCH($L$1,[3]enemies!$1:$1,0)+1,FALSE)</f>
        <v>冬服ニムダ</v>
      </c>
      <c r="N80" s="17" t="str">
        <f ca="1">VLOOKUP($L80,OFFSET([3]enemies!$A$1,0,0,COUNTA([3]enemies!$A:$A),MATCH(N$1,[3]enemies!$1:$1,0)-MATCH($L$1,[3]enemies!$1:$1,0)+1),MATCH(N$1,[3]enemies!$1:$1,0)-MATCH($L$1,[3]enemies!$1:$1,0)+1,FALSE)</f>
        <v>yellow</v>
      </c>
      <c r="O80" s="17" t="str">
        <f ca="1">VLOOKUP($L80,OFFSET([4]characters!$A$1,0,0,COUNTA([4]characters!$A:$A),MATCH(O$1,[4]characters!$1:$1,0)-MATCH($L$1,[4]characters!$1:$1,0)+1),MATCH(O$1,[4]characters!$1:$1,0)-MATCH($L$1,[4]characters!$1:$1,0)+1,FALSE)</f>
        <v>DropWizW</v>
      </c>
      <c r="P80" s="17" t="str">
        <f ca="1">VLOOKUP($L80,OFFSET([3]enemies!$A$1,0,0,COUNTA([3]enemies!$A:$A),MATCH(P$1,[3]enemies!$1:$1,0)-MATCH($L$1,[3]enemies!$1:$1,0)+1),MATCH(P$1,[3]enemies!$1:$1,0)-MATCH($L$1,[3]enemies!$1:$1,0)+1,FALSE)</f>
        <v>unknown</v>
      </c>
      <c r="Q80" s="17">
        <f ca="1">VLOOKUP($L80,OFFSET([3]enemies!$A$1,0,0,COUNTA([3]enemies!$A:$A),MATCH(Q$1,[3]enemies!$1:$1,0)-MATCH($L$1,[3]enemies!$1:$1,0)+1),MATCH(Q$1,[3]enemies!$1:$1,0)-MATCH($L$1,[3]enemies!$1:$1,0)+1,FALSE)</f>
        <v>25</v>
      </c>
      <c r="R80" s="118">
        <v>60</v>
      </c>
      <c r="S80" s="119">
        <v>7.4</v>
      </c>
      <c r="T80" s="98">
        <f ca="1">ROUND(VLOOKUP(R80,[3]enemy_base_stats!$A:$F,2,FALSE) *INDIRECT("[EnemyMasterData.xlsm]enemies!Y"&amp;(L80+1))*  INDIRECT("[EnemyMasterData.xlsm]enemies!J"&amp;(L80+1))* INDIRECT("[EnemyMasterData.xlsm]enemies!O"&amp;(L80+1))* INDIRECT("[EnemyMasterData.xlsm]enemies!E"&amp;(L80+1))* INDIRECT("[EnemyMasterData.xlsm]enemies!S"&amp;(L80+1))* INDIRECT("[EnemyMasterData.xlsm]enemies!AD"&amp;(L80+1))*[4]ステータス!$B$2,0)*S80</f>
        <v>85632.8</v>
      </c>
      <c r="U80" s="119">
        <v>1.3</v>
      </c>
      <c r="V80" s="98">
        <f ca="1">ROUND(VLOOKUP(R80,[3]enemy_base_stats!$A:$F,3,FALSE) *INDIRECT("[EnemyMasterData.xlsm]enemies!Z"&amp;(L80+1))*  INDIRECT("[EnemyMasterData.xlsm]enemies!K"&amp;(L80+1))* INDIRECT("[EnemyMasterData.xlsm]enemies!P"&amp;(L80+1))* INDIRECT("[EnemyMasterData.xlsm]enemies!F"&amp;(L80+1))* INDIRECT("[EnemyMasterData.xlsm]enemies!T"&amp;(L80+1))* INDIRECT("[EnemyMasterData.xlsm]enemies!AE"&amp;(L80+1))*[4]ステータス!$C$2,0)*U80</f>
        <v>4724.2</v>
      </c>
      <c r="W80" s="5">
        <v>0</v>
      </c>
      <c r="X80" s="4" t="str">
        <f ca="1">VLOOKUP($Y80,OFFSET(enemy_skill_sets!$B$1,0,0,COUNTA(enemy_skill_sets!$B:$B),MATCH(M$1,enemy_skill_sets!$1:$1,0)-MATCH($Y$1,enemy_skill_sets!$1:$1,0)+2),MATCH(M$1,enemy_skill_sets!$1:$1,0)-MATCH($Y$1,enemy_skill_sets!$1:$1,0)+2,FALSE)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80" s="120">
        <v>39009025</v>
      </c>
      <c r="Z80" s="121">
        <v>0</v>
      </c>
      <c r="AA80" s="121">
        <v>100</v>
      </c>
      <c r="AB80" s="121">
        <v>1</v>
      </c>
      <c r="AC80" s="122">
        <v>2</v>
      </c>
      <c r="AD80" s="24">
        <f t="shared" si="13"/>
        <v>538</v>
      </c>
      <c r="AE80" s="4" t="str">
        <f ca="1">VLOOKUP($AD80,OFFSET([4]characters!$A$1,0,0,COUNTA([4]characters!$A:$A),MATCH(AE$1,[4]characters!$1:$1,0)-MATCH("character_id",[4]characters!$1:$1,0)+1),MATCH(AE$1,[4]characters!$1:$1,0)-MATCH("character_id",[4]characters!$1:$1,0)+1,FALSE)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80" s="4">
        <f ca="1">VLOOKUP($AD80,OFFSET([4]characters!$A$1,0,0,COUNTA([4]characters!$A:$A),MATCH(AF$1,[4]characters!$1:$1,0)-MATCH("character_id",[4]characters!$1:$1,0)+1),MATCH(AF$1,[4]characters!$1:$1,0)-MATCH("character_id",[4]characters!$1:$1,0)+1,FALSE)</f>
        <v>3</v>
      </c>
      <c r="AG80" s="4" t="str">
        <f ca="1">VLOOKUP($AD80,OFFSET([4]characters!$A$1,0,0,COUNTA([4]characters!$A:$A),MATCH(AG$1,[4]characters!$1:$1,0)-MATCH("character_id",[4]characters!$1:$1,0)+1),MATCH(AG$1,[4]characters!$1:$1,0)-MATCH("character_id",[4]characters!$1:$1,0)+1,FALSE)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80" s="7">
        <v>1</v>
      </c>
      <c r="AI80" s="24">
        <f t="shared" ca="1" si="14"/>
        <v>3</v>
      </c>
      <c r="AJ80" s="123">
        <v>20</v>
      </c>
      <c r="AK80" s="7">
        <v>0</v>
      </c>
      <c r="AL80" s="7">
        <v>0</v>
      </c>
      <c r="AM80" s="7">
        <v>0</v>
      </c>
      <c r="AN80" s="7">
        <v>0</v>
      </c>
      <c r="AO80" s="7">
        <v>1</v>
      </c>
      <c r="AP80" s="70">
        <v>1</v>
      </c>
    </row>
    <row r="81" spans="1:42" ht="21" customHeight="1" x14ac:dyDescent="0.15">
      <c r="A81" s="16" t="str">
        <f t="shared" si="10"/>
        <v>39009_4-4/1297&lt;lv60&gt;s2</v>
      </c>
      <c r="B81" s="22">
        <v>39009</v>
      </c>
      <c r="C81" s="114">
        <v>4</v>
      </c>
      <c r="D81" s="114" t="str">
        <f t="shared" si="11"/>
        <v>39009_4</v>
      </c>
      <c r="E81" s="115" t="str">
        <f ca="1">VLOOKUP($B81,OFFSET([2]quests!$A$1,0,0,COUNTA([2]quests!$A:$A),MATCH(E$1,[2]quests!$1:$1,0)-MATCH($B$1,[2]quests!$1:$1,0)+1),MATCH(E$1,[2]quests!$1:$1,0)-MATCH($B$1,[2]quests!$1:$1,0)+1,FALSE)</f>
        <v>星空の歌姫</v>
      </c>
      <c r="F81" s="115" t="str">
        <f ca="1">VLOOKUP($D81,OFFSET([2]stages!$A$1,0,0,COUNTA([2]stages!$A:$A),MATCH(F$1,[2]stages!$2:$2,0)-MATCH($D$1,[2]stages!$2:$2,0)+1),MATCH(F$1,[2]stages!$2:$2,0)-MATCH($D$1,[2]stages!$2:$2,0)+1,FALSE)</f>
        <v>【超級】星空の歌姫</v>
      </c>
      <c r="G81" s="114">
        <v>4</v>
      </c>
      <c r="H81" s="116" t="str">
        <f t="shared" si="12"/>
        <v>39009_4-4</v>
      </c>
      <c r="I81" s="115">
        <f ca="1">VLOOKUP($H81,OFFSET(floors!$A$1,0,0,COUNTA(floors!$A:$A),MATCH(I$1,floors!$1:$1,0)-MATCH($H$1,floors!$1:$1,0)+1),MATCH(I$1,floors!$1:$1,0)-MATCH($H$1,floors!$1:$1,0)+1,FALSE)</f>
        <v>60</v>
      </c>
      <c r="J81" s="115">
        <f ca="1">VLOOKUP($H81,OFFSET(floors!$A$1,0,0,COUNTA(floors!$A:$A),MATCH(J$1,floors!$1:$1,0)-MATCH($H$1,floors!$1:$1,0)+1),MATCH(J$1,floors!$1:$1,0)-MATCH($H$1,floors!$1:$1,0)+1,FALSE)</f>
        <v>60</v>
      </c>
      <c r="K81" s="117">
        <v>8</v>
      </c>
      <c r="L81" s="114">
        <v>1297</v>
      </c>
      <c r="M81" s="17" t="str">
        <f ca="1">VLOOKUP($L81,OFFSET([3]enemies!$A$1,0,0,COUNTA([3]enemies!$A:$A),MATCH(M$1,[3]enemies!$1:$1,0)-MATCH($L$1,[3]enemies!$1:$1,0)+1),MATCH(M$1,[3]enemies!$1:$1,0)-MATCH($L$1,[3]enemies!$1:$1,0)+1,FALSE)</f>
        <v>雪ミク2017</v>
      </c>
      <c r="N81" s="17" t="str">
        <f ca="1">VLOOKUP($L81,OFFSET([3]enemies!$A$1,0,0,COUNTA([3]enemies!$A:$A),MATCH(N$1,[3]enemies!$1:$1,0)-MATCH($L$1,[3]enemies!$1:$1,0)+1),MATCH(N$1,[3]enemies!$1:$1,0)-MATCH($L$1,[3]enemies!$1:$1,0)+1,FALSE)</f>
        <v>green</v>
      </c>
      <c r="O81" s="17" t="str">
        <f ca="1">VLOOKUP($L81,OFFSET([4]characters!$A$1,0,0,COUNTA([4]characters!$A:$A),MATCH(O$1,[4]characters!$1:$1,0)-MATCH($L$1,[4]characters!$1:$1,0)+1),MATCH(O$1,[4]characters!$1:$1,0)-MATCH($L$1,[4]characters!$1:$1,0)+1,FALSE)</f>
        <v>DropWizS</v>
      </c>
      <c r="P81" s="17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17">
        <f ca="1">VLOOKUP($L81,OFFSET([3]enemies!$A$1,0,0,COUNTA([3]enemies!$A:$A),MATCH(Q$1,[3]enemies!$1:$1,0)-MATCH($L$1,[3]enemies!$1:$1,0)+1),MATCH(Q$1,[3]enemies!$1:$1,0)-MATCH($L$1,[3]enemies!$1:$1,0)+1,FALSE)</f>
        <v>60</v>
      </c>
      <c r="R81" s="118">
        <v>60</v>
      </c>
      <c r="S81" s="119">
        <v>2</v>
      </c>
      <c r="T81" s="98">
        <f ca="1">ROUND(VLOOKUP(R81,[3]enemy_base_stats!$A:$F,2,FALSE) *INDIRECT("[EnemyMasterData.xlsm]enemies!Y"&amp;(L81+1))*  INDIRECT("[EnemyMasterData.xlsm]enemies!J"&amp;(L81+1))* INDIRECT("[EnemyMasterData.xlsm]enemies!O"&amp;(L81+1))* INDIRECT("[EnemyMasterData.xlsm]enemies!E"&amp;(L81+1))* INDIRECT("[EnemyMasterData.xlsm]enemies!S"&amp;(L81+1))* INDIRECT("[EnemyMasterData.xlsm]enemies!AD"&amp;(L81+1))*[4]ステータス!$B$2,0)*S81</f>
        <v>204918</v>
      </c>
      <c r="U81" s="119">
        <v>1.6</v>
      </c>
      <c r="V81" s="98">
        <f ca="1">ROUND(VLOOKUP(R81,[3]enemy_base_stats!$A:$F,3,FALSE) *INDIRECT("[EnemyMasterData.xlsm]enemies!Z"&amp;(L81+1))*  INDIRECT("[EnemyMasterData.xlsm]enemies!K"&amp;(L81+1))* INDIRECT("[EnemyMasterData.xlsm]enemies!P"&amp;(L81+1))* INDIRECT("[EnemyMasterData.xlsm]enemies!F"&amp;(L81+1))* INDIRECT("[EnemyMasterData.xlsm]enemies!T"&amp;(L81+1))* INDIRECT("[EnemyMasterData.xlsm]enemies!AE"&amp;(L81+1))*[4]ステータス!$C$2,0)*U81</f>
        <v>10852.800000000001</v>
      </c>
      <c r="W81" s="5">
        <v>0</v>
      </c>
      <c r="X81" s="4" t="str">
        <f ca="1">VLOOKUP($Y81,OFFSET(enemy_skill_sets!$B$1,0,0,COUNTA(enemy_skill_sets!$B:$B),MATCH(M$1,enemy_skill_sets!$1:$1,0)-MATCH($Y$1,enemy_skill_sets!$1:$1,0)+2),MATCH(M$1,enemy_skill_sets!$1:$1,0)-MATCH($Y$1,enemy_skill_sets!$1:$1,0)+2,FALSE)</f>
        <v>緑パネルを緑のダメージパネルに4個変換</v>
      </c>
      <c r="Y81" s="120">
        <v>39009026</v>
      </c>
      <c r="Z81" s="121">
        <v>1</v>
      </c>
      <c r="AA81" s="121">
        <v>100</v>
      </c>
      <c r="AB81" s="121">
        <v>1</v>
      </c>
      <c r="AC81" s="122">
        <v>2</v>
      </c>
      <c r="AD81" s="24">
        <f t="shared" si="13"/>
        <v>1297</v>
      </c>
      <c r="AE81" s="4" t="str">
        <f ca="1">VLOOKUP($AD81,OFFSET([4]characters!$A$1,0,0,COUNTA([4]characters!$A:$A),MATCH(AE$1,[4]characters!$1:$1,0)-MATCH("character_id",[4]characters!$1:$1,0)+1),MATCH(AE$1,[4]characters!$1:$1,0)-MATCH("character_id",[4]characters!$1:$1,0)+1,FALSE)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81" s="4">
        <f ca="1">VLOOKUP($AD81,OFFSET([4]characters!$A$1,0,0,COUNTA([4]characters!$A:$A),MATCH(AF$1,[4]characters!$1:$1,0)-MATCH("character_id",[4]characters!$1:$1,0)+1),MATCH(AF$1,[4]characters!$1:$1,0)-MATCH("character_id",[4]characters!$1:$1,0)+1,FALSE)</f>
        <v>5</v>
      </c>
      <c r="AG81" s="4" t="str">
        <f ca="1">VLOOKUP($AD81,OFFSET([4]characters!$A$1,0,0,COUNTA([4]characters!$A:$A),MATCH(AG$1,[4]characters!$1:$1,0)-MATCH("character_id",[4]characters!$1:$1,0)+1),MATCH(AG$1,[4]characters!$1:$1,0)-MATCH("character_id",[4]characters!$1:$1,0)+1,FALSE)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1" s="7">
        <v>1</v>
      </c>
      <c r="AI81" s="24">
        <f t="shared" ca="1" si="14"/>
        <v>5</v>
      </c>
      <c r="AJ81" s="141">
        <v>65</v>
      </c>
      <c r="AK81" s="7">
        <v>0</v>
      </c>
      <c r="AL81" s="7">
        <v>0</v>
      </c>
      <c r="AM81" s="7">
        <v>0</v>
      </c>
      <c r="AN81" s="7">
        <v>0</v>
      </c>
      <c r="AO81" s="7">
        <v>1</v>
      </c>
      <c r="AP81" s="70">
        <v>1</v>
      </c>
    </row>
    <row r="82" spans="1:42" ht="21" customHeight="1" x14ac:dyDescent="0.15">
      <c r="A82" s="16" t="str">
        <f t="shared" si="10"/>
        <v>39009_5-1/529&lt;lv80&gt;s1</v>
      </c>
      <c r="B82" s="22">
        <v>39009</v>
      </c>
      <c r="C82" s="21">
        <v>5</v>
      </c>
      <c r="D82" s="2" t="str">
        <f t="shared" si="11"/>
        <v>39009_5</v>
      </c>
      <c r="E82" s="4" t="str">
        <f ca="1">VLOOKUP($B82,OFFSET([2]quests!$A$1,0,0,COUNTA([2]quests!$A:$A),MATCH(E$1,[2]quests!$1:$1,0)-MATCH($B$1,[2]quests!$1:$1,0)+1),MATCH(E$1,[2]quests!$1:$1,0)-MATCH($B$1,[2]quests!$1:$1,0)+1,FALSE)</f>
        <v>星空の歌姫</v>
      </c>
      <c r="F82" s="4" t="str">
        <f ca="1">VLOOKUP($D82,OFFSET([2]stages!$A$1,0,0,COUNTA([2]stages!$A:$A),MATCH(F$1,[2]stages!$2:$2,0)-MATCH($D$1,[2]stages!$2:$2,0)+1),MATCH(F$1,[2]stages!$2:$2,0)-MATCH($D$1,[2]stages!$2:$2,0)+1,FALSE)</f>
        <v>【超絶級】星空の歌姫</v>
      </c>
      <c r="G82" s="21">
        <v>1</v>
      </c>
      <c r="H82" s="15" t="str">
        <f t="shared" si="12"/>
        <v>39009_5-1</v>
      </c>
      <c r="I82" s="4">
        <f ca="1">VLOOKUP($H82,OFFSET(floors!$A$1,0,0,COUNTA(floors!$A:$A),MATCH(I$1,floors!$1:$1,0)-MATCH($H$1,floors!$1:$1,0)+1),MATCH(I$1,floors!$1:$1,0)-MATCH($H$1,floors!$1:$1,0)+1,FALSE)</f>
        <v>60</v>
      </c>
      <c r="J82" s="4">
        <f ca="1">VLOOKUP($H82,OFFSET(floors!$A$1,0,0,COUNTA(floors!$A:$A),MATCH(J$1,floors!$1:$1,0)-MATCH($H$1,floors!$1:$1,0)+1),MATCH(J$1,floors!$1:$1,0)-MATCH($H$1,floors!$1:$1,0)+1,FALSE)</f>
        <v>60</v>
      </c>
      <c r="K82" s="38" t="s">
        <v>53</v>
      </c>
      <c r="L82" s="20">
        <v>529</v>
      </c>
      <c r="M82" s="17" t="str">
        <f ca="1">VLOOKUP($L82,OFFSET([3]enemies!$A$1,0,0,COUNTA([3]enemies!$A:$A),MATCH(M$1,[3]enemies!$1:$1,0)-MATCH($L$1,[3]enemies!$1:$1,0)+1),MATCH(M$1,[3]enemies!$1:$1,0)-MATCH($L$1,[3]enemies!$1:$1,0)+1,FALSE)</f>
        <v>冬服ジェリー</v>
      </c>
      <c r="N82" s="17" t="str">
        <f ca="1">VLOOKUP($L82,OFFSET([3]enemies!$A$1,0,0,COUNTA([3]enemies!$A:$A),MATCH(N$1,[3]enemies!$1:$1,0)-MATCH($L$1,[3]enemies!$1:$1,0)+1),MATCH(N$1,[3]enemies!$1:$1,0)-MATCH($L$1,[3]enemies!$1:$1,0)+1,FALSE)</f>
        <v>red</v>
      </c>
      <c r="O82" s="17" t="str">
        <f ca="1">VLOOKUP($L82,OFFSET([4]characters!$A$1,0,0,COUNTA([4]characters!$A:$A),MATCH(O$1,[4]characters!$1:$1,0)-MATCH($L$1,[4]characters!$1:$1,0)+1),MATCH(O$1,[4]characters!$1:$1,0)-MATCH($L$1,[4]characters!$1:$1,0)+1,FALSE)</f>
        <v>Drop1T</v>
      </c>
      <c r="P82" s="17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17">
        <f ca="1">VLOOKUP($L82,OFFSET([3]enemies!$A$1,0,0,COUNTA([3]enemies!$A:$A),MATCH(Q$1,[3]enemies!$1:$1,0)-MATCH($L$1,[3]enemies!$1:$1,0)+1),MATCH(Q$1,[3]enemies!$1:$1,0)-MATCH($L$1,[3]enemies!$1:$1,0)+1,FALSE)</f>
        <v>15</v>
      </c>
      <c r="R82" s="5">
        <v>80</v>
      </c>
      <c r="S82" s="25">
        <v>0.9</v>
      </c>
      <c r="T82" s="98">
        <f ca="1">ROUND(VLOOKUP(R82,[3]enemy_base_stats!$A:$F,2,FALSE) *INDIRECT("[EnemyMasterData.xlsm]enemies!Y"&amp;(L82+1))*  INDIRECT("[EnemyMasterData.xlsm]enemies!J"&amp;(L82+1))* INDIRECT("[EnemyMasterData.xlsm]enemies!O"&amp;(L82+1))* INDIRECT("[EnemyMasterData.xlsm]enemies!E"&amp;(L82+1))* INDIRECT("[EnemyMasterData.xlsm]enemies!S"&amp;(L82+1))* INDIRECT("[EnemyMasterData.xlsm]enemies!AD"&amp;(L82+1))*[4]ステータス!$B$2,0)*S82</f>
        <v>14670</v>
      </c>
      <c r="U82" s="25">
        <v>0.3</v>
      </c>
      <c r="V82" s="98">
        <f ca="1">ROUND(VLOOKUP(R82,[3]enemy_base_stats!$A:$F,3,FALSE) *INDIRECT("[EnemyMasterData.xlsm]enemies!Z"&amp;(L82+1))*  INDIRECT("[EnemyMasterData.xlsm]enemies!K"&amp;(L82+1))* INDIRECT("[EnemyMasterData.xlsm]enemies!P"&amp;(L82+1))* INDIRECT("[EnemyMasterData.xlsm]enemies!F"&amp;(L82+1))* INDIRECT("[EnemyMasterData.xlsm]enemies!T"&amp;(L82+1))* INDIRECT("[EnemyMasterData.xlsm]enemies!AE"&amp;(L82+1))*[4]ステータス!$C$2,0)*U82</f>
        <v>2010</v>
      </c>
      <c r="W82" s="5">
        <v>0</v>
      </c>
      <c r="X82" s="4" t="e">
        <f ca="1">VLOOKUP($Y82,OFFSET(enemy_skill_sets!$B$1,0,0,COUNTA(enemy_skill_sets!$B:$B),MATCH(M$1,enemy_skill_sets!$1:$1,0)-MATCH($Y$1,enemy_skill_sets!$1:$1,0)+2),MATCH(M$1,enemy_skill_sets!$1:$1,0)-MATCH($Y$1,enemy_skill_sets!$1:$1,0)+2,FALSE)</f>
        <v>#N/A</v>
      </c>
      <c r="Y82" s="62">
        <v>0</v>
      </c>
      <c r="Z82" s="6">
        <v>0</v>
      </c>
      <c r="AA82" s="6">
        <v>100</v>
      </c>
      <c r="AB82" s="6">
        <v>0</v>
      </c>
      <c r="AC82" s="100">
        <v>1</v>
      </c>
      <c r="AD82" s="24">
        <f t="shared" si="13"/>
        <v>529</v>
      </c>
      <c r="AE82" s="4" t="str">
        <f ca="1">VLOOKUP($AD82,OFFSET([4]characters!$A$1,0,0,COUNTA([4]characters!$A:$A),MATCH(AE$1,[4]characters!$1:$1,0)-MATCH("character_id",[4]characters!$1:$1,0)+1),MATCH(AE$1,[4]characters!$1:$1,0)-MATCH("character_id",[4]characters!$1:$1,0)+1,FALSE)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82" s="4">
        <f ca="1">VLOOKUP($AD82,OFFSET([4]characters!$A$1,0,0,COUNTA([4]characters!$A:$A),MATCH(AF$1,[4]characters!$1:$1,0)-MATCH("character_id",[4]characters!$1:$1,0)+1),MATCH(AF$1,[4]characters!$1:$1,0)-MATCH("character_id",[4]characters!$1:$1,0)+1,FALSE)</f>
        <v>1</v>
      </c>
      <c r="AG82" s="4" t="str">
        <f ca="1">VLOOKUP($AD82,OFFSET([4]characters!$A$1,0,0,COUNTA([4]characters!$A:$A),MATCH(AG$1,[4]characters!$1:$1,0)-MATCH("character_id",[4]characters!$1:$1,0)+1),MATCH(AG$1,[4]characters!$1:$1,0)-MATCH("character_id",[4]characters!$1:$1,0)+1,FALSE)</f>
        <v>Drop1T</v>
      </c>
      <c r="AH82" s="7">
        <v>1</v>
      </c>
      <c r="AI82" s="24">
        <f t="shared" ca="1" si="14"/>
        <v>1</v>
      </c>
      <c r="AJ82" s="8">
        <v>20</v>
      </c>
      <c r="AK82" s="7">
        <v>0</v>
      </c>
      <c r="AL82" s="7">
        <v>0</v>
      </c>
      <c r="AM82" s="7">
        <v>0</v>
      </c>
      <c r="AN82" s="7">
        <v>0</v>
      </c>
      <c r="AO82" s="7">
        <v>1</v>
      </c>
      <c r="AP82" s="70">
        <v>1</v>
      </c>
    </row>
    <row r="83" spans="1:42" ht="21" customHeight="1" x14ac:dyDescent="0.15">
      <c r="A83" s="16" t="str">
        <f t="shared" si="10"/>
        <v>39009_5-1/530&lt;lv80&gt;s2</v>
      </c>
      <c r="B83" s="22">
        <v>39009</v>
      </c>
      <c r="C83" s="21">
        <v>5</v>
      </c>
      <c r="D83" s="2" t="str">
        <f t="shared" si="11"/>
        <v>39009_5</v>
      </c>
      <c r="E83" s="4" t="str">
        <f ca="1">VLOOKUP($B83,OFFSET([2]quests!$A$1,0,0,COUNTA([2]quests!$A:$A),MATCH(E$1,[2]quests!$1:$1,0)-MATCH($B$1,[2]quests!$1:$1,0)+1),MATCH(E$1,[2]quests!$1:$1,0)-MATCH($B$1,[2]quests!$1:$1,0)+1,FALSE)</f>
        <v>星空の歌姫</v>
      </c>
      <c r="F83" s="4" t="str">
        <f ca="1">VLOOKUP($D83,OFFSET([2]stages!$A$1,0,0,COUNTA([2]stages!$A:$A),MATCH(F$1,[2]stages!$2:$2,0)-MATCH($D$1,[2]stages!$2:$2,0)+1),MATCH(F$1,[2]stages!$2:$2,0)-MATCH($D$1,[2]stages!$2:$2,0)+1,FALSE)</f>
        <v>【超絶級】星空の歌姫</v>
      </c>
      <c r="G83" s="21">
        <v>1</v>
      </c>
      <c r="H83" s="15" t="str">
        <f t="shared" si="12"/>
        <v>39009_5-1</v>
      </c>
      <c r="I83" s="4">
        <f ca="1">VLOOKUP($H83,OFFSET(floors!$A$1,0,0,COUNTA(floors!$A:$A),MATCH(I$1,floors!$1:$1,0)-MATCH($H$1,floors!$1:$1,0)+1),MATCH(I$1,floors!$1:$1,0)-MATCH($H$1,floors!$1:$1,0)+1,FALSE)</f>
        <v>60</v>
      </c>
      <c r="J83" s="4">
        <f ca="1">VLOOKUP($H83,OFFSET(floors!$A$1,0,0,COUNTA(floors!$A:$A),MATCH(J$1,floors!$1:$1,0)-MATCH($H$1,floors!$1:$1,0)+1),MATCH(J$1,floors!$1:$1,0)-MATCH($H$1,floors!$1:$1,0)+1,FALSE)</f>
        <v>60</v>
      </c>
      <c r="K83" s="38" t="s">
        <v>53</v>
      </c>
      <c r="L83" s="20">
        <v>530</v>
      </c>
      <c r="M83" s="17" t="str">
        <f ca="1">VLOOKUP($L83,OFFSET([3]enemies!$A$1,0,0,COUNTA([3]enemies!$A:$A),MATCH(M$1,[3]enemies!$1:$1,0)-MATCH($L$1,[3]enemies!$1:$1,0)+1),MATCH(M$1,[3]enemies!$1:$1,0)-MATCH($L$1,[3]enemies!$1:$1,0)+1,FALSE)</f>
        <v>冬服ジョー</v>
      </c>
      <c r="N83" s="17" t="str">
        <f ca="1">VLOOKUP($L83,OFFSET([3]enemies!$A$1,0,0,COUNTA([3]enemies!$A:$A),MATCH(N$1,[3]enemies!$1:$1,0)-MATCH($L$1,[3]enemies!$1:$1,0)+1),MATCH(N$1,[3]enemies!$1:$1,0)-MATCH($L$1,[3]enemies!$1:$1,0)+1,FALSE)</f>
        <v>green</v>
      </c>
      <c r="O83" s="17" t="str">
        <f ca="1">VLOOKUP($L83,OFFSET([4]characters!$A$1,0,0,COUNTA([4]characters!$A:$A),MATCH(O$1,[4]characters!$1:$1,0)-MATCH($L$1,[4]characters!$1:$1,0)+1),MATCH(O$1,[4]characters!$1:$1,0)-MATCH($L$1,[4]characters!$1:$1,0)+1,FALSE)</f>
        <v>Drop1T</v>
      </c>
      <c r="P83" s="17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17">
        <f ca="1">VLOOKUP($L83,OFFSET([3]enemies!$A$1,0,0,COUNTA([3]enemies!$A:$A),MATCH(Q$1,[3]enemies!$1:$1,0)-MATCH($L$1,[3]enemies!$1:$1,0)+1),MATCH(Q$1,[3]enemies!$1:$1,0)-MATCH($L$1,[3]enemies!$1:$1,0)+1,FALSE)</f>
        <v>15</v>
      </c>
      <c r="R83" s="5">
        <v>80</v>
      </c>
      <c r="S83" s="25">
        <v>1.2</v>
      </c>
      <c r="T83" s="98">
        <f ca="1">ROUND(VLOOKUP(R83,[3]enemy_base_stats!$A:$F,2,FALSE) *INDIRECT("[EnemyMasterData.xlsm]enemies!Y"&amp;(L83+1))*  INDIRECT("[EnemyMasterData.xlsm]enemies!J"&amp;(L83+1))* INDIRECT("[EnemyMasterData.xlsm]enemies!O"&amp;(L83+1))* INDIRECT("[EnemyMasterData.xlsm]enemies!E"&amp;(L83+1))* INDIRECT("[EnemyMasterData.xlsm]enemies!S"&amp;(L83+1))* INDIRECT("[EnemyMasterData.xlsm]enemies!AD"&amp;(L83+1))*[4]ステータス!$B$2,0)*S83</f>
        <v>19951.2</v>
      </c>
      <c r="U83" s="25">
        <v>0.7</v>
      </c>
      <c r="V83" s="98">
        <f ca="1">ROUND(VLOOKUP(R83,[3]enemy_base_stats!$A:$F,3,FALSE) *INDIRECT("[EnemyMasterData.xlsm]enemies!Z"&amp;(L83+1))*  INDIRECT("[EnemyMasterData.xlsm]enemies!K"&amp;(L83+1))* INDIRECT("[EnemyMasterData.xlsm]enemies!P"&amp;(L83+1))* INDIRECT("[EnemyMasterData.xlsm]enemies!F"&amp;(L83+1))* INDIRECT("[EnemyMasterData.xlsm]enemies!T"&amp;(L83+1))* INDIRECT("[EnemyMasterData.xlsm]enemies!AE"&amp;(L83+1))*[4]ステータス!$C$2,0)*U83</f>
        <v>3354.3999999999996</v>
      </c>
      <c r="W83" s="5">
        <v>0</v>
      </c>
      <c r="X83" s="4" t="e">
        <f ca="1">VLOOKUP($Y83,OFFSET(enemy_skill_sets!$B$1,0,0,COUNTA(enemy_skill_sets!$B:$B),MATCH(M$1,enemy_skill_sets!$1:$1,0)-MATCH($Y$1,enemy_skill_sets!$1:$1,0)+2),MATCH(M$1,enemy_skill_sets!$1:$1,0)-MATCH($Y$1,enemy_skill_sets!$1:$1,0)+2,FALSE)</f>
        <v>#N/A</v>
      </c>
      <c r="Y83" s="62">
        <v>0</v>
      </c>
      <c r="Z83" s="6">
        <v>0</v>
      </c>
      <c r="AA83" s="6">
        <v>100</v>
      </c>
      <c r="AB83" s="6">
        <v>0</v>
      </c>
      <c r="AC83" s="100">
        <v>2</v>
      </c>
      <c r="AD83" s="24">
        <f t="shared" si="13"/>
        <v>530</v>
      </c>
      <c r="AE83" s="4" t="str">
        <f ca="1">VLOOKUP($AD83,OFFSET([4]characters!$A$1,0,0,COUNTA([4]characters!$A:$A),MATCH(AE$1,[4]characters!$1:$1,0)-MATCH("character_id",[4]characters!$1:$1,0)+1),MATCH(AE$1,[4]characters!$1:$1,0)-MATCH("character_id",[4]characters!$1:$1,0)+1,FALSE)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83" s="4">
        <f ca="1">VLOOKUP($AD83,OFFSET([4]characters!$A$1,0,0,COUNTA([4]characters!$A:$A),MATCH(AF$1,[4]characters!$1:$1,0)-MATCH("character_id",[4]characters!$1:$1,0)+1),MATCH(AF$1,[4]characters!$1:$1,0)-MATCH("character_id",[4]characters!$1:$1,0)+1,FALSE)</f>
        <v>1</v>
      </c>
      <c r="AG83" s="4" t="str">
        <f ca="1">VLOOKUP($AD83,OFFSET([4]characters!$A$1,0,0,COUNTA([4]characters!$A:$A),MATCH(AG$1,[4]characters!$1:$1,0)-MATCH("character_id",[4]characters!$1:$1,0)+1),MATCH(AG$1,[4]characters!$1:$1,0)-MATCH("character_id",[4]characters!$1:$1,0)+1,FALSE)</f>
        <v>Drop1T</v>
      </c>
      <c r="AH83" s="7">
        <v>1</v>
      </c>
      <c r="AI83" s="24">
        <f t="shared" ca="1" si="14"/>
        <v>1</v>
      </c>
      <c r="AJ83" s="8">
        <v>20</v>
      </c>
      <c r="AK83" s="7">
        <v>0</v>
      </c>
      <c r="AL83" s="7">
        <v>0</v>
      </c>
      <c r="AM83" s="7">
        <v>0</v>
      </c>
      <c r="AN83" s="7">
        <v>0</v>
      </c>
      <c r="AO83" s="7">
        <v>1</v>
      </c>
      <c r="AP83" s="70">
        <v>1</v>
      </c>
    </row>
    <row r="84" spans="1:42" ht="21" customHeight="1" x14ac:dyDescent="0.15">
      <c r="A84" s="16" t="str">
        <f t="shared" si="10"/>
        <v>39009_5-1/531&lt;lv80&gt;s3</v>
      </c>
      <c r="B84" s="22">
        <v>39009</v>
      </c>
      <c r="C84" s="21">
        <v>5</v>
      </c>
      <c r="D84" s="2" t="str">
        <f t="shared" si="11"/>
        <v>39009_5</v>
      </c>
      <c r="E84" s="4" t="str">
        <f ca="1">VLOOKUP($B84,OFFSET([2]quests!$A$1,0,0,COUNTA([2]quests!$A:$A),MATCH(E$1,[2]quests!$1:$1,0)-MATCH($B$1,[2]quests!$1:$1,0)+1),MATCH(E$1,[2]quests!$1:$1,0)-MATCH($B$1,[2]quests!$1:$1,0)+1,FALSE)</f>
        <v>星空の歌姫</v>
      </c>
      <c r="F84" s="4" t="str">
        <f ca="1">VLOOKUP($D84,OFFSET([2]stages!$A$1,0,0,COUNTA([2]stages!$A:$A),MATCH(F$1,[2]stages!$2:$2,0)-MATCH($D$1,[2]stages!$2:$2,0)+1),MATCH(F$1,[2]stages!$2:$2,0)-MATCH($D$1,[2]stages!$2:$2,0)+1,FALSE)</f>
        <v>【超絶級】星空の歌姫</v>
      </c>
      <c r="G84" s="21">
        <v>1</v>
      </c>
      <c r="H84" s="15" t="str">
        <f t="shared" si="12"/>
        <v>39009_5-1</v>
      </c>
      <c r="I84" s="4">
        <f ca="1">VLOOKUP($H84,OFFSET(floors!$A$1,0,0,COUNTA(floors!$A:$A),MATCH(I$1,floors!$1:$1,0)-MATCH($H$1,floors!$1:$1,0)+1),MATCH(I$1,floors!$1:$1,0)-MATCH($H$1,floors!$1:$1,0)+1,FALSE)</f>
        <v>60</v>
      </c>
      <c r="J84" s="4">
        <f ca="1">VLOOKUP($H84,OFFSET(floors!$A$1,0,0,COUNTA(floors!$A:$A),MATCH(J$1,floors!$1:$1,0)-MATCH($H$1,floors!$1:$1,0)+1),MATCH(J$1,floors!$1:$1,0)-MATCH($H$1,floors!$1:$1,0)+1,FALSE)</f>
        <v>60</v>
      </c>
      <c r="K84" s="38" t="s">
        <v>53</v>
      </c>
      <c r="L84" s="20">
        <v>531</v>
      </c>
      <c r="M84" s="17" t="str">
        <f ca="1">VLOOKUP($L84,OFFSET([3]enemies!$A$1,0,0,COUNTA([3]enemies!$A:$A),MATCH(M$1,[3]enemies!$1:$1,0)-MATCH($L$1,[3]enemies!$1:$1,0)+1),MATCH(M$1,[3]enemies!$1:$1,0)-MATCH($L$1,[3]enemies!$1:$1,0)+1,FALSE)</f>
        <v>冬服ポチ</v>
      </c>
      <c r="N84" s="17" t="str">
        <f ca="1">VLOOKUP($L84,OFFSET([3]enemies!$A$1,0,0,COUNTA([3]enemies!$A:$A),MATCH(N$1,[3]enemies!$1:$1,0)-MATCH($L$1,[3]enemies!$1:$1,0)+1),MATCH(N$1,[3]enemies!$1:$1,0)-MATCH($L$1,[3]enemies!$1:$1,0)+1,FALSE)</f>
        <v>blue</v>
      </c>
      <c r="O84" s="17" t="str">
        <f ca="1">VLOOKUP($L84,OFFSET([4]characters!$A$1,0,0,COUNTA([4]characters!$A:$A),MATCH(O$1,[4]characters!$1:$1,0)-MATCH($L$1,[4]characters!$1:$1,0)+1),MATCH(O$1,[4]characters!$1:$1,0)-MATCH($L$1,[4]characters!$1:$1,0)+1,FALSE)</f>
        <v>Drop1T</v>
      </c>
      <c r="P84" s="17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17">
        <f ca="1">VLOOKUP($L84,OFFSET([3]enemies!$A$1,0,0,COUNTA([3]enemies!$A:$A),MATCH(Q$1,[3]enemies!$1:$1,0)-MATCH($L$1,[3]enemies!$1:$1,0)+1),MATCH(Q$1,[3]enemies!$1:$1,0)-MATCH($L$1,[3]enemies!$1:$1,0)+1,FALSE)</f>
        <v>15</v>
      </c>
      <c r="R84" s="5">
        <v>80</v>
      </c>
      <c r="S84" s="25">
        <v>0.8</v>
      </c>
      <c r="T84" s="98">
        <f ca="1">ROUND(VLOOKUP(R84,[3]enemy_base_stats!$A:$F,2,FALSE) *INDIRECT("[EnemyMasterData.xlsm]enemies!Y"&amp;(L84+1))*  INDIRECT("[EnemyMasterData.xlsm]enemies!J"&amp;(L84+1))* INDIRECT("[EnemyMasterData.xlsm]enemies!O"&amp;(L84+1))* INDIRECT("[EnemyMasterData.xlsm]enemies!E"&amp;(L84+1))* INDIRECT("[EnemyMasterData.xlsm]enemies!S"&amp;(L84+1))* INDIRECT("[EnemyMasterData.xlsm]enemies!AD"&amp;(L84+1))*[4]ステータス!$B$2,0)*S84</f>
        <v>10432</v>
      </c>
      <c r="U84" s="25">
        <v>0.6</v>
      </c>
      <c r="V84" s="98">
        <f ca="1">ROUND(VLOOKUP(R84,[3]enemy_base_stats!$A:$F,3,FALSE) *INDIRECT("[EnemyMasterData.xlsm]enemies!Z"&amp;(L84+1))*  INDIRECT("[EnemyMasterData.xlsm]enemies!K"&amp;(L84+1))* INDIRECT("[EnemyMasterData.xlsm]enemies!P"&amp;(L84+1))* INDIRECT("[EnemyMasterData.xlsm]enemies!F"&amp;(L84+1))* INDIRECT("[EnemyMasterData.xlsm]enemies!T"&amp;(L84+1))* INDIRECT("[EnemyMasterData.xlsm]enemies!AE"&amp;(L84+1))*[4]ステータス!$C$2,0)*U84</f>
        <v>2242.7999999999997</v>
      </c>
      <c r="W84" s="5">
        <v>0</v>
      </c>
      <c r="X84" s="4" t="e">
        <f ca="1">VLOOKUP($Y84,OFFSET(enemy_skill_sets!$B$1,0,0,COUNTA(enemy_skill_sets!$B:$B),MATCH(M$1,enemy_skill_sets!$1:$1,0)-MATCH($Y$1,enemy_skill_sets!$1:$1,0)+2),MATCH(M$1,enemy_skill_sets!$1:$1,0)-MATCH($Y$1,enemy_skill_sets!$1:$1,0)+2,FALSE)</f>
        <v>#N/A</v>
      </c>
      <c r="Y84" s="62">
        <v>0</v>
      </c>
      <c r="Z84" s="6">
        <v>0</v>
      </c>
      <c r="AA84" s="6">
        <v>100</v>
      </c>
      <c r="AB84" s="6">
        <v>0</v>
      </c>
      <c r="AC84" s="100">
        <v>3</v>
      </c>
      <c r="AD84" s="24">
        <f t="shared" si="13"/>
        <v>531</v>
      </c>
      <c r="AE84" s="4" t="str">
        <f ca="1">VLOOKUP($AD84,OFFSET([4]characters!$A$1,0,0,COUNTA([4]characters!$A:$A),MATCH(AE$1,[4]characters!$1:$1,0)-MATCH("character_id",[4]characters!$1:$1,0)+1),MATCH(AE$1,[4]characters!$1:$1,0)-MATCH("character_id",[4]characters!$1:$1,0)+1,FALSE)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84" s="4">
        <f ca="1">VLOOKUP($AD84,OFFSET([4]characters!$A$1,0,0,COUNTA([4]characters!$A:$A),MATCH(AF$1,[4]characters!$1:$1,0)-MATCH("character_id",[4]characters!$1:$1,0)+1),MATCH(AF$1,[4]characters!$1:$1,0)-MATCH("character_id",[4]characters!$1:$1,0)+1,FALSE)</f>
        <v>1</v>
      </c>
      <c r="AG84" s="4" t="str">
        <f ca="1">VLOOKUP($AD84,OFFSET([4]characters!$A$1,0,0,COUNTA([4]characters!$A:$A),MATCH(AG$1,[4]characters!$1:$1,0)-MATCH("character_id",[4]characters!$1:$1,0)+1),MATCH(AG$1,[4]characters!$1:$1,0)-MATCH("character_id",[4]characters!$1:$1,0)+1,FALSE)</f>
        <v>Drop1T</v>
      </c>
      <c r="AH84" s="7">
        <v>1</v>
      </c>
      <c r="AI84" s="24">
        <f t="shared" ca="1" si="14"/>
        <v>1</v>
      </c>
      <c r="AJ84" s="8">
        <v>20</v>
      </c>
      <c r="AK84" s="7">
        <v>0</v>
      </c>
      <c r="AL84" s="7">
        <v>0</v>
      </c>
      <c r="AM84" s="7">
        <v>0</v>
      </c>
      <c r="AN84" s="7">
        <v>0</v>
      </c>
      <c r="AO84" s="7">
        <v>1</v>
      </c>
      <c r="AP84" s="70">
        <v>1</v>
      </c>
    </row>
    <row r="85" spans="1:42" ht="21" customHeight="1" x14ac:dyDescent="0.15">
      <c r="A85" s="16" t="str">
        <f t="shared" si="10"/>
        <v>39009_5-1/532&lt;lv80&gt;s2</v>
      </c>
      <c r="B85" s="22">
        <v>39009</v>
      </c>
      <c r="C85" s="21">
        <v>5</v>
      </c>
      <c r="D85" s="2" t="str">
        <f t="shared" si="11"/>
        <v>39009_5</v>
      </c>
      <c r="E85" s="4" t="str">
        <f ca="1">VLOOKUP($B85,OFFSET([2]quests!$A$1,0,0,COUNTA([2]quests!$A:$A),MATCH(E$1,[2]quests!$1:$1,0)-MATCH($B$1,[2]quests!$1:$1,0)+1),MATCH(E$1,[2]quests!$1:$1,0)-MATCH($B$1,[2]quests!$1:$1,0)+1,FALSE)</f>
        <v>星空の歌姫</v>
      </c>
      <c r="F85" s="4" t="str">
        <f ca="1">VLOOKUP($D85,OFFSET([2]stages!$A$1,0,0,COUNTA([2]stages!$A:$A),MATCH(F$1,[2]stages!$2:$2,0)-MATCH($D$1,[2]stages!$2:$2,0)+1),MATCH(F$1,[2]stages!$2:$2,0)-MATCH($D$1,[2]stages!$2:$2,0)+1,FALSE)</f>
        <v>【超絶級】星空の歌姫</v>
      </c>
      <c r="G85" s="21">
        <v>1</v>
      </c>
      <c r="H85" s="15" t="str">
        <f t="shared" si="12"/>
        <v>39009_5-1</v>
      </c>
      <c r="I85" s="4">
        <f ca="1">VLOOKUP($H85,OFFSET(floors!$A$1,0,0,COUNTA(floors!$A:$A),MATCH(I$1,floors!$1:$1,0)-MATCH($H$1,floors!$1:$1,0)+1),MATCH(I$1,floors!$1:$1,0)-MATCH($H$1,floors!$1:$1,0)+1,FALSE)</f>
        <v>60</v>
      </c>
      <c r="J85" s="4">
        <f ca="1">VLOOKUP($H85,OFFSET(floors!$A$1,0,0,COUNTA(floors!$A:$A),MATCH(J$1,floors!$1:$1,0)-MATCH($H$1,floors!$1:$1,0)+1),MATCH(J$1,floors!$1:$1,0)-MATCH($H$1,floors!$1:$1,0)+1,FALSE)</f>
        <v>60</v>
      </c>
      <c r="K85" s="38" t="s">
        <v>53</v>
      </c>
      <c r="L85" s="20">
        <v>532</v>
      </c>
      <c r="M85" s="17" t="str">
        <f ca="1">VLOOKUP($L85,OFFSET([3]enemies!$A$1,0,0,COUNTA([3]enemies!$A:$A),MATCH(M$1,[3]enemies!$1:$1,0)-MATCH($L$1,[3]enemies!$1:$1,0)+1),MATCH(M$1,[3]enemies!$1:$1,0)-MATCH($L$1,[3]enemies!$1:$1,0)+1,FALSE)</f>
        <v>冬服エレキポット</v>
      </c>
      <c r="N85" s="17" t="str">
        <f ca="1">VLOOKUP($L85,OFFSET([3]enemies!$A$1,0,0,COUNTA([3]enemies!$A:$A),MATCH(N$1,[3]enemies!$1:$1,0)-MATCH($L$1,[3]enemies!$1:$1,0)+1),MATCH(N$1,[3]enemies!$1:$1,0)-MATCH($L$1,[3]enemies!$1:$1,0)+1,FALSE)</f>
        <v>yellow</v>
      </c>
      <c r="O85" s="17" t="str">
        <f ca="1">VLOOKUP($L85,OFFSET([4]characters!$A$1,0,0,COUNTA([4]characters!$A:$A),MATCH(O$1,[4]characters!$1:$1,0)-MATCH($L$1,[4]characters!$1:$1,0)+1),MATCH(O$1,[4]characters!$1:$1,0)-MATCH($L$1,[4]characters!$1:$1,0)+1,FALSE)</f>
        <v>Drop1T</v>
      </c>
      <c r="P85" s="17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17">
        <f ca="1">VLOOKUP($L85,OFFSET([3]enemies!$A$1,0,0,COUNTA([3]enemies!$A:$A),MATCH(Q$1,[3]enemies!$1:$1,0)-MATCH($L$1,[3]enemies!$1:$1,0)+1),MATCH(Q$1,[3]enemies!$1:$1,0)-MATCH($L$1,[3]enemies!$1:$1,0)+1,FALSE)</f>
        <v>15</v>
      </c>
      <c r="R85" s="5">
        <v>80</v>
      </c>
      <c r="S85" s="25">
        <v>1</v>
      </c>
      <c r="T85" s="98">
        <f ca="1">ROUND(VLOOKUP(R85,[3]enemy_base_stats!$A:$F,2,FALSE) *INDIRECT("[EnemyMasterData.xlsm]enemies!Y"&amp;(L85+1))*  INDIRECT("[EnemyMasterData.xlsm]enemies!J"&amp;(L85+1))* INDIRECT("[EnemyMasterData.xlsm]enemies!O"&amp;(L85+1))* INDIRECT("[EnemyMasterData.xlsm]enemies!E"&amp;(L85+1))* INDIRECT("[EnemyMasterData.xlsm]enemies!S"&amp;(L85+1))* INDIRECT("[EnemyMasterData.xlsm]enemies!AD"&amp;(L85+1))*[4]ステータス!$B$2,0)*S85</f>
        <v>15974</v>
      </c>
      <c r="U85" s="25">
        <v>0.4</v>
      </c>
      <c r="V85" s="98">
        <f ca="1">ROUND(VLOOKUP(R85,[3]enemy_base_stats!$A:$F,3,FALSE) *INDIRECT("[EnemyMasterData.xlsm]enemies!Z"&amp;(L85+1))*  INDIRECT("[EnemyMasterData.xlsm]enemies!K"&amp;(L85+1))* INDIRECT("[EnemyMasterData.xlsm]enemies!P"&amp;(L85+1))* INDIRECT("[EnemyMasterData.xlsm]enemies!F"&amp;(L85+1))* INDIRECT("[EnemyMasterData.xlsm]enemies!T"&amp;(L85+1))* INDIRECT("[EnemyMasterData.xlsm]enemies!AE"&amp;(L85+1))*[4]ステータス!$C$2,0)*U85</f>
        <v>2627.6000000000004</v>
      </c>
      <c r="W85" s="5">
        <v>0</v>
      </c>
      <c r="X85" s="4" t="e">
        <f ca="1">VLOOKUP($Y85,OFFSET(enemy_skill_sets!$B$1,0,0,COUNTA(enemy_skill_sets!$B:$B),MATCH(M$1,enemy_skill_sets!$1:$1,0)-MATCH($Y$1,enemy_skill_sets!$1:$1,0)+2),MATCH(M$1,enemy_skill_sets!$1:$1,0)-MATCH($Y$1,enemy_skill_sets!$1:$1,0)+2,FALSE)</f>
        <v>#N/A</v>
      </c>
      <c r="Y85" s="62">
        <v>0</v>
      </c>
      <c r="Z85" s="6">
        <v>0</v>
      </c>
      <c r="AA85" s="6">
        <v>100</v>
      </c>
      <c r="AB85" s="6">
        <v>0</v>
      </c>
      <c r="AC85" s="100">
        <v>2</v>
      </c>
      <c r="AD85" s="24">
        <f t="shared" si="13"/>
        <v>532</v>
      </c>
      <c r="AE85" s="4" t="str">
        <f ca="1">VLOOKUP($AD85,OFFSET([4]characters!$A$1,0,0,COUNTA([4]characters!$A:$A),MATCH(AE$1,[4]characters!$1:$1,0)-MATCH("character_id",[4]characters!$1:$1,0)+1),MATCH(AE$1,[4]characters!$1:$1,0)-MATCH("character_id",[4]characters!$1:$1,0)+1,FALSE)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85" s="4">
        <f ca="1">VLOOKUP($AD85,OFFSET([4]characters!$A$1,0,0,COUNTA([4]characters!$A:$A),MATCH(AF$1,[4]characters!$1:$1,0)-MATCH("character_id",[4]characters!$1:$1,0)+1),MATCH(AF$1,[4]characters!$1:$1,0)-MATCH("character_id",[4]characters!$1:$1,0)+1,FALSE)</f>
        <v>1</v>
      </c>
      <c r="AG85" s="4" t="str">
        <f ca="1">VLOOKUP($AD85,OFFSET([4]characters!$A$1,0,0,COUNTA([4]characters!$A:$A),MATCH(AG$1,[4]characters!$1:$1,0)-MATCH("character_id",[4]characters!$1:$1,0)+1),MATCH(AG$1,[4]characters!$1:$1,0)-MATCH("character_id",[4]characters!$1:$1,0)+1,FALSE)</f>
        <v>Drop1T</v>
      </c>
      <c r="AH85" s="7">
        <v>1</v>
      </c>
      <c r="AI85" s="24">
        <f t="shared" ca="1" si="14"/>
        <v>1</v>
      </c>
      <c r="AJ85" s="8">
        <v>20</v>
      </c>
      <c r="AK85" s="7">
        <v>0</v>
      </c>
      <c r="AL85" s="7">
        <v>0</v>
      </c>
      <c r="AM85" s="7">
        <v>0</v>
      </c>
      <c r="AN85" s="7">
        <v>0</v>
      </c>
      <c r="AO85" s="7">
        <v>1</v>
      </c>
      <c r="AP85" s="70">
        <v>1</v>
      </c>
    </row>
    <row r="86" spans="1:42" ht="21" customHeight="1" x14ac:dyDescent="0.15">
      <c r="A86" s="16" t="str">
        <f t="shared" si="10"/>
        <v>39009_5-1/533&lt;lv80&gt;s3</v>
      </c>
      <c r="B86" s="22">
        <v>39009</v>
      </c>
      <c r="C86" s="21">
        <v>5</v>
      </c>
      <c r="D86" s="2" t="str">
        <f t="shared" si="11"/>
        <v>39009_5</v>
      </c>
      <c r="E86" s="4" t="str">
        <f ca="1">VLOOKUP($B86,OFFSET([2]quests!$A$1,0,0,COUNTA([2]quests!$A:$A),MATCH(E$1,[2]quests!$1:$1,0)-MATCH($B$1,[2]quests!$1:$1,0)+1),MATCH(E$1,[2]quests!$1:$1,0)-MATCH($B$1,[2]quests!$1:$1,0)+1,FALSE)</f>
        <v>星空の歌姫</v>
      </c>
      <c r="F86" s="4" t="str">
        <f ca="1">VLOOKUP($D86,OFFSET([2]stages!$A$1,0,0,COUNTA([2]stages!$A:$A),MATCH(F$1,[2]stages!$2:$2,0)-MATCH($D$1,[2]stages!$2:$2,0)+1),MATCH(F$1,[2]stages!$2:$2,0)-MATCH($D$1,[2]stages!$2:$2,0)+1,FALSE)</f>
        <v>【超絶級】星空の歌姫</v>
      </c>
      <c r="G86" s="21">
        <v>1</v>
      </c>
      <c r="H86" s="15" t="str">
        <f t="shared" si="12"/>
        <v>39009_5-1</v>
      </c>
      <c r="I86" s="4">
        <f ca="1">VLOOKUP($H86,OFFSET(floors!$A$1,0,0,COUNTA(floors!$A:$A),MATCH(I$1,floors!$1:$1,0)-MATCH($H$1,floors!$1:$1,0)+1),MATCH(I$1,floors!$1:$1,0)-MATCH($H$1,floors!$1:$1,0)+1,FALSE)</f>
        <v>60</v>
      </c>
      <c r="J86" s="4">
        <f ca="1">VLOOKUP($H86,OFFSET(floors!$A$1,0,0,COUNTA(floors!$A:$A),MATCH(J$1,floors!$1:$1,0)-MATCH($H$1,floors!$1:$1,0)+1),MATCH(J$1,floors!$1:$1,0)-MATCH($H$1,floors!$1:$1,0)+1,FALSE)</f>
        <v>60</v>
      </c>
      <c r="K86" s="38" t="s">
        <v>53</v>
      </c>
      <c r="L86" s="20">
        <v>533</v>
      </c>
      <c r="M86" s="17" t="str">
        <f ca="1">VLOOKUP($L86,OFFSET([3]enemies!$A$1,0,0,COUNTA([3]enemies!$A:$A),MATCH(M$1,[3]enemies!$1:$1,0)-MATCH($L$1,[3]enemies!$1:$1,0)+1),MATCH(M$1,[3]enemies!$1:$1,0)-MATCH($L$1,[3]enemies!$1:$1,0)+1,FALSE)</f>
        <v>冬服アカネ</v>
      </c>
      <c r="N86" s="17" t="str">
        <f ca="1">VLOOKUP($L86,OFFSET([3]enemies!$A$1,0,0,COUNTA([3]enemies!$A:$A),MATCH(N$1,[3]enemies!$1:$1,0)-MATCH($L$1,[3]enemies!$1:$1,0)+1),MATCH(N$1,[3]enemies!$1:$1,0)-MATCH($L$1,[3]enemies!$1:$1,0)+1,FALSE)</f>
        <v>red</v>
      </c>
      <c r="O86" s="17" t="str">
        <f ca="1">VLOOKUP($L86,OFFSET([4]characters!$A$1,0,0,COUNTA([4]characters!$A:$A),MATCH(O$1,[4]characters!$1:$1,0)-MATCH($L$1,[4]characters!$1:$1,0)+1),MATCH(O$1,[4]characters!$1:$1,0)-MATCH($L$1,[4]characters!$1:$1,0)+1,FALSE)</f>
        <v>Drop1W</v>
      </c>
      <c r="P86" s="17" t="str">
        <f ca="1">VLOOKUP($L86,OFFSET([3]enemies!$A$1,0,0,COUNTA([3]enemies!$A:$A),MATCH(P$1,[3]enemies!$1:$1,0)-MATCH($L$1,[3]enemies!$1:$1,0)+1),MATCH(P$1,[3]enemies!$1:$1,0)-MATCH($L$1,[3]enemies!$1:$1,0)+1,FALSE)</f>
        <v>human</v>
      </c>
      <c r="Q86" s="17">
        <f ca="1">VLOOKUP($L86,OFFSET([3]enemies!$A$1,0,0,COUNTA([3]enemies!$A:$A),MATCH(Q$1,[3]enemies!$1:$1,0)-MATCH($L$1,[3]enemies!$1:$1,0)+1),MATCH(Q$1,[3]enemies!$1:$1,0)-MATCH($L$1,[3]enemies!$1:$1,0)+1,FALSE)</f>
        <v>15</v>
      </c>
      <c r="R86" s="5">
        <v>80</v>
      </c>
      <c r="S86" s="25">
        <v>1</v>
      </c>
      <c r="T86" s="98">
        <f ca="1">ROUND(VLOOKUP(R86,[3]enemy_base_stats!$A:$F,2,FALSE) *INDIRECT("[EnemyMasterData.xlsm]enemies!Y"&amp;(L86+1))*  INDIRECT("[EnemyMasterData.xlsm]enemies!J"&amp;(L86+1))* INDIRECT("[EnemyMasterData.xlsm]enemies!O"&amp;(L86+1))* INDIRECT("[EnemyMasterData.xlsm]enemies!E"&amp;(L86+1))* INDIRECT("[EnemyMasterData.xlsm]enemies!S"&amp;(L86+1))* INDIRECT("[EnemyMasterData.xlsm]enemies!AD"&amp;(L86+1))*[4]ステータス!$B$2,0)*S86</f>
        <v>15322</v>
      </c>
      <c r="U86" s="25">
        <v>0.7</v>
      </c>
      <c r="V86" s="98">
        <f ca="1">ROUND(VLOOKUP(R86,[3]enemy_base_stats!$A:$F,3,FALSE) *INDIRECT("[EnemyMasterData.xlsm]enemies!Z"&amp;(L86+1))*  INDIRECT("[EnemyMasterData.xlsm]enemies!K"&amp;(L86+1))* INDIRECT("[EnemyMasterData.xlsm]enemies!P"&amp;(L86+1))* INDIRECT("[EnemyMasterData.xlsm]enemies!F"&amp;(L86+1))* INDIRECT("[EnemyMasterData.xlsm]enemies!T"&amp;(L86+1))* INDIRECT("[EnemyMasterData.xlsm]enemies!AE"&amp;(L86+1))*[4]ステータス!$C$2,0)*U86</f>
        <v>3456.6</v>
      </c>
      <c r="W86" s="5">
        <v>0</v>
      </c>
      <c r="X86" s="4" t="e">
        <f ca="1">VLOOKUP($Y86,OFFSET(enemy_skill_sets!$B$1,0,0,COUNTA(enemy_skill_sets!$B:$B),MATCH(M$1,enemy_skill_sets!$1:$1,0)-MATCH($Y$1,enemy_skill_sets!$1:$1,0)+2),MATCH(M$1,enemy_skill_sets!$1:$1,0)-MATCH($Y$1,enemy_skill_sets!$1:$1,0)+2,FALSE)</f>
        <v>#N/A</v>
      </c>
      <c r="Y86" s="62">
        <v>0</v>
      </c>
      <c r="Z86" s="6">
        <v>0</v>
      </c>
      <c r="AA86" s="6">
        <v>100</v>
      </c>
      <c r="AB86" s="6">
        <v>0</v>
      </c>
      <c r="AC86" s="100">
        <v>3</v>
      </c>
      <c r="AD86" s="24">
        <f t="shared" si="13"/>
        <v>533</v>
      </c>
      <c r="AE86" s="4" t="str">
        <f ca="1">VLOOKUP($AD86,OFFSET([4]characters!$A$1,0,0,COUNTA([4]characters!$A:$A),MATCH(AE$1,[4]characters!$1:$1,0)-MATCH("character_id",[4]characters!$1:$1,0)+1),MATCH(AE$1,[4]characters!$1:$1,0)-MATCH("character_id",[4]characters!$1:$1,0)+1,FALSE)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86" s="4">
        <f ca="1">VLOOKUP($AD86,OFFSET([4]characters!$A$1,0,0,COUNTA([4]characters!$A:$A),MATCH(AF$1,[4]characters!$1:$1,0)-MATCH("character_id",[4]characters!$1:$1,0)+1),MATCH(AF$1,[4]characters!$1:$1,0)-MATCH("character_id",[4]characters!$1:$1,0)+1,FALSE)</f>
        <v>1</v>
      </c>
      <c r="AG86" s="4" t="str">
        <f ca="1">VLOOKUP($AD86,OFFSET([4]characters!$A$1,0,0,COUNTA([4]characters!$A:$A),MATCH(AG$1,[4]characters!$1:$1,0)-MATCH("character_id",[4]characters!$1:$1,0)+1),MATCH(AG$1,[4]characters!$1:$1,0)-MATCH("character_id",[4]characters!$1:$1,0)+1,FALSE)</f>
        <v>Drop1W</v>
      </c>
      <c r="AH86" s="7">
        <v>1</v>
      </c>
      <c r="AI86" s="24">
        <f t="shared" ca="1" si="14"/>
        <v>1</v>
      </c>
      <c r="AJ86" s="8">
        <v>20</v>
      </c>
      <c r="AK86" s="7">
        <v>0</v>
      </c>
      <c r="AL86" s="7">
        <v>0</v>
      </c>
      <c r="AM86" s="7">
        <v>0</v>
      </c>
      <c r="AN86" s="7">
        <v>0</v>
      </c>
      <c r="AO86" s="7">
        <v>1</v>
      </c>
      <c r="AP86" s="70">
        <v>1</v>
      </c>
    </row>
    <row r="87" spans="1:42" ht="21" customHeight="1" x14ac:dyDescent="0.15">
      <c r="A87" s="16" t="str">
        <f t="shared" si="10"/>
        <v>39009_5-1/534&lt;lv80&gt;s1</v>
      </c>
      <c r="B87" s="22">
        <v>39009</v>
      </c>
      <c r="C87" s="21">
        <v>5</v>
      </c>
      <c r="D87" s="2" t="str">
        <f t="shared" si="11"/>
        <v>39009_5</v>
      </c>
      <c r="E87" s="4" t="str">
        <f ca="1">VLOOKUP($B87,OFFSET([2]quests!$A$1,0,0,COUNTA([2]quests!$A:$A),MATCH(E$1,[2]quests!$1:$1,0)-MATCH($B$1,[2]quests!$1:$1,0)+1),MATCH(E$1,[2]quests!$1:$1,0)-MATCH($B$1,[2]quests!$1:$1,0)+1,FALSE)</f>
        <v>星空の歌姫</v>
      </c>
      <c r="F87" s="4" t="str">
        <f ca="1">VLOOKUP($D87,OFFSET([2]stages!$A$1,0,0,COUNTA([2]stages!$A:$A),MATCH(F$1,[2]stages!$2:$2,0)-MATCH($D$1,[2]stages!$2:$2,0)+1),MATCH(F$1,[2]stages!$2:$2,0)-MATCH($D$1,[2]stages!$2:$2,0)+1,FALSE)</f>
        <v>【超絶級】星空の歌姫</v>
      </c>
      <c r="G87" s="21">
        <v>1</v>
      </c>
      <c r="H87" s="15" t="str">
        <f t="shared" si="12"/>
        <v>39009_5-1</v>
      </c>
      <c r="I87" s="4">
        <f ca="1">VLOOKUP($H87,OFFSET(floors!$A$1,0,0,COUNTA(floors!$A:$A),MATCH(I$1,floors!$1:$1,0)-MATCH($H$1,floors!$1:$1,0)+1),MATCH(I$1,floors!$1:$1,0)-MATCH($H$1,floors!$1:$1,0)+1,FALSE)</f>
        <v>60</v>
      </c>
      <c r="J87" s="4">
        <f ca="1">VLOOKUP($H87,OFFSET(floors!$A$1,0,0,COUNTA(floors!$A:$A),MATCH(J$1,floors!$1:$1,0)-MATCH($H$1,floors!$1:$1,0)+1),MATCH(J$1,floors!$1:$1,0)-MATCH($H$1,floors!$1:$1,0)+1,FALSE)</f>
        <v>60</v>
      </c>
      <c r="K87" s="38" t="s">
        <v>53</v>
      </c>
      <c r="L87" s="20">
        <v>534</v>
      </c>
      <c r="M87" s="17" t="str">
        <f ca="1">VLOOKUP($L87,OFFSET([3]enemies!$A$1,0,0,COUNTA([3]enemies!$A:$A),MATCH(M$1,[3]enemies!$1:$1,0)-MATCH($L$1,[3]enemies!$1:$1,0)+1),MATCH(M$1,[3]enemies!$1:$1,0)-MATCH($L$1,[3]enemies!$1:$1,0)+1,FALSE)</f>
        <v>冬服パトライン</v>
      </c>
      <c r="N87" s="17" t="str">
        <f ca="1">VLOOKUP($L87,OFFSET([3]enemies!$A$1,0,0,COUNTA([3]enemies!$A:$A),MATCH(N$1,[3]enemies!$1:$1,0)-MATCH($L$1,[3]enemies!$1:$1,0)+1),MATCH(N$1,[3]enemies!$1:$1,0)-MATCH($L$1,[3]enemies!$1:$1,0)+1,FALSE)</f>
        <v>green</v>
      </c>
      <c r="O87" s="17" t="str">
        <f ca="1">VLOOKUP($L87,OFFSET([4]characters!$A$1,0,0,COUNTA([4]characters!$A:$A),MATCH(O$1,[4]characters!$1:$1,0)-MATCH($L$1,[4]characters!$1:$1,0)+1),MATCH(O$1,[4]characters!$1:$1,0)-MATCH($L$1,[4]characters!$1:$1,0)+1,FALSE)</f>
        <v>Drop1W</v>
      </c>
      <c r="P87" s="17" t="str">
        <f ca="1">VLOOKUP($L87,OFFSET([3]enemies!$A$1,0,0,COUNTA([3]enemies!$A:$A),MATCH(P$1,[3]enemies!$1:$1,0)-MATCH($L$1,[3]enemies!$1:$1,0)+1),MATCH(P$1,[3]enemies!$1:$1,0)-MATCH($L$1,[3]enemies!$1:$1,0)+1,FALSE)</f>
        <v>machine</v>
      </c>
      <c r="Q87" s="17">
        <f ca="1">VLOOKUP($L87,OFFSET([3]enemies!$A$1,0,0,COUNTA([3]enemies!$A:$A),MATCH(Q$1,[3]enemies!$1:$1,0)-MATCH($L$1,[3]enemies!$1:$1,0)+1),MATCH(Q$1,[3]enemies!$1:$1,0)-MATCH($L$1,[3]enemies!$1:$1,0)+1,FALSE)</f>
        <v>15</v>
      </c>
      <c r="R87" s="5">
        <v>80</v>
      </c>
      <c r="S87" s="25">
        <v>1.5</v>
      </c>
      <c r="T87" s="98">
        <f ca="1">ROUND(VLOOKUP(R87,[3]enemy_base_stats!$A:$F,2,FALSE) *INDIRECT("[EnemyMasterData.xlsm]enemies!Y"&amp;(L87+1))*  INDIRECT("[EnemyMasterData.xlsm]enemies!J"&amp;(L87+1))* INDIRECT("[EnemyMasterData.xlsm]enemies!O"&amp;(L87+1))* INDIRECT("[EnemyMasterData.xlsm]enemies!E"&amp;(L87+1))* INDIRECT("[EnemyMasterData.xlsm]enemies!S"&amp;(L87+1))* INDIRECT("[EnemyMasterData.xlsm]enemies!AD"&amp;(L87+1))*[4]ステータス!$B$2,0)*S87</f>
        <v>19951.5</v>
      </c>
      <c r="U87" s="25">
        <v>0.6</v>
      </c>
      <c r="V87" s="98">
        <f ca="1">ROUND(VLOOKUP(R87,[3]enemy_base_stats!$A:$F,3,FALSE) *INDIRECT("[EnemyMasterData.xlsm]enemies!Z"&amp;(L87+1))*  INDIRECT("[EnemyMasterData.xlsm]enemies!K"&amp;(L87+1))* INDIRECT("[EnemyMasterData.xlsm]enemies!P"&amp;(L87+1))* INDIRECT("[EnemyMasterData.xlsm]enemies!F"&amp;(L87+1))* INDIRECT("[EnemyMasterData.xlsm]enemies!T"&amp;(L87+1))* INDIRECT("[EnemyMasterData.xlsm]enemies!AE"&amp;(L87+1))*[4]ステータス!$C$2,0)*U87</f>
        <v>2242.7999999999997</v>
      </c>
      <c r="W87" s="5">
        <v>0</v>
      </c>
      <c r="X87" s="4" t="e">
        <f ca="1">VLOOKUP($Y87,OFFSET(enemy_skill_sets!$B$1,0,0,COUNTA(enemy_skill_sets!$B:$B),MATCH(M$1,enemy_skill_sets!$1:$1,0)-MATCH($Y$1,enemy_skill_sets!$1:$1,0)+2),MATCH(M$1,enemy_skill_sets!$1:$1,0)-MATCH($Y$1,enemy_skill_sets!$1:$1,0)+2,FALSE)</f>
        <v>#N/A</v>
      </c>
      <c r="Y87" s="62">
        <v>0</v>
      </c>
      <c r="Z87" s="6">
        <v>0</v>
      </c>
      <c r="AA87" s="6">
        <v>100</v>
      </c>
      <c r="AB87" s="6">
        <v>0</v>
      </c>
      <c r="AC87" s="100">
        <v>1</v>
      </c>
      <c r="AD87" s="24">
        <f t="shared" si="13"/>
        <v>534</v>
      </c>
      <c r="AE87" s="4" t="str">
        <f ca="1">VLOOKUP($AD87,OFFSET([4]characters!$A$1,0,0,COUNTA([4]characters!$A:$A),MATCH(AE$1,[4]characters!$1:$1,0)-MATCH("character_id",[4]characters!$1:$1,0)+1),MATCH(AE$1,[4]characters!$1:$1,0)-MATCH("character_id",[4]characters!$1:$1,0)+1,FALSE)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87" s="4">
        <f ca="1">VLOOKUP($AD87,OFFSET([4]characters!$A$1,0,0,COUNTA([4]characters!$A:$A),MATCH(AF$1,[4]characters!$1:$1,0)-MATCH("character_id",[4]characters!$1:$1,0)+1),MATCH(AF$1,[4]characters!$1:$1,0)-MATCH("character_id",[4]characters!$1:$1,0)+1,FALSE)</f>
        <v>1</v>
      </c>
      <c r="AG87" s="4" t="str">
        <f ca="1">VLOOKUP($AD87,OFFSET([4]characters!$A$1,0,0,COUNTA([4]characters!$A:$A),MATCH(AG$1,[4]characters!$1:$1,0)-MATCH("character_id",[4]characters!$1:$1,0)+1),MATCH(AG$1,[4]characters!$1:$1,0)-MATCH("character_id",[4]characters!$1:$1,0)+1,FALSE)</f>
        <v>Drop1W</v>
      </c>
      <c r="AH87" s="7">
        <v>1</v>
      </c>
      <c r="AI87" s="24">
        <f t="shared" ca="1" si="14"/>
        <v>1</v>
      </c>
      <c r="AJ87" s="8">
        <v>20</v>
      </c>
      <c r="AK87" s="7">
        <v>0</v>
      </c>
      <c r="AL87" s="7">
        <v>0</v>
      </c>
      <c r="AM87" s="7">
        <v>0</v>
      </c>
      <c r="AN87" s="7">
        <v>0</v>
      </c>
      <c r="AO87" s="7">
        <v>1</v>
      </c>
      <c r="AP87" s="70">
        <v>1</v>
      </c>
    </row>
    <row r="88" spans="1:42" ht="21" customHeight="1" x14ac:dyDescent="0.15">
      <c r="A88" s="16" t="str">
        <f t="shared" si="10"/>
        <v>39009_5-1/535&lt;lv80&gt;s2</v>
      </c>
      <c r="B88" s="22">
        <v>39009</v>
      </c>
      <c r="C88" s="21">
        <v>5</v>
      </c>
      <c r="D88" s="2" t="str">
        <f t="shared" si="11"/>
        <v>39009_5</v>
      </c>
      <c r="E88" s="4" t="str">
        <f ca="1">VLOOKUP($B88,OFFSET([2]quests!$A$1,0,0,COUNTA([2]quests!$A:$A),MATCH(E$1,[2]quests!$1:$1,0)-MATCH($B$1,[2]quests!$1:$1,0)+1),MATCH(E$1,[2]quests!$1:$1,0)-MATCH($B$1,[2]quests!$1:$1,0)+1,FALSE)</f>
        <v>星空の歌姫</v>
      </c>
      <c r="F88" s="4" t="str">
        <f ca="1">VLOOKUP($D88,OFFSET([2]stages!$A$1,0,0,COUNTA([2]stages!$A:$A),MATCH(F$1,[2]stages!$2:$2,0)-MATCH($D$1,[2]stages!$2:$2,0)+1),MATCH(F$1,[2]stages!$2:$2,0)-MATCH($D$1,[2]stages!$2:$2,0)+1,FALSE)</f>
        <v>【超絶級】星空の歌姫</v>
      </c>
      <c r="G88" s="21">
        <v>1</v>
      </c>
      <c r="H88" s="15" t="str">
        <f t="shared" si="12"/>
        <v>39009_5-1</v>
      </c>
      <c r="I88" s="4">
        <f ca="1">VLOOKUP($H88,OFFSET(floors!$A$1,0,0,COUNTA(floors!$A:$A),MATCH(I$1,floors!$1:$1,0)-MATCH($H$1,floors!$1:$1,0)+1),MATCH(I$1,floors!$1:$1,0)-MATCH($H$1,floors!$1:$1,0)+1,FALSE)</f>
        <v>60</v>
      </c>
      <c r="J88" s="4">
        <f ca="1">VLOOKUP($H88,OFFSET(floors!$A$1,0,0,COUNTA(floors!$A:$A),MATCH(J$1,floors!$1:$1,0)-MATCH($H$1,floors!$1:$1,0)+1),MATCH(J$1,floors!$1:$1,0)-MATCH($H$1,floors!$1:$1,0)+1,FALSE)</f>
        <v>60</v>
      </c>
      <c r="K88" s="38" t="s">
        <v>53</v>
      </c>
      <c r="L88" s="20">
        <v>535</v>
      </c>
      <c r="M88" s="17" t="str">
        <f ca="1">VLOOKUP($L88,OFFSET([3]enemies!$A$1,0,0,COUNTA([3]enemies!$A:$A),MATCH(M$1,[3]enemies!$1:$1,0)-MATCH($L$1,[3]enemies!$1:$1,0)+1),MATCH(M$1,[3]enemies!$1:$1,0)-MATCH($L$1,[3]enemies!$1:$1,0)+1,FALSE)</f>
        <v>冬服リム</v>
      </c>
      <c r="N88" s="17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17" t="str">
        <f ca="1">VLOOKUP($L88,OFFSET([4]characters!$A$1,0,0,COUNTA([4]characters!$A:$A),MATCH(O$1,[4]characters!$1:$1,0)-MATCH($L$1,[4]characters!$1:$1,0)+1),MATCH(O$1,[4]characters!$1:$1,0)-MATCH($L$1,[4]characters!$1:$1,0)+1,FALSE)</f>
        <v>Drop1W</v>
      </c>
      <c r="P88" s="17" t="str">
        <f ca="1">VLOOKUP($L88,OFFSET([3]enemies!$A$1,0,0,COUNTA([3]enemies!$A:$A),MATCH(P$1,[3]enemies!$1:$1,0)-MATCH($L$1,[3]enemies!$1:$1,0)+1),MATCH(P$1,[3]enemies!$1:$1,0)-MATCH($L$1,[3]enemies!$1:$1,0)+1,FALSE)</f>
        <v>human</v>
      </c>
      <c r="Q88" s="17">
        <f ca="1">VLOOKUP($L88,OFFSET([3]enemies!$A$1,0,0,COUNTA([3]enemies!$A:$A),MATCH(Q$1,[3]enemies!$1:$1,0)-MATCH($L$1,[3]enemies!$1:$1,0)+1),MATCH(Q$1,[3]enemies!$1:$1,0)-MATCH($L$1,[3]enemies!$1:$1,0)+1,FALSE)</f>
        <v>15</v>
      </c>
      <c r="R88" s="5">
        <v>80</v>
      </c>
      <c r="S88" s="25">
        <v>0.7</v>
      </c>
      <c r="T88" s="98">
        <f ca="1">ROUND(VLOOKUP(R88,[3]enemy_base_stats!$A:$F,2,FALSE) *INDIRECT("[EnemyMasterData.xlsm]enemies!Y"&amp;(L88+1))*  INDIRECT("[EnemyMasterData.xlsm]enemies!J"&amp;(L88+1))* INDIRECT("[EnemyMasterData.xlsm]enemies!O"&amp;(L88+1))* INDIRECT("[EnemyMasterData.xlsm]enemies!E"&amp;(L88+1))* INDIRECT("[EnemyMasterData.xlsm]enemies!S"&amp;(L88+1))* INDIRECT("[EnemyMasterData.xlsm]enemies!AD"&amp;(L88+1))*[4]ステータス!$B$2,0)*S88</f>
        <v>10725.4</v>
      </c>
      <c r="U88" s="25">
        <v>0.4</v>
      </c>
      <c r="V88" s="98">
        <f ca="1">ROUND(VLOOKUP(R88,[3]enemy_base_stats!$A:$F,3,FALSE) *INDIRECT("[EnemyMasterData.xlsm]enemies!Z"&amp;(L88+1))*  INDIRECT("[EnemyMasterData.xlsm]enemies!K"&amp;(L88+1))* INDIRECT("[EnemyMasterData.xlsm]enemies!P"&amp;(L88+1))* INDIRECT("[EnemyMasterData.xlsm]enemies!F"&amp;(L88+1))* INDIRECT("[EnemyMasterData.xlsm]enemies!T"&amp;(L88+1))* INDIRECT("[EnemyMasterData.xlsm]enemies!AE"&amp;(L88+1))*[4]ステータス!$C$2,0)*U88</f>
        <v>1897.6000000000001</v>
      </c>
      <c r="W88" s="5">
        <v>0</v>
      </c>
      <c r="X88" s="4" t="e">
        <f ca="1">VLOOKUP($Y88,OFFSET(enemy_skill_sets!$B$1,0,0,COUNTA(enemy_skill_sets!$B:$B),MATCH(M$1,enemy_skill_sets!$1:$1,0)-MATCH($Y$1,enemy_skill_sets!$1:$1,0)+2),MATCH(M$1,enemy_skill_sets!$1:$1,0)-MATCH($Y$1,enemy_skill_sets!$1:$1,0)+2,FALSE)</f>
        <v>#N/A</v>
      </c>
      <c r="Y88" s="62">
        <v>0</v>
      </c>
      <c r="Z88" s="6">
        <v>0</v>
      </c>
      <c r="AA88" s="6">
        <v>100</v>
      </c>
      <c r="AB88" s="6">
        <v>0</v>
      </c>
      <c r="AC88" s="100">
        <v>2</v>
      </c>
      <c r="AD88" s="24">
        <f t="shared" si="13"/>
        <v>535</v>
      </c>
      <c r="AE88" s="4" t="str">
        <f ca="1">VLOOKUP($AD88,OFFSET([4]characters!$A$1,0,0,COUNTA([4]characters!$A:$A),MATCH(AE$1,[4]characters!$1:$1,0)-MATCH("character_id",[4]characters!$1:$1,0)+1),MATCH(AE$1,[4]characters!$1:$1,0)-MATCH("character_id",[4]characters!$1:$1,0)+1,FALSE)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88" s="4">
        <f ca="1">VLOOKUP($AD88,OFFSET([4]characters!$A$1,0,0,COUNTA([4]characters!$A:$A),MATCH(AF$1,[4]characters!$1:$1,0)-MATCH("character_id",[4]characters!$1:$1,0)+1),MATCH(AF$1,[4]characters!$1:$1,0)-MATCH("character_id",[4]characters!$1:$1,0)+1,FALSE)</f>
        <v>1</v>
      </c>
      <c r="AG88" s="4" t="str">
        <f ca="1">VLOOKUP($AD88,OFFSET([4]characters!$A$1,0,0,COUNTA([4]characters!$A:$A),MATCH(AG$1,[4]characters!$1:$1,0)-MATCH("character_id",[4]characters!$1:$1,0)+1),MATCH(AG$1,[4]characters!$1:$1,0)-MATCH("character_id",[4]characters!$1:$1,0)+1,FALSE)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8" s="7">
        <v>1</v>
      </c>
      <c r="AI88" s="24">
        <f t="shared" ca="1" si="14"/>
        <v>1</v>
      </c>
      <c r="AJ88" s="8">
        <v>20</v>
      </c>
      <c r="AK88" s="7">
        <v>0</v>
      </c>
      <c r="AL88" s="7">
        <v>0</v>
      </c>
      <c r="AM88" s="7">
        <v>0</v>
      </c>
      <c r="AN88" s="7">
        <v>0</v>
      </c>
      <c r="AO88" s="7">
        <v>1</v>
      </c>
      <c r="AP88" s="70">
        <v>1</v>
      </c>
    </row>
    <row r="89" spans="1:42" ht="21" customHeight="1" x14ac:dyDescent="0.15">
      <c r="A89" s="16" t="str">
        <f t="shared" si="10"/>
        <v>39009_5-1/536&lt;lv80&gt;s2</v>
      </c>
      <c r="B89" s="22">
        <v>39009</v>
      </c>
      <c r="C89" s="21">
        <v>5</v>
      </c>
      <c r="D89" s="2" t="str">
        <f t="shared" si="11"/>
        <v>39009_5</v>
      </c>
      <c r="E89" s="4" t="str">
        <f ca="1">VLOOKUP($B89,OFFSET([2]quests!$A$1,0,0,COUNTA([2]quests!$A:$A),MATCH(E$1,[2]quests!$1:$1,0)-MATCH($B$1,[2]quests!$1:$1,0)+1),MATCH(E$1,[2]quests!$1:$1,0)-MATCH($B$1,[2]quests!$1:$1,0)+1,FALSE)</f>
        <v>星空の歌姫</v>
      </c>
      <c r="F89" s="4" t="str">
        <f ca="1">VLOOKUP($D89,OFFSET([2]stages!$A$1,0,0,COUNTA([2]stages!$A:$A),MATCH(F$1,[2]stages!$2:$2,0)-MATCH($D$1,[2]stages!$2:$2,0)+1),MATCH(F$1,[2]stages!$2:$2,0)-MATCH($D$1,[2]stages!$2:$2,0)+1,FALSE)</f>
        <v>【超絶級】星空の歌姫</v>
      </c>
      <c r="G89" s="21">
        <v>1</v>
      </c>
      <c r="H89" s="15" t="str">
        <f t="shared" si="12"/>
        <v>39009_5-1</v>
      </c>
      <c r="I89" s="4">
        <f ca="1">VLOOKUP($H89,OFFSET(floors!$A$1,0,0,COUNTA(floors!$A:$A),MATCH(I$1,floors!$1:$1,0)-MATCH($H$1,floors!$1:$1,0)+1),MATCH(I$1,floors!$1:$1,0)-MATCH($H$1,floors!$1:$1,0)+1,FALSE)</f>
        <v>60</v>
      </c>
      <c r="J89" s="4">
        <f ca="1">VLOOKUP($H89,OFFSET(floors!$A$1,0,0,COUNTA(floors!$A:$A),MATCH(J$1,floors!$1:$1,0)-MATCH($H$1,floors!$1:$1,0)+1),MATCH(J$1,floors!$1:$1,0)-MATCH($H$1,floors!$1:$1,0)+1,FALSE)</f>
        <v>60</v>
      </c>
      <c r="K89" s="38" t="s">
        <v>53</v>
      </c>
      <c r="L89" s="20">
        <v>536</v>
      </c>
      <c r="M89" s="17" t="str">
        <f ca="1">VLOOKUP($L89,OFFSET([3]enemies!$A$1,0,0,COUNTA([3]enemies!$A:$A),MATCH(M$1,[3]enemies!$1:$1,0)-MATCH($L$1,[3]enemies!$1:$1,0)+1),MATCH(M$1,[3]enemies!$1:$1,0)-MATCH($L$1,[3]enemies!$1:$1,0)+1,FALSE)</f>
        <v>冬服ミミ</v>
      </c>
      <c r="N89" s="17" t="str">
        <f ca="1">VLOOKUP($L89,OFFSET([3]enemies!$A$1,0,0,COUNTA([3]enemies!$A:$A),MATCH(N$1,[3]enemies!$1:$1,0)-MATCH($L$1,[3]enemies!$1:$1,0)+1),MATCH(N$1,[3]enemies!$1:$1,0)-MATCH($L$1,[3]enemies!$1:$1,0)+1,FALSE)</f>
        <v>yellow</v>
      </c>
      <c r="O89" s="17" t="str">
        <f ca="1">VLOOKUP($L89,OFFSET([4]characters!$A$1,0,0,COUNTA([4]characters!$A:$A),MATCH(O$1,[4]characters!$1:$1,0)-MATCH($L$1,[4]characters!$1:$1,0)+1),MATCH(O$1,[4]characters!$1:$1,0)-MATCH($L$1,[4]characters!$1:$1,0)+1,FALSE)</f>
        <v>Drop1W</v>
      </c>
      <c r="P89" s="17" t="str">
        <f ca="1">VLOOKUP($L89,OFFSET([3]enemies!$A$1,0,0,COUNTA([3]enemies!$A:$A),MATCH(P$1,[3]enemies!$1:$1,0)-MATCH($L$1,[3]enemies!$1:$1,0)+1),MATCH(P$1,[3]enemies!$1:$1,0)-MATCH($L$1,[3]enemies!$1:$1,0)+1,FALSE)</f>
        <v>animal</v>
      </c>
      <c r="Q89" s="17">
        <f ca="1">VLOOKUP($L89,OFFSET([3]enemies!$A$1,0,0,COUNTA([3]enemies!$A:$A),MATCH(Q$1,[3]enemies!$1:$1,0)-MATCH($L$1,[3]enemies!$1:$1,0)+1),MATCH(Q$1,[3]enemies!$1:$1,0)-MATCH($L$1,[3]enemies!$1:$1,0)+1,FALSE)</f>
        <v>15</v>
      </c>
      <c r="R89" s="5">
        <v>80</v>
      </c>
      <c r="S89" s="25">
        <v>1</v>
      </c>
      <c r="T89" s="98">
        <f ca="1">ROUND(VLOOKUP(R89,[3]enemy_base_stats!$A:$F,2,FALSE) *INDIRECT("[EnemyMasterData.xlsm]enemies!Y"&amp;(L89+1))*  INDIRECT("[EnemyMasterData.xlsm]enemies!J"&amp;(L89+1))* INDIRECT("[EnemyMasterData.xlsm]enemies!O"&amp;(L89+1))* INDIRECT("[EnemyMasterData.xlsm]enemies!E"&amp;(L89+1))* INDIRECT("[EnemyMasterData.xlsm]enemies!S"&amp;(L89+1))* INDIRECT("[EnemyMasterData.xlsm]enemies!AD"&amp;(L89+1))*[4]ステータス!$B$2,0)*S89</f>
        <v>15974</v>
      </c>
      <c r="U89" s="25">
        <v>0.4</v>
      </c>
      <c r="V89" s="98">
        <f ca="1">ROUND(VLOOKUP(R89,[3]enemy_base_stats!$A:$F,3,FALSE) *INDIRECT("[EnemyMasterData.xlsm]enemies!Z"&amp;(L89+1))*  INDIRECT("[EnemyMasterData.xlsm]enemies!K"&amp;(L89+1))* INDIRECT("[EnemyMasterData.xlsm]enemies!P"&amp;(L89+1))* INDIRECT("[EnemyMasterData.xlsm]enemies!F"&amp;(L89+1))* INDIRECT("[EnemyMasterData.xlsm]enemies!T"&amp;(L89+1))* INDIRECT("[EnemyMasterData.xlsm]enemies!AE"&amp;(L89+1))*[4]ステータス!$C$2,0)*U89</f>
        <v>2890.4</v>
      </c>
      <c r="W89" s="5">
        <v>0</v>
      </c>
      <c r="X89" s="4" t="e">
        <f ca="1">VLOOKUP($Y89,OFFSET(enemy_skill_sets!$B$1,0,0,COUNTA(enemy_skill_sets!$B:$B),MATCH(M$1,enemy_skill_sets!$1:$1,0)-MATCH($Y$1,enemy_skill_sets!$1:$1,0)+2),MATCH(M$1,enemy_skill_sets!$1:$1,0)-MATCH($Y$1,enemy_skill_sets!$1:$1,0)+2,FALSE)</f>
        <v>#N/A</v>
      </c>
      <c r="Y89" s="62">
        <v>0</v>
      </c>
      <c r="Z89" s="6">
        <v>0</v>
      </c>
      <c r="AA89" s="6">
        <v>100</v>
      </c>
      <c r="AB89" s="6">
        <v>0</v>
      </c>
      <c r="AC89" s="100">
        <v>2</v>
      </c>
      <c r="AD89" s="24">
        <f t="shared" si="13"/>
        <v>536</v>
      </c>
      <c r="AE89" s="4" t="str">
        <f ca="1">VLOOKUP($AD89,OFFSET([4]characters!$A$1,0,0,COUNTA([4]characters!$A:$A),MATCH(AE$1,[4]characters!$1:$1,0)-MATCH("character_id",[4]characters!$1:$1,0)+1),MATCH(AE$1,[4]characters!$1:$1,0)-MATCH("character_id",[4]characters!$1:$1,0)+1,FALSE)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89" s="4">
        <f ca="1">VLOOKUP($AD89,OFFSET([4]characters!$A$1,0,0,COUNTA([4]characters!$A:$A),MATCH(AF$1,[4]characters!$1:$1,0)-MATCH("character_id",[4]characters!$1:$1,0)+1),MATCH(AF$1,[4]characters!$1:$1,0)-MATCH("character_id",[4]characters!$1:$1,0)+1,FALSE)</f>
        <v>1</v>
      </c>
      <c r="AG89" s="4" t="str">
        <f ca="1">VLOOKUP($AD89,OFFSET([4]characters!$A$1,0,0,COUNTA([4]characters!$A:$A),MATCH(AG$1,[4]characters!$1:$1,0)-MATCH("character_id",[4]characters!$1:$1,0)+1),MATCH(AG$1,[4]characters!$1:$1,0)-MATCH("character_id",[4]characters!$1:$1,0)+1,FALSE)</f>
        <v>Drop1W</v>
      </c>
      <c r="AH89" s="7">
        <v>1</v>
      </c>
      <c r="AI89" s="24">
        <f t="shared" ca="1" si="14"/>
        <v>1</v>
      </c>
      <c r="AJ89" s="8">
        <v>20</v>
      </c>
      <c r="AK89" s="7">
        <v>0</v>
      </c>
      <c r="AL89" s="7">
        <v>0</v>
      </c>
      <c r="AM89" s="7">
        <v>0</v>
      </c>
      <c r="AN89" s="7">
        <v>0</v>
      </c>
      <c r="AO89" s="7">
        <v>1</v>
      </c>
      <c r="AP89" s="70">
        <v>1</v>
      </c>
    </row>
    <row r="90" spans="1:42" ht="21" customHeight="1" x14ac:dyDescent="0.15">
      <c r="A90" s="16" t="str">
        <f t="shared" si="10"/>
        <v>39009_5-2/1297&lt;lv80&gt;s2</v>
      </c>
      <c r="B90" s="22">
        <v>39009</v>
      </c>
      <c r="C90" s="21">
        <v>5</v>
      </c>
      <c r="D90" s="2" t="str">
        <f t="shared" si="11"/>
        <v>39009_5</v>
      </c>
      <c r="E90" s="4" t="str">
        <f ca="1">VLOOKUP($B90,OFFSET([2]quests!$A$1,0,0,COUNTA([2]quests!$A:$A),MATCH(E$1,[2]quests!$1:$1,0)-MATCH($B$1,[2]quests!$1:$1,0)+1),MATCH(E$1,[2]quests!$1:$1,0)-MATCH($B$1,[2]quests!$1:$1,0)+1,FALSE)</f>
        <v>星空の歌姫</v>
      </c>
      <c r="F90" s="4" t="str">
        <f ca="1">VLOOKUP($D90,OFFSET([2]stages!$A$1,0,0,COUNTA([2]stages!$A:$A),MATCH(F$1,[2]stages!$2:$2,0)-MATCH($D$1,[2]stages!$2:$2,0)+1),MATCH(F$1,[2]stages!$2:$2,0)-MATCH($D$1,[2]stages!$2:$2,0)+1,FALSE)</f>
        <v>【超絶級】星空の歌姫</v>
      </c>
      <c r="G90" s="21">
        <v>2</v>
      </c>
      <c r="H90" s="15" t="str">
        <f t="shared" si="12"/>
        <v>39009_5-2</v>
      </c>
      <c r="I90" s="4">
        <f ca="1">VLOOKUP($H90,OFFSET(floors!$A$1,0,0,COUNTA(floors!$A:$A),MATCH(I$1,floors!$1:$1,0)-MATCH($H$1,floors!$1:$1,0)+1),MATCH(I$1,floors!$1:$1,0)-MATCH($H$1,floors!$1:$1,0)+1,FALSE)</f>
        <v>60</v>
      </c>
      <c r="J90" s="4">
        <f ca="1">VLOOKUP($H90,OFFSET(floors!$A$1,0,0,COUNTA(floors!$A:$A),MATCH(J$1,floors!$1:$1,0)-MATCH($H$1,floors!$1:$1,0)+1),MATCH(J$1,floors!$1:$1,0)-MATCH($H$1,floors!$1:$1,0)+1,FALSE)</f>
        <v>60</v>
      </c>
      <c r="K90" s="38">
        <v>9</v>
      </c>
      <c r="L90" s="20">
        <v>1297</v>
      </c>
      <c r="M90" s="17" t="str">
        <f ca="1">VLOOKUP($L90,OFFSET([3]enemies!$A$1,0,0,COUNTA([3]enemies!$A:$A),MATCH(M$1,[3]enemies!$1:$1,0)-MATCH($L$1,[3]enemies!$1:$1,0)+1),MATCH(M$1,[3]enemies!$1:$1,0)-MATCH($L$1,[3]enemies!$1:$1,0)+1,FALSE)</f>
        <v>雪ミク2017</v>
      </c>
      <c r="N90" s="17" t="str">
        <f ca="1">VLOOKUP($L90,OFFSET([3]enemies!$A$1,0,0,COUNTA([3]enemies!$A:$A),MATCH(N$1,[3]enemies!$1:$1,0)-MATCH($L$1,[3]enemies!$1:$1,0)+1),MATCH(N$1,[3]enemies!$1:$1,0)-MATCH($L$1,[3]enemies!$1:$1,0)+1,FALSE)</f>
        <v>green</v>
      </c>
      <c r="O90" s="17" t="str">
        <f ca="1">VLOOKUP($L90,OFFSET([4]characters!$A$1,0,0,COUNTA([4]characters!$A:$A),MATCH(O$1,[4]characters!$1:$1,0)-MATCH($L$1,[4]characters!$1:$1,0)+1),MATCH(O$1,[4]characters!$1:$1,0)-MATCH($L$1,[4]characters!$1:$1,0)+1,FALSE)</f>
        <v>DropWizS</v>
      </c>
      <c r="P90" s="17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17">
        <f ca="1">VLOOKUP($L90,OFFSET([3]enemies!$A$1,0,0,COUNTA([3]enemies!$A:$A),MATCH(Q$1,[3]enemies!$1:$1,0)-MATCH($L$1,[3]enemies!$1:$1,0)+1),MATCH(Q$1,[3]enemies!$1:$1,0)-MATCH($L$1,[3]enemies!$1:$1,0)+1,FALSE)</f>
        <v>60</v>
      </c>
      <c r="R90" s="5">
        <v>80</v>
      </c>
      <c r="S90" s="25">
        <v>0.6</v>
      </c>
      <c r="T90" s="98">
        <f ca="1">ROUND(VLOOKUP(R90,[3]enemy_base_stats!$A:$F,2,FALSE) *INDIRECT("[EnemyMasterData.xlsm]enemies!Y"&amp;(L90+1))*  INDIRECT("[EnemyMasterData.xlsm]enemies!J"&amp;(L90+1))* INDIRECT("[EnemyMasterData.xlsm]enemies!O"&amp;(L90+1))* INDIRECT("[EnemyMasterData.xlsm]enemies!E"&amp;(L90+1))* INDIRECT("[EnemyMasterData.xlsm]enemies!S"&amp;(L90+1))* INDIRECT("[EnemyMasterData.xlsm]enemies!AD"&amp;(L90+1))*[4]ステータス!$B$2,0)*S90</f>
        <v>81467.399999999994</v>
      </c>
      <c r="U90" s="25">
        <v>1.6</v>
      </c>
      <c r="V90" s="98">
        <f ca="1">ROUND(VLOOKUP(R90,[3]enemy_base_stats!$A:$F,3,FALSE) *INDIRECT("[EnemyMasterData.xlsm]enemies!Z"&amp;(L90+1))*  INDIRECT("[EnemyMasterData.xlsm]enemies!K"&amp;(L90+1))* INDIRECT("[EnemyMasterData.xlsm]enemies!P"&amp;(L90+1))* INDIRECT("[EnemyMasterData.xlsm]enemies!F"&amp;(L90+1))* INDIRECT("[EnemyMasterData.xlsm]enemies!T"&amp;(L90+1))* INDIRECT("[EnemyMasterData.xlsm]enemies!AE"&amp;(L90+1))*[4]ステータス!$C$2,0)*U90</f>
        <v>14382.400000000001</v>
      </c>
      <c r="W90" s="5">
        <v>0</v>
      </c>
      <c r="X90" s="4" t="str">
        <f ca="1">VLOOKUP($Y90,OFFSET(enemy_skill_sets!$B$1,0,0,COUNTA(enemy_skill_sets!$B:$B),MATCH(M$1,enemy_skill_sets!$1:$1,0)-MATCH($Y$1,enemy_skill_sets!$1:$1,0)+2),MATCH(M$1,enemy_skill_sets!$1:$1,0)-MATCH($Y$1,enemy_skill_sets!$1:$1,0)+2,FALSE)</f>
        <v>3ターン防御力UP</v>
      </c>
      <c r="Y90" s="62">
        <v>39009029</v>
      </c>
      <c r="Z90" s="6">
        <v>1</v>
      </c>
      <c r="AA90" s="6">
        <v>100</v>
      </c>
      <c r="AB90" s="6">
        <v>1</v>
      </c>
      <c r="AC90" s="100">
        <v>2</v>
      </c>
      <c r="AD90" s="24">
        <f t="shared" si="13"/>
        <v>1297</v>
      </c>
      <c r="AE90" s="4" t="str">
        <f ca="1">VLOOKUP($AD90,OFFSET([4]characters!$A$1,0,0,COUNTA([4]characters!$A:$A),MATCH(AE$1,[4]characters!$1:$1,0)-MATCH("character_id",[4]characters!$1:$1,0)+1),MATCH(AE$1,[4]characters!$1:$1,0)-MATCH("character_id",[4]characters!$1:$1,0)+1,FALSE)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90" s="4">
        <f ca="1">VLOOKUP($AD90,OFFSET([4]characters!$A$1,0,0,COUNTA([4]characters!$A:$A),MATCH(AF$1,[4]characters!$1:$1,0)-MATCH("character_id",[4]characters!$1:$1,0)+1),MATCH(AF$1,[4]characters!$1:$1,0)-MATCH("character_id",[4]characters!$1:$1,0)+1,FALSE)</f>
        <v>5</v>
      </c>
      <c r="AG90" s="4" t="str">
        <f ca="1">VLOOKUP($AD90,OFFSET([4]characters!$A$1,0,0,COUNTA([4]characters!$A:$A),MATCH(AG$1,[4]characters!$1:$1,0)-MATCH("character_id",[4]characters!$1:$1,0)+1),MATCH(AG$1,[4]characters!$1:$1,0)-MATCH("character_id",[4]characters!$1:$1,0)+1,FALSE)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0" s="7">
        <v>1</v>
      </c>
      <c r="AI90" s="24">
        <f t="shared" ca="1" si="14"/>
        <v>5</v>
      </c>
      <c r="AJ90" s="8">
        <v>0</v>
      </c>
      <c r="AK90" s="7">
        <v>0</v>
      </c>
      <c r="AL90" s="7">
        <v>0</v>
      </c>
      <c r="AM90" s="7">
        <v>0</v>
      </c>
      <c r="AN90" s="7">
        <v>0</v>
      </c>
      <c r="AO90" s="7">
        <v>1</v>
      </c>
      <c r="AP90" s="70">
        <v>1</v>
      </c>
    </row>
    <row r="91" spans="1:42" ht="21" customHeight="1" x14ac:dyDescent="0.15">
      <c r="A91" s="16" t="str">
        <f t="shared" si="10"/>
        <v>39009_5-3/529&lt;lv80&gt;s1</v>
      </c>
      <c r="B91" s="22">
        <v>39009</v>
      </c>
      <c r="C91" s="21">
        <v>5</v>
      </c>
      <c r="D91" s="2" t="str">
        <f t="shared" si="11"/>
        <v>39009_5</v>
      </c>
      <c r="E91" s="4" t="str">
        <f ca="1">VLOOKUP($B91,OFFSET([2]quests!$A$1,0,0,COUNTA([2]quests!$A:$A),MATCH(E$1,[2]quests!$1:$1,0)-MATCH($B$1,[2]quests!$1:$1,0)+1),MATCH(E$1,[2]quests!$1:$1,0)-MATCH($B$1,[2]quests!$1:$1,0)+1,FALSE)</f>
        <v>星空の歌姫</v>
      </c>
      <c r="F91" s="4" t="str">
        <f ca="1">VLOOKUP($D91,OFFSET([2]stages!$A$1,0,0,COUNTA([2]stages!$A:$A),MATCH(F$1,[2]stages!$2:$2,0)-MATCH($D$1,[2]stages!$2:$2,0)+1),MATCH(F$1,[2]stages!$2:$2,0)-MATCH($D$1,[2]stages!$2:$2,0)+1,FALSE)</f>
        <v>【超絶級】星空の歌姫</v>
      </c>
      <c r="G91" s="21">
        <v>3</v>
      </c>
      <c r="H91" s="15" t="str">
        <f t="shared" si="12"/>
        <v>39009_5-3</v>
      </c>
      <c r="I91" s="4">
        <f ca="1">VLOOKUP($H91,OFFSET(floors!$A$1,0,0,COUNTA(floors!$A:$A),MATCH(I$1,floors!$1:$1,0)-MATCH($H$1,floors!$1:$1,0)+1),MATCH(I$1,floors!$1:$1,0)-MATCH($H$1,floors!$1:$1,0)+1,FALSE)</f>
        <v>60</v>
      </c>
      <c r="J91" s="4">
        <f ca="1">VLOOKUP($H91,OFFSET(floors!$A$1,0,0,COUNTA(floors!$A:$A),MATCH(J$1,floors!$1:$1,0)-MATCH($H$1,floors!$1:$1,0)+1),MATCH(J$1,floors!$1:$1,0)-MATCH($H$1,floors!$1:$1,0)+1,FALSE)</f>
        <v>60</v>
      </c>
      <c r="K91" s="38" t="s">
        <v>53</v>
      </c>
      <c r="L91" s="20">
        <v>529</v>
      </c>
      <c r="M91" s="17" t="str">
        <f ca="1">VLOOKUP($L91,OFFSET([3]enemies!$A$1,0,0,COUNTA([3]enemies!$A:$A),MATCH(M$1,[3]enemies!$1:$1,0)-MATCH($L$1,[3]enemies!$1:$1,0)+1),MATCH(M$1,[3]enemies!$1:$1,0)-MATCH($L$1,[3]enemies!$1:$1,0)+1,FALSE)</f>
        <v>冬服ジェリー</v>
      </c>
      <c r="N91" s="17" t="str">
        <f ca="1">VLOOKUP($L91,OFFSET([3]enemies!$A$1,0,0,COUNTA([3]enemies!$A:$A),MATCH(N$1,[3]enemies!$1:$1,0)-MATCH($L$1,[3]enemies!$1:$1,0)+1),MATCH(N$1,[3]enemies!$1:$1,0)-MATCH($L$1,[3]enemies!$1:$1,0)+1,FALSE)</f>
        <v>red</v>
      </c>
      <c r="O91" s="17" t="str">
        <f ca="1">VLOOKUP($L91,OFFSET([4]characters!$A$1,0,0,COUNTA([4]characters!$A:$A),MATCH(O$1,[4]characters!$1:$1,0)-MATCH($L$1,[4]characters!$1:$1,0)+1),MATCH(O$1,[4]characters!$1:$1,0)-MATCH($L$1,[4]characters!$1:$1,0)+1,FALSE)</f>
        <v>Drop1T</v>
      </c>
      <c r="P91" s="17" t="str">
        <f ca="1">VLOOKUP($L91,OFFSET([3]enemies!$A$1,0,0,COUNTA([3]enemies!$A:$A),MATCH(P$1,[3]enemies!$1:$1,0)-MATCH($L$1,[3]enemies!$1:$1,0)+1),MATCH(P$1,[3]enemies!$1:$1,0)-MATCH($L$1,[3]enemies!$1:$1,0)+1,FALSE)</f>
        <v>unknown</v>
      </c>
      <c r="Q91" s="17">
        <f ca="1">VLOOKUP($L91,OFFSET([3]enemies!$A$1,0,0,COUNTA([3]enemies!$A:$A),MATCH(Q$1,[3]enemies!$1:$1,0)-MATCH($L$1,[3]enemies!$1:$1,0)+1),MATCH(Q$1,[3]enemies!$1:$1,0)-MATCH($L$1,[3]enemies!$1:$1,0)+1,FALSE)</f>
        <v>15</v>
      </c>
      <c r="R91" s="5">
        <v>80</v>
      </c>
      <c r="S91" s="25">
        <v>2.5</v>
      </c>
      <c r="T91" s="98">
        <f ca="1">ROUND(VLOOKUP(R91,[3]enemy_base_stats!$A:$F,2,FALSE) *INDIRECT("[EnemyMasterData.xlsm]enemies!Y"&amp;(L91+1))*  INDIRECT("[EnemyMasterData.xlsm]enemies!J"&amp;(L91+1))* INDIRECT("[EnemyMasterData.xlsm]enemies!O"&amp;(L91+1))* INDIRECT("[EnemyMasterData.xlsm]enemies!E"&amp;(L91+1))* INDIRECT("[EnemyMasterData.xlsm]enemies!S"&amp;(L91+1))* INDIRECT("[EnemyMasterData.xlsm]enemies!AD"&amp;(L91+1))*[4]ステータス!$B$2,0)*S91</f>
        <v>40750</v>
      </c>
      <c r="U91" s="25">
        <v>0.8</v>
      </c>
      <c r="V91" s="98">
        <f ca="1">ROUND(VLOOKUP(R91,[3]enemy_base_stats!$A:$F,3,FALSE) *INDIRECT("[EnemyMasterData.xlsm]enemies!Z"&amp;(L91+1))*  INDIRECT("[EnemyMasterData.xlsm]enemies!K"&amp;(L91+1))* INDIRECT("[EnemyMasterData.xlsm]enemies!P"&amp;(L91+1))* INDIRECT("[EnemyMasterData.xlsm]enemies!F"&amp;(L91+1))* INDIRECT("[EnemyMasterData.xlsm]enemies!T"&amp;(L91+1))* INDIRECT("[EnemyMasterData.xlsm]enemies!AE"&amp;(L91+1))*[4]ステータス!$C$2,0)*U91</f>
        <v>5360</v>
      </c>
      <c r="W91" s="5">
        <v>0</v>
      </c>
      <c r="X91" s="4" t="e">
        <f ca="1">VLOOKUP($Y91,OFFSET(enemy_skill_sets!$B$1,0,0,COUNTA(enemy_skill_sets!$B:$B),MATCH(M$1,enemy_skill_sets!$1:$1,0)-MATCH($Y$1,enemy_skill_sets!$1:$1,0)+2),MATCH(M$1,enemy_skill_sets!$1:$1,0)-MATCH($Y$1,enemy_skill_sets!$1:$1,0)+2,FALSE)</f>
        <v>#N/A</v>
      </c>
      <c r="Y91" s="62">
        <v>0</v>
      </c>
      <c r="Z91" s="6">
        <v>0</v>
      </c>
      <c r="AA91" s="6">
        <v>100</v>
      </c>
      <c r="AB91" s="6">
        <v>0</v>
      </c>
      <c r="AC91" s="100">
        <v>1</v>
      </c>
      <c r="AD91" s="24">
        <f t="shared" si="13"/>
        <v>529</v>
      </c>
      <c r="AE91" s="4" t="str">
        <f ca="1">VLOOKUP($AD91,OFFSET([4]characters!$A$1,0,0,COUNTA([4]characters!$A:$A),MATCH(AE$1,[4]characters!$1:$1,0)-MATCH("character_id",[4]characters!$1:$1,0)+1),MATCH(AE$1,[4]characters!$1:$1,0)-MATCH("character_id",[4]characters!$1:$1,0)+1,FALSE)</f>
        <v>冬服ジェリー</v>
      </c>
      <c r="AF91" s="4">
        <f ca="1">VLOOKUP($AD91,OFFSET([4]characters!$A$1,0,0,COUNTA([4]characters!$A:$A),MATCH(AF$1,[4]characters!$1:$1,0)-MATCH("character_id",[4]characters!$1:$1,0)+1),MATCH(AF$1,[4]characters!$1:$1,0)-MATCH("character_id",[4]characters!$1:$1,0)+1,FALSE)</f>
        <v>1</v>
      </c>
      <c r="AG91" s="4" t="str">
        <f ca="1">VLOOKUP($AD91,OFFSET([4]characters!$A$1,0,0,COUNTA([4]characters!$A:$A),MATCH(AG$1,[4]characters!$1:$1,0)-MATCH("character_id",[4]characters!$1:$1,0)+1),MATCH(AG$1,[4]characters!$1:$1,0)-MATCH("character_id",[4]characters!$1:$1,0)+1,FALSE)</f>
        <v>Drop1T</v>
      </c>
      <c r="AH91" s="7">
        <v>1</v>
      </c>
      <c r="AI91" s="24">
        <f t="shared" ca="1" si="14"/>
        <v>1</v>
      </c>
      <c r="AJ91" s="8">
        <v>0</v>
      </c>
      <c r="AK91" s="7">
        <v>0</v>
      </c>
      <c r="AL91" s="7">
        <v>0</v>
      </c>
      <c r="AM91" s="7">
        <v>0</v>
      </c>
      <c r="AN91" s="7">
        <v>0</v>
      </c>
      <c r="AO91" s="7">
        <v>1</v>
      </c>
      <c r="AP91" s="70">
        <v>1</v>
      </c>
    </row>
    <row r="92" spans="1:42" ht="21" customHeight="1" x14ac:dyDescent="0.15">
      <c r="A92" s="16" t="str">
        <f t="shared" si="10"/>
        <v>39009_5-3/530&lt;lv80&gt;s2</v>
      </c>
      <c r="B92" s="22">
        <v>39009</v>
      </c>
      <c r="C92" s="21">
        <v>5</v>
      </c>
      <c r="D92" s="2" t="str">
        <f t="shared" si="11"/>
        <v>39009_5</v>
      </c>
      <c r="E92" s="4" t="str">
        <f ca="1">VLOOKUP($B92,OFFSET([2]quests!$A$1,0,0,COUNTA([2]quests!$A:$A),MATCH(E$1,[2]quests!$1:$1,0)-MATCH($B$1,[2]quests!$1:$1,0)+1),MATCH(E$1,[2]quests!$1:$1,0)-MATCH($B$1,[2]quests!$1:$1,0)+1,FALSE)</f>
        <v>星空の歌姫</v>
      </c>
      <c r="F92" s="4" t="str">
        <f ca="1">VLOOKUP($D92,OFFSET([2]stages!$A$1,0,0,COUNTA([2]stages!$A:$A),MATCH(F$1,[2]stages!$2:$2,0)-MATCH($D$1,[2]stages!$2:$2,0)+1),MATCH(F$1,[2]stages!$2:$2,0)-MATCH($D$1,[2]stages!$2:$2,0)+1,FALSE)</f>
        <v>【超絶級】星空の歌姫</v>
      </c>
      <c r="G92" s="21">
        <v>3</v>
      </c>
      <c r="H92" s="15" t="str">
        <f t="shared" si="12"/>
        <v>39009_5-3</v>
      </c>
      <c r="I92" s="4">
        <f ca="1">VLOOKUP($H92,OFFSET(floors!$A$1,0,0,COUNTA(floors!$A:$A),MATCH(I$1,floors!$1:$1,0)-MATCH($H$1,floors!$1:$1,0)+1),MATCH(I$1,floors!$1:$1,0)-MATCH($H$1,floors!$1:$1,0)+1,FALSE)</f>
        <v>60</v>
      </c>
      <c r="J92" s="4">
        <f ca="1">VLOOKUP($H92,OFFSET(floors!$A$1,0,0,COUNTA(floors!$A:$A),MATCH(J$1,floors!$1:$1,0)-MATCH($H$1,floors!$1:$1,0)+1),MATCH(J$1,floors!$1:$1,0)-MATCH($H$1,floors!$1:$1,0)+1,FALSE)</f>
        <v>60</v>
      </c>
      <c r="K92" s="38" t="s">
        <v>53</v>
      </c>
      <c r="L92" s="20">
        <v>530</v>
      </c>
      <c r="M92" s="17" t="str">
        <f ca="1">VLOOKUP($L92,OFFSET([3]enemies!$A$1,0,0,COUNTA([3]enemies!$A:$A),MATCH(M$1,[3]enemies!$1:$1,0)-MATCH($L$1,[3]enemies!$1:$1,0)+1),MATCH(M$1,[3]enemies!$1:$1,0)-MATCH($L$1,[3]enemies!$1:$1,0)+1,FALSE)</f>
        <v>冬服ジョー</v>
      </c>
      <c r="N92" s="17" t="str">
        <f ca="1">VLOOKUP($L92,OFFSET([3]enemies!$A$1,0,0,COUNTA([3]enemies!$A:$A),MATCH(N$1,[3]enemies!$1:$1,0)-MATCH($L$1,[3]enemies!$1:$1,0)+1),MATCH(N$1,[3]enemies!$1:$1,0)-MATCH($L$1,[3]enemies!$1:$1,0)+1,FALSE)</f>
        <v>green</v>
      </c>
      <c r="O92" s="17" t="str">
        <f ca="1">VLOOKUP($L92,OFFSET([4]characters!$A$1,0,0,COUNTA([4]characters!$A:$A),MATCH(O$1,[4]characters!$1:$1,0)-MATCH($L$1,[4]characters!$1:$1,0)+1),MATCH(O$1,[4]characters!$1:$1,0)-MATCH($L$1,[4]characters!$1:$1,0)+1,FALSE)</f>
        <v>Drop1T</v>
      </c>
      <c r="P92" s="17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17">
        <f ca="1">VLOOKUP($L92,OFFSET([3]enemies!$A$1,0,0,COUNTA([3]enemies!$A:$A),MATCH(Q$1,[3]enemies!$1:$1,0)-MATCH($L$1,[3]enemies!$1:$1,0)+1),MATCH(Q$1,[3]enemies!$1:$1,0)-MATCH($L$1,[3]enemies!$1:$1,0)+1,FALSE)</f>
        <v>15</v>
      </c>
      <c r="R92" s="5">
        <v>80</v>
      </c>
      <c r="S92" s="25">
        <v>3.2</v>
      </c>
      <c r="T92" s="98">
        <f ca="1">ROUND(VLOOKUP(R92,[3]enemy_base_stats!$A:$F,2,FALSE) *INDIRECT("[EnemyMasterData.xlsm]enemies!Y"&amp;(L92+1))*  INDIRECT("[EnemyMasterData.xlsm]enemies!J"&amp;(L92+1))* INDIRECT("[EnemyMasterData.xlsm]enemies!O"&amp;(L92+1))* INDIRECT("[EnemyMasterData.xlsm]enemies!E"&amp;(L92+1))* INDIRECT("[EnemyMasterData.xlsm]enemies!S"&amp;(L92+1))* INDIRECT("[EnemyMasterData.xlsm]enemies!AD"&amp;(L92+1))*[4]ステータス!$B$2,0)*S92</f>
        <v>53203.200000000004</v>
      </c>
      <c r="U92" s="25">
        <v>1.9</v>
      </c>
      <c r="V92" s="98">
        <f ca="1">ROUND(VLOOKUP(R92,[3]enemy_base_stats!$A:$F,3,FALSE) *INDIRECT("[EnemyMasterData.xlsm]enemies!Z"&amp;(L92+1))*  INDIRECT("[EnemyMasterData.xlsm]enemies!K"&amp;(L92+1))* INDIRECT("[EnemyMasterData.xlsm]enemies!P"&amp;(L92+1))* INDIRECT("[EnemyMasterData.xlsm]enemies!F"&amp;(L92+1))* INDIRECT("[EnemyMasterData.xlsm]enemies!T"&amp;(L92+1))* INDIRECT("[EnemyMasterData.xlsm]enemies!AE"&amp;(L92+1))*[4]ステータス!$C$2,0)*U92</f>
        <v>9104.7999999999993</v>
      </c>
      <c r="W92" s="5">
        <v>0</v>
      </c>
      <c r="X92" s="4" t="e">
        <f ca="1">VLOOKUP($Y92,OFFSET(enemy_skill_sets!$B$1,0,0,COUNTA(enemy_skill_sets!$B:$B),MATCH(M$1,enemy_skill_sets!$1:$1,0)-MATCH($Y$1,enemy_skill_sets!$1:$1,0)+2),MATCH(M$1,enemy_skill_sets!$1:$1,0)-MATCH($Y$1,enemy_skill_sets!$1:$1,0)+2,FALSE)</f>
        <v>#N/A</v>
      </c>
      <c r="Y92" s="62">
        <v>0</v>
      </c>
      <c r="Z92" s="6">
        <v>0</v>
      </c>
      <c r="AA92" s="6">
        <v>100</v>
      </c>
      <c r="AB92" s="6">
        <v>0</v>
      </c>
      <c r="AC92" s="100">
        <v>2</v>
      </c>
      <c r="AD92" s="24">
        <f t="shared" si="13"/>
        <v>530</v>
      </c>
      <c r="AE92" s="4" t="str">
        <f ca="1">VLOOKUP($AD92,OFFSET([4]characters!$A$1,0,0,COUNTA([4]characters!$A:$A),MATCH(AE$1,[4]characters!$1:$1,0)-MATCH("character_id",[4]characters!$1:$1,0)+1),MATCH(AE$1,[4]characters!$1:$1,0)-MATCH("character_id",[4]characters!$1:$1,0)+1,FALSE)</f>
        <v>冬服ジョー</v>
      </c>
      <c r="AF92" s="4">
        <f ca="1">VLOOKUP($AD92,OFFSET([4]characters!$A$1,0,0,COUNTA([4]characters!$A:$A),MATCH(AF$1,[4]characters!$1:$1,0)-MATCH("character_id",[4]characters!$1:$1,0)+1),MATCH(AF$1,[4]characters!$1:$1,0)-MATCH("character_id",[4]characters!$1:$1,0)+1,FALSE)</f>
        <v>1</v>
      </c>
      <c r="AG92" s="4" t="str">
        <f ca="1">VLOOKUP($AD92,OFFSET([4]characters!$A$1,0,0,COUNTA([4]characters!$A:$A),MATCH(AG$1,[4]characters!$1:$1,0)-MATCH("character_id",[4]characters!$1:$1,0)+1),MATCH(AG$1,[4]characters!$1:$1,0)-MATCH("character_id",[4]characters!$1:$1,0)+1,FALSE)</f>
        <v>Drop1T</v>
      </c>
      <c r="AH92" s="7">
        <v>1</v>
      </c>
      <c r="AI92" s="24">
        <f t="shared" ca="1" si="14"/>
        <v>1</v>
      </c>
      <c r="AJ92" s="8">
        <v>0</v>
      </c>
      <c r="AK92" s="7">
        <v>0</v>
      </c>
      <c r="AL92" s="7">
        <v>0</v>
      </c>
      <c r="AM92" s="7">
        <v>0</v>
      </c>
      <c r="AN92" s="7">
        <v>0</v>
      </c>
      <c r="AO92" s="7">
        <v>1</v>
      </c>
      <c r="AP92" s="70">
        <v>1</v>
      </c>
    </row>
    <row r="93" spans="1:42" ht="21" customHeight="1" x14ac:dyDescent="0.15">
      <c r="A93" s="16" t="str">
        <f t="shared" si="10"/>
        <v>39009_5-3/531&lt;lv80&gt;s3</v>
      </c>
      <c r="B93" s="22">
        <v>39009</v>
      </c>
      <c r="C93" s="21">
        <v>5</v>
      </c>
      <c r="D93" s="2" t="str">
        <f t="shared" si="11"/>
        <v>39009_5</v>
      </c>
      <c r="E93" s="4" t="str">
        <f ca="1">VLOOKUP($B93,OFFSET([2]quests!$A$1,0,0,COUNTA([2]quests!$A:$A),MATCH(E$1,[2]quests!$1:$1,0)-MATCH($B$1,[2]quests!$1:$1,0)+1),MATCH(E$1,[2]quests!$1:$1,0)-MATCH($B$1,[2]quests!$1:$1,0)+1,FALSE)</f>
        <v>星空の歌姫</v>
      </c>
      <c r="F93" s="4" t="str">
        <f ca="1">VLOOKUP($D93,OFFSET([2]stages!$A$1,0,0,COUNTA([2]stages!$A:$A),MATCH(F$1,[2]stages!$2:$2,0)-MATCH($D$1,[2]stages!$2:$2,0)+1),MATCH(F$1,[2]stages!$2:$2,0)-MATCH($D$1,[2]stages!$2:$2,0)+1,FALSE)</f>
        <v>【超絶級】星空の歌姫</v>
      </c>
      <c r="G93" s="21">
        <v>3</v>
      </c>
      <c r="H93" s="15" t="str">
        <f t="shared" si="12"/>
        <v>39009_5-3</v>
      </c>
      <c r="I93" s="4">
        <f ca="1">VLOOKUP($H93,OFFSET(floors!$A$1,0,0,COUNTA(floors!$A:$A),MATCH(I$1,floors!$1:$1,0)-MATCH($H$1,floors!$1:$1,0)+1),MATCH(I$1,floors!$1:$1,0)-MATCH($H$1,floors!$1:$1,0)+1,FALSE)</f>
        <v>60</v>
      </c>
      <c r="J93" s="4">
        <f ca="1">VLOOKUP($H93,OFFSET(floors!$A$1,0,0,COUNTA(floors!$A:$A),MATCH(J$1,floors!$1:$1,0)-MATCH($H$1,floors!$1:$1,0)+1),MATCH(J$1,floors!$1:$1,0)-MATCH($H$1,floors!$1:$1,0)+1,FALSE)</f>
        <v>60</v>
      </c>
      <c r="K93" s="38" t="s">
        <v>53</v>
      </c>
      <c r="L93" s="20">
        <v>531</v>
      </c>
      <c r="M93" s="17" t="str">
        <f ca="1">VLOOKUP($L93,OFFSET([3]enemies!$A$1,0,0,COUNTA([3]enemies!$A:$A),MATCH(M$1,[3]enemies!$1:$1,0)-MATCH($L$1,[3]enemies!$1:$1,0)+1),MATCH(M$1,[3]enemies!$1:$1,0)-MATCH($L$1,[3]enemies!$1:$1,0)+1,FALSE)</f>
        <v>冬服ポチ</v>
      </c>
      <c r="N93" s="17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17" t="str">
        <f ca="1">VLOOKUP($L93,OFFSET([4]characters!$A$1,0,0,COUNTA([4]characters!$A:$A),MATCH(O$1,[4]characters!$1:$1,0)-MATCH($L$1,[4]characters!$1:$1,0)+1),MATCH(O$1,[4]characters!$1:$1,0)-MATCH($L$1,[4]characters!$1:$1,0)+1,FALSE)</f>
        <v>Drop1T</v>
      </c>
      <c r="P93" s="17" t="str">
        <f ca="1">VLOOKUP($L93,OFFSET([3]enemies!$A$1,0,0,COUNTA([3]enemies!$A:$A),MATCH(P$1,[3]enemies!$1:$1,0)-MATCH($L$1,[3]enemies!$1:$1,0)+1),MATCH(P$1,[3]enemies!$1:$1,0)-MATCH($L$1,[3]enemies!$1:$1,0)+1,FALSE)</f>
        <v>unknown</v>
      </c>
      <c r="Q93" s="17">
        <f ca="1">VLOOKUP($L93,OFFSET([3]enemies!$A$1,0,0,COUNTA([3]enemies!$A:$A),MATCH(Q$1,[3]enemies!$1:$1,0)-MATCH($L$1,[3]enemies!$1:$1,0)+1),MATCH(Q$1,[3]enemies!$1:$1,0)-MATCH($L$1,[3]enemies!$1:$1,0)+1,FALSE)</f>
        <v>15</v>
      </c>
      <c r="R93" s="5">
        <v>80</v>
      </c>
      <c r="S93" s="25">
        <v>2.2000000000000002</v>
      </c>
      <c r="T93" s="98">
        <f ca="1">ROUND(VLOOKUP(R93,[3]enemy_base_stats!$A:$F,2,FALSE) *INDIRECT("[EnemyMasterData.xlsm]enemies!Y"&amp;(L93+1))*  INDIRECT("[EnemyMasterData.xlsm]enemies!J"&amp;(L93+1))* INDIRECT("[EnemyMasterData.xlsm]enemies!O"&amp;(L93+1))* INDIRECT("[EnemyMasterData.xlsm]enemies!E"&amp;(L93+1))* INDIRECT("[EnemyMasterData.xlsm]enemies!S"&amp;(L93+1))* INDIRECT("[EnemyMasterData.xlsm]enemies!AD"&amp;(L93+1))*[4]ステータス!$B$2,0)*S93</f>
        <v>28688.000000000004</v>
      </c>
      <c r="U93" s="25">
        <v>1.7</v>
      </c>
      <c r="V93" s="98">
        <f ca="1">ROUND(VLOOKUP(R93,[3]enemy_base_stats!$A:$F,3,FALSE) *INDIRECT("[EnemyMasterData.xlsm]enemies!Z"&amp;(L93+1))*  INDIRECT("[EnemyMasterData.xlsm]enemies!K"&amp;(L93+1))* INDIRECT("[EnemyMasterData.xlsm]enemies!P"&amp;(L93+1))* INDIRECT("[EnemyMasterData.xlsm]enemies!F"&amp;(L93+1))* INDIRECT("[EnemyMasterData.xlsm]enemies!T"&amp;(L93+1))* INDIRECT("[EnemyMasterData.xlsm]enemies!AE"&amp;(L93+1))*[4]ステータス!$C$2,0)*U93</f>
        <v>6354.5999999999995</v>
      </c>
      <c r="W93" s="5">
        <v>0</v>
      </c>
      <c r="X93" s="4" t="e">
        <f ca="1">VLOOKUP($Y93,OFFSET(enemy_skill_sets!$B$1,0,0,COUNTA(enemy_skill_sets!$B:$B),MATCH(M$1,enemy_skill_sets!$1:$1,0)-MATCH($Y$1,enemy_skill_sets!$1:$1,0)+2),MATCH(M$1,enemy_skill_sets!$1:$1,0)-MATCH($Y$1,enemy_skill_sets!$1:$1,0)+2,FALSE)</f>
        <v>#N/A</v>
      </c>
      <c r="Y93" s="62">
        <v>0</v>
      </c>
      <c r="Z93" s="6">
        <v>0</v>
      </c>
      <c r="AA93" s="6">
        <v>100</v>
      </c>
      <c r="AB93" s="6">
        <v>0</v>
      </c>
      <c r="AC93" s="100">
        <v>3</v>
      </c>
      <c r="AD93" s="24">
        <f t="shared" si="13"/>
        <v>531</v>
      </c>
      <c r="AE93" s="4" t="str">
        <f ca="1">VLOOKUP($AD93,OFFSET([4]characters!$A$1,0,0,COUNTA([4]characters!$A:$A),MATCH(AE$1,[4]characters!$1:$1,0)-MATCH("character_id",[4]characters!$1:$1,0)+1),MATCH(AE$1,[4]characters!$1:$1,0)-MATCH("character_id",[4]characters!$1:$1,0)+1,FALSE)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93" s="4">
        <f ca="1">VLOOKUP($AD93,OFFSET([4]characters!$A$1,0,0,COUNTA([4]characters!$A:$A),MATCH(AF$1,[4]characters!$1:$1,0)-MATCH("character_id",[4]characters!$1:$1,0)+1),MATCH(AF$1,[4]characters!$1:$1,0)-MATCH("character_id",[4]characters!$1:$1,0)+1,FALSE)</f>
        <v>1</v>
      </c>
      <c r="AG93" s="4" t="str">
        <f ca="1">VLOOKUP($AD93,OFFSET([4]characters!$A$1,0,0,COUNTA([4]characters!$A:$A),MATCH(AG$1,[4]characters!$1:$1,0)-MATCH("character_id",[4]characters!$1:$1,0)+1),MATCH(AG$1,[4]characters!$1:$1,0)-MATCH("character_id",[4]characters!$1:$1,0)+1,FALSE)</f>
        <v>Drop1T</v>
      </c>
      <c r="AH93" s="7">
        <v>1</v>
      </c>
      <c r="AI93" s="24">
        <f t="shared" ca="1" si="14"/>
        <v>1</v>
      </c>
      <c r="AJ93" s="8">
        <v>0</v>
      </c>
      <c r="AK93" s="7">
        <v>0</v>
      </c>
      <c r="AL93" s="7">
        <v>0</v>
      </c>
      <c r="AM93" s="7">
        <v>0</v>
      </c>
      <c r="AN93" s="7">
        <v>0</v>
      </c>
      <c r="AO93" s="7">
        <v>1</v>
      </c>
      <c r="AP93" s="70">
        <v>1</v>
      </c>
    </row>
    <row r="94" spans="1:42" ht="21" customHeight="1" x14ac:dyDescent="0.15">
      <c r="A94" s="16" t="str">
        <f t="shared" si="10"/>
        <v>39009_5-3/532&lt;lv80&gt;s2</v>
      </c>
      <c r="B94" s="22">
        <v>39009</v>
      </c>
      <c r="C94" s="21">
        <v>5</v>
      </c>
      <c r="D94" s="2" t="str">
        <f t="shared" si="11"/>
        <v>39009_5</v>
      </c>
      <c r="E94" s="4" t="str">
        <f ca="1">VLOOKUP($B94,OFFSET([2]quests!$A$1,0,0,COUNTA([2]quests!$A:$A),MATCH(E$1,[2]quests!$1:$1,0)-MATCH($B$1,[2]quests!$1:$1,0)+1),MATCH(E$1,[2]quests!$1:$1,0)-MATCH($B$1,[2]quests!$1:$1,0)+1,FALSE)</f>
        <v>星空の歌姫</v>
      </c>
      <c r="F94" s="4" t="str">
        <f ca="1">VLOOKUP($D94,OFFSET([2]stages!$A$1,0,0,COUNTA([2]stages!$A:$A),MATCH(F$1,[2]stages!$2:$2,0)-MATCH($D$1,[2]stages!$2:$2,0)+1),MATCH(F$1,[2]stages!$2:$2,0)-MATCH($D$1,[2]stages!$2:$2,0)+1,FALSE)</f>
        <v>【超絶級】星空の歌姫</v>
      </c>
      <c r="G94" s="21">
        <v>3</v>
      </c>
      <c r="H94" s="15" t="str">
        <f t="shared" si="12"/>
        <v>39009_5-3</v>
      </c>
      <c r="I94" s="4">
        <f ca="1">VLOOKUP($H94,OFFSET(floors!$A$1,0,0,COUNTA(floors!$A:$A),MATCH(I$1,floors!$1:$1,0)-MATCH($H$1,floors!$1:$1,0)+1),MATCH(I$1,floors!$1:$1,0)-MATCH($H$1,floors!$1:$1,0)+1,FALSE)</f>
        <v>60</v>
      </c>
      <c r="J94" s="4">
        <f ca="1">VLOOKUP($H94,OFFSET(floors!$A$1,0,0,COUNTA(floors!$A:$A),MATCH(J$1,floors!$1:$1,0)-MATCH($H$1,floors!$1:$1,0)+1),MATCH(J$1,floors!$1:$1,0)-MATCH($H$1,floors!$1:$1,0)+1,FALSE)</f>
        <v>60</v>
      </c>
      <c r="K94" s="38" t="s">
        <v>53</v>
      </c>
      <c r="L94" s="20">
        <v>532</v>
      </c>
      <c r="M94" s="17" t="str">
        <f ca="1">VLOOKUP($L94,OFFSET([3]enemies!$A$1,0,0,COUNTA([3]enemies!$A:$A),MATCH(M$1,[3]enemies!$1:$1,0)-MATCH($L$1,[3]enemies!$1:$1,0)+1),MATCH(M$1,[3]enemies!$1:$1,0)-MATCH($L$1,[3]enemies!$1:$1,0)+1,FALSE)</f>
        <v>冬服エレキポット</v>
      </c>
      <c r="N94" s="17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17" t="str">
        <f ca="1">VLOOKUP($L94,OFFSET([4]characters!$A$1,0,0,COUNTA([4]characters!$A:$A),MATCH(O$1,[4]characters!$1:$1,0)-MATCH($L$1,[4]characters!$1:$1,0)+1),MATCH(O$1,[4]characters!$1:$1,0)-MATCH($L$1,[4]characters!$1:$1,0)+1,FALSE)</f>
        <v>Drop1T</v>
      </c>
      <c r="P94" s="17" t="str">
        <f ca="1">VLOOKUP($L94,OFFSET([3]enemies!$A$1,0,0,COUNTA([3]enemies!$A:$A),MATCH(P$1,[3]enemies!$1:$1,0)-MATCH($L$1,[3]enemies!$1:$1,0)+1),MATCH(P$1,[3]enemies!$1:$1,0)-MATCH($L$1,[3]enemies!$1:$1,0)+1,FALSE)</f>
        <v>unknown</v>
      </c>
      <c r="Q94" s="17">
        <f ca="1">VLOOKUP($L94,OFFSET([3]enemies!$A$1,0,0,COUNTA([3]enemies!$A:$A),MATCH(Q$1,[3]enemies!$1:$1,0)-MATCH($L$1,[3]enemies!$1:$1,0)+1),MATCH(Q$1,[3]enemies!$1:$1,0)-MATCH($L$1,[3]enemies!$1:$1,0)+1,FALSE)</f>
        <v>15</v>
      </c>
      <c r="R94" s="5">
        <v>80</v>
      </c>
      <c r="S94" s="25">
        <v>2.6</v>
      </c>
      <c r="T94" s="98">
        <f ca="1">ROUND(VLOOKUP(R94,[3]enemy_base_stats!$A:$F,2,FALSE) *INDIRECT("[EnemyMasterData.xlsm]enemies!Y"&amp;(L94+1))*  INDIRECT("[EnemyMasterData.xlsm]enemies!J"&amp;(L94+1))* INDIRECT("[EnemyMasterData.xlsm]enemies!O"&amp;(L94+1))* INDIRECT("[EnemyMasterData.xlsm]enemies!E"&amp;(L94+1))* INDIRECT("[EnemyMasterData.xlsm]enemies!S"&amp;(L94+1))* INDIRECT("[EnemyMasterData.xlsm]enemies!AD"&amp;(L94+1))*[4]ステータス!$B$2,0)*S94</f>
        <v>41532.400000000001</v>
      </c>
      <c r="U94" s="25">
        <v>1.1000000000000001</v>
      </c>
      <c r="V94" s="98">
        <f ca="1">ROUND(VLOOKUP(R94,[3]enemy_base_stats!$A:$F,3,FALSE) *INDIRECT("[EnemyMasterData.xlsm]enemies!Z"&amp;(L94+1))*  INDIRECT("[EnemyMasterData.xlsm]enemies!K"&amp;(L94+1))* INDIRECT("[EnemyMasterData.xlsm]enemies!P"&amp;(L94+1))* INDIRECT("[EnemyMasterData.xlsm]enemies!F"&amp;(L94+1))* INDIRECT("[EnemyMasterData.xlsm]enemies!T"&amp;(L94+1))* INDIRECT("[EnemyMasterData.xlsm]enemies!AE"&amp;(L94+1))*[4]ステータス!$C$2,0)*U94</f>
        <v>7225.9000000000005</v>
      </c>
      <c r="W94" s="5">
        <v>0</v>
      </c>
      <c r="X94" s="4" t="e">
        <f ca="1">VLOOKUP($Y94,OFFSET(enemy_skill_sets!$B$1,0,0,COUNTA(enemy_skill_sets!$B:$B),MATCH(M$1,enemy_skill_sets!$1:$1,0)-MATCH($Y$1,enemy_skill_sets!$1:$1,0)+2),MATCH(M$1,enemy_skill_sets!$1:$1,0)-MATCH($Y$1,enemy_skill_sets!$1:$1,0)+2,FALSE)</f>
        <v>#N/A</v>
      </c>
      <c r="Y94" s="62">
        <v>0</v>
      </c>
      <c r="Z94" s="6">
        <v>0</v>
      </c>
      <c r="AA94" s="6">
        <v>100</v>
      </c>
      <c r="AB94" s="6">
        <v>0</v>
      </c>
      <c r="AC94" s="100">
        <v>2</v>
      </c>
      <c r="AD94" s="24">
        <f t="shared" si="13"/>
        <v>532</v>
      </c>
      <c r="AE94" s="4" t="str">
        <f ca="1">VLOOKUP($AD94,OFFSET([4]characters!$A$1,0,0,COUNTA([4]characters!$A:$A),MATCH(AE$1,[4]characters!$1:$1,0)-MATCH("character_id",[4]characters!$1:$1,0)+1),MATCH(AE$1,[4]characters!$1:$1,0)-MATCH("character_id",[4]characters!$1:$1,0)+1,FALSE)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94" s="4">
        <f ca="1">VLOOKUP($AD94,OFFSET([4]characters!$A$1,0,0,COUNTA([4]characters!$A:$A),MATCH(AF$1,[4]characters!$1:$1,0)-MATCH("character_id",[4]characters!$1:$1,0)+1),MATCH(AF$1,[4]characters!$1:$1,0)-MATCH("character_id",[4]characters!$1:$1,0)+1,FALSE)</f>
        <v>1</v>
      </c>
      <c r="AG94" s="4" t="str">
        <f ca="1">VLOOKUP($AD94,OFFSET([4]characters!$A$1,0,0,COUNTA([4]characters!$A:$A),MATCH(AG$1,[4]characters!$1:$1,0)-MATCH("character_id",[4]characters!$1:$1,0)+1),MATCH(AG$1,[4]characters!$1:$1,0)-MATCH("character_id",[4]characters!$1:$1,0)+1,FALSE)</f>
        <v>Drop1T</v>
      </c>
      <c r="AH94" s="7">
        <v>1</v>
      </c>
      <c r="AI94" s="24">
        <f t="shared" ca="1" si="14"/>
        <v>1</v>
      </c>
      <c r="AJ94" s="8">
        <v>0</v>
      </c>
      <c r="AK94" s="7">
        <v>0</v>
      </c>
      <c r="AL94" s="7">
        <v>0</v>
      </c>
      <c r="AM94" s="7">
        <v>0</v>
      </c>
      <c r="AN94" s="7">
        <v>0</v>
      </c>
      <c r="AO94" s="7">
        <v>1</v>
      </c>
      <c r="AP94" s="70">
        <v>1</v>
      </c>
    </row>
    <row r="95" spans="1:42" ht="21" customHeight="1" x14ac:dyDescent="0.15">
      <c r="A95" s="16" t="str">
        <f t="shared" si="10"/>
        <v>39009_5-3/533&lt;lv80&gt;s3</v>
      </c>
      <c r="B95" s="22">
        <v>39009</v>
      </c>
      <c r="C95" s="21">
        <v>5</v>
      </c>
      <c r="D95" s="2" t="str">
        <f t="shared" si="11"/>
        <v>39009_5</v>
      </c>
      <c r="E95" s="4" t="str">
        <f ca="1">VLOOKUP($B95,OFFSET([2]quests!$A$1,0,0,COUNTA([2]quests!$A:$A),MATCH(E$1,[2]quests!$1:$1,0)-MATCH($B$1,[2]quests!$1:$1,0)+1),MATCH(E$1,[2]quests!$1:$1,0)-MATCH($B$1,[2]quests!$1:$1,0)+1,FALSE)</f>
        <v>星空の歌姫</v>
      </c>
      <c r="F95" s="4" t="str">
        <f ca="1">VLOOKUP($D95,OFFSET([2]stages!$A$1,0,0,COUNTA([2]stages!$A:$A),MATCH(F$1,[2]stages!$2:$2,0)-MATCH($D$1,[2]stages!$2:$2,0)+1),MATCH(F$1,[2]stages!$2:$2,0)-MATCH($D$1,[2]stages!$2:$2,0)+1,FALSE)</f>
        <v>【超絶級】星空の歌姫</v>
      </c>
      <c r="G95" s="21">
        <v>3</v>
      </c>
      <c r="H95" s="15" t="str">
        <f t="shared" si="12"/>
        <v>39009_5-3</v>
      </c>
      <c r="I95" s="4">
        <f ca="1">VLOOKUP($H95,OFFSET(floors!$A$1,0,0,COUNTA(floors!$A:$A),MATCH(I$1,floors!$1:$1,0)-MATCH($H$1,floors!$1:$1,0)+1),MATCH(I$1,floors!$1:$1,0)-MATCH($H$1,floors!$1:$1,0)+1,FALSE)</f>
        <v>60</v>
      </c>
      <c r="J95" s="4">
        <f ca="1">VLOOKUP($H95,OFFSET(floors!$A$1,0,0,COUNTA(floors!$A:$A),MATCH(J$1,floors!$1:$1,0)-MATCH($H$1,floors!$1:$1,0)+1),MATCH(J$1,floors!$1:$1,0)-MATCH($H$1,floors!$1:$1,0)+1,FALSE)</f>
        <v>60</v>
      </c>
      <c r="K95" s="38" t="s">
        <v>53</v>
      </c>
      <c r="L95" s="20">
        <v>533</v>
      </c>
      <c r="M95" s="17" t="str">
        <f ca="1">VLOOKUP($L95,OFFSET([3]enemies!$A$1,0,0,COUNTA([3]enemies!$A:$A),MATCH(M$1,[3]enemies!$1:$1,0)-MATCH($L$1,[3]enemies!$1:$1,0)+1),MATCH(M$1,[3]enemies!$1:$1,0)-MATCH($L$1,[3]enemies!$1:$1,0)+1,FALSE)</f>
        <v>冬服アカネ</v>
      </c>
      <c r="N95" s="17" t="str">
        <f ca="1">VLOOKUP($L95,OFFSET([3]enemies!$A$1,0,0,COUNTA([3]enemies!$A:$A),MATCH(N$1,[3]enemies!$1:$1,0)-MATCH($L$1,[3]enemies!$1:$1,0)+1),MATCH(N$1,[3]enemies!$1:$1,0)-MATCH($L$1,[3]enemies!$1:$1,0)+1,FALSE)</f>
        <v>red</v>
      </c>
      <c r="O95" s="17" t="str">
        <f ca="1">VLOOKUP($L95,OFFSET([4]characters!$A$1,0,0,COUNTA([4]characters!$A:$A),MATCH(O$1,[4]characters!$1:$1,0)-MATCH($L$1,[4]characters!$1:$1,0)+1),MATCH(O$1,[4]characters!$1:$1,0)-MATCH($L$1,[4]characters!$1:$1,0)+1,FALSE)</f>
        <v>Drop1W</v>
      </c>
      <c r="P95" s="17" t="str">
        <f ca="1">VLOOKUP($L95,OFFSET([3]enemies!$A$1,0,0,COUNTA([3]enemies!$A:$A),MATCH(P$1,[3]enemies!$1:$1,0)-MATCH($L$1,[3]enemies!$1:$1,0)+1),MATCH(P$1,[3]enemies!$1:$1,0)-MATCH($L$1,[3]enemies!$1:$1,0)+1,FALSE)</f>
        <v>human</v>
      </c>
      <c r="Q95" s="17">
        <f ca="1">VLOOKUP($L95,OFFSET([3]enemies!$A$1,0,0,COUNTA([3]enemies!$A:$A),MATCH(Q$1,[3]enemies!$1:$1,0)-MATCH($L$1,[3]enemies!$1:$1,0)+1),MATCH(Q$1,[3]enemies!$1:$1,0)-MATCH($L$1,[3]enemies!$1:$1,0)+1,FALSE)</f>
        <v>15</v>
      </c>
      <c r="R95" s="5">
        <v>80</v>
      </c>
      <c r="S95" s="25">
        <v>2.7</v>
      </c>
      <c r="T95" s="98">
        <f ca="1">ROUND(VLOOKUP(R95,[3]enemy_base_stats!$A:$F,2,FALSE) *INDIRECT("[EnemyMasterData.xlsm]enemies!Y"&amp;(L95+1))*  INDIRECT("[EnemyMasterData.xlsm]enemies!J"&amp;(L95+1))* INDIRECT("[EnemyMasterData.xlsm]enemies!O"&amp;(L95+1))* INDIRECT("[EnemyMasterData.xlsm]enemies!E"&amp;(L95+1))* INDIRECT("[EnemyMasterData.xlsm]enemies!S"&amp;(L95+1))* INDIRECT("[EnemyMasterData.xlsm]enemies!AD"&amp;(L95+1))*[4]ステータス!$B$2,0)*S95</f>
        <v>41369.4</v>
      </c>
      <c r="U95" s="25">
        <v>1.9</v>
      </c>
      <c r="V95" s="98">
        <f ca="1">ROUND(VLOOKUP(R95,[3]enemy_base_stats!$A:$F,3,FALSE) *INDIRECT("[EnemyMasterData.xlsm]enemies!Z"&amp;(L95+1))*  INDIRECT("[EnemyMasterData.xlsm]enemies!K"&amp;(L95+1))* INDIRECT("[EnemyMasterData.xlsm]enemies!P"&amp;(L95+1))* INDIRECT("[EnemyMasterData.xlsm]enemies!F"&amp;(L95+1))* INDIRECT("[EnemyMasterData.xlsm]enemies!T"&amp;(L95+1))* INDIRECT("[EnemyMasterData.xlsm]enemies!AE"&amp;(L95+1))*[4]ステータス!$C$2,0)*U95</f>
        <v>9382.1999999999989</v>
      </c>
      <c r="W95" s="5">
        <v>0</v>
      </c>
      <c r="X95" s="4" t="e">
        <f ca="1">VLOOKUP($Y95,OFFSET(enemy_skill_sets!$B$1,0,0,COUNTA(enemy_skill_sets!$B:$B),MATCH(M$1,enemy_skill_sets!$1:$1,0)-MATCH($Y$1,enemy_skill_sets!$1:$1,0)+2),MATCH(M$1,enemy_skill_sets!$1:$1,0)-MATCH($Y$1,enemy_skill_sets!$1:$1,0)+2,FALSE)</f>
        <v>#N/A</v>
      </c>
      <c r="Y95" s="62">
        <v>0</v>
      </c>
      <c r="Z95" s="6">
        <v>0</v>
      </c>
      <c r="AA95" s="6">
        <v>100</v>
      </c>
      <c r="AB95" s="6">
        <v>0</v>
      </c>
      <c r="AC95" s="100">
        <v>3</v>
      </c>
      <c r="AD95" s="24">
        <f t="shared" si="13"/>
        <v>533</v>
      </c>
      <c r="AE95" s="4" t="str">
        <f ca="1">VLOOKUP($AD95,OFFSET([4]characters!$A$1,0,0,COUNTA([4]characters!$A:$A),MATCH(AE$1,[4]characters!$1:$1,0)-MATCH("character_id",[4]characters!$1:$1,0)+1),MATCH(AE$1,[4]characters!$1:$1,0)-MATCH("character_id",[4]characters!$1:$1,0)+1,FALSE)</f>
        <v>冬服アカネ</v>
      </c>
      <c r="AF95" s="4">
        <f ca="1">VLOOKUP($AD95,OFFSET([4]characters!$A$1,0,0,COUNTA([4]characters!$A:$A),MATCH(AF$1,[4]characters!$1:$1,0)-MATCH("character_id",[4]characters!$1:$1,0)+1),MATCH(AF$1,[4]characters!$1:$1,0)-MATCH("character_id",[4]characters!$1:$1,0)+1,FALSE)</f>
        <v>1</v>
      </c>
      <c r="AG95" s="4" t="str">
        <f ca="1">VLOOKUP($AD95,OFFSET([4]characters!$A$1,0,0,COUNTA([4]characters!$A:$A),MATCH(AG$1,[4]characters!$1:$1,0)-MATCH("character_id",[4]characters!$1:$1,0)+1),MATCH(AG$1,[4]characters!$1:$1,0)-MATCH("character_id",[4]characters!$1:$1,0)+1,FALSE)</f>
        <v>Drop1W</v>
      </c>
      <c r="AH95" s="7">
        <v>1</v>
      </c>
      <c r="AI95" s="24">
        <f t="shared" ca="1" si="14"/>
        <v>1</v>
      </c>
      <c r="AJ95" s="8">
        <v>0</v>
      </c>
      <c r="AK95" s="7">
        <v>0</v>
      </c>
      <c r="AL95" s="7">
        <v>0</v>
      </c>
      <c r="AM95" s="7">
        <v>0</v>
      </c>
      <c r="AN95" s="7">
        <v>0</v>
      </c>
      <c r="AO95" s="7">
        <v>1</v>
      </c>
      <c r="AP95" s="70">
        <v>1</v>
      </c>
    </row>
    <row r="96" spans="1:42" ht="21" customHeight="1" x14ac:dyDescent="0.15">
      <c r="A96" s="16" t="str">
        <f t="shared" si="10"/>
        <v>39009_5-3/534&lt;lv80&gt;s1</v>
      </c>
      <c r="B96" s="22">
        <v>39009</v>
      </c>
      <c r="C96" s="21">
        <v>5</v>
      </c>
      <c r="D96" s="2" t="str">
        <f t="shared" si="11"/>
        <v>39009_5</v>
      </c>
      <c r="E96" s="4" t="str">
        <f ca="1">VLOOKUP($B96,OFFSET([2]quests!$A$1,0,0,COUNTA([2]quests!$A:$A),MATCH(E$1,[2]quests!$1:$1,0)-MATCH($B$1,[2]quests!$1:$1,0)+1),MATCH(E$1,[2]quests!$1:$1,0)-MATCH($B$1,[2]quests!$1:$1,0)+1,FALSE)</f>
        <v>星空の歌姫</v>
      </c>
      <c r="F96" s="4" t="str">
        <f ca="1">VLOOKUP($D96,OFFSET([2]stages!$A$1,0,0,COUNTA([2]stages!$A:$A),MATCH(F$1,[2]stages!$2:$2,0)-MATCH($D$1,[2]stages!$2:$2,0)+1),MATCH(F$1,[2]stages!$2:$2,0)-MATCH($D$1,[2]stages!$2:$2,0)+1,FALSE)</f>
        <v>【超絶級】星空の歌姫</v>
      </c>
      <c r="G96" s="21">
        <v>3</v>
      </c>
      <c r="H96" s="15" t="str">
        <f t="shared" si="12"/>
        <v>39009_5-3</v>
      </c>
      <c r="I96" s="4">
        <f ca="1">VLOOKUP($H96,OFFSET(floors!$A$1,0,0,COUNTA(floors!$A:$A),MATCH(I$1,floors!$1:$1,0)-MATCH($H$1,floors!$1:$1,0)+1),MATCH(I$1,floors!$1:$1,0)-MATCH($H$1,floors!$1:$1,0)+1,FALSE)</f>
        <v>60</v>
      </c>
      <c r="J96" s="4">
        <f ca="1">VLOOKUP($H96,OFFSET(floors!$A$1,0,0,COUNTA(floors!$A:$A),MATCH(J$1,floors!$1:$1,0)-MATCH($H$1,floors!$1:$1,0)+1),MATCH(J$1,floors!$1:$1,0)-MATCH($H$1,floors!$1:$1,0)+1,FALSE)</f>
        <v>60</v>
      </c>
      <c r="K96" s="38" t="s">
        <v>53</v>
      </c>
      <c r="L96" s="20">
        <v>534</v>
      </c>
      <c r="M96" s="17" t="str">
        <f ca="1">VLOOKUP($L96,OFFSET([3]enemies!$A$1,0,0,COUNTA([3]enemies!$A:$A),MATCH(M$1,[3]enemies!$1:$1,0)-MATCH($L$1,[3]enemies!$1:$1,0)+1),MATCH(M$1,[3]enemies!$1:$1,0)-MATCH($L$1,[3]enemies!$1:$1,0)+1,FALSE)</f>
        <v>冬服パトライン</v>
      </c>
      <c r="N96" s="17" t="str">
        <f ca="1">VLOOKUP($L96,OFFSET([3]enemies!$A$1,0,0,COUNTA([3]enemies!$A:$A),MATCH(N$1,[3]enemies!$1:$1,0)-MATCH($L$1,[3]enemies!$1:$1,0)+1),MATCH(N$1,[3]enemies!$1:$1,0)-MATCH($L$1,[3]enemies!$1:$1,0)+1,FALSE)</f>
        <v>green</v>
      </c>
      <c r="O96" s="17" t="str">
        <f ca="1">VLOOKUP($L96,OFFSET([4]characters!$A$1,0,0,COUNTA([4]characters!$A:$A),MATCH(O$1,[4]characters!$1:$1,0)-MATCH($L$1,[4]characters!$1:$1,0)+1),MATCH(O$1,[4]characters!$1:$1,0)-MATCH($L$1,[4]characters!$1:$1,0)+1,FALSE)</f>
        <v>Drop1W</v>
      </c>
      <c r="P96" s="17" t="str">
        <f ca="1">VLOOKUP($L96,OFFSET([3]enemies!$A$1,0,0,COUNTA([3]enemies!$A:$A),MATCH(P$1,[3]enemies!$1:$1,0)-MATCH($L$1,[3]enemies!$1:$1,0)+1),MATCH(P$1,[3]enemies!$1:$1,0)-MATCH($L$1,[3]enemies!$1:$1,0)+1,FALSE)</f>
        <v>machine</v>
      </c>
      <c r="Q96" s="17">
        <f ca="1">VLOOKUP($L96,OFFSET([3]enemies!$A$1,0,0,COUNTA([3]enemies!$A:$A),MATCH(Q$1,[3]enemies!$1:$1,0)-MATCH($L$1,[3]enemies!$1:$1,0)+1),MATCH(Q$1,[3]enemies!$1:$1,0)-MATCH($L$1,[3]enemies!$1:$1,0)+1,FALSE)</f>
        <v>15</v>
      </c>
      <c r="R96" s="5">
        <v>80</v>
      </c>
      <c r="S96" s="25">
        <v>4</v>
      </c>
      <c r="T96" s="98">
        <f ca="1">ROUND(VLOOKUP(R96,[3]enemy_base_stats!$A:$F,2,FALSE) *INDIRECT("[EnemyMasterData.xlsm]enemies!Y"&amp;(L96+1))*  INDIRECT("[EnemyMasterData.xlsm]enemies!J"&amp;(L96+1))* INDIRECT("[EnemyMasterData.xlsm]enemies!O"&amp;(L96+1))* INDIRECT("[EnemyMasterData.xlsm]enemies!E"&amp;(L96+1))* INDIRECT("[EnemyMasterData.xlsm]enemies!S"&amp;(L96+1))* INDIRECT("[EnemyMasterData.xlsm]enemies!AD"&amp;(L96+1))*[4]ステータス!$B$2,0)*S96</f>
        <v>53204</v>
      </c>
      <c r="U96" s="25">
        <v>1.7</v>
      </c>
      <c r="V96" s="98">
        <f ca="1">ROUND(VLOOKUP(R96,[3]enemy_base_stats!$A:$F,3,FALSE) *INDIRECT("[EnemyMasterData.xlsm]enemies!Z"&amp;(L96+1))*  INDIRECT("[EnemyMasterData.xlsm]enemies!K"&amp;(L96+1))* INDIRECT("[EnemyMasterData.xlsm]enemies!P"&amp;(L96+1))* INDIRECT("[EnemyMasterData.xlsm]enemies!F"&amp;(L96+1))* INDIRECT("[EnemyMasterData.xlsm]enemies!T"&amp;(L96+1))* INDIRECT("[EnemyMasterData.xlsm]enemies!AE"&amp;(L96+1))*[4]ステータス!$C$2,0)*U96</f>
        <v>6354.5999999999995</v>
      </c>
      <c r="W96" s="5">
        <v>0</v>
      </c>
      <c r="X96" s="4" t="e">
        <f ca="1">VLOOKUP($Y96,OFFSET(enemy_skill_sets!$B$1,0,0,COUNTA(enemy_skill_sets!$B:$B),MATCH(M$1,enemy_skill_sets!$1:$1,0)-MATCH($Y$1,enemy_skill_sets!$1:$1,0)+2),MATCH(M$1,enemy_skill_sets!$1:$1,0)-MATCH($Y$1,enemy_skill_sets!$1:$1,0)+2,FALSE)</f>
        <v>#N/A</v>
      </c>
      <c r="Y96" s="62">
        <v>0</v>
      </c>
      <c r="Z96" s="6">
        <v>0</v>
      </c>
      <c r="AA96" s="6">
        <v>100</v>
      </c>
      <c r="AB96" s="6">
        <v>0</v>
      </c>
      <c r="AC96" s="100">
        <v>1</v>
      </c>
      <c r="AD96" s="24">
        <f t="shared" si="13"/>
        <v>534</v>
      </c>
      <c r="AE96" s="4" t="str">
        <f ca="1">VLOOKUP($AD96,OFFSET([4]characters!$A$1,0,0,COUNTA([4]characters!$A:$A),MATCH(AE$1,[4]characters!$1:$1,0)-MATCH("character_id",[4]characters!$1:$1,0)+1),MATCH(AE$1,[4]characters!$1:$1,0)-MATCH("character_id",[4]characters!$1:$1,0)+1,FALSE)</f>
        <v>冬服パトライン</v>
      </c>
      <c r="AF96" s="4">
        <f ca="1">VLOOKUP($AD96,OFFSET([4]characters!$A$1,0,0,COUNTA([4]characters!$A:$A),MATCH(AF$1,[4]characters!$1:$1,0)-MATCH("character_id",[4]characters!$1:$1,0)+1),MATCH(AF$1,[4]characters!$1:$1,0)-MATCH("character_id",[4]characters!$1:$1,0)+1,FALSE)</f>
        <v>1</v>
      </c>
      <c r="AG96" s="4" t="str">
        <f ca="1">VLOOKUP($AD96,OFFSET([4]characters!$A$1,0,0,COUNTA([4]characters!$A:$A),MATCH(AG$1,[4]characters!$1:$1,0)-MATCH("character_id",[4]characters!$1:$1,0)+1),MATCH(AG$1,[4]characters!$1:$1,0)-MATCH("character_id",[4]characters!$1:$1,0)+1,FALSE)</f>
        <v>Drop1W</v>
      </c>
      <c r="AH96" s="7">
        <v>1</v>
      </c>
      <c r="AI96" s="24">
        <f t="shared" ca="1" si="14"/>
        <v>1</v>
      </c>
      <c r="AJ96" s="8">
        <v>0</v>
      </c>
      <c r="AK96" s="7">
        <v>0</v>
      </c>
      <c r="AL96" s="7">
        <v>0</v>
      </c>
      <c r="AM96" s="7">
        <v>0</v>
      </c>
      <c r="AN96" s="7">
        <v>0</v>
      </c>
      <c r="AO96" s="7">
        <v>1</v>
      </c>
      <c r="AP96" s="70">
        <v>1</v>
      </c>
    </row>
    <row r="97" spans="1:42" ht="21" customHeight="1" x14ac:dyDescent="0.15">
      <c r="A97" s="16" t="str">
        <f t="shared" si="10"/>
        <v>39009_5-3/535&lt;lv80&gt;s2</v>
      </c>
      <c r="B97" s="22">
        <v>39009</v>
      </c>
      <c r="C97" s="21">
        <v>5</v>
      </c>
      <c r="D97" s="2" t="str">
        <f t="shared" si="11"/>
        <v>39009_5</v>
      </c>
      <c r="E97" s="4" t="str">
        <f ca="1">VLOOKUP($B97,OFFSET([2]quests!$A$1,0,0,COUNTA([2]quests!$A:$A),MATCH(E$1,[2]quests!$1:$1,0)-MATCH($B$1,[2]quests!$1:$1,0)+1),MATCH(E$1,[2]quests!$1:$1,0)-MATCH($B$1,[2]quests!$1:$1,0)+1,FALSE)</f>
        <v>星空の歌姫</v>
      </c>
      <c r="F97" s="4" t="str">
        <f ca="1">VLOOKUP($D97,OFFSET([2]stages!$A$1,0,0,COUNTA([2]stages!$A:$A),MATCH(F$1,[2]stages!$2:$2,0)-MATCH($D$1,[2]stages!$2:$2,0)+1),MATCH(F$1,[2]stages!$2:$2,0)-MATCH($D$1,[2]stages!$2:$2,0)+1,FALSE)</f>
        <v>【超絶級】星空の歌姫</v>
      </c>
      <c r="G97" s="21">
        <v>3</v>
      </c>
      <c r="H97" s="15" t="str">
        <f t="shared" si="12"/>
        <v>39009_5-3</v>
      </c>
      <c r="I97" s="4">
        <f ca="1">VLOOKUP($H97,OFFSET(floors!$A$1,0,0,COUNTA(floors!$A:$A),MATCH(I$1,floors!$1:$1,0)-MATCH($H$1,floors!$1:$1,0)+1),MATCH(I$1,floors!$1:$1,0)-MATCH($H$1,floors!$1:$1,0)+1,FALSE)</f>
        <v>60</v>
      </c>
      <c r="J97" s="4">
        <f ca="1">VLOOKUP($H97,OFFSET(floors!$A$1,0,0,COUNTA(floors!$A:$A),MATCH(J$1,floors!$1:$1,0)-MATCH($H$1,floors!$1:$1,0)+1),MATCH(J$1,floors!$1:$1,0)-MATCH($H$1,floors!$1:$1,0)+1,FALSE)</f>
        <v>60</v>
      </c>
      <c r="K97" s="38" t="s">
        <v>53</v>
      </c>
      <c r="L97" s="20">
        <v>535</v>
      </c>
      <c r="M97" s="17" t="str">
        <f ca="1">VLOOKUP($L97,OFFSET([3]enemies!$A$1,0,0,COUNTA([3]enemies!$A:$A),MATCH(M$1,[3]enemies!$1:$1,0)-MATCH($L$1,[3]enemies!$1:$1,0)+1),MATCH(M$1,[3]enemies!$1:$1,0)-MATCH($L$1,[3]enemies!$1:$1,0)+1,FALSE)</f>
        <v>冬服リム</v>
      </c>
      <c r="N97" s="17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17" t="str">
        <f ca="1">VLOOKUP($L97,OFFSET([4]characters!$A$1,0,0,COUNTA([4]characters!$A:$A),MATCH(O$1,[4]characters!$1:$1,0)-MATCH($L$1,[4]characters!$1:$1,0)+1),MATCH(O$1,[4]characters!$1:$1,0)-MATCH($L$1,[4]characters!$1:$1,0)+1,FALSE)</f>
        <v>Drop1W</v>
      </c>
      <c r="P97" s="17" t="str">
        <f ca="1">VLOOKUP($L97,OFFSET([3]enemies!$A$1,0,0,COUNTA([3]enemies!$A:$A),MATCH(P$1,[3]enemies!$1:$1,0)-MATCH($L$1,[3]enemies!$1:$1,0)+1),MATCH(P$1,[3]enemies!$1:$1,0)-MATCH($L$1,[3]enemies!$1:$1,0)+1,FALSE)</f>
        <v>human</v>
      </c>
      <c r="Q97" s="17">
        <f ca="1">VLOOKUP($L97,OFFSET([3]enemies!$A$1,0,0,COUNTA([3]enemies!$A:$A),MATCH(Q$1,[3]enemies!$1:$1,0)-MATCH($L$1,[3]enemies!$1:$1,0)+1),MATCH(Q$1,[3]enemies!$1:$1,0)-MATCH($L$1,[3]enemies!$1:$1,0)+1,FALSE)</f>
        <v>15</v>
      </c>
      <c r="R97" s="5">
        <v>80</v>
      </c>
      <c r="S97" s="25">
        <v>1.9</v>
      </c>
      <c r="T97" s="98">
        <f ca="1">ROUND(VLOOKUP(R97,[3]enemy_base_stats!$A:$F,2,FALSE) *INDIRECT("[EnemyMasterData.xlsm]enemies!Y"&amp;(L97+1))*  INDIRECT("[EnemyMasterData.xlsm]enemies!J"&amp;(L97+1))* INDIRECT("[EnemyMasterData.xlsm]enemies!O"&amp;(L97+1))* INDIRECT("[EnemyMasterData.xlsm]enemies!E"&amp;(L97+1))* INDIRECT("[EnemyMasterData.xlsm]enemies!S"&amp;(L97+1))* INDIRECT("[EnemyMasterData.xlsm]enemies!AD"&amp;(L97+1))*[4]ステータス!$B$2,0)*S97</f>
        <v>29111.8</v>
      </c>
      <c r="U97" s="25">
        <v>1.1000000000000001</v>
      </c>
      <c r="V97" s="98">
        <f ca="1">ROUND(VLOOKUP(R97,[3]enemy_base_stats!$A:$F,3,FALSE) *INDIRECT("[EnemyMasterData.xlsm]enemies!Z"&amp;(L97+1))*  INDIRECT("[EnemyMasterData.xlsm]enemies!K"&amp;(L97+1))* INDIRECT("[EnemyMasterData.xlsm]enemies!P"&amp;(L97+1))* INDIRECT("[EnemyMasterData.xlsm]enemies!F"&amp;(L97+1))* INDIRECT("[EnemyMasterData.xlsm]enemies!T"&amp;(L97+1))* INDIRECT("[EnemyMasterData.xlsm]enemies!AE"&amp;(L97+1))*[4]ステータス!$C$2,0)*U97</f>
        <v>5218.4000000000005</v>
      </c>
      <c r="W97" s="5">
        <v>0</v>
      </c>
      <c r="X97" s="4" t="e">
        <f ca="1">VLOOKUP($Y97,OFFSET(enemy_skill_sets!$B$1,0,0,COUNTA(enemy_skill_sets!$B:$B),MATCH(M$1,enemy_skill_sets!$1:$1,0)-MATCH($Y$1,enemy_skill_sets!$1:$1,0)+2),MATCH(M$1,enemy_skill_sets!$1:$1,0)-MATCH($Y$1,enemy_skill_sets!$1:$1,0)+2,FALSE)</f>
        <v>#N/A</v>
      </c>
      <c r="Y97" s="62">
        <v>0</v>
      </c>
      <c r="Z97" s="6">
        <v>0</v>
      </c>
      <c r="AA97" s="6">
        <v>100</v>
      </c>
      <c r="AB97" s="6">
        <v>0</v>
      </c>
      <c r="AC97" s="100">
        <v>2</v>
      </c>
      <c r="AD97" s="24">
        <f t="shared" si="13"/>
        <v>535</v>
      </c>
      <c r="AE97" s="4" t="str">
        <f ca="1">VLOOKUP($AD97,OFFSET([4]characters!$A$1,0,0,COUNTA([4]characters!$A:$A),MATCH(AE$1,[4]characters!$1:$1,0)-MATCH("character_id",[4]characters!$1:$1,0)+1),MATCH(AE$1,[4]characters!$1:$1,0)-MATCH("character_id",[4]characters!$1:$1,0)+1,FALSE)</f>
        <v>冬服リム</v>
      </c>
      <c r="AF97" s="4">
        <f ca="1">VLOOKUP($AD97,OFFSET([4]characters!$A$1,0,0,COUNTA([4]characters!$A:$A),MATCH(AF$1,[4]characters!$1:$1,0)-MATCH("character_id",[4]characters!$1:$1,0)+1),MATCH(AF$1,[4]characters!$1:$1,0)-MATCH("character_id",[4]characters!$1:$1,0)+1,FALSE)</f>
        <v>1</v>
      </c>
      <c r="AG97" s="4" t="str">
        <f ca="1">VLOOKUP($AD97,OFFSET([4]characters!$A$1,0,0,COUNTA([4]characters!$A:$A),MATCH(AG$1,[4]characters!$1:$1,0)-MATCH("character_id",[4]characters!$1:$1,0)+1),MATCH(AG$1,[4]characters!$1:$1,0)-MATCH("character_id",[4]characters!$1:$1,0)+1,FALSE)</f>
        <v>Drop1W</v>
      </c>
      <c r="AH97" s="7">
        <v>1</v>
      </c>
      <c r="AI97" s="24">
        <f t="shared" ca="1" si="14"/>
        <v>1</v>
      </c>
      <c r="AJ97" s="8">
        <v>0</v>
      </c>
      <c r="AK97" s="7">
        <v>0</v>
      </c>
      <c r="AL97" s="7">
        <v>0</v>
      </c>
      <c r="AM97" s="7">
        <v>0</v>
      </c>
      <c r="AN97" s="7">
        <v>0</v>
      </c>
      <c r="AO97" s="7">
        <v>1</v>
      </c>
      <c r="AP97" s="70">
        <v>1</v>
      </c>
    </row>
    <row r="98" spans="1:42" ht="21" customHeight="1" x14ac:dyDescent="0.15">
      <c r="A98" s="16" t="str">
        <f t="shared" si="10"/>
        <v>39009_5-3/536&lt;lv80&gt;s2</v>
      </c>
      <c r="B98" s="22">
        <v>39009</v>
      </c>
      <c r="C98" s="21">
        <v>5</v>
      </c>
      <c r="D98" s="2" t="str">
        <f t="shared" si="11"/>
        <v>39009_5</v>
      </c>
      <c r="E98" s="4" t="str">
        <f ca="1">VLOOKUP($B98,OFFSET([2]quests!$A$1,0,0,COUNTA([2]quests!$A:$A),MATCH(E$1,[2]quests!$1:$1,0)-MATCH($B$1,[2]quests!$1:$1,0)+1),MATCH(E$1,[2]quests!$1:$1,0)-MATCH($B$1,[2]quests!$1:$1,0)+1,FALSE)</f>
        <v>星空の歌姫</v>
      </c>
      <c r="F98" s="4" t="str">
        <f ca="1">VLOOKUP($D98,OFFSET([2]stages!$A$1,0,0,COUNTA([2]stages!$A:$A),MATCH(F$1,[2]stages!$2:$2,0)-MATCH($D$1,[2]stages!$2:$2,0)+1),MATCH(F$1,[2]stages!$2:$2,0)-MATCH($D$1,[2]stages!$2:$2,0)+1,FALSE)</f>
        <v>【超絶級】星空の歌姫</v>
      </c>
      <c r="G98" s="21">
        <v>3</v>
      </c>
      <c r="H98" s="15" t="str">
        <f t="shared" si="12"/>
        <v>39009_5-3</v>
      </c>
      <c r="I98" s="4">
        <f ca="1">VLOOKUP($H98,OFFSET(floors!$A$1,0,0,COUNTA(floors!$A:$A),MATCH(I$1,floors!$1:$1,0)-MATCH($H$1,floors!$1:$1,0)+1),MATCH(I$1,floors!$1:$1,0)-MATCH($H$1,floors!$1:$1,0)+1,FALSE)</f>
        <v>60</v>
      </c>
      <c r="J98" s="4">
        <f ca="1">VLOOKUP($H98,OFFSET(floors!$A$1,0,0,COUNTA(floors!$A:$A),MATCH(J$1,floors!$1:$1,0)-MATCH($H$1,floors!$1:$1,0)+1),MATCH(J$1,floors!$1:$1,0)-MATCH($H$1,floors!$1:$1,0)+1,FALSE)</f>
        <v>60</v>
      </c>
      <c r="K98" s="38" t="s">
        <v>53</v>
      </c>
      <c r="L98" s="20">
        <v>536</v>
      </c>
      <c r="M98" s="17" t="str">
        <f ca="1">VLOOKUP($L98,OFFSET([3]enemies!$A$1,0,0,COUNTA([3]enemies!$A:$A),MATCH(M$1,[3]enemies!$1:$1,0)-MATCH($L$1,[3]enemies!$1:$1,0)+1),MATCH(M$1,[3]enemies!$1:$1,0)-MATCH($L$1,[3]enemies!$1:$1,0)+1,FALSE)</f>
        <v>冬服ミミ</v>
      </c>
      <c r="N98" s="17" t="str">
        <f ca="1">VLOOKUP($L98,OFFSET([3]enemies!$A$1,0,0,COUNTA([3]enemies!$A:$A),MATCH(N$1,[3]enemies!$1:$1,0)-MATCH($L$1,[3]enemies!$1:$1,0)+1),MATCH(N$1,[3]enemies!$1:$1,0)-MATCH($L$1,[3]enemies!$1:$1,0)+1,FALSE)</f>
        <v>yellow</v>
      </c>
      <c r="O98" s="17" t="str">
        <f ca="1">VLOOKUP($L98,OFFSET([4]characters!$A$1,0,0,COUNTA([4]characters!$A:$A),MATCH(O$1,[4]characters!$1:$1,0)-MATCH($L$1,[4]characters!$1:$1,0)+1),MATCH(O$1,[4]characters!$1:$1,0)-MATCH($L$1,[4]characters!$1:$1,0)+1,FALSE)</f>
        <v>Drop1W</v>
      </c>
      <c r="P98" s="17" t="str">
        <f ca="1">VLOOKUP($L98,OFFSET([3]enemies!$A$1,0,0,COUNTA([3]enemies!$A:$A),MATCH(P$1,[3]enemies!$1:$1,0)-MATCH($L$1,[3]enemies!$1:$1,0)+1),MATCH(P$1,[3]enemies!$1:$1,0)-MATCH($L$1,[3]enemies!$1:$1,0)+1,FALSE)</f>
        <v>animal</v>
      </c>
      <c r="Q98" s="17">
        <f ca="1">VLOOKUP($L98,OFFSET([3]enemies!$A$1,0,0,COUNTA([3]enemies!$A:$A),MATCH(Q$1,[3]enemies!$1:$1,0)-MATCH($L$1,[3]enemies!$1:$1,0)+1),MATCH(Q$1,[3]enemies!$1:$1,0)-MATCH($L$1,[3]enemies!$1:$1,0)+1,FALSE)</f>
        <v>15</v>
      </c>
      <c r="R98" s="5">
        <v>80</v>
      </c>
      <c r="S98" s="25">
        <v>2.6</v>
      </c>
      <c r="T98" s="98">
        <f ca="1">ROUND(VLOOKUP(R98,[3]enemy_base_stats!$A:$F,2,FALSE) *INDIRECT("[EnemyMasterData.xlsm]enemies!Y"&amp;(L98+1))*  INDIRECT("[EnemyMasterData.xlsm]enemies!J"&amp;(L98+1))* INDIRECT("[EnemyMasterData.xlsm]enemies!O"&amp;(L98+1))* INDIRECT("[EnemyMasterData.xlsm]enemies!E"&amp;(L98+1))* INDIRECT("[EnemyMasterData.xlsm]enemies!S"&amp;(L98+1))* INDIRECT("[EnemyMasterData.xlsm]enemies!AD"&amp;(L98+1))*[4]ステータス!$B$2,0)*S98</f>
        <v>41532.400000000001</v>
      </c>
      <c r="U98" s="25">
        <v>1</v>
      </c>
      <c r="V98" s="98">
        <f ca="1">ROUND(VLOOKUP(R98,[3]enemy_base_stats!$A:$F,3,FALSE) *INDIRECT("[EnemyMasterData.xlsm]enemies!Z"&amp;(L98+1))*  INDIRECT("[EnemyMasterData.xlsm]enemies!K"&amp;(L98+1))* INDIRECT("[EnemyMasterData.xlsm]enemies!P"&amp;(L98+1))* INDIRECT("[EnemyMasterData.xlsm]enemies!F"&amp;(L98+1))* INDIRECT("[EnemyMasterData.xlsm]enemies!T"&amp;(L98+1))* INDIRECT("[EnemyMasterData.xlsm]enemies!AE"&amp;(L98+1))*[4]ステータス!$C$2,0)*U98</f>
        <v>7226</v>
      </c>
      <c r="W98" s="5">
        <v>0</v>
      </c>
      <c r="X98" s="4" t="e">
        <f ca="1">VLOOKUP($Y98,OFFSET(enemy_skill_sets!$B$1,0,0,COUNTA(enemy_skill_sets!$B:$B),MATCH(M$1,enemy_skill_sets!$1:$1,0)-MATCH($Y$1,enemy_skill_sets!$1:$1,0)+2),MATCH(M$1,enemy_skill_sets!$1:$1,0)-MATCH($Y$1,enemy_skill_sets!$1:$1,0)+2,FALSE)</f>
        <v>#N/A</v>
      </c>
      <c r="Y98" s="62">
        <v>0</v>
      </c>
      <c r="Z98" s="6">
        <v>0</v>
      </c>
      <c r="AA98" s="6">
        <v>100</v>
      </c>
      <c r="AB98" s="6">
        <v>0</v>
      </c>
      <c r="AC98" s="100">
        <v>2</v>
      </c>
      <c r="AD98" s="24">
        <f t="shared" si="13"/>
        <v>536</v>
      </c>
      <c r="AE98" s="4" t="str">
        <f ca="1">VLOOKUP($AD98,OFFSET([4]characters!$A$1,0,0,COUNTA([4]characters!$A:$A),MATCH(AE$1,[4]characters!$1:$1,0)-MATCH("character_id",[4]characters!$1:$1,0)+1),MATCH(AE$1,[4]characters!$1:$1,0)-MATCH("character_id",[4]characters!$1:$1,0)+1,FALSE)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98" s="4">
        <f ca="1">VLOOKUP($AD98,OFFSET([4]characters!$A$1,0,0,COUNTA([4]characters!$A:$A),MATCH(AF$1,[4]characters!$1:$1,0)-MATCH("character_id",[4]characters!$1:$1,0)+1),MATCH(AF$1,[4]characters!$1:$1,0)-MATCH("character_id",[4]characters!$1:$1,0)+1,FALSE)</f>
        <v>1</v>
      </c>
      <c r="AG98" s="4" t="str">
        <f ca="1">VLOOKUP($AD98,OFFSET([4]characters!$A$1,0,0,COUNTA([4]characters!$A:$A),MATCH(AG$1,[4]characters!$1:$1,0)-MATCH("character_id",[4]characters!$1:$1,0)+1),MATCH(AG$1,[4]characters!$1:$1,0)-MATCH("character_id",[4]characters!$1:$1,0)+1,FALSE)</f>
        <v>Drop1W</v>
      </c>
      <c r="AH98" s="7">
        <v>1</v>
      </c>
      <c r="AI98" s="24">
        <f t="shared" ca="1" si="14"/>
        <v>1</v>
      </c>
      <c r="AJ98" s="8">
        <v>0</v>
      </c>
      <c r="AK98" s="7">
        <v>0</v>
      </c>
      <c r="AL98" s="7">
        <v>0</v>
      </c>
      <c r="AM98" s="7">
        <v>0</v>
      </c>
      <c r="AN98" s="7">
        <v>0</v>
      </c>
      <c r="AO98" s="7">
        <v>1</v>
      </c>
      <c r="AP98" s="70">
        <v>1</v>
      </c>
    </row>
    <row r="99" spans="1:42" ht="21" customHeight="1" x14ac:dyDescent="0.15">
      <c r="A99" s="16" t="str">
        <f t="shared" si="10"/>
        <v>39009_5-3/537&lt;lv80&gt;s2</v>
      </c>
      <c r="B99" s="22">
        <v>39009</v>
      </c>
      <c r="C99" s="21">
        <v>5</v>
      </c>
      <c r="D99" s="2" t="str">
        <f t="shared" si="11"/>
        <v>39009_5</v>
      </c>
      <c r="E99" s="4" t="str">
        <f ca="1">VLOOKUP($B99,OFFSET([2]quests!$A$1,0,0,COUNTA([2]quests!$A:$A),MATCH(E$1,[2]quests!$1:$1,0)-MATCH($B$1,[2]quests!$1:$1,0)+1),MATCH(E$1,[2]quests!$1:$1,0)-MATCH($B$1,[2]quests!$1:$1,0)+1,FALSE)</f>
        <v>星空の歌姫</v>
      </c>
      <c r="F99" s="4" t="str">
        <f ca="1">VLOOKUP($D99,OFFSET([2]stages!$A$1,0,0,COUNTA([2]stages!$A:$A),MATCH(F$1,[2]stages!$2:$2,0)-MATCH($D$1,[2]stages!$2:$2,0)+1),MATCH(F$1,[2]stages!$2:$2,0)-MATCH($D$1,[2]stages!$2:$2,0)+1,FALSE)</f>
        <v>【超絶級】星空の歌姫</v>
      </c>
      <c r="G99" s="21">
        <v>3</v>
      </c>
      <c r="H99" s="15" t="str">
        <f t="shared" si="12"/>
        <v>39009_5-3</v>
      </c>
      <c r="I99" s="4">
        <f ca="1">VLOOKUP($H99,OFFSET(floors!$A$1,0,0,COUNTA(floors!$A:$A),MATCH(I$1,floors!$1:$1,0)-MATCH($H$1,floors!$1:$1,0)+1),MATCH(I$1,floors!$1:$1,0)-MATCH($H$1,floors!$1:$1,0)+1,FALSE)</f>
        <v>60</v>
      </c>
      <c r="J99" s="4">
        <f ca="1">VLOOKUP($H99,OFFSET(floors!$A$1,0,0,COUNTA(floors!$A:$A),MATCH(J$1,floors!$1:$1,0)-MATCH($H$1,floors!$1:$1,0)+1),MATCH(J$1,floors!$1:$1,0)-MATCH($H$1,floors!$1:$1,0)+1,FALSE)</f>
        <v>60</v>
      </c>
      <c r="K99" s="38" t="s">
        <v>53</v>
      </c>
      <c r="L99" s="20">
        <v>537</v>
      </c>
      <c r="M99" s="17" t="str">
        <f ca="1">VLOOKUP($L99,OFFSET([3]enemies!$A$1,0,0,COUNTA([3]enemies!$A:$A),MATCH(M$1,[3]enemies!$1:$1,0)-MATCH($L$1,[3]enemies!$1:$1,0)+1),MATCH(M$1,[3]enemies!$1:$1,0)-MATCH($L$1,[3]enemies!$1:$1,0)+1,FALSE)</f>
        <v>冬服ハッピー100</v>
      </c>
      <c r="N99" s="17" t="str">
        <f ca="1">VLOOKUP($L99,OFFSET([3]enemies!$A$1,0,0,COUNTA([3]enemies!$A:$A),MATCH(N$1,[3]enemies!$1:$1,0)-MATCH($L$1,[3]enemies!$1:$1,0)+1),MATCH(N$1,[3]enemies!$1:$1,0)-MATCH($L$1,[3]enemies!$1:$1,0)+1,FALSE)</f>
        <v>green</v>
      </c>
      <c r="O99" s="17" t="str">
        <f ca="1">VLOOKUP($L99,OFFSET([4]characters!$A$1,0,0,COUNTA([4]characters!$A:$A),MATCH(O$1,[4]characters!$1:$1,0)-MATCH($L$1,[4]characters!$1:$1,0)+1),MATCH(O$1,[4]characters!$1:$1,0)-MATCH($L$1,[4]characters!$1:$1,0)+1,FALSE)</f>
        <v>DropWizW</v>
      </c>
      <c r="P99" s="17" t="str">
        <f ca="1">VLOOKUP($L99,OFFSET([3]enemies!$A$1,0,0,COUNTA([3]enemies!$A:$A),MATCH(P$1,[3]enemies!$1:$1,0)-MATCH($L$1,[3]enemies!$1:$1,0)+1),MATCH(P$1,[3]enemies!$1:$1,0)-MATCH($L$1,[3]enemies!$1:$1,0)+1,FALSE)</f>
        <v>unknown</v>
      </c>
      <c r="Q99" s="17">
        <f ca="1">VLOOKUP($L99,OFFSET([3]enemies!$A$1,0,0,COUNTA([3]enemies!$A:$A),MATCH(Q$1,[3]enemies!$1:$1,0)-MATCH($L$1,[3]enemies!$1:$1,0)+1),MATCH(Q$1,[3]enemies!$1:$1,0)-MATCH($L$1,[3]enemies!$1:$1,0)+1,FALSE)</f>
        <v>25</v>
      </c>
      <c r="R99" s="5">
        <v>80</v>
      </c>
      <c r="S99" s="25">
        <v>10</v>
      </c>
      <c r="T99" s="98">
        <f ca="1">ROUND(VLOOKUP(R99,[3]enemy_base_stats!$A:$F,2,FALSE) *INDIRECT("[EnemyMasterData.xlsm]enemies!Y"&amp;(L99+1))*  INDIRECT("[EnemyMasterData.xlsm]enemies!J"&amp;(L99+1))* INDIRECT("[EnemyMasterData.xlsm]enemies!O"&amp;(L99+1))* INDIRECT("[EnemyMasterData.xlsm]enemies!E"&amp;(L99+1))* INDIRECT("[EnemyMasterData.xlsm]enemies!S"&amp;(L99+1))* INDIRECT("[EnemyMasterData.xlsm]enemies!AD"&amp;(L99+1))*[4]ステータス!$B$2,0)*S99</f>
        <v>159610</v>
      </c>
      <c r="U99" s="25">
        <v>2</v>
      </c>
      <c r="V99" s="98">
        <f ca="1">ROUND(VLOOKUP(R99,[3]enemy_base_stats!$A:$F,3,FALSE) *INDIRECT("[EnemyMasterData.xlsm]enemies!Z"&amp;(L99+1))*  INDIRECT("[EnemyMasterData.xlsm]enemies!K"&amp;(L99+1))* INDIRECT("[EnemyMasterData.xlsm]enemies!P"&amp;(L99+1))* INDIRECT("[EnemyMasterData.xlsm]enemies!F"&amp;(L99+1))* INDIRECT("[EnemyMasterData.xlsm]enemies!T"&amp;(L99+1))* INDIRECT("[EnemyMasterData.xlsm]enemies!AE"&amp;(L99+1))*[4]ステータス!$C$2,0)*U99</f>
        <v>9344</v>
      </c>
      <c r="W99" s="5">
        <v>0</v>
      </c>
      <c r="X99" s="4" t="str">
        <f ca="1">VLOOKUP($Y99,OFFSET(enemy_skill_sets!$B$1,0,0,COUNTA(enemy_skill_sets!$B:$B),MATCH(M$1,enemy_skill_sets!$1:$1,0)-MATCH($Y$1,enemy_skill_sets!$1:$1,0)+2),MATCH(M$1,enemy_skill_sets!$1:$1,0)-MATCH($Y$1,enemy_skill_sets!$1:$1,0)+2,FALSE)</f>
        <v>3ターン回復効果付与</v>
      </c>
      <c r="Y99" s="62">
        <v>39009031</v>
      </c>
      <c r="Z99" s="6">
        <v>0</v>
      </c>
      <c r="AA99" s="6">
        <v>100</v>
      </c>
      <c r="AB99" s="6">
        <v>1</v>
      </c>
      <c r="AC99" s="100">
        <v>2</v>
      </c>
      <c r="AD99" s="24">
        <f t="shared" si="13"/>
        <v>537</v>
      </c>
      <c r="AE99" s="4" t="str">
        <f ca="1">VLOOKUP($AD99,OFFSET([4]characters!$A$1,0,0,COUNTA([4]characters!$A:$A),MATCH(AE$1,[4]characters!$1:$1,0)-MATCH("character_id",[4]characters!$1:$1,0)+1),MATCH(AE$1,[4]characters!$1:$1,0)-MATCH("character_id",[4]characters!$1:$1,0)+1,FALSE)</f>
        <v>冬服ハッピー100</v>
      </c>
      <c r="AF99" s="4">
        <f ca="1">VLOOKUP($AD99,OFFSET([4]characters!$A$1,0,0,COUNTA([4]characters!$A:$A),MATCH(AF$1,[4]characters!$1:$1,0)-MATCH("character_id",[4]characters!$1:$1,0)+1),MATCH(AF$1,[4]characters!$1:$1,0)-MATCH("character_id",[4]characters!$1:$1,0)+1,FALSE)</f>
        <v>3</v>
      </c>
      <c r="AG99" s="4" t="str">
        <f ca="1">VLOOKUP($AD99,OFFSET([4]characters!$A$1,0,0,COUNTA([4]characters!$A:$A),MATCH(AG$1,[4]characters!$1:$1,0)-MATCH("character_id",[4]characters!$1:$1,0)+1),MATCH(AG$1,[4]characters!$1:$1,0)-MATCH("character_id",[4]characters!$1:$1,0)+1,FALSE)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99" s="7">
        <v>1</v>
      </c>
      <c r="AI99" s="24">
        <f t="shared" ca="1" si="14"/>
        <v>3</v>
      </c>
      <c r="AJ99" s="8">
        <v>20</v>
      </c>
      <c r="AK99" s="7">
        <v>0</v>
      </c>
      <c r="AL99" s="7">
        <v>0</v>
      </c>
      <c r="AM99" s="7">
        <v>0</v>
      </c>
      <c r="AN99" s="7">
        <v>0</v>
      </c>
      <c r="AO99" s="7">
        <v>1</v>
      </c>
      <c r="AP99" s="70">
        <v>1</v>
      </c>
    </row>
    <row r="100" spans="1:42" ht="21" customHeight="1" x14ac:dyDescent="0.15">
      <c r="A100" s="16" t="str">
        <f t="shared" si="10"/>
        <v>39009_5-3/538&lt;lv80&gt;s2</v>
      </c>
      <c r="B100" s="22">
        <v>39009</v>
      </c>
      <c r="C100" s="21">
        <v>5</v>
      </c>
      <c r="D100" s="2" t="str">
        <f t="shared" si="11"/>
        <v>39009_5</v>
      </c>
      <c r="E100" s="4" t="str">
        <f ca="1">VLOOKUP($B100,OFFSET([2]quests!$A$1,0,0,COUNTA([2]quests!$A:$A),MATCH(E$1,[2]quests!$1:$1,0)-MATCH($B$1,[2]quests!$1:$1,0)+1),MATCH(E$1,[2]quests!$1:$1,0)-MATCH($B$1,[2]quests!$1:$1,0)+1,FALSE)</f>
        <v>星空の歌姫</v>
      </c>
      <c r="F100" s="4" t="str">
        <f ca="1">VLOOKUP($D100,OFFSET([2]stages!$A$1,0,0,COUNTA([2]stages!$A:$A),MATCH(F$1,[2]stages!$2:$2,0)-MATCH($D$1,[2]stages!$2:$2,0)+1),MATCH(F$1,[2]stages!$2:$2,0)-MATCH($D$1,[2]stages!$2:$2,0)+1,FALSE)</f>
        <v>【超絶級】星空の歌姫</v>
      </c>
      <c r="G100" s="21">
        <v>3</v>
      </c>
      <c r="H100" s="15" t="str">
        <f t="shared" si="12"/>
        <v>39009_5-3</v>
      </c>
      <c r="I100" s="4">
        <f ca="1">VLOOKUP($H100,OFFSET(floors!$A$1,0,0,COUNTA(floors!$A:$A),MATCH(I$1,floors!$1:$1,0)-MATCH($H$1,floors!$1:$1,0)+1),MATCH(I$1,floors!$1:$1,0)-MATCH($H$1,floors!$1:$1,0)+1,FALSE)</f>
        <v>60</v>
      </c>
      <c r="J100" s="4">
        <f ca="1">VLOOKUP($H100,OFFSET(floors!$A$1,0,0,COUNTA(floors!$A:$A),MATCH(J$1,floors!$1:$1,0)-MATCH($H$1,floors!$1:$1,0)+1),MATCH(J$1,floors!$1:$1,0)-MATCH($H$1,floors!$1:$1,0)+1,FALSE)</f>
        <v>60</v>
      </c>
      <c r="K100" s="38" t="s">
        <v>53</v>
      </c>
      <c r="L100" s="20">
        <v>538</v>
      </c>
      <c r="M100" s="17" t="str">
        <f ca="1">VLOOKUP($L100,OFFSET([3]enemies!$A$1,0,0,COUNTA([3]enemies!$A:$A),MATCH(M$1,[3]enemies!$1:$1,0)-MATCH($L$1,[3]enemies!$1:$1,0)+1),MATCH(M$1,[3]enemies!$1:$1,0)-MATCH($L$1,[3]enemies!$1:$1,0)+1,FALSE)</f>
        <v>冬服ニムダ</v>
      </c>
      <c r="N100" s="17" t="str">
        <f ca="1">VLOOKUP($L100,OFFSET([3]enemies!$A$1,0,0,COUNTA([3]enemies!$A:$A),MATCH(N$1,[3]enemies!$1:$1,0)-MATCH($L$1,[3]enemies!$1:$1,0)+1),MATCH(N$1,[3]enemies!$1:$1,0)-MATCH($L$1,[3]enemies!$1:$1,0)+1,FALSE)</f>
        <v>yellow</v>
      </c>
      <c r="O100" s="17" t="str">
        <f ca="1">VLOOKUP($L100,OFFSET([4]characters!$A$1,0,0,COUNTA([4]characters!$A:$A),MATCH(O$1,[4]characters!$1:$1,0)-MATCH($L$1,[4]characters!$1:$1,0)+1),MATCH(O$1,[4]characters!$1:$1,0)-MATCH($L$1,[4]characters!$1:$1,0)+1,FALSE)</f>
        <v>DropWizW</v>
      </c>
      <c r="P100" s="17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17">
        <f ca="1">VLOOKUP($L100,OFFSET([3]enemies!$A$1,0,0,COUNTA([3]enemies!$A:$A),MATCH(Q$1,[3]enemies!$1:$1,0)-MATCH($L$1,[3]enemies!$1:$1,0)+1),MATCH(Q$1,[3]enemies!$1:$1,0)-MATCH($L$1,[3]enemies!$1:$1,0)+1,FALSE)</f>
        <v>25</v>
      </c>
      <c r="R100" s="5">
        <v>80</v>
      </c>
      <c r="S100" s="25">
        <v>8</v>
      </c>
      <c r="T100" s="98">
        <f ca="1">ROUND(VLOOKUP(R100,[3]enemy_base_stats!$A:$F,2,FALSE) *INDIRECT("[EnemyMasterData.xlsm]enemies!Y"&amp;(L100+1))*  INDIRECT("[EnemyMasterData.xlsm]enemies!J"&amp;(L100+1))* INDIRECT("[EnemyMasterData.xlsm]enemies!O"&amp;(L100+1))* INDIRECT("[EnemyMasterData.xlsm]enemies!E"&amp;(L100+1))* INDIRECT("[EnemyMasterData.xlsm]enemies!S"&amp;(L100+1))* INDIRECT("[EnemyMasterData.xlsm]enemies!AD"&amp;(L100+1))*[4]ステータス!$B$2,0)*S100</f>
        <v>122680</v>
      </c>
      <c r="U100" s="25">
        <v>1.5</v>
      </c>
      <c r="V100" s="98">
        <f ca="1">ROUND(VLOOKUP(R100,[3]enemy_base_stats!$A:$F,3,FALSE) *INDIRECT("[EnemyMasterData.xlsm]enemies!Z"&amp;(L100+1))*  INDIRECT("[EnemyMasterData.xlsm]enemies!K"&amp;(L100+1))* INDIRECT("[EnemyMasterData.xlsm]enemies!P"&amp;(L100+1))* INDIRECT("[EnemyMasterData.xlsm]enemies!F"&amp;(L100+1))* INDIRECT("[EnemyMasterData.xlsm]enemies!T"&amp;(L100+1))* INDIRECT("[EnemyMasterData.xlsm]enemies!AE"&amp;(L100+1))*[4]ステータス!$C$2,0)*U100</f>
        <v>7222.5</v>
      </c>
      <c r="W100" s="5">
        <v>0</v>
      </c>
      <c r="X100" s="4" t="str">
        <f ca="1">VLOOKUP($Y100,OFFSET(enemy_skill_sets!$B$1,0,0,COUNTA(enemy_skill_sets!$B:$B),MATCH(M$1,enemy_skill_sets!$1:$1,0)-MATCH($Y$1,enemy_skill_sets!$1:$1,0)+2),MATCH(M$1,enemy_skill_sets!$1:$1,0)-MATCH($Y$1,enemy_skill_sets!$1:$1,0)+2,FALSE)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00" s="62">
        <v>39009032</v>
      </c>
      <c r="Z100" s="6">
        <v>0</v>
      </c>
      <c r="AA100" s="6">
        <v>100</v>
      </c>
      <c r="AB100" s="6">
        <v>1</v>
      </c>
      <c r="AC100" s="100">
        <v>2</v>
      </c>
      <c r="AD100" s="24">
        <f t="shared" si="13"/>
        <v>538</v>
      </c>
      <c r="AE100" s="4" t="str">
        <f ca="1">VLOOKUP($AD100,OFFSET([4]characters!$A$1,0,0,COUNTA([4]characters!$A:$A),MATCH(AE$1,[4]characters!$1:$1,0)-MATCH("character_id",[4]characters!$1:$1,0)+1),MATCH(AE$1,[4]characters!$1:$1,0)-MATCH("character_id",[4]characters!$1:$1,0)+1,FALSE)</f>
        <v>冬服ニムダ</v>
      </c>
      <c r="AF100" s="4">
        <f ca="1">VLOOKUP($AD100,OFFSET([4]characters!$A$1,0,0,COUNTA([4]characters!$A:$A),MATCH(AF$1,[4]characters!$1:$1,0)-MATCH("character_id",[4]characters!$1:$1,0)+1),MATCH(AF$1,[4]characters!$1:$1,0)-MATCH("character_id",[4]characters!$1:$1,0)+1,FALSE)</f>
        <v>3</v>
      </c>
      <c r="AG100" s="4" t="str">
        <f ca="1">VLOOKUP($AD100,OFFSET([4]characters!$A$1,0,0,COUNTA([4]characters!$A:$A),MATCH(AG$1,[4]characters!$1:$1,0)-MATCH("character_id",[4]characters!$1:$1,0)+1),MATCH(AG$1,[4]characters!$1:$1,0)-MATCH("character_id",[4]characters!$1:$1,0)+1,FALSE)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00" s="7">
        <v>1</v>
      </c>
      <c r="AI100" s="24">
        <f t="shared" ca="1" si="14"/>
        <v>3</v>
      </c>
      <c r="AJ100" s="8">
        <v>20</v>
      </c>
      <c r="AK100" s="7">
        <v>0</v>
      </c>
      <c r="AL100" s="7">
        <v>0</v>
      </c>
      <c r="AM100" s="7">
        <v>0</v>
      </c>
      <c r="AN100" s="7">
        <v>0</v>
      </c>
      <c r="AO100" s="7">
        <v>1</v>
      </c>
      <c r="AP100" s="70">
        <v>1</v>
      </c>
    </row>
    <row r="101" spans="1:42" ht="21" customHeight="1" x14ac:dyDescent="0.15">
      <c r="A101" s="16" t="str">
        <f t="shared" si="10"/>
        <v>39009_5-4/1297&lt;lv80&gt;s2</v>
      </c>
      <c r="B101" s="22">
        <v>39009</v>
      </c>
      <c r="C101" s="21">
        <v>5</v>
      </c>
      <c r="D101" s="2" t="str">
        <f t="shared" si="11"/>
        <v>39009_5</v>
      </c>
      <c r="E101" s="4" t="str">
        <f ca="1">VLOOKUP($B101,OFFSET([2]quests!$A$1,0,0,COUNTA([2]quests!$A:$A),MATCH(E$1,[2]quests!$1:$1,0)-MATCH($B$1,[2]quests!$1:$1,0)+1),MATCH(E$1,[2]quests!$1:$1,0)-MATCH($B$1,[2]quests!$1:$1,0)+1,FALSE)</f>
        <v>星空の歌姫</v>
      </c>
      <c r="F101" s="4" t="str">
        <f ca="1">VLOOKUP($D101,OFFSET([2]stages!$A$1,0,0,COUNTA([2]stages!$A:$A),MATCH(F$1,[2]stages!$2:$2,0)-MATCH($D$1,[2]stages!$2:$2,0)+1),MATCH(F$1,[2]stages!$2:$2,0)-MATCH($D$1,[2]stages!$2:$2,0)+1,FALSE)</f>
        <v>【超絶級】星空の歌姫</v>
      </c>
      <c r="G101" s="21">
        <v>4</v>
      </c>
      <c r="H101" s="15" t="str">
        <f t="shared" si="12"/>
        <v>39009_5-4</v>
      </c>
      <c r="I101" s="4">
        <f ca="1">VLOOKUP($H101,OFFSET(floors!$A$1,0,0,COUNTA(floors!$A:$A),MATCH(I$1,floors!$1:$1,0)-MATCH($H$1,floors!$1:$1,0)+1),MATCH(I$1,floors!$1:$1,0)-MATCH($H$1,floors!$1:$1,0)+1,FALSE)</f>
        <v>60</v>
      </c>
      <c r="J101" s="4">
        <f ca="1">VLOOKUP($H101,OFFSET(floors!$A$1,0,0,COUNTA(floors!$A:$A),MATCH(J$1,floors!$1:$1,0)-MATCH($H$1,floors!$1:$1,0)+1),MATCH(J$1,floors!$1:$1,0)-MATCH($H$1,floors!$1:$1,0)+1,FALSE)</f>
        <v>60</v>
      </c>
      <c r="K101" s="38">
        <v>10</v>
      </c>
      <c r="L101" s="20">
        <v>1297</v>
      </c>
      <c r="M101" s="17" t="str">
        <f ca="1">VLOOKUP($L101,OFFSET([3]enemies!$A$1,0,0,COUNTA([3]enemies!$A:$A),MATCH(M$1,[3]enemies!$1:$1,0)-MATCH($L$1,[3]enemies!$1:$1,0)+1),MATCH(M$1,[3]enemies!$1:$1,0)-MATCH($L$1,[3]enemies!$1:$1,0)+1,FALSE)</f>
        <v>雪ミク2017</v>
      </c>
      <c r="N101" s="17" t="str">
        <f ca="1">VLOOKUP($L101,OFFSET([3]enemies!$A$1,0,0,COUNTA([3]enemies!$A:$A),MATCH(N$1,[3]enemies!$1:$1,0)-MATCH($L$1,[3]enemies!$1:$1,0)+1),MATCH(N$1,[3]enemies!$1:$1,0)-MATCH($L$1,[3]enemies!$1:$1,0)+1,FALSE)</f>
        <v>green</v>
      </c>
      <c r="O101" s="17" t="str">
        <f ca="1">VLOOKUP($L101,OFFSET([4]characters!$A$1,0,0,COUNTA([4]characters!$A:$A),MATCH(O$1,[4]characters!$1:$1,0)-MATCH($L$1,[4]characters!$1:$1,0)+1),MATCH(O$1,[4]characters!$1:$1,0)-MATCH($L$1,[4]characters!$1:$1,0)+1,FALSE)</f>
        <v>DropWizS</v>
      </c>
      <c r="P101" s="17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17">
        <f ca="1">VLOOKUP($L101,OFFSET([3]enemies!$A$1,0,0,COUNTA([3]enemies!$A:$A),MATCH(Q$1,[3]enemies!$1:$1,0)-MATCH($L$1,[3]enemies!$1:$1,0)+1),MATCH(Q$1,[3]enemies!$1:$1,0)-MATCH($L$1,[3]enemies!$1:$1,0)+1,FALSE)</f>
        <v>60</v>
      </c>
      <c r="R101" s="5">
        <v>80</v>
      </c>
      <c r="S101" s="25">
        <v>2.1</v>
      </c>
      <c r="T101" s="98">
        <f ca="1">ROUND(VLOOKUP(R101,[3]enemy_base_stats!$A:$F,2,FALSE) *INDIRECT("[EnemyMasterData.xlsm]enemies!Y"&amp;(L101+1))*  INDIRECT("[EnemyMasterData.xlsm]enemies!J"&amp;(L101+1))* INDIRECT("[EnemyMasterData.xlsm]enemies!O"&amp;(L101+1))* INDIRECT("[EnemyMasterData.xlsm]enemies!E"&amp;(L101+1))* INDIRECT("[EnemyMasterData.xlsm]enemies!S"&amp;(L101+1))* INDIRECT("[EnemyMasterData.xlsm]enemies!AD"&amp;(L101+1))*[4]ステータス!$B$2,0)*S101</f>
        <v>285135.90000000002</v>
      </c>
      <c r="U101" s="25">
        <v>1.8</v>
      </c>
      <c r="V101" s="98">
        <f ca="1">ROUND(VLOOKUP(R101,[3]enemy_base_stats!$A:$F,3,FALSE) *INDIRECT("[EnemyMasterData.xlsm]enemies!Z"&amp;(L101+1))*  INDIRECT("[EnemyMasterData.xlsm]enemies!K"&amp;(L101+1))* INDIRECT("[EnemyMasterData.xlsm]enemies!P"&amp;(L101+1))* INDIRECT("[EnemyMasterData.xlsm]enemies!F"&amp;(L101+1))* INDIRECT("[EnemyMasterData.xlsm]enemies!T"&amp;(L101+1))* INDIRECT("[EnemyMasterData.xlsm]enemies!AE"&amp;(L101+1))*[4]ステータス!$C$2,0)*U101</f>
        <v>16180.2</v>
      </c>
      <c r="W101" s="5">
        <v>0</v>
      </c>
      <c r="X101" s="4" t="str">
        <f ca="1">VLOOKUP($Y101,OFFSET(enemy_skill_sets!$B$1,0,0,COUNTA(enemy_skill_sets!$B:$B),MATCH(M$1,enemy_skill_sets!$1:$1,0)-MATCH($Y$1,enemy_skill_sets!$1:$1,0)+2),MATCH(M$1,enemy_skill_sets!$1:$1,0)-MATCH($Y$1,enemy_skill_sets!$1:$1,0)+2,FALSE)</f>
        <v>緑パネルを緑のダメージパネルに8個変換</v>
      </c>
      <c r="Y101" s="62">
        <v>39009033</v>
      </c>
      <c r="Z101" s="6">
        <v>1</v>
      </c>
      <c r="AA101" s="6">
        <v>100</v>
      </c>
      <c r="AB101" s="6">
        <v>1</v>
      </c>
      <c r="AC101" s="100">
        <v>2</v>
      </c>
      <c r="AD101" s="24">
        <f t="shared" si="13"/>
        <v>1297</v>
      </c>
      <c r="AE101" s="4" t="str">
        <f ca="1">VLOOKUP($AD101,OFFSET([4]characters!$A$1,0,0,COUNTA([4]characters!$A:$A),MATCH(AE$1,[4]characters!$1:$1,0)-MATCH("character_id",[4]characters!$1:$1,0)+1),MATCH(AE$1,[4]characters!$1:$1,0)-MATCH("character_id",[4]characters!$1:$1,0)+1,FALSE)</f>
        <v>雪ミク2017</v>
      </c>
      <c r="AF101" s="4">
        <f ca="1">VLOOKUP($AD101,OFFSET([4]characters!$A$1,0,0,COUNTA([4]characters!$A:$A),MATCH(AF$1,[4]characters!$1:$1,0)-MATCH("character_id",[4]characters!$1:$1,0)+1),MATCH(AF$1,[4]characters!$1:$1,0)-MATCH("character_id",[4]characters!$1:$1,0)+1,FALSE)</f>
        <v>5</v>
      </c>
      <c r="AG101" s="4" t="str">
        <f ca="1">VLOOKUP($AD101,OFFSET([4]characters!$A$1,0,0,COUNTA([4]characters!$A:$A),MATCH(AG$1,[4]characters!$1:$1,0)-MATCH("character_id",[4]characters!$1:$1,0)+1),MATCH(AG$1,[4]characters!$1:$1,0)-MATCH("character_id",[4]characters!$1:$1,0)+1,FALSE)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1" s="7">
        <v>1</v>
      </c>
      <c r="AI101" s="24">
        <f t="shared" ca="1" si="14"/>
        <v>5</v>
      </c>
      <c r="AJ101" s="141">
        <v>100</v>
      </c>
      <c r="AK101" s="7">
        <v>0</v>
      </c>
      <c r="AL101" s="7">
        <v>0</v>
      </c>
      <c r="AM101" s="7">
        <v>0</v>
      </c>
      <c r="AN101" s="7">
        <v>0</v>
      </c>
      <c r="AO101" s="7">
        <v>1</v>
      </c>
      <c r="AP101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6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10" sqref="G10"/>
    </sheetView>
  </sheetViews>
  <sheetFormatPr baseColWidth="12" defaultColWidth="13" defaultRowHeight="21" customHeight="1" outlineLevelCol="1" x14ac:dyDescent="0.15"/>
  <cols>
    <col min="1" max="1" width="28.1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7" t="s">
        <v>250</v>
      </c>
      <c r="V1" s="26" t="s">
        <v>50</v>
      </c>
      <c r="W1" s="97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16" si="0">B2&amp;"_"&amp;C2&amp;"-"&amp;G2&amp;"/"&amp;M2&amp;"&lt;lv"&amp;S2&amp;"&gt;sq"&amp;K2&amp;"st"&amp;L2</f>
        <v>39009_1-2/1297&lt;lv10&gt;sq1st2</v>
      </c>
      <c r="B2" s="22">
        <v>39009</v>
      </c>
      <c r="C2" s="21">
        <v>1</v>
      </c>
      <c r="D2" s="2" t="str">
        <f t="shared" ref="D2:D16" si="1">B2&amp;"_"&amp;C2</f>
        <v>39009_1</v>
      </c>
      <c r="E2" s="4" t="str">
        <f ca="1">VLOOKUP($B2,OFFSET([2]quests!$A$1,0,0,COUNTA([2]quests!$A:$A),MATCH(E$1,[2]quests!$1:$1,0)-MATCH($B$1,[2]quests!$1:$1,0)+1),MATCH(E$1,[2]quests!$1:$1,0)-MATCH($B$1,[2]quests!$1:$1,0)+1,FALSE)</f>
        <v>星空の歌姫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【初級】星空の歌姫</v>
      </c>
      <c r="G2" s="21">
        <v>2</v>
      </c>
      <c r="H2" s="15" t="s">
        <v>317</v>
      </c>
      <c r="I2" s="4">
        <v>60</v>
      </c>
      <c r="J2" s="4">
        <v>60</v>
      </c>
      <c r="K2" s="38">
        <v>1</v>
      </c>
      <c r="L2" s="38">
        <v>2</v>
      </c>
      <c r="M2" s="20">
        <v>1297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雪ミク2017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10</v>
      </c>
      <c r="T2" s="25">
        <v>0.6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11495.4</v>
      </c>
      <c r="V2" s="25">
        <v>0.6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760.8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3ターン攻撃力UP</v>
      </c>
      <c r="Z2" s="62">
        <v>39009002</v>
      </c>
      <c r="AA2" s="101">
        <v>2</v>
      </c>
    </row>
    <row r="3" spans="1:27" ht="21" customHeight="1" x14ac:dyDescent="0.15">
      <c r="A3" s="16" t="str">
        <f t="shared" si="0"/>
        <v>39009_1-4/1297&lt;lv10&gt;sq2st2</v>
      </c>
      <c r="B3" s="22">
        <v>39009</v>
      </c>
      <c r="C3" s="21">
        <v>1</v>
      </c>
      <c r="D3" s="2" t="str">
        <f t="shared" si="1"/>
        <v>39009_1</v>
      </c>
      <c r="E3" s="4" t="str">
        <f ca="1">VLOOKUP($B3,OFFSET([2]quests!$A$1,0,0,COUNTA([2]quests!$A:$A),MATCH(E$1,[2]quests!$1:$1,0)-MATCH($B$1,[2]quests!$1:$1,0)+1),MATCH(E$1,[2]quests!$1:$1,0)-MATCH($B$1,[2]quests!$1:$1,0)+1,FALSE)</f>
        <v>星空の歌姫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【初級】星空の歌姫</v>
      </c>
      <c r="G3" s="21">
        <v>4</v>
      </c>
      <c r="H3" s="15" t="s">
        <v>318</v>
      </c>
      <c r="I3" s="4">
        <v>60</v>
      </c>
      <c r="J3" s="4">
        <v>60</v>
      </c>
      <c r="K3" s="38">
        <v>2</v>
      </c>
      <c r="L3" s="38">
        <v>2</v>
      </c>
      <c r="M3" s="20">
        <v>1297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雪ミク2017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10</v>
      </c>
      <c r="T3" s="25">
        <v>2.7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51729.3</v>
      </c>
      <c r="V3" s="25">
        <v>2.7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3423.6000000000004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3" s="62">
        <v>39009006</v>
      </c>
      <c r="AA3" s="101">
        <v>2</v>
      </c>
    </row>
    <row r="4" spans="1:27" ht="21" customHeight="1" x14ac:dyDescent="0.15">
      <c r="A4" s="16" t="str">
        <f t="shared" si="0"/>
        <v>39009_1-4/1298&lt;lv10&gt;sq2st3</v>
      </c>
      <c r="B4" s="22">
        <v>39009</v>
      </c>
      <c r="C4" s="21">
        <v>1</v>
      </c>
      <c r="D4" s="2" t="str">
        <f t="shared" si="1"/>
        <v>39009_1</v>
      </c>
      <c r="E4" s="4" t="str">
        <f ca="1">VLOOKUP($B4,OFFSET([2]quests!$A$1,0,0,COUNTA([2]quests!$A:$A),MATCH(E$1,[2]quests!$1:$1,0)-MATCH($B$1,[2]quests!$1:$1,0)+1),MATCH(E$1,[2]quests!$1:$1,0)-MATCH($B$1,[2]quests!$1:$1,0)+1,FALSE)</f>
        <v>星空の歌姫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【初級】星空の歌姫</v>
      </c>
      <c r="G4" s="21">
        <v>4</v>
      </c>
      <c r="H4" s="15" t="s">
        <v>318</v>
      </c>
      <c r="I4" s="4">
        <v>60</v>
      </c>
      <c r="J4" s="4">
        <v>60</v>
      </c>
      <c r="K4" s="38">
        <v>2</v>
      </c>
      <c r="L4" s="38">
        <v>3</v>
      </c>
      <c r="M4" s="20">
        <v>1298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星空の歌姫 雪ミク2017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10</v>
      </c>
      <c r="T4" s="25">
        <v>2.7</v>
      </c>
      <c r="U4" s="9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48456.9</v>
      </c>
      <c r="V4" s="25">
        <v>2.7</v>
      </c>
      <c r="W4" s="9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2991.6000000000004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4" s="62">
        <v>39009007</v>
      </c>
      <c r="AA4" s="101">
        <v>1</v>
      </c>
    </row>
    <row r="5" spans="1:27" ht="21" customHeight="1" x14ac:dyDescent="0.15">
      <c r="A5" s="16" t="str">
        <f t="shared" si="0"/>
        <v>39009_2-2/1297&lt;lv30&gt;sq3st2</v>
      </c>
      <c r="B5" s="124">
        <v>39009</v>
      </c>
      <c r="C5" s="114">
        <v>2</v>
      </c>
      <c r="D5" s="114" t="str">
        <f t="shared" si="1"/>
        <v>39009_2</v>
      </c>
      <c r="E5" s="115" t="str">
        <f ca="1">VLOOKUP($B5,OFFSET([2]quests!$A$1,0,0,COUNTA([2]quests!$A:$A),MATCH(E$1,[2]quests!$1:$1,0)-MATCH($B$1,[2]quests!$1:$1,0)+1),MATCH(E$1,[2]quests!$1:$1,0)-MATCH($B$1,[2]quests!$1:$1,0)+1,FALSE)</f>
        <v>星空の歌姫</v>
      </c>
      <c r="F5" s="115" t="str">
        <f ca="1">VLOOKUP($D5,OFFSET([2]stages!$A$1,0,0,COUNTA([2]stages!$A:$A),MATCH(F$1,[2]stages!$2:$2,0)-MATCH($D$1,[2]stages!$2:$2,0)+1),MATCH(F$1,[2]stages!$2:$2,0)-MATCH($D$1,[2]stages!$2:$2,0)+1,FALSE)</f>
        <v>【中級】星空の歌姫</v>
      </c>
      <c r="G5" s="114">
        <v>2</v>
      </c>
      <c r="H5" s="116" t="s">
        <v>317</v>
      </c>
      <c r="I5" s="115">
        <v>60</v>
      </c>
      <c r="J5" s="115">
        <v>60</v>
      </c>
      <c r="K5" s="117">
        <v>3</v>
      </c>
      <c r="L5" s="117">
        <v>2</v>
      </c>
      <c r="M5" s="114">
        <v>1297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雪ミク2017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18">
        <v>30</v>
      </c>
      <c r="T5" s="119">
        <v>0.6</v>
      </c>
      <c r="U5" s="98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31487.399999999998</v>
      </c>
      <c r="V5" s="119">
        <v>1.3</v>
      </c>
      <c r="W5" s="98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4516.2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3ターン攻撃力UP</v>
      </c>
      <c r="Z5" s="120">
        <v>39009009</v>
      </c>
      <c r="AA5" s="125">
        <v>2</v>
      </c>
    </row>
    <row r="6" spans="1:27" ht="21" customHeight="1" x14ac:dyDescent="0.15">
      <c r="A6" s="16" t="str">
        <f t="shared" si="0"/>
        <v>39009_2-4/1297&lt;lv30&gt;sq4st2</v>
      </c>
      <c r="B6" s="124">
        <v>39009</v>
      </c>
      <c r="C6" s="114">
        <v>2</v>
      </c>
      <c r="D6" s="114" t="str">
        <f t="shared" si="1"/>
        <v>39009_2</v>
      </c>
      <c r="E6" s="115" t="str">
        <f ca="1">VLOOKUP($B6,OFFSET([2]quests!$A$1,0,0,COUNTA([2]quests!$A:$A),MATCH(E$1,[2]quests!$1:$1,0)-MATCH($B$1,[2]quests!$1:$1,0)+1),MATCH(E$1,[2]quests!$1:$1,0)-MATCH($B$1,[2]quests!$1:$1,0)+1,FALSE)</f>
        <v>星空の歌姫</v>
      </c>
      <c r="F6" s="115" t="str">
        <f ca="1">VLOOKUP($D6,OFFSET([2]stages!$A$1,0,0,COUNTA([2]stages!$A:$A),MATCH(F$1,[2]stages!$2:$2,0)-MATCH($D$1,[2]stages!$2:$2,0)+1),MATCH(F$1,[2]stages!$2:$2,0)-MATCH($D$1,[2]stages!$2:$2,0)+1,FALSE)</f>
        <v>【中級】星空の歌姫</v>
      </c>
      <c r="G6" s="114">
        <v>4</v>
      </c>
      <c r="H6" s="116" t="s">
        <v>318</v>
      </c>
      <c r="I6" s="115">
        <v>60</v>
      </c>
      <c r="J6" s="115">
        <v>60</v>
      </c>
      <c r="K6" s="117">
        <v>4</v>
      </c>
      <c r="L6" s="117">
        <v>2</v>
      </c>
      <c r="M6" s="114">
        <v>1297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雪ミク2017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18">
        <v>30</v>
      </c>
      <c r="T6" s="119">
        <v>2.5</v>
      </c>
      <c r="U6" s="98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131197.5</v>
      </c>
      <c r="V6" s="119">
        <v>1.7</v>
      </c>
      <c r="W6" s="98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5905.8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6" s="120">
        <v>39009013</v>
      </c>
      <c r="AA6" s="125">
        <v>2</v>
      </c>
    </row>
    <row r="7" spans="1:27" ht="21" customHeight="1" x14ac:dyDescent="0.15">
      <c r="A7" s="16" t="str">
        <f t="shared" si="0"/>
        <v>39009_2-4/1298&lt;lv30&gt;sq4st3</v>
      </c>
      <c r="B7" s="124">
        <v>39009</v>
      </c>
      <c r="C7" s="114">
        <v>2</v>
      </c>
      <c r="D7" s="114" t="str">
        <f t="shared" si="1"/>
        <v>39009_2</v>
      </c>
      <c r="E7" s="115" t="str">
        <f ca="1">VLOOKUP($B7,OFFSET([2]quests!$A$1,0,0,COUNTA([2]quests!$A:$A),MATCH(E$1,[2]quests!$1:$1,0)-MATCH($B$1,[2]quests!$1:$1,0)+1),MATCH(E$1,[2]quests!$1:$1,0)-MATCH($B$1,[2]quests!$1:$1,0)+1,FALSE)</f>
        <v>星空の歌姫</v>
      </c>
      <c r="F7" s="115" t="str">
        <f ca="1">VLOOKUP($D7,OFFSET([2]stages!$A$1,0,0,COUNTA([2]stages!$A:$A),MATCH(F$1,[2]stages!$2:$2,0)-MATCH($D$1,[2]stages!$2:$2,0)+1),MATCH(F$1,[2]stages!$2:$2,0)-MATCH($D$1,[2]stages!$2:$2,0)+1,FALSE)</f>
        <v>【中級】星空の歌姫</v>
      </c>
      <c r="G7" s="114">
        <v>4</v>
      </c>
      <c r="H7" s="116" t="s">
        <v>318</v>
      </c>
      <c r="I7" s="115">
        <v>60</v>
      </c>
      <c r="J7" s="115">
        <v>60</v>
      </c>
      <c r="K7" s="117">
        <v>4</v>
      </c>
      <c r="L7" s="117">
        <v>3</v>
      </c>
      <c r="M7" s="114">
        <v>1298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星空の歌姫 雪ミク2017</v>
      </c>
      <c r="O7" s="17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118">
        <v>30</v>
      </c>
      <c r="T7" s="119">
        <v>2.5</v>
      </c>
      <c r="U7" s="98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122897.5</v>
      </c>
      <c r="V7" s="119">
        <v>1.3</v>
      </c>
      <c r="W7" s="98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3944.2000000000003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7" s="120">
        <v>39009014</v>
      </c>
      <c r="AA7" s="125">
        <v>1</v>
      </c>
    </row>
    <row r="8" spans="1:27" ht="21" customHeight="1" x14ac:dyDescent="0.15">
      <c r="A8" s="16" t="str">
        <f t="shared" si="0"/>
        <v>39009_3-2/1297&lt;lv40&gt;sq5st2</v>
      </c>
      <c r="B8" s="22">
        <v>39009</v>
      </c>
      <c r="C8" s="21">
        <v>3</v>
      </c>
      <c r="D8" s="2" t="str">
        <f t="shared" si="1"/>
        <v>39009_3</v>
      </c>
      <c r="E8" s="4" t="str">
        <f ca="1">VLOOKUP($B8,OFFSET([2]quests!$A$1,0,0,COUNTA([2]quests!$A:$A),MATCH(E$1,[2]quests!$1:$1,0)-MATCH($B$1,[2]quests!$1:$1,0)+1),MATCH(E$1,[2]quests!$1:$1,0)-MATCH($B$1,[2]quests!$1:$1,0)+1,FALSE)</f>
        <v>星空の歌姫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【上級】星空の歌姫</v>
      </c>
      <c r="G8" s="21">
        <v>2</v>
      </c>
      <c r="H8" s="15" t="s">
        <v>317</v>
      </c>
      <c r="I8" s="4">
        <v>60</v>
      </c>
      <c r="J8" s="4">
        <v>60</v>
      </c>
      <c r="K8" s="38">
        <v>5</v>
      </c>
      <c r="L8" s="38">
        <v>2</v>
      </c>
      <c r="M8" s="20">
        <v>1297</v>
      </c>
      <c r="N8" s="17" t="str">
        <f ca="1">VLOOKUP($M8,OFFSET([3]enemies!$A$1,0,0,COUNTA([3]enemies!$A:$A),MATCH(N$1,[3]enemies!$1:$1,0)-MATCH($M$1,[3]enemies!$1:$1,0)+1),MATCH(N$1,[3]enemies!$1:$1,0)-MATCH($M$1,[3]enemies!$1:$1,0)+1,FALSE)</f>
        <v>雪ミク2017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unknown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40</v>
      </c>
      <c r="T8" s="25">
        <v>0.6</v>
      </c>
      <c r="U8" s="98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41483.4</v>
      </c>
      <c r="V8" s="25">
        <v>1.3</v>
      </c>
      <c r="W8" s="98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5950.1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3ターン攻撃力UP</v>
      </c>
      <c r="Z8" s="62">
        <v>39009016</v>
      </c>
      <c r="AA8" s="101">
        <v>2</v>
      </c>
    </row>
    <row r="9" spans="1:27" ht="21" customHeight="1" x14ac:dyDescent="0.15">
      <c r="A9" s="16" t="str">
        <f t="shared" si="0"/>
        <v>39009_3-4/1297&lt;lv40&gt;sq6st2</v>
      </c>
      <c r="B9" s="22">
        <v>39009</v>
      </c>
      <c r="C9" s="21">
        <v>3</v>
      </c>
      <c r="D9" s="2" t="str">
        <f t="shared" si="1"/>
        <v>39009_3</v>
      </c>
      <c r="E9" s="4" t="str">
        <f ca="1">VLOOKUP($B9,OFFSET([2]quests!$A$1,0,0,COUNTA([2]quests!$A:$A),MATCH(E$1,[2]quests!$1:$1,0)-MATCH($B$1,[2]quests!$1:$1,0)+1),MATCH(E$1,[2]quests!$1:$1,0)-MATCH($B$1,[2]quests!$1:$1,0)+1,FALSE)</f>
        <v>星空の歌姫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【上級】星空の歌姫</v>
      </c>
      <c r="G9" s="21">
        <v>4</v>
      </c>
      <c r="H9" s="15" t="s">
        <v>318</v>
      </c>
      <c r="I9" s="4">
        <v>60</v>
      </c>
      <c r="J9" s="4">
        <v>60</v>
      </c>
      <c r="K9" s="38">
        <v>6</v>
      </c>
      <c r="L9" s="38">
        <v>2</v>
      </c>
      <c r="M9" s="20">
        <v>1297</v>
      </c>
      <c r="N9" s="17" t="str">
        <f ca="1">VLOOKUP($M9,OFFSET([3]enemies!$A$1,0,0,COUNTA([3]enemies!$A:$A),MATCH(N$1,[3]enemies!$1:$1,0)-MATCH($M$1,[3]enemies!$1:$1,0)+1),MATCH(N$1,[3]enemies!$1:$1,0)-MATCH($M$1,[3]enemies!$1:$1,0)+1,FALSE)</f>
        <v>雪ミク2017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40</v>
      </c>
      <c r="T9" s="25">
        <v>2.7</v>
      </c>
      <c r="U9" s="98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186675.30000000002</v>
      </c>
      <c r="V9" s="25">
        <v>1.7</v>
      </c>
      <c r="W9" s="98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7780.9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9" s="62">
        <v>39009020</v>
      </c>
      <c r="AA9" s="101">
        <v>2</v>
      </c>
    </row>
    <row r="10" spans="1:27" ht="21" customHeight="1" x14ac:dyDescent="0.15">
      <c r="A10" s="16" t="str">
        <f t="shared" si="0"/>
        <v>39009_3-4/1298&lt;lv40&gt;sq6st3</v>
      </c>
      <c r="B10" s="22">
        <v>39009</v>
      </c>
      <c r="C10" s="21">
        <v>3</v>
      </c>
      <c r="D10" s="2" t="str">
        <f t="shared" si="1"/>
        <v>39009_3</v>
      </c>
      <c r="E10" s="4" t="str">
        <f ca="1">VLOOKUP($B10,OFFSET([2]quests!$A$1,0,0,COUNTA([2]quests!$A:$A),MATCH(E$1,[2]quests!$1:$1,0)-MATCH($B$1,[2]quests!$1:$1,0)+1),MATCH(E$1,[2]quests!$1:$1,0)-MATCH($B$1,[2]quests!$1:$1,0)+1,FALSE)</f>
        <v>星空の歌姫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【上級】星空の歌姫</v>
      </c>
      <c r="G10" s="21">
        <v>4</v>
      </c>
      <c r="H10" s="15" t="s">
        <v>318</v>
      </c>
      <c r="I10" s="4">
        <v>60</v>
      </c>
      <c r="J10" s="4">
        <v>60</v>
      </c>
      <c r="K10" s="38">
        <v>6</v>
      </c>
      <c r="L10" s="38">
        <v>3</v>
      </c>
      <c r="M10" s="20">
        <v>1298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星空の歌姫 雪ミク2017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40</v>
      </c>
      <c r="T10" s="25">
        <v>2.7</v>
      </c>
      <c r="U10" s="98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174865.5</v>
      </c>
      <c r="V10" s="25">
        <v>1.3</v>
      </c>
      <c r="W10" s="98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5196.1000000000004</v>
      </c>
      <c r="X10" s="5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10" s="62">
        <v>39009021</v>
      </c>
      <c r="AA10" s="101">
        <v>1</v>
      </c>
    </row>
    <row r="11" spans="1:27" ht="21" customHeight="1" x14ac:dyDescent="0.15">
      <c r="A11" s="16" t="str">
        <f t="shared" si="0"/>
        <v>39009_4-2/1297&lt;lv60&gt;sq7st2</v>
      </c>
      <c r="B11" s="124">
        <v>39009</v>
      </c>
      <c r="C11" s="114">
        <v>4</v>
      </c>
      <c r="D11" s="114" t="s">
        <v>314</v>
      </c>
      <c r="E11" s="115" t="s">
        <v>315</v>
      </c>
      <c r="F11" s="115" t="s">
        <v>316</v>
      </c>
      <c r="G11" s="114">
        <v>2</v>
      </c>
      <c r="H11" s="116" t="s">
        <v>317</v>
      </c>
      <c r="I11" s="115">
        <v>60</v>
      </c>
      <c r="J11" s="115">
        <v>60</v>
      </c>
      <c r="K11" s="117">
        <v>7</v>
      </c>
      <c r="L11" s="117">
        <v>2</v>
      </c>
      <c r="M11" s="114">
        <v>1297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雪ミク2017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unknown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118">
        <v>60</v>
      </c>
      <c r="T11" s="119">
        <v>0.6</v>
      </c>
      <c r="U11" s="98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61475.399999999994</v>
      </c>
      <c r="V11" s="119">
        <v>1.3</v>
      </c>
      <c r="W11" s="98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8817.9</v>
      </c>
      <c r="X11" s="5">
        <v>0</v>
      </c>
      <c r="Y11" s="4" t="str">
        <f ca="1">VLOOKUP($Z11,OFFSET(enemy_skill_sets!$B$1,0,0,COUNTA(enemy_skill_sets!$B:$B),MATCH(N$1,enemy_skill_sets!$1:$1,0)-MATCH($Z$1,enemy_skill_sets!$1:$1,0)+2),MATCH(N$1,enemy_skill_sets!$1:$1,0)-MATCH($Z$1,enemy_skill_sets!$1:$1,0)+2,FALSE)</f>
        <v>3ターン攻撃力UP</v>
      </c>
      <c r="Z11" s="120">
        <v>39009023</v>
      </c>
      <c r="AA11" s="125">
        <v>2</v>
      </c>
    </row>
    <row r="12" spans="1:27" ht="21" customHeight="1" x14ac:dyDescent="0.15">
      <c r="A12" s="16" t="str">
        <f t="shared" si="0"/>
        <v>39009_4-4/1297&lt;lv60&gt;sq8st2</v>
      </c>
      <c r="B12" s="124">
        <v>39009</v>
      </c>
      <c r="C12" s="114">
        <v>4</v>
      </c>
      <c r="D12" s="114" t="s">
        <v>314</v>
      </c>
      <c r="E12" s="115" t="s">
        <v>315</v>
      </c>
      <c r="F12" s="115" t="s">
        <v>316</v>
      </c>
      <c r="G12" s="114">
        <v>4</v>
      </c>
      <c r="H12" s="116" t="s">
        <v>318</v>
      </c>
      <c r="I12" s="115">
        <v>60</v>
      </c>
      <c r="J12" s="115">
        <v>60</v>
      </c>
      <c r="K12" s="117">
        <v>8</v>
      </c>
      <c r="L12" s="117">
        <v>2</v>
      </c>
      <c r="M12" s="114">
        <v>1297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雪ミク2017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unknown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118">
        <v>60</v>
      </c>
      <c r="T12" s="119">
        <v>2.6</v>
      </c>
      <c r="U12" s="98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266393.40000000002</v>
      </c>
      <c r="V12" s="119">
        <v>1.6</v>
      </c>
      <c r="W12" s="98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10852.800000000001</v>
      </c>
      <c r="X12" s="5">
        <v>0</v>
      </c>
      <c r="Y12" s="4" t="str">
        <f ca="1">VLOOKUP($Z12,OFFSET(enemy_skill_sets!$B$1,0,0,COUNTA(enemy_skill_sets!$B:$B),MATCH(N$1,enemy_skill_sets!$1:$1,0)-MATCH($Z$1,enemy_skill_sets!$1:$1,0)+2),MATCH(N$1,enemy_skill_sets!$1:$1,0)-MATCH($Z$1,enemy_skill_sets!$1:$1,0)+2,FALSE)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12" s="120">
        <v>39009027</v>
      </c>
      <c r="AA12" s="125">
        <v>2</v>
      </c>
    </row>
    <row r="13" spans="1:27" ht="21" customHeight="1" x14ac:dyDescent="0.15">
      <c r="A13" s="16" t="str">
        <f t="shared" si="0"/>
        <v>39009_4-4/1298&lt;lv60&gt;sq8st3</v>
      </c>
      <c r="B13" s="124">
        <v>39009</v>
      </c>
      <c r="C13" s="114">
        <v>4</v>
      </c>
      <c r="D13" s="114" t="s">
        <v>314</v>
      </c>
      <c r="E13" s="115" t="s">
        <v>315</v>
      </c>
      <c r="F13" s="115" t="s">
        <v>316</v>
      </c>
      <c r="G13" s="114">
        <v>4</v>
      </c>
      <c r="H13" s="116" t="s">
        <v>318</v>
      </c>
      <c r="I13" s="115">
        <v>60</v>
      </c>
      <c r="J13" s="115">
        <v>60</v>
      </c>
      <c r="K13" s="117">
        <v>8</v>
      </c>
      <c r="L13" s="117">
        <v>3</v>
      </c>
      <c r="M13" s="114">
        <v>1298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星空の歌姫 雪ミク2017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unknown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118">
        <v>60</v>
      </c>
      <c r="T13" s="119">
        <v>2.6</v>
      </c>
      <c r="U13" s="98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249540.2</v>
      </c>
      <c r="V13" s="119">
        <v>1.3</v>
      </c>
      <c r="W13" s="98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7699.9000000000005</v>
      </c>
      <c r="X13" s="5">
        <v>0</v>
      </c>
      <c r="Y13" s="4" t="str">
        <f ca="1">VLOOKUP($Z13,OFFSET(enemy_skill_sets!$B$1,0,0,COUNTA(enemy_skill_sets!$B:$B),MATCH(N$1,enemy_skill_sets!$1:$1,0)-MATCH($Z$1,enemy_skill_sets!$1:$1,0)+2),MATCH(N$1,enemy_skill_sets!$1:$1,0)-MATCH($Z$1,enemy_skill_sets!$1:$1,0)+2,FALSE)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13" s="120">
        <v>39009028</v>
      </c>
      <c r="AA13" s="125">
        <v>1</v>
      </c>
    </row>
    <row r="14" spans="1:27" ht="21" customHeight="1" x14ac:dyDescent="0.15">
      <c r="A14" s="16" t="str">
        <f t="shared" si="0"/>
        <v>39009_5-2/1297&lt;lv80&gt;sq9st2</v>
      </c>
      <c r="B14" s="22">
        <v>39009</v>
      </c>
      <c r="C14" s="21">
        <v>5</v>
      </c>
      <c r="D14" s="2" t="str">
        <f t="shared" si="1"/>
        <v>39009_5</v>
      </c>
      <c r="E14" s="4" t="str">
        <f ca="1">VLOOKUP($B14,OFFSET([2]quests!$A$1,0,0,COUNTA([2]quests!$A:$A),MATCH(E$1,[2]quests!$1:$1,0)-MATCH($B$1,[2]quests!$1:$1,0)+1),MATCH(E$1,[2]quests!$1:$1,0)-MATCH($B$1,[2]quests!$1:$1,0)+1,FALSE)</f>
        <v>星空の歌姫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【超絶級】星空の歌姫</v>
      </c>
      <c r="G14" s="21">
        <v>2</v>
      </c>
      <c r="H14" s="15" t="str">
        <f t="shared" ref="H14:H16" si="2">B14&amp;"_"&amp;C14&amp;"-"&amp;G14</f>
        <v>39009_5-2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9</v>
      </c>
      <c r="L14" s="38">
        <v>2</v>
      </c>
      <c r="M14" s="20">
        <v>1297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雪ミク2017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green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DropWizS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unknown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80</v>
      </c>
      <c r="T14" s="25">
        <v>0.6</v>
      </c>
      <c r="U14" s="98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81467.399999999994</v>
      </c>
      <c r="V14" s="25">
        <v>1.6</v>
      </c>
      <c r="W14" s="98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14382.400000000001</v>
      </c>
      <c r="X14" s="5">
        <v>0</v>
      </c>
      <c r="Y14" s="4" t="str">
        <f ca="1">VLOOKUP($Z14,OFFSET(enemy_skill_sets!$B$1,0,0,COUNTA(enemy_skill_sets!$B:$B),MATCH(N$1,enemy_skill_sets!$1:$1,0)-MATCH($Z$1,enemy_skill_sets!$1:$1,0)+2),MATCH(N$1,enemy_skill_sets!$1:$1,0)-MATCH($Z$1,enemy_skill_sets!$1:$1,0)+2,FALSE)</f>
        <v>3ターン攻撃力UP</v>
      </c>
      <c r="Z14" s="62">
        <v>39009030</v>
      </c>
      <c r="AA14" s="101">
        <v>2</v>
      </c>
    </row>
    <row r="15" spans="1:27" ht="21" customHeight="1" x14ac:dyDescent="0.15">
      <c r="A15" s="16" t="str">
        <f t="shared" si="0"/>
        <v>39009_5-4/1297&lt;lv80&gt;sq10st2</v>
      </c>
      <c r="B15" s="22">
        <v>39009</v>
      </c>
      <c r="C15" s="21">
        <v>5</v>
      </c>
      <c r="D15" s="2" t="str">
        <f t="shared" si="1"/>
        <v>39009_5</v>
      </c>
      <c r="E15" s="4" t="str">
        <f ca="1">VLOOKUP($B15,OFFSET([2]quests!$A$1,0,0,COUNTA([2]quests!$A:$A),MATCH(E$1,[2]quests!$1:$1,0)-MATCH($B$1,[2]quests!$1:$1,0)+1),MATCH(E$1,[2]quests!$1:$1,0)-MATCH($B$1,[2]quests!$1:$1,0)+1,FALSE)</f>
        <v>星空の歌姫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【超絶級】星空の歌姫</v>
      </c>
      <c r="G15" s="21">
        <v>4</v>
      </c>
      <c r="H15" s="15" t="str">
        <f t="shared" si="2"/>
        <v>39009_5-4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10</v>
      </c>
      <c r="L15" s="38">
        <v>2</v>
      </c>
      <c r="M15" s="20">
        <v>1297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雪ミク2017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green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DropWizS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unknown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80</v>
      </c>
      <c r="T15" s="25">
        <v>2.9</v>
      </c>
      <c r="U15" s="98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393759.1</v>
      </c>
      <c r="V15" s="25">
        <v>2</v>
      </c>
      <c r="W15" s="98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17978</v>
      </c>
      <c r="X15" s="5">
        <v>0</v>
      </c>
      <c r="Y15" s="4" t="str">
        <f ca="1">VLOOKUP($Z15,OFFSET(enemy_skill_sets!$B$1,0,0,COUNTA(enemy_skill_sets!$B:$B),MATCH(N$1,enemy_skill_sets!$1:$1,0)-MATCH($Z$1,enemy_skill_sets!$1:$1,0)+2),MATCH(N$1,enemy_skill_sets!$1:$1,0)-MATCH($Z$1,enemy_skill_sets!$1:$1,0)+2,FALSE)</f>
        <v>[表示しない]</v>
      </c>
      <c r="Z15" s="62">
        <v>39009034</v>
      </c>
      <c r="AA15" s="101">
        <v>2</v>
      </c>
    </row>
    <row r="16" spans="1:27" ht="21" customHeight="1" x14ac:dyDescent="0.15">
      <c r="A16" s="16" t="str">
        <f t="shared" si="0"/>
        <v>39009_5-4/1298&lt;lv80&gt;sq10st3</v>
      </c>
      <c r="B16" s="22">
        <v>39009</v>
      </c>
      <c r="C16" s="21">
        <v>5</v>
      </c>
      <c r="D16" s="2" t="str">
        <f t="shared" si="1"/>
        <v>39009_5</v>
      </c>
      <c r="E16" s="4" t="str">
        <f ca="1">VLOOKUP($B16,OFFSET([2]quests!$A$1,0,0,COUNTA([2]quests!$A:$A),MATCH(E$1,[2]quests!$1:$1,0)-MATCH($B$1,[2]quests!$1:$1,0)+1),MATCH(E$1,[2]quests!$1:$1,0)-MATCH($B$1,[2]quests!$1:$1,0)+1,FALSE)</f>
        <v>星空の歌姫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【超絶級】星空の歌姫</v>
      </c>
      <c r="G16" s="21">
        <v>4</v>
      </c>
      <c r="H16" s="15" t="str">
        <f t="shared" si="2"/>
        <v>39009_5-4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10</v>
      </c>
      <c r="L16" s="38">
        <v>3</v>
      </c>
      <c r="M16" s="20">
        <v>1298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星空の歌姫 雪ミク2017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green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DropWizS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80</v>
      </c>
      <c r="T16" s="25">
        <v>2.9</v>
      </c>
      <c r="U16" s="98">
        <f ca="1">ROUND(VLOOKUP(S16,[3]enemy_base_stats!$A:$F,2,FALSE) *INDIRECT("[EnemyMasterData.xlsm]enemies!Y"&amp;(M16+1))*  INDIRECT("[EnemyMasterData.xlsm]enemies!J"&amp;(M16+1))* INDIRECT("[EnemyMasterData.xlsm]enemies!O"&amp;(M16+1))* INDIRECT("[EnemyMasterData.xlsm]enemies!E"&amp;(M16+1))* INDIRECT("[EnemyMasterData.xlsm]enemies!S"&amp;(M16+1))* INDIRECT("[EnemyMasterData.xlsm]enemies!AD"&amp;(M16+1))*[4]ステータス!$B$2,0)*T16</f>
        <v>368848.1</v>
      </c>
      <c r="V16" s="25">
        <v>1.5</v>
      </c>
      <c r="W16" s="98">
        <f ca="1">ROUND(VLOOKUP(S16,[3]enemy_base_stats!$A:$F,3,FALSE) *INDIRECT("[EnemyMasterData.xlsm]enemies!Z"&amp;(M16+1))*  INDIRECT("[EnemyMasterData.xlsm]enemies!K"&amp;(M16+1))* INDIRECT("[EnemyMasterData.xlsm]enemies!P"&amp;(M16+1))* INDIRECT("[EnemyMasterData.xlsm]enemies!F"&amp;(M16+1))* INDIRECT("[EnemyMasterData.xlsm]enemies!T"&amp;(M16+1))* INDIRECT("[EnemyMasterData.xlsm]enemies!AE"&amp;(M16+1))*[4]ステータス!$C$2,0)*V16</f>
        <v>11775</v>
      </c>
      <c r="X16" s="5">
        <v>0</v>
      </c>
      <c r="Y16" s="4" t="str">
        <f ca="1">VLOOKUP($Z16,OFFSET(enemy_skill_sets!$B$1,0,0,COUNTA(enemy_skill_sets!$B:$B),MATCH(N$1,enemy_skill_sets!$1:$1,0)-MATCH($Z$1,enemy_skill_sets!$1:$1,0)+2),MATCH(N$1,enemy_skill_sets!$1:$1,0)-MATCH($Z$1,enemy_skill_sets!$1:$1,0)+2,FALSE)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16" s="62">
        <v>39009035</v>
      </c>
      <c r="AA16" s="10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86"/>
  <sheetViews>
    <sheetView showGridLines="0" workbookViewId="0">
      <pane xSplit="5" ySplit="1" topLeftCell="H234" activePane="bottomRight" state="frozen"/>
      <selection pane="topRight"/>
      <selection pane="bottomLeft"/>
      <selection pane="bottomRight" activeCell="D258" sqref="D25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39009001_39009001</v>
      </c>
      <c r="B2" s="127">
        <v>39009001</v>
      </c>
      <c r="C2" s="142">
        <v>39009001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雪まつりへようこそ♪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2" s="47">
        <v>39009001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2" si="1">B3&amp;"_"&amp;C3</f>
        <v>39009001_39009030</v>
      </c>
      <c r="B3" s="127">
        <v>39009001</v>
      </c>
      <c r="C3" s="47">
        <v>39009030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39009002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7"/>
      <c r="Q3" s="47"/>
      <c r="R3" s="47"/>
    </row>
    <row r="4" spans="1:18" ht="21" customHeight="1" x14ac:dyDescent="0.15">
      <c r="A4" s="39" t="str">
        <f t="shared" si="1"/>
        <v>39009001_39009031</v>
      </c>
      <c r="B4" s="127">
        <v>39009001</v>
      </c>
      <c r="C4" s="47">
        <v>39009031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4" s="47">
        <v>39009003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1"/>
        <v>39009001_39009032</v>
      </c>
      <c r="B5" s="127">
        <v>39009001</v>
      </c>
      <c r="C5" s="47">
        <v>39009032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自己回復+全体攻撃</v>
      </c>
      <c r="F5" s="47">
        <v>39009004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1"/>
        <v>39009001_39009033</v>
      </c>
      <c r="B6" s="127">
        <v>39009001</v>
      </c>
      <c r="C6" s="47">
        <v>39009033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" s="47">
        <v>39009005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7"/>
      <c r="Q6" s="47"/>
      <c r="R6" s="47"/>
    </row>
    <row r="7" spans="1:18" ht="21" customHeight="1" x14ac:dyDescent="0.15">
      <c r="A7" s="39" t="str">
        <f t="shared" si="1"/>
        <v>39009001_39009002</v>
      </c>
      <c r="B7" s="127">
        <v>39009001</v>
      </c>
      <c r="C7" s="142">
        <v>39009002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7" s="47">
        <v>39009006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7"/>
      <c r="Q7" s="47"/>
      <c r="R7" s="47"/>
    </row>
    <row r="8" spans="1:18" ht="21" customHeight="1" x14ac:dyDescent="0.15">
      <c r="A8" s="39" t="str">
        <f t="shared" si="1"/>
        <v>39009001_39009035</v>
      </c>
      <c r="B8" s="127">
        <v>39009001</v>
      </c>
      <c r="C8" s="47">
        <v>39009035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自己回復</v>
      </c>
      <c r="F8" s="47">
        <v>39009007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1"/>
        <v>39009001_39009036</v>
      </c>
      <c r="B9" s="127">
        <v>39009001</v>
      </c>
      <c r="C9" s="47">
        <v>39009036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9" s="47">
        <v>39009008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  <row r="10" spans="1:18" ht="21" customHeight="1" x14ac:dyDescent="0.15">
      <c r="A10" s="39" t="str">
        <f t="shared" si="1"/>
        <v>39009002_39009037</v>
      </c>
      <c r="B10" s="127">
        <v>39009002</v>
      </c>
      <c r="C10" s="127">
        <v>39009037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星の輝きのように強く♪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0" s="127">
        <v>39009009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39009002_39009038</v>
      </c>
      <c r="B11" s="127">
        <v>39009002</v>
      </c>
      <c r="C11" s="127">
        <v>39009038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127">
        <v>39009010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1"/>
        <v>39009002_39009039</v>
      </c>
      <c r="B12" s="127">
        <v>39009002</v>
      </c>
      <c r="C12" s="127">
        <v>39009039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自己回復+2回連続攻撃</v>
      </c>
      <c r="F12" s="127">
        <v>39009011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ref="A13:A105" si="2">B13&amp;"_"&amp;C13</f>
        <v>39009002_39009040</v>
      </c>
      <c r="B13" s="127">
        <v>39009002</v>
      </c>
      <c r="C13" s="127">
        <v>39009040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シャイニーメテオ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13" s="127">
        <v>39009012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47"/>
      <c r="Q13" s="47"/>
      <c r="R13" s="47"/>
    </row>
    <row r="14" spans="1:18" ht="21" customHeight="1" x14ac:dyDescent="0.15">
      <c r="A14" s="39" t="str">
        <f t="shared" si="2"/>
        <v>39009002_39009041</v>
      </c>
      <c r="B14" s="127">
        <v>39009002</v>
      </c>
      <c r="C14" s="127">
        <v>39009041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4" s="127">
        <v>39009013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 x14ac:dyDescent="0.15">
      <c r="A15" s="39" t="str">
        <f t="shared" si="2"/>
        <v>39009002_39009003</v>
      </c>
      <c r="B15" s="127">
        <v>39009002</v>
      </c>
      <c r="C15" s="143">
        <v>39009003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5" s="127">
        <v>39009014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7"/>
      <c r="Q15" s="47"/>
      <c r="R15" s="47"/>
    </row>
    <row r="16" spans="1:18" ht="21" customHeight="1" x14ac:dyDescent="0.15">
      <c r="A16" s="39" t="str">
        <f t="shared" si="2"/>
        <v>39009002_39009043</v>
      </c>
      <c r="B16" s="127">
        <v>39009002</v>
      </c>
      <c r="C16" s="127">
        <v>39009043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自己回復</v>
      </c>
      <c r="F16" s="127">
        <v>39009015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47"/>
      <c r="Q16" s="47"/>
      <c r="R16" s="47"/>
    </row>
    <row r="17" spans="1:18" ht="21" customHeight="1" x14ac:dyDescent="0.15">
      <c r="A17" s="39" t="str">
        <f t="shared" si="2"/>
        <v>39009002_39009044</v>
      </c>
      <c r="B17" s="127">
        <v>39009002</v>
      </c>
      <c r="C17" s="127">
        <v>39009044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17" s="127">
        <v>39009016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si="2"/>
        <v>39009003_39009045</v>
      </c>
      <c r="B18" s="127">
        <v>39009003</v>
      </c>
      <c r="C18" s="128">
        <v>39009045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3ターン回復効果付与</v>
      </c>
      <c r="F18" s="128">
        <v>39009017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39009004_39009046</v>
      </c>
      <c r="B19" s="127">
        <v>39009004</v>
      </c>
      <c r="C19" s="129">
        <v>39009046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こんにちわ♪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" s="129">
        <v>39009018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39009005_39009004</v>
      </c>
      <c r="B20" s="127">
        <v>39009005</v>
      </c>
      <c r="C20" s="144">
        <v>39009004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パワフルな願い星をどうぞ☆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緑パネルを緑のダメージパネルに2個変換</v>
      </c>
      <c r="F20" s="131">
        <v>39009019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32" si="3">B21&amp;"_"&amp;C21</f>
        <v>39009005_39009050</v>
      </c>
      <c r="B21" s="127">
        <v>39009005</v>
      </c>
      <c r="C21" s="131">
        <v>39009050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" s="131">
        <v>39009020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39009005_39009051</v>
      </c>
      <c r="B22" s="127">
        <v>39009005</v>
      </c>
      <c r="C22" s="131">
        <v>39009051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131">
        <v>39009021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39009005_39009052</v>
      </c>
      <c r="B23" s="127">
        <v>39009005</v>
      </c>
      <c r="C23" s="131">
        <v>39009052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31">
        <v>39009022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39009005_39009056</v>
      </c>
      <c r="B24" s="127">
        <v>39009005</v>
      </c>
      <c r="C24" s="131">
        <v>39009056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" s="131">
        <v>39009023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39009005_39009056</v>
      </c>
      <c r="B25" s="127">
        <v>39009005</v>
      </c>
      <c r="C25" s="131">
        <v>39009056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" s="131">
        <v>39009024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39009005_39009051</v>
      </c>
      <c r="B26" s="127">
        <v>39009005</v>
      </c>
      <c r="C26" s="131">
        <v>39009051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131">
        <v>39009025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39009005_39009052</v>
      </c>
      <c r="B27" s="127">
        <v>39009005</v>
      </c>
      <c r="C27" s="131">
        <v>39009052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" s="131">
        <v>39009026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39009005_39009049</v>
      </c>
      <c r="B28" s="127">
        <v>39009005</v>
      </c>
      <c r="C28" s="131">
        <v>39009049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" s="131">
        <v>39009027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3"/>
        <v>39009005_39009049</v>
      </c>
      <c r="B29" s="127">
        <v>39009005</v>
      </c>
      <c r="C29" s="131">
        <v>39009049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" s="131">
        <v>39009028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3"/>
        <v>39009005_39009050</v>
      </c>
      <c r="B30" s="127">
        <v>39009005</v>
      </c>
      <c r="C30" s="131">
        <v>39009050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" s="131">
        <v>39009029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3"/>
        <v>39009005_39009050</v>
      </c>
      <c r="B31" s="127">
        <v>39009005</v>
      </c>
      <c r="C31" s="131">
        <v>39009050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" s="131">
        <v>39009030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39009005_39009055</v>
      </c>
      <c r="B32" s="127">
        <v>39009005</v>
      </c>
      <c r="C32" s="131">
        <v>39009055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KAITOさーん！_x000D_アイスの星座つくろっ☆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" s="131">
        <v>39009031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39009005_39009049</v>
      </c>
      <c r="B33" s="127">
        <v>39009005</v>
      </c>
      <c r="C33" s="131">
        <v>39009049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" s="131">
        <v>39009032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39009005_39009049</v>
      </c>
      <c r="B34" s="127">
        <v>39009005</v>
      </c>
      <c r="C34" s="131">
        <v>39009049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" s="131">
        <v>39009033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39009005_39009048</v>
      </c>
      <c r="B35" s="127">
        <v>39009005</v>
      </c>
      <c r="C35" s="131">
        <v>39009048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" s="131">
        <v>39009034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39009005_39009048</v>
      </c>
      <c r="B36" s="127">
        <v>39009005</v>
      </c>
      <c r="C36" s="131">
        <v>39009048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6" s="131">
        <v>39009035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39009005_39009049</v>
      </c>
      <c r="B37" s="127">
        <v>39009005</v>
      </c>
      <c r="C37" s="131">
        <v>39009049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31">
        <v>39009036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39009005_39009056</v>
      </c>
      <c r="B38" s="127">
        <v>39009005</v>
      </c>
      <c r="C38" s="131">
        <v>39009056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31">
        <v>39009037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ref="A39:A40" si="4">B39&amp;"_"&amp;C39</f>
        <v>39009005_39009056</v>
      </c>
      <c r="B39" s="127">
        <v>39009005</v>
      </c>
      <c r="C39" s="131">
        <v>39009056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31">
        <v>39009038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39009005_39009050</v>
      </c>
      <c r="B40" s="127">
        <v>39009005</v>
      </c>
      <c r="C40" s="131">
        <v>39009050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31">
        <v>39009039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2" si="5">B41&amp;"_"&amp;C41</f>
        <v>39009005_39009053</v>
      </c>
      <c r="B41" s="127">
        <v>39009005</v>
      </c>
      <c r="C41" s="131">
        <v>39009053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31">
        <v>39009040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39009005_39009054</v>
      </c>
      <c r="B42" s="127">
        <v>39009005</v>
      </c>
      <c r="C42" s="131">
        <v>39009054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MEIKOさん、素敵な夜にしようねっ☆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31">
        <v>39009041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6">B43&amp;"_"&amp;C43</f>
        <v>39009005_39009053</v>
      </c>
      <c r="B43" s="127">
        <v>39009005</v>
      </c>
      <c r="C43" s="131">
        <v>39009053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31">
        <v>39009042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2"/>
        <v>39009005_39009057</v>
      </c>
      <c r="B44" s="127">
        <v>39009005</v>
      </c>
      <c r="C44" s="131">
        <v>39009057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神秘的な光芒を見て…☆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44" s="131">
        <v>39009074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4" s="47"/>
      <c r="Q44" s="47"/>
      <c r="R44" s="47"/>
    </row>
    <row r="45" spans="1:18" ht="21" customHeight="1" x14ac:dyDescent="0.15">
      <c r="A45" s="39" t="str">
        <f t="shared" si="2"/>
        <v>39009005_39009058</v>
      </c>
      <c r="B45" s="127">
        <v>39009005</v>
      </c>
      <c r="C45" s="131">
        <v>39009058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メテオシャワー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131">
        <v>39009075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 x14ac:dyDescent="0.15">
      <c r="A46" s="39" t="str">
        <f t="shared" si="2"/>
        <v>39009005_39009059</v>
      </c>
      <c r="B46" s="127">
        <v>39009005</v>
      </c>
      <c r="C46" s="131">
        <v>39009059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ツインスターシュート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3ターン攻撃力UP+2回連続攻撃</v>
      </c>
      <c r="F46" s="131">
        <v>39009076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2"/>
        <v>39009006_39009060</v>
      </c>
      <c r="B47" s="127">
        <v>39009006</v>
      </c>
      <c r="C47" s="132">
        <v>39009060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お星様にお願いしよっ♪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32">
        <v>39009077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2"/>
        <v>39009006_39009061</v>
      </c>
      <c r="B48" s="127">
        <v>39009006</v>
      </c>
      <c r="C48" s="132">
        <v>39009061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48" s="132">
        <v>39009078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2"/>
        <v>39009006_39009061</v>
      </c>
      <c r="B49" s="127">
        <v>39009006</v>
      </c>
      <c r="C49" s="132">
        <v>39009061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49" s="132">
        <v>39009079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2"/>
        <v>39009006_39009061</v>
      </c>
      <c r="B50" s="127">
        <v>39009006</v>
      </c>
      <c r="C50" s="132">
        <v>39009061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0" s="132">
        <v>39009080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2"/>
        <v>39009006_39009061</v>
      </c>
      <c r="B51" s="127">
        <v>39009006</v>
      </c>
      <c r="C51" s="132">
        <v>39009061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1" s="132">
        <v>39009081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2"/>
        <v>39009006_39009061</v>
      </c>
      <c r="B52" s="127">
        <v>39009006</v>
      </c>
      <c r="C52" s="132">
        <v>39009061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" s="132">
        <v>39009082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2"/>
        <v>39009006_39009061</v>
      </c>
      <c r="B53" s="127">
        <v>39009006</v>
      </c>
      <c r="C53" s="132">
        <v>39009061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" s="132">
        <v>39009083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2"/>
        <v>39009006_39009061</v>
      </c>
      <c r="B54" s="127">
        <v>39009006</v>
      </c>
      <c r="C54" s="132">
        <v>39009061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4" s="132">
        <v>39009084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2"/>
        <v>39009006_39009061</v>
      </c>
      <c r="B55" s="127">
        <v>39009006</v>
      </c>
      <c r="C55" s="132">
        <v>39009061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5" s="132">
        <v>39009085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2"/>
        <v>39009006_39009061</v>
      </c>
      <c r="B56" s="127">
        <v>39009006</v>
      </c>
      <c r="C56" s="132">
        <v>39009061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6" s="132">
        <v>39009086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2"/>
        <v>39009006_39009061</v>
      </c>
      <c r="B57" s="127">
        <v>39009006</v>
      </c>
      <c r="C57" s="132">
        <v>39009061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7" s="132">
        <v>39009087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2"/>
        <v>39009006_39009061</v>
      </c>
      <c r="B58" s="127">
        <v>39009006</v>
      </c>
      <c r="C58" s="132">
        <v>39009061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8" s="132">
        <v>39009088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ref="A59:A69" si="7">B59&amp;"_"&amp;C59</f>
        <v>39009006_39009061</v>
      </c>
      <c r="B59" s="127">
        <v>39009006</v>
      </c>
      <c r="C59" s="132">
        <v>39009061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9" s="132">
        <v>39009089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39009006_39009061</v>
      </c>
      <c r="B60" s="127">
        <v>39009006</v>
      </c>
      <c r="C60" s="132">
        <v>39009061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0" s="132">
        <v>39009090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39009006_39009061</v>
      </c>
      <c r="B61" s="127">
        <v>39009006</v>
      </c>
      <c r="C61" s="132">
        <v>39009061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1" s="132">
        <v>39009091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39009006_39009061</v>
      </c>
      <c r="B62" s="127">
        <v>39009006</v>
      </c>
      <c r="C62" s="132">
        <v>39009061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2" s="132">
        <v>39009092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39009006_39009061</v>
      </c>
      <c r="B63" s="127">
        <v>39009006</v>
      </c>
      <c r="C63" s="132">
        <v>39009061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3" s="132">
        <v>39009093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39009006_39009061</v>
      </c>
      <c r="B64" s="127">
        <v>39009006</v>
      </c>
      <c r="C64" s="132">
        <v>39009061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4" s="132">
        <v>39009094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7"/>
        <v>39009006_39009061</v>
      </c>
      <c r="B65" s="127">
        <v>39009006</v>
      </c>
      <c r="C65" s="132">
        <v>39009061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5" s="132">
        <v>39009095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7"/>
        <v>39009006_39009061</v>
      </c>
      <c r="B66" s="127">
        <v>39009006</v>
      </c>
      <c r="C66" s="132">
        <v>39009061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6" s="132">
        <v>39009096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7"/>
        <v>39009006_39009061</v>
      </c>
      <c r="B67" s="127">
        <v>39009006</v>
      </c>
      <c r="C67" s="132">
        <v>39009061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7" s="132">
        <v>39009097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39009006_39009061</v>
      </c>
      <c r="B68" s="127">
        <v>39009006</v>
      </c>
      <c r="C68" s="132">
        <v>39009061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" s="132">
        <v>39009098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7"/>
        <v>39009006_39009061</v>
      </c>
      <c r="B69" s="127">
        <v>39009006</v>
      </c>
      <c r="C69" s="132">
        <v>39009061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" s="132">
        <v>39009099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" si="8">B70&amp;"_"&amp;C70</f>
        <v>39009006_39009061</v>
      </c>
      <c r="B70" s="127">
        <v>39009006</v>
      </c>
      <c r="C70" s="132">
        <v>39009061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70" s="132">
        <v>39009100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"/>
        <v>39009006_39009062</v>
      </c>
      <c r="B71" s="127">
        <v>39009006</v>
      </c>
      <c r="C71" s="132">
        <v>39009062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スターダスト・ファンタジア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1" s="132">
        <v>39009132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2"/>
        <v>39009006_39009063</v>
      </c>
      <c r="B72" s="127">
        <v>39009006</v>
      </c>
      <c r="C72" s="132">
        <v>39009063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スターライト・ファンタジア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2" s="132">
        <v>39009133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2" s="48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2"/>
        <v>39009006_39009064</v>
      </c>
      <c r="B73" s="127">
        <v>39009006</v>
      </c>
      <c r="C73" s="132">
        <v>39009064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ハーフムーン・ファンタジア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3" s="132">
        <v>39009134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3" s="48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"/>
        <v>39009006_39009065</v>
      </c>
      <c r="B74" s="127">
        <v>39009006</v>
      </c>
      <c r="C74" s="132">
        <v>39009065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フルムーン・ファンタジア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4" s="132">
        <v>39009135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"/>
        <v>39009006_39009066</v>
      </c>
      <c r="B75" s="127">
        <v>39009006</v>
      </c>
      <c r="C75" s="132">
        <v>39009066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ゆっくり楽しもうね♪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3ターン全ユニットの回復力50%DOWN+_x000D_ハートパネルドロップ率DOWN</v>
      </c>
      <c r="F75" s="132">
        <v>39009136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"/>
        <v>39009007_39009067</v>
      </c>
      <c r="B76" s="127">
        <v>39009007</v>
      </c>
      <c r="C76" s="47">
        <v>39009067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もうすぐ夜が明けるよ…♪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6" s="47">
        <v>39009137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:A98" si="9">B77&amp;"_"&amp;C77</f>
        <v>39009007_39009005</v>
      </c>
      <c r="B77" s="127">
        <v>39009007</v>
      </c>
      <c r="C77" s="142">
        <v>39009005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7" s="47">
        <v>39009138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9"/>
        <v>39009007_39009005</v>
      </c>
      <c r="B78" s="127">
        <v>39009007</v>
      </c>
      <c r="C78" s="142">
        <v>39009005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8" s="47">
        <v>39009139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9"/>
        <v>39009007_39009005</v>
      </c>
      <c r="B79" s="127">
        <v>39009007</v>
      </c>
      <c r="C79" s="142">
        <v>39009005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9" s="47">
        <v>39009140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9"/>
        <v>39009007_39009005</v>
      </c>
      <c r="B80" s="127">
        <v>39009007</v>
      </c>
      <c r="C80" s="142">
        <v>39009005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0" s="47">
        <v>39009141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9"/>
        <v>39009007_39009005</v>
      </c>
      <c r="B81" s="127">
        <v>39009007</v>
      </c>
      <c r="C81" s="142">
        <v>39009005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1" s="47">
        <v>39009142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9"/>
        <v>39009007_39009005</v>
      </c>
      <c r="B82" s="127">
        <v>39009007</v>
      </c>
      <c r="C82" s="142">
        <v>39009005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2" s="47">
        <v>39009143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9"/>
        <v>39009007_39009005</v>
      </c>
      <c r="B83" s="127">
        <v>39009007</v>
      </c>
      <c r="C83" s="142">
        <v>39009005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3" s="47">
        <v>39009144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9"/>
        <v>39009007_39009005</v>
      </c>
      <c r="B84" s="127">
        <v>39009007</v>
      </c>
      <c r="C84" s="142">
        <v>39009005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4" s="47">
        <v>39009145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9"/>
        <v>39009007_39009005</v>
      </c>
      <c r="B85" s="127">
        <v>39009007</v>
      </c>
      <c r="C85" s="142">
        <v>39009005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5" s="47">
        <v>39009146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9"/>
        <v>39009007_39009005</v>
      </c>
      <c r="B86" s="127">
        <v>39009007</v>
      </c>
      <c r="C86" s="142">
        <v>39009005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6" s="47">
        <v>39009147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9"/>
        <v>39009007_39009005</v>
      </c>
      <c r="B87" s="127">
        <v>39009007</v>
      </c>
      <c r="C87" s="142">
        <v>39009005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7" s="47">
        <v>39009148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9"/>
        <v>39009007_39009005</v>
      </c>
      <c r="B88" s="127">
        <v>39009007</v>
      </c>
      <c r="C88" s="142">
        <v>39009005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8" s="47">
        <v>39009149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9"/>
        <v>39009007_39009005</v>
      </c>
      <c r="B89" s="127">
        <v>39009007</v>
      </c>
      <c r="C89" s="142">
        <v>39009005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89" s="47">
        <v>39009150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9"/>
        <v>39009007_39009005</v>
      </c>
      <c r="B90" s="127">
        <v>39009007</v>
      </c>
      <c r="C90" s="142">
        <v>39009005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0" s="47">
        <v>39009151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9"/>
        <v>39009007_39009005</v>
      </c>
      <c r="B91" s="127">
        <v>39009007</v>
      </c>
      <c r="C91" s="142">
        <v>39009005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1" s="47">
        <v>39009152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9"/>
        <v>39009007_39009005</v>
      </c>
      <c r="B92" s="127">
        <v>39009007</v>
      </c>
      <c r="C92" s="142">
        <v>39009005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2" s="47">
        <v>39009153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9"/>
        <v>39009007_39009005</v>
      </c>
      <c r="B93" s="127">
        <v>39009007</v>
      </c>
      <c r="C93" s="142">
        <v>39009005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3" s="47">
        <v>39009154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9"/>
        <v>39009007_39009005</v>
      </c>
      <c r="B94" s="127">
        <v>39009007</v>
      </c>
      <c r="C94" s="142">
        <v>39009005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4" s="47">
        <v>39009155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9"/>
        <v>39009007_39009005</v>
      </c>
      <c r="B95" s="127">
        <v>39009007</v>
      </c>
      <c r="C95" s="142">
        <v>39009005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5" s="47">
        <v>39009156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9"/>
        <v>39009007_39009005</v>
      </c>
      <c r="B96" s="127">
        <v>39009007</v>
      </c>
      <c r="C96" s="142">
        <v>39009005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6" s="47">
        <v>39009157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9"/>
        <v>39009007_39009005</v>
      </c>
      <c r="B97" s="127">
        <v>39009007</v>
      </c>
      <c r="C97" s="142">
        <v>39009005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7" s="47">
        <v>39009158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9"/>
        <v>39009007_39009005</v>
      </c>
      <c r="B98" s="127">
        <v>39009007</v>
      </c>
      <c r="C98" s="142">
        <v>39009005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8" s="47">
        <v>39009159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ref="A99" si="10">B99&amp;"_"&amp;C99</f>
        <v>39009007_39009005</v>
      </c>
      <c r="B99" s="127">
        <v>39009007</v>
      </c>
      <c r="C99" s="142">
        <v>39009005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99" s="47">
        <v>39009160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2"/>
        <v>39009007_39009069</v>
      </c>
      <c r="B100" s="127">
        <v>39009007</v>
      </c>
      <c r="C100" s="47">
        <v>39009069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シャイニーポラリス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0" s="47">
        <v>39009192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0" s="47"/>
      <c r="Q100" s="47"/>
      <c r="R100" s="47"/>
    </row>
    <row r="101" spans="1:18" ht="21" customHeight="1" x14ac:dyDescent="0.15">
      <c r="A101" s="39" t="str">
        <f t="shared" si="2"/>
        <v>39009007_39009070</v>
      </c>
      <c r="B101" s="127">
        <v>39009007</v>
      </c>
      <c r="C101" s="47">
        <v>39009070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101" s="47">
        <v>39009193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1" s="47"/>
      <c r="Q101" s="47"/>
      <c r="R101" s="47"/>
    </row>
    <row r="102" spans="1:18" ht="21" customHeight="1" x14ac:dyDescent="0.15">
      <c r="A102" s="39" t="str">
        <f t="shared" si="2"/>
        <v>39009007_39009006</v>
      </c>
      <c r="B102" s="127">
        <v>39009007</v>
      </c>
      <c r="C102" s="142">
        <v>39009006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守護星の瞬きをどうぞ☆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ハートパネルプロテクト(最大3個)+2回連続攻撃</v>
      </c>
      <c r="F102" s="47">
        <v>39009194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2" s="47"/>
      <c r="Q102" s="47"/>
      <c r="R102" s="47"/>
    </row>
    <row r="103" spans="1:18" ht="21" customHeight="1" x14ac:dyDescent="0.15">
      <c r="A103" s="39" t="str">
        <f t="shared" si="2"/>
        <v>39009007_39009007</v>
      </c>
      <c r="B103" s="127">
        <v>39009007</v>
      </c>
      <c r="C103" s="142">
        <v>39009007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きらきら流星群☆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5ターン防御力UP+4回連続攻撃</v>
      </c>
      <c r="F103" s="47">
        <v>39009195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2"/>
        <v>39009007_39009073</v>
      </c>
      <c r="B104" s="127">
        <v>39009007</v>
      </c>
      <c r="C104" s="47">
        <v>39009073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ばいばい…_x000D_またあなたに会えますように☆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4" s="47">
        <v>39009196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2"/>
        <v>39009007_39009074</v>
      </c>
      <c r="B105" s="127">
        <v>39009007</v>
      </c>
      <c r="C105" s="47">
        <v>39009074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5" s="47">
        <v>39009197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ref="A106:A169" si="11">B106&amp;"_"&amp;C106</f>
        <v>39009007_39009074</v>
      </c>
      <c r="B106" s="127">
        <v>39009007</v>
      </c>
      <c r="C106" s="47">
        <v>39009074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6" s="47">
        <v>39009198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1"/>
        <v>39009007_39009074</v>
      </c>
      <c r="B107" s="127">
        <v>39009007</v>
      </c>
      <c r="C107" s="47">
        <v>39009074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7" s="47">
        <v>39009199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63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1"/>
        <v>39009007_39009074</v>
      </c>
      <c r="B108" s="127">
        <v>39009007</v>
      </c>
      <c r="C108" s="47">
        <v>39009074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8" s="47">
        <v>39009200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64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1"/>
        <v>39009007_39009074</v>
      </c>
      <c r="B109" s="127">
        <v>39009007</v>
      </c>
      <c r="C109" s="47">
        <v>39009074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9" s="47">
        <v>39009201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1"/>
        <v>39009007_39009074</v>
      </c>
      <c r="B110" s="127">
        <v>39009007</v>
      </c>
      <c r="C110" s="47">
        <v>39009074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0" s="47">
        <v>39009202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11"/>
        <v>39009007_39009074</v>
      </c>
      <c r="B111" s="127">
        <v>39009007</v>
      </c>
      <c r="C111" s="47">
        <v>39009074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1" s="47">
        <v>39009203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11"/>
        <v>39009007_39009074</v>
      </c>
      <c r="B112" s="127">
        <v>39009007</v>
      </c>
      <c r="C112" s="47">
        <v>39009074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2" s="47">
        <v>39009204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1"/>
        <v>39009007_39009074</v>
      </c>
      <c r="B113" s="127">
        <v>39009007</v>
      </c>
      <c r="C113" s="47">
        <v>39009074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3" s="47">
        <v>39009205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1"/>
        <v>39009007_39009074</v>
      </c>
      <c r="B114" s="127">
        <v>39009007</v>
      </c>
      <c r="C114" s="47">
        <v>39009074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4" s="47">
        <v>39009206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1"/>
        <v>39009007_39009074</v>
      </c>
      <c r="B115" s="127">
        <v>39009007</v>
      </c>
      <c r="C115" s="47">
        <v>39009074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5" s="47">
        <v>39009207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1"/>
        <v>39009007_39009074</v>
      </c>
      <c r="B116" s="127">
        <v>39009007</v>
      </c>
      <c r="C116" s="47">
        <v>39009074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6" s="47">
        <v>39009208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1"/>
        <v>39009007_39009074</v>
      </c>
      <c r="B117" s="127">
        <v>39009007</v>
      </c>
      <c r="C117" s="47">
        <v>39009074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7" s="47">
        <v>39009209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1"/>
        <v>39009007_39009074</v>
      </c>
      <c r="B118" s="127">
        <v>39009007</v>
      </c>
      <c r="C118" s="47">
        <v>39009074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8" s="47">
        <v>39009210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1"/>
        <v>39009007_39009074</v>
      </c>
      <c r="B119" s="127">
        <v>39009007</v>
      </c>
      <c r="C119" s="47">
        <v>39009074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9" s="47">
        <v>39009211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1"/>
        <v>39009007_39009074</v>
      </c>
      <c r="B120" s="127">
        <v>39009007</v>
      </c>
      <c r="C120" s="47">
        <v>39009074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0" s="47">
        <v>39009212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1"/>
        <v>39009007_39009074</v>
      </c>
      <c r="B121" s="127">
        <v>39009007</v>
      </c>
      <c r="C121" s="47">
        <v>39009074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1" s="47">
        <v>39009213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1"/>
        <v>39009007_39009074</v>
      </c>
      <c r="B122" s="127">
        <v>39009007</v>
      </c>
      <c r="C122" s="47">
        <v>39009074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2" s="47">
        <v>39009214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1"/>
        <v>39009007_39009074</v>
      </c>
      <c r="B123" s="127">
        <v>39009007</v>
      </c>
      <c r="C123" s="47">
        <v>39009074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3" s="47">
        <v>39009215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1"/>
        <v>39009007_39009074</v>
      </c>
      <c r="B124" s="127">
        <v>39009007</v>
      </c>
      <c r="C124" s="47">
        <v>39009074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4" s="47">
        <v>39009216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1"/>
        <v>39009007_39009074</v>
      </c>
      <c r="B125" s="127">
        <v>39009007</v>
      </c>
      <c r="C125" s="47">
        <v>39009074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5" s="47">
        <v>39009217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1"/>
        <v>39009007_39009074</v>
      </c>
      <c r="B126" s="127">
        <v>39009007</v>
      </c>
      <c r="C126" s="47">
        <v>39009074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6" s="47">
        <v>39009218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11"/>
        <v>39009007_39009074</v>
      </c>
      <c r="B127" s="127">
        <v>39009007</v>
      </c>
      <c r="C127" s="47">
        <v>39009074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7" s="47">
        <v>39009219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ref="A128:A129" si="12">B128&amp;"_"&amp;C128</f>
        <v>39009007_39009074</v>
      </c>
      <c r="B128" s="127">
        <v>39009007</v>
      </c>
      <c r="C128" s="47">
        <v>39009074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8" s="47">
        <v>39009220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2"/>
        <v>39009007_39009074</v>
      </c>
      <c r="B129" s="127">
        <v>39009007</v>
      </c>
      <c r="C129" s="47">
        <v>39009074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9" s="47">
        <v>39009221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1"/>
        <v>39009007_39009074</v>
      </c>
      <c r="B130" s="127">
        <v>39009007</v>
      </c>
      <c r="C130" s="47">
        <v>39009074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0" s="47">
        <v>39009222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11"/>
        <v>39009007_39009074</v>
      </c>
      <c r="B131" s="127">
        <v>39009007</v>
      </c>
      <c r="C131" s="47">
        <v>39009074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1" s="47">
        <v>39009223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1"/>
        <v>39009007_39009074</v>
      </c>
      <c r="B132" s="127">
        <v>39009007</v>
      </c>
      <c r="C132" s="47">
        <v>39009074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2" s="47">
        <v>39009224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11"/>
        <v>39009007_39009074</v>
      </c>
      <c r="B133" s="127">
        <v>39009007</v>
      </c>
      <c r="C133" s="47">
        <v>39009074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3" s="47">
        <v>39009225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1"/>
        <v>39009007_39009074</v>
      </c>
      <c r="B134" s="127">
        <v>39009007</v>
      </c>
      <c r="C134" s="47">
        <v>39009074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4" s="47">
        <v>39009226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1"/>
        <v>39009007_39009074</v>
      </c>
      <c r="B135" s="127">
        <v>39009007</v>
      </c>
      <c r="C135" s="47">
        <v>39009074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5" s="47">
        <v>39009227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1"/>
        <v>39009007_39009074</v>
      </c>
      <c r="B136" s="127">
        <v>39009007</v>
      </c>
      <c r="C136" s="47">
        <v>39009074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6" s="47">
        <v>39009228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1"/>
        <v>39009007_39009074</v>
      </c>
      <c r="B137" s="127">
        <v>39009007</v>
      </c>
      <c r="C137" s="47">
        <v>39009074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7" s="47">
        <v>39009229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1"/>
        <v>39009007_39009074</v>
      </c>
      <c r="B138" s="127">
        <v>39009007</v>
      </c>
      <c r="C138" s="47">
        <v>39009074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8" s="47">
        <v>39009230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1"/>
        <v>39009007_39009074</v>
      </c>
      <c r="B139" s="127">
        <v>39009007</v>
      </c>
      <c r="C139" s="47">
        <v>39009074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9" s="47">
        <v>39009231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1"/>
        <v>39009007_39009074</v>
      </c>
      <c r="B140" s="127">
        <v>39009007</v>
      </c>
      <c r="C140" s="47">
        <v>39009074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0" s="47">
        <v>39009232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11"/>
        <v>39009007_39009074</v>
      </c>
      <c r="B141" s="127">
        <v>39009007</v>
      </c>
      <c r="C141" s="47">
        <v>39009074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1" s="47">
        <v>39009233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11"/>
        <v>39009007_39009074</v>
      </c>
      <c r="B142" s="127">
        <v>39009007</v>
      </c>
      <c r="C142" s="47">
        <v>39009074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2" s="47">
        <v>39009234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11"/>
        <v>39009007_39009074</v>
      </c>
      <c r="B143" s="127">
        <v>39009007</v>
      </c>
      <c r="C143" s="47">
        <v>39009074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3" s="47">
        <v>39009235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11"/>
        <v>39009007_39009074</v>
      </c>
      <c r="B144" s="127">
        <v>39009007</v>
      </c>
      <c r="C144" s="47">
        <v>39009074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4" s="47">
        <v>39009236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11"/>
        <v>39009007_39009074</v>
      </c>
      <c r="B145" s="127">
        <v>39009007</v>
      </c>
      <c r="C145" s="47">
        <v>39009074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5" s="47">
        <v>39009237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11"/>
        <v>39009007_39009074</v>
      </c>
      <c r="B146" s="127">
        <v>39009007</v>
      </c>
      <c r="C146" s="47">
        <v>39009074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6" s="47">
        <v>39009238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11"/>
        <v>39009007_39009074</v>
      </c>
      <c r="B147" s="127">
        <v>39009007</v>
      </c>
      <c r="C147" s="47">
        <v>39009074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7" s="47">
        <v>39009239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11"/>
        <v>39009007_39009074</v>
      </c>
      <c r="B148" s="127">
        <v>39009007</v>
      </c>
      <c r="C148" s="47">
        <v>39009074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8" s="47">
        <v>39009240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11"/>
        <v>39009007_39009074</v>
      </c>
      <c r="B149" s="127">
        <v>39009007</v>
      </c>
      <c r="C149" s="47">
        <v>39009074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9" s="47">
        <v>39009241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48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8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11"/>
        <v>39009007_39009074</v>
      </c>
      <c r="B150" s="127">
        <v>39009007</v>
      </c>
      <c r="C150" s="47">
        <v>39009074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0" s="47">
        <v>39009242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0" s="48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48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11"/>
        <v>39009007_39009074</v>
      </c>
      <c r="B151" s="127">
        <v>39009007</v>
      </c>
      <c r="C151" s="47">
        <v>39009074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1" s="47">
        <v>39009243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1" s="48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11"/>
        <v>39009007_39009074</v>
      </c>
      <c r="B152" s="127">
        <v>39009007</v>
      </c>
      <c r="C152" s="47">
        <v>39009074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2" s="47">
        <v>39009244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11"/>
        <v>39009007_39009074</v>
      </c>
      <c r="B153" s="127">
        <v>39009007</v>
      </c>
      <c r="C153" s="47">
        <v>39009074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3" s="47">
        <v>39009245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11"/>
        <v>39009007_39009074</v>
      </c>
      <c r="B154" s="127">
        <v>39009007</v>
      </c>
      <c r="C154" s="47">
        <v>39009074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4" s="47">
        <v>39009246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4" s="48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11"/>
        <v>39009007_39009074</v>
      </c>
      <c r="B155" s="127">
        <v>39009007</v>
      </c>
      <c r="C155" s="47">
        <v>39009074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5" s="47">
        <v>39009247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5" s="48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11"/>
        <v>39009007_39009074</v>
      </c>
      <c r="B156" s="127">
        <v>39009007</v>
      </c>
      <c r="C156" s="47">
        <v>39009074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6" s="47">
        <v>39009248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11"/>
        <v>39009007_39009074</v>
      </c>
      <c r="B157" s="127">
        <v>39009007</v>
      </c>
      <c r="C157" s="47">
        <v>39009074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7" s="47">
        <v>39009249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11"/>
        <v>39009007_39009074</v>
      </c>
      <c r="B158" s="127">
        <v>39009007</v>
      </c>
      <c r="C158" s="47">
        <v>39009074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8" s="47">
        <v>39009250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8" s="48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8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11"/>
        <v>39009008_39009008</v>
      </c>
      <c r="B159" s="128">
        <v>39009008</v>
      </c>
      <c r="C159" s="142">
        <v>39009008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雪まつりへようこそ♪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59" s="47">
        <v>39009001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9" s="48" t="str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11"/>
        <v>39009008_39009030</v>
      </c>
      <c r="B160" s="128">
        <v>39009008</v>
      </c>
      <c r="C160" s="47">
        <v>39009030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60" s="47">
        <v>39009002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8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0" s="47"/>
      <c r="Q160" s="47"/>
      <c r="R160" s="47"/>
    </row>
    <row r="161" spans="1:18" ht="21" customHeight="1" x14ac:dyDescent="0.15">
      <c r="A161" s="39" t="str">
        <f t="shared" si="11"/>
        <v>39009008_39009031</v>
      </c>
      <c r="B161" s="128">
        <v>39009008</v>
      </c>
      <c r="C161" s="47">
        <v>39009031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161" s="47">
        <v>39009003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1" s="4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1" s="47"/>
      <c r="Q161" s="47"/>
      <c r="R161" s="47"/>
    </row>
    <row r="162" spans="1:18" ht="21" customHeight="1" x14ac:dyDescent="0.15">
      <c r="A162" s="39" t="str">
        <f t="shared" si="11"/>
        <v>39009008_39009032</v>
      </c>
      <c r="B162" s="128">
        <v>39009008</v>
      </c>
      <c r="C162" s="47">
        <v>39009032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自己回復+全体攻撃</v>
      </c>
      <c r="F162" s="47">
        <v>39009004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8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2" s="47"/>
      <c r="Q162" s="47"/>
      <c r="R162" s="47"/>
    </row>
    <row r="163" spans="1:18" ht="21" customHeight="1" x14ac:dyDescent="0.15">
      <c r="A163" s="39" t="str">
        <f t="shared" si="11"/>
        <v>39009008_39009033</v>
      </c>
      <c r="B163" s="128">
        <v>39009008</v>
      </c>
      <c r="C163" s="47">
        <v>39009033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63" s="47">
        <v>39009005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3" s="48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3" s="47"/>
      <c r="Q163" s="47"/>
      <c r="R163" s="47"/>
    </row>
    <row r="164" spans="1:18" ht="21" customHeight="1" x14ac:dyDescent="0.15">
      <c r="A164" s="39" t="str">
        <f t="shared" si="11"/>
        <v>39009008_39009009</v>
      </c>
      <c r="B164" s="128">
        <v>39009008</v>
      </c>
      <c r="C164" s="142">
        <v>39009009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64" s="47">
        <v>39009006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4" s="48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8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4" s="47"/>
      <c r="Q164" s="47"/>
      <c r="R164" s="47"/>
    </row>
    <row r="165" spans="1:18" ht="21" customHeight="1" x14ac:dyDescent="0.15">
      <c r="A165" s="39" t="str">
        <f t="shared" si="11"/>
        <v>39009008_39009035</v>
      </c>
      <c r="B165" s="128">
        <v>39009008</v>
      </c>
      <c r="C165" s="47">
        <v>39009035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自己回復</v>
      </c>
      <c r="F165" s="47">
        <v>39009007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5" s="48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 t="str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5" s="47"/>
      <c r="Q165" s="47"/>
      <c r="R165" s="47"/>
    </row>
    <row r="166" spans="1:18" ht="21" customHeight="1" x14ac:dyDescent="0.15">
      <c r="A166" s="39" t="str">
        <f t="shared" si="11"/>
        <v>39009008_39009036</v>
      </c>
      <c r="B166" s="128">
        <v>39009008</v>
      </c>
      <c r="C166" s="47">
        <v>39009036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166" s="47">
        <v>39009008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6" s="48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6" s="47"/>
      <c r="Q166" s="47"/>
      <c r="R166" s="47"/>
    </row>
    <row r="167" spans="1:18" ht="21" customHeight="1" x14ac:dyDescent="0.15">
      <c r="A167" s="39" t="str">
        <f t="shared" si="11"/>
        <v>39009009_39009037</v>
      </c>
      <c r="B167" s="128">
        <v>39009009</v>
      </c>
      <c r="C167" s="127">
        <v>39009037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星の輝きのように強く♪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67" s="127">
        <v>39009009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48" t="str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 t="str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11"/>
        <v>39009009_39009038</v>
      </c>
      <c r="B168" s="128">
        <v>39009009</v>
      </c>
      <c r="C168" s="127">
        <v>39009038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68" s="127">
        <v>39009010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 t="str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 t="str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8" s="47"/>
      <c r="Q168" s="47"/>
      <c r="R168" s="47"/>
    </row>
    <row r="169" spans="1:18" ht="21" customHeight="1" x14ac:dyDescent="0.15">
      <c r="A169" s="39" t="str">
        <f t="shared" si="11"/>
        <v>39009009_39009039</v>
      </c>
      <c r="B169" s="128">
        <v>39009009</v>
      </c>
      <c r="C169" s="127">
        <v>39009039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自己回復+2回連続攻撃</v>
      </c>
      <c r="F169" s="127">
        <v>39009011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 t="str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9" s="47"/>
      <c r="Q169" s="47"/>
      <c r="R169" s="47"/>
    </row>
    <row r="170" spans="1:18" ht="21" customHeight="1" x14ac:dyDescent="0.15">
      <c r="A170" s="39" t="str">
        <f t="shared" ref="A170:A262" si="13">B170&amp;"_"&amp;C170</f>
        <v>39009009_39009040</v>
      </c>
      <c r="B170" s="128">
        <v>39009009</v>
      </c>
      <c r="C170" s="127">
        <v>39009040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シャイニーメテオ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170" s="127">
        <v>39009012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 t="str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70" s="47"/>
      <c r="Q170" s="47"/>
      <c r="R170" s="47"/>
    </row>
    <row r="171" spans="1:18" ht="21" customHeight="1" x14ac:dyDescent="0.15">
      <c r="A171" s="39" t="str">
        <f t="shared" si="13"/>
        <v>39009009_39009041</v>
      </c>
      <c r="B171" s="128">
        <v>39009009</v>
      </c>
      <c r="C171" s="127">
        <v>39009041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71" s="127">
        <v>39009013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1" s="48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 t="str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1" s="47"/>
      <c r="Q171" s="47"/>
      <c r="R171" s="47"/>
    </row>
    <row r="172" spans="1:18" ht="21" customHeight="1" x14ac:dyDescent="0.15">
      <c r="A172" s="39" t="str">
        <f t="shared" si="13"/>
        <v>39009009_39009010</v>
      </c>
      <c r="B172" s="128">
        <v>39009009</v>
      </c>
      <c r="C172" s="143">
        <v>39009010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72" s="127">
        <v>39009014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2" s="48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48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48" t="str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2" s="47"/>
      <c r="Q172" s="47"/>
      <c r="R172" s="47"/>
    </row>
    <row r="173" spans="1:18" ht="21" customHeight="1" x14ac:dyDescent="0.15">
      <c r="A173" s="39" t="str">
        <f t="shared" si="13"/>
        <v>39009009_39009043</v>
      </c>
      <c r="B173" s="128">
        <v>39009009</v>
      </c>
      <c r="C173" s="127">
        <v>39009043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自己回復</v>
      </c>
      <c r="F173" s="127">
        <v>39009015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3" s="48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 t="str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3" s="47"/>
      <c r="Q173" s="47"/>
      <c r="R173" s="47"/>
    </row>
    <row r="174" spans="1:18" ht="21" customHeight="1" x14ac:dyDescent="0.15">
      <c r="A174" s="39" t="str">
        <f t="shared" si="13"/>
        <v>39009009_39009044</v>
      </c>
      <c r="B174" s="128">
        <v>39009009</v>
      </c>
      <c r="C174" s="127">
        <v>39009044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174" s="127">
        <v>39009016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4" s="48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 t="str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4" s="47"/>
      <c r="Q174" s="47"/>
      <c r="R174" s="47"/>
    </row>
    <row r="175" spans="1:18" ht="21" customHeight="1" x14ac:dyDescent="0.15">
      <c r="A175" s="39" t="str">
        <f t="shared" si="13"/>
        <v>39009010_39009045</v>
      </c>
      <c r="B175" s="128">
        <v>39009010</v>
      </c>
      <c r="C175" s="128">
        <v>39009045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3ターン回復効果付与</v>
      </c>
      <c r="F175" s="128">
        <v>39009017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 t="str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 t="str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5" s="48" t="str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13"/>
        <v>39009011_39009046</v>
      </c>
      <c r="B176" s="128">
        <v>39009011</v>
      </c>
      <c r="C176" s="129">
        <v>39009046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こんにちわ♪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6" s="129">
        <v>39009018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 t="str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48" t="str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13"/>
        <v>39009012_39009011</v>
      </c>
      <c r="B177" s="128">
        <v>39009012</v>
      </c>
      <c r="C177" s="144">
        <v>39009011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パワフルな願い星をどうぞ☆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緑パネルを緑のダメージパネルに2個変換</v>
      </c>
      <c r="F177" s="131">
        <v>39009019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48" t="str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13"/>
        <v>39009012_39009050</v>
      </c>
      <c r="B178" s="128">
        <v>39009012</v>
      </c>
      <c r="C178" s="131">
        <v>39009050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8" s="131">
        <v>39009020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13"/>
        <v>39009012_39009051</v>
      </c>
      <c r="B179" s="128">
        <v>39009012</v>
      </c>
      <c r="C179" s="131">
        <v>39009051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9" s="131">
        <v>39009021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13"/>
        <v>39009012_39009052</v>
      </c>
      <c r="B180" s="128">
        <v>39009012</v>
      </c>
      <c r="C180" s="131">
        <v>39009052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0" s="131">
        <v>39009022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13"/>
        <v>39009012_39009056</v>
      </c>
      <c r="B181" s="128">
        <v>39009012</v>
      </c>
      <c r="C181" s="131">
        <v>39009056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1" s="131">
        <v>39009023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 t="str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13"/>
        <v>39009012_39009056</v>
      </c>
      <c r="B182" s="128">
        <v>39009012</v>
      </c>
      <c r="C182" s="131">
        <v>39009056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2" s="131">
        <v>39009024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13"/>
        <v>39009012_39009051</v>
      </c>
      <c r="B183" s="128">
        <v>39009012</v>
      </c>
      <c r="C183" s="131">
        <v>39009051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3" s="131">
        <v>39009025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13"/>
        <v>39009012_39009052</v>
      </c>
      <c r="B184" s="128">
        <v>39009012</v>
      </c>
      <c r="C184" s="131">
        <v>39009052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4" s="131">
        <v>39009026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48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13"/>
        <v>39009012_39009049</v>
      </c>
      <c r="B185" s="128">
        <v>39009012</v>
      </c>
      <c r="C185" s="131">
        <v>39009049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5" s="131">
        <v>39009027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5" s="48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13"/>
        <v>39009012_39009049</v>
      </c>
      <c r="B186" s="128">
        <v>39009012</v>
      </c>
      <c r="C186" s="131">
        <v>39009049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6" s="131">
        <v>39009028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8" t="str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6" s="48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13"/>
        <v>39009012_39009050</v>
      </c>
      <c r="B187" s="128">
        <v>39009012</v>
      </c>
      <c r="C187" s="131">
        <v>39009050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7" s="131">
        <v>39009029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48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13"/>
        <v>39009012_39009050</v>
      </c>
      <c r="B188" s="128">
        <v>39009012</v>
      </c>
      <c r="C188" s="131">
        <v>39009050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8" s="131">
        <v>39009030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 t="str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8" s="48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13"/>
        <v>39009012_39009055</v>
      </c>
      <c r="B189" s="128">
        <v>39009012</v>
      </c>
      <c r="C189" s="131">
        <v>39009055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KAITOさーん！_x000D_アイスの星座つくろっ☆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9" s="131">
        <v>39009031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8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13"/>
        <v>39009012_39009049</v>
      </c>
      <c r="B190" s="128">
        <v>39009012</v>
      </c>
      <c r="C190" s="131">
        <v>39009049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0" s="131">
        <v>39009032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 t="str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0" s="48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13"/>
        <v>39009012_39009049</v>
      </c>
      <c r="B191" s="128">
        <v>39009012</v>
      </c>
      <c r="C191" s="131">
        <v>39009049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1" s="131">
        <v>39009033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8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13"/>
        <v>39009012_39009048</v>
      </c>
      <c r="B192" s="128">
        <v>39009012</v>
      </c>
      <c r="C192" s="131">
        <v>39009048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2" s="131">
        <v>39009034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2" s="48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4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13"/>
        <v>39009012_39009048</v>
      </c>
      <c r="B193" s="128">
        <v>39009012</v>
      </c>
      <c r="C193" s="131">
        <v>39009048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3" s="131">
        <v>39009035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8" t="str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13"/>
        <v>39009012_39009049</v>
      </c>
      <c r="B194" s="128">
        <v>39009012</v>
      </c>
      <c r="C194" s="131">
        <v>39009049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4" s="131">
        <v>39009036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4" s="48" t="str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4" s="48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13"/>
        <v>39009012_39009056</v>
      </c>
      <c r="B195" s="128">
        <v>39009012</v>
      </c>
      <c r="C195" s="131">
        <v>39009056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5" s="131">
        <v>39009037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 t="str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5" s="48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13"/>
        <v>39009012_39009056</v>
      </c>
      <c r="B196" s="128">
        <v>39009012</v>
      </c>
      <c r="C196" s="131">
        <v>39009056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6" s="131">
        <v>39009038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 t="str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6" s="4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13"/>
        <v>39009012_39009050</v>
      </c>
      <c r="B197" s="128">
        <v>39009012</v>
      </c>
      <c r="C197" s="131">
        <v>39009050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7" s="131">
        <v>39009039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 t="str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7" s="4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13"/>
        <v>39009012_39009053</v>
      </c>
      <c r="B198" s="128">
        <v>39009012</v>
      </c>
      <c r="C198" s="131">
        <v>39009053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8" s="131">
        <v>39009040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 t="str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13"/>
        <v>39009012_39009054</v>
      </c>
      <c r="B199" s="128">
        <v>39009012</v>
      </c>
      <c r="C199" s="131">
        <v>39009054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MEIKOさん、素敵な夜にしようねっ☆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9" s="131">
        <v>39009041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9" s="48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ref="A200" si="14">B200&amp;"_"&amp;C200</f>
        <v>39009012_39009053</v>
      </c>
      <c r="B200" s="128">
        <v>39009012</v>
      </c>
      <c r="C200" s="131">
        <v>39009053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0" s="131">
        <v>39009042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0" s="48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13"/>
        <v>39009012_39009057</v>
      </c>
      <c r="B201" s="128">
        <v>39009012</v>
      </c>
      <c r="C201" s="131">
        <v>39009057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神秘的な光芒を見て…☆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201" s="131">
        <v>39009074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1" s="48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8" t="str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1" s="47"/>
      <c r="Q201" s="47"/>
      <c r="R201" s="47"/>
    </row>
    <row r="202" spans="1:18" ht="21" customHeight="1" x14ac:dyDescent="0.15">
      <c r="A202" s="39" t="str">
        <f t="shared" si="13"/>
        <v>39009012_39009058</v>
      </c>
      <c r="B202" s="128">
        <v>39009012</v>
      </c>
      <c r="C202" s="131">
        <v>39009058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メテオシャワー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2" s="131">
        <v>39009075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 t="str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2" s="48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8" t="str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2" s="47"/>
      <c r="Q202" s="47"/>
      <c r="R202" s="47"/>
    </row>
    <row r="203" spans="1:18" ht="21" customHeight="1" x14ac:dyDescent="0.15">
      <c r="A203" s="39" t="str">
        <f t="shared" si="13"/>
        <v>39009012_39009059</v>
      </c>
      <c r="B203" s="128">
        <v>39009012</v>
      </c>
      <c r="C203" s="131">
        <v>39009059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ツインスターシュート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3ターン攻撃力UP+2回連続攻撃</v>
      </c>
      <c r="F203" s="131">
        <v>39009076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3" s="48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8" t="str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3"/>
        <v>39009013_39009060</v>
      </c>
      <c r="B204" s="128">
        <v>39009013</v>
      </c>
      <c r="C204" s="132">
        <v>39009060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お星様にお願いしよっ♪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4" s="132">
        <v>39009077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48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8" t="str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13"/>
        <v>39009013_39009061</v>
      </c>
      <c r="B205" s="128">
        <v>39009013</v>
      </c>
      <c r="C205" s="132">
        <v>39009061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05" s="132">
        <v>39009078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5" s="48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3"/>
        <v>39009013_39009061</v>
      </c>
      <c r="B206" s="128">
        <v>39009013</v>
      </c>
      <c r="C206" s="132">
        <v>39009061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06" s="132">
        <v>39009079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6" s="48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3"/>
        <v>39009013_39009061</v>
      </c>
      <c r="B207" s="128">
        <v>39009013</v>
      </c>
      <c r="C207" s="132">
        <v>39009061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07" s="132">
        <v>39009080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4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3"/>
        <v>39009013_39009061</v>
      </c>
      <c r="B208" s="128">
        <v>39009013</v>
      </c>
      <c r="C208" s="132">
        <v>39009061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08" s="132">
        <v>39009081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8" s="48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4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13"/>
        <v>39009013_39009061</v>
      </c>
      <c r="B209" s="128">
        <v>39009013</v>
      </c>
      <c r="C209" s="132">
        <v>39009061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09" s="132">
        <v>39009082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13"/>
        <v>39009013_39009061</v>
      </c>
      <c r="B210" s="128">
        <v>39009013</v>
      </c>
      <c r="C210" s="132">
        <v>39009061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0" s="132">
        <v>39009083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 t="str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3"/>
        <v>39009013_39009061</v>
      </c>
      <c r="B211" s="128">
        <v>39009013</v>
      </c>
      <c r="C211" s="132">
        <v>39009061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1" s="132">
        <v>39009084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3"/>
        <v>39009013_39009061</v>
      </c>
      <c r="B212" s="128">
        <v>39009013</v>
      </c>
      <c r="C212" s="132">
        <v>39009061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2" s="132">
        <v>39009085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2" s="48" t="str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3"/>
        <v>39009013_39009061</v>
      </c>
      <c r="B213" s="128">
        <v>39009013</v>
      </c>
      <c r="C213" s="132">
        <v>39009061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3" s="132">
        <v>39009086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 t="str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si="13"/>
        <v>39009013_39009061</v>
      </c>
      <c r="B214" s="128">
        <v>39009013</v>
      </c>
      <c r="C214" s="132">
        <v>39009061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4" s="132">
        <v>39009087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4" s="48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13"/>
        <v>39009013_39009061</v>
      </c>
      <c r="B215" s="128">
        <v>39009013</v>
      </c>
      <c r="C215" s="132">
        <v>39009061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5" s="132">
        <v>39009088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 t="str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5" s="4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13"/>
        <v>39009013_39009061</v>
      </c>
      <c r="B216" s="128">
        <v>39009013</v>
      </c>
      <c r="C216" s="132">
        <v>39009061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6" s="132">
        <v>39009089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 t="str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13"/>
        <v>39009013_39009061</v>
      </c>
      <c r="B217" s="128">
        <v>39009013</v>
      </c>
      <c r="C217" s="132">
        <v>39009061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7" s="132">
        <v>39009090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7" s="48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13"/>
        <v>39009013_39009061</v>
      </c>
      <c r="B218" s="128">
        <v>39009013</v>
      </c>
      <c r="C218" s="132">
        <v>39009061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8" s="132">
        <v>39009091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13"/>
        <v>39009013_39009061</v>
      </c>
      <c r="B219" s="128">
        <v>39009013</v>
      </c>
      <c r="C219" s="132">
        <v>39009061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19" s="132">
        <v>39009092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9" s="48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13"/>
        <v>39009013_39009061</v>
      </c>
      <c r="B220" s="128">
        <v>39009013</v>
      </c>
      <c r="C220" s="132">
        <v>39009061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0" s="132">
        <v>39009093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0" s="48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13"/>
        <v>39009013_39009061</v>
      </c>
      <c r="B221" s="128">
        <v>39009013</v>
      </c>
      <c r="C221" s="132">
        <v>39009061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1" s="132">
        <v>39009094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13"/>
        <v>39009013_39009061</v>
      </c>
      <c r="B222" s="128">
        <v>39009013</v>
      </c>
      <c r="C222" s="132">
        <v>39009061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2" s="132">
        <v>39009095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2" s="48" t="str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2" s="48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13"/>
        <v>39009013_39009061</v>
      </c>
      <c r="B223" s="128">
        <v>39009013</v>
      </c>
      <c r="C223" s="132">
        <v>39009061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3" s="132">
        <v>39009096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3" s="48" t="str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3" s="48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13"/>
        <v>39009013_39009061</v>
      </c>
      <c r="B224" s="128">
        <v>39009013</v>
      </c>
      <c r="C224" s="132">
        <v>39009061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4" s="132">
        <v>39009097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4" s="48" t="str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4" s="48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13"/>
        <v>39009013_39009061</v>
      </c>
      <c r="B225" s="128">
        <v>39009013</v>
      </c>
      <c r="C225" s="132">
        <v>39009061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5" s="132">
        <v>39009098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5" s="48" t="str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5" s="48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13"/>
        <v>39009013_39009061</v>
      </c>
      <c r="B226" s="128">
        <v>39009013</v>
      </c>
      <c r="C226" s="132">
        <v>39009061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6" s="132">
        <v>39009099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ref="A227" si="15">B227&amp;"_"&amp;C227</f>
        <v>39009013_39009061</v>
      </c>
      <c r="B227" s="128">
        <v>39009013</v>
      </c>
      <c r="C227" s="132">
        <v>39009061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227" s="132">
        <v>39009100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13"/>
        <v>39009013_39009062</v>
      </c>
      <c r="B228" s="128">
        <v>39009013</v>
      </c>
      <c r="C228" s="132">
        <v>39009062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スターダスト・ファンタジア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228" s="132">
        <v>39009132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228" s="48" t="str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 t="str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13"/>
        <v>39009013_39009063</v>
      </c>
      <c r="B229" s="128">
        <v>39009013</v>
      </c>
      <c r="C229" s="132">
        <v>39009063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スターライト・ファンタジア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229" s="132">
        <v>39009133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29" s="48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9" s="48" t="str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9" s="48" t="str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9" s="48" t="str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13"/>
        <v>39009013_39009064</v>
      </c>
      <c r="B230" s="128">
        <v>39009013</v>
      </c>
      <c r="C230" s="132">
        <v>39009064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ハーフムーン・ファンタジア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230" s="132">
        <v>39009134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0" s="48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230" s="48" t="str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0" s="48" t="str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0" s="48" t="str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13"/>
        <v>39009013_39009065</v>
      </c>
      <c r="B231" s="128">
        <v>39009013</v>
      </c>
      <c r="C231" s="132">
        <v>39009065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フルムーン・ファンタジア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231" s="132">
        <v>39009135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 t="str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1" s="48" t="str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1" s="48" t="str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13"/>
        <v>39009013_39009066</v>
      </c>
      <c r="B232" s="128">
        <v>39009013</v>
      </c>
      <c r="C232" s="132">
        <v>39009066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ゆっくり楽しもうね♪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3ターン全ユニットの回復力50%DOWN+_x000D_ハートパネルドロップ率DOWN</v>
      </c>
      <c r="F232" s="132">
        <v>39009136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8" t="str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2" s="48" t="str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13"/>
        <v>39009014_39009067</v>
      </c>
      <c r="B233" s="128">
        <v>39009014</v>
      </c>
      <c r="C233" s="47">
        <v>39009067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もうすぐ夜が明けるよ…♪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3" s="47">
        <v>39009137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3" s="48" t="str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3" s="48" t="str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13"/>
        <v>39009014_39009012</v>
      </c>
      <c r="B234" s="128">
        <v>39009014</v>
      </c>
      <c r="C234" s="142">
        <v>39009012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4" s="47">
        <v>39009138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4" s="48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3"/>
        <v>39009014_39009012</v>
      </c>
      <c r="B235" s="128">
        <v>39009014</v>
      </c>
      <c r="C235" s="142">
        <v>39009012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5" s="47">
        <v>39009139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5" s="48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3"/>
        <v>39009014_39009012</v>
      </c>
      <c r="B236" s="128">
        <v>39009014</v>
      </c>
      <c r="C236" s="142">
        <v>39009012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6" s="47">
        <v>39009140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13"/>
        <v>39009014_39009012</v>
      </c>
      <c r="B237" s="128">
        <v>39009014</v>
      </c>
      <c r="C237" s="142">
        <v>39009012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7" s="47">
        <v>39009141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7" s="48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13"/>
        <v>39009014_39009012</v>
      </c>
      <c r="B238" s="128">
        <v>39009014</v>
      </c>
      <c r="C238" s="142">
        <v>39009012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8" s="47">
        <v>39009142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13"/>
        <v>39009014_39009012</v>
      </c>
      <c r="B239" s="128">
        <v>39009014</v>
      </c>
      <c r="C239" s="142">
        <v>39009012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39" s="47">
        <v>39009143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9" s="48" t="str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13"/>
        <v>39009014_39009012</v>
      </c>
      <c r="B240" s="128">
        <v>39009014</v>
      </c>
      <c r="C240" s="142">
        <v>39009012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0" s="47">
        <v>39009144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0" s="48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13"/>
        <v>39009014_39009012</v>
      </c>
      <c r="B241" s="128">
        <v>39009014</v>
      </c>
      <c r="C241" s="142">
        <v>39009012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1" s="47">
        <v>39009145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1" s="48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si="13"/>
        <v>39009014_39009012</v>
      </c>
      <c r="B242" s="128">
        <v>39009014</v>
      </c>
      <c r="C242" s="142">
        <v>39009012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2" s="47">
        <v>39009146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2" s="48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8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39" t="str">
        <f t="shared" si="13"/>
        <v>39009014_39009012</v>
      </c>
      <c r="B243" s="128">
        <v>39009014</v>
      </c>
      <c r="C243" s="142">
        <v>39009012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3" s="47">
        <v>39009147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3" s="48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8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13"/>
        <v>39009014_39009012</v>
      </c>
      <c r="B244" s="128">
        <v>39009014</v>
      </c>
      <c r="C244" s="142">
        <v>39009012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4" s="47">
        <v>39009148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4" s="48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13"/>
        <v>39009014_39009012</v>
      </c>
      <c r="B245" s="128">
        <v>39009014</v>
      </c>
      <c r="C245" s="142">
        <v>39009012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5" s="47">
        <v>39009149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48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13"/>
        <v>39009014_39009012</v>
      </c>
      <c r="B246" s="128">
        <v>39009014</v>
      </c>
      <c r="C246" s="142">
        <v>39009012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6" s="47">
        <v>39009150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6" s="48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8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13"/>
        <v>39009014_39009012</v>
      </c>
      <c r="B247" s="128">
        <v>39009014</v>
      </c>
      <c r="C247" s="142">
        <v>39009012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7" s="47">
        <v>39009151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7" s="48" t="str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7" s="48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13"/>
        <v>39009014_39009012</v>
      </c>
      <c r="B248" s="128">
        <v>39009014</v>
      </c>
      <c r="C248" s="142">
        <v>39009012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8" s="47">
        <v>39009152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8" s="48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8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si="13"/>
        <v>39009014_39009012</v>
      </c>
      <c r="B249" s="128">
        <v>39009014</v>
      </c>
      <c r="C249" s="142">
        <v>39009012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49" s="47">
        <v>39009153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9" s="48" t="str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9" s="48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si="13"/>
        <v>39009014_39009012</v>
      </c>
      <c r="B250" s="128">
        <v>39009014</v>
      </c>
      <c r="C250" s="142">
        <v>39009012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0" s="47">
        <v>39009154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 t="str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0" s="48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si="13"/>
        <v>39009014_39009012</v>
      </c>
      <c r="B251" s="128">
        <v>39009014</v>
      </c>
      <c r="C251" s="142">
        <v>39009012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1" s="47">
        <v>39009155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1" s="48" t="str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1" s="48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13"/>
        <v>39009014_39009012</v>
      </c>
      <c r="B252" s="128">
        <v>39009014</v>
      </c>
      <c r="C252" s="142">
        <v>39009012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2" s="47">
        <v>39009156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2" s="48" t="str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2" s="48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13"/>
        <v>39009014_39009012</v>
      </c>
      <c r="B253" s="128">
        <v>39009014</v>
      </c>
      <c r="C253" s="142">
        <v>39009012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3" s="47">
        <v>39009157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3" s="48" t="str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3" s="48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13"/>
        <v>39009014_39009012</v>
      </c>
      <c r="B254" s="128">
        <v>39009014</v>
      </c>
      <c r="C254" s="142">
        <v>39009012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4" s="47">
        <v>39009158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4" s="48" t="str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4" s="48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si="13"/>
        <v>39009014_39009012</v>
      </c>
      <c r="B255" s="128">
        <v>39009014</v>
      </c>
      <c r="C255" s="142">
        <v>39009012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5" s="47">
        <v>39009159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5" s="48" t="str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5" s="48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ref="A256" si="16">B256&amp;"_"&amp;C256</f>
        <v>39009014_39009012</v>
      </c>
      <c r="B256" s="128">
        <v>39009014</v>
      </c>
      <c r="C256" s="142">
        <v>39009012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256" s="47">
        <v>39009160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6" s="48" t="str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6" s="48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21" customHeight="1" x14ac:dyDescent="0.15">
      <c r="A257" s="39" t="str">
        <f t="shared" si="13"/>
        <v>39009014_39009069</v>
      </c>
      <c r="B257" s="128">
        <v>39009014</v>
      </c>
      <c r="C257" s="47">
        <v>39009069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シャイニーポラリス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7" s="47">
        <v>39009192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 t="str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7" s="48" t="str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7" s="48" t="str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7" s="47"/>
      <c r="Q257" s="47"/>
      <c r="R257" s="47"/>
    </row>
    <row r="258" spans="1:18" ht="21" customHeight="1" x14ac:dyDescent="0.15">
      <c r="A258" s="39" t="str">
        <f t="shared" si="13"/>
        <v>39009014_39009070</v>
      </c>
      <c r="B258" s="128">
        <v>39009014</v>
      </c>
      <c r="C258" s="47">
        <v>39009070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258" s="47">
        <v>39009193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 t="str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8" s="47"/>
      <c r="Q258" s="47"/>
      <c r="R258" s="47"/>
    </row>
    <row r="259" spans="1:18" ht="21" customHeight="1" x14ac:dyDescent="0.15">
      <c r="A259" s="39" t="str">
        <f t="shared" si="13"/>
        <v>39009014_39009013</v>
      </c>
      <c r="B259" s="128">
        <v>39009014</v>
      </c>
      <c r="C259" s="142">
        <v>39009013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守護星の瞬きをどうぞ☆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ハートパネルプロテクト(最大3個)+2回連続攻撃</v>
      </c>
      <c r="F259" s="47">
        <v>39009194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59" s="48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8" t="str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59" s="47"/>
      <c r="Q259" s="47"/>
      <c r="R259" s="47"/>
    </row>
    <row r="260" spans="1:18" ht="21" customHeight="1" x14ac:dyDescent="0.15">
      <c r="A260" s="39" t="str">
        <f t="shared" si="13"/>
        <v>39009014_39009014</v>
      </c>
      <c r="B260" s="128">
        <v>39009014</v>
      </c>
      <c r="C260" s="142">
        <v>39009014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きらきら流星群☆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5ターン防御力UP+4回連続攻撃</v>
      </c>
      <c r="F260" s="47">
        <v>39009195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0" s="48" t="str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0" s="48" t="str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si="13"/>
        <v>39009014_39009073</v>
      </c>
      <c r="B261" s="128">
        <v>39009014</v>
      </c>
      <c r="C261" s="47">
        <v>39009073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ばいばい…_x000D_またあなたに会えますように☆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1" s="47">
        <v>39009196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1" s="48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8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13"/>
        <v>39009014_39009074</v>
      </c>
      <c r="B262" s="128">
        <v>39009014</v>
      </c>
      <c r="C262" s="47">
        <v>39009074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2" s="47">
        <v>39009197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2" s="48" t="str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2" s="48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ref="A263:A326" si="17">B263&amp;"_"&amp;C263</f>
        <v>39009014_39009074</v>
      </c>
      <c r="B263" s="128">
        <v>39009014</v>
      </c>
      <c r="C263" s="47">
        <v>39009074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3" s="47">
        <v>39009198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3" s="48" t="str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3" s="48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si="17"/>
        <v>39009014_39009074</v>
      </c>
      <c r="B264" s="128">
        <v>39009014</v>
      </c>
      <c r="C264" s="47">
        <v>39009074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4" s="47">
        <v>39009199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63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4" s="48" t="str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4" s="48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x14ac:dyDescent="0.15">
      <c r="A265" s="39" t="str">
        <f t="shared" si="17"/>
        <v>39009014_39009074</v>
      </c>
      <c r="B265" s="128">
        <v>39009014</v>
      </c>
      <c r="C265" s="47">
        <v>39009074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5" s="47">
        <v>39009200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64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8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5" s="48" t="str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5" s="48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21" customHeight="1" x14ac:dyDescent="0.15">
      <c r="A266" s="39" t="str">
        <f t="shared" si="17"/>
        <v>39009014_39009074</v>
      </c>
      <c r="B266" s="128">
        <v>39009014</v>
      </c>
      <c r="C266" s="47">
        <v>39009074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6" s="47">
        <v>39009201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6" s="48" t="str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6" s="48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17"/>
        <v>39009014_39009074</v>
      </c>
      <c r="B267" s="128">
        <v>39009014</v>
      </c>
      <c r="C267" s="47">
        <v>39009074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7" s="47">
        <v>39009202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7" s="48" t="str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7" s="48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17"/>
        <v>39009014_39009074</v>
      </c>
      <c r="B268" s="128">
        <v>39009014</v>
      </c>
      <c r="C268" s="47">
        <v>39009074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8" s="47">
        <v>39009203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8" s="48" t="str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8" s="48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17"/>
        <v>39009014_39009074</v>
      </c>
      <c r="B269" s="128">
        <v>39009014</v>
      </c>
      <c r="C269" s="47">
        <v>39009074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9" s="47">
        <v>39009204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9" s="48" t="str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9" s="48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17"/>
        <v>39009014_39009074</v>
      </c>
      <c r="B270" s="128">
        <v>39009014</v>
      </c>
      <c r="C270" s="47">
        <v>39009074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0" s="47">
        <v>39009205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0" s="48" t="str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0" s="48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17"/>
        <v>39009014_39009074</v>
      </c>
      <c r="B271" s="128">
        <v>39009014</v>
      </c>
      <c r="C271" s="47">
        <v>39009074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1" s="47">
        <v>39009206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1" s="48" t="str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1" s="48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si="17"/>
        <v>39009014_39009074</v>
      </c>
      <c r="B272" s="128">
        <v>39009014</v>
      </c>
      <c r="C272" s="47">
        <v>39009074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2" s="47">
        <v>39009207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2" s="48" t="str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2" s="48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17"/>
        <v>39009014_39009074</v>
      </c>
      <c r="B273" s="128">
        <v>39009014</v>
      </c>
      <c r="C273" s="47">
        <v>39009074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3" s="47">
        <v>39009208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 t="str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3" s="48" t="str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3" s="48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17"/>
        <v>39009014_39009074</v>
      </c>
      <c r="B274" s="128">
        <v>39009014</v>
      </c>
      <c r="C274" s="47">
        <v>39009074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4" s="47">
        <v>39009209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4" s="48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4" s="48" t="str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4" s="48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si="17"/>
        <v>39009014_39009074</v>
      </c>
      <c r="B275" s="128">
        <v>39009014</v>
      </c>
      <c r="C275" s="47">
        <v>39009074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5" s="47">
        <v>39009210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5" s="48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8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17"/>
        <v>39009014_39009074</v>
      </c>
      <c r="B276" s="128">
        <v>39009014</v>
      </c>
      <c r="C276" s="47">
        <v>39009074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6" s="47">
        <v>39009211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6" s="48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8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39" t="str">
        <f t="shared" si="17"/>
        <v>39009014_39009074</v>
      </c>
      <c r="B277" s="128">
        <v>39009014</v>
      </c>
      <c r="C277" s="47">
        <v>39009074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7" s="47">
        <v>39009212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7" s="48" t="str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7" s="48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39" t="str">
        <f t="shared" si="17"/>
        <v>39009014_39009074</v>
      </c>
      <c r="B278" s="128">
        <v>39009014</v>
      </c>
      <c r="C278" s="47">
        <v>39009074</v>
      </c>
      <c r="D278" s="46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8" s="46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8" s="47">
        <v>39009213</v>
      </c>
      <c r="G278" s="48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8" s="48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278" s="48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8" t="str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8" s="48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8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8" s="48" t="str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8" s="48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278" s="48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7"/>
      <c r="Q278" s="47"/>
      <c r="R278" s="47"/>
    </row>
    <row r="279" spans="1:18" ht="21" customHeight="1" x14ac:dyDescent="0.15">
      <c r="A279" s="39" t="str">
        <f t="shared" si="17"/>
        <v>39009014_39009074</v>
      </c>
      <c r="B279" s="128">
        <v>39009014</v>
      </c>
      <c r="C279" s="47">
        <v>39009074</v>
      </c>
      <c r="D279" s="46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79" s="46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9" s="47">
        <v>39009214</v>
      </c>
      <c r="G279" s="48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9" s="48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279" s="48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9" s="48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8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8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9" s="48" t="str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9" s="48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279" s="48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9" s="47"/>
      <c r="Q279" s="47"/>
      <c r="R279" s="47"/>
    </row>
    <row r="280" spans="1:18" ht="21" customHeight="1" x14ac:dyDescent="0.15">
      <c r="A280" s="39" t="str">
        <f t="shared" si="17"/>
        <v>39009014_39009074</v>
      </c>
      <c r="B280" s="128">
        <v>39009014</v>
      </c>
      <c r="C280" s="47">
        <v>39009074</v>
      </c>
      <c r="D280" s="46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0" s="46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0" s="47">
        <v>39009215</v>
      </c>
      <c r="G280" s="48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0" s="48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280" s="48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8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8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8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0" s="48" t="str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0" s="48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280" s="48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7"/>
      <c r="Q280" s="47"/>
      <c r="R280" s="47"/>
    </row>
    <row r="281" spans="1:18" ht="21" customHeight="1" x14ac:dyDescent="0.15">
      <c r="A281" s="39" t="str">
        <f t="shared" si="17"/>
        <v>39009014_39009074</v>
      </c>
      <c r="B281" s="128">
        <v>39009014</v>
      </c>
      <c r="C281" s="47">
        <v>39009074</v>
      </c>
      <c r="D281" s="46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1" s="46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1" s="47">
        <v>39009216</v>
      </c>
      <c r="G281" s="48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1" s="48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1" s="48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48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48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48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1" s="48" t="str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1" s="48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281" s="48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47"/>
      <c r="Q281" s="47"/>
      <c r="R281" s="47"/>
    </row>
    <row r="282" spans="1:18" ht="21" customHeight="1" x14ac:dyDescent="0.15">
      <c r="A282" s="39" t="str">
        <f t="shared" si="17"/>
        <v>39009014_39009074</v>
      </c>
      <c r="B282" s="128">
        <v>39009014</v>
      </c>
      <c r="C282" s="47">
        <v>39009074</v>
      </c>
      <c r="D282" s="46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2" s="46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2" s="47">
        <v>39009217</v>
      </c>
      <c r="G282" s="48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2" s="48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282" s="48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2" s="48" t="str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2" s="48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48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2" s="48" t="str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2" s="48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282" s="48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2" s="47"/>
      <c r="Q282" s="47"/>
      <c r="R282" s="47"/>
    </row>
    <row r="283" spans="1:18" ht="21" customHeight="1" x14ac:dyDescent="0.15">
      <c r="A283" s="39" t="str">
        <f t="shared" si="17"/>
        <v>39009014_39009074</v>
      </c>
      <c r="B283" s="128">
        <v>39009014</v>
      </c>
      <c r="C283" s="47">
        <v>39009074</v>
      </c>
      <c r="D283" s="46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3" s="46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3" s="47">
        <v>39009218</v>
      </c>
      <c r="G283" s="48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3" s="48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283" s="48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3" s="48" t="str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3" s="48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48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3" s="48" t="str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3" s="48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283" s="48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3" s="47"/>
      <c r="Q283" s="47"/>
      <c r="R283" s="47"/>
    </row>
    <row r="284" spans="1:18" ht="21" customHeight="1" x14ac:dyDescent="0.15">
      <c r="A284" s="39" t="str">
        <f t="shared" si="17"/>
        <v>39009014_39009074</v>
      </c>
      <c r="B284" s="128">
        <v>39009014</v>
      </c>
      <c r="C284" s="47">
        <v>39009074</v>
      </c>
      <c r="D284" s="46" t="str">
        <f ca="1">VLOOKUP($C284,OFFSET(enemy_skills!$A$1,0,0,COUNTA(enemy_skills!$A:$A),MATCH(D$1,enemy_skills!$1:$1,0)-MATCH("enemy_skill_id",enemy_skills!$1:$1,0)+1),MATCH(D$1,enemy_skills!$1:$1,0)-MATCH("enemy_skill_id",enemy_skills!$1:$1,0)+1,FALSE)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4" s="46" t="str">
        <f ca="1">VLOOKUP($C284,OFFSET(enemy_skills!$A$1,0,0,COUNTA(enemy_skills!$A:$A),MATCH(E$1,enemy_skills!$1:$1,0)-MATCH("enemy_skill_id",enemy_skills!$1:$1,0)+1),MATCH(E$1,enemy_skills!$1:$1,0)-MATCH("enemy_skill_id",enemy_skills!$1:$1,0)+1,FALSE)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4" s="47">
        <v>39009219</v>
      </c>
      <c r="G284" s="48">
        <f ca="1">VLOOKUP($F284,OFFSET(enemy_skill_triggers!$A$1,0,0,COUNTA(enemy_skill_triggers!$A:$A),MATCH(G$1,enemy_skill_triggers!$1:$1,0)-MATCH($F$1,enemy_skill_triggers!$1:$1,0)+1),MATCH(G$1,enemy_skill_triggers!$1:$1,0)-MATCH($F$1,enemy_skill_triggers!$1:$1,0)+1,FALSE)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4" s="48">
        <f ca="1">VLOOKUP($F284,OFFSET(enemy_skill_triggers!$A$1,0,0,COUNTA(enemy_skill_triggers!$A:$A),MATCH(H$1,enemy_skill_triggers!$1:$1,0)-MATCH($F$1,enemy_skill_triggers!$1:$1,0)+1),MATCH(H$1,enemy_skill_triggers!$1:$1,0)-MATCH($F$1,enemy_skill_triggers!$1:$1,0)+1,FALSE)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284" s="48">
        <f ca="1">VLOOKUP($F284,OFFSET(enemy_skill_triggers!$A$1,0,0,COUNTA(enemy_skill_triggers!$A:$A),MATCH(I$1,enemy_skill_triggers!$1:$1,0)-MATCH($F$1,enemy_skill_triggers!$1:$1,0)+1),MATCH(I$1,enemy_skill_triggers!$1:$1,0)-MATCH($F$1,enemy_skill_triggers!$1:$1,0)+1,FALSE)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4" s="48" t="str">
        <f ca="1">VLOOKUP($F284,OFFSET(enemy_skill_triggers!$A$1,0,0,COUNTA(enemy_skill_triggers!$A:$A),MATCH(J$1,enemy_skill_triggers!$1:$1,0)-MATCH($F$1,enemy_skill_triggers!$1:$1,0)+1),MATCH(J$1,enemy_skill_triggers!$1:$1,0)-MATCH($F$1,enemy_skill_triggers!$1:$1,0)+1,FALSE)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4" s="48" t="str">
        <f ca="1">VLOOKUP($F284,OFFSET(enemy_skill_triggers!$A$1,0,0,COUNTA(enemy_skill_triggers!$A:$A),MATCH(K$1,enemy_skill_triggers!$1:$1,0)-MATCH($F$1,enemy_skill_triggers!$1:$1,0)+1),MATCH(K$1,enemy_skill_triggers!$1:$1,0)-MATCH($F$1,enemy_skill_triggers!$1:$1,0)+1,FALSE)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4" s="48">
        <f ca="1">VLOOKUP($F284,OFFSET(enemy_skill_triggers!$A$1,0,0,COUNTA(enemy_skill_triggers!$A:$A),MATCH(L$1,enemy_skill_triggers!$1:$1,0)-MATCH($F$1,enemy_skill_triggers!$1:$1,0)+1),MATCH(L$1,enemy_skill_triggers!$1:$1,0)-MATCH($F$1,enemy_skill_triggers!$1:$1,0)+1,FALSE)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4" s="48" t="str">
        <f ca="1">VLOOKUP($F284,OFFSET(enemy_skill_triggers!$A$1,0,0,COUNTA(enemy_skill_triggers!$A:$A),MATCH(M$1,enemy_skill_triggers!$1:$1,0)-MATCH($F$1,enemy_skill_triggers!$1:$1,0)+1),MATCH(M$1,enemy_skill_triggers!$1:$1,0)-MATCH($F$1,enemy_skill_triggers!$1:$1,0)+1,FALSE)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4" s="48">
        <f ca="1">VLOOKUP($F284,OFFSET(enemy_skill_triggers!$A$1,0,0,COUNTA(enemy_skill_triggers!$A:$A),MATCH(N$1,enemy_skill_triggers!$1:$1,0)-MATCH($F$1,enemy_skill_triggers!$1:$1,0)+1),MATCH(N$1,enemy_skill_triggers!$1:$1,0)-MATCH($F$1,enemy_skill_triggers!$1:$1,0)+1,FALSE)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284" s="48">
        <f ca="1">VLOOKUP($F284,OFFSET(enemy_skill_triggers!$A$1,0,0,COUNTA(enemy_skill_triggers!$A:$A),MATCH(O$1,enemy_skill_triggers!$1:$1,0)-MATCH($F$1,enemy_skill_triggers!$1:$1,0)+1),MATCH(O$1,enemy_skill_triggers!$1:$1,0)-MATCH($F$1,enemy_skill_triggers!$1:$1,0)+1,FALSE)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4" s="47"/>
      <c r="Q284" s="47"/>
      <c r="R284" s="47"/>
    </row>
    <row r="285" spans="1:18" ht="21" customHeight="1" x14ac:dyDescent="0.15">
      <c r="A285" s="39" t="str">
        <f t="shared" si="17"/>
        <v>39009014_39009074</v>
      </c>
      <c r="B285" s="128">
        <v>39009014</v>
      </c>
      <c r="C285" s="47">
        <v>39009074</v>
      </c>
      <c r="D285" s="46" t="str">
        <f ca="1">VLOOKUP($C285,OFFSET(enemy_skills!$A$1,0,0,COUNTA(enemy_skills!$A:$A),MATCH(D$1,enemy_skills!$1:$1,0)-MATCH("enemy_skill_id",enemy_skills!$1:$1,0)+1),MATCH(D$1,enemy_skills!$1:$1,0)-MATCH("enemy_skill_id",enemy_skills!$1:$1,0)+1,FALSE)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5" s="46" t="str">
        <f ca="1">VLOOKUP($C285,OFFSET(enemy_skills!$A$1,0,0,COUNTA(enemy_skills!$A:$A),MATCH(E$1,enemy_skills!$1:$1,0)-MATCH("enemy_skill_id",enemy_skills!$1:$1,0)+1),MATCH(E$1,enemy_skills!$1:$1,0)-MATCH("enemy_skill_id",enemy_skills!$1:$1,0)+1,FALSE)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5" s="47">
        <v>39009220</v>
      </c>
      <c r="G285" s="48">
        <f ca="1">VLOOKUP($F285,OFFSET(enemy_skill_triggers!$A$1,0,0,COUNTA(enemy_skill_triggers!$A:$A),MATCH(G$1,enemy_skill_triggers!$1:$1,0)-MATCH($F$1,enemy_skill_triggers!$1:$1,0)+1),MATCH(G$1,enemy_skill_triggers!$1:$1,0)-MATCH($F$1,enemy_skill_triggers!$1:$1,0)+1,FALSE)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5" s="48">
        <f ca="1">VLOOKUP($F285,OFFSET(enemy_skill_triggers!$A$1,0,0,COUNTA(enemy_skill_triggers!$A:$A),MATCH(H$1,enemy_skill_triggers!$1:$1,0)-MATCH($F$1,enemy_skill_triggers!$1:$1,0)+1),MATCH(H$1,enemy_skill_triggers!$1:$1,0)-MATCH($F$1,enemy_skill_triggers!$1:$1,0)+1,FALSE)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285" s="48">
        <f ca="1">VLOOKUP($F285,OFFSET(enemy_skill_triggers!$A$1,0,0,COUNTA(enemy_skill_triggers!$A:$A),MATCH(I$1,enemy_skill_triggers!$1:$1,0)-MATCH($F$1,enemy_skill_triggers!$1:$1,0)+1),MATCH(I$1,enemy_skill_triggers!$1:$1,0)-MATCH($F$1,enemy_skill_triggers!$1:$1,0)+1,FALSE)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5" s="48" t="str">
        <f ca="1">VLOOKUP($F285,OFFSET(enemy_skill_triggers!$A$1,0,0,COUNTA(enemy_skill_triggers!$A:$A),MATCH(J$1,enemy_skill_triggers!$1:$1,0)-MATCH($F$1,enemy_skill_triggers!$1:$1,0)+1),MATCH(J$1,enemy_skill_triggers!$1:$1,0)-MATCH($F$1,enemy_skill_triggers!$1:$1,0)+1,FALSE)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5" s="48" t="str">
        <f ca="1">VLOOKUP($F285,OFFSET(enemy_skill_triggers!$A$1,0,0,COUNTA(enemy_skill_triggers!$A:$A),MATCH(K$1,enemy_skill_triggers!$1:$1,0)-MATCH($F$1,enemy_skill_triggers!$1:$1,0)+1),MATCH(K$1,enemy_skill_triggers!$1:$1,0)-MATCH($F$1,enemy_skill_triggers!$1:$1,0)+1,FALSE)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5" s="48">
        <f ca="1">VLOOKUP($F285,OFFSET(enemy_skill_triggers!$A$1,0,0,COUNTA(enemy_skill_triggers!$A:$A),MATCH(L$1,enemy_skill_triggers!$1:$1,0)-MATCH($F$1,enemy_skill_triggers!$1:$1,0)+1),MATCH(L$1,enemy_skill_triggers!$1:$1,0)-MATCH($F$1,enemy_skill_triggers!$1:$1,0)+1,FALSE)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5" s="48" t="str">
        <f ca="1">VLOOKUP($F285,OFFSET(enemy_skill_triggers!$A$1,0,0,COUNTA(enemy_skill_triggers!$A:$A),MATCH(M$1,enemy_skill_triggers!$1:$1,0)-MATCH($F$1,enemy_skill_triggers!$1:$1,0)+1),MATCH(M$1,enemy_skill_triggers!$1:$1,0)-MATCH($F$1,enemy_skill_triggers!$1:$1,0)+1,FALSE)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5" s="48">
        <f ca="1">VLOOKUP($F285,OFFSET(enemy_skill_triggers!$A$1,0,0,COUNTA(enemy_skill_triggers!$A:$A),MATCH(N$1,enemy_skill_triggers!$1:$1,0)-MATCH($F$1,enemy_skill_triggers!$1:$1,0)+1),MATCH(N$1,enemy_skill_triggers!$1:$1,0)-MATCH($F$1,enemy_skill_triggers!$1:$1,0)+1,FALSE)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285" s="48">
        <f ca="1">VLOOKUP($F285,OFFSET(enemy_skill_triggers!$A$1,0,0,COUNTA(enemy_skill_triggers!$A:$A),MATCH(O$1,enemy_skill_triggers!$1:$1,0)-MATCH($F$1,enemy_skill_triggers!$1:$1,0)+1),MATCH(O$1,enemy_skill_triggers!$1:$1,0)-MATCH($F$1,enemy_skill_triggers!$1:$1,0)+1,FALSE)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5" s="47"/>
      <c r="Q285" s="47"/>
      <c r="R285" s="47"/>
    </row>
    <row r="286" spans="1:18" ht="21" customHeight="1" x14ac:dyDescent="0.15">
      <c r="A286" s="39" t="str">
        <f t="shared" si="17"/>
        <v>39009014_39009074</v>
      </c>
      <c r="B286" s="128">
        <v>39009014</v>
      </c>
      <c r="C286" s="47">
        <v>39009074</v>
      </c>
      <c r="D286" s="46" t="str">
        <f ca="1">VLOOKUP($C286,OFFSET(enemy_skills!$A$1,0,0,COUNTA(enemy_skills!$A:$A),MATCH(D$1,enemy_skills!$1:$1,0)-MATCH("enemy_skill_id",enemy_skills!$1:$1,0)+1),MATCH(D$1,enemy_skills!$1:$1,0)-MATCH("enemy_skill_id",enemy_skills!$1:$1,0)+1,FALSE)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6" s="46" t="str">
        <f ca="1">VLOOKUP($C286,OFFSET(enemy_skills!$A$1,0,0,COUNTA(enemy_skills!$A:$A),MATCH(E$1,enemy_skills!$1:$1,0)-MATCH("enemy_skill_id",enemy_skills!$1:$1,0)+1),MATCH(E$1,enemy_skills!$1:$1,0)-MATCH("enemy_skill_id",enemy_skills!$1:$1,0)+1,FALSE)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6" s="47">
        <v>39009221</v>
      </c>
      <c r="G286" s="48">
        <f ca="1">VLOOKUP($F286,OFFSET(enemy_skill_triggers!$A$1,0,0,COUNTA(enemy_skill_triggers!$A:$A),MATCH(G$1,enemy_skill_triggers!$1:$1,0)-MATCH($F$1,enemy_skill_triggers!$1:$1,0)+1),MATCH(G$1,enemy_skill_triggers!$1:$1,0)-MATCH($F$1,enemy_skill_triggers!$1:$1,0)+1,FALSE)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6" s="48">
        <f ca="1">VLOOKUP($F286,OFFSET(enemy_skill_triggers!$A$1,0,0,COUNTA(enemy_skill_triggers!$A:$A),MATCH(H$1,enemy_skill_triggers!$1:$1,0)-MATCH($F$1,enemy_skill_triggers!$1:$1,0)+1),MATCH(H$1,enemy_skill_triggers!$1:$1,0)-MATCH($F$1,enemy_skill_triggers!$1:$1,0)+1,FALSE)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86" s="48">
        <f ca="1">VLOOKUP($F286,OFFSET(enemy_skill_triggers!$A$1,0,0,COUNTA(enemy_skill_triggers!$A:$A),MATCH(I$1,enemy_skill_triggers!$1:$1,0)-MATCH($F$1,enemy_skill_triggers!$1:$1,0)+1),MATCH(I$1,enemy_skill_triggers!$1:$1,0)-MATCH($F$1,enemy_skill_triggers!$1:$1,0)+1,FALSE)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6" s="48" t="str">
        <f ca="1">VLOOKUP($F286,OFFSET(enemy_skill_triggers!$A$1,0,0,COUNTA(enemy_skill_triggers!$A:$A),MATCH(J$1,enemy_skill_triggers!$1:$1,0)-MATCH($F$1,enemy_skill_triggers!$1:$1,0)+1),MATCH(J$1,enemy_skill_triggers!$1:$1,0)-MATCH($F$1,enemy_skill_triggers!$1:$1,0)+1,FALSE)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6" s="48" t="str">
        <f ca="1">VLOOKUP($F286,OFFSET(enemy_skill_triggers!$A$1,0,0,COUNTA(enemy_skill_triggers!$A:$A),MATCH(K$1,enemy_skill_triggers!$1:$1,0)-MATCH($F$1,enemy_skill_triggers!$1:$1,0)+1),MATCH(K$1,enemy_skill_triggers!$1:$1,0)-MATCH($F$1,enemy_skill_triggers!$1:$1,0)+1,FALSE)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6" s="48">
        <f ca="1">VLOOKUP($F286,OFFSET(enemy_skill_triggers!$A$1,0,0,COUNTA(enemy_skill_triggers!$A:$A),MATCH(L$1,enemy_skill_triggers!$1:$1,0)-MATCH($F$1,enemy_skill_triggers!$1:$1,0)+1),MATCH(L$1,enemy_skill_triggers!$1:$1,0)-MATCH($F$1,enemy_skill_triggers!$1:$1,0)+1,FALSE)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6" s="48" t="str">
        <f ca="1">VLOOKUP($F286,OFFSET(enemy_skill_triggers!$A$1,0,0,COUNTA(enemy_skill_triggers!$A:$A),MATCH(M$1,enemy_skill_triggers!$1:$1,0)-MATCH($F$1,enemy_skill_triggers!$1:$1,0)+1),MATCH(M$1,enemy_skill_triggers!$1:$1,0)-MATCH($F$1,enemy_skill_triggers!$1:$1,0)+1,FALSE)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6" s="48">
        <f ca="1">VLOOKUP($F286,OFFSET(enemy_skill_triggers!$A$1,0,0,COUNTA(enemy_skill_triggers!$A:$A),MATCH(N$1,enemy_skill_triggers!$1:$1,0)-MATCH($F$1,enemy_skill_triggers!$1:$1,0)+1),MATCH(N$1,enemy_skill_triggers!$1:$1,0)-MATCH($F$1,enemy_skill_triggers!$1:$1,0)+1,FALSE)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286" s="48">
        <f ca="1">VLOOKUP($F286,OFFSET(enemy_skill_triggers!$A$1,0,0,COUNTA(enemy_skill_triggers!$A:$A),MATCH(O$1,enemy_skill_triggers!$1:$1,0)-MATCH($F$1,enemy_skill_triggers!$1:$1,0)+1),MATCH(O$1,enemy_skill_triggers!$1:$1,0)-MATCH($F$1,enemy_skill_triggers!$1:$1,0)+1,FALSE)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6" s="47"/>
      <c r="Q286" s="47"/>
      <c r="R286" s="47"/>
    </row>
    <row r="287" spans="1:18" ht="21" customHeight="1" x14ac:dyDescent="0.15">
      <c r="A287" s="39" t="str">
        <f t="shared" si="17"/>
        <v>39009014_39009074</v>
      </c>
      <c r="B287" s="128">
        <v>39009014</v>
      </c>
      <c r="C287" s="47">
        <v>39009074</v>
      </c>
      <c r="D287" s="46" t="str">
        <f ca="1">VLOOKUP($C287,OFFSET(enemy_skills!$A$1,0,0,COUNTA(enemy_skills!$A:$A),MATCH(D$1,enemy_skills!$1:$1,0)-MATCH("enemy_skill_id",enemy_skills!$1:$1,0)+1),MATCH(D$1,enemy_skills!$1:$1,0)-MATCH("enemy_skill_id",enemy_skills!$1:$1,0)+1,FALSE)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7" s="46" t="str">
        <f ca="1">VLOOKUP($C287,OFFSET(enemy_skills!$A$1,0,0,COUNTA(enemy_skills!$A:$A),MATCH(E$1,enemy_skills!$1:$1,0)-MATCH("enemy_skill_id",enemy_skills!$1:$1,0)+1),MATCH(E$1,enemy_skills!$1:$1,0)-MATCH("enemy_skill_id",enemy_skills!$1:$1,0)+1,FALSE)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7" s="47">
        <v>39009222</v>
      </c>
      <c r="G287" s="48">
        <f ca="1">VLOOKUP($F287,OFFSET(enemy_skill_triggers!$A$1,0,0,COUNTA(enemy_skill_triggers!$A:$A),MATCH(G$1,enemy_skill_triggers!$1:$1,0)-MATCH($F$1,enemy_skill_triggers!$1:$1,0)+1),MATCH(G$1,enemy_skill_triggers!$1:$1,0)-MATCH($F$1,enemy_skill_triggers!$1:$1,0)+1,FALSE)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7" s="48">
        <f ca="1">VLOOKUP($F287,OFFSET(enemy_skill_triggers!$A$1,0,0,COUNTA(enemy_skill_triggers!$A:$A),MATCH(H$1,enemy_skill_triggers!$1:$1,0)-MATCH($F$1,enemy_skill_triggers!$1:$1,0)+1),MATCH(H$1,enemy_skill_triggers!$1:$1,0)-MATCH($F$1,enemy_skill_triggers!$1:$1,0)+1,FALSE)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287" s="48">
        <f ca="1">VLOOKUP($F287,OFFSET(enemy_skill_triggers!$A$1,0,0,COUNTA(enemy_skill_triggers!$A:$A),MATCH(I$1,enemy_skill_triggers!$1:$1,0)-MATCH($F$1,enemy_skill_triggers!$1:$1,0)+1),MATCH(I$1,enemy_skill_triggers!$1:$1,0)-MATCH($F$1,enemy_skill_triggers!$1:$1,0)+1,FALSE)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7" s="48" t="str">
        <f ca="1">VLOOKUP($F287,OFFSET(enemy_skill_triggers!$A$1,0,0,COUNTA(enemy_skill_triggers!$A:$A),MATCH(J$1,enemy_skill_triggers!$1:$1,0)-MATCH($F$1,enemy_skill_triggers!$1:$1,0)+1),MATCH(J$1,enemy_skill_triggers!$1:$1,0)-MATCH($F$1,enemy_skill_triggers!$1:$1,0)+1,FALSE)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7" s="48" t="str">
        <f ca="1">VLOOKUP($F287,OFFSET(enemy_skill_triggers!$A$1,0,0,COUNTA(enemy_skill_triggers!$A:$A),MATCH(K$1,enemy_skill_triggers!$1:$1,0)-MATCH($F$1,enemy_skill_triggers!$1:$1,0)+1),MATCH(K$1,enemy_skill_triggers!$1:$1,0)-MATCH($F$1,enemy_skill_triggers!$1:$1,0)+1,FALSE)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7" s="48">
        <f ca="1">VLOOKUP($F287,OFFSET(enemy_skill_triggers!$A$1,0,0,COUNTA(enemy_skill_triggers!$A:$A),MATCH(L$1,enemy_skill_triggers!$1:$1,0)-MATCH($F$1,enemy_skill_triggers!$1:$1,0)+1),MATCH(L$1,enemy_skill_triggers!$1:$1,0)-MATCH($F$1,enemy_skill_triggers!$1:$1,0)+1,FALSE)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7" s="48" t="str">
        <f ca="1">VLOOKUP($F287,OFFSET(enemy_skill_triggers!$A$1,0,0,COUNTA(enemy_skill_triggers!$A:$A),MATCH(M$1,enemy_skill_triggers!$1:$1,0)-MATCH($F$1,enemy_skill_triggers!$1:$1,0)+1),MATCH(M$1,enemy_skill_triggers!$1:$1,0)-MATCH($F$1,enemy_skill_triggers!$1:$1,0)+1,FALSE)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7" s="48">
        <f ca="1">VLOOKUP($F287,OFFSET(enemy_skill_triggers!$A$1,0,0,COUNTA(enemy_skill_triggers!$A:$A),MATCH(N$1,enemy_skill_triggers!$1:$1,0)-MATCH($F$1,enemy_skill_triggers!$1:$1,0)+1),MATCH(N$1,enemy_skill_triggers!$1:$1,0)-MATCH($F$1,enemy_skill_triggers!$1:$1,0)+1,FALSE)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287" s="48">
        <f ca="1">VLOOKUP($F287,OFFSET(enemy_skill_triggers!$A$1,0,0,COUNTA(enemy_skill_triggers!$A:$A),MATCH(O$1,enemy_skill_triggers!$1:$1,0)-MATCH($F$1,enemy_skill_triggers!$1:$1,0)+1),MATCH(O$1,enemy_skill_triggers!$1:$1,0)-MATCH($F$1,enemy_skill_triggers!$1:$1,0)+1,FALSE)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7" s="47"/>
      <c r="Q287" s="47"/>
      <c r="R287" s="47"/>
    </row>
    <row r="288" spans="1:18" ht="21" customHeight="1" x14ac:dyDescent="0.15">
      <c r="A288" s="39" t="str">
        <f t="shared" si="17"/>
        <v>39009014_39009074</v>
      </c>
      <c r="B288" s="128">
        <v>39009014</v>
      </c>
      <c r="C288" s="47">
        <v>39009074</v>
      </c>
      <c r="D288" s="46" t="str">
        <f ca="1">VLOOKUP($C288,OFFSET(enemy_skills!$A$1,0,0,COUNTA(enemy_skills!$A:$A),MATCH(D$1,enemy_skills!$1:$1,0)-MATCH("enemy_skill_id",enemy_skills!$1:$1,0)+1),MATCH(D$1,enemy_skills!$1:$1,0)-MATCH("enemy_skill_id",enemy_skills!$1:$1,0)+1,FALSE)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8" s="46" t="str">
        <f ca="1">VLOOKUP($C288,OFFSET(enemy_skills!$A$1,0,0,COUNTA(enemy_skills!$A:$A),MATCH(E$1,enemy_skills!$1:$1,0)-MATCH("enemy_skill_id",enemy_skills!$1:$1,0)+1),MATCH(E$1,enemy_skills!$1:$1,0)-MATCH("enemy_skill_id",enemy_skills!$1:$1,0)+1,FALSE)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8" s="47">
        <v>39009223</v>
      </c>
      <c r="G288" s="48">
        <f ca="1">VLOOKUP($F288,OFFSET(enemy_skill_triggers!$A$1,0,0,COUNTA(enemy_skill_triggers!$A:$A),MATCH(G$1,enemy_skill_triggers!$1:$1,0)-MATCH($F$1,enemy_skill_triggers!$1:$1,0)+1),MATCH(G$1,enemy_skill_triggers!$1:$1,0)-MATCH($F$1,enemy_skill_triggers!$1:$1,0)+1,FALSE)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8" s="48">
        <f ca="1">VLOOKUP($F288,OFFSET(enemy_skill_triggers!$A$1,0,0,COUNTA(enemy_skill_triggers!$A:$A),MATCH(H$1,enemy_skill_triggers!$1:$1,0)-MATCH($F$1,enemy_skill_triggers!$1:$1,0)+1),MATCH(H$1,enemy_skill_triggers!$1:$1,0)-MATCH($F$1,enemy_skill_triggers!$1:$1,0)+1,FALSE)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288" s="48">
        <f ca="1">VLOOKUP($F288,OFFSET(enemy_skill_triggers!$A$1,0,0,COUNTA(enemy_skill_triggers!$A:$A),MATCH(I$1,enemy_skill_triggers!$1:$1,0)-MATCH($F$1,enemy_skill_triggers!$1:$1,0)+1),MATCH(I$1,enemy_skill_triggers!$1:$1,0)-MATCH($F$1,enemy_skill_triggers!$1:$1,0)+1,FALSE)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8" s="48" t="str">
        <f ca="1">VLOOKUP($F288,OFFSET(enemy_skill_triggers!$A$1,0,0,COUNTA(enemy_skill_triggers!$A:$A),MATCH(J$1,enemy_skill_triggers!$1:$1,0)-MATCH($F$1,enemy_skill_triggers!$1:$1,0)+1),MATCH(J$1,enemy_skill_triggers!$1:$1,0)-MATCH($F$1,enemy_skill_triggers!$1:$1,0)+1,FALSE)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8" s="48" t="str">
        <f ca="1">VLOOKUP($F288,OFFSET(enemy_skill_triggers!$A$1,0,0,COUNTA(enemy_skill_triggers!$A:$A),MATCH(K$1,enemy_skill_triggers!$1:$1,0)-MATCH($F$1,enemy_skill_triggers!$1:$1,0)+1),MATCH(K$1,enemy_skill_triggers!$1:$1,0)-MATCH($F$1,enemy_skill_triggers!$1:$1,0)+1,FALSE)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8" s="48">
        <f ca="1">VLOOKUP($F288,OFFSET(enemy_skill_triggers!$A$1,0,0,COUNTA(enemy_skill_triggers!$A:$A),MATCH(L$1,enemy_skill_triggers!$1:$1,0)-MATCH($F$1,enemy_skill_triggers!$1:$1,0)+1),MATCH(L$1,enemy_skill_triggers!$1:$1,0)-MATCH($F$1,enemy_skill_triggers!$1:$1,0)+1,FALSE)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8" s="48" t="str">
        <f ca="1">VLOOKUP($F288,OFFSET(enemy_skill_triggers!$A$1,0,0,COUNTA(enemy_skill_triggers!$A:$A),MATCH(M$1,enemy_skill_triggers!$1:$1,0)-MATCH($F$1,enemy_skill_triggers!$1:$1,0)+1),MATCH(M$1,enemy_skill_triggers!$1:$1,0)-MATCH($F$1,enemy_skill_triggers!$1:$1,0)+1,FALSE)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8" s="48">
        <f ca="1">VLOOKUP($F288,OFFSET(enemy_skill_triggers!$A$1,0,0,COUNTA(enemy_skill_triggers!$A:$A),MATCH(N$1,enemy_skill_triggers!$1:$1,0)-MATCH($F$1,enemy_skill_triggers!$1:$1,0)+1),MATCH(N$1,enemy_skill_triggers!$1:$1,0)-MATCH($F$1,enemy_skill_triggers!$1:$1,0)+1,FALSE)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288" s="48">
        <f ca="1">VLOOKUP($F288,OFFSET(enemy_skill_triggers!$A$1,0,0,COUNTA(enemy_skill_triggers!$A:$A),MATCH(O$1,enemy_skill_triggers!$1:$1,0)-MATCH($F$1,enemy_skill_triggers!$1:$1,0)+1),MATCH(O$1,enemy_skill_triggers!$1:$1,0)-MATCH($F$1,enemy_skill_triggers!$1:$1,0)+1,FALSE)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8" s="47"/>
      <c r="Q288" s="47"/>
      <c r="R288" s="47"/>
    </row>
    <row r="289" spans="1:18" ht="21" customHeight="1" x14ac:dyDescent="0.15">
      <c r="A289" s="39" t="str">
        <f t="shared" si="17"/>
        <v>39009014_39009074</v>
      </c>
      <c r="B289" s="128">
        <v>39009014</v>
      </c>
      <c r="C289" s="47">
        <v>39009074</v>
      </c>
      <c r="D289" s="46" t="str">
        <f ca="1">VLOOKUP($C289,OFFSET(enemy_skills!$A$1,0,0,COUNTA(enemy_skills!$A:$A),MATCH(D$1,enemy_skills!$1:$1,0)-MATCH("enemy_skill_id",enemy_skills!$1:$1,0)+1),MATCH(D$1,enemy_skills!$1:$1,0)-MATCH("enemy_skill_id",enemy_skills!$1:$1,0)+1,FALSE)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89" s="46" t="str">
        <f ca="1">VLOOKUP($C289,OFFSET(enemy_skills!$A$1,0,0,COUNTA(enemy_skills!$A:$A),MATCH(E$1,enemy_skills!$1:$1,0)-MATCH("enemy_skill_id",enemy_skills!$1:$1,0)+1),MATCH(E$1,enemy_skills!$1:$1,0)-MATCH("enemy_skill_id",enemy_skills!$1:$1,0)+1,FALSE)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9" s="47">
        <v>39009224</v>
      </c>
      <c r="G289" s="48">
        <f ca="1">VLOOKUP($F289,OFFSET(enemy_skill_triggers!$A$1,0,0,COUNTA(enemy_skill_triggers!$A:$A),MATCH(G$1,enemy_skill_triggers!$1:$1,0)-MATCH($F$1,enemy_skill_triggers!$1:$1,0)+1),MATCH(G$1,enemy_skill_triggers!$1:$1,0)-MATCH($F$1,enemy_skill_triggers!$1:$1,0)+1,FALSE)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9" s="48">
        <f ca="1">VLOOKUP($F289,OFFSET(enemy_skill_triggers!$A$1,0,0,COUNTA(enemy_skill_triggers!$A:$A),MATCH(H$1,enemy_skill_triggers!$1:$1,0)-MATCH($F$1,enemy_skill_triggers!$1:$1,0)+1),MATCH(H$1,enemy_skill_triggers!$1:$1,0)-MATCH($F$1,enemy_skill_triggers!$1:$1,0)+1,FALSE)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289" s="48">
        <f ca="1">VLOOKUP($F289,OFFSET(enemy_skill_triggers!$A$1,0,0,COUNTA(enemy_skill_triggers!$A:$A),MATCH(I$1,enemy_skill_triggers!$1:$1,0)-MATCH($F$1,enemy_skill_triggers!$1:$1,0)+1),MATCH(I$1,enemy_skill_triggers!$1:$1,0)-MATCH($F$1,enemy_skill_triggers!$1:$1,0)+1,FALSE)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9" s="48" t="str">
        <f ca="1">VLOOKUP($F289,OFFSET(enemy_skill_triggers!$A$1,0,0,COUNTA(enemy_skill_triggers!$A:$A),MATCH(J$1,enemy_skill_triggers!$1:$1,0)-MATCH($F$1,enemy_skill_triggers!$1:$1,0)+1),MATCH(J$1,enemy_skill_triggers!$1:$1,0)-MATCH($F$1,enemy_skill_triggers!$1:$1,0)+1,FALSE)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9" s="48" t="str">
        <f ca="1">VLOOKUP($F289,OFFSET(enemy_skill_triggers!$A$1,0,0,COUNTA(enemy_skill_triggers!$A:$A),MATCH(K$1,enemy_skill_triggers!$1:$1,0)-MATCH($F$1,enemy_skill_triggers!$1:$1,0)+1),MATCH(K$1,enemy_skill_triggers!$1:$1,0)-MATCH($F$1,enemy_skill_triggers!$1:$1,0)+1,FALSE)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9" s="48">
        <f ca="1">VLOOKUP($F289,OFFSET(enemy_skill_triggers!$A$1,0,0,COUNTA(enemy_skill_triggers!$A:$A),MATCH(L$1,enemy_skill_triggers!$1:$1,0)-MATCH($F$1,enemy_skill_triggers!$1:$1,0)+1),MATCH(L$1,enemy_skill_triggers!$1:$1,0)-MATCH($F$1,enemy_skill_triggers!$1:$1,0)+1,FALSE)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9" s="48" t="str">
        <f ca="1">VLOOKUP($F289,OFFSET(enemy_skill_triggers!$A$1,0,0,COUNTA(enemy_skill_triggers!$A:$A),MATCH(M$1,enemy_skill_triggers!$1:$1,0)-MATCH($F$1,enemy_skill_triggers!$1:$1,0)+1),MATCH(M$1,enemy_skill_triggers!$1:$1,0)-MATCH($F$1,enemy_skill_triggers!$1:$1,0)+1,FALSE)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9" s="48">
        <f ca="1">VLOOKUP($F289,OFFSET(enemy_skill_triggers!$A$1,0,0,COUNTA(enemy_skill_triggers!$A:$A),MATCH(N$1,enemy_skill_triggers!$1:$1,0)-MATCH($F$1,enemy_skill_triggers!$1:$1,0)+1),MATCH(N$1,enemy_skill_triggers!$1:$1,0)-MATCH($F$1,enemy_skill_triggers!$1:$1,0)+1,FALSE)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289" s="48">
        <f ca="1">VLOOKUP($F289,OFFSET(enemy_skill_triggers!$A$1,0,0,COUNTA(enemy_skill_triggers!$A:$A),MATCH(O$1,enemy_skill_triggers!$1:$1,0)-MATCH($F$1,enemy_skill_triggers!$1:$1,0)+1),MATCH(O$1,enemy_skill_triggers!$1:$1,0)-MATCH($F$1,enemy_skill_triggers!$1:$1,0)+1,FALSE)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9" s="47"/>
      <c r="Q289" s="47"/>
      <c r="R289" s="47"/>
    </row>
    <row r="290" spans="1:18" ht="21" customHeight="1" x14ac:dyDescent="0.15">
      <c r="A290" s="39" t="str">
        <f t="shared" si="17"/>
        <v>39009014_39009074</v>
      </c>
      <c r="B290" s="128">
        <v>39009014</v>
      </c>
      <c r="C290" s="47">
        <v>39009074</v>
      </c>
      <c r="D290" s="46" t="str">
        <f ca="1">VLOOKUP($C290,OFFSET(enemy_skills!$A$1,0,0,COUNTA(enemy_skills!$A:$A),MATCH(D$1,enemy_skills!$1:$1,0)-MATCH("enemy_skill_id",enemy_skills!$1:$1,0)+1),MATCH(D$1,enemy_skills!$1:$1,0)-MATCH("enemy_skill_id",enemy_skills!$1:$1,0)+1,FALSE)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0" s="46" t="str">
        <f ca="1">VLOOKUP($C290,OFFSET(enemy_skills!$A$1,0,0,COUNTA(enemy_skills!$A:$A),MATCH(E$1,enemy_skills!$1:$1,0)-MATCH("enemy_skill_id",enemy_skills!$1:$1,0)+1),MATCH(E$1,enemy_skills!$1:$1,0)-MATCH("enemy_skill_id",enemy_skills!$1:$1,0)+1,FALSE)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0" s="47">
        <v>39009225</v>
      </c>
      <c r="G290" s="48">
        <f ca="1">VLOOKUP($F290,OFFSET(enemy_skill_triggers!$A$1,0,0,COUNTA(enemy_skill_triggers!$A:$A),MATCH(G$1,enemy_skill_triggers!$1:$1,0)-MATCH($F$1,enemy_skill_triggers!$1:$1,0)+1),MATCH(G$1,enemy_skill_triggers!$1:$1,0)-MATCH($F$1,enemy_skill_triggers!$1:$1,0)+1,FALSE)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0" s="48">
        <f ca="1">VLOOKUP($F290,OFFSET(enemy_skill_triggers!$A$1,0,0,COUNTA(enemy_skill_triggers!$A:$A),MATCH(H$1,enemy_skill_triggers!$1:$1,0)-MATCH($F$1,enemy_skill_triggers!$1:$1,0)+1),MATCH(H$1,enemy_skill_triggers!$1:$1,0)-MATCH($F$1,enemy_skill_triggers!$1:$1,0)+1,FALSE)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290" s="48">
        <f ca="1">VLOOKUP($F290,OFFSET(enemy_skill_triggers!$A$1,0,0,COUNTA(enemy_skill_triggers!$A:$A),MATCH(I$1,enemy_skill_triggers!$1:$1,0)-MATCH($F$1,enemy_skill_triggers!$1:$1,0)+1),MATCH(I$1,enemy_skill_triggers!$1:$1,0)-MATCH($F$1,enemy_skill_triggers!$1:$1,0)+1,FALSE)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0" s="48" t="str">
        <f ca="1">VLOOKUP($F290,OFFSET(enemy_skill_triggers!$A$1,0,0,COUNTA(enemy_skill_triggers!$A:$A),MATCH(J$1,enemy_skill_triggers!$1:$1,0)-MATCH($F$1,enemy_skill_triggers!$1:$1,0)+1),MATCH(J$1,enemy_skill_triggers!$1:$1,0)-MATCH($F$1,enemy_skill_triggers!$1:$1,0)+1,FALSE)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0" s="48" t="str">
        <f ca="1">VLOOKUP($F290,OFFSET(enemy_skill_triggers!$A$1,0,0,COUNTA(enemy_skill_triggers!$A:$A),MATCH(K$1,enemy_skill_triggers!$1:$1,0)-MATCH($F$1,enemy_skill_triggers!$1:$1,0)+1),MATCH(K$1,enemy_skill_triggers!$1:$1,0)-MATCH($F$1,enemy_skill_triggers!$1:$1,0)+1,FALSE)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0" s="48">
        <f ca="1">VLOOKUP($F290,OFFSET(enemy_skill_triggers!$A$1,0,0,COUNTA(enemy_skill_triggers!$A:$A),MATCH(L$1,enemy_skill_triggers!$1:$1,0)-MATCH($F$1,enemy_skill_triggers!$1:$1,0)+1),MATCH(L$1,enemy_skill_triggers!$1:$1,0)-MATCH($F$1,enemy_skill_triggers!$1:$1,0)+1,FALSE)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0" s="48" t="str">
        <f ca="1">VLOOKUP($F290,OFFSET(enemy_skill_triggers!$A$1,0,0,COUNTA(enemy_skill_triggers!$A:$A),MATCH(M$1,enemy_skill_triggers!$1:$1,0)-MATCH($F$1,enemy_skill_triggers!$1:$1,0)+1),MATCH(M$1,enemy_skill_triggers!$1:$1,0)-MATCH($F$1,enemy_skill_triggers!$1:$1,0)+1,FALSE)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0" s="48">
        <f ca="1">VLOOKUP($F290,OFFSET(enemy_skill_triggers!$A$1,0,0,COUNTA(enemy_skill_triggers!$A:$A),MATCH(N$1,enemy_skill_triggers!$1:$1,0)-MATCH($F$1,enemy_skill_triggers!$1:$1,0)+1),MATCH(N$1,enemy_skill_triggers!$1:$1,0)-MATCH($F$1,enemy_skill_triggers!$1:$1,0)+1,FALSE)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290" s="48">
        <f ca="1">VLOOKUP($F290,OFFSET(enemy_skill_triggers!$A$1,0,0,COUNTA(enemy_skill_triggers!$A:$A),MATCH(O$1,enemy_skill_triggers!$1:$1,0)-MATCH($F$1,enemy_skill_triggers!$1:$1,0)+1),MATCH(O$1,enemy_skill_triggers!$1:$1,0)-MATCH($F$1,enemy_skill_triggers!$1:$1,0)+1,FALSE)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0" s="47"/>
      <c r="Q290" s="47"/>
      <c r="R290" s="47"/>
    </row>
    <row r="291" spans="1:18" ht="21" customHeight="1" x14ac:dyDescent="0.15">
      <c r="A291" s="39" t="str">
        <f t="shared" si="17"/>
        <v>39009014_39009074</v>
      </c>
      <c r="B291" s="128">
        <v>39009014</v>
      </c>
      <c r="C291" s="47">
        <v>39009074</v>
      </c>
      <c r="D291" s="46" t="str">
        <f ca="1">VLOOKUP($C291,OFFSET(enemy_skills!$A$1,0,0,COUNTA(enemy_skills!$A:$A),MATCH(D$1,enemy_skills!$1:$1,0)-MATCH("enemy_skill_id",enemy_skills!$1:$1,0)+1),MATCH(D$1,enemy_skills!$1:$1,0)-MATCH("enemy_skill_id",enemy_skills!$1:$1,0)+1,FALSE)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1" s="46" t="str">
        <f ca="1">VLOOKUP($C291,OFFSET(enemy_skills!$A$1,0,0,COUNTA(enemy_skills!$A:$A),MATCH(E$1,enemy_skills!$1:$1,0)-MATCH("enemy_skill_id",enemy_skills!$1:$1,0)+1),MATCH(E$1,enemy_skills!$1:$1,0)-MATCH("enemy_skill_id",enemy_skills!$1:$1,0)+1,FALSE)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1" s="47">
        <v>39009226</v>
      </c>
      <c r="G291" s="48">
        <f ca="1">VLOOKUP($F291,OFFSET(enemy_skill_triggers!$A$1,0,0,COUNTA(enemy_skill_triggers!$A:$A),MATCH(G$1,enemy_skill_triggers!$1:$1,0)-MATCH($F$1,enemy_skill_triggers!$1:$1,0)+1),MATCH(G$1,enemy_skill_triggers!$1:$1,0)-MATCH($F$1,enemy_skill_triggers!$1:$1,0)+1,FALSE)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1" s="48">
        <f ca="1">VLOOKUP($F291,OFFSET(enemy_skill_triggers!$A$1,0,0,COUNTA(enemy_skill_triggers!$A:$A),MATCH(H$1,enemy_skill_triggers!$1:$1,0)-MATCH($F$1,enemy_skill_triggers!$1:$1,0)+1),MATCH(H$1,enemy_skill_triggers!$1:$1,0)-MATCH($F$1,enemy_skill_triggers!$1:$1,0)+1,FALSE)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91" s="48">
        <f ca="1">VLOOKUP($F291,OFFSET(enemy_skill_triggers!$A$1,0,0,COUNTA(enemy_skill_triggers!$A:$A),MATCH(I$1,enemy_skill_triggers!$1:$1,0)-MATCH($F$1,enemy_skill_triggers!$1:$1,0)+1),MATCH(I$1,enemy_skill_triggers!$1:$1,0)-MATCH($F$1,enemy_skill_triggers!$1:$1,0)+1,FALSE)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1" s="48" t="str">
        <f ca="1">VLOOKUP($F291,OFFSET(enemy_skill_triggers!$A$1,0,0,COUNTA(enemy_skill_triggers!$A:$A),MATCH(J$1,enemy_skill_triggers!$1:$1,0)-MATCH($F$1,enemy_skill_triggers!$1:$1,0)+1),MATCH(J$1,enemy_skill_triggers!$1:$1,0)-MATCH($F$1,enemy_skill_triggers!$1:$1,0)+1,FALSE)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1" s="48" t="str">
        <f ca="1">VLOOKUP($F291,OFFSET(enemy_skill_triggers!$A$1,0,0,COUNTA(enemy_skill_triggers!$A:$A),MATCH(K$1,enemy_skill_triggers!$1:$1,0)-MATCH($F$1,enemy_skill_triggers!$1:$1,0)+1),MATCH(K$1,enemy_skill_triggers!$1:$1,0)-MATCH($F$1,enemy_skill_triggers!$1:$1,0)+1,FALSE)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1" s="48">
        <f ca="1">VLOOKUP($F291,OFFSET(enemy_skill_triggers!$A$1,0,0,COUNTA(enemy_skill_triggers!$A:$A),MATCH(L$1,enemy_skill_triggers!$1:$1,0)-MATCH($F$1,enemy_skill_triggers!$1:$1,0)+1),MATCH(L$1,enemy_skill_triggers!$1:$1,0)-MATCH($F$1,enemy_skill_triggers!$1:$1,0)+1,FALSE)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1" s="48" t="str">
        <f ca="1">VLOOKUP($F291,OFFSET(enemy_skill_triggers!$A$1,0,0,COUNTA(enemy_skill_triggers!$A:$A),MATCH(M$1,enemy_skill_triggers!$1:$1,0)-MATCH($F$1,enemy_skill_triggers!$1:$1,0)+1),MATCH(M$1,enemy_skill_triggers!$1:$1,0)-MATCH($F$1,enemy_skill_triggers!$1:$1,0)+1,FALSE)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1" s="48">
        <f ca="1">VLOOKUP($F291,OFFSET(enemy_skill_triggers!$A$1,0,0,COUNTA(enemy_skill_triggers!$A:$A),MATCH(N$1,enemy_skill_triggers!$1:$1,0)-MATCH($F$1,enemy_skill_triggers!$1:$1,0)+1),MATCH(N$1,enemy_skill_triggers!$1:$1,0)-MATCH($F$1,enemy_skill_triggers!$1:$1,0)+1,FALSE)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291" s="48">
        <f ca="1">VLOOKUP($F291,OFFSET(enemy_skill_triggers!$A$1,0,0,COUNTA(enemy_skill_triggers!$A:$A),MATCH(O$1,enemy_skill_triggers!$1:$1,0)-MATCH($F$1,enemy_skill_triggers!$1:$1,0)+1),MATCH(O$1,enemy_skill_triggers!$1:$1,0)-MATCH($F$1,enemy_skill_triggers!$1:$1,0)+1,FALSE)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1" s="47"/>
      <c r="Q291" s="47"/>
      <c r="R291" s="47"/>
    </row>
    <row r="292" spans="1:18" ht="21" customHeight="1" x14ac:dyDescent="0.15">
      <c r="A292" s="39" t="str">
        <f t="shared" si="17"/>
        <v>39009014_39009074</v>
      </c>
      <c r="B292" s="128">
        <v>39009014</v>
      </c>
      <c r="C292" s="47">
        <v>39009074</v>
      </c>
      <c r="D292" s="46" t="str">
        <f ca="1">VLOOKUP($C292,OFFSET(enemy_skills!$A$1,0,0,COUNTA(enemy_skills!$A:$A),MATCH(D$1,enemy_skills!$1:$1,0)-MATCH("enemy_skill_id",enemy_skills!$1:$1,0)+1),MATCH(D$1,enemy_skills!$1:$1,0)-MATCH("enemy_skill_id",enemy_skills!$1:$1,0)+1,FALSE)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2" s="46" t="str">
        <f ca="1">VLOOKUP($C292,OFFSET(enemy_skills!$A$1,0,0,COUNTA(enemy_skills!$A:$A),MATCH(E$1,enemy_skills!$1:$1,0)-MATCH("enemy_skill_id",enemy_skills!$1:$1,0)+1),MATCH(E$1,enemy_skills!$1:$1,0)-MATCH("enemy_skill_id",enemy_skills!$1:$1,0)+1,FALSE)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2" s="47">
        <v>39009227</v>
      </c>
      <c r="G292" s="48">
        <f ca="1">VLOOKUP($F292,OFFSET(enemy_skill_triggers!$A$1,0,0,COUNTA(enemy_skill_triggers!$A:$A),MATCH(G$1,enemy_skill_triggers!$1:$1,0)-MATCH($F$1,enemy_skill_triggers!$1:$1,0)+1),MATCH(G$1,enemy_skill_triggers!$1:$1,0)-MATCH($F$1,enemy_skill_triggers!$1:$1,0)+1,FALSE)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2" s="48">
        <f ca="1">VLOOKUP($F292,OFFSET(enemy_skill_triggers!$A$1,0,0,COUNTA(enemy_skill_triggers!$A:$A),MATCH(H$1,enemy_skill_triggers!$1:$1,0)-MATCH($F$1,enemy_skill_triggers!$1:$1,0)+1),MATCH(H$1,enemy_skill_triggers!$1:$1,0)-MATCH($F$1,enemy_skill_triggers!$1:$1,0)+1,FALSE)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92" s="48">
        <f ca="1">VLOOKUP($F292,OFFSET(enemy_skill_triggers!$A$1,0,0,COUNTA(enemy_skill_triggers!$A:$A),MATCH(I$1,enemy_skill_triggers!$1:$1,0)-MATCH($F$1,enemy_skill_triggers!$1:$1,0)+1),MATCH(I$1,enemy_skill_triggers!$1:$1,0)-MATCH($F$1,enemy_skill_triggers!$1:$1,0)+1,FALSE)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2" s="48" t="str">
        <f ca="1">VLOOKUP($F292,OFFSET(enemy_skill_triggers!$A$1,0,0,COUNTA(enemy_skill_triggers!$A:$A),MATCH(J$1,enemy_skill_triggers!$1:$1,0)-MATCH($F$1,enemy_skill_triggers!$1:$1,0)+1),MATCH(J$1,enemy_skill_triggers!$1:$1,0)-MATCH($F$1,enemy_skill_triggers!$1:$1,0)+1,FALSE)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2" s="48" t="str">
        <f ca="1">VLOOKUP($F292,OFFSET(enemy_skill_triggers!$A$1,0,0,COUNTA(enemy_skill_triggers!$A:$A),MATCH(K$1,enemy_skill_triggers!$1:$1,0)-MATCH($F$1,enemy_skill_triggers!$1:$1,0)+1),MATCH(K$1,enemy_skill_triggers!$1:$1,0)-MATCH($F$1,enemy_skill_triggers!$1:$1,0)+1,FALSE)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2" s="48">
        <f ca="1">VLOOKUP($F292,OFFSET(enemy_skill_triggers!$A$1,0,0,COUNTA(enemy_skill_triggers!$A:$A),MATCH(L$1,enemy_skill_triggers!$1:$1,0)-MATCH($F$1,enemy_skill_triggers!$1:$1,0)+1),MATCH(L$1,enemy_skill_triggers!$1:$1,0)-MATCH($F$1,enemy_skill_triggers!$1:$1,0)+1,FALSE)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2" s="48" t="str">
        <f ca="1">VLOOKUP($F292,OFFSET(enemy_skill_triggers!$A$1,0,0,COUNTA(enemy_skill_triggers!$A:$A),MATCH(M$1,enemy_skill_triggers!$1:$1,0)-MATCH($F$1,enemy_skill_triggers!$1:$1,0)+1),MATCH(M$1,enemy_skill_triggers!$1:$1,0)-MATCH($F$1,enemy_skill_triggers!$1:$1,0)+1,FALSE)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2" s="48">
        <f ca="1">VLOOKUP($F292,OFFSET(enemy_skill_triggers!$A$1,0,0,COUNTA(enemy_skill_triggers!$A:$A),MATCH(N$1,enemy_skill_triggers!$1:$1,0)-MATCH($F$1,enemy_skill_triggers!$1:$1,0)+1),MATCH(N$1,enemy_skill_triggers!$1:$1,0)-MATCH($F$1,enemy_skill_triggers!$1:$1,0)+1,FALSE)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292" s="48">
        <f ca="1">VLOOKUP($F292,OFFSET(enemy_skill_triggers!$A$1,0,0,COUNTA(enemy_skill_triggers!$A:$A),MATCH(O$1,enemy_skill_triggers!$1:$1,0)-MATCH($F$1,enemy_skill_triggers!$1:$1,0)+1),MATCH(O$1,enemy_skill_triggers!$1:$1,0)-MATCH($F$1,enemy_skill_triggers!$1:$1,0)+1,FALSE)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2" s="47"/>
      <c r="Q292" s="47"/>
      <c r="R292" s="47"/>
    </row>
    <row r="293" spans="1:18" ht="21" customHeight="1" x14ac:dyDescent="0.15">
      <c r="A293" s="39" t="str">
        <f t="shared" si="17"/>
        <v>39009014_39009074</v>
      </c>
      <c r="B293" s="128">
        <v>39009014</v>
      </c>
      <c r="C293" s="47">
        <v>39009074</v>
      </c>
      <c r="D293" s="46" t="str">
        <f ca="1">VLOOKUP($C293,OFFSET(enemy_skills!$A$1,0,0,COUNTA(enemy_skills!$A:$A),MATCH(D$1,enemy_skills!$1:$1,0)-MATCH("enemy_skill_id",enemy_skills!$1:$1,0)+1),MATCH(D$1,enemy_skills!$1:$1,0)-MATCH("enemy_skill_id",enemy_skills!$1:$1,0)+1,FALSE)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3" s="46" t="str">
        <f ca="1">VLOOKUP($C293,OFFSET(enemy_skills!$A$1,0,0,COUNTA(enemy_skills!$A:$A),MATCH(E$1,enemy_skills!$1:$1,0)-MATCH("enemy_skill_id",enemy_skills!$1:$1,0)+1),MATCH(E$1,enemy_skills!$1:$1,0)-MATCH("enemy_skill_id",enemy_skills!$1:$1,0)+1,FALSE)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3" s="47">
        <v>39009228</v>
      </c>
      <c r="G293" s="48">
        <f ca="1">VLOOKUP($F293,OFFSET(enemy_skill_triggers!$A$1,0,0,COUNTA(enemy_skill_triggers!$A:$A),MATCH(G$1,enemy_skill_triggers!$1:$1,0)-MATCH($F$1,enemy_skill_triggers!$1:$1,0)+1),MATCH(G$1,enemy_skill_triggers!$1:$1,0)-MATCH($F$1,enemy_skill_triggers!$1:$1,0)+1,FALSE)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3" s="48">
        <f ca="1">VLOOKUP($F293,OFFSET(enemy_skill_triggers!$A$1,0,0,COUNTA(enemy_skill_triggers!$A:$A),MATCH(H$1,enemy_skill_triggers!$1:$1,0)-MATCH($F$1,enemy_skill_triggers!$1:$1,0)+1),MATCH(H$1,enemy_skill_triggers!$1:$1,0)-MATCH($F$1,enemy_skill_triggers!$1:$1,0)+1,FALSE)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293" s="48">
        <f ca="1">VLOOKUP($F293,OFFSET(enemy_skill_triggers!$A$1,0,0,COUNTA(enemy_skill_triggers!$A:$A),MATCH(I$1,enemy_skill_triggers!$1:$1,0)-MATCH($F$1,enemy_skill_triggers!$1:$1,0)+1),MATCH(I$1,enemy_skill_triggers!$1:$1,0)-MATCH($F$1,enemy_skill_triggers!$1:$1,0)+1,FALSE)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3" s="48" t="str">
        <f ca="1">VLOOKUP($F293,OFFSET(enemy_skill_triggers!$A$1,0,0,COUNTA(enemy_skill_triggers!$A:$A),MATCH(J$1,enemy_skill_triggers!$1:$1,0)-MATCH($F$1,enemy_skill_triggers!$1:$1,0)+1),MATCH(J$1,enemy_skill_triggers!$1:$1,0)-MATCH($F$1,enemy_skill_triggers!$1:$1,0)+1,FALSE)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3" s="48" t="str">
        <f ca="1">VLOOKUP($F293,OFFSET(enemy_skill_triggers!$A$1,0,0,COUNTA(enemy_skill_triggers!$A:$A),MATCH(K$1,enemy_skill_triggers!$1:$1,0)-MATCH($F$1,enemy_skill_triggers!$1:$1,0)+1),MATCH(K$1,enemy_skill_triggers!$1:$1,0)-MATCH($F$1,enemy_skill_triggers!$1:$1,0)+1,FALSE)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3" s="48">
        <f ca="1">VLOOKUP($F293,OFFSET(enemy_skill_triggers!$A$1,0,0,COUNTA(enemy_skill_triggers!$A:$A),MATCH(L$1,enemy_skill_triggers!$1:$1,0)-MATCH($F$1,enemy_skill_triggers!$1:$1,0)+1),MATCH(L$1,enemy_skill_triggers!$1:$1,0)-MATCH($F$1,enemy_skill_triggers!$1:$1,0)+1,FALSE)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3" s="48" t="str">
        <f ca="1">VLOOKUP($F293,OFFSET(enemy_skill_triggers!$A$1,0,0,COUNTA(enemy_skill_triggers!$A:$A),MATCH(M$1,enemy_skill_triggers!$1:$1,0)-MATCH($F$1,enemy_skill_triggers!$1:$1,0)+1),MATCH(M$1,enemy_skill_triggers!$1:$1,0)-MATCH($F$1,enemy_skill_triggers!$1:$1,0)+1,FALSE)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3" s="48">
        <f ca="1">VLOOKUP($F293,OFFSET(enemy_skill_triggers!$A$1,0,0,COUNTA(enemy_skill_triggers!$A:$A),MATCH(N$1,enemy_skill_triggers!$1:$1,0)-MATCH($F$1,enemy_skill_triggers!$1:$1,0)+1),MATCH(N$1,enemy_skill_triggers!$1:$1,0)-MATCH($F$1,enemy_skill_triggers!$1:$1,0)+1,FALSE)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293" s="48">
        <f ca="1">VLOOKUP($F293,OFFSET(enemy_skill_triggers!$A$1,0,0,COUNTA(enemy_skill_triggers!$A:$A),MATCH(O$1,enemy_skill_triggers!$1:$1,0)-MATCH($F$1,enemy_skill_triggers!$1:$1,0)+1),MATCH(O$1,enemy_skill_triggers!$1:$1,0)-MATCH($F$1,enemy_skill_triggers!$1:$1,0)+1,FALSE)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3" s="47"/>
      <c r="Q293" s="47"/>
      <c r="R293" s="47"/>
    </row>
    <row r="294" spans="1:18" ht="21" customHeight="1" x14ac:dyDescent="0.15">
      <c r="A294" s="39" t="str">
        <f t="shared" si="17"/>
        <v>39009014_39009074</v>
      </c>
      <c r="B294" s="128">
        <v>39009014</v>
      </c>
      <c r="C294" s="47">
        <v>39009074</v>
      </c>
      <c r="D294" s="46" t="str">
        <f ca="1">VLOOKUP($C294,OFFSET(enemy_skills!$A$1,0,0,COUNTA(enemy_skills!$A:$A),MATCH(D$1,enemy_skills!$1:$1,0)-MATCH("enemy_skill_id",enemy_skills!$1:$1,0)+1),MATCH(D$1,enemy_skills!$1:$1,0)-MATCH("enemy_skill_id",enemy_skills!$1:$1,0)+1,FALSE)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4" s="46" t="str">
        <f ca="1">VLOOKUP($C294,OFFSET(enemy_skills!$A$1,0,0,COUNTA(enemy_skills!$A:$A),MATCH(E$1,enemy_skills!$1:$1,0)-MATCH("enemy_skill_id",enemy_skills!$1:$1,0)+1),MATCH(E$1,enemy_skills!$1:$1,0)-MATCH("enemy_skill_id",enemy_skills!$1:$1,0)+1,FALSE)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4" s="47">
        <v>39009229</v>
      </c>
      <c r="G294" s="48">
        <f ca="1">VLOOKUP($F294,OFFSET(enemy_skill_triggers!$A$1,0,0,COUNTA(enemy_skill_triggers!$A:$A),MATCH(G$1,enemy_skill_triggers!$1:$1,0)-MATCH($F$1,enemy_skill_triggers!$1:$1,0)+1),MATCH(G$1,enemy_skill_triggers!$1:$1,0)-MATCH($F$1,enemy_skill_triggers!$1:$1,0)+1,FALSE)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4" s="48">
        <f ca="1">VLOOKUP($F294,OFFSET(enemy_skill_triggers!$A$1,0,0,COUNTA(enemy_skill_triggers!$A:$A),MATCH(H$1,enemy_skill_triggers!$1:$1,0)-MATCH($F$1,enemy_skill_triggers!$1:$1,0)+1),MATCH(H$1,enemy_skill_triggers!$1:$1,0)-MATCH($F$1,enemy_skill_triggers!$1:$1,0)+1,FALSE)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294" s="48">
        <f ca="1">VLOOKUP($F294,OFFSET(enemy_skill_triggers!$A$1,0,0,COUNTA(enemy_skill_triggers!$A:$A),MATCH(I$1,enemy_skill_triggers!$1:$1,0)-MATCH($F$1,enemy_skill_triggers!$1:$1,0)+1),MATCH(I$1,enemy_skill_triggers!$1:$1,0)-MATCH($F$1,enemy_skill_triggers!$1:$1,0)+1,FALSE)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4" s="48" t="str">
        <f ca="1">VLOOKUP($F294,OFFSET(enemy_skill_triggers!$A$1,0,0,COUNTA(enemy_skill_triggers!$A:$A),MATCH(J$1,enemy_skill_triggers!$1:$1,0)-MATCH($F$1,enemy_skill_triggers!$1:$1,0)+1),MATCH(J$1,enemy_skill_triggers!$1:$1,0)-MATCH($F$1,enemy_skill_triggers!$1:$1,0)+1,FALSE)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4" s="48" t="str">
        <f ca="1">VLOOKUP($F294,OFFSET(enemy_skill_triggers!$A$1,0,0,COUNTA(enemy_skill_triggers!$A:$A),MATCH(K$1,enemy_skill_triggers!$1:$1,0)-MATCH($F$1,enemy_skill_triggers!$1:$1,0)+1),MATCH(K$1,enemy_skill_triggers!$1:$1,0)-MATCH($F$1,enemy_skill_triggers!$1:$1,0)+1,FALSE)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4" s="48">
        <f ca="1">VLOOKUP($F294,OFFSET(enemy_skill_triggers!$A$1,0,0,COUNTA(enemy_skill_triggers!$A:$A),MATCH(L$1,enemy_skill_triggers!$1:$1,0)-MATCH($F$1,enemy_skill_triggers!$1:$1,0)+1),MATCH(L$1,enemy_skill_triggers!$1:$1,0)-MATCH($F$1,enemy_skill_triggers!$1:$1,0)+1,FALSE)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4" s="48" t="str">
        <f ca="1">VLOOKUP($F294,OFFSET(enemy_skill_triggers!$A$1,0,0,COUNTA(enemy_skill_triggers!$A:$A),MATCH(M$1,enemy_skill_triggers!$1:$1,0)-MATCH($F$1,enemy_skill_triggers!$1:$1,0)+1),MATCH(M$1,enemy_skill_triggers!$1:$1,0)-MATCH($F$1,enemy_skill_triggers!$1:$1,0)+1,FALSE)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4" s="48">
        <f ca="1">VLOOKUP($F294,OFFSET(enemy_skill_triggers!$A$1,0,0,COUNTA(enemy_skill_triggers!$A:$A),MATCH(N$1,enemy_skill_triggers!$1:$1,0)-MATCH($F$1,enemy_skill_triggers!$1:$1,0)+1),MATCH(N$1,enemy_skill_triggers!$1:$1,0)-MATCH($F$1,enemy_skill_triggers!$1:$1,0)+1,FALSE)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294" s="48">
        <f ca="1">VLOOKUP($F294,OFFSET(enemy_skill_triggers!$A$1,0,0,COUNTA(enemy_skill_triggers!$A:$A),MATCH(O$1,enemy_skill_triggers!$1:$1,0)-MATCH($F$1,enemy_skill_triggers!$1:$1,0)+1),MATCH(O$1,enemy_skill_triggers!$1:$1,0)-MATCH($F$1,enemy_skill_triggers!$1:$1,0)+1,FALSE)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4" s="47"/>
      <c r="Q294" s="47"/>
      <c r="R294" s="47"/>
    </row>
    <row r="295" spans="1:18" ht="21" customHeight="1" x14ac:dyDescent="0.15">
      <c r="A295" s="39" t="str">
        <f t="shared" si="17"/>
        <v>39009014_39009074</v>
      </c>
      <c r="B295" s="128">
        <v>39009014</v>
      </c>
      <c r="C295" s="47">
        <v>39009074</v>
      </c>
      <c r="D295" s="46" t="str">
        <f ca="1">VLOOKUP($C295,OFFSET(enemy_skills!$A$1,0,0,COUNTA(enemy_skills!$A:$A),MATCH(D$1,enemy_skills!$1:$1,0)-MATCH("enemy_skill_id",enemy_skills!$1:$1,0)+1),MATCH(D$1,enemy_skills!$1:$1,0)-MATCH("enemy_skill_id",enemy_skills!$1:$1,0)+1,FALSE)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5" s="46" t="str">
        <f ca="1">VLOOKUP($C295,OFFSET(enemy_skills!$A$1,0,0,COUNTA(enemy_skills!$A:$A),MATCH(E$1,enemy_skills!$1:$1,0)-MATCH("enemy_skill_id",enemy_skills!$1:$1,0)+1),MATCH(E$1,enemy_skills!$1:$1,0)-MATCH("enemy_skill_id",enemy_skills!$1:$1,0)+1,FALSE)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5" s="47">
        <v>39009230</v>
      </c>
      <c r="G295" s="48">
        <f ca="1">VLOOKUP($F295,OFFSET(enemy_skill_triggers!$A$1,0,0,COUNTA(enemy_skill_triggers!$A:$A),MATCH(G$1,enemy_skill_triggers!$1:$1,0)-MATCH($F$1,enemy_skill_triggers!$1:$1,0)+1),MATCH(G$1,enemy_skill_triggers!$1:$1,0)-MATCH($F$1,enemy_skill_triggers!$1:$1,0)+1,FALSE)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5" s="48">
        <f ca="1">VLOOKUP($F295,OFFSET(enemy_skill_triggers!$A$1,0,0,COUNTA(enemy_skill_triggers!$A:$A),MATCH(H$1,enemy_skill_triggers!$1:$1,0)-MATCH($F$1,enemy_skill_triggers!$1:$1,0)+1),MATCH(H$1,enemy_skill_triggers!$1:$1,0)-MATCH($F$1,enemy_skill_triggers!$1:$1,0)+1,FALSE)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295" s="48">
        <f ca="1">VLOOKUP($F295,OFFSET(enemy_skill_triggers!$A$1,0,0,COUNTA(enemy_skill_triggers!$A:$A),MATCH(I$1,enemy_skill_triggers!$1:$1,0)-MATCH($F$1,enemy_skill_triggers!$1:$1,0)+1),MATCH(I$1,enemy_skill_triggers!$1:$1,0)-MATCH($F$1,enemy_skill_triggers!$1:$1,0)+1,FALSE)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5" s="48" t="str">
        <f ca="1">VLOOKUP($F295,OFFSET(enemy_skill_triggers!$A$1,0,0,COUNTA(enemy_skill_triggers!$A:$A),MATCH(J$1,enemy_skill_triggers!$1:$1,0)-MATCH($F$1,enemy_skill_triggers!$1:$1,0)+1),MATCH(J$1,enemy_skill_triggers!$1:$1,0)-MATCH($F$1,enemy_skill_triggers!$1:$1,0)+1,FALSE)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5" s="48" t="str">
        <f ca="1">VLOOKUP($F295,OFFSET(enemy_skill_triggers!$A$1,0,0,COUNTA(enemy_skill_triggers!$A:$A),MATCH(K$1,enemy_skill_triggers!$1:$1,0)-MATCH($F$1,enemy_skill_triggers!$1:$1,0)+1),MATCH(K$1,enemy_skill_triggers!$1:$1,0)-MATCH($F$1,enemy_skill_triggers!$1:$1,0)+1,FALSE)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5" s="48">
        <f ca="1">VLOOKUP($F295,OFFSET(enemy_skill_triggers!$A$1,0,0,COUNTA(enemy_skill_triggers!$A:$A),MATCH(L$1,enemy_skill_triggers!$1:$1,0)-MATCH($F$1,enemy_skill_triggers!$1:$1,0)+1),MATCH(L$1,enemy_skill_triggers!$1:$1,0)-MATCH($F$1,enemy_skill_triggers!$1:$1,0)+1,FALSE)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5" s="48" t="str">
        <f ca="1">VLOOKUP($F295,OFFSET(enemy_skill_triggers!$A$1,0,0,COUNTA(enemy_skill_triggers!$A:$A),MATCH(M$1,enemy_skill_triggers!$1:$1,0)-MATCH($F$1,enemy_skill_triggers!$1:$1,0)+1),MATCH(M$1,enemy_skill_triggers!$1:$1,0)-MATCH($F$1,enemy_skill_triggers!$1:$1,0)+1,FALSE)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5" s="48">
        <f ca="1">VLOOKUP($F295,OFFSET(enemy_skill_triggers!$A$1,0,0,COUNTA(enemy_skill_triggers!$A:$A),MATCH(N$1,enemy_skill_triggers!$1:$1,0)-MATCH($F$1,enemy_skill_triggers!$1:$1,0)+1),MATCH(N$1,enemy_skill_triggers!$1:$1,0)-MATCH($F$1,enemy_skill_triggers!$1:$1,0)+1,FALSE)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295" s="48">
        <f ca="1">VLOOKUP($F295,OFFSET(enemy_skill_triggers!$A$1,0,0,COUNTA(enemy_skill_triggers!$A:$A),MATCH(O$1,enemy_skill_triggers!$1:$1,0)-MATCH($F$1,enemy_skill_triggers!$1:$1,0)+1),MATCH(O$1,enemy_skill_triggers!$1:$1,0)-MATCH($F$1,enemy_skill_triggers!$1:$1,0)+1,FALSE)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5" s="47"/>
      <c r="Q295" s="47"/>
      <c r="R295" s="47"/>
    </row>
    <row r="296" spans="1:18" ht="21" customHeight="1" x14ac:dyDescent="0.15">
      <c r="A296" s="39" t="str">
        <f t="shared" si="17"/>
        <v>39009014_39009074</v>
      </c>
      <c r="B296" s="128">
        <v>39009014</v>
      </c>
      <c r="C296" s="47">
        <v>39009074</v>
      </c>
      <c r="D296" s="46" t="str">
        <f ca="1">VLOOKUP($C296,OFFSET(enemy_skills!$A$1,0,0,COUNTA(enemy_skills!$A:$A),MATCH(D$1,enemy_skills!$1:$1,0)-MATCH("enemy_skill_id",enemy_skills!$1:$1,0)+1),MATCH(D$1,enemy_skills!$1:$1,0)-MATCH("enemy_skill_id",enemy_skills!$1:$1,0)+1,FALSE)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6" s="46" t="str">
        <f ca="1">VLOOKUP($C296,OFFSET(enemy_skills!$A$1,0,0,COUNTA(enemy_skills!$A:$A),MATCH(E$1,enemy_skills!$1:$1,0)-MATCH("enemy_skill_id",enemy_skills!$1:$1,0)+1),MATCH(E$1,enemy_skills!$1:$1,0)-MATCH("enemy_skill_id",enemy_skills!$1:$1,0)+1,FALSE)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6" s="47">
        <v>39009231</v>
      </c>
      <c r="G296" s="48">
        <f ca="1">VLOOKUP($F296,OFFSET(enemy_skill_triggers!$A$1,0,0,COUNTA(enemy_skill_triggers!$A:$A),MATCH(G$1,enemy_skill_triggers!$1:$1,0)-MATCH($F$1,enemy_skill_triggers!$1:$1,0)+1),MATCH(G$1,enemy_skill_triggers!$1:$1,0)-MATCH($F$1,enemy_skill_triggers!$1:$1,0)+1,FALSE)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6" s="48">
        <f ca="1">VLOOKUP($F296,OFFSET(enemy_skill_triggers!$A$1,0,0,COUNTA(enemy_skill_triggers!$A:$A),MATCH(H$1,enemy_skill_triggers!$1:$1,0)-MATCH($F$1,enemy_skill_triggers!$1:$1,0)+1),MATCH(H$1,enemy_skill_triggers!$1:$1,0)-MATCH($F$1,enemy_skill_triggers!$1:$1,0)+1,FALSE)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96" s="48">
        <f ca="1">VLOOKUP($F296,OFFSET(enemy_skill_triggers!$A$1,0,0,COUNTA(enemy_skill_triggers!$A:$A),MATCH(I$1,enemy_skill_triggers!$1:$1,0)-MATCH($F$1,enemy_skill_triggers!$1:$1,0)+1),MATCH(I$1,enemy_skill_triggers!$1:$1,0)-MATCH($F$1,enemy_skill_triggers!$1:$1,0)+1,FALSE)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6" s="48" t="str">
        <f ca="1">VLOOKUP($F296,OFFSET(enemy_skill_triggers!$A$1,0,0,COUNTA(enemy_skill_triggers!$A:$A),MATCH(J$1,enemy_skill_triggers!$1:$1,0)-MATCH($F$1,enemy_skill_triggers!$1:$1,0)+1),MATCH(J$1,enemy_skill_triggers!$1:$1,0)-MATCH($F$1,enemy_skill_triggers!$1:$1,0)+1,FALSE)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6" s="48" t="str">
        <f ca="1">VLOOKUP($F296,OFFSET(enemy_skill_triggers!$A$1,0,0,COUNTA(enemy_skill_triggers!$A:$A),MATCH(K$1,enemy_skill_triggers!$1:$1,0)-MATCH($F$1,enemy_skill_triggers!$1:$1,0)+1),MATCH(K$1,enemy_skill_triggers!$1:$1,0)-MATCH($F$1,enemy_skill_triggers!$1:$1,0)+1,FALSE)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6" s="48">
        <f ca="1">VLOOKUP($F296,OFFSET(enemy_skill_triggers!$A$1,0,0,COUNTA(enemy_skill_triggers!$A:$A),MATCH(L$1,enemy_skill_triggers!$1:$1,0)-MATCH($F$1,enemy_skill_triggers!$1:$1,0)+1),MATCH(L$1,enemy_skill_triggers!$1:$1,0)-MATCH($F$1,enemy_skill_triggers!$1:$1,0)+1,FALSE)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6" s="48" t="str">
        <f ca="1">VLOOKUP($F296,OFFSET(enemy_skill_triggers!$A$1,0,0,COUNTA(enemy_skill_triggers!$A:$A),MATCH(M$1,enemy_skill_triggers!$1:$1,0)-MATCH($F$1,enemy_skill_triggers!$1:$1,0)+1),MATCH(M$1,enemy_skill_triggers!$1:$1,0)-MATCH($F$1,enemy_skill_triggers!$1:$1,0)+1,FALSE)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6" s="48">
        <f ca="1">VLOOKUP($F296,OFFSET(enemy_skill_triggers!$A$1,0,0,COUNTA(enemy_skill_triggers!$A:$A),MATCH(N$1,enemy_skill_triggers!$1:$1,0)-MATCH($F$1,enemy_skill_triggers!$1:$1,0)+1),MATCH(N$1,enemy_skill_triggers!$1:$1,0)-MATCH($F$1,enemy_skill_triggers!$1:$1,0)+1,FALSE)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296" s="48">
        <f ca="1">VLOOKUP($F296,OFFSET(enemy_skill_triggers!$A$1,0,0,COUNTA(enemy_skill_triggers!$A:$A),MATCH(O$1,enemy_skill_triggers!$1:$1,0)-MATCH($F$1,enemy_skill_triggers!$1:$1,0)+1),MATCH(O$1,enemy_skill_triggers!$1:$1,0)-MATCH($F$1,enemy_skill_triggers!$1:$1,0)+1,FALSE)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6" s="47"/>
      <c r="Q296" s="47"/>
      <c r="R296" s="47"/>
    </row>
    <row r="297" spans="1:18" ht="21" customHeight="1" x14ac:dyDescent="0.15">
      <c r="A297" s="39" t="str">
        <f t="shared" si="17"/>
        <v>39009014_39009074</v>
      </c>
      <c r="B297" s="128">
        <v>39009014</v>
      </c>
      <c r="C297" s="47">
        <v>39009074</v>
      </c>
      <c r="D297" s="46" t="str">
        <f ca="1">VLOOKUP($C297,OFFSET(enemy_skills!$A$1,0,0,COUNTA(enemy_skills!$A:$A),MATCH(D$1,enemy_skills!$1:$1,0)-MATCH("enemy_skill_id",enemy_skills!$1:$1,0)+1),MATCH(D$1,enemy_skills!$1:$1,0)-MATCH("enemy_skill_id",enemy_skills!$1:$1,0)+1,FALSE)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7" s="46" t="str">
        <f ca="1">VLOOKUP($C297,OFFSET(enemy_skills!$A$1,0,0,COUNTA(enemy_skills!$A:$A),MATCH(E$1,enemy_skills!$1:$1,0)-MATCH("enemy_skill_id",enemy_skills!$1:$1,0)+1),MATCH(E$1,enemy_skills!$1:$1,0)-MATCH("enemy_skill_id",enemy_skills!$1:$1,0)+1,FALSE)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7" s="47">
        <v>39009232</v>
      </c>
      <c r="G297" s="48">
        <f ca="1">VLOOKUP($F297,OFFSET(enemy_skill_triggers!$A$1,0,0,COUNTA(enemy_skill_triggers!$A:$A),MATCH(G$1,enemy_skill_triggers!$1:$1,0)-MATCH($F$1,enemy_skill_triggers!$1:$1,0)+1),MATCH(G$1,enemy_skill_triggers!$1:$1,0)-MATCH($F$1,enemy_skill_triggers!$1:$1,0)+1,FALSE)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7" s="48">
        <f ca="1">VLOOKUP($F297,OFFSET(enemy_skill_triggers!$A$1,0,0,COUNTA(enemy_skill_triggers!$A:$A),MATCH(H$1,enemy_skill_triggers!$1:$1,0)-MATCH($F$1,enemy_skill_triggers!$1:$1,0)+1),MATCH(H$1,enemy_skill_triggers!$1:$1,0)-MATCH($F$1,enemy_skill_triggers!$1:$1,0)+1,FALSE)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97" s="48">
        <f ca="1">VLOOKUP($F297,OFFSET(enemy_skill_triggers!$A$1,0,0,COUNTA(enemy_skill_triggers!$A:$A),MATCH(I$1,enemy_skill_triggers!$1:$1,0)-MATCH($F$1,enemy_skill_triggers!$1:$1,0)+1),MATCH(I$1,enemy_skill_triggers!$1:$1,0)-MATCH($F$1,enemy_skill_triggers!$1:$1,0)+1,FALSE)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7" s="48" t="str">
        <f ca="1">VLOOKUP($F297,OFFSET(enemy_skill_triggers!$A$1,0,0,COUNTA(enemy_skill_triggers!$A:$A),MATCH(J$1,enemy_skill_triggers!$1:$1,0)-MATCH($F$1,enemy_skill_triggers!$1:$1,0)+1),MATCH(J$1,enemy_skill_triggers!$1:$1,0)-MATCH($F$1,enemy_skill_triggers!$1:$1,0)+1,FALSE)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7" s="48" t="str">
        <f ca="1">VLOOKUP($F297,OFFSET(enemy_skill_triggers!$A$1,0,0,COUNTA(enemy_skill_triggers!$A:$A),MATCH(K$1,enemy_skill_triggers!$1:$1,0)-MATCH($F$1,enemy_skill_triggers!$1:$1,0)+1),MATCH(K$1,enemy_skill_triggers!$1:$1,0)-MATCH($F$1,enemy_skill_triggers!$1:$1,0)+1,FALSE)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7" s="48">
        <f ca="1">VLOOKUP($F297,OFFSET(enemy_skill_triggers!$A$1,0,0,COUNTA(enemy_skill_triggers!$A:$A),MATCH(L$1,enemy_skill_triggers!$1:$1,0)-MATCH($F$1,enemy_skill_triggers!$1:$1,0)+1),MATCH(L$1,enemy_skill_triggers!$1:$1,0)-MATCH($F$1,enemy_skill_triggers!$1:$1,0)+1,FALSE)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7" s="48" t="str">
        <f ca="1">VLOOKUP($F297,OFFSET(enemy_skill_triggers!$A$1,0,0,COUNTA(enemy_skill_triggers!$A:$A),MATCH(M$1,enemy_skill_triggers!$1:$1,0)-MATCH($F$1,enemy_skill_triggers!$1:$1,0)+1),MATCH(M$1,enemy_skill_triggers!$1:$1,0)-MATCH($F$1,enemy_skill_triggers!$1:$1,0)+1,FALSE)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7" s="48">
        <f ca="1">VLOOKUP($F297,OFFSET(enemy_skill_triggers!$A$1,0,0,COUNTA(enemy_skill_triggers!$A:$A),MATCH(N$1,enemy_skill_triggers!$1:$1,0)-MATCH($F$1,enemy_skill_triggers!$1:$1,0)+1),MATCH(N$1,enemy_skill_triggers!$1:$1,0)-MATCH($F$1,enemy_skill_triggers!$1:$1,0)+1,FALSE)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297" s="48">
        <f ca="1">VLOOKUP($F297,OFFSET(enemy_skill_triggers!$A$1,0,0,COUNTA(enemy_skill_triggers!$A:$A),MATCH(O$1,enemy_skill_triggers!$1:$1,0)-MATCH($F$1,enemy_skill_triggers!$1:$1,0)+1),MATCH(O$1,enemy_skill_triggers!$1:$1,0)-MATCH($F$1,enemy_skill_triggers!$1:$1,0)+1,FALSE)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7" s="47"/>
      <c r="Q297" s="47"/>
      <c r="R297" s="47"/>
    </row>
    <row r="298" spans="1:18" ht="21" customHeight="1" x14ac:dyDescent="0.15">
      <c r="A298" s="39" t="str">
        <f t="shared" si="17"/>
        <v>39009014_39009074</v>
      </c>
      <c r="B298" s="128">
        <v>39009014</v>
      </c>
      <c r="C298" s="47">
        <v>39009074</v>
      </c>
      <c r="D298" s="46" t="str">
        <f ca="1">VLOOKUP($C298,OFFSET(enemy_skills!$A$1,0,0,COUNTA(enemy_skills!$A:$A),MATCH(D$1,enemy_skills!$1:$1,0)-MATCH("enemy_skill_id",enemy_skills!$1:$1,0)+1),MATCH(D$1,enemy_skills!$1:$1,0)-MATCH("enemy_skill_id",enemy_skills!$1:$1,0)+1,FALSE)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8" s="46" t="str">
        <f ca="1">VLOOKUP($C298,OFFSET(enemy_skills!$A$1,0,0,COUNTA(enemy_skills!$A:$A),MATCH(E$1,enemy_skills!$1:$1,0)-MATCH("enemy_skill_id",enemy_skills!$1:$1,0)+1),MATCH(E$1,enemy_skills!$1:$1,0)-MATCH("enemy_skill_id",enemy_skills!$1:$1,0)+1,FALSE)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8" s="47">
        <v>39009233</v>
      </c>
      <c r="G298" s="48">
        <f ca="1">VLOOKUP($F298,OFFSET(enemy_skill_triggers!$A$1,0,0,COUNTA(enemy_skill_triggers!$A:$A),MATCH(G$1,enemy_skill_triggers!$1:$1,0)-MATCH($F$1,enemy_skill_triggers!$1:$1,0)+1),MATCH(G$1,enemy_skill_triggers!$1:$1,0)-MATCH($F$1,enemy_skill_triggers!$1:$1,0)+1,FALSE)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8" s="48">
        <f ca="1">VLOOKUP($F298,OFFSET(enemy_skill_triggers!$A$1,0,0,COUNTA(enemy_skill_triggers!$A:$A),MATCH(H$1,enemy_skill_triggers!$1:$1,0)-MATCH($F$1,enemy_skill_triggers!$1:$1,0)+1),MATCH(H$1,enemy_skill_triggers!$1:$1,0)-MATCH($F$1,enemy_skill_triggers!$1:$1,0)+1,FALSE)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98" s="48">
        <f ca="1">VLOOKUP($F298,OFFSET(enemy_skill_triggers!$A$1,0,0,COUNTA(enemy_skill_triggers!$A:$A),MATCH(I$1,enemy_skill_triggers!$1:$1,0)-MATCH($F$1,enemy_skill_triggers!$1:$1,0)+1),MATCH(I$1,enemy_skill_triggers!$1:$1,0)-MATCH($F$1,enemy_skill_triggers!$1:$1,0)+1,FALSE)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8" s="48" t="str">
        <f ca="1">VLOOKUP($F298,OFFSET(enemy_skill_triggers!$A$1,0,0,COUNTA(enemy_skill_triggers!$A:$A),MATCH(J$1,enemy_skill_triggers!$1:$1,0)-MATCH($F$1,enemy_skill_triggers!$1:$1,0)+1),MATCH(J$1,enemy_skill_triggers!$1:$1,0)-MATCH($F$1,enemy_skill_triggers!$1:$1,0)+1,FALSE)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8" s="48" t="str">
        <f ca="1">VLOOKUP($F298,OFFSET(enemy_skill_triggers!$A$1,0,0,COUNTA(enemy_skill_triggers!$A:$A),MATCH(K$1,enemy_skill_triggers!$1:$1,0)-MATCH($F$1,enemy_skill_triggers!$1:$1,0)+1),MATCH(K$1,enemy_skill_triggers!$1:$1,0)-MATCH($F$1,enemy_skill_triggers!$1:$1,0)+1,FALSE)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8" s="48">
        <f ca="1">VLOOKUP($F298,OFFSET(enemy_skill_triggers!$A$1,0,0,COUNTA(enemy_skill_triggers!$A:$A),MATCH(L$1,enemy_skill_triggers!$1:$1,0)-MATCH($F$1,enemy_skill_triggers!$1:$1,0)+1),MATCH(L$1,enemy_skill_triggers!$1:$1,0)-MATCH($F$1,enemy_skill_triggers!$1:$1,0)+1,FALSE)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8" s="48" t="str">
        <f ca="1">VLOOKUP($F298,OFFSET(enemy_skill_triggers!$A$1,0,0,COUNTA(enemy_skill_triggers!$A:$A),MATCH(M$1,enemy_skill_triggers!$1:$1,0)-MATCH($F$1,enemy_skill_triggers!$1:$1,0)+1),MATCH(M$1,enemy_skill_triggers!$1:$1,0)-MATCH($F$1,enemy_skill_triggers!$1:$1,0)+1,FALSE)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8" s="48">
        <f ca="1">VLOOKUP($F298,OFFSET(enemy_skill_triggers!$A$1,0,0,COUNTA(enemy_skill_triggers!$A:$A),MATCH(N$1,enemy_skill_triggers!$1:$1,0)-MATCH($F$1,enemy_skill_triggers!$1:$1,0)+1),MATCH(N$1,enemy_skill_triggers!$1:$1,0)-MATCH($F$1,enemy_skill_triggers!$1:$1,0)+1,FALSE)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298" s="48">
        <f ca="1">VLOOKUP($F298,OFFSET(enemy_skill_triggers!$A$1,0,0,COUNTA(enemy_skill_triggers!$A:$A),MATCH(O$1,enemy_skill_triggers!$1:$1,0)-MATCH($F$1,enemy_skill_triggers!$1:$1,0)+1),MATCH(O$1,enemy_skill_triggers!$1:$1,0)-MATCH($F$1,enemy_skill_triggers!$1:$1,0)+1,FALSE)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8" s="47"/>
      <c r="Q298" s="47"/>
      <c r="R298" s="47"/>
    </row>
    <row r="299" spans="1:18" ht="21" customHeight="1" x14ac:dyDescent="0.15">
      <c r="A299" s="39" t="str">
        <f t="shared" si="17"/>
        <v>39009014_39009074</v>
      </c>
      <c r="B299" s="128">
        <v>39009014</v>
      </c>
      <c r="C299" s="47">
        <v>39009074</v>
      </c>
      <c r="D299" s="46" t="str">
        <f ca="1">VLOOKUP($C299,OFFSET(enemy_skills!$A$1,0,0,COUNTA(enemy_skills!$A:$A),MATCH(D$1,enemy_skills!$1:$1,0)-MATCH("enemy_skill_id",enemy_skills!$1:$1,0)+1),MATCH(D$1,enemy_skills!$1:$1,0)-MATCH("enemy_skill_id",enemy_skills!$1:$1,0)+1,FALSE)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299" s="46" t="str">
        <f ca="1">VLOOKUP($C299,OFFSET(enemy_skills!$A$1,0,0,COUNTA(enemy_skills!$A:$A),MATCH(E$1,enemy_skills!$1:$1,0)-MATCH("enemy_skill_id",enemy_skills!$1:$1,0)+1),MATCH(E$1,enemy_skills!$1:$1,0)-MATCH("enemy_skill_id",enemy_skills!$1:$1,0)+1,FALSE)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9" s="47">
        <v>39009234</v>
      </c>
      <c r="G299" s="48">
        <f ca="1">VLOOKUP($F299,OFFSET(enemy_skill_triggers!$A$1,0,0,COUNTA(enemy_skill_triggers!$A:$A),MATCH(G$1,enemy_skill_triggers!$1:$1,0)-MATCH($F$1,enemy_skill_triggers!$1:$1,0)+1),MATCH(G$1,enemy_skill_triggers!$1:$1,0)-MATCH($F$1,enemy_skill_triggers!$1:$1,0)+1,FALSE)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9" s="48">
        <f ca="1">VLOOKUP($F299,OFFSET(enemy_skill_triggers!$A$1,0,0,COUNTA(enemy_skill_triggers!$A:$A),MATCH(H$1,enemy_skill_triggers!$1:$1,0)-MATCH($F$1,enemy_skill_triggers!$1:$1,0)+1),MATCH(H$1,enemy_skill_triggers!$1:$1,0)-MATCH($F$1,enemy_skill_triggers!$1:$1,0)+1,FALSE)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99" s="48">
        <f ca="1">VLOOKUP($F299,OFFSET(enemy_skill_triggers!$A$1,0,0,COUNTA(enemy_skill_triggers!$A:$A),MATCH(I$1,enemy_skill_triggers!$1:$1,0)-MATCH($F$1,enemy_skill_triggers!$1:$1,0)+1),MATCH(I$1,enemy_skill_triggers!$1:$1,0)-MATCH($F$1,enemy_skill_triggers!$1:$1,0)+1,FALSE)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9" s="48" t="str">
        <f ca="1">VLOOKUP($F299,OFFSET(enemy_skill_triggers!$A$1,0,0,COUNTA(enemy_skill_triggers!$A:$A),MATCH(J$1,enemy_skill_triggers!$1:$1,0)-MATCH($F$1,enemy_skill_triggers!$1:$1,0)+1),MATCH(J$1,enemy_skill_triggers!$1:$1,0)-MATCH($F$1,enemy_skill_triggers!$1:$1,0)+1,FALSE)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9" s="48" t="str">
        <f ca="1">VLOOKUP($F299,OFFSET(enemy_skill_triggers!$A$1,0,0,COUNTA(enemy_skill_triggers!$A:$A),MATCH(K$1,enemy_skill_triggers!$1:$1,0)-MATCH($F$1,enemy_skill_triggers!$1:$1,0)+1),MATCH(K$1,enemy_skill_triggers!$1:$1,0)-MATCH($F$1,enemy_skill_triggers!$1:$1,0)+1,FALSE)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9" s="48">
        <f ca="1">VLOOKUP($F299,OFFSET(enemy_skill_triggers!$A$1,0,0,COUNTA(enemy_skill_triggers!$A:$A),MATCH(L$1,enemy_skill_triggers!$1:$1,0)-MATCH($F$1,enemy_skill_triggers!$1:$1,0)+1),MATCH(L$1,enemy_skill_triggers!$1:$1,0)-MATCH($F$1,enemy_skill_triggers!$1:$1,0)+1,FALSE)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9" s="48" t="str">
        <f ca="1">VLOOKUP($F299,OFFSET(enemy_skill_triggers!$A$1,0,0,COUNTA(enemy_skill_triggers!$A:$A),MATCH(M$1,enemy_skill_triggers!$1:$1,0)-MATCH($F$1,enemy_skill_triggers!$1:$1,0)+1),MATCH(M$1,enemy_skill_triggers!$1:$1,0)-MATCH($F$1,enemy_skill_triggers!$1:$1,0)+1,FALSE)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9" s="48">
        <f ca="1">VLOOKUP($F299,OFFSET(enemy_skill_triggers!$A$1,0,0,COUNTA(enemy_skill_triggers!$A:$A),MATCH(N$1,enemy_skill_triggers!$1:$1,0)-MATCH($F$1,enemy_skill_triggers!$1:$1,0)+1),MATCH(N$1,enemy_skill_triggers!$1:$1,0)-MATCH($F$1,enemy_skill_triggers!$1:$1,0)+1,FALSE)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299" s="48">
        <f ca="1">VLOOKUP($F299,OFFSET(enemy_skill_triggers!$A$1,0,0,COUNTA(enemy_skill_triggers!$A:$A),MATCH(O$1,enemy_skill_triggers!$1:$1,0)-MATCH($F$1,enemy_skill_triggers!$1:$1,0)+1),MATCH(O$1,enemy_skill_triggers!$1:$1,0)-MATCH($F$1,enemy_skill_triggers!$1:$1,0)+1,FALSE)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9" s="47"/>
      <c r="Q299" s="47"/>
      <c r="R299" s="47"/>
    </row>
    <row r="300" spans="1:18" ht="21" customHeight="1" x14ac:dyDescent="0.15">
      <c r="A300" s="39" t="str">
        <f t="shared" si="17"/>
        <v>39009014_39009074</v>
      </c>
      <c r="B300" s="128">
        <v>39009014</v>
      </c>
      <c r="C300" s="47">
        <v>39009074</v>
      </c>
      <c r="D300" s="46" t="str">
        <f ca="1">VLOOKUP($C300,OFFSET(enemy_skills!$A$1,0,0,COUNTA(enemy_skills!$A:$A),MATCH(D$1,enemy_skills!$1:$1,0)-MATCH("enemy_skill_id",enemy_skills!$1:$1,0)+1),MATCH(D$1,enemy_skills!$1:$1,0)-MATCH("enemy_skill_id",enemy_skills!$1:$1,0)+1,FALSE)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0" s="46" t="str">
        <f ca="1">VLOOKUP($C300,OFFSET(enemy_skills!$A$1,0,0,COUNTA(enemy_skills!$A:$A),MATCH(E$1,enemy_skills!$1:$1,0)-MATCH("enemy_skill_id",enemy_skills!$1:$1,0)+1),MATCH(E$1,enemy_skills!$1:$1,0)-MATCH("enemy_skill_id",enemy_skills!$1:$1,0)+1,FALSE)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0" s="47">
        <v>39009235</v>
      </c>
      <c r="G300" s="48">
        <f ca="1">VLOOKUP($F300,OFFSET(enemy_skill_triggers!$A$1,0,0,COUNTA(enemy_skill_triggers!$A:$A),MATCH(G$1,enemy_skill_triggers!$1:$1,0)-MATCH($F$1,enemy_skill_triggers!$1:$1,0)+1),MATCH(G$1,enemy_skill_triggers!$1:$1,0)-MATCH($F$1,enemy_skill_triggers!$1:$1,0)+1,FALSE)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0" s="48">
        <f ca="1">VLOOKUP($F300,OFFSET(enemy_skill_triggers!$A$1,0,0,COUNTA(enemy_skill_triggers!$A:$A),MATCH(H$1,enemy_skill_triggers!$1:$1,0)-MATCH($F$1,enemy_skill_triggers!$1:$1,0)+1),MATCH(H$1,enemy_skill_triggers!$1:$1,0)-MATCH($F$1,enemy_skill_triggers!$1:$1,0)+1,FALSE)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00" s="48">
        <f ca="1">VLOOKUP($F300,OFFSET(enemy_skill_triggers!$A$1,0,0,COUNTA(enemy_skill_triggers!$A:$A),MATCH(I$1,enemy_skill_triggers!$1:$1,0)-MATCH($F$1,enemy_skill_triggers!$1:$1,0)+1),MATCH(I$1,enemy_skill_triggers!$1:$1,0)-MATCH($F$1,enemy_skill_triggers!$1:$1,0)+1,FALSE)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0" s="48" t="str">
        <f ca="1">VLOOKUP($F300,OFFSET(enemy_skill_triggers!$A$1,0,0,COUNTA(enemy_skill_triggers!$A:$A),MATCH(J$1,enemy_skill_triggers!$1:$1,0)-MATCH($F$1,enemy_skill_triggers!$1:$1,0)+1),MATCH(J$1,enemy_skill_triggers!$1:$1,0)-MATCH($F$1,enemy_skill_triggers!$1:$1,0)+1,FALSE)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0" s="48" t="str">
        <f ca="1">VLOOKUP($F300,OFFSET(enemy_skill_triggers!$A$1,0,0,COUNTA(enemy_skill_triggers!$A:$A),MATCH(K$1,enemy_skill_triggers!$1:$1,0)-MATCH($F$1,enemy_skill_triggers!$1:$1,0)+1),MATCH(K$1,enemy_skill_triggers!$1:$1,0)-MATCH($F$1,enemy_skill_triggers!$1:$1,0)+1,FALSE)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0" s="48">
        <f ca="1">VLOOKUP($F300,OFFSET(enemy_skill_triggers!$A$1,0,0,COUNTA(enemy_skill_triggers!$A:$A),MATCH(L$1,enemy_skill_triggers!$1:$1,0)-MATCH($F$1,enemy_skill_triggers!$1:$1,0)+1),MATCH(L$1,enemy_skill_triggers!$1:$1,0)-MATCH($F$1,enemy_skill_triggers!$1:$1,0)+1,FALSE)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0" s="48" t="str">
        <f ca="1">VLOOKUP($F300,OFFSET(enemy_skill_triggers!$A$1,0,0,COUNTA(enemy_skill_triggers!$A:$A),MATCH(M$1,enemy_skill_triggers!$1:$1,0)-MATCH($F$1,enemy_skill_triggers!$1:$1,0)+1),MATCH(M$1,enemy_skill_triggers!$1:$1,0)-MATCH($F$1,enemy_skill_triggers!$1:$1,0)+1,FALSE)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0" s="48">
        <f ca="1">VLOOKUP($F300,OFFSET(enemy_skill_triggers!$A$1,0,0,COUNTA(enemy_skill_triggers!$A:$A),MATCH(N$1,enemy_skill_triggers!$1:$1,0)-MATCH($F$1,enemy_skill_triggers!$1:$1,0)+1),MATCH(N$1,enemy_skill_triggers!$1:$1,0)-MATCH($F$1,enemy_skill_triggers!$1:$1,0)+1,FALSE)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00" s="48">
        <f ca="1">VLOOKUP($F300,OFFSET(enemy_skill_triggers!$A$1,0,0,COUNTA(enemy_skill_triggers!$A:$A),MATCH(O$1,enemy_skill_triggers!$1:$1,0)-MATCH($F$1,enemy_skill_triggers!$1:$1,0)+1),MATCH(O$1,enemy_skill_triggers!$1:$1,0)-MATCH($F$1,enemy_skill_triggers!$1:$1,0)+1,FALSE)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0" s="47"/>
      <c r="Q300" s="47"/>
      <c r="R300" s="47"/>
    </row>
    <row r="301" spans="1:18" ht="21" customHeight="1" x14ac:dyDescent="0.15">
      <c r="A301" s="39" t="str">
        <f t="shared" si="17"/>
        <v>39009014_39009074</v>
      </c>
      <c r="B301" s="128">
        <v>39009014</v>
      </c>
      <c r="C301" s="47">
        <v>39009074</v>
      </c>
      <c r="D301" s="46" t="str">
        <f ca="1">VLOOKUP($C301,OFFSET(enemy_skills!$A$1,0,0,COUNTA(enemy_skills!$A:$A),MATCH(D$1,enemy_skills!$1:$1,0)-MATCH("enemy_skill_id",enemy_skills!$1:$1,0)+1),MATCH(D$1,enemy_skills!$1:$1,0)-MATCH("enemy_skill_id",enemy_skills!$1:$1,0)+1,FALSE)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1" s="46" t="str">
        <f ca="1">VLOOKUP($C301,OFFSET(enemy_skills!$A$1,0,0,COUNTA(enemy_skills!$A:$A),MATCH(E$1,enemy_skills!$1:$1,0)-MATCH("enemy_skill_id",enemy_skills!$1:$1,0)+1),MATCH(E$1,enemy_skills!$1:$1,0)-MATCH("enemy_skill_id",enemy_skills!$1:$1,0)+1,FALSE)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1" s="47">
        <v>39009236</v>
      </c>
      <c r="G301" s="48">
        <f ca="1">VLOOKUP($F301,OFFSET(enemy_skill_triggers!$A$1,0,0,COUNTA(enemy_skill_triggers!$A:$A),MATCH(G$1,enemy_skill_triggers!$1:$1,0)-MATCH($F$1,enemy_skill_triggers!$1:$1,0)+1),MATCH(G$1,enemy_skill_triggers!$1:$1,0)-MATCH($F$1,enemy_skill_triggers!$1:$1,0)+1,FALSE)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1" s="48">
        <f ca="1">VLOOKUP($F301,OFFSET(enemy_skill_triggers!$A$1,0,0,COUNTA(enemy_skill_triggers!$A:$A),MATCH(H$1,enemy_skill_triggers!$1:$1,0)-MATCH($F$1,enemy_skill_triggers!$1:$1,0)+1),MATCH(H$1,enemy_skill_triggers!$1:$1,0)-MATCH($F$1,enemy_skill_triggers!$1:$1,0)+1,FALSE)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1" s="48">
        <f ca="1">VLOOKUP($F301,OFFSET(enemy_skill_triggers!$A$1,0,0,COUNTA(enemy_skill_triggers!$A:$A),MATCH(I$1,enemy_skill_triggers!$1:$1,0)-MATCH($F$1,enemy_skill_triggers!$1:$1,0)+1),MATCH(I$1,enemy_skill_triggers!$1:$1,0)-MATCH($F$1,enemy_skill_triggers!$1:$1,0)+1,FALSE)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1" s="48" t="str">
        <f ca="1">VLOOKUP($F301,OFFSET(enemy_skill_triggers!$A$1,0,0,COUNTA(enemy_skill_triggers!$A:$A),MATCH(J$1,enemy_skill_triggers!$1:$1,0)-MATCH($F$1,enemy_skill_triggers!$1:$1,0)+1),MATCH(J$1,enemy_skill_triggers!$1:$1,0)-MATCH($F$1,enemy_skill_triggers!$1:$1,0)+1,FALSE)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1" s="48" t="str">
        <f ca="1">VLOOKUP($F301,OFFSET(enemy_skill_triggers!$A$1,0,0,COUNTA(enemy_skill_triggers!$A:$A),MATCH(K$1,enemy_skill_triggers!$1:$1,0)-MATCH($F$1,enemy_skill_triggers!$1:$1,0)+1),MATCH(K$1,enemy_skill_triggers!$1:$1,0)-MATCH($F$1,enemy_skill_triggers!$1:$1,0)+1,FALSE)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1" s="48">
        <f ca="1">VLOOKUP($F301,OFFSET(enemy_skill_triggers!$A$1,0,0,COUNTA(enemy_skill_triggers!$A:$A),MATCH(L$1,enemy_skill_triggers!$1:$1,0)-MATCH($F$1,enemy_skill_triggers!$1:$1,0)+1),MATCH(L$1,enemy_skill_triggers!$1:$1,0)-MATCH($F$1,enemy_skill_triggers!$1:$1,0)+1,FALSE)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1" s="48" t="str">
        <f ca="1">VLOOKUP($F301,OFFSET(enemy_skill_triggers!$A$1,0,0,COUNTA(enemy_skill_triggers!$A:$A),MATCH(M$1,enemy_skill_triggers!$1:$1,0)-MATCH($F$1,enemy_skill_triggers!$1:$1,0)+1),MATCH(M$1,enemy_skill_triggers!$1:$1,0)-MATCH($F$1,enemy_skill_triggers!$1:$1,0)+1,FALSE)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1" s="48">
        <f ca="1">VLOOKUP($F301,OFFSET(enemy_skill_triggers!$A$1,0,0,COUNTA(enemy_skill_triggers!$A:$A),MATCH(N$1,enemy_skill_triggers!$1:$1,0)-MATCH($F$1,enemy_skill_triggers!$1:$1,0)+1),MATCH(N$1,enemy_skill_triggers!$1:$1,0)-MATCH($F$1,enemy_skill_triggers!$1:$1,0)+1,FALSE)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301" s="48">
        <f ca="1">VLOOKUP($F301,OFFSET(enemy_skill_triggers!$A$1,0,0,COUNTA(enemy_skill_triggers!$A:$A),MATCH(O$1,enemy_skill_triggers!$1:$1,0)-MATCH($F$1,enemy_skill_triggers!$1:$1,0)+1),MATCH(O$1,enemy_skill_triggers!$1:$1,0)-MATCH($F$1,enemy_skill_triggers!$1:$1,0)+1,FALSE)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1" s="47"/>
      <c r="Q301" s="47"/>
      <c r="R301" s="47"/>
    </row>
    <row r="302" spans="1:18" ht="21" customHeight="1" x14ac:dyDescent="0.15">
      <c r="A302" s="39" t="str">
        <f t="shared" si="17"/>
        <v>39009014_39009074</v>
      </c>
      <c r="B302" s="128">
        <v>39009014</v>
      </c>
      <c r="C302" s="47">
        <v>39009074</v>
      </c>
      <c r="D302" s="46" t="str">
        <f ca="1">VLOOKUP($C302,OFFSET(enemy_skills!$A$1,0,0,COUNTA(enemy_skills!$A:$A),MATCH(D$1,enemy_skills!$1:$1,0)-MATCH("enemy_skill_id",enemy_skills!$1:$1,0)+1),MATCH(D$1,enemy_skills!$1:$1,0)-MATCH("enemy_skill_id",enemy_skills!$1:$1,0)+1,FALSE)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2" s="46" t="str">
        <f ca="1">VLOOKUP($C302,OFFSET(enemy_skills!$A$1,0,0,COUNTA(enemy_skills!$A:$A),MATCH(E$1,enemy_skills!$1:$1,0)-MATCH("enemy_skill_id",enemy_skills!$1:$1,0)+1),MATCH(E$1,enemy_skills!$1:$1,0)-MATCH("enemy_skill_id",enemy_skills!$1:$1,0)+1,FALSE)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2" s="47">
        <v>39009237</v>
      </c>
      <c r="G302" s="48">
        <f ca="1">VLOOKUP($F302,OFFSET(enemy_skill_triggers!$A$1,0,0,COUNTA(enemy_skill_triggers!$A:$A),MATCH(G$1,enemy_skill_triggers!$1:$1,0)-MATCH($F$1,enemy_skill_triggers!$1:$1,0)+1),MATCH(G$1,enemy_skill_triggers!$1:$1,0)-MATCH($F$1,enemy_skill_triggers!$1:$1,0)+1,FALSE)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2" s="48">
        <f ca="1">VLOOKUP($F302,OFFSET(enemy_skill_triggers!$A$1,0,0,COUNTA(enemy_skill_triggers!$A:$A),MATCH(H$1,enemy_skill_triggers!$1:$1,0)-MATCH($F$1,enemy_skill_triggers!$1:$1,0)+1),MATCH(H$1,enemy_skill_triggers!$1:$1,0)-MATCH($F$1,enemy_skill_triggers!$1:$1,0)+1,FALSE)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02" s="48">
        <f ca="1">VLOOKUP($F302,OFFSET(enemy_skill_triggers!$A$1,0,0,COUNTA(enemy_skill_triggers!$A:$A),MATCH(I$1,enemy_skill_triggers!$1:$1,0)-MATCH($F$1,enemy_skill_triggers!$1:$1,0)+1),MATCH(I$1,enemy_skill_triggers!$1:$1,0)-MATCH($F$1,enemy_skill_triggers!$1:$1,0)+1,FALSE)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2" s="48" t="str">
        <f ca="1">VLOOKUP($F302,OFFSET(enemy_skill_triggers!$A$1,0,0,COUNTA(enemy_skill_triggers!$A:$A),MATCH(J$1,enemy_skill_triggers!$1:$1,0)-MATCH($F$1,enemy_skill_triggers!$1:$1,0)+1),MATCH(J$1,enemy_skill_triggers!$1:$1,0)-MATCH($F$1,enemy_skill_triggers!$1:$1,0)+1,FALSE)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2" s="48" t="str">
        <f ca="1">VLOOKUP($F302,OFFSET(enemy_skill_triggers!$A$1,0,0,COUNTA(enemy_skill_triggers!$A:$A),MATCH(K$1,enemy_skill_triggers!$1:$1,0)-MATCH($F$1,enemy_skill_triggers!$1:$1,0)+1),MATCH(K$1,enemy_skill_triggers!$1:$1,0)-MATCH($F$1,enemy_skill_triggers!$1:$1,0)+1,FALSE)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2" s="48">
        <f ca="1">VLOOKUP($F302,OFFSET(enemy_skill_triggers!$A$1,0,0,COUNTA(enemy_skill_triggers!$A:$A),MATCH(L$1,enemy_skill_triggers!$1:$1,0)-MATCH($F$1,enemy_skill_triggers!$1:$1,0)+1),MATCH(L$1,enemy_skill_triggers!$1:$1,0)-MATCH($F$1,enemy_skill_triggers!$1:$1,0)+1,FALSE)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2" s="48" t="str">
        <f ca="1">VLOOKUP($F302,OFFSET(enemy_skill_triggers!$A$1,0,0,COUNTA(enemy_skill_triggers!$A:$A),MATCH(M$1,enemy_skill_triggers!$1:$1,0)-MATCH($F$1,enemy_skill_triggers!$1:$1,0)+1),MATCH(M$1,enemy_skill_triggers!$1:$1,0)-MATCH($F$1,enemy_skill_triggers!$1:$1,0)+1,FALSE)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2" s="48">
        <f ca="1">VLOOKUP($F302,OFFSET(enemy_skill_triggers!$A$1,0,0,COUNTA(enemy_skill_triggers!$A:$A),MATCH(N$1,enemy_skill_triggers!$1:$1,0)-MATCH($F$1,enemy_skill_triggers!$1:$1,0)+1),MATCH(N$1,enemy_skill_triggers!$1:$1,0)-MATCH($F$1,enemy_skill_triggers!$1:$1,0)+1,FALSE)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02" s="48">
        <f ca="1">VLOOKUP($F302,OFFSET(enemy_skill_triggers!$A$1,0,0,COUNTA(enemy_skill_triggers!$A:$A),MATCH(O$1,enemy_skill_triggers!$1:$1,0)-MATCH($F$1,enemy_skill_triggers!$1:$1,0)+1),MATCH(O$1,enemy_skill_triggers!$1:$1,0)-MATCH($F$1,enemy_skill_triggers!$1:$1,0)+1,FALSE)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2" s="47"/>
      <c r="Q302" s="47"/>
      <c r="R302" s="47"/>
    </row>
    <row r="303" spans="1:18" ht="21" customHeight="1" x14ac:dyDescent="0.15">
      <c r="A303" s="39" t="str">
        <f t="shared" si="17"/>
        <v>39009014_39009074</v>
      </c>
      <c r="B303" s="128">
        <v>39009014</v>
      </c>
      <c r="C303" s="47">
        <v>39009074</v>
      </c>
      <c r="D303" s="46" t="str">
        <f ca="1">VLOOKUP($C303,OFFSET(enemy_skills!$A$1,0,0,COUNTA(enemy_skills!$A:$A),MATCH(D$1,enemy_skills!$1:$1,0)-MATCH("enemy_skill_id",enemy_skills!$1:$1,0)+1),MATCH(D$1,enemy_skills!$1:$1,0)-MATCH("enemy_skill_id",enemy_skills!$1:$1,0)+1,FALSE)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3" s="46" t="str">
        <f ca="1">VLOOKUP($C303,OFFSET(enemy_skills!$A$1,0,0,COUNTA(enemy_skills!$A:$A),MATCH(E$1,enemy_skills!$1:$1,0)-MATCH("enemy_skill_id",enemy_skills!$1:$1,0)+1),MATCH(E$1,enemy_skills!$1:$1,0)-MATCH("enemy_skill_id",enemy_skills!$1:$1,0)+1,FALSE)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3" s="47">
        <v>39009238</v>
      </c>
      <c r="G303" s="48">
        <f ca="1">VLOOKUP($F303,OFFSET(enemy_skill_triggers!$A$1,0,0,COUNTA(enemy_skill_triggers!$A:$A),MATCH(G$1,enemy_skill_triggers!$1:$1,0)-MATCH($F$1,enemy_skill_triggers!$1:$1,0)+1),MATCH(G$1,enemy_skill_triggers!$1:$1,0)-MATCH($F$1,enemy_skill_triggers!$1:$1,0)+1,FALSE)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3" s="48">
        <f ca="1">VLOOKUP($F303,OFFSET(enemy_skill_triggers!$A$1,0,0,COUNTA(enemy_skill_triggers!$A:$A),MATCH(H$1,enemy_skill_triggers!$1:$1,0)-MATCH($F$1,enemy_skill_triggers!$1:$1,0)+1),MATCH(H$1,enemy_skill_triggers!$1:$1,0)-MATCH($F$1,enemy_skill_triggers!$1:$1,0)+1,FALSE)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03" s="48">
        <f ca="1">VLOOKUP($F303,OFFSET(enemy_skill_triggers!$A$1,0,0,COUNTA(enemy_skill_triggers!$A:$A),MATCH(I$1,enemy_skill_triggers!$1:$1,0)-MATCH($F$1,enemy_skill_triggers!$1:$1,0)+1),MATCH(I$1,enemy_skill_triggers!$1:$1,0)-MATCH($F$1,enemy_skill_triggers!$1:$1,0)+1,FALSE)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3" s="48" t="str">
        <f ca="1">VLOOKUP($F303,OFFSET(enemy_skill_triggers!$A$1,0,0,COUNTA(enemy_skill_triggers!$A:$A),MATCH(J$1,enemy_skill_triggers!$1:$1,0)-MATCH($F$1,enemy_skill_triggers!$1:$1,0)+1),MATCH(J$1,enemy_skill_triggers!$1:$1,0)-MATCH($F$1,enemy_skill_triggers!$1:$1,0)+1,FALSE)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3" s="48" t="str">
        <f ca="1">VLOOKUP($F303,OFFSET(enemy_skill_triggers!$A$1,0,0,COUNTA(enemy_skill_triggers!$A:$A),MATCH(K$1,enemy_skill_triggers!$1:$1,0)-MATCH($F$1,enemy_skill_triggers!$1:$1,0)+1),MATCH(K$1,enemy_skill_triggers!$1:$1,0)-MATCH($F$1,enemy_skill_triggers!$1:$1,0)+1,FALSE)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3" s="48">
        <f ca="1">VLOOKUP($F303,OFFSET(enemy_skill_triggers!$A$1,0,0,COUNTA(enemy_skill_triggers!$A:$A),MATCH(L$1,enemy_skill_triggers!$1:$1,0)-MATCH($F$1,enemy_skill_triggers!$1:$1,0)+1),MATCH(L$1,enemy_skill_triggers!$1:$1,0)-MATCH($F$1,enemy_skill_triggers!$1:$1,0)+1,FALSE)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3" s="48" t="str">
        <f ca="1">VLOOKUP($F303,OFFSET(enemy_skill_triggers!$A$1,0,0,COUNTA(enemy_skill_triggers!$A:$A),MATCH(M$1,enemy_skill_triggers!$1:$1,0)-MATCH($F$1,enemy_skill_triggers!$1:$1,0)+1),MATCH(M$1,enemy_skill_triggers!$1:$1,0)-MATCH($F$1,enemy_skill_triggers!$1:$1,0)+1,FALSE)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3" s="48">
        <f ca="1">VLOOKUP($F303,OFFSET(enemy_skill_triggers!$A$1,0,0,COUNTA(enemy_skill_triggers!$A:$A),MATCH(N$1,enemy_skill_triggers!$1:$1,0)-MATCH($F$1,enemy_skill_triggers!$1:$1,0)+1),MATCH(N$1,enemy_skill_triggers!$1:$1,0)-MATCH($F$1,enemy_skill_triggers!$1:$1,0)+1,FALSE)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303" s="48">
        <f ca="1">VLOOKUP($F303,OFFSET(enemy_skill_triggers!$A$1,0,0,COUNTA(enemy_skill_triggers!$A:$A),MATCH(O$1,enemy_skill_triggers!$1:$1,0)-MATCH($F$1,enemy_skill_triggers!$1:$1,0)+1),MATCH(O$1,enemy_skill_triggers!$1:$1,0)-MATCH($F$1,enemy_skill_triggers!$1:$1,0)+1,FALSE)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3" s="47"/>
      <c r="Q303" s="47"/>
      <c r="R303" s="47"/>
    </row>
    <row r="304" spans="1:18" ht="21" customHeight="1" x14ac:dyDescent="0.15">
      <c r="A304" s="39" t="str">
        <f t="shared" si="17"/>
        <v>39009014_39009074</v>
      </c>
      <c r="B304" s="128">
        <v>39009014</v>
      </c>
      <c r="C304" s="47">
        <v>39009074</v>
      </c>
      <c r="D304" s="46" t="str">
        <f ca="1">VLOOKUP($C304,OFFSET(enemy_skills!$A$1,0,0,COUNTA(enemy_skills!$A:$A),MATCH(D$1,enemy_skills!$1:$1,0)-MATCH("enemy_skill_id",enemy_skills!$1:$1,0)+1),MATCH(D$1,enemy_skills!$1:$1,0)-MATCH("enemy_skill_id",enemy_skills!$1:$1,0)+1,FALSE)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4" s="46" t="str">
        <f ca="1">VLOOKUP($C304,OFFSET(enemy_skills!$A$1,0,0,COUNTA(enemy_skills!$A:$A),MATCH(E$1,enemy_skills!$1:$1,0)-MATCH("enemy_skill_id",enemy_skills!$1:$1,0)+1),MATCH(E$1,enemy_skills!$1:$1,0)-MATCH("enemy_skill_id",enemy_skills!$1:$1,0)+1,FALSE)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4" s="47">
        <v>39009239</v>
      </c>
      <c r="G304" s="48">
        <f ca="1">VLOOKUP($F304,OFFSET(enemy_skill_triggers!$A$1,0,0,COUNTA(enemy_skill_triggers!$A:$A),MATCH(G$1,enemy_skill_triggers!$1:$1,0)-MATCH($F$1,enemy_skill_triggers!$1:$1,0)+1),MATCH(G$1,enemy_skill_triggers!$1:$1,0)-MATCH($F$1,enemy_skill_triggers!$1:$1,0)+1,FALSE)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4" s="48">
        <f ca="1">VLOOKUP($F304,OFFSET(enemy_skill_triggers!$A$1,0,0,COUNTA(enemy_skill_triggers!$A:$A),MATCH(H$1,enemy_skill_triggers!$1:$1,0)-MATCH($F$1,enemy_skill_triggers!$1:$1,0)+1),MATCH(H$1,enemy_skill_triggers!$1:$1,0)-MATCH($F$1,enemy_skill_triggers!$1:$1,0)+1,FALSE)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04" s="48">
        <f ca="1">VLOOKUP($F304,OFFSET(enemy_skill_triggers!$A$1,0,0,COUNTA(enemy_skill_triggers!$A:$A),MATCH(I$1,enemy_skill_triggers!$1:$1,0)-MATCH($F$1,enemy_skill_triggers!$1:$1,0)+1),MATCH(I$1,enemy_skill_triggers!$1:$1,0)-MATCH($F$1,enemy_skill_triggers!$1:$1,0)+1,FALSE)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4" s="48" t="str">
        <f ca="1">VLOOKUP($F304,OFFSET(enemy_skill_triggers!$A$1,0,0,COUNTA(enemy_skill_triggers!$A:$A),MATCH(J$1,enemy_skill_triggers!$1:$1,0)-MATCH($F$1,enemy_skill_triggers!$1:$1,0)+1),MATCH(J$1,enemy_skill_triggers!$1:$1,0)-MATCH($F$1,enemy_skill_triggers!$1:$1,0)+1,FALSE)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4" s="48" t="str">
        <f ca="1">VLOOKUP($F304,OFFSET(enemy_skill_triggers!$A$1,0,0,COUNTA(enemy_skill_triggers!$A:$A),MATCH(K$1,enemy_skill_triggers!$1:$1,0)-MATCH($F$1,enemy_skill_triggers!$1:$1,0)+1),MATCH(K$1,enemy_skill_triggers!$1:$1,0)-MATCH($F$1,enemy_skill_triggers!$1:$1,0)+1,FALSE)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4" s="48">
        <f ca="1">VLOOKUP($F304,OFFSET(enemy_skill_triggers!$A$1,0,0,COUNTA(enemy_skill_triggers!$A:$A),MATCH(L$1,enemy_skill_triggers!$1:$1,0)-MATCH($F$1,enemy_skill_triggers!$1:$1,0)+1),MATCH(L$1,enemy_skill_triggers!$1:$1,0)-MATCH($F$1,enemy_skill_triggers!$1:$1,0)+1,FALSE)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4" s="48" t="str">
        <f ca="1">VLOOKUP($F304,OFFSET(enemy_skill_triggers!$A$1,0,0,COUNTA(enemy_skill_triggers!$A:$A),MATCH(M$1,enemy_skill_triggers!$1:$1,0)-MATCH($F$1,enemy_skill_triggers!$1:$1,0)+1),MATCH(M$1,enemy_skill_triggers!$1:$1,0)-MATCH($F$1,enemy_skill_triggers!$1:$1,0)+1,FALSE)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4" s="48">
        <f ca="1">VLOOKUP($F304,OFFSET(enemy_skill_triggers!$A$1,0,0,COUNTA(enemy_skill_triggers!$A:$A),MATCH(N$1,enemy_skill_triggers!$1:$1,0)-MATCH($F$1,enemy_skill_triggers!$1:$1,0)+1),MATCH(N$1,enemy_skill_triggers!$1:$1,0)-MATCH($F$1,enemy_skill_triggers!$1:$1,0)+1,FALSE)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304" s="48">
        <f ca="1">VLOOKUP($F304,OFFSET(enemy_skill_triggers!$A$1,0,0,COUNTA(enemy_skill_triggers!$A:$A),MATCH(O$1,enemy_skill_triggers!$1:$1,0)-MATCH($F$1,enemy_skill_triggers!$1:$1,0)+1),MATCH(O$1,enemy_skill_triggers!$1:$1,0)-MATCH($F$1,enemy_skill_triggers!$1:$1,0)+1,FALSE)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4" s="47"/>
      <c r="Q304" s="47"/>
      <c r="R304" s="47"/>
    </row>
    <row r="305" spans="1:18" ht="21" customHeight="1" x14ac:dyDescent="0.15">
      <c r="A305" s="39" t="str">
        <f t="shared" si="17"/>
        <v>39009014_39009074</v>
      </c>
      <c r="B305" s="128">
        <v>39009014</v>
      </c>
      <c r="C305" s="47">
        <v>39009074</v>
      </c>
      <c r="D305" s="46" t="str">
        <f ca="1">VLOOKUP($C305,OFFSET(enemy_skills!$A$1,0,0,COUNTA(enemy_skills!$A:$A),MATCH(D$1,enemy_skills!$1:$1,0)-MATCH("enemy_skill_id",enemy_skills!$1:$1,0)+1),MATCH(D$1,enemy_skills!$1:$1,0)-MATCH("enemy_skill_id",enemy_skills!$1:$1,0)+1,FALSE)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5" s="46" t="str">
        <f ca="1">VLOOKUP($C305,OFFSET(enemy_skills!$A$1,0,0,COUNTA(enemy_skills!$A:$A),MATCH(E$1,enemy_skills!$1:$1,0)-MATCH("enemy_skill_id",enemy_skills!$1:$1,0)+1),MATCH(E$1,enemy_skills!$1:$1,0)-MATCH("enemy_skill_id",enemy_skills!$1:$1,0)+1,FALSE)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5" s="47">
        <v>39009240</v>
      </c>
      <c r="G305" s="48">
        <f ca="1">VLOOKUP($F305,OFFSET(enemy_skill_triggers!$A$1,0,0,COUNTA(enemy_skill_triggers!$A:$A),MATCH(G$1,enemy_skill_triggers!$1:$1,0)-MATCH($F$1,enemy_skill_triggers!$1:$1,0)+1),MATCH(G$1,enemy_skill_triggers!$1:$1,0)-MATCH($F$1,enemy_skill_triggers!$1:$1,0)+1,FALSE)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5" s="48">
        <f ca="1">VLOOKUP($F305,OFFSET(enemy_skill_triggers!$A$1,0,0,COUNTA(enemy_skill_triggers!$A:$A),MATCH(H$1,enemy_skill_triggers!$1:$1,0)-MATCH($F$1,enemy_skill_triggers!$1:$1,0)+1),MATCH(H$1,enemy_skill_triggers!$1:$1,0)-MATCH($F$1,enemy_skill_triggers!$1:$1,0)+1,FALSE)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05" s="48">
        <f ca="1">VLOOKUP($F305,OFFSET(enemy_skill_triggers!$A$1,0,0,COUNTA(enemy_skill_triggers!$A:$A),MATCH(I$1,enemy_skill_triggers!$1:$1,0)-MATCH($F$1,enemy_skill_triggers!$1:$1,0)+1),MATCH(I$1,enemy_skill_triggers!$1:$1,0)-MATCH($F$1,enemy_skill_triggers!$1:$1,0)+1,FALSE)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5" s="48" t="str">
        <f ca="1">VLOOKUP($F305,OFFSET(enemy_skill_triggers!$A$1,0,0,COUNTA(enemy_skill_triggers!$A:$A),MATCH(J$1,enemy_skill_triggers!$1:$1,0)-MATCH($F$1,enemy_skill_triggers!$1:$1,0)+1),MATCH(J$1,enemy_skill_triggers!$1:$1,0)-MATCH($F$1,enemy_skill_triggers!$1:$1,0)+1,FALSE)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5" s="48" t="str">
        <f ca="1">VLOOKUP($F305,OFFSET(enemy_skill_triggers!$A$1,0,0,COUNTA(enemy_skill_triggers!$A:$A),MATCH(K$1,enemy_skill_triggers!$1:$1,0)-MATCH($F$1,enemy_skill_triggers!$1:$1,0)+1),MATCH(K$1,enemy_skill_triggers!$1:$1,0)-MATCH($F$1,enemy_skill_triggers!$1:$1,0)+1,FALSE)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5" s="48">
        <f ca="1">VLOOKUP($F305,OFFSET(enemy_skill_triggers!$A$1,0,0,COUNTA(enemy_skill_triggers!$A:$A),MATCH(L$1,enemy_skill_triggers!$1:$1,0)-MATCH($F$1,enemy_skill_triggers!$1:$1,0)+1),MATCH(L$1,enemy_skill_triggers!$1:$1,0)-MATCH($F$1,enemy_skill_triggers!$1:$1,0)+1,FALSE)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5" s="48" t="str">
        <f ca="1">VLOOKUP($F305,OFFSET(enemy_skill_triggers!$A$1,0,0,COUNTA(enemy_skill_triggers!$A:$A),MATCH(M$1,enemy_skill_triggers!$1:$1,0)-MATCH($F$1,enemy_skill_triggers!$1:$1,0)+1),MATCH(M$1,enemy_skill_triggers!$1:$1,0)-MATCH($F$1,enemy_skill_triggers!$1:$1,0)+1,FALSE)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5" s="48">
        <f ca="1">VLOOKUP($F305,OFFSET(enemy_skill_triggers!$A$1,0,0,COUNTA(enemy_skill_triggers!$A:$A),MATCH(N$1,enemy_skill_triggers!$1:$1,0)-MATCH($F$1,enemy_skill_triggers!$1:$1,0)+1),MATCH(N$1,enemy_skill_triggers!$1:$1,0)-MATCH($F$1,enemy_skill_triggers!$1:$1,0)+1,FALSE)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05" s="48">
        <f ca="1">VLOOKUP($F305,OFFSET(enemy_skill_triggers!$A$1,0,0,COUNTA(enemy_skill_triggers!$A:$A),MATCH(O$1,enemy_skill_triggers!$1:$1,0)-MATCH($F$1,enemy_skill_triggers!$1:$1,0)+1),MATCH(O$1,enemy_skill_triggers!$1:$1,0)-MATCH($F$1,enemy_skill_triggers!$1:$1,0)+1,FALSE)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5" s="47"/>
      <c r="Q305" s="47"/>
      <c r="R305" s="47"/>
    </row>
    <row r="306" spans="1:18" ht="21" customHeight="1" x14ac:dyDescent="0.15">
      <c r="A306" s="39" t="str">
        <f t="shared" si="17"/>
        <v>39009014_39009074</v>
      </c>
      <c r="B306" s="128">
        <v>39009014</v>
      </c>
      <c r="C306" s="47">
        <v>39009074</v>
      </c>
      <c r="D306" s="46" t="str">
        <f ca="1">VLOOKUP($C306,OFFSET(enemy_skills!$A$1,0,0,COUNTA(enemy_skills!$A:$A),MATCH(D$1,enemy_skills!$1:$1,0)-MATCH("enemy_skill_id",enemy_skills!$1:$1,0)+1),MATCH(D$1,enemy_skills!$1:$1,0)-MATCH("enemy_skill_id",enemy_skills!$1:$1,0)+1,FALSE)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6" s="46" t="str">
        <f ca="1">VLOOKUP($C306,OFFSET(enemy_skills!$A$1,0,0,COUNTA(enemy_skills!$A:$A),MATCH(E$1,enemy_skills!$1:$1,0)-MATCH("enemy_skill_id",enemy_skills!$1:$1,0)+1),MATCH(E$1,enemy_skills!$1:$1,0)-MATCH("enemy_skill_id",enemy_skills!$1:$1,0)+1,FALSE)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6" s="47">
        <v>39009241</v>
      </c>
      <c r="G306" s="48">
        <f ca="1">VLOOKUP($F306,OFFSET(enemy_skill_triggers!$A$1,0,0,COUNTA(enemy_skill_triggers!$A:$A),MATCH(G$1,enemy_skill_triggers!$1:$1,0)-MATCH($F$1,enemy_skill_triggers!$1:$1,0)+1),MATCH(G$1,enemy_skill_triggers!$1:$1,0)-MATCH($F$1,enemy_skill_triggers!$1:$1,0)+1,FALSE)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6" s="48">
        <f ca="1">VLOOKUP($F306,OFFSET(enemy_skill_triggers!$A$1,0,0,COUNTA(enemy_skill_triggers!$A:$A),MATCH(H$1,enemy_skill_triggers!$1:$1,0)-MATCH($F$1,enemy_skill_triggers!$1:$1,0)+1),MATCH(H$1,enemy_skill_triggers!$1:$1,0)-MATCH($F$1,enemy_skill_triggers!$1:$1,0)+1,FALSE)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06" s="48">
        <f ca="1">VLOOKUP($F306,OFFSET(enemy_skill_triggers!$A$1,0,0,COUNTA(enemy_skill_triggers!$A:$A),MATCH(I$1,enemy_skill_triggers!$1:$1,0)-MATCH($F$1,enemy_skill_triggers!$1:$1,0)+1),MATCH(I$1,enemy_skill_triggers!$1:$1,0)-MATCH($F$1,enemy_skill_triggers!$1:$1,0)+1,FALSE)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6" s="48" t="str">
        <f ca="1">VLOOKUP($F306,OFFSET(enemy_skill_triggers!$A$1,0,0,COUNTA(enemy_skill_triggers!$A:$A),MATCH(J$1,enemy_skill_triggers!$1:$1,0)-MATCH($F$1,enemy_skill_triggers!$1:$1,0)+1),MATCH(J$1,enemy_skill_triggers!$1:$1,0)-MATCH($F$1,enemy_skill_triggers!$1:$1,0)+1,FALSE)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6" s="48" t="str">
        <f ca="1">VLOOKUP($F306,OFFSET(enemy_skill_triggers!$A$1,0,0,COUNTA(enemy_skill_triggers!$A:$A),MATCH(K$1,enemy_skill_triggers!$1:$1,0)-MATCH($F$1,enemy_skill_triggers!$1:$1,0)+1),MATCH(K$1,enemy_skill_triggers!$1:$1,0)-MATCH($F$1,enemy_skill_triggers!$1:$1,0)+1,FALSE)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6" s="48">
        <f ca="1">VLOOKUP($F306,OFFSET(enemy_skill_triggers!$A$1,0,0,COUNTA(enemy_skill_triggers!$A:$A),MATCH(L$1,enemy_skill_triggers!$1:$1,0)-MATCH($F$1,enemy_skill_triggers!$1:$1,0)+1),MATCH(L$1,enemy_skill_triggers!$1:$1,0)-MATCH($F$1,enemy_skill_triggers!$1:$1,0)+1,FALSE)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6" s="48" t="str">
        <f ca="1">VLOOKUP($F306,OFFSET(enemy_skill_triggers!$A$1,0,0,COUNTA(enemy_skill_triggers!$A:$A),MATCH(M$1,enemy_skill_triggers!$1:$1,0)-MATCH($F$1,enemy_skill_triggers!$1:$1,0)+1),MATCH(M$1,enemy_skill_triggers!$1:$1,0)-MATCH($F$1,enemy_skill_triggers!$1:$1,0)+1,FALSE)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6" s="48">
        <f ca="1">VLOOKUP($F306,OFFSET(enemy_skill_triggers!$A$1,0,0,COUNTA(enemy_skill_triggers!$A:$A),MATCH(N$1,enemy_skill_triggers!$1:$1,0)-MATCH($F$1,enemy_skill_triggers!$1:$1,0)+1),MATCH(N$1,enemy_skill_triggers!$1:$1,0)-MATCH($F$1,enemy_skill_triggers!$1:$1,0)+1,FALSE)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306" s="48">
        <f ca="1">VLOOKUP($F306,OFFSET(enemy_skill_triggers!$A$1,0,0,COUNTA(enemy_skill_triggers!$A:$A),MATCH(O$1,enemy_skill_triggers!$1:$1,0)-MATCH($F$1,enemy_skill_triggers!$1:$1,0)+1),MATCH(O$1,enemy_skill_triggers!$1:$1,0)-MATCH($F$1,enemy_skill_triggers!$1:$1,0)+1,FALSE)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6" s="47"/>
      <c r="Q306" s="47"/>
      <c r="R306" s="47"/>
    </row>
    <row r="307" spans="1:18" ht="21" customHeight="1" x14ac:dyDescent="0.15">
      <c r="A307" s="39" t="str">
        <f t="shared" si="17"/>
        <v>39009014_39009074</v>
      </c>
      <c r="B307" s="128">
        <v>39009014</v>
      </c>
      <c r="C307" s="47">
        <v>39009074</v>
      </c>
      <c r="D307" s="46" t="str">
        <f ca="1">VLOOKUP($C307,OFFSET(enemy_skills!$A$1,0,0,COUNTA(enemy_skills!$A:$A),MATCH(D$1,enemy_skills!$1:$1,0)-MATCH("enemy_skill_id",enemy_skills!$1:$1,0)+1),MATCH(D$1,enemy_skills!$1:$1,0)-MATCH("enemy_skill_id",enemy_skills!$1:$1,0)+1,FALSE)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7" s="46" t="str">
        <f ca="1">VLOOKUP($C307,OFFSET(enemy_skills!$A$1,0,0,COUNTA(enemy_skills!$A:$A),MATCH(E$1,enemy_skills!$1:$1,0)-MATCH("enemy_skill_id",enemy_skills!$1:$1,0)+1),MATCH(E$1,enemy_skills!$1:$1,0)-MATCH("enemy_skill_id",enemy_skills!$1:$1,0)+1,FALSE)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7" s="47">
        <v>39009242</v>
      </c>
      <c r="G307" s="48">
        <f ca="1">VLOOKUP($F307,OFFSET(enemy_skill_triggers!$A$1,0,0,COUNTA(enemy_skill_triggers!$A:$A),MATCH(G$1,enemy_skill_triggers!$1:$1,0)-MATCH($F$1,enemy_skill_triggers!$1:$1,0)+1),MATCH(G$1,enemy_skill_triggers!$1:$1,0)-MATCH($F$1,enemy_skill_triggers!$1:$1,0)+1,FALSE)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7" s="48">
        <f ca="1">VLOOKUP($F307,OFFSET(enemy_skill_triggers!$A$1,0,0,COUNTA(enemy_skill_triggers!$A:$A),MATCH(H$1,enemy_skill_triggers!$1:$1,0)-MATCH($F$1,enemy_skill_triggers!$1:$1,0)+1),MATCH(H$1,enemy_skill_triggers!$1:$1,0)-MATCH($F$1,enemy_skill_triggers!$1:$1,0)+1,FALSE)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307" s="48">
        <f ca="1">VLOOKUP($F307,OFFSET(enemy_skill_triggers!$A$1,0,0,COUNTA(enemy_skill_triggers!$A:$A),MATCH(I$1,enemy_skill_triggers!$1:$1,0)-MATCH($F$1,enemy_skill_triggers!$1:$1,0)+1),MATCH(I$1,enemy_skill_triggers!$1:$1,0)-MATCH($F$1,enemy_skill_triggers!$1:$1,0)+1,FALSE)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7" s="48" t="str">
        <f ca="1">VLOOKUP($F307,OFFSET(enemy_skill_triggers!$A$1,0,0,COUNTA(enemy_skill_triggers!$A:$A),MATCH(J$1,enemy_skill_triggers!$1:$1,0)-MATCH($F$1,enemy_skill_triggers!$1:$1,0)+1),MATCH(J$1,enemy_skill_triggers!$1:$1,0)-MATCH($F$1,enemy_skill_triggers!$1:$1,0)+1,FALSE)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7" s="48" t="str">
        <f ca="1">VLOOKUP($F307,OFFSET(enemy_skill_triggers!$A$1,0,0,COUNTA(enemy_skill_triggers!$A:$A),MATCH(K$1,enemy_skill_triggers!$1:$1,0)-MATCH($F$1,enemy_skill_triggers!$1:$1,0)+1),MATCH(K$1,enemy_skill_triggers!$1:$1,0)-MATCH($F$1,enemy_skill_triggers!$1:$1,0)+1,FALSE)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7" s="48">
        <f ca="1">VLOOKUP($F307,OFFSET(enemy_skill_triggers!$A$1,0,0,COUNTA(enemy_skill_triggers!$A:$A),MATCH(L$1,enemy_skill_triggers!$1:$1,0)-MATCH($F$1,enemy_skill_triggers!$1:$1,0)+1),MATCH(L$1,enemy_skill_triggers!$1:$1,0)-MATCH($F$1,enemy_skill_triggers!$1:$1,0)+1,FALSE)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7" s="48" t="str">
        <f ca="1">VLOOKUP($F307,OFFSET(enemy_skill_triggers!$A$1,0,0,COUNTA(enemy_skill_triggers!$A:$A),MATCH(M$1,enemy_skill_triggers!$1:$1,0)-MATCH($F$1,enemy_skill_triggers!$1:$1,0)+1),MATCH(M$1,enemy_skill_triggers!$1:$1,0)-MATCH($F$1,enemy_skill_triggers!$1:$1,0)+1,FALSE)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7" s="48">
        <f ca="1">VLOOKUP($F307,OFFSET(enemy_skill_triggers!$A$1,0,0,COUNTA(enemy_skill_triggers!$A:$A),MATCH(N$1,enemy_skill_triggers!$1:$1,0)-MATCH($F$1,enemy_skill_triggers!$1:$1,0)+1),MATCH(N$1,enemy_skill_triggers!$1:$1,0)-MATCH($F$1,enemy_skill_triggers!$1:$1,0)+1,FALSE)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307" s="48">
        <f ca="1">VLOOKUP($F307,OFFSET(enemy_skill_triggers!$A$1,0,0,COUNTA(enemy_skill_triggers!$A:$A),MATCH(O$1,enemy_skill_triggers!$1:$1,0)-MATCH($F$1,enemy_skill_triggers!$1:$1,0)+1),MATCH(O$1,enemy_skill_triggers!$1:$1,0)-MATCH($F$1,enemy_skill_triggers!$1:$1,0)+1,FALSE)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7" s="47"/>
      <c r="Q307" s="47"/>
      <c r="R307" s="47"/>
    </row>
    <row r="308" spans="1:18" ht="21" customHeight="1" x14ac:dyDescent="0.15">
      <c r="A308" s="39" t="str">
        <f t="shared" si="17"/>
        <v>39009014_39009074</v>
      </c>
      <c r="B308" s="128">
        <v>39009014</v>
      </c>
      <c r="C308" s="47">
        <v>39009074</v>
      </c>
      <c r="D308" s="46" t="str">
        <f ca="1">VLOOKUP($C308,OFFSET(enemy_skills!$A$1,0,0,COUNTA(enemy_skills!$A:$A),MATCH(D$1,enemy_skills!$1:$1,0)-MATCH("enemy_skill_id",enemy_skills!$1:$1,0)+1),MATCH(D$1,enemy_skills!$1:$1,0)-MATCH("enemy_skill_id",enemy_skills!$1:$1,0)+1,FALSE)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8" s="46" t="str">
        <f ca="1">VLOOKUP($C308,OFFSET(enemy_skills!$A$1,0,0,COUNTA(enemy_skills!$A:$A),MATCH(E$1,enemy_skills!$1:$1,0)-MATCH("enemy_skill_id",enemy_skills!$1:$1,0)+1),MATCH(E$1,enemy_skills!$1:$1,0)-MATCH("enemy_skill_id",enemy_skills!$1:$1,0)+1,FALSE)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8" s="47">
        <v>39009243</v>
      </c>
      <c r="G308" s="48">
        <f ca="1">VLOOKUP($F308,OFFSET(enemy_skill_triggers!$A$1,0,0,COUNTA(enemy_skill_triggers!$A:$A),MATCH(G$1,enemy_skill_triggers!$1:$1,0)-MATCH($F$1,enemy_skill_triggers!$1:$1,0)+1),MATCH(G$1,enemy_skill_triggers!$1:$1,0)-MATCH($F$1,enemy_skill_triggers!$1:$1,0)+1,FALSE)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8" s="48">
        <f ca="1">VLOOKUP($F308,OFFSET(enemy_skill_triggers!$A$1,0,0,COUNTA(enemy_skill_triggers!$A:$A),MATCH(H$1,enemy_skill_triggers!$1:$1,0)-MATCH($F$1,enemy_skill_triggers!$1:$1,0)+1),MATCH(H$1,enemy_skill_triggers!$1:$1,0)-MATCH($F$1,enemy_skill_triggers!$1:$1,0)+1,FALSE)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308" s="48">
        <f ca="1">VLOOKUP($F308,OFFSET(enemy_skill_triggers!$A$1,0,0,COUNTA(enemy_skill_triggers!$A:$A),MATCH(I$1,enemy_skill_triggers!$1:$1,0)-MATCH($F$1,enemy_skill_triggers!$1:$1,0)+1),MATCH(I$1,enemy_skill_triggers!$1:$1,0)-MATCH($F$1,enemy_skill_triggers!$1:$1,0)+1,FALSE)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8" s="48" t="str">
        <f ca="1">VLOOKUP($F308,OFFSET(enemy_skill_triggers!$A$1,0,0,COUNTA(enemy_skill_triggers!$A:$A),MATCH(J$1,enemy_skill_triggers!$1:$1,0)-MATCH($F$1,enemy_skill_triggers!$1:$1,0)+1),MATCH(J$1,enemy_skill_triggers!$1:$1,0)-MATCH($F$1,enemy_skill_triggers!$1:$1,0)+1,FALSE)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8" s="48" t="str">
        <f ca="1">VLOOKUP($F308,OFFSET(enemy_skill_triggers!$A$1,0,0,COUNTA(enemy_skill_triggers!$A:$A),MATCH(K$1,enemy_skill_triggers!$1:$1,0)-MATCH($F$1,enemy_skill_triggers!$1:$1,0)+1),MATCH(K$1,enemy_skill_triggers!$1:$1,0)-MATCH($F$1,enemy_skill_triggers!$1:$1,0)+1,FALSE)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8" s="48">
        <f ca="1">VLOOKUP($F308,OFFSET(enemy_skill_triggers!$A$1,0,0,COUNTA(enemy_skill_triggers!$A:$A),MATCH(L$1,enemy_skill_triggers!$1:$1,0)-MATCH($F$1,enemy_skill_triggers!$1:$1,0)+1),MATCH(L$1,enemy_skill_triggers!$1:$1,0)-MATCH($F$1,enemy_skill_triggers!$1:$1,0)+1,FALSE)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8" s="48" t="str">
        <f ca="1">VLOOKUP($F308,OFFSET(enemy_skill_triggers!$A$1,0,0,COUNTA(enemy_skill_triggers!$A:$A),MATCH(M$1,enemy_skill_triggers!$1:$1,0)-MATCH($F$1,enemy_skill_triggers!$1:$1,0)+1),MATCH(M$1,enemy_skill_triggers!$1:$1,0)-MATCH($F$1,enemy_skill_triggers!$1:$1,0)+1,FALSE)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8" s="48">
        <f ca="1">VLOOKUP($F308,OFFSET(enemy_skill_triggers!$A$1,0,0,COUNTA(enemy_skill_triggers!$A:$A),MATCH(N$1,enemy_skill_triggers!$1:$1,0)-MATCH($F$1,enemy_skill_triggers!$1:$1,0)+1),MATCH(N$1,enemy_skill_triggers!$1:$1,0)-MATCH($F$1,enemy_skill_triggers!$1:$1,0)+1,FALSE)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08" s="48">
        <f ca="1">VLOOKUP($F308,OFFSET(enemy_skill_triggers!$A$1,0,0,COUNTA(enemy_skill_triggers!$A:$A),MATCH(O$1,enemy_skill_triggers!$1:$1,0)-MATCH($F$1,enemy_skill_triggers!$1:$1,0)+1),MATCH(O$1,enemy_skill_triggers!$1:$1,0)-MATCH($F$1,enemy_skill_triggers!$1:$1,0)+1,FALSE)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8" s="47"/>
      <c r="Q308" s="47"/>
      <c r="R308" s="47"/>
    </row>
    <row r="309" spans="1:18" ht="21" customHeight="1" x14ac:dyDescent="0.15">
      <c r="A309" s="39" t="str">
        <f t="shared" si="17"/>
        <v>39009014_39009074</v>
      </c>
      <c r="B309" s="128">
        <v>39009014</v>
      </c>
      <c r="C309" s="47">
        <v>39009074</v>
      </c>
      <c r="D309" s="46" t="str">
        <f ca="1">VLOOKUP($C309,OFFSET(enemy_skills!$A$1,0,0,COUNTA(enemy_skills!$A:$A),MATCH(D$1,enemy_skills!$1:$1,0)-MATCH("enemy_skill_id",enemy_skills!$1:$1,0)+1),MATCH(D$1,enemy_skills!$1:$1,0)-MATCH("enemy_skill_id",enemy_skills!$1:$1,0)+1,FALSE)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09" s="46" t="str">
        <f ca="1">VLOOKUP($C309,OFFSET(enemy_skills!$A$1,0,0,COUNTA(enemy_skills!$A:$A),MATCH(E$1,enemy_skills!$1:$1,0)-MATCH("enemy_skill_id",enemy_skills!$1:$1,0)+1),MATCH(E$1,enemy_skills!$1:$1,0)-MATCH("enemy_skill_id",enemy_skills!$1:$1,0)+1,FALSE)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9" s="47">
        <v>39009244</v>
      </c>
      <c r="G309" s="48">
        <f ca="1">VLOOKUP($F309,OFFSET(enemy_skill_triggers!$A$1,0,0,COUNTA(enemy_skill_triggers!$A:$A),MATCH(G$1,enemy_skill_triggers!$1:$1,0)-MATCH($F$1,enemy_skill_triggers!$1:$1,0)+1),MATCH(G$1,enemy_skill_triggers!$1:$1,0)-MATCH($F$1,enemy_skill_triggers!$1:$1,0)+1,FALSE)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9" s="48">
        <f ca="1">VLOOKUP($F309,OFFSET(enemy_skill_triggers!$A$1,0,0,COUNTA(enemy_skill_triggers!$A:$A),MATCH(H$1,enemy_skill_triggers!$1:$1,0)-MATCH($F$1,enemy_skill_triggers!$1:$1,0)+1),MATCH(H$1,enemy_skill_triggers!$1:$1,0)-MATCH($F$1,enemy_skill_triggers!$1:$1,0)+1,FALSE)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309" s="48">
        <f ca="1">VLOOKUP($F309,OFFSET(enemy_skill_triggers!$A$1,0,0,COUNTA(enemy_skill_triggers!$A:$A),MATCH(I$1,enemy_skill_triggers!$1:$1,0)-MATCH($F$1,enemy_skill_triggers!$1:$1,0)+1),MATCH(I$1,enemy_skill_triggers!$1:$1,0)-MATCH($F$1,enemy_skill_triggers!$1:$1,0)+1,FALSE)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9" s="48" t="str">
        <f ca="1">VLOOKUP($F309,OFFSET(enemy_skill_triggers!$A$1,0,0,COUNTA(enemy_skill_triggers!$A:$A),MATCH(J$1,enemy_skill_triggers!$1:$1,0)-MATCH($F$1,enemy_skill_triggers!$1:$1,0)+1),MATCH(J$1,enemy_skill_triggers!$1:$1,0)-MATCH($F$1,enemy_skill_triggers!$1:$1,0)+1,FALSE)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9" s="48" t="str">
        <f ca="1">VLOOKUP($F309,OFFSET(enemy_skill_triggers!$A$1,0,0,COUNTA(enemy_skill_triggers!$A:$A),MATCH(K$1,enemy_skill_triggers!$1:$1,0)-MATCH($F$1,enemy_skill_triggers!$1:$1,0)+1),MATCH(K$1,enemy_skill_triggers!$1:$1,0)-MATCH($F$1,enemy_skill_triggers!$1:$1,0)+1,FALSE)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9" s="48">
        <f ca="1">VLOOKUP($F309,OFFSET(enemy_skill_triggers!$A$1,0,0,COUNTA(enemy_skill_triggers!$A:$A),MATCH(L$1,enemy_skill_triggers!$1:$1,0)-MATCH($F$1,enemy_skill_triggers!$1:$1,0)+1),MATCH(L$1,enemy_skill_triggers!$1:$1,0)-MATCH($F$1,enemy_skill_triggers!$1:$1,0)+1,FALSE)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9" s="48" t="str">
        <f ca="1">VLOOKUP($F309,OFFSET(enemy_skill_triggers!$A$1,0,0,COUNTA(enemy_skill_triggers!$A:$A),MATCH(M$1,enemy_skill_triggers!$1:$1,0)-MATCH($F$1,enemy_skill_triggers!$1:$1,0)+1),MATCH(M$1,enemy_skill_triggers!$1:$1,0)-MATCH($F$1,enemy_skill_triggers!$1:$1,0)+1,FALSE)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9" s="48">
        <f ca="1">VLOOKUP($F309,OFFSET(enemy_skill_triggers!$A$1,0,0,COUNTA(enemy_skill_triggers!$A:$A),MATCH(N$1,enemy_skill_triggers!$1:$1,0)-MATCH($F$1,enemy_skill_triggers!$1:$1,0)+1),MATCH(N$1,enemy_skill_triggers!$1:$1,0)-MATCH($F$1,enemy_skill_triggers!$1:$1,0)+1,FALSE)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309" s="48">
        <f ca="1">VLOOKUP($F309,OFFSET(enemy_skill_triggers!$A$1,0,0,COUNTA(enemy_skill_triggers!$A:$A),MATCH(O$1,enemy_skill_triggers!$1:$1,0)-MATCH($F$1,enemy_skill_triggers!$1:$1,0)+1),MATCH(O$1,enemy_skill_triggers!$1:$1,0)-MATCH($F$1,enemy_skill_triggers!$1:$1,0)+1,FALSE)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9" s="47"/>
      <c r="Q309" s="47"/>
      <c r="R309" s="47"/>
    </row>
    <row r="310" spans="1:18" ht="21" customHeight="1" x14ac:dyDescent="0.15">
      <c r="A310" s="39" t="str">
        <f t="shared" si="17"/>
        <v>39009014_39009074</v>
      </c>
      <c r="B310" s="128">
        <v>39009014</v>
      </c>
      <c r="C310" s="47">
        <v>39009074</v>
      </c>
      <c r="D310" s="46" t="str">
        <f ca="1">VLOOKUP($C310,OFFSET(enemy_skills!$A$1,0,0,COUNTA(enemy_skills!$A:$A),MATCH(D$1,enemy_skills!$1:$1,0)-MATCH("enemy_skill_id",enemy_skills!$1:$1,0)+1),MATCH(D$1,enemy_skills!$1:$1,0)-MATCH("enemy_skill_id",enemy_skills!$1:$1,0)+1,FALSE)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0" s="46" t="str">
        <f ca="1">VLOOKUP($C310,OFFSET(enemy_skills!$A$1,0,0,COUNTA(enemy_skills!$A:$A),MATCH(E$1,enemy_skills!$1:$1,0)-MATCH("enemy_skill_id",enemy_skills!$1:$1,0)+1),MATCH(E$1,enemy_skills!$1:$1,0)-MATCH("enemy_skill_id",enemy_skills!$1:$1,0)+1,FALSE)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0" s="47">
        <v>39009245</v>
      </c>
      <c r="G310" s="48">
        <f ca="1">VLOOKUP($F310,OFFSET(enemy_skill_triggers!$A$1,0,0,COUNTA(enemy_skill_triggers!$A:$A),MATCH(G$1,enemy_skill_triggers!$1:$1,0)-MATCH($F$1,enemy_skill_triggers!$1:$1,0)+1),MATCH(G$1,enemy_skill_triggers!$1:$1,0)-MATCH($F$1,enemy_skill_triggers!$1:$1,0)+1,FALSE)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0" s="48">
        <f ca="1">VLOOKUP($F310,OFFSET(enemy_skill_triggers!$A$1,0,0,COUNTA(enemy_skill_triggers!$A:$A),MATCH(H$1,enemy_skill_triggers!$1:$1,0)-MATCH($F$1,enemy_skill_triggers!$1:$1,0)+1),MATCH(H$1,enemy_skill_triggers!$1:$1,0)-MATCH($F$1,enemy_skill_triggers!$1:$1,0)+1,FALSE)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310" s="48">
        <f ca="1">VLOOKUP($F310,OFFSET(enemy_skill_triggers!$A$1,0,0,COUNTA(enemy_skill_triggers!$A:$A),MATCH(I$1,enemy_skill_triggers!$1:$1,0)-MATCH($F$1,enemy_skill_triggers!$1:$1,0)+1),MATCH(I$1,enemy_skill_triggers!$1:$1,0)-MATCH($F$1,enemy_skill_triggers!$1:$1,0)+1,FALSE)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0" s="48" t="str">
        <f ca="1">VLOOKUP($F310,OFFSET(enemy_skill_triggers!$A$1,0,0,COUNTA(enemy_skill_triggers!$A:$A),MATCH(J$1,enemy_skill_triggers!$1:$1,0)-MATCH($F$1,enemy_skill_triggers!$1:$1,0)+1),MATCH(J$1,enemy_skill_triggers!$1:$1,0)-MATCH($F$1,enemy_skill_triggers!$1:$1,0)+1,FALSE)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0" s="48" t="str">
        <f ca="1">VLOOKUP($F310,OFFSET(enemy_skill_triggers!$A$1,0,0,COUNTA(enemy_skill_triggers!$A:$A),MATCH(K$1,enemy_skill_triggers!$1:$1,0)-MATCH($F$1,enemy_skill_triggers!$1:$1,0)+1),MATCH(K$1,enemy_skill_triggers!$1:$1,0)-MATCH($F$1,enemy_skill_triggers!$1:$1,0)+1,FALSE)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0" s="48">
        <f ca="1">VLOOKUP($F310,OFFSET(enemy_skill_triggers!$A$1,0,0,COUNTA(enemy_skill_triggers!$A:$A),MATCH(L$1,enemy_skill_triggers!$1:$1,0)-MATCH($F$1,enemy_skill_triggers!$1:$1,0)+1),MATCH(L$1,enemy_skill_triggers!$1:$1,0)-MATCH($F$1,enemy_skill_triggers!$1:$1,0)+1,FALSE)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0" s="48" t="str">
        <f ca="1">VLOOKUP($F310,OFFSET(enemy_skill_triggers!$A$1,0,0,COUNTA(enemy_skill_triggers!$A:$A),MATCH(M$1,enemy_skill_triggers!$1:$1,0)-MATCH($F$1,enemy_skill_triggers!$1:$1,0)+1),MATCH(M$1,enemy_skill_triggers!$1:$1,0)-MATCH($F$1,enemy_skill_triggers!$1:$1,0)+1,FALSE)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0" s="48">
        <f ca="1">VLOOKUP($F310,OFFSET(enemy_skill_triggers!$A$1,0,0,COUNTA(enemy_skill_triggers!$A:$A),MATCH(N$1,enemy_skill_triggers!$1:$1,0)-MATCH($F$1,enemy_skill_triggers!$1:$1,0)+1),MATCH(N$1,enemy_skill_triggers!$1:$1,0)-MATCH($F$1,enemy_skill_triggers!$1:$1,0)+1,FALSE)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310" s="48">
        <f ca="1">VLOOKUP($F310,OFFSET(enemy_skill_triggers!$A$1,0,0,COUNTA(enemy_skill_triggers!$A:$A),MATCH(O$1,enemy_skill_triggers!$1:$1,0)-MATCH($F$1,enemy_skill_triggers!$1:$1,0)+1),MATCH(O$1,enemy_skill_triggers!$1:$1,0)-MATCH($F$1,enemy_skill_triggers!$1:$1,0)+1,FALSE)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0" s="47"/>
      <c r="Q310" s="47"/>
      <c r="R310" s="47"/>
    </row>
    <row r="311" spans="1:18" ht="21" customHeight="1" x14ac:dyDescent="0.15">
      <c r="A311" s="39" t="str">
        <f t="shared" si="17"/>
        <v>39009014_39009074</v>
      </c>
      <c r="B311" s="128">
        <v>39009014</v>
      </c>
      <c r="C311" s="47">
        <v>39009074</v>
      </c>
      <c r="D311" s="46" t="str">
        <f ca="1">VLOOKUP($C311,OFFSET(enemy_skills!$A$1,0,0,COUNTA(enemy_skills!$A:$A),MATCH(D$1,enemy_skills!$1:$1,0)-MATCH("enemy_skill_id",enemy_skills!$1:$1,0)+1),MATCH(D$1,enemy_skills!$1:$1,0)-MATCH("enemy_skill_id",enemy_skills!$1:$1,0)+1,FALSE)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1" s="46" t="str">
        <f ca="1">VLOOKUP($C311,OFFSET(enemy_skills!$A$1,0,0,COUNTA(enemy_skills!$A:$A),MATCH(E$1,enemy_skills!$1:$1,0)-MATCH("enemy_skill_id",enemy_skills!$1:$1,0)+1),MATCH(E$1,enemy_skills!$1:$1,0)-MATCH("enemy_skill_id",enemy_skills!$1:$1,0)+1,FALSE)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1" s="47">
        <v>39009246</v>
      </c>
      <c r="G311" s="48">
        <f ca="1">VLOOKUP($F311,OFFSET(enemy_skill_triggers!$A$1,0,0,COUNTA(enemy_skill_triggers!$A:$A),MATCH(G$1,enemy_skill_triggers!$1:$1,0)-MATCH($F$1,enemy_skill_triggers!$1:$1,0)+1),MATCH(G$1,enemy_skill_triggers!$1:$1,0)-MATCH($F$1,enemy_skill_triggers!$1:$1,0)+1,FALSE)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1" s="48">
        <f ca="1">VLOOKUP($F311,OFFSET(enemy_skill_triggers!$A$1,0,0,COUNTA(enemy_skill_triggers!$A:$A),MATCH(H$1,enemy_skill_triggers!$1:$1,0)-MATCH($F$1,enemy_skill_triggers!$1:$1,0)+1),MATCH(H$1,enemy_skill_triggers!$1:$1,0)-MATCH($F$1,enemy_skill_triggers!$1:$1,0)+1,FALSE)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1" s="48">
        <f ca="1">VLOOKUP($F311,OFFSET(enemy_skill_triggers!$A$1,0,0,COUNTA(enemy_skill_triggers!$A:$A),MATCH(I$1,enemy_skill_triggers!$1:$1,0)-MATCH($F$1,enemy_skill_triggers!$1:$1,0)+1),MATCH(I$1,enemy_skill_triggers!$1:$1,0)-MATCH($F$1,enemy_skill_triggers!$1:$1,0)+1,FALSE)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1" s="48" t="str">
        <f ca="1">VLOOKUP($F311,OFFSET(enemy_skill_triggers!$A$1,0,0,COUNTA(enemy_skill_triggers!$A:$A),MATCH(J$1,enemy_skill_triggers!$1:$1,0)-MATCH($F$1,enemy_skill_triggers!$1:$1,0)+1),MATCH(J$1,enemy_skill_triggers!$1:$1,0)-MATCH($F$1,enemy_skill_triggers!$1:$1,0)+1,FALSE)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1" s="48" t="str">
        <f ca="1">VLOOKUP($F311,OFFSET(enemy_skill_triggers!$A$1,0,0,COUNTA(enemy_skill_triggers!$A:$A),MATCH(K$1,enemy_skill_triggers!$1:$1,0)-MATCH($F$1,enemy_skill_triggers!$1:$1,0)+1),MATCH(K$1,enemy_skill_triggers!$1:$1,0)-MATCH($F$1,enemy_skill_triggers!$1:$1,0)+1,FALSE)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1" s="48">
        <f ca="1">VLOOKUP($F311,OFFSET(enemy_skill_triggers!$A$1,0,0,COUNTA(enemy_skill_triggers!$A:$A),MATCH(L$1,enemy_skill_triggers!$1:$1,0)-MATCH($F$1,enemy_skill_triggers!$1:$1,0)+1),MATCH(L$1,enemy_skill_triggers!$1:$1,0)-MATCH($F$1,enemy_skill_triggers!$1:$1,0)+1,FALSE)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1" s="48" t="str">
        <f ca="1">VLOOKUP($F311,OFFSET(enemy_skill_triggers!$A$1,0,0,COUNTA(enemy_skill_triggers!$A:$A),MATCH(M$1,enemy_skill_triggers!$1:$1,0)-MATCH($F$1,enemy_skill_triggers!$1:$1,0)+1),MATCH(M$1,enemy_skill_triggers!$1:$1,0)-MATCH($F$1,enemy_skill_triggers!$1:$1,0)+1,FALSE)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1" s="48">
        <f ca="1">VLOOKUP($F311,OFFSET(enemy_skill_triggers!$A$1,0,0,COUNTA(enemy_skill_triggers!$A:$A),MATCH(N$1,enemy_skill_triggers!$1:$1,0)-MATCH($F$1,enemy_skill_triggers!$1:$1,0)+1),MATCH(N$1,enemy_skill_triggers!$1:$1,0)-MATCH($F$1,enemy_skill_triggers!$1:$1,0)+1,FALSE)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311" s="48">
        <f ca="1">VLOOKUP($F311,OFFSET(enemy_skill_triggers!$A$1,0,0,COUNTA(enemy_skill_triggers!$A:$A),MATCH(O$1,enemy_skill_triggers!$1:$1,0)-MATCH($F$1,enemy_skill_triggers!$1:$1,0)+1),MATCH(O$1,enemy_skill_triggers!$1:$1,0)-MATCH($F$1,enemy_skill_triggers!$1:$1,0)+1,FALSE)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1" s="47"/>
      <c r="Q311" s="47"/>
      <c r="R311" s="47"/>
    </row>
    <row r="312" spans="1:18" ht="21" customHeight="1" x14ac:dyDescent="0.15">
      <c r="A312" s="39" t="str">
        <f t="shared" si="17"/>
        <v>39009014_39009074</v>
      </c>
      <c r="B312" s="128">
        <v>39009014</v>
      </c>
      <c r="C312" s="47">
        <v>39009074</v>
      </c>
      <c r="D312" s="46" t="str">
        <f ca="1">VLOOKUP($C312,OFFSET(enemy_skills!$A$1,0,0,COUNTA(enemy_skills!$A:$A),MATCH(D$1,enemy_skills!$1:$1,0)-MATCH("enemy_skill_id",enemy_skills!$1:$1,0)+1),MATCH(D$1,enemy_skills!$1:$1,0)-MATCH("enemy_skill_id",enemy_skills!$1:$1,0)+1,FALSE)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2" s="46" t="str">
        <f ca="1">VLOOKUP($C312,OFFSET(enemy_skills!$A$1,0,0,COUNTA(enemy_skills!$A:$A),MATCH(E$1,enemy_skills!$1:$1,0)-MATCH("enemy_skill_id",enemy_skills!$1:$1,0)+1),MATCH(E$1,enemy_skills!$1:$1,0)-MATCH("enemy_skill_id",enemy_skills!$1:$1,0)+1,FALSE)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2" s="47">
        <v>39009247</v>
      </c>
      <c r="G312" s="48">
        <f ca="1">VLOOKUP($F312,OFFSET(enemy_skill_triggers!$A$1,0,0,COUNTA(enemy_skill_triggers!$A:$A),MATCH(G$1,enemy_skill_triggers!$1:$1,0)-MATCH($F$1,enemy_skill_triggers!$1:$1,0)+1),MATCH(G$1,enemy_skill_triggers!$1:$1,0)-MATCH($F$1,enemy_skill_triggers!$1:$1,0)+1,FALSE)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2" s="48">
        <f ca="1">VLOOKUP($F312,OFFSET(enemy_skill_triggers!$A$1,0,0,COUNTA(enemy_skill_triggers!$A:$A),MATCH(H$1,enemy_skill_triggers!$1:$1,0)-MATCH($F$1,enemy_skill_triggers!$1:$1,0)+1),MATCH(H$1,enemy_skill_triggers!$1:$1,0)-MATCH($F$1,enemy_skill_triggers!$1:$1,0)+1,FALSE)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12" s="48">
        <f ca="1">VLOOKUP($F312,OFFSET(enemy_skill_triggers!$A$1,0,0,COUNTA(enemy_skill_triggers!$A:$A),MATCH(I$1,enemy_skill_triggers!$1:$1,0)-MATCH($F$1,enemy_skill_triggers!$1:$1,0)+1),MATCH(I$1,enemy_skill_triggers!$1:$1,0)-MATCH($F$1,enemy_skill_triggers!$1:$1,0)+1,FALSE)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2" s="48" t="str">
        <f ca="1">VLOOKUP($F312,OFFSET(enemy_skill_triggers!$A$1,0,0,COUNTA(enemy_skill_triggers!$A:$A),MATCH(J$1,enemy_skill_triggers!$1:$1,0)-MATCH($F$1,enemy_skill_triggers!$1:$1,0)+1),MATCH(J$1,enemy_skill_triggers!$1:$1,0)-MATCH($F$1,enemy_skill_triggers!$1:$1,0)+1,FALSE)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2" s="48" t="str">
        <f ca="1">VLOOKUP($F312,OFFSET(enemy_skill_triggers!$A$1,0,0,COUNTA(enemy_skill_triggers!$A:$A),MATCH(K$1,enemy_skill_triggers!$1:$1,0)-MATCH($F$1,enemy_skill_triggers!$1:$1,0)+1),MATCH(K$1,enemy_skill_triggers!$1:$1,0)-MATCH($F$1,enemy_skill_triggers!$1:$1,0)+1,FALSE)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2" s="48">
        <f ca="1">VLOOKUP($F312,OFFSET(enemy_skill_triggers!$A$1,0,0,COUNTA(enemy_skill_triggers!$A:$A),MATCH(L$1,enemy_skill_triggers!$1:$1,0)-MATCH($F$1,enemy_skill_triggers!$1:$1,0)+1),MATCH(L$1,enemy_skill_triggers!$1:$1,0)-MATCH($F$1,enemy_skill_triggers!$1:$1,0)+1,FALSE)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2" s="48" t="str">
        <f ca="1">VLOOKUP($F312,OFFSET(enemy_skill_triggers!$A$1,0,0,COUNTA(enemy_skill_triggers!$A:$A),MATCH(M$1,enemy_skill_triggers!$1:$1,0)-MATCH($F$1,enemy_skill_triggers!$1:$1,0)+1),MATCH(M$1,enemy_skill_triggers!$1:$1,0)-MATCH($F$1,enemy_skill_triggers!$1:$1,0)+1,FALSE)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2" s="48">
        <f ca="1">VLOOKUP($F312,OFFSET(enemy_skill_triggers!$A$1,0,0,COUNTA(enemy_skill_triggers!$A:$A),MATCH(N$1,enemy_skill_triggers!$1:$1,0)-MATCH($F$1,enemy_skill_triggers!$1:$1,0)+1),MATCH(N$1,enemy_skill_triggers!$1:$1,0)-MATCH($F$1,enemy_skill_triggers!$1:$1,0)+1,FALSE)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312" s="48">
        <f ca="1">VLOOKUP($F312,OFFSET(enemy_skill_triggers!$A$1,0,0,COUNTA(enemy_skill_triggers!$A:$A),MATCH(O$1,enemy_skill_triggers!$1:$1,0)-MATCH($F$1,enemy_skill_triggers!$1:$1,0)+1),MATCH(O$1,enemy_skill_triggers!$1:$1,0)-MATCH($F$1,enemy_skill_triggers!$1:$1,0)+1,FALSE)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2" s="47"/>
      <c r="Q312" s="47"/>
      <c r="R312" s="47"/>
    </row>
    <row r="313" spans="1:18" ht="21" customHeight="1" x14ac:dyDescent="0.15">
      <c r="A313" s="39" t="str">
        <f t="shared" si="17"/>
        <v>39009014_39009074</v>
      </c>
      <c r="B313" s="128">
        <v>39009014</v>
      </c>
      <c r="C313" s="47">
        <v>39009074</v>
      </c>
      <c r="D313" s="46" t="str">
        <f ca="1">VLOOKUP($C313,OFFSET(enemy_skills!$A$1,0,0,COUNTA(enemy_skills!$A:$A),MATCH(D$1,enemy_skills!$1:$1,0)-MATCH("enemy_skill_id",enemy_skills!$1:$1,0)+1),MATCH(D$1,enemy_skills!$1:$1,0)-MATCH("enemy_skill_id",enemy_skills!$1:$1,0)+1,FALSE)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3" s="46" t="str">
        <f ca="1">VLOOKUP($C313,OFFSET(enemy_skills!$A$1,0,0,COUNTA(enemy_skills!$A:$A),MATCH(E$1,enemy_skills!$1:$1,0)-MATCH("enemy_skill_id",enemy_skills!$1:$1,0)+1),MATCH(E$1,enemy_skills!$1:$1,0)-MATCH("enemy_skill_id",enemy_skills!$1:$1,0)+1,FALSE)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3" s="47">
        <v>39009248</v>
      </c>
      <c r="G313" s="48">
        <f ca="1">VLOOKUP($F313,OFFSET(enemy_skill_triggers!$A$1,0,0,COUNTA(enemy_skill_triggers!$A:$A),MATCH(G$1,enemy_skill_triggers!$1:$1,0)-MATCH($F$1,enemy_skill_triggers!$1:$1,0)+1),MATCH(G$1,enemy_skill_triggers!$1:$1,0)-MATCH($F$1,enemy_skill_triggers!$1:$1,0)+1,FALSE)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3" s="48">
        <f ca="1">VLOOKUP($F313,OFFSET(enemy_skill_triggers!$A$1,0,0,COUNTA(enemy_skill_triggers!$A:$A),MATCH(H$1,enemy_skill_triggers!$1:$1,0)-MATCH($F$1,enemy_skill_triggers!$1:$1,0)+1),MATCH(H$1,enemy_skill_triggers!$1:$1,0)-MATCH($F$1,enemy_skill_triggers!$1:$1,0)+1,FALSE)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313" s="48">
        <f ca="1">VLOOKUP($F313,OFFSET(enemy_skill_triggers!$A$1,0,0,COUNTA(enemy_skill_triggers!$A:$A),MATCH(I$1,enemy_skill_triggers!$1:$1,0)-MATCH($F$1,enemy_skill_triggers!$1:$1,0)+1),MATCH(I$1,enemy_skill_triggers!$1:$1,0)-MATCH($F$1,enemy_skill_triggers!$1:$1,0)+1,FALSE)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3" s="48" t="str">
        <f ca="1">VLOOKUP($F313,OFFSET(enemy_skill_triggers!$A$1,0,0,COUNTA(enemy_skill_triggers!$A:$A),MATCH(J$1,enemy_skill_triggers!$1:$1,0)-MATCH($F$1,enemy_skill_triggers!$1:$1,0)+1),MATCH(J$1,enemy_skill_triggers!$1:$1,0)-MATCH($F$1,enemy_skill_triggers!$1:$1,0)+1,FALSE)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3" s="48" t="str">
        <f ca="1">VLOOKUP($F313,OFFSET(enemy_skill_triggers!$A$1,0,0,COUNTA(enemy_skill_triggers!$A:$A),MATCH(K$1,enemy_skill_triggers!$1:$1,0)-MATCH($F$1,enemy_skill_triggers!$1:$1,0)+1),MATCH(K$1,enemy_skill_triggers!$1:$1,0)-MATCH($F$1,enemy_skill_triggers!$1:$1,0)+1,FALSE)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3" s="48">
        <f ca="1">VLOOKUP($F313,OFFSET(enemy_skill_triggers!$A$1,0,0,COUNTA(enemy_skill_triggers!$A:$A),MATCH(L$1,enemy_skill_triggers!$1:$1,0)-MATCH($F$1,enemy_skill_triggers!$1:$1,0)+1),MATCH(L$1,enemy_skill_triggers!$1:$1,0)-MATCH($F$1,enemy_skill_triggers!$1:$1,0)+1,FALSE)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3" s="48" t="str">
        <f ca="1">VLOOKUP($F313,OFFSET(enemy_skill_triggers!$A$1,0,0,COUNTA(enemy_skill_triggers!$A:$A),MATCH(M$1,enemy_skill_triggers!$1:$1,0)-MATCH($F$1,enemy_skill_triggers!$1:$1,0)+1),MATCH(M$1,enemy_skill_triggers!$1:$1,0)-MATCH($F$1,enemy_skill_triggers!$1:$1,0)+1,FALSE)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3" s="48">
        <f ca="1">VLOOKUP($F313,OFFSET(enemy_skill_triggers!$A$1,0,0,COUNTA(enemy_skill_triggers!$A:$A),MATCH(N$1,enemy_skill_triggers!$1:$1,0)-MATCH($F$1,enemy_skill_triggers!$1:$1,0)+1),MATCH(N$1,enemy_skill_triggers!$1:$1,0)-MATCH($F$1,enemy_skill_triggers!$1:$1,0)+1,FALSE)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313" s="48">
        <f ca="1">VLOOKUP($F313,OFFSET(enemy_skill_triggers!$A$1,0,0,COUNTA(enemy_skill_triggers!$A:$A),MATCH(O$1,enemy_skill_triggers!$1:$1,0)-MATCH($F$1,enemy_skill_triggers!$1:$1,0)+1),MATCH(O$1,enemy_skill_triggers!$1:$1,0)-MATCH($F$1,enemy_skill_triggers!$1:$1,0)+1,FALSE)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3" s="47"/>
      <c r="Q313" s="47"/>
      <c r="R313" s="47"/>
    </row>
    <row r="314" spans="1:18" ht="21" customHeight="1" x14ac:dyDescent="0.15">
      <c r="A314" s="39" t="str">
        <f t="shared" si="17"/>
        <v>39009014_39009074</v>
      </c>
      <c r="B314" s="128">
        <v>39009014</v>
      </c>
      <c r="C314" s="47">
        <v>39009074</v>
      </c>
      <c r="D314" s="46" t="str">
        <f ca="1">VLOOKUP($C314,OFFSET(enemy_skills!$A$1,0,0,COUNTA(enemy_skills!$A:$A),MATCH(D$1,enemy_skills!$1:$1,0)-MATCH("enemy_skill_id",enemy_skills!$1:$1,0)+1),MATCH(D$1,enemy_skills!$1:$1,0)-MATCH("enemy_skill_id",enemy_skills!$1:$1,0)+1,FALSE)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4" s="46" t="str">
        <f ca="1">VLOOKUP($C314,OFFSET(enemy_skills!$A$1,0,0,COUNTA(enemy_skills!$A:$A),MATCH(E$1,enemy_skills!$1:$1,0)-MATCH("enemy_skill_id",enemy_skills!$1:$1,0)+1),MATCH(E$1,enemy_skills!$1:$1,0)-MATCH("enemy_skill_id",enemy_skills!$1:$1,0)+1,FALSE)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4" s="47">
        <v>39009249</v>
      </c>
      <c r="G314" s="48">
        <f ca="1">VLOOKUP($F314,OFFSET(enemy_skill_triggers!$A$1,0,0,COUNTA(enemy_skill_triggers!$A:$A),MATCH(G$1,enemy_skill_triggers!$1:$1,0)-MATCH($F$1,enemy_skill_triggers!$1:$1,0)+1),MATCH(G$1,enemy_skill_triggers!$1:$1,0)-MATCH($F$1,enemy_skill_triggers!$1:$1,0)+1,FALSE)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4" s="48">
        <f ca="1">VLOOKUP($F314,OFFSET(enemy_skill_triggers!$A$1,0,0,COUNTA(enemy_skill_triggers!$A:$A),MATCH(H$1,enemy_skill_triggers!$1:$1,0)-MATCH($F$1,enemy_skill_triggers!$1:$1,0)+1),MATCH(H$1,enemy_skill_triggers!$1:$1,0)-MATCH($F$1,enemy_skill_triggers!$1:$1,0)+1,FALSE)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314" s="48">
        <f ca="1">VLOOKUP($F314,OFFSET(enemy_skill_triggers!$A$1,0,0,COUNTA(enemy_skill_triggers!$A:$A),MATCH(I$1,enemy_skill_triggers!$1:$1,0)-MATCH($F$1,enemy_skill_triggers!$1:$1,0)+1),MATCH(I$1,enemy_skill_triggers!$1:$1,0)-MATCH($F$1,enemy_skill_triggers!$1:$1,0)+1,FALSE)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4" s="48" t="str">
        <f ca="1">VLOOKUP($F314,OFFSET(enemy_skill_triggers!$A$1,0,0,COUNTA(enemy_skill_triggers!$A:$A),MATCH(J$1,enemy_skill_triggers!$1:$1,0)-MATCH($F$1,enemy_skill_triggers!$1:$1,0)+1),MATCH(J$1,enemy_skill_triggers!$1:$1,0)-MATCH($F$1,enemy_skill_triggers!$1:$1,0)+1,FALSE)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4" s="48" t="str">
        <f ca="1">VLOOKUP($F314,OFFSET(enemy_skill_triggers!$A$1,0,0,COUNTA(enemy_skill_triggers!$A:$A),MATCH(K$1,enemy_skill_triggers!$1:$1,0)-MATCH($F$1,enemy_skill_triggers!$1:$1,0)+1),MATCH(K$1,enemy_skill_triggers!$1:$1,0)-MATCH($F$1,enemy_skill_triggers!$1:$1,0)+1,FALSE)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4" s="48">
        <f ca="1">VLOOKUP($F314,OFFSET(enemy_skill_triggers!$A$1,0,0,COUNTA(enemy_skill_triggers!$A:$A),MATCH(L$1,enemy_skill_triggers!$1:$1,0)-MATCH($F$1,enemy_skill_triggers!$1:$1,0)+1),MATCH(L$1,enemy_skill_triggers!$1:$1,0)-MATCH($F$1,enemy_skill_triggers!$1:$1,0)+1,FALSE)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4" s="48" t="str">
        <f ca="1">VLOOKUP($F314,OFFSET(enemy_skill_triggers!$A$1,0,0,COUNTA(enemy_skill_triggers!$A:$A),MATCH(M$1,enemy_skill_triggers!$1:$1,0)-MATCH($F$1,enemy_skill_triggers!$1:$1,0)+1),MATCH(M$1,enemy_skill_triggers!$1:$1,0)-MATCH($F$1,enemy_skill_triggers!$1:$1,0)+1,FALSE)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4" s="48">
        <f ca="1">VLOOKUP($F314,OFFSET(enemy_skill_triggers!$A$1,0,0,COUNTA(enemy_skill_triggers!$A:$A),MATCH(N$1,enemy_skill_triggers!$1:$1,0)-MATCH($F$1,enemy_skill_triggers!$1:$1,0)+1),MATCH(N$1,enemy_skill_triggers!$1:$1,0)-MATCH($F$1,enemy_skill_triggers!$1:$1,0)+1,FALSE)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314" s="48">
        <f ca="1">VLOOKUP($F314,OFFSET(enemy_skill_triggers!$A$1,0,0,COUNTA(enemy_skill_triggers!$A:$A),MATCH(O$1,enemy_skill_triggers!$1:$1,0)-MATCH($F$1,enemy_skill_triggers!$1:$1,0)+1),MATCH(O$1,enemy_skill_triggers!$1:$1,0)-MATCH($F$1,enemy_skill_triggers!$1:$1,0)+1,FALSE)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4" s="47"/>
      <c r="Q314" s="47"/>
      <c r="R314" s="47"/>
    </row>
    <row r="315" spans="1:18" ht="21" customHeight="1" x14ac:dyDescent="0.15">
      <c r="A315" s="39" t="str">
        <f t="shared" si="17"/>
        <v>39009014_39009074</v>
      </c>
      <c r="B315" s="128">
        <v>39009014</v>
      </c>
      <c r="C315" s="47">
        <v>39009074</v>
      </c>
      <c r="D315" s="46" t="str">
        <f ca="1">VLOOKUP($C315,OFFSET(enemy_skills!$A$1,0,0,COUNTA(enemy_skills!$A:$A),MATCH(D$1,enemy_skills!$1:$1,0)-MATCH("enemy_skill_id",enemy_skills!$1:$1,0)+1),MATCH(D$1,enemy_skills!$1:$1,0)-MATCH("enemy_skill_id",enemy_skills!$1:$1,0)+1,FALSE)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315" s="46" t="str">
        <f ca="1">VLOOKUP($C315,OFFSET(enemy_skills!$A$1,0,0,COUNTA(enemy_skills!$A:$A),MATCH(E$1,enemy_skills!$1:$1,0)-MATCH("enemy_skill_id",enemy_skills!$1:$1,0)+1),MATCH(E$1,enemy_skills!$1:$1,0)-MATCH("enemy_skill_id",enemy_skills!$1:$1,0)+1,FALSE)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5" s="47">
        <v>39009250</v>
      </c>
      <c r="G315" s="48">
        <f ca="1">VLOOKUP($F315,OFFSET(enemy_skill_triggers!$A$1,0,0,COUNTA(enemy_skill_triggers!$A:$A),MATCH(G$1,enemy_skill_triggers!$1:$1,0)-MATCH($F$1,enemy_skill_triggers!$1:$1,0)+1),MATCH(G$1,enemy_skill_triggers!$1:$1,0)-MATCH($F$1,enemy_skill_triggers!$1:$1,0)+1,FALSE)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5" s="48">
        <f ca="1">VLOOKUP($F315,OFFSET(enemy_skill_triggers!$A$1,0,0,COUNTA(enemy_skill_triggers!$A:$A),MATCH(H$1,enemy_skill_triggers!$1:$1,0)-MATCH($F$1,enemy_skill_triggers!$1:$1,0)+1),MATCH(H$1,enemy_skill_triggers!$1:$1,0)-MATCH($F$1,enemy_skill_triggers!$1:$1,0)+1,FALSE)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315" s="48">
        <f ca="1">VLOOKUP($F315,OFFSET(enemy_skill_triggers!$A$1,0,0,COUNTA(enemy_skill_triggers!$A:$A),MATCH(I$1,enemy_skill_triggers!$1:$1,0)-MATCH($F$1,enemy_skill_triggers!$1:$1,0)+1),MATCH(I$1,enemy_skill_triggers!$1:$1,0)-MATCH($F$1,enemy_skill_triggers!$1:$1,0)+1,FALSE)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5" s="48" t="str">
        <f ca="1">VLOOKUP($F315,OFFSET(enemy_skill_triggers!$A$1,0,0,COUNTA(enemy_skill_triggers!$A:$A),MATCH(J$1,enemy_skill_triggers!$1:$1,0)-MATCH($F$1,enemy_skill_triggers!$1:$1,0)+1),MATCH(J$1,enemy_skill_triggers!$1:$1,0)-MATCH($F$1,enemy_skill_triggers!$1:$1,0)+1,FALSE)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5" s="48" t="str">
        <f ca="1">VLOOKUP($F315,OFFSET(enemy_skill_triggers!$A$1,0,0,COUNTA(enemy_skill_triggers!$A:$A),MATCH(K$1,enemy_skill_triggers!$1:$1,0)-MATCH($F$1,enemy_skill_triggers!$1:$1,0)+1),MATCH(K$1,enemy_skill_triggers!$1:$1,0)-MATCH($F$1,enemy_skill_triggers!$1:$1,0)+1,FALSE)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5" s="48">
        <f ca="1">VLOOKUP($F315,OFFSET(enemy_skill_triggers!$A$1,0,0,COUNTA(enemy_skill_triggers!$A:$A),MATCH(L$1,enemy_skill_triggers!$1:$1,0)-MATCH($F$1,enemy_skill_triggers!$1:$1,0)+1),MATCH(L$1,enemy_skill_triggers!$1:$1,0)-MATCH($F$1,enemy_skill_triggers!$1:$1,0)+1,FALSE)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5" s="48" t="str">
        <f ca="1">VLOOKUP($F315,OFFSET(enemy_skill_triggers!$A$1,0,0,COUNTA(enemy_skill_triggers!$A:$A),MATCH(M$1,enemy_skill_triggers!$1:$1,0)-MATCH($F$1,enemy_skill_triggers!$1:$1,0)+1),MATCH(M$1,enemy_skill_triggers!$1:$1,0)-MATCH($F$1,enemy_skill_triggers!$1:$1,0)+1,FALSE)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5" s="48">
        <f ca="1">VLOOKUP($F315,OFFSET(enemy_skill_triggers!$A$1,0,0,COUNTA(enemy_skill_triggers!$A:$A),MATCH(N$1,enemy_skill_triggers!$1:$1,0)-MATCH($F$1,enemy_skill_triggers!$1:$1,0)+1),MATCH(N$1,enemy_skill_triggers!$1:$1,0)-MATCH($F$1,enemy_skill_triggers!$1:$1,0)+1,FALSE)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315" s="48">
        <f ca="1">VLOOKUP($F315,OFFSET(enemy_skill_triggers!$A$1,0,0,COUNTA(enemy_skill_triggers!$A:$A),MATCH(O$1,enemy_skill_triggers!$1:$1,0)-MATCH($F$1,enemy_skill_triggers!$1:$1,0)+1),MATCH(O$1,enemy_skill_triggers!$1:$1,0)-MATCH($F$1,enemy_skill_triggers!$1:$1,0)+1,FALSE)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5" s="47"/>
      <c r="Q315" s="47"/>
      <c r="R315" s="47"/>
    </row>
    <row r="316" spans="1:18" ht="21" customHeight="1" x14ac:dyDescent="0.15">
      <c r="A316" s="39" t="str">
        <f t="shared" si="17"/>
        <v>39009015_39009015</v>
      </c>
      <c r="B316" s="129">
        <v>39009015</v>
      </c>
      <c r="C316" s="142">
        <v>39009015</v>
      </c>
      <c r="D316" s="46" t="str">
        <f ca="1">VLOOKUP($C316,OFFSET(enemy_skills!$A$1,0,0,COUNTA(enemy_skills!$A:$A),MATCH(D$1,enemy_skills!$1:$1,0)-MATCH("enemy_skill_id",enemy_skills!$1:$1,0)+1),MATCH(D$1,enemy_skills!$1:$1,0)-MATCH("enemy_skill_id",enemy_skills!$1:$1,0)+1,FALSE)</f>
        <v>雪まつりへようこそ♪</v>
      </c>
      <c r="E316" s="46" t="str">
        <f ca="1">VLOOKUP($C316,OFFSET(enemy_skills!$A$1,0,0,COUNTA(enemy_skills!$A:$A),MATCH(E$1,enemy_skills!$1:$1,0)-MATCH("enemy_skill_id",enemy_skills!$1:$1,0)+1),MATCH(E$1,enemy_skills!$1:$1,0)-MATCH("enemy_skill_id",enemy_skills!$1:$1,0)+1,FALSE)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316" s="47">
        <v>39009001</v>
      </c>
      <c r="G316" s="48">
        <f ca="1">VLOOKUP($F316,OFFSET(enemy_skill_triggers!$A$1,0,0,COUNTA(enemy_skill_triggers!$A:$A),MATCH(G$1,enemy_skill_triggers!$1:$1,0)-MATCH($F$1,enemy_skill_triggers!$1:$1,0)+1),MATCH(G$1,enemy_skill_triggers!$1:$1,0)-MATCH($F$1,enemy_skill_triggers!$1:$1,0)+1,FALSE)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6" s="48" t="str">
        <f ca="1">VLOOKUP($F316,OFFSET(enemy_skill_triggers!$A$1,0,0,COUNTA(enemy_skill_triggers!$A:$A),MATCH(H$1,enemy_skill_triggers!$1:$1,0)-MATCH($F$1,enemy_skill_triggers!$1:$1,0)+1),MATCH(H$1,enemy_skill_triggers!$1:$1,0)-MATCH($F$1,enemy_skill_triggers!$1:$1,0)+1,FALSE)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6" s="48">
        <f ca="1">VLOOKUP($F316,OFFSET(enemy_skill_triggers!$A$1,0,0,COUNTA(enemy_skill_triggers!$A:$A),MATCH(I$1,enemy_skill_triggers!$1:$1,0)-MATCH($F$1,enemy_skill_triggers!$1:$1,0)+1),MATCH(I$1,enemy_skill_triggers!$1:$1,0)-MATCH($F$1,enemy_skill_triggers!$1:$1,0)+1,FALSE)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6" s="48" t="str">
        <f ca="1">VLOOKUP($F316,OFFSET(enemy_skill_triggers!$A$1,0,0,COUNTA(enemy_skill_triggers!$A:$A),MATCH(J$1,enemy_skill_triggers!$1:$1,0)-MATCH($F$1,enemy_skill_triggers!$1:$1,0)+1),MATCH(J$1,enemy_skill_triggers!$1:$1,0)-MATCH($F$1,enemy_skill_triggers!$1:$1,0)+1,FALSE)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6" s="48" t="str">
        <f ca="1">VLOOKUP($F316,OFFSET(enemy_skill_triggers!$A$1,0,0,COUNTA(enemy_skill_triggers!$A:$A),MATCH(K$1,enemy_skill_triggers!$1:$1,0)-MATCH($F$1,enemy_skill_triggers!$1:$1,0)+1),MATCH(K$1,enemy_skill_triggers!$1:$1,0)-MATCH($F$1,enemy_skill_triggers!$1:$1,0)+1,FALSE)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6" s="48">
        <f ca="1">VLOOKUP($F316,OFFSET(enemy_skill_triggers!$A$1,0,0,COUNTA(enemy_skill_triggers!$A:$A),MATCH(L$1,enemy_skill_triggers!$1:$1,0)-MATCH($F$1,enemy_skill_triggers!$1:$1,0)+1),MATCH(L$1,enemy_skill_triggers!$1:$1,0)-MATCH($F$1,enemy_skill_triggers!$1:$1,0)+1,FALSE)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6" s="48" t="str">
        <f ca="1">VLOOKUP($F316,OFFSET(enemy_skill_triggers!$A$1,0,0,COUNTA(enemy_skill_triggers!$A:$A),MATCH(M$1,enemy_skill_triggers!$1:$1,0)-MATCH($F$1,enemy_skill_triggers!$1:$1,0)+1),MATCH(M$1,enemy_skill_triggers!$1:$1,0)-MATCH($F$1,enemy_skill_triggers!$1:$1,0)+1,FALSE)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6" s="48" t="str">
        <f ca="1">VLOOKUP($F316,OFFSET(enemy_skill_triggers!$A$1,0,0,COUNTA(enemy_skill_triggers!$A:$A),MATCH(N$1,enemy_skill_triggers!$1:$1,0)-MATCH($F$1,enemy_skill_triggers!$1:$1,0)+1),MATCH(N$1,enemy_skill_triggers!$1:$1,0)-MATCH($F$1,enemy_skill_triggers!$1:$1,0)+1,FALSE)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6" s="48">
        <f ca="1">VLOOKUP($F316,OFFSET(enemy_skill_triggers!$A$1,0,0,COUNTA(enemy_skill_triggers!$A:$A),MATCH(O$1,enemy_skill_triggers!$1:$1,0)-MATCH($F$1,enemy_skill_triggers!$1:$1,0)+1),MATCH(O$1,enemy_skill_triggers!$1:$1,0)-MATCH($F$1,enemy_skill_triggers!$1:$1,0)+1,FALSE)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6" s="47"/>
      <c r="Q316" s="47"/>
      <c r="R316" s="47"/>
    </row>
    <row r="317" spans="1:18" ht="21" customHeight="1" x14ac:dyDescent="0.15">
      <c r="A317" s="39" t="str">
        <f t="shared" si="17"/>
        <v>39009015_39009030</v>
      </c>
      <c r="B317" s="129">
        <v>39009015</v>
      </c>
      <c r="C317" s="47">
        <v>39009030</v>
      </c>
      <c r="D317" s="46" t="str">
        <f ca="1">VLOOKUP($C317,OFFSET(enemy_skills!$A$1,0,0,COUNTA(enemy_skills!$A:$A),MATCH(D$1,enemy_skills!$1:$1,0)-MATCH("enemy_skill_id",enemy_skills!$1:$1,0)+1),MATCH(D$1,enemy_skills!$1:$1,0)-MATCH("enemy_skill_id",enemy_skills!$1:$1,0)+1,FALSE)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317" s="46" t="str">
        <f ca="1">VLOOKUP($C317,OFFSET(enemy_skills!$A$1,0,0,COUNTA(enemy_skills!$A:$A),MATCH(E$1,enemy_skills!$1:$1,0)-MATCH("enemy_skill_id",enemy_skills!$1:$1,0)+1),MATCH(E$1,enemy_skills!$1:$1,0)-MATCH("enemy_skill_id",enemy_skills!$1:$1,0)+1,FALSE)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17" s="47">
        <v>39009002</v>
      </c>
      <c r="G317" s="48">
        <f ca="1">VLOOKUP($F317,OFFSET(enemy_skill_triggers!$A$1,0,0,COUNTA(enemy_skill_triggers!$A:$A),MATCH(G$1,enemy_skill_triggers!$1:$1,0)-MATCH($F$1,enemy_skill_triggers!$1:$1,0)+1),MATCH(G$1,enemy_skill_triggers!$1:$1,0)-MATCH($F$1,enemy_skill_triggers!$1:$1,0)+1,FALSE)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7" s="48">
        <f ca="1">VLOOKUP($F317,OFFSET(enemy_skill_triggers!$A$1,0,0,COUNTA(enemy_skill_triggers!$A:$A),MATCH(H$1,enemy_skill_triggers!$1:$1,0)-MATCH($F$1,enemy_skill_triggers!$1:$1,0)+1),MATCH(H$1,enemy_skill_triggers!$1:$1,0)-MATCH($F$1,enemy_skill_triggers!$1:$1,0)+1,FALSE)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7" s="48">
        <f ca="1">VLOOKUP($F317,OFFSET(enemy_skill_triggers!$A$1,0,0,COUNTA(enemy_skill_triggers!$A:$A),MATCH(I$1,enemy_skill_triggers!$1:$1,0)-MATCH($F$1,enemy_skill_triggers!$1:$1,0)+1),MATCH(I$1,enemy_skill_triggers!$1:$1,0)-MATCH($F$1,enemy_skill_triggers!$1:$1,0)+1,FALSE)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7" s="48" t="str">
        <f ca="1">VLOOKUP($F317,OFFSET(enemy_skill_triggers!$A$1,0,0,COUNTA(enemy_skill_triggers!$A:$A),MATCH(J$1,enemy_skill_triggers!$1:$1,0)-MATCH($F$1,enemy_skill_triggers!$1:$1,0)+1),MATCH(J$1,enemy_skill_triggers!$1:$1,0)-MATCH($F$1,enemy_skill_triggers!$1:$1,0)+1,FALSE)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7" s="48" t="str">
        <f ca="1">VLOOKUP($F317,OFFSET(enemy_skill_triggers!$A$1,0,0,COUNTA(enemy_skill_triggers!$A:$A),MATCH(K$1,enemy_skill_triggers!$1:$1,0)-MATCH($F$1,enemy_skill_triggers!$1:$1,0)+1),MATCH(K$1,enemy_skill_triggers!$1:$1,0)-MATCH($F$1,enemy_skill_triggers!$1:$1,0)+1,FALSE)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7" s="48" t="str">
        <f ca="1">VLOOKUP($F317,OFFSET(enemy_skill_triggers!$A$1,0,0,COUNTA(enemy_skill_triggers!$A:$A),MATCH(L$1,enemy_skill_triggers!$1:$1,0)-MATCH($F$1,enemy_skill_triggers!$1:$1,0)+1),MATCH(L$1,enemy_skill_triggers!$1:$1,0)-MATCH($F$1,enemy_skill_triggers!$1:$1,0)+1,FALSE)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7" s="48" t="str">
        <f ca="1">VLOOKUP($F317,OFFSET(enemy_skill_triggers!$A$1,0,0,COUNTA(enemy_skill_triggers!$A:$A),MATCH(M$1,enemy_skill_triggers!$1:$1,0)-MATCH($F$1,enemy_skill_triggers!$1:$1,0)+1),MATCH(M$1,enemy_skill_triggers!$1:$1,0)-MATCH($F$1,enemy_skill_triggers!$1:$1,0)+1,FALSE)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7" s="48" t="str">
        <f ca="1">VLOOKUP($F317,OFFSET(enemy_skill_triggers!$A$1,0,0,COUNTA(enemy_skill_triggers!$A:$A),MATCH(N$1,enemy_skill_triggers!$1:$1,0)-MATCH($F$1,enemy_skill_triggers!$1:$1,0)+1),MATCH(N$1,enemy_skill_triggers!$1:$1,0)-MATCH($F$1,enemy_skill_triggers!$1:$1,0)+1,FALSE)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7" s="48">
        <f ca="1">VLOOKUP($F317,OFFSET(enemy_skill_triggers!$A$1,0,0,COUNTA(enemy_skill_triggers!$A:$A),MATCH(O$1,enemy_skill_triggers!$1:$1,0)-MATCH($F$1,enemy_skill_triggers!$1:$1,0)+1),MATCH(O$1,enemy_skill_triggers!$1:$1,0)-MATCH($F$1,enemy_skill_triggers!$1:$1,0)+1,FALSE)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7" s="47"/>
      <c r="Q317" s="47"/>
      <c r="R317" s="47"/>
    </row>
    <row r="318" spans="1:18" ht="21" customHeight="1" x14ac:dyDescent="0.15">
      <c r="A318" s="39" t="str">
        <f t="shared" si="17"/>
        <v>39009015_39009031</v>
      </c>
      <c r="B318" s="129">
        <v>39009015</v>
      </c>
      <c r="C318" s="47">
        <v>39009031</v>
      </c>
      <c r="D318" s="46" t="str">
        <f ca="1">VLOOKUP($C318,OFFSET(enemy_skills!$A$1,0,0,COUNTA(enemy_skills!$A:$A),MATCH(D$1,enemy_skills!$1:$1,0)-MATCH("enemy_skill_id",enemy_skills!$1:$1,0)+1),MATCH(D$1,enemy_skills!$1:$1,0)-MATCH("enemy_skill_id",enemy_skills!$1:$1,0)+1,FALSE)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318" s="46" t="str">
        <f ca="1">VLOOKUP($C318,OFFSET(enemy_skills!$A$1,0,0,COUNTA(enemy_skills!$A:$A),MATCH(E$1,enemy_skills!$1:$1,0)-MATCH("enemy_skill_id",enemy_skills!$1:$1,0)+1),MATCH(E$1,enemy_skills!$1:$1,0)-MATCH("enemy_skill_id",enemy_skills!$1:$1,0)+1,FALSE)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318" s="47">
        <v>39009003</v>
      </c>
      <c r="G318" s="48">
        <f ca="1">VLOOKUP($F318,OFFSET(enemy_skill_triggers!$A$1,0,0,COUNTA(enemy_skill_triggers!$A:$A),MATCH(G$1,enemy_skill_triggers!$1:$1,0)-MATCH($F$1,enemy_skill_triggers!$1:$1,0)+1),MATCH(G$1,enemy_skill_triggers!$1:$1,0)-MATCH($F$1,enemy_skill_triggers!$1:$1,0)+1,FALSE)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8" s="48">
        <f ca="1">VLOOKUP($F318,OFFSET(enemy_skill_triggers!$A$1,0,0,COUNTA(enemy_skill_triggers!$A:$A),MATCH(H$1,enemy_skill_triggers!$1:$1,0)-MATCH($F$1,enemy_skill_triggers!$1:$1,0)+1),MATCH(H$1,enemy_skill_triggers!$1:$1,0)-MATCH($F$1,enemy_skill_triggers!$1:$1,0)+1,FALSE)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8" s="48">
        <f ca="1">VLOOKUP($F318,OFFSET(enemy_skill_triggers!$A$1,0,0,COUNTA(enemy_skill_triggers!$A:$A),MATCH(I$1,enemy_skill_triggers!$1:$1,0)-MATCH($F$1,enemy_skill_triggers!$1:$1,0)+1),MATCH(I$1,enemy_skill_triggers!$1:$1,0)-MATCH($F$1,enemy_skill_triggers!$1:$1,0)+1,FALSE)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8" s="48" t="str">
        <f ca="1">VLOOKUP($F318,OFFSET(enemy_skill_triggers!$A$1,0,0,COUNTA(enemy_skill_triggers!$A:$A),MATCH(J$1,enemy_skill_triggers!$1:$1,0)-MATCH($F$1,enemy_skill_triggers!$1:$1,0)+1),MATCH(J$1,enemy_skill_triggers!$1:$1,0)-MATCH($F$1,enemy_skill_triggers!$1:$1,0)+1,FALSE)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8" s="48" t="str">
        <f ca="1">VLOOKUP($F318,OFFSET(enemy_skill_triggers!$A$1,0,0,COUNTA(enemy_skill_triggers!$A:$A),MATCH(K$1,enemy_skill_triggers!$1:$1,0)-MATCH($F$1,enemy_skill_triggers!$1:$1,0)+1),MATCH(K$1,enemy_skill_triggers!$1:$1,0)-MATCH($F$1,enemy_skill_triggers!$1:$1,0)+1,FALSE)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8" s="48">
        <f ca="1">VLOOKUP($F318,OFFSET(enemy_skill_triggers!$A$1,0,0,COUNTA(enemy_skill_triggers!$A:$A),MATCH(L$1,enemy_skill_triggers!$1:$1,0)-MATCH($F$1,enemy_skill_triggers!$1:$1,0)+1),MATCH(L$1,enemy_skill_triggers!$1:$1,0)-MATCH($F$1,enemy_skill_triggers!$1:$1,0)+1,FALSE)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18" s="48" t="str">
        <f ca="1">VLOOKUP($F318,OFFSET(enemy_skill_triggers!$A$1,0,0,COUNTA(enemy_skill_triggers!$A:$A),MATCH(M$1,enemy_skill_triggers!$1:$1,0)-MATCH($F$1,enemy_skill_triggers!$1:$1,0)+1),MATCH(M$1,enemy_skill_triggers!$1:$1,0)-MATCH($F$1,enemy_skill_triggers!$1:$1,0)+1,FALSE)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8" s="48" t="str">
        <f ca="1">VLOOKUP($F318,OFFSET(enemy_skill_triggers!$A$1,0,0,COUNTA(enemy_skill_triggers!$A:$A),MATCH(N$1,enemy_skill_triggers!$1:$1,0)-MATCH($F$1,enemy_skill_triggers!$1:$1,0)+1),MATCH(N$1,enemy_skill_triggers!$1:$1,0)-MATCH($F$1,enemy_skill_triggers!$1:$1,0)+1,FALSE)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8" s="48">
        <f ca="1">VLOOKUP($F318,OFFSET(enemy_skill_triggers!$A$1,0,0,COUNTA(enemy_skill_triggers!$A:$A),MATCH(O$1,enemy_skill_triggers!$1:$1,0)-MATCH($F$1,enemy_skill_triggers!$1:$1,0)+1),MATCH(O$1,enemy_skill_triggers!$1:$1,0)-MATCH($F$1,enemy_skill_triggers!$1:$1,0)+1,FALSE)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8" s="47"/>
      <c r="Q318" s="47"/>
      <c r="R318" s="47"/>
    </row>
    <row r="319" spans="1:18" ht="21" customHeight="1" x14ac:dyDescent="0.15">
      <c r="A319" s="39" t="str">
        <f t="shared" si="17"/>
        <v>39009015_39009032</v>
      </c>
      <c r="B319" s="129">
        <v>39009015</v>
      </c>
      <c r="C319" s="47">
        <v>39009032</v>
      </c>
      <c r="D319" s="46" t="str">
        <f ca="1">VLOOKUP($C319,OFFSET(enemy_skills!$A$1,0,0,COUNTA(enemy_skills!$A:$A),MATCH(D$1,enemy_skills!$1:$1,0)-MATCH("enemy_skill_id",enemy_skills!$1:$1,0)+1),MATCH(D$1,enemy_skills!$1:$1,0)-MATCH("enemy_skill_id",enemy_skills!$1:$1,0)+1,FALSE)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319" s="46" t="str">
        <f ca="1">VLOOKUP($C319,OFFSET(enemy_skills!$A$1,0,0,COUNTA(enemy_skills!$A:$A),MATCH(E$1,enemy_skills!$1:$1,0)-MATCH("enemy_skill_id",enemy_skills!$1:$1,0)+1),MATCH(E$1,enemy_skills!$1:$1,0)-MATCH("enemy_skill_id",enemy_skills!$1:$1,0)+1,FALSE)</f>
        <v>自己回復+全体攻撃</v>
      </c>
      <c r="F319" s="47">
        <v>39009004</v>
      </c>
      <c r="G319" s="48">
        <f ca="1">VLOOKUP($F319,OFFSET(enemy_skill_triggers!$A$1,0,0,COUNTA(enemy_skill_triggers!$A:$A),MATCH(G$1,enemy_skill_triggers!$1:$1,0)-MATCH($F$1,enemy_skill_triggers!$1:$1,0)+1),MATCH(G$1,enemy_skill_triggers!$1:$1,0)-MATCH($F$1,enemy_skill_triggers!$1:$1,0)+1,FALSE)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9" s="48">
        <f ca="1">VLOOKUP($F319,OFFSET(enemy_skill_triggers!$A$1,0,0,COUNTA(enemy_skill_triggers!$A:$A),MATCH(H$1,enemy_skill_triggers!$1:$1,0)-MATCH($F$1,enemy_skill_triggers!$1:$1,0)+1),MATCH(H$1,enemy_skill_triggers!$1:$1,0)-MATCH($F$1,enemy_skill_triggers!$1:$1,0)+1,FALSE)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19" s="48">
        <f ca="1">VLOOKUP($F319,OFFSET(enemy_skill_triggers!$A$1,0,0,COUNTA(enemy_skill_triggers!$A:$A),MATCH(I$1,enemy_skill_triggers!$1:$1,0)-MATCH($F$1,enemy_skill_triggers!$1:$1,0)+1),MATCH(I$1,enemy_skill_triggers!$1:$1,0)-MATCH($F$1,enemy_skill_triggers!$1:$1,0)+1,FALSE)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9" s="48" t="str">
        <f ca="1">VLOOKUP($F319,OFFSET(enemy_skill_triggers!$A$1,0,0,COUNTA(enemy_skill_triggers!$A:$A),MATCH(J$1,enemy_skill_triggers!$1:$1,0)-MATCH($F$1,enemy_skill_triggers!$1:$1,0)+1),MATCH(J$1,enemy_skill_triggers!$1:$1,0)-MATCH($F$1,enemy_skill_triggers!$1:$1,0)+1,FALSE)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9" s="48" t="str">
        <f ca="1">VLOOKUP($F319,OFFSET(enemy_skill_triggers!$A$1,0,0,COUNTA(enemy_skill_triggers!$A:$A),MATCH(K$1,enemy_skill_triggers!$1:$1,0)-MATCH($F$1,enemy_skill_triggers!$1:$1,0)+1),MATCH(K$1,enemy_skill_triggers!$1:$1,0)-MATCH($F$1,enemy_skill_triggers!$1:$1,0)+1,FALSE)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9" s="48">
        <f ca="1">VLOOKUP($F319,OFFSET(enemy_skill_triggers!$A$1,0,0,COUNTA(enemy_skill_triggers!$A:$A),MATCH(L$1,enemy_skill_triggers!$1:$1,0)-MATCH($F$1,enemy_skill_triggers!$1:$1,0)+1),MATCH(L$1,enemy_skill_triggers!$1:$1,0)-MATCH($F$1,enemy_skill_triggers!$1:$1,0)+1,FALSE)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9" s="48" t="str">
        <f ca="1">VLOOKUP($F319,OFFSET(enemy_skill_triggers!$A$1,0,0,COUNTA(enemy_skill_triggers!$A:$A),MATCH(M$1,enemy_skill_triggers!$1:$1,0)-MATCH($F$1,enemy_skill_triggers!$1:$1,0)+1),MATCH(M$1,enemy_skill_triggers!$1:$1,0)-MATCH($F$1,enemy_skill_triggers!$1:$1,0)+1,FALSE)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9" s="48" t="str">
        <f ca="1">VLOOKUP($F319,OFFSET(enemy_skill_triggers!$A$1,0,0,COUNTA(enemy_skill_triggers!$A:$A),MATCH(N$1,enemy_skill_triggers!$1:$1,0)-MATCH($F$1,enemy_skill_triggers!$1:$1,0)+1),MATCH(N$1,enemy_skill_triggers!$1:$1,0)-MATCH($F$1,enemy_skill_triggers!$1:$1,0)+1,FALSE)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9" s="48">
        <f ca="1">VLOOKUP($F319,OFFSET(enemy_skill_triggers!$A$1,0,0,COUNTA(enemy_skill_triggers!$A:$A),MATCH(O$1,enemy_skill_triggers!$1:$1,0)-MATCH($F$1,enemy_skill_triggers!$1:$1,0)+1),MATCH(O$1,enemy_skill_triggers!$1:$1,0)-MATCH($F$1,enemy_skill_triggers!$1:$1,0)+1,FALSE)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9" s="47"/>
      <c r="Q319" s="47"/>
      <c r="R319" s="47"/>
    </row>
    <row r="320" spans="1:18" ht="21" customHeight="1" x14ac:dyDescent="0.15">
      <c r="A320" s="39" t="str">
        <f t="shared" si="17"/>
        <v>39009015_39009033</v>
      </c>
      <c r="B320" s="129">
        <v>39009015</v>
      </c>
      <c r="C320" s="47">
        <v>39009033</v>
      </c>
      <c r="D320" s="46" t="str">
        <f ca="1">VLOOKUP($C320,OFFSET(enemy_skills!$A$1,0,0,COUNTA(enemy_skills!$A:$A),MATCH(D$1,enemy_skills!$1:$1,0)-MATCH("enemy_skill_id",enemy_skills!$1:$1,0)+1),MATCH(D$1,enemy_skills!$1:$1,0)-MATCH("enemy_skill_id",enemy_skills!$1:$1,0)+1,FALSE)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320" s="46" t="str">
        <f ca="1">VLOOKUP($C320,OFFSET(enemy_skills!$A$1,0,0,COUNTA(enemy_skills!$A:$A),MATCH(E$1,enemy_skills!$1:$1,0)-MATCH("enemy_skill_id",enemy_skills!$1:$1,0)+1),MATCH(E$1,enemy_skills!$1:$1,0)-MATCH("enemy_skill_id",enemy_skills!$1:$1,0)+1,FALSE)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20" s="47">
        <v>39009005</v>
      </c>
      <c r="G320" s="48">
        <f ca="1">VLOOKUP($F320,OFFSET(enemy_skill_triggers!$A$1,0,0,COUNTA(enemy_skill_triggers!$A:$A),MATCH(G$1,enemy_skill_triggers!$1:$1,0)-MATCH($F$1,enemy_skill_triggers!$1:$1,0)+1),MATCH(G$1,enemy_skill_triggers!$1:$1,0)-MATCH($F$1,enemy_skill_triggers!$1:$1,0)+1,FALSE)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0" s="48">
        <f ca="1">VLOOKUP($F320,OFFSET(enemy_skill_triggers!$A$1,0,0,COUNTA(enemy_skill_triggers!$A:$A),MATCH(H$1,enemy_skill_triggers!$1:$1,0)-MATCH($F$1,enemy_skill_triggers!$1:$1,0)+1),MATCH(H$1,enemy_skill_triggers!$1:$1,0)-MATCH($F$1,enemy_skill_triggers!$1:$1,0)+1,FALSE)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0" s="48">
        <f ca="1">VLOOKUP($F320,OFFSET(enemy_skill_triggers!$A$1,0,0,COUNTA(enemy_skill_triggers!$A:$A),MATCH(I$1,enemy_skill_triggers!$1:$1,0)-MATCH($F$1,enemy_skill_triggers!$1:$1,0)+1),MATCH(I$1,enemy_skill_triggers!$1:$1,0)-MATCH($F$1,enemy_skill_triggers!$1:$1,0)+1,FALSE)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0" s="48">
        <f ca="1">VLOOKUP($F320,OFFSET(enemy_skill_triggers!$A$1,0,0,COUNTA(enemy_skill_triggers!$A:$A),MATCH(J$1,enemy_skill_triggers!$1:$1,0)-MATCH($F$1,enemy_skill_triggers!$1:$1,0)+1),MATCH(J$1,enemy_skill_triggers!$1:$1,0)-MATCH($F$1,enemy_skill_triggers!$1:$1,0)+1,FALSE)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0" s="48" t="str">
        <f ca="1">VLOOKUP($F320,OFFSET(enemy_skill_triggers!$A$1,0,0,COUNTA(enemy_skill_triggers!$A:$A),MATCH(K$1,enemy_skill_triggers!$1:$1,0)-MATCH($F$1,enemy_skill_triggers!$1:$1,0)+1),MATCH(K$1,enemy_skill_triggers!$1:$1,0)-MATCH($F$1,enemy_skill_triggers!$1:$1,0)+1,FALSE)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0" s="48">
        <f ca="1">VLOOKUP($F320,OFFSET(enemy_skill_triggers!$A$1,0,0,COUNTA(enemy_skill_triggers!$A:$A),MATCH(L$1,enemy_skill_triggers!$1:$1,0)-MATCH($F$1,enemy_skill_triggers!$1:$1,0)+1),MATCH(L$1,enemy_skill_triggers!$1:$1,0)-MATCH($F$1,enemy_skill_triggers!$1:$1,0)+1,FALSE)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0" s="48" t="str">
        <f ca="1">VLOOKUP($F320,OFFSET(enemy_skill_triggers!$A$1,0,0,COUNTA(enemy_skill_triggers!$A:$A),MATCH(M$1,enemy_skill_triggers!$1:$1,0)-MATCH($F$1,enemy_skill_triggers!$1:$1,0)+1),MATCH(M$1,enemy_skill_triggers!$1:$1,0)-MATCH($F$1,enemy_skill_triggers!$1:$1,0)+1,FALSE)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0" s="48" t="str">
        <f ca="1">VLOOKUP($F320,OFFSET(enemy_skill_triggers!$A$1,0,0,COUNTA(enemy_skill_triggers!$A:$A),MATCH(N$1,enemy_skill_triggers!$1:$1,0)-MATCH($F$1,enemy_skill_triggers!$1:$1,0)+1),MATCH(N$1,enemy_skill_triggers!$1:$1,0)-MATCH($F$1,enemy_skill_triggers!$1:$1,0)+1,FALSE)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0" s="48">
        <f ca="1">VLOOKUP($F320,OFFSET(enemy_skill_triggers!$A$1,0,0,COUNTA(enemy_skill_triggers!$A:$A),MATCH(O$1,enemy_skill_triggers!$1:$1,0)-MATCH($F$1,enemy_skill_triggers!$1:$1,0)+1),MATCH(O$1,enemy_skill_triggers!$1:$1,0)-MATCH($F$1,enemy_skill_triggers!$1:$1,0)+1,FALSE)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0" s="47"/>
      <c r="Q320" s="47"/>
      <c r="R320" s="47"/>
    </row>
    <row r="321" spans="1:18" ht="21" customHeight="1" x14ac:dyDescent="0.15">
      <c r="A321" s="39" t="str">
        <f t="shared" si="17"/>
        <v>39009015_39009016</v>
      </c>
      <c r="B321" s="129">
        <v>39009015</v>
      </c>
      <c r="C321" s="142">
        <v>39009016</v>
      </c>
      <c r="D321" s="46" t="str">
        <f ca="1">VLOOKUP($C321,OFFSET(enemy_skills!$A$1,0,0,COUNTA(enemy_skills!$A:$A),MATCH(D$1,enemy_skills!$1:$1,0)-MATCH("enemy_skill_id",enemy_skills!$1:$1,0)+1),MATCH(D$1,enemy_skills!$1:$1,0)-MATCH("enemy_skill_id",enemy_skills!$1:$1,0)+1,FALSE)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321" s="46" t="str">
        <f ca="1">VLOOKUP($C321,OFFSET(enemy_skills!$A$1,0,0,COUNTA(enemy_skills!$A:$A),MATCH(E$1,enemy_skills!$1:$1,0)-MATCH("enemy_skill_id",enemy_skills!$1:$1,0)+1),MATCH(E$1,enemy_skills!$1:$1,0)-MATCH("enemy_skill_id",enemy_skills!$1:$1,0)+1,FALSE)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321" s="47">
        <v>39009006</v>
      </c>
      <c r="G321" s="48">
        <f ca="1">VLOOKUP($F321,OFFSET(enemy_skill_triggers!$A$1,0,0,COUNTA(enemy_skill_triggers!$A:$A),MATCH(G$1,enemy_skill_triggers!$1:$1,0)-MATCH($F$1,enemy_skill_triggers!$1:$1,0)+1),MATCH(G$1,enemy_skill_triggers!$1:$1,0)-MATCH($F$1,enemy_skill_triggers!$1:$1,0)+1,FALSE)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1" s="48">
        <f ca="1">VLOOKUP($F321,OFFSET(enemy_skill_triggers!$A$1,0,0,COUNTA(enemy_skill_triggers!$A:$A),MATCH(H$1,enemy_skill_triggers!$1:$1,0)-MATCH($F$1,enemy_skill_triggers!$1:$1,0)+1),MATCH(H$1,enemy_skill_triggers!$1:$1,0)-MATCH($F$1,enemy_skill_triggers!$1:$1,0)+1,FALSE)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21" s="48">
        <f ca="1">VLOOKUP($F321,OFFSET(enemy_skill_triggers!$A$1,0,0,COUNTA(enemy_skill_triggers!$A:$A),MATCH(I$1,enemy_skill_triggers!$1:$1,0)-MATCH($F$1,enemy_skill_triggers!$1:$1,0)+1),MATCH(I$1,enemy_skill_triggers!$1:$1,0)-MATCH($F$1,enemy_skill_triggers!$1:$1,0)+1,FALSE)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1" s="48">
        <f ca="1">VLOOKUP($F321,OFFSET(enemy_skill_triggers!$A$1,0,0,COUNTA(enemy_skill_triggers!$A:$A),MATCH(J$1,enemy_skill_triggers!$1:$1,0)-MATCH($F$1,enemy_skill_triggers!$1:$1,0)+1),MATCH(J$1,enemy_skill_triggers!$1:$1,0)-MATCH($F$1,enemy_skill_triggers!$1:$1,0)+1,FALSE)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1" s="48" t="str">
        <f ca="1">VLOOKUP($F321,OFFSET(enemy_skill_triggers!$A$1,0,0,COUNTA(enemy_skill_triggers!$A:$A),MATCH(K$1,enemy_skill_triggers!$1:$1,0)-MATCH($F$1,enemy_skill_triggers!$1:$1,0)+1),MATCH(K$1,enemy_skill_triggers!$1:$1,0)-MATCH($F$1,enemy_skill_triggers!$1:$1,0)+1,FALSE)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1" s="48">
        <f ca="1">VLOOKUP($F321,OFFSET(enemy_skill_triggers!$A$1,0,0,COUNTA(enemy_skill_triggers!$A:$A),MATCH(L$1,enemy_skill_triggers!$1:$1,0)-MATCH($F$1,enemy_skill_triggers!$1:$1,0)+1),MATCH(L$1,enemy_skill_triggers!$1:$1,0)-MATCH($F$1,enemy_skill_triggers!$1:$1,0)+1,FALSE)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1" s="48" t="str">
        <f ca="1">VLOOKUP($F321,OFFSET(enemy_skill_triggers!$A$1,0,0,COUNTA(enemy_skill_triggers!$A:$A),MATCH(M$1,enemy_skill_triggers!$1:$1,0)-MATCH($F$1,enemy_skill_triggers!$1:$1,0)+1),MATCH(M$1,enemy_skill_triggers!$1:$1,0)-MATCH($F$1,enemy_skill_triggers!$1:$1,0)+1,FALSE)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1" s="48" t="str">
        <f ca="1">VLOOKUP($F321,OFFSET(enemy_skill_triggers!$A$1,0,0,COUNTA(enemy_skill_triggers!$A:$A),MATCH(N$1,enemy_skill_triggers!$1:$1,0)-MATCH($F$1,enemy_skill_triggers!$1:$1,0)+1),MATCH(N$1,enemy_skill_triggers!$1:$1,0)-MATCH($F$1,enemy_skill_triggers!$1:$1,0)+1,FALSE)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1" s="48">
        <f ca="1">VLOOKUP($F321,OFFSET(enemy_skill_triggers!$A$1,0,0,COUNTA(enemy_skill_triggers!$A:$A),MATCH(O$1,enemy_skill_triggers!$1:$1,0)-MATCH($F$1,enemy_skill_triggers!$1:$1,0)+1),MATCH(O$1,enemy_skill_triggers!$1:$1,0)-MATCH($F$1,enemy_skill_triggers!$1:$1,0)+1,FALSE)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1" s="47"/>
      <c r="Q321" s="47"/>
      <c r="R321" s="47"/>
    </row>
    <row r="322" spans="1:18" ht="21" customHeight="1" x14ac:dyDescent="0.15">
      <c r="A322" s="39" t="str">
        <f t="shared" si="17"/>
        <v>39009015_39009035</v>
      </c>
      <c r="B322" s="129">
        <v>39009015</v>
      </c>
      <c r="C322" s="47">
        <v>39009035</v>
      </c>
      <c r="D322" s="46" t="str">
        <f ca="1">VLOOKUP($C322,OFFSET(enemy_skills!$A$1,0,0,COUNTA(enemy_skills!$A:$A),MATCH(D$1,enemy_skills!$1:$1,0)-MATCH("enemy_skill_id",enemy_skills!$1:$1,0)+1),MATCH(D$1,enemy_skills!$1:$1,0)-MATCH("enemy_skill_id",enemy_skills!$1:$1,0)+1,FALSE)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322" s="46" t="str">
        <f ca="1">VLOOKUP($C322,OFFSET(enemy_skills!$A$1,0,0,COUNTA(enemy_skills!$A:$A),MATCH(E$1,enemy_skills!$1:$1,0)-MATCH("enemy_skill_id",enemy_skills!$1:$1,0)+1),MATCH(E$1,enemy_skills!$1:$1,0)-MATCH("enemy_skill_id",enemy_skills!$1:$1,0)+1,FALSE)</f>
        <v>自己回復</v>
      </c>
      <c r="F322" s="47">
        <v>39009007</v>
      </c>
      <c r="G322" s="48">
        <f ca="1">VLOOKUP($F322,OFFSET(enemy_skill_triggers!$A$1,0,0,COUNTA(enemy_skill_triggers!$A:$A),MATCH(G$1,enemy_skill_triggers!$1:$1,0)-MATCH($F$1,enemy_skill_triggers!$1:$1,0)+1),MATCH(G$1,enemy_skill_triggers!$1:$1,0)-MATCH($F$1,enemy_skill_triggers!$1:$1,0)+1,FALSE)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2" s="48">
        <f ca="1">VLOOKUP($F322,OFFSET(enemy_skill_triggers!$A$1,0,0,COUNTA(enemy_skill_triggers!$A:$A),MATCH(H$1,enemy_skill_triggers!$1:$1,0)-MATCH($F$1,enemy_skill_triggers!$1:$1,0)+1),MATCH(H$1,enemy_skill_triggers!$1:$1,0)-MATCH($F$1,enemy_skill_triggers!$1:$1,0)+1,FALSE)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22" s="48">
        <f ca="1">VLOOKUP($F322,OFFSET(enemy_skill_triggers!$A$1,0,0,COUNTA(enemy_skill_triggers!$A:$A),MATCH(I$1,enemy_skill_triggers!$1:$1,0)-MATCH($F$1,enemy_skill_triggers!$1:$1,0)+1),MATCH(I$1,enemy_skill_triggers!$1:$1,0)-MATCH($F$1,enemy_skill_triggers!$1:$1,0)+1,FALSE)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2" s="48">
        <f ca="1">VLOOKUP($F322,OFFSET(enemy_skill_triggers!$A$1,0,0,COUNTA(enemy_skill_triggers!$A:$A),MATCH(J$1,enemy_skill_triggers!$1:$1,0)-MATCH($F$1,enemy_skill_triggers!$1:$1,0)+1),MATCH(J$1,enemy_skill_triggers!$1:$1,0)-MATCH($F$1,enemy_skill_triggers!$1:$1,0)+1,FALSE)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2" s="48" t="str">
        <f ca="1">VLOOKUP($F322,OFFSET(enemy_skill_triggers!$A$1,0,0,COUNTA(enemy_skill_triggers!$A:$A),MATCH(K$1,enemy_skill_triggers!$1:$1,0)-MATCH($F$1,enemy_skill_triggers!$1:$1,0)+1),MATCH(K$1,enemy_skill_triggers!$1:$1,0)-MATCH($F$1,enemy_skill_triggers!$1:$1,0)+1,FALSE)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2" s="48">
        <f ca="1">VLOOKUP($F322,OFFSET(enemy_skill_triggers!$A$1,0,0,COUNTA(enemy_skill_triggers!$A:$A),MATCH(L$1,enemy_skill_triggers!$1:$1,0)-MATCH($F$1,enemy_skill_triggers!$1:$1,0)+1),MATCH(L$1,enemy_skill_triggers!$1:$1,0)-MATCH($F$1,enemy_skill_triggers!$1:$1,0)+1,FALSE)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2" s="48" t="str">
        <f ca="1">VLOOKUP($F322,OFFSET(enemy_skill_triggers!$A$1,0,0,COUNTA(enemy_skill_triggers!$A:$A),MATCH(M$1,enemy_skill_triggers!$1:$1,0)-MATCH($F$1,enemy_skill_triggers!$1:$1,0)+1),MATCH(M$1,enemy_skill_triggers!$1:$1,0)-MATCH($F$1,enemy_skill_triggers!$1:$1,0)+1,FALSE)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2" s="48" t="str">
        <f ca="1">VLOOKUP($F322,OFFSET(enemy_skill_triggers!$A$1,0,0,COUNTA(enemy_skill_triggers!$A:$A),MATCH(N$1,enemy_skill_triggers!$1:$1,0)-MATCH($F$1,enemy_skill_triggers!$1:$1,0)+1),MATCH(N$1,enemy_skill_triggers!$1:$1,0)-MATCH($F$1,enemy_skill_triggers!$1:$1,0)+1,FALSE)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2" s="48">
        <f ca="1">VLOOKUP($F322,OFFSET(enemy_skill_triggers!$A$1,0,0,COUNTA(enemy_skill_triggers!$A:$A),MATCH(O$1,enemy_skill_triggers!$1:$1,0)-MATCH($F$1,enemy_skill_triggers!$1:$1,0)+1),MATCH(O$1,enemy_skill_triggers!$1:$1,0)-MATCH($F$1,enemy_skill_triggers!$1:$1,0)+1,FALSE)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2" s="47"/>
      <c r="Q322" s="47"/>
      <c r="R322" s="47"/>
    </row>
    <row r="323" spans="1:18" ht="21" customHeight="1" x14ac:dyDescent="0.15">
      <c r="A323" s="39" t="str">
        <f t="shared" si="17"/>
        <v>39009015_39009036</v>
      </c>
      <c r="B323" s="129">
        <v>39009015</v>
      </c>
      <c r="C323" s="47">
        <v>39009036</v>
      </c>
      <c r="D323" s="46" t="str">
        <f ca="1">VLOOKUP($C323,OFFSET(enemy_skills!$A$1,0,0,COUNTA(enemy_skills!$A:$A),MATCH(D$1,enemy_skills!$1:$1,0)-MATCH("enemy_skill_id",enemy_skills!$1:$1,0)+1),MATCH(D$1,enemy_skills!$1:$1,0)-MATCH("enemy_skill_id",enemy_skills!$1:$1,0)+1,FALSE)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323" s="46" t="str">
        <f ca="1">VLOOKUP($C323,OFFSET(enemy_skills!$A$1,0,0,COUNTA(enemy_skills!$A:$A),MATCH(E$1,enemy_skills!$1:$1,0)-MATCH("enemy_skill_id",enemy_skills!$1:$1,0)+1),MATCH(E$1,enemy_skills!$1:$1,0)-MATCH("enemy_skill_id",enemy_skills!$1:$1,0)+1,FALSE)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323" s="47">
        <v>39009008</v>
      </c>
      <c r="G323" s="48">
        <f ca="1">VLOOKUP($F323,OFFSET(enemy_skill_triggers!$A$1,0,0,COUNTA(enemy_skill_triggers!$A:$A),MATCH(G$1,enemy_skill_triggers!$1:$1,0)-MATCH($F$1,enemy_skill_triggers!$1:$1,0)+1),MATCH(G$1,enemy_skill_triggers!$1:$1,0)-MATCH($F$1,enemy_skill_triggers!$1:$1,0)+1,FALSE)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3" s="48">
        <f ca="1">VLOOKUP($F323,OFFSET(enemy_skill_triggers!$A$1,0,0,COUNTA(enemy_skill_triggers!$A:$A),MATCH(H$1,enemy_skill_triggers!$1:$1,0)-MATCH($F$1,enemy_skill_triggers!$1:$1,0)+1),MATCH(H$1,enemy_skill_triggers!$1:$1,0)-MATCH($F$1,enemy_skill_triggers!$1:$1,0)+1,FALSE)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23" s="48">
        <f ca="1">VLOOKUP($F323,OFFSET(enemy_skill_triggers!$A$1,0,0,COUNTA(enemy_skill_triggers!$A:$A),MATCH(I$1,enemy_skill_triggers!$1:$1,0)-MATCH($F$1,enemy_skill_triggers!$1:$1,0)+1),MATCH(I$1,enemy_skill_triggers!$1:$1,0)-MATCH($F$1,enemy_skill_triggers!$1:$1,0)+1,FALSE)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3" s="48">
        <f ca="1">VLOOKUP($F323,OFFSET(enemy_skill_triggers!$A$1,0,0,COUNTA(enemy_skill_triggers!$A:$A),MATCH(J$1,enemy_skill_triggers!$1:$1,0)-MATCH($F$1,enemy_skill_triggers!$1:$1,0)+1),MATCH(J$1,enemy_skill_triggers!$1:$1,0)-MATCH($F$1,enemy_skill_triggers!$1:$1,0)+1,FALSE)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3" s="48" t="str">
        <f ca="1">VLOOKUP($F323,OFFSET(enemy_skill_triggers!$A$1,0,0,COUNTA(enemy_skill_triggers!$A:$A),MATCH(K$1,enemy_skill_triggers!$1:$1,0)-MATCH($F$1,enemy_skill_triggers!$1:$1,0)+1),MATCH(K$1,enemy_skill_triggers!$1:$1,0)-MATCH($F$1,enemy_skill_triggers!$1:$1,0)+1,FALSE)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3" s="48">
        <f ca="1">VLOOKUP($F323,OFFSET(enemy_skill_triggers!$A$1,0,0,COUNTA(enemy_skill_triggers!$A:$A),MATCH(L$1,enemy_skill_triggers!$1:$1,0)-MATCH($F$1,enemy_skill_triggers!$1:$1,0)+1),MATCH(L$1,enemy_skill_triggers!$1:$1,0)-MATCH($F$1,enemy_skill_triggers!$1:$1,0)+1,FALSE)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3" s="48" t="str">
        <f ca="1">VLOOKUP($F323,OFFSET(enemy_skill_triggers!$A$1,0,0,COUNTA(enemy_skill_triggers!$A:$A),MATCH(M$1,enemy_skill_triggers!$1:$1,0)-MATCH($F$1,enemy_skill_triggers!$1:$1,0)+1),MATCH(M$1,enemy_skill_triggers!$1:$1,0)-MATCH($F$1,enemy_skill_triggers!$1:$1,0)+1,FALSE)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3" s="48" t="str">
        <f ca="1">VLOOKUP($F323,OFFSET(enemy_skill_triggers!$A$1,0,0,COUNTA(enemy_skill_triggers!$A:$A),MATCH(N$1,enemy_skill_triggers!$1:$1,0)-MATCH($F$1,enemy_skill_triggers!$1:$1,0)+1),MATCH(N$1,enemy_skill_triggers!$1:$1,0)-MATCH($F$1,enemy_skill_triggers!$1:$1,0)+1,FALSE)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3" s="48">
        <f ca="1">VLOOKUP($F323,OFFSET(enemy_skill_triggers!$A$1,0,0,COUNTA(enemy_skill_triggers!$A:$A),MATCH(O$1,enemy_skill_triggers!$1:$1,0)-MATCH($F$1,enemy_skill_triggers!$1:$1,0)+1),MATCH(O$1,enemy_skill_triggers!$1:$1,0)-MATCH($F$1,enemy_skill_triggers!$1:$1,0)+1,FALSE)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3" s="47"/>
      <c r="Q323" s="47"/>
      <c r="R323" s="47"/>
    </row>
    <row r="324" spans="1:18" ht="21" customHeight="1" x14ac:dyDescent="0.15">
      <c r="A324" s="39" t="str">
        <f t="shared" si="17"/>
        <v>39009016_39009037</v>
      </c>
      <c r="B324" s="129">
        <v>39009016</v>
      </c>
      <c r="C324" s="127">
        <v>39009037</v>
      </c>
      <c r="D324" s="46" t="str">
        <f ca="1">VLOOKUP($C324,OFFSET(enemy_skills!$A$1,0,0,COUNTA(enemy_skills!$A:$A),MATCH(D$1,enemy_skills!$1:$1,0)-MATCH("enemy_skill_id",enemy_skills!$1:$1,0)+1),MATCH(D$1,enemy_skills!$1:$1,0)-MATCH("enemy_skill_id",enemy_skills!$1:$1,0)+1,FALSE)</f>
        <v>星の輝きのように強く♪</v>
      </c>
      <c r="E324" s="46" t="str">
        <f ca="1">VLOOKUP($C324,OFFSET(enemy_skills!$A$1,0,0,COUNTA(enemy_skills!$A:$A),MATCH(E$1,enemy_skills!$1:$1,0)-MATCH("enemy_skill_id",enemy_skills!$1:$1,0)+1),MATCH(E$1,enemy_skills!$1:$1,0)-MATCH("enemy_skill_id",enemy_skills!$1:$1,0)+1,FALSE)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24" s="127">
        <v>39009009</v>
      </c>
      <c r="G324" s="48">
        <f ca="1">VLOOKUP($F324,OFFSET(enemy_skill_triggers!$A$1,0,0,COUNTA(enemy_skill_triggers!$A:$A),MATCH(G$1,enemy_skill_triggers!$1:$1,0)-MATCH($F$1,enemy_skill_triggers!$1:$1,0)+1),MATCH(G$1,enemy_skill_triggers!$1:$1,0)-MATCH($F$1,enemy_skill_triggers!$1:$1,0)+1,FALSE)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4" s="48" t="str">
        <f ca="1">VLOOKUP($F324,OFFSET(enemy_skill_triggers!$A$1,0,0,COUNTA(enemy_skill_triggers!$A:$A),MATCH(H$1,enemy_skill_triggers!$1:$1,0)-MATCH($F$1,enemy_skill_triggers!$1:$1,0)+1),MATCH(H$1,enemy_skill_triggers!$1:$1,0)-MATCH($F$1,enemy_skill_triggers!$1:$1,0)+1,FALSE)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4" s="48">
        <f ca="1">VLOOKUP($F324,OFFSET(enemy_skill_triggers!$A$1,0,0,COUNTA(enemy_skill_triggers!$A:$A),MATCH(I$1,enemy_skill_triggers!$1:$1,0)-MATCH($F$1,enemy_skill_triggers!$1:$1,0)+1),MATCH(I$1,enemy_skill_triggers!$1:$1,0)-MATCH($F$1,enemy_skill_triggers!$1:$1,0)+1,FALSE)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4" s="48" t="str">
        <f ca="1">VLOOKUP($F324,OFFSET(enemy_skill_triggers!$A$1,0,0,COUNTA(enemy_skill_triggers!$A:$A),MATCH(J$1,enemy_skill_triggers!$1:$1,0)-MATCH($F$1,enemy_skill_triggers!$1:$1,0)+1),MATCH(J$1,enemy_skill_triggers!$1:$1,0)-MATCH($F$1,enemy_skill_triggers!$1:$1,0)+1,FALSE)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4" s="48" t="str">
        <f ca="1">VLOOKUP($F324,OFFSET(enemy_skill_triggers!$A$1,0,0,COUNTA(enemy_skill_triggers!$A:$A),MATCH(K$1,enemy_skill_triggers!$1:$1,0)-MATCH($F$1,enemy_skill_triggers!$1:$1,0)+1),MATCH(K$1,enemy_skill_triggers!$1:$1,0)-MATCH($F$1,enemy_skill_triggers!$1:$1,0)+1,FALSE)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4" s="48">
        <f ca="1">VLOOKUP($F324,OFFSET(enemy_skill_triggers!$A$1,0,0,COUNTA(enemy_skill_triggers!$A:$A),MATCH(L$1,enemy_skill_triggers!$1:$1,0)-MATCH($F$1,enemy_skill_triggers!$1:$1,0)+1),MATCH(L$1,enemy_skill_triggers!$1:$1,0)-MATCH($F$1,enemy_skill_triggers!$1:$1,0)+1,FALSE)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4" s="48" t="str">
        <f ca="1">VLOOKUP($F324,OFFSET(enemy_skill_triggers!$A$1,0,0,COUNTA(enemy_skill_triggers!$A:$A),MATCH(M$1,enemy_skill_triggers!$1:$1,0)-MATCH($F$1,enemy_skill_triggers!$1:$1,0)+1),MATCH(M$1,enemy_skill_triggers!$1:$1,0)-MATCH($F$1,enemy_skill_triggers!$1:$1,0)+1,FALSE)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4" s="48" t="str">
        <f ca="1">VLOOKUP($F324,OFFSET(enemy_skill_triggers!$A$1,0,0,COUNTA(enemy_skill_triggers!$A:$A),MATCH(N$1,enemy_skill_triggers!$1:$1,0)-MATCH($F$1,enemy_skill_triggers!$1:$1,0)+1),MATCH(N$1,enemy_skill_triggers!$1:$1,0)-MATCH($F$1,enemy_skill_triggers!$1:$1,0)+1,FALSE)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4" s="48">
        <f ca="1">VLOOKUP($F324,OFFSET(enemy_skill_triggers!$A$1,0,0,COUNTA(enemy_skill_triggers!$A:$A),MATCH(O$1,enemy_skill_triggers!$1:$1,0)-MATCH($F$1,enemy_skill_triggers!$1:$1,0)+1),MATCH(O$1,enemy_skill_triggers!$1:$1,0)-MATCH($F$1,enemy_skill_triggers!$1:$1,0)+1,FALSE)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4" s="47"/>
      <c r="Q324" s="47"/>
      <c r="R324" s="47"/>
    </row>
    <row r="325" spans="1:18" ht="21" customHeight="1" x14ac:dyDescent="0.15">
      <c r="A325" s="39" t="str">
        <f t="shared" si="17"/>
        <v>39009016_39009038</v>
      </c>
      <c r="B325" s="129">
        <v>39009016</v>
      </c>
      <c r="C325" s="127">
        <v>39009038</v>
      </c>
      <c r="D325" s="46" t="str">
        <f ca="1">VLOOKUP($C325,OFFSET(enemy_skills!$A$1,0,0,COUNTA(enemy_skills!$A:$A),MATCH(D$1,enemy_skills!$1:$1,0)-MATCH("enemy_skill_id",enemy_skills!$1:$1,0)+1),MATCH(D$1,enemy_skills!$1:$1,0)-MATCH("enemy_skill_id",enemy_skills!$1:$1,0)+1,FALSE)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325" s="46" t="str">
        <f ca="1">VLOOKUP($C325,OFFSET(enemy_skills!$A$1,0,0,COUNTA(enemy_skills!$A:$A),MATCH(E$1,enemy_skills!$1:$1,0)-MATCH("enemy_skill_id",enemy_skills!$1:$1,0)+1),MATCH(E$1,enemy_skills!$1:$1,0)-MATCH("enemy_skill_id",enemy_skills!$1:$1,0)+1,FALSE)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25" s="127">
        <v>39009010</v>
      </c>
      <c r="G325" s="48">
        <f ca="1">VLOOKUP($F325,OFFSET(enemy_skill_triggers!$A$1,0,0,COUNTA(enemy_skill_triggers!$A:$A),MATCH(G$1,enemy_skill_triggers!$1:$1,0)-MATCH($F$1,enemy_skill_triggers!$1:$1,0)+1),MATCH(G$1,enemy_skill_triggers!$1:$1,0)-MATCH($F$1,enemy_skill_triggers!$1:$1,0)+1,FALSE)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5" s="48">
        <f ca="1">VLOOKUP($F325,OFFSET(enemy_skill_triggers!$A$1,0,0,COUNTA(enemy_skill_triggers!$A:$A),MATCH(H$1,enemy_skill_triggers!$1:$1,0)-MATCH($F$1,enemy_skill_triggers!$1:$1,0)+1),MATCH(H$1,enemy_skill_triggers!$1:$1,0)-MATCH($F$1,enemy_skill_triggers!$1:$1,0)+1,FALSE)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5" s="48">
        <f ca="1">VLOOKUP($F325,OFFSET(enemy_skill_triggers!$A$1,0,0,COUNTA(enemy_skill_triggers!$A:$A),MATCH(I$1,enemy_skill_triggers!$1:$1,0)-MATCH($F$1,enemy_skill_triggers!$1:$1,0)+1),MATCH(I$1,enemy_skill_triggers!$1:$1,0)-MATCH($F$1,enemy_skill_triggers!$1:$1,0)+1,FALSE)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5" s="48" t="str">
        <f ca="1">VLOOKUP($F325,OFFSET(enemy_skill_triggers!$A$1,0,0,COUNTA(enemy_skill_triggers!$A:$A),MATCH(J$1,enemy_skill_triggers!$1:$1,0)-MATCH($F$1,enemy_skill_triggers!$1:$1,0)+1),MATCH(J$1,enemy_skill_triggers!$1:$1,0)-MATCH($F$1,enemy_skill_triggers!$1:$1,0)+1,FALSE)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5" s="48" t="str">
        <f ca="1">VLOOKUP($F325,OFFSET(enemy_skill_triggers!$A$1,0,0,COUNTA(enemy_skill_triggers!$A:$A),MATCH(K$1,enemy_skill_triggers!$1:$1,0)-MATCH($F$1,enemy_skill_triggers!$1:$1,0)+1),MATCH(K$1,enemy_skill_triggers!$1:$1,0)-MATCH($F$1,enemy_skill_triggers!$1:$1,0)+1,FALSE)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5" s="48" t="str">
        <f ca="1">VLOOKUP($F325,OFFSET(enemy_skill_triggers!$A$1,0,0,COUNTA(enemy_skill_triggers!$A:$A),MATCH(L$1,enemy_skill_triggers!$1:$1,0)-MATCH($F$1,enemy_skill_triggers!$1:$1,0)+1),MATCH(L$1,enemy_skill_triggers!$1:$1,0)-MATCH($F$1,enemy_skill_triggers!$1:$1,0)+1,FALSE)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5" s="48" t="str">
        <f ca="1">VLOOKUP($F325,OFFSET(enemy_skill_triggers!$A$1,0,0,COUNTA(enemy_skill_triggers!$A:$A),MATCH(M$1,enemy_skill_triggers!$1:$1,0)-MATCH($F$1,enemy_skill_triggers!$1:$1,0)+1),MATCH(M$1,enemy_skill_triggers!$1:$1,0)-MATCH($F$1,enemy_skill_triggers!$1:$1,0)+1,FALSE)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5" s="48" t="str">
        <f ca="1">VLOOKUP($F325,OFFSET(enemy_skill_triggers!$A$1,0,0,COUNTA(enemy_skill_triggers!$A:$A),MATCH(N$1,enemy_skill_triggers!$1:$1,0)-MATCH($F$1,enemy_skill_triggers!$1:$1,0)+1),MATCH(N$1,enemy_skill_triggers!$1:$1,0)-MATCH($F$1,enemy_skill_triggers!$1:$1,0)+1,FALSE)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5" s="48">
        <f ca="1">VLOOKUP($F325,OFFSET(enemy_skill_triggers!$A$1,0,0,COUNTA(enemy_skill_triggers!$A:$A),MATCH(O$1,enemy_skill_triggers!$1:$1,0)-MATCH($F$1,enemy_skill_triggers!$1:$1,0)+1),MATCH(O$1,enemy_skill_triggers!$1:$1,0)-MATCH($F$1,enemy_skill_triggers!$1:$1,0)+1,FALSE)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5" s="47"/>
      <c r="Q325" s="47"/>
      <c r="R325" s="47"/>
    </row>
    <row r="326" spans="1:18" ht="21" customHeight="1" x14ac:dyDescent="0.15">
      <c r="A326" s="39" t="str">
        <f t="shared" si="17"/>
        <v>39009016_39009039</v>
      </c>
      <c r="B326" s="129">
        <v>39009016</v>
      </c>
      <c r="C326" s="127">
        <v>39009039</v>
      </c>
      <c r="D326" s="46" t="str">
        <f ca="1">VLOOKUP($C326,OFFSET(enemy_skills!$A$1,0,0,COUNTA(enemy_skills!$A:$A),MATCH(D$1,enemy_skills!$1:$1,0)-MATCH("enemy_skill_id",enemy_skills!$1:$1,0)+1),MATCH(D$1,enemy_skills!$1:$1,0)-MATCH("enemy_skill_id",enemy_skills!$1:$1,0)+1,FALSE)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326" s="46" t="str">
        <f ca="1">VLOOKUP($C326,OFFSET(enemy_skills!$A$1,0,0,COUNTA(enemy_skills!$A:$A),MATCH(E$1,enemy_skills!$1:$1,0)-MATCH("enemy_skill_id",enemy_skills!$1:$1,0)+1),MATCH(E$1,enemy_skills!$1:$1,0)-MATCH("enemy_skill_id",enemy_skills!$1:$1,0)+1,FALSE)</f>
        <v>自己回復+2回連続攻撃</v>
      </c>
      <c r="F326" s="127">
        <v>39009011</v>
      </c>
      <c r="G326" s="48">
        <f ca="1">VLOOKUP($F326,OFFSET(enemy_skill_triggers!$A$1,0,0,COUNTA(enemy_skill_triggers!$A:$A),MATCH(G$1,enemy_skill_triggers!$1:$1,0)-MATCH($F$1,enemy_skill_triggers!$1:$1,0)+1),MATCH(G$1,enemy_skill_triggers!$1:$1,0)-MATCH($F$1,enemy_skill_triggers!$1:$1,0)+1,FALSE)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6" s="48">
        <f ca="1">VLOOKUP($F326,OFFSET(enemy_skill_triggers!$A$1,0,0,COUNTA(enemy_skill_triggers!$A:$A),MATCH(H$1,enemy_skill_triggers!$1:$1,0)-MATCH($F$1,enemy_skill_triggers!$1:$1,0)+1),MATCH(H$1,enemy_skill_triggers!$1:$1,0)-MATCH($F$1,enemy_skill_triggers!$1:$1,0)+1,FALSE)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26" s="48">
        <f ca="1">VLOOKUP($F326,OFFSET(enemy_skill_triggers!$A$1,0,0,COUNTA(enemy_skill_triggers!$A:$A),MATCH(I$1,enemy_skill_triggers!$1:$1,0)-MATCH($F$1,enemy_skill_triggers!$1:$1,0)+1),MATCH(I$1,enemy_skill_triggers!$1:$1,0)-MATCH($F$1,enemy_skill_triggers!$1:$1,0)+1,FALSE)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6" s="48" t="str">
        <f ca="1">VLOOKUP($F326,OFFSET(enemy_skill_triggers!$A$1,0,0,COUNTA(enemy_skill_triggers!$A:$A),MATCH(J$1,enemy_skill_triggers!$1:$1,0)-MATCH($F$1,enemy_skill_triggers!$1:$1,0)+1),MATCH(J$1,enemy_skill_triggers!$1:$1,0)-MATCH($F$1,enemy_skill_triggers!$1:$1,0)+1,FALSE)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6" s="48" t="str">
        <f ca="1">VLOOKUP($F326,OFFSET(enemy_skill_triggers!$A$1,0,0,COUNTA(enemy_skill_triggers!$A:$A),MATCH(K$1,enemy_skill_triggers!$1:$1,0)-MATCH($F$1,enemy_skill_triggers!$1:$1,0)+1),MATCH(K$1,enemy_skill_triggers!$1:$1,0)-MATCH($F$1,enemy_skill_triggers!$1:$1,0)+1,FALSE)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6" s="48">
        <f ca="1">VLOOKUP($F326,OFFSET(enemy_skill_triggers!$A$1,0,0,COUNTA(enemy_skill_triggers!$A:$A),MATCH(L$1,enemy_skill_triggers!$1:$1,0)-MATCH($F$1,enemy_skill_triggers!$1:$1,0)+1),MATCH(L$1,enemy_skill_triggers!$1:$1,0)-MATCH($F$1,enemy_skill_triggers!$1:$1,0)+1,FALSE)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26" s="48" t="str">
        <f ca="1">VLOOKUP($F326,OFFSET(enemy_skill_triggers!$A$1,0,0,COUNTA(enemy_skill_triggers!$A:$A),MATCH(M$1,enemy_skill_triggers!$1:$1,0)-MATCH($F$1,enemy_skill_triggers!$1:$1,0)+1),MATCH(M$1,enemy_skill_triggers!$1:$1,0)-MATCH($F$1,enemy_skill_triggers!$1:$1,0)+1,FALSE)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6" s="48" t="str">
        <f ca="1">VLOOKUP($F326,OFFSET(enemy_skill_triggers!$A$1,0,0,COUNTA(enemy_skill_triggers!$A:$A),MATCH(N$1,enemy_skill_triggers!$1:$1,0)-MATCH($F$1,enemy_skill_triggers!$1:$1,0)+1),MATCH(N$1,enemy_skill_triggers!$1:$1,0)-MATCH($F$1,enemy_skill_triggers!$1:$1,0)+1,FALSE)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6" s="48">
        <f ca="1">VLOOKUP($F326,OFFSET(enemy_skill_triggers!$A$1,0,0,COUNTA(enemy_skill_triggers!$A:$A),MATCH(O$1,enemy_skill_triggers!$1:$1,0)-MATCH($F$1,enemy_skill_triggers!$1:$1,0)+1),MATCH(O$1,enemy_skill_triggers!$1:$1,0)-MATCH($F$1,enemy_skill_triggers!$1:$1,0)+1,FALSE)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6" s="47"/>
      <c r="Q326" s="47"/>
      <c r="R326" s="47"/>
    </row>
    <row r="327" spans="1:18" ht="21" customHeight="1" x14ac:dyDescent="0.15">
      <c r="A327" s="39" t="str">
        <f t="shared" ref="A327:A419" si="18">B327&amp;"_"&amp;C327</f>
        <v>39009016_39009040</v>
      </c>
      <c r="B327" s="129">
        <v>39009016</v>
      </c>
      <c r="C327" s="127">
        <v>39009040</v>
      </c>
      <c r="D327" s="46" t="str">
        <f ca="1">VLOOKUP($C327,OFFSET(enemy_skills!$A$1,0,0,COUNTA(enemy_skills!$A:$A),MATCH(D$1,enemy_skills!$1:$1,0)-MATCH("enemy_skill_id",enemy_skills!$1:$1,0)+1),MATCH(D$1,enemy_skills!$1:$1,0)-MATCH("enemy_skill_id",enemy_skills!$1:$1,0)+1,FALSE)</f>
        <v>シャイニーメテオ</v>
      </c>
      <c r="E327" s="46" t="str">
        <f ca="1">VLOOKUP($C327,OFFSET(enemy_skills!$A$1,0,0,COUNTA(enemy_skills!$A:$A),MATCH(E$1,enemy_skills!$1:$1,0)-MATCH("enemy_skill_id",enemy_skills!$1:$1,0)+1),MATCH(E$1,enemy_skills!$1:$1,0)-MATCH("enemy_skill_id",enemy_skills!$1:$1,0)+1,FALSE)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327" s="127">
        <v>39009012</v>
      </c>
      <c r="G327" s="48">
        <f ca="1">VLOOKUP($F327,OFFSET(enemy_skill_triggers!$A$1,0,0,COUNTA(enemy_skill_triggers!$A:$A),MATCH(G$1,enemy_skill_triggers!$1:$1,0)-MATCH($F$1,enemy_skill_triggers!$1:$1,0)+1),MATCH(G$1,enemy_skill_triggers!$1:$1,0)-MATCH($F$1,enemy_skill_triggers!$1:$1,0)+1,FALSE)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7" s="48">
        <f ca="1">VLOOKUP($F327,OFFSET(enemy_skill_triggers!$A$1,0,0,COUNTA(enemy_skill_triggers!$A:$A),MATCH(H$1,enemy_skill_triggers!$1:$1,0)-MATCH($F$1,enemy_skill_triggers!$1:$1,0)+1),MATCH(H$1,enemy_skill_triggers!$1:$1,0)-MATCH($F$1,enemy_skill_triggers!$1:$1,0)+1,FALSE)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27" s="48">
        <f ca="1">VLOOKUP($F327,OFFSET(enemy_skill_triggers!$A$1,0,0,COUNTA(enemy_skill_triggers!$A:$A),MATCH(I$1,enemy_skill_triggers!$1:$1,0)-MATCH($F$1,enemy_skill_triggers!$1:$1,0)+1),MATCH(I$1,enemy_skill_triggers!$1:$1,0)-MATCH($F$1,enemy_skill_triggers!$1:$1,0)+1,FALSE)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27" s="48" t="str">
        <f ca="1">VLOOKUP($F327,OFFSET(enemy_skill_triggers!$A$1,0,0,COUNTA(enemy_skill_triggers!$A:$A),MATCH(J$1,enemy_skill_triggers!$1:$1,0)-MATCH($F$1,enemy_skill_triggers!$1:$1,0)+1),MATCH(J$1,enemy_skill_triggers!$1:$1,0)-MATCH($F$1,enemy_skill_triggers!$1:$1,0)+1,FALSE)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7" s="48" t="str">
        <f ca="1">VLOOKUP($F327,OFFSET(enemy_skill_triggers!$A$1,0,0,COUNTA(enemy_skill_triggers!$A:$A),MATCH(K$1,enemy_skill_triggers!$1:$1,0)-MATCH($F$1,enemy_skill_triggers!$1:$1,0)+1),MATCH(K$1,enemy_skill_triggers!$1:$1,0)-MATCH($F$1,enemy_skill_triggers!$1:$1,0)+1,FALSE)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7" s="48">
        <f ca="1">VLOOKUP($F327,OFFSET(enemy_skill_triggers!$A$1,0,0,COUNTA(enemy_skill_triggers!$A:$A),MATCH(L$1,enemy_skill_triggers!$1:$1,0)-MATCH($F$1,enemy_skill_triggers!$1:$1,0)+1),MATCH(L$1,enemy_skill_triggers!$1:$1,0)-MATCH($F$1,enemy_skill_triggers!$1:$1,0)+1,FALSE)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7" s="48" t="str">
        <f ca="1">VLOOKUP($F327,OFFSET(enemy_skill_triggers!$A$1,0,0,COUNTA(enemy_skill_triggers!$A:$A),MATCH(M$1,enemy_skill_triggers!$1:$1,0)-MATCH($F$1,enemy_skill_triggers!$1:$1,0)+1),MATCH(M$1,enemy_skill_triggers!$1:$1,0)-MATCH($F$1,enemy_skill_triggers!$1:$1,0)+1,FALSE)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7" s="48" t="str">
        <f ca="1">VLOOKUP($F327,OFFSET(enemy_skill_triggers!$A$1,0,0,COUNTA(enemy_skill_triggers!$A:$A),MATCH(N$1,enemy_skill_triggers!$1:$1,0)-MATCH($F$1,enemy_skill_triggers!$1:$1,0)+1),MATCH(N$1,enemy_skill_triggers!$1:$1,0)-MATCH($F$1,enemy_skill_triggers!$1:$1,0)+1,FALSE)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7" s="48">
        <f ca="1">VLOOKUP($F327,OFFSET(enemy_skill_triggers!$A$1,0,0,COUNTA(enemy_skill_triggers!$A:$A),MATCH(O$1,enemy_skill_triggers!$1:$1,0)-MATCH($F$1,enemy_skill_triggers!$1:$1,0)+1),MATCH(O$1,enemy_skill_triggers!$1:$1,0)-MATCH($F$1,enemy_skill_triggers!$1:$1,0)+1,FALSE)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27" s="47"/>
      <c r="Q327" s="47"/>
      <c r="R327" s="47"/>
    </row>
    <row r="328" spans="1:18" ht="21" customHeight="1" x14ac:dyDescent="0.15">
      <c r="A328" s="39" t="str">
        <f t="shared" si="18"/>
        <v>39009016_39009041</v>
      </c>
      <c r="B328" s="129">
        <v>39009016</v>
      </c>
      <c r="C328" s="127">
        <v>39009041</v>
      </c>
      <c r="D328" s="46" t="str">
        <f ca="1">VLOOKUP($C328,OFFSET(enemy_skills!$A$1,0,0,COUNTA(enemy_skills!$A:$A),MATCH(D$1,enemy_skills!$1:$1,0)-MATCH("enemy_skill_id",enemy_skills!$1:$1,0)+1),MATCH(D$1,enemy_skills!$1:$1,0)-MATCH("enemy_skill_id",enemy_skills!$1:$1,0)+1,FALSE)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328" s="46" t="str">
        <f ca="1">VLOOKUP($C328,OFFSET(enemy_skills!$A$1,0,0,COUNTA(enemy_skills!$A:$A),MATCH(E$1,enemy_skills!$1:$1,0)-MATCH("enemy_skill_id",enemy_skills!$1:$1,0)+1),MATCH(E$1,enemy_skills!$1:$1,0)-MATCH("enemy_skill_id",enemy_skills!$1:$1,0)+1,FALSE)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28" s="127">
        <v>39009013</v>
      </c>
      <c r="G328" s="48">
        <f ca="1">VLOOKUP($F328,OFFSET(enemy_skill_triggers!$A$1,0,0,COUNTA(enemy_skill_triggers!$A:$A),MATCH(G$1,enemy_skill_triggers!$1:$1,0)-MATCH($F$1,enemy_skill_triggers!$1:$1,0)+1),MATCH(G$1,enemy_skill_triggers!$1:$1,0)-MATCH($F$1,enemy_skill_triggers!$1:$1,0)+1,FALSE)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8" s="48">
        <f ca="1">VLOOKUP($F328,OFFSET(enemy_skill_triggers!$A$1,0,0,COUNTA(enemy_skill_triggers!$A:$A),MATCH(H$1,enemy_skill_triggers!$1:$1,0)-MATCH($F$1,enemy_skill_triggers!$1:$1,0)+1),MATCH(H$1,enemy_skill_triggers!$1:$1,0)-MATCH($F$1,enemy_skill_triggers!$1:$1,0)+1,FALSE)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8" s="48">
        <f ca="1">VLOOKUP($F328,OFFSET(enemy_skill_triggers!$A$1,0,0,COUNTA(enemy_skill_triggers!$A:$A),MATCH(I$1,enemy_skill_triggers!$1:$1,0)-MATCH($F$1,enemy_skill_triggers!$1:$1,0)+1),MATCH(I$1,enemy_skill_triggers!$1:$1,0)-MATCH($F$1,enemy_skill_triggers!$1:$1,0)+1,FALSE)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8" s="48">
        <f ca="1">VLOOKUP($F328,OFFSET(enemy_skill_triggers!$A$1,0,0,COUNTA(enemy_skill_triggers!$A:$A),MATCH(J$1,enemy_skill_triggers!$1:$1,0)-MATCH($F$1,enemy_skill_triggers!$1:$1,0)+1),MATCH(J$1,enemy_skill_triggers!$1:$1,0)-MATCH($F$1,enemy_skill_triggers!$1:$1,0)+1,FALSE)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8" s="48" t="str">
        <f ca="1">VLOOKUP($F328,OFFSET(enemy_skill_triggers!$A$1,0,0,COUNTA(enemy_skill_triggers!$A:$A),MATCH(K$1,enemy_skill_triggers!$1:$1,0)-MATCH($F$1,enemy_skill_triggers!$1:$1,0)+1),MATCH(K$1,enemy_skill_triggers!$1:$1,0)-MATCH($F$1,enemy_skill_triggers!$1:$1,0)+1,FALSE)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8" s="48">
        <f ca="1">VLOOKUP($F328,OFFSET(enemy_skill_triggers!$A$1,0,0,COUNTA(enemy_skill_triggers!$A:$A),MATCH(L$1,enemy_skill_triggers!$1:$1,0)-MATCH($F$1,enemy_skill_triggers!$1:$1,0)+1),MATCH(L$1,enemy_skill_triggers!$1:$1,0)-MATCH($F$1,enemy_skill_triggers!$1:$1,0)+1,FALSE)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8" s="48" t="str">
        <f ca="1">VLOOKUP($F328,OFFSET(enemy_skill_triggers!$A$1,0,0,COUNTA(enemy_skill_triggers!$A:$A),MATCH(M$1,enemy_skill_triggers!$1:$1,0)-MATCH($F$1,enemy_skill_triggers!$1:$1,0)+1),MATCH(M$1,enemy_skill_triggers!$1:$1,0)-MATCH($F$1,enemy_skill_triggers!$1:$1,0)+1,FALSE)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8" s="48" t="str">
        <f ca="1">VLOOKUP($F328,OFFSET(enemy_skill_triggers!$A$1,0,0,COUNTA(enemy_skill_triggers!$A:$A),MATCH(N$1,enemy_skill_triggers!$1:$1,0)-MATCH($F$1,enemy_skill_triggers!$1:$1,0)+1),MATCH(N$1,enemy_skill_triggers!$1:$1,0)-MATCH($F$1,enemy_skill_triggers!$1:$1,0)+1,FALSE)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8" s="48">
        <f ca="1">VLOOKUP($F328,OFFSET(enemy_skill_triggers!$A$1,0,0,COUNTA(enemy_skill_triggers!$A:$A),MATCH(O$1,enemy_skill_triggers!$1:$1,0)-MATCH($F$1,enemy_skill_triggers!$1:$1,0)+1),MATCH(O$1,enemy_skill_triggers!$1:$1,0)-MATCH($F$1,enemy_skill_triggers!$1:$1,0)+1,FALSE)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8" s="47"/>
      <c r="Q328" s="47"/>
      <c r="R328" s="47"/>
    </row>
    <row r="329" spans="1:18" ht="21" customHeight="1" x14ac:dyDescent="0.15">
      <c r="A329" s="39" t="str">
        <f t="shared" si="18"/>
        <v>39009016_39009017</v>
      </c>
      <c r="B329" s="129">
        <v>39009016</v>
      </c>
      <c r="C329" s="143">
        <v>39009017</v>
      </c>
      <c r="D329" s="46" t="str">
        <f ca="1">VLOOKUP($C329,OFFSET(enemy_skills!$A$1,0,0,COUNTA(enemy_skills!$A:$A),MATCH(D$1,enemy_skills!$1:$1,0)-MATCH("enemy_skill_id",enemy_skills!$1:$1,0)+1),MATCH(D$1,enemy_skills!$1:$1,0)-MATCH("enemy_skill_id",enemy_skills!$1:$1,0)+1,FALSE)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329" s="46" t="str">
        <f ca="1">VLOOKUP($C329,OFFSET(enemy_skills!$A$1,0,0,COUNTA(enemy_skills!$A:$A),MATCH(E$1,enemy_skills!$1:$1,0)-MATCH("enemy_skill_id",enemy_skills!$1:$1,0)+1),MATCH(E$1,enemy_skills!$1:$1,0)-MATCH("enemy_skill_id",enemy_skills!$1:$1,0)+1,FALSE)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329" s="127">
        <v>39009014</v>
      </c>
      <c r="G329" s="48">
        <f ca="1">VLOOKUP($F329,OFFSET(enemy_skill_triggers!$A$1,0,0,COUNTA(enemy_skill_triggers!$A:$A),MATCH(G$1,enemy_skill_triggers!$1:$1,0)-MATCH($F$1,enemy_skill_triggers!$1:$1,0)+1),MATCH(G$1,enemy_skill_triggers!$1:$1,0)-MATCH($F$1,enemy_skill_triggers!$1:$1,0)+1,FALSE)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9" s="48">
        <f ca="1">VLOOKUP($F329,OFFSET(enemy_skill_triggers!$A$1,0,0,COUNTA(enemy_skill_triggers!$A:$A),MATCH(H$1,enemy_skill_triggers!$1:$1,0)-MATCH($F$1,enemy_skill_triggers!$1:$1,0)+1),MATCH(H$1,enemy_skill_triggers!$1:$1,0)-MATCH($F$1,enemy_skill_triggers!$1:$1,0)+1,FALSE)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29" s="48">
        <f ca="1">VLOOKUP($F329,OFFSET(enemy_skill_triggers!$A$1,0,0,COUNTA(enemy_skill_triggers!$A:$A),MATCH(I$1,enemy_skill_triggers!$1:$1,0)-MATCH($F$1,enemy_skill_triggers!$1:$1,0)+1),MATCH(I$1,enemy_skill_triggers!$1:$1,0)-MATCH($F$1,enemy_skill_triggers!$1:$1,0)+1,FALSE)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9" s="48">
        <f ca="1">VLOOKUP($F329,OFFSET(enemy_skill_triggers!$A$1,0,0,COUNTA(enemy_skill_triggers!$A:$A),MATCH(J$1,enemy_skill_triggers!$1:$1,0)-MATCH($F$1,enemy_skill_triggers!$1:$1,0)+1),MATCH(J$1,enemy_skill_triggers!$1:$1,0)-MATCH($F$1,enemy_skill_triggers!$1:$1,0)+1,FALSE)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9" s="48" t="str">
        <f ca="1">VLOOKUP($F329,OFFSET(enemy_skill_triggers!$A$1,0,0,COUNTA(enemy_skill_triggers!$A:$A),MATCH(K$1,enemy_skill_triggers!$1:$1,0)-MATCH($F$1,enemy_skill_triggers!$1:$1,0)+1),MATCH(K$1,enemy_skill_triggers!$1:$1,0)-MATCH($F$1,enemy_skill_triggers!$1:$1,0)+1,FALSE)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9" s="48">
        <f ca="1">VLOOKUP($F329,OFFSET(enemy_skill_triggers!$A$1,0,0,COUNTA(enemy_skill_triggers!$A:$A),MATCH(L$1,enemy_skill_triggers!$1:$1,0)-MATCH($F$1,enemy_skill_triggers!$1:$1,0)+1),MATCH(L$1,enemy_skill_triggers!$1:$1,0)-MATCH($F$1,enemy_skill_triggers!$1:$1,0)+1,FALSE)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9" s="48" t="str">
        <f ca="1">VLOOKUP($F329,OFFSET(enemy_skill_triggers!$A$1,0,0,COUNTA(enemy_skill_triggers!$A:$A),MATCH(M$1,enemy_skill_triggers!$1:$1,0)-MATCH($F$1,enemy_skill_triggers!$1:$1,0)+1),MATCH(M$1,enemy_skill_triggers!$1:$1,0)-MATCH($F$1,enemy_skill_triggers!$1:$1,0)+1,FALSE)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9" s="48" t="str">
        <f ca="1">VLOOKUP($F329,OFFSET(enemy_skill_triggers!$A$1,0,0,COUNTA(enemy_skill_triggers!$A:$A),MATCH(N$1,enemy_skill_triggers!$1:$1,0)-MATCH($F$1,enemy_skill_triggers!$1:$1,0)+1),MATCH(N$1,enemy_skill_triggers!$1:$1,0)-MATCH($F$1,enemy_skill_triggers!$1:$1,0)+1,FALSE)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9" s="48">
        <f ca="1">VLOOKUP($F329,OFFSET(enemy_skill_triggers!$A$1,0,0,COUNTA(enemy_skill_triggers!$A:$A),MATCH(O$1,enemy_skill_triggers!$1:$1,0)-MATCH($F$1,enemy_skill_triggers!$1:$1,0)+1),MATCH(O$1,enemy_skill_triggers!$1:$1,0)-MATCH($F$1,enemy_skill_triggers!$1:$1,0)+1,FALSE)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9" s="47"/>
      <c r="Q329" s="47"/>
      <c r="R329" s="47"/>
    </row>
    <row r="330" spans="1:18" ht="21" customHeight="1" x14ac:dyDescent="0.15">
      <c r="A330" s="39" t="str">
        <f t="shared" si="18"/>
        <v>39009016_39009043</v>
      </c>
      <c r="B330" s="129">
        <v>39009016</v>
      </c>
      <c r="C330" s="127">
        <v>39009043</v>
      </c>
      <c r="D330" s="46" t="str">
        <f ca="1">VLOOKUP($C330,OFFSET(enemy_skills!$A$1,0,0,COUNTA(enemy_skills!$A:$A),MATCH(D$1,enemy_skills!$1:$1,0)-MATCH("enemy_skill_id",enemy_skills!$1:$1,0)+1),MATCH(D$1,enemy_skills!$1:$1,0)-MATCH("enemy_skill_id",enemy_skills!$1:$1,0)+1,FALSE)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330" s="46" t="str">
        <f ca="1">VLOOKUP($C330,OFFSET(enemy_skills!$A$1,0,0,COUNTA(enemy_skills!$A:$A),MATCH(E$1,enemy_skills!$1:$1,0)-MATCH("enemy_skill_id",enemy_skills!$1:$1,0)+1),MATCH(E$1,enemy_skills!$1:$1,0)-MATCH("enemy_skill_id",enemy_skills!$1:$1,0)+1,FALSE)</f>
        <v>自己回復</v>
      </c>
      <c r="F330" s="127">
        <v>39009015</v>
      </c>
      <c r="G330" s="48">
        <f ca="1">VLOOKUP($F330,OFFSET(enemy_skill_triggers!$A$1,0,0,COUNTA(enemy_skill_triggers!$A:$A),MATCH(G$1,enemy_skill_triggers!$1:$1,0)-MATCH($F$1,enemy_skill_triggers!$1:$1,0)+1),MATCH(G$1,enemy_skill_triggers!$1:$1,0)-MATCH($F$1,enemy_skill_triggers!$1:$1,0)+1,FALSE)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0" s="48">
        <f ca="1">VLOOKUP($F330,OFFSET(enemy_skill_triggers!$A$1,0,0,COUNTA(enemy_skill_triggers!$A:$A),MATCH(H$1,enemy_skill_triggers!$1:$1,0)-MATCH($F$1,enemy_skill_triggers!$1:$1,0)+1),MATCH(H$1,enemy_skill_triggers!$1:$1,0)-MATCH($F$1,enemy_skill_triggers!$1:$1,0)+1,FALSE)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30" s="48">
        <f ca="1">VLOOKUP($F330,OFFSET(enemy_skill_triggers!$A$1,0,0,COUNTA(enemy_skill_triggers!$A:$A),MATCH(I$1,enemy_skill_triggers!$1:$1,0)-MATCH($F$1,enemy_skill_triggers!$1:$1,0)+1),MATCH(I$1,enemy_skill_triggers!$1:$1,0)-MATCH($F$1,enemy_skill_triggers!$1:$1,0)+1,FALSE)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0" s="48">
        <f ca="1">VLOOKUP($F330,OFFSET(enemy_skill_triggers!$A$1,0,0,COUNTA(enemy_skill_triggers!$A:$A),MATCH(J$1,enemy_skill_triggers!$1:$1,0)-MATCH($F$1,enemy_skill_triggers!$1:$1,0)+1),MATCH(J$1,enemy_skill_triggers!$1:$1,0)-MATCH($F$1,enemy_skill_triggers!$1:$1,0)+1,FALSE)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0" s="48" t="str">
        <f ca="1">VLOOKUP($F330,OFFSET(enemy_skill_triggers!$A$1,0,0,COUNTA(enemy_skill_triggers!$A:$A),MATCH(K$1,enemy_skill_triggers!$1:$1,0)-MATCH($F$1,enemy_skill_triggers!$1:$1,0)+1),MATCH(K$1,enemy_skill_triggers!$1:$1,0)-MATCH($F$1,enemy_skill_triggers!$1:$1,0)+1,FALSE)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0" s="48">
        <f ca="1">VLOOKUP($F330,OFFSET(enemy_skill_triggers!$A$1,0,0,COUNTA(enemy_skill_triggers!$A:$A),MATCH(L$1,enemy_skill_triggers!$1:$1,0)-MATCH($F$1,enemy_skill_triggers!$1:$1,0)+1),MATCH(L$1,enemy_skill_triggers!$1:$1,0)-MATCH($F$1,enemy_skill_triggers!$1:$1,0)+1,FALSE)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0" s="48" t="str">
        <f ca="1">VLOOKUP($F330,OFFSET(enemy_skill_triggers!$A$1,0,0,COUNTA(enemy_skill_triggers!$A:$A),MATCH(M$1,enemy_skill_triggers!$1:$1,0)-MATCH($F$1,enemy_skill_triggers!$1:$1,0)+1),MATCH(M$1,enemy_skill_triggers!$1:$1,0)-MATCH($F$1,enemy_skill_triggers!$1:$1,0)+1,FALSE)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0" s="48" t="str">
        <f ca="1">VLOOKUP($F330,OFFSET(enemy_skill_triggers!$A$1,0,0,COUNTA(enemy_skill_triggers!$A:$A),MATCH(N$1,enemy_skill_triggers!$1:$1,0)-MATCH($F$1,enemy_skill_triggers!$1:$1,0)+1),MATCH(N$1,enemy_skill_triggers!$1:$1,0)-MATCH($F$1,enemy_skill_triggers!$1:$1,0)+1,FALSE)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0" s="48">
        <f ca="1">VLOOKUP($F330,OFFSET(enemy_skill_triggers!$A$1,0,0,COUNTA(enemy_skill_triggers!$A:$A),MATCH(O$1,enemy_skill_triggers!$1:$1,0)-MATCH($F$1,enemy_skill_triggers!$1:$1,0)+1),MATCH(O$1,enemy_skill_triggers!$1:$1,0)-MATCH($F$1,enemy_skill_triggers!$1:$1,0)+1,FALSE)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0" s="47"/>
      <c r="Q330" s="47"/>
      <c r="R330" s="47"/>
    </row>
    <row r="331" spans="1:18" ht="21" customHeight="1" x14ac:dyDescent="0.15">
      <c r="A331" s="39" t="str">
        <f t="shared" si="18"/>
        <v>39009016_39009044</v>
      </c>
      <c r="B331" s="129">
        <v>39009016</v>
      </c>
      <c r="C331" s="127">
        <v>39009044</v>
      </c>
      <c r="D331" s="46" t="str">
        <f ca="1">VLOOKUP($C331,OFFSET(enemy_skills!$A$1,0,0,COUNTA(enemy_skills!$A:$A),MATCH(D$1,enemy_skills!$1:$1,0)-MATCH("enemy_skill_id",enemy_skills!$1:$1,0)+1),MATCH(D$1,enemy_skills!$1:$1,0)-MATCH("enemy_skill_id",enemy_skills!$1:$1,0)+1,FALSE)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331" s="46" t="str">
        <f ca="1">VLOOKUP($C331,OFFSET(enemy_skills!$A$1,0,0,COUNTA(enemy_skills!$A:$A),MATCH(E$1,enemy_skills!$1:$1,0)-MATCH("enemy_skill_id",enemy_skills!$1:$1,0)+1),MATCH(E$1,enemy_skills!$1:$1,0)-MATCH("enemy_skill_id",enemy_skills!$1:$1,0)+1,FALSE)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331" s="127">
        <v>39009016</v>
      </c>
      <c r="G331" s="48">
        <f ca="1">VLOOKUP($F331,OFFSET(enemy_skill_triggers!$A$1,0,0,COUNTA(enemy_skill_triggers!$A:$A),MATCH(G$1,enemy_skill_triggers!$1:$1,0)-MATCH($F$1,enemy_skill_triggers!$1:$1,0)+1),MATCH(G$1,enemy_skill_triggers!$1:$1,0)-MATCH($F$1,enemy_skill_triggers!$1:$1,0)+1,FALSE)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1" s="48">
        <f ca="1">VLOOKUP($F331,OFFSET(enemy_skill_triggers!$A$1,0,0,COUNTA(enemy_skill_triggers!$A:$A),MATCH(H$1,enemy_skill_triggers!$1:$1,0)-MATCH($F$1,enemy_skill_triggers!$1:$1,0)+1),MATCH(H$1,enemy_skill_triggers!$1:$1,0)-MATCH($F$1,enemy_skill_triggers!$1:$1,0)+1,FALSE)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31" s="48">
        <f ca="1">VLOOKUP($F331,OFFSET(enemy_skill_triggers!$A$1,0,0,COUNTA(enemy_skill_triggers!$A:$A),MATCH(I$1,enemy_skill_triggers!$1:$1,0)-MATCH($F$1,enemy_skill_triggers!$1:$1,0)+1),MATCH(I$1,enemy_skill_triggers!$1:$1,0)-MATCH($F$1,enemy_skill_triggers!$1:$1,0)+1,FALSE)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1" s="48">
        <f ca="1">VLOOKUP($F331,OFFSET(enemy_skill_triggers!$A$1,0,0,COUNTA(enemy_skill_triggers!$A:$A),MATCH(J$1,enemy_skill_triggers!$1:$1,0)-MATCH($F$1,enemy_skill_triggers!$1:$1,0)+1),MATCH(J$1,enemy_skill_triggers!$1:$1,0)-MATCH($F$1,enemy_skill_triggers!$1:$1,0)+1,FALSE)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1" s="48" t="str">
        <f ca="1">VLOOKUP($F331,OFFSET(enemy_skill_triggers!$A$1,0,0,COUNTA(enemy_skill_triggers!$A:$A),MATCH(K$1,enemy_skill_triggers!$1:$1,0)-MATCH($F$1,enemy_skill_triggers!$1:$1,0)+1),MATCH(K$1,enemy_skill_triggers!$1:$1,0)-MATCH($F$1,enemy_skill_triggers!$1:$1,0)+1,FALSE)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1" s="48">
        <f ca="1">VLOOKUP($F331,OFFSET(enemy_skill_triggers!$A$1,0,0,COUNTA(enemy_skill_triggers!$A:$A),MATCH(L$1,enemy_skill_triggers!$1:$1,0)-MATCH($F$1,enemy_skill_triggers!$1:$1,0)+1),MATCH(L$1,enemy_skill_triggers!$1:$1,0)-MATCH($F$1,enemy_skill_triggers!$1:$1,0)+1,FALSE)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1" s="48" t="str">
        <f ca="1">VLOOKUP($F331,OFFSET(enemy_skill_triggers!$A$1,0,0,COUNTA(enemy_skill_triggers!$A:$A),MATCH(M$1,enemy_skill_triggers!$1:$1,0)-MATCH($F$1,enemy_skill_triggers!$1:$1,0)+1),MATCH(M$1,enemy_skill_triggers!$1:$1,0)-MATCH($F$1,enemy_skill_triggers!$1:$1,0)+1,FALSE)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1" s="48" t="str">
        <f ca="1">VLOOKUP($F331,OFFSET(enemy_skill_triggers!$A$1,0,0,COUNTA(enemy_skill_triggers!$A:$A),MATCH(N$1,enemy_skill_triggers!$1:$1,0)-MATCH($F$1,enemy_skill_triggers!$1:$1,0)+1),MATCH(N$1,enemy_skill_triggers!$1:$1,0)-MATCH($F$1,enemy_skill_triggers!$1:$1,0)+1,FALSE)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1" s="48">
        <f ca="1">VLOOKUP($F331,OFFSET(enemy_skill_triggers!$A$1,0,0,COUNTA(enemy_skill_triggers!$A:$A),MATCH(O$1,enemy_skill_triggers!$1:$1,0)-MATCH($F$1,enemy_skill_triggers!$1:$1,0)+1),MATCH(O$1,enemy_skill_triggers!$1:$1,0)-MATCH($F$1,enemy_skill_triggers!$1:$1,0)+1,FALSE)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1" s="47"/>
      <c r="Q331" s="47"/>
      <c r="R331" s="47"/>
    </row>
    <row r="332" spans="1:18" ht="21" customHeight="1" x14ac:dyDescent="0.15">
      <c r="A332" s="39" t="str">
        <f t="shared" si="18"/>
        <v>39009017_39009045</v>
      </c>
      <c r="B332" s="129">
        <v>39009017</v>
      </c>
      <c r="C332" s="128">
        <v>39009045</v>
      </c>
      <c r="D332" s="46" t="str">
        <f ca="1">VLOOKUP($C332,OFFSET(enemy_skills!$A$1,0,0,COUNTA(enemy_skills!$A:$A),MATCH(D$1,enemy_skills!$1:$1,0)-MATCH("enemy_skill_id",enemy_skills!$1:$1,0)+1),MATCH(D$1,enemy_skills!$1:$1,0)-MATCH("enemy_skill_id",enemy_skills!$1:$1,0)+1,FALSE)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332" s="46" t="str">
        <f ca="1">VLOOKUP($C332,OFFSET(enemy_skills!$A$1,0,0,COUNTA(enemy_skills!$A:$A),MATCH(E$1,enemy_skills!$1:$1,0)-MATCH("enemy_skill_id",enemy_skills!$1:$1,0)+1),MATCH(E$1,enemy_skills!$1:$1,0)-MATCH("enemy_skill_id",enemy_skills!$1:$1,0)+1,FALSE)</f>
        <v>3ターン回復効果付与</v>
      </c>
      <c r="F332" s="128">
        <v>39009017</v>
      </c>
      <c r="G332" s="48">
        <f ca="1">VLOOKUP($F332,OFFSET(enemy_skill_triggers!$A$1,0,0,COUNTA(enemy_skill_triggers!$A:$A),MATCH(G$1,enemy_skill_triggers!$1:$1,0)-MATCH($F$1,enemy_skill_triggers!$1:$1,0)+1),MATCH(G$1,enemy_skill_triggers!$1:$1,0)-MATCH($F$1,enemy_skill_triggers!$1:$1,0)+1,FALSE)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2" s="48" t="str">
        <f ca="1">VLOOKUP($F332,OFFSET(enemy_skill_triggers!$A$1,0,0,COUNTA(enemy_skill_triggers!$A:$A),MATCH(H$1,enemy_skill_triggers!$1:$1,0)-MATCH($F$1,enemy_skill_triggers!$1:$1,0)+1),MATCH(H$1,enemy_skill_triggers!$1:$1,0)-MATCH($F$1,enemy_skill_triggers!$1:$1,0)+1,FALSE)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2" s="48">
        <f ca="1">VLOOKUP($F332,OFFSET(enemy_skill_triggers!$A$1,0,0,COUNTA(enemy_skill_triggers!$A:$A),MATCH(I$1,enemy_skill_triggers!$1:$1,0)-MATCH($F$1,enemy_skill_triggers!$1:$1,0)+1),MATCH(I$1,enemy_skill_triggers!$1:$1,0)-MATCH($F$1,enemy_skill_triggers!$1:$1,0)+1,FALSE)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2" s="48" t="str">
        <f ca="1">VLOOKUP($F332,OFFSET(enemy_skill_triggers!$A$1,0,0,COUNTA(enemy_skill_triggers!$A:$A),MATCH(J$1,enemy_skill_triggers!$1:$1,0)-MATCH($F$1,enemy_skill_triggers!$1:$1,0)+1),MATCH(J$1,enemy_skill_triggers!$1:$1,0)-MATCH($F$1,enemy_skill_triggers!$1:$1,0)+1,FALSE)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2" s="48" t="str">
        <f ca="1">VLOOKUP($F332,OFFSET(enemy_skill_triggers!$A$1,0,0,COUNTA(enemy_skill_triggers!$A:$A),MATCH(K$1,enemy_skill_triggers!$1:$1,0)-MATCH($F$1,enemy_skill_triggers!$1:$1,0)+1),MATCH(K$1,enemy_skill_triggers!$1:$1,0)-MATCH($F$1,enemy_skill_triggers!$1:$1,0)+1,FALSE)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2" s="48">
        <f ca="1">VLOOKUP($F332,OFFSET(enemy_skill_triggers!$A$1,0,0,COUNTA(enemy_skill_triggers!$A:$A),MATCH(L$1,enemy_skill_triggers!$1:$1,0)-MATCH($F$1,enemy_skill_triggers!$1:$1,0)+1),MATCH(L$1,enemy_skill_triggers!$1:$1,0)-MATCH($F$1,enemy_skill_triggers!$1:$1,0)+1,FALSE)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2" s="48" t="str">
        <f ca="1">VLOOKUP($F332,OFFSET(enemy_skill_triggers!$A$1,0,0,COUNTA(enemy_skill_triggers!$A:$A),MATCH(M$1,enemy_skill_triggers!$1:$1,0)-MATCH($F$1,enemy_skill_triggers!$1:$1,0)+1),MATCH(M$1,enemy_skill_triggers!$1:$1,0)-MATCH($F$1,enemy_skill_triggers!$1:$1,0)+1,FALSE)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2" s="48" t="str">
        <f ca="1">VLOOKUP($F332,OFFSET(enemy_skill_triggers!$A$1,0,0,COUNTA(enemy_skill_triggers!$A:$A),MATCH(N$1,enemy_skill_triggers!$1:$1,0)-MATCH($F$1,enemy_skill_triggers!$1:$1,0)+1),MATCH(N$1,enemy_skill_triggers!$1:$1,0)-MATCH($F$1,enemy_skill_triggers!$1:$1,0)+1,FALSE)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2" s="48">
        <f ca="1">VLOOKUP($F332,OFFSET(enemy_skill_triggers!$A$1,0,0,COUNTA(enemy_skill_triggers!$A:$A),MATCH(O$1,enemy_skill_triggers!$1:$1,0)-MATCH($F$1,enemy_skill_triggers!$1:$1,0)+1),MATCH(O$1,enemy_skill_triggers!$1:$1,0)-MATCH($F$1,enemy_skill_triggers!$1:$1,0)+1,FALSE)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2" s="47"/>
      <c r="Q332" s="47"/>
      <c r="R332" s="47"/>
    </row>
    <row r="333" spans="1:18" ht="21" customHeight="1" x14ac:dyDescent="0.15">
      <c r="A333" s="39" t="str">
        <f t="shared" si="18"/>
        <v>39009018_39009046</v>
      </c>
      <c r="B333" s="129">
        <v>39009018</v>
      </c>
      <c r="C333" s="129">
        <v>39009046</v>
      </c>
      <c r="D333" s="46" t="str">
        <f ca="1">VLOOKUP($C333,OFFSET(enemy_skills!$A$1,0,0,COUNTA(enemy_skills!$A:$A),MATCH(D$1,enemy_skills!$1:$1,0)-MATCH("enemy_skill_id",enemy_skills!$1:$1,0)+1),MATCH(D$1,enemy_skills!$1:$1,0)-MATCH("enemy_skill_id",enemy_skills!$1:$1,0)+1,FALSE)</f>
        <v>こんにちわ♪</v>
      </c>
      <c r="E333" s="46" t="str">
        <f ca="1">VLOOKUP($C333,OFFSET(enemy_skills!$A$1,0,0,COUNTA(enemy_skills!$A:$A),MATCH(E$1,enemy_skills!$1:$1,0)-MATCH("enemy_skill_id",enemy_skills!$1:$1,0)+1),MATCH(E$1,enemy_skills!$1:$1,0)-MATCH("enemy_skill_id",enemy_skills!$1:$1,0)+1,FALSE)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3" s="129">
        <v>39009018</v>
      </c>
      <c r="G333" s="48">
        <f ca="1">VLOOKUP($F333,OFFSET(enemy_skill_triggers!$A$1,0,0,COUNTA(enemy_skill_triggers!$A:$A),MATCH(G$1,enemy_skill_triggers!$1:$1,0)-MATCH($F$1,enemy_skill_triggers!$1:$1,0)+1),MATCH(G$1,enemy_skill_triggers!$1:$1,0)-MATCH($F$1,enemy_skill_triggers!$1:$1,0)+1,FALSE)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3" s="48" t="str">
        <f ca="1">VLOOKUP($F333,OFFSET(enemy_skill_triggers!$A$1,0,0,COUNTA(enemy_skill_triggers!$A:$A),MATCH(H$1,enemy_skill_triggers!$1:$1,0)-MATCH($F$1,enemy_skill_triggers!$1:$1,0)+1),MATCH(H$1,enemy_skill_triggers!$1:$1,0)-MATCH($F$1,enemy_skill_triggers!$1:$1,0)+1,FALSE)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3" s="48">
        <f ca="1">VLOOKUP($F333,OFFSET(enemy_skill_triggers!$A$1,0,0,COUNTA(enemy_skill_triggers!$A:$A),MATCH(I$1,enemy_skill_triggers!$1:$1,0)-MATCH($F$1,enemy_skill_triggers!$1:$1,0)+1),MATCH(I$1,enemy_skill_triggers!$1:$1,0)-MATCH($F$1,enemy_skill_triggers!$1:$1,0)+1,FALSE)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3" s="48" t="str">
        <f ca="1">VLOOKUP($F333,OFFSET(enemy_skill_triggers!$A$1,0,0,COUNTA(enemy_skill_triggers!$A:$A),MATCH(J$1,enemy_skill_triggers!$1:$1,0)-MATCH($F$1,enemy_skill_triggers!$1:$1,0)+1),MATCH(J$1,enemy_skill_triggers!$1:$1,0)-MATCH($F$1,enemy_skill_triggers!$1:$1,0)+1,FALSE)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3" s="48" t="str">
        <f ca="1">VLOOKUP($F333,OFFSET(enemy_skill_triggers!$A$1,0,0,COUNTA(enemy_skill_triggers!$A:$A),MATCH(K$1,enemy_skill_triggers!$1:$1,0)-MATCH($F$1,enemy_skill_triggers!$1:$1,0)+1),MATCH(K$1,enemy_skill_triggers!$1:$1,0)-MATCH($F$1,enemy_skill_triggers!$1:$1,0)+1,FALSE)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3" s="48">
        <f ca="1">VLOOKUP($F333,OFFSET(enemy_skill_triggers!$A$1,0,0,COUNTA(enemy_skill_triggers!$A:$A),MATCH(L$1,enemy_skill_triggers!$1:$1,0)-MATCH($F$1,enemy_skill_triggers!$1:$1,0)+1),MATCH(L$1,enemy_skill_triggers!$1:$1,0)-MATCH($F$1,enemy_skill_triggers!$1:$1,0)+1,FALSE)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3" s="48" t="str">
        <f ca="1">VLOOKUP($F333,OFFSET(enemy_skill_triggers!$A$1,0,0,COUNTA(enemy_skill_triggers!$A:$A),MATCH(M$1,enemy_skill_triggers!$1:$1,0)-MATCH($F$1,enemy_skill_triggers!$1:$1,0)+1),MATCH(M$1,enemy_skill_triggers!$1:$1,0)-MATCH($F$1,enemy_skill_triggers!$1:$1,0)+1,FALSE)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3" s="48" t="str">
        <f ca="1">VLOOKUP($F333,OFFSET(enemy_skill_triggers!$A$1,0,0,COUNTA(enemy_skill_triggers!$A:$A),MATCH(N$1,enemy_skill_triggers!$1:$1,0)-MATCH($F$1,enemy_skill_triggers!$1:$1,0)+1),MATCH(N$1,enemy_skill_triggers!$1:$1,0)-MATCH($F$1,enemy_skill_triggers!$1:$1,0)+1,FALSE)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3" s="48">
        <f ca="1">VLOOKUP($F333,OFFSET(enemy_skill_triggers!$A$1,0,0,COUNTA(enemy_skill_triggers!$A:$A),MATCH(O$1,enemy_skill_triggers!$1:$1,0)-MATCH($F$1,enemy_skill_triggers!$1:$1,0)+1),MATCH(O$1,enemy_skill_triggers!$1:$1,0)-MATCH($F$1,enemy_skill_triggers!$1:$1,0)+1,FALSE)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3" s="47"/>
      <c r="Q333" s="47"/>
      <c r="R333" s="47"/>
    </row>
    <row r="334" spans="1:18" ht="21" customHeight="1" x14ac:dyDescent="0.15">
      <c r="A334" s="39" t="str">
        <f t="shared" si="18"/>
        <v>39009019_39009018</v>
      </c>
      <c r="B334" s="129">
        <v>39009019</v>
      </c>
      <c r="C334" s="144">
        <v>39009018</v>
      </c>
      <c r="D334" s="46" t="str">
        <f ca="1">VLOOKUP($C334,OFFSET(enemy_skills!$A$1,0,0,COUNTA(enemy_skills!$A:$A),MATCH(D$1,enemy_skills!$1:$1,0)-MATCH("enemy_skill_id",enemy_skills!$1:$1,0)+1),MATCH(D$1,enemy_skills!$1:$1,0)-MATCH("enemy_skill_id",enemy_skills!$1:$1,0)+1,FALSE)</f>
        <v>パワフルな願い星をどうぞ☆</v>
      </c>
      <c r="E334" s="46" t="str">
        <f ca="1">VLOOKUP($C334,OFFSET(enemy_skills!$A$1,0,0,COUNTA(enemy_skills!$A:$A),MATCH(E$1,enemy_skills!$1:$1,0)-MATCH("enemy_skill_id",enemy_skills!$1:$1,0)+1),MATCH(E$1,enemy_skills!$1:$1,0)-MATCH("enemy_skill_id",enemy_skills!$1:$1,0)+1,FALSE)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緑パネルを緑のダメージパネルに2個変換</v>
      </c>
      <c r="F334" s="131">
        <v>39009019</v>
      </c>
      <c r="G334" s="48">
        <f ca="1">VLOOKUP($F334,OFFSET(enemy_skill_triggers!$A$1,0,0,COUNTA(enemy_skill_triggers!$A:$A),MATCH(G$1,enemy_skill_triggers!$1:$1,0)-MATCH($F$1,enemy_skill_triggers!$1:$1,0)+1),MATCH(G$1,enemy_skill_triggers!$1:$1,0)-MATCH($F$1,enemy_skill_triggers!$1:$1,0)+1,FALSE)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4" s="48">
        <f ca="1">VLOOKUP($F334,OFFSET(enemy_skill_triggers!$A$1,0,0,COUNTA(enemy_skill_triggers!$A:$A),MATCH(H$1,enemy_skill_triggers!$1:$1,0)-MATCH($F$1,enemy_skill_triggers!$1:$1,0)+1),MATCH(H$1,enemy_skill_triggers!$1:$1,0)-MATCH($F$1,enemy_skill_triggers!$1:$1,0)+1,FALSE)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4" s="48">
        <f ca="1">VLOOKUP($F334,OFFSET(enemy_skill_triggers!$A$1,0,0,COUNTA(enemy_skill_triggers!$A:$A),MATCH(I$1,enemy_skill_triggers!$1:$1,0)-MATCH($F$1,enemy_skill_triggers!$1:$1,0)+1),MATCH(I$1,enemy_skill_triggers!$1:$1,0)-MATCH($F$1,enemy_skill_triggers!$1:$1,0)+1,FALSE)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4" s="48" t="str">
        <f ca="1">VLOOKUP($F334,OFFSET(enemy_skill_triggers!$A$1,0,0,COUNTA(enemy_skill_triggers!$A:$A),MATCH(J$1,enemy_skill_triggers!$1:$1,0)-MATCH($F$1,enemy_skill_triggers!$1:$1,0)+1),MATCH(J$1,enemy_skill_triggers!$1:$1,0)-MATCH($F$1,enemy_skill_triggers!$1:$1,0)+1,FALSE)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4" s="48" t="str">
        <f ca="1">VLOOKUP($F334,OFFSET(enemy_skill_triggers!$A$1,0,0,COUNTA(enemy_skill_triggers!$A:$A),MATCH(K$1,enemy_skill_triggers!$1:$1,0)-MATCH($F$1,enemy_skill_triggers!$1:$1,0)+1),MATCH(K$1,enemy_skill_triggers!$1:$1,0)-MATCH($F$1,enemy_skill_triggers!$1:$1,0)+1,FALSE)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4" s="48">
        <f ca="1">VLOOKUP($F334,OFFSET(enemy_skill_triggers!$A$1,0,0,COUNTA(enemy_skill_triggers!$A:$A),MATCH(L$1,enemy_skill_triggers!$1:$1,0)-MATCH($F$1,enemy_skill_triggers!$1:$1,0)+1),MATCH(L$1,enemy_skill_triggers!$1:$1,0)-MATCH($F$1,enemy_skill_triggers!$1:$1,0)+1,FALSE)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4" s="48" t="str">
        <f ca="1">VLOOKUP($F334,OFFSET(enemy_skill_triggers!$A$1,0,0,COUNTA(enemy_skill_triggers!$A:$A),MATCH(M$1,enemy_skill_triggers!$1:$1,0)-MATCH($F$1,enemy_skill_triggers!$1:$1,0)+1),MATCH(M$1,enemy_skill_triggers!$1:$1,0)-MATCH($F$1,enemy_skill_triggers!$1:$1,0)+1,FALSE)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4" s="48" t="str">
        <f ca="1">VLOOKUP($F334,OFFSET(enemy_skill_triggers!$A$1,0,0,COUNTA(enemy_skill_triggers!$A:$A),MATCH(N$1,enemy_skill_triggers!$1:$1,0)-MATCH($F$1,enemy_skill_triggers!$1:$1,0)+1),MATCH(N$1,enemy_skill_triggers!$1:$1,0)-MATCH($F$1,enemy_skill_triggers!$1:$1,0)+1,FALSE)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4" s="48">
        <f ca="1">VLOOKUP($F334,OFFSET(enemy_skill_triggers!$A$1,0,0,COUNTA(enemy_skill_triggers!$A:$A),MATCH(O$1,enemy_skill_triggers!$1:$1,0)-MATCH($F$1,enemy_skill_triggers!$1:$1,0)+1),MATCH(O$1,enemy_skill_triggers!$1:$1,0)-MATCH($F$1,enemy_skill_triggers!$1:$1,0)+1,FALSE)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4" s="47"/>
      <c r="Q334" s="47"/>
      <c r="R334" s="47"/>
    </row>
    <row r="335" spans="1:18" ht="21" customHeight="1" x14ac:dyDescent="0.15">
      <c r="A335" s="39" t="str">
        <f t="shared" si="18"/>
        <v>39009019_39009050</v>
      </c>
      <c r="B335" s="129">
        <v>39009019</v>
      </c>
      <c r="C335" s="131">
        <v>39009050</v>
      </c>
      <c r="D335" s="46" t="str">
        <f ca="1">VLOOKUP($C335,OFFSET(enemy_skills!$A$1,0,0,COUNTA(enemy_skills!$A:$A),MATCH(D$1,enemy_skills!$1:$1,0)-MATCH("enemy_skill_id",enemy_skills!$1:$1,0)+1),MATCH(D$1,enemy_skills!$1:$1,0)-MATCH("enemy_skill_id",enemy_skills!$1:$1,0)+1,FALSE)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35" s="46" t="str">
        <f ca="1">VLOOKUP($C335,OFFSET(enemy_skills!$A$1,0,0,COUNTA(enemy_skills!$A:$A),MATCH(E$1,enemy_skills!$1:$1,0)-MATCH("enemy_skill_id",enemy_skills!$1:$1,0)+1),MATCH(E$1,enemy_skills!$1:$1,0)-MATCH("enemy_skill_id",enemy_skills!$1:$1,0)+1,FALSE)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5" s="131">
        <v>39009020</v>
      </c>
      <c r="G335" s="48">
        <f ca="1">VLOOKUP($F335,OFFSET(enemy_skill_triggers!$A$1,0,0,COUNTA(enemy_skill_triggers!$A:$A),MATCH(G$1,enemy_skill_triggers!$1:$1,0)-MATCH($F$1,enemy_skill_triggers!$1:$1,0)+1),MATCH(G$1,enemy_skill_triggers!$1:$1,0)-MATCH($F$1,enemy_skill_triggers!$1:$1,0)+1,FALSE)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5" s="48">
        <f ca="1">VLOOKUP($F335,OFFSET(enemy_skill_triggers!$A$1,0,0,COUNTA(enemy_skill_triggers!$A:$A),MATCH(H$1,enemy_skill_triggers!$1:$1,0)-MATCH($F$1,enemy_skill_triggers!$1:$1,0)+1),MATCH(H$1,enemy_skill_triggers!$1:$1,0)-MATCH($F$1,enemy_skill_triggers!$1:$1,0)+1,FALSE)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35" s="48">
        <f ca="1">VLOOKUP($F335,OFFSET(enemy_skill_triggers!$A$1,0,0,COUNTA(enemy_skill_triggers!$A:$A),MATCH(I$1,enemy_skill_triggers!$1:$1,0)-MATCH($F$1,enemy_skill_triggers!$1:$1,0)+1),MATCH(I$1,enemy_skill_triggers!$1:$1,0)-MATCH($F$1,enemy_skill_triggers!$1:$1,0)+1,FALSE)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5" s="48" t="str">
        <f ca="1">VLOOKUP($F335,OFFSET(enemy_skill_triggers!$A$1,0,0,COUNTA(enemy_skill_triggers!$A:$A),MATCH(J$1,enemy_skill_triggers!$1:$1,0)-MATCH($F$1,enemy_skill_triggers!$1:$1,0)+1),MATCH(J$1,enemy_skill_triggers!$1:$1,0)-MATCH($F$1,enemy_skill_triggers!$1:$1,0)+1,FALSE)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5" s="48" t="str">
        <f ca="1">VLOOKUP($F335,OFFSET(enemy_skill_triggers!$A$1,0,0,COUNTA(enemy_skill_triggers!$A:$A),MATCH(K$1,enemy_skill_triggers!$1:$1,0)-MATCH($F$1,enemy_skill_triggers!$1:$1,0)+1),MATCH(K$1,enemy_skill_triggers!$1:$1,0)-MATCH($F$1,enemy_skill_triggers!$1:$1,0)+1,FALSE)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5" s="48">
        <f ca="1">VLOOKUP($F335,OFFSET(enemy_skill_triggers!$A$1,0,0,COUNTA(enemy_skill_triggers!$A:$A),MATCH(L$1,enemy_skill_triggers!$1:$1,0)-MATCH($F$1,enemy_skill_triggers!$1:$1,0)+1),MATCH(L$1,enemy_skill_triggers!$1:$1,0)-MATCH($F$1,enemy_skill_triggers!$1:$1,0)+1,FALSE)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5" s="48" t="str">
        <f ca="1">VLOOKUP($F335,OFFSET(enemy_skill_triggers!$A$1,0,0,COUNTA(enemy_skill_triggers!$A:$A),MATCH(M$1,enemy_skill_triggers!$1:$1,0)-MATCH($F$1,enemy_skill_triggers!$1:$1,0)+1),MATCH(M$1,enemy_skill_triggers!$1:$1,0)-MATCH($F$1,enemy_skill_triggers!$1:$1,0)+1,FALSE)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5" s="48">
        <f ca="1">VLOOKUP($F335,OFFSET(enemy_skill_triggers!$A$1,0,0,COUNTA(enemy_skill_triggers!$A:$A),MATCH(N$1,enemy_skill_triggers!$1:$1,0)-MATCH($F$1,enemy_skill_triggers!$1:$1,0)+1),MATCH(N$1,enemy_skill_triggers!$1:$1,0)-MATCH($F$1,enemy_skill_triggers!$1:$1,0)+1,FALSE)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35" s="48">
        <f ca="1">VLOOKUP($F335,OFFSET(enemy_skill_triggers!$A$1,0,0,COUNTA(enemy_skill_triggers!$A:$A),MATCH(O$1,enemy_skill_triggers!$1:$1,0)-MATCH($F$1,enemy_skill_triggers!$1:$1,0)+1),MATCH(O$1,enemy_skill_triggers!$1:$1,0)-MATCH($F$1,enemy_skill_triggers!$1:$1,0)+1,FALSE)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5" s="47"/>
      <c r="Q335" s="47"/>
      <c r="R335" s="47"/>
    </row>
    <row r="336" spans="1:18" ht="21" customHeight="1" x14ac:dyDescent="0.15">
      <c r="A336" s="39" t="str">
        <f t="shared" si="18"/>
        <v>39009019_39009051</v>
      </c>
      <c r="B336" s="129">
        <v>39009019</v>
      </c>
      <c r="C336" s="131">
        <v>39009051</v>
      </c>
      <c r="D336" s="46" t="str">
        <f ca="1">VLOOKUP($C336,OFFSET(enemy_skills!$A$1,0,0,COUNTA(enemy_skills!$A:$A),MATCH(D$1,enemy_skills!$1:$1,0)-MATCH("enemy_skill_id",enemy_skills!$1:$1,0)+1),MATCH(D$1,enemy_skills!$1:$1,0)-MATCH("enemy_skill_id",enemy_skills!$1:$1,0)+1,FALSE)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336" s="46" t="str">
        <f ca="1">VLOOKUP($C336,OFFSET(enemy_skills!$A$1,0,0,COUNTA(enemy_skills!$A:$A),MATCH(E$1,enemy_skills!$1:$1,0)-MATCH("enemy_skill_id",enemy_skills!$1:$1,0)+1),MATCH(E$1,enemy_skills!$1:$1,0)-MATCH("enemy_skill_id",enemy_skills!$1:$1,0)+1,FALSE)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6" s="131">
        <v>39009021</v>
      </c>
      <c r="G336" s="48">
        <f ca="1">VLOOKUP($F336,OFFSET(enemy_skill_triggers!$A$1,0,0,COUNTA(enemy_skill_triggers!$A:$A),MATCH(G$1,enemy_skill_triggers!$1:$1,0)-MATCH($F$1,enemy_skill_triggers!$1:$1,0)+1),MATCH(G$1,enemy_skill_triggers!$1:$1,0)-MATCH($F$1,enemy_skill_triggers!$1:$1,0)+1,FALSE)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6" s="48">
        <f ca="1">VLOOKUP($F336,OFFSET(enemy_skill_triggers!$A$1,0,0,COUNTA(enemy_skill_triggers!$A:$A),MATCH(H$1,enemy_skill_triggers!$1:$1,0)-MATCH($F$1,enemy_skill_triggers!$1:$1,0)+1),MATCH(H$1,enemy_skill_triggers!$1:$1,0)-MATCH($F$1,enemy_skill_triggers!$1:$1,0)+1,FALSE)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336" s="48">
        <f ca="1">VLOOKUP($F336,OFFSET(enemy_skill_triggers!$A$1,0,0,COUNTA(enemy_skill_triggers!$A:$A),MATCH(I$1,enemy_skill_triggers!$1:$1,0)-MATCH($F$1,enemy_skill_triggers!$1:$1,0)+1),MATCH(I$1,enemy_skill_triggers!$1:$1,0)-MATCH($F$1,enemy_skill_triggers!$1:$1,0)+1,FALSE)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6" s="48" t="str">
        <f ca="1">VLOOKUP($F336,OFFSET(enemy_skill_triggers!$A$1,0,0,COUNTA(enemy_skill_triggers!$A:$A),MATCH(J$1,enemy_skill_triggers!$1:$1,0)-MATCH($F$1,enemy_skill_triggers!$1:$1,0)+1),MATCH(J$1,enemy_skill_triggers!$1:$1,0)-MATCH($F$1,enemy_skill_triggers!$1:$1,0)+1,FALSE)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6" s="48" t="str">
        <f ca="1">VLOOKUP($F336,OFFSET(enemy_skill_triggers!$A$1,0,0,COUNTA(enemy_skill_triggers!$A:$A),MATCH(K$1,enemy_skill_triggers!$1:$1,0)-MATCH($F$1,enemy_skill_triggers!$1:$1,0)+1),MATCH(K$1,enemy_skill_triggers!$1:$1,0)-MATCH($F$1,enemy_skill_triggers!$1:$1,0)+1,FALSE)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6" s="48">
        <f ca="1">VLOOKUP($F336,OFFSET(enemy_skill_triggers!$A$1,0,0,COUNTA(enemy_skill_triggers!$A:$A),MATCH(L$1,enemy_skill_triggers!$1:$1,0)-MATCH($F$1,enemy_skill_triggers!$1:$1,0)+1),MATCH(L$1,enemy_skill_triggers!$1:$1,0)-MATCH($F$1,enemy_skill_triggers!$1:$1,0)+1,FALSE)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6" s="48" t="str">
        <f ca="1">VLOOKUP($F336,OFFSET(enemy_skill_triggers!$A$1,0,0,COUNTA(enemy_skill_triggers!$A:$A),MATCH(M$1,enemy_skill_triggers!$1:$1,0)-MATCH($F$1,enemy_skill_triggers!$1:$1,0)+1),MATCH(M$1,enemy_skill_triggers!$1:$1,0)-MATCH($F$1,enemy_skill_triggers!$1:$1,0)+1,FALSE)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6" s="48">
        <f ca="1">VLOOKUP($F336,OFFSET(enemy_skill_triggers!$A$1,0,0,COUNTA(enemy_skill_triggers!$A:$A),MATCH(N$1,enemy_skill_triggers!$1:$1,0)-MATCH($F$1,enemy_skill_triggers!$1:$1,0)+1),MATCH(N$1,enemy_skill_triggers!$1:$1,0)-MATCH($F$1,enemy_skill_triggers!$1:$1,0)+1,FALSE)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36" s="48">
        <f ca="1">VLOOKUP($F336,OFFSET(enemy_skill_triggers!$A$1,0,0,COUNTA(enemy_skill_triggers!$A:$A),MATCH(O$1,enemy_skill_triggers!$1:$1,0)-MATCH($F$1,enemy_skill_triggers!$1:$1,0)+1),MATCH(O$1,enemy_skill_triggers!$1:$1,0)-MATCH($F$1,enemy_skill_triggers!$1:$1,0)+1,FALSE)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6" s="47"/>
      <c r="Q336" s="47"/>
      <c r="R336" s="47"/>
    </row>
    <row r="337" spans="1:18" ht="21" customHeight="1" x14ac:dyDescent="0.15">
      <c r="A337" s="39" t="str">
        <f t="shared" si="18"/>
        <v>39009019_39009052</v>
      </c>
      <c r="B337" s="129">
        <v>39009019</v>
      </c>
      <c r="C337" s="131">
        <v>39009052</v>
      </c>
      <c r="D337" s="46" t="str">
        <f ca="1">VLOOKUP($C337,OFFSET(enemy_skills!$A$1,0,0,COUNTA(enemy_skills!$A:$A),MATCH(D$1,enemy_skills!$1:$1,0)-MATCH("enemy_skill_id",enemy_skills!$1:$1,0)+1),MATCH(D$1,enemy_skills!$1:$1,0)-MATCH("enemy_skill_id",enemy_skills!$1:$1,0)+1,FALSE)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337" s="46" t="str">
        <f ca="1">VLOOKUP($C337,OFFSET(enemy_skills!$A$1,0,0,COUNTA(enemy_skills!$A:$A),MATCH(E$1,enemy_skills!$1:$1,0)-MATCH("enemy_skill_id",enemy_skills!$1:$1,0)+1),MATCH(E$1,enemy_skills!$1:$1,0)-MATCH("enemy_skill_id",enemy_skills!$1:$1,0)+1,FALSE)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7" s="131">
        <v>39009022</v>
      </c>
      <c r="G337" s="48">
        <f ca="1">VLOOKUP($F337,OFFSET(enemy_skill_triggers!$A$1,0,0,COUNTA(enemy_skill_triggers!$A:$A),MATCH(G$1,enemy_skill_triggers!$1:$1,0)-MATCH($F$1,enemy_skill_triggers!$1:$1,0)+1),MATCH(G$1,enemy_skill_triggers!$1:$1,0)-MATCH($F$1,enemy_skill_triggers!$1:$1,0)+1,FALSE)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7" s="48">
        <f ca="1">VLOOKUP($F337,OFFSET(enemy_skill_triggers!$A$1,0,0,COUNTA(enemy_skill_triggers!$A:$A),MATCH(H$1,enemy_skill_triggers!$1:$1,0)-MATCH($F$1,enemy_skill_triggers!$1:$1,0)+1),MATCH(H$1,enemy_skill_triggers!$1:$1,0)-MATCH($F$1,enemy_skill_triggers!$1:$1,0)+1,FALSE)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337" s="48">
        <f ca="1">VLOOKUP($F337,OFFSET(enemy_skill_triggers!$A$1,0,0,COUNTA(enemy_skill_triggers!$A:$A),MATCH(I$1,enemy_skill_triggers!$1:$1,0)-MATCH($F$1,enemy_skill_triggers!$1:$1,0)+1),MATCH(I$1,enemy_skill_triggers!$1:$1,0)-MATCH($F$1,enemy_skill_triggers!$1:$1,0)+1,FALSE)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7" s="48" t="str">
        <f ca="1">VLOOKUP($F337,OFFSET(enemy_skill_triggers!$A$1,0,0,COUNTA(enemy_skill_triggers!$A:$A),MATCH(J$1,enemy_skill_triggers!$1:$1,0)-MATCH($F$1,enemy_skill_triggers!$1:$1,0)+1),MATCH(J$1,enemy_skill_triggers!$1:$1,0)-MATCH($F$1,enemy_skill_triggers!$1:$1,0)+1,FALSE)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7" s="48" t="str">
        <f ca="1">VLOOKUP($F337,OFFSET(enemy_skill_triggers!$A$1,0,0,COUNTA(enemy_skill_triggers!$A:$A),MATCH(K$1,enemy_skill_triggers!$1:$1,0)-MATCH($F$1,enemy_skill_triggers!$1:$1,0)+1),MATCH(K$1,enemy_skill_triggers!$1:$1,0)-MATCH($F$1,enemy_skill_triggers!$1:$1,0)+1,FALSE)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7" s="48">
        <f ca="1">VLOOKUP($F337,OFFSET(enemy_skill_triggers!$A$1,0,0,COUNTA(enemy_skill_triggers!$A:$A),MATCH(L$1,enemy_skill_triggers!$1:$1,0)-MATCH($F$1,enemy_skill_triggers!$1:$1,0)+1),MATCH(L$1,enemy_skill_triggers!$1:$1,0)-MATCH($F$1,enemy_skill_triggers!$1:$1,0)+1,FALSE)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7" s="48" t="str">
        <f ca="1">VLOOKUP($F337,OFFSET(enemy_skill_triggers!$A$1,0,0,COUNTA(enemy_skill_triggers!$A:$A),MATCH(M$1,enemy_skill_triggers!$1:$1,0)-MATCH($F$1,enemy_skill_triggers!$1:$1,0)+1),MATCH(M$1,enemy_skill_triggers!$1:$1,0)-MATCH($F$1,enemy_skill_triggers!$1:$1,0)+1,FALSE)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7" s="48">
        <f ca="1">VLOOKUP($F337,OFFSET(enemy_skill_triggers!$A$1,0,0,COUNTA(enemy_skill_triggers!$A:$A),MATCH(N$1,enemy_skill_triggers!$1:$1,0)-MATCH($F$1,enemy_skill_triggers!$1:$1,0)+1),MATCH(N$1,enemy_skill_triggers!$1:$1,0)-MATCH($F$1,enemy_skill_triggers!$1:$1,0)+1,FALSE)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37" s="48">
        <f ca="1">VLOOKUP($F337,OFFSET(enemy_skill_triggers!$A$1,0,0,COUNTA(enemy_skill_triggers!$A:$A),MATCH(O$1,enemy_skill_triggers!$1:$1,0)-MATCH($F$1,enemy_skill_triggers!$1:$1,0)+1),MATCH(O$1,enemy_skill_triggers!$1:$1,0)-MATCH($F$1,enemy_skill_triggers!$1:$1,0)+1,FALSE)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7" s="47"/>
      <c r="Q337" s="47"/>
      <c r="R337" s="47"/>
    </row>
    <row r="338" spans="1:18" ht="21" customHeight="1" x14ac:dyDescent="0.15">
      <c r="A338" s="39" t="str">
        <f t="shared" si="18"/>
        <v>39009019_39009056</v>
      </c>
      <c r="B338" s="129">
        <v>39009019</v>
      </c>
      <c r="C338" s="131">
        <v>39009056</v>
      </c>
      <c r="D338" s="46" t="str">
        <f ca="1">VLOOKUP($C338,OFFSET(enemy_skills!$A$1,0,0,COUNTA(enemy_skills!$A:$A),MATCH(D$1,enemy_skills!$1:$1,0)-MATCH("enemy_skill_id",enemy_skills!$1:$1,0)+1),MATCH(D$1,enemy_skills!$1:$1,0)-MATCH("enemy_skill_id",enemy_skills!$1:$1,0)+1,FALSE)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38" s="46" t="str">
        <f ca="1">VLOOKUP($C338,OFFSET(enemy_skills!$A$1,0,0,COUNTA(enemy_skills!$A:$A),MATCH(E$1,enemy_skills!$1:$1,0)-MATCH("enemy_skill_id",enemy_skills!$1:$1,0)+1),MATCH(E$1,enemy_skills!$1:$1,0)-MATCH("enemy_skill_id",enemy_skills!$1:$1,0)+1,FALSE)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8" s="131">
        <v>39009023</v>
      </c>
      <c r="G338" s="48">
        <f ca="1">VLOOKUP($F338,OFFSET(enemy_skill_triggers!$A$1,0,0,COUNTA(enemy_skill_triggers!$A:$A),MATCH(G$1,enemy_skill_triggers!$1:$1,0)-MATCH($F$1,enemy_skill_triggers!$1:$1,0)+1),MATCH(G$1,enemy_skill_triggers!$1:$1,0)-MATCH($F$1,enemy_skill_triggers!$1:$1,0)+1,FALSE)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8" s="48">
        <f ca="1">VLOOKUP($F338,OFFSET(enemy_skill_triggers!$A$1,0,0,COUNTA(enemy_skill_triggers!$A:$A),MATCH(H$1,enemy_skill_triggers!$1:$1,0)-MATCH($F$1,enemy_skill_triggers!$1:$1,0)+1),MATCH(H$1,enemy_skill_triggers!$1:$1,0)-MATCH($F$1,enemy_skill_triggers!$1:$1,0)+1,FALSE)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338" s="48">
        <f ca="1">VLOOKUP($F338,OFFSET(enemy_skill_triggers!$A$1,0,0,COUNTA(enemy_skill_triggers!$A:$A),MATCH(I$1,enemy_skill_triggers!$1:$1,0)-MATCH($F$1,enemy_skill_triggers!$1:$1,0)+1),MATCH(I$1,enemy_skill_triggers!$1:$1,0)-MATCH($F$1,enemy_skill_triggers!$1:$1,0)+1,FALSE)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8" s="48" t="str">
        <f ca="1">VLOOKUP($F338,OFFSET(enemy_skill_triggers!$A$1,0,0,COUNTA(enemy_skill_triggers!$A:$A),MATCH(J$1,enemy_skill_triggers!$1:$1,0)-MATCH($F$1,enemy_skill_triggers!$1:$1,0)+1),MATCH(J$1,enemy_skill_triggers!$1:$1,0)-MATCH($F$1,enemy_skill_triggers!$1:$1,0)+1,FALSE)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8" s="48" t="str">
        <f ca="1">VLOOKUP($F338,OFFSET(enemy_skill_triggers!$A$1,0,0,COUNTA(enemy_skill_triggers!$A:$A),MATCH(K$1,enemy_skill_triggers!$1:$1,0)-MATCH($F$1,enemy_skill_triggers!$1:$1,0)+1),MATCH(K$1,enemy_skill_triggers!$1:$1,0)-MATCH($F$1,enemy_skill_triggers!$1:$1,0)+1,FALSE)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8" s="48">
        <f ca="1">VLOOKUP($F338,OFFSET(enemy_skill_triggers!$A$1,0,0,COUNTA(enemy_skill_triggers!$A:$A),MATCH(L$1,enemy_skill_triggers!$1:$1,0)-MATCH($F$1,enemy_skill_triggers!$1:$1,0)+1),MATCH(L$1,enemy_skill_triggers!$1:$1,0)-MATCH($F$1,enemy_skill_triggers!$1:$1,0)+1,FALSE)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8" s="48" t="str">
        <f ca="1">VLOOKUP($F338,OFFSET(enemy_skill_triggers!$A$1,0,0,COUNTA(enemy_skill_triggers!$A:$A),MATCH(M$1,enemy_skill_triggers!$1:$1,0)-MATCH($F$1,enemy_skill_triggers!$1:$1,0)+1),MATCH(M$1,enemy_skill_triggers!$1:$1,0)-MATCH($F$1,enemy_skill_triggers!$1:$1,0)+1,FALSE)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8" s="48">
        <f ca="1">VLOOKUP($F338,OFFSET(enemy_skill_triggers!$A$1,0,0,COUNTA(enemy_skill_triggers!$A:$A),MATCH(N$1,enemy_skill_triggers!$1:$1,0)-MATCH($F$1,enemy_skill_triggers!$1:$1,0)+1),MATCH(N$1,enemy_skill_triggers!$1:$1,0)-MATCH($F$1,enemy_skill_triggers!$1:$1,0)+1,FALSE)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338" s="48">
        <f ca="1">VLOOKUP($F338,OFFSET(enemy_skill_triggers!$A$1,0,0,COUNTA(enemy_skill_triggers!$A:$A),MATCH(O$1,enemy_skill_triggers!$1:$1,0)-MATCH($F$1,enemy_skill_triggers!$1:$1,0)+1),MATCH(O$1,enemy_skill_triggers!$1:$1,0)-MATCH($F$1,enemy_skill_triggers!$1:$1,0)+1,FALSE)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8" s="47"/>
      <c r="Q338" s="47"/>
      <c r="R338" s="47"/>
    </row>
    <row r="339" spans="1:18" ht="21" customHeight="1" x14ac:dyDescent="0.15">
      <c r="A339" s="39" t="str">
        <f t="shared" si="18"/>
        <v>39009019_39009056</v>
      </c>
      <c r="B339" s="129">
        <v>39009019</v>
      </c>
      <c r="C339" s="131">
        <v>39009056</v>
      </c>
      <c r="D339" s="46" t="str">
        <f ca="1">VLOOKUP($C339,OFFSET(enemy_skills!$A$1,0,0,COUNTA(enemy_skills!$A:$A),MATCH(D$1,enemy_skills!$1:$1,0)-MATCH("enemy_skill_id",enemy_skills!$1:$1,0)+1),MATCH(D$1,enemy_skills!$1:$1,0)-MATCH("enemy_skill_id",enemy_skills!$1:$1,0)+1,FALSE)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39" s="46" t="str">
        <f ca="1">VLOOKUP($C339,OFFSET(enemy_skills!$A$1,0,0,COUNTA(enemy_skills!$A:$A),MATCH(E$1,enemy_skills!$1:$1,0)-MATCH("enemy_skill_id",enemy_skills!$1:$1,0)+1),MATCH(E$1,enemy_skills!$1:$1,0)-MATCH("enemy_skill_id",enemy_skills!$1:$1,0)+1,FALSE)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9" s="131">
        <v>39009024</v>
      </c>
      <c r="G339" s="48">
        <f ca="1">VLOOKUP($F339,OFFSET(enemy_skill_triggers!$A$1,0,0,COUNTA(enemy_skill_triggers!$A:$A),MATCH(G$1,enemy_skill_triggers!$1:$1,0)-MATCH($F$1,enemy_skill_triggers!$1:$1,0)+1),MATCH(G$1,enemy_skill_triggers!$1:$1,0)-MATCH($F$1,enemy_skill_triggers!$1:$1,0)+1,FALSE)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9" s="48">
        <f ca="1">VLOOKUP($F339,OFFSET(enemy_skill_triggers!$A$1,0,0,COUNTA(enemy_skill_triggers!$A:$A),MATCH(H$1,enemy_skill_triggers!$1:$1,0)-MATCH($F$1,enemy_skill_triggers!$1:$1,0)+1),MATCH(H$1,enemy_skill_triggers!$1:$1,0)-MATCH($F$1,enemy_skill_triggers!$1:$1,0)+1,FALSE)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39" s="48">
        <f ca="1">VLOOKUP($F339,OFFSET(enemy_skill_triggers!$A$1,0,0,COUNTA(enemy_skill_triggers!$A:$A),MATCH(I$1,enemy_skill_triggers!$1:$1,0)-MATCH($F$1,enemy_skill_triggers!$1:$1,0)+1),MATCH(I$1,enemy_skill_triggers!$1:$1,0)-MATCH($F$1,enemy_skill_triggers!$1:$1,0)+1,FALSE)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9" s="48" t="str">
        <f ca="1">VLOOKUP($F339,OFFSET(enemy_skill_triggers!$A$1,0,0,COUNTA(enemy_skill_triggers!$A:$A),MATCH(J$1,enemy_skill_triggers!$1:$1,0)-MATCH($F$1,enemy_skill_triggers!$1:$1,0)+1),MATCH(J$1,enemy_skill_triggers!$1:$1,0)-MATCH($F$1,enemy_skill_triggers!$1:$1,0)+1,FALSE)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9" s="48" t="str">
        <f ca="1">VLOOKUP($F339,OFFSET(enemy_skill_triggers!$A$1,0,0,COUNTA(enemy_skill_triggers!$A:$A),MATCH(K$1,enemy_skill_triggers!$1:$1,0)-MATCH($F$1,enemy_skill_triggers!$1:$1,0)+1),MATCH(K$1,enemy_skill_triggers!$1:$1,0)-MATCH($F$1,enemy_skill_triggers!$1:$1,0)+1,FALSE)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9" s="48">
        <f ca="1">VLOOKUP($F339,OFFSET(enemy_skill_triggers!$A$1,0,0,COUNTA(enemy_skill_triggers!$A:$A),MATCH(L$1,enemy_skill_triggers!$1:$1,0)-MATCH($F$1,enemy_skill_triggers!$1:$1,0)+1),MATCH(L$1,enemy_skill_triggers!$1:$1,0)-MATCH($F$1,enemy_skill_triggers!$1:$1,0)+1,FALSE)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9" s="48" t="str">
        <f ca="1">VLOOKUP($F339,OFFSET(enemy_skill_triggers!$A$1,0,0,COUNTA(enemy_skill_triggers!$A:$A),MATCH(M$1,enemy_skill_triggers!$1:$1,0)-MATCH($F$1,enemy_skill_triggers!$1:$1,0)+1),MATCH(M$1,enemy_skill_triggers!$1:$1,0)-MATCH($F$1,enemy_skill_triggers!$1:$1,0)+1,FALSE)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9" s="48">
        <f ca="1">VLOOKUP($F339,OFFSET(enemy_skill_triggers!$A$1,0,0,COUNTA(enemy_skill_triggers!$A:$A),MATCH(N$1,enemy_skill_triggers!$1:$1,0)-MATCH($F$1,enemy_skill_triggers!$1:$1,0)+1),MATCH(N$1,enemy_skill_triggers!$1:$1,0)-MATCH($F$1,enemy_skill_triggers!$1:$1,0)+1,FALSE)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339" s="48">
        <f ca="1">VLOOKUP($F339,OFFSET(enemy_skill_triggers!$A$1,0,0,COUNTA(enemy_skill_triggers!$A:$A),MATCH(O$1,enemy_skill_triggers!$1:$1,0)-MATCH($F$1,enemy_skill_triggers!$1:$1,0)+1),MATCH(O$1,enemy_skill_triggers!$1:$1,0)-MATCH($F$1,enemy_skill_triggers!$1:$1,0)+1,FALSE)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9" s="47"/>
      <c r="Q339" s="47"/>
      <c r="R339" s="47"/>
    </row>
    <row r="340" spans="1:18" ht="21" customHeight="1" x14ac:dyDescent="0.15">
      <c r="A340" s="39" t="str">
        <f t="shared" si="18"/>
        <v>39009019_39009051</v>
      </c>
      <c r="B340" s="129">
        <v>39009019</v>
      </c>
      <c r="C340" s="131">
        <v>39009051</v>
      </c>
      <c r="D340" s="46" t="str">
        <f ca="1">VLOOKUP($C340,OFFSET(enemy_skills!$A$1,0,0,COUNTA(enemy_skills!$A:$A),MATCH(D$1,enemy_skills!$1:$1,0)-MATCH("enemy_skill_id",enemy_skills!$1:$1,0)+1),MATCH(D$1,enemy_skills!$1:$1,0)-MATCH("enemy_skill_id",enemy_skills!$1:$1,0)+1,FALSE)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340" s="46" t="str">
        <f ca="1">VLOOKUP($C340,OFFSET(enemy_skills!$A$1,0,0,COUNTA(enemy_skills!$A:$A),MATCH(E$1,enemy_skills!$1:$1,0)-MATCH("enemy_skill_id",enemy_skills!$1:$1,0)+1),MATCH(E$1,enemy_skills!$1:$1,0)-MATCH("enemy_skill_id",enemy_skills!$1:$1,0)+1,FALSE)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0" s="131">
        <v>39009025</v>
      </c>
      <c r="G340" s="48">
        <f ca="1">VLOOKUP($F340,OFFSET(enemy_skill_triggers!$A$1,0,0,COUNTA(enemy_skill_triggers!$A:$A),MATCH(G$1,enemy_skill_triggers!$1:$1,0)-MATCH($F$1,enemy_skill_triggers!$1:$1,0)+1),MATCH(G$1,enemy_skill_triggers!$1:$1,0)-MATCH($F$1,enemy_skill_triggers!$1:$1,0)+1,FALSE)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0" s="48">
        <f ca="1">VLOOKUP($F340,OFFSET(enemy_skill_triggers!$A$1,0,0,COUNTA(enemy_skill_triggers!$A:$A),MATCH(H$1,enemy_skill_triggers!$1:$1,0)-MATCH($F$1,enemy_skill_triggers!$1:$1,0)+1),MATCH(H$1,enemy_skill_triggers!$1:$1,0)-MATCH($F$1,enemy_skill_triggers!$1:$1,0)+1,FALSE)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340" s="48">
        <f ca="1">VLOOKUP($F340,OFFSET(enemy_skill_triggers!$A$1,0,0,COUNTA(enemy_skill_triggers!$A:$A),MATCH(I$1,enemy_skill_triggers!$1:$1,0)-MATCH($F$1,enemy_skill_triggers!$1:$1,0)+1),MATCH(I$1,enemy_skill_triggers!$1:$1,0)-MATCH($F$1,enemy_skill_triggers!$1:$1,0)+1,FALSE)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0" s="48" t="str">
        <f ca="1">VLOOKUP($F340,OFFSET(enemy_skill_triggers!$A$1,0,0,COUNTA(enemy_skill_triggers!$A:$A),MATCH(J$1,enemy_skill_triggers!$1:$1,0)-MATCH($F$1,enemy_skill_triggers!$1:$1,0)+1),MATCH(J$1,enemy_skill_triggers!$1:$1,0)-MATCH($F$1,enemy_skill_triggers!$1:$1,0)+1,FALSE)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0" s="48" t="str">
        <f ca="1">VLOOKUP($F340,OFFSET(enemy_skill_triggers!$A$1,0,0,COUNTA(enemy_skill_triggers!$A:$A),MATCH(K$1,enemy_skill_triggers!$1:$1,0)-MATCH($F$1,enemy_skill_triggers!$1:$1,0)+1),MATCH(K$1,enemy_skill_triggers!$1:$1,0)-MATCH($F$1,enemy_skill_triggers!$1:$1,0)+1,FALSE)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0" s="48">
        <f ca="1">VLOOKUP($F340,OFFSET(enemy_skill_triggers!$A$1,0,0,COUNTA(enemy_skill_triggers!$A:$A),MATCH(L$1,enemy_skill_triggers!$1:$1,0)-MATCH($F$1,enemy_skill_triggers!$1:$1,0)+1),MATCH(L$1,enemy_skill_triggers!$1:$1,0)-MATCH($F$1,enemy_skill_triggers!$1:$1,0)+1,FALSE)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0" s="48" t="str">
        <f ca="1">VLOOKUP($F340,OFFSET(enemy_skill_triggers!$A$1,0,0,COUNTA(enemy_skill_triggers!$A:$A),MATCH(M$1,enemy_skill_triggers!$1:$1,0)-MATCH($F$1,enemy_skill_triggers!$1:$1,0)+1),MATCH(M$1,enemy_skill_triggers!$1:$1,0)-MATCH($F$1,enemy_skill_triggers!$1:$1,0)+1,FALSE)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0" s="48">
        <f ca="1">VLOOKUP($F340,OFFSET(enemy_skill_triggers!$A$1,0,0,COUNTA(enemy_skill_triggers!$A:$A),MATCH(N$1,enemy_skill_triggers!$1:$1,0)-MATCH($F$1,enemy_skill_triggers!$1:$1,0)+1),MATCH(N$1,enemy_skill_triggers!$1:$1,0)-MATCH($F$1,enemy_skill_triggers!$1:$1,0)+1,FALSE)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40" s="48">
        <f ca="1">VLOOKUP($F340,OFFSET(enemy_skill_triggers!$A$1,0,0,COUNTA(enemy_skill_triggers!$A:$A),MATCH(O$1,enemy_skill_triggers!$1:$1,0)-MATCH($F$1,enemy_skill_triggers!$1:$1,0)+1),MATCH(O$1,enemy_skill_triggers!$1:$1,0)-MATCH($F$1,enemy_skill_triggers!$1:$1,0)+1,FALSE)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0" s="47"/>
      <c r="Q340" s="47"/>
      <c r="R340" s="47"/>
    </row>
    <row r="341" spans="1:18" ht="21" customHeight="1" x14ac:dyDescent="0.15">
      <c r="A341" s="39" t="str">
        <f t="shared" si="18"/>
        <v>39009019_39009052</v>
      </c>
      <c r="B341" s="129">
        <v>39009019</v>
      </c>
      <c r="C341" s="131">
        <v>39009052</v>
      </c>
      <c r="D341" s="46" t="str">
        <f ca="1">VLOOKUP($C341,OFFSET(enemy_skills!$A$1,0,0,COUNTA(enemy_skills!$A:$A),MATCH(D$1,enemy_skills!$1:$1,0)-MATCH("enemy_skill_id",enemy_skills!$1:$1,0)+1),MATCH(D$1,enemy_skills!$1:$1,0)-MATCH("enemy_skill_id",enemy_skills!$1:$1,0)+1,FALSE)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341" s="46" t="str">
        <f ca="1">VLOOKUP($C341,OFFSET(enemy_skills!$A$1,0,0,COUNTA(enemy_skills!$A:$A),MATCH(E$1,enemy_skills!$1:$1,0)-MATCH("enemy_skill_id",enemy_skills!$1:$1,0)+1),MATCH(E$1,enemy_skills!$1:$1,0)-MATCH("enemy_skill_id",enemy_skills!$1:$1,0)+1,FALSE)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1" s="131">
        <v>39009026</v>
      </c>
      <c r="G341" s="48">
        <f ca="1">VLOOKUP($F341,OFFSET(enemy_skill_triggers!$A$1,0,0,COUNTA(enemy_skill_triggers!$A:$A),MATCH(G$1,enemy_skill_triggers!$1:$1,0)-MATCH($F$1,enemy_skill_triggers!$1:$1,0)+1),MATCH(G$1,enemy_skill_triggers!$1:$1,0)-MATCH($F$1,enemy_skill_triggers!$1:$1,0)+1,FALSE)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1" s="48">
        <f ca="1">VLOOKUP($F341,OFFSET(enemy_skill_triggers!$A$1,0,0,COUNTA(enemy_skill_triggers!$A:$A),MATCH(H$1,enemy_skill_triggers!$1:$1,0)-MATCH($F$1,enemy_skill_triggers!$1:$1,0)+1),MATCH(H$1,enemy_skill_triggers!$1:$1,0)-MATCH($F$1,enemy_skill_triggers!$1:$1,0)+1,FALSE)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341" s="48">
        <f ca="1">VLOOKUP($F341,OFFSET(enemy_skill_triggers!$A$1,0,0,COUNTA(enemy_skill_triggers!$A:$A),MATCH(I$1,enemy_skill_triggers!$1:$1,0)-MATCH($F$1,enemy_skill_triggers!$1:$1,0)+1),MATCH(I$1,enemy_skill_triggers!$1:$1,0)-MATCH($F$1,enemy_skill_triggers!$1:$1,0)+1,FALSE)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1" s="48" t="str">
        <f ca="1">VLOOKUP($F341,OFFSET(enemy_skill_triggers!$A$1,0,0,COUNTA(enemy_skill_triggers!$A:$A),MATCH(J$1,enemy_skill_triggers!$1:$1,0)-MATCH($F$1,enemy_skill_triggers!$1:$1,0)+1),MATCH(J$1,enemy_skill_triggers!$1:$1,0)-MATCH($F$1,enemy_skill_triggers!$1:$1,0)+1,FALSE)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1" s="48" t="str">
        <f ca="1">VLOOKUP($F341,OFFSET(enemy_skill_triggers!$A$1,0,0,COUNTA(enemy_skill_triggers!$A:$A),MATCH(K$1,enemy_skill_triggers!$1:$1,0)-MATCH($F$1,enemy_skill_triggers!$1:$1,0)+1),MATCH(K$1,enemy_skill_triggers!$1:$1,0)-MATCH($F$1,enemy_skill_triggers!$1:$1,0)+1,FALSE)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1" s="48">
        <f ca="1">VLOOKUP($F341,OFFSET(enemy_skill_triggers!$A$1,0,0,COUNTA(enemy_skill_triggers!$A:$A),MATCH(L$1,enemy_skill_triggers!$1:$1,0)-MATCH($F$1,enemy_skill_triggers!$1:$1,0)+1),MATCH(L$1,enemy_skill_triggers!$1:$1,0)-MATCH($F$1,enemy_skill_triggers!$1:$1,0)+1,FALSE)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1" s="48" t="str">
        <f ca="1">VLOOKUP($F341,OFFSET(enemy_skill_triggers!$A$1,0,0,COUNTA(enemy_skill_triggers!$A:$A),MATCH(M$1,enemy_skill_triggers!$1:$1,0)-MATCH($F$1,enemy_skill_triggers!$1:$1,0)+1),MATCH(M$1,enemy_skill_triggers!$1:$1,0)-MATCH($F$1,enemy_skill_triggers!$1:$1,0)+1,FALSE)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1" s="48">
        <f ca="1">VLOOKUP($F341,OFFSET(enemy_skill_triggers!$A$1,0,0,COUNTA(enemy_skill_triggers!$A:$A),MATCH(N$1,enemy_skill_triggers!$1:$1,0)-MATCH($F$1,enemy_skill_triggers!$1:$1,0)+1),MATCH(N$1,enemy_skill_triggers!$1:$1,0)-MATCH($F$1,enemy_skill_triggers!$1:$1,0)+1,FALSE)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41" s="48">
        <f ca="1">VLOOKUP($F341,OFFSET(enemy_skill_triggers!$A$1,0,0,COUNTA(enemy_skill_triggers!$A:$A),MATCH(O$1,enemy_skill_triggers!$1:$1,0)-MATCH($F$1,enemy_skill_triggers!$1:$1,0)+1),MATCH(O$1,enemy_skill_triggers!$1:$1,0)-MATCH($F$1,enemy_skill_triggers!$1:$1,0)+1,FALSE)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1" s="47"/>
      <c r="Q341" s="47"/>
      <c r="R341" s="47"/>
    </row>
    <row r="342" spans="1:18" ht="21" customHeight="1" x14ac:dyDescent="0.15">
      <c r="A342" s="39" t="str">
        <f t="shared" si="18"/>
        <v>39009019_39009049</v>
      </c>
      <c r="B342" s="129">
        <v>39009019</v>
      </c>
      <c r="C342" s="131">
        <v>39009049</v>
      </c>
      <c r="D342" s="46" t="str">
        <f ca="1">VLOOKUP($C342,OFFSET(enemy_skills!$A$1,0,0,COUNTA(enemy_skills!$A:$A),MATCH(D$1,enemy_skills!$1:$1,0)-MATCH("enemy_skill_id",enemy_skills!$1:$1,0)+1),MATCH(D$1,enemy_skills!$1:$1,0)-MATCH("enemy_skill_id",enemy_skills!$1:$1,0)+1,FALSE)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42" s="46" t="str">
        <f ca="1">VLOOKUP($C342,OFFSET(enemy_skills!$A$1,0,0,COUNTA(enemy_skills!$A:$A),MATCH(E$1,enemy_skills!$1:$1,0)-MATCH("enemy_skill_id",enemy_skills!$1:$1,0)+1),MATCH(E$1,enemy_skills!$1:$1,0)-MATCH("enemy_skill_id",enemy_skills!$1:$1,0)+1,FALSE)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2" s="131">
        <v>39009027</v>
      </c>
      <c r="G342" s="48">
        <f ca="1">VLOOKUP($F342,OFFSET(enemy_skill_triggers!$A$1,0,0,COUNTA(enemy_skill_triggers!$A:$A),MATCH(G$1,enemy_skill_triggers!$1:$1,0)-MATCH($F$1,enemy_skill_triggers!$1:$1,0)+1),MATCH(G$1,enemy_skill_triggers!$1:$1,0)-MATCH($F$1,enemy_skill_triggers!$1:$1,0)+1,FALSE)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2" s="48">
        <f ca="1">VLOOKUP($F342,OFFSET(enemy_skill_triggers!$A$1,0,0,COUNTA(enemy_skill_triggers!$A:$A),MATCH(H$1,enemy_skill_triggers!$1:$1,0)-MATCH($F$1,enemy_skill_triggers!$1:$1,0)+1),MATCH(H$1,enemy_skill_triggers!$1:$1,0)-MATCH($F$1,enemy_skill_triggers!$1:$1,0)+1,FALSE)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342" s="48">
        <f ca="1">VLOOKUP($F342,OFFSET(enemy_skill_triggers!$A$1,0,0,COUNTA(enemy_skill_triggers!$A:$A),MATCH(I$1,enemy_skill_triggers!$1:$1,0)-MATCH($F$1,enemy_skill_triggers!$1:$1,0)+1),MATCH(I$1,enemy_skill_triggers!$1:$1,0)-MATCH($F$1,enemy_skill_triggers!$1:$1,0)+1,FALSE)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2" s="48" t="str">
        <f ca="1">VLOOKUP($F342,OFFSET(enemy_skill_triggers!$A$1,0,0,COUNTA(enemy_skill_triggers!$A:$A),MATCH(J$1,enemy_skill_triggers!$1:$1,0)-MATCH($F$1,enemy_skill_triggers!$1:$1,0)+1),MATCH(J$1,enemy_skill_triggers!$1:$1,0)-MATCH($F$1,enemy_skill_triggers!$1:$1,0)+1,FALSE)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2" s="48" t="str">
        <f ca="1">VLOOKUP($F342,OFFSET(enemy_skill_triggers!$A$1,0,0,COUNTA(enemy_skill_triggers!$A:$A),MATCH(K$1,enemy_skill_triggers!$1:$1,0)-MATCH($F$1,enemy_skill_triggers!$1:$1,0)+1),MATCH(K$1,enemy_skill_triggers!$1:$1,0)-MATCH($F$1,enemy_skill_triggers!$1:$1,0)+1,FALSE)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2" s="48">
        <f ca="1">VLOOKUP($F342,OFFSET(enemy_skill_triggers!$A$1,0,0,COUNTA(enemy_skill_triggers!$A:$A),MATCH(L$1,enemy_skill_triggers!$1:$1,0)-MATCH($F$1,enemy_skill_triggers!$1:$1,0)+1),MATCH(L$1,enemy_skill_triggers!$1:$1,0)-MATCH($F$1,enemy_skill_triggers!$1:$1,0)+1,FALSE)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2" s="48" t="str">
        <f ca="1">VLOOKUP($F342,OFFSET(enemy_skill_triggers!$A$1,0,0,COUNTA(enemy_skill_triggers!$A:$A),MATCH(M$1,enemy_skill_triggers!$1:$1,0)-MATCH($F$1,enemy_skill_triggers!$1:$1,0)+1),MATCH(M$1,enemy_skill_triggers!$1:$1,0)-MATCH($F$1,enemy_skill_triggers!$1:$1,0)+1,FALSE)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2" s="48">
        <f ca="1">VLOOKUP($F342,OFFSET(enemy_skill_triggers!$A$1,0,0,COUNTA(enemy_skill_triggers!$A:$A),MATCH(N$1,enemy_skill_triggers!$1:$1,0)-MATCH($F$1,enemy_skill_triggers!$1:$1,0)+1),MATCH(N$1,enemy_skill_triggers!$1:$1,0)-MATCH($F$1,enemy_skill_triggers!$1:$1,0)+1,FALSE)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42" s="48">
        <f ca="1">VLOOKUP($F342,OFFSET(enemy_skill_triggers!$A$1,0,0,COUNTA(enemy_skill_triggers!$A:$A),MATCH(O$1,enemy_skill_triggers!$1:$1,0)-MATCH($F$1,enemy_skill_triggers!$1:$1,0)+1),MATCH(O$1,enemy_skill_triggers!$1:$1,0)-MATCH($F$1,enemy_skill_triggers!$1:$1,0)+1,FALSE)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2" s="47"/>
      <c r="Q342" s="47"/>
      <c r="R342" s="47"/>
    </row>
    <row r="343" spans="1:18" ht="21" customHeight="1" x14ac:dyDescent="0.15">
      <c r="A343" s="39" t="str">
        <f t="shared" si="18"/>
        <v>39009019_39009049</v>
      </c>
      <c r="B343" s="129">
        <v>39009019</v>
      </c>
      <c r="C343" s="131">
        <v>39009049</v>
      </c>
      <c r="D343" s="46" t="str">
        <f ca="1">VLOOKUP($C343,OFFSET(enemy_skills!$A$1,0,0,COUNTA(enemy_skills!$A:$A),MATCH(D$1,enemy_skills!$1:$1,0)-MATCH("enemy_skill_id",enemy_skills!$1:$1,0)+1),MATCH(D$1,enemy_skills!$1:$1,0)-MATCH("enemy_skill_id",enemy_skills!$1:$1,0)+1,FALSE)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43" s="46" t="str">
        <f ca="1">VLOOKUP($C343,OFFSET(enemy_skills!$A$1,0,0,COUNTA(enemy_skills!$A:$A),MATCH(E$1,enemy_skills!$1:$1,0)-MATCH("enemy_skill_id",enemy_skills!$1:$1,0)+1),MATCH(E$1,enemy_skills!$1:$1,0)-MATCH("enemy_skill_id",enemy_skills!$1:$1,0)+1,FALSE)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3" s="131">
        <v>39009028</v>
      </c>
      <c r="G343" s="48">
        <f ca="1">VLOOKUP($F343,OFFSET(enemy_skill_triggers!$A$1,0,0,COUNTA(enemy_skill_triggers!$A:$A),MATCH(G$1,enemy_skill_triggers!$1:$1,0)-MATCH($F$1,enemy_skill_triggers!$1:$1,0)+1),MATCH(G$1,enemy_skill_triggers!$1:$1,0)-MATCH($F$1,enemy_skill_triggers!$1:$1,0)+1,FALSE)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3" s="48">
        <f ca="1">VLOOKUP($F343,OFFSET(enemy_skill_triggers!$A$1,0,0,COUNTA(enemy_skill_triggers!$A:$A),MATCH(H$1,enemy_skill_triggers!$1:$1,0)-MATCH($F$1,enemy_skill_triggers!$1:$1,0)+1),MATCH(H$1,enemy_skill_triggers!$1:$1,0)-MATCH($F$1,enemy_skill_triggers!$1:$1,0)+1,FALSE)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343" s="48">
        <f ca="1">VLOOKUP($F343,OFFSET(enemy_skill_triggers!$A$1,0,0,COUNTA(enemy_skill_triggers!$A:$A),MATCH(I$1,enemy_skill_triggers!$1:$1,0)-MATCH($F$1,enemy_skill_triggers!$1:$1,0)+1),MATCH(I$1,enemy_skill_triggers!$1:$1,0)-MATCH($F$1,enemy_skill_triggers!$1:$1,0)+1,FALSE)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3" s="48" t="str">
        <f ca="1">VLOOKUP($F343,OFFSET(enemy_skill_triggers!$A$1,0,0,COUNTA(enemy_skill_triggers!$A:$A),MATCH(J$1,enemy_skill_triggers!$1:$1,0)-MATCH($F$1,enemy_skill_triggers!$1:$1,0)+1),MATCH(J$1,enemy_skill_triggers!$1:$1,0)-MATCH($F$1,enemy_skill_triggers!$1:$1,0)+1,FALSE)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3" s="48" t="str">
        <f ca="1">VLOOKUP($F343,OFFSET(enemy_skill_triggers!$A$1,0,0,COUNTA(enemy_skill_triggers!$A:$A),MATCH(K$1,enemy_skill_triggers!$1:$1,0)-MATCH($F$1,enemy_skill_triggers!$1:$1,0)+1),MATCH(K$1,enemy_skill_triggers!$1:$1,0)-MATCH($F$1,enemy_skill_triggers!$1:$1,0)+1,FALSE)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3" s="48">
        <f ca="1">VLOOKUP($F343,OFFSET(enemy_skill_triggers!$A$1,0,0,COUNTA(enemy_skill_triggers!$A:$A),MATCH(L$1,enemy_skill_triggers!$1:$1,0)-MATCH($F$1,enemy_skill_triggers!$1:$1,0)+1),MATCH(L$1,enemy_skill_triggers!$1:$1,0)-MATCH($F$1,enemy_skill_triggers!$1:$1,0)+1,FALSE)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3" s="48" t="str">
        <f ca="1">VLOOKUP($F343,OFFSET(enemy_skill_triggers!$A$1,0,0,COUNTA(enemy_skill_triggers!$A:$A),MATCH(M$1,enemy_skill_triggers!$1:$1,0)-MATCH($F$1,enemy_skill_triggers!$1:$1,0)+1),MATCH(M$1,enemy_skill_triggers!$1:$1,0)-MATCH($F$1,enemy_skill_triggers!$1:$1,0)+1,FALSE)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3" s="48">
        <f ca="1">VLOOKUP($F343,OFFSET(enemy_skill_triggers!$A$1,0,0,COUNTA(enemy_skill_triggers!$A:$A),MATCH(N$1,enemy_skill_triggers!$1:$1,0)-MATCH($F$1,enemy_skill_triggers!$1:$1,0)+1),MATCH(N$1,enemy_skill_triggers!$1:$1,0)-MATCH($F$1,enemy_skill_triggers!$1:$1,0)+1,FALSE)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43" s="48">
        <f ca="1">VLOOKUP($F343,OFFSET(enemy_skill_triggers!$A$1,0,0,COUNTA(enemy_skill_triggers!$A:$A),MATCH(O$1,enemy_skill_triggers!$1:$1,0)-MATCH($F$1,enemy_skill_triggers!$1:$1,0)+1),MATCH(O$1,enemy_skill_triggers!$1:$1,0)-MATCH($F$1,enemy_skill_triggers!$1:$1,0)+1,FALSE)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3" s="47"/>
      <c r="Q343" s="47"/>
      <c r="R343" s="47"/>
    </row>
    <row r="344" spans="1:18" ht="21" customHeight="1" x14ac:dyDescent="0.15">
      <c r="A344" s="39" t="str">
        <f t="shared" si="18"/>
        <v>39009019_39009050</v>
      </c>
      <c r="B344" s="129">
        <v>39009019</v>
      </c>
      <c r="C344" s="131">
        <v>39009050</v>
      </c>
      <c r="D344" s="46" t="str">
        <f ca="1">VLOOKUP($C344,OFFSET(enemy_skills!$A$1,0,0,COUNTA(enemy_skills!$A:$A),MATCH(D$1,enemy_skills!$1:$1,0)-MATCH("enemy_skill_id",enemy_skills!$1:$1,0)+1),MATCH(D$1,enemy_skills!$1:$1,0)-MATCH("enemy_skill_id",enemy_skills!$1:$1,0)+1,FALSE)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44" s="46" t="str">
        <f ca="1">VLOOKUP($C344,OFFSET(enemy_skills!$A$1,0,0,COUNTA(enemy_skills!$A:$A),MATCH(E$1,enemy_skills!$1:$1,0)-MATCH("enemy_skill_id",enemy_skills!$1:$1,0)+1),MATCH(E$1,enemy_skills!$1:$1,0)-MATCH("enemy_skill_id",enemy_skills!$1:$1,0)+1,FALSE)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4" s="131">
        <v>39009029</v>
      </c>
      <c r="G344" s="48">
        <f ca="1">VLOOKUP($F344,OFFSET(enemy_skill_triggers!$A$1,0,0,COUNTA(enemy_skill_triggers!$A:$A),MATCH(G$1,enemy_skill_triggers!$1:$1,0)-MATCH($F$1,enemy_skill_triggers!$1:$1,0)+1),MATCH(G$1,enemy_skill_triggers!$1:$1,0)-MATCH($F$1,enemy_skill_triggers!$1:$1,0)+1,FALSE)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4" s="48">
        <f ca="1">VLOOKUP($F344,OFFSET(enemy_skill_triggers!$A$1,0,0,COUNTA(enemy_skill_triggers!$A:$A),MATCH(H$1,enemy_skill_triggers!$1:$1,0)-MATCH($F$1,enemy_skill_triggers!$1:$1,0)+1),MATCH(H$1,enemy_skill_triggers!$1:$1,0)-MATCH($F$1,enemy_skill_triggers!$1:$1,0)+1,FALSE)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44" s="48">
        <f ca="1">VLOOKUP($F344,OFFSET(enemy_skill_triggers!$A$1,0,0,COUNTA(enemy_skill_triggers!$A:$A),MATCH(I$1,enemy_skill_triggers!$1:$1,0)-MATCH($F$1,enemy_skill_triggers!$1:$1,0)+1),MATCH(I$1,enemy_skill_triggers!$1:$1,0)-MATCH($F$1,enemy_skill_triggers!$1:$1,0)+1,FALSE)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4" s="48" t="str">
        <f ca="1">VLOOKUP($F344,OFFSET(enemy_skill_triggers!$A$1,0,0,COUNTA(enemy_skill_triggers!$A:$A),MATCH(J$1,enemy_skill_triggers!$1:$1,0)-MATCH($F$1,enemy_skill_triggers!$1:$1,0)+1),MATCH(J$1,enemy_skill_triggers!$1:$1,0)-MATCH($F$1,enemy_skill_triggers!$1:$1,0)+1,FALSE)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4" s="48" t="str">
        <f ca="1">VLOOKUP($F344,OFFSET(enemy_skill_triggers!$A$1,0,0,COUNTA(enemy_skill_triggers!$A:$A),MATCH(K$1,enemy_skill_triggers!$1:$1,0)-MATCH($F$1,enemy_skill_triggers!$1:$1,0)+1),MATCH(K$1,enemy_skill_triggers!$1:$1,0)-MATCH($F$1,enemy_skill_triggers!$1:$1,0)+1,FALSE)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4" s="48">
        <f ca="1">VLOOKUP($F344,OFFSET(enemy_skill_triggers!$A$1,0,0,COUNTA(enemy_skill_triggers!$A:$A),MATCH(L$1,enemy_skill_triggers!$1:$1,0)-MATCH($F$1,enemy_skill_triggers!$1:$1,0)+1),MATCH(L$1,enemy_skill_triggers!$1:$1,0)-MATCH($F$1,enemy_skill_triggers!$1:$1,0)+1,FALSE)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4" s="48" t="str">
        <f ca="1">VLOOKUP($F344,OFFSET(enemy_skill_triggers!$A$1,0,0,COUNTA(enemy_skill_triggers!$A:$A),MATCH(M$1,enemy_skill_triggers!$1:$1,0)-MATCH($F$1,enemy_skill_triggers!$1:$1,0)+1),MATCH(M$1,enemy_skill_triggers!$1:$1,0)-MATCH($F$1,enemy_skill_triggers!$1:$1,0)+1,FALSE)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4" s="48">
        <f ca="1">VLOOKUP($F344,OFFSET(enemy_skill_triggers!$A$1,0,0,COUNTA(enemy_skill_triggers!$A:$A),MATCH(N$1,enemy_skill_triggers!$1:$1,0)-MATCH($F$1,enemy_skill_triggers!$1:$1,0)+1),MATCH(N$1,enemy_skill_triggers!$1:$1,0)-MATCH($F$1,enemy_skill_triggers!$1:$1,0)+1,FALSE)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44" s="48">
        <f ca="1">VLOOKUP($F344,OFFSET(enemy_skill_triggers!$A$1,0,0,COUNTA(enemy_skill_triggers!$A:$A),MATCH(O$1,enemy_skill_triggers!$1:$1,0)-MATCH($F$1,enemy_skill_triggers!$1:$1,0)+1),MATCH(O$1,enemy_skill_triggers!$1:$1,0)-MATCH($F$1,enemy_skill_triggers!$1:$1,0)+1,FALSE)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4" s="47"/>
      <c r="Q344" s="47"/>
      <c r="R344" s="47"/>
    </row>
    <row r="345" spans="1:18" ht="21" customHeight="1" x14ac:dyDescent="0.15">
      <c r="A345" s="39" t="str">
        <f t="shared" si="18"/>
        <v>39009019_39009050</v>
      </c>
      <c r="B345" s="129">
        <v>39009019</v>
      </c>
      <c r="C345" s="131">
        <v>39009050</v>
      </c>
      <c r="D345" s="46" t="str">
        <f ca="1">VLOOKUP($C345,OFFSET(enemy_skills!$A$1,0,0,COUNTA(enemy_skills!$A:$A),MATCH(D$1,enemy_skills!$1:$1,0)-MATCH("enemy_skill_id",enemy_skills!$1:$1,0)+1),MATCH(D$1,enemy_skills!$1:$1,0)-MATCH("enemy_skill_id",enemy_skills!$1:$1,0)+1,FALSE)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45" s="46" t="str">
        <f ca="1">VLOOKUP($C345,OFFSET(enemy_skills!$A$1,0,0,COUNTA(enemy_skills!$A:$A),MATCH(E$1,enemy_skills!$1:$1,0)-MATCH("enemy_skill_id",enemy_skills!$1:$1,0)+1),MATCH(E$1,enemy_skills!$1:$1,0)-MATCH("enemy_skill_id",enemy_skills!$1:$1,0)+1,FALSE)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5" s="131">
        <v>39009030</v>
      </c>
      <c r="G345" s="48">
        <f ca="1">VLOOKUP($F345,OFFSET(enemy_skill_triggers!$A$1,0,0,COUNTA(enemy_skill_triggers!$A:$A),MATCH(G$1,enemy_skill_triggers!$1:$1,0)-MATCH($F$1,enemy_skill_triggers!$1:$1,0)+1),MATCH(G$1,enemy_skill_triggers!$1:$1,0)-MATCH($F$1,enemy_skill_triggers!$1:$1,0)+1,FALSE)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5" s="48">
        <f ca="1">VLOOKUP($F345,OFFSET(enemy_skill_triggers!$A$1,0,0,COUNTA(enemy_skill_triggers!$A:$A),MATCH(H$1,enemy_skill_triggers!$1:$1,0)-MATCH($F$1,enemy_skill_triggers!$1:$1,0)+1),MATCH(H$1,enemy_skill_triggers!$1:$1,0)-MATCH($F$1,enemy_skill_triggers!$1:$1,0)+1,FALSE)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345" s="48">
        <f ca="1">VLOOKUP($F345,OFFSET(enemy_skill_triggers!$A$1,0,0,COUNTA(enemy_skill_triggers!$A:$A),MATCH(I$1,enemy_skill_triggers!$1:$1,0)-MATCH($F$1,enemy_skill_triggers!$1:$1,0)+1),MATCH(I$1,enemy_skill_triggers!$1:$1,0)-MATCH($F$1,enemy_skill_triggers!$1:$1,0)+1,FALSE)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5" s="48" t="str">
        <f ca="1">VLOOKUP($F345,OFFSET(enemy_skill_triggers!$A$1,0,0,COUNTA(enemy_skill_triggers!$A:$A),MATCH(J$1,enemy_skill_triggers!$1:$1,0)-MATCH($F$1,enemy_skill_triggers!$1:$1,0)+1),MATCH(J$1,enemy_skill_triggers!$1:$1,0)-MATCH($F$1,enemy_skill_triggers!$1:$1,0)+1,FALSE)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5" s="48" t="str">
        <f ca="1">VLOOKUP($F345,OFFSET(enemy_skill_triggers!$A$1,0,0,COUNTA(enemy_skill_triggers!$A:$A),MATCH(K$1,enemy_skill_triggers!$1:$1,0)-MATCH($F$1,enemy_skill_triggers!$1:$1,0)+1),MATCH(K$1,enemy_skill_triggers!$1:$1,0)-MATCH($F$1,enemy_skill_triggers!$1:$1,0)+1,FALSE)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5" s="48">
        <f ca="1">VLOOKUP($F345,OFFSET(enemy_skill_triggers!$A$1,0,0,COUNTA(enemy_skill_triggers!$A:$A),MATCH(L$1,enemy_skill_triggers!$1:$1,0)-MATCH($F$1,enemy_skill_triggers!$1:$1,0)+1),MATCH(L$1,enemy_skill_triggers!$1:$1,0)-MATCH($F$1,enemy_skill_triggers!$1:$1,0)+1,FALSE)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5" s="48" t="str">
        <f ca="1">VLOOKUP($F345,OFFSET(enemy_skill_triggers!$A$1,0,0,COUNTA(enemy_skill_triggers!$A:$A),MATCH(M$1,enemy_skill_triggers!$1:$1,0)-MATCH($F$1,enemy_skill_triggers!$1:$1,0)+1),MATCH(M$1,enemy_skill_triggers!$1:$1,0)-MATCH($F$1,enemy_skill_triggers!$1:$1,0)+1,FALSE)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5" s="48">
        <f ca="1">VLOOKUP($F345,OFFSET(enemy_skill_triggers!$A$1,0,0,COUNTA(enemy_skill_triggers!$A:$A),MATCH(N$1,enemy_skill_triggers!$1:$1,0)-MATCH($F$1,enemy_skill_triggers!$1:$1,0)+1),MATCH(N$1,enemy_skill_triggers!$1:$1,0)-MATCH($F$1,enemy_skill_triggers!$1:$1,0)+1,FALSE)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45" s="48">
        <f ca="1">VLOOKUP($F345,OFFSET(enemy_skill_triggers!$A$1,0,0,COUNTA(enemy_skill_triggers!$A:$A),MATCH(O$1,enemy_skill_triggers!$1:$1,0)-MATCH($F$1,enemy_skill_triggers!$1:$1,0)+1),MATCH(O$1,enemy_skill_triggers!$1:$1,0)-MATCH($F$1,enemy_skill_triggers!$1:$1,0)+1,FALSE)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5" s="47"/>
      <c r="Q345" s="47"/>
      <c r="R345" s="47"/>
    </row>
    <row r="346" spans="1:18" ht="21" customHeight="1" x14ac:dyDescent="0.15">
      <c r="A346" s="39" t="str">
        <f t="shared" si="18"/>
        <v>39009019_39009055</v>
      </c>
      <c r="B346" s="129">
        <v>39009019</v>
      </c>
      <c r="C346" s="131">
        <v>39009055</v>
      </c>
      <c r="D346" s="46" t="str">
        <f ca="1">VLOOKUP($C346,OFFSET(enemy_skills!$A$1,0,0,COUNTA(enemy_skills!$A:$A),MATCH(D$1,enemy_skills!$1:$1,0)-MATCH("enemy_skill_id",enemy_skills!$1:$1,0)+1),MATCH(D$1,enemy_skills!$1:$1,0)-MATCH("enemy_skill_id",enemy_skills!$1:$1,0)+1,FALSE)</f>
        <v>KAITOさーん！_x000D_アイスの星座つくろっ☆</v>
      </c>
      <c r="E346" s="46" t="str">
        <f ca="1">VLOOKUP($C346,OFFSET(enemy_skills!$A$1,0,0,COUNTA(enemy_skills!$A:$A),MATCH(E$1,enemy_skills!$1:$1,0)-MATCH("enemy_skill_id",enemy_skills!$1:$1,0)+1),MATCH(E$1,enemy_skills!$1:$1,0)-MATCH("enemy_skill_id",enemy_skills!$1:$1,0)+1,FALSE)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6" s="131">
        <v>39009031</v>
      </c>
      <c r="G346" s="48">
        <f ca="1">VLOOKUP($F346,OFFSET(enemy_skill_triggers!$A$1,0,0,COUNTA(enemy_skill_triggers!$A:$A),MATCH(G$1,enemy_skill_triggers!$1:$1,0)-MATCH($F$1,enemy_skill_triggers!$1:$1,0)+1),MATCH(G$1,enemy_skill_triggers!$1:$1,0)-MATCH($F$1,enemy_skill_triggers!$1:$1,0)+1,FALSE)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6" s="48">
        <f ca="1">VLOOKUP($F346,OFFSET(enemy_skill_triggers!$A$1,0,0,COUNTA(enemy_skill_triggers!$A:$A),MATCH(H$1,enemy_skill_triggers!$1:$1,0)-MATCH($F$1,enemy_skill_triggers!$1:$1,0)+1),MATCH(H$1,enemy_skill_triggers!$1:$1,0)-MATCH($F$1,enemy_skill_triggers!$1:$1,0)+1,FALSE)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346" s="48">
        <f ca="1">VLOOKUP($F346,OFFSET(enemy_skill_triggers!$A$1,0,0,COUNTA(enemy_skill_triggers!$A:$A),MATCH(I$1,enemy_skill_triggers!$1:$1,0)-MATCH($F$1,enemy_skill_triggers!$1:$1,0)+1),MATCH(I$1,enemy_skill_triggers!$1:$1,0)-MATCH($F$1,enemy_skill_triggers!$1:$1,0)+1,FALSE)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6" s="48" t="str">
        <f ca="1">VLOOKUP($F346,OFFSET(enemy_skill_triggers!$A$1,0,0,COUNTA(enemy_skill_triggers!$A:$A),MATCH(J$1,enemy_skill_triggers!$1:$1,0)-MATCH($F$1,enemy_skill_triggers!$1:$1,0)+1),MATCH(J$1,enemy_skill_triggers!$1:$1,0)-MATCH($F$1,enemy_skill_triggers!$1:$1,0)+1,FALSE)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6" s="48" t="str">
        <f ca="1">VLOOKUP($F346,OFFSET(enemy_skill_triggers!$A$1,0,0,COUNTA(enemy_skill_triggers!$A:$A),MATCH(K$1,enemy_skill_triggers!$1:$1,0)-MATCH($F$1,enemy_skill_triggers!$1:$1,0)+1),MATCH(K$1,enemy_skill_triggers!$1:$1,0)-MATCH($F$1,enemy_skill_triggers!$1:$1,0)+1,FALSE)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6" s="48">
        <f ca="1">VLOOKUP($F346,OFFSET(enemy_skill_triggers!$A$1,0,0,COUNTA(enemy_skill_triggers!$A:$A),MATCH(L$1,enemy_skill_triggers!$1:$1,0)-MATCH($F$1,enemy_skill_triggers!$1:$1,0)+1),MATCH(L$1,enemy_skill_triggers!$1:$1,0)-MATCH($F$1,enemy_skill_triggers!$1:$1,0)+1,FALSE)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6" s="48" t="str">
        <f ca="1">VLOOKUP($F346,OFFSET(enemy_skill_triggers!$A$1,0,0,COUNTA(enemy_skill_triggers!$A:$A),MATCH(M$1,enemy_skill_triggers!$1:$1,0)-MATCH($F$1,enemy_skill_triggers!$1:$1,0)+1),MATCH(M$1,enemy_skill_triggers!$1:$1,0)-MATCH($F$1,enemy_skill_triggers!$1:$1,0)+1,FALSE)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6" s="48">
        <f ca="1">VLOOKUP($F346,OFFSET(enemy_skill_triggers!$A$1,0,0,COUNTA(enemy_skill_triggers!$A:$A),MATCH(N$1,enemy_skill_triggers!$1:$1,0)-MATCH($F$1,enemy_skill_triggers!$1:$1,0)+1),MATCH(N$1,enemy_skill_triggers!$1:$1,0)-MATCH($F$1,enemy_skill_triggers!$1:$1,0)+1,FALSE)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46" s="48">
        <f ca="1">VLOOKUP($F346,OFFSET(enemy_skill_triggers!$A$1,0,0,COUNTA(enemy_skill_triggers!$A:$A),MATCH(O$1,enemy_skill_triggers!$1:$1,0)-MATCH($F$1,enemy_skill_triggers!$1:$1,0)+1),MATCH(O$1,enemy_skill_triggers!$1:$1,0)-MATCH($F$1,enemy_skill_triggers!$1:$1,0)+1,FALSE)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6" s="47"/>
      <c r="Q346" s="47"/>
      <c r="R346" s="47"/>
    </row>
    <row r="347" spans="1:18" ht="21" customHeight="1" x14ac:dyDescent="0.15">
      <c r="A347" s="39" t="str">
        <f t="shared" si="18"/>
        <v>39009019_39009049</v>
      </c>
      <c r="B347" s="129">
        <v>39009019</v>
      </c>
      <c r="C347" s="131">
        <v>39009049</v>
      </c>
      <c r="D347" s="46" t="str">
        <f ca="1">VLOOKUP($C347,OFFSET(enemy_skills!$A$1,0,0,COUNTA(enemy_skills!$A:$A),MATCH(D$1,enemy_skills!$1:$1,0)-MATCH("enemy_skill_id",enemy_skills!$1:$1,0)+1),MATCH(D$1,enemy_skills!$1:$1,0)-MATCH("enemy_skill_id",enemy_skills!$1:$1,0)+1,FALSE)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47" s="46" t="str">
        <f ca="1">VLOOKUP($C347,OFFSET(enemy_skills!$A$1,0,0,COUNTA(enemy_skills!$A:$A),MATCH(E$1,enemy_skills!$1:$1,0)-MATCH("enemy_skill_id",enemy_skills!$1:$1,0)+1),MATCH(E$1,enemy_skills!$1:$1,0)-MATCH("enemy_skill_id",enemy_skills!$1:$1,0)+1,FALSE)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7" s="131">
        <v>39009032</v>
      </c>
      <c r="G347" s="48">
        <f ca="1">VLOOKUP($F347,OFFSET(enemy_skill_triggers!$A$1,0,0,COUNTA(enemy_skill_triggers!$A:$A),MATCH(G$1,enemy_skill_triggers!$1:$1,0)-MATCH($F$1,enemy_skill_triggers!$1:$1,0)+1),MATCH(G$1,enemy_skill_triggers!$1:$1,0)-MATCH($F$1,enemy_skill_triggers!$1:$1,0)+1,FALSE)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7" s="48">
        <f ca="1">VLOOKUP($F347,OFFSET(enemy_skill_triggers!$A$1,0,0,COUNTA(enemy_skill_triggers!$A:$A),MATCH(H$1,enemy_skill_triggers!$1:$1,0)-MATCH($F$1,enemy_skill_triggers!$1:$1,0)+1),MATCH(H$1,enemy_skill_triggers!$1:$1,0)-MATCH($F$1,enemy_skill_triggers!$1:$1,0)+1,FALSE)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47" s="48">
        <f ca="1">VLOOKUP($F347,OFFSET(enemy_skill_triggers!$A$1,0,0,COUNTA(enemy_skill_triggers!$A:$A),MATCH(I$1,enemy_skill_triggers!$1:$1,0)-MATCH($F$1,enemy_skill_triggers!$1:$1,0)+1),MATCH(I$1,enemy_skill_triggers!$1:$1,0)-MATCH($F$1,enemy_skill_triggers!$1:$1,0)+1,FALSE)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7" s="48" t="str">
        <f ca="1">VLOOKUP($F347,OFFSET(enemy_skill_triggers!$A$1,0,0,COUNTA(enemy_skill_triggers!$A:$A),MATCH(J$1,enemy_skill_triggers!$1:$1,0)-MATCH($F$1,enemy_skill_triggers!$1:$1,0)+1),MATCH(J$1,enemy_skill_triggers!$1:$1,0)-MATCH($F$1,enemy_skill_triggers!$1:$1,0)+1,FALSE)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7" s="48" t="str">
        <f ca="1">VLOOKUP($F347,OFFSET(enemy_skill_triggers!$A$1,0,0,COUNTA(enemy_skill_triggers!$A:$A),MATCH(K$1,enemy_skill_triggers!$1:$1,0)-MATCH($F$1,enemy_skill_triggers!$1:$1,0)+1),MATCH(K$1,enemy_skill_triggers!$1:$1,0)-MATCH($F$1,enemy_skill_triggers!$1:$1,0)+1,FALSE)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7" s="48">
        <f ca="1">VLOOKUP($F347,OFFSET(enemy_skill_triggers!$A$1,0,0,COUNTA(enemy_skill_triggers!$A:$A),MATCH(L$1,enemy_skill_triggers!$1:$1,0)-MATCH($F$1,enemy_skill_triggers!$1:$1,0)+1),MATCH(L$1,enemy_skill_triggers!$1:$1,0)-MATCH($F$1,enemy_skill_triggers!$1:$1,0)+1,FALSE)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7" s="48" t="str">
        <f ca="1">VLOOKUP($F347,OFFSET(enemy_skill_triggers!$A$1,0,0,COUNTA(enemy_skill_triggers!$A:$A),MATCH(M$1,enemy_skill_triggers!$1:$1,0)-MATCH($F$1,enemy_skill_triggers!$1:$1,0)+1),MATCH(M$1,enemy_skill_triggers!$1:$1,0)-MATCH($F$1,enemy_skill_triggers!$1:$1,0)+1,FALSE)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7" s="48">
        <f ca="1">VLOOKUP($F347,OFFSET(enemy_skill_triggers!$A$1,0,0,COUNTA(enemy_skill_triggers!$A:$A),MATCH(N$1,enemy_skill_triggers!$1:$1,0)-MATCH($F$1,enemy_skill_triggers!$1:$1,0)+1),MATCH(N$1,enemy_skill_triggers!$1:$1,0)-MATCH($F$1,enemy_skill_triggers!$1:$1,0)+1,FALSE)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347" s="48">
        <f ca="1">VLOOKUP($F347,OFFSET(enemy_skill_triggers!$A$1,0,0,COUNTA(enemy_skill_triggers!$A:$A),MATCH(O$1,enemy_skill_triggers!$1:$1,0)-MATCH($F$1,enemy_skill_triggers!$1:$1,0)+1),MATCH(O$1,enemy_skill_triggers!$1:$1,0)-MATCH($F$1,enemy_skill_triggers!$1:$1,0)+1,FALSE)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7" s="47"/>
      <c r="Q347" s="47"/>
      <c r="R347" s="47"/>
    </row>
    <row r="348" spans="1:18" ht="21" customHeight="1" x14ac:dyDescent="0.15">
      <c r="A348" s="39" t="str">
        <f t="shared" si="18"/>
        <v>39009019_39009049</v>
      </c>
      <c r="B348" s="129">
        <v>39009019</v>
      </c>
      <c r="C348" s="131">
        <v>39009049</v>
      </c>
      <c r="D348" s="46" t="str">
        <f ca="1">VLOOKUP($C348,OFFSET(enemy_skills!$A$1,0,0,COUNTA(enemy_skills!$A:$A),MATCH(D$1,enemy_skills!$1:$1,0)-MATCH("enemy_skill_id",enemy_skills!$1:$1,0)+1),MATCH(D$1,enemy_skills!$1:$1,0)-MATCH("enemy_skill_id",enemy_skills!$1:$1,0)+1,FALSE)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48" s="46" t="str">
        <f ca="1">VLOOKUP($C348,OFFSET(enemy_skills!$A$1,0,0,COUNTA(enemy_skills!$A:$A),MATCH(E$1,enemy_skills!$1:$1,0)-MATCH("enemy_skill_id",enemy_skills!$1:$1,0)+1),MATCH(E$1,enemy_skills!$1:$1,0)-MATCH("enemy_skill_id",enemy_skills!$1:$1,0)+1,FALSE)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8" s="131">
        <v>39009033</v>
      </c>
      <c r="G348" s="48">
        <f ca="1">VLOOKUP($F348,OFFSET(enemy_skill_triggers!$A$1,0,0,COUNTA(enemy_skill_triggers!$A:$A),MATCH(G$1,enemy_skill_triggers!$1:$1,0)-MATCH($F$1,enemy_skill_triggers!$1:$1,0)+1),MATCH(G$1,enemy_skill_triggers!$1:$1,0)-MATCH($F$1,enemy_skill_triggers!$1:$1,0)+1,FALSE)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8" s="48">
        <f ca="1">VLOOKUP($F348,OFFSET(enemy_skill_triggers!$A$1,0,0,COUNTA(enemy_skill_triggers!$A:$A),MATCH(H$1,enemy_skill_triggers!$1:$1,0)-MATCH($F$1,enemy_skill_triggers!$1:$1,0)+1),MATCH(H$1,enemy_skill_triggers!$1:$1,0)-MATCH($F$1,enemy_skill_triggers!$1:$1,0)+1,FALSE)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48" s="48">
        <f ca="1">VLOOKUP($F348,OFFSET(enemy_skill_triggers!$A$1,0,0,COUNTA(enemy_skill_triggers!$A:$A),MATCH(I$1,enemy_skill_triggers!$1:$1,0)-MATCH($F$1,enemy_skill_triggers!$1:$1,0)+1),MATCH(I$1,enemy_skill_triggers!$1:$1,0)-MATCH($F$1,enemy_skill_triggers!$1:$1,0)+1,FALSE)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8" s="48" t="str">
        <f ca="1">VLOOKUP($F348,OFFSET(enemy_skill_triggers!$A$1,0,0,COUNTA(enemy_skill_triggers!$A:$A),MATCH(J$1,enemy_skill_triggers!$1:$1,0)-MATCH($F$1,enemy_skill_triggers!$1:$1,0)+1),MATCH(J$1,enemy_skill_triggers!$1:$1,0)-MATCH($F$1,enemy_skill_triggers!$1:$1,0)+1,FALSE)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8" s="48" t="str">
        <f ca="1">VLOOKUP($F348,OFFSET(enemy_skill_triggers!$A$1,0,0,COUNTA(enemy_skill_triggers!$A:$A),MATCH(K$1,enemy_skill_triggers!$1:$1,0)-MATCH($F$1,enemy_skill_triggers!$1:$1,0)+1),MATCH(K$1,enemy_skill_triggers!$1:$1,0)-MATCH($F$1,enemy_skill_triggers!$1:$1,0)+1,FALSE)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8" s="48">
        <f ca="1">VLOOKUP($F348,OFFSET(enemy_skill_triggers!$A$1,0,0,COUNTA(enemy_skill_triggers!$A:$A),MATCH(L$1,enemy_skill_triggers!$1:$1,0)-MATCH($F$1,enemy_skill_triggers!$1:$1,0)+1),MATCH(L$1,enemy_skill_triggers!$1:$1,0)-MATCH($F$1,enemy_skill_triggers!$1:$1,0)+1,FALSE)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8" s="48" t="str">
        <f ca="1">VLOOKUP($F348,OFFSET(enemy_skill_triggers!$A$1,0,0,COUNTA(enemy_skill_triggers!$A:$A),MATCH(M$1,enemy_skill_triggers!$1:$1,0)-MATCH($F$1,enemy_skill_triggers!$1:$1,0)+1),MATCH(M$1,enemy_skill_triggers!$1:$1,0)-MATCH($F$1,enemy_skill_triggers!$1:$1,0)+1,FALSE)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8" s="48">
        <f ca="1">VLOOKUP($F348,OFFSET(enemy_skill_triggers!$A$1,0,0,COUNTA(enemy_skill_triggers!$A:$A),MATCH(N$1,enemy_skill_triggers!$1:$1,0)-MATCH($F$1,enemy_skill_triggers!$1:$1,0)+1),MATCH(N$1,enemy_skill_triggers!$1:$1,0)-MATCH($F$1,enemy_skill_triggers!$1:$1,0)+1,FALSE)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348" s="48">
        <f ca="1">VLOOKUP($F348,OFFSET(enemy_skill_triggers!$A$1,0,0,COUNTA(enemy_skill_triggers!$A:$A),MATCH(O$1,enemy_skill_triggers!$1:$1,0)-MATCH($F$1,enemy_skill_triggers!$1:$1,0)+1),MATCH(O$1,enemy_skill_triggers!$1:$1,0)-MATCH($F$1,enemy_skill_triggers!$1:$1,0)+1,FALSE)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8" s="47"/>
      <c r="Q348" s="47"/>
      <c r="R348" s="47"/>
    </row>
    <row r="349" spans="1:18" ht="21" customHeight="1" x14ac:dyDescent="0.15">
      <c r="A349" s="39" t="str">
        <f t="shared" si="18"/>
        <v>39009019_39009048</v>
      </c>
      <c r="B349" s="129">
        <v>39009019</v>
      </c>
      <c r="C349" s="131">
        <v>39009048</v>
      </c>
      <c r="D349" s="46" t="str">
        <f ca="1">VLOOKUP($C349,OFFSET(enemy_skills!$A$1,0,0,COUNTA(enemy_skills!$A:$A),MATCH(D$1,enemy_skills!$1:$1,0)-MATCH("enemy_skill_id",enemy_skills!$1:$1,0)+1),MATCH(D$1,enemy_skills!$1:$1,0)-MATCH("enemy_skill_id",enemy_skills!$1:$1,0)+1,FALSE)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349" s="46" t="str">
        <f ca="1">VLOOKUP($C349,OFFSET(enemy_skills!$A$1,0,0,COUNTA(enemy_skills!$A:$A),MATCH(E$1,enemy_skills!$1:$1,0)-MATCH("enemy_skill_id",enemy_skills!$1:$1,0)+1),MATCH(E$1,enemy_skills!$1:$1,0)-MATCH("enemy_skill_id",enemy_skills!$1:$1,0)+1,FALSE)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9" s="131">
        <v>39009034</v>
      </c>
      <c r="G349" s="48">
        <f ca="1">VLOOKUP($F349,OFFSET(enemy_skill_triggers!$A$1,0,0,COUNTA(enemy_skill_triggers!$A:$A),MATCH(G$1,enemy_skill_triggers!$1:$1,0)-MATCH($F$1,enemy_skill_triggers!$1:$1,0)+1),MATCH(G$1,enemy_skill_triggers!$1:$1,0)-MATCH($F$1,enemy_skill_triggers!$1:$1,0)+1,FALSE)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9" s="48">
        <f ca="1">VLOOKUP($F349,OFFSET(enemy_skill_triggers!$A$1,0,0,COUNTA(enemy_skill_triggers!$A:$A),MATCH(H$1,enemy_skill_triggers!$1:$1,0)-MATCH($F$1,enemy_skill_triggers!$1:$1,0)+1),MATCH(H$1,enemy_skill_triggers!$1:$1,0)-MATCH($F$1,enemy_skill_triggers!$1:$1,0)+1,FALSE)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9" s="48">
        <f ca="1">VLOOKUP($F349,OFFSET(enemy_skill_triggers!$A$1,0,0,COUNTA(enemy_skill_triggers!$A:$A),MATCH(I$1,enemy_skill_triggers!$1:$1,0)-MATCH($F$1,enemy_skill_triggers!$1:$1,0)+1),MATCH(I$1,enemy_skill_triggers!$1:$1,0)-MATCH($F$1,enemy_skill_triggers!$1:$1,0)+1,FALSE)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9" s="48" t="str">
        <f ca="1">VLOOKUP($F349,OFFSET(enemy_skill_triggers!$A$1,0,0,COUNTA(enemy_skill_triggers!$A:$A),MATCH(J$1,enemy_skill_triggers!$1:$1,0)-MATCH($F$1,enemy_skill_triggers!$1:$1,0)+1),MATCH(J$1,enemy_skill_triggers!$1:$1,0)-MATCH($F$1,enemy_skill_triggers!$1:$1,0)+1,FALSE)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9" s="48" t="str">
        <f ca="1">VLOOKUP($F349,OFFSET(enemy_skill_triggers!$A$1,0,0,COUNTA(enemy_skill_triggers!$A:$A),MATCH(K$1,enemy_skill_triggers!$1:$1,0)-MATCH($F$1,enemy_skill_triggers!$1:$1,0)+1),MATCH(K$1,enemy_skill_triggers!$1:$1,0)-MATCH($F$1,enemy_skill_triggers!$1:$1,0)+1,FALSE)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9" s="48">
        <f ca="1">VLOOKUP($F349,OFFSET(enemy_skill_triggers!$A$1,0,0,COUNTA(enemy_skill_triggers!$A:$A),MATCH(L$1,enemy_skill_triggers!$1:$1,0)-MATCH($F$1,enemy_skill_triggers!$1:$1,0)+1),MATCH(L$1,enemy_skill_triggers!$1:$1,0)-MATCH($F$1,enemy_skill_triggers!$1:$1,0)+1,FALSE)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9" s="48" t="str">
        <f ca="1">VLOOKUP($F349,OFFSET(enemy_skill_triggers!$A$1,0,0,COUNTA(enemy_skill_triggers!$A:$A),MATCH(M$1,enemy_skill_triggers!$1:$1,0)-MATCH($F$1,enemy_skill_triggers!$1:$1,0)+1),MATCH(M$1,enemy_skill_triggers!$1:$1,0)-MATCH($F$1,enemy_skill_triggers!$1:$1,0)+1,FALSE)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9" s="48">
        <f ca="1">VLOOKUP($F349,OFFSET(enemy_skill_triggers!$A$1,0,0,COUNTA(enemy_skill_triggers!$A:$A),MATCH(N$1,enemy_skill_triggers!$1:$1,0)-MATCH($F$1,enemy_skill_triggers!$1:$1,0)+1),MATCH(N$1,enemy_skill_triggers!$1:$1,0)-MATCH($F$1,enemy_skill_triggers!$1:$1,0)+1,FALSE)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349" s="48">
        <f ca="1">VLOOKUP($F349,OFFSET(enemy_skill_triggers!$A$1,0,0,COUNTA(enemy_skill_triggers!$A:$A),MATCH(O$1,enemy_skill_triggers!$1:$1,0)-MATCH($F$1,enemy_skill_triggers!$1:$1,0)+1),MATCH(O$1,enemy_skill_triggers!$1:$1,0)-MATCH($F$1,enemy_skill_triggers!$1:$1,0)+1,FALSE)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9" s="47"/>
      <c r="Q349" s="47"/>
      <c r="R349" s="47"/>
    </row>
    <row r="350" spans="1:18" ht="21" customHeight="1" x14ac:dyDescent="0.15">
      <c r="A350" s="39" t="str">
        <f t="shared" si="18"/>
        <v>39009019_39009048</v>
      </c>
      <c r="B350" s="129">
        <v>39009019</v>
      </c>
      <c r="C350" s="131">
        <v>39009048</v>
      </c>
      <c r="D350" s="46" t="str">
        <f ca="1">VLOOKUP($C350,OFFSET(enemy_skills!$A$1,0,0,COUNTA(enemy_skills!$A:$A),MATCH(D$1,enemy_skills!$1:$1,0)-MATCH("enemy_skill_id",enemy_skills!$1:$1,0)+1),MATCH(D$1,enemy_skills!$1:$1,0)-MATCH("enemy_skill_id",enemy_skills!$1:$1,0)+1,FALSE)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350" s="46" t="str">
        <f ca="1">VLOOKUP($C350,OFFSET(enemy_skills!$A$1,0,0,COUNTA(enemy_skills!$A:$A),MATCH(E$1,enemy_skills!$1:$1,0)-MATCH("enemy_skill_id",enemy_skills!$1:$1,0)+1),MATCH(E$1,enemy_skills!$1:$1,0)-MATCH("enemy_skill_id",enemy_skills!$1:$1,0)+1,FALSE)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0" s="131">
        <v>39009035</v>
      </c>
      <c r="G350" s="48">
        <f ca="1">VLOOKUP($F350,OFFSET(enemy_skill_triggers!$A$1,0,0,COUNTA(enemy_skill_triggers!$A:$A),MATCH(G$1,enemy_skill_triggers!$1:$1,0)-MATCH($F$1,enemy_skill_triggers!$1:$1,0)+1),MATCH(G$1,enemy_skill_triggers!$1:$1,0)-MATCH($F$1,enemy_skill_triggers!$1:$1,0)+1,FALSE)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0" s="48">
        <f ca="1">VLOOKUP($F350,OFFSET(enemy_skill_triggers!$A$1,0,0,COUNTA(enemy_skill_triggers!$A:$A),MATCH(H$1,enemy_skill_triggers!$1:$1,0)-MATCH($F$1,enemy_skill_triggers!$1:$1,0)+1),MATCH(H$1,enemy_skill_triggers!$1:$1,0)-MATCH($F$1,enemy_skill_triggers!$1:$1,0)+1,FALSE)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50" s="48">
        <f ca="1">VLOOKUP($F350,OFFSET(enemy_skill_triggers!$A$1,0,0,COUNTA(enemy_skill_triggers!$A:$A),MATCH(I$1,enemy_skill_triggers!$1:$1,0)-MATCH($F$1,enemy_skill_triggers!$1:$1,0)+1),MATCH(I$1,enemy_skill_triggers!$1:$1,0)-MATCH($F$1,enemy_skill_triggers!$1:$1,0)+1,FALSE)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0" s="48" t="str">
        <f ca="1">VLOOKUP($F350,OFFSET(enemy_skill_triggers!$A$1,0,0,COUNTA(enemy_skill_triggers!$A:$A),MATCH(J$1,enemy_skill_triggers!$1:$1,0)-MATCH($F$1,enemy_skill_triggers!$1:$1,0)+1),MATCH(J$1,enemy_skill_triggers!$1:$1,0)-MATCH($F$1,enemy_skill_triggers!$1:$1,0)+1,FALSE)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0" s="48" t="str">
        <f ca="1">VLOOKUP($F350,OFFSET(enemy_skill_triggers!$A$1,0,0,COUNTA(enemy_skill_triggers!$A:$A),MATCH(K$1,enemy_skill_triggers!$1:$1,0)-MATCH($F$1,enemy_skill_triggers!$1:$1,0)+1),MATCH(K$1,enemy_skill_triggers!$1:$1,0)-MATCH($F$1,enemy_skill_triggers!$1:$1,0)+1,FALSE)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0" s="48">
        <f ca="1">VLOOKUP($F350,OFFSET(enemy_skill_triggers!$A$1,0,0,COUNTA(enemy_skill_triggers!$A:$A),MATCH(L$1,enemy_skill_triggers!$1:$1,0)-MATCH($F$1,enemy_skill_triggers!$1:$1,0)+1),MATCH(L$1,enemy_skill_triggers!$1:$1,0)-MATCH($F$1,enemy_skill_triggers!$1:$1,0)+1,FALSE)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0" s="48" t="str">
        <f ca="1">VLOOKUP($F350,OFFSET(enemy_skill_triggers!$A$1,0,0,COUNTA(enemy_skill_triggers!$A:$A),MATCH(M$1,enemy_skill_triggers!$1:$1,0)-MATCH($F$1,enemy_skill_triggers!$1:$1,0)+1),MATCH(M$1,enemy_skill_triggers!$1:$1,0)-MATCH($F$1,enemy_skill_triggers!$1:$1,0)+1,FALSE)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0" s="48">
        <f ca="1">VLOOKUP($F350,OFFSET(enemy_skill_triggers!$A$1,0,0,COUNTA(enemy_skill_triggers!$A:$A),MATCH(N$1,enemy_skill_triggers!$1:$1,0)-MATCH($F$1,enemy_skill_triggers!$1:$1,0)+1),MATCH(N$1,enemy_skill_triggers!$1:$1,0)-MATCH($F$1,enemy_skill_triggers!$1:$1,0)+1,FALSE)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350" s="48">
        <f ca="1">VLOOKUP($F350,OFFSET(enemy_skill_triggers!$A$1,0,0,COUNTA(enemy_skill_triggers!$A:$A),MATCH(O$1,enemy_skill_triggers!$1:$1,0)-MATCH($F$1,enemy_skill_triggers!$1:$1,0)+1),MATCH(O$1,enemy_skill_triggers!$1:$1,0)-MATCH($F$1,enemy_skill_triggers!$1:$1,0)+1,FALSE)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0" s="47"/>
      <c r="Q350" s="47"/>
      <c r="R350" s="47"/>
    </row>
    <row r="351" spans="1:18" ht="21" customHeight="1" x14ac:dyDescent="0.15">
      <c r="A351" s="39" t="str">
        <f t="shared" si="18"/>
        <v>39009019_39009049</v>
      </c>
      <c r="B351" s="129">
        <v>39009019</v>
      </c>
      <c r="C351" s="131">
        <v>39009049</v>
      </c>
      <c r="D351" s="46" t="str">
        <f ca="1">VLOOKUP($C351,OFFSET(enemy_skills!$A$1,0,0,COUNTA(enemy_skills!$A:$A),MATCH(D$1,enemy_skills!$1:$1,0)-MATCH("enemy_skill_id",enemy_skills!$1:$1,0)+1),MATCH(D$1,enemy_skills!$1:$1,0)-MATCH("enemy_skill_id",enemy_skills!$1:$1,0)+1,FALSE)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351" s="46" t="str">
        <f ca="1">VLOOKUP($C351,OFFSET(enemy_skills!$A$1,0,0,COUNTA(enemy_skills!$A:$A),MATCH(E$1,enemy_skills!$1:$1,0)-MATCH("enemy_skill_id",enemy_skills!$1:$1,0)+1),MATCH(E$1,enemy_skills!$1:$1,0)-MATCH("enemy_skill_id",enemy_skills!$1:$1,0)+1,FALSE)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1" s="131">
        <v>39009036</v>
      </c>
      <c r="G351" s="48">
        <f ca="1">VLOOKUP($F351,OFFSET(enemy_skill_triggers!$A$1,0,0,COUNTA(enemy_skill_triggers!$A:$A),MATCH(G$1,enemy_skill_triggers!$1:$1,0)-MATCH($F$1,enemy_skill_triggers!$1:$1,0)+1),MATCH(G$1,enemy_skill_triggers!$1:$1,0)-MATCH($F$1,enemy_skill_triggers!$1:$1,0)+1,FALSE)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1" s="48">
        <f ca="1">VLOOKUP($F351,OFFSET(enemy_skill_triggers!$A$1,0,0,COUNTA(enemy_skill_triggers!$A:$A),MATCH(H$1,enemy_skill_triggers!$1:$1,0)-MATCH($F$1,enemy_skill_triggers!$1:$1,0)+1),MATCH(H$1,enemy_skill_triggers!$1:$1,0)-MATCH($F$1,enemy_skill_triggers!$1:$1,0)+1,FALSE)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51" s="48">
        <f ca="1">VLOOKUP($F351,OFFSET(enemy_skill_triggers!$A$1,0,0,COUNTA(enemy_skill_triggers!$A:$A),MATCH(I$1,enemy_skill_triggers!$1:$1,0)-MATCH($F$1,enemy_skill_triggers!$1:$1,0)+1),MATCH(I$1,enemy_skill_triggers!$1:$1,0)-MATCH($F$1,enemy_skill_triggers!$1:$1,0)+1,FALSE)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1" s="48" t="str">
        <f ca="1">VLOOKUP($F351,OFFSET(enemy_skill_triggers!$A$1,0,0,COUNTA(enemy_skill_triggers!$A:$A),MATCH(J$1,enemy_skill_triggers!$1:$1,0)-MATCH($F$1,enemy_skill_triggers!$1:$1,0)+1),MATCH(J$1,enemy_skill_triggers!$1:$1,0)-MATCH($F$1,enemy_skill_triggers!$1:$1,0)+1,FALSE)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1" s="48" t="str">
        <f ca="1">VLOOKUP($F351,OFFSET(enemy_skill_triggers!$A$1,0,0,COUNTA(enemy_skill_triggers!$A:$A),MATCH(K$1,enemy_skill_triggers!$1:$1,0)-MATCH($F$1,enemy_skill_triggers!$1:$1,0)+1),MATCH(K$1,enemy_skill_triggers!$1:$1,0)-MATCH($F$1,enemy_skill_triggers!$1:$1,0)+1,FALSE)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1" s="48">
        <f ca="1">VLOOKUP($F351,OFFSET(enemy_skill_triggers!$A$1,0,0,COUNTA(enemy_skill_triggers!$A:$A),MATCH(L$1,enemy_skill_triggers!$1:$1,0)-MATCH($F$1,enemy_skill_triggers!$1:$1,0)+1),MATCH(L$1,enemy_skill_triggers!$1:$1,0)-MATCH($F$1,enemy_skill_triggers!$1:$1,0)+1,FALSE)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1" s="48" t="str">
        <f ca="1">VLOOKUP($F351,OFFSET(enemy_skill_triggers!$A$1,0,0,COUNTA(enemy_skill_triggers!$A:$A),MATCH(M$1,enemy_skill_triggers!$1:$1,0)-MATCH($F$1,enemy_skill_triggers!$1:$1,0)+1),MATCH(M$1,enemy_skill_triggers!$1:$1,0)-MATCH($F$1,enemy_skill_triggers!$1:$1,0)+1,FALSE)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1" s="48">
        <f ca="1">VLOOKUP($F351,OFFSET(enemy_skill_triggers!$A$1,0,0,COUNTA(enemy_skill_triggers!$A:$A),MATCH(N$1,enemy_skill_triggers!$1:$1,0)-MATCH($F$1,enemy_skill_triggers!$1:$1,0)+1),MATCH(N$1,enemy_skill_triggers!$1:$1,0)-MATCH($F$1,enemy_skill_triggers!$1:$1,0)+1,FALSE)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51" s="48">
        <f ca="1">VLOOKUP($F351,OFFSET(enemy_skill_triggers!$A$1,0,0,COUNTA(enemy_skill_triggers!$A:$A),MATCH(O$1,enemy_skill_triggers!$1:$1,0)-MATCH($F$1,enemy_skill_triggers!$1:$1,0)+1),MATCH(O$1,enemy_skill_triggers!$1:$1,0)-MATCH($F$1,enemy_skill_triggers!$1:$1,0)+1,FALSE)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1" s="47"/>
      <c r="Q351" s="47"/>
      <c r="R351" s="47"/>
    </row>
    <row r="352" spans="1:18" ht="21" customHeight="1" x14ac:dyDescent="0.15">
      <c r="A352" s="39" t="str">
        <f t="shared" si="18"/>
        <v>39009019_39009056</v>
      </c>
      <c r="B352" s="129">
        <v>39009019</v>
      </c>
      <c r="C352" s="131">
        <v>39009056</v>
      </c>
      <c r="D352" s="46" t="str">
        <f ca="1">VLOOKUP($C352,OFFSET(enemy_skills!$A$1,0,0,COUNTA(enemy_skills!$A:$A),MATCH(D$1,enemy_skills!$1:$1,0)-MATCH("enemy_skill_id",enemy_skills!$1:$1,0)+1),MATCH(D$1,enemy_skills!$1:$1,0)-MATCH("enemy_skill_id",enemy_skills!$1:$1,0)+1,FALSE)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52" s="46" t="str">
        <f ca="1">VLOOKUP($C352,OFFSET(enemy_skills!$A$1,0,0,COUNTA(enemy_skills!$A:$A),MATCH(E$1,enemy_skills!$1:$1,0)-MATCH("enemy_skill_id",enemy_skills!$1:$1,0)+1),MATCH(E$1,enemy_skills!$1:$1,0)-MATCH("enemy_skill_id",enemy_skills!$1:$1,0)+1,FALSE)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2" s="131">
        <v>39009037</v>
      </c>
      <c r="G352" s="48">
        <f ca="1">VLOOKUP($F352,OFFSET(enemy_skill_triggers!$A$1,0,0,COUNTA(enemy_skill_triggers!$A:$A),MATCH(G$1,enemy_skill_triggers!$1:$1,0)-MATCH($F$1,enemy_skill_triggers!$1:$1,0)+1),MATCH(G$1,enemy_skill_triggers!$1:$1,0)-MATCH($F$1,enemy_skill_triggers!$1:$1,0)+1,FALSE)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2" s="48">
        <f ca="1">VLOOKUP($F352,OFFSET(enemy_skill_triggers!$A$1,0,0,COUNTA(enemy_skill_triggers!$A:$A),MATCH(H$1,enemy_skill_triggers!$1:$1,0)-MATCH($F$1,enemy_skill_triggers!$1:$1,0)+1),MATCH(H$1,enemy_skill_triggers!$1:$1,0)-MATCH($F$1,enemy_skill_triggers!$1:$1,0)+1,FALSE)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52" s="48">
        <f ca="1">VLOOKUP($F352,OFFSET(enemy_skill_triggers!$A$1,0,0,COUNTA(enemy_skill_triggers!$A:$A),MATCH(I$1,enemy_skill_triggers!$1:$1,0)-MATCH($F$1,enemy_skill_triggers!$1:$1,0)+1),MATCH(I$1,enemy_skill_triggers!$1:$1,0)-MATCH($F$1,enemy_skill_triggers!$1:$1,0)+1,FALSE)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2" s="48" t="str">
        <f ca="1">VLOOKUP($F352,OFFSET(enemy_skill_triggers!$A$1,0,0,COUNTA(enemy_skill_triggers!$A:$A),MATCH(J$1,enemy_skill_triggers!$1:$1,0)-MATCH($F$1,enemy_skill_triggers!$1:$1,0)+1),MATCH(J$1,enemy_skill_triggers!$1:$1,0)-MATCH($F$1,enemy_skill_triggers!$1:$1,0)+1,FALSE)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2" s="48" t="str">
        <f ca="1">VLOOKUP($F352,OFFSET(enemy_skill_triggers!$A$1,0,0,COUNTA(enemy_skill_triggers!$A:$A),MATCH(K$1,enemy_skill_triggers!$1:$1,0)-MATCH($F$1,enemy_skill_triggers!$1:$1,0)+1),MATCH(K$1,enemy_skill_triggers!$1:$1,0)-MATCH($F$1,enemy_skill_triggers!$1:$1,0)+1,FALSE)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2" s="48">
        <f ca="1">VLOOKUP($F352,OFFSET(enemy_skill_triggers!$A$1,0,0,COUNTA(enemy_skill_triggers!$A:$A),MATCH(L$1,enemy_skill_triggers!$1:$1,0)-MATCH($F$1,enemy_skill_triggers!$1:$1,0)+1),MATCH(L$1,enemy_skill_triggers!$1:$1,0)-MATCH($F$1,enemy_skill_triggers!$1:$1,0)+1,FALSE)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2" s="48" t="str">
        <f ca="1">VLOOKUP($F352,OFFSET(enemy_skill_triggers!$A$1,0,0,COUNTA(enemy_skill_triggers!$A:$A),MATCH(M$1,enemy_skill_triggers!$1:$1,0)-MATCH($F$1,enemy_skill_triggers!$1:$1,0)+1),MATCH(M$1,enemy_skill_triggers!$1:$1,0)-MATCH($F$1,enemy_skill_triggers!$1:$1,0)+1,FALSE)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2" s="48">
        <f ca="1">VLOOKUP($F352,OFFSET(enemy_skill_triggers!$A$1,0,0,COUNTA(enemy_skill_triggers!$A:$A),MATCH(N$1,enemy_skill_triggers!$1:$1,0)-MATCH($F$1,enemy_skill_triggers!$1:$1,0)+1),MATCH(N$1,enemy_skill_triggers!$1:$1,0)-MATCH($F$1,enemy_skill_triggers!$1:$1,0)+1,FALSE)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52" s="48">
        <f ca="1">VLOOKUP($F352,OFFSET(enemy_skill_triggers!$A$1,0,0,COUNTA(enemy_skill_triggers!$A:$A),MATCH(O$1,enemy_skill_triggers!$1:$1,0)-MATCH($F$1,enemy_skill_triggers!$1:$1,0)+1),MATCH(O$1,enemy_skill_triggers!$1:$1,0)-MATCH($F$1,enemy_skill_triggers!$1:$1,0)+1,FALSE)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2" s="47"/>
      <c r="Q352" s="47"/>
      <c r="R352" s="47"/>
    </row>
    <row r="353" spans="1:18" ht="21" customHeight="1" x14ac:dyDescent="0.15">
      <c r="A353" s="39" t="str">
        <f t="shared" si="18"/>
        <v>39009019_39009056</v>
      </c>
      <c r="B353" s="129">
        <v>39009019</v>
      </c>
      <c r="C353" s="131">
        <v>39009056</v>
      </c>
      <c r="D353" s="46" t="str">
        <f ca="1">VLOOKUP($C353,OFFSET(enemy_skills!$A$1,0,0,COUNTA(enemy_skills!$A:$A),MATCH(D$1,enemy_skills!$1:$1,0)-MATCH("enemy_skill_id",enemy_skills!$1:$1,0)+1),MATCH(D$1,enemy_skills!$1:$1,0)-MATCH("enemy_skill_id",enemy_skills!$1:$1,0)+1,FALSE)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353" s="46" t="str">
        <f ca="1">VLOOKUP($C353,OFFSET(enemy_skills!$A$1,0,0,COUNTA(enemy_skills!$A:$A),MATCH(E$1,enemy_skills!$1:$1,0)-MATCH("enemy_skill_id",enemy_skills!$1:$1,0)+1),MATCH(E$1,enemy_skills!$1:$1,0)-MATCH("enemy_skill_id",enemy_skills!$1:$1,0)+1,FALSE)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3" s="131">
        <v>39009038</v>
      </c>
      <c r="G353" s="48">
        <f ca="1">VLOOKUP($F353,OFFSET(enemy_skill_triggers!$A$1,0,0,COUNTA(enemy_skill_triggers!$A:$A),MATCH(G$1,enemy_skill_triggers!$1:$1,0)-MATCH($F$1,enemy_skill_triggers!$1:$1,0)+1),MATCH(G$1,enemy_skill_triggers!$1:$1,0)-MATCH($F$1,enemy_skill_triggers!$1:$1,0)+1,FALSE)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3" s="48">
        <f ca="1">VLOOKUP($F353,OFFSET(enemy_skill_triggers!$A$1,0,0,COUNTA(enemy_skill_triggers!$A:$A),MATCH(H$1,enemy_skill_triggers!$1:$1,0)-MATCH($F$1,enemy_skill_triggers!$1:$1,0)+1),MATCH(H$1,enemy_skill_triggers!$1:$1,0)-MATCH($F$1,enemy_skill_triggers!$1:$1,0)+1,FALSE)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53" s="48">
        <f ca="1">VLOOKUP($F353,OFFSET(enemy_skill_triggers!$A$1,0,0,COUNTA(enemy_skill_triggers!$A:$A),MATCH(I$1,enemy_skill_triggers!$1:$1,0)-MATCH($F$1,enemy_skill_triggers!$1:$1,0)+1),MATCH(I$1,enemy_skill_triggers!$1:$1,0)-MATCH($F$1,enemy_skill_triggers!$1:$1,0)+1,FALSE)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3" s="48" t="str">
        <f ca="1">VLOOKUP($F353,OFFSET(enemy_skill_triggers!$A$1,0,0,COUNTA(enemy_skill_triggers!$A:$A),MATCH(J$1,enemy_skill_triggers!$1:$1,0)-MATCH($F$1,enemy_skill_triggers!$1:$1,0)+1),MATCH(J$1,enemy_skill_triggers!$1:$1,0)-MATCH($F$1,enemy_skill_triggers!$1:$1,0)+1,FALSE)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3" s="48" t="str">
        <f ca="1">VLOOKUP($F353,OFFSET(enemy_skill_triggers!$A$1,0,0,COUNTA(enemy_skill_triggers!$A:$A),MATCH(K$1,enemy_skill_triggers!$1:$1,0)-MATCH($F$1,enemy_skill_triggers!$1:$1,0)+1),MATCH(K$1,enemy_skill_triggers!$1:$1,0)-MATCH($F$1,enemy_skill_triggers!$1:$1,0)+1,FALSE)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3" s="48">
        <f ca="1">VLOOKUP($F353,OFFSET(enemy_skill_triggers!$A$1,0,0,COUNTA(enemy_skill_triggers!$A:$A),MATCH(L$1,enemy_skill_triggers!$1:$1,0)-MATCH($F$1,enemy_skill_triggers!$1:$1,0)+1),MATCH(L$1,enemy_skill_triggers!$1:$1,0)-MATCH($F$1,enemy_skill_triggers!$1:$1,0)+1,FALSE)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3" s="48" t="str">
        <f ca="1">VLOOKUP($F353,OFFSET(enemy_skill_triggers!$A$1,0,0,COUNTA(enemy_skill_triggers!$A:$A),MATCH(M$1,enemy_skill_triggers!$1:$1,0)-MATCH($F$1,enemy_skill_triggers!$1:$1,0)+1),MATCH(M$1,enemy_skill_triggers!$1:$1,0)-MATCH($F$1,enemy_skill_triggers!$1:$1,0)+1,FALSE)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3" s="48">
        <f ca="1">VLOOKUP($F353,OFFSET(enemy_skill_triggers!$A$1,0,0,COUNTA(enemy_skill_triggers!$A:$A),MATCH(N$1,enemy_skill_triggers!$1:$1,0)-MATCH($F$1,enemy_skill_triggers!$1:$1,0)+1),MATCH(N$1,enemy_skill_triggers!$1:$1,0)-MATCH($F$1,enemy_skill_triggers!$1:$1,0)+1,FALSE)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353" s="48">
        <f ca="1">VLOOKUP($F353,OFFSET(enemy_skill_triggers!$A$1,0,0,COUNTA(enemy_skill_triggers!$A:$A),MATCH(O$1,enemy_skill_triggers!$1:$1,0)-MATCH($F$1,enemy_skill_triggers!$1:$1,0)+1),MATCH(O$1,enemy_skill_triggers!$1:$1,0)-MATCH($F$1,enemy_skill_triggers!$1:$1,0)+1,FALSE)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3" s="47"/>
      <c r="Q353" s="47"/>
      <c r="R353" s="47"/>
    </row>
    <row r="354" spans="1:18" ht="21" customHeight="1" x14ac:dyDescent="0.15">
      <c r="A354" s="39" t="str">
        <f t="shared" si="18"/>
        <v>39009019_39009050</v>
      </c>
      <c r="B354" s="129">
        <v>39009019</v>
      </c>
      <c r="C354" s="131">
        <v>39009050</v>
      </c>
      <c r="D354" s="46" t="str">
        <f ca="1">VLOOKUP($C354,OFFSET(enemy_skills!$A$1,0,0,COUNTA(enemy_skills!$A:$A),MATCH(D$1,enemy_skills!$1:$1,0)-MATCH("enemy_skill_id",enemy_skills!$1:$1,0)+1),MATCH(D$1,enemy_skills!$1:$1,0)-MATCH("enemy_skill_id",enemy_skills!$1:$1,0)+1,FALSE)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354" s="46" t="str">
        <f ca="1">VLOOKUP($C354,OFFSET(enemy_skills!$A$1,0,0,COUNTA(enemy_skills!$A:$A),MATCH(E$1,enemy_skills!$1:$1,0)-MATCH("enemy_skill_id",enemy_skills!$1:$1,0)+1),MATCH(E$1,enemy_skills!$1:$1,0)-MATCH("enemy_skill_id",enemy_skills!$1:$1,0)+1,FALSE)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4" s="131">
        <v>39009039</v>
      </c>
      <c r="G354" s="48">
        <f ca="1">VLOOKUP($F354,OFFSET(enemy_skill_triggers!$A$1,0,0,COUNTA(enemy_skill_triggers!$A:$A),MATCH(G$1,enemy_skill_triggers!$1:$1,0)-MATCH($F$1,enemy_skill_triggers!$1:$1,0)+1),MATCH(G$1,enemy_skill_triggers!$1:$1,0)-MATCH($F$1,enemy_skill_triggers!$1:$1,0)+1,FALSE)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4" s="48">
        <f ca="1">VLOOKUP($F354,OFFSET(enemy_skill_triggers!$A$1,0,0,COUNTA(enemy_skill_triggers!$A:$A),MATCH(H$1,enemy_skill_triggers!$1:$1,0)-MATCH($F$1,enemy_skill_triggers!$1:$1,0)+1),MATCH(H$1,enemy_skill_triggers!$1:$1,0)-MATCH($F$1,enemy_skill_triggers!$1:$1,0)+1,FALSE)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54" s="48">
        <f ca="1">VLOOKUP($F354,OFFSET(enemy_skill_triggers!$A$1,0,0,COUNTA(enemy_skill_triggers!$A:$A),MATCH(I$1,enemy_skill_triggers!$1:$1,0)-MATCH($F$1,enemy_skill_triggers!$1:$1,0)+1),MATCH(I$1,enemy_skill_triggers!$1:$1,0)-MATCH($F$1,enemy_skill_triggers!$1:$1,0)+1,FALSE)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4" s="48" t="str">
        <f ca="1">VLOOKUP($F354,OFFSET(enemy_skill_triggers!$A$1,0,0,COUNTA(enemy_skill_triggers!$A:$A),MATCH(J$1,enemy_skill_triggers!$1:$1,0)-MATCH($F$1,enemy_skill_triggers!$1:$1,0)+1),MATCH(J$1,enemy_skill_triggers!$1:$1,0)-MATCH($F$1,enemy_skill_triggers!$1:$1,0)+1,FALSE)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4" s="48" t="str">
        <f ca="1">VLOOKUP($F354,OFFSET(enemy_skill_triggers!$A$1,0,0,COUNTA(enemy_skill_triggers!$A:$A),MATCH(K$1,enemy_skill_triggers!$1:$1,0)-MATCH($F$1,enemy_skill_triggers!$1:$1,0)+1),MATCH(K$1,enemy_skill_triggers!$1:$1,0)-MATCH($F$1,enemy_skill_triggers!$1:$1,0)+1,FALSE)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4" s="48">
        <f ca="1">VLOOKUP($F354,OFFSET(enemy_skill_triggers!$A$1,0,0,COUNTA(enemy_skill_triggers!$A:$A),MATCH(L$1,enemy_skill_triggers!$1:$1,0)-MATCH($F$1,enemy_skill_triggers!$1:$1,0)+1),MATCH(L$1,enemy_skill_triggers!$1:$1,0)-MATCH($F$1,enemy_skill_triggers!$1:$1,0)+1,FALSE)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4" s="48" t="str">
        <f ca="1">VLOOKUP($F354,OFFSET(enemy_skill_triggers!$A$1,0,0,COUNTA(enemy_skill_triggers!$A:$A),MATCH(M$1,enemy_skill_triggers!$1:$1,0)-MATCH($F$1,enemy_skill_triggers!$1:$1,0)+1),MATCH(M$1,enemy_skill_triggers!$1:$1,0)-MATCH($F$1,enemy_skill_triggers!$1:$1,0)+1,FALSE)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4" s="48">
        <f ca="1">VLOOKUP($F354,OFFSET(enemy_skill_triggers!$A$1,0,0,COUNTA(enemy_skill_triggers!$A:$A),MATCH(N$1,enemy_skill_triggers!$1:$1,0)-MATCH($F$1,enemy_skill_triggers!$1:$1,0)+1),MATCH(N$1,enemy_skill_triggers!$1:$1,0)-MATCH($F$1,enemy_skill_triggers!$1:$1,0)+1,FALSE)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354" s="48">
        <f ca="1">VLOOKUP($F354,OFFSET(enemy_skill_triggers!$A$1,0,0,COUNTA(enemy_skill_triggers!$A:$A),MATCH(O$1,enemy_skill_triggers!$1:$1,0)-MATCH($F$1,enemy_skill_triggers!$1:$1,0)+1),MATCH(O$1,enemy_skill_triggers!$1:$1,0)-MATCH($F$1,enemy_skill_triggers!$1:$1,0)+1,FALSE)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4" s="47"/>
      <c r="Q354" s="47"/>
      <c r="R354" s="47"/>
    </row>
    <row r="355" spans="1:18" ht="21" customHeight="1" x14ac:dyDescent="0.15">
      <c r="A355" s="39" t="str">
        <f t="shared" si="18"/>
        <v>39009019_39009053</v>
      </c>
      <c r="B355" s="129">
        <v>39009019</v>
      </c>
      <c r="C355" s="131">
        <v>39009053</v>
      </c>
      <c r="D355" s="46" t="str">
        <f ca="1">VLOOKUP($C355,OFFSET(enemy_skills!$A$1,0,0,COUNTA(enemy_skills!$A:$A),MATCH(D$1,enemy_skills!$1:$1,0)-MATCH("enemy_skill_id",enemy_skills!$1:$1,0)+1),MATCH(D$1,enemy_skills!$1:$1,0)-MATCH("enemy_skill_id",enemy_skills!$1:$1,0)+1,FALSE)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355" s="46" t="str">
        <f ca="1">VLOOKUP($C355,OFFSET(enemy_skills!$A$1,0,0,COUNTA(enemy_skills!$A:$A),MATCH(E$1,enemy_skills!$1:$1,0)-MATCH("enemy_skill_id",enemy_skills!$1:$1,0)+1),MATCH(E$1,enemy_skills!$1:$1,0)-MATCH("enemy_skill_id",enemy_skills!$1:$1,0)+1,FALSE)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5" s="131">
        <v>39009040</v>
      </c>
      <c r="G355" s="48">
        <f ca="1">VLOOKUP($F355,OFFSET(enemy_skill_triggers!$A$1,0,0,COUNTA(enemy_skill_triggers!$A:$A),MATCH(G$1,enemy_skill_triggers!$1:$1,0)-MATCH($F$1,enemy_skill_triggers!$1:$1,0)+1),MATCH(G$1,enemy_skill_triggers!$1:$1,0)-MATCH($F$1,enemy_skill_triggers!$1:$1,0)+1,FALSE)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5" s="48">
        <f ca="1">VLOOKUP($F355,OFFSET(enemy_skill_triggers!$A$1,0,0,COUNTA(enemy_skill_triggers!$A:$A),MATCH(H$1,enemy_skill_triggers!$1:$1,0)-MATCH($F$1,enemy_skill_triggers!$1:$1,0)+1),MATCH(H$1,enemy_skill_triggers!$1:$1,0)-MATCH($F$1,enemy_skill_triggers!$1:$1,0)+1,FALSE)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55" s="48">
        <f ca="1">VLOOKUP($F355,OFFSET(enemy_skill_triggers!$A$1,0,0,COUNTA(enemy_skill_triggers!$A:$A),MATCH(I$1,enemy_skill_triggers!$1:$1,0)-MATCH($F$1,enemy_skill_triggers!$1:$1,0)+1),MATCH(I$1,enemy_skill_triggers!$1:$1,0)-MATCH($F$1,enemy_skill_triggers!$1:$1,0)+1,FALSE)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5" s="48" t="str">
        <f ca="1">VLOOKUP($F355,OFFSET(enemy_skill_triggers!$A$1,0,0,COUNTA(enemy_skill_triggers!$A:$A),MATCH(J$1,enemy_skill_triggers!$1:$1,0)-MATCH($F$1,enemy_skill_triggers!$1:$1,0)+1),MATCH(J$1,enemy_skill_triggers!$1:$1,0)-MATCH($F$1,enemy_skill_triggers!$1:$1,0)+1,FALSE)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5" s="48" t="str">
        <f ca="1">VLOOKUP($F355,OFFSET(enemy_skill_triggers!$A$1,0,0,COUNTA(enemy_skill_triggers!$A:$A),MATCH(K$1,enemy_skill_triggers!$1:$1,0)-MATCH($F$1,enemy_skill_triggers!$1:$1,0)+1),MATCH(K$1,enemy_skill_triggers!$1:$1,0)-MATCH($F$1,enemy_skill_triggers!$1:$1,0)+1,FALSE)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5" s="48">
        <f ca="1">VLOOKUP($F355,OFFSET(enemy_skill_triggers!$A$1,0,0,COUNTA(enemy_skill_triggers!$A:$A),MATCH(L$1,enemy_skill_triggers!$1:$1,0)-MATCH($F$1,enemy_skill_triggers!$1:$1,0)+1),MATCH(L$1,enemy_skill_triggers!$1:$1,0)-MATCH($F$1,enemy_skill_triggers!$1:$1,0)+1,FALSE)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5" s="48" t="str">
        <f ca="1">VLOOKUP($F355,OFFSET(enemy_skill_triggers!$A$1,0,0,COUNTA(enemy_skill_triggers!$A:$A),MATCH(M$1,enemy_skill_triggers!$1:$1,0)-MATCH($F$1,enemy_skill_triggers!$1:$1,0)+1),MATCH(M$1,enemy_skill_triggers!$1:$1,0)-MATCH($F$1,enemy_skill_triggers!$1:$1,0)+1,FALSE)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5" s="48">
        <f ca="1">VLOOKUP($F355,OFFSET(enemy_skill_triggers!$A$1,0,0,COUNTA(enemy_skill_triggers!$A:$A),MATCH(N$1,enemy_skill_triggers!$1:$1,0)-MATCH($F$1,enemy_skill_triggers!$1:$1,0)+1),MATCH(N$1,enemy_skill_triggers!$1:$1,0)-MATCH($F$1,enemy_skill_triggers!$1:$1,0)+1,FALSE)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355" s="48">
        <f ca="1">VLOOKUP($F355,OFFSET(enemy_skill_triggers!$A$1,0,0,COUNTA(enemy_skill_triggers!$A:$A),MATCH(O$1,enemy_skill_triggers!$1:$1,0)-MATCH($F$1,enemy_skill_triggers!$1:$1,0)+1),MATCH(O$1,enemy_skill_triggers!$1:$1,0)-MATCH($F$1,enemy_skill_triggers!$1:$1,0)+1,FALSE)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5" s="47"/>
      <c r="Q355" s="47"/>
      <c r="R355" s="47"/>
    </row>
    <row r="356" spans="1:18" ht="21" customHeight="1" x14ac:dyDescent="0.15">
      <c r="A356" s="39" t="str">
        <f t="shared" si="18"/>
        <v>39009019_39009054</v>
      </c>
      <c r="B356" s="129">
        <v>39009019</v>
      </c>
      <c r="C356" s="131">
        <v>39009054</v>
      </c>
      <c r="D356" s="46" t="str">
        <f ca="1">VLOOKUP($C356,OFFSET(enemy_skills!$A$1,0,0,COUNTA(enemy_skills!$A:$A),MATCH(D$1,enemy_skills!$1:$1,0)-MATCH("enemy_skill_id",enemy_skills!$1:$1,0)+1),MATCH(D$1,enemy_skills!$1:$1,0)-MATCH("enemy_skill_id",enemy_skills!$1:$1,0)+1,FALSE)</f>
        <v>MEIKOさん、素敵な夜にしようねっ☆</v>
      </c>
      <c r="E356" s="46" t="str">
        <f ca="1">VLOOKUP($C356,OFFSET(enemy_skills!$A$1,0,0,COUNTA(enemy_skills!$A:$A),MATCH(E$1,enemy_skills!$1:$1,0)-MATCH("enemy_skill_id",enemy_skills!$1:$1,0)+1),MATCH(E$1,enemy_skills!$1:$1,0)-MATCH("enemy_skill_id",enemy_skills!$1:$1,0)+1,FALSE)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6" s="131">
        <v>39009041</v>
      </c>
      <c r="G356" s="48">
        <f ca="1">VLOOKUP($F356,OFFSET(enemy_skill_triggers!$A$1,0,0,COUNTA(enemy_skill_triggers!$A:$A),MATCH(G$1,enemy_skill_triggers!$1:$1,0)-MATCH($F$1,enemy_skill_triggers!$1:$1,0)+1),MATCH(G$1,enemy_skill_triggers!$1:$1,0)-MATCH($F$1,enemy_skill_triggers!$1:$1,0)+1,FALSE)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6" s="48">
        <f ca="1">VLOOKUP($F356,OFFSET(enemy_skill_triggers!$A$1,0,0,COUNTA(enemy_skill_triggers!$A:$A),MATCH(H$1,enemy_skill_triggers!$1:$1,0)-MATCH($F$1,enemy_skill_triggers!$1:$1,0)+1),MATCH(H$1,enemy_skill_triggers!$1:$1,0)-MATCH($F$1,enemy_skill_triggers!$1:$1,0)+1,FALSE)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56" s="48">
        <f ca="1">VLOOKUP($F356,OFFSET(enemy_skill_triggers!$A$1,0,0,COUNTA(enemy_skill_triggers!$A:$A),MATCH(I$1,enemy_skill_triggers!$1:$1,0)-MATCH($F$1,enemy_skill_triggers!$1:$1,0)+1),MATCH(I$1,enemy_skill_triggers!$1:$1,0)-MATCH($F$1,enemy_skill_triggers!$1:$1,0)+1,FALSE)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6" s="48" t="str">
        <f ca="1">VLOOKUP($F356,OFFSET(enemy_skill_triggers!$A$1,0,0,COUNTA(enemy_skill_triggers!$A:$A),MATCH(J$1,enemy_skill_triggers!$1:$1,0)-MATCH($F$1,enemy_skill_triggers!$1:$1,0)+1),MATCH(J$1,enemy_skill_triggers!$1:$1,0)-MATCH($F$1,enemy_skill_triggers!$1:$1,0)+1,FALSE)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6" s="48" t="str">
        <f ca="1">VLOOKUP($F356,OFFSET(enemy_skill_triggers!$A$1,0,0,COUNTA(enemy_skill_triggers!$A:$A),MATCH(K$1,enemy_skill_triggers!$1:$1,0)-MATCH($F$1,enemy_skill_triggers!$1:$1,0)+1),MATCH(K$1,enemy_skill_triggers!$1:$1,0)-MATCH($F$1,enemy_skill_triggers!$1:$1,0)+1,FALSE)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6" s="48">
        <f ca="1">VLOOKUP($F356,OFFSET(enemy_skill_triggers!$A$1,0,0,COUNTA(enemy_skill_triggers!$A:$A),MATCH(L$1,enemy_skill_triggers!$1:$1,0)-MATCH($F$1,enemy_skill_triggers!$1:$1,0)+1),MATCH(L$1,enemy_skill_triggers!$1:$1,0)-MATCH($F$1,enemy_skill_triggers!$1:$1,0)+1,FALSE)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6" s="48" t="str">
        <f ca="1">VLOOKUP($F356,OFFSET(enemy_skill_triggers!$A$1,0,0,COUNTA(enemy_skill_triggers!$A:$A),MATCH(M$1,enemy_skill_triggers!$1:$1,0)-MATCH($F$1,enemy_skill_triggers!$1:$1,0)+1),MATCH(M$1,enemy_skill_triggers!$1:$1,0)-MATCH($F$1,enemy_skill_triggers!$1:$1,0)+1,FALSE)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6" s="48">
        <f ca="1">VLOOKUP($F356,OFFSET(enemy_skill_triggers!$A$1,0,0,COUNTA(enemy_skill_triggers!$A:$A),MATCH(N$1,enemy_skill_triggers!$1:$1,0)-MATCH($F$1,enemy_skill_triggers!$1:$1,0)+1),MATCH(N$1,enemy_skill_triggers!$1:$1,0)-MATCH($F$1,enemy_skill_triggers!$1:$1,0)+1,FALSE)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56" s="48">
        <f ca="1">VLOOKUP($F356,OFFSET(enemy_skill_triggers!$A$1,0,0,COUNTA(enemy_skill_triggers!$A:$A),MATCH(O$1,enemy_skill_triggers!$1:$1,0)-MATCH($F$1,enemy_skill_triggers!$1:$1,0)+1),MATCH(O$1,enemy_skill_triggers!$1:$1,0)-MATCH($F$1,enemy_skill_triggers!$1:$1,0)+1,FALSE)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6" s="47"/>
      <c r="Q356" s="47"/>
      <c r="R356" s="47"/>
    </row>
    <row r="357" spans="1:18" ht="21" customHeight="1" x14ac:dyDescent="0.15">
      <c r="A357" s="39" t="str">
        <f t="shared" ref="A357" si="19">B357&amp;"_"&amp;C357</f>
        <v>39009019_39009053</v>
      </c>
      <c r="B357" s="129">
        <v>39009019</v>
      </c>
      <c r="C357" s="131">
        <v>39009053</v>
      </c>
      <c r="D357" s="46" t="str">
        <f ca="1">VLOOKUP($C357,OFFSET(enemy_skills!$A$1,0,0,COUNTA(enemy_skills!$A:$A),MATCH(D$1,enemy_skills!$1:$1,0)-MATCH("enemy_skill_id",enemy_skills!$1:$1,0)+1),MATCH(D$1,enemy_skills!$1:$1,0)-MATCH("enemy_skill_id",enemy_skills!$1:$1,0)+1,FALSE)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357" s="46" t="str">
        <f ca="1">VLOOKUP($C357,OFFSET(enemy_skills!$A$1,0,0,COUNTA(enemy_skills!$A:$A),MATCH(E$1,enemy_skills!$1:$1,0)-MATCH("enemy_skill_id",enemy_skills!$1:$1,0)+1),MATCH(E$1,enemy_skills!$1:$1,0)-MATCH("enemy_skill_id",enemy_skills!$1:$1,0)+1,FALSE)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57" s="131">
        <v>39009042</v>
      </c>
      <c r="G357" s="48">
        <f ca="1">VLOOKUP($F357,OFFSET(enemy_skill_triggers!$A$1,0,0,COUNTA(enemy_skill_triggers!$A:$A),MATCH(G$1,enemy_skill_triggers!$1:$1,0)-MATCH($F$1,enemy_skill_triggers!$1:$1,0)+1),MATCH(G$1,enemy_skill_triggers!$1:$1,0)-MATCH($F$1,enemy_skill_triggers!$1:$1,0)+1,FALSE)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7" s="48">
        <f ca="1">VLOOKUP($F357,OFFSET(enemy_skill_triggers!$A$1,0,0,COUNTA(enemy_skill_triggers!$A:$A),MATCH(H$1,enemy_skill_triggers!$1:$1,0)-MATCH($F$1,enemy_skill_triggers!$1:$1,0)+1),MATCH(H$1,enemy_skill_triggers!$1:$1,0)-MATCH($F$1,enemy_skill_triggers!$1:$1,0)+1,FALSE)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7" s="48">
        <f ca="1">VLOOKUP($F357,OFFSET(enemy_skill_triggers!$A$1,0,0,COUNTA(enemy_skill_triggers!$A:$A),MATCH(I$1,enemy_skill_triggers!$1:$1,0)-MATCH($F$1,enemy_skill_triggers!$1:$1,0)+1),MATCH(I$1,enemy_skill_triggers!$1:$1,0)-MATCH($F$1,enemy_skill_triggers!$1:$1,0)+1,FALSE)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7" s="48" t="str">
        <f ca="1">VLOOKUP($F357,OFFSET(enemy_skill_triggers!$A$1,0,0,COUNTA(enemy_skill_triggers!$A:$A),MATCH(J$1,enemy_skill_triggers!$1:$1,0)-MATCH($F$1,enemy_skill_triggers!$1:$1,0)+1),MATCH(J$1,enemy_skill_triggers!$1:$1,0)-MATCH($F$1,enemy_skill_triggers!$1:$1,0)+1,FALSE)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7" s="48" t="str">
        <f ca="1">VLOOKUP($F357,OFFSET(enemy_skill_triggers!$A$1,0,0,COUNTA(enemy_skill_triggers!$A:$A),MATCH(K$1,enemy_skill_triggers!$1:$1,0)-MATCH($F$1,enemy_skill_triggers!$1:$1,0)+1),MATCH(K$1,enemy_skill_triggers!$1:$1,0)-MATCH($F$1,enemy_skill_triggers!$1:$1,0)+1,FALSE)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7" s="48">
        <f ca="1">VLOOKUP($F357,OFFSET(enemy_skill_triggers!$A$1,0,0,COUNTA(enemy_skill_triggers!$A:$A),MATCH(L$1,enemy_skill_triggers!$1:$1,0)-MATCH($F$1,enemy_skill_triggers!$1:$1,0)+1),MATCH(L$1,enemy_skill_triggers!$1:$1,0)-MATCH($F$1,enemy_skill_triggers!$1:$1,0)+1,FALSE)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7" s="48" t="str">
        <f ca="1">VLOOKUP($F357,OFFSET(enemy_skill_triggers!$A$1,0,0,COUNTA(enemy_skill_triggers!$A:$A),MATCH(M$1,enemy_skill_triggers!$1:$1,0)-MATCH($F$1,enemy_skill_triggers!$1:$1,0)+1),MATCH(M$1,enemy_skill_triggers!$1:$1,0)-MATCH($F$1,enemy_skill_triggers!$1:$1,0)+1,FALSE)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7" s="48">
        <f ca="1">VLOOKUP($F357,OFFSET(enemy_skill_triggers!$A$1,0,0,COUNTA(enemy_skill_triggers!$A:$A),MATCH(N$1,enemy_skill_triggers!$1:$1,0)-MATCH($F$1,enemy_skill_triggers!$1:$1,0)+1),MATCH(N$1,enemy_skill_triggers!$1:$1,0)-MATCH($F$1,enemy_skill_triggers!$1:$1,0)+1,FALSE)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57" s="48">
        <f ca="1">VLOOKUP($F357,OFFSET(enemy_skill_triggers!$A$1,0,0,COUNTA(enemy_skill_triggers!$A:$A),MATCH(O$1,enemy_skill_triggers!$1:$1,0)-MATCH($F$1,enemy_skill_triggers!$1:$1,0)+1),MATCH(O$1,enemy_skill_triggers!$1:$1,0)-MATCH($F$1,enemy_skill_triggers!$1:$1,0)+1,FALSE)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7" s="47"/>
      <c r="Q357" s="47"/>
      <c r="R357" s="47"/>
    </row>
    <row r="358" spans="1:18" ht="21" customHeight="1" x14ac:dyDescent="0.15">
      <c r="A358" s="39" t="str">
        <f t="shared" si="18"/>
        <v>39009019_39009057</v>
      </c>
      <c r="B358" s="129">
        <v>39009019</v>
      </c>
      <c r="C358" s="131">
        <v>39009057</v>
      </c>
      <c r="D358" s="46" t="str">
        <f ca="1">VLOOKUP($C358,OFFSET(enemy_skills!$A$1,0,0,COUNTA(enemy_skills!$A:$A),MATCH(D$1,enemy_skills!$1:$1,0)-MATCH("enemy_skill_id",enemy_skills!$1:$1,0)+1),MATCH(D$1,enemy_skills!$1:$1,0)-MATCH("enemy_skill_id",enemy_skills!$1:$1,0)+1,FALSE)</f>
        <v>神秘的な光芒を見て…☆</v>
      </c>
      <c r="E358" s="46" t="str">
        <f ca="1">VLOOKUP($C358,OFFSET(enemy_skills!$A$1,0,0,COUNTA(enemy_skills!$A:$A),MATCH(E$1,enemy_skills!$1:$1,0)-MATCH("enemy_skill_id",enemy_skills!$1:$1,0)+1),MATCH(E$1,enemy_skills!$1:$1,0)-MATCH("enemy_skill_id",enemy_skills!$1:$1,0)+1,FALSE)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358" s="131">
        <v>39009074</v>
      </c>
      <c r="G358" s="48">
        <f ca="1">VLOOKUP($F358,OFFSET(enemy_skill_triggers!$A$1,0,0,COUNTA(enemy_skill_triggers!$A:$A),MATCH(G$1,enemy_skill_triggers!$1:$1,0)-MATCH($F$1,enemy_skill_triggers!$1:$1,0)+1),MATCH(G$1,enemy_skill_triggers!$1:$1,0)-MATCH($F$1,enemy_skill_triggers!$1:$1,0)+1,FALSE)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8" s="48">
        <f ca="1">VLOOKUP($F358,OFFSET(enemy_skill_triggers!$A$1,0,0,COUNTA(enemy_skill_triggers!$A:$A),MATCH(H$1,enemy_skill_triggers!$1:$1,0)-MATCH($F$1,enemy_skill_triggers!$1:$1,0)+1),MATCH(H$1,enemy_skill_triggers!$1:$1,0)-MATCH($F$1,enemy_skill_triggers!$1:$1,0)+1,FALSE)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358" s="48">
        <f ca="1">VLOOKUP($F358,OFFSET(enemy_skill_triggers!$A$1,0,0,COUNTA(enemy_skill_triggers!$A:$A),MATCH(I$1,enemy_skill_triggers!$1:$1,0)-MATCH($F$1,enemy_skill_triggers!$1:$1,0)+1),MATCH(I$1,enemy_skill_triggers!$1:$1,0)-MATCH($F$1,enemy_skill_triggers!$1:$1,0)+1,FALSE)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8" s="48" t="str">
        <f ca="1">VLOOKUP($F358,OFFSET(enemy_skill_triggers!$A$1,0,0,COUNTA(enemy_skill_triggers!$A:$A),MATCH(J$1,enemy_skill_triggers!$1:$1,0)-MATCH($F$1,enemy_skill_triggers!$1:$1,0)+1),MATCH(J$1,enemy_skill_triggers!$1:$1,0)-MATCH($F$1,enemy_skill_triggers!$1:$1,0)+1,FALSE)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8" s="48" t="str">
        <f ca="1">VLOOKUP($F358,OFFSET(enemy_skill_triggers!$A$1,0,0,COUNTA(enemy_skill_triggers!$A:$A),MATCH(K$1,enemy_skill_triggers!$1:$1,0)-MATCH($F$1,enemy_skill_triggers!$1:$1,0)+1),MATCH(K$1,enemy_skill_triggers!$1:$1,0)-MATCH($F$1,enemy_skill_triggers!$1:$1,0)+1,FALSE)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8" s="48">
        <f ca="1">VLOOKUP($F358,OFFSET(enemy_skill_triggers!$A$1,0,0,COUNTA(enemy_skill_triggers!$A:$A),MATCH(L$1,enemy_skill_triggers!$1:$1,0)-MATCH($F$1,enemy_skill_triggers!$1:$1,0)+1),MATCH(L$1,enemy_skill_triggers!$1:$1,0)-MATCH($F$1,enemy_skill_triggers!$1:$1,0)+1,FALSE)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8" s="48" t="str">
        <f ca="1">VLOOKUP($F358,OFFSET(enemy_skill_triggers!$A$1,0,0,COUNTA(enemy_skill_triggers!$A:$A),MATCH(M$1,enemy_skill_triggers!$1:$1,0)-MATCH($F$1,enemy_skill_triggers!$1:$1,0)+1),MATCH(M$1,enemy_skill_triggers!$1:$1,0)-MATCH($F$1,enemy_skill_triggers!$1:$1,0)+1,FALSE)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8" s="48" t="str">
        <f ca="1">VLOOKUP($F358,OFFSET(enemy_skill_triggers!$A$1,0,0,COUNTA(enemy_skill_triggers!$A:$A),MATCH(N$1,enemy_skill_triggers!$1:$1,0)-MATCH($F$1,enemy_skill_triggers!$1:$1,0)+1),MATCH(N$1,enemy_skill_triggers!$1:$1,0)-MATCH($F$1,enemy_skill_triggers!$1:$1,0)+1,FALSE)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8" s="48">
        <f ca="1">VLOOKUP($F358,OFFSET(enemy_skill_triggers!$A$1,0,0,COUNTA(enemy_skill_triggers!$A:$A),MATCH(O$1,enemy_skill_triggers!$1:$1,0)-MATCH($F$1,enemy_skill_triggers!$1:$1,0)+1),MATCH(O$1,enemy_skill_triggers!$1:$1,0)-MATCH($F$1,enemy_skill_triggers!$1:$1,0)+1,FALSE)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8" s="47"/>
      <c r="Q358" s="47"/>
      <c r="R358" s="47"/>
    </row>
    <row r="359" spans="1:18" ht="21" customHeight="1" x14ac:dyDescent="0.15">
      <c r="A359" s="39" t="str">
        <f t="shared" si="18"/>
        <v>39009019_39009058</v>
      </c>
      <c r="B359" s="129">
        <v>39009019</v>
      </c>
      <c r="C359" s="131">
        <v>39009058</v>
      </c>
      <c r="D359" s="46" t="str">
        <f ca="1">VLOOKUP($C359,OFFSET(enemy_skills!$A$1,0,0,COUNTA(enemy_skills!$A:$A),MATCH(D$1,enemy_skills!$1:$1,0)-MATCH("enemy_skill_id",enemy_skills!$1:$1,0)+1),MATCH(D$1,enemy_skills!$1:$1,0)-MATCH("enemy_skill_id",enemy_skills!$1:$1,0)+1,FALSE)</f>
        <v>メテオシャワー</v>
      </c>
      <c r="E359" s="46" t="str">
        <f ca="1">VLOOKUP($C359,OFFSET(enemy_skills!$A$1,0,0,COUNTA(enemy_skills!$A:$A),MATCH(E$1,enemy_skills!$1:$1,0)-MATCH("enemy_skill_id",enemy_skills!$1:$1,0)+1),MATCH(E$1,enemy_skills!$1:$1,0)-MATCH("enemy_skill_id",enemy_skills!$1:$1,0)+1,FALSE)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9" s="131">
        <v>39009075</v>
      </c>
      <c r="G359" s="48">
        <f ca="1">VLOOKUP($F359,OFFSET(enemy_skill_triggers!$A$1,0,0,COUNTA(enemy_skill_triggers!$A:$A),MATCH(G$1,enemy_skill_triggers!$1:$1,0)-MATCH($F$1,enemy_skill_triggers!$1:$1,0)+1),MATCH(G$1,enemy_skill_triggers!$1:$1,0)-MATCH($F$1,enemy_skill_triggers!$1:$1,0)+1,FALSE)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9" s="48">
        <f ca="1">VLOOKUP($F359,OFFSET(enemy_skill_triggers!$A$1,0,0,COUNTA(enemy_skill_triggers!$A:$A),MATCH(H$1,enemy_skill_triggers!$1:$1,0)-MATCH($F$1,enemy_skill_triggers!$1:$1,0)+1),MATCH(H$1,enemy_skill_triggers!$1:$1,0)-MATCH($F$1,enemy_skill_triggers!$1:$1,0)+1,FALSE)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359" s="48">
        <f ca="1">VLOOKUP($F359,OFFSET(enemy_skill_triggers!$A$1,0,0,COUNTA(enemy_skill_triggers!$A:$A),MATCH(I$1,enemy_skill_triggers!$1:$1,0)-MATCH($F$1,enemy_skill_triggers!$1:$1,0)+1),MATCH(I$1,enemy_skill_triggers!$1:$1,0)-MATCH($F$1,enemy_skill_triggers!$1:$1,0)+1,FALSE)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9" s="48" t="str">
        <f ca="1">VLOOKUP($F359,OFFSET(enemy_skill_triggers!$A$1,0,0,COUNTA(enemy_skill_triggers!$A:$A),MATCH(J$1,enemy_skill_triggers!$1:$1,0)-MATCH($F$1,enemy_skill_triggers!$1:$1,0)+1),MATCH(J$1,enemy_skill_triggers!$1:$1,0)-MATCH($F$1,enemy_skill_triggers!$1:$1,0)+1,FALSE)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9" s="48" t="str">
        <f ca="1">VLOOKUP($F359,OFFSET(enemy_skill_triggers!$A$1,0,0,COUNTA(enemy_skill_triggers!$A:$A),MATCH(K$1,enemy_skill_triggers!$1:$1,0)-MATCH($F$1,enemy_skill_triggers!$1:$1,0)+1),MATCH(K$1,enemy_skill_triggers!$1:$1,0)-MATCH($F$1,enemy_skill_triggers!$1:$1,0)+1,FALSE)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9" s="48" t="str">
        <f ca="1">VLOOKUP($F359,OFFSET(enemy_skill_triggers!$A$1,0,0,COUNTA(enemy_skill_triggers!$A:$A),MATCH(L$1,enemy_skill_triggers!$1:$1,0)-MATCH($F$1,enemy_skill_triggers!$1:$1,0)+1),MATCH(L$1,enemy_skill_triggers!$1:$1,0)-MATCH($F$1,enemy_skill_triggers!$1:$1,0)+1,FALSE)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9" s="48" t="str">
        <f ca="1">VLOOKUP($F359,OFFSET(enemy_skill_triggers!$A$1,0,0,COUNTA(enemy_skill_triggers!$A:$A),MATCH(M$1,enemy_skill_triggers!$1:$1,0)-MATCH($F$1,enemy_skill_triggers!$1:$1,0)+1),MATCH(M$1,enemy_skill_triggers!$1:$1,0)-MATCH($F$1,enemy_skill_triggers!$1:$1,0)+1,FALSE)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9" s="48" t="str">
        <f ca="1">VLOOKUP($F359,OFFSET(enemy_skill_triggers!$A$1,0,0,COUNTA(enemy_skill_triggers!$A:$A),MATCH(N$1,enemy_skill_triggers!$1:$1,0)-MATCH($F$1,enemy_skill_triggers!$1:$1,0)+1),MATCH(N$1,enemy_skill_triggers!$1:$1,0)-MATCH($F$1,enemy_skill_triggers!$1:$1,0)+1,FALSE)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9" s="48">
        <f ca="1">VLOOKUP($F359,OFFSET(enemy_skill_triggers!$A$1,0,0,COUNTA(enemy_skill_triggers!$A:$A),MATCH(O$1,enemy_skill_triggers!$1:$1,0)-MATCH($F$1,enemy_skill_triggers!$1:$1,0)+1),MATCH(O$1,enemy_skill_triggers!$1:$1,0)-MATCH($F$1,enemy_skill_triggers!$1:$1,0)+1,FALSE)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9" s="47"/>
      <c r="Q359" s="47"/>
      <c r="R359" s="47"/>
    </row>
    <row r="360" spans="1:18" ht="21" customHeight="1" x14ac:dyDescent="0.15">
      <c r="A360" s="39" t="str">
        <f t="shared" si="18"/>
        <v>39009019_39009059</v>
      </c>
      <c r="B360" s="129">
        <v>39009019</v>
      </c>
      <c r="C360" s="131">
        <v>39009059</v>
      </c>
      <c r="D360" s="46" t="str">
        <f ca="1">VLOOKUP($C360,OFFSET(enemy_skills!$A$1,0,0,COUNTA(enemy_skills!$A:$A),MATCH(D$1,enemy_skills!$1:$1,0)-MATCH("enemy_skill_id",enemy_skills!$1:$1,0)+1),MATCH(D$1,enemy_skills!$1:$1,0)-MATCH("enemy_skill_id",enemy_skills!$1:$1,0)+1,FALSE)</f>
        <v>ツインスターシュート</v>
      </c>
      <c r="E360" s="46" t="str">
        <f ca="1">VLOOKUP($C360,OFFSET(enemy_skills!$A$1,0,0,COUNTA(enemy_skills!$A:$A),MATCH(E$1,enemy_skills!$1:$1,0)-MATCH("enemy_skill_id",enemy_skills!$1:$1,0)+1),MATCH(E$1,enemy_skills!$1:$1,0)-MATCH("enemy_skill_id",enemy_skills!$1:$1,0)+1,FALSE)</f>
        <v>3ターン攻撃力UP+2回連続攻撃</v>
      </c>
      <c r="F360" s="131">
        <v>39009076</v>
      </c>
      <c r="G360" s="48">
        <f ca="1">VLOOKUP($F360,OFFSET(enemy_skill_triggers!$A$1,0,0,COUNTA(enemy_skill_triggers!$A:$A),MATCH(G$1,enemy_skill_triggers!$1:$1,0)-MATCH($F$1,enemy_skill_triggers!$1:$1,0)+1),MATCH(G$1,enemy_skill_triggers!$1:$1,0)-MATCH($F$1,enemy_skill_triggers!$1:$1,0)+1,FALSE)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0" s="48">
        <f ca="1">VLOOKUP($F360,OFFSET(enemy_skill_triggers!$A$1,0,0,COUNTA(enemy_skill_triggers!$A:$A),MATCH(H$1,enemy_skill_triggers!$1:$1,0)-MATCH($F$1,enemy_skill_triggers!$1:$1,0)+1),MATCH(H$1,enemy_skill_triggers!$1:$1,0)-MATCH($F$1,enemy_skill_triggers!$1:$1,0)+1,FALSE)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360" s="48">
        <f ca="1">VLOOKUP($F360,OFFSET(enemy_skill_triggers!$A$1,0,0,COUNTA(enemy_skill_triggers!$A:$A),MATCH(I$1,enemy_skill_triggers!$1:$1,0)-MATCH($F$1,enemy_skill_triggers!$1:$1,0)+1),MATCH(I$1,enemy_skill_triggers!$1:$1,0)-MATCH($F$1,enemy_skill_triggers!$1:$1,0)+1,FALSE)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0" s="48">
        <f ca="1">VLOOKUP($F360,OFFSET(enemy_skill_triggers!$A$1,0,0,COUNTA(enemy_skill_triggers!$A:$A),MATCH(J$1,enemy_skill_triggers!$1:$1,0)-MATCH($F$1,enemy_skill_triggers!$1:$1,0)+1),MATCH(J$1,enemy_skill_triggers!$1:$1,0)-MATCH($F$1,enemy_skill_triggers!$1:$1,0)+1,FALSE)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0" s="48" t="str">
        <f ca="1">VLOOKUP($F360,OFFSET(enemy_skill_triggers!$A$1,0,0,COUNTA(enemy_skill_triggers!$A:$A),MATCH(K$1,enemy_skill_triggers!$1:$1,0)-MATCH($F$1,enemy_skill_triggers!$1:$1,0)+1),MATCH(K$1,enemy_skill_triggers!$1:$1,0)-MATCH($F$1,enemy_skill_triggers!$1:$1,0)+1,FALSE)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0" s="48">
        <f ca="1">VLOOKUP($F360,OFFSET(enemy_skill_triggers!$A$1,0,0,COUNTA(enemy_skill_triggers!$A:$A),MATCH(L$1,enemy_skill_triggers!$1:$1,0)-MATCH($F$1,enemy_skill_triggers!$1:$1,0)+1),MATCH(L$1,enemy_skill_triggers!$1:$1,0)-MATCH($F$1,enemy_skill_triggers!$1:$1,0)+1,FALSE)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0" s="48" t="str">
        <f ca="1">VLOOKUP($F360,OFFSET(enemy_skill_triggers!$A$1,0,0,COUNTA(enemy_skill_triggers!$A:$A),MATCH(M$1,enemy_skill_triggers!$1:$1,0)-MATCH($F$1,enemy_skill_triggers!$1:$1,0)+1),MATCH(M$1,enemy_skill_triggers!$1:$1,0)-MATCH($F$1,enemy_skill_triggers!$1:$1,0)+1,FALSE)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0" s="48" t="str">
        <f ca="1">VLOOKUP($F360,OFFSET(enemy_skill_triggers!$A$1,0,0,COUNTA(enemy_skill_triggers!$A:$A),MATCH(N$1,enemy_skill_triggers!$1:$1,0)-MATCH($F$1,enemy_skill_triggers!$1:$1,0)+1),MATCH(N$1,enemy_skill_triggers!$1:$1,0)-MATCH($F$1,enemy_skill_triggers!$1:$1,0)+1,FALSE)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0" s="48">
        <f ca="1">VLOOKUP($F360,OFFSET(enemy_skill_triggers!$A$1,0,0,COUNTA(enemy_skill_triggers!$A:$A),MATCH(O$1,enemy_skill_triggers!$1:$1,0)-MATCH($F$1,enemy_skill_triggers!$1:$1,0)+1),MATCH(O$1,enemy_skill_triggers!$1:$1,0)-MATCH($F$1,enemy_skill_triggers!$1:$1,0)+1,FALSE)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0" s="47"/>
      <c r="Q360" s="47"/>
      <c r="R360" s="47"/>
    </row>
    <row r="361" spans="1:18" ht="21" customHeight="1" x14ac:dyDescent="0.15">
      <c r="A361" s="39" t="str">
        <f t="shared" si="18"/>
        <v>39009020_39009060</v>
      </c>
      <c r="B361" s="129">
        <v>39009020</v>
      </c>
      <c r="C361" s="132">
        <v>39009060</v>
      </c>
      <c r="D361" s="46" t="str">
        <f ca="1">VLOOKUP($C361,OFFSET(enemy_skills!$A$1,0,0,COUNTA(enemy_skills!$A:$A),MATCH(D$1,enemy_skills!$1:$1,0)-MATCH("enemy_skill_id",enemy_skills!$1:$1,0)+1),MATCH(D$1,enemy_skills!$1:$1,0)-MATCH("enemy_skill_id",enemy_skills!$1:$1,0)+1,FALSE)</f>
        <v>お星様にお願いしよっ♪</v>
      </c>
      <c r="E361" s="46" t="str">
        <f ca="1">VLOOKUP($C361,OFFSET(enemy_skills!$A$1,0,0,COUNTA(enemy_skills!$A:$A),MATCH(E$1,enemy_skills!$1:$1,0)-MATCH("enemy_skill_id",enemy_skills!$1:$1,0)+1),MATCH(E$1,enemy_skills!$1:$1,0)-MATCH("enemy_skill_id",enemy_skills!$1:$1,0)+1,FALSE)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61" s="132">
        <v>39009077</v>
      </c>
      <c r="G361" s="48">
        <f ca="1">VLOOKUP($F361,OFFSET(enemy_skill_triggers!$A$1,0,0,COUNTA(enemy_skill_triggers!$A:$A),MATCH(G$1,enemy_skill_triggers!$1:$1,0)-MATCH($F$1,enemy_skill_triggers!$1:$1,0)+1),MATCH(G$1,enemy_skill_triggers!$1:$1,0)-MATCH($F$1,enemy_skill_triggers!$1:$1,0)+1,FALSE)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1" s="48">
        <f ca="1">VLOOKUP($F361,OFFSET(enemy_skill_triggers!$A$1,0,0,COUNTA(enemy_skill_triggers!$A:$A),MATCH(H$1,enemy_skill_triggers!$1:$1,0)-MATCH($F$1,enemy_skill_triggers!$1:$1,0)+1),MATCH(H$1,enemy_skill_triggers!$1:$1,0)-MATCH($F$1,enemy_skill_triggers!$1:$1,0)+1,FALSE)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1" s="48">
        <f ca="1">VLOOKUP($F361,OFFSET(enemy_skill_triggers!$A$1,0,0,COUNTA(enemy_skill_triggers!$A:$A),MATCH(I$1,enemy_skill_triggers!$1:$1,0)-MATCH($F$1,enemy_skill_triggers!$1:$1,0)+1),MATCH(I$1,enemy_skill_triggers!$1:$1,0)-MATCH($F$1,enemy_skill_triggers!$1:$1,0)+1,FALSE)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1" s="48" t="str">
        <f ca="1">VLOOKUP($F361,OFFSET(enemy_skill_triggers!$A$1,0,0,COUNTA(enemy_skill_triggers!$A:$A),MATCH(J$1,enemy_skill_triggers!$1:$1,0)-MATCH($F$1,enemy_skill_triggers!$1:$1,0)+1),MATCH(J$1,enemy_skill_triggers!$1:$1,0)-MATCH($F$1,enemy_skill_triggers!$1:$1,0)+1,FALSE)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1" s="48" t="str">
        <f ca="1">VLOOKUP($F361,OFFSET(enemy_skill_triggers!$A$1,0,0,COUNTA(enemy_skill_triggers!$A:$A),MATCH(K$1,enemy_skill_triggers!$1:$1,0)-MATCH($F$1,enemy_skill_triggers!$1:$1,0)+1),MATCH(K$1,enemy_skill_triggers!$1:$1,0)-MATCH($F$1,enemy_skill_triggers!$1:$1,0)+1,FALSE)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1" s="48">
        <f ca="1">VLOOKUP($F361,OFFSET(enemy_skill_triggers!$A$1,0,0,COUNTA(enemy_skill_triggers!$A:$A),MATCH(L$1,enemy_skill_triggers!$1:$1,0)-MATCH($F$1,enemy_skill_triggers!$1:$1,0)+1),MATCH(L$1,enemy_skill_triggers!$1:$1,0)-MATCH($F$1,enemy_skill_triggers!$1:$1,0)+1,FALSE)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1" s="48" t="str">
        <f ca="1">VLOOKUP($F361,OFFSET(enemy_skill_triggers!$A$1,0,0,COUNTA(enemy_skill_triggers!$A:$A),MATCH(M$1,enemy_skill_triggers!$1:$1,0)-MATCH($F$1,enemy_skill_triggers!$1:$1,0)+1),MATCH(M$1,enemy_skill_triggers!$1:$1,0)-MATCH($F$1,enemy_skill_triggers!$1:$1,0)+1,FALSE)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1" s="48" t="str">
        <f ca="1">VLOOKUP($F361,OFFSET(enemy_skill_triggers!$A$1,0,0,COUNTA(enemy_skill_triggers!$A:$A),MATCH(N$1,enemy_skill_triggers!$1:$1,0)-MATCH($F$1,enemy_skill_triggers!$1:$1,0)+1),MATCH(N$1,enemy_skill_triggers!$1:$1,0)-MATCH($F$1,enemy_skill_triggers!$1:$1,0)+1,FALSE)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1" s="48">
        <f ca="1">VLOOKUP($F361,OFFSET(enemy_skill_triggers!$A$1,0,0,COUNTA(enemy_skill_triggers!$A:$A),MATCH(O$1,enemy_skill_triggers!$1:$1,0)-MATCH($F$1,enemy_skill_triggers!$1:$1,0)+1),MATCH(O$1,enemy_skill_triggers!$1:$1,0)-MATCH($F$1,enemy_skill_triggers!$1:$1,0)+1,FALSE)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1" s="47"/>
      <c r="Q361" s="47"/>
      <c r="R361" s="47"/>
    </row>
    <row r="362" spans="1:18" ht="21" customHeight="1" x14ac:dyDescent="0.15">
      <c r="A362" s="39" t="str">
        <f t="shared" si="18"/>
        <v>39009020_39009061</v>
      </c>
      <c r="B362" s="129">
        <v>39009020</v>
      </c>
      <c r="C362" s="132">
        <v>39009061</v>
      </c>
      <c r="D362" s="46" t="str">
        <f ca="1">VLOOKUP($C362,OFFSET(enemy_skills!$A$1,0,0,COUNTA(enemy_skills!$A:$A),MATCH(D$1,enemy_skills!$1:$1,0)-MATCH("enemy_skill_id",enemy_skills!$1:$1,0)+1),MATCH(D$1,enemy_skills!$1:$1,0)-MATCH("enemy_skill_id",enemy_skills!$1:$1,0)+1,FALSE)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2" s="46" t="str">
        <f ca="1">VLOOKUP($C362,OFFSET(enemy_skills!$A$1,0,0,COUNTA(enemy_skills!$A:$A),MATCH(E$1,enemy_skills!$1:$1,0)-MATCH("enemy_skill_id",enemy_skills!$1:$1,0)+1),MATCH(E$1,enemy_skills!$1:$1,0)-MATCH("enemy_skill_id",enemy_skills!$1:$1,0)+1,FALSE)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2" s="132">
        <v>39009078</v>
      </c>
      <c r="G362" s="48">
        <f ca="1">VLOOKUP($F362,OFFSET(enemy_skill_triggers!$A$1,0,0,COUNTA(enemy_skill_triggers!$A:$A),MATCH(G$1,enemy_skill_triggers!$1:$1,0)-MATCH($F$1,enemy_skill_triggers!$1:$1,0)+1),MATCH(G$1,enemy_skill_triggers!$1:$1,0)-MATCH($F$1,enemy_skill_triggers!$1:$1,0)+1,FALSE)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2" s="48">
        <f ca="1">VLOOKUP($F362,OFFSET(enemy_skill_triggers!$A$1,0,0,COUNTA(enemy_skill_triggers!$A:$A),MATCH(H$1,enemy_skill_triggers!$1:$1,0)-MATCH($F$1,enemy_skill_triggers!$1:$1,0)+1),MATCH(H$1,enemy_skill_triggers!$1:$1,0)-MATCH($F$1,enemy_skill_triggers!$1:$1,0)+1,FALSE)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62" s="48">
        <f ca="1">VLOOKUP($F362,OFFSET(enemy_skill_triggers!$A$1,0,0,COUNTA(enemy_skill_triggers!$A:$A),MATCH(I$1,enemy_skill_triggers!$1:$1,0)-MATCH($F$1,enemy_skill_triggers!$1:$1,0)+1),MATCH(I$1,enemy_skill_triggers!$1:$1,0)-MATCH($F$1,enemy_skill_triggers!$1:$1,0)+1,FALSE)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2" s="48" t="str">
        <f ca="1">VLOOKUP($F362,OFFSET(enemy_skill_triggers!$A$1,0,0,COUNTA(enemy_skill_triggers!$A:$A),MATCH(J$1,enemy_skill_triggers!$1:$1,0)-MATCH($F$1,enemy_skill_triggers!$1:$1,0)+1),MATCH(J$1,enemy_skill_triggers!$1:$1,0)-MATCH($F$1,enemy_skill_triggers!$1:$1,0)+1,FALSE)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2" s="48" t="str">
        <f ca="1">VLOOKUP($F362,OFFSET(enemy_skill_triggers!$A$1,0,0,COUNTA(enemy_skill_triggers!$A:$A),MATCH(K$1,enemy_skill_triggers!$1:$1,0)-MATCH($F$1,enemy_skill_triggers!$1:$1,0)+1),MATCH(K$1,enemy_skill_triggers!$1:$1,0)-MATCH($F$1,enemy_skill_triggers!$1:$1,0)+1,FALSE)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2" s="48">
        <f ca="1">VLOOKUP($F362,OFFSET(enemy_skill_triggers!$A$1,0,0,COUNTA(enemy_skill_triggers!$A:$A),MATCH(L$1,enemy_skill_triggers!$1:$1,0)-MATCH($F$1,enemy_skill_triggers!$1:$1,0)+1),MATCH(L$1,enemy_skill_triggers!$1:$1,0)-MATCH($F$1,enemy_skill_triggers!$1:$1,0)+1,FALSE)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2" s="48" t="str">
        <f ca="1">VLOOKUP($F362,OFFSET(enemy_skill_triggers!$A$1,0,0,COUNTA(enemy_skill_triggers!$A:$A),MATCH(M$1,enemy_skill_triggers!$1:$1,0)-MATCH($F$1,enemy_skill_triggers!$1:$1,0)+1),MATCH(M$1,enemy_skill_triggers!$1:$1,0)-MATCH($F$1,enemy_skill_triggers!$1:$1,0)+1,FALSE)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2" s="48">
        <f ca="1">VLOOKUP($F362,OFFSET(enemy_skill_triggers!$A$1,0,0,COUNTA(enemy_skill_triggers!$A:$A),MATCH(N$1,enemy_skill_triggers!$1:$1,0)-MATCH($F$1,enemy_skill_triggers!$1:$1,0)+1),MATCH(N$1,enemy_skill_triggers!$1:$1,0)-MATCH($F$1,enemy_skill_triggers!$1:$1,0)+1,FALSE)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62" s="48">
        <f ca="1">VLOOKUP($F362,OFFSET(enemy_skill_triggers!$A$1,0,0,COUNTA(enemy_skill_triggers!$A:$A),MATCH(O$1,enemy_skill_triggers!$1:$1,0)-MATCH($F$1,enemy_skill_triggers!$1:$1,0)+1),MATCH(O$1,enemy_skill_triggers!$1:$1,0)-MATCH($F$1,enemy_skill_triggers!$1:$1,0)+1,FALSE)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2" s="47"/>
      <c r="Q362" s="47"/>
      <c r="R362" s="47"/>
    </row>
    <row r="363" spans="1:18" ht="21" customHeight="1" x14ac:dyDescent="0.15">
      <c r="A363" s="39" t="str">
        <f t="shared" si="18"/>
        <v>39009020_39009061</v>
      </c>
      <c r="B363" s="129">
        <v>39009020</v>
      </c>
      <c r="C363" s="132">
        <v>39009061</v>
      </c>
      <c r="D363" s="46" t="str">
        <f ca="1">VLOOKUP($C363,OFFSET(enemy_skills!$A$1,0,0,COUNTA(enemy_skills!$A:$A),MATCH(D$1,enemy_skills!$1:$1,0)-MATCH("enemy_skill_id",enemy_skills!$1:$1,0)+1),MATCH(D$1,enemy_skills!$1:$1,0)-MATCH("enemy_skill_id",enemy_skills!$1:$1,0)+1,FALSE)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3" s="46" t="str">
        <f ca="1">VLOOKUP($C363,OFFSET(enemy_skills!$A$1,0,0,COUNTA(enemy_skills!$A:$A),MATCH(E$1,enemy_skills!$1:$1,0)-MATCH("enemy_skill_id",enemy_skills!$1:$1,0)+1),MATCH(E$1,enemy_skills!$1:$1,0)-MATCH("enemy_skill_id",enemy_skills!$1:$1,0)+1,FALSE)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3" s="132">
        <v>39009079</v>
      </c>
      <c r="G363" s="48">
        <f ca="1">VLOOKUP($F363,OFFSET(enemy_skill_triggers!$A$1,0,0,COUNTA(enemy_skill_triggers!$A:$A),MATCH(G$1,enemy_skill_triggers!$1:$1,0)-MATCH($F$1,enemy_skill_triggers!$1:$1,0)+1),MATCH(G$1,enemy_skill_triggers!$1:$1,0)-MATCH($F$1,enemy_skill_triggers!$1:$1,0)+1,FALSE)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3" s="48">
        <f ca="1">VLOOKUP($F363,OFFSET(enemy_skill_triggers!$A$1,0,0,COUNTA(enemy_skill_triggers!$A:$A),MATCH(H$1,enemy_skill_triggers!$1:$1,0)-MATCH($F$1,enemy_skill_triggers!$1:$1,0)+1),MATCH(H$1,enemy_skill_triggers!$1:$1,0)-MATCH($F$1,enemy_skill_triggers!$1:$1,0)+1,FALSE)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363" s="48">
        <f ca="1">VLOOKUP($F363,OFFSET(enemy_skill_triggers!$A$1,0,0,COUNTA(enemy_skill_triggers!$A:$A),MATCH(I$1,enemy_skill_triggers!$1:$1,0)-MATCH($F$1,enemy_skill_triggers!$1:$1,0)+1),MATCH(I$1,enemy_skill_triggers!$1:$1,0)-MATCH($F$1,enemy_skill_triggers!$1:$1,0)+1,FALSE)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3" s="48" t="str">
        <f ca="1">VLOOKUP($F363,OFFSET(enemy_skill_triggers!$A$1,0,0,COUNTA(enemy_skill_triggers!$A:$A),MATCH(J$1,enemy_skill_triggers!$1:$1,0)-MATCH($F$1,enemy_skill_triggers!$1:$1,0)+1),MATCH(J$1,enemy_skill_triggers!$1:$1,0)-MATCH($F$1,enemy_skill_triggers!$1:$1,0)+1,FALSE)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3" s="48" t="str">
        <f ca="1">VLOOKUP($F363,OFFSET(enemy_skill_triggers!$A$1,0,0,COUNTA(enemy_skill_triggers!$A:$A),MATCH(K$1,enemy_skill_triggers!$1:$1,0)-MATCH($F$1,enemy_skill_triggers!$1:$1,0)+1),MATCH(K$1,enemy_skill_triggers!$1:$1,0)-MATCH($F$1,enemy_skill_triggers!$1:$1,0)+1,FALSE)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3" s="48">
        <f ca="1">VLOOKUP($F363,OFFSET(enemy_skill_triggers!$A$1,0,0,COUNTA(enemy_skill_triggers!$A:$A),MATCH(L$1,enemy_skill_triggers!$1:$1,0)-MATCH($F$1,enemy_skill_triggers!$1:$1,0)+1),MATCH(L$1,enemy_skill_triggers!$1:$1,0)-MATCH($F$1,enemy_skill_triggers!$1:$1,0)+1,FALSE)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3" s="48" t="str">
        <f ca="1">VLOOKUP($F363,OFFSET(enemy_skill_triggers!$A$1,0,0,COUNTA(enemy_skill_triggers!$A:$A),MATCH(M$1,enemy_skill_triggers!$1:$1,0)-MATCH($F$1,enemy_skill_triggers!$1:$1,0)+1),MATCH(M$1,enemy_skill_triggers!$1:$1,0)-MATCH($F$1,enemy_skill_triggers!$1:$1,0)+1,FALSE)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3" s="48">
        <f ca="1">VLOOKUP($F363,OFFSET(enemy_skill_triggers!$A$1,0,0,COUNTA(enemy_skill_triggers!$A:$A),MATCH(N$1,enemy_skill_triggers!$1:$1,0)-MATCH($F$1,enemy_skill_triggers!$1:$1,0)+1),MATCH(N$1,enemy_skill_triggers!$1:$1,0)-MATCH($F$1,enemy_skill_triggers!$1:$1,0)+1,FALSE)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63" s="48">
        <f ca="1">VLOOKUP($F363,OFFSET(enemy_skill_triggers!$A$1,0,0,COUNTA(enemy_skill_triggers!$A:$A),MATCH(O$1,enemy_skill_triggers!$1:$1,0)-MATCH($F$1,enemy_skill_triggers!$1:$1,0)+1),MATCH(O$1,enemy_skill_triggers!$1:$1,0)-MATCH($F$1,enemy_skill_triggers!$1:$1,0)+1,FALSE)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3" s="47"/>
      <c r="Q363" s="47"/>
      <c r="R363" s="47"/>
    </row>
    <row r="364" spans="1:18" ht="21" customHeight="1" x14ac:dyDescent="0.15">
      <c r="A364" s="39" t="str">
        <f t="shared" si="18"/>
        <v>39009020_39009061</v>
      </c>
      <c r="B364" s="129">
        <v>39009020</v>
      </c>
      <c r="C364" s="132">
        <v>39009061</v>
      </c>
      <c r="D364" s="46" t="str">
        <f ca="1">VLOOKUP($C364,OFFSET(enemy_skills!$A$1,0,0,COUNTA(enemy_skills!$A:$A),MATCH(D$1,enemy_skills!$1:$1,0)-MATCH("enemy_skill_id",enemy_skills!$1:$1,0)+1),MATCH(D$1,enemy_skills!$1:$1,0)-MATCH("enemy_skill_id",enemy_skills!$1:$1,0)+1,FALSE)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4" s="46" t="str">
        <f ca="1">VLOOKUP($C364,OFFSET(enemy_skills!$A$1,0,0,COUNTA(enemy_skills!$A:$A),MATCH(E$1,enemy_skills!$1:$1,0)-MATCH("enemy_skill_id",enemy_skills!$1:$1,0)+1),MATCH(E$1,enemy_skills!$1:$1,0)-MATCH("enemy_skill_id",enemy_skills!$1:$1,0)+1,FALSE)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4" s="132">
        <v>39009080</v>
      </c>
      <c r="G364" s="48">
        <f ca="1">VLOOKUP($F364,OFFSET(enemy_skill_triggers!$A$1,0,0,COUNTA(enemy_skill_triggers!$A:$A),MATCH(G$1,enemy_skill_triggers!$1:$1,0)-MATCH($F$1,enemy_skill_triggers!$1:$1,0)+1),MATCH(G$1,enemy_skill_triggers!$1:$1,0)-MATCH($F$1,enemy_skill_triggers!$1:$1,0)+1,FALSE)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4" s="48">
        <f ca="1">VLOOKUP($F364,OFFSET(enemy_skill_triggers!$A$1,0,0,COUNTA(enemy_skill_triggers!$A:$A),MATCH(H$1,enemy_skill_triggers!$1:$1,0)-MATCH($F$1,enemy_skill_triggers!$1:$1,0)+1),MATCH(H$1,enemy_skill_triggers!$1:$1,0)-MATCH($F$1,enemy_skill_triggers!$1:$1,0)+1,FALSE)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364" s="48">
        <f ca="1">VLOOKUP($F364,OFFSET(enemy_skill_triggers!$A$1,0,0,COUNTA(enemy_skill_triggers!$A:$A),MATCH(I$1,enemy_skill_triggers!$1:$1,0)-MATCH($F$1,enemy_skill_triggers!$1:$1,0)+1),MATCH(I$1,enemy_skill_triggers!$1:$1,0)-MATCH($F$1,enemy_skill_triggers!$1:$1,0)+1,FALSE)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4" s="48" t="str">
        <f ca="1">VLOOKUP($F364,OFFSET(enemy_skill_triggers!$A$1,0,0,COUNTA(enemy_skill_triggers!$A:$A),MATCH(J$1,enemy_skill_triggers!$1:$1,0)-MATCH($F$1,enemy_skill_triggers!$1:$1,0)+1),MATCH(J$1,enemy_skill_triggers!$1:$1,0)-MATCH($F$1,enemy_skill_triggers!$1:$1,0)+1,FALSE)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4" s="48" t="str">
        <f ca="1">VLOOKUP($F364,OFFSET(enemy_skill_triggers!$A$1,0,0,COUNTA(enemy_skill_triggers!$A:$A),MATCH(K$1,enemy_skill_triggers!$1:$1,0)-MATCH($F$1,enemy_skill_triggers!$1:$1,0)+1),MATCH(K$1,enemy_skill_triggers!$1:$1,0)-MATCH($F$1,enemy_skill_triggers!$1:$1,0)+1,FALSE)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4" s="48">
        <f ca="1">VLOOKUP($F364,OFFSET(enemy_skill_triggers!$A$1,0,0,COUNTA(enemy_skill_triggers!$A:$A),MATCH(L$1,enemy_skill_triggers!$1:$1,0)-MATCH($F$1,enemy_skill_triggers!$1:$1,0)+1),MATCH(L$1,enemy_skill_triggers!$1:$1,0)-MATCH($F$1,enemy_skill_triggers!$1:$1,0)+1,FALSE)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4" s="48" t="str">
        <f ca="1">VLOOKUP($F364,OFFSET(enemy_skill_triggers!$A$1,0,0,COUNTA(enemy_skill_triggers!$A:$A),MATCH(M$1,enemy_skill_triggers!$1:$1,0)-MATCH($F$1,enemy_skill_triggers!$1:$1,0)+1),MATCH(M$1,enemy_skill_triggers!$1:$1,0)-MATCH($F$1,enemy_skill_triggers!$1:$1,0)+1,FALSE)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4" s="48">
        <f ca="1">VLOOKUP($F364,OFFSET(enemy_skill_triggers!$A$1,0,0,COUNTA(enemy_skill_triggers!$A:$A),MATCH(N$1,enemy_skill_triggers!$1:$1,0)-MATCH($F$1,enemy_skill_triggers!$1:$1,0)+1),MATCH(N$1,enemy_skill_triggers!$1:$1,0)-MATCH($F$1,enemy_skill_triggers!$1:$1,0)+1,FALSE)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64" s="48">
        <f ca="1">VLOOKUP($F364,OFFSET(enemy_skill_triggers!$A$1,0,0,COUNTA(enemy_skill_triggers!$A:$A),MATCH(O$1,enemy_skill_triggers!$1:$1,0)-MATCH($F$1,enemy_skill_triggers!$1:$1,0)+1),MATCH(O$1,enemy_skill_triggers!$1:$1,0)-MATCH($F$1,enemy_skill_triggers!$1:$1,0)+1,FALSE)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4" s="47"/>
      <c r="Q364" s="47"/>
      <c r="R364" s="47"/>
    </row>
    <row r="365" spans="1:18" ht="21" customHeight="1" x14ac:dyDescent="0.15">
      <c r="A365" s="39" t="str">
        <f t="shared" si="18"/>
        <v>39009020_39009061</v>
      </c>
      <c r="B365" s="129">
        <v>39009020</v>
      </c>
      <c r="C365" s="132">
        <v>39009061</v>
      </c>
      <c r="D365" s="46" t="str">
        <f ca="1">VLOOKUP($C365,OFFSET(enemy_skills!$A$1,0,0,COUNTA(enemy_skills!$A:$A),MATCH(D$1,enemy_skills!$1:$1,0)-MATCH("enemy_skill_id",enemy_skills!$1:$1,0)+1),MATCH(D$1,enemy_skills!$1:$1,0)-MATCH("enemy_skill_id",enemy_skills!$1:$1,0)+1,FALSE)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5" s="46" t="str">
        <f ca="1">VLOOKUP($C365,OFFSET(enemy_skills!$A$1,0,0,COUNTA(enemy_skills!$A:$A),MATCH(E$1,enemy_skills!$1:$1,0)-MATCH("enemy_skill_id",enemy_skills!$1:$1,0)+1),MATCH(E$1,enemy_skills!$1:$1,0)-MATCH("enemy_skill_id",enemy_skills!$1:$1,0)+1,FALSE)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5" s="132">
        <v>39009081</v>
      </c>
      <c r="G365" s="48">
        <f ca="1">VLOOKUP($F365,OFFSET(enemy_skill_triggers!$A$1,0,0,COUNTA(enemy_skill_triggers!$A:$A),MATCH(G$1,enemy_skill_triggers!$1:$1,0)-MATCH($F$1,enemy_skill_triggers!$1:$1,0)+1),MATCH(G$1,enemy_skill_triggers!$1:$1,0)-MATCH($F$1,enemy_skill_triggers!$1:$1,0)+1,FALSE)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5" s="48">
        <f ca="1">VLOOKUP($F365,OFFSET(enemy_skill_triggers!$A$1,0,0,COUNTA(enemy_skill_triggers!$A:$A),MATCH(H$1,enemy_skill_triggers!$1:$1,0)-MATCH($F$1,enemy_skill_triggers!$1:$1,0)+1),MATCH(H$1,enemy_skill_triggers!$1:$1,0)-MATCH($F$1,enemy_skill_triggers!$1:$1,0)+1,FALSE)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365" s="48">
        <f ca="1">VLOOKUP($F365,OFFSET(enemy_skill_triggers!$A$1,0,0,COUNTA(enemy_skill_triggers!$A:$A),MATCH(I$1,enemy_skill_triggers!$1:$1,0)-MATCH($F$1,enemy_skill_triggers!$1:$1,0)+1),MATCH(I$1,enemy_skill_triggers!$1:$1,0)-MATCH($F$1,enemy_skill_triggers!$1:$1,0)+1,FALSE)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5" s="48" t="str">
        <f ca="1">VLOOKUP($F365,OFFSET(enemy_skill_triggers!$A$1,0,0,COUNTA(enemy_skill_triggers!$A:$A),MATCH(J$1,enemy_skill_triggers!$1:$1,0)-MATCH($F$1,enemy_skill_triggers!$1:$1,0)+1),MATCH(J$1,enemy_skill_triggers!$1:$1,0)-MATCH($F$1,enemy_skill_triggers!$1:$1,0)+1,FALSE)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5" s="48" t="str">
        <f ca="1">VLOOKUP($F365,OFFSET(enemy_skill_triggers!$A$1,0,0,COUNTA(enemy_skill_triggers!$A:$A),MATCH(K$1,enemy_skill_triggers!$1:$1,0)-MATCH($F$1,enemy_skill_triggers!$1:$1,0)+1),MATCH(K$1,enemy_skill_triggers!$1:$1,0)-MATCH($F$1,enemy_skill_triggers!$1:$1,0)+1,FALSE)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5" s="48">
        <f ca="1">VLOOKUP($F365,OFFSET(enemy_skill_triggers!$A$1,0,0,COUNTA(enemy_skill_triggers!$A:$A),MATCH(L$1,enemy_skill_triggers!$1:$1,0)-MATCH($F$1,enemy_skill_triggers!$1:$1,0)+1),MATCH(L$1,enemy_skill_triggers!$1:$1,0)-MATCH($F$1,enemy_skill_triggers!$1:$1,0)+1,FALSE)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5" s="48" t="str">
        <f ca="1">VLOOKUP($F365,OFFSET(enemy_skill_triggers!$A$1,0,0,COUNTA(enemy_skill_triggers!$A:$A),MATCH(M$1,enemy_skill_triggers!$1:$1,0)-MATCH($F$1,enemy_skill_triggers!$1:$1,0)+1),MATCH(M$1,enemy_skill_triggers!$1:$1,0)-MATCH($F$1,enemy_skill_triggers!$1:$1,0)+1,FALSE)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5" s="48">
        <f ca="1">VLOOKUP($F365,OFFSET(enemy_skill_triggers!$A$1,0,0,COUNTA(enemy_skill_triggers!$A:$A),MATCH(N$1,enemy_skill_triggers!$1:$1,0)-MATCH($F$1,enemy_skill_triggers!$1:$1,0)+1),MATCH(N$1,enemy_skill_triggers!$1:$1,0)-MATCH($F$1,enemy_skill_triggers!$1:$1,0)+1,FALSE)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365" s="48">
        <f ca="1">VLOOKUP($F365,OFFSET(enemy_skill_triggers!$A$1,0,0,COUNTA(enemy_skill_triggers!$A:$A),MATCH(O$1,enemy_skill_triggers!$1:$1,0)-MATCH($F$1,enemy_skill_triggers!$1:$1,0)+1),MATCH(O$1,enemy_skill_triggers!$1:$1,0)-MATCH($F$1,enemy_skill_triggers!$1:$1,0)+1,FALSE)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5" s="47"/>
      <c r="Q365" s="47"/>
      <c r="R365" s="47"/>
    </row>
    <row r="366" spans="1:18" ht="21" customHeight="1" x14ac:dyDescent="0.15">
      <c r="A366" s="39" t="str">
        <f t="shared" si="18"/>
        <v>39009020_39009061</v>
      </c>
      <c r="B366" s="129">
        <v>39009020</v>
      </c>
      <c r="C366" s="132">
        <v>39009061</v>
      </c>
      <c r="D366" s="46" t="str">
        <f ca="1">VLOOKUP($C366,OFFSET(enemy_skills!$A$1,0,0,COUNTA(enemy_skills!$A:$A),MATCH(D$1,enemy_skills!$1:$1,0)-MATCH("enemy_skill_id",enemy_skills!$1:$1,0)+1),MATCH(D$1,enemy_skills!$1:$1,0)-MATCH("enemy_skill_id",enemy_skills!$1:$1,0)+1,FALSE)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6" s="46" t="str">
        <f ca="1">VLOOKUP($C366,OFFSET(enemy_skills!$A$1,0,0,COUNTA(enemy_skills!$A:$A),MATCH(E$1,enemy_skills!$1:$1,0)-MATCH("enemy_skill_id",enemy_skills!$1:$1,0)+1),MATCH(E$1,enemy_skills!$1:$1,0)-MATCH("enemy_skill_id",enemy_skills!$1:$1,0)+1,FALSE)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6" s="132">
        <v>39009082</v>
      </c>
      <c r="G366" s="48">
        <f ca="1">VLOOKUP($F366,OFFSET(enemy_skill_triggers!$A$1,0,0,COUNTA(enemy_skill_triggers!$A:$A),MATCH(G$1,enemy_skill_triggers!$1:$1,0)-MATCH($F$1,enemy_skill_triggers!$1:$1,0)+1),MATCH(G$1,enemy_skill_triggers!$1:$1,0)-MATCH($F$1,enemy_skill_triggers!$1:$1,0)+1,FALSE)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6" s="48">
        <f ca="1">VLOOKUP($F366,OFFSET(enemy_skill_triggers!$A$1,0,0,COUNTA(enemy_skill_triggers!$A:$A),MATCH(H$1,enemy_skill_triggers!$1:$1,0)-MATCH($F$1,enemy_skill_triggers!$1:$1,0)+1),MATCH(H$1,enemy_skill_triggers!$1:$1,0)-MATCH($F$1,enemy_skill_triggers!$1:$1,0)+1,FALSE)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6" s="48">
        <f ca="1">VLOOKUP($F366,OFFSET(enemy_skill_triggers!$A$1,0,0,COUNTA(enemy_skill_triggers!$A:$A),MATCH(I$1,enemy_skill_triggers!$1:$1,0)-MATCH($F$1,enemy_skill_triggers!$1:$1,0)+1),MATCH(I$1,enemy_skill_triggers!$1:$1,0)-MATCH($F$1,enemy_skill_triggers!$1:$1,0)+1,FALSE)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6" s="48" t="str">
        <f ca="1">VLOOKUP($F366,OFFSET(enemy_skill_triggers!$A$1,0,0,COUNTA(enemy_skill_triggers!$A:$A),MATCH(J$1,enemy_skill_triggers!$1:$1,0)-MATCH($F$1,enemy_skill_triggers!$1:$1,0)+1),MATCH(J$1,enemy_skill_triggers!$1:$1,0)-MATCH($F$1,enemy_skill_triggers!$1:$1,0)+1,FALSE)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6" s="48" t="str">
        <f ca="1">VLOOKUP($F366,OFFSET(enemy_skill_triggers!$A$1,0,0,COUNTA(enemy_skill_triggers!$A:$A),MATCH(K$1,enemy_skill_triggers!$1:$1,0)-MATCH($F$1,enemy_skill_triggers!$1:$1,0)+1),MATCH(K$1,enemy_skill_triggers!$1:$1,0)-MATCH($F$1,enemy_skill_triggers!$1:$1,0)+1,FALSE)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6" s="48">
        <f ca="1">VLOOKUP($F366,OFFSET(enemy_skill_triggers!$A$1,0,0,COUNTA(enemy_skill_triggers!$A:$A),MATCH(L$1,enemy_skill_triggers!$1:$1,0)-MATCH($F$1,enemy_skill_triggers!$1:$1,0)+1),MATCH(L$1,enemy_skill_triggers!$1:$1,0)-MATCH($F$1,enemy_skill_triggers!$1:$1,0)+1,FALSE)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6" s="48" t="str">
        <f ca="1">VLOOKUP($F366,OFFSET(enemy_skill_triggers!$A$1,0,0,COUNTA(enemy_skill_triggers!$A:$A),MATCH(M$1,enemy_skill_triggers!$1:$1,0)-MATCH($F$1,enemy_skill_triggers!$1:$1,0)+1),MATCH(M$1,enemy_skill_triggers!$1:$1,0)-MATCH($F$1,enemy_skill_triggers!$1:$1,0)+1,FALSE)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6" s="48">
        <f ca="1">VLOOKUP($F366,OFFSET(enemy_skill_triggers!$A$1,0,0,COUNTA(enemy_skill_triggers!$A:$A),MATCH(N$1,enemy_skill_triggers!$1:$1,0)-MATCH($F$1,enemy_skill_triggers!$1:$1,0)+1),MATCH(N$1,enemy_skill_triggers!$1:$1,0)-MATCH($F$1,enemy_skill_triggers!$1:$1,0)+1,FALSE)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366" s="48">
        <f ca="1">VLOOKUP($F366,OFFSET(enemy_skill_triggers!$A$1,0,0,COUNTA(enemy_skill_triggers!$A:$A),MATCH(O$1,enemy_skill_triggers!$1:$1,0)-MATCH($F$1,enemy_skill_triggers!$1:$1,0)+1),MATCH(O$1,enemy_skill_triggers!$1:$1,0)-MATCH($F$1,enemy_skill_triggers!$1:$1,0)+1,FALSE)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6" s="47"/>
      <c r="Q366" s="47"/>
      <c r="R366" s="47"/>
    </row>
    <row r="367" spans="1:18" ht="21" customHeight="1" x14ac:dyDescent="0.15">
      <c r="A367" s="39" t="str">
        <f t="shared" si="18"/>
        <v>39009020_39009061</v>
      </c>
      <c r="B367" s="129">
        <v>39009020</v>
      </c>
      <c r="C367" s="132">
        <v>39009061</v>
      </c>
      <c r="D367" s="46" t="str">
        <f ca="1">VLOOKUP($C367,OFFSET(enemy_skills!$A$1,0,0,COUNTA(enemy_skills!$A:$A),MATCH(D$1,enemy_skills!$1:$1,0)-MATCH("enemy_skill_id",enemy_skills!$1:$1,0)+1),MATCH(D$1,enemy_skills!$1:$1,0)-MATCH("enemy_skill_id",enemy_skills!$1:$1,0)+1,FALSE)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7" s="46" t="str">
        <f ca="1">VLOOKUP($C367,OFFSET(enemy_skills!$A$1,0,0,COUNTA(enemy_skills!$A:$A),MATCH(E$1,enemy_skills!$1:$1,0)-MATCH("enemy_skill_id",enemy_skills!$1:$1,0)+1),MATCH(E$1,enemy_skills!$1:$1,0)-MATCH("enemy_skill_id",enemy_skills!$1:$1,0)+1,FALSE)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7" s="132">
        <v>39009083</v>
      </c>
      <c r="G367" s="48">
        <f ca="1">VLOOKUP($F367,OFFSET(enemy_skill_triggers!$A$1,0,0,COUNTA(enemy_skill_triggers!$A:$A),MATCH(G$1,enemy_skill_triggers!$1:$1,0)-MATCH($F$1,enemy_skill_triggers!$1:$1,0)+1),MATCH(G$1,enemy_skill_triggers!$1:$1,0)-MATCH($F$1,enemy_skill_triggers!$1:$1,0)+1,FALSE)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7" s="48">
        <f ca="1">VLOOKUP($F367,OFFSET(enemy_skill_triggers!$A$1,0,0,COUNTA(enemy_skill_triggers!$A:$A),MATCH(H$1,enemy_skill_triggers!$1:$1,0)-MATCH($F$1,enemy_skill_triggers!$1:$1,0)+1),MATCH(H$1,enemy_skill_triggers!$1:$1,0)-MATCH($F$1,enemy_skill_triggers!$1:$1,0)+1,FALSE)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367" s="48">
        <f ca="1">VLOOKUP($F367,OFFSET(enemy_skill_triggers!$A$1,0,0,COUNTA(enemy_skill_triggers!$A:$A),MATCH(I$1,enemy_skill_triggers!$1:$1,0)-MATCH($F$1,enemy_skill_triggers!$1:$1,0)+1),MATCH(I$1,enemy_skill_triggers!$1:$1,0)-MATCH($F$1,enemy_skill_triggers!$1:$1,0)+1,FALSE)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7" s="48" t="str">
        <f ca="1">VLOOKUP($F367,OFFSET(enemy_skill_triggers!$A$1,0,0,COUNTA(enemy_skill_triggers!$A:$A),MATCH(J$1,enemy_skill_triggers!$1:$1,0)-MATCH($F$1,enemy_skill_triggers!$1:$1,0)+1),MATCH(J$1,enemy_skill_triggers!$1:$1,0)-MATCH($F$1,enemy_skill_triggers!$1:$1,0)+1,FALSE)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7" s="48" t="str">
        <f ca="1">VLOOKUP($F367,OFFSET(enemy_skill_triggers!$A$1,0,0,COUNTA(enemy_skill_triggers!$A:$A),MATCH(K$1,enemy_skill_triggers!$1:$1,0)-MATCH($F$1,enemy_skill_triggers!$1:$1,0)+1),MATCH(K$1,enemy_skill_triggers!$1:$1,0)-MATCH($F$1,enemy_skill_triggers!$1:$1,0)+1,FALSE)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7" s="48">
        <f ca="1">VLOOKUP($F367,OFFSET(enemy_skill_triggers!$A$1,0,0,COUNTA(enemy_skill_triggers!$A:$A),MATCH(L$1,enemy_skill_triggers!$1:$1,0)-MATCH($F$1,enemy_skill_triggers!$1:$1,0)+1),MATCH(L$1,enemy_skill_triggers!$1:$1,0)-MATCH($F$1,enemy_skill_triggers!$1:$1,0)+1,FALSE)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7" s="48" t="str">
        <f ca="1">VLOOKUP($F367,OFFSET(enemy_skill_triggers!$A$1,0,0,COUNTA(enemy_skill_triggers!$A:$A),MATCH(M$1,enemy_skill_triggers!$1:$1,0)-MATCH($F$1,enemy_skill_triggers!$1:$1,0)+1),MATCH(M$1,enemy_skill_triggers!$1:$1,0)-MATCH($F$1,enemy_skill_triggers!$1:$1,0)+1,FALSE)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7" s="48">
        <f ca="1">VLOOKUP($F367,OFFSET(enemy_skill_triggers!$A$1,0,0,COUNTA(enemy_skill_triggers!$A:$A),MATCH(N$1,enemy_skill_triggers!$1:$1,0)-MATCH($F$1,enemy_skill_triggers!$1:$1,0)+1),MATCH(N$1,enemy_skill_triggers!$1:$1,0)-MATCH($F$1,enemy_skill_triggers!$1:$1,0)+1,FALSE)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67" s="48">
        <f ca="1">VLOOKUP($F367,OFFSET(enemy_skill_triggers!$A$1,0,0,COUNTA(enemy_skill_triggers!$A:$A),MATCH(O$1,enemy_skill_triggers!$1:$1,0)-MATCH($F$1,enemy_skill_triggers!$1:$1,0)+1),MATCH(O$1,enemy_skill_triggers!$1:$1,0)-MATCH($F$1,enemy_skill_triggers!$1:$1,0)+1,FALSE)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7" s="47"/>
      <c r="Q367" s="47"/>
      <c r="R367" s="47"/>
    </row>
    <row r="368" spans="1:18" ht="21" customHeight="1" x14ac:dyDescent="0.15">
      <c r="A368" s="39" t="str">
        <f t="shared" si="18"/>
        <v>39009020_39009061</v>
      </c>
      <c r="B368" s="129">
        <v>39009020</v>
      </c>
      <c r="C368" s="132">
        <v>39009061</v>
      </c>
      <c r="D368" s="46" t="str">
        <f ca="1">VLOOKUP($C368,OFFSET(enemy_skills!$A$1,0,0,COUNTA(enemy_skills!$A:$A),MATCH(D$1,enemy_skills!$1:$1,0)-MATCH("enemy_skill_id",enemy_skills!$1:$1,0)+1),MATCH(D$1,enemy_skills!$1:$1,0)-MATCH("enemy_skill_id",enemy_skills!$1:$1,0)+1,FALSE)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8" s="46" t="str">
        <f ca="1">VLOOKUP($C368,OFFSET(enemy_skills!$A$1,0,0,COUNTA(enemy_skills!$A:$A),MATCH(E$1,enemy_skills!$1:$1,0)-MATCH("enemy_skill_id",enemy_skills!$1:$1,0)+1),MATCH(E$1,enemy_skills!$1:$1,0)-MATCH("enemy_skill_id",enemy_skills!$1:$1,0)+1,FALSE)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8" s="132">
        <v>39009084</v>
      </c>
      <c r="G368" s="48">
        <f ca="1">VLOOKUP($F368,OFFSET(enemy_skill_triggers!$A$1,0,0,COUNTA(enemy_skill_triggers!$A:$A),MATCH(G$1,enemy_skill_triggers!$1:$1,0)-MATCH($F$1,enemy_skill_triggers!$1:$1,0)+1),MATCH(G$1,enemy_skill_triggers!$1:$1,0)-MATCH($F$1,enemy_skill_triggers!$1:$1,0)+1,FALSE)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8" s="48">
        <f ca="1">VLOOKUP($F368,OFFSET(enemy_skill_triggers!$A$1,0,0,COUNTA(enemy_skill_triggers!$A:$A),MATCH(H$1,enemy_skill_triggers!$1:$1,0)-MATCH($F$1,enemy_skill_triggers!$1:$1,0)+1),MATCH(H$1,enemy_skill_triggers!$1:$1,0)-MATCH($F$1,enemy_skill_triggers!$1:$1,0)+1,FALSE)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368" s="48">
        <f ca="1">VLOOKUP($F368,OFFSET(enemy_skill_triggers!$A$1,0,0,COUNTA(enemy_skill_triggers!$A:$A),MATCH(I$1,enemy_skill_triggers!$1:$1,0)-MATCH($F$1,enemy_skill_triggers!$1:$1,0)+1),MATCH(I$1,enemy_skill_triggers!$1:$1,0)-MATCH($F$1,enemy_skill_triggers!$1:$1,0)+1,FALSE)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8" s="48" t="str">
        <f ca="1">VLOOKUP($F368,OFFSET(enemy_skill_triggers!$A$1,0,0,COUNTA(enemy_skill_triggers!$A:$A),MATCH(J$1,enemy_skill_triggers!$1:$1,0)-MATCH($F$1,enemy_skill_triggers!$1:$1,0)+1),MATCH(J$1,enemy_skill_triggers!$1:$1,0)-MATCH($F$1,enemy_skill_triggers!$1:$1,0)+1,FALSE)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8" s="48" t="str">
        <f ca="1">VLOOKUP($F368,OFFSET(enemy_skill_triggers!$A$1,0,0,COUNTA(enemy_skill_triggers!$A:$A),MATCH(K$1,enemy_skill_triggers!$1:$1,0)-MATCH($F$1,enemy_skill_triggers!$1:$1,0)+1),MATCH(K$1,enemy_skill_triggers!$1:$1,0)-MATCH($F$1,enemy_skill_triggers!$1:$1,0)+1,FALSE)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8" s="48">
        <f ca="1">VLOOKUP($F368,OFFSET(enemy_skill_triggers!$A$1,0,0,COUNTA(enemy_skill_triggers!$A:$A),MATCH(L$1,enemy_skill_triggers!$1:$1,0)-MATCH($F$1,enemy_skill_triggers!$1:$1,0)+1),MATCH(L$1,enemy_skill_triggers!$1:$1,0)-MATCH($F$1,enemy_skill_triggers!$1:$1,0)+1,FALSE)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8" s="48" t="str">
        <f ca="1">VLOOKUP($F368,OFFSET(enemy_skill_triggers!$A$1,0,0,COUNTA(enemy_skill_triggers!$A:$A),MATCH(M$1,enemy_skill_triggers!$1:$1,0)-MATCH($F$1,enemy_skill_triggers!$1:$1,0)+1),MATCH(M$1,enemy_skill_triggers!$1:$1,0)-MATCH($F$1,enemy_skill_triggers!$1:$1,0)+1,FALSE)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8" s="48">
        <f ca="1">VLOOKUP($F368,OFFSET(enemy_skill_triggers!$A$1,0,0,COUNTA(enemy_skill_triggers!$A:$A),MATCH(N$1,enemy_skill_triggers!$1:$1,0)-MATCH($F$1,enemy_skill_triggers!$1:$1,0)+1),MATCH(N$1,enemy_skill_triggers!$1:$1,0)-MATCH($F$1,enemy_skill_triggers!$1:$1,0)+1,FALSE)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68" s="48">
        <f ca="1">VLOOKUP($F368,OFFSET(enemy_skill_triggers!$A$1,0,0,COUNTA(enemy_skill_triggers!$A:$A),MATCH(O$1,enemy_skill_triggers!$1:$1,0)-MATCH($F$1,enemy_skill_triggers!$1:$1,0)+1),MATCH(O$1,enemy_skill_triggers!$1:$1,0)-MATCH($F$1,enemy_skill_triggers!$1:$1,0)+1,FALSE)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8" s="47"/>
      <c r="Q368" s="47"/>
      <c r="R368" s="47"/>
    </row>
    <row r="369" spans="1:18" ht="21" customHeight="1" x14ac:dyDescent="0.15">
      <c r="A369" s="39" t="str">
        <f t="shared" si="18"/>
        <v>39009020_39009061</v>
      </c>
      <c r="B369" s="129">
        <v>39009020</v>
      </c>
      <c r="C369" s="132">
        <v>39009061</v>
      </c>
      <c r="D369" s="46" t="str">
        <f ca="1">VLOOKUP($C369,OFFSET(enemy_skills!$A$1,0,0,COUNTA(enemy_skills!$A:$A),MATCH(D$1,enemy_skills!$1:$1,0)-MATCH("enemy_skill_id",enemy_skills!$1:$1,0)+1),MATCH(D$1,enemy_skills!$1:$1,0)-MATCH("enemy_skill_id",enemy_skills!$1:$1,0)+1,FALSE)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69" s="46" t="str">
        <f ca="1">VLOOKUP($C369,OFFSET(enemy_skills!$A$1,0,0,COUNTA(enemy_skills!$A:$A),MATCH(E$1,enemy_skills!$1:$1,0)-MATCH("enemy_skill_id",enemy_skills!$1:$1,0)+1),MATCH(E$1,enemy_skills!$1:$1,0)-MATCH("enemy_skill_id",enemy_skills!$1:$1,0)+1,FALSE)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69" s="132">
        <v>39009085</v>
      </c>
      <c r="G369" s="48">
        <f ca="1">VLOOKUP($F369,OFFSET(enemy_skill_triggers!$A$1,0,0,COUNTA(enemy_skill_triggers!$A:$A),MATCH(G$1,enemy_skill_triggers!$1:$1,0)-MATCH($F$1,enemy_skill_triggers!$1:$1,0)+1),MATCH(G$1,enemy_skill_triggers!$1:$1,0)-MATCH($F$1,enemy_skill_triggers!$1:$1,0)+1,FALSE)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9" s="48">
        <f ca="1">VLOOKUP($F369,OFFSET(enemy_skill_triggers!$A$1,0,0,COUNTA(enemy_skill_triggers!$A:$A),MATCH(H$1,enemy_skill_triggers!$1:$1,0)-MATCH($F$1,enemy_skill_triggers!$1:$1,0)+1),MATCH(H$1,enemy_skill_triggers!$1:$1,0)-MATCH($F$1,enemy_skill_triggers!$1:$1,0)+1,FALSE)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369" s="48">
        <f ca="1">VLOOKUP($F369,OFFSET(enemy_skill_triggers!$A$1,0,0,COUNTA(enemy_skill_triggers!$A:$A),MATCH(I$1,enemy_skill_triggers!$1:$1,0)-MATCH($F$1,enemy_skill_triggers!$1:$1,0)+1),MATCH(I$1,enemy_skill_triggers!$1:$1,0)-MATCH($F$1,enemy_skill_triggers!$1:$1,0)+1,FALSE)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9" s="48" t="str">
        <f ca="1">VLOOKUP($F369,OFFSET(enemy_skill_triggers!$A$1,0,0,COUNTA(enemy_skill_triggers!$A:$A),MATCH(J$1,enemy_skill_triggers!$1:$1,0)-MATCH($F$1,enemy_skill_triggers!$1:$1,0)+1),MATCH(J$1,enemy_skill_triggers!$1:$1,0)-MATCH($F$1,enemy_skill_triggers!$1:$1,0)+1,FALSE)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9" s="48" t="str">
        <f ca="1">VLOOKUP($F369,OFFSET(enemy_skill_triggers!$A$1,0,0,COUNTA(enemy_skill_triggers!$A:$A),MATCH(K$1,enemy_skill_triggers!$1:$1,0)-MATCH($F$1,enemy_skill_triggers!$1:$1,0)+1),MATCH(K$1,enemy_skill_triggers!$1:$1,0)-MATCH($F$1,enemy_skill_triggers!$1:$1,0)+1,FALSE)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9" s="48">
        <f ca="1">VLOOKUP($F369,OFFSET(enemy_skill_triggers!$A$1,0,0,COUNTA(enemy_skill_triggers!$A:$A),MATCH(L$1,enemy_skill_triggers!$1:$1,0)-MATCH($F$1,enemy_skill_triggers!$1:$1,0)+1),MATCH(L$1,enemy_skill_triggers!$1:$1,0)-MATCH($F$1,enemy_skill_triggers!$1:$1,0)+1,FALSE)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9" s="48" t="str">
        <f ca="1">VLOOKUP($F369,OFFSET(enemy_skill_triggers!$A$1,0,0,COUNTA(enemy_skill_triggers!$A:$A),MATCH(M$1,enemy_skill_triggers!$1:$1,0)-MATCH($F$1,enemy_skill_triggers!$1:$1,0)+1),MATCH(M$1,enemy_skill_triggers!$1:$1,0)-MATCH($F$1,enemy_skill_triggers!$1:$1,0)+1,FALSE)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9" s="48">
        <f ca="1">VLOOKUP($F369,OFFSET(enemy_skill_triggers!$A$1,0,0,COUNTA(enemy_skill_triggers!$A:$A),MATCH(N$1,enemy_skill_triggers!$1:$1,0)-MATCH($F$1,enemy_skill_triggers!$1:$1,0)+1),MATCH(N$1,enemy_skill_triggers!$1:$1,0)-MATCH($F$1,enemy_skill_triggers!$1:$1,0)+1,FALSE)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69" s="48">
        <f ca="1">VLOOKUP($F369,OFFSET(enemy_skill_triggers!$A$1,0,0,COUNTA(enemy_skill_triggers!$A:$A),MATCH(O$1,enemy_skill_triggers!$1:$1,0)-MATCH($F$1,enemy_skill_triggers!$1:$1,0)+1),MATCH(O$1,enemy_skill_triggers!$1:$1,0)-MATCH($F$1,enemy_skill_triggers!$1:$1,0)+1,FALSE)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9" s="47"/>
      <c r="Q369" s="47"/>
      <c r="R369" s="47"/>
    </row>
    <row r="370" spans="1:18" ht="21" customHeight="1" x14ac:dyDescent="0.15">
      <c r="A370" s="39" t="str">
        <f t="shared" si="18"/>
        <v>39009020_39009061</v>
      </c>
      <c r="B370" s="129">
        <v>39009020</v>
      </c>
      <c r="C370" s="132">
        <v>39009061</v>
      </c>
      <c r="D370" s="46" t="str">
        <f ca="1">VLOOKUP($C370,OFFSET(enemy_skills!$A$1,0,0,COUNTA(enemy_skills!$A:$A),MATCH(D$1,enemy_skills!$1:$1,0)-MATCH("enemy_skill_id",enemy_skills!$1:$1,0)+1),MATCH(D$1,enemy_skills!$1:$1,0)-MATCH("enemy_skill_id",enemy_skills!$1:$1,0)+1,FALSE)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0" s="46" t="str">
        <f ca="1">VLOOKUP($C370,OFFSET(enemy_skills!$A$1,0,0,COUNTA(enemy_skills!$A:$A),MATCH(E$1,enemy_skills!$1:$1,0)-MATCH("enemy_skill_id",enemy_skills!$1:$1,0)+1),MATCH(E$1,enemy_skills!$1:$1,0)-MATCH("enemy_skill_id",enemy_skills!$1:$1,0)+1,FALSE)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0" s="132">
        <v>39009086</v>
      </c>
      <c r="G370" s="48">
        <f ca="1">VLOOKUP($F370,OFFSET(enemy_skill_triggers!$A$1,0,0,COUNTA(enemy_skill_triggers!$A:$A),MATCH(G$1,enemy_skill_triggers!$1:$1,0)-MATCH($F$1,enemy_skill_triggers!$1:$1,0)+1),MATCH(G$1,enemy_skill_triggers!$1:$1,0)-MATCH($F$1,enemy_skill_triggers!$1:$1,0)+1,FALSE)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0" s="48">
        <f ca="1">VLOOKUP($F370,OFFSET(enemy_skill_triggers!$A$1,0,0,COUNTA(enemy_skill_triggers!$A:$A),MATCH(H$1,enemy_skill_triggers!$1:$1,0)-MATCH($F$1,enemy_skill_triggers!$1:$1,0)+1),MATCH(H$1,enemy_skill_triggers!$1:$1,0)-MATCH($F$1,enemy_skill_triggers!$1:$1,0)+1,FALSE)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370" s="48">
        <f ca="1">VLOOKUP($F370,OFFSET(enemy_skill_triggers!$A$1,0,0,COUNTA(enemy_skill_triggers!$A:$A),MATCH(I$1,enemy_skill_triggers!$1:$1,0)-MATCH($F$1,enemy_skill_triggers!$1:$1,0)+1),MATCH(I$1,enemy_skill_triggers!$1:$1,0)-MATCH($F$1,enemy_skill_triggers!$1:$1,0)+1,FALSE)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0" s="48" t="str">
        <f ca="1">VLOOKUP($F370,OFFSET(enemy_skill_triggers!$A$1,0,0,COUNTA(enemy_skill_triggers!$A:$A),MATCH(J$1,enemy_skill_triggers!$1:$1,0)-MATCH($F$1,enemy_skill_triggers!$1:$1,0)+1),MATCH(J$1,enemy_skill_triggers!$1:$1,0)-MATCH($F$1,enemy_skill_triggers!$1:$1,0)+1,FALSE)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0" s="48" t="str">
        <f ca="1">VLOOKUP($F370,OFFSET(enemy_skill_triggers!$A$1,0,0,COUNTA(enemy_skill_triggers!$A:$A),MATCH(K$1,enemy_skill_triggers!$1:$1,0)-MATCH($F$1,enemy_skill_triggers!$1:$1,0)+1),MATCH(K$1,enemy_skill_triggers!$1:$1,0)-MATCH($F$1,enemy_skill_triggers!$1:$1,0)+1,FALSE)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0" s="48">
        <f ca="1">VLOOKUP($F370,OFFSET(enemy_skill_triggers!$A$1,0,0,COUNTA(enemy_skill_triggers!$A:$A),MATCH(L$1,enemy_skill_triggers!$1:$1,0)-MATCH($F$1,enemy_skill_triggers!$1:$1,0)+1),MATCH(L$1,enemy_skill_triggers!$1:$1,0)-MATCH($F$1,enemy_skill_triggers!$1:$1,0)+1,FALSE)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0" s="48" t="str">
        <f ca="1">VLOOKUP($F370,OFFSET(enemy_skill_triggers!$A$1,0,0,COUNTA(enemy_skill_triggers!$A:$A),MATCH(M$1,enemy_skill_triggers!$1:$1,0)-MATCH($F$1,enemy_skill_triggers!$1:$1,0)+1),MATCH(M$1,enemy_skill_triggers!$1:$1,0)-MATCH($F$1,enemy_skill_triggers!$1:$1,0)+1,FALSE)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0" s="48">
        <f ca="1">VLOOKUP($F370,OFFSET(enemy_skill_triggers!$A$1,0,0,COUNTA(enemy_skill_triggers!$A:$A),MATCH(N$1,enemy_skill_triggers!$1:$1,0)-MATCH($F$1,enemy_skill_triggers!$1:$1,0)+1),MATCH(N$1,enemy_skill_triggers!$1:$1,0)-MATCH($F$1,enemy_skill_triggers!$1:$1,0)+1,FALSE)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70" s="48">
        <f ca="1">VLOOKUP($F370,OFFSET(enemy_skill_triggers!$A$1,0,0,COUNTA(enemy_skill_triggers!$A:$A),MATCH(O$1,enemy_skill_triggers!$1:$1,0)-MATCH($F$1,enemy_skill_triggers!$1:$1,0)+1),MATCH(O$1,enemy_skill_triggers!$1:$1,0)-MATCH($F$1,enemy_skill_triggers!$1:$1,0)+1,FALSE)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0" s="47"/>
      <c r="Q370" s="47"/>
      <c r="R370" s="47"/>
    </row>
    <row r="371" spans="1:18" ht="21" customHeight="1" x14ac:dyDescent="0.15">
      <c r="A371" s="39" t="str">
        <f t="shared" si="18"/>
        <v>39009020_39009061</v>
      </c>
      <c r="B371" s="129">
        <v>39009020</v>
      </c>
      <c r="C371" s="132">
        <v>39009061</v>
      </c>
      <c r="D371" s="46" t="str">
        <f ca="1">VLOOKUP($C371,OFFSET(enemy_skills!$A$1,0,0,COUNTA(enemy_skills!$A:$A),MATCH(D$1,enemy_skills!$1:$1,0)-MATCH("enemy_skill_id",enemy_skills!$1:$1,0)+1),MATCH(D$1,enemy_skills!$1:$1,0)-MATCH("enemy_skill_id",enemy_skills!$1:$1,0)+1,FALSE)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1" s="46" t="str">
        <f ca="1">VLOOKUP($C371,OFFSET(enemy_skills!$A$1,0,0,COUNTA(enemy_skills!$A:$A),MATCH(E$1,enemy_skills!$1:$1,0)-MATCH("enemy_skill_id",enemy_skills!$1:$1,0)+1),MATCH(E$1,enemy_skills!$1:$1,0)-MATCH("enemy_skill_id",enemy_skills!$1:$1,0)+1,FALSE)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1" s="132">
        <v>39009087</v>
      </c>
      <c r="G371" s="48">
        <f ca="1">VLOOKUP($F371,OFFSET(enemy_skill_triggers!$A$1,0,0,COUNTA(enemy_skill_triggers!$A:$A),MATCH(G$1,enemy_skill_triggers!$1:$1,0)-MATCH($F$1,enemy_skill_triggers!$1:$1,0)+1),MATCH(G$1,enemy_skill_triggers!$1:$1,0)-MATCH($F$1,enemy_skill_triggers!$1:$1,0)+1,FALSE)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1" s="48">
        <f ca="1">VLOOKUP($F371,OFFSET(enemy_skill_triggers!$A$1,0,0,COUNTA(enemy_skill_triggers!$A:$A),MATCH(H$1,enemy_skill_triggers!$1:$1,0)-MATCH($F$1,enemy_skill_triggers!$1:$1,0)+1),MATCH(H$1,enemy_skill_triggers!$1:$1,0)-MATCH($F$1,enemy_skill_triggers!$1:$1,0)+1,FALSE)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71" s="48">
        <f ca="1">VLOOKUP($F371,OFFSET(enemy_skill_triggers!$A$1,0,0,COUNTA(enemy_skill_triggers!$A:$A),MATCH(I$1,enemy_skill_triggers!$1:$1,0)-MATCH($F$1,enemy_skill_triggers!$1:$1,0)+1),MATCH(I$1,enemy_skill_triggers!$1:$1,0)-MATCH($F$1,enemy_skill_triggers!$1:$1,0)+1,FALSE)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1" s="48" t="str">
        <f ca="1">VLOOKUP($F371,OFFSET(enemy_skill_triggers!$A$1,0,0,COUNTA(enemy_skill_triggers!$A:$A),MATCH(J$1,enemy_skill_triggers!$1:$1,0)-MATCH($F$1,enemy_skill_triggers!$1:$1,0)+1),MATCH(J$1,enemy_skill_triggers!$1:$1,0)-MATCH($F$1,enemy_skill_triggers!$1:$1,0)+1,FALSE)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1" s="48" t="str">
        <f ca="1">VLOOKUP($F371,OFFSET(enemy_skill_triggers!$A$1,0,0,COUNTA(enemy_skill_triggers!$A:$A),MATCH(K$1,enemy_skill_triggers!$1:$1,0)-MATCH($F$1,enemy_skill_triggers!$1:$1,0)+1),MATCH(K$1,enemy_skill_triggers!$1:$1,0)-MATCH($F$1,enemy_skill_triggers!$1:$1,0)+1,FALSE)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1" s="48">
        <f ca="1">VLOOKUP($F371,OFFSET(enemy_skill_triggers!$A$1,0,0,COUNTA(enemy_skill_triggers!$A:$A),MATCH(L$1,enemy_skill_triggers!$1:$1,0)-MATCH($F$1,enemy_skill_triggers!$1:$1,0)+1),MATCH(L$1,enemy_skill_triggers!$1:$1,0)-MATCH($F$1,enemy_skill_triggers!$1:$1,0)+1,FALSE)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1" s="48" t="str">
        <f ca="1">VLOOKUP($F371,OFFSET(enemy_skill_triggers!$A$1,0,0,COUNTA(enemy_skill_triggers!$A:$A),MATCH(M$1,enemy_skill_triggers!$1:$1,0)-MATCH($F$1,enemy_skill_triggers!$1:$1,0)+1),MATCH(M$1,enemy_skill_triggers!$1:$1,0)-MATCH($F$1,enemy_skill_triggers!$1:$1,0)+1,FALSE)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1" s="48">
        <f ca="1">VLOOKUP($F371,OFFSET(enemy_skill_triggers!$A$1,0,0,COUNTA(enemy_skill_triggers!$A:$A),MATCH(N$1,enemy_skill_triggers!$1:$1,0)-MATCH($F$1,enemy_skill_triggers!$1:$1,0)+1),MATCH(N$1,enemy_skill_triggers!$1:$1,0)-MATCH($F$1,enemy_skill_triggers!$1:$1,0)+1,FALSE)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71" s="48">
        <f ca="1">VLOOKUP($F371,OFFSET(enemy_skill_triggers!$A$1,0,0,COUNTA(enemy_skill_triggers!$A:$A),MATCH(O$1,enemy_skill_triggers!$1:$1,0)-MATCH($F$1,enemy_skill_triggers!$1:$1,0)+1),MATCH(O$1,enemy_skill_triggers!$1:$1,0)-MATCH($F$1,enemy_skill_triggers!$1:$1,0)+1,FALSE)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1" s="47"/>
      <c r="Q371" s="47"/>
      <c r="R371" s="47"/>
    </row>
    <row r="372" spans="1:18" ht="21" customHeight="1" x14ac:dyDescent="0.15">
      <c r="A372" s="39" t="str">
        <f t="shared" si="18"/>
        <v>39009020_39009061</v>
      </c>
      <c r="B372" s="129">
        <v>39009020</v>
      </c>
      <c r="C372" s="132">
        <v>39009061</v>
      </c>
      <c r="D372" s="46" t="str">
        <f ca="1">VLOOKUP($C372,OFFSET(enemy_skills!$A$1,0,0,COUNTA(enemy_skills!$A:$A),MATCH(D$1,enemy_skills!$1:$1,0)-MATCH("enemy_skill_id",enemy_skills!$1:$1,0)+1),MATCH(D$1,enemy_skills!$1:$1,0)-MATCH("enemy_skill_id",enemy_skills!$1:$1,0)+1,FALSE)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2" s="46" t="str">
        <f ca="1">VLOOKUP($C372,OFFSET(enemy_skills!$A$1,0,0,COUNTA(enemy_skills!$A:$A),MATCH(E$1,enemy_skills!$1:$1,0)-MATCH("enemy_skill_id",enemy_skills!$1:$1,0)+1),MATCH(E$1,enemy_skills!$1:$1,0)-MATCH("enemy_skill_id",enemy_skills!$1:$1,0)+1,FALSE)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2" s="132">
        <v>39009088</v>
      </c>
      <c r="G372" s="48">
        <f ca="1">VLOOKUP($F372,OFFSET(enemy_skill_triggers!$A$1,0,0,COUNTA(enemy_skill_triggers!$A:$A),MATCH(G$1,enemy_skill_triggers!$1:$1,0)-MATCH($F$1,enemy_skill_triggers!$1:$1,0)+1),MATCH(G$1,enemy_skill_triggers!$1:$1,0)-MATCH($F$1,enemy_skill_triggers!$1:$1,0)+1,FALSE)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2" s="48">
        <f ca="1">VLOOKUP($F372,OFFSET(enemy_skill_triggers!$A$1,0,0,COUNTA(enemy_skill_triggers!$A:$A),MATCH(H$1,enemy_skill_triggers!$1:$1,0)-MATCH($F$1,enemy_skill_triggers!$1:$1,0)+1),MATCH(H$1,enemy_skill_triggers!$1:$1,0)-MATCH($F$1,enemy_skill_triggers!$1:$1,0)+1,FALSE)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372" s="48">
        <f ca="1">VLOOKUP($F372,OFFSET(enemy_skill_triggers!$A$1,0,0,COUNTA(enemy_skill_triggers!$A:$A),MATCH(I$1,enemy_skill_triggers!$1:$1,0)-MATCH($F$1,enemy_skill_triggers!$1:$1,0)+1),MATCH(I$1,enemy_skill_triggers!$1:$1,0)-MATCH($F$1,enemy_skill_triggers!$1:$1,0)+1,FALSE)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2" s="48" t="str">
        <f ca="1">VLOOKUP($F372,OFFSET(enemy_skill_triggers!$A$1,0,0,COUNTA(enemy_skill_triggers!$A:$A),MATCH(J$1,enemy_skill_triggers!$1:$1,0)-MATCH($F$1,enemy_skill_triggers!$1:$1,0)+1),MATCH(J$1,enemy_skill_triggers!$1:$1,0)-MATCH($F$1,enemy_skill_triggers!$1:$1,0)+1,FALSE)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2" s="48" t="str">
        <f ca="1">VLOOKUP($F372,OFFSET(enemy_skill_triggers!$A$1,0,0,COUNTA(enemy_skill_triggers!$A:$A),MATCH(K$1,enemy_skill_triggers!$1:$1,0)-MATCH($F$1,enemy_skill_triggers!$1:$1,0)+1),MATCH(K$1,enemy_skill_triggers!$1:$1,0)-MATCH($F$1,enemy_skill_triggers!$1:$1,0)+1,FALSE)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2" s="48">
        <f ca="1">VLOOKUP($F372,OFFSET(enemy_skill_triggers!$A$1,0,0,COUNTA(enemy_skill_triggers!$A:$A),MATCH(L$1,enemy_skill_triggers!$1:$1,0)-MATCH($F$1,enemy_skill_triggers!$1:$1,0)+1),MATCH(L$1,enemy_skill_triggers!$1:$1,0)-MATCH($F$1,enemy_skill_triggers!$1:$1,0)+1,FALSE)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2" s="48" t="str">
        <f ca="1">VLOOKUP($F372,OFFSET(enemy_skill_triggers!$A$1,0,0,COUNTA(enemy_skill_triggers!$A:$A),MATCH(M$1,enemy_skill_triggers!$1:$1,0)-MATCH($F$1,enemy_skill_triggers!$1:$1,0)+1),MATCH(M$1,enemy_skill_triggers!$1:$1,0)-MATCH($F$1,enemy_skill_triggers!$1:$1,0)+1,FALSE)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2" s="48">
        <f ca="1">VLOOKUP($F372,OFFSET(enemy_skill_triggers!$A$1,0,0,COUNTA(enemy_skill_triggers!$A:$A),MATCH(N$1,enemy_skill_triggers!$1:$1,0)-MATCH($F$1,enemy_skill_triggers!$1:$1,0)+1),MATCH(N$1,enemy_skill_triggers!$1:$1,0)-MATCH($F$1,enemy_skill_triggers!$1:$1,0)+1,FALSE)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72" s="48">
        <f ca="1">VLOOKUP($F372,OFFSET(enemy_skill_triggers!$A$1,0,0,COUNTA(enemy_skill_triggers!$A:$A),MATCH(O$1,enemy_skill_triggers!$1:$1,0)-MATCH($F$1,enemy_skill_triggers!$1:$1,0)+1),MATCH(O$1,enemy_skill_triggers!$1:$1,0)-MATCH($F$1,enemy_skill_triggers!$1:$1,0)+1,FALSE)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2" s="47"/>
      <c r="Q372" s="47"/>
      <c r="R372" s="47"/>
    </row>
    <row r="373" spans="1:18" ht="21" customHeight="1" x14ac:dyDescent="0.15">
      <c r="A373" s="39" t="str">
        <f t="shared" si="18"/>
        <v>39009020_39009061</v>
      </c>
      <c r="B373" s="129">
        <v>39009020</v>
      </c>
      <c r="C373" s="132">
        <v>39009061</v>
      </c>
      <c r="D373" s="46" t="str">
        <f ca="1">VLOOKUP($C373,OFFSET(enemy_skills!$A$1,0,0,COUNTA(enemy_skills!$A:$A),MATCH(D$1,enemy_skills!$1:$1,0)-MATCH("enemy_skill_id",enemy_skills!$1:$1,0)+1),MATCH(D$1,enemy_skills!$1:$1,0)-MATCH("enemy_skill_id",enemy_skills!$1:$1,0)+1,FALSE)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3" s="46" t="str">
        <f ca="1">VLOOKUP($C373,OFFSET(enemy_skills!$A$1,0,0,COUNTA(enemy_skills!$A:$A),MATCH(E$1,enemy_skills!$1:$1,0)-MATCH("enemy_skill_id",enemy_skills!$1:$1,0)+1),MATCH(E$1,enemy_skills!$1:$1,0)-MATCH("enemy_skill_id",enemy_skills!$1:$1,0)+1,FALSE)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3" s="132">
        <v>39009089</v>
      </c>
      <c r="G373" s="48">
        <f ca="1">VLOOKUP($F373,OFFSET(enemy_skill_triggers!$A$1,0,0,COUNTA(enemy_skill_triggers!$A:$A),MATCH(G$1,enemy_skill_triggers!$1:$1,0)-MATCH($F$1,enemy_skill_triggers!$1:$1,0)+1),MATCH(G$1,enemy_skill_triggers!$1:$1,0)-MATCH($F$1,enemy_skill_triggers!$1:$1,0)+1,FALSE)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3" s="48">
        <f ca="1">VLOOKUP($F373,OFFSET(enemy_skill_triggers!$A$1,0,0,COUNTA(enemy_skill_triggers!$A:$A),MATCH(H$1,enemy_skill_triggers!$1:$1,0)-MATCH($F$1,enemy_skill_triggers!$1:$1,0)+1),MATCH(H$1,enemy_skill_triggers!$1:$1,0)-MATCH($F$1,enemy_skill_triggers!$1:$1,0)+1,FALSE)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373" s="48">
        <f ca="1">VLOOKUP($F373,OFFSET(enemy_skill_triggers!$A$1,0,0,COUNTA(enemy_skill_triggers!$A:$A),MATCH(I$1,enemy_skill_triggers!$1:$1,0)-MATCH($F$1,enemy_skill_triggers!$1:$1,0)+1),MATCH(I$1,enemy_skill_triggers!$1:$1,0)-MATCH($F$1,enemy_skill_triggers!$1:$1,0)+1,FALSE)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3" s="48" t="str">
        <f ca="1">VLOOKUP($F373,OFFSET(enemy_skill_triggers!$A$1,0,0,COUNTA(enemy_skill_triggers!$A:$A),MATCH(J$1,enemy_skill_triggers!$1:$1,0)-MATCH($F$1,enemy_skill_triggers!$1:$1,0)+1),MATCH(J$1,enemy_skill_triggers!$1:$1,0)-MATCH($F$1,enemy_skill_triggers!$1:$1,0)+1,FALSE)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3" s="48" t="str">
        <f ca="1">VLOOKUP($F373,OFFSET(enemy_skill_triggers!$A$1,0,0,COUNTA(enemy_skill_triggers!$A:$A),MATCH(K$1,enemy_skill_triggers!$1:$1,0)-MATCH($F$1,enemy_skill_triggers!$1:$1,0)+1),MATCH(K$1,enemy_skill_triggers!$1:$1,0)-MATCH($F$1,enemy_skill_triggers!$1:$1,0)+1,FALSE)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3" s="48">
        <f ca="1">VLOOKUP($F373,OFFSET(enemy_skill_triggers!$A$1,0,0,COUNTA(enemy_skill_triggers!$A:$A),MATCH(L$1,enemy_skill_triggers!$1:$1,0)-MATCH($F$1,enemy_skill_triggers!$1:$1,0)+1),MATCH(L$1,enemy_skill_triggers!$1:$1,0)-MATCH($F$1,enemy_skill_triggers!$1:$1,0)+1,FALSE)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3" s="48" t="str">
        <f ca="1">VLOOKUP($F373,OFFSET(enemy_skill_triggers!$A$1,0,0,COUNTA(enemy_skill_triggers!$A:$A),MATCH(M$1,enemy_skill_triggers!$1:$1,0)-MATCH($F$1,enemy_skill_triggers!$1:$1,0)+1),MATCH(M$1,enemy_skill_triggers!$1:$1,0)-MATCH($F$1,enemy_skill_triggers!$1:$1,0)+1,FALSE)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3" s="48">
        <f ca="1">VLOOKUP($F373,OFFSET(enemy_skill_triggers!$A$1,0,0,COUNTA(enemy_skill_triggers!$A:$A),MATCH(N$1,enemy_skill_triggers!$1:$1,0)-MATCH($F$1,enemy_skill_triggers!$1:$1,0)+1),MATCH(N$1,enemy_skill_triggers!$1:$1,0)-MATCH($F$1,enemy_skill_triggers!$1:$1,0)+1,FALSE)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373" s="48">
        <f ca="1">VLOOKUP($F373,OFFSET(enemy_skill_triggers!$A$1,0,0,COUNTA(enemy_skill_triggers!$A:$A),MATCH(O$1,enemy_skill_triggers!$1:$1,0)-MATCH($F$1,enemy_skill_triggers!$1:$1,0)+1),MATCH(O$1,enemy_skill_triggers!$1:$1,0)-MATCH($F$1,enemy_skill_triggers!$1:$1,0)+1,FALSE)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3" s="47"/>
      <c r="Q373" s="47"/>
      <c r="R373" s="47"/>
    </row>
    <row r="374" spans="1:18" ht="21" customHeight="1" x14ac:dyDescent="0.15">
      <c r="A374" s="39" t="str">
        <f t="shared" si="18"/>
        <v>39009020_39009061</v>
      </c>
      <c r="B374" s="129">
        <v>39009020</v>
      </c>
      <c r="C374" s="132">
        <v>39009061</v>
      </c>
      <c r="D374" s="46" t="str">
        <f ca="1">VLOOKUP($C374,OFFSET(enemy_skills!$A$1,0,0,COUNTA(enemy_skills!$A:$A),MATCH(D$1,enemy_skills!$1:$1,0)-MATCH("enemy_skill_id",enemy_skills!$1:$1,0)+1),MATCH(D$1,enemy_skills!$1:$1,0)-MATCH("enemy_skill_id",enemy_skills!$1:$1,0)+1,FALSE)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4" s="46" t="str">
        <f ca="1">VLOOKUP($C374,OFFSET(enemy_skills!$A$1,0,0,COUNTA(enemy_skills!$A:$A),MATCH(E$1,enemy_skills!$1:$1,0)-MATCH("enemy_skill_id",enemy_skills!$1:$1,0)+1),MATCH(E$1,enemy_skills!$1:$1,0)-MATCH("enemy_skill_id",enemy_skills!$1:$1,0)+1,FALSE)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4" s="132">
        <v>39009090</v>
      </c>
      <c r="G374" s="48">
        <f ca="1">VLOOKUP($F374,OFFSET(enemy_skill_triggers!$A$1,0,0,COUNTA(enemy_skill_triggers!$A:$A),MATCH(G$1,enemy_skill_triggers!$1:$1,0)-MATCH($F$1,enemy_skill_triggers!$1:$1,0)+1),MATCH(G$1,enemy_skill_triggers!$1:$1,0)-MATCH($F$1,enemy_skill_triggers!$1:$1,0)+1,FALSE)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4" s="48">
        <f ca="1">VLOOKUP($F374,OFFSET(enemy_skill_triggers!$A$1,0,0,COUNTA(enemy_skill_triggers!$A:$A),MATCH(H$1,enemy_skill_triggers!$1:$1,0)-MATCH($F$1,enemy_skill_triggers!$1:$1,0)+1),MATCH(H$1,enemy_skill_triggers!$1:$1,0)-MATCH($F$1,enemy_skill_triggers!$1:$1,0)+1,FALSE)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74" s="48">
        <f ca="1">VLOOKUP($F374,OFFSET(enemy_skill_triggers!$A$1,0,0,COUNTA(enemy_skill_triggers!$A:$A),MATCH(I$1,enemy_skill_triggers!$1:$1,0)-MATCH($F$1,enemy_skill_triggers!$1:$1,0)+1),MATCH(I$1,enemy_skill_triggers!$1:$1,0)-MATCH($F$1,enemy_skill_triggers!$1:$1,0)+1,FALSE)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4" s="48" t="str">
        <f ca="1">VLOOKUP($F374,OFFSET(enemy_skill_triggers!$A$1,0,0,COUNTA(enemy_skill_triggers!$A:$A),MATCH(J$1,enemy_skill_triggers!$1:$1,0)-MATCH($F$1,enemy_skill_triggers!$1:$1,0)+1),MATCH(J$1,enemy_skill_triggers!$1:$1,0)-MATCH($F$1,enemy_skill_triggers!$1:$1,0)+1,FALSE)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4" s="48" t="str">
        <f ca="1">VLOOKUP($F374,OFFSET(enemy_skill_triggers!$A$1,0,0,COUNTA(enemy_skill_triggers!$A:$A),MATCH(K$1,enemy_skill_triggers!$1:$1,0)-MATCH($F$1,enemy_skill_triggers!$1:$1,0)+1),MATCH(K$1,enemy_skill_triggers!$1:$1,0)-MATCH($F$1,enemy_skill_triggers!$1:$1,0)+1,FALSE)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4" s="48">
        <f ca="1">VLOOKUP($F374,OFFSET(enemy_skill_triggers!$A$1,0,0,COUNTA(enemy_skill_triggers!$A:$A),MATCH(L$1,enemy_skill_triggers!$1:$1,0)-MATCH($F$1,enemy_skill_triggers!$1:$1,0)+1),MATCH(L$1,enemy_skill_triggers!$1:$1,0)-MATCH($F$1,enemy_skill_triggers!$1:$1,0)+1,FALSE)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4" s="48" t="str">
        <f ca="1">VLOOKUP($F374,OFFSET(enemy_skill_triggers!$A$1,0,0,COUNTA(enemy_skill_triggers!$A:$A),MATCH(M$1,enemy_skill_triggers!$1:$1,0)-MATCH($F$1,enemy_skill_triggers!$1:$1,0)+1),MATCH(M$1,enemy_skill_triggers!$1:$1,0)-MATCH($F$1,enemy_skill_triggers!$1:$1,0)+1,FALSE)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4" s="48">
        <f ca="1">VLOOKUP($F374,OFFSET(enemy_skill_triggers!$A$1,0,0,COUNTA(enemy_skill_triggers!$A:$A),MATCH(N$1,enemy_skill_triggers!$1:$1,0)-MATCH($F$1,enemy_skill_triggers!$1:$1,0)+1),MATCH(N$1,enemy_skill_triggers!$1:$1,0)-MATCH($F$1,enemy_skill_triggers!$1:$1,0)+1,FALSE)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374" s="48">
        <f ca="1">VLOOKUP($F374,OFFSET(enemy_skill_triggers!$A$1,0,0,COUNTA(enemy_skill_triggers!$A:$A),MATCH(O$1,enemy_skill_triggers!$1:$1,0)-MATCH($F$1,enemy_skill_triggers!$1:$1,0)+1),MATCH(O$1,enemy_skill_triggers!$1:$1,0)-MATCH($F$1,enemy_skill_triggers!$1:$1,0)+1,FALSE)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4" s="47"/>
      <c r="Q374" s="47"/>
      <c r="R374" s="47"/>
    </row>
    <row r="375" spans="1:18" ht="21" customHeight="1" x14ac:dyDescent="0.15">
      <c r="A375" s="39" t="str">
        <f t="shared" si="18"/>
        <v>39009020_39009061</v>
      </c>
      <c r="B375" s="129">
        <v>39009020</v>
      </c>
      <c r="C375" s="132">
        <v>39009061</v>
      </c>
      <c r="D375" s="46" t="str">
        <f ca="1">VLOOKUP($C375,OFFSET(enemy_skills!$A$1,0,0,COUNTA(enemy_skills!$A:$A),MATCH(D$1,enemy_skills!$1:$1,0)-MATCH("enemy_skill_id",enemy_skills!$1:$1,0)+1),MATCH(D$1,enemy_skills!$1:$1,0)-MATCH("enemy_skill_id",enemy_skills!$1:$1,0)+1,FALSE)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5" s="46" t="str">
        <f ca="1">VLOOKUP($C375,OFFSET(enemy_skills!$A$1,0,0,COUNTA(enemy_skills!$A:$A),MATCH(E$1,enemy_skills!$1:$1,0)-MATCH("enemy_skill_id",enemy_skills!$1:$1,0)+1),MATCH(E$1,enemy_skills!$1:$1,0)-MATCH("enemy_skill_id",enemy_skills!$1:$1,0)+1,FALSE)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5" s="132">
        <v>39009091</v>
      </c>
      <c r="G375" s="48">
        <f ca="1">VLOOKUP($F375,OFFSET(enemy_skill_triggers!$A$1,0,0,COUNTA(enemy_skill_triggers!$A:$A),MATCH(G$1,enemy_skill_triggers!$1:$1,0)-MATCH($F$1,enemy_skill_triggers!$1:$1,0)+1),MATCH(G$1,enemy_skill_triggers!$1:$1,0)-MATCH($F$1,enemy_skill_triggers!$1:$1,0)+1,FALSE)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5" s="48">
        <f ca="1">VLOOKUP($F375,OFFSET(enemy_skill_triggers!$A$1,0,0,COUNTA(enemy_skill_triggers!$A:$A),MATCH(H$1,enemy_skill_triggers!$1:$1,0)-MATCH($F$1,enemy_skill_triggers!$1:$1,0)+1),MATCH(H$1,enemy_skill_triggers!$1:$1,0)-MATCH($F$1,enemy_skill_triggers!$1:$1,0)+1,FALSE)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75" s="48">
        <f ca="1">VLOOKUP($F375,OFFSET(enemy_skill_triggers!$A$1,0,0,COUNTA(enemy_skill_triggers!$A:$A),MATCH(I$1,enemy_skill_triggers!$1:$1,0)-MATCH($F$1,enemy_skill_triggers!$1:$1,0)+1),MATCH(I$1,enemy_skill_triggers!$1:$1,0)-MATCH($F$1,enemy_skill_triggers!$1:$1,0)+1,FALSE)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5" s="48" t="str">
        <f ca="1">VLOOKUP($F375,OFFSET(enemy_skill_triggers!$A$1,0,0,COUNTA(enemy_skill_triggers!$A:$A),MATCH(J$1,enemy_skill_triggers!$1:$1,0)-MATCH($F$1,enemy_skill_triggers!$1:$1,0)+1),MATCH(J$1,enemy_skill_triggers!$1:$1,0)-MATCH($F$1,enemy_skill_triggers!$1:$1,0)+1,FALSE)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5" s="48" t="str">
        <f ca="1">VLOOKUP($F375,OFFSET(enemy_skill_triggers!$A$1,0,0,COUNTA(enemy_skill_triggers!$A:$A),MATCH(K$1,enemy_skill_triggers!$1:$1,0)-MATCH($F$1,enemy_skill_triggers!$1:$1,0)+1),MATCH(K$1,enemy_skill_triggers!$1:$1,0)-MATCH($F$1,enemy_skill_triggers!$1:$1,0)+1,FALSE)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5" s="48">
        <f ca="1">VLOOKUP($F375,OFFSET(enemy_skill_triggers!$A$1,0,0,COUNTA(enemy_skill_triggers!$A:$A),MATCH(L$1,enemy_skill_triggers!$1:$1,0)-MATCH($F$1,enemy_skill_triggers!$1:$1,0)+1),MATCH(L$1,enemy_skill_triggers!$1:$1,0)-MATCH($F$1,enemy_skill_triggers!$1:$1,0)+1,FALSE)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5" s="48" t="str">
        <f ca="1">VLOOKUP($F375,OFFSET(enemy_skill_triggers!$A$1,0,0,COUNTA(enemy_skill_triggers!$A:$A),MATCH(M$1,enemy_skill_triggers!$1:$1,0)-MATCH($F$1,enemy_skill_triggers!$1:$1,0)+1),MATCH(M$1,enemy_skill_triggers!$1:$1,0)-MATCH($F$1,enemy_skill_triggers!$1:$1,0)+1,FALSE)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5" s="48">
        <f ca="1">VLOOKUP($F375,OFFSET(enemy_skill_triggers!$A$1,0,0,COUNTA(enemy_skill_triggers!$A:$A),MATCH(N$1,enemy_skill_triggers!$1:$1,0)-MATCH($F$1,enemy_skill_triggers!$1:$1,0)+1),MATCH(N$1,enemy_skill_triggers!$1:$1,0)-MATCH($F$1,enemy_skill_triggers!$1:$1,0)+1,FALSE)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375" s="48">
        <f ca="1">VLOOKUP($F375,OFFSET(enemy_skill_triggers!$A$1,0,0,COUNTA(enemy_skill_triggers!$A:$A),MATCH(O$1,enemy_skill_triggers!$1:$1,0)-MATCH($F$1,enemy_skill_triggers!$1:$1,0)+1),MATCH(O$1,enemy_skill_triggers!$1:$1,0)-MATCH($F$1,enemy_skill_triggers!$1:$1,0)+1,FALSE)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5" s="47"/>
      <c r="Q375" s="47"/>
      <c r="R375" s="47"/>
    </row>
    <row r="376" spans="1:18" ht="21" customHeight="1" x14ac:dyDescent="0.15">
      <c r="A376" s="39" t="str">
        <f t="shared" si="18"/>
        <v>39009020_39009061</v>
      </c>
      <c r="B376" s="129">
        <v>39009020</v>
      </c>
      <c r="C376" s="132">
        <v>39009061</v>
      </c>
      <c r="D376" s="46" t="str">
        <f ca="1">VLOOKUP($C376,OFFSET(enemy_skills!$A$1,0,0,COUNTA(enemy_skills!$A:$A),MATCH(D$1,enemy_skills!$1:$1,0)-MATCH("enemy_skill_id",enemy_skills!$1:$1,0)+1),MATCH(D$1,enemy_skills!$1:$1,0)-MATCH("enemy_skill_id",enemy_skills!$1:$1,0)+1,FALSE)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6" s="46" t="str">
        <f ca="1">VLOOKUP($C376,OFFSET(enemy_skills!$A$1,0,0,COUNTA(enemy_skills!$A:$A),MATCH(E$1,enemy_skills!$1:$1,0)-MATCH("enemy_skill_id",enemy_skills!$1:$1,0)+1),MATCH(E$1,enemy_skills!$1:$1,0)-MATCH("enemy_skill_id",enemy_skills!$1:$1,0)+1,FALSE)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6" s="132">
        <v>39009092</v>
      </c>
      <c r="G376" s="48">
        <f ca="1">VLOOKUP($F376,OFFSET(enemy_skill_triggers!$A$1,0,0,COUNTA(enemy_skill_triggers!$A:$A),MATCH(G$1,enemy_skill_triggers!$1:$1,0)-MATCH($F$1,enemy_skill_triggers!$1:$1,0)+1),MATCH(G$1,enemy_skill_triggers!$1:$1,0)-MATCH($F$1,enemy_skill_triggers!$1:$1,0)+1,FALSE)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6" s="48">
        <f ca="1">VLOOKUP($F376,OFFSET(enemy_skill_triggers!$A$1,0,0,COUNTA(enemy_skill_triggers!$A:$A),MATCH(H$1,enemy_skill_triggers!$1:$1,0)-MATCH($F$1,enemy_skill_triggers!$1:$1,0)+1),MATCH(H$1,enemy_skill_triggers!$1:$1,0)-MATCH($F$1,enemy_skill_triggers!$1:$1,0)+1,FALSE)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6" s="48">
        <f ca="1">VLOOKUP($F376,OFFSET(enemy_skill_triggers!$A$1,0,0,COUNTA(enemy_skill_triggers!$A:$A),MATCH(I$1,enemy_skill_triggers!$1:$1,0)-MATCH($F$1,enemy_skill_triggers!$1:$1,0)+1),MATCH(I$1,enemy_skill_triggers!$1:$1,0)-MATCH($F$1,enemy_skill_triggers!$1:$1,0)+1,FALSE)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6" s="48" t="str">
        <f ca="1">VLOOKUP($F376,OFFSET(enemy_skill_triggers!$A$1,0,0,COUNTA(enemy_skill_triggers!$A:$A),MATCH(J$1,enemy_skill_triggers!$1:$1,0)-MATCH($F$1,enemy_skill_triggers!$1:$1,0)+1),MATCH(J$1,enemy_skill_triggers!$1:$1,0)-MATCH($F$1,enemy_skill_triggers!$1:$1,0)+1,FALSE)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6" s="48" t="str">
        <f ca="1">VLOOKUP($F376,OFFSET(enemy_skill_triggers!$A$1,0,0,COUNTA(enemy_skill_triggers!$A:$A),MATCH(K$1,enemy_skill_triggers!$1:$1,0)-MATCH($F$1,enemy_skill_triggers!$1:$1,0)+1),MATCH(K$1,enemy_skill_triggers!$1:$1,0)-MATCH($F$1,enemy_skill_triggers!$1:$1,0)+1,FALSE)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6" s="48">
        <f ca="1">VLOOKUP($F376,OFFSET(enemy_skill_triggers!$A$1,0,0,COUNTA(enemy_skill_triggers!$A:$A),MATCH(L$1,enemy_skill_triggers!$1:$1,0)-MATCH($F$1,enemy_skill_triggers!$1:$1,0)+1),MATCH(L$1,enemy_skill_triggers!$1:$1,0)-MATCH($F$1,enemy_skill_triggers!$1:$1,0)+1,FALSE)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6" s="48" t="str">
        <f ca="1">VLOOKUP($F376,OFFSET(enemy_skill_triggers!$A$1,0,0,COUNTA(enemy_skill_triggers!$A:$A),MATCH(M$1,enemy_skill_triggers!$1:$1,0)-MATCH($F$1,enemy_skill_triggers!$1:$1,0)+1),MATCH(M$1,enemy_skill_triggers!$1:$1,0)-MATCH($F$1,enemy_skill_triggers!$1:$1,0)+1,FALSE)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6" s="48">
        <f ca="1">VLOOKUP($F376,OFFSET(enemy_skill_triggers!$A$1,0,0,COUNTA(enemy_skill_triggers!$A:$A),MATCH(N$1,enemy_skill_triggers!$1:$1,0)-MATCH($F$1,enemy_skill_triggers!$1:$1,0)+1),MATCH(N$1,enemy_skill_triggers!$1:$1,0)-MATCH($F$1,enemy_skill_triggers!$1:$1,0)+1,FALSE)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376" s="48">
        <f ca="1">VLOOKUP($F376,OFFSET(enemy_skill_triggers!$A$1,0,0,COUNTA(enemy_skill_triggers!$A:$A),MATCH(O$1,enemy_skill_triggers!$1:$1,0)-MATCH($F$1,enemy_skill_triggers!$1:$1,0)+1),MATCH(O$1,enemy_skill_triggers!$1:$1,0)-MATCH($F$1,enemy_skill_triggers!$1:$1,0)+1,FALSE)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6" s="47"/>
      <c r="Q376" s="47"/>
      <c r="R376" s="47"/>
    </row>
    <row r="377" spans="1:18" ht="21" customHeight="1" x14ac:dyDescent="0.15">
      <c r="A377" s="39" t="str">
        <f t="shared" si="18"/>
        <v>39009020_39009061</v>
      </c>
      <c r="B377" s="129">
        <v>39009020</v>
      </c>
      <c r="C377" s="132">
        <v>39009061</v>
      </c>
      <c r="D377" s="46" t="str">
        <f ca="1">VLOOKUP($C377,OFFSET(enemy_skills!$A$1,0,0,COUNTA(enemy_skills!$A:$A),MATCH(D$1,enemy_skills!$1:$1,0)-MATCH("enemy_skill_id",enemy_skills!$1:$1,0)+1),MATCH(D$1,enemy_skills!$1:$1,0)-MATCH("enemy_skill_id",enemy_skills!$1:$1,0)+1,FALSE)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7" s="46" t="str">
        <f ca="1">VLOOKUP($C377,OFFSET(enemy_skills!$A$1,0,0,COUNTA(enemy_skills!$A:$A),MATCH(E$1,enemy_skills!$1:$1,0)-MATCH("enemy_skill_id",enemy_skills!$1:$1,0)+1),MATCH(E$1,enemy_skills!$1:$1,0)-MATCH("enemy_skill_id",enemy_skills!$1:$1,0)+1,FALSE)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7" s="132">
        <v>39009093</v>
      </c>
      <c r="G377" s="48">
        <f ca="1">VLOOKUP($F377,OFFSET(enemy_skill_triggers!$A$1,0,0,COUNTA(enemy_skill_triggers!$A:$A),MATCH(G$1,enemy_skill_triggers!$1:$1,0)-MATCH($F$1,enemy_skill_triggers!$1:$1,0)+1),MATCH(G$1,enemy_skill_triggers!$1:$1,0)-MATCH($F$1,enemy_skill_triggers!$1:$1,0)+1,FALSE)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7" s="48">
        <f ca="1">VLOOKUP($F377,OFFSET(enemy_skill_triggers!$A$1,0,0,COUNTA(enemy_skill_triggers!$A:$A),MATCH(H$1,enemy_skill_triggers!$1:$1,0)-MATCH($F$1,enemy_skill_triggers!$1:$1,0)+1),MATCH(H$1,enemy_skill_triggers!$1:$1,0)-MATCH($F$1,enemy_skill_triggers!$1:$1,0)+1,FALSE)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77" s="48">
        <f ca="1">VLOOKUP($F377,OFFSET(enemy_skill_triggers!$A$1,0,0,COUNTA(enemy_skill_triggers!$A:$A),MATCH(I$1,enemy_skill_triggers!$1:$1,0)-MATCH($F$1,enemy_skill_triggers!$1:$1,0)+1),MATCH(I$1,enemy_skill_triggers!$1:$1,0)-MATCH($F$1,enemy_skill_triggers!$1:$1,0)+1,FALSE)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7" s="48" t="str">
        <f ca="1">VLOOKUP($F377,OFFSET(enemy_skill_triggers!$A$1,0,0,COUNTA(enemy_skill_triggers!$A:$A),MATCH(J$1,enemy_skill_triggers!$1:$1,0)-MATCH($F$1,enemy_skill_triggers!$1:$1,0)+1),MATCH(J$1,enemy_skill_triggers!$1:$1,0)-MATCH($F$1,enemy_skill_triggers!$1:$1,0)+1,FALSE)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7" s="48" t="str">
        <f ca="1">VLOOKUP($F377,OFFSET(enemy_skill_triggers!$A$1,0,0,COUNTA(enemy_skill_triggers!$A:$A),MATCH(K$1,enemy_skill_triggers!$1:$1,0)-MATCH($F$1,enemy_skill_triggers!$1:$1,0)+1),MATCH(K$1,enemy_skill_triggers!$1:$1,0)-MATCH($F$1,enemy_skill_triggers!$1:$1,0)+1,FALSE)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7" s="48">
        <f ca="1">VLOOKUP($F377,OFFSET(enemy_skill_triggers!$A$1,0,0,COUNTA(enemy_skill_triggers!$A:$A),MATCH(L$1,enemy_skill_triggers!$1:$1,0)-MATCH($F$1,enemy_skill_triggers!$1:$1,0)+1),MATCH(L$1,enemy_skill_triggers!$1:$1,0)-MATCH($F$1,enemy_skill_triggers!$1:$1,0)+1,FALSE)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7" s="48" t="str">
        <f ca="1">VLOOKUP($F377,OFFSET(enemy_skill_triggers!$A$1,0,0,COUNTA(enemy_skill_triggers!$A:$A),MATCH(M$1,enemy_skill_triggers!$1:$1,0)-MATCH($F$1,enemy_skill_triggers!$1:$1,0)+1),MATCH(M$1,enemy_skill_triggers!$1:$1,0)-MATCH($F$1,enemy_skill_triggers!$1:$1,0)+1,FALSE)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7" s="48">
        <f ca="1">VLOOKUP($F377,OFFSET(enemy_skill_triggers!$A$1,0,0,COUNTA(enemy_skill_triggers!$A:$A),MATCH(N$1,enemy_skill_triggers!$1:$1,0)-MATCH($F$1,enemy_skill_triggers!$1:$1,0)+1),MATCH(N$1,enemy_skill_triggers!$1:$1,0)-MATCH($F$1,enemy_skill_triggers!$1:$1,0)+1,FALSE)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377" s="48">
        <f ca="1">VLOOKUP($F377,OFFSET(enemy_skill_triggers!$A$1,0,0,COUNTA(enemy_skill_triggers!$A:$A),MATCH(O$1,enemy_skill_triggers!$1:$1,0)-MATCH($F$1,enemy_skill_triggers!$1:$1,0)+1),MATCH(O$1,enemy_skill_triggers!$1:$1,0)-MATCH($F$1,enemy_skill_triggers!$1:$1,0)+1,FALSE)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7" s="47"/>
      <c r="Q377" s="47"/>
      <c r="R377" s="47"/>
    </row>
    <row r="378" spans="1:18" ht="21" customHeight="1" x14ac:dyDescent="0.15">
      <c r="A378" s="39" t="str">
        <f t="shared" si="18"/>
        <v>39009020_39009061</v>
      </c>
      <c r="B378" s="129">
        <v>39009020</v>
      </c>
      <c r="C378" s="132">
        <v>39009061</v>
      </c>
      <c r="D378" s="46" t="str">
        <f ca="1">VLOOKUP($C378,OFFSET(enemy_skills!$A$1,0,0,COUNTA(enemy_skills!$A:$A),MATCH(D$1,enemy_skills!$1:$1,0)-MATCH("enemy_skill_id",enemy_skills!$1:$1,0)+1),MATCH(D$1,enemy_skills!$1:$1,0)-MATCH("enemy_skill_id",enemy_skills!$1:$1,0)+1,FALSE)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8" s="46" t="str">
        <f ca="1">VLOOKUP($C378,OFFSET(enemy_skills!$A$1,0,0,COUNTA(enemy_skills!$A:$A),MATCH(E$1,enemy_skills!$1:$1,0)-MATCH("enemy_skill_id",enemy_skills!$1:$1,0)+1),MATCH(E$1,enemy_skills!$1:$1,0)-MATCH("enemy_skill_id",enemy_skills!$1:$1,0)+1,FALSE)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8" s="132">
        <v>39009094</v>
      </c>
      <c r="G378" s="48">
        <f ca="1">VLOOKUP($F378,OFFSET(enemy_skill_triggers!$A$1,0,0,COUNTA(enemy_skill_triggers!$A:$A),MATCH(G$1,enemy_skill_triggers!$1:$1,0)-MATCH($F$1,enemy_skill_triggers!$1:$1,0)+1),MATCH(G$1,enemy_skill_triggers!$1:$1,0)-MATCH($F$1,enemy_skill_triggers!$1:$1,0)+1,FALSE)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8" s="48">
        <f ca="1">VLOOKUP($F378,OFFSET(enemy_skill_triggers!$A$1,0,0,COUNTA(enemy_skill_triggers!$A:$A),MATCH(H$1,enemy_skill_triggers!$1:$1,0)-MATCH($F$1,enemy_skill_triggers!$1:$1,0)+1),MATCH(H$1,enemy_skill_triggers!$1:$1,0)-MATCH($F$1,enemy_skill_triggers!$1:$1,0)+1,FALSE)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78" s="48">
        <f ca="1">VLOOKUP($F378,OFFSET(enemy_skill_triggers!$A$1,0,0,COUNTA(enemy_skill_triggers!$A:$A),MATCH(I$1,enemy_skill_triggers!$1:$1,0)-MATCH($F$1,enemy_skill_triggers!$1:$1,0)+1),MATCH(I$1,enemy_skill_triggers!$1:$1,0)-MATCH($F$1,enemy_skill_triggers!$1:$1,0)+1,FALSE)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8" s="48" t="str">
        <f ca="1">VLOOKUP($F378,OFFSET(enemy_skill_triggers!$A$1,0,0,COUNTA(enemy_skill_triggers!$A:$A),MATCH(J$1,enemy_skill_triggers!$1:$1,0)-MATCH($F$1,enemy_skill_triggers!$1:$1,0)+1),MATCH(J$1,enemy_skill_triggers!$1:$1,0)-MATCH($F$1,enemy_skill_triggers!$1:$1,0)+1,FALSE)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8" s="48" t="str">
        <f ca="1">VLOOKUP($F378,OFFSET(enemy_skill_triggers!$A$1,0,0,COUNTA(enemy_skill_triggers!$A:$A),MATCH(K$1,enemy_skill_triggers!$1:$1,0)-MATCH($F$1,enemy_skill_triggers!$1:$1,0)+1),MATCH(K$1,enemy_skill_triggers!$1:$1,0)-MATCH($F$1,enemy_skill_triggers!$1:$1,0)+1,FALSE)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8" s="48">
        <f ca="1">VLOOKUP($F378,OFFSET(enemy_skill_triggers!$A$1,0,0,COUNTA(enemy_skill_triggers!$A:$A),MATCH(L$1,enemy_skill_triggers!$1:$1,0)-MATCH($F$1,enemy_skill_triggers!$1:$1,0)+1),MATCH(L$1,enemy_skill_triggers!$1:$1,0)-MATCH($F$1,enemy_skill_triggers!$1:$1,0)+1,FALSE)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8" s="48" t="str">
        <f ca="1">VLOOKUP($F378,OFFSET(enemy_skill_triggers!$A$1,0,0,COUNTA(enemy_skill_triggers!$A:$A),MATCH(M$1,enemy_skill_triggers!$1:$1,0)-MATCH($F$1,enemy_skill_triggers!$1:$1,0)+1),MATCH(M$1,enemy_skill_triggers!$1:$1,0)-MATCH($F$1,enemy_skill_triggers!$1:$1,0)+1,FALSE)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8" s="48">
        <f ca="1">VLOOKUP($F378,OFFSET(enemy_skill_triggers!$A$1,0,0,COUNTA(enemy_skill_triggers!$A:$A),MATCH(N$1,enemy_skill_triggers!$1:$1,0)-MATCH($F$1,enemy_skill_triggers!$1:$1,0)+1),MATCH(N$1,enemy_skill_triggers!$1:$1,0)-MATCH($F$1,enemy_skill_triggers!$1:$1,0)+1,FALSE)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378" s="48">
        <f ca="1">VLOOKUP($F378,OFFSET(enemy_skill_triggers!$A$1,0,0,COUNTA(enemy_skill_triggers!$A:$A),MATCH(O$1,enemy_skill_triggers!$1:$1,0)-MATCH($F$1,enemy_skill_triggers!$1:$1,0)+1),MATCH(O$1,enemy_skill_triggers!$1:$1,0)-MATCH($F$1,enemy_skill_triggers!$1:$1,0)+1,FALSE)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8" s="47"/>
      <c r="Q378" s="47"/>
      <c r="R378" s="47"/>
    </row>
    <row r="379" spans="1:18" ht="21" customHeight="1" x14ac:dyDescent="0.15">
      <c r="A379" s="39" t="str">
        <f t="shared" si="18"/>
        <v>39009020_39009061</v>
      </c>
      <c r="B379" s="129">
        <v>39009020</v>
      </c>
      <c r="C379" s="132">
        <v>39009061</v>
      </c>
      <c r="D379" s="46" t="str">
        <f ca="1">VLOOKUP($C379,OFFSET(enemy_skills!$A$1,0,0,COUNTA(enemy_skills!$A:$A),MATCH(D$1,enemy_skills!$1:$1,0)-MATCH("enemy_skill_id",enemy_skills!$1:$1,0)+1),MATCH(D$1,enemy_skills!$1:$1,0)-MATCH("enemy_skill_id",enemy_skills!$1:$1,0)+1,FALSE)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79" s="46" t="str">
        <f ca="1">VLOOKUP($C379,OFFSET(enemy_skills!$A$1,0,0,COUNTA(enemy_skills!$A:$A),MATCH(E$1,enemy_skills!$1:$1,0)-MATCH("enemy_skill_id",enemy_skills!$1:$1,0)+1),MATCH(E$1,enemy_skills!$1:$1,0)-MATCH("enemy_skill_id",enemy_skills!$1:$1,0)+1,FALSE)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79" s="132">
        <v>39009095</v>
      </c>
      <c r="G379" s="48">
        <f ca="1">VLOOKUP($F379,OFFSET(enemy_skill_triggers!$A$1,0,0,COUNTA(enemy_skill_triggers!$A:$A),MATCH(G$1,enemy_skill_triggers!$1:$1,0)-MATCH($F$1,enemy_skill_triggers!$1:$1,0)+1),MATCH(G$1,enemy_skill_triggers!$1:$1,0)-MATCH($F$1,enemy_skill_triggers!$1:$1,0)+1,FALSE)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9" s="48">
        <f ca="1">VLOOKUP($F379,OFFSET(enemy_skill_triggers!$A$1,0,0,COUNTA(enemy_skill_triggers!$A:$A),MATCH(H$1,enemy_skill_triggers!$1:$1,0)-MATCH($F$1,enemy_skill_triggers!$1:$1,0)+1),MATCH(H$1,enemy_skill_triggers!$1:$1,0)-MATCH($F$1,enemy_skill_triggers!$1:$1,0)+1,FALSE)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79" s="48">
        <f ca="1">VLOOKUP($F379,OFFSET(enemy_skill_triggers!$A$1,0,0,COUNTA(enemy_skill_triggers!$A:$A),MATCH(I$1,enemy_skill_triggers!$1:$1,0)-MATCH($F$1,enemy_skill_triggers!$1:$1,0)+1),MATCH(I$1,enemy_skill_triggers!$1:$1,0)-MATCH($F$1,enemy_skill_triggers!$1:$1,0)+1,FALSE)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9" s="48" t="str">
        <f ca="1">VLOOKUP($F379,OFFSET(enemy_skill_triggers!$A$1,0,0,COUNTA(enemy_skill_triggers!$A:$A),MATCH(J$1,enemy_skill_triggers!$1:$1,0)-MATCH($F$1,enemy_skill_triggers!$1:$1,0)+1),MATCH(J$1,enemy_skill_triggers!$1:$1,0)-MATCH($F$1,enemy_skill_triggers!$1:$1,0)+1,FALSE)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9" s="48" t="str">
        <f ca="1">VLOOKUP($F379,OFFSET(enemy_skill_triggers!$A$1,0,0,COUNTA(enemy_skill_triggers!$A:$A),MATCH(K$1,enemy_skill_triggers!$1:$1,0)-MATCH($F$1,enemy_skill_triggers!$1:$1,0)+1),MATCH(K$1,enemy_skill_triggers!$1:$1,0)-MATCH($F$1,enemy_skill_triggers!$1:$1,0)+1,FALSE)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9" s="48">
        <f ca="1">VLOOKUP($F379,OFFSET(enemy_skill_triggers!$A$1,0,0,COUNTA(enemy_skill_triggers!$A:$A),MATCH(L$1,enemy_skill_triggers!$1:$1,0)-MATCH($F$1,enemy_skill_triggers!$1:$1,0)+1),MATCH(L$1,enemy_skill_triggers!$1:$1,0)-MATCH($F$1,enemy_skill_triggers!$1:$1,0)+1,FALSE)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9" s="48" t="str">
        <f ca="1">VLOOKUP($F379,OFFSET(enemy_skill_triggers!$A$1,0,0,COUNTA(enemy_skill_triggers!$A:$A),MATCH(M$1,enemy_skill_triggers!$1:$1,0)-MATCH($F$1,enemy_skill_triggers!$1:$1,0)+1),MATCH(M$1,enemy_skill_triggers!$1:$1,0)-MATCH($F$1,enemy_skill_triggers!$1:$1,0)+1,FALSE)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9" s="48">
        <f ca="1">VLOOKUP($F379,OFFSET(enemy_skill_triggers!$A$1,0,0,COUNTA(enemy_skill_triggers!$A:$A),MATCH(N$1,enemy_skill_triggers!$1:$1,0)-MATCH($F$1,enemy_skill_triggers!$1:$1,0)+1),MATCH(N$1,enemy_skill_triggers!$1:$1,0)-MATCH($F$1,enemy_skill_triggers!$1:$1,0)+1,FALSE)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379" s="48">
        <f ca="1">VLOOKUP($F379,OFFSET(enemy_skill_triggers!$A$1,0,0,COUNTA(enemy_skill_triggers!$A:$A),MATCH(O$1,enemy_skill_triggers!$1:$1,0)-MATCH($F$1,enemy_skill_triggers!$1:$1,0)+1),MATCH(O$1,enemy_skill_triggers!$1:$1,0)-MATCH($F$1,enemy_skill_triggers!$1:$1,0)+1,FALSE)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9" s="47"/>
      <c r="Q379" s="47"/>
      <c r="R379" s="47"/>
    </row>
    <row r="380" spans="1:18" ht="21" customHeight="1" x14ac:dyDescent="0.15">
      <c r="A380" s="39" t="str">
        <f t="shared" si="18"/>
        <v>39009020_39009061</v>
      </c>
      <c r="B380" s="129">
        <v>39009020</v>
      </c>
      <c r="C380" s="132">
        <v>39009061</v>
      </c>
      <c r="D380" s="46" t="str">
        <f ca="1">VLOOKUP($C380,OFFSET(enemy_skills!$A$1,0,0,COUNTA(enemy_skills!$A:$A),MATCH(D$1,enemy_skills!$1:$1,0)-MATCH("enemy_skill_id",enemy_skills!$1:$1,0)+1),MATCH(D$1,enemy_skills!$1:$1,0)-MATCH("enemy_skill_id",enemy_skills!$1:$1,0)+1,FALSE)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80" s="46" t="str">
        <f ca="1">VLOOKUP($C380,OFFSET(enemy_skills!$A$1,0,0,COUNTA(enemy_skills!$A:$A),MATCH(E$1,enemy_skills!$1:$1,0)-MATCH("enemy_skill_id",enemy_skills!$1:$1,0)+1),MATCH(E$1,enemy_skills!$1:$1,0)-MATCH("enemy_skill_id",enemy_skills!$1:$1,0)+1,FALSE)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80" s="132">
        <v>39009096</v>
      </c>
      <c r="G380" s="48">
        <f ca="1">VLOOKUP($F380,OFFSET(enemy_skill_triggers!$A$1,0,0,COUNTA(enemy_skill_triggers!$A:$A),MATCH(G$1,enemy_skill_triggers!$1:$1,0)-MATCH($F$1,enemy_skill_triggers!$1:$1,0)+1),MATCH(G$1,enemy_skill_triggers!$1:$1,0)-MATCH($F$1,enemy_skill_triggers!$1:$1,0)+1,FALSE)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0" s="48">
        <f ca="1">VLOOKUP($F380,OFFSET(enemy_skill_triggers!$A$1,0,0,COUNTA(enemy_skill_triggers!$A:$A),MATCH(H$1,enemy_skill_triggers!$1:$1,0)-MATCH($F$1,enemy_skill_triggers!$1:$1,0)+1),MATCH(H$1,enemy_skill_triggers!$1:$1,0)-MATCH($F$1,enemy_skill_triggers!$1:$1,0)+1,FALSE)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80" s="48">
        <f ca="1">VLOOKUP($F380,OFFSET(enemy_skill_triggers!$A$1,0,0,COUNTA(enemy_skill_triggers!$A:$A),MATCH(I$1,enemy_skill_triggers!$1:$1,0)-MATCH($F$1,enemy_skill_triggers!$1:$1,0)+1),MATCH(I$1,enemy_skill_triggers!$1:$1,0)-MATCH($F$1,enemy_skill_triggers!$1:$1,0)+1,FALSE)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0" s="48" t="str">
        <f ca="1">VLOOKUP($F380,OFFSET(enemy_skill_triggers!$A$1,0,0,COUNTA(enemy_skill_triggers!$A:$A),MATCH(J$1,enemy_skill_triggers!$1:$1,0)-MATCH($F$1,enemy_skill_triggers!$1:$1,0)+1),MATCH(J$1,enemy_skill_triggers!$1:$1,0)-MATCH($F$1,enemy_skill_triggers!$1:$1,0)+1,FALSE)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0" s="48" t="str">
        <f ca="1">VLOOKUP($F380,OFFSET(enemy_skill_triggers!$A$1,0,0,COUNTA(enemy_skill_triggers!$A:$A),MATCH(K$1,enemy_skill_triggers!$1:$1,0)-MATCH($F$1,enemy_skill_triggers!$1:$1,0)+1),MATCH(K$1,enemy_skill_triggers!$1:$1,0)-MATCH($F$1,enemy_skill_triggers!$1:$1,0)+1,FALSE)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0" s="48">
        <f ca="1">VLOOKUP($F380,OFFSET(enemy_skill_triggers!$A$1,0,0,COUNTA(enemy_skill_triggers!$A:$A),MATCH(L$1,enemy_skill_triggers!$1:$1,0)-MATCH($F$1,enemy_skill_triggers!$1:$1,0)+1),MATCH(L$1,enemy_skill_triggers!$1:$1,0)-MATCH($F$1,enemy_skill_triggers!$1:$1,0)+1,FALSE)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0" s="48" t="str">
        <f ca="1">VLOOKUP($F380,OFFSET(enemy_skill_triggers!$A$1,0,0,COUNTA(enemy_skill_triggers!$A:$A),MATCH(M$1,enemy_skill_triggers!$1:$1,0)-MATCH($F$1,enemy_skill_triggers!$1:$1,0)+1),MATCH(M$1,enemy_skill_triggers!$1:$1,0)-MATCH($F$1,enemy_skill_triggers!$1:$1,0)+1,FALSE)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0" s="48">
        <f ca="1">VLOOKUP($F380,OFFSET(enemy_skill_triggers!$A$1,0,0,COUNTA(enemy_skill_triggers!$A:$A),MATCH(N$1,enemy_skill_triggers!$1:$1,0)-MATCH($F$1,enemy_skill_triggers!$1:$1,0)+1),MATCH(N$1,enemy_skill_triggers!$1:$1,0)-MATCH($F$1,enemy_skill_triggers!$1:$1,0)+1,FALSE)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380" s="48">
        <f ca="1">VLOOKUP($F380,OFFSET(enemy_skill_triggers!$A$1,0,0,COUNTA(enemy_skill_triggers!$A:$A),MATCH(O$1,enemy_skill_triggers!$1:$1,0)-MATCH($F$1,enemy_skill_triggers!$1:$1,0)+1),MATCH(O$1,enemy_skill_triggers!$1:$1,0)-MATCH($F$1,enemy_skill_triggers!$1:$1,0)+1,FALSE)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0" s="47"/>
      <c r="Q380" s="47"/>
      <c r="R380" s="47"/>
    </row>
    <row r="381" spans="1:18" ht="21" customHeight="1" x14ac:dyDescent="0.15">
      <c r="A381" s="39" t="str">
        <f t="shared" si="18"/>
        <v>39009020_39009061</v>
      </c>
      <c r="B381" s="129">
        <v>39009020</v>
      </c>
      <c r="C381" s="132">
        <v>39009061</v>
      </c>
      <c r="D381" s="46" t="str">
        <f ca="1">VLOOKUP($C381,OFFSET(enemy_skills!$A$1,0,0,COUNTA(enemy_skills!$A:$A),MATCH(D$1,enemy_skills!$1:$1,0)-MATCH("enemy_skill_id",enemy_skills!$1:$1,0)+1),MATCH(D$1,enemy_skills!$1:$1,0)-MATCH("enemy_skill_id",enemy_skills!$1:$1,0)+1,FALSE)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81" s="46" t="str">
        <f ca="1">VLOOKUP($C381,OFFSET(enemy_skills!$A$1,0,0,COUNTA(enemy_skills!$A:$A),MATCH(E$1,enemy_skills!$1:$1,0)-MATCH("enemy_skill_id",enemy_skills!$1:$1,0)+1),MATCH(E$1,enemy_skills!$1:$1,0)-MATCH("enemy_skill_id",enemy_skills!$1:$1,0)+1,FALSE)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81" s="132">
        <v>39009097</v>
      </c>
      <c r="G381" s="48">
        <f ca="1">VLOOKUP($F381,OFFSET(enemy_skill_triggers!$A$1,0,0,COUNTA(enemy_skill_triggers!$A:$A),MATCH(G$1,enemy_skill_triggers!$1:$1,0)-MATCH($F$1,enemy_skill_triggers!$1:$1,0)+1),MATCH(G$1,enemy_skill_triggers!$1:$1,0)-MATCH($F$1,enemy_skill_triggers!$1:$1,0)+1,FALSE)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1" s="48">
        <f ca="1">VLOOKUP($F381,OFFSET(enemy_skill_triggers!$A$1,0,0,COUNTA(enemy_skill_triggers!$A:$A),MATCH(H$1,enemy_skill_triggers!$1:$1,0)-MATCH($F$1,enemy_skill_triggers!$1:$1,0)+1),MATCH(H$1,enemy_skill_triggers!$1:$1,0)-MATCH($F$1,enemy_skill_triggers!$1:$1,0)+1,FALSE)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81" s="48">
        <f ca="1">VLOOKUP($F381,OFFSET(enemy_skill_triggers!$A$1,0,0,COUNTA(enemy_skill_triggers!$A:$A),MATCH(I$1,enemy_skill_triggers!$1:$1,0)-MATCH($F$1,enemy_skill_triggers!$1:$1,0)+1),MATCH(I$1,enemy_skill_triggers!$1:$1,0)-MATCH($F$1,enemy_skill_triggers!$1:$1,0)+1,FALSE)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1" s="48" t="str">
        <f ca="1">VLOOKUP($F381,OFFSET(enemy_skill_triggers!$A$1,0,0,COUNTA(enemy_skill_triggers!$A:$A),MATCH(J$1,enemy_skill_triggers!$1:$1,0)-MATCH($F$1,enemy_skill_triggers!$1:$1,0)+1),MATCH(J$1,enemy_skill_triggers!$1:$1,0)-MATCH($F$1,enemy_skill_triggers!$1:$1,0)+1,FALSE)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1" s="48" t="str">
        <f ca="1">VLOOKUP($F381,OFFSET(enemy_skill_triggers!$A$1,0,0,COUNTA(enemy_skill_triggers!$A:$A),MATCH(K$1,enemy_skill_triggers!$1:$1,0)-MATCH($F$1,enemy_skill_triggers!$1:$1,0)+1),MATCH(K$1,enemy_skill_triggers!$1:$1,0)-MATCH($F$1,enemy_skill_triggers!$1:$1,0)+1,FALSE)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1" s="48">
        <f ca="1">VLOOKUP($F381,OFFSET(enemy_skill_triggers!$A$1,0,0,COUNTA(enemy_skill_triggers!$A:$A),MATCH(L$1,enemy_skill_triggers!$1:$1,0)-MATCH($F$1,enemy_skill_triggers!$1:$1,0)+1),MATCH(L$1,enemy_skill_triggers!$1:$1,0)-MATCH($F$1,enemy_skill_triggers!$1:$1,0)+1,FALSE)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1" s="48" t="str">
        <f ca="1">VLOOKUP($F381,OFFSET(enemy_skill_triggers!$A$1,0,0,COUNTA(enemy_skill_triggers!$A:$A),MATCH(M$1,enemy_skill_triggers!$1:$1,0)-MATCH($F$1,enemy_skill_triggers!$1:$1,0)+1),MATCH(M$1,enemy_skill_triggers!$1:$1,0)-MATCH($F$1,enemy_skill_triggers!$1:$1,0)+1,FALSE)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1" s="48">
        <f ca="1">VLOOKUP($F381,OFFSET(enemy_skill_triggers!$A$1,0,0,COUNTA(enemy_skill_triggers!$A:$A),MATCH(N$1,enemy_skill_triggers!$1:$1,0)-MATCH($F$1,enemy_skill_triggers!$1:$1,0)+1),MATCH(N$1,enemy_skill_triggers!$1:$1,0)-MATCH($F$1,enemy_skill_triggers!$1:$1,0)+1,FALSE)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381" s="48">
        <f ca="1">VLOOKUP($F381,OFFSET(enemy_skill_triggers!$A$1,0,0,COUNTA(enemy_skill_triggers!$A:$A),MATCH(O$1,enemy_skill_triggers!$1:$1,0)-MATCH($F$1,enemy_skill_triggers!$1:$1,0)+1),MATCH(O$1,enemy_skill_triggers!$1:$1,0)-MATCH($F$1,enemy_skill_triggers!$1:$1,0)+1,FALSE)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1" s="47"/>
      <c r="Q381" s="47"/>
      <c r="R381" s="47"/>
    </row>
    <row r="382" spans="1:18" ht="21" customHeight="1" x14ac:dyDescent="0.15">
      <c r="A382" s="39" t="str">
        <f t="shared" si="18"/>
        <v>39009020_39009061</v>
      </c>
      <c r="B382" s="129">
        <v>39009020</v>
      </c>
      <c r="C382" s="132">
        <v>39009061</v>
      </c>
      <c r="D382" s="46" t="str">
        <f ca="1">VLOOKUP($C382,OFFSET(enemy_skills!$A$1,0,0,COUNTA(enemy_skills!$A:$A),MATCH(D$1,enemy_skills!$1:$1,0)-MATCH("enemy_skill_id",enemy_skills!$1:$1,0)+1),MATCH(D$1,enemy_skills!$1:$1,0)-MATCH("enemy_skill_id",enemy_skills!$1:$1,0)+1,FALSE)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82" s="46" t="str">
        <f ca="1">VLOOKUP($C382,OFFSET(enemy_skills!$A$1,0,0,COUNTA(enemy_skills!$A:$A),MATCH(E$1,enemy_skills!$1:$1,0)-MATCH("enemy_skill_id",enemy_skills!$1:$1,0)+1),MATCH(E$1,enemy_skills!$1:$1,0)-MATCH("enemy_skill_id",enemy_skills!$1:$1,0)+1,FALSE)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82" s="132">
        <v>39009098</v>
      </c>
      <c r="G382" s="48">
        <f ca="1">VLOOKUP($F382,OFFSET(enemy_skill_triggers!$A$1,0,0,COUNTA(enemy_skill_triggers!$A:$A),MATCH(G$1,enemy_skill_triggers!$1:$1,0)-MATCH($F$1,enemy_skill_triggers!$1:$1,0)+1),MATCH(G$1,enemy_skill_triggers!$1:$1,0)-MATCH($F$1,enemy_skill_triggers!$1:$1,0)+1,FALSE)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2" s="48">
        <f ca="1">VLOOKUP($F382,OFFSET(enemy_skill_triggers!$A$1,0,0,COUNTA(enemy_skill_triggers!$A:$A),MATCH(H$1,enemy_skill_triggers!$1:$1,0)-MATCH($F$1,enemy_skill_triggers!$1:$1,0)+1),MATCH(H$1,enemy_skill_triggers!$1:$1,0)-MATCH($F$1,enemy_skill_triggers!$1:$1,0)+1,FALSE)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82" s="48">
        <f ca="1">VLOOKUP($F382,OFFSET(enemy_skill_triggers!$A$1,0,0,COUNTA(enemy_skill_triggers!$A:$A),MATCH(I$1,enemy_skill_triggers!$1:$1,0)-MATCH($F$1,enemy_skill_triggers!$1:$1,0)+1),MATCH(I$1,enemy_skill_triggers!$1:$1,0)-MATCH($F$1,enemy_skill_triggers!$1:$1,0)+1,FALSE)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2" s="48" t="str">
        <f ca="1">VLOOKUP($F382,OFFSET(enemy_skill_triggers!$A$1,0,0,COUNTA(enemy_skill_triggers!$A:$A),MATCH(J$1,enemy_skill_triggers!$1:$1,0)-MATCH($F$1,enemy_skill_triggers!$1:$1,0)+1),MATCH(J$1,enemy_skill_triggers!$1:$1,0)-MATCH($F$1,enemy_skill_triggers!$1:$1,0)+1,FALSE)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2" s="48" t="str">
        <f ca="1">VLOOKUP($F382,OFFSET(enemy_skill_triggers!$A$1,0,0,COUNTA(enemy_skill_triggers!$A:$A),MATCH(K$1,enemy_skill_triggers!$1:$1,0)-MATCH($F$1,enemy_skill_triggers!$1:$1,0)+1),MATCH(K$1,enemy_skill_triggers!$1:$1,0)-MATCH($F$1,enemy_skill_triggers!$1:$1,0)+1,FALSE)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2" s="48">
        <f ca="1">VLOOKUP($F382,OFFSET(enemy_skill_triggers!$A$1,0,0,COUNTA(enemy_skill_triggers!$A:$A),MATCH(L$1,enemy_skill_triggers!$1:$1,0)-MATCH($F$1,enemy_skill_triggers!$1:$1,0)+1),MATCH(L$1,enemy_skill_triggers!$1:$1,0)-MATCH($F$1,enemy_skill_triggers!$1:$1,0)+1,FALSE)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2" s="48" t="str">
        <f ca="1">VLOOKUP($F382,OFFSET(enemy_skill_triggers!$A$1,0,0,COUNTA(enemy_skill_triggers!$A:$A),MATCH(M$1,enemy_skill_triggers!$1:$1,0)-MATCH($F$1,enemy_skill_triggers!$1:$1,0)+1),MATCH(M$1,enemy_skill_triggers!$1:$1,0)-MATCH($F$1,enemy_skill_triggers!$1:$1,0)+1,FALSE)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2" s="48">
        <f ca="1">VLOOKUP($F382,OFFSET(enemy_skill_triggers!$A$1,0,0,COUNTA(enemy_skill_triggers!$A:$A),MATCH(N$1,enemy_skill_triggers!$1:$1,0)-MATCH($F$1,enemy_skill_triggers!$1:$1,0)+1),MATCH(N$1,enemy_skill_triggers!$1:$1,0)-MATCH($F$1,enemy_skill_triggers!$1:$1,0)+1,FALSE)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382" s="48">
        <f ca="1">VLOOKUP($F382,OFFSET(enemy_skill_triggers!$A$1,0,0,COUNTA(enemy_skill_triggers!$A:$A),MATCH(O$1,enemy_skill_triggers!$1:$1,0)-MATCH($F$1,enemy_skill_triggers!$1:$1,0)+1),MATCH(O$1,enemy_skill_triggers!$1:$1,0)-MATCH($F$1,enemy_skill_triggers!$1:$1,0)+1,FALSE)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2" s="47"/>
      <c r="Q382" s="47"/>
      <c r="R382" s="47"/>
    </row>
    <row r="383" spans="1:18" ht="21" customHeight="1" x14ac:dyDescent="0.15">
      <c r="A383" s="39" t="str">
        <f t="shared" si="18"/>
        <v>39009020_39009061</v>
      </c>
      <c r="B383" s="129">
        <v>39009020</v>
      </c>
      <c r="C383" s="132">
        <v>39009061</v>
      </c>
      <c r="D383" s="46" t="str">
        <f ca="1">VLOOKUP($C383,OFFSET(enemy_skills!$A$1,0,0,COUNTA(enemy_skills!$A:$A),MATCH(D$1,enemy_skills!$1:$1,0)-MATCH("enemy_skill_id",enemy_skills!$1:$1,0)+1),MATCH(D$1,enemy_skills!$1:$1,0)-MATCH("enemy_skill_id",enemy_skills!$1:$1,0)+1,FALSE)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83" s="46" t="str">
        <f ca="1">VLOOKUP($C383,OFFSET(enemy_skills!$A$1,0,0,COUNTA(enemy_skills!$A:$A),MATCH(E$1,enemy_skills!$1:$1,0)-MATCH("enemy_skill_id",enemy_skills!$1:$1,0)+1),MATCH(E$1,enemy_skills!$1:$1,0)-MATCH("enemy_skill_id",enemy_skills!$1:$1,0)+1,FALSE)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83" s="132">
        <v>39009099</v>
      </c>
      <c r="G383" s="48">
        <f ca="1">VLOOKUP($F383,OFFSET(enemy_skill_triggers!$A$1,0,0,COUNTA(enemy_skill_triggers!$A:$A),MATCH(G$1,enemy_skill_triggers!$1:$1,0)-MATCH($F$1,enemy_skill_triggers!$1:$1,0)+1),MATCH(G$1,enemy_skill_triggers!$1:$1,0)-MATCH($F$1,enemy_skill_triggers!$1:$1,0)+1,FALSE)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3" s="48">
        <f ca="1">VLOOKUP($F383,OFFSET(enemy_skill_triggers!$A$1,0,0,COUNTA(enemy_skill_triggers!$A:$A),MATCH(H$1,enemy_skill_triggers!$1:$1,0)-MATCH($F$1,enemy_skill_triggers!$1:$1,0)+1),MATCH(H$1,enemy_skill_triggers!$1:$1,0)-MATCH($F$1,enemy_skill_triggers!$1:$1,0)+1,FALSE)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83" s="48">
        <f ca="1">VLOOKUP($F383,OFFSET(enemy_skill_triggers!$A$1,0,0,COUNTA(enemy_skill_triggers!$A:$A),MATCH(I$1,enemy_skill_triggers!$1:$1,0)-MATCH($F$1,enemy_skill_triggers!$1:$1,0)+1),MATCH(I$1,enemy_skill_triggers!$1:$1,0)-MATCH($F$1,enemy_skill_triggers!$1:$1,0)+1,FALSE)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3" s="48" t="str">
        <f ca="1">VLOOKUP($F383,OFFSET(enemy_skill_triggers!$A$1,0,0,COUNTA(enemy_skill_triggers!$A:$A),MATCH(J$1,enemy_skill_triggers!$1:$1,0)-MATCH($F$1,enemy_skill_triggers!$1:$1,0)+1),MATCH(J$1,enemy_skill_triggers!$1:$1,0)-MATCH($F$1,enemy_skill_triggers!$1:$1,0)+1,FALSE)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3" s="48" t="str">
        <f ca="1">VLOOKUP($F383,OFFSET(enemy_skill_triggers!$A$1,0,0,COUNTA(enemy_skill_triggers!$A:$A),MATCH(K$1,enemy_skill_triggers!$1:$1,0)-MATCH($F$1,enemy_skill_triggers!$1:$1,0)+1),MATCH(K$1,enemy_skill_triggers!$1:$1,0)-MATCH($F$1,enemy_skill_triggers!$1:$1,0)+1,FALSE)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3" s="48">
        <f ca="1">VLOOKUP($F383,OFFSET(enemy_skill_triggers!$A$1,0,0,COUNTA(enemy_skill_triggers!$A:$A),MATCH(L$1,enemy_skill_triggers!$1:$1,0)-MATCH($F$1,enemy_skill_triggers!$1:$1,0)+1),MATCH(L$1,enemy_skill_triggers!$1:$1,0)-MATCH($F$1,enemy_skill_triggers!$1:$1,0)+1,FALSE)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3" s="48" t="str">
        <f ca="1">VLOOKUP($F383,OFFSET(enemy_skill_triggers!$A$1,0,0,COUNTA(enemy_skill_triggers!$A:$A),MATCH(M$1,enemy_skill_triggers!$1:$1,0)-MATCH($F$1,enemy_skill_triggers!$1:$1,0)+1),MATCH(M$1,enemy_skill_triggers!$1:$1,0)-MATCH($F$1,enemy_skill_triggers!$1:$1,0)+1,FALSE)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3" s="48">
        <f ca="1">VLOOKUP($F383,OFFSET(enemy_skill_triggers!$A$1,0,0,COUNTA(enemy_skill_triggers!$A:$A),MATCH(N$1,enemy_skill_triggers!$1:$1,0)-MATCH($F$1,enemy_skill_triggers!$1:$1,0)+1),MATCH(N$1,enemy_skill_triggers!$1:$1,0)-MATCH($F$1,enemy_skill_triggers!$1:$1,0)+1,FALSE)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383" s="48">
        <f ca="1">VLOOKUP($F383,OFFSET(enemy_skill_triggers!$A$1,0,0,COUNTA(enemy_skill_triggers!$A:$A),MATCH(O$1,enemy_skill_triggers!$1:$1,0)-MATCH($F$1,enemy_skill_triggers!$1:$1,0)+1),MATCH(O$1,enemy_skill_triggers!$1:$1,0)-MATCH($F$1,enemy_skill_triggers!$1:$1,0)+1,FALSE)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3" s="47"/>
      <c r="Q383" s="47"/>
      <c r="R383" s="47"/>
    </row>
    <row r="384" spans="1:18" ht="21" customHeight="1" x14ac:dyDescent="0.15">
      <c r="A384" s="39" t="str">
        <f t="shared" ref="A384" si="20">B384&amp;"_"&amp;C384</f>
        <v>39009020_39009061</v>
      </c>
      <c r="B384" s="129">
        <v>39009020</v>
      </c>
      <c r="C384" s="132">
        <v>39009061</v>
      </c>
      <c r="D384" s="46" t="str">
        <f ca="1">VLOOKUP($C384,OFFSET(enemy_skills!$A$1,0,0,COUNTA(enemy_skills!$A:$A),MATCH(D$1,enemy_skills!$1:$1,0)-MATCH("enemy_skill_id",enemy_skills!$1:$1,0)+1),MATCH(D$1,enemy_skills!$1:$1,0)-MATCH("enemy_skill_id",enemy_skills!$1:$1,0)+1,FALSE)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384" s="46" t="str">
        <f ca="1">VLOOKUP($C384,OFFSET(enemy_skills!$A$1,0,0,COUNTA(enemy_skills!$A:$A),MATCH(E$1,enemy_skills!$1:$1,0)-MATCH("enemy_skill_id",enemy_skills!$1:$1,0)+1),MATCH(E$1,enemy_skills!$1:$1,0)-MATCH("enemy_skill_id",enemy_skills!$1:$1,0)+1,FALSE)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384" s="132">
        <v>39009100</v>
      </c>
      <c r="G384" s="48">
        <f ca="1">VLOOKUP($F384,OFFSET(enemy_skill_triggers!$A$1,0,0,COUNTA(enemy_skill_triggers!$A:$A),MATCH(G$1,enemy_skill_triggers!$1:$1,0)-MATCH($F$1,enemy_skill_triggers!$1:$1,0)+1),MATCH(G$1,enemy_skill_triggers!$1:$1,0)-MATCH($F$1,enemy_skill_triggers!$1:$1,0)+1,FALSE)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4" s="48">
        <f ca="1">VLOOKUP($F384,OFFSET(enemy_skill_triggers!$A$1,0,0,COUNTA(enemy_skill_triggers!$A:$A),MATCH(H$1,enemy_skill_triggers!$1:$1,0)-MATCH($F$1,enemy_skill_triggers!$1:$1,0)+1),MATCH(H$1,enemy_skill_triggers!$1:$1,0)-MATCH($F$1,enemy_skill_triggers!$1:$1,0)+1,FALSE)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4" s="48">
        <f ca="1">VLOOKUP($F384,OFFSET(enemy_skill_triggers!$A$1,0,0,COUNTA(enemy_skill_triggers!$A:$A),MATCH(I$1,enemy_skill_triggers!$1:$1,0)-MATCH($F$1,enemy_skill_triggers!$1:$1,0)+1),MATCH(I$1,enemy_skill_triggers!$1:$1,0)-MATCH($F$1,enemy_skill_triggers!$1:$1,0)+1,FALSE)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4" s="48" t="str">
        <f ca="1">VLOOKUP($F384,OFFSET(enemy_skill_triggers!$A$1,0,0,COUNTA(enemy_skill_triggers!$A:$A),MATCH(J$1,enemy_skill_triggers!$1:$1,0)-MATCH($F$1,enemy_skill_triggers!$1:$1,0)+1),MATCH(J$1,enemy_skill_triggers!$1:$1,0)-MATCH($F$1,enemy_skill_triggers!$1:$1,0)+1,FALSE)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4" s="48" t="str">
        <f ca="1">VLOOKUP($F384,OFFSET(enemy_skill_triggers!$A$1,0,0,COUNTA(enemy_skill_triggers!$A:$A),MATCH(K$1,enemy_skill_triggers!$1:$1,0)-MATCH($F$1,enemy_skill_triggers!$1:$1,0)+1),MATCH(K$1,enemy_skill_triggers!$1:$1,0)-MATCH($F$1,enemy_skill_triggers!$1:$1,0)+1,FALSE)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4" s="48">
        <f ca="1">VLOOKUP($F384,OFFSET(enemy_skill_triggers!$A$1,0,0,COUNTA(enemy_skill_triggers!$A:$A),MATCH(L$1,enemy_skill_triggers!$1:$1,0)-MATCH($F$1,enemy_skill_triggers!$1:$1,0)+1),MATCH(L$1,enemy_skill_triggers!$1:$1,0)-MATCH($F$1,enemy_skill_triggers!$1:$1,0)+1,FALSE)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4" s="48" t="str">
        <f ca="1">VLOOKUP($F384,OFFSET(enemy_skill_triggers!$A$1,0,0,COUNTA(enemy_skill_triggers!$A:$A),MATCH(M$1,enemy_skill_triggers!$1:$1,0)-MATCH($F$1,enemy_skill_triggers!$1:$1,0)+1),MATCH(M$1,enemy_skill_triggers!$1:$1,0)-MATCH($F$1,enemy_skill_triggers!$1:$1,0)+1,FALSE)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4" s="48">
        <f ca="1">VLOOKUP($F384,OFFSET(enemy_skill_triggers!$A$1,0,0,COUNTA(enemy_skill_triggers!$A:$A),MATCH(N$1,enemy_skill_triggers!$1:$1,0)-MATCH($F$1,enemy_skill_triggers!$1:$1,0)+1),MATCH(N$1,enemy_skill_triggers!$1:$1,0)-MATCH($F$1,enemy_skill_triggers!$1:$1,0)+1,FALSE)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384" s="48">
        <f ca="1">VLOOKUP($F384,OFFSET(enemy_skill_triggers!$A$1,0,0,COUNTA(enemy_skill_triggers!$A:$A),MATCH(O$1,enemy_skill_triggers!$1:$1,0)-MATCH($F$1,enemy_skill_triggers!$1:$1,0)+1),MATCH(O$1,enemy_skill_triggers!$1:$1,0)-MATCH($F$1,enemy_skill_triggers!$1:$1,0)+1,FALSE)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4" s="47"/>
      <c r="Q384" s="47"/>
      <c r="R384" s="47"/>
    </row>
    <row r="385" spans="1:18" ht="21" customHeight="1" x14ac:dyDescent="0.15">
      <c r="A385" s="39" t="str">
        <f t="shared" si="18"/>
        <v>39009020_39009062</v>
      </c>
      <c r="B385" s="129">
        <v>39009020</v>
      </c>
      <c r="C385" s="132">
        <v>39009062</v>
      </c>
      <c r="D385" s="46" t="str">
        <f ca="1">VLOOKUP($C385,OFFSET(enemy_skills!$A$1,0,0,COUNTA(enemy_skills!$A:$A),MATCH(D$1,enemy_skills!$1:$1,0)-MATCH("enemy_skill_id",enemy_skills!$1:$1,0)+1),MATCH(D$1,enemy_skills!$1:$1,0)-MATCH("enemy_skill_id",enemy_skills!$1:$1,0)+1,FALSE)</f>
        <v>スターダスト・ファンタジア</v>
      </c>
      <c r="E385" s="46" t="str">
        <f ca="1">VLOOKUP($C385,OFFSET(enemy_skills!$A$1,0,0,COUNTA(enemy_skills!$A:$A),MATCH(E$1,enemy_skills!$1:$1,0)-MATCH("enemy_skill_id",enemy_skills!$1:$1,0)+1),MATCH(E$1,enemy_skills!$1:$1,0)-MATCH("enemy_skill_id",enemy_skills!$1:$1,0)+1,FALSE)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385" s="132">
        <v>39009132</v>
      </c>
      <c r="G385" s="48">
        <f ca="1">VLOOKUP($F385,OFFSET(enemy_skill_triggers!$A$1,0,0,COUNTA(enemy_skill_triggers!$A:$A),MATCH(G$1,enemy_skill_triggers!$1:$1,0)-MATCH($F$1,enemy_skill_triggers!$1:$1,0)+1),MATCH(G$1,enemy_skill_triggers!$1:$1,0)-MATCH($F$1,enemy_skill_triggers!$1:$1,0)+1,FALSE)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5" s="48">
        <f ca="1">VLOOKUP($F385,OFFSET(enemy_skill_triggers!$A$1,0,0,COUNTA(enemy_skill_triggers!$A:$A),MATCH(H$1,enemy_skill_triggers!$1:$1,0)-MATCH($F$1,enemy_skill_triggers!$1:$1,0)+1),MATCH(H$1,enemy_skill_triggers!$1:$1,0)-MATCH($F$1,enemy_skill_triggers!$1:$1,0)+1,FALSE)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385" s="48">
        <f ca="1">VLOOKUP($F385,OFFSET(enemy_skill_triggers!$A$1,0,0,COUNTA(enemy_skill_triggers!$A:$A),MATCH(I$1,enemy_skill_triggers!$1:$1,0)-MATCH($F$1,enemy_skill_triggers!$1:$1,0)+1),MATCH(I$1,enemy_skill_triggers!$1:$1,0)-MATCH($F$1,enemy_skill_triggers!$1:$1,0)+1,FALSE)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5" s="48" t="str">
        <f ca="1">VLOOKUP($F385,OFFSET(enemy_skill_triggers!$A$1,0,0,COUNTA(enemy_skill_triggers!$A:$A),MATCH(J$1,enemy_skill_triggers!$1:$1,0)-MATCH($F$1,enemy_skill_triggers!$1:$1,0)+1),MATCH(J$1,enemy_skill_triggers!$1:$1,0)-MATCH($F$1,enemy_skill_triggers!$1:$1,0)+1,FALSE)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5" s="48">
        <f ca="1">VLOOKUP($F385,OFFSET(enemy_skill_triggers!$A$1,0,0,COUNTA(enemy_skill_triggers!$A:$A),MATCH(K$1,enemy_skill_triggers!$1:$1,0)-MATCH($F$1,enemy_skill_triggers!$1:$1,0)+1),MATCH(K$1,enemy_skill_triggers!$1:$1,0)-MATCH($F$1,enemy_skill_triggers!$1:$1,0)+1,FALSE)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85" s="48" t="str">
        <f ca="1">VLOOKUP($F385,OFFSET(enemy_skill_triggers!$A$1,0,0,COUNTA(enemy_skill_triggers!$A:$A),MATCH(L$1,enemy_skill_triggers!$1:$1,0)-MATCH($F$1,enemy_skill_triggers!$1:$1,0)+1),MATCH(L$1,enemy_skill_triggers!$1:$1,0)-MATCH($F$1,enemy_skill_triggers!$1:$1,0)+1,FALSE)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5" s="48" t="str">
        <f ca="1">VLOOKUP($F385,OFFSET(enemy_skill_triggers!$A$1,0,0,COUNTA(enemy_skill_triggers!$A:$A),MATCH(M$1,enemy_skill_triggers!$1:$1,0)-MATCH($F$1,enemy_skill_triggers!$1:$1,0)+1),MATCH(M$1,enemy_skill_triggers!$1:$1,0)-MATCH($F$1,enemy_skill_triggers!$1:$1,0)+1,FALSE)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5" s="48" t="str">
        <f ca="1">VLOOKUP($F385,OFFSET(enemy_skill_triggers!$A$1,0,0,COUNTA(enemy_skill_triggers!$A:$A),MATCH(N$1,enemy_skill_triggers!$1:$1,0)-MATCH($F$1,enemy_skill_triggers!$1:$1,0)+1),MATCH(N$1,enemy_skill_triggers!$1:$1,0)-MATCH($F$1,enemy_skill_triggers!$1:$1,0)+1,FALSE)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5" s="48">
        <f ca="1">VLOOKUP($F385,OFFSET(enemy_skill_triggers!$A$1,0,0,COUNTA(enemy_skill_triggers!$A:$A),MATCH(O$1,enemy_skill_triggers!$1:$1,0)-MATCH($F$1,enemy_skill_triggers!$1:$1,0)+1),MATCH(O$1,enemy_skill_triggers!$1:$1,0)-MATCH($F$1,enemy_skill_triggers!$1:$1,0)+1,FALSE)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5" s="47"/>
      <c r="Q385" s="47"/>
      <c r="R385" s="47"/>
    </row>
    <row r="386" spans="1:18" ht="21" customHeight="1" x14ac:dyDescent="0.15">
      <c r="A386" s="39" t="str">
        <f t="shared" si="18"/>
        <v>39009020_39009063</v>
      </c>
      <c r="B386" s="129">
        <v>39009020</v>
      </c>
      <c r="C386" s="132">
        <v>39009063</v>
      </c>
      <c r="D386" s="46" t="str">
        <f ca="1">VLOOKUP($C386,OFFSET(enemy_skills!$A$1,0,0,COUNTA(enemy_skills!$A:$A),MATCH(D$1,enemy_skills!$1:$1,0)-MATCH("enemy_skill_id",enemy_skills!$1:$1,0)+1),MATCH(D$1,enemy_skills!$1:$1,0)-MATCH("enemy_skill_id",enemy_skills!$1:$1,0)+1,FALSE)</f>
        <v>スターライト・ファンタジア</v>
      </c>
      <c r="E386" s="46" t="str">
        <f ca="1">VLOOKUP($C386,OFFSET(enemy_skills!$A$1,0,0,COUNTA(enemy_skills!$A:$A),MATCH(E$1,enemy_skills!$1:$1,0)-MATCH("enemy_skill_id",enemy_skills!$1:$1,0)+1),MATCH(E$1,enemy_skills!$1:$1,0)-MATCH("enemy_skill_id",enemy_skills!$1:$1,0)+1,FALSE)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386" s="132">
        <v>39009133</v>
      </c>
      <c r="G386" s="48">
        <f ca="1">VLOOKUP($F386,OFFSET(enemy_skill_triggers!$A$1,0,0,COUNTA(enemy_skill_triggers!$A:$A),MATCH(G$1,enemy_skill_triggers!$1:$1,0)-MATCH($F$1,enemy_skill_triggers!$1:$1,0)+1),MATCH(G$1,enemy_skill_triggers!$1:$1,0)-MATCH($F$1,enemy_skill_triggers!$1:$1,0)+1,FALSE)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6" s="48">
        <f ca="1">VLOOKUP($F386,OFFSET(enemy_skill_triggers!$A$1,0,0,COUNTA(enemy_skill_triggers!$A:$A),MATCH(H$1,enemy_skill_triggers!$1:$1,0)-MATCH($F$1,enemy_skill_triggers!$1:$1,0)+1),MATCH(H$1,enemy_skill_triggers!$1:$1,0)-MATCH($F$1,enemy_skill_triggers!$1:$1,0)+1,FALSE)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386" s="48">
        <f ca="1">VLOOKUP($F386,OFFSET(enemy_skill_triggers!$A$1,0,0,COUNTA(enemy_skill_triggers!$A:$A),MATCH(I$1,enemy_skill_triggers!$1:$1,0)-MATCH($F$1,enemy_skill_triggers!$1:$1,0)+1),MATCH(I$1,enemy_skill_triggers!$1:$1,0)-MATCH($F$1,enemy_skill_triggers!$1:$1,0)+1,FALSE)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6" s="48">
        <f ca="1">VLOOKUP($F386,OFFSET(enemy_skill_triggers!$A$1,0,0,COUNTA(enemy_skill_triggers!$A:$A),MATCH(J$1,enemy_skill_triggers!$1:$1,0)-MATCH($F$1,enemy_skill_triggers!$1:$1,0)+1),MATCH(J$1,enemy_skill_triggers!$1:$1,0)-MATCH($F$1,enemy_skill_triggers!$1:$1,0)+1,FALSE)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86" s="48">
        <f ca="1">VLOOKUP($F386,OFFSET(enemy_skill_triggers!$A$1,0,0,COUNTA(enemy_skill_triggers!$A:$A),MATCH(K$1,enemy_skill_triggers!$1:$1,0)-MATCH($F$1,enemy_skill_triggers!$1:$1,0)+1),MATCH(K$1,enemy_skill_triggers!$1:$1,0)-MATCH($F$1,enemy_skill_triggers!$1:$1,0)+1,FALSE)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6" s="48" t="str">
        <f ca="1">VLOOKUP($F386,OFFSET(enemy_skill_triggers!$A$1,0,0,COUNTA(enemy_skill_triggers!$A:$A),MATCH(L$1,enemy_skill_triggers!$1:$1,0)-MATCH($F$1,enemy_skill_triggers!$1:$1,0)+1),MATCH(L$1,enemy_skill_triggers!$1:$1,0)-MATCH($F$1,enemy_skill_triggers!$1:$1,0)+1,FALSE)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6" s="48" t="str">
        <f ca="1">VLOOKUP($F386,OFFSET(enemy_skill_triggers!$A$1,0,0,COUNTA(enemy_skill_triggers!$A:$A),MATCH(M$1,enemy_skill_triggers!$1:$1,0)-MATCH($F$1,enemy_skill_triggers!$1:$1,0)+1),MATCH(M$1,enemy_skill_triggers!$1:$1,0)-MATCH($F$1,enemy_skill_triggers!$1:$1,0)+1,FALSE)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6" s="48" t="str">
        <f ca="1">VLOOKUP($F386,OFFSET(enemy_skill_triggers!$A$1,0,0,COUNTA(enemy_skill_triggers!$A:$A),MATCH(N$1,enemy_skill_triggers!$1:$1,0)-MATCH($F$1,enemy_skill_triggers!$1:$1,0)+1),MATCH(N$1,enemy_skill_triggers!$1:$1,0)-MATCH($F$1,enemy_skill_triggers!$1:$1,0)+1,FALSE)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6" s="48">
        <f ca="1">VLOOKUP($F386,OFFSET(enemy_skill_triggers!$A$1,0,0,COUNTA(enemy_skill_triggers!$A:$A),MATCH(O$1,enemy_skill_triggers!$1:$1,0)-MATCH($F$1,enemy_skill_triggers!$1:$1,0)+1),MATCH(O$1,enemy_skill_triggers!$1:$1,0)-MATCH($F$1,enemy_skill_triggers!$1:$1,0)+1,FALSE)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6" s="47"/>
      <c r="Q386" s="47"/>
      <c r="R386" s="47"/>
    </row>
    <row r="387" spans="1:18" ht="21" customHeight="1" x14ac:dyDescent="0.15">
      <c r="A387" s="39" t="str">
        <f t="shared" si="18"/>
        <v>39009020_39009064</v>
      </c>
      <c r="B387" s="129">
        <v>39009020</v>
      </c>
      <c r="C387" s="132">
        <v>39009064</v>
      </c>
      <c r="D387" s="46" t="str">
        <f ca="1">VLOOKUP($C387,OFFSET(enemy_skills!$A$1,0,0,COUNTA(enemy_skills!$A:$A),MATCH(D$1,enemy_skills!$1:$1,0)-MATCH("enemy_skill_id",enemy_skills!$1:$1,0)+1),MATCH(D$1,enemy_skills!$1:$1,0)-MATCH("enemy_skill_id",enemy_skills!$1:$1,0)+1,FALSE)</f>
        <v>ハーフムーン・ファンタジア</v>
      </c>
      <c r="E387" s="46" t="str">
        <f ca="1">VLOOKUP($C387,OFFSET(enemy_skills!$A$1,0,0,COUNTA(enemy_skills!$A:$A),MATCH(E$1,enemy_skills!$1:$1,0)-MATCH("enemy_skill_id",enemy_skills!$1:$1,0)+1),MATCH(E$1,enemy_skills!$1:$1,0)-MATCH("enemy_skill_id",enemy_skills!$1:$1,0)+1,FALSE)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387" s="132">
        <v>39009134</v>
      </c>
      <c r="G387" s="48">
        <f ca="1">VLOOKUP($F387,OFFSET(enemy_skill_triggers!$A$1,0,0,COUNTA(enemy_skill_triggers!$A:$A),MATCH(G$1,enemy_skill_triggers!$1:$1,0)-MATCH($F$1,enemy_skill_triggers!$1:$1,0)+1),MATCH(G$1,enemy_skill_triggers!$1:$1,0)-MATCH($F$1,enemy_skill_triggers!$1:$1,0)+1,FALSE)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7" s="48">
        <f ca="1">VLOOKUP($F387,OFFSET(enemy_skill_triggers!$A$1,0,0,COUNTA(enemy_skill_triggers!$A:$A),MATCH(H$1,enemy_skill_triggers!$1:$1,0)-MATCH($F$1,enemy_skill_triggers!$1:$1,0)+1),MATCH(H$1,enemy_skill_triggers!$1:$1,0)-MATCH($F$1,enemy_skill_triggers!$1:$1,0)+1,FALSE)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387" s="48">
        <f ca="1">VLOOKUP($F387,OFFSET(enemy_skill_triggers!$A$1,0,0,COUNTA(enemy_skill_triggers!$A:$A),MATCH(I$1,enemy_skill_triggers!$1:$1,0)-MATCH($F$1,enemy_skill_triggers!$1:$1,0)+1),MATCH(I$1,enemy_skill_triggers!$1:$1,0)-MATCH($F$1,enemy_skill_triggers!$1:$1,0)+1,FALSE)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7" s="48">
        <f ca="1">VLOOKUP($F387,OFFSET(enemy_skill_triggers!$A$1,0,0,COUNTA(enemy_skill_triggers!$A:$A),MATCH(J$1,enemy_skill_triggers!$1:$1,0)-MATCH($F$1,enemy_skill_triggers!$1:$1,0)+1),MATCH(J$1,enemy_skill_triggers!$1:$1,0)-MATCH($F$1,enemy_skill_triggers!$1:$1,0)+1,FALSE)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7" s="48">
        <f ca="1">VLOOKUP($F387,OFFSET(enemy_skill_triggers!$A$1,0,0,COUNTA(enemy_skill_triggers!$A:$A),MATCH(K$1,enemy_skill_triggers!$1:$1,0)-MATCH($F$1,enemy_skill_triggers!$1:$1,0)+1),MATCH(K$1,enemy_skill_triggers!$1:$1,0)-MATCH($F$1,enemy_skill_triggers!$1:$1,0)+1,FALSE)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87" s="48" t="str">
        <f ca="1">VLOOKUP($F387,OFFSET(enemy_skill_triggers!$A$1,0,0,COUNTA(enemy_skill_triggers!$A:$A),MATCH(L$1,enemy_skill_triggers!$1:$1,0)-MATCH($F$1,enemy_skill_triggers!$1:$1,0)+1),MATCH(L$1,enemy_skill_triggers!$1:$1,0)-MATCH($F$1,enemy_skill_triggers!$1:$1,0)+1,FALSE)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7" s="48" t="str">
        <f ca="1">VLOOKUP($F387,OFFSET(enemy_skill_triggers!$A$1,0,0,COUNTA(enemy_skill_triggers!$A:$A),MATCH(M$1,enemy_skill_triggers!$1:$1,0)-MATCH($F$1,enemy_skill_triggers!$1:$1,0)+1),MATCH(M$1,enemy_skill_triggers!$1:$1,0)-MATCH($F$1,enemy_skill_triggers!$1:$1,0)+1,FALSE)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7" s="48" t="str">
        <f ca="1">VLOOKUP($F387,OFFSET(enemy_skill_triggers!$A$1,0,0,COUNTA(enemy_skill_triggers!$A:$A),MATCH(N$1,enemy_skill_triggers!$1:$1,0)-MATCH($F$1,enemy_skill_triggers!$1:$1,0)+1),MATCH(N$1,enemy_skill_triggers!$1:$1,0)-MATCH($F$1,enemy_skill_triggers!$1:$1,0)+1,FALSE)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7" s="48">
        <f ca="1">VLOOKUP($F387,OFFSET(enemy_skill_triggers!$A$1,0,0,COUNTA(enemy_skill_triggers!$A:$A),MATCH(O$1,enemy_skill_triggers!$1:$1,0)-MATCH($F$1,enemy_skill_triggers!$1:$1,0)+1),MATCH(O$1,enemy_skill_triggers!$1:$1,0)-MATCH($F$1,enemy_skill_triggers!$1:$1,0)+1,FALSE)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7" s="47"/>
      <c r="Q387" s="47"/>
      <c r="R387" s="47"/>
    </row>
    <row r="388" spans="1:18" ht="21" customHeight="1" x14ac:dyDescent="0.15">
      <c r="A388" s="39" t="str">
        <f t="shared" si="18"/>
        <v>39009020_39009065</v>
      </c>
      <c r="B388" s="129">
        <v>39009020</v>
      </c>
      <c r="C388" s="132">
        <v>39009065</v>
      </c>
      <c r="D388" s="46" t="str">
        <f ca="1">VLOOKUP($C388,OFFSET(enemy_skills!$A$1,0,0,COUNTA(enemy_skills!$A:$A),MATCH(D$1,enemy_skills!$1:$1,0)-MATCH("enemy_skill_id",enemy_skills!$1:$1,0)+1),MATCH(D$1,enemy_skills!$1:$1,0)-MATCH("enemy_skill_id",enemy_skills!$1:$1,0)+1,FALSE)</f>
        <v>フルムーン・ファンタジア</v>
      </c>
      <c r="E388" s="46" t="str">
        <f ca="1">VLOOKUP($C388,OFFSET(enemy_skills!$A$1,0,0,COUNTA(enemy_skills!$A:$A),MATCH(E$1,enemy_skills!$1:$1,0)-MATCH("enemy_skill_id",enemy_skills!$1:$1,0)+1),MATCH(E$1,enemy_skills!$1:$1,0)-MATCH("enemy_skill_id",enemy_skills!$1:$1,0)+1,FALSE)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388" s="132">
        <v>39009135</v>
      </c>
      <c r="G388" s="48">
        <f ca="1">VLOOKUP($F388,OFFSET(enemy_skill_triggers!$A$1,0,0,COUNTA(enemy_skill_triggers!$A:$A),MATCH(G$1,enemy_skill_triggers!$1:$1,0)-MATCH($F$1,enemy_skill_triggers!$1:$1,0)+1),MATCH(G$1,enemy_skill_triggers!$1:$1,0)-MATCH($F$1,enemy_skill_triggers!$1:$1,0)+1,FALSE)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8" s="48">
        <f ca="1">VLOOKUP($F388,OFFSET(enemy_skill_triggers!$A$1,0,0,COUNTA(enemy_skill_triggers!$A:$A),MATCH(H$1,enemy_skill_triggers!$1:$1,0)-MATCH($F$1,enemy_skill_triggers!$1:$1,0)+1),MATCH(H$1,enemy_skill_triggers!$1:$1,0)-MATCH($F$1,enemy_skill_triggers!$1:$1,0)+1,FALSE)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388" s="48">
        <f ca="1">VLOOKUP($F388,OFFSET(enemy_skill_triggers!$A$1,0,0,COUNTA(enemy_skill_triggers!$A:$A),MATCH(I$1,enemy_skill_triggers!$1:$1,0)-MATCH($F$1,enemy_skill_triggers!$1:$1,0)+1),MATCH(I$1,enemy_skill_triggers!$1:$1,0)-MATCH($F$1,enemy_skill_triggers!$1:$1,0)+1,FALSE)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8" s="48">
        <f ca="1">VLOOKUP($F388,OFFSET(enemy_skill_triggers!$A$1,0,0,COUNTA(enemy_skill_triggers!$A:$A),MATCH(J$1,enemy_skill_triggers!$1:$1,0)-MATCH($F$1,enemy_skill_triggers!$1:$1,0)+1),MATCH(J$1,enemy_skill_triggers!$1:$1,0)-MATCH($F$1,enemy_skill_triggers!$1:$1,0)+1,FALSE)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88" s="48" t="str">
        <f ca="1">VLOOKUP($F388,OFFSET(enemy_skill_triggers!$A$1,0,0,COUNTA(enemy_skill_triggers!$A:$A),MATCH(K$1,enemy_skill_triggers!$1:$1,0)-MATCH($F$1,enemy_skill_triggers!$1:$1,0)+1),MATCH(K$1,enemy_skill_triggers!$1:$1,0)-MATCH($F$1,enemy_skill_triggers!$1:$1,0)+1,FALSE)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8" s="48" t="str">
        <f ca="1">VLOOKUP($F388,OFFSET(enemy_skill_triggers!$A$1,0,0,COUNTA(enemy_skill_triggers!$A:$A),MATCH(L$1,enemy_skill_triggers!$1:$1,0)-MATCH($F$1,enemy_skill_triggers!$1:$1,0)+1),MATCH(L$1,enemy_skill_triggers!$1:$1,0)-MATCH($F$1,enemy_skill_triggers!$1:$1,0)+1,FALSE)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8" s="48" t="str">
        <f ca="1">VLOOKUP($F388,OFFSET(enemy_skill_triggers!$A$1,0,0,COUNTA(enemy_skill_triggers!$A:$A),MATCH(M$1,enemy_skill_triggers!$1:$1,0)-MATCH($F$1,enemy_skill_triggers!$1:$1,0)+1),MATCH(M$1,enemy_skill_triggers!$1:$1,0)-MATCH($F$1,enemy_skill_triggers!$1:$1,0)+1,FALSE)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8" s="48" t="str">
        <f ca="1">VLOOKUP($F388,OFFSET(enemy_skill_triggers!$A$1,0,0,COUNTA(enemy_skill_triggers!$A:$A),MATCH(N$1,enemy_skill_triggers!$1:$1,0)-MATCH($F$1,enemy_skill_triggers!$1:$1,0)+1),MATCH(N$1,enemy_skill_triggers!$1:$1,0)-MATCH($F$1,enemy_skill_triggers!$1:$1,0)+1,FALSE)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8" s="48">
        <f ca="1">VLOOKUP($F388,OFFSET(enemy_skill_triggers!$A$1,0,0,COUNTA(enemy_skill_triggers!$A:$A),MATCH(O$1,enemy_skill_triggers!$1:$1,0)-MATCH($F$1,enemy_skill_triggers!$1:$1,0)+1),MATCH(O$1,enemy_skill_triggers!$1:$1,0)-MATCH($F$1,enemy_skill_triggers!$1:$1,0)+1,FALSE)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8" s="47"/>
      <c r="Q388" s="47"/>
      <c r="R388" s="47"/>
    </row>
    <row r="389" spans="1:18" ht="21" customHeight="1" x14ac:dyDescent="0.15">
      <c r="A389" s="39" t="str">
        <f t="shared" si="18"/>
        <v>39009020_39009066</v>
      </c>
      <c r="B389" s="129">
        <v>39009020</v>
      </c>
      <c r="C389" s="132">
        <v>39009066</v>
      </c>
      <c r="D389" s="46" t="str">
        <f ca="1">VLOOKUP($C389,OFFSET(enemy_skills!$A$1,0,0,COUNTA(enemy_skills!$A:$A),MATCH(D$1,enemy_skills!$1:$1,0)-MATCH("enemy_skill_id",enemy_skills!$1:$1,0)+1),MATCH(D$1,enemy_skills!$1:$1,0)-MATCH("enemy_skill_id",enemy_skills!$1:$1,0)+1,FALSE)</f>
        <v>ゆっくり楽しもうね♪</v>
      </c>
      <c r="E389" s="46" t="str">
        <f ca="1">VLOOKUP($C389,OFFSET(enemy_skills!$A$1,0,0,COUNTA(enemy_skills!$A:$A),MATCH(E$1,enemy_skills!$1:$1,0)-MATCH("enemy_skill_id",enemy_skills!$1:$1,0)+1),MATCH(E$1,enemy_skills!$1:$1,0)-MATCH("enemy_skill_id",enemy_skills!$1:$1,0)+1,FALSE)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3ターン全ユニットの回復力50%DOWN+_x000D_ハートパネルドロップ率DOWN</v>
      </c>
      <c r="F389" s="132">
        <v>39009136</v>
      </c>
      <c r="G389" s="48">
        <f ca="1">VLOOKUP($F389,OFFSET(enemy_skill_triggers!$A$1,0,0,COUNTA(enemy_skill_triggers!$A:$A),MATCH(G$1,enemy_skill_triggers!$1:$1,0)-MATCH($F$1,enemy_skill_triggers!$1:$1,0)+1),MATCH(G$1,enemy_skill_triggers!$1:$1,0)-MATCH($F$1,enemy_skill_triggers!$1:$1,0)+1,FALSE)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9" s="48">
        <f ca="1">VLOOKUP($F389,OFFSET(enemy_skill_triggers!$A$1,0,0,COUNTA(enemy_skill_triggers!$A:$A),MATCH(H$1,enemy_skill_triggers!$1:$1,0)-MATCH($F$1,enemy_skill_triggers!$1:$1,0)+1),MATCH(H$1,enemy_skill_triggers!$1:$1,0)-MATCH($F$1,enemy_skill_triggers!$1:$1,0)+1,FALSE)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89" s="48">
        <f ca="1">VLOOKUP($F389,OFFSET(enemy_skill_triggers!$A$1,0,0,COUNTA(enemy_skill_triggers!$A:$A),MATCH(I$1,enemy_skill_triggers!$1:$1,0)-MATCH($F$1,enemy_skill_triggers!$1:$1,0)+1),MATCH(I$1,enemy_skill_triggers!$1:$1,0)-MATCH($F$1,enemy_skill_triggers!$1:$1,0)+1,FALSE)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9" s="48">
        <f ca="1">VLOOKUP($F389,OFFSET(enemy_skill_triggers!$A$1,0,0,COUNTA(enemy_skill_triggers!$A:$A),MATCH(J$1,enemy_skill_triggers!$1:$1,0)-MATCH($F$1,enemy_skill_triggers!$1:$1,0)+1),MATCH(J$1,enemy_skill_triggers!$1:$1,0)-MATCH($F$1,enemy_skill_triggers!$1:$1,0)+1,FALSE)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9" s="48" t="str">
        <f ca="1">VLOOKUP($F389,OFFSET(enemy_skill_triggers!$A$1,0,0,COUNTA(enemy_skill_triggers!$A:$A),MATCH(K$1,enemy_skill_triggers!$1:$1,0)-MATCH($F$1,enemy_skill_triggers!$1:$1,0)+1),MATCH(K$1,enemy_skill_triggers!$1:$1,0)-MATCH($F$1,enemy_skill_triggers!$1:$1,0)+1,FALSE)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9" s="48">
        <f ca="1">VLOOKUP($F389,OFFSET(enemy_skill_triggers!$A$1,0,0,COUNTA(enemy_skill_triggers!$A:$A),MATCH(L$1,enemy_skill_triggers!$1:$1,0)-MATCH($F$1,enemy_skill_triggers!$1:$1,0)+1),MATCH(L$1,enemy_skill_triggers!$1:$1,0)-MATCH($F$1,enemy_skill_triggers!$1:$1,0)+1,FALSE)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9" s="48" t="str">
        <f ca="1">VLOOKUP($F389,OFFSET(enemy_skill_triggers!$A$1,0,0,COUNTA(enemy_skill_triggers!$A:$A),MATCH(M$1,enemy_skill_triggers!$1:$1,0)-MATCH($F$1,enemy_skill_triggers!$1:$1,0)+1),MATCH(M$1,enemy_skill_triggers!$1:$1,0)-MATCH($F$1,enemy_skill_triggers!$1:$1,0)+1,FALSE)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9" s="48" t="str">
        <f ca="1">VLOOKUP($F389,OFFSET(enemy_skill_triggers!$A$1,0,0,COUNTA(enemy_skill_triggers!$A:$A),MATCH(N$1,enemy_skill_triggers!$1:$1,0)-MATCH($F$1,enemy_skill_triggers!$1:$1,0)+1),MATCH(N$1,enemy_skill_triggers!$1:$1,0)-MATCH($F$1,enemy_skill_triggers!$1:$1,0)+1,FALSE)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9" s="48">
        <f ca="1">VLOOKUP($F389,OFFSET(enemy_skill_triggers!$A$1,0,0,COUNTA(enemy_skill_triggers!$A:$A),MATCH(O$1,enemy_skill_triggers!$1:$1,0)-MATCH($F$1,enemy_skill_triggers!$1:$1,0)+1),MATCH(O$1,enemy_skill_triggers!$1:$1,0)-MATCH($F$1,enemy_skill_triggers!$1:$1,0)+1,FALSE)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9" s="47"/>
      <c r="Q389" s="47"/>
      <c r="R389" s="47"/>
    </row>
    <row r="390" spans="1:18" ht="21" customHeight="1" x14ac:dyDescent="0.15">
      <c r="A390" s="39" t="str">
        <f t="shared" si="18"/>
        <v>39009021_39009067</v>
      </c>
      <c r="B390" s="129">
        <v>39009021</v>
      </c>
      <c r="C390" s="47">
        <v>39009067</v>
      </c>
      <c r="D390" s="46" t="str">
        <f ca="1">VLOOKUP($C390,OFFSET(enemy_skills!$A$1,0,0,COUNTA(enemy_skills!$A:$A),MATCH(D$1,enemy_skills!$1:$1,0)-MATCH("enemy_skill_id",enemy_skills!$1:$1,0)+1),MATCH(D$1,enemy_skills!$1:$1,0)-MATCH("enemy_skill_id",enemy_skills!$1:$1,0)+1,FALSE)</f>
        <v>もうすぐ夜が明けるよ…♪</v>
      </c>
      <c r="E390" s="46" t="str">
        <f ca="1">VLOOKUP($C390,OFFSET(enemy_skills!$A$1,0,0,COUNTA(enemy_skills!$A:$A),MATCH(E$1,enemy_skills!$1:$1,0)-MATCH("enemy_skill_id",enemy_skills!$1:$1,0)+1),MATCH(E$1,enemy_skills!$1:$1,0)-MATCH("enemy_skill_id",enemy_skills!$1:$1,0)+1,FALSE)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0" s="47">
        <v>39009137</v>
      </c>
      <c r="G390" s="48">
        <f ca="1">VLOOKUP($F390,OFFSET(enemy_skill_triggers!$A$1,0,0,COUNTA(enemy_skill_triggers!$A:$A),MATCH(G$1,enemy_skill_triggers!$1:$1,0)-MATCH($F$1,enemy_skill_triggers!$1:$1,0)+1),MATCH(G$1,enemy_skill_triggers!$1:$1,0)-MATCH($F$1,enemy_skill_triggers!$1:$1,0)+1,FALSE)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0" s="48">
        <f ca="1">VLOOKUP($F390,OFFSET(enemy_skill_triggers!$A$1,0,0,COUNTA(enemy_skill_triggers!$A:$A),MATCH(H$1,enemy_skill_triggers!$1:$1,0)-MATCH($F$1,enemy_skill_triggers!$1:$1,0)+1),MATCH(H$1,enemy_skill_triggers!$1:$1,0)-MATCH($F$1,enemy_skill_triggers!$1:$1,0)+1,FALSE)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0" s="48">
        <f ca="1">VLOOKUP($F390,OFFSET(enemy_skill_triggers!$A$1,0,0,COUNTA(enemy_skill_triggers!$A:$A),MATCH(I$1,enemy_skill_triggers!$1:$1,0)-MATCH($F$1,enemy_skill_triggers!$1:$1,0)+1),MATCH(I$1,enemy_skill_triggers!$1:$1,0)-MATCH($F$1,enemy_skill_triggers!$1:$1,0)+1,FALSE)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0" s="48" t="str">
        <f ca="1">VLOOKUP($F390,OFFSET(enemy_skill_triggers!$A$1,0,0,COUNTA(enemy_skill_triggers!$A:$A),MATCH(J$1,enemy_skill_triggers!$1:$1,0)-MATCH($F$1,enemy_skill_triggers!$1:$1,0)+1),MATCH(J$1,enemy_skill_triggers!$1:$1,0)-MATCH($F$1,enemy_skill_triggers!$1:$1,0)+1,FALSE)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0" s="48" t="str">
        <f ca="1">VLOOKUP($F390,OFFSET(enemy_skill_triggers!$A$1,0,0,COUNTA(enemy_skill_triggers!$A:$A),MATCH(K$1,enemy_skill_triggers!$1:$1,0)-MATCH($F$1,enemy_skill_triggers!$1:$1,0)+1),MATCH(K$1,enemy_skill_triggers!$1:$1,0)-MATCH($F$1,enemy_skill_triggers!$1:$1,0)+1,FALSE)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0" s="48">
        <f ca="1">VLOOKUP($F390,OFFSET(enemy_skill_triggers!$A$1,0,0,COUNTA(enemy_skill_triggers!$A:$A),MATCH(L$1,enemy_skill_triggers!$1:$1,0)-MATCH($F$1,enemy_skill_triggers!$1:$1,0)+1),MATCH(L$1,enemy_skill_triggers!$1:$1,0)-MATCH($F$1,enemy_skill_triggers!$1:$1,0)+1,FALSE)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0" s="48" t="str">
        <f ca="1">VLOOKUP($F390,OFFSET(enemy_skill_triggers!$A$1,0,0,COUNTA(enemy_skill_triggers!$A:$A),MATCH(M$1,enemy_skill_triggers!$1:$1,0)-MATCH($F$1,enemy_skill_triggers!$1:$1,0)+1),MATCH(M$1,enemy_skill_triggers!$1:$1,0)-MATCH($F$1,enemy_skill_triggers!$1:$1,0)+1,FALSE)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0" s="48" t="str">
        <f ca="1">VLOOKUP($F390,OFFSET(enemy_skill_triggers!$A$1,0,0,COUNTA(enemy_skill_triggers!$A:$A),MATCH(N$1,enemy_skill_triggers!$1:$1,0)-MATCH($F$1,enemy_skill_triggers!$1:$1,0)+1),MATCH(N$1,enemy_skill_triggers!$1:$1,0)-MATCH($F$1,enemy_skill_triggers!$1:$1,0)+1,FALSE)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0" s="48">
        <f ca="1">VLOOKUP($F390,OFFSET(enemy_skill_triggers!$A$1,0,0,COUNTA(enemy_skill_triggers!$A:$A),MATCH(O$1,enemy_skill_triggers!$1:$1,0)-MATCH($F$1,enemy_skill_triggers!$1:$1,0)+1),MATCH(O$1,enemy_skill_triggers!$1:$1,0)-MATCH($F$1,enemy_skill_triggers!$1:$1,0)+1,FALSE)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0" s="47"/>
      <c r="Q390" s="47"/>
      <c r="R390" s="47"/>
    </row>
    <row r="391" spans="1:18" ht="21" customHeight="1" x14ac:dyDescent="0.15">
      <c r="A391" s="39" t="str">
        <f t="shared" si="18"/>
        <v>39009021_39009019</v>
      </c>
      <c r="B391" s="129">
        <v>39009021</v>
      </c>
      <c r="C391" s="142">
        <v>39009019</v>
      </c>
      <c r="D391" s="46" t="str">
        <f ca="1">VLOOKUP($C391,OFFSET(enemy_skills!$A$1,0,0,COUNTA(enemy_skills!$A:$A),MATCH(D$1,enemy_skills!$1:$1,0)-MATCH("enemy_skill_id",enemy_skills!$1:$1,0)+1),MATCH(D$1,enemy_skills!$1:$1,0)-MATCH("enemy_skill_id",enemy_skills!$1:$1,0)+1,FALSE)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1" s="46" t="str">
        <f ca="1">VLOOKUP($C391,OFFSET(enemy_skills!$A$1,0,0,COUNTA(enemy_skills!$A:$A),MATCH(E$1,enemy_skills!$1:$1,0)-MATCH("enemy_skill_id",enemy_skills!$1:$1,0)+1),MATCH(E$1,enemy_skills!$1:$1,0)-MATCH("enemy_skill_id",enemy_skills!$1:$1,0)+1,FALSE)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1" s="47">
        <v>39009138</v>
      </c>
      <c r="G391" s="48">
        <f ca="1">VLOOKUP($F391,OFFSET(enemy_skill_triggers!$A$1,0,0,COUNTA(enemy_skill_triggers!$A:$A),MATCH(G$1,enemy_skill_triggers!$1:$1,0)-MATCH($F$1,enemy_skill_triggers!$1:$1,0)+1),MATCH(G$1,enemy_skill_triggers!$1:$1,0)-MATCH($F$1,enemy_skill_triggers!$1:$1,0)+1,FALSE)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1" s="48">
        <f ca="1">VLOOKUP($F391,OFFSET(enemy_skill_triggers!$A$1,0,0,COUNTA(enemy_skill_triggers!$A:$A),MATCH(H$1,enemy_skill_triggers!$1:$1,0)-MATCH($F$1,enemy_skill_triggers!$1:$1,0)+1),MATCH(H$1,enemy_skill_triggers!$1:$1,0)-MATCH($F$1,enemy_skill_triggers!$1:$1,0)+1,FALSE)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91" s="48">
        <f ca="1">VLOOKUP($F391,OFFSET(enemy_skill_triggers!$A$1,0,0,COUNTA(enemy_skill_triggers!$A:$A),MATCH(I$1,enemy_skill_triggers!$1:$1,0)-MATCH($F$1,enemy_skill_triggers!$1:$1,0)+1),MATCH(I$1,enemy_skill_triggers!$1:$1,0)-MATCH($F$1,enemy_skill_triggers!$1:$1,0)+1,FALSE)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1" s="48" t="str">
        <f ca="1">VLOOKUP($F391,OFFSET(enemy_skill_triggers!$A$1,0,0,COUNTA(enemy_skill_triggers!$A:$A),MATCH(J$1,enemy_skill_triggers!$1:$1,0)-MATCH($F$1,enemy_skill_triggers!$1:$1,0)+1),MATCH(J$1,enemy_skill_triggers!$1:$1,0)-MATCH($F$1,enemy_skill_triggers!$1:$1,0)+1,FALSE)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1" s="48" t="str">
        <f ca="1">VLOOKUP($F391,OFFSET(enemy_skill_triggers!$A$1,0,0,COUNTA(enemy_skill_triggers!$A:$A),MATCH(K$1,enemy_skill_triggers!$1:$1,0)-MATCH($F$1,enemy_skill_triggers!$1:$1,0)+1),MATCH(K$1,enemy_skill_triggers!$1:$1,0)-MATCH($F$1,enemy_skill_triggers!$1:$1,0)+1,FALSE)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1" s="48">
        <f ca="1">VLOOKUP($F391,OFFSET(enemy_skill_triggers!$A$1,0,0,COUNTA(enemy_skill_triggers!$A:$A),MATCH(L$1,enemy_skill_triggers!$1:$1,0)-MATCH($F$1,enemy_skill_triggers!$1:$1,0)+1),MATCH(L$1,enemy_skill_triggers!$1:$1,0)-MATCH($F$1,enemy_skill_triggers!$1:$1,0)+1,FALSE)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1" s="48" t="str">
        <f ca="1">VLOOKUP($F391,OFFSET(enemy_skill_triggers!$A$1,0,0,COUNTA(enemy_skill_triggers!$A:$A),MATCH(M$1,enemy_skill_triggers!$1:$1,0)-MATCH($F$1,enemy_skill_triggers!$1:$1,0)+1),MATCH(M$1,enemy_skill_triggers!$1:$1,0)-MATCH($F$1,enemy_skill_triggers!$1:$1,0)+1,FALSE)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1" s="48">
        <f ca="1">VLOOKUP($F391,OFFSET(enemy_skill_triggers!$A$1,0,0,COUNTA(enemy_skill_triggers!$A:$A),MATCH(N$1,enemy_skill_triggers!$1:$1,0)-MATCH($F$1,enemy_skill_triggers!$1:$1,0)+1),MATCH(N$1,enemy_skill_triggers!$1:$1,0)-MATCH($F$1,enemy_skill_triggers!$1:$1,0)+1,FALSE)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91" s="48">
        <f ca="1">VLOOKUP($F391,OFFSET(enemy_skill_triggers!$A$1,0,0,COUNTA(enemy_skill_triggers!$A:$A),MATCH(O$1,enemy_skill_triggers!$1:$1,0)-MATCH($F$1,enemy_skill_triggers!$1:$1,0)+1),MATCH(O$1,enemy_skill_triggers!$1:$1,0)-MATCH($F$1,enemy_skill_triggers!$1:$1,0)+1,FALSE)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1" s="47"/>
      <c r="Q391" s="47"/>
      <c r="R391" s="47"/>
    </row>
    <row r="392" spans="1:18" ht="21" customHeight="1" x14ac:dyDescent="0.15">
      <c r="A392" s="39" t="str">
        <f t="shared" si="18"/>
        <v>39009021_39009019</v>
      </c>
      <c r="B392" s="129">
        <v>39009021</v>
      </c>
      <c r="C392" s="142">
        <v>39009019</v>
      </c>
      <c r="D392" s="46" t="str">
        <f ca="1">VLOOKUP($C392,OFFSET(enemy_skills!$A$1,0,0,COUNTA(enemy_skills!$A:$A),MATCH(D$1,enemy_skills!$1:$1,0)-MATCH("enemy_skill_id",enemy_skills!$1:$1,0)+1),MATCH(D$1,enemy_skills!$1:$1,0)-MATCH("enemy_skill_id",enemy_skills!$1:$1,0)+1,FALSE)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2" s="46" t="str">
        <f ca="1">VLOOKUP($C392,OFFSET(enemy_skills!$A$1,0,0,COUNTA(enemy_skills!$A:$A),MATCH(E$1,enemy_skills!$1:$1,0)-MATCH("enemy_skill_id",enemy_skills!$1:$1,0)+1),MATCH(E$1,enemy_skills!$1:$1,0)-MATCH("enemy_skill_id",enemy_skills!$1:$1,0)+1,FALSE)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2" s="47">
        <v>39009139</v>
      </c>
      <c r="G392" s="48">
        <f ca="1">VLOOKUP($F392,OFFSET(enemy_skill_triggers!$A$1,0,0,COUNTA(enemy_skill_triggers!$A:$A),MATCH(G$1,enemy_skill_triggers!$1:$1,0)-MATCH($F$1,enemy_skill_triggers!$1:$1,0)+1),MATCH(G$1,enemy_skill_triggers!$1:$1,0)-MATCH($F$1,enemy_skill_triggers!$1:$1,0)+1,FALSE)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2" s="48">
        <f ca="1">VLOOKUP($F392,OFFSET(enemy_skill_triggers!$A$1,0,0,COUNTA(enemy_skill_triggers!$A:$A),MATCH(H$1,enemy_skill_triggers!$1:$1,0)-MATCH($F$1,enemy_skill_triggers!$1:$1,0)+1),MATCH(H$1,enemy_skill_triggers!$1:$1,0)-MATCH($F$1,enemy_skill_triggers!$1:$1,0)+1,FALSE)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392" s="48">
        <f ca="1">VLOOKUP($F392,OFFSET(enemy_skill_triggers!$A$1,0,0,COUNTA(enemy_skill_triggers!$A:$A),MATCH(I$1,enemy_skill_triggers!$1:$1,0)-MATCH($F$1,enemy_skill_triggers!$1:$1,0)+1),MATCH(I$1,enemy_skill_triggers!$1:$1,0)-MATCH($F$1,enemy_skill_triggers!$1:$1,0)+1,FALSE)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2" s="48" t="str">
        <f ca="1">VLOOKUP($F392,OFFSET(enemy_skill_triggers!$A$1,0,0,COUNTA(enemy_skill_triggers!$A:$A),MATCH(J$1,enemy_skill_triggers!$1:$1,0)-MATCH($F$1,enemy_skill_triggers!$1:$1,0)+1),MATCH(J$1,enemy_skill_triggers!$1:$1,0)-MATCH($F$1,enemy_skill_triggers!$1:$1,0)+1,FALSE)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2" s="48" t="str">
        <f ca="1">VLOOKUP($F392,OFFSET(enemy_skill_triggers!$A$1,0,0,COUNTA(enemy_skill_triggers!$A:$A),MATCH(K$1,enemy_skill_triggers!$1:$1,0)-MATCH($F$1,enemy_skill_triggers!$1:$1,0)+1),MATCH(K$1,enemy_skill_triggers!$1:$1,0)-MATCH($F$1,enemy_skill_triggers!$1:$1,0)+1,FALSE)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2" s="48">
        <f ca="1">VLOOKUP($F392,OFFSET(enemy_skill_triggers!$A$1,0,0,COUNTA(enemy_skill_triggers!$A:$A),MATCH(L$1,enemy_skill_triggers!$1:$1,0)-MATCH($F$1,enemy_skill_triggers!$1:$1,0)+1),MATCH(L$1,enemy_skill_triggers!$1:$1,0)-MATCH($F$1,enemy_skill_triggers!$1:$1,0)+1,FALSE)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2" s="48" t="str">
        <f ca="1">VLOOKUP($F392,OFFSET(enemy_skill_triggers!$A$1,0,0,COUNTA(enemy_skill_triggers!$A:$A),MATCH(M$1,enemy_skill_triggers!$1:$1,0)-MATCH($F$1,enemy_skill_triggers!$1:$1,0)+1),MATCH(M$1,enemy_skill_triggers!$1:$1,0)-MATCH($F$1,enemy_skill_triggers!$1:$1,0)+1,FALSE)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2" s="48">
        <f ca="1">VLOOKUP($F392,OFFSET(enemy_skill_triggers!$A$1,0,0,COUNTA(enemy_skill_triggers!$A:$A),MATCH(N$1,enemy_skill_triggers!$1:$1,0)-MATCH($F$1,enemy_skill_triggers!$1:$1,0)+1),MATCH(N$1,enemy_skill_triggers!$1:$1,0)-MATCH($F$1,enemy_skill_triggers!$1:$1,0)+1,FALSE)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92" s="48">
        <f ca="1">VLOOKUP($F392,OFFSET(enemy_skill_triggers!$A$1,0,0,COUNTA(enemy_skill_triggers!$A:$A),MATCH(O$1,enemy_skill_triggers!$1:$1,0)-MATCH($F$1,enemy_skill_triggers!$1:$1,0)+1),MATCH(O$1,enemy_skill_triggers!$1:$1,0)-MATCH($F$1,enemy_skill_triggers!$1:$1,0)+1,FALSE)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2" s="47"/>
      <c r="Q392" s="47"/>
      <c r="R392" s="47"/>
    </row>
    <row r="393" spans="1:18" ht="21" customHeight="1" x14ac:dyDescent="0.15">
      <c r="A393" s="39" t="str">
        <f t="shared" si="18"/>
        <v>39009021_39009019</v>
      </c>
      <c r="B393" s="129">
        <v>39009021</v>
      </c>
      <c r="C393" s="142">
        <v>39009019</v>
      </c>
      <c r="D393" s="46" t="str">
        <f ca="1">VLOOKUP($C393,OFFSET(enemy_skills!$A$1,0,0,COUNTA(enemy_skills!$A:$A),MATCH(D$1,enemy_skills!$1:$1,0)-MATCH("enemy_skill_id",enemy_skills!$1:$1,0)+1),MATCH(D$1,enemy_skills!$1:$1,0)-MATCH("enemy_skill_id",enemy_skills!$1:$1,0)+1,FALSE)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3" s="46" t="str">
        <f ca="1">VLOOKUP($C393,OFFSET(enemy_skills!$A$1,0,0,COUNTA(enemy_skills!$A:$A),MATCH(E$1,enemy_skills!$1:$1,0)-MATCH("enemy_skill_id",enemy_skills!$1:$1,0)+1),MATCH(E$1,enemy_skills!$1:$1,0)-MATCH("enemy_skill_id",enemy_skills!$1:$1,0)+1,FALSE)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3" s="47">
        <v>39009140</v>
      </c>
      <c r="G393" s="48">
        <f ca="1">VLOOKUP($F393,OFFSET(enemy_skill_triggers!$A$1,0,0,COUNTA(enemy_skill_triggers!$A:$A),MATCH(G$1,enemy_skill_triggers!$1:$1,0)-MATCH($F$1,enemy_skill_triggers!$1:$1,0)+1),MATCH(G$1,enemy_skill_triggers!$1:$1,0)-MATCH($F$1,enemy_skill_triggers!$1:$1,0)+1,FALSE)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3" s="48">
        <f ca="1">VLOOKUP($F393,OFFSET(enemy_skill_triggers!$A$1,0,0,COUNTA(enemy_skill_triggers!$A:$A),MATCH(H$1,enemy_skill_triggers!$1:$1,0)-MATCH($F$1,enemy_skill_triggers!$1:$1,0)+1),MATCH(H$1,enemy_skill_triggers!$1:$1,0)-MATCH($F$1,enemy_skill_triggers!$1:$1,0)+1,FALSE)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393" s="48">
        <f ca="1">VLOOKUP($F393,OFFSET(enemy_skill_triggers!$A$1,0,0,COUNTA(enemy_skill_triggers!$A:$A),MATCH(I$1,enemy_skill_triggers!$1:$1,0)-MATCH($F$1,enemy_skill_triggers!$1:$1,0)+1),MATCH(I$1,enemy_skill_triggers!$1:$1,0)-MATCH($F$1,enemy_skill_triggers!$1:$1,0)+1,FALSE)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3" s="48" t="str">
        <f ca="1">VLOOKUP($F393,OFFSET(enemy_skill_triggers!$A$1,0,0,COUNTA(enemy_skill_triggers!$A:$A),MATCH(J$1,enemy_skill_triggers!$1:$1,0)-MATCH($F$1,enemy_skill_triggers!$1:$1,0)+1),MATCH(J$1,enemy_skill_triggers!$1:$1,0)-MATCH($F$1,enemy_skill_triggers!$1:$1,0)+1,FALSE)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3" s="48" t="str">
        <f ca="1">VLOOKUP($F393,OFFSET(enemy_skill_triggers!$A$1,0,0,COUNTA(enemy_skill_triggers!$A:$A),MATCH(K$1,enemy_skill_triggers!$1:$1,0)-MATCH($F$1,enemy_skill_triggers!$1:$1,0)+1),MATCH(K$1,enemy_skill_triggers!$1:$1,0)-MATCH($F$1,enemy_skill_triggers!$1:$1,0)+1,FALSE)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3" s="48">
        <f ca="1">VLOOKUP($F393,OFFSET(enemy_skill_triggers!$A$1,0,0,COUNTA(enemy_skill_triggers!$A:$A),MATCH(L$1,enemy_skill_triggers!$1:$1,0)-MATCH($F$1,enemy_skill_triggers!$1:$1,0)+1),MATCH(L$1,enemy_skill_triggers!$1:$1,0)-MATCH($F$1,enemy_skill_triggers!$1:$1,0)+1,FALSE)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3" s="48" t="str">
        <f ca="1">VLOOKUP($F393,OFFSET(enemy_skill_triggers!$A$1,0,0,COUNTA(enemy_skill_triggers!$A:$A),MATCH(M$1,enemy_skill_triggers!$1:$1,0)-MATCH($F$1,enemy_skill_triggers!$1:$1,0)+1),MATCH(M$1,enemy_skill_triggers!$1:$1,0)-MATCH($F$1,enemy_skill_triggers!$1:$1,0)+1,FALSE)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3" s="48">
        <f ca="1">VLOOKUP($F393,OFFSET(enemy_skill_triggers!$A$1,0,0,COUNTA(enemy_skill_triggers!$A:$A),MATCH(N$1,enemy_skill_triggers!$1:$1,0)-MATCH($F$1,enemy_skill_triggers!$1:$1,0)+1),MATCH(N$1,enemy_skill_triggers!$1:$1,0)-MATCH($F$1,enemy_skill_triggers!$1:$1,0)+1,FALSE)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93" s="48">
        <f ca="1">VLOOKUP($F393,OFFSET(enemy_skill_triggers!$A$1,0,0,COUNTA(enemy_skill_triggers!$A:$A),MATCH(O$1,enemy_skill_triggers!$1:$1,0)-MATCH($F$1,enemy_skill_triggers!$1:$1,0)+1),MATCH(O$1,enemy_skill_triggers!$1:$1,0)-MATCH($F$1,enemy_skill_triggers!$1:$1,0)+1,FALSE)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3" s="47"/>
      <c r="Q393" s="47"/>
      <c r="R393" s="47"/>
    </row>
    <row r="394" spans="1:18" ht="21" customHeight="1" x14ac:dyDescent="0.15">
      <c r="A394" s="39" t="str">
        <f t="shared" si="18"/>
        <v>39009021_39009019</v>
      </c>
      <c r="B394" s="129">
        <v>39009021</v>
      </c>
      <c r="C394" s="142">
        <v>39009019</v>
      </c>
      <c r="D394" s="46" t="str">
        <f ca="1">VLOOKUP($C394,OFFSET(enemy_skills!$A$1,0,0,COUNTA(enemy_skills!$A:$A),MATCH(D$1,enemy_skills!$1:$1,0)-MATCH("enemy_skill_id",enemy_skills!$1:$1,0)+1),MATCH(D$1,enemy_skills!$1:$1,0)-MATCH("enemy_skill_id",enemy_skills!$1:$1,0)+1,FALSE)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4" s="46" t="str">
        <f ca="1">VLOOKUP($C394,OFFSET(enemy_skills!$A$1,0,0,COUNTA(enemy_skills!$A:$A),MATCH(E$1,enemy_skills!$1:$1,0)-MATCH("enemy_skill_id",enemy_skills!$1:$1,0)+1),MATCH(E$1,enemy_skills!$1:$1,0)-MATCH("enemy_skill_id",enemy_skills!$1:$1,0)+1,FALSE)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4" s="47">
        <v>39009141</v>
      </c>
      <c r="G394" s="48">
        <f ca="1">VLOOKUP($F394,OFFSET(enemy_skill_triggers!$A$1,0,0,COUNTA(enemy_skill_triggers!$A:$A),MATCH(G$1,enemy_skill_triggers!$1:$1,0)-MATCH($F$1,enemy_skill_triggers!$1:$1,0)+1),MATCH(G$1,enemy_skill_triggers!$1:$1,0)-MATCH($F$1,enemy_skill_triggers!$1:$1,0)+1,FALSE)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4" s="48">
        <f ca="1">VLOOKUP($F394,OFFSET(enemy_skill_triggers!$A$1,0,0,COUNTA(enemy_skill_triggers!$A:$A),MATCH(H$1,enemy_skill_triggers!$1:$1,0)-MATCH($F$1,enemy_skill_triggers!$1:$1,0)+1),MATCH(H$1,enemy_skill_triggers!$1:$1,0)-MATCH($F$1,enemy_skill_triggers!$1:$1,0)+1,FALSE)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394" s="48">
        <f ca="1">VLOOKUP($F394,OFFSET(enemy_skill_triggers!$A$1,0,0,COUNTA(enemy_skill_triggers!$A:$A),MATCH(I$1,enemy_skill_triggers!$1:$1,0)-MATCH($F$1,enemy_skill_triggers!$1:$1,0)+1),MATCH(I$1,enemy_skill_triggers!$1:$1,0)-MATCH($F$1,enemy_skill_triggers!$1:$1,0)+1,FALSE)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4" s="48" t="str">
        <f ca="1">VLOOKUP($F394,OFFSET(enemy_skill_triggers!$A$1,0,0,COUNTA(enemy_skill_triggers!$A:$A),MATCH(J$1,enemy_skill_triggers!$1:$1,0)-MATCH($F$1,enemy_skill_triggers!$1:$1,0)+1),MATCH(J$1,enemy_skill_triggers!$1:$1,0)-MATCH($F$1,enemy_skill_triggers!$1:$1,0)+1,FALSE)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4" s="48" t="str">
        <f ca="1">VLOOKUP($F394,OFFSET(enemy_skill_triggers!$A$1,0,0,COUNTA(enemy_skill_triggers!$A:$A),MATCH(K$1,enemy_skill_triggers!$1:$1,0)-MATCH($F$1,enemy_skill_triggers!$1:$1,0)+1),MATCH(K$1,enemy_skill_triggers!$1:$1,0)-MATCH($F$1,enemy_skill_triggers!$1:$1,0)+1,FALSE)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4" s="48">
        <f ca="1">VLOOKUP($F394,OFFSET(enemy_skill_triggers!$A$1,0,0,COUNTA(enemy_skill_triggers!$A:$A),MATCH(L$1,enemy_skill_triggers!$1:$1,0)-MATCH($F$1,enemy_skill_triggers!$1:$1,0)+1),MATCH(L$1,enemy_skill_triggers!$1:$1,0)-MATCH($F$1,enemy_skill_triggers!$1:$1,0)+1,FALSE)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4" s="48" t="str">
        <f ca="1">VLOOKUP($F394,OFFSET(enemy_skill_triggers!$A$1,0,0,COUNTA(enemy_skill_triggers!$A:$A),MATCH(M$1,enemy_skill_triggers!$1:$1,0)-MATCH($F$1,enemy_skill_triggers!$1:$1,0)+1),MATCH(M$1,enemy_skill_triggers!$1:$1,0)-MATCH($F$1,enemy_skill_triggers!$1:$1,0)+1,FALSE)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4" s="48">
        <f ca="1">VLOOKUP($F394,OFFSET(enemy_skill_triggers!$A$1,0,0,COUNTA(enemy_skill_triggers!$A:$A),MATCH(N$1,enemy_skill_triggers!$1:$1,0)-MATCH($F$1,enemy_skill_triggers!$1:$1,0)+1),MATCH(N$1,enemy_skill_triggers!$1:$1,0)-MATCH($F$1,enemy_skill_triggers!$1:$1,0)+1,FALSE)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394" s="48">
        <f ca="1">VLOOKUP($F394,OFFSET(enemy_skill_triggers!$A$1,0,0,COUNTA(enemy_skill_triggers!$A:$A),MATCH(O$1,enemy_skill_triggers!$1:$1,0)-MATCH($F$1,enemy_skill_triggers!$1:$1,0)+1),MATCH(O$1,enemy_skill_triggers!$1:$1,0)-MATCH($F$1,enemy_skill_triggers!$1:$1,0)+1,FALSE)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4" s="47"/>
      <c r="Q394" s="47"/>
      <c r="R394" s="47"/>
    </row>
    <row r="395" spans="1:18" ht="21" customHeight="1" x14ac:dyDescent="0.15">
      <c r="A395" s="39" t="str">
        <f t="shared" si="18"/>
        <v>39009021_39009019</v>
      </c>
      <c r="B395" s="129">
        <v>39009021</v>
      </c>
      <c r="C395" s="142">
        <v>39009019</v>
      </c>
      <c r="D395" s="46" t="str">
        <f ca="1">VLOOKUP($C395,OFFSET(enemy_skills!$A$1,0,0,COUNTA(enemy_skills!$A:$A),MATCH(D$1,enemy_skills!$1:$1,0)-MATCH("enemy_skill_id",enemy_skills!$1:$1,0)+1),MATCH(D$1,enemy_skills!$1:$1,0)-MATCH("enemy_skill_id",enemy_skills!$1:$1,0)+1,FALSE)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5" s="46" t="str">
        <f ca="1">VLOOKUP($C395,OFFSET(enemy_skills!$A$1,0,0,COUNTA(enemy_skills!$A:$A),MATCH(E$1,enemy_skills!$1:$1,0)-MATCH("enemy_skill_id",enemy_skills!$1:$1,0)+1),MATCH(E$1,enemy_skills!$1:$1,0)-MATCH("enemy_skill_id",enemy_skills!$1:$1,0)+1,FALSE)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5" s="47">
        <v>39009142</v>
      </c>
      <c r="G395" s="48">
        <f ca="1">VLOOKUP($F395,OFFSET(enemy_skill_triggers!$A$1,0,0,COUNTA(enemy_skill_triggers!$A:$A),MATCH(G$1,enemy_skill_triggers!$1:$1,0)-MATCH($F$1,enemy_skill_triggers!$1:$1,0)+1),MATCH(G$1,enemy_skill_triggers!$1:$1,0)-MATCH($F$1,enemy_skill_triggers!$1:$1,0)+1,FALSE)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5" s="48">
        <f ca="1">VLOOKUP($F395,OFFSET(enemy_skill_triggers!$A$1,0,0,COUNTA(enemy_skill_triggers!$A:$A),MATCH(H$1,enemy_skill_triggers!$1:$1,0)-MATCH($F$1,enemy_skill_triggers!$1:$1,0)+1),MATCH(H$1,enemy_skill_triggers!$1:$1,0)-MATCH($F$1,enemy_skill_triggers!$1:$1,0)+1,FALSE)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95" s="48">
        <f ca="1">VLOOKUP($F395,OFFSET(enemy_skill_triggers!$A$1,0,0,COUNTA(enemy_skill_triggers!$A:$A),MATCH(I$1,enemy_skill_triggers!$1:$1,0)-MATCH($F$1,enemy_skill_triggers!$1:$1,0)+1),MATCH(I$1,enemy_skill_triggers!$1:$1,0)-MATCH($F$1,enemy_skill_triggers!$1:$1,0)+1,FALSE)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5" s="48" t="str">
        <f ca="1">VLOOKUP($F395,OFFSET(enemy_skill_triggers!$A$1,0,0,COUNTA(enemy_skill_triggers!$A:$A),MATCH(J$1,enemy_skill_triggers!$1:$1,0)-MATCH($F$1,enemy_skill_triggers!$1:$1,0)+1),MATCH(J$1,enemy_skill_triggers!$1:$1,0)-MATCH($F$1,enemy_skill_triggers!$1:$1,0)+1,FALSE)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5" s="48" t="str">
        <f ca="1">VLOOKUP($F395,OFFSET(enemy_skill_triggers!$A$1,0,0,COUNTA(enemy_skill_triggers!$A:$A),MATCH(K$1,enemy_skill_triggers!$1:$1,0)-MATCH($F$1,enemy_skill_triggers!$1:$1,0)+1),MATCH(K$1,enemy_skill_triggers!$1:$1,0)-MATCH($F$1,enemy_skill_triggers!$1:$1,0)+1,FALSE)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5" s="48">
        <f ca="1">VLOOKUP($F395,OFFSET(enemy_skill_triggers!$A$1,0,0,COUNTA(enemy_skill_triggers!$A:$A),MATCH(L$1,enemy_skill_triggers!$1:$1,0)-MATCH($F$1,enemy_skill_triggers!$1:$1,0)+1),MATCH(L$1,enemy_skill_triggers!$1:$1,0)-MATCH($F$1,enemy_skill_triggers!$1:$1,0)+1,FALSE)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5" s="48" t="str">
        <f ca="1">VLOOKUP($F395,OFFSET(enemy_skill_triggers!$A$1,0,0,COUNTA(enemy_skill_triggers!$A:$A),MATCH(M$1,enemy_skill_triggers!$1:$1,0)-MATCH($F$1,enemy_skill_triggers!$1:$1,0)+1),MATCH(M$1,enemy_skill_triggers!$1:$1,0)-MATCH($F$1,enemy_skill_triggers!$1:$1,0)+1,FALSE)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5" s="48">
        <f ca="1">VLOOKUP($F395,OFFSET(enemy_skill_triggers!$A$1,0,0,COUNTA(enemy_skill_triggers!$A:$A),MATCH(N$1,enemy_skill_triggers!$1:$1,0)-MATCH($F$1,enemy_skill_triggers!$1:$1,0)+1),MATCH(N$1,enemy_skill_triggers!$1:$1,0)-MATCH($F$1,enemy_skill_triggers!$1:$1,0)+1,FALSE)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395" s="48">
        <f ca="1">VLOOKUP($F395,OFFSET(enemy_skill_triggers!$A$1,0,0,COUNTA(enemy_skill_triggers!$A:$A),MATCH(O$1,enemy_skill_triggers!$1:$1,0)-MATCH($F$1,enemy_skill_triggers!$1:$1,0)+1),MATCH(O$1,enemy_skill_triggers!$1:$1,0)-MATCH($F$1,enemy_skill_triggers!$1:$1,0)+1,FALSE)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5" s="47"/>
      <c r="Q395" s="47"/>
      <c r="R395" s="47"/>
    </row>
    <row r="396" spans="1:18" ht="21" customHeight="1" x14ac:dyDescent="0.15">
      <c r="A396" s="39" t="str">
        <f t="shared" si="18"/>
        <v>39009021_39009019</v>
      </c>
      <c r="B396" s="129">
        <v>39009021</v>
      </c>
      <c r="C396" s="142">
        <v>39009019</v>
      </c>
      <c r="D396" s="46" t="str">
        <f ca="1">VLOOKUP($C396,OFFSET(enemy_skills!$A$1,0,0,COUNTA(enemy_skills!$A:$A),MATCH(D$1,enemy_skills!$1:$1,0)-MATCH("enemy_skill_id",enemy_skills!$1:$1,0)+1),MATCH(D$1,enemy_skills!$1:$1,0)-MATCH("enemy_skill_id",enemy_skills!$1:$1,0)+1,FALSE)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6" s="46" t="str">
        <f ca="1">VLOOKUP($C396,OFFSET(enemy_skills!$A$1,0,0,COUNTA(enemy_skills!$A:$A),MATCH(E$1,enemy_skills!$1:$1,0)-MATCH("enemy_skill_id",enemy_skills!$1:$1,0)+1),MATCH(E$1,enemy_skills!$1:$1,0)-MATCH("enemy_skill_id",enemy_skills!$1:$1,0)+1,FALSE)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6" s="47">
        <v>39009143</v>
      </c>
      <c r="G396" s="48">
        <f ca="1">VLOOKUP($F396,OFFSET(enemy_skill_triggers!$A$1,0,0,COUNTA(enemy_skill_triggers!$A:$A),MATCH(G$1,enemy_skill_triggers!$1:$1,0)-MATCH($F$1,enemy_skill_triggers!$1:$1,0)+1),MATCH(G$1,enemy_skill_triggers!$1:$1,0)-MATCH($F$1,enemy_skill_triggers!$1:$1,0)+1,FALSE)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6" s="48">
        <f ca="1">VLOOKUP($F396,OFFSET(enemy_skill_triggers!$A$1,0,0,COUNTA(enemy_skill_triggers!$A:$A),MATCH(H$1,enemy_skill_triggers!$1:$1,0)-MATCH($F$1,enemy_skill_triggers!$1:$1,0)+1),MATCH(H$1,enemy_skill_triggers!$1:$1,0)-MATCH($F$1,enemy_skill_triggers!$1:$1,0)+1,FALSE)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396" s="48">
        <f ca="1">VLOOKUP($F396,OFFSET(enemy_skill_triggers!$A$1,0,0,COUNTA(enemy_skill_triggers!$A:$A),MATCH(I$1,enemy_skill_triggers!$1:$1,0)-MATCH($F$1,enemy_skill_triggers!$1:$1,0)+1),MATCH(I$1,enemy_skill_triggers!$1:$1,0)-MATCH($F$1,enemy_skill_triggers!$1:$1,0)+1,FALSE)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6" s="48" t="str">
        <f ca="1">VLOOKUP($F396,OFFSET(enemy_skill_triggers!$A$1,0,0,COUNTA(enemy_skill_triggers!$A:$A),MATCH(J$1,enemy_skill_triggers!$1:$1,0)-MATCH($F$1,enemy_skill_triggers!$1:$1,0)+1),MATCH(J$1,enemy_skill_triggers!$1:$1,0)-MATCH($F$1,enemy_skill_triggers!$1:$1,0)+1,FALSE)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6" s="48" t="str">
        <f ca="1">VLOOKUP($F396,OFFSET(enemy_skill_triggers!$A$1,0,0,COUNTA(enemy_skill_triggers!$A:$A),MATCH(K$1,enemy_skill_triggers!$1:$1,0)-MATCH($F$1,enemy_skill_triggers!$1:$1,0)+1),MATCH(K$1,enemy_skill_triggers!$1:$1,0)-MATCH($F$1,enemy_skill_triggers!$1:$1,0)+1,FALSE)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6" s="48">
        <f ca="1">VLOOKUP($F396,OFFSET(enemy_skill_triggers!$A$1,0,0,COUNTA(enemy_skill_triggers!$A:$A),MATCH(L$1,enemy_skill_triggers!$1:$1,0)-MATCH($F$1,enemy_skill_triggers!$1:$1,0)+1),MATCH(L$1,enemy_skill_triggers!$1:$1,0)-MATCH($F$1,enemy_skill_triggers!$1:$1,0)+1,FALSE)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6" s="48" t="str">
        <f ca="1">VLOOKUP($F396,OFFSET(enemy_skill_triggers!$A$1,0,0,COUNTA(enemy_skill_triggers!$A:$A),MATCH(M$1,enemy_skill_triggers!$1:$1,0)-MATCH($F$1,enemy_skill_triggers!$1:$1,0)+1),MATCH(M$1,enemy_skill_triggers!$1:$1,0)-MATCH($F$1,enemy_skill_triggers!$1:$1,0)+1,FALSE)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6" s="48">
        <f ca="1">VLOOKUP($F396,OFFSET(enemy_skill_triggers!$A$1,0,0,COUNTA(enemy_skill_triggers!$A:$A),MATCH(N$1,enemy_skill_triggers!$1:$1,0)-MATCH($F$1,enemy_skill_triggers!$1:$1,0)+1),MATCH(N$1,enemy_skill_triggers!$1:$1,0)-MATCH($F$1,enemy_skill_triggers!$1:$1,0)+1,FALSE)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396" s="48">
        <f ca="1">VLOOKUP($F396,OFFSET(enemy_skill_triggers!$A$1,0,0,COUNTA(enemy_skill_triggers!$A:$A),MATCH(O$1,enemy_skill_triggers!$1:$1,0)-MATCH($F$1,enemy_skill_triggers!$1:$1,0)+1),MATCH(O$1,enemy_skill_triggers!$1:$1,0)-MATCH($F$1,enemy_skill_triggers!$1:$1,0)+1,FALSE)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6" s="47"/>
      <c r="Q396" s="47"/>
      <c r="R396" s="47"/>
    </row>
    <row r="397" spans="1:18" ht="21" customHeight="1" x14ac:dyDescent="0.15">
      <c r="A397" s="39" t="str">
        <f t="shared" si="18"/>
        <v>39009021_39009019</v>
      </c>
      <c r="B397" s="129">
        <v>39009021</v>
      </c>
      <c r="C397" s="142">
        <v>39009019</v>
      </c>
      <c r="D397" s="46" t="str">
        <f ca="1">VLOOKUP($C397,OFFSET(enemy_skills!$A$1,0,0,COUNTA(enemy_skills!$A:$A),MATCH(D$1,enemy_skills!$1:$1,0)-MATCH("enemy_skill_id",enemy_skills!$1:$1,0)+1),MATCH(D$1,enemy_skills!$1:$1,0)-MATCH("enemy_skill_id",enemy_skills!$1:$1,0)+1,FALSE)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7" s="46" t="str">
        <f ca="1">VLOOKUP($C397,OFFSET(enemy_skills!$A$1,0,0,COUNTA(enemy_skills!$A:$A),MATCH(E$1,enemy_skills!$1:$1,0)-MATCH("enemy_skill_id",enemy_skills!$1:$1,0)+1),MATCH(E$1,enemy_skills!$1:$1,0)-MATCH("enemy_skill_id",enemy_skills!$1:$1,0)+1,FALSE)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7" s="47">
        <v>39009144</v>
      </c>
      <c r="G397" s="48">
        <f ca="1">VLOOKUP($F397,OFFSET(enemy_skill_triggers!$A$1,0,0,COUNTA(enemy_skill_triggers!$A:$A),MATCH(G$1,enemy_skill_triggers!$1:$1,0)-MATCH($F$1,enemy_skill_triggers!$1:$1,0)+1),MATCH(G$1,enemy_skill_triggers!$1:$1,0)-MATCH($F$1,enemy_skill_triggers!$1:$1,0)+1,FALSE)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7" s="48">
        <f ca="1">VLOOKUP($F397,OFFSET(enemy_skill_triggers!$A$1,0,0,COUNTA(enemy_skill_triggers!$A:$A),MATCH(H$1,enemy_skill_triggers!$1:$1,0)-MATCH($F$1,enemy_skill_triggers!$1:$1,0)+1),MATCH(H$1,enemy_skill_triggers!$1:$1,0)-MATCH($F$1,enemy_skill_triggers!$1:$1,0)+1,FALSE)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397" s="48">
        <f ca="1">VLOOKUP($F397,OFFSET(enemy_skill_triggers!$A$1,0,0,COUNTA(enemy_skill_triggers!$A:$A),MATCH(I$1,enemy_skill_triggers!$1:$1,0)-MATCH($F$1,enemy_skill_triggers!$1:$1,0)+1),MATCH(I$1,enemy_skill_triggers!$1:$1,0)-MATCH($F$1,enemy_skill_triggers!$1:$1,0)+1,FALSE)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7" s="48" t="str">
        <f ca="1">VLOOKUP($F397,OFFSET(enemy_skill_triggers!$A$1,0,0,COUNTA(enemy_skill_triggers!$A:$A),MATCH(J$1,enemy_skill_triggers!$1:$1,0)-MATCH($F$1,enemy_skill_triggers!$1:$1,0)+1),MATCH(J$1,enemy_skill_triggers!$1:$1,0)-MATCH($F$1,enemy_skill_triggers!$1:$1,0)+1,FALSE)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7" s="48" t="str">
        <f ca="1">VLOOKUP($F397,OFFSET(enemy_skill_triggers!$A$1,0,0,COUNTA(enemy_skill_triggers!$A:$A),MATCH(K$1,enemy_skill_triggers!$1:$1,0)-MATCH($F$1,enemy_skill_triggers!$1:$1,0)+1),MATCH(K$1,enemy_skill_triggers!$1:$1,0)-MATCH($F$1,enemy_skill_triggers!$1:$1,0)+1,FALSE)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7" s="48">
        <f ca="1">VLOOKUP($F397,OFFSET(enemy_skill_triggers!$A$1,0,0,COUNTA(enemy_skill_triggers!$A:$A),MATCH(L$1,enemy_skill_triggers!$1:$1,0)-MATCH($F$1,enemy_skill_triggers!$1:$1,0)+1),MATCH(L$1,enemy_skill_triggers!$1:$1,0)-MATCH($F$1,enemy_skill_triggers!$1:$1,0)+1,FALSE)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7" s="48" t="str">
        <f ca="1">VLOOKUP($F397,OFFSET(enemy_skill_triggers!$A$1,0,0,COUNTA(enemy_skill_triggers!$A:$A),MATCH(M$1,enemy_skill_triggers!$1:$1,0)-MATCH($F$1,enemy_skill_triggers!$1:$1,0)+1),MATCH(M$1,enemy_skill_triggers!$1:$1,0)-MATCH($F$1,enemy_skill_triggers!$1:$1,0)+1,FALSE)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7" s="48">
        <f ca="1">VLOOKUP($F397,OFFSET(enemy_skill_triggers!$A$1,0,0,COUNTA(enemy_skill_triggers!$A:$A),MATCH(N$1,enemy_skill_triggers!$1:$1,0)-MATCH($F$1,enemy_skill_triggers!$1:$1,0)+1),MATCH(N$1,enemy_skill_triggers!$1:$1,0)-MATCH($F$1,enemy_skill_triggers!$1:$1,0)+1,FALSE)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397" s="48">
        <f ca="1">VLOOKUP($F397,OFFSET(enemy_skill_triggers!$A$1,0,0,COUNTA(enemy_skill_triggers!$A:$A),MATCH(O$1,enemy_skill_triggers!$1:$1,0)-MATCH($F$1,enemy_skill_triggers!$1:$1,0)+1),MATCH(O$1,enemy_skill_triggers!$1:$1,0)-MATCH($F$1,enemy_skill_triggers!$1:$1,0)+1,FALSE)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7" s="47"/>
      <c r="Q397" s="47"/>
      <c r="R397" s="47"/>
    </row>
    <row r="398" spans="1:18" ht="21" customHeight="1" x14ac:dyDescent="0.15">
      <c r="A398" s="39" t="str">
        <f t="shared" si="18"/>
        <v>39009021_39009019</v>
      </c>
      <c r="B398" s="129">
        <v>39009021</v>
      </c>
      <c r="C398" s="142">
        <v>39009019</v>
      </c>
      <c r="D398" s="46" t="str">
        <f ca="1">VLOOKUP($C398,OFFSET(enemy_skills!$A$1,0,0,COUNTA(enemy_skills!$A:$A),MATCH(D$1,enemy_skills!$1:$1,0)-MATCH("enemy_skill_id",enemy_skills!$1:$1,0)+1),MATCH(D$1,enemy_skills!$1:$1,0)-MATCH("enemy_skill_id",enemy_skills!$1:$1,0)+1,FALSE)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8" s="46" t="str">
        <f ca="1">VLOOKUP($C398,OFFSET(enemy_skills!$A$1,0,0,COUNTA(enemy_skills!$A:$A),MATCH(E$1,enemy_skills!$1:$1,0)-MATCH("enemy_skill_id",enemy_skills!$1:$1,0)+1),MATCH(E$1,enemy_skills!$1:$1,0)-MATCH("enemy_skill_id",enemy_skills!$1:$1,0)+1,FALSE)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8" s="47">
        <v>39009145</v>
      </c>
      <c r="G398" s="48">
        <f ca="1">VLOOKUP($F398,OFFSET(enemy_skill_triggers!$A$1,0,0,COUNTA(enemy_skill_triggers!$A:$A),MATCH(G$1,enemy_skill_triggers!$1:$1,0)-MATCH($F$1,enemy_skill_triggers!$1:$1,0)+1),MATCH(G$1,enemy_skill_triggers!$1:$1,0)-MATCH($F$1,enemy_skill_triggers!$1:$1,0)+1,FALSE)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8" s="48">
        <f ca="1">VLOOKUP($F398,OFFSET(enemy_skill_triggers!$A$1,0,0,COUNTA(enemy_skill_triggers!$A:$A),MATCH(H$1,enemy_skill_triggers!$1:$1,0)-MATCH($F$1,enemy_skill_triggers!$1:$1,0)+1),MATCH(H$1,enemy_skill_triggers!$1:$1,0)-MATCH($F$1,enemy_skill_triggers!$1:$1,0)+1,FALSE)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398" s="48">
        <f ca="1">VLOOKUP($F398,OFFSET(enemy_skill_triggers!$A$1,0,0,COUNTA(enemy_skill_triggers!$A:$A),MATCH(I$1,enemy_skill_triggers!$1:$1,0)-MATCH($F$1,enemy_skill_triggers!$1:$1,0)+1),MATCH(I$1,enemy_skill_triggers!$1:$1,0)-MATCH($F$1,enemy_skill_triggers!$1:$1,0)+1,FALSE)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8" s="48" t="str">
        <f ca="1">VLOOKUP($F398,OFFSET(enemy_skill_triggers!$A$1,0,0,COUNTA(enemy_skill_triggers!$A:$A),MATCH(J$1,enemy_skill_triggers!$1:$1,0)-MATCH($F$1,enemy_skill_triggers!$1:$1,0)+1),MATCH(J$1,enemy_skill_triggers!$1:$1,0)-MATCH($F$1,enemy_skill_triggers!$1:$1,0)+1,FALSE)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8" s="48" t="str">
        <f ca="1">VLOOKUP($F398,OFFSET(enemy_skill_triggers!$A$1,0,0,COUNTA(enemy_skill_triggers!$A:$A),MATCH(K$1,enemy_skill_triggers!$1:$1,0)-MATCH($F$1,enemy_skill_triggers!$1:$1,0)+1),MATCH(K$1,enemy_skill_triggers!$1:$1,0)-MATCH($F$1,enemy_skill_triggers!$1:$1,0)+1,FALSE)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8" s="48">
        <f ca="1">VLOOKUP($F398,OFFSET(enemy_skill_triggers!$A$1,0,0,COUNTA(enemy_skill_triggers!$A:$A),MATCH(L$1,enemy_skill_triggers!$1:$1,0)-MATCH($F$1,enemy_skill_triggers!$1:$1,0)+1),MATCH(L$1,enemy_skill_triggers!$1:$1,0)-MATCH($F$1,enemy_skill_triggers!$1:$1,0)+1,FALSE)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8" s="48" t="str">
        <f ca="1">VLOOKUP($F398,OFFSET(enemy_skill_triggers!$A$1,0,0,COUNTA(enemy_skill_triggers!$A:$A),MATCH(M$1,enemy_skill_triggers!$1:$1,0)-MATCH($F$1,enemy_skill_triggers!$1:$1,0)+1),MATCH(M$1,enemy_skill_triggers!$1:$1,0)-MATCH($F$1,enemy_skill_triggers!$1:$1,0)+1,FALSE)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8" s="48">
        <f ca="1">VLOOKUP($F398,OFFSET(enemy_skill_triggers!$A$1,0,0,COUNTA(enemy_skill_triggers!$A:$A),MATCH(N$1,enemy_skill_triggers!$1:$1,0)-MATCH($F$1,enemy_skill_triggers!$1:$1,0)+1),MATCH(N$1,enemy_skill_triggers!$1:$1,0)-MATCH($F$1,enemy_skill_triggers!$1:$1,0)+1,FALSE)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98" s="48">
        <f ca="1">VLOOKUP($F398,OFFSET(enemy_skill_triggers!$A$1,0,0,COUNTA(enemy_skill_triggers!$A:$A),MATCH(O$1,enemy_skill_triggers!$1:$1,0)-MATCH($F$1,enemy_skill_triggers!$1:$1,0)+1),MATCH(O$1,enemy_skill_triggers!$1:$1,0)-MATCH($F$1,enemy_skill_triggers!$1:$1,0)+1,FALSE)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8" s="47"/>
      <c r="Q398" s="47"/>
      <c r="R398" s="47"/>
    </row>
    <row r="399" spans="1:18" ht="21" customHeight="1" x14ac:dyDescent="0.15">
      <c r="A399" s="39" t="str">
        <f t="shared" si="18"/>
        <v>39009021_39009019</v>
      </c>
      <c r="B399" s="129">
        <v>39009021</v>
      </c>
      <c r="C399" s="142">
        <v>39009019</v>
      </c>
      <c r="D399" s="46" t="str">
        <f ca="1">VLOOKUP($C399,OFFSET(enemy_skills!$A$1,0,0,COUNTA(enemy_skills!$A:$A),MATCH(D$1,enemy_skills!$1:$1,0)-MATCH("enemy_skill_id",enemy_skills!$1:$1,0)+1),MATCH(D$1,enemy_skills!$1:$1,0)-MATCH("enemy_skill_id",enemy_skills!$1:$1,0)+1,FALSE)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399" s="46" t="str">
        <f ca="1">VLOOKUP($C399,OFFSET(enemy_skills!$A$1,0,0,COUNTA(enemy_skills!$A:$A),MATCH(E$1,enemy_skills!$1:$1,0)-MATCH("enemy_skill_id",enemy_skills!$1:$1,0)+1),MATCH(E$1,enemy_skills!$1:$1,0)-MATCH("enemy_skill_id",enemy_skills!$1:$1,0)+1,FALSE)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399" s="47">
        <v>39009146</v>
      </c>
      <c r="G399" s="48">
        <f ca="1">VLOOKUP($F399,OFFSET(enemy_skill_triggers!$A$1,0,0,COUNTA(enemy_skill_triggers!$A:$A),MATCH(G$1,enemy_skill_triggers!$1:$1,0)-MATCH($F$1,enemy_skill_triggers!$1:$1,0)+1),MATCH(G$1,enemy_skill_triggers!$1:$1,0)-MATCH($F$1,enemy_skill_triggers!$1:$1,0)+1,FALSE)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9" s="48">
        <f ca="1">VLOOKUP($F399,OFFSET(enemy_skill_triggers!$A$1,0,0,COUNTA(enemy_skill_triggers!$A:$A),MATCH(H$1,enemy_skill_triggers!$1:$1,0)-MATCH($F$1,enemy_skill_triggers!$1:$1,0)+1),MATCH(H$1,enemy_skill_triggers!$1:$1,0)-MATCH($F$1,enemy_skill_triggers!$1:$1,0)+1,FALSE)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399" s="48">
        <f ca="1">VLOOKUP($F399,OFFSET(enemy_skill_triggers!$A$1,0,0,COUNTA(enemy_skill_triggers!$A:$A),MATCH(I$1,enemy_skill_triggers!$1:$1,0)-MATCH($F$1,enemy_skill_triggers!$1:$1,0)+1),MATCH(I$1,enemy_skill_triggers!$1:$1,0)-MATCH($F$1,enemy_skill_triggers!$1:$1,0)+1,FALSE)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9" s="48" t="str">
        <f ca="1">VLOOKUP($F399,OFFSET(enemy_skill_triggers!$A$1,0,0,COUNTA(enemy_skill_triggers!$A:$A),MATCH(J$1,enemy_skill_triggers!$1:$1,0)-MATCH($F$1,enemy_skill_triggers!$1:$1,0)+1),MATCH(J$1,enemy_skill_triggers!$1:$1,0)-MATCH($F$1,enemy_skill_triggers!$1:$1,0)+1,FALSE)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9" s="48" t="str">
        <f ca="1">VLOOKUP($F399,OFFSET(enemy_skill_triggers!$A$1,0,0,COUNTA(enemy_skill_triggers!$A:$A),MATCH(K$1,enemy_skill_triggers!$1:$1,0)-MATCH($F$1,enemy_skill_triggers!$1:$1,0)+1),MATCH(K$1,enemy_skill_triggers!$1:$1,0)-MATCH($F$1,enemy_skill_triggers!$1:$1,0)+1,FALSE)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9" s="48">
        <f ca="1">VLOOKUP($F399,OFFSET(enemy_skill_triggers!$A$1,0,0,COUNTA(enemy_skill_triggers!$A:$A),MATCH(L$1,enemy_skill_triggers!$1:$1,0)-MATCH($F$1,enemy_skill_triggers!$1:$1,0)+1),MATCH(L$1,enemy_skill_triggers!$1:$1,0)-MATCH($F$1,enemy_skill_triggers!$1:$1,0)+1,FALSE)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9" s="48" t="str">
        <f ca="1">VLOOKUP($F399,OFFSET(enemy_skill_triggers!$A$1,0,0,COUNTA(enemy_skill_triggers!$A:$A),MATCH(M$1,enemy_skill_triggers!$1:$1,0)-MATCH($F$1,enemy_skill_triggers!$1:$1,0)+1),MATCH(M$1,enemy_skill_triggers!$1:$1,0)-MATCH($F$1,enemy_skill_triggers!$1:$1,0)+1,FALSE)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9" s="48">
        <f ca="1">VLOOKUP($F399,OFFSET(enemy_skill_triggers!$A$1,0,0,COUNTA(enemy_skill_triggers!$A:$A),MATCH(N$1,enemy_skill_triggers!$1:$1,0)-MATCH($F$1,enemy_skill_triggers!$1:$1,0)+1),MATCH(N$1,enemy_skill_triggers!$1:$1,0)-MATCH($F$1,enemy_skill_triggers!$1:$1,0)+1,FALSE)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99" s="48">
        <f ca="1">VLOOKUP($F399,OFFSET(enemy_skill_triggers!$A$1,0,0,COUNTA(enemy_skill_triggers!$A:$A),MATCH(O$1,enemy_skill_triggers!$1:$1,0)-MATCH($F$1,enemy_skill_triggers!$1:$1,0)+1),MATCH(O$1,enemy_skill_triggers!$1:$1,0)-MATCH($F$1,enemy_skill_triggers!$1:$1,0)+1,FALSE)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9" s="47"/>
      <c r="Q399" s="47"/>
      <c r="R399" s="47"/>
    </row>
    <row r="400" spans="1:18" ht="21" customHeight="1" x14ac:dyDescent="0.15">
      <c r="A400" s="39" t="str">
        <f t="shared" si="18"/>
        <v>39009021_39009019</v>
      </c>
      <c r="B400" s="129">
        <v>39009021</v>
      </c>
      <c r="C400" s="142">
        <v>39009019</v>
      </c>
      <c r="D400" s="46" t="str">
        <f ca="1">VLOOKUP($C400,OFFSET(enemy_skills!$A$1,0,0,COUNTA(enemy_skills!$A:$A),MATCH(D$1,enemy_skills!$1:$1,0)-MATCH("enemy_skill_id",enemy_skills!$1:$1,0)+1),MATCH(D$1,enemy_skills!$1:$1,0)-MATCH("enemy_skill_id",enemy_skills!$1:$1,0)+1,FALSE)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0" s="46" t="str">
        <f ca="1">VLOOKUP($C400,OFFSET(enemy_skills!$A$1,0,0,COUNTA(enemy_skills!$A:$A),MATCH(E$1,enemy_skills!$1:$1,0)-MATCH("enemy_skill_id",enemy_skills!$1:$1,0)+1),MATCH(E$1,enemy_skills!$1:$1,0)-MATCH("enemy_skill_id",enemy_skills!$1:$1,0)+1,FALSE)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0" s="47">
        <v>39009147</v>
      </c>
      <c r="G400" s="48">
        <f ca="1">VLOOKUP($F400,OFFSET(enemy_skill_triggers!$A$1,0,0,COUNTA(enemy_skill_triggers!$A:$A),MATCH(G$1,enemy_skill_triggers!$1:$1,0)-MATCH($F$1,enemy_skill_triggers!$1:$1,0)+1),MATCH(G$1,enemy_skill_triggers!$1:$1,0)-MATCH($F$1,enemy_skill_triggers!$1:$1,0)+1,FALSE)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0" s="48">
        <f ca="1">VLOOKUP($F400,OFFSET(enemy_skill_triggers!$A$1,0,0,COUNTA(enemy_skill_triggers!$A:$A),MATCH(H$1,enemy_skill_triggers!$1:$1,0)-MATCH($F$1,enemy_skill_triggers!$1:$1,0)+1),MATCH(H$1,enemy_skill_triggers!$1:$1,0)-MATCH($F$1,enemy_skill_triggers!$1:$1,0)+1,FALSE)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400" s="48">
        <f ca="1">VLOOKUP($F400,OFFSET(enemy_skill_triggers!$A$1,0,0,COUNTA(enemy_skill_triggers!$A:$A),MATCH(I$1,enemy_skill_triggers!$1:$1,0)-MATCH($F$1,enemy_skill_triggers!$1:$1,0)+1),MATCH(I$1,enemy_skill_triggers!$1:$1,0)-MATCH($F$1,enemy_skill_triggers!$1:$1,0)+1,FALSE)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0" s="48" t="str">
        <f ca="1">VLOOKUP($F400,OFFSET(enemy_skill_triggers!$A$1,0,0,COUNTA(enemy_skill_triggers!$A:$A),MATCH(J$1,enemy_skill_triggers!$1:$1,0)-MATCH($F$1,enemy_skill_triggers!$1:$1,0)+1),MATCH(J$1,enemy_skill_triggers!$1:$1,0)-MATCH($F$1,enemy_skill_triggers!$1:$1,0)+1,FALSE)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0" s="48" t="str">
        <f ca="1">VLOOKUP($F400,OFFSET(enemy_skill_triggers!$A$1,0,0,COUNTA(enemy_skill_triggers!$A:$A),MATCH(K$1,enemy_skill_triggers!$1:$1,0)-MATCH($F$1,enemy_skill_triggers!$1:$1,0)+1),MATCH(K$1,enemy_skill_triggers!$1:$1,0)-MATCH($F$1,enemy_skill_triggers!$1:$1,0)+1,FALSE)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0" s="48">
        <f ca="1">VLOOKUP($F400,OFFSET(enemy_skill_triggers!$A$1,0,0,COUNTA(enemy_skill_triggers!$A:$A),MATCH(L$1,enemy_skill_triggers!$1:$1,0)-MATCH($F$1,enemy_skill_triggers!$1:$1,0)+1),MATCH(L$1,enemy_skill_triggers!$1:$1,0)-MATCH($F$1,enemy_skill_triggers!$1:$1,0)+1,FALSE)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0" s="48" t="str">
        <f ca="1">VLOOKUP($F400,OFFSET(enemy_skill_triggers!$A$1,0,0,COUNTA(enemy_skill_triggers!$A:$A),MATCH(M$1,enemy_skill_triggers!$1:$1,0)-MATCH($F$1,enemy_skill_triggers!$1:$1,0)+1),MATCH(M$1,enemy_skill_triggers!$1:$1,0)-MATCH($F$1,enemy_skill_triggers!$1:$1,0)+1,FALSE)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0" s="48">
        <f ca="1">VLOOKUP($F400,OFFSET(enemy_skill_triggers!$A$1,0,0,COUNTA(enemy_skill_triggers!$A:$A),MATCH(N$1,enemy_skill_triggers!$1:$1,0)-MATCH($F$1,enemy_skill_triggers!$1:$1,0)+1),MATCH(N$1,enemy_skill_triggers!$1:$1,0)-MATCH($F$1,enemy_skill_triggers!$1:$1,0)+1,FALSE)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400" s="48">
        <f ca="1">VLOOKUP($F400,OFFSET(enemy_skill_triggers!$A$1,0,0,COUNTA(enemy_skill_triggers!$A:$A),MATCH(O$1,enemy_skill_triggers!$1:$1,0)-MATCH($F$1,enemy_skill_triggers!$1:$1,0)+1),MATCH(O$1,enemy_skill_triggers!$1:$1,0)-MATCH($F$1,enemy_skill_triggers!$1:$1,0)+1,FALSE)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0" s="47"/>
      <c r="Q400" s="47"/>
      <c r="R400" s="47"/>
    </row>
    <row r="401" spans="1:18" ht="21" customHeight="1" x14ac:dyDescent="0.15">
      <c r="A401" s="39" t="str">
        <f t="shared" si="18"/>
        <v>39009021_39009019</v>
      </c>
      <c r="B401" s="129">
        <v>39009021</v>
      </c>
      <c r="C401" s="142">
        <v>39009019</v>
      </c>
      <c r="D401" s="46" t="str">
        <f ca="1">VLOOKUP($C401,OFFSET(enemy_skills!$A$1,0,0,COUNTA(enemy_skills!$A:$A),MATCH(D$1,enemy_skills!$1:$1,0)-MATCH("enemy_skill_id",enemy_skills!$1:$1,0)+1),MATCH(D$1,enemy_skills!$1:$1,0)-MATCH("enemy_skill_id",enemy_skills!$1:$1,0)+1,FALSE)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1" s="46" t="str">
        <f ca="1">VLOOKUP($C401,OFFSET(enemy_skills!$A$1,0,0,COUNTA(enemy_skills!$A:$A),MATCH(E$1,enemy_skills!$1:$1,0)-MATCH("enemy_skill_id",enemy_skills!$1:$1,0)+1),MATCH(E$1,enemy_skills!$1:$1,0)-MATCH("enemy_skill_id",enemy_skills!$1:$1,0)+1,FALSE)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1" s="47">
        <v>39009148</v>
      </c>
      <c r="G401" s="48">
        <f ca="1">VLOOKUP($F401,OFFSET(enemy_skill_triggers!$A$1,0,0,COUNTA(enemy_skill_triggers!$A:$A),MATCH(G$1,enemy_skill_triggers!$1:$1,0)-MATCH($F$1,enemy_skill_triggers!$1:$1,0)+1),MATCH(G$1,enemy_skill_triggers!$1:$1,0)-MATCH($F$1,enemy_skill_triggers!$1:$1,0)+1,FALSE)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1" s="48">
        <f ca="1">VLOOKUP($F401,OFFSET(enemy_skill_triggers!$A$1,0,0,COUNTA(enemy_skill_triggers!$A:$A),MATCH(H$1,enemy_skill_triggers!$1:$1,0)-MATCH($F$1,enemy_skill_triggers!$1:$1,0)+1),MATCH(H$1,enemy_skill_triggers!$1:$1,0)-MATCH($F$1,enemy_skill_triggers!$1:$1,0)+1,FALSE)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401" s="48">
        <f ca="1">VLOOKUP($F401,OFFSET(enemy_skill_triggers!$A$1,0,0,COUNTA(enemy_skill_triggers!$A:$A),MATCH(I$1,enemy_skill_triggers!$1:$1,0)-MATCH($F$1,enemy_skill_triggers!$1:$1,0)+1),MATCH(I$1,enemy_skill_triggers!$1:$1,0)-MATCH($F$1,enemy_skill_triggers!$1:$1,0)+1,FALSE)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1" s="48" t="str">
        <f ca="1">VLOOKUP($F401,OFFSET(enemy_skill_triggers!$A$1,0,0,COUNTA(enemy_skill_triggers!$A:$A),MATCH(J$1,enemy_skill_triggers!$1:$1,0)-MATCH($F$1,enemy_skill_triggers!$1:$1,0)+1),MATCH(J$1,enemy_skill_triggers!$1:$1,0)-MATCH($F$1,enemy_skill_triggers!$1:$1,0)+1,FALSE)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1" s="48" t="str">
        <f ca="1">VLOOKUP($F401,OFFSET(enemy_skill_triggers!$A$1,0,0,COUNTA(enemy_skill_triggers!$A:$A),MATCH(K$1,enemy_skill_triggers!$1:$1,0)-MATCH($F$1,enemy_skill_triggers!$1:$1,0)+1),MATCH(K$1,enemy_skill_triggers!$1:$1,0)-MATCH($F$1,enemy_skill_triggers!$1:$1,0)+1,FALSE)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1" s="48">
        <f ca="1">VLOOKUP($F401,OFFSET(enemy_skill_triggers!$A$1,0,0,COUNTA(enemy_skill_triggers!$A:$A),MATCH(L$1,enemy_skill_triggers!$1:$1,0)-MATCH($F$1,enemy_skill_triggers!$1:$1,0)+1),MATCH(L$1,enemy_skill_triggers!$1:$1,0)-MATCH($F$1,enemy_skill_triggers!$1:$1,0)+1,FALSE)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1" s="48" t="str">
        <f ca="1">VLOOKUP($F401,OFFSET(enemy_skill_triggers!$A$1,0,0,COUNTA(enemy_skill_triggers!$A:$A),MATCH(M$1,enemy_skill_triggers!$1:$1,0)-MATCH($F$1,enemy_skill_triggers!$1:$1,0)+1),MATCH(M$1,enemy_skill_triggers!$1:$1,0)-MATCH($F$1,enemy_skill_triggers!$1:$1,0)+1,FALSE)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1" s="48">
        <f ca="1">VLOOKUP($F401,OFFSET(enemy_skill_triggers!$A$1,0,0,COUNTA(enemy_skill_triggers!$A:$A),MATCH(N$1,enemy_skill_triggers!$1:$1,0)-MATCH($F$1,enemy_skill_triggers!$1:$1,0)+1),MATCH(N$1,enemy_skill_triggers!$1:$1,0)-MATCH($F$1,enemy_skill_triggers!$1:$1,0)+1,FALSE)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401" s="48">
        <f ca="1">VLOOKUP($F401,OFFSET(enemy_skill_triggers!$A$1,0,0,COUNTA(enemy_skill_triggers!$A:$A),MATCH(O$1,enemy_skill_triggers!$1:$1,0)-MATCH($F$1,enemy_skill_triggers!$1:$1,0)+1),MATCH(O$1,enemy_skill_triggers!$1:$1,0)-MATCH($F$1,enemy_skill_triggers!$1:$1,0)+1,FALSE)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1" s="47"/>
      <c r="Q401" s="47"/>
      <c r="R401" s="47"/>
    </row>
    <row r="402" spans="1:18" ht="21" customHeight="1" x14ac:dyDescent="0.15">
      <c r="A402" s="39" t="str">
        <f t="shared" si="18"/>
        <v>39009021_39009019</v>
      </c>
      <c r="B402" s="129">
        <v>39009021</v>
      </c>
      <c r="C402" s="142">
        <v>39009019</v>
      </c>
      <c r="D402" s="46" t="str">
        <f ca="1">VLOOKUP($C402,OFFSET(enemy_skills!$A$1,0,0,COUNTA(enemy_skills!$A:$A),MATCH(D$1,enemy_skills!$1:$1,0)-MATCH("enemy_skill_id",enemy_skills!$1:$1,0)+1),MATCH(D$1,enemy_skills!$1:$1,0)-MATCH("enemy_skill_id",enemy_skills!$1:$1,0)+1,FALSE)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2" s="46" t="str">
        <f ca="1">VLOOKUP($C402,OFFSET(enemy_skills!$A$1,0,0,COUNTA(enemy_skills!$A:$A),MATCH(E$1,enemy_skills!$1:$1,0)-MATCH("enemy_skill_id",enemy_skills!$1:$1,0)+1),MATCH(E$1,enemy_skills!$1:$1,0)-MATCH("enemy_skill_id",enemy_skills!$1:$1,0)+1,FALSE)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2" s="47">
        <v>39009149</v>
      </c>
      <c r="G402" s="48">
        <f ca="1">VLOOKUP($F402,OFFSET(enemy_skill_triggers!$A$1,0,0,COUNTA(enemy_skill_triggers!$A:$A),MATCH(G$1,enemy_skill_triggers!$1:$1,0)-MATCH($F$1,enemy_skill_triggers!$1:$1,0)+1),MATCH(G$1,enemy_skill_triggers!$1:$1,0)-MATCH($F$1,enemy_skill_triggers!$1:$1,0)+1,FALSE)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2" s="48">
        <f ca="1">VLOOKUP($F402,OFFSET(enemy_skill_triggers!$A$1,0,0,COUNTA(enemy_skill_triggers!$A:$A),MATCH(H$1,enemy_skill_triggers!$1:$1,0)-MATCH($F$1,enemy_skill_triggers!$1:$1,0)+1),MATCH(H$1,enemy_skill_triggers!$1:$1,0)-MATCH($F$1,enemy_skill_triggers!$1:$1,0)+1,FALSE)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402" s="48">
        <f ca="1">VLOOKUP($F402,OFFSET(enemy_skill_triggers!$A$1,0,0,COUNTA(enemy_skill_triggers!$A:$A),MATCH(I$1,enemy_skill_triggers!$1:$1,0)-MATCH($F$1,enemy_skill_triggers!$1:$1,0)+1),MATCH(I$1,enemy_skill_triggers!$1:$1,0)-MATCH($F$1,enemy_skill_triggers!$1:$1,0)+1,FALSE)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2" s="48" t="str">
        <f ca="1">VLOOKUP($F402,OFFSET(enemy_skill_triggers!$A$1,0,0,COUNTA(enemy_skill_triggers!$A:$A),MATCH(J$1,enemy_skill_triggers!$1:$1,0)-MATCH($F$1,enemy_skill_triggers!$1:$1,0)+1),MATCH(J$1,enemy_skill_triggers!$1:$1,0)-MATCH($F$1,enemy_skill_triggers!$1:$1,0)+1,FALSE)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2" s="48" t="str">
        <f ca="1">VLOOKUP($F402,OFFSET(enemy_skill_triggers!$A$1,0,0,COUNTA(enemy_skill_triggers!$A:$A),MATCH(K$1,enemy_skill_triggers!$1:$1,0)-MATCH($F$1,enemy_skill_triggers!$1:$1,0)+1),MATCH(K$1,enemy_skill_triggers!$1:$1,0)-MATCH($F$1,enemy_skill_triggers!$1:$1,0)+1,FALSE)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2" s="48">
        <f ca="1">VLOOKUP($F402,OFFSET(enemy_skill_triggers!$A$1,0,0,COUNTA(enemy_skill_triggers!$A:$A),MATCH(L$1,enemy_skill_triggers!$1:$1,0)-MATCH($F$1,enemy_skill_triggers!$1:$1,0)+1),MATCH(L$1,enemy_skill_triggers!$1:$1,0)-MATCH($F$1,enemy_skill_triggers!$1:$1,0)+1,FALSE)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2" s="48" t="str">
        <f ca="1">VLOOKUP($F402,OFFSET(enemy_skill_triggers!$A$1,0,0,COUNTA(enemy_skill_triggers!$A:$A),MATCH(M$1,enemy_skill_triggers!$1:$1,0)-MATCH($F$1,enemy_skill_triggers!$1:$1,0)+1),MATCH(M$1,enemy_skill_triggers!$1:$1,0)-MATCH($F$1,enemy_skill_triggers!$1:$1,0)+1,FALSE)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2" s="48">
        <f ca="1">VLOOKUP($F402,OFFSET(enemy_skill_triggers!$A$1,0,0,COUNTA(enemy_skill_triggers!$A:$A),MATCH(N$1,enemy_skill_triggers!$1:$1,0)-MATCH($F$1,enemy_skill_triggers!$1:$1,0)+1),MATCH(N$1,enemy_skill_triggers!$1:$1,0)-MATCH($F$1,enemy_skill_triggers!$1:$1,0)+1,FALSE)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02" s="48">
        <f ca="1">VLOOKUP($F402,OFFSET(enemy_skill_triggers!$A$1,0,0,COUNTA(enemy_skill_triggers!$A:$A),MATCH(O$1,enemy_skill_triggers!$1:$1,0)-MATCH($F$1,enemy_skill_triggers!$1:$1,0)+1),MATCH(O$1,enemy_skill_triggers!$1:$1,0)-MATCH($F$1,enemy_skill_triggers!$1:$1,0)+1,FALSE)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2" s="47"/>
      <c r="Q402" s="47"/>
      <c r="R402" s="47"/>
    </row>
    <row r="403" spans="1:18" ht="21" customHeight="1" x14ac:dyDescent="0.15">
      <c r="A403" s="39" t="str">
        <f t="shared" si="18"/>
        <v>39009021_39009019</v>
      </c>
      <c r="B403" s="129">
        <v>39009021</v>
      </c>
      <c r="C403" s="142">
        <v>39009019</v>
      </c>
      <c r="D403" s="46" t="str">
        <f ca="1">VLOOKUP($C403,OFFSET(enemy_skills!$A$1,0,0,COUNTA(enemy_skills!$A:$A),MATCH(D$1,enemy_skills!$1:$1,0)-MATCH("enemy_skill_id",enemy_skills!$1:$1,0)+1),MATCH(D$1,enemy_skills!$1:$1,0)-MATCH("enemy_skill_id",enemy_skills!$1:$1,0)+1,FALSE)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3" s="46" t="str">
        <f ca="1">VLOOKUP($C403,OFFSET(enemy_skills!$A$1,0,0,COUNTA(enemy_skills!$A:$A),MATCH(E$1,enemy_skills!$1:$1,0)-MATCH("enemy_skill_id",enemy_skills!$1:$1,0)+1),MATCH(E$1,enemy_skills!$1:$1,0)-MATCH("enemy_skill_id",enemy_skills!$1:$1,0)+1,FALSE)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3" s="47">
        <v>39009150</v>
      </c>
      <c r="G403" s="48">
        <f ca="1">VLOOKUP($F403,OFFSET(enemy_skill_triggers!$A$1,0,0,COUNTA(enemy_skill_triggers!$A:$A),MATCH(G$1,enemy_skill_triggers!$1:$1,0)-MATCH($F$1,enemy_skill_triggers!$1:$1,0)+1),MATCH(G$1,enemy_skill_triggers!$1:$1,0)-MATCH($F$1,enemy_skill_triggers!$1:$1,0)+1,FALSE)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3" s="48">
        <f ca="1">VLOOKUP($F403,OFFSET(enemy_skill_triggers!$A$1,0,0,COUNTA(enemy_skill_triggers!$A:$A),MATCH(H$1,enemy_skill_triggers!$1:$1,0)-MATCH($F$1,enemy_skill_triggers!$1:$1,0)+1),MATCH(H$1,enemy_skill_triggers!$1:$1,0)-MATCH($F$1,enemy_skill_triggers!$1:$1,0)+1,FALSE)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403" s="48">
        <f ca="1">VLOOKUP($F403,OFFSET(enemy_skill_triggers!$A$1,0,0,COUNTA(enemy_skill_triggers!$A:$A),MATCH(I$1,enemy_skill_triggers!$1:$1,0)-MATCH($F$1,enemy_skill_triggers!$1:$1,0)+1),MATCH(I$1,enemy_skill_triggers!$1:$1,0)-MATCH($F$1,enemy_skill_triggers!$1:$1,0)+1,FALSE)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3" s="48" t="str">
        <f ca="1">VLOOKUP($F403,OFFSET(enemy_skill_triggers!$A$1,0,0,COUNTA(enemy_skill_triggers!$A:$A),MATCH(J$1,enemy_skill_triggers!$1:$1,0)-MATCH($F$1,enemy_skill_triggers!$1:$1,0)+1),MATCH(J$1,enemy_skill_triggers!$1:$1,0)-MATCH($F$1,enemy_skill_triggers!$1:$1,0)+1,FALSE)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3" s="48" t="str">
        <f ca="1">VLOOKUP($F403,OFFSET(enemy_skill_triggers!$A$1,0,0,COUNTA(enemy_skill_triggers!$A:$A),MATCH(K$1,enemy_skill_triggers!$1:$1,0)-MATCH($F$1,enemy_skill_triggers!$1:$1,0)+1),MATCH(K$1,enemy_skill_triggers!$1:$1,0)-MATCH($F$1,enemy_skill_triggers!$1:$1,0)+1,FALSE)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3" s="48">
        <f ca="1">VLOOKUP($F403,OFFSET(enemy_skill_triggers!$A$1,0,0,COUNTA(enemy_skill_triggers!$A:$A),MATCH(L$1,enemy_skill_triggers!$1:$1,0)-MATCH($F$1,enemy_skill_triggers!$1:$1,0)+1),MATCH(L$1,enemy_skill_triggers!$1:$1,0)-MATCH($F$1,enemy_skill_triggers!$1:$1,0)+1,FALSE)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3" s="48" t="str">
        <f ca="1">VLOOKUP($F403,OFFSET(enemy_skill_triggers!$A$1,0,0,COUNTA(enemy_skill_triggers!$A:$A),MATCH(M$1,enemy_skill_triggers!$1:$1,0)-MATCH($F$1,enemy_skill_triggers!$1:$1,0)+1),MATCH(M$1,enemy_skill_triggers!$1:$1,0)-MATCH($F$1,enemy_skill_triggers!$1:$1,0)+1,FALSE)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3" s="48">
        <f ca="1">VLOOKUP($F403,OFFSET(enemy_skill_triggers!$A$1,0,0,COUNTA(enemy_skill_triggers!$A:$A),MATCH(N$1,enemy_skill_triggers!$1:$1,0)-MATCH($F$1,enemy_skill_triggers!$1:$1,0)+1),MATCH(N$1,enemy_skill_triggers!$1:$1,0)-MATCH($F$1,enemy_skill_triggers!$1:$1,0)+1,FALSE)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403" s="48">
        <f ca="1">VLOOKUP($F403,OFFSET(enemy_skill_triggers!$A$1,0,0,COUNTA(enemy_skill_triggers!$A:$A),MATCH(O$1,enemy_skill_triggers!$1:$1,0)-MATCH($F$1,enemy_skill_triggers!$1:$1,0)+1),MATCH(O$1,enemy_skill_triggers!$1:$1,0)-MATCH($F$1,enemy_skill_triggers!$1:$1,0)+1,FALSE)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3" s="47"/>
      <c r="Q403" s="47"/>
      <c r="R403" s="47"/>
    </row>
    <row r="404" spans="1:18" ht="21" customHeight="1" x14ac:dyDescent="0.15">
      <c r="A404" s="39" t="str">
        <f t="shared" si="18"/>
        <v>39009021_39009019</v>
      </c>
      <c r="B404" s="129">
        <v>39009021</v>
      </c>
      <c r="C404" s="142">
        <v>39009019</v>
      </c>
      <c r="D404" s="46" t="str">
        <f ca="1">VLOOKUP($C404,OFFSET(enemy_skills!$A$1,0,0,COUNTA(enemy_skills!$A:$A),MATCH(D$1,enemy_skills!$1:$1,0)-MATCH("enemy_skill_id",enemy_skills!$1:$1,0)+1),MATCH(D$1,enemy_skills!$1:$1,0)-MATCH("enemy_skill_id",enemy_skills!$1:$1,0)+1,FALSE)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4" s="46" t="str">
        <f ca="1">VLOOKUP($C404,OFFSET(enemy_skills!$A$1,0,0,COUNTA(enemy_skills!$A:$A),MATCH(E$1,enemy_skills!$1:$1,0)-MATCH("enemy_skill_id",enemy_skills!$1:$1,0)+1),MATCH(E$1,enemy_skills!$1:$1,0)-MATCH("enemy_skill_id",enemy_skills!$1:$1,0)+1,FALSE)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4" s="47">
        <v>39009151</v>
      </c>
      <c r="G404" s="48">
        <f ca="1">VLOOKUP($F404,OFFSET(enemy_skill_triggers!$A$1,0,0,COUNTA(enemy_skill_triggers!$A:$A),MATCH(G$1,enemy_skill_triggers!$1:$1,0)-MATCH($F$1,enemy_skill_triggers!$1:$1,0)+1),MATCH(G$1,enemy_skill_triggers!$1:$1,0)-MATCH($F$1,enemy_skill_triggers!$1:$1,0)+1,FALSE)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4" s="48">
        <f ca="1">VLOOKUP($F404,OFFSET(enemy_skill_triggers!$A$1,0,0,COUNTA(enemy_skill_triggers!$A:$A),MATCH(H$1,enemy_skill_triggers!$1:$1,0)-MATCH($F$1,enemy_skill_triggers!$1:$1,0)+1),MATCH(H$1,enemy_skill_triggers!$1:$1,0)-MATCH($F$1,enemy_skill_triggers!$1:$1,0)+1,FALSE)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04" s="48">
        <f ca="1">VLOOKUP($F404,OFFSET(enemy_skill_triggers!$A$1,0,0,COUNTA(enemy_skill_triggers!$A:$A),MATCH(I$1,enemy_skill_triggers!$1:$1,0)-MATCH($F$1,enemy_skill_triggers!$1:$1,0)+1),MATCH(I$1,enemy_skill_triggers!$1:$1,0)-MATCH($F$1,enemy_skill_triggers!$1:$1,0)+1,FALSE)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4" s="48" t="str">
        <f ca="1">VLOOKUP($F404,OFFSET(enemy_skill_triggers!$A$1,0,0,COUNTA(enemy_skill_triggers!$A:$A),MATCH(J$1,enemy_skill_triggers!$1:$1,0)-MATCH($F$1,enemy_skill_triggers!$1:$1,0)+1),MATCH(J$1,enemy_skill_triggers!$1:$1,0)-MATCH($F$1,enemy_skill_triggers!$1:$1,0)+1,FALSE)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4" s="48" t="str">
        <f ca="1">VLOOKUP($F404,OFFSET(enemy_skill_triggers!$A$1,0,0,COUNTA(enemy_skill_triggers!$A:$A),MATCH(K$1,enemy_skill_triggers!$1:$1,0)-MATCH($F$1,enemy_skill_triggers!$1:$1,0)+1),MATCH(K$1,enemy_skill_triggers!$1:$1,0)-MATCH($F$1,enemy_skill_triggers!$1:$1,0)+1,FALSE)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4" s="48">
        <f ca="1">VLOOKUP($F404,OFFSET(enemy_skill_triggers!$A$1,0,0,COUNTA(enemy_skill_triggers!$A:$A),MATCH(L$1,enemy_skill_triggers!$1:$1,0)-MATCH($F$1,enemy_skill_triggers!$1:$1,0)+1),MATCH(L$1,enemy_skill_triggers!$1:$1,0)-MATCH($F$1,enemy_skill_triggers!$1:$1,0)+1,FALSE)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4" s="48" t="str">
        <f ca="1">VLOOKUP($F404,OFFSET(enemy_skill_triggers!$A$1,0,0,COUNTA(enemy_skill_triggers!$A:$A),MATCH(M$1,enemy_skill_triggers!$1:$1,0)-MATCH($F$1,enemy_skill_triggers!$1:$1,0)+1),MATCH(M$1,enemy_skill_triggers!$1:$1,0)-MATCH($F$1,enemy_skill_triggers!$1:$1,0)+1,FALSE)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4" s="48">
        <f ca="1">VLOOKUP($F404,OFFSET(enemy_skill_triggers!$A$1,0,0,COUNTA(enemy_skill_triggers!$A:$A),MATCH(N$1,enemy_skill_triggers!$1:$1,0)-MATCH($F$1,enemy_skill_triggers!$1:$1,0)+1),MATCH(N$1,enemy_skill_triggers!$1:$1,0)-MATCH($F$1,enemy_skill_triggers!$1:$1,0)+1,FALSE)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404" s="48">
        <f ca="1">VLOOKUP($F404,OFFSET(enemy_skill_triggers!$A$1,0,0,COUNTA(enemy_skill_triggers!$A:$A),MATCH(O$1,enemy_skill_triggers!$1:$1,0)-MATCH($F$1,enemy_skill_triggers!$1:$1,0)+1),MATCH(O$1,enemy_skill_triggers!$1:$1,0)-MATCH($F$1,enemy_skill_triggers!$1:$1,0)+1,FALSE)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4" s="47"/>
      <c r="Q404" s="47"/>
      <c r="R404" s="47"/>
    </row>
    <row r="405" spans="1:18" ht="21" customHeight="1" x14ac:dyDescent="0.15">
      <c r="A405" s="39" t="str">
        <f t="shared" si="18"/>
        <v>39009021_39009019</v>
      </c>
      <c r="B405" s="129">
        <v>39009021</v>
      </c>
      <c r="C405" s="142">
        <v>39009019</v>
      </c>
      <c r="D405" s="46" t="str">
        <f ca="1">VLOOKUP($C405,OFFSET(enemy_skills!$A$1,0,0,COUNTA(enemy_skills!$A:$A),MATCH(D$1,enemy_skills!$1:$1,0)-MATCH("enemy_skill_id",enemy_skills!$1:$1,0)+1),MATCH(D$1,enemy_skills!$1:$1,0)-MATCH("enemy_skill_id",enemy_skills!$1:$1,0)+1,FALSE)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5" s="46" t="str">
        <f ca="1">VLOOKUP($C405,OFFSET(enemy_skills!$A$1,0,0,COUNTA(enemy_skills!$A:$A),MATCH(E$1,enemy_skills!$1:$1,0)-MATCH("enemy_skill_id",enemy_skills!$1:$1,0)+1),MATCH(E$1,enemy_skills!$1:$1,0)-MATCH("enemy_skill_id",enemy_skills!$1:$1,0)+1,FALSE)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5" s="47">
        <v>39009152</v>
      </c>
      <c r="G405" s="48">
        <f ca="1">VLOOKUP($F405,OFFSET(enemy_skill_triggers!$A$1,0,0,COUNTA(enemy_skill_triggers!$A:$A),MATCH(G$1,enemy_skill_triggers!$1:$1,0)-MATCH($F$1,enemy_skill_triggers!$1:$1,0)+1),MATCH(G$1,enemy_skill_triggers!$1:$1,0)-MATCH($F$1,enemy_skill_triggers!$1:$1,0)+1,FALSE)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5" s="48">
        <f ca="1">VLOOKUP($F405,OFFSET(enemy_skill_triggers!$A$1,0,0,COUNTA(enemy_skill_triggers!$A:$A),MATCH(H$1,enemy_skill_triggers!$1:$1,0)-MATCH($F$1,enemy_skill_triggers!$1:$1,0)+1),MATCH(H$1,enemy_skill_triggers!$1:$1,0)-MATCH($F$1,enemy_skill_triggers!$1:$1,0)+1,FALSE)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05" s="48">
        <f ca="1">VLOOKUP($F405,OFFSET(enemy_skill_triggers!$A$1,0,0,COUNTA(enemy_skill_triggers!$A:$A),MATCH(I$1,enemy_skill_triggers!$1:$1,0)-MATCH($F$1,enemy_skill_triggers!$1:$1,0)+1),MATCH(I$1,enemy_skill_triggers!$1:$1,0)-MATCH($F$1,enemy_skill_triggers!$1:$1,0)+1,FALSE)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5" s="48" t="str">
        <f ca="1">VLOOKUP($F405,OFFSET(enemy_skill_triggers!$A$1,0,0,COUNTA(enemy_skill_triggers!$A:$A),MATCH(J$1,enemy_skill_triggers!$1:$1,0)-MATCH($F$1,enemy_skill_triggers!$1:$1,0)+1),MATCH(J$1,enemy_skill_triggers!$1:$1,0)-MATCH($F$1,enemy_skill_triggers!$1:$1,0)+1,FALSE)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5" s="48" t="str">
        <f ca="1">VLOOKUP($F405,OFFSET(enemy_skill_triggers!$A$1,0,0,COUNTA(enemy_skill_triggers!$A:$A),MATCH(K$1,enemy_skill_triggers!$1:$1,0)-MATCH($F$1,enemy_skill_triggers!$1:$1,0)+1),MATCH(K$1,enemy_skill_triggers!$1:$1,0)-MATCH($F$1,enemy_skill_triggers!$1:$1,0)+1,FALSE)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5" s="48">
        <f ca="1">VLOOKUP($F405,OFFSET(enemy_skill_triggers!$A$1,0,0,COUNTA(enemy_skill_triggers!$A:$A),MATCH(L$1,enemy_skill_triggers!$1:$1,0)-MATCH($F$1,enemy_skill_triggers!$1:$1,0)+1),MATCH(L$1,enemy_skill_triggers!$1:$1,0)-MATCH($F$1,enemy_skill_triggers!$1:$1,0)+1,FALSE)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5" s="48" t="str">
        <f ca="1">VLOOKUP($F405,OFFSET(enemy_skill_triggers!$A$1,0,0,COUNTA(enemy_skill_triggers!$A:$A),MATCH(M$1,enemy_skill_triggers!$1:$1,0)-MATCH($F$1,enemy_skill_triggers!$1:$1,0)+1),MATCH(M$1,enemy_skill_triggers!$1:$1,0)-MATCH($F$1,enemy_skill_triggers!$1:$1,0)+1,FALSE)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5" s="48">
        <f ca="1">VLOOKUP($F405,OFFSET(enemy_skill_triggers!$A$1,0,0,COUNTA(enemy_skill_triggers!$A:$A),MATCH(N$1,enemy_skill_triggers!$1:$1,0)-MATCH($F$1,enemy_skill_triggers!$1:$1,0)+1),MATCH(N$1,enemy_skill_triggers!$1:$1,0)-MATCH($F$1,enemy_skill_triggers!$1:$1,0)+1,FALSE)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405" s="48">
        <f ca="1">VLOOKUP($F405,OFFSET(enemy_skill_triggers!$A$1,0,0,COUNTA(enemy_skill_triggers!$A:$A),MATCH(O$1,enemy_skill_triggers!$1:$1,0)-MATCH($F$1,enemy_skill_triggers!$1:$1,0)+1),MATCH(O$1,enemy_skill_triggers!$1:$1,0)-MATCH($F$1,enemy_skill_triggers!$1:$1,0)+1,FALSE)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5" s="47"/>
      <c r="Q405" s="47"/>
      <c r="R405" s="47"/>
    </row>
    <row r="406" spans="1:18" ht="21" customHeight="1" x14ac:dyDescent="0.15">
      <c r="A406" s="39" t="str">
        <f t="shared" si="18"/>
        <v>39009021_39009019</v>
      </c>
      <c r="B406" s="129">
        <v>39009021</v>
      </c>
      <c r="C406" s="142">
        <v>39009019</v>
      </c>
      <c r="D406" s="46" t="str">
        <f ca="1">VLOOKUP($C406,OFFSET(enemy_skills!$A$1,0,0,COUNTA(enemy_skills!$A:$A),MATCH(D$1,enemy_skills!$1:$1,0)-MATCH("enemy_skill_id",enemy_skills!$1:$1,0)+1),MATCH(D$1,enemy_skills!$1:$1,0)-MATCH("enemy_skill_id",enemy_skills!$1:$1,0)+1,FALSE)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6" s="46" t="str">
        <f ca="1">VLOOKUP($C406,OFFSET(enemy_skills!$A$1,0,0,COUNTA(enemy_skills!$A:$A),MATCH(E$1,enemy_skills!$1:$1,0)-MATCH("enemy_skill_id",enemy_skills!$1:$1,0)+1),MATCH(E$1,enemy_skills!$1:$1,0)-MATCH("enemy_skill_id",enemy_skills!$1:$1,0)+1,FALSE)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6" s="47">
        <v>39009153</v>
      </c>
      <c r="G406" s="48">
        <f ca="1">VLOOKUP($F406,OFFSET(enemy_skill_triggers!$A$1,0,0,COUNTA(enemy_skill_triggers!$A:$A),MATCH(G$1,enemy_skill_triggers!$1:$1,0)-MATCH($F$1,enemy_skill_triggers!$1:$1,0)+1),MATCH(G$1,enemy_skill_triggers!$1:$1,0)-MATCH($F$1,enemy_skill_triggers!$1:$1,0)+1,FALSE)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6" s="48">
        <f ca="1">VLOOKUP($F406,OFFSET(enemy_skill_triggers!$A$1,0,0,COUNTA(enemy_skill_triggers!$A:$A),MATCH(H$1,enemy_skill_triggers!$1:$1,0)-MATCH($F$1,enemy_skill_triggers!$1:$1,0)+1),MATCH(H$1,enemy_skill_triggers!$1:$1,0)-MATCH($F$1,enemy_skill_triggers!$1:$1,0)+1,FALSE)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06" s="48">
        <f ca="1">VLOOKUP($F406,OFFSET(enemy_skill_triggers!$A$1,0,0,COUNTA(enemy_skill_triggers!$A:$A),MATCH(I$1,enemy_skill_triggers!$1:$1,0)-MATCH($F$1,enemy_skill_triggers!$1:$1,0)+1),MATCH(I$1,enemy_skill_triggers!$1:$1,0)-MATCH($F$1,enemy_skill_triggers!$1:$1,0)+1,FALSE)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6" s="48" t="str">
        <f ca="1">VLOOKUP($F406,OFFSET(enemy_skill_triggers!$A$1,0,0,COUNTA(enemy_skill_triggers!$A:$A),MATCH(J$1,enemy_skill_triggers!$1:$1,0)-MATCH($F$1,enemy_skill_triggers!$1:$1,0)+1),MATCH(J$1,enemy_skill_triggers!$1:$1,0)-MATCH($F$1,enemy_skill_triggers!$1:$1,0)+1,FALSE)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6" s="48" t="str">
        <f ca="1">VLOOKUP($F406,OFFSET(enemy_skill_triggers!$A$1,0,0,COUNTA(enemy_skill_triggers!$A:$A),MATCH(K$1,enemy_skill_triggers!$1:$1,0)-MATCH($F$1,enemy_skill_triggers!$1:$1,0)+1),MATCH(K$1,enemy_skill_triggers!$1:$1,0)-MATCH($F$1,enemy_skill_triggers!$1:$1,0)+1,FALSE)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6" s="48">
        <f ca="1">VLOOKUP($F406,OFFSET(enemy_skill_triggers!$A$1,0,0,COUNTA(enemy_skill_triggers!$A:$A),MATCH(L$1,enemy_skill_triggers!$1:$1,0)-MATCH($F$1,enemy_skill_triggers!$1:$1,0)+1),MATCH(L$1,enemy_skill_triggers!$1:$1,0)-MATCH($F$1,enemy_skill_triggers!$1:$1,0)+1,FALSE)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6" s="48" t="str">
        <f ca="1">VLOOKUP($F406,OFFSET(enemy_skill_triggers!$A$1,0,0,COUNTA(enemy_skill_triggers!$A:$A),MATCH(M$1,enemy_skill_triggers!$1:$1,0)-MATCH($F$1,enemy_skill_triggers!$1:$1,0)+1),MATCH(M$1,enemy_skill_triggers!$1:$1,0)-MATCH($F$1,enemy_skill_triggers!$1:$1,0)+1,FALSE)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6" s="48">
        <f ca="1">VLOOKUP($F406,OFFSET(enemy_skill_triggers!$A$1,0,0,COUNTA(enemy_skill_triggers!$A:$A),MATCH(N$1,enemy_skill_triggers!$1:$1,0)-MATCH($F$1,enemy_skill_triggers!$1:$1,0)+1),MATCH(N$1,enemy_skill_triggers!$1:$1,0)-MATCH($F$1,enemy_skill_triggers!$1:$1,0)+1,FALSE)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406" s="48">
        <f ca="1">VLOOKUP($F406,OFFSET(enemy_skill_triggers!$A$1,0,0,COUNTA(enemy_skill_triggers!$A:$A),MATCH(O$1,enemy_skill_triggers!$1:$1,0)-MATCH($F$1,enemy_skill_triggers!$1:$1,0)+1),MATCH(O$1,enemy_skill_triggers!$1:$1,0)-MATCH($F$1,enemy_skill_triggers!$1:$1,0)+1,FALSE)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6" s="47"/>
      <c r="Q406" s="47"/>
      <c r="R406" s="47"/>
    </row>
    <row r="407" spans="1:18" ht="21" customHeight="1" x14ac:dyDescent="0.15">
      <c r="A407" s="39" t="str">
        <f t="shared" si="18"/>
        <v>39009021_39009019</v>
      </c>
      <c r="B407" s="129">
        <v>39009021</v>
      </c>
      <c r="C407" s="142">
        <v>39009019</v>
      </c>
      <c r="D407" s="46" t="str">
        <f ca="1">VLOOKUP($C407,OFFSET(enemy_skills!$A$1,0,0,COUNTA(enemy_skills!$A:$A),MATCH(D$1,enemy_skills!$1:$1,0)-MATCH("enemy_skill_id",enemy_skills!$1:$1,0)+1),MATCH(D$1,enemy_skills!$1:$1,0)-MATCH("enemy_skill_id",enemy_skills!$1:$1,0)+1,FALSE)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7" s="46" t="str">
        <f ca="1">VLOOKUP($C407,OFFSET(enemy_skills!$A$1,0,0,COUNTA(enemy_skills!$A:$A),MATCH(E$1,enemy_skills!$1:$1,0)-MATCH("enemy_skill_id",enemy_skills!$1:$1,0)+1),MATCH(E$1,enemy_skills!$1:$1,0)-MATCH("enemy_skill_id",enemy_skills!$1:$1,0)+1,FALSE)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7" s="47">
        <v>39009154</v>
      </c>
      <c r="G407" s="48">
        <f ca="1">VLOOKUP($F407,OFFSET(enemy_skill_triggers!$A$1,0,0,COUNTA(enemy_skill_triggers!$A:$A),MATCH(G$1,enemy_skill_triggers!$1:$1,0)-MATCH($F$1,enemy_skill_triggers!$1:$1,0)+1),MATCH(G$1,enemy_skill_triggers!$1:$1,0)-MATCH($F$1,enemy_skill_triggers!$1:$1,0)+1,FALSE)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7" s="48">
        <f ca="1">VLOOKUP($F407,OFFSET(enemy_skill_triggers!$A$1,0,0,COUNTA(enemy_skill_triggers!$A:$A),MATCH(H$1,enemy_skill_triggers!$1:$1,0)-MATCH($F$1,enemy_skill_triggers!$1:$1,0)+1),MATCH(H$1,enemy_skill_triggers!$1:$1,0)-MATCH($F$1,enemy_skill_triggers!$1:$1,0)+1,FALSE)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407" s="48">
        <f ca="1">VLOOKUP($F407,OFFSET(enemy_skill_triggers!$A$1,0,0,COUNTA(enemy_skill_triggers!$A:$A),MATCH(I$1,enemy_skill_triggers!$1:$1,0)-MATCH($F$1,enemy_skill_triggers!$1:$1,0)+1),MATCH(I$1,enemy_skill_triggers!$1:$1,0)-MATCH($F$1,enemy_skill_triggers!$1:$1,0)+1,FALSE)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7" s="48" t="str">
        <f ca="1">VLOOKUP($F407,OFFSET(enemy_skill_triggers!$A$1,0,0,COUNTA(enemy_skill_triggers!$A:$A),MATCH(J$1,enemy_skill_triggers!$1:$1,0)-MATCH($F$1,enemy_skill_triggers!$1:$1,0)+1),MATCH(J$1,enemy_skill_triggers!$1:$1,0)-MATCH($F$1,enemy_skill_triggers!$1:$1,0)+1,FALSE)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7" s="48" t="str">
        <f ca="1">VLOOKUP($F407,OFFSET(enemy_skill_triggers!$A$1,0,0,COUNTA(enemy_skill_triggers!$A:$A),MATCH(K$1,enemy_skill_triggers!$1:$1,0)-MATCH($F$1,enemy_skill_triggers!$1:$1,0)+1),MATCH(K$1,enemy_skill_triggers!$1:$1,0)-MATCH($F$1,enemy_skill_triggers!$1:$1,0)+1,FALSE)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7" s="48">
        <f ca="1">VLOOKUP($F407,OFFSET(enemy_skill_triggers!$A$1,0,0,COUNTA(enemy_skill_triggers!$A:$A),MATCH(L$1,enemy_skill_triggers!$1:$1,0)-MATCH($F$1,enemy_skill_triggers!$1:$1,0)+1),MATCH(L$1,enemy_skill_triggers!$1:$1,0)-MATCH($F$1,enemy_skill_triggers!$1:$1,0)+1,FALSE)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7" s="48" t="str">
        <f ca="1">VLOOKUP($F407,OFFSET(enemy_skill_triggers!$A$1,0,0,COUNTA(enemy_skill_triggers!$A:$A),MATCH(M$1,enemy_skill_triggers!$1:$1,0)-MATCH($F$1,enemy_skill_triggers!$1:$1,0)+1),MATCH(M$1,enemy_skill_triggers!$1:$1,0)-MATCH($F$1,enemy_skill_triggers!$1:$1,0)+1,FALSE)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7" s="48">
        <f ca="1">VLOOKUP($F407,OFFSET(enemy_skill_triggers!$A$1,0,0,COUNTA(enemy_skill_triggers!$A:$A),MATCH(N$1,enemy_skill_triggers!$1:$1,0)-MATCH($F$1,enemy_skill_triggers!$1:$1,0)+1),MATCH(N$1,enemy_skill_triggers!$1:$1,0)-MATCH($F$1,enemy_skill_triggers!$1:$1,0)+1,FALSE)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407" s="48">
        <f ca="1">VLOOKUP($F407,OFFSET(enemy_skill_triggers!$A$1,0,0,COUNTA(enemy_skill_triggers!$A:$A),MATCH(O$1,enemy_skill_triggers!$1:$1,0)-MATCH($F$1,enemy_skill_triggers!$1:$1,0)+1),MATCH(O$1,enemy_skill_triggers!$1:$1,0)-MATCH($F$1,enemy_skill_triggers!$1:$1,0)+1,FALSE)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7" s="47"/>
      <c r="Q407" s="47"/>
      <c r="R407" s="47"/>
    </row>
    <row r="408" spans="1:18" ht="21" customHeight="1" x14ac:dyDescent="0.15">
      <c r="A408" s="39" t="str">
        <f t="shared" si="18"/>
        <v>39009021_39009019</v>
      </c>
      <c r="B408" s="129">
        <v>39009021</v>
      </c>
      <c r="C408" s="142">
        <v>39009019</v>
      </c>
      <c r="D408" s="46" t="str">
        <f ca="1">VLOOKUP($C408,OFFSET(enemy_skills!$A$1,0,0,COUNTA(enemy_skills!$A:$A),MATCH(D$1,enemy_skills!$1:$1,0)-MATCH("enemy_skill_id",enemy_skills!$1:$1,0)+1),MATCH(D$1,enemy_skills!$1:$1,0)-MATCH("enemy_skill_id",enemy_skills!$1:$1,0)+1,FALSE)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8" s="46" t="str">
        <f ca="1">VLOOKUP($C408,OFFSET(enemy_skills!$A$1,0,0,COUNTA(enemy_skills!$A:$A),MATCH(E$1,enemy_skills!$1:$1,0)-MATCH("enemy_skill_id",enemy_skills!$1:$1,0)+1),MATCH(E$1,enemy_skills!$1:$1,0)-MATCH("enemy_skill_id",enemy_skills!$1:$1,0)+1,FALSE)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8" s="47">
        <v>39009155</v>
      </c>
      <c r="G408" s="48">
        <f ca="1">VLOOKUP($F408,OFFSET(enemy_skill_triggers!$A$1,0,0,COUNTA(enemy_skill_triggers!$A:$A),MATCH(G$1,enemy_skill_triggers!$1:$1,0)-MATCH($F$1,enemy_skill_triggers!$1:$1,0)+1),MATCH(G$1,enemy_skill_triggers!$1:$1,0)-MATCH($F$1,enemy_skill_triggers!$1:$1,0)+1,FALSE)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8" s="48">
        <f ca="1">VLOOKUP($F408,OFFSET(enemy_skill_triggers!$A$1,0,0,COUNTA(enemy_skill_triggers!$A:$A),MATCH(H$1,enemy_skill_triggers!$1:$1,0)-MATCH($F$1,enemy_skill_triggers!$1:$1,0)+1),MATCH(H$1,enemy_skill_triggers!$1:$1,0)-MATCH($F$1,enemy_skill_triggers!$1:$1,0)+1,FALSE)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08" s="48">
        <f ca="1">VLOOKUP($F408,OFFSET(enemy_skill_triggers!$A$1,0,0,COUNTA(enemy_skill_triggers!$A:$A),MATCH(I$1,enemy_skill_triggers!$1:$1,0)-MATCH($F$1,enemy_skill_triggers!$1:$1,0)+1),MATCH(I$1,enemy_skill_triggers!$1:$1,0)-MATCH($F$1,enemy_skill_triggers!$1:$1,0)+1,FALSE)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8" s="48" t="str">
        <f ca="1">VLOOKUP($F408,OFFSET(enemy_skill_triggers!$A$1,0,0,COUNTA(enemy_skill_triggers!$A:$A),MATCH(J$1,enemy_skill_triggers!$1:$1,0)-MATCH($F$1,enemy_skill_triggers!$1:$1,0)+1),MATCH(J$1,enemy_skill_triggers!$1:$1,0)-MATCH($F$1,enemy_skill_triggers!$1:$1,0)+1,FALSE)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8" s="48" t="str">
        <f ca="1">VLOOKUP($F408,OFFSET(enemy_skill_triggers!$A$1,0,0,COUNTA(enemy_skill_triggers!$A:$A),MATCH(K$1,enemy_skill_triggers!$1:$1,0)-MATCH($F$1,enemy_skill_triggers!$1:$1,0)+1),MATCH(K$1,enemy_skill_triggers!$1:$1,0)-MATCH($F$1,enemy_skill_triggers!$1:$1,0)+1,FALSE)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8" s="48">
        <f ca="1">VLOOKUP($F408,OFFSET(enemy_skill_triggers!$A$1,0,0,COUNTA(enemy_skill_triggers!$A:$A),MATCH(L$1,enemy_skill_triggers!$1:$1,0)-MATCH($F$1,enemy_skill_triggers!$1:$1,0)+1),MATCH(L$1,enemy_skill_triggers!$1:$1,0)-MATCH($F$1,enemy_skill_triggers!$1:$1,0)+1,FALSE)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8" s="48" t="str">
        <f ca="1">VLOOKUP($F408,OFFSET(enemy_skill_triggers!$A$1,0,0,COUNTA(enemy_skill_triggers!$A:$A),MATCH(M$1,enemy_skill_triggers!$1:$1,0)-MATCH($F$1,enemy_skill_triggers!$1:$1,0)+1),MATCH(M$1,enemy_skill_triggers!$1:$1,0)-MATCH($F$1,enemy_skill_triggers!$1:$1,0)+1,FALSE)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8" s="48">
        <f ca="1">VLOOKUP($F408,OFFSET(enemy_skill_triggers!$A$1,0,0,COUNTA(enemy_skill_triggers!$A:$A),MATCH(N$1,enemy_skill_triggers!$1:$1,0)-MATCH($F$1,enemy_skill_triggers!$1:$1,0)+1),MATCH(N$1,enemy_skill_triggers!$1:$1,0)-MATCH($F$1,enemy_skill_triggers!$1:$1,0)+1,FALSE)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408" s="48">
        <f ca="1">VLOOKUP($F408,OFFSET(enemy_skill_triggers!$A$1,0,0,COUNTA(enemy_skill_triggers!$A:$A),MATCH(O$1,enemy_skill_triggers!$1:$1,0)-MATCH($F$1,enemy_skill_triggers!$1:$1,0)+1),MATCH(O$1,enemy_skill_triggers!$1:$1,0)-MATCH($F$1,enemy_skill_triggers!$1:$1,0)+1,FALSE)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8" s="47"/>
      <c r="Q408" s="47"/>
      <c r="R408" s="47"/>
    </row>
    <row r="409" spans="1:18" ht="21" customHeight="1" x14ac:dyDescent="0.15">
      <c r="A409" s="39" t="str">
        <f t="shared" si="18"/>
        <v>39009021_39009019</v>
      </c>
      <c r="B409" s="129">
        <v>39009021</v>
      </c>
      <c r="C409" s="142">
        <v>39009019</v>
      </c>
      <c r="D409" s="46" t="str">
        <f ca="1">VLOOKUP($C409,OFFSET(enemy_skills!$A$1,0,0,COUNTA(enemy_skills!$A:$A),MATCH(D$1,enemy_skills!$1:$1,0)-MATCH("enemy_skill_id",enemy_skills!$1:$1,0)+1),MATCH(D$1,enemy_skills!$1:$1,0)-MATCH("enemy_skill_id",enemy_skills!$1:$1,0)+1,FALSE)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09" s="46" t="str">
        <f ca="1">VLOOKUP($C409,OFFSET(enemy_skills!$A$1,0,0,COUNTA(enemy_skills!$A:$A),MATCH(E$1,enemy_skills!$1:$1,0)-MATCH("enemy_skill_id",enemy_skills!$1:$1,0)+1),MATCH(E$1,enemy_skills!$1:$1,0)-MATCH("enemy_skill_id",enemy_skills!$1:$1,0)+1,FALSE)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09" s="47">
        <v>39009156</v>
      </c>
      <c r="G409" s="48">
        <f ca="1">VLOOKUP($F409,OFFSET(enemy_skill_triggers!$A$1,0,0,COUNTA(enemy_skill_triggers!$A:$A),MATCH(G$1,enemy_skill_triggers!$1:$1,0)-MATCH($F$1,enemy_skill_triggers!$1:$1,0)+1),MATCH(G$1,enemy_skill_triggers!$1:$1,0)-MATCH($F$1,enemy_skill_triggers!$1:$1,0)+1,FALSE)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9" s="48">
        <f ca="1">VLOOKUP($F409,OFFSET(enemy_skill_triggers!$A$1,0,0,COUNTA(enemy_skill_triggers!$A:$A),MATCH(H$1,enemy_skill_triggers!$1:$1,0)-MATCH($F$1,enemy_skill_triggers!$1:$1,0)+1),MATCH(H$1,enemy_skill_triggers!$1:$1,0)-MATCH($F$1,enemy_skill_triggers!$1:$1,0)+1,FALSE)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09" s="48">
        <f ca="1">VLOOKUP($F409,OFFSET(enemy_skill_triggers!$A$1,0,0,COUNTA(enemy_skill_triggers!$A:$A),MATCH(I$1,enemy_skill_triggers!$1:$1,0)-MATCH($F$1,enemy_skill_triggers!$1:$1,0)+1),MATCH(I$1,enemy_skill_triggers!$1:$1,0)-MATCH($F$1,enemy_skill_triggers!$1:$1,0)+1,FALSE)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9" s="48" t="str">
        <f ca="1">VLOOKUP($F409,OFFSET(enemy_skill_triggers!$A$1,0,0,COUNTA(enemy_skill_triggers!$A:$A),MATCH(J$1,enemy_skill_triggers!$1:$1,0)-MATCH($F$1,enemy_skill_triggers!$1:$1,0)+1),MATCH(J$1,enemy_skill_triggers!$1:$1,0)-MATCH($F$1,enemy_skill_triggers!$1:$1,0)+1,FALSE)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9" s="48" t="str">
        <f ca="1">VLOOKUP($F409,OFFSET(enemy_skill_triggers!$A$1,0,0,COUNTA(enemy_skill_triggers!$A:$A),MATCH(K$1,enemy_skill_triggers!$1:$1,0)-MATCH($F$1,enemy_skill_triggers!$1:$1,0)+1),MATCH(K$1,enemy_skill_triggers!$1:$1,0)-MATCH($F$1,enemy_skill_triggers!$1:$1,0)+1,FALSE)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9" s="48">
        <f ca="1">VLOOKUP($F409,OFFSET(enemy_skill_triggers!$A$1,0,0,COUNTA(enemy_skill_triggers!$A:$A),MATCH(L$1,enemy_skill_triggers!$1:$1,0)-MATCH($F$1,enemy_skill_triggers!$1:$1,0)+1),MATCH(L$1,enemy_skill_triggers!$1:$1,0)-MATCH($F$1,enemy_skill_triggers!$1:$1,0)+1,FALSE)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9" s="48" t="str">
        <f ca="1">VLOOKUP($F409,OFFSET(enemy_skill_triggers!$A$1,0,0,COUNTA(enemy_skill_triggers!$A:$A),MATCH(M$1,enemy_skill_triggers!$1:$1,0)-MATCH($F$1,enemy_skill_triggers!$1:$1,0)+1),MATCH(M$1,enemy_skill_triggers!$1:$1,0)-MATCH($F$1,enemy_skill_triggers!$1:$1,0)+1,FALSE)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9" s="48">
        <f ca="1">VLOOKUP($F409,OFFSET(enemy_skill_triggers!$A$1,0,0,COUNTA(enemy_skill_triggers!$A:$A),MATCH(N$1,enemy_skill_triggers!$1:$1,0)-MATCH($F$1,enemy_skill_triggers!$1:$1,0)+1),MATCH(N$1,enemy_skill_triggers!$1:$1,0)-MATCH($F$1,enemy_skill_triggers!$1:$1,0)+1,FALSE)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409" s="48">
        <f ca="1">VLOOKUP($F409,OFFSET(enemy_skill_triggers!$A$1,0,0,COUNTA(enemy_skill_triggers!$A:$A),MATCH(O$1,enemy_skill_triggers!$1:$1,0)-MATCH($F$1,enemy_skill_triggers!$1:$1,0)+1),MATCH(O$1,enemy_skill_triggers!$1:$1,0)-MATCH($F$1,enemy_skill_triggers!$1:$1,0)+1,FALSE)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9" s="47"/>
      <c r="Q409" s="47"/>
      <c r="R409" s="47"/>
    </row>
    <row r="410" spans="1:18" ht="21" customHeight="1" x14ac:dyDescent="0.15">
      <c r="A410" s="39" t="str">
        <f t="shared" si="18"/>
        <v>39009021_39009019</v>
      </c>
      <c r="B410" s="129">
        <v>39009021</v>
      </c>
      <c r="C410" s="142">
        <v>39009019</v>
      </c>
      <c r="D410" s="46" t="str">
        <f ca="1">VLOOKUP($C410,OFFSET(enemy_skills!$A$1,0,0,COUNTA(enemy_skills!$A:$A),MATCH(D$1,enemy_skills!$1:$1,0)-MATCH("enemy_skill_id",enemy_skills!$1:$1,0)+1),MATCH(D$1,enemy_skills!$1:$1,0)-MATCH("enemy_skill_id",enemy_skills!$1:$1,0)+1,FALSE)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10" s="46" t="str">
        <f ca="1">VLOOKUP($C410,OFFSET(enemy_skills!$A$1,0,0,COUNTA(enemy_skills!$A:$A),MATCH(E$1,enemy_skills!$1:$1,0)-MATCH("enemy_skill_id",enemy_skills!$1:$1,0)+1),MATCH(E$1,enemy_skills!$1:$1,0)-MATCH("enemy_skill_id",enemy_skills!$1:$1,0)+1,FALSE)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10" s="47">
        <v>39009157</v>
      </c>
      <c r="G410" s="48">
        <f ca="1">VLOOKUP($F410,OFFSET(enemy_skill_triggers!$A$1,0,0,COUNTA(enemy_skill_triggers!$A:$A),MATCH(G$1,enemy_skill_triggers!$1:$1,0)-MATCH($F$1,enemy_skill_triggers!$1:$1,0)+1),MATCH(G$1,enemy_skill_triggers!$1:$1,0)-MATCH($F$1,enemy_skill_triggers!$1:$1,0)+1,FALSE)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0" s="48">
        <f ca="1">VLOOKUP($F410,OFFSET(enemy_skill_triggers!$A$1,0,0,COUNTA(enemy_skill_triggers!$A:$A),MATCH(H$1,enemy_skill_triggers!$1:$1,0)-MATCH($F$1,enemy_skill_triggers!$1:$1,0)+1),MATCH(H$1,enemy_skill_triggers!$1:$1,0)-MATCH($F$1,enemy_skill_triggers!$1:$1,0)+1,FALSE)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10" s="48">
        <f ca="1">VLOOKUP($F410,OFFSET(enemy_skill_triggers!$A$1,0,0,COUNTA(enemy_skill_triggers!$A:$A),MATCH(I$1,enemy_skill_triggers!$1:$1,0)-MATCH($F$1,enemy_skill_triggers!$1:$1,0)+1),MATCH(I$1,enemy_skill_triggers!$1:$1,0)-MATCH($F$1,enemy_skill_triggers!$1:$1,0)+1,FALSE)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0" s="48" t="str">
        <f ca="1">VLOOKUP($F410,OFFSET(enemy_skill_triggers!$A$1,0,0,COUNTA(enemy_skill_triggers!$A:$A),MATCH(J$1,enemy_skill_triggers!$1:$1,0)-MATCH($F$1,enemy_skill_triggers!$1:$1,0)+1),MATCH(J$1,enemy_skill_triggers!$1:$1,0)-MATCH($F$1,enemy_skill_triggers!$1:$1,0)+1,FALSE)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0" s="48" t="str">
        <f ca="1">VLOOKUP($F410,OFFSET(enemy_skill_triggers!$A$1,0,0,COUNTA(enemy_skill_triggers!$A:$A),MATCH(K$1,enemy_skill_triggers!$1:$1,0)-MATCH($F$1,enemy_skill_triggers!$1:$1,0)+1),MATCH(K$1,enemy_skill_triggers!$1:$1,0)-MATCH($F$1,enemy_skill_triggers!$1:$1,0)+1,FALSE)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0" s="48">
        <f ca="1">VLOOKUP($F410,OFFSET(enemy_skill_triggers!$A$1,0,0,COUNTA(enemy_skill_triggers!$A:$A),MATCH(L$1,enemy_skill_triggers!$1:$1,0)-MATCH($F$1,enemy_skill_triggers!$1:$1,0)+1),MATCH(L$1,enemy_skill_triggers!$1:$1,0)-MATCH($F$1,enemy_skill_triggers!$1:$1,0)+1,FALSE)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0" s="48" t="str">
        <f ca="1">VLOOKUP($F410,OFFSET(enemy_skill_triggers!$A$1,0,0,COUNTA(enemy_skill_triggers!$A:$A),MATCH(M$1,enemy_skill_triggers!$1:$1,0)-MATCH($F$1,enemy_skill_triggers!$1:$1,0)+1),MATCH(M$1,enemy_skill_triggers!$1:$1,0)-MATCH($F$1,enemy_skill_triggers!$1:$1,0)+1,FALSE)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0" s="48">
        <f ca="1">VLOOKUP($F410,OFFSET(enemy_skill_triggers!$A$1,0,0,COUNTA(enemy_skill_triggers!$A:$A),MATCH(N$1,enemy_skill_triggers!$1:$1,0)-MATCH($F$1,enemy_skill_triggers!$1:$1,0)+1),MATCH(N$1,enemy_skill_triggers!$1:$1,0)-MATCH($F$1,enemy_skill_triggers!$1:$1,0)+1,FALSE)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10" s="48">
        <f ca="1">VLOOKUP($F410,OFFSET(enemy_skill_triggers!$A$1,0,0,COUNTA(enemy_skill_triggers!$A:$A),MATCH(O$1,enemy_skill_triggers!$1:$1,0)-MATCH($F$1,enemy_skill_triggers!$1:$1,0)+1),MATCH(O$1,enemy_skill_triggers!$1:$1,0)-MATCH($F$1,enemy_skill_triggers!$1:$1,0)+1,FALSE)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0" s="47"/>
      <c r="Q410" s="47"/>
      <c r="R410" s="47"/>
    </row>
    <row r="411" spans="1:18" ht="21" customHeight="1" x14ac:dyDescent="0.15">
      <c r="A411" s="39" t="str">
        <f t="shared" si="18"/>
        <v>39009021_39009019</v>
      </c>
      <c r="B411" s="129">
        <v>39009021</v>
      </c>
      <c r="C411" s="142">
        <v>39009019</v>
      </c>
      <c r="D411" s="46" t="str">
        <f ca="1">VLOOKUP($C411,OFFSET(enemy_skills!$A$1,0,0,COUNTA(enemy_skills!$A:$A),MATCH(D$1,enemy_skills!$1:$1,0)-MATCH("enemy_skill_id",enemy_skills!$1:$1,0)+1),MATCH(D$1,enemy_skills!$1:$1,0)-MATCH("enemy_skill_id",enemy_skills!$1:$1,0)+1,FALSE)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11" s="46" t="str">
        <f ca="1">VLOOKUP($C411,OFFSET(enemy_skills!$A$1,0,0,COUNTA(enemy_skills!$A:$A),MATCH(E$1,enemy_skills!$1:$1,0)-MATCH("enemy_skill_id",enemy_skills!$1:$1,0)+1),MATCH(E$1,enemy_skills!$1:$1,0)-MATCH("enemy_skill_id",enemy_skills!$1:$1,0)+1,FALSE)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11" s="47">
        <v>39009158</v>
      </c>
      <c r="G411" s="48">
        <f ca="1">VLOOKUP($F411,OFFSET(enemy_skill_triggers!$A$1,0,0,COUNTA(enemy_skill_triggers!$A:$A),MATCH(G$1,enemy_skill_triggers!$1:$1,0)-MATCH($F$1,enemy_skill_triggers!$1:$1,0)+1),MATCH(G$1,enemy_skill_triggers!$1:$1,0)-MATCH($F$1,enemy_skill_triggers!$1:$1,0)+1,FALSE)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1" s="48">
        <f ca="1">VLOOKUP($F411,OFFSET(enemy_skill_triggers!$A$1,0,0,COUNTA(enemy_skill_triggers!$A:$A),MATCH(H$1,enemy_skill_triggers!$1:$1,0)-MATCH($F$1,enemy_skill_triggers!$1:$1,0)+1),MATCH(H$1,enemy_skill_triggers!$1:$1,0)-MATCH($F$1,enemy_skill_triggers!$1:$1,0)+1,FALSE)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11" s="48">
        <f ca="1">VLOOKUP($F411,OFFSET(enemy_skill_triggers!$A$1,0,0,COUNTA(enemy_skill_triggers!$A:$A),MATCH(I$1,enemy_skill_triggers!$1:$1,0)-MATCH($F$1,enemy_skill_triggers!$1:$1,0)+1),MATCH(I$1,enemy_skill_triggers!$1:$1,0)-MATCH($F$1,enemy_skill_triggers!$1:$1,0)+1,FALSE)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1" s="48" t="str">
        <f ca="1">VLOOKUP($F411,OFFSET(enemy_skill_triggers!$A$1,0,0,COUNTA(enemy_skill_triggers!$A:$A),MATCH(J$1,enemy_skill_triggers!$1:$1,0)-MATCH($F$1,enemy_skill_triggers!$1:$1,0)+1),MATCH(J$1,enemy_skill_triggers!$1:$1,0)-MATCH($F$1,enemy_skill_triggers!$1:$1,0)+1,FALSE)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1" s="48" t="str">
        <f ca="1">VLOOKUP($F411,OFFSET(enemy_skill_triggers!$A$1,0,0,COUNTA(enemy_skill_triggers!$A:$A),MATCH(K$1,enemy_skill_triggers!$1:$1,0)-MATCH($F$1,enemy_skill_triggers!$1:$1,0)+1),MATCH(K$1,enemy_skill_triggers!$1:$1,0)-MATCH($F$1,enemy_skill_triggers!$1:$1,0)+1,FALSE)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1" s="48">
        <f ca="1">VLOOKUP($F411,OFFSET(enemy_skill_triggers!$A$1,0,0,COUNTA(enemy_skill_triggers!$A:$A),MATCH(L$1,enemy_skill_triggers!$1:$1,0)-MATCH($F$1,enemy_skill_triggers!$1:$1,0)+1),MATCH(L$1,enemy_skill_triggers!$1:$1,0)-MATCH($F$1,enemy_skill_triggers!$1:$1,0)+1,FALSE)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1" s="48" t="str">
        <f ca="1">VLOOKUP($F411,OFFSET(enemy_skill_triggers!$A$1,0,0,COUNTA(enemy_skill_triggers!$A:$A),MATCH(M$1,enemy_skill_triggers!$1:$1,0)-MATCH($F$1,enemy_skill_triggers!$1:$1,0)+1),MATCH(M$1,enemy_skill_triggers!$1:$1,0)-MATCH($F$1,enemy_skill_triggers!$1:$1,0)+1,FALSE)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1" s="48">
        <f ca="1">VLOOKUP($F411,OFFSET(enemy_skill_triggers!$A$1,0,0,COUNTA(enemy_skill_triggers!$A:$A),MATCH(N$1,enemy_skill_triggers!$1:$1,0)-MATCH($F$1,enemy_skill_triggers!$1:$1,0)+1),MATCH(N$1,enemy_skill_triggers!$1:$1,0)-MATCH($F$1,enemy_skill_triggers!$1:$1,0)+1,FALSE)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11" s="48">
        <f ca="1">VLOOKUP($F411,OFFSET(enemy_skill_triggers!$A$1,0,0,COUNTA(enemy_skill_triggers!$A:$A),MATCH(O$1,enemy_skill_triggers!$1:$1,0)-MATCH($F$1,enemy_skill_triggers!$1:$1,0)+1),MATCH(O$1,enemy_skill_triggers!$1:$1,0)-MATCH($F$1,enemy_skill_triggers!$1:$1,0)+1,FALSE)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1" s="47"/>
      <c r="Q411" s="47"/>
      <c r="R411" s="47"/>
    </row>
    <row r="412" spans="1:18" ht="21" customHeight="1" x14ac:dyDescent="0.15">
      <c r="A412" s="39" t="str">
        <f t="shared" si="18"/>
        <v>39009021_39009019</v>
      </c>
      <c r="B412" s="129">
        <v>39009021</v>
      </c>
      <c r="C412" s="142">
        <v>39009019</v>
      </c>
      <c r="D412" s="46" t="str">
        <f ca="1">VLOOKUP($C412,OFFSET(enemy_skills!$A$1,0,0,COUNTA(enemy_skills!$A:$A),MATCH(D$1,enemy_skills!$1:$1,0)-MATCH("enemy_skill_id",enemy_skills!$1:$1,0)+1),MATCH(D$1,enemy_skills!$1:$1,0)-MATCH("enemy_skill_id",enemy_skills!$1:$1,0)+1,FALSE)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12" s="46" t="str">
        <f ca="1">VLOOKUP($C412,OFFSET(enemy_skills!$A$1,0,0,COUNTA(enemy_skills!$A:$A),MATCH(E$1,enemy_skills!$1:$1,0)-MATCH("enemy_skill_id",enemy_skills!$1:$1,0)+1),MATCH(E$1,enemy_skills!$1:$1,0)-MATCH("enemy_skill_id",enemy_skills!$1:$1,0)+1,FALSE)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12" s="47">
        <v>39009159</v>
      </c>
      <c r="G412" s="48">
        <f ca="1">VLOOKUP($F412,OFFSET(enemy_skill_triggers!$A$1,0,0,COUNTA(enemy_skill_triggers!$A:$A),MATCH(G$1,enemy_skill_triggers!$1:$1,0)-MATCH($F$1,enemy_skill_triggers!$1:$1,0)+1),MATCH(G$1,enemy_skill_triggers!$1:$1,0)-MATCH($F$1,enemy_skill_triggers!$1:$1,0)+1,FALSE)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2" s="48">
        <f ca="1">VLOOKUP($F412,OFFSET(enemy_skill_triggers!$A$1,0,0,COUNTA(enemy_skill_triggers!$A:$A),MATCH(H$1,enemy_skill_triggers!$1:$1,0)-MATCH($F$1,enemy_skill_triggers!$1:$1,0)+1),MATCH(H$1,enemy_skill_triggers!$1:$1,0)-MATCH($F$1,enemy_skill_triggers!$1:$1,0)+1,FALSE)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12" s="48">
        <f ca="1">VLOOKUP($F412,OFFSET(enemy_skill_triggers!$A$1,0,0,COUNTA(enemy_skill_triggers!$A:$A),MATCH(I$1,enemy_skill_triggers!$1:$1,0)-MATCH($F$1,enemy_skill_triggers!$1:$1,0)+1),MATCH(I$1,enemy_skill_triggers!$1:$1,0)-MATCH($F$1,enemy_skill_triggers!$1:$1,0)+1,FALSE)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2" s="48" t="str">
        <f ca="1">VLOOKUP($F412,OFFSET(enemy_skill_triggers!$A$1,0,0,COUNTA(enemy_skill_triggers!$A:$A),MATCH(J$1,enemy_skill_triggers!$1:$1,0)-MATCH($F$1,enemy_skill_triggers!$1:$1,0)+1),MATCH(J$1,enemy_skill_triggers!$1:$1,0)-MATCH($F$1,enemy_skill_triggers!$1:$1,0)+1,FALSE)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2" s="48" t="str">
        <f ca="1">VLOOKUP($F412,OFFSET(enemy_skill_triggers!$A$1,0,0,COUNTA(enemy_skill_triggers!$A:$A),MATCH(K$1,enemy_skill_triggers!$1:$1,0)-MATCH($F$1,enemy_skill_triggers!$1:$1,0)+1),MATCH(K$1,enemy_skill_triggers!$1:$1,0)-MATCH($F$1,enemy_skill_triggers!$1:$1,0)+1,FALSE)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2" s="48">
        <f ca="1">VLOOKUP($F412,OFFSET(enemy_skill_triggers!$A$1,0,0,COUNTA(enemy_skill_triggers!$A:$A),MATCH(L$1,enemy_skill_triggers!$1:$1,0)-MATCH($F$1,enemy_skill_triggers!$1:$1,0)+1),MATCH(L$1,enemy_skill_triggers!$1:$1,0)-MATCH($F$1,enemy_skill_triggers!$1:$1,0)+1,FALSE)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2" s="48" t="str">
        <f ca="1">VLOOKUP($F412,OFFSET(enemy_skill_triggers!$A$1,0,0,COUNTA(enemy_skill_triggers!$A:$A),MATCH(M$1,enemy_skill_triggers!$1:$1,0)-MATCH($F$1,enemy_skill_triggers!$1:$1,0)+1),MATCH(M$1,enemy_skill_triggers!$1:$1,0)-MATCH($F$1,enemy_skill_triggers!$1:$1,0)+1,FALSE)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2" s="48">
        <f ca="1">VLOOKUP($F412,OFFSET(enemy_skill_triggers!$A$1,0,0,COUNTA(enemy_skill_triggers!$A:$A),MATCH(N$1,enemy_skill_triggers!$1:$1,0)-MATCH($F$1,enemy_skill_triggers!$1:$1,0)+1),MATCH(N$1,enemy_skill_triggers!$1:$1,0)-MATCH($F$1,enemy_skill_triggers!$1:$1,0)+1,FALSE)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12" s="48">
        <f ca="1">VLOOKUP($F412,OFFSET(enemy_skill_triggers!$A$1,0,0,COUNTA(enemy_skill_triggers!$A:$A),MATCH(O$1,enemy_skill_triggers!$1:$1,0)-MATCH($F$1,enemy_skill_triggers!$1:$1,0)+1),MATCH(O$1,enemy_skill_triggers!$1:$1,0)-MATCH($F$1,enemy_skill_triggers!$1:$1,0)+1,FALSE)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2" s="47"/>
      <c r="Q412" s="47"/>
      <c r="R412" s="47"/>
    </row>
    <row r="413" spans="1:18" ht="21" customHeight="1" x14ac:dyDescent="0.15">
      <c r="A413" s="39" t="str">
        <f t="shared" ref="A413" si="21">B413&amp;"_"&amp;C413</f>
        <v>39009021_39009019</v>
      </c>
      <c r="B413" s="129">
        <v>39009021</v>
      </c>
      <c r="C413" s="142">
        <v>39009019</v>
      </c>
      <c r="D413" s="46" t="str">
        <f ca="1">VLOOKUP($C413,OFFSET(enemy_skills!$A$1,0,0,COUNTA(enemy_skills!$A:$A),MATCH(D$1,enemy_skills!$1:$1,0)-MATCH("enemy_skill_id",enemy_skills!$1:$1,0)+1),MATCH(D$1,enemy_skills!$1:$1,0)-MATCH("enemy_skill_id",enemy_skills!$1:$1,0)+1,FALSE)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413" s="46" t="str">
        <f ca="1">VLOOKUP($C413,OFFSET(enemy_skills!$A$1,0,0,COUNTA(enemy_skills!$A:$A),MATCH(E$1,enemy_skills!$1:$1,0)-MATCH("enemy_skill_id",enemy_skills!$1:$1,0)+1),MATCH(E$1,enemy_skills!$1:$1,0)-MATCH("enemy_skill_id",enemy_skills!$1:$1,0)+1,FALSE)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413" s="47">
        <v>39009160</v>
      </c>
      <c r="G413" s="48">
        <f ca="1">VLOOKUP($F413,OFFSET(enemy_skill_triggers!$A$1,0,0,COUNTA(enemy_skill_triggers!$A:$A),MATCH(G$1,enemy_skill_triggers!$1:$1,0)-MATCH($F$1,enemy_skill_triggers!$1:$1,0)+1),MATCH(G$1,enemy_skill_triggers!$1:$1,0)-MATCH($F$1,enemy_skill_triggers!$1:$1,0)+1,FALSE)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3" s="48">
        <f ca="1">VLOOKUP($F413,OFFSET(enemy_skill_triggers!$A$1,0,0,COUNTA(enemy_skill_triggers!$A:$A),MATCH(H$1,enemy_skill_triggers!$1:$1,0)-MATCH($F$1,enemy_skill_triggers!$1:$1,0)+1),MATCH(H$1,enemy_skill_triggers!$1:$1,0)-MATCH($F$1,enemy_skill_triggers!$1:$1,0)+1,FALSE)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13" s="48">
        <f ca="1">VLOOKUP($F413,OFFSET(enemy_skill_triggers!$A$1,0,0,COUNTA(enemy_skill_triggers!$A:$A),MATCH(I$1,enemy_skill_triggers!$1:$1,0)-MATCH($F$1,enemy_skill_triggers!$1:$1,0)+1),MATCH(I$1,enemy_skill_triggers!$1:$1,0)-MATCH($F$1,enemy_skill_triggers!$1:$1,0)+1,FALSE)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3" s="48" t="str">
        <f ca="1">VLOOKUP($F413,OFFSET(enemy_skill_triggers!$A$1,0,0,COUNTA(enemy_skill_triggers!$A:$A),MATCH(J$1,enemy_skill_triggers!$1:$1,0)-MATCH($F$1,enemy_skill_triggers!$1:$1,0)+1),MATCH(J$1,enemy_skill_triggers!$1:$1,0)-MATCH($F$1,enemy_skill_triggers!$1:$1,0)+1,FALSE)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3" s="48" t="str">
        <f ca="1">VLOOKUP($F413,OFFSET(enemy_skill_triggers!$A$1,0,0,COUNTA(enemy_skill_triggers!$A:$A),MATCH(K$1,enemy_skill_triggers!$1:$1,0)-MATCH($F$1,enemy_skill_triggers!$1:$1,0)+1),MATCH(K$1,enemy_skill_triggers!$1:$1,0)-MATCH($F$1,enemy_skill_triggers!$1:$1,0)+1,FALSE)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3" s="48">
        <f ca="1">VLOOKUP($F413,OFFSET(enemy_skill_triggers!$A$1,0,0,COUNTA(enemy_skill_triggers!$A:$A),MATCH(L$1,enemy_skill_triggers!$1:$1,0)-MATCH($F$1,enemy_skill_triggers!$1:$1,0)+1),MATCH(L$1,enemy_skill_triggers!$1:$1,0)-MATCH($F$1,enemy_skill_triggers!$1:$1,0)+1,FALSE)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3" s="48" t="str">
        <f ca="1">VLOOKUP($F413,OFFSET(enemy_skill_triggers!$A$1,0,0,COUNTA(enemy_skill_triggers!$A:$A),MATCH(M$1,enemy_skill_triggers!$1:$1,0)-MATCH($F$1,enemy_skill_triggers!$1:$1,0)+1),MATCH(M$1,enemy_skill_triggers!$1:$1,0)-MATCH($F$1,enemy_skill_triggers!$1:$1,0)+1,FALSE)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3" s="48">
        <f ca="1">VLOOKUP($F413,OFFSET(enemy_skill_triggers!$A$1,0,0,COUNTA(enemy_skill_triggers!$A:$A),MATCH(N$1,enemy_skill_triggers!$1:$1,0)-MATCH($F$1,enemy_skill_triggers!$1:$1,0)+1),MATCH(N$1,enemy_skill_triggers!$1:$1,0)-MATCH($F$1,enemy_skill_triggers!$1:$1,0)+1,FALSE)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413" s="48">
        <f ca="1">VLOOKUP($F413,OFFSET(enemy_skill_triggers!$A$1,0,0,COUNTA(enemy_skill_triggers!$A:$A),MATCH(O$1,enemy_skill_triggers!$1:$1,0)-MATCH($F$1,enemy_skill_triggers!$1:$1,0)+1),MATCH(O$1,enemy_skill_triggers!$1:$1,0)-MATCH($F$1,enemy_skill_triggers!$1:$1,0)+1,FALSE)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3" s="47"/>
      <c r="Q413" s="47"/>
      <c r="R413" s="47"/>
    </row>
    <row r="414" spans="1:18" ht="21" customHeight="1" x14ac:dyDescent="0.15">
      <c r="A414" s="39" t="str">
        <f t="shared" si="18"/>
        <v>39009021_39009069</v>
      </c>
      <c r="B414" s="129">
        <v>39009021</v>
      </c>
      <c r="C414" s="47">
        <v>39009069</v>
      </c>
      <c r="D414" s="46" t="str">
        <f ca="1">VLOOKUP($C414,OFFSET(enemy_skills!$A$1,0,0,COUNTA(enemy_skills!$A:$A),MATCH(D$1,enemy_skills!$1:$1,0)-MATCH("enemy_skill_id",enemy_skills!$1:$1,0)+1),MATCH(D$1,enemy_skills!$1:$1,0)-MATCH("enemy_skill_id",enemy_skills!$1:$1,0)+1,FALSE)</f>
        <v>シャイニーポラリス</v>
      </c>
      <c r="E414" s="46" t="str">
        <f ca="1">VLOOKUP($C414,OFFSET(enemy_skills!$A$1,0,0,COUNTA(enemy_skills!$A:$A),MATCH(E$1,enemy_skills!$1:$1,0)-MATCH("enemy_skill_id",enemy_skills!$1:$1,0)+1),MATCH(E$1,enemy_skills!$1:$1,0)-MATCH("enemy_skill_id",enemy_skills!$1:$1,0)+1,FALSE)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14" s="47">
        <v>39009192</v>
      </c>
      <c r="G414" s="48">
        <f ca="1">VLOOKUP($F414,OFFSET(enemy_skill_triggers!$A$1,0,0,COUNTA(enemy_skill_triggers!$A:$A),MATCH(G$1,enemy_skill_triggers!$1:$1,0)-MATCH($F$1,enemy_skill_triggers!$1:$1,0)+1),MATCH(G$1,enemy_skill_triggers!$1:$1,0)-MATCH($F$1,enemy_skill_triggers!$1:$1,0)+1,FALSE)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4" s="48">
        <f ca="1">VLOOKUP($F414,OFFSET(enemy_skill_triggers!$A$1,0,0,COUNTA(enemy_skill_triggers!$A:$A),MATCH(H$1,enemy_skill_triggers!$1:$1,0)-MATCH($F$1,enemy_skill_triggers!$1:$1,0)+1),MATCH(H$1,enemy_skill_triggers!$1:$1,0)-MATCH($F$1,enemy_skill_triggers!$1:$1,0)+1,FALSE)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414" s="48">
        <f ca="1">VLOOKUP($F414,OFFSET(enemy_skill_triggers!$A$1,0,0,COUNTA(enemy_skill_triggers!$A:$A),MATCH(I$1,enemy_skill_triggers!$1:$1,0)-MATCH($F$1,enemy_skill_triggers!$1:$1,0)+1),MATCH(I$1,enemy_skill_triggers!$1:$1,0)-MATCH($F$1,enemy_skill_triggers!$1:$1,0)+1,FALSE)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4" s="48" t="str">
        <f ca="1">VLOOKUP($F414,OFFSET(enemy_skill_triggers!$A$1,0,0,COUNTA(enemy_skill_triggers!$A:$A),MATCH(J$1,enemy_skill_triggers!$1:$1,0)-MATCH($F$1,enemy_skill_triggers!$1:$1,0)+1),MATCH(J$1,enemy_skill_triggers!$1:$1,0)-MATCH($F$1,enemy_skill_triggers!$1:$1,0)+1,FALSE)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4" s="48" t="str">
        <f ca="1">VLOOKUP($F414,OFFSET(enemy_skill_triggers!$A$1,0,0,COUNTA(enemy_skill_triggers!$A:$A),MATCH(K$1,enemy_skill_triggers!$1:$1,0)-MATCH($F$1,enemy_skill_triggers!$1:$1,0)+1),MATCH(K$1,enemy_skill_triggers!$1:$1,0)-MATCH($F$1,enemy_skill_triggers!$1:$1,0)+1,FALSE)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4" s="48" t="str">
        <f ca="1">VLOOKUP($F414,OFFSET(enemy_skill_triggers!$A$1,0,0,COUNTA(enemy_skill_triggers!$A:$A),MATCH(L$1,enemy_skill_triggers!$1:$1,0)-MATCH($F$1,enemy_skill_triggers!$1:$1,0)+1),MATCH(L$1,enemy_skill_triggers!$1:$1,0)-MATCH($F$1,enemy_skill_triggers!$1:$1,0)+1,FALSE)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4" s="48" t="str">
        <f ca="1">VLOOKUP($F414,OFFSET(enemy_skill_triggers!$A$1,0,0,COUNTA(enemy_skill_triggers!$A:$A),MATCH(M$1,enemy_skill_triggers!$1:$1,0)-MATCH($F$1,enemy_skill_triggers!$1:$1,0)+1),MATCH(M$1,enemy_skill_triggers!$1:$1,0)-MATCH($F$1,enemy_skill_triggers!$1:$1,0)+1,FALSE)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4" s="48" t="str">
        <f ca="1">VLOOKUP($F414,OFFSET(enemy_skill_triggers!$A$1,0,0,COUNTA(enemy_skill_triggers!$A:$A),MATCH(N$1,enemy_skill_triggers!$1:$1,0)-MATCH($F$1,enemy_skill_triggers!$1:$1,0)+1),MATCH(N$1,enemy_skill_triggers!$1:$1,0)-MATCH($F$1,enemy_skill_triggers!$1:$1,0)+1,FALSE)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4" s="48">
        <f ca="1">VLOOKUP($F414,OFFSET(enemy_skill_triggers!$A$1,0,0,COUNTA(enemy_skill_triggers!$A:$A),MATCH(O$1,enemy_skill_triggers!$1:$1,0)-MATCH($F$1,enemy_skill_triggers!$1:$1,0)+1),MATCH(O$1,enemy_skill_triggers!$1:$1,0)-MATCH($F$1,enemy_skill_triggers!$1:$1,0)+1,FALSE)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4" s="47"/>
      <c r="Q414" s="47"/>
      <c r="R414" s="47"/>
    </row>
    <row r="415" spans="1:18" ht="21" customHeight="1" x14ac:dyDescent="0.15">
      <c r="A415" s="39" t="str">
        <f t="shared" si="18"/>
        <v>39009021_39009070</v>
      </c>
      <c r="B415" s="129">
        <v>39009021</v>
      </c>
      <c r="C415" s="47">
        <v>39009070</v>
      </c>
      <c r="D415" s="46" t="str">
        <f ca="1">VLOOKUP($C415,OFFSET(enemy_skills!$A$1,0,0,COUNTA(enemy_skills!$A:$A),MATCH(D$1,enemy_skills!$1:$1,0)-MATCH("enemy_skill_id",enemy_skills!$1:$1,0)+1),MATCH(D$1,enemy_skills!$1:$1,0)-MATCH("enemy_skill_id",enemy_skills!$1:$1,0)+1,FALSE)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415" s="46" t="str">
        <f ca="1">VLOOKUP($C415,OFFSET(enemy_skills!$A$1,0,0,COUNTA(enemy_skills!$A:$A),MATCH(E$1,enemy_skills!$1:$1,0)-MATCH("enemy_skill_id",enemy_skills!$1:$1,0)+1),MATCH(E$1,enemy_skills!$1:$1,0)-MATCH("enemy_skill_id",enemy_skills!$1:$1,0)+1,FALSE)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415" s="47">
        <v>39009193</v>
      </c>
      <c r="G415" s="48">
        <f ca="1">VLOOKUP($F415,OFFSET(enemy_skill_triggers!$A$1,0,0,COUNTA(enemy_skill_triggers!$A:$A),MATCH(G$1,enemy_skill_triggers!$1:$1,0)-MATCH($F$1,enemy_skill_triggers!$1:$1,0)+1),MATCH(G$1,enemy_skill_triggers!$1:$1,0)-MATCH($F$1,enemy_skill_triggers!$1:$1,0)+1,FALSE)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5" s="48">
        <f ca="1">VLOOKUP($F415,OFFSET(enemy_skill_triggers!$A$1,0,0,COUNTA(enemy_skill_triggers!$A:$A),MATCH(H$1,enemy_skill_triggers!$1:$1,0)-MATCH($F$1,enemy_skill_triggers!$1:$1,0)+1),MATCH(H$1,enemy_skill_triggers!$1:$1,0)-MATCH($F$1,enemy_skill_triggers!$1:$1,0)+1,FALSE)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415" s="48">
        <f ca="1">VLOOKUP($F415,OFFSET(enemy_skill_triggers!$A$1,0,0,COUNTA(enemy_skill_triggers!$A:$A),MATCH(I$1,enemy_skill_triggers!$1:$1,0)-MATCH($F$1,enemy_skill_triggers!$1:$1,0)+1),MATCH(I$1,enemy_skill_triggers!$1:$1,0)-MATCH($F$1,enemy_skill_triggers!$1:$1,0)+1,FALSE)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5" s="48" t="str">
        <f ca="1">VLOOKUP($F415,OFFSET(enemy_skill_triggers!$A$1,0,0,COUNTA(enemy_skill_triggers!$A:$A),MATCH(J$1,enemy_skill_triggers!$1:$1,0)-MATCH($F$1,enemy_skill_triggers!$1:$1,0)+1),MATCH(J$1,enemy_skill_triggers!$1:$1,0)-MATCH($F$1,enemy_skill_triggers!$1:$1,0)+1,FALSE)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5" s="48" t="str">
        <f ca="1">VLOOKUP($F415,OFFSET(enemy_skill_triggers!$A$1,0,0,COUNTA(enemy_skill_triggers!$A:$A),MATCH(K$1,enemy_skill_triggers!$1:$1,0)-MATCH($F$1,enemy_skill_triggers!$1:$1,0)+1),MATCH(K$1,enemy_skill_triggers!$1:$1,0)-MATCH($F$1,enemy_skill_triggers!$1:$1,0)+1,FALSE)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5" s="48">
        <f ca="1">VLOOKUP($F415,OFFSET(enemy_skill_triggers!$A$1,0,0,COUNTA(enemy_skill_triggers!$A:$A),MATCH(L$1,enemy_skill_triggers!$1:$1,0)-MATCH($F$1,enemy_skill_triggers!$1:$1,0)+1),MATCH(L$1,enemy_skill_triggers!$1:$1,0)-MATCH($F$1,enemy_skill_triggers!$1:$1,0)+1,FALSE)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15" s="48" t="str">
        <f ca="1">VLOOKUP($F415,OFFSET(enemy_skill_triggers!$A$1,0,0,COUNTA(enemy_skill_triggers!$A:$A),MATCH(M$1,enemy_skill_triggers!$1:$1,0)-MATCH($F$1,enemy_skill_triggers!$1:$1,0)+1),MATCH(M$1,enemy_skill_triggers!$1:$1,0)-MATCH($F$1,enemy_skill_triggers!$1:$1,0)+1,FALSE)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5" s="48" t="str">
        <f ca="1">VLOOKUP($F415,OFFSET(enemy_skill_triggers!$A$1,0,0,COUNTA(enemy_skill_triggers!$A:$A),MATCH(N$1,enemy_skill_triggers!$1:$1,0)-MATCH($F$1,enemy_skill_triggers!$1:$1,0)+1),MATCH(N$1,enemy_skill_triggers!$1:$1,0)-MATCH($F$1,enemy_skill_triggers!$1:$1,0)+1,FALSE)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5" s="48">
        <f ca="1">VLOOKUP($F415,OFFSET(enemy_skill_triggers!$A$1,0,0,COUNTA(enemy_skill_triggers!$A:$A),MATCH(O$1,enemy_skill_triggers!$1:$1,0)-MATCH($F$1,enemy_skill_triggers!$1:$1,0)+1),MATCH(O$1,enemy_skill_triggers!$1:$1,0)-MATCH($F$1,enemy_skill_triggers!$1:$1,0)+1,FALSE)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5" s="47"/>
      <c r="Q415" s="47"/>
      <c r="R415" s="47"/>
    </row>
    <row r="416" spans="1:18" ht="21" customHeight="1" x14ac:dyDescent="0.15">
      <c r="A416" s="39" t="str">
        <f t="shared" si="18"/>
        <v>39009021_39009020</v>
      </c>
      <c r="B416" s="129">
        <v>39009021</v>
      </c>
      <c r="C416" s="142">
        <v>39009020</v>
      </c>
      <c r="D416" s="46" t="str">
        <f ca="1">VLOOKUP($C416,OFFSET(enemy_skills!$A$1,0,0,COUNTA(enemy_skills!$A:$A),MATCH(D$1,enemy_skills!$1:$1,0)-MATCH("enemy_skill_id",enemy_skills!$1:$1,0)+1),MATCH(D$1,enemy_skills!$1:$1,0)-MATCH("enemy_skill_id",enemy_skills!$1:$1,0)+1,FALSE)</f>
        <v>守護星の瞬きをどうぞ☆</v>
      </c>
      <c r="E416" s="46" t="str">
        <f ca="1">VLOOKUP($C416,OFFSET(enemy_skills!$A$1,0,0,COUNTA(enemy_skills!$A:$A),MATCH(E$1,enemy_skills!$1:$1,0)-MATCH("enemy_skill_id",enemy_skills!$1:$1,0)+1),MATCH(E$1,enemy_skills!$1:$1,0)-MATCH("enemy_skill_id",enemy_skills!$1:$1,0)+1,FALSE)</f>
        <v>ハートパネルプロテクト(最大3個)+2回連続攻撃</v>
      </c>
      <c r="F416" s="47">
        <v>39009194</v>
      </c>
      <c r="G416" s="48">
        <f ca="1">VLOOKUP($F416,OFFSET(enemy_skill_triggers!$A$1,0,0,COUNTA(enemy_skill_triggers!$A:$A),MATCH(G$1,enemy_skill_triggers!$1:$1,0)-MATCH($F$1,enemy_skill_triggers!$1:$1,0)+1),MATCH(G$1,enemy_skill_triggers!$1:$1,0)-MATCH($F$1,enemy_skill_triggers!$1:$1,0)+1,FALSE)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6" s="48">
        <f ca="1">VLOOKUP($F416,OFFSET(enemy_skill_triggers!$A$1,0,0,COUNTA(enemy_skill_triggers!$A:$A),MATCH(H$1,enemy_skill_triggers!$1:$1,0)-MATCH($F$1,enemy_skill_triggers!$1:$1,0)+1),MATCH(H$1,enemy_skill_triggers!$1:$1,0)-MATCH($F$1,enemy_skill_triggers!$1:$1,0)+1,FALSE)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416" s="48">
        <f ca="1">VLOOKUP($F416,OFFSET(enemy_skill_triggers!$A$1,0,0,COUNTA(enemy_skill_triggers!$A:$A),MATCH(I$1,enemy_skill_triggers!$1:$1,0)-MATCH($F$1,enemy_skill_triggers!$1:$1,0)+1),MATCH(I$1,enemy_skill_triggers!$1:$1,0)-MATCH($F$1,enemy_skill_triggers!$1:$1,0)+1,FALSE)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16" s="48" t="str">
        <f ca="1">VLOOKUP($F416,OFFSET(enemy_skill_triggers!$A$1,0,0,COUNTA(enemy_skill_triggers!$A:$A),MATCH(J$1,enemy_skill_triggers!$1:$1,0)-MATCH($F$1,enemy_skill_triggers!$1:$1,0)+1),MATCH(J$1,enemy_skill_triggers!$1:$1,0)-MATCH($F$1,enemy_skill_triggers!$1:$1,0)+1,FALSE)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6" s="48" t="str">
        <f ca="1">VLOOKUP($F416,OFFSET(enemy_skill_triggers!$A$1,0,0,COUNTA(enemy_skill_triggers!$A:$A),MATCH(K$1,enemy_skill_triggers!$1:$1,0)-MATCH($F$1,enemy_skill_triggers!$1:$1,0)+1),MATCH(K$1,enemy_skill_triggers!$1:$1,0)-MATCH($F$1,enemy_skill_triggers!$1:$1,0)+1,FALSE)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6" s="48">
        <f ca="1">VLOOKUP($F416,OFFSET(enemy_skill_triggers!$A$1,0,0,COUNTA(enemy_skill_triggers!$A:$A),MATCH(L$1,enemy_skill_triggers!$1:$1,0)-MATCH($F$1,enemy_skill_triggers!$1:$1,0)+1),MATCH(L$1,enemy_skill_triggers!$1:$1,0)-MATCH($F$1,enemy_skill_triggers!$1:$1,0)+1,FALSE)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16" s="48" t="str">
        <f ca="1">VLOOKUP($F416,OFFSET(enemy_skill_triggers!$A$1,0,0,COUNTA(enemy_skill_triggers!$A:$A),MATCH(M$1,enemy_skill_triggers!$1:$1,0)-MATCH($F$1,enemy_skill_triggers!$1:$1,0)+1),MATCH(M$1,enemy_skill_triggers!$1:$1,0)-MATCH($F$1,enemy_skill_triggers!$1:$1,0)+1,FALSE)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6" s="48" t="str">
        <f ca="1">VLOOKUP($F416,OFFSET(enemy_skill_triggers!$A$1,0,0,COUNTA(enemy_skill_triggers!$A:$A),MATCH(N$1,enemy_skill_triggers!$1:$1,0)-MATCH($F$1,enemy_skill_triggers!$1:$1,0)+1),MATCH(N$1,enemy_skill_triggers!$1:$1,0)-MATCH($F$1,enemy_skill_triggers!$1:$1,0)+1,FALSE)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6" s="48">
        <f ca="1">VLOOKUP($F416,OFFSET(enemy_skill_triggers!$A$1,0,0,COUNTA(enemy_skill_triggers!$A:$A),MATCH(O$1,enemy_skill_triggers!$1:$1,0)-MATCH($F$1,enemy_skill_triggers!$1:$1,0)+1),MATCH(O$1,enemy_skill_triggers!$1:$1,0)-MATCH($F$1,enemy_skill_triggers!$1:$1,0)+1,FALSE)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16" s="47"/>
      <c r="Q416" s="47"/>
      <c r="R416" s="47"/>
    </row>
    <row r="417" spans="1:18" ht="21" customHeight="1" x14ac:dyDescent="0.15">
      <c r="A417" s="39" t="str">
        <f t="shared" si="18"/>
        <v>39009021_39009021</v>
      </c>
      <c r="B417" s="129">
        <v>39009021</v>
      </c>
      <c r="C417" s="142">
        <v>39009021</v>
      </c>
      <c r="D417" s="46" t="str">
        <f ca="1">VLOOKUP($C417,OFFSET(enemy_skills!$A$1,0,0,COUNTA(enemy_skills!$A:$A),MATCH(D$1,enemy_skills!$1:$1,0)-MATCH("enemy_skill_id",enemy_skills!$1:$1,0)+1),MATCH(D$1,enemy_skills!$1:$1,0)-MATCH("enemy_skill_id",enemy_skills!$1:$1,0)+1,FALSE)</f>
        <v>きらきら流星群☆</v>
      </c>
      <c r="E417" s="46" t="str">
        <f ca="1">VLOOKUP($C417,OFFSET(enemy_skills!$A$1,0,0,COUNTA(enemy_skills!$A:$A),MATCH(E$1,enemy_skills!$1:$1,0)-MATCH("enemy_skill_id",enemy_skills!$1:$1,0)+1),MATCH(E$1,enemy_skills!$1:$1,0)-MATCH("enemy_skill_id",enemy_skills!$1:$1,0)+1,FALSE)</f>
        <v>5ターン防御力UP+4回連続攻撃</v>
      </c>
      <c r="F417" s="47">
        <v>39009195</v>
      </c>
      <c r="G417" s="48">
        <f ca="1">VLOOKUP($F417,OFFSET(enemy_skill_triggers!$A$1,0,0,COUNTA(enemy_skill_triggers!$A:$A),MATCH(G$1,enemy_skill_triggers!$1:$1,0)-MATCH($F$1,enemy_skill_triggers!$1:$1,0)+1),MATCH(G$1,enemy_skill_triggers!$1:$1,0)-MATCH($F$1,enemy_skill_triggers!$1:$1,0)+1,FALSE)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7" s="48">
        <f ca="1">VLOOKUP($F417,OFFSET(enemy_skill_triggers!$A$1,0,0,COUNTA(enemy_skill_triggers!$A:$A),MATCH(H$1,enemy_skill_triggers!$1:$1,0)-MATCH($F$1,enemy_skill_triggers!$1:$1,0)+1),MATCH(H$1,enemy_skill_triggers!$1:$1,0)-MATCH($F$1,enemy_skill_triggers!$1:$1,0)+1,FALSE)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417" s="48">
        <f ca="1">VLOOKUP($F417,OFFSET(enemy_skill_triggers!$A$1,0,0,COUNTA(enemy_skill_triggers!$A:$A),MATCH(I$1,enemy_skill_triggers!$1:$1,0)-MATCH($F$1,enemy_skill_triggers!$1:$1,0)+1),MATCH(I$1,enemy_skill_triggers!$1:$1,0)-MATCH($F$1,enemy_skill_triggers!$1:$1,0)+1,FALSE)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7" s="48">
        <f ca="1">VLOOKUP($F417,OFFSET(enemy_skill_triggers!$A$1,0,0,COUNTA(enemy_skill_triggers!$A:$A),MATCH(J$1,enemy_skill_triggers!$1:$1,0)-MATCH($F$1,enemy_skill_triggers!$1:$1,0)+1),MATCH(J$1,enemy_skill_triggers!$1:$1,0)-MATCH($F$1,enemy_skill_triggers!$1:$1,0)+1,FALSE)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7" s="48" t="str">
        <f ca="1">VLOOKUP($F417,OFFSET(enemy_skill_triggers!$A$1,0,0,COUNTA(enemy_skill_triggers!$A:$A),MATCH(K$1,enemy_skill_triggers!$1:$1,0)-MATCH($F$1,enemy_skill_triggers!$1:$1,0)+1),MATCH(K$1,enemy_skill_triggers!$1:$1,0)-MATCH($F$1,enemy_skill_triggers!$1:$1,0)+1,FALSE)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7" s="48">
        <f ca="1">VLOOKUP($F417,OFFSET(enemy_skill_triggers!$A$1,0,0,COUNTA(enemy_skill_triggers!$A:$A),MATCH(L$1,enemy_skill_triggers!$1:$1,0)-MATCH($F$1,enemy_skill_triggers!$1:$1,0)+1),MATCH(L$1,enemy_skill_triggers!$1:$1,0)-MATCH($F$1,enemy_skill_triggers!$1:$1,0)+1,FALSE)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7" s="48" t="str">
        <f ca="1">VLOOKUP($F417,OFFSET(enemy_skill_triggers!$A$1,0,0,COUNTA(enemy_skill_triggers!$A:$A),MATCH(M$1,enemy_skill_triggers!$1:$1,0)-MATCH($F$1,enemy_skill_triggers!$1:$1,0)+1),MATCH(M$1,enemy_skill_triggers!$1:$1,0)-MATCH($F$1,enemy_skill_triggers!$1:$1,0)+1,FALSE)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7" s="48" t="str">
        <f ca="1">VLOOKUP($F417,OFFSET(enemy_skill_triggers!$A$1,0,0,COUNTA(enemy_skill_triggers!$A:$A),MATCH(N$1,enemy_skill_triggers!$1:$1,0)-MATCH($F$1,enemy_skill_triggers!$1:$1,0)+1),MATCH(N$1,enemy_skill_triggers!$1:$1,0)-MATCH($F$1,enemy_skill_triggers!$1:$1,0)+1,FALSE)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7" s="48">
        <f ca="1">VLOOKUP($F417,OFFSET(enemy_skill_triggers!$A$1,0,0,COUNTA(enemy_skill_triggers!$A:$A),MATCH(O$1,enemy_skill_triggers!$1:$1,0)-MATCH($F$1,enemy_skill_triggers!$1:$1,0)+1),MATCH(O$1,enemy_skill_triggers!$1:$1,0)-MATCH($F$1,enemy_skill_triggers!$1:$1,0)+1,FALSE)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7" s="47"/>
      <c r="Q417" s="47"/>
      <c r="R417" s="47"/>
    </row>
    <row r="418" spans="1:18" ht="21" customHeight="1" x14ac:dyDescent="0.15">
      <c r="A418" s="39" t="str">
        <f t="shared" si="18"/>
        <v>39009021_39009073</v>
      </c>
      <c r="B418" s="129">
        <v>39009021</v>
      </c>
      <c r="C418" s="47">
        <v>39009073</v>
      </c>
      <c r="D418" s="46" t="str">
        <f ca="1">VLOOKUP($C418,OFFSET(enemy_skills!$A$1,0,0,COUNTA(enemy_skills!$A:$A),MATCH(D$1,enemy_skills!$1:$1,0)-MATCH("enemy_skill_id",enemy_skills!$1:$1,0)+1),MATCH(D$1,enemy_skills!$1:$1,0)-MATCH("enemy_skill_id",enemy_skills!$1:$1,0)+1,FALSE)</f>
        <v>ばいばい…_x000D_またあなたに会えますように☆</v>
      </c>
      <c r="E418" s="46" t="str">
        <f ca="1">VLOOKUP($C418,OFFSET(enemy_skills!$A$1,0,0,COUNTA(enemy_skills!$A:$A),MATCH(E$1,enemy_skills!$1:$1,0)-MATCH("enemy_skill_id",enemy_skills!$1:$1,0)+1),MATCH(E$1,enemy_skills!$1:$1,0)-MATCH("enemy_skill_id",enemy_skills!$1:$1,0)+1,FALSE)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8" s="47">
        <v>39009196</v>
      </c>
      <c r="G418" s="48">
        <f ca="1">VLOOKUP($F418,OFFSET(enemy_skill_triggers!$A$1,0,0,COUNTA(enemy_skill_triggers!$A:$A),MATCH(G$1,enemy_skill_triggers!$1:$1,0)-MATCH($F$1,enemy_skill_triggers!$1:$1,0)+1),MATCH(G$1,enemy_skill_triggers!$1:$1,0)-MATCH($F$1,enemy_skill_triggers!$1:$1,0)+1,FALSE)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8" s="48">
        <f ca="1">VLOOKUP($F418,OFFSET(enemy_skill_triggers!$A$1,0,0,COUNTA(enemy_skill_triggers!$A:$A),MATCH(H$1,enemy_skill_triggers!$1:$1,0)-MATCH($F$1,enemy_skill_triggers!$1:$1,0)+1),MATCH(H$1,enemy_skill_triggers!$1:$1,0)-MATCH($F$1,enemy_skill_triggers!$1:$1,0)+1,FALSE)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18" s="48">
        <f ca="1">VLOOKUP($F418,OFFSET(enemy_skill_triggers!$A$1,0,0,COUNTA(enemy_skill_triggers!$A:$A),MATCH(I$1,enemy_skill_triggers!$1:$1,0)-MATCH($F$1,enemy_skill_triggers!$1:$1,0)+1),MATCH(I$1,enemy_skill_triggers!$1:$1,0)-MATCH($F$1,enemy_skill_triggers!$1:$1,0)+1,FALSE)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8" s="48" t="str">
        <f ca="1">VLOOKUP($F418,OFFSET(enemy_skill_triggers!$A$1,0,0,COUNTA(enemy_skill_triggers!$A:$A),MATCH(J$1,enemy_skill_triggers!$1:$1,0)-MATCH($F$1,enemy_skill_triggers!$1:$1,0)+1),MATCH(J$1,enemy_skill_triggers!$1:$1,0)-MATCH($F$1,enemy_skill_triggers!$1:$1,0)+1,FALSE)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8" s="48" t="str">
        <f ca="1">VLOOKUP($F418,OFFSET(enemy_skill_triggers!$A$1,0,0,COUNTA(enemy_skill_triggers!$A:$A),MATCH(K$1,enemy_skill_triggers!$1:$1,0)-MATCH($F$1,enemy_skill_triggers!$1:$1,0)+1),MATCH(K$1,enemy_skill_triggers!$1:$1,0)-MATCH($F$1,enemy_skill_triggers!$1:$1,0)+1,FALSE)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8" s="48">
        <f ca="1">VLOOKUP($F418,OFFSET(enemy_skill_triggers!$A$1,0,0,COUNTA(enemy_skill_triggers!$A:$A),MATCH(L$1,enemy_skill_triggers!$1:$1,0)-MATCH($F$1,enemy_skill_triggers!$1:$1,0)+1),MATCH(L$1,enemy_skill_triggers!$1:$1,0)-MATCH($F$1,enemy_skill_triggers!$1:$1,0)+1,FALSE)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8" s="48" t="str">
        <f ca="1">VLOOKUP($F418,OFFSET(enemy_skill_triggers!$A$1,0,0,COUNTA(enemy_skill_triggers!$A:$A),MATCH(M$1,enemy_skill_triggers!$1:$1,0)-MATCH($F$1,enemy_skill_triggers!$1:$1,0)+1),MATCH(M$1,enemy_skill_triggers!$1:$1,0)-MATCH($F$1,enemy_skill_triggers!$1:$1,0)+1,FALSE)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8" s="48">
        <f ca="1">VLOOKUP($F418,OFFSET(enemy_skill_triggers!$A$1,0,0,COUNTA(enemy_skill_triggers!$A:$A),MATCH(N$1,enemy_skill_triggers!$1:$1,0)-MATCH($F$1,enemy_skill_triggers!$1:$1,0)+1),MATCH(N$1,enemy_skill_triggers!$1:$1,0)-MATCH($F$1,enemy_skill_triggers!$1:$1,0)+1,FALSE)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18" s="48">
        <f ca="1">VLOOKUP($F418,OFFSET(enemy_skill_triggers!$A$1,0,0,COUNTA(enemy_skill_triggers!$A:$A),MATCH(O$1,enemy_skill_triggers!$1:$1,0)-MATCH($F$1,enemy_skill_triggers!$1:$1,0)+1),MATCH(O$1,enemy_skill_triggers!$1:$1,0)-MATCH($F$1,enemy_skill_triggers!$1:$1,0)+1,FALSE)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8" s="47"/>
      <c r="Q418" s="47"/>
      <c r="R418" s="47"/>
    </row>
    <row r="419" spans="1:18" ht="21" customHeight="1" x14ac:dyDescent="0.15">
      <c r="A419" s="39" t="str">
        <f t="shared" si="18"/>
        <v>39009021_39009074</v>
      </c>
      <c r="B419" s="129">
        <v>39009021</v>
      </c>
      <c r="C419" s="47">
        <v>39009074</v>
      </c>
      <c r="D419" s="46" t="str">
        <f ca="1">VLOOKUP($C419,OFFSET(enemy_skills!$A$1,0,0,COUNTA(enemy_skills!$A:$A),MATCH(D$1,enemy_skills!$1:$1,0)-MATCH("enemy_skill_id",enemy_skills!$1:$1,0)+1),MATCH(D$1,enemy_skills!$1:$1,0)-MATCH("enemy_skill_id",enemy_skills!$1:$1,0)+1,FALSE)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19" s="46" t="str">
        <f ca="1">VLOOKUP($C419,OFFSET(enemy_skills!$A$1,0,0,COUNTA(enemy_skills!$A:$A),MATCH(E$1,enemy_skills!$1:$1,0)-MATCH("enemy_skill_id",enemy_skills!$1:$1,0)+1),MATCH(E$1,enemy_skills!$1:$1,0)-MATCH("enemy_skill_id",enemy_skills!$1:$1,0)+1,FALSE)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9" s="47">
        <v>39009197</v>
      </c>
      <c r="G419" s="48">
        <f ca="1">VLOOKUP($F419,OFFSET(enemy_skill_triggers!$A$1,0,0,COUNTA(enemy_skill_triggers!$A:$A),MATCH(G$1,enemy_skill_triggers!$1:$1,0)-MATCH($F$1,enemy_skill_triggers!$1:$1,0)+1),MATCH(G$1,enemy_skill_triggers!$1:$1,0)-MATCH($F$1,enemy_skill_triggers!$1:$1,0)+1,FALSE)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9" s="48">
        <f ca="1">VLOOKUP($F419,OFFSET(enemy_skill_triggers!$A$1,0,0,COUNTA(enemy_skill_triggers!$A:$A),MATCH(H$1,enemy_skill_triggers!$1:$1,0)-MATCH($F$1,enemy_skill_triggers!$1:$1,0)+1),MATCH(H$1,enemy_skill_triggers!$1:$1,0)-MATCH($F$1,enemy_skill_triggers!$1:$1,0)+1,FALSE)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419" s="48">
        <f ca="1">VLOOKUP($F419,OFFSET(enemy_skill_triggers!$A$1,0,0,COUNTA(enemy_skill_triggers!$A:$A),MATCH(I$1,enemy_skill_triggers!$1:$1,0)-MATCH($F$1,enemy_skill_triggers!$1:$1,0)+1),MATCH(I$1,enemy_skill_triggers!$1:$1,0)-MATCH($F$1,enemy_skill_triggers!$1:$1,0)+1,FALSE)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9" s="48" t="str">
        <f ca="1">VLOOKUP($F419,OFFSET(enemy_skill_triggers!$A$1,0,0,COUNTA(enemy_skill_triggers!$A:$A),MATCH(J$1,enemy_skill_triggers!$1:$1,0)-MATCH($F$1,enemy_skill_triggers!$1:$1,0)+1),MATCH(J$1,enemy_skill_triggers!$1:$1,0)-MATCH($F$1,enemy_skill_triggers!$1:$1,0)+1,FALSE)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9" s="48" t="str">
        <f ca="1">VLOOKUP($F419,OFFSET(enemy_skill_triggers!$A$1,0,0,COUNTA(enemy_skill_triggers!$A:$A),MATCH(K$1,enemy_skill_triggers!$1:$1,0)-MATCH($F$1,enemy_skill_triggers!$1:$1,0)+1),MATCH(K$1,enemy_skill_triggers!$1:$1,0)-MATCH($F$1,enemy_skill_triggers!$1:$1,0)+1,FALSE)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9" s="48">
        <f ca="1">VLOOKUP($F419,OFFSET(enemy_skill_triggers!$A$1,0,0,COUNTA(enemy_skill_triggers!$A:$A),MATCH(L$1,enemy_skill_triggers!$1:$1,0)-MATCH($F$1,enemy_skill_triggers!$1:$1,0)+1),MATCH(L$1,enemy_skill_triggers!$1:$1,0)-MATCH($F$1,enemy_skill_triggers!$1:$1,0)+1,FALSE)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9" s="48" t="str">
        <f ca="1">VLOOKUP($F419,OFFSET(enemy_skill_triggers!$A$1,0,0,COUNTA(enemy_skill_triggers!$A:$A),MATCH(M$1,enemy_skill_triggers!$1:$1,0)-MATCH($F$1,enemy_skill_triggers!$1:$1,0)+1),MATCH(M$1,enemy_skill_triggers!$1:$1,0)-MATCH($F$1,enemy_skill_triggers!$1:$1,0)+1,FALSE)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9" s="48">
        <f ca="1">VLOOKUP($F419,OFFSET(enemy_skill_triggers!$A$1,0,0,COUNTA(enemy_skill_triggers!$A:$A),MATCH(N$1,enemy_skill_triggers!$1:$1,0)-MATCH($F$1,enemy_skill_triggers!$1:$1,0)+1),MATCH(N$1,enemy_skill_triggers!$1:$1,0)-MATCH($F$1,enemy_skill_triggers!$1:$1,0)+1,FALSE)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419" s="48">
        <f ca="1">VLOOKUP($F419,OFFSET(enemy_skill_triggers!$A$1,0,0,COUNTA(enemy_skill_triggers!$A:$A),MATCH(O$1,enemy_skill_triggers!$1:$1,0)-MATCH($F$1,enemy_skill_triggers!$1:$1,0)+1),MATCH(O$1,enemy_skill_triggers!$1:$1,0)-MATCH($F$1,enemy_skill_triggers!$1:$1,0)+1,FALSE)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9" s="47"/>
      <c r="Q419" s="47"/>
      <c r="R419" s="47"/>
    </row>
    <row r="420" spans="1:18" ht="21" customHeight="1" x14ac:dyDescent="0.15">
      <c r="A420" s="39" t="str">
        <f t="shared" ref="A420:A483" si="22">B420&amp;"_"&amp;C420</f>
        <v>39009021_39009074</v>
      </c>
      <c r="B420" s="129">
        <v>39009021</v>
      </c>
      <c r="C420" s="47">
        <v>39009074</v>
      </c>
      <c r="D420" s="46" t="str">
        <f ca="1">VLOOKUP($C420,OFFSET(enemy_skills!$A$1,0,0,COUNTA(enemy_skills!$A:$A),MATCH(D$1,enemy_skills!$1:$1,0)-MATCH("enemy_skill_id",enemy_skills!$1:$1,0)+1),MATCH(D$1,enemy_skills!$1:$1,0)-MATCH("enemy_skill_id",enemy_skills!$1:$1,0)+1,FALSE)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0" s="46" t="str">
        <f ca="1">VLOOKUP($C420,OFFSET(enemy_skills!$A$1,0,0,COUNTA(enemy_skills!$A:$A),MATCH(E$1,enemy_skills!$1:$1,0)-MATCH("enemy_skill_id",enemy_skills!$1:$1,0)+1),MATCH(E$1,enemy_skills!$1:$1,0)-MATCH("enemy_skill_id",enemy_skills!$1:$1,0)+1,FALSE)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0" s="47">
        <v>39009198</v>
      </c>
      <c r="G420" s="48">
        <f ca="1">VLOOKUP($F420,OFFSET(enemy_skill_triggers!$A$1,0,0,COUNTA(enemy_skill_triggers!$A:$A),MATCH(G$1,enemy_skill_triggers!$1:$1,0)-MATCH($F$1,enemy_skill_triggers!$1:$1,0)+1),MATCH(G$1,enemy_skill_triggers!$1:$1,0)-MATCH($F$1,enemy_skill_triggers!$1:$1,0)+1,FALSE)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0" s="48">
        <f ca="1">VLOOKUP($F420,OFFSET(enemy_skill_triggers!$A$1,0,0,COUNTA(enemy_skill_triggers!$A:$A),MATCH(H$1,enemy_skill_triggers!$1:$1,0)-MATCH($F$1,enemy_skill_triggers!$1:$1,0)+1),MATCH(H$1,enemy_skill_triggers!$1:$1,0)-MATCH($F$1,enemy_skill_triggers!$1:$1,0)+1,FALSE)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420" s="48">
        <f ca="1">VLOOKUP($F420,OFFSET(enemy_skill_triggers!$A$1,0,0,COUNTA(enemy_skill_triggers!$A:$A),MATCH(I$1,enemy_skill_triggers!$1:$1,0)-MATCH($F$1,enemy_skill_triggers!$1:$1,0)+1),MATCH(I$1,enemy_skill_triggers!$1:$1,0)-MATCH($F$1,enemy_skill_triggers!$1:$1,0)+1,FALSE)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0" s="48" t="str">
        <f ca="1">VLOOKUP($F420,OFFSET(enemy_skill_triggers!$A$1,0,0,COUNTA(enemy_skill_triggers!$A:$A),MATCH(J$1,enemy_skill_triggers!$1:$1,0)-MATCH($F$1,enemy_skill_triggers!$1:$1,0)+1),MATCH(J$1,enemy_skill_triggers!$1:$1,0)-MATCH($F$1,enemy_skill_triggers!$1:$1,0)+1,FALSE)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0" s="48" t="str">
        <f ca="1">VLOOKUP($F420,OFFSET(enemy_skill_triggers!$A$1,0,0,COUNTA(enemy_skill_triggers!$A:$A),MATCH(K$1,enemy_skill_triggers!$1:$1,0)-MATCH($F$1,enemy_skill_triggers!$1:$1,0)+1),MATCH(K$1,enemy_skill_triggers!$1:$1,0)-MATCH($F$1,enemy_skill_triggers!$1:$1,0)+1,FALSE)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0" s="48">
        <f ca="1">VLOOKUP($F420,OFFSET(enemy_skill_triggers!$A$1,0,0,COUNTA(enemy_skill_triggers!$A:$A),MATCH(L$1,enemy_skill_triggers!$1:$1,0)-MATCH($F$1,enemy_skill_triggers!$1:$1,0)+1),MATCH(L$1,enemy_skill_triggers!$1:$1,0)-MATCH($F$1,enemy_skill_triggers!$1:$1,0)+1,FALSE)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0" s="48" t="str">
        <f ca="1">VLOOKUP($F420,OFFSET(enemy_skill_triggers!$A$1,0,0,COUNTA(enemy_skill_triggers!$A:$A),MATCH(M$1,enemy_skill_triggers!$1:$1,0)-MATCH($F$1,enemy_skill_triggers!$1:$1,0)+1),MATCH(M$1,enemy_skill_triggers!$1:$1,0)-MATCH($F$1,enemy_skill_triggers!$1:$1,0)+1,FALSE)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0" s="48">
        <f ca="1">VLOOKUP($F420,OFFSET(enemy_skill_triggers!$A$1,0,0,COUNTA(enemy_skill_triggers!$A:$A),MATCH(N$1,enemy_skill_triggers!$1:$1,0)-MATCH($F$1,enemy_skill_triggers!$1:$1,0)+1),MATCH(N$1,enemy_skill_triggers!$1:$1,0)-MATCH($F$1,enemy_skill_triggers!$1:$1,0)+1,FALSE)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420" s="48">
        <f ca="1">VLOOKUP($F420,OFFSET(enemy_skill_triggers!$A$1,0,0,COUNTA(enemy_skill_triggers!$A:$A),MATCH(O$1,enemy_skill_triggers!$1:$1,0)-MATCH($F$1,enemy_skill_triggers!$1:$1,0)+1),MATCH(O$1,enemy_skill_triggers!$1:$1,0)-MATCH($F$1,enemy_skill_triggers!$1:$1,0)+1,FALSE)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0" s="47"/>
      <c r="Q420" s="47"/>
      <c r="R420" s="47"/>
    </row>
    <row r="421" spans="1:18" ht="21" customHeight="1" x14ac:dyDescent="0.15">
      <c r="A421" s="39" t="str">
        <f t="shared" si="22"/>
        <v>39009021_39009074</v>
      </c>
      <c r="B421" s="129">
        <v>39009021</v>
      </c>
      <c r="C421" s="47">
        <v>39009074</v>
      </c>
      <c r="D421" s="46" t="str">
        <f ca="1">VLOOKUP($C421,OFFSET(enemy_skills!$A$1,0,0,COUNTA(enemy_skills!$A:$A),MATCH(D$1,enemy_skills!$1:$1,0)-MATCH("enemy_skill_id",enemy_skills!$1:$1,0)+1),MATCH(D$1,enemy_skills!$1:$1,0)-MATCH("enemy_skill_id",enemy_skills!$1:$1,0)+1,FALSE)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1" s="46" t="str">
        <f ca="1">VLOOKUP($C421,OFFSET(enemy_skills!$A$1,0,0,COUNTA(enemy_skills!$A:$A),MATCH(E$1,enemy_skills!$1:$1,0)-MATCH("enemy_skill_id",enemy_skills!$1:$1,0)+1),MATCH(E$1,enemy_skills!$1:$1,0)-MATCH("enemy_skill_id",enemy_skills!$1:$1,0)+1,FALSE)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1" s="47">
        <v>39009199</v>
      </c>
      <c r="G421" s="48">
        <f ca="1">VLOOKUP($F421,OFFSET(enemy_skill_triggers!$A$1,0,0,COUNTA(enemy_skill_triggers!$A:$A),MATCH(G$1,enemy_skill_triggers!$1:$1,0)-MATCH($F$1,enemy_skill_triggers!$1:$1,0)+1),MATCH(G$1,enemy_skill_triggers!$1:$1,0)-MATCH($F$1,enemy_skill_triggers!$1:$1,0)+1,FALSE)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1" s="48">
        <f ca="1">VLOOKUP($F421,OFFSET(enemy_skill_triggers!$A$1,0,0,COUNTA(enemy_skill_triggers!$A:$A),MATCH(H$1,enemy_skill_triggers!$1:$1,0)-MATCH($F$1,enemy_skill_triggers!$1:$1,0)+1),MATCH(H$1,enemy_skill_triggers!$1:$1,0)-MATCH($F$1,enemy_skill_triggers!$1:$1,0)+1,FALSE)</f>
        <v>63</v>
      </c>
      <c r="I421" s="48">
        <f ca="1">VLOOKUP($F421,OFFSET(enemy_skill_triggers!$A$1,0,0,COUNTA(enemy_skill_triggers!$A:$A),MATCH(I$1,enemy_skill_triggers!$1:$1,0)-MATCH($F$1,enemy_skill_triggers!$1:$1,0)+1),MATCH(I$1,enemy_skill_triggers!$1:$1,0)-MATCH($F$1,enemy_skill_triggers!$1:$1,0)+1,FALSE)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1" s="48" t="str">
        <f ca="1">VLOOKUP($F421,OFFSET(enemy_skill_triggers!$A$1,0,0,COUNTA(enemy_skill_triggers!$A:$A),MATCH(J$1,enemy_skill_triggers!$1:$1,0)-MATCH($F$1,enemy_skill_triggers!$1:$1,0)+1),MATCH(J$1,enemy_skill_triggers!$1:$1,0)-MATCH($F$1,enemy_skill_triggers!$1:$1,0)+1,FALSE)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1" s="48" t="str">
        <f ca="1">VLOOKUP($F421,OFFSET(enemy_skill_triggers!$A$1,0,0,COUNTA(enemy_skill_triggers!$A:$A),MATCH(K$1,enemy_skill_triggers!$1:$1,0)-MATCH($F$1,enemy_skill_triggers!$1:$1,0)+1),MATCH(K$1,enemy_skill_triggers!$1:$1,0)-MATCH($F$1,enemy_skill_triggers!$1:$1,0)+1,FALSE)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1" s="48">
        <f ca="1">VLOOKUP($F421,OFFSET(enemy_skill_triggers!$A$1,0,0,COUNTA(enemy_skill_triggers!$A:$A),MATCH(L$1,enemy_skill_triggers!$1:$1,0)-MATCH($F$1,enemy_skill_triggers!$1:$1,0)+1),MATCH(L$1,enemy_skill_triggers!$1:$1,0)-MATCH($F$1,enemy_skill_triggers!$1:$1,0)+1,FALSE)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1" s="48" t="str">
        <f ca="1">VLOOKUP($F421,OFFSET(enemy_skill_triggers!$A$1,0,0,COUNTA(enemy_skill_triggers!$A:$A),MATCH(M$1,enemy_skill_triggers!$1:$1,0)-MATCH($F$1,enemy_skill_triggers!$1:$1,0)+1),MATCH(M$1,enemy_skill_triggers!$1:$1,0)-MATCH($F$1,enemy_skill_triggers!$1:$1,0)+1,FALSE)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1" s="48">
        <f ca="1">VLOOKUP($F421,OFFSET(enemy_skill_triggers!$A$1,0,0,COUNTA(enemy_skill_triggers!$A:$A),MATCH(N$1,enemy_skill_triggers!$1:$1,0)-MATCH($F$1,enemy_skill_triggers!$1:$1,0)+1),MATCH(N$1,enemy_skill_triggers!$1:$1,0)-MATCH($F$1,enemy_skill_triggers!$1:$1,0)+1,FALSE)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421" s="48">
        <f ca="1">VLOOKUP($F421,OFFSET(enemy_skill_triggers!$A$1,0,0,COUNTA(enemy_skill_triggers!$A:$A),MATCH(O$1,enemy_skill_triggers!$1:$1,0)-MATCH($F$1,enemy_skill_triggers!$1:$1,0)+1),MATCH(O$1,enemy_skill_triggers!$1:$1,0)-MATCH($F$1,enemy_skill_triggers!$1:$1,0)+1,FALSE)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1" s="47"/>
      <c r="Q421" s="47"/>
      <c r="R421" s="47"/>
    </row>
    <row r="422" spans="1:18" ht="21" customHeight="1" x14ac:dyDescent="0.15">
      <c r="A422" s="39" t="str">
        <f t="shared" si="22"/>
        <v>39009021_39009074</v>
      </c>
      <c r="B422" s="129">
        <v>39009021</v>
      </c>
      <c r="C422" s="47">
        <v>39009074</v>
      </c>
      <c r="D422" s="46" t="str">
        <f ca="1">VLOOKUP($C422,OFFSET(enemy_skills!$A$1,0,0,COUNTA(enemy_skills!$A:$A),MATCH(D$1,enemy_skills!$1:$1,0)-MATCH("enemy_skill_id",enemy_skills!$1:$1,0)+1),MATCH(D$1,enemy_skills!$1:$1,0)-MATCH("enemy_skill_id",enemy_skills!$1:$1,0)+1,FALSE)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2" s="46" t="str">
        <f ca="1">VLOOKUP($C422,OFFSET(enemy_skills!$A$1,0,0,COUNTA(enemy_skills!$A:$A),MATCH(E$1,enemy_skills!$1:$1,0)-MATCH("enemy_skill_id",enemy_skills!$1:$1,0)+1),MATCH(E$1,enemy_skills!$1:$1,0)-MATCH("enemy_skill_id",enemy_skills!$1:$1,0)+1,FALSE)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2" s="47">
        <v>39009200</v>
      </c>
      <c r="G422" s="48">
        <f ca="1">VLOOKUP($F422,OFFSET(enemy_skill_triggers!$A$1,0,0,COUNTA(enemy_skill_triggers!$A:$A),MATCH(G$1,enemy_skill_triggers!$1:$1,0)-MATCH($F$1,enemy_skill_triggers!$1:$1,0)+1),MATCH(G$1,enemy_skill_triggers!$1:$1,0)-MATCH($F$1,enemy_skill_triggers!$1:$1,0)+1,FALSE)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2" s="48">
        <f ca="1">VLOOKUP($F422,OFFSET(enemy_skill_triggers!$A$1,0,0,COUNTA(enemy_skill_triggers!$A:$A),MATCH(H$1,enemy_skill_triggers!$1:$1,0)-MATCH($F$1,enemy_skill_triggers!$1:$1,0)+1),MATCH(H$1,enemy_skill_triggers!$1:$1,0)-MATCH($F$1,enemy_skill_triggers!$1:$1,0)+1,FALSE)</f>
        <v>64</v>
      </c>
      <c r="I422" s="48">
        <f ca="1">VLOOKUP($F422,OFFSET(enemy_skill_triggers!$A$1,0,0,COUNTA(enemy_skill_triggers!$A:$A),MATCH(I$1,enemy_skill_triggers!$1:$1,0)-MATCH($F$1,enemy_skill_triggers!$1:$1,0)+1),MATCH(I$1,enemy_skill_triggers!$1:$1,0)-MATCH($F$1,enemy_skill_triggers!$1:$1,0)+1,FALSE)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2" s="48" t="str">
        <f ca="1">VLOOKUP($F422,OFFSET(enemy_skill_triggers!$A$1,0,0,COUNTA(enemy_skill_triggers!$A:$A),MATCH(J$1,enemy_skill_triggers!$1:$1,0)-MATCH($F$1,enemy_skill_triggers!$1:$1,0)+1),MATCH(J$1,enemy_skill_triggers!$1:$1,0)-MATCH($F$1,enemy_skill_triggers!$1:$1,0)+1,FALSE)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2" s="48" t="str">
        <f ca="1">VLOOKUP($F422,OFFSET(enemy_skill_triggers!$A$1,0,0,COUNTA(enemy_skill_triggers!$A:$A),MATCH(K$1,enemy_skill_triggers!$1:$1,0)-MATCH($F$1,enemy_skill_triggers!$1:$1,0)+1),MATCH(K$1,enemy_skill_triggers!$1:$1,0)-MATCH($F$1,enemy_skill_triggers!$1:$1,0)+1,FALSE)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2" s="48">
        <f ca="1">VLOOKUP($F422,OFFSET(enemy_skill_triggers!$A$1,0,0,COUNTA(enemy_skill_triggers!$A:$A),MATCH(L$1,enemy_skill_triggers!$1:$1,0)-MATCH($F$1,enemy_skill_triggers!$1:$1,0)+1),MATCH(L$1,enemy_skill_triggers!$1:$1,0)-MATCH($F$1,enemy_skill_triggers!$1:$1,0)+1,FALSE)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2" s="48" t="str">
        <f ca="1">VLOOKUP($F422,OFFSET(enemy_skill_triggers!$A$1,0,0,COUNTA(enemy_skill_triggers!$A:$A),MATCH(M$1,enemy_skill_triggers!$1:$1,0)-MATCH($F$1,enemy_skill_triggers!$1:$1,0)+1),MATCH(M$1,enemy_skill_triggers!$1:$1,0)-MATCH($F$1,enemy_skill_triggers!$1:$1,0)+1,FALSE)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2" s="48">
        <f ca="1">VLOOKUP($F422,OFFSET(enemy_skill_triggers!$A$1,0,0,COUNTA(enemy_skill_triggers!$A:$A),MATCH(N$1,enemy_skill_triggers!$1:$1,0)-MATCH($F$1,enemy_skill_triggers!$1:$1,0)+1),MATCH(N$1,enemy_skill_triggers!$1:$1,0)-MATCH($F$1,enemy_skill_triggers!$1:$1,0)+1,FALSE)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422" s="48">
        <f ca="1">VLOOKUP($F422,OFFSET(enemy_skill_triggers!$A$1,0,0,COUNTA(enemy_skill_triggers!$A:$A),MATCH(O$1,enemy_skill_triggers!$1:$1,0)-MATCH($F$1,enemy_skill_triggers!$1:$1,0)+1),MATCH(O$1,enemy_skill_triggers!$1:$1,0)-MATCH($F$1,enemy_skill_triggers!$1:$1,0)+1,FALSE)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2" s="47"/>
      <c r="Q422" s="47"/>
      <c r="R422" s="47"/>
    </row>
    <row r="423" spans="1:18" ht="21" customHeight="1" x14ac:dyDescent="0.15">
      <c r="A423" s="39" t="str">
        <f t="shared" si="22"/>
        <v>39009021_39009074</v>
      </c>
      <c r="B423" s="129">
        <v>39009021</v>
      </c>
      <c r="C423" s="47">
        <v>39009074</v>
      </c>
      <c r="D423" s="46" t="str">
        <f ca="1">VLOOKUP($C423,OFFSET(enemy_skills!$A$1,0,0,COUNTA(enemy_skills!$A:$A),MATCH(D$1,enemy_skills!$1:$1,0)-MATCH("enemy_skill_id",enemy_skills!$1:$1,0)+1),MATCH(D$1,enemy_skills!$1:$1,0)-MATCH("enemy_skill_id",enemy_skills!$1:$1,0)+1,FALSE)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3" s="46" t="str">
        <f ca="1">VLOOKUP($C423,OFFSET(enemy_skills!$A$1,0,0,COUNTA(enemy_skills!$A:$A),MATCH(E$1,enemy_skills!$1:$1,0)-MATCH("enemy_skill_id",enemy_skills!$1:$1,0)+1),MATCH(E$1,enemy_skills!$1:$1,0)-MATCH("enemy_skill_id",enemy_skills!$1:$1,0)+1,FALSE)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3" s="47">
        <v>39009201</v>
      </c>
      <c r="G423" s="48">
        <f ca="1">VLOOKUP($F423,OFFSET(enemy_skill_triggers!$A$1,0,0,COUNTA(enemy_skill_triggers!$A:$A),MATCH(G$1,enemy_skill_triggers!$1:$1,0)-MATCH($F$1,enemy_skill_triggers!$1:$1,0)+1),MATCH(G$1,enemy_skill_triggers!$1:$1,0)-MATCH($F$1,enemy_skill_triggers!$1:$1,0)+1,FALSE)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3" s="48">
        <f ca="1">VLOOKUP($F423,OFFSET(enemy_skill_triggers!$A$1,0,0,COUNTA(enemy_skill_triggers!$A:$A),MATCH(H$1,enemy_skill_triggers!$1:$1,0)-MATCH($F$1,enemy_skill_triggers!$1:$1,0)+1),MATCH(H$1,enemy_skill_triggers!$1:$1,0)-MATCH($F$1,enemy_skill_triggers!$1:$1,0)+1,FALSE)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423" s="48">
        <f ca="1">VLOOKUP($F423,OFFSET(enemy_skill_triggers!$A$1,0,0,COUNTA(enemy_skill_triggers!$A:$A),MATCH(I$1,enemy_skill_triggers!$1:$1,0)-MATCH($F$1,enemy_skill_triggers!$1:$1,0)+1),MATCH(I$1,enemy_skill_triggers!$1:$1,0)-MATCH($F$1,enemy_skill_triggers!$1:$1,0)+1,FALSE)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3" s="48" t="str">
        <f ca="1">VLOOKUP($F423,OFFSET(enemy_skill_triggers!$A$1,0,0,COUNTA(enemy_skill_triggers!$A:$A),MATCH(J$1,enemy_skill_triggers!$1:$1,0)-MATCH($F$1,enemy_skill_triggers!$1:$1,0)+1),MATCH(J$1,enemy_skill_triggers!$1:$1,0)-MATCH($F$1,enemy_skill_triggers!$1:$1,0)+1,FALSE)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3" s="48" t="str">
        <f ca="1">VLOOKUP($F423,OFFSET(enemy_skill_triggers!$A$1,0,0,COUNTA(enemy_skill_triggers!$A:$A),MATCH(K$1,enemy_skill_triggers!$1:$1,0)-MATCH($F$1,enemy_skill_triggers!$1:$1,0)+1),MATCH(K$1,enemy_skill_triggers!$1:$1,0)-MATCH($F$1,enemy_skill_triggers!$1:$1,0)+1,FALSE)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3" s="48">
        <f ca="1">VLOOKUP($F423,OFFSET(enemy_skill_triggers!$A$1,0,0,COUNTA(enemy_skill_triggers!$A:$A),MATCH(L$1,enemy_skill_triggers!$1:$1,0)-MATCH($F$1,enemy_skill_triggers!$1:$1,0)+1),MATCH(L$1,enemy_skill_triggers!$1:$1,0)-MATCH($F$1,enemy_skill_triggers!$1:$1,0)+1,FALSE)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3" s="48" t="str">
        <f ca="1">VLOOKUP($F423,OFFSET(enemy_skill_triggers!$A$1,0,0,COUNTA(enemy_skill_triggers!$A:$A),MATCH(M$1,enemy_skill_triggers!$1:$1,0)-MATCH($F$1,enemy_skill_triggers!$1:$1,0)+1),MATCH(M$1,enemy_skill_triggers!$1:$1,0)-MATCH($F$1,enemy_skill_triggers!$1:$1,0)+1,FALSE)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3" s="48">
        <f ca="1">VLOOKUP($F423,OFFSET(enemy_skill_triggers!$A$1,0,0,COUNTA(enemy_skill_triggers!$A:$A),MATCH(N$1,enemy_skill_triggers!$1:$1,0)-MATCH($F$1,enemy_skill_triggers!$1:$1,0)+1),MATCH(N$1,enemy_skill_triggers!$1:$1,0)-MATCH($F$1,enemy_skill_triggers!$1:$1,0)+1,FALSE)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423" s="48">
        <f ca="1">VLOOKUP($F423,OFFSET(enemy_skill_triggers!$A$1,0,0,COUNTA(enemy_skill_triggers!$A:$A),MATCH(O$1,enemy_skill_triggers!$1:$1,0)-MATCH($F$1,enemy_skill_triggers!$1:$1,0)+1),MATCH(O$1,enemy_skill_triggers!$1:$1,0)-MATCH($F$1,enemy_skill_triggers!$1:$1,0)+1,FALSE)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3" s="47"/>
      <c r="Q423" s="47"/>
      <c r="R423" s="47"/>
    </row>
    <row r="424" spans="1:18" ht="21" customHeight="1" x14ac:dyDescent="0.15">
      <c r="A424" s="39" t="str">
        <f t="shared" si="22"/>
        <v>39009021_39009074</v>
      </c>
      <c r="B424" s="129">
        <v>39009021</v>
      </c>
      <c r="C424" s="47">
        <v>39009074</v>
      </c>
      <c r="D424" s="46" t="str">
        <f ca="1">VLOOKUP($C424,OFFSET(enemy_skills!$A$1,0,0,COUNTA(enemy_skills!$A:$A),MATCH(D$1,enemy_skills!$1:$1,0)-MATCH("enemy_skill_id",enemy_skills!$1:$1,0)+1),MATCH(D$1,enemy_skills!$1:$1,0)-MATCH("enemy_skill_id",enemy_skills!$1:$1,0)+1,FALSE)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4" s="46" t="str">
        <f ca="1">VLOOKUP($C424,OFFSET(enemy_skills!$A$1,0,0,COUNTA(enemy_skills!$A:$A),MATCH(E$1,enemy_skills!$1:$1,0)-MATCH("enemy_skill_id",enemy_skills!$1:$1,0)+1),MATCH(E$1,enemy_skills!$1:$1,0)-MATCH("enemy_skill_id",enemy_skills!$1:$1,0)+1,FALSE)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4" s="47">
        <v>39009202</v>
      </c>
      <c r="G424" s="48">
        <f ca="1">VLOOKUP($F424,OFFSET(enemy_skill_triggers!$A$1,0,0,COUNTA(enemy_skill_triggers!$A:$A),MATCH(G$1,enemy_skill_triggers!$1:$1,0)-MATCH($F$1,enemy_skill_triggers!$1:$1,0)+1),MATCH(G$1,enemy_skill_triggers!$1:$1,0)-MATCH($F$1,enemy_skill_triggers!$1:$1,0)+1,FALSE)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4" s="48">
        <f ca="1">VLOOKUP($F424,OFFSET(enemy_skill_triggers!$A$1,0,0,COUNTA(enemy_skill_triggers!$A:$A),MATCH(H$1,enemy_skill_triggers!$1:$1,0)-MATCH($F$1,enemy_skill_triggers!$1:$1,0)+1),MATCH(H$1,enemy_skill_triggers!$1:$1,0)-MATCH($F$1,enemy_skill_triggers!$1:$1,0)+1,FALSE)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424" s="48">
        <f ca="1">VLOOKUP($F424,OFFSET(enemy_skill_triggers!$A$1,0,0,COUNTA(enemy_skill_triggers!$A:$A),MATCH(I$1,enemy_skill_triggers!$1:$1,0)-MATCH($F$1,enemy_skill_triggers!$1:$1,0)+1),MATCH(I$1,enemy_skill_triggers!$1:$1,0)-MATCH($F$1,enemy_skill_triggers!$1:$1,0)+1,FALSE)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4" s="48" t="str">
        <f ca="1">VLOOKUP($F424,OFFSET(enemy_skill_triggers!$A$1,0,0,COUNTA(enemy_skill_triggers!$A:$A),MATCH(J$1,enemy_skill_triggers!$1:$1,0)-MATCH($F$1,enemy_skill_triggers!$1:$1,0)+1),MATCH(J$1,enemy_skill_triggers!$1:$1,0)-MATCH($F$1,enemy_skill_triggers!$1:$1,0)+1,FALSE)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4" s="48" t="str">
        <f ca="1">VLOOKUP($F424,OFFSET(enemy_skill_triggers!$A$1,0,0,COUNTA(enemy_skill_triggers!$A:$A),MATCH(K$1,enemy_skill_triggers!$1:$1,0)-MATCH($F$1,enemy_skill_triggers!$1:$1,0)+1),MATCH(K$1,enemy_skill_triggers!$1:$1,0)-MATCH($F$1,enemy_skill_triggers!$1:$1,0)+1,FALSE)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4" s="48">
        <f ca="1">VLOOKUP($F424,OFFSET(enemy_skill_triggers!$A$1,0,0,COUNTA(enemy_skill_triggers!$A:$A),MATCH(L$1,enemy_skill_triggers!$1:$1,0)-MATCH($F$1,enemy_skill_triggers!$1:$1,0)+1),MATCH(L$1,enemy_skill_triggers!$1:$1,0)-MATCH($F$1,enemy_skill_triggers!$1:$1,0)+1,FALSE)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4" s="48" t="str">
        <f ca="1">VLOOKUP($F424,OFFSET(enemy_skill_triggers!$A$1,0,0,COUNTA(enemy_skill_triggers!$A:$A),MATCH(M$1,enemy_skill_triggers!$1:$1,0)-MATCH($F$1,enemy_skill_triggers!$1:$1,0)+1),MATCH(M$1,enemy_skill_triggers!$1:$1,0)-MATCH($F$1,enemy_skill_triggers!$1:$1,0)+1,FALSE)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4" s="48">
        <f ca="1">VLOOKUP($F424,OFFSET(enemy_skill_triggers!$A$1,0,0,COUNTA(enemy_skill_triggers!$A:$A),MATCH(N$1,enemy_skill_triggers!$1:$1,0)-MATCH($F$1,enemy_skill_triggers!$1:$1,0)+1),MATCH(N$1,enemy_skill_triggers!$1:$1,0)-MATCH($F$1,enemy_skill_triggers!$1:$1,0)+1,FALSE)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424" s="48">
        <f ca="1">VLOOKUP($F424,OFFSET(enemy_skill_triggers!$A$1,0,0,COUNTA(enemy_skill_triggers!$A:$A),MATCH(O$1,enemy_skill_triggers!$1:$1,0)-MATCH($F$1,enemy_skill_triggers!$1:$1,0)+1),MATCH(O$1,enemy_skill_triggers!$1:$1,0)-MATCH($F$1,enemy_skill_triggers!$1:$1,0)+1,FALSE)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4" s="47"/>
      <c r="Q424" s="47"/>
      <c r="R424" s="47"/>
    </row>
    <row r="425" spans="1:18" ht="21" customHeight="1" x14ac:dyDescent="0.15">
      <c r="A425" s="39" t="str">
        <f t="shared" si="22"/>
        <v>39009021_39009074</v>
      </c>
      <c r="B425" s="129">
        <v>39009021</v>
      </c>
      <c r="C425" s="47">
        <v>39009074</v>
      </c>
      <c r="D425" s="46" t="str">
        <f ca="1">VLOOKUP($C425,OFFSET(enemy_skills!$A$1,0,0,COUNTA(enemy_skills!$A:$A),MATCH(D$1,enemy_skills!$1:$1,0)-MATCH("enemy_skill_id",enemy_skills!$1:$1,0)+1),MATCH(D$1,enemy_skills!$1:$1,0)-MATCH("enemy_skill_id",enemy_skills!$1:$1,0)+1,FALSE)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5" s="46" t="str">
        <f ca="1">VLOOKUP($C425,OFFSET(enemy_skills!$A$1,0,0,COUNTA(enemy_skills!$A:$A),MATCH(E$1,enemy_skills!$1:$1,0)-MATCH("enemy_skill_id",enemy_skills!$1:$1,0)+1),MATCH(E$1,enemy_skills!$1:$1,0)-MATCH("enemy_skill_id",enemy_skills!$1:$1,0)+1,FALSE)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5" s="47">
        <v>39009203</v>
      </c>
      <c r="G425" s="48">
        <f ca="1">VLOOKUP($F425,OFFSET(enemy_skill_triggers!$A$1,0,0,COUNTA(enemy_skill_triggers!$A:$A),MATCH(G$1,enemy_skill_triggers!$1:$1,0)-MATCH($F$1,enemy_skill_triggers!$1:$1,0)+1),MATCH(G$1,enemy_skill_triggers!$1:$1,0)-MATCH($F$1,enemy_skill_triggers!$1:$1,0)+1,FALSE)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5" s="48">
        <f ca="1">VLOOKUP($F425,OFFSET(enemy_skill_triggers!$A$1,0,0,COUNTA(enemy_skill_triggers!$A:$A),MATCH(H$1,enemy_skill_triggers!$1:$1,0)-MATCH($F$1,enemy_skill_triggers!$1:$1,0)+1),MATCH(H$1,enemy_skill_triggers!$1:$1,0)-MATCH($F$1,enemy_skill_triggers!$1:$1,0)+1,FALSE)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425" s="48">
        <f ca="1">VLOOKUP($F425,OFFSET(enemy_skill_triggers!$A$1,0,0,COUNTA(enemy_skill_triggers!$A:$A),MATCH(I$1,enemy_skill_triggers!$1:$1,0)-MATCH($F$1,enemy_skill_triggers!$1:$1,0)+1),MATCH(I$1,enemy_skill_triggers!$1:$1,0)-MATCH($F$1,enemy_skill_triggers!$1:$1,0)+1,FALSE)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5" s="48" t="str">
        <f ca="1">VLOOKUP($F425,OFFSET(enemy_skill_triggers!$A$1,0,0,COUNTA(enemy_skill_triggers!$A:$A),MATCH(J$1,enemy_skill_triggers!$1:$1,0)-MATCH($F$1,enemy_skill_triggers!$1:$1,0)+1),MATCH(J$1,enemy_skill_triggers!$1:$1,0)-MATCH($F$1,enemy_skill_triggers!$1:$1,0)+1,FALSE)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5" s="48" t="str">
        <f ca="1">VLOOKUP($F425,OFFSET(enemy_skill_triggers!$A$1,0,0,COUNTA(enemy_skill_triggers!$A:$A),MATCH(K$1,enemy_skill_triggers!$1:$1,0)-MATCH($F$1,enemy_skill_triggers!$1:$1,0)+1),MATCH(K$1,enemy_skill_triggers!$1:$1,0)-MATCH($F$1,enemy_skill_triggers!$1:$1,0)+1,FALSE)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5" s="48">
        <f ca="1">VLOOKUP($F425,OFFSET(enemy_skill_triggers!$A$1,0,0,COUNTA(enemy_skill_triggers!$A:$A),MATCH(L$1,enemy_skill_triggers!$1:$1,0)-MATCH($F$1,enemy_skill_triggers!$1:$1,0)+1),MATCH(L$1,enemy_skill_triggers!$1:$1,0)-MATCH($F$1,enemy_skill_triggers!$1:$1,0)+1,FALSE)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5" s="48" t="str">
        <f ca="1">VLOOKUP($F425,OFFSET(enemy_skill_triggers!$A$1,0,0,COUNTA(enemy_skill_triggers!$A:$A),MATCH(M$1,enemy_skill_triggers!$1:$1,0)-MATCH($F$1,enemy_skill_triggers!$1:$1,0)+1),MATCH(M$1,enemy_skill_triggers!$1:$1,0)-MATCH($F$1,enemy_skill_triggers!$1:$1,0)+1,FALSE)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5" s="48">
        <f ca="1">VLOOKUP($F425,OFFSET(enemy_skill_triggers!$A$1,0,0,COUNTA(enemy_skill_triggers!$A:$A),MATCH(N$1,enemy_skill_triggers!$1:$1,0)-MATCH($F$1,enemy_skill_triggers!$1:$1,0)+1),MATCH(N$1,enemy_skill_triggers!$1:$1,0)-MATCH($F$1,enemy_skill_triggers!$1:$1,0)+1,FALSE)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425" s="48">
        <f ca="1">VLOOKUP($F425,OFFSET(enemy_skill_triggers!$A$1,0,0,COUNTA(enemy_skill_triggers!$A:$A),MATCH(O$1,enemy_skill_triggers!$1:$1,0)-MATCH($F$1,enemy_skill_triggers!$1:$1,0)+1),MATCH(O$1,enemy_skill_triggers!$1:$1,0)-MATCH($F$1,enemy_skill_triggers!$1:$1,0)+1,FALSE)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5" s="47"/>
      <c r="Q425" s="47"/>
      <c r="R425" s="47"/>
    </row>
    <row r="426" spans="1:18" ht="21" customHeight="1" x14ac:dyDescent="0.15">
      <c r="A426" s="39" t="str">
        <f t="shared" si="22"/>
        <v>39009021_39009074</v>
      </c>
      <c r="B426" s="129">
        <v>39009021</v>
      </c>
      <c r="C426" s="47">
        <v>39009074</v>
      </c>
      <c r="D426" s="46" t="str">
        <f ca="1">VLOOKUP($C426,OFFSET(enemy_skills!$A$1,0,0,COUNTA(enemy_skills!$A:$A),MATCH(D$1,enemy_skills!$1:$1,0)-MATCH("enemy_skill_id",enemy_skills!$1:$1,0)+1),MATCH(D$1,enemy_skills!$1:$1,0)-MATCH("enemy_skill_id",enemy_skills!$1:$1,0)+1,FALSE)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6" s="46" t="str">
        <f ca="1">VLOOKUP($C426,OFFSET(enemy_skills!$A$1,0,0,COUNTA(enemy_skills!$A:$A),MATCH(E$1,enemy_skills!$1:$1,0)-MATCH("enemy_skill_id",enemy_skills!$1:$1,0)+1),MATCH(E$1,enemy_skills!$1:$1,0)-MATCH("enemy_skill_id",enemy_skills!$1:$1,0)+1,FALSE)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6" s="47">
        <v>39009204</v>
      </c>
      <c r="G426" s="48">
        <f ca="1">VLOOKUP($F426,OFFSET(enemy_skill_triggers!$A$1,0,0,COUNTA(enemy_skill_triggers!$A:$A),MATCH(G$1,enemy_skill_triggers!$1:$1,0)-MATCH($F$1,enemy_skill_triggers!$1:$1,0)+1),MATCH(G$1,enemy_skill_triggers!$1:$1,0)-MATCH($F$1,enemy_skill_triggers!$1:$1,0)+1,FALSE)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6" s="48">
        <f ca="1">VLOOKUP($F426,OFFSET(enemy_skill_triggers!$A$1,0,0,COUNTA(enemy_skill_triggers!$A:$A),MATCH(H$1,enemy_skill_triggers!$1:$1,0)-MATCH($F$1,enemy_skill_triggers!$1:$1,0)+1),MATCH(H$1,enemy_skill_triggers!$1:$1,0)-MATCH($F$1,enemy_skill_triggers!$1:$1,0)+1,FALSE)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426" s="48">
        <f ca="1">VLOOKUP($F426,OFFSET(enemy_skill_triggers!$A$1,0,0,COUNTA(enemy_skill_triggers!$A:$A),MATCH(I$1,enemy_skill_triggers!$1:$1,0)-MATCH($F$1,enemy_skill_triggers!$1:$1,0)+1),MATCH(I$1,enemy_skill_triggers!$1:$1,0)-MATCH($F$1,enemy_skill_triggers!$1:$1,0)+1,FALSE)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6" s="48" t="str">
        <f ca="1">VLOOKUP($F426,OFFSET(enemy_skill_triggers!$A$1,0,0,COUNTA(enemy_skill_triggers!$A:$A),MATCH(J$1,enemy_skill_triggers!$1:$1,0)-MATCH($F$1,enemy_skill_triggers!$1:$1,0)+1),MATCH(J$1,enemy_skill_triggers!$1:$1,0)-MATCH($F$1,enemy_skill_triggers!$1:$1,0)+1,FALSE)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6" s="48" t="str">
        <f ca="1">VLOOKUP($F426,OFFSET(enemy_skill_triggers!$A$1,0,0,COUNTA(enemy_skill_triggers!$A:$A),MATCH(K$1,enemy_skill_triggers!$1:$1,0)-MATCH($F$1,enemy_skill_triggers!$1:$1,0)+1),MATCH(K$1,enemy_skill_triggers!$1:$1,0)-MATCH($F$1,enemy_skill_triggers!$1:$1,0)+1,FALSE)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6" s="48">
        <f ca="1">VLOOKUP($F426,OFFSET(enemy_skill_triggers!$A$1,0,0,COUNTA(enemy_skill_triggers!$A:$A),MATCH(L$1,enemy_skill_triggers!$1:$1,0)-MATCH($F$1,enemy_skill_triggers!$1:$1,0)+1),MATCH(L$1,enemy_skill_triggers!$1:$1,0)-MATCH($F$1,enemy_skill_triggers!$1:$1,0)+1,FALSE)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6" s="48" t="str">
        <f ca="1">VLOOKUP($F426,OFFSET(enemy_skill_triggers!$A$1,0,0,COUNTA(enemy_skill_triggers!$A:$A),MATCH(M$1,enemy_skill_triggers!$1:$1,0)-MATCH($F$1,enemy_skill_triggers!$1:$1,0)+1),MATCH(M$1,enemy_skill_triggers!$1:$1,0)-MATCH($F$1,enemy_skill_triggers!$1:$1,0)+1,FALSE)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6" s="48">
        <f ca="1">VLOOKUP($F426,OFFSET(enemy_skill_triggers!$A$1,0,0,COUNTA(enemy_skill_triggers!$A:$A),MATCH(N$1,enemy_skill_triggers!$1:$1,0)-MATCH($F$1,enemy_skill_triggers!$1:$1,0)+1),MATCH(N$1,enemy_skill_triggers!$1:$1,0)-MATCH($F$1,enemy_skill_triggers!$1:$1,0)+1,FALSE)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426" s="48">
        <f ca="1">VLOOKUP($F426,OFFSET(enemy_skill_triggers!$A$1,0,0,COUNTA(enemy_skill_triggers!$A:$A),MATCH(O$1,enemy_skill_triggers!$1:$1,0)-MATCH($F$1,enemy_skill_triggers!$1:$1,0)+1),MATCH(O$1,enemy_skill_triggers!$1:$1,0)-MATCH($F$1,enemy_skill_triggers!$1:$1,0)+1,FALSE)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6" s="47"/>
      <c r="Q426" s="47"/>
      <c r="R426" s="47"/>
    </row>
    <row r="427" spans="1:18" ht="21" customHeight="1" x14ac:dyDescent="0.15">
      <c r="A427" s="39" t="str">
        <f t="shared" si="22"/>
        <v>39009021_39009074</v>
      </c>
      <c r="B427" s="129">
        <v>39009021</v>
      </c>
      <c r="C427" s="47">
        <v>39009074</v>
      </c>
      <c r="D427" s="46" t="str">
        <f ca="1">VLOOKUP($C427,OFFSET(enemy_skills!$A$1,0,0,COUNTA(enemy_skills!$A:$A),MATCH(D$1,enemy_skills!$1:$1,0)-MATCH("enemy_skill_id",enemy_skills!$1:$1,0)+1),MATCH(D$1,enemy_skills!$1:$1,0)-MATCH("enemy_skill_id",enemy_skills!$1:$1,0)+1,FALSE)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7" s="46" t="str">
        <f ca="1">VLOOKUP($C427,OFFSET(enemy_skills!$A$1,0,0,COUNTA(enemy_skills!$A:$A),MATCH(E$1,enemy_skills!$1:$1,0)-MATCH("enemy_skill_id",enemy_skills!$1:$1,0)+1),MATCH(E$1,enemy_skills!$1:$1,0)-MATCH("enemy_skill_id",enemy_skills!$1:$1,0)+1,FALSE)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7" s="47">
        <v>39009205</v>
      </c>
      <c r="G427" s="48">
        <f ca="1">VLOOKUP($F427,OFFSET(enemy_skill_triggers!$A$1,0,0,COUNTA(enemy_skill_triggers!$A:$A),MATCH(G$1,enemy_skill_triggers!$1:$1,0)-MATCH($F$1,enemy_skill_triggers!$1:$1,0)+1),MATCH(G$1,enemy_skill_triggers!$1:$1,0)-MATCH($F$1,enemy_skill_triggers!$1:$1,0)+1,FALSE)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7" s="48">
        <f ca="1">VLOOKUP($F427,OFFSET(enemy_skill_triggers!$A$1,0,0,COUNTA(enemy_skill_triggers!$A:$A),MATCH(H$1,enemy_skill_triggers!$1:$1,0)-MATCH($F$1,enemy_skill_triggers!$1:$1,0)+1),MATCH(H$1,enemy_skill_triggers!$1:$1,0)-MATCH($F$1,enemy_skill_triggers!$1:$1,0)+1,FALSE)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427" s="48">
        <f ca="1">VLOOKUP($F427,OFFSET(enemy_skill_triggers!$A$1,0,0,COUNTA(enemy_skill_triggers!$A:$A),MATCH(I$1,enemy_skill_triggers!$1:$1,0)-MATCH($F$1,enemy_skill_triggers!$1:$1,0)+1),MATCH(I$1,enemy_skill_triggers!$1:$1,0)-MATCH($F$1,enemy_skill_triggers!$1:$1,0)+1,FALSE)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7" s="48" t="str">
        <f ca="1">VLOOKUP($F427,OFFSET(enemy_skill_triggers!$A$1,0,0,COUNTA(enemy_skill_triggers!$A:$A),MATCH(J$1,enemy_skill_triggers!$1:$1,0)-MATCH($F$1,enemy_skill_triggers!$1:$1,0)+1),MATCH(J$1,enemy_skill_triggers!$1:$1,0)-MATCH($F$1,enemy_skill_triggers!$1:$1,0)+1,FALSE)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7" s="48" t="str">
        <f ca="1">VLOOKUP($F427,OFFSET(enemy_skill_triggers!$A$1,0,0,COUNTA(enemy_skill_triggers!$A:$A),MATCH(K$1,enemy_skill_triggers!$1:$1,0)-MATCH($F$1,enemy_skill_triggers!$1:$1,0)+1),MATCH(K$1,enemy_skill_triggers!$1:$1,0)-MATCH($F$1,enemy_skill_triggers!$1:$1,0)+1,FALSE)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7" s="48">
        <f ca="1">VLOOKUP($F427,OFFSET(enemy_skill_triggers!$A$1,0,0,COUNTA(enemy_skill_triggers!$A:$A),MATCH(L$1,enemy_skill_triggers!$1:$1,0)-MATCH($F$1,enemy_skill_triggers!$1:$1,0)+1),MATCH(L$1,enemy_skill_triggers!$1:$1,0)-MATCH($F$1,enemy_skill_triggers!$1:$1,0)+1,FALSE)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7" s="48" t="str">
        <f ca="1">VLOOKUP($F427,OFFSET(enemy_skill_triggers!$A$1,0,0,COUNTA(enemy_skill_triggers!$A:$A),MATCH(M$1,enemy_skill_triggers!$1:$1,0)-MATCH($F$1,enemy_skill_triggers!$1:$1,0)+1),MATCH(M$1,enemy_skill_triggers!$1:$1,0)-MATCH($F$1,enemy_skill_triggers!$1:$1,0)+1,FALSE)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7" s="48">
        <f ca="1">VLOOKUP($F427,OFFSET(enemy_skill_triggers!$A$1,0,0,COUNTA(enemy_skill_triggers!$A:$A),MATCH(N$1,enemy_skill_triggers!$1:$1,0)-MATCH($F$1,enemy_skill_triggers!$1:$1,0)+1),MATCH(N$1,enemy_skill_triggers!$1:$1,0)-MATCH($F$1,enemy_skill_triggers!$1:$1,0)+1,FALSE)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427" s="48">
        <f ca="1">VLOOKUP($F427,OFFSET(enemy_skill_triggers!$A$1,0,0,COUNTA(enemy_skill_triggers!$A:$A),MATCH(O$1,enemy_skill_triggers!$1:$1,0)-MATCH($F$1,enemy_skill_triggers!$1:$1,0)+1),MATCH(O$1,enemy_skill_triggers!$1:$1,0)-MATCH($F$1,enemy_skill_triggers!$1:$1,0)+1,FALSE)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7" s="47"/>
      <c r="Q427" s="47"/>
      <c r="R427" s="47"/>
    </row>
    <row r="428" spans="1:18" ht="21" customHeight="1" x14ac:dyDescent="0.15">
      <c r="A428" s="39" t="str">
        <f t="shared" si="22"/>
        <v>39009021_39009074</v>
      </c>
      <c r="B428" s="129">
        <v>39009021</v>
      </c>
      <c r="C428" s="47">
        <v>39009074</v>
      </c>
      <c r="D428" s="46" t="str">
        <f ca="1">VLOOKUP($C428,OFFSET(enemy_skills!$A$1,0,0,COUNTA(enemy_skills!$A:$A),MATCH(D$1,enemy_skills!$1:$1,0)-MATCH("enemy_skill_id",enemy_skills!$1:$1,0)+1),MATCH(D$1,enemy_skills!$1:$1,0)-MATCH("enemy_skill_id",enemy_skills!$1:$1,0)+1,FALSE)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8" s="46" t="str">
        <f ca="1">VLOOKUP($C428,OFFSET(enemy_skills!$A$1,0,0,COUNTA(enemy_skills!$A:$A),MATCH(E$1,enemy_skills!$1:$1,0)-MATCH("enemy_skill_id",enemy_skills!$1:$1,0)+1),MATCH(E$1,enemy_skills!$1:$1,0)-MATCH("enemy_skill_id",enemy_skills!$1:$1,0)+1,FALSE)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8" s="47">
        <v>39009206</v>
      </c>
      <c r="G428" s="48">
        <f ca="1">VLOOKUP($F428,OFFSET(enemy_skill_triggers!$A$1,0,0,COUNTA(enemy_skill_triggers!$A:$A),MATCH(G$1,enemy_skill_triggers!$1:$1,0)-MATCH($F$1,enemy_skill_triggers!$1:$1,0)+1),MATCH(G$1,enemy_skill_triggers!$1:$1,0)-MATCH($F$1,enemy_skill_triggers!$1:$1,0)+1,FALSE)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8" s="48">
        <f ca="1">VLOOKUP($F428,OFFSET(enemy_skill_triggers!$A$1,0,0,COUNTA(enemy_skill_triggers!$A:$A),MATCH(H$1,enemy_skill_triggers!$1:$1,0)-MATCH($F$1,enemy_skill_triggers!$1:$1,0)+1),MATCH(H$1,enemy_skill_triggers!$1:$1,0)-MATCH($F$1,enemy_skill_triggers!$1:$1,0)+1,FALSE)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28" s="48">
        <f ca="1">VLOOKUP($F428,OFFSET(enemy_skill_triggers!$A$1,0,0,COUNTA(enemy_skill_triggers!$A:$A),MATCH(I$1,enemy_skill_triggers!$1:$1,0)-MATCH($F$1,enemy_skill_triggers!$1:$1,0)+1),MATCH(I$1,enemy_skill_triggers!$1:$1,0)-MATCH($F$1,enemy_skill_triggers!$1:$1,0)+1,FALSE)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8" s="48" t="str">
        <f ca="1">VLOOKUP($F428,OFFSET(enemy_skill_triggers!$A$1,0,0,COUNTA(enemy_skill_triggers!$A:$A),MATCH(J$1,enemy_skill_triggers!$1:$1,0)-MATCH($F$1,enemy_skill_triggers!$1:$1,0)+1),MATCH(J$1,enemy_skill_triggers!$1:$1,0)-MATCH($F$1,enemy_skill_triggers!$1:$1,0)+1,FALSE)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8" s="48" t="str">
        <f ca="1">VLOOKUP($F428,OFFSET(enemy_skill_triggers!$A$1,0,0,COUNTA(enemy_skill_triggers!$A:$A),MATCH(K$1,enemy_skill_triggers!$1:$1,0)-MATCH($F$1,enemy_skill_triggers!$1:$1,0)+1),MATCH(K$1,enemy_skill_triggers!$1:$1,0)-MATCH($F$1,enemy_skill_triggers!$1:$1,0)+1,FALSE)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8" s="48">
        <f ca="1">VLOOKUP($F428,OFFSET(enemy_skill_triggers!$A$1,0,0,COUNTA(enemy_skill_triggers!$A:$A),MATCH(L$1,enemy_skill_triggers!$1:$1,0)-MATCH($F$1,enemy_skill_triggers!$1:$1,0)+1),MATCH(L$1,enemy_skill_triggers!$1:$1,0)-MATCH($F$1,enemy_skill_triggers!$1:$1,0)+1,FALSE)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8" s="48" t="str">
        <f ca="1">VLOOKUP($F428,OFFSET(enemy_skill_triggers!$A$1,0,0,COUNTA(enemy_skill_triggers!$A:$A),MATCH(M$1,enemy_skill_triggers!$1:$1,0)-MATCH($F$1,enemy_skill_triggers!$1:$1,0)+1),MATCH(M$1,enemy_skill_triggers!$1:$1,0)-MATCH($F$1,enemy_skill_triggers!$1:$1,0)+1,FALSE)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8" s="48">
        <f ca="1">VLOOKUP($F428,OFFSET(enemy_skill_triggers!$A$1,0,0,COUNTA(enemy_skill_triggers!$A:$A),MATCH(N$1,enemy_skill_triggers!$1:$1,0)-MATCH($F$1,enemy_skill_triggers!$1:$1,0)+1),MATCH(N$1,enemy_skill_triggers!$1:$1,0)-MATCH($F$1,enemy_skill_triggers!$1:$1,0)+1,FALSE)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428" s="48">
        <f ca="1">VLOOKUP($F428,OFFSET(enemy_skill_triggers!$A$1,0,0,COUNTA(enemy_skill_triggers!$A:$A),MATCH(O$1,enemy_skill_triggers!$1:$1,0)-MATCH($F$1,enemy_skill_triggers!$1:$1,0)+1),MATCH(O$1,enemy_skill_triggers!$1:$1,0)-MATCH($F$1,enemy_skill_triggers!$1:$1,0)+1,FALSE)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8" s="47"/>
      <c r="Q428" s="47"/>
      <c r="R428" s="47"/>
    </row>
    <row r="429" spans="1:18" ht="21" customHeight="1" x14ac:dyDescent="0.15">
      <c r="A429" s="39" t="str">
        <f t="shared" si="22"/>
        <v>39009021_39009074</v>
      </c>
      <c r="B429" s="129">
        <v>39009021</v>
      </c>
      <c r="C429" s="47">
        <v>39009074</v>
      </c>
      <c r="D429" s="46" t="str">
        <f ca="1">VLOOKUP($C429,OFFSET(enemy_skills!$A$1,0,0,COUNTA(enemy_skills!$A:$A),MATCH(D$1,enemy_skills!$1:$1,0)-MATCH("enemy_skill_id",enemy_skills!$1:$1,0)+1),MATCH(D$1,enemy_skills!$1:$1,0)-MATCH("enemy_skill_id",enemy_skills!$1:$1,0)+1,FALSE)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29" s="46" t="str">
        <f ca="1">VLOOKUP($C429,OFFSET(enemy_skills!$A$1,0,0,COUNTA(enemy_skills!$A:$A),MATCH(E$1,enemy_skills!$1:$1,0)-MATCH("enemy_skill_id",enemy_skills!$1:$1,0)+1),MATCH(E$1,enemy_skills!$1:$1,0)-MATCH("enemy_skill_id",enemy_skills!$1:$1,0)+1,FALSE)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9" s="47">
        <v>39009207</v>
      </c>
      <c r="G429" s="48">
        <f ca="1">VLOOKUP($F429,OFFSET(enemy_skill_triggers!$A$1,0,0,COUNTA(enemy_skill_triggers!$A:$A),MATCH(G$1,enemy_skill_triggers!$1:$1,0)-MATCH($F$1,enemy_skill_triggers!$1:$1,0)+1),MATCH(G$1,enemy_skill_triggers!$1:$1,0)-MATCH($F$1,enemy_skill_triggers!$1:$1,0)+1,FALSE)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9" s="48">
        <f ca="1">VLOOKUP($F429,OFFSET(enemy_skill_triggers!$A$1,0,0,COUNTA(enemy_skill_triggers!$A:$A),MATCH(H$1,enemy_skill_triggers!$1:$1,0)-MATCH($F$1,enemy_skill_triggers!$1:$1,0)+1),MATCH(H$1,enemy_skill_triggers!$1:$1,0)-MATCH($F$1,enemy_skill_triggers!$1:$1,0)+1,FALSE)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429" s="48">
        <f ca="1">VLOOKUP($F429,OFFSET(enemy_skill_triggers!$A$1,0,0,COUNTA(enemy_skill_triggers!$A:$A),MATCH(I$1,enemy_skill_triggers!$1:$1,0)-MATCH($F$1,enemy_skill_triggers!$1:$1,0)+1),MATCH(I$1,enemy_skill_triggers!$1:$1,0)-MATCH($F$1,enemy_skill_triggers!$1:$1,0)+1,FALSE)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9" s="48" t="str">
        <f ca="1">VLOOKUP($F429,OFFSET(enemy_skill_triggers!$A$1,0,0,COUNTA(enemy_skill_triggers!$A:$A),MATCH(J$1,enemy_skill_triggers!$1:$1,0)-MATCH($F$1,enemy_skill_triggers!$1:$1,0)+1),MATCH(J$1,enemy_skill_triggers!$1:$1,0)-MATCH($F$1,enemy_skill_triggers!$1:$1,0)+1,FALSE)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9" s="48" t="str">
        <f ca="1">VLOOKUP($F429,OFFSET(enemy_skill_triggers!$A$1,0,0,COUNTA(enemy_skill_triggers!$A:$A),MATCH(K$1,enemy_skill_triggers!$1:$1,0)-MATCH($F$1,enemy_skill_triggers!$1:$1,0)+1),MATCH(K$1,enemy_skill_triggers!$1:$1,0)-MATCH($F$1,enemy_skill_triggers!$1:$1,0)+1,FALSE)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9" s="48">
        <f ca="1">VLOOKUP($F429,OFFSET(enemy_skill_triggers!$A$1,0,0,COUNTA(enemy_skill_triggers!$A:$A),MATCH(L$1,enemy_skill_triggers!$1:$1,0)-MATCH($F$1,enemy_skill_triggers!$1:$1,0)+1),MATCH(L$1,enemy_skill_triggers!$1:$1,0)-MATCH($F$1,enemy_skill_triggers!$1:$1,0)+1,FALSE)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9" s="48" t="str">
        <f ca="1">VLOOKUP($F429,OFFSET(enemy_skill_triggers!$A$1,0,0,COUNTA(enemy_skill_triggers!$A:$A),MATCH(M$1,enemy_skill_triggers!$1:$1,0)-MATCH($F$1,enemy_skill_triggers!$1:$1,0)+1),MATCH(M$1,enemy_skill_triggers!$1:$1,0)-MATCH($F$1,enemy_skill_triggers!$1:$1,0)+1,FALSE)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9" s="48">
        <f ca="1">VLOOKUP($F429,OFFSET(enemy_skill_triggers!$A$1,0,0,COUNTA(enemy_skill_triggers!$A:$A),MATCH(N$1,enemy_skill_triggers!$1:$1,0)-MATCH($F$1,enemy_skill_triggers!$1:$1,0)+1),MATCH(N$1,enemy_skill_triggers!$1:$1,0)-MATCH($F$1,enemy_skill_triggers!$1:$1,0)+1,FALSE)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429" s="48">
        <f ca="1">VLOOKUP($F429,OFFSET(enemy_skill_triggers!$A$1,0,0,COUNTA(enemy_skill_triggers!$A:$A),MATCH(O$1,enemy_skill_triggers!$1:$1,0)-MATCH($F$1,enemy_skill_triggers!$1:$1,0)+1),MATCH(O$1,enemy_skill_triggers!$1:$1,0)-MATCH($F$1,enemy_skill_triggers!$1:$1,0)+1,FALSE)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9" s="47"/>
      <c r="Q429" s="47"/>
      <c r="R429" s="47"/>
    </row>
    <row r="430" spans="1:18" ht="21" customHeight="1" x14ac:dyDescent="0.15">
      <c r="A430" s="39" t="str">
        <f t="shared" si="22"/>
        <v>39009021_39009074</v>
      </c>
      <c r="B430" s="129">
        <v>39009021</v>
      </c>
      <c r="C430" s="47">
        <v>39009074</v>
      </c>
      <c r="D430" s="46" t="str">
        <f ca="1">VLOOKUP($C430,OFFSET(enemy_skills!$A$1,0,0,COUNTA(enemy_skills!$A:$A),MATCH(D$1,enemy_skills!$1:$1,0)-MATCH("enemy_skill_id",enemy_skills!$1:$1,0)+1),MATCH(D$1,enemy_skills!$1:$1,0)-MATCH("enemy_skill_id",enemy_skills!$1:$1,0)+1,FALSE)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0" s="46" t="str">
        <f ca="1">VLOOKUP($C430,OFFSET(enemy_skills!$A$1,0,0,COUNTA(enemy_skills!$A:$A),MATCH(E$1,enemy_skills!$1:$1,0)-MATCH("enemy_skill_id",enemy_skills!$1:$1,0)+1),MATCH(E$1,enemy_skills!$1:$1,0)-MATCH("enemy_skill_id",enemy_skills!$1:$1,0)+1,FALSE)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0" s="47">
        <v>39009208</v>
      </c>
      <c r="G430" s="48">
        <f ca="1">VLOOKUP($F430,OFFSET(enemy_skill_triggers!$A$1,0,0,COUNTA(enemy_skill_triggers!$A:$A),MATCH(G$1,enemy_skill_triggers!$1:$1,0)-MATCH($F$1,enemy_skill_triggers!$1:$1,0)+1),MATCH(G$1,enemy_skill_triggers!$1:$1,0)-MATCH($F$1,enemy_skill_triggers!$1:$1,0)+1,FALSE)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0" s="48">
        <f ca="1">VLOOKUP($F430,OFFSET(enemy_skill_triggers!$A$1,0,0,COUNTA(enemy_skill_triggers!$A:$A),MATCH(H$1,enemy_skill_triggers!$1:$1,0)-MATCH($F$1,enemy_skill_triggers!$1:$1,0)+1),MATCH(H$1,enemy_skill_triggers!$1:$1,0)-MATCH($F$1,enemy_skill_triggers!$1:$1,0)+1,FALSE)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430" s="48">
        <f ca="1">VLOOKUP($F430,OFFSET(enemy_skill_triggers!$A$1,0,0,COUNTA(enemy_skill_triggers!$A:$A),MATCH(I$1,enemy_skill_triggers!$1:$1,0)-MATCH($F$1,enemy_skill_triggers!$1:$1,0)+1),MATCH(I$1,enemy_skill_triggers!$1:$1,0)-MATCH($F$1,enemy_skill_triggers!$1:$1,0)+1,FALSE)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0" s="48" t="str">
        <f ca="1">VLOOKUP($F430,OFFSET(enemy_skill_triggers!$A$1,0,0,COUNTA(enemy_skill_triggers!$A:$A),MATCH(J$1,enemy_skill_triggers!$1:$1,0)-MATCH($F$1,enemy_skill_triggers!$1:$1,0)+1),MATCH(J$1,enemy_skill_triggers!$1:$1,0)-MATCH($F$1,enemy_skill_triggers!$1:$1,0)+1,FALSE)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0" s="48" t="str">
        <f ca="1">VLOOKUP($F430,OFFSET(enemy_skill_triggers!$A$1,0,0,COUNTA(enemy_skill_triggers!$A:$A),MATCH(K$1,enemy_skill_triggers!$1:$1,0)-MATCH($F$1,enemy_skill_triggers!$1:$1,0)+1),MATCH(K$1,enemy_skill_triggers!$1:$1,0)-MATCH($F$1,enemy_skill_triggers!$1:$1,0)+1,FALSE)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0" s="48">
        <f ca="1">VLOOKUP($F430,OFFSET(enemy_skill_triggers!$A$1,0,0,COUNTA(enemy_skill_triggers!$A:$A),MATCH(L$1,enemy_skill_triggers!$1:$1,0)-MATCH($F$1,enemy_skill_triggers!$1:$1,0)+1),MATCH(L$1,enemy_skill_triggers!$1:$1,0)-MATCH($F$1,enemy_skill_triggers!$1:$1,0)+1,FALSE)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0" s="48" t="str">
        <f ca="1">VLOOKUP($F430,OFFSET(enemy_skill_triggers!$A$1,0,0,COUNTA(enemy_skill_triggers!$A:$A),MATCH(M$1,enemy_skill_triggers!$1:$1,0)-MATCH($F$1,enemy_skill_triggers!$1:$1,0)+1),MATCH(M$1,enemy_skill_triggers!$1:$1,0)-MATCH($F$1,enemy_skill_triggers!$1:$1,0)+1,FALSE)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0" s="48">
        <f ca="1">VLOOKUP($F430,OFFSET(enemy_skill_triggers!$A$1,0,0,COUNTA(enemy_skill_triggers!$A:$A),MATCH(N$1,enemy_skill_triggers!$1:$1,0)-MATCH($F$1,enemy_skill_triggers!$1:$1,0)+1),MATCH(N$1,enemy_skill_triggers!$1:$1,0)-MATCH($F$1,enemy_skill_triggers!$1:$1,0)+1,FALSE)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430" s="48">
        <f ca="1">VLOOKUP($F430,OFFSET(enemy_skill_triggers!$A$1,0,0,COUNTA(enemy_skill_triggers!$A:$A),MATCH(O$1,enemy_skill_triggers!$1:$1,0)-MATCH($F$1,enemy_skill_triggers!$1:$1,0)+1),MATCH(O$1,enemy_skill_triggers!$1:$1,0)-MATCH($F$1,enemy_skill_triggers!$1:$1,0)+1,FALSE)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0" s="47"/>
      <c r="Q430" s="47"/>
      <c r="R430" s="47"/>
    </row>
    <row r="431" spans="1:18" ht="21" customHeight="1" x14ac:dyDescent="0.15">
      <c r="A431" s="39" t="str">
        <f t="shared" si="22"/>
        <v>39009021_39009074</v>
      </c>
      <c r="B431" s="129">
        <v>39009021</v>
      </c>
      <c r="C431" s="47">
        <v>39009074</v>
      </c>
      <c r="D431" s="46" t="str">
        <f ca="1">VLOOKUP($C431,OFFSET(enemy_skills!$A$1,0,0,COUNTA(enemy_skills!$A:$A),MATCH(D$1,enemy_skills!$1:$1,0)-MATCH("enemy_skill_id",enemy_skills!$1:$1,0)+1),MATCH(D$1,enemy_skills!$1:$1,0)-MATCH("enemy_skill_id",enemy_skills!$1:$1,0)+1,FALSE)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1" s="46" t="str">
        <f ca="1">VLOOKUP($C431,OFFSET(enemy_skills!$A$1,0,0,COUNTA(enemy_skills!$A:$A),MATCH(E$1,enemy_skills!$1:$1,0)-MATCH("enemy_skill_id",enemy_skills!$1:$1,0)+1),MATCH(E$1,enemy_skills!$1:$1,0)-MATCH("enemy_skill_id",enemy_skills!$1:$1,0)+1,FALSE)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1" s="47">
        <v>39009209</v>
      </c>
      <c r="G431" s="48">
        <f ca="1">VLOOKUP($F431,OFFSET(enemy_skill_triggers!$A$1,0,0,COUNTA(enemy_skill_triggers!$A:$A),MATCH(G$1,enemy_skill_triggers!$1:$1,0)-MATCH($F$1,enemy_skill_triggers!$1:$1,0)+1),MATCH(G$1,enemy_skill_triggers!$1:$1,0)-MATCH($F$1,enemy_skill_triggers!$1:$1,0)+1,FALSE)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1" s="48">
        <f ca="1">VLOOKUP($F431,OFFSET(enemy_skill_triggers!$A$1,0,0,COUNTA(enemy_skill_triggers!$A:$A),MATCH(H$1,enemy_skill_triggers!$1:$1,0)-MATCH($F$1,enemy_skill_triggers!$1:$1,0)+1),MATCH(H$1,enemy_skill_triggers!$1:$1,0)-MATCH($F$1,enemy_skill_triggers!$1:$1,0)+1,FALSE)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431" s="48">
        <f ca="1">VLOOKUP($F431,OFFSET(enemy_skill_triggers!$A$1,0,0,COUNTA(enemy_skill_triggers!$A:$A),MATCH(I$1,enemy_skill_triggers!$1:$1,0)-MATCH($F$1,enemy_skill_triggers!$1:$1,0)+1),MATCH(I$1,enemy_skill_triggers!$1:$1,0)-MATCH($F$1,enemy_skill_triggers!$1:$1,0)+1,FALSE)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1" s="48" t="str">
        <f ca="1">VLOOKUP($F431,OFFSET(enemy_skill_triggers!$A$1,0,0,COUNTA(enemy_skill_triggers!$A:$A),MATCH(J$1,enemy_skill_triggers!$1:$1,0)-MATCH($F$1,enemy_skill_triggers!$1:$1,0)+1),MATCH(J$1,enemy_skill_triggers!$1:$1,0)-MATCH($F$1,enemy_skill_triggers!$1:$1,0)+1,FALSE)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1" s="48" t="str">
        <f ca="1">VLOOKUP($F431,OFFSET(enemy_skill_triggers!$A$1,0,0,COUNTA(enemy_skill_triggers!$A:$A),MATCH(K$1,enemy_skill_triggers!$1:$1,0)-MATCH($F$1,enemy_skill_triggers!$1:$1,0)+1),MATCH(K$1,enemy_skill_triggers!$1:$1,0)-MATCH($F$1,enemy_skill_triggers!$1:$1,0)+1,FALSE)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1" s="48">
        <f ca="1">VLOOKUP($F431,OFFSET(enemy_skill_triggers!$A$1,0,0,COUNTA(enemy_skill_triggers!$A:$A),MATCH(L$1,enemy_skill_triggers!$1:$1,0)-MATCH($F$1,enemy_skill_triggers!$1:$1,0)+1),MATCH(L$1,enemy_skill_triggers!$1:$1,0)-MATCH($F$1,enemy_skill_triggers!$1:$1,0)+1,FALSE)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1" s="48" t="str">
        <f ca="1">VLOOKUP($F431,OFFSET(enemy_skill_triggers!$A$1,0,0,COUNTA(enemy_skill_triggers!$A:$A),MATCH(M$1,enemy_skill_triggers!$1:$1,0)-MATCH($F$1,enemy_skill_triggers!$1:$1,0)+1),MATCH(M$1,enemy_skill_triggers!$1:$1,0)-MATCH($F$1,enemy_skill_triggers!$1:$1,0)+1,FALSE)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1" s="48">
        <f ca="1">VLOOKUP($F431,OFFSET(enemy_skill_triggers!$A$1,0,0,COUNTA(enemy_skill_triggers!$A:$A),MATCH(N$1,enemy_skill_triggers!$1:$1,0)-MATCH($F$1,enemy_skill_triggers!$1:$1,0)+1),MATCH(N$1,enemy_skill_triggers!$1:$1,0)-MATCH($F$1,enemy_skill_triggers!$1:$1,0)+1,FALSE)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431" s="48">
        <f ca="1">VLOOKUP($F431,OFFSET(enemy_skill_triggers!$A$1,0,0,COUNTA(enemy_skill_triggers!$A:$A),MATCH(O$1,enemy_skill_triggers!$1:$1,0)-MATCH($F$1,enemy_skill_triggers!$1:$1,0)+1),MATCH(O$1,enemy_skill_triggers!$1:$1,0)-MATCH($F$1,enemy_skill_triggers!$1:$1,0)+1,FALSE)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1" s="47"/>
      <c r="Q431" s="47"/>
      <c r="R431" s="47"/>
    </row>
    <row r="432" spans="1:18" ht="21" customHeight="1" x14ac:dyDescent="0.15">
      <c r="A432" s="39" t="str">
        <f t="shared" si="22"/>
        <v>39009021_39009074</v>
      </c>
      <c r="B432" s="129">
        <v>39009021</v>
      </c>
      <c r="C432" s="47">
        <v>39009074</v>
      </c>
      <c r="D432" s="46" t="str">
        <f ca="1">VLOOKUP($C432,OFFSET(enemy_skills!$A$1,0,0,COUNTA(enemy_skills!$A:$A),MATCH(D$1,enemy_skills!$1:$1,0)-MATCH("enemy_skill_id",enemy_skills!$1:$1,0)+1),MATCH(D$1,enemy_skills!$1:$1,0)-MATCH("enemy_skill_id",enemy_skills!$1:$1,0)+1,FALSE)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2" s="46" t="str">
        <f ca="1">VLOOKUP($C432,OFFSET(enemy_skills!$A$1,0,0,COUNTA(enemy_skills!$A:$A),MATCH(E$1,enemy_skills!$1:$1,0)-MATCH("enemy_skill_id",enemy_skills!$1:$1,0)+1),MATCH(E$1,enemy_skills!$1:$1,0)-MATCH("enemy_skill_id",enemy_skills!$1:$1,0)+1,FALSE)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2" s="47">
        <v>39009210</v>
      </c>
      <c r="G432" s="48">
        <f ca="1">VLOOKUP($F432,OFFSET(enemy_skill_triggers!$A$1,0,0,COUNTA(enemy_skill_triggers!$A:$A),MATCH(G$1,enemy_skill_triggers!$1:$1,0)-MATCH($F$1,enemy_skill_triggers!$1:$1,0)+1),MATCH(G$1,enemy_skill_triggers!$1:$1,0)-MATCH($F$1,enemy_skill_triggers!$1:$1,0)+1,FALSE)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2" s="48">
        <f ca="1">VLOOKUP($F432,OFFSET(enemy_skill_triggers!$A$1,0,0,COUNTA(enemy_skill_triggers!$A:$A),MATCH(H$1,enemy_skill_triggers!$1:$1,0)-MATCH($F$1,enemy_skill_triggers!$1:$1,0)+1),MATCH(H$1,enemy_skill_triggers!$1:$1,0)-MATCH($F$1,enemy_skill_triggers!$1:$1,0)+1,FALSE)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432" s="48">
        <f ca="1">VLOOKUP($F432,OFFSET(enemy_skill_triggers!$A$1,0,0,COUNTA(enemy_skill_triggers!$A:$A),MATCH(I$1,enemy_skill_triggers!$1:$1,0)-MATCH($F$1,enemy_skill_triggers!$1:$1,0)+1),MATCH(I$1,enemy_skill_triggers!$1:$1,0)-MATCH($F$1,enemy_skill_triggers!$1:$1,0)+1,FALSE)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2" s="48" t="str">
        <f ca="1">VLOOKUP($F432,OFFSET(enemy_skill_triggers!$A$1,0,0,COUNTA(enemy_skill_triggers!$A:$A),MATCH(J$1,enemy_skill_triggers!$1:$1,0)-MATCH($F$1,enemy_skill_triggers!$1:$1,0)+1),MATCH(J$1,enemy_skill_triggers!$1:$1,0)-MATCH($F$1,enemy_skill_triggers!$1:$1,0)+1,FALSE)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2" s="48" t="str">
        <f ca="1">VLOOKUP($F432,OFFSET(enemy_skill_triggers!$A$1,0,0,COUNTA(enemy_skill_triggers!$A:$A),MATCH(K$1,enemy_skill_triggers!$1:$1,0)-MATCH($F$1,enemy_skill_triggers!$1:$1,0)+1),MATCH(K$1,enemy_skill_triggers!$1:$1,0)-MATCH($F$1,enemy_skill_triggers!$1:$1,0)+1,FALSE)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2" s="48">
        <f ca="1">VLOOKUP($F432,OFFSET(enemy_skill_triggers!$A$1,0,0,COUNTA(enemy_skill_triggers!$A:$A),MATCH(L$1,enemy_skill_triggers!$1:$1,0)-MATCH($F$1,enemy_skill_triggers!$1:$1,0)+1),MATCH(L$1,enemy_skill_triggers!$1:$1,0)-MATCH($F$1,enemy_skill_triggers!$1:$1,0)+1,FALSE)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2" s="48" t="str">
        <f ca="1">VLOOKUP($F432,OFFSET(enemy_skill_triggers!$A$1,0,0,COUNTA(enemy_skill_triggers!$A:$A),MATCH(M$1,enemy_skill_triggers!$1:$1,0)-MATCH($F$1,enemy_skill_triggers!$1:$1,0)+1),MATCH(M$1,enemy_skill_triggers!$1:$1,0)-MATCH($F$1,enemy_skill_triggers!$1:$1,0)+1,FALSE)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2" s="48">
        <f ca="1">VLOOKUP($F432,OFFSET(enemy_skill_triggers!$A$1,0,0,COUNTA(enemy_skill_triggers!$A:$A),MATCH(N$1,enemy_skill_triggers!$1:$1,0)-MATCH($F$1,enemy_skill_triggers!$1:$1,0)+1),MATCH(N$1,enemy_skill_triggers!$1:$1,0)-MATCH($F$1,enemy_skill_triggers!$1:$1,0)+1,FALSE)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432" s="48">
        <f ca="1">VLOOKUP($F432,OFFSET(enemy_skill_triggers!$A$1,0,0,COUNTA(enemy_skill_triggers!$A:$A),MATCH(O$1,enemy_skill_triggers!$1:$1,0)-MATCH($F$1,enemy_skill_triggers!$1:$1,0)+1),MATCH(O$1,enemy_skill_triggers!$1:$1,0)-MATCH($F$1,enemy_skill_triggers!$1:$1,0)+1,FALSE)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2" s="47"/>
      <c r="Q432" s="47"/>
      <c r="R432" s="47"/>
    </row>
    <row r="433" spans="1:18" ht="21" customHeight="1" x14ac:dyDescent="0.15">
      <c r="A433" s="39" t="str">
        <f t="shared" si="22"/>
        <v>39009021_39009074</v>
      </c>
      <c r="B433" s="129">
        <v>39009021</v>
      </c>
      <c r="C433" s="47">
        <v>39009074</v>
      </c>
      <c r="D433" s="46" t="str">
        <f ca="1">VLOOKUP($C433,OFFSET(enemy_skills!$A$1,0,0,COUNTA(enemy_skills!$A:$A),MATCH(D$1,enemy_skills!$1:$1,0)-MATCH("enemy_skill_id",enemy_skills!$1:$1,0)+1),MATCH(D$1,enemy_skills!$1:$1,0)-MATCH("enemy_skill_id",enemy_skills!$1:$1,0)+1,FALSE)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3" s="46" t="str">
        <f ca="1">VLOOKUP($C433,OFFSET(enemy_skills!$A$1,0,0,COUNTA(enemy_skills!$A:$A),MATCH(E$1,enemy_skills!$1:$1,0)-MATCH("enemy_skill_id",enemy_skills!$1:$1,0)+1),MATCH(E$1,enemy_skills!$1:$1,0)-MATCH("enemy_skill_id",enemy_skills!$1:$1,0)+1,FALSE)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3" s="47">
        <v>39009211</v>
      </c>
      <c r="G433" s="48">
        <f ca="1">VLOOKUP($F433,OFFSET(enemy_skill_triggers!$A$1,0,0,COUNTA(enemy_skill_triggers!$A:$A),MATCH(G$1,enemy_skill_triggers!$1:$1,0)-MATCH($F$1,enemy_skill_triggers!$1:$1,0)+1),MATCH(G$1,enemy_skill_triggers!$1:$1,0)-MATCH($F$1,enemy_skill_triggers!$1:$1,0)+1,FALSE)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3" s="48">
        <f ca="1">VLOOKUP($F433,OFFSET(enemy_skill_triggers!$A$1,0,0,COUNTA(enemy_skill_triggers!$A:$A),MATCH(H$1,enemy_skill_triggers!$1:$1,0)-MATCH($F$1,enemy_skill_triggers!$1:$1,0)+1),MATCH(H$1,enemy_skill_triggers!$1:$1,0)-MATCH($F$1,enemy_skill_triggers!$1:$1,0)+1,FALSE)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433" s="48">
        <f ca="1">VLOOKUP($F433,OFFSET(enemy_skill_triggers!$A$1,0,0,COUNTA(enemy_skill_triggers!$A:$A),MATCH(I$1,enemy_skill_triggers!$1:$1,0)-MATCH($F$1,enemy_skill_triggers!$1:$1,0)+1),MATCH(I$1,enemy_skill_triggers!$1:$1,0)-MATCH($F$1,enemy_skill_triggers!$1:$1,0)+1,FALSE)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3" s="48" t="str">
        <f ca="1">VLOOKUP($F433,OFFSET(enemy_skill_triggers!$A$1,0,0,COUNTA(enemy_skill_triggers!$A:$A),MATCH(J$1,enemy_skill_triggers!$1:$1,0)-MATCH($F$1,enemy_skill_triggers!$1:$1,0)+1),MATCH(J$1,enemy_skill_triggers!$1:$1,0)-MATCH($F$1,enemy_skill_triggers!$1:$1,0)+1,FALSE)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3" s="48" t="str">
        <f ca="1">VLOOKUP($F433,OFFSET(enemy_skill_triggers!$A$1,0,0,COUNTA(enemy_skill_triggers!$A:$A),MATCH(K$1,enemy_skill_triggers!$1:$1,0)-MATCH($F$1,enemy_skill_triggers!$1:$1,0)+1),MATCH(K$1,enemy_skill_triggers!$1:$1,0)-MATCH($F$1,enemy_skill_triggers!$1:$1,0)+1,FALSE)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3" s="48">
        <f ca="1">VLOOKUP($F433,OFFSET(enemy_skill_triggers!$A$1,0,0,COUNTA(enemy_skill_triggers!$A:$A),MATCH(L$1,enemy_skill_triggers!$1:$1,0)-MATCH($F$1,enemy_skill_triggers!$1:$1,0)+1),MATCH(L$1,enemy_skill_triggers!$1:$1,0)-MATCH($F$1,enemy_skill_triggers!$1:$1,0)+1,FALSE)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3" s="48" t="str">
        <f ca="1">VLOOKUP($F433,OFFSET(enemy_skill_triggers!$A$1,0,0,COUNTA(enemy_skill_triggers!$A:$A),MATCH(M$1,enemy_skill_triggers!$1:$1,0)-MATCH($F$1,enemy_skill_triggers!$1:$1,0)+1),MATCH(M$1,enemy_skill_triggers!$1:$1,0)-MATCH($F$1,enemy_skill_triggers!$1:$1,0)+1,FALSE)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3" s="48">
        <f ca="1">VLOOKUP($F433,OFFSET(enemy_skill_triggers!$A$1,0,0,COUNTA(enemy_skill_triggers!$A:$A),MATCH(N$1,enemy_skill_triggers!$1:$1,0)-MATCH($F$1,enemy_skill_triggers!$1:$1,0)+1),MATCH(N$1,enemy_skill_triggers!$1:$1,0)-MATCH($F$1,enemy_skill_triggers!$1:$1,0)+1,FALSE)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433" s="48">
        <f ca="1">VLOOKUP($F433,OFFSET(enemy_skill_triggers!$A$1,0,0,COUNTA(enemy_skill_triggers!$A:$A),MATCH(O$1,enemy_skill_triggers!$1:$1,0)-MATCH($F$1,enemy_skill_triggers!$1:$1,0)+1),MATCH(O$1,enemy_skill_triggers!$1:$1,0)-MATCH($F$1,enemy_skill_triggers!$1:$1,0)+1,FALSE)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3" s="47"/>
      <c r="Q433" s="47"/>
      <c r="R433" s="47"/>
    </row>
    <row r="434" spans="1:18" ht="21" customHeight="1" x14ac:dyDescent="0.15">
      <c r="A434" s="39" t="str">
        <f t="shared" si="22"/>
        <v>39009021_39009074</v>
      </c>
      <c r="B434" s="129">
        <v>39009021</v>
      </c>
      <c r="C434" s="47">
        <v>39009074</v>
      </c>
      <c r="D434" s="46" t="str">
        <f ca="1">VLOOKUP($C434,OFFSET(enemy_skills!$A$1,0,0,COUNTA(enemy_skills!$A:$A),MATCH(D$1,enemy_skills!$1:$1,0)-MATCH("enemy_skill_id",enemy_skills!$1:$1,0)+1),MATCH(D$1,enemy_skills!$1:$1,0)-MATCH("enemy_skill_id",enemy_skills!$1:$1,0)+1,FALSE)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4" s="46" t="str">
        <f ca="1">VLOOKUP($C434,OFFSET(enemy_skills!$A$1,0,0,COUNTA(enemy_skills!$A:$A),MATCH(E$1,enemy_skills!$1:$1,0)-MATCH("enemy_skill_id",enemy_skills!$1:$1,0)+1),MATCH(E$1,enemy_skills!$1:$1,0)-MATCH("enemy_skill_id",enemy_skills!$1:$1,0)+1,FALSE)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4" s="47">
        <v>39009212</v>
      </c>
      <c r="G434" s="48">
        <f ca="1">VLOOKUP($F434,OFFSET(enemy_skill_triggers!$A$1,0,0,COUNTA(enemy_skill_triggers!$A:$A),MATCH(G$1,enemy_skill_triggers!$1:$1,0)-MATCH($F$1,enemy_skill_triggers!$1:$1,0)+1),MATCH(G$1,enemy_skill_triggers!$1:$1,0)-MATCH($F$1,enemy_skill_triggers!$1:$1,0)+1,FALSE)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4" s="48">
        <f ca="1">VLOOKUP($F434,OFFSET(enemy_skill_triggers!$A$1,0,0,COUNTA(enemy_skill_triggers!$A:$A),MATCH(H$1,enemy_skill_triggers!$1:$1,0)-MATCH($F$1,enemy_skill_triggers!$1:$1,0)+1),MATCH(H$1,enemy_skill_triggers!$1:$1,0)-MATCH($F$1,enemy_skill_triggers!$1:$1,0)+1,FALSE)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434" s="48">
        <f ca="1">VLOOKUP($F434,OFFSET(enemy_skill_triggers!$A$1,0,0,COUNTA(enemy_skill_triggers!$A:$A),MATCH(I$1,enemy_skill_triggers!$1:$1,0)-MATCH($F$1,enemy_skill_triggers!$1:$1,0)+1),MATCH(I$1,enemy_skill_triggers!$1:$1,0)-MATCH($F$1,enemy_skill_triggers!$1:$1,0)+1,FALSE)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4" s="48" t="str">
        <f ca="1">VLOOKUP($F434,OFFSET(enemy_skill_triggers!$A$1,0,0,COUNTA(enemy_skill_triggers!$A:$A),MATCH(J$1,enemy_skill_triggers!$1:$1,0)-MATCH($F$1,enemy_skill_triggers!$1:$1,0)+1),MATCH(J$1,enemy_skill_triggers!$1:$1,0)-MATCH($F$1,enemy_skill_triggers!$1:$1,0)+1,FALSE)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4" s="48" t="str">
        <f ca="1">VLOOKUP($F434,OFFSET(enemy_skill_triggers!$A$1,0,0,COUNTA(enemy_skill_triggers!$A:$A),MATCH(K$1,enemy_skill_triggers!$1:$1,0)-MATCH($F$1,enemy_skill_triggers!$1:$1,0)+1),MATCH(K$1,enemy_skill_triggers!$1:$1,0)-MATCH($F$1,enemy_skill_triggers!$1:$1,0)+1,FALSE)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4" s="48">
        <f ca="1">VLOOKUP($F434,OFFSET(enemy_skill_triggers!$A$1,0,0,COUNTA(enemy_skill_triggers!$A:$A),MATCH(L$1,enemy_skill_triggers!$1:$1,0)-MATCH($F$1,enemy_skill_triggers!$1:$1,0)+1),MATCH(L$1,enemy_skill_triggers!$1:$1,0)-MATCH($F$1,enemy_skill_triggers!$1:$1,0)+1,FALSE)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4" s="48" t="str">
        <f ca="1">VLOOKUP($F434,OFFSET(enemy_skill_triggers!$A$1,0,0,COUNTA(enemy_skill_triggers!$A:$A),MATCH(M$1,enemy_skill_triggers!$1:$1,0)-MATCH($F$1,enemy_skill_triggers!$1:$1,0)+1),MATCH(M$1,enemy_skill_triggers!$1:$1,0)-MATCH($F$1,enemy_skill_triggers!$1:$1,0)+1,FALSE)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4" s="48">
        <f ca="1">VLOOKUP($F434,OFFSET(enemy_skill_triggers!$A$1,0,0,COUNTA(enemy_skill_triggers!$A:$A),MATCH(N$1,enemy_skill_triggers!$1:$1,0)-MATCH($F$1,enemy_skill_triggers!$1:$1,0)+1),MATCH(N$1,enemy_skill_triggers!$1:$1,0)-MATCH($F$1,enemy_skill_triggers!$1:$1,0)+1,FALSE)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434" s="48">
        <f ca="1">VLOOKUP($F434,OFFSET(enemy_skill_triggers!$A$1,0,0,COUNTA(enemy_skill_triggers!$A:$A),MATCH(O$1,enemy_skill_triggers!$1:$1,0)-MATCH($F$1,enemy_skill_triggers!$1:$1,0)+1),MATCH(O$1,enemy_skill_triggers!$1:$1,0)-MATCH($F$1,enemy_skill_triggers!$1:$1,0)+1,FALSE)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4" s="47"/>
      <c r="Q434" s="47"/>
      <c r="R434" s="47"/>
    </row>
    <row r="435" spans="1:18" ht="21" customHeight="1" x14ac:dyDescent="0.15">
      <c r="A435" s="39" t="str">
        <f t="shared" si="22"/>
        <v>39009021_39009074</v>
      </c>
      <c r="B435" s="129">
        <v>39009021</v>
      </c>
      <c r="C435" s="47">
        <v>39009074</v>
      </c>
      <c r="D435" s="46" t="str">
        <f ca="1">VLOOKUP($C435,OFFSET(enemy_skills!$A$1,0,0,COUNTA(enemy_skills!$A:$A),MATCH(D$1,enemy_skills!$1:$1,0)-MATCH("enemy_skill_id",enemy_skills!$1:$1,0)+1),MATCH(D$1,enemy_skills!$1:$1,0)-MATCH("enemy_skill_id",enemy_skills!$1:$1,0)+1,FALSE)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5" s="46" t="str">
        <f ca="1">VLOOKUP($C435,OFFSET(enemy_skills!$A$1,0,0,COUNTA(enemy_skills!$A:$A),MATCH(E$1,enemy_skills!$1:$1,0)-MATCH("enemy_skill_id",enemy_skills!$1:$1,0)+1),MATCH(E$1,enemy_skills!$1:$1,0)-MATCH("enemy_skill_id",enemy_skills!$1:$1,0)+1,FALSE)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5" s="47">
        <v>39009213</v>
      </c>
      <c r="G435" s="48">
        <f ca="1">VLOOKUP($F435,OFFSET(enemy_skill_triggers!$A$1,0,0,COUNTA(enemy_skill_triggers!$A:$A),MATCH(G$1,enemy_skill_triggers!$1:$1,0)-MATCH($F$1,enemy_skill_triggers!$1:$1,0)+1),MATCH(G$1,enemy_skill_triggers!$1:$1,0)-MATCH($F$1,enemy_skill_triggers!$1:$1,0)+1,FALSE)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5" s="48">
        <f ca="1">VLOOKUP($F435,OFFSET(enemy_skill_triggers!$A$1,0,0,COUNTA(enemy_skill_triggers!$A:$A),MATCH(H$1,enemy_skill_triggers!$1:$1,0)-MATCH($F$1,enemy_skill_triggers!$1:$1,0)+1),MATCH(H$1,enemy_skill_triggers!$1:$1,0)-MATCH($F$1,enemy_skill_triggers!$1:$1,0)+1,FALSE)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435" s="48">
        <f ca="1">VLOOKUP($F435,OFFSET(enemy_skill_triggers!$A$1,0,0,COUNTA(enemy_skill_triggers!$A:$A),MATCH(I$1,enemy_skill_triggers!$1:$1,0)-MATCH($F$1,enemy_skill_triggers!$1:$1,0)+1),MATCH(I$1,enemy_skill_triggers!$1:$1,0)-MATCH($F$1,enemy_skill_triggers!$1:$1,0)+1,FALSE)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5" s="48" t="str">
        <f ca="1">VLOOKUP($F435,OFFSET(enemy_skill_triggers!$A$1,0,0,COUNTA(enemy_skill_triggers!$A:$A),MATCH(J$1,enemy_skill_triggers!$1:$1,0)-MATCH($F$1,enemy_skill_triggers!$1:$1,0)+1),MATCH(J$1,enemy_skill_triggers!$1:$1,0)-MATCH($F$1,enemy_skill_triggers!$1:$1,0)+1,FALSE)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5" s="48" t="str">
        <f ca="1">VLOOKUP($F435,OFFSET(enemy_skill_triggers!$A$1,0,0,COUNTA(enemy_skill_triggers!$A:$A),MATCH(K$1,enemy_skill_triggers!$1:$1,0)-MATCH($F$1,enemy_skill_triggers!$1:$1,0)+1),MATCH(K$1,enemy_skill_triggers!$1:$1,0)-MATCH($F$1,enemy_skill_triggers!$1:$1,0)+1,FALSE)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5" s="48">
        <f ca="1">VLOOKUP($F435,OFFSET(enemy_skill_triggers!$A$1,0,0,COUNTA(enemy_skill_triggers!$A:$A),MATCH(L$1,enemy_skill_triggers!$1:$1,0)-MATCH($F$1,enemy_skill_triggers!$1:$1,0)+1),MATCH(L$1,enemy_skill_triggers!$1:$1,0)-MATCH($F$1,enemy_skill_triggers!$1:$1,0)+1,FALSE)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5" s="48" t="str">
        <f ca="1">VLOOKUP($F435,OFFSET(enemy_skill_triggers!$A$1,0,0,COUNTA(enemy_skill_triggers!$A:$A),MATCH(M$1,enemy_skill_triggers!$1:$1,0)-MATCH($F$1,enemy_skill_triggers!$1:$1,0)+1),MATCH(M$1,enemy_skill_triggers!$1:$1,0)-MATCH($F$1,enemy_skill_triggers!$1:$1,0)+1,FALSE)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5" s="48">
        <f ca="1">VLOOKUP($F435,OFFSET(enemy_skill_triggers!$A$1,0,0,COUNTA(enemy_skill_triggers!$A:$A),MATCH(N$1,enemy_skill_triggers!$1:$1,0)-MATCH($F$1,enemy_skill_triggers!$1:$1,0)+1),MATCH(N$1,enemy_skill_triggers!$1:$1,0)-MATCH($F$1,enemy_skill_triggers!$1:$1,0)+1,FALSE)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435" s="48">
        <f ca="1">VLOOKUP($F435,OFFSET(enemy_skill_triggers!$A$1,0,0,COUNTA(enemy_skill_triggers!$A:$A),MATCH(O$1,enemy_skill_triggers!$1:$1,0)-MATCH($F$1,enemy_skill_triggers!$1:$1,0)+1),MATCH(O$1,enemy_skill_triggers!$1:$1,0)-MATCH($F$1,enemy_skill_triggers!$1:$1,0)+1,FALSE)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5" s="47"/>
      <c r="Q435" s="47"/>
      <c r="R435" s="47"/>
    </row>
    <row r="436" spans="1:18" ht="21" customHeight="1" x14ac:dyDescent="0.15">
      <c r="A436" s="39" t="str">
        <f t="shared" si="22"/>
        <v>39009021_39009074</v>
      </c>
      <c r="B436" s="129">
        <v>39009021</v>
      </c>
      <c r="C436" s="47">
        <v>39009074</v>
      </c>
      <c r="D436" s="46" t="str">
        <f ca="1">VLOOKUP($C436,OFFSET(enemy_skills!$A$1,0,0,COUNTA(enemy_skills!$A:$A),MATCH(D$1,enemy_skills!$1:$1,0)-MATCH("enemy_skill_id",enemy_skills!$1:$1,0)+1),MATCH(D$1,enemy_skills!$1:$1,0)-MATCH("enemy_skill_id",enemy_skills!$1:$1,0)+1,FALSE)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6" s="46" t="str">
        <f ca="1">VLOOKUP($C436,OFFSET(enemy_skills!$A$1,0,0,COUNTA(enemy_skills!$A:$A),MATCH(E$1,enemy_skills!$1:$1,0)-MATCH("enemy_skill_id",enemy_skills!$1:$1,0)+1),MATCH(E$1,enemy_skills!$1:$1,0)-MATCH("enemy_skill_id",enemy_skills!$1:$1,0)+1,FALSE)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6" s="47">
        <v>39009214</v>
      </c>
      <c r="G436" s="48">
        <f ca="1">VLOOKUP($F436,OFFSET(enemy_skill_triggers!$A$1,0,0,COUNTA(enemy_skill_triggers!$A:$A),MATCH(G$1,enemy_skill_triggers!$1:$1,0)-MATCH($F$1,enemy_skill_triggers!$1:$1,0)+1),MATCH(G$1,enemy_skill_triggers!$1:$1,0)-MATCH($F$1,enemy_skill_triggers!$1:$1,0)+1,FALSE)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6" s="48">
        <f ca="1">VLOOKUP($F436,OFFSET(enemy_skill_triggers!$A$1,0,0,COUNTA(enemy_skill_triggers!$A:$A),MATCH(H$1,enemy_skill_triggers!$1:$1,0)-MATCH($F$1,enemy_skill_triggers!$1:$1,0)+1),MATCH(H$1,enemy_skill_triggers!$1:$1,0)-MATCH($F$1,enemy_skill_triggers!$1:$1,0)+1,FALSE)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436" s="48">
        <f ca="1">VLOOKUP($F436,OFFSET(enemy_skill_triggers!$A$1,0,0,COUNTA(enemy_skill_triggers!$A:$A),MATCH(I$1,enemy_skill_triggers!$1:$1,0)-MATCH($F$1,enemy_skill_triggers!$1:$1,0)+1),MATCH(I$1,enemy_skill_triggers!$1:$1,0)-MATCH($F$1,enemy_skill_triggers!$1:$1,0)+1,FALSE)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6" s="48" t="str">
        <f ca="1">VLOOKUP($F436,OFFSET(enemy_skill_triggers!$A$1,0,0,COUNTA(enemy_skill_triggers!$A:$A),MATCH(J$1,enemy_skill_triggers!$1:$1,0)-MATCH($F$1,enemy_skill_triggers!$1:$1,0)+1),MATCH(J$1,enemy_skill_triggers!$1:$1,0)-MATCH($F$1,enemy_skill_triggers!$1:$1,0)+1,FALSE)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6" s="48" t="str">
        <f ca="1">VLOOKUP($F436,OFFSET(enemy_skill_triggers!$A$1,0,0,COUNTA(enemy_skill_triggers!$A:$A),MATCH(K$1,enemy_skill_triggers!$1:$1,0)-MATCH($F$1,enemy_skill_triggers!$1:$1,0)+1),MATCH(K$1,enemy_skill_triggers!$1:$1,0)-MATCH($F$1,enemy_skill_triggers!$1:$1,0)+1,FALSE)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6" s="48">
        <f ca="1">VLOOKUP($F436,OFFSET(enemy_skill_triggers!$A$1,0,0,COUNTA(enemy_skill_triggers!$A:$A),MATCH(L$1,enemy_skill_triggers!$1:$1,0)-MATCH($F$1,enemy_skill_triggers!$1:$1,0)+1),MATCH(L$1,enemy_skill_triggers!$1:$1,0)-MATCH($F$1,enemy_skill_triggers!$1:$1,0)+1,FALSE)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6" s="48" t="str">
        <f ca="1">VLOOKUP($F436,OFFSET(enemy_skill_triggers!$A$1,0,0,COUNTA(enemy_skill_triggers!$A:$A),MATCH(M$1,enemy_skill_triggers!$1:$1,0)-MATCH($F$1,enemy_skill_triggers!$1:$1,0)+1),MATCH(M$1,enemy_skill_triggers!$1:$1,0)-MATCH($F$1,enemy_skill_triggers!$1:$1,0)+1,FALSE)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6" s="48">
        <f ca="1">VLOOKUP($F436,OFFSET(enemy_skill_triggers!$A$1,0,0,COUNTA(enemy_skill_triggers!$A:$A),MATCH(N$1,enemy_skill_triggers!$1:$1,0)-MATCH($F$1,enemy_skill_triggers!$1:$1,0)+1),MATCH(N$1,enemy_skill_triggers!$1:$1,0)-MATCH($F$1,enemy_skill_triggers!$1:$1,0)+1,FALSE)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436" s="48">
        <f ca="1">VLOOKUP($F436,OFFSET(enemy_skill_triggers!$A$1,0,0,COUNTA(enemy_skill_triggers!$A:$A),MATCH(O$1,enemy_skill_triggers!$1:$1,0)-MATCH($F$1,enemy_skill_triggers!$1:$1,0)+1),MATCH(O$1,enemy_skill_triggers!$1:$1,0)-MATCH($F$1,enemy_skill_triggers!$1:$1,0)+1,FALSE)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6" s="47"/>
      <c r="Q436" s="47"/>
      <c r="R436" s="47"/>
    </row>
    <row r="437" spans="1:18" ht="21" customHeight="1" x14ac:dyDescent="0.15">
      <c r="A437" s="39" t="str">
        <f t="shared" si="22"/>
        <v>39009021_39009074</v>
      </c>
      <c r="B437" s="129">
        <v>39009021</v>
      </c>
      <c r="C437" s="47">
        <v>39009074</v>
      </c>
      <c r="D437" s="46" t="str">
        <f ca="1">VLOOKUP($C437,OFFSET(enemy_skills!$A$1,0,0,COUNTA(enemy_skills!$A:$A),MATCH(D$1,enemy_skills!$1:$1,0)-MATCH("enemy_skill_id",enemy_skills!$1:$1,0)+1),MATCH(D$1,enemy_skills!$1:$1,0)-MATCH("enemy_skill_id",enemy_skills!$1:$1,0)+1,FALSE)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7" s="46" t="str">
        <f ca="1">VLOOKUP($C437,OFFSET(enemy_skills!$A$1,0,0,COUNTA(enemy_skills!$A:$A),MATCH(E$1,enemy_skills!$1:$1,0)-MATCH("enemy_skill_id",enemy_skills!$1:$1,0)+1),MATCH(E$1,enemy_skills!$1:$1,0)-MATCH("enemy_skill_id",enemy_skills!$1:$1,0)+1,FALSE)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7" s="47">
        <v>39009215</v>
      </c>
      <c r="G437" s="48">
        <f ca="1">VLOOKUP($F437,OFFSET(enemy_skill_triggers!$A$1,0,0,COUNTA(enemy_skill_triggers!$A:$A),MATCH(G$1,enemy_skill_triggers!$1:$1,0)-MATCH($F$1,enemy_skill_triggers!$1:$1,0)+1),MATCH(G$1,enemy_skill_triggers!$1:$1,0)-MATCH($F$1,enemy_skill_triggers!$1:$1,0)+1,FALSE)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7" s="48">
        <f ca="1">VLOOKUP($F437,OFFSET(enemy_skill_triggers!$A$1,0,0,COUNTA(enemy_skill_triggers!$A:$A),MATCH(H$1,enemy_skill_triggers!$1:$1,0)-MATCH($F$1,enemy_skill_triggers!$1:$1,0)+1),MATCH(H$1,enemy_skill_triggers!$1:$1,0)-MATCH($F$1,enemy_skill_triggers!$1:$1,0)+1,FALSE)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437" s="48">
        <f ca="1">VLOOKUP($F437,OFFSET(enemy_skill_triggers!$A$1,0,0,COUNTA(enemy_skill_triggers!$A:$A),MATCH(I$1,enemy_skill_triggers!$1:$1,0)-MATCH($F$1,enemy_skill_triggers!$1:$1,0)+1),MATCH(I$1,enemy_skill_triggers!$1:$1,0)-MATCH($F$1,enemy_skill_triggers!$1:$1,0)+1,FALSE)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7" s="48" t="str">
        <f ca="1">VLOOKUP($F437,OFFSET(enemy_skill_triggers!$A$1,0,0,COUNTA(enemy_skill_triggers!$A:$A),MATCH(J$1,enemy_skill_triggers!$1:$1,0)-MATCH($F$1,enemy_skill_triggers!$1:$1,0)+1),MATCH(J$1,enemy_skill_triggers!$1:$1,0)-MATCH($F$1,enemy_skill_triggers!$1:$1,0)+1,FALSE)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7" s="48" t="str">
        <f ca="1">VLOOKUP($F437,OFFSET(enemy_skill_triggers!$A$1,0,0,COUNTA(enemy_skill_triggers!$A:$A),MATCH(K$1,enemy_skill_triggers!$1:$1,0)-MATCH($F$1,enemy_skill_triggers!$1:$1,0)+1),MATCH(K$1,enemy_skill_triggers!$1:$1,0)-MATCH($F$1,enemy_skill_triggers!$1:$1,0)+1,FALSE)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7" s="48">
        <f ca="1">VLOOKUP($F437,OFFSET(enemy_skill_triggers!$A$1,0,0,COUNTA(enemy_skill_triggers!$A:$A),MATCH(L$1,enemy_skill_triggers!$1:$1,0)-MATCH($F$1,enemy_skill_triggers!$1:$1,0)+1),MATCH(L$1,enemy_skill_triggers!$1:$1,0)-MATCH($F$1,enemy_skill_triggers!$1:$1,0)+1,FALSE)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7" s="48" t="str">
        <f ca="1">VLOOKUP($F437,OFFSET(enemy_skill_triggers!$A$1,0,0,COUNTA(enemy_skill_triggers!$A:$A),MATCH(M$1,enemy_skill_triggers!$1:$1,0)-MATCH($F$1,enemy_skill_triggers!$1:$1,0)+1),MATCH(M$1,enemy_skill_triggers!$1:$1,0)-MATCH($F$1,enemy_skill_triggers!$1:$1,0)+1,FALSE)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7" s="48">
        <f ca="1">VLOOKUP($F437,OFFSET(enemy_skill_triggers!$A$1,0,0,COUNTA(enemy_skill_triggers!$A:$A),MATCH(N$1,enemy_skill_triggers!$1:$1,0)-MATCH($F$1,enemy_skill_triggers!$1:$1,0)+1),MATCH(N$1,enemy_skill_triggers!$1:$1,0)-MATCH($F$1,enemy_skill_triggers!$1:$1,0)+1,FALSE)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437" s="48">
        <f ca="1">VLOOKUP($F437,OFFSET(enemy_skill_triggers!$A$1,0,0,COUNTA(enemy_skill_triggers!$A:$A),MATCH(O$1,enemy_skill_triggers!$1:$1,0)-MATCH($F$1,enemy_skill_triggers!$1:$1,0)+1),MATCH(O$1,enemy_skill_triggers!$1:$1,0)-MATCH($F$1,enemy_skill_triggers!$1:$1,0)+1,FALSE)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7" s="47"/>
      <c r="Q437" s="47"/>
      <c r="R437" s="47"/>
    </row>
    <row r="438" spans="1:18" ht="21" customHeight="1" x14ac:dyDescent="0.15">
      <c r="A438" s="39" t="str">
        <f t="shared" si="22"/>
        <v>39009021_39009074</v>
      </c>
      <c r="B438" s="129">
        <v>39009021</v>
      </c>
      <c r="C438" s="47">
        <v>39009074</v>
      </c>
      <c r="D438" s="46" t="str">
        <f ca="1">VLOOKUP($C438,OFFSET(enemy_skills!$A$1,0,0,COUNTA(enemy_skills!$A:$A),MATCH(D$1,enemy_skills!$1:$1,0)-MATCH("enemy_skill_id",enemy_skills!$1:$1,0)+1),MATCH(D$1,enemy_skills!$1:$1,0)-MATCH("enemy_skill_id",enemy_skills!$1:$1,0)+1,FALSE)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8" s="46" t="str">
        <f ca="1">VLOOKUP($C438,OFFSET(enemy_skills!$A$1,0,0,COUNTA(enemy_skills!$A:$A),MATCH(E$1,enemy_skills!$1:$1,0)-MATCH("enemy_skill_id",enemy_skills!$1:$1,0)+1),MATCH(E$1,enemy_skills!$1:$1,0)-MATCH("enemy_skill_id",enemy_skills!$1:$1,0)+1,FALSE)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8" s="47">
        <v>39009216</v>
      </c>
      <c r="G438" s="48">
        <f ca="1">VLOOKUP($F438,OFFSET(enemy_skill_triggers!$A$1,0,0,COUNTA(enemy_skill_triggers!$A:$A),MATCH(G$1,enemy_skill_triggers!$1:$1,0)-MATCH($F$1,enemy_skill_triggers!$1:$1,0)+1),MATCH(G$1,enemy_skill_triggers!$1:$1,0)-MATCH($F$1,enemy_skill_triggers!$1:$1,0)+1,FALSE)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8" s="48">
        <f ca="1">VLOOKUP($F438,OFFSET(enemy_skill_triggers!$A$1,0,0,COUNTA(enemy_skill_triggers!$A:$A),MATCH(H$1,enemy_skill_triggers!$1:$1,0)-MATCH($F$1,enemy_skill_triggers!$1:$1,0)+1),MATCH(H$1,enemy_skill_triggers!$1:$1,0)-MATCH($F$1,enemy_skill_triggers!$1:$1,0)+1,FALSE)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38" s="48">
        <f ca="1">VLOOKUP($F438,OFFSET(enemy_skill_triggers!$A$1,0,0,COUNTA(enemy_skill_triggers!$A:$A),MATCH(I$1,enemy_skill_triggers!$1:$1,0)-MATCH($F$1,enemy_skill_triggers!$1:$1,0)+1),MATCH(I$1,enemy_skill_triggers!$1:$1,0)-MATCH($F$1,enemy_skill_triggers!$1:$1,0)+1,FALSE)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8" s="48" t="str">
        <f ca="1">VLOOKUP($F438,OFFSET(enemy_skill_triggers!$A$1,0,0,COUNTA(enemy_skill_triggers!$A:$A),MATCH(J$1,enemy_skill_triggers!$1:$1,0)-MATCH($F$1,enemy_skill_triggers!$1:$1,0)+1),MATCH(J$1,enemy_skill_triggers!$1:$1,0)-MATCH($F$1,enemy_skill_triggers!$1:$1,0)+1,FALSE)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8" s="48" t="str">
        <f ca="1">VLOOKUP($F438,OFFSET(enemy_skill_triggers!$A$1,0,0,COUNTA(enemy_skill_triggers!$A:$A),MATCH(K$1,enemy_skill_triggers!$1:$1,0)-MATCH($F$1,enemy_skill_triggers!$1:$1,0)+1),MATCH(K$1,enemy_skill_triggers!$1:$1,0)-MATCH($F$1,enemy_skill_triggers!$1:$1,0)+1,FALSE)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8" s="48">
        <f ca="1">VLOOKUP($F438,OFFSET(enemy_skill_triggers!$A$1,0,0,COUNTA(enemy_skill_triggers!$A:$A),MATCH(L$1,enemy_skill_triggers!$1:$1,0)-MATCH($F$1,enemy_skill_triggers!$1:$1,0)+1),MATCH(L$1,enemy_skill_triggers!$1:$1,0)-MATCH($F$1,enemy_skill_triggers!$1:$1,0)+1,FALSE)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8" s="48" t="str">
        <f ca="1">VLOOKUP($F438,OFFSET(enemy_skill_triggers!$A$1,0,0,COUNTA(enemy_skill_triggers!$A:$A),MATCH(M$1,enemy_skill_triggers!$1:$1,0)-MATCH($F$1,enemy_skill_triggers!$1:$1,0)+1),MATCH(M$1,enemy_skill_triggers!$1:$1,0)-MATCH($F$1,enemy_skill_triggers!$1:$1,0)+1,FALSE)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8" s="48">
        <f ca="1">VLOOKUP($F438,OFFSET(enemy_skill_triggers!$A$1,0,0,COUNTA(enemy_skill_triggers!$A:$A),MATCH(N$1,enemy_skill_triggers!$1:$1,0)-MATCH($F$1,enemy_skill_triggers!$1:$1,0)+1),MATCH(N$1,enemy_skill_triggers!$1:$1,0)-MATCH($F$1,enemy_skill_triggers!$1:$1,0)+1,FALSE)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438" s="48">
        <f ca="1">VLOOKUP($F438,OFFSET(enemy_skill_triggers!$A$1,0,0,COUNTA(enemy_skill_triggers!$A:$A),MATCH(O$1,enemy_skill_triggers!$1:$1,0)-MATCH($F$1,enemy_skill_triggers!$1:$1,0)+1),MATCH(O$1,enemy_skill_triggers!$1:$1,0)-MATCH($F$1,enemy_skill_triggers!$1:$1,0)+1,FALSE)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8" s="47"/>
      <c r="Q438" s="47"/>
      <c r="R438" s="47"/>
    </row>
    <row r="439" spans="1:18" ht="21" customHeight="1" x14ac:dyDescent="0.15">
      <c r="A439" s="39" t="str">
        <f t="shared" si="22"/>
        <v>39009021_39009074</v>
      </c>
      <c r="B439" s="129">
        <v>39009021</v>
      </c>
      <c r="C439" s="47">
        <v>39009074</v>
      </c>
      <c r="D439" s="46" t="str">
        <f ca="1">VLOOKUP($C439,OFFSET(enemy_skills!$A$1,0,0,COUNTA(enemy_skills!$A:$A),MATCH(D$1,enemy_skills!$1:$1,0)-MATCH("enemy_skill_id",enemy_skills!$1:$1,0)+1),MATCH(D$1,enemy_skills!$1:$1,0)-MATCH("enemy_skill_id",enemy_skills!$1:$1,0)+1,FALSE)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39" s="46" t="str">
        <f ca="1">VLOOKUP($C439,OFFSET(enemy_skills!$A$1,0,0,COUNTA(enemy_skills!$A:$A),MATCH(E$1,enemy_skills!$1:$1,0)-MATCH("enemy_skill_id",enemy_skills!$1:$1,0)+1),MATCH(E$1,enemy_skills!$1:$1,0)-MATCH("enemy_skill_id",enemy_skills!$1:$1,0)+1,FALSE)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9" s="47">
        <v>39009217</v>
      </c>
      <c r="G439" s="48">
        <f ca="1">VLOOKUP($F439,OFFSET(enemy_skill_triggers!$A$1,0,0,COUNTA(enemy_skill_triggers!$A:$A),MATCH(G$1,enemy_skill_triggers!$1:$1,0)-MATCH($F$1,enemy_skill_triggers!$1:$1,0)+1),MATCH(G$1,enemy_skill_triggers!$1:$1,0)-MATCH($F$1,enemy_skill_triggers!$1:$1,0)+1,FALSE)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9" s="48">
        <f ca="1">VLOOKUP($F439,OFFSET(enemy_skill_triggers!$A$1,0,0,COUNTA(enemy_skill_triggers!$A:$A),MATCH(H$1,enemy_skill_triggers!$1:$1,0)-MATCH($F$1,enemy_skill_triggers!$1:$1,0)+1),MATCH(H$1,enemy_skill_triggers!$1:$1,0)-MATCH($F$1,enemy_skill_triggers!$1:$1,0)+1,FALSE)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439" s="48">
        <f ca="1">VLOOKUP($F439,OFFSET(enemy_skill_triggers!$A$1,0,0,COUNTA(enemy_skill_triggers!$A:$A),MATCH(I$1,enemy_skill_triggers!$1:$1,0)-MATCH($F$1,enemy_skill_triggers!$1:$1,0)+1),MATCH(I$1,enemy_skill_triggers!$1:$1,0)-MATCH($F$1,enemy_skill_triggers!$1:$1,0)+1,FALSE)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9" s="48" t="str">
        <f ca="1">VLOOKUP($F439,OFFSET(enemy_skill_triggers!$A$1,0,0,COUNTA(enemy_skill_triggers!$A:$A),MATCH(J$1,enemy_skill_triggers!$1:$1,0)-MATCH($F$1,enemy_skill_triggers!$1:$1,0)+1),MATCH(J$1,enemy_skill_triggers!$1:$1,0)-MATCH($F$1,enemy_skill_triggers!$1:$1,0)+1,FALSE)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9" s="48" t="str">
        <f ca="1">VLOOKUP($F439,OFFSET(enemy_skill_triggers!$A$1,0,0,COUNTA(enemy_skill_triggers!$A:$A),MATCH(K$1,enemy_skill_triggers!$1:$1,0)-MATCH($F$1,enemy_skill_triggers!$1:$1,0)+1),MATCH(K$1,enemy_skill_triggers!$1:$1,0)-MATCH($F$1,enemy_skill_triggers!$1:$1,0)+1,FALSE)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9" s="48">
        <f ca="1">VLOOKUP($F439,OFFSET(enemy_skill_triggers!$A$1,0,0,COUNTA(enemy_skill_triggers!$A:$A),MATCH(L$1,enemy_skill_triggers!$1:$1,0)-MATCH($F$1,enemy_skill_triggers!$1:$1,0)+1),MATCH(L$1,enemy_skill_triggers!$1:$1,0)-MATCH($F$1,enemy_skill_triggers!$1:$1,0)+1,FALSE)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9" s="48" t="str">
        <f ca="1">VLOOKUP($F439,OFFSET(enemy_skill_triggers!$A$1,0,0,COUNTA(enemy_skill_triggers!$A:$A),MATCH(M$1,enemy_skill_triggers!$1:$1,0)-MATCH($F$1,enemy_skill_triggers!$1:$1,0)+1),MATCH(M$1,enemy_skill_triggers!$1:$1,0)-MATCH($F$1,enemy_skill_triggers!$1:$1,0)+1,FALSE)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9" s="48">
        <f ca="1">VLOOKUP($F439,OFFSET(enemy_skill_triggers!$A$1,0,0,COUNTA(enemy_skill_triggers!$A:$A),MATCH(N$1,enemy_skill_triggers!$1:$1,0)-MATCH($F$1,enemy_skill_triggers!$1:$1,0)+1),MATCH(N$1,enemy_skill_triggers!$1:$1,0)-MATCH($F$1,enemy_skill_triggers!$1:$1,0)+1,FALSE)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439" s="48">
        <f ca="1">VLOOKUP($F439,OFFSET(enemy_skill_triggers!$A$1,0,0,COUNTA(enemy_skill_triggers!$A:$A),MATCH(O$1,enemy_skill_triggers!$1:$1,0)-MATCH($F$1,enemy_skill_triggers!$1:$1,0)+1),MATCH(O$1,enemy_skill_triggers!$1:$1,0)-MATCH($F$1,enemy_skill_triggers!$1:$1,0)+1,FALSE)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9" s="47"/>
      <c r="Q439" s="47"/>
      <c r="R439" s="47"/>
    </row>
    <row r="440" spans="1:18" ht="21" customHeight="1" x14ac:dyDescent="0.15">
      <c r="A440" s="39" t="str">
        <f t="shared" si="22"/>
        <v>39009021_39009074</v>
      </c>
      <c r="B440" s="129">
        <v>39009021</v>
      </c>
      <c r="C440" s="47">
        <v>39009074</v>
      </c>
      <c r="D440" s="46" t="str">
        <f ca="1">VLOOKUP($C440,OFFSET(enemy_skills!$A$1,0,0,COUNTA(enemy_skills!$A:$A),MATCH(D$1,enemy_skills!$1:$1,0)-MATCH("enemy_skill_id",enemy_skills!$1:$1,0)+1),MATCH(D$1,enemy_skills!$1:$1,0)-MATCH("enemy_skill_id",enemy_skills!$1:$1,0)+1,FALSE)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0" s="46" t="str">
        <f ca="1">VLOOKUP($C440,OFFSET(enemy_skills!$A$1,0,0,COUNTA(enemy_skills!$A:$A),MATCH(E$1,enemy_skills!$1:$1,0)-MATCH("enemy_skill_id",enemy_skills!$1:$1,0)+1),MATCH(E$1,enemy_skills!$1:$1,0)-MATCH("enemy_skill_id",enemy_skills!$1:$1,0)+1,FALSE)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0" s="47">
        <v>39009218</v>
      </c>
      <c r="G440" s="48">
        <f ca="1">VLOOKUP($F440,OFFSET(enemy_skill_triggers!$A$1,0,0,COUNTA(enemy_skill_triggers!$A:$A),MATCH(G$1,enemy_skill_triggers!$1:$1,0)-MATCH($F$1,enemy_skill_triggers!$1:$1,0)+1),MATCH(G$1,enemy_skill_triggers!$1:$1,0)-MATCH($F$1,enemy_skill_triggers!$1:$1,0)+1,FALSE)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0" s="48">
        <f ca="1">VLOOKUP($F440,OFFSET(enemy_skill_triggers!$A$1,0,0,COUNTA(enemy_skill_triggers!$A:$A),MATCH(H$1,enemy_skill_triggers!$1:$1,0)-MATCH($F$1,enemy_skill_triggers!$1:$1,0)+1),MATCH(H$1,enemy_skill_triggers!$1:$1,0)-MATCH($F$1,enemy_skill_triggers!$1:$1,0)+1,FALSE)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440" s="48">
        <f ca="1">VLOOKUP($F440,OFFSET(enemy_skill_triggers!$A$1,0,0,COUNTA(enemy_skill_triggers!$A:$A),MATCH(I$1,enemy_skill_triggers!$1:$1,0)-MATCH($F$1,enemy_skill_triggers!$1:$1,0)+1),MATCH(I$1,enemy_skill_triggers!$1:$1,0)-MATCH($F$1,enemy_skill_triggers!$1:$1,0)+1,FALSE)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0" s="48" t="str">
        <f ca="1">VLOOKUP($F440,OFFSET(enemy_skill_triggers!$A$1,0,0,COUNTA(enemy_skill_triggers!$A:$A),MATCH(J$1,enemy_skill_triggers!$1:$1,0)-MATCH($F$1,enemy_skill_triggers!$1:$1,0)+1),MATCH(J$1,enemy_skill_triggers!$1:$1,0)-MATCH($F$1,enemy_skill_triggers!$1:$1,0)+1,FALSE)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0" s="48" t="str">
        <f ca="1">VLOOKUP($F440,OFFSET(enemy_skill_triggers!$A$1,0,0,COUNTA(enemy_skill_triggers!$A:$A),MATCH(K$1,enemy_skill_triggers!$1:$1,0)-MATCH($F$1,enemy_skill_triggers!$1:$1,0)+1),MATCH(K$1,enemy_skill_triggers!$1:$1,0)-MATCH($F$1,enemy_skill_triggers!$1:$1,0)+1,FALSE)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0" s="48">
        <f ca="1">VLOOKUP($F440,OFFSET(enemy_skill_triggers!$A$1,0,0,COUNTA(enemy_skill_triggers!$A:$A),MATCH(L$1,enemy_skill_triggers!$1:$1,0)-MATCH($F$1,enemy_skill_triggers!$1:$1,0)+1),MATCH(L$1,enemy_skill_triggers!$1:$1,0)-MATCH($F$1,enemy_skill_triggers!$1:$1,0)+1,FALSE)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0" s="48" t="str">
        <f ca="1">VLOOKUP($F440,OFFSET(enemy_skill_triggers!$A$1,0,0,COUNTA(enemy_skill_triggers!$A:$A),MATCH(M$1,enemy_skill_triggers!$1:$1,0)-MATCH($F$1,enemy_skill_triggers!$1:$1,0)+1),MATCH(M$1,enemy_skill_triggers!$1:$1,0)-MATCH($F$1,enemy_skill_triggers!$1:$1,0)+1,FALSE)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0" s="48">
        <f ca="1">VLOOKUP($F440,OFFSET(enemy_skill_triggers!$A$1,0,0,COUNTA(enemy_skill_triggers!$A:$A),MATCH(N$1,enemy_skill_triggers!$1:$1,0)-MATCH($F$1,enemy_skill_triggers!$1:$1,0)+1),MATCH(N$1,enemy_skill_triggers!$1:$1,0)-MATCH($F$1,enemy_skill_triggers!$1:$1,0)+1,FALSE)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440" s="48">
        <f ca="1">VLOOKUP($F440,OFFSET(enemy_skill_triggers!$A$1,0,0,COUNTA(enemy_skill_triggers!$A:$A),MATCH(O$1,enemy_skill_triggers!$1:$1,0)-MATCH($F$1,enemy_skill_triggers!$1:$1,0)+1),MATCH(O$1,enemy_skill_triggers!$1:$1,0)-MATCH($F$1,enemy_skill_triggers!$1:$1,0)+1,FALSE)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0" s="47"/>
      <c r="Q440" s="47"/>
      <c r="R440" s="47"/>
    </row>
    <row r="441" spans="1:18" ht="21" customHeight="1" x14ac:dyDescent="0.15">
      <c r="A441" s="39" t="str">
        <f t="shared" si="22"/>
        <v>39009021_39009074</v>
      </c>
      <c r="B441" s="129">
        <v>39009021</v>
      </c>
      <c r="C441" s="47">
        <v>39009074</v>
      </c>
      <c r="D441" s="46" t="str">
        <f ca="1">VLOOKUP($C441,OFFSET(enemy_skills!$A$1,0,0,COUNTA(enemy_skills!$A:$A),MATCH(D$1,enemy_skills!$1:$1,0)-MATCH("enemy_skill_id",enemy_skills!$1:$1,0)+1),MATCH(D$1,enemy_skills!$1:$1,0)-MATCH("enemy_skill_id",enemy_skills!$1:$1,0)+1,FALSE)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1" s="46" t="str">
        <f ca="1">VLOOKUP($C441,OFFSET(enemy_skills!$A$1,0,0,COUNTA(enemy_skills!$A:$A),MATCH(E$1,enemy_skills!$1:$1,0)-MATCH("enemy_skill_id",enemy_skills!$1:$1,0)+1),MATCH(E$1,enemy_skills!$1:$1,0)-MATCH("enemy_skill_id",enemy_skills!$1:$1,0)+1,FALSE)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1" s="47">
        <v>39009219</v>
      </c>
      <c r="G441" s="48">
        <f ca="1">VLOOKUP($F441,OFFSET(enemy_skill_triggers!$A$1,0,0,COUNTA(enemy_skill_triggers!$A:$A),MATCH(G$1,enemy_skill_triggers!$1:$1,0)-MATCH($F$1,enemy_skill_triggers!$1:$1,0)+1),MATCH(G$1,enemy_skill_triggers!$1:$1,0)-MATCH($F$1,enemy_skill_triggers!$1:$1,0)+1,FALSE)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1" s="48">
        <f ca="1">VLOOKUP($F441,OFFSET(enemy_skill_triggers!$A$1,0,0,COUNTA(enemy_skill_triggers!$A:$A),MATCH(H$1,enemy_skill_triggers!$1:$1,0)-MATCH($F$1,enemy_skill_triggers!$1:$1,0)+1),MATCH(H$1,enemy_skill_triggers!$1:$1,0)-MATCH($F$1,enemy_skill_triggers!$1:$1,0)+1,FALSE)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441" s="48">
        <f ca="1">VLOOKUP($F441,OFFSET(enemy_skill_triggers!$A$1,0,0,COUNTA(enemy_skill_triggers!$A:$A),MATCH(I$1,enemy_skill_triggers!$1:$1,0)-MATCH($F$1,enemy_skill_triggers!$1:$1,0)+1),MATCH(I$1,enemy_skill_triggers!$1:$1,0)-MATCH($F$1,enemy_skill_triggers!$1:$1,0)+1,FALSE)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1" s="48" t="str">
        <f ca="1">VLOOKUP($F441,OFFSET(enemy_skill_triggers!$A$1,0,0,COUNTA(enemy_skill_triggers!$A:$A),MATCH(J$1,enemy_skill_triggers!$1:$1,0)-MATCH($F$1,enemy_skill_triggers!$1:$1,0)+1),MATCH(J$1,enemy_skill_triggers!$1:$1,0)-MATCH($F$1,enemy_skill_triggers!$1:$1,0)+1,FALSE)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1" s="48" t="str">
        <f ca="1">VLOOKUP($F441,OFFSET(enemy_skill_triggers!$A$1,0,0,COUNTA(enemy_skill_triggers!$A:$A),MATCH(K$1,enemy_skill_triggers!$1:$1,0)-MATCH($F$1,enemy_skill_triggers!$1:$1,0)+1),MATCH(K$1,enemy_skill_triggers!$1:$1,0)-MATCH($F$1,enemy_skill_triggers!$1:$1,0)+1,FALSE)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1" s="48">
        <f ca="1">VLOOKUP($F441,OFFSET(enemy_skill_triggers!$A$1,0,0,COUNTA(enemy_skill_triggers!$A:$A),MATCH(L$1,enemy_skill_triggers!$1:$1,0)-MATCH($F$1,enemy_skill_triggers!$1:$1,0)+1),MATCH(L$1,enemy_skill_triggers!$1:$1,0)-MATCH($F$1,enemy_skill_triggers!$1:$1,0)+1,FALSE)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1" s="48" t="str">
        <f ca="1">VLOOKUP($F441,OFFSET(enemy_skill_triggers!$A$1,0,0,COUNTA(enemy_skill_triggers!$A:$A),MATCH(M$1,enemy_skill_triggers!$1:$1,0)-MATCH($F$1,enemy_skill_triggers!$1:$1,0)+1),MATCH(M$1,enemy_skill_triggers!$1:$1,0)-MATCH($F$1,enemy_skill_triggers!$1:$1,0)+1,FALSE)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1" s="48">
        <f ca="1">VLOOKUP($F441,OFFSET(enemy_skill_triggers!$A$1,0,0,COUNTA(enemy_skill_triggers!$A:$A),MATCH(N$1,enemy_skill_triggers!$1:$1,0)-MATCH($F$1,enemy_skill_triggers!$1:$1,0)+1),MATCH(N$1,enemy_skill_triggers!$1:$1,0)-MATCH($F$1,enemy_skill_triggers!$1:$1,0)+1,FALSE)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441" s="48">
        <f ca="1">VLOOKUP($F441,OFFSET(enemy_skill_triggers!$A$1,0,0,COUNTA(enemy_skill_triggers!$A:$A),MATCH(O$1,enemy_skill_triggers!$1:$1,0)-MATCH($F$1,enemy_skill_triggers!$1:$1,0)+1),MATCH(O$1,enemy_skill_triggers!$1:$1,0)-MATCH($F$1,enemy_skill_triggers!$1:$1,0)+1,FALSE)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1" s="47"/>
      <c r="Q441" s="47"/>
      <c r="R441" s="47"/>
    </row>
    <row r="442" spans="1:18" ht="21" customHeight="1" x14ac:dyDescent="0.15">
      <c r="A442" s="39" t="str">
        <f t="shared" si="22"/>
        <v>39009021_39009074</v>
      </c>
      <c r="B442" s="129">
        <v>39009021</v>
      </c>
      <c r="C442" s="47">
        <v>39009074</v>
      </c>
      <c r="D442" s="46" t="str">
        <f ca="1">VLOOKUP($C442,OFFSET(enemy_skills!$A$1,0,0,COUNTA(enemy_skills!$A:$A),MATCH(D$1,enemy_skills!$1:$1,0)-MATCH("enemy_skill_id",enemy_skills!$1:$1,0)+1),MATCH(D$1,enemy_skills!$1:$1,0)-MATCH("enemy_skill_id",enemy_skills!$1:$1,0)+1,FALSE)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2" s="46" t="str">
        <f ca="1">VLOOKUP($C442,OFFSET(enemy_skills!$A$1,0,0,COUNTA(enemy_skills!$A:$A),MATCH(E$1,enemy_skills!$1:$1,0)-MATCH("enemy_skill_id",enemy_skills!$1:$1,0)+1),MATCH(E$1,enemy_skills!$1:$1,0)-MATCH("enemy_skill_id",enemy_skills!$1:$1,0)+1,FALSE)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2" s="47">
        <v>39009220</v>
      </c>
      <c r="G442" s="48">
        <f ca="1">VLOOKUP($F442,OFFSET(enemy_skill_triggers!$A$1,0,0,COUNTA(enemy_skill_triggers!$A:$A),MATCH(G$1,enemy_skill_triggers!$1:$1,0)-MATCH($F$1,enemy_skill_triggers!$1:$1,0)+1),MATCH(G$1,enemy_skill_triggers!$1:$1,0)-MATCH($F$1,enemy_skill_triggers!$1:$1,0)+1,FALSE)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2" s="48">
        <f ca="1">VLOOKUP($F442,OFFSET(enemy_skill_triggers!$A$1,0,0,COUNTA(enemy_skill_triggers!$A:$A),MATCH(H$1,enemy_skill_triggers!$1:$1,0)-MATCH($F$1,enemy_skill_triggers!$1:$1,0)+1),MATCH(H$1,enemy_skill_triggers!$1:$1,0)-MATCH($F$1,enemy_skill_triggers!$1:$1,0)+1,FALSE)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442" s="48">
        <f ca="1">VLOOKUP($F442,OFFSET(enemy_skill_triggers!$A$1,0,0,COUNTA(enemy_skill_triggers!$A:$A),MATCH(I$1,enemy_skill_triggers!$1:$1,0)-MATCH($F$1,enemy_skill_triggers!$1:$1,0)+1),MATCH(I$1,enemy_skill_triggers!$1:$1,0)-MATCH($F$1,enemy_skill_triggers!$1:$1,0)+1,FALSE)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2" s="48" t="str">
        <f ca="1">VLOOKUP($F442,OFFSET(enemy_skill_triggers!$A$1,0,0,COUNTA(enemy_skill_triggers!$A:$A),MATCH(J$1,enemy_skill_triggers!$1:$1,0)-MATCH($F$1,enemy_skill_triggers!$1:$1,0)+1),MATCH(J$1,enemy_skill_triggers!$1:$1,0)-MATCH($F$1,enemy_skill_triggers!$1:$1,0)+1,FALSE)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2" s="48" t="str">
        <f ca="1">VLOOKUP($F442,OFFSET(enemy_skill_triggers!$A$1,0,0,COUNTA(enemy_skill_triggers!$A:$A),MATCH(K$1,enemy_skill_triggers!$1:$1,0)-MATCH($F$1,enemy_skill_triggers!$1:$1,0)+1),MATCH(K$1,enemy_skill_triggers!$1:$1,0)-MATCH($F$1,enemy_skill_triggers!$1:$1,0)+1,FALSE)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2" s="48">
        <f ca="1">VLOOKUP($F442,OFFSET(enemy_skill_triggers!$A$1,0,0,COUNTA(enemy_skill_triggers!$A:$A),MATCH(L$1,enemy_skill_triggers!$1:$1,0)-MATCH($F$1,enemy_skill_triggers!$1:$1,0)+1),MATCH(L$1,enemy_skill_triggers!$1:$1,0)-MATCH($F$1,enemy_skill_triggers!$1:$1,0)+1,FALSE)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2" s="48" t="str">
        <f ca="1">VLOOKUP($F442,OFFSET(enemy_skill_triggers!$A$1,0,0,COUNTA(enemy_skill_triggers!$A:$A),MATCH(M$1,enemy_skill_triggers!$1:$1,0)-MATCH($F$1,enemy_skill_triggers!$1:$1,0)+1),MATCH(M$1,enemy_skill_triggers!$1:$1,0)-MATCH($F$1,enemy_skill_triggers!$1:$1,0)+1,FALSE)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2" s="48">
        <f ca="1">VLOOKUP($F442,OFFSET(enemy_skill_triggers!$A$1,0,0,COUNTA(enemy_skill_triggers!$A:$A),MATCH(N$1,enemy_skill_triggers!$1:$1,0)-MATCH($F$1,enemy_skill_triggers!$1:$1,0)+1),MATCH(N$1,enemy_skill_triggers!$1:$1,0)-MATCH($F$1,enemy_skill_triggers!$1:$1,0)+1,FALSE)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42" s="48">
        <f ca="1">VLOOKUP($F442,OFFSET(enemy_skill_triggers!$A$1,0,0,COUNTA(enemy_skill_triggers!$A:$A),MATCH(O$1,enemy_skill_triggers!$1:$1,0)-MATCH($F$1,enemy_skill_triggers!$1:$1,0)+1),MATCH(O$1,enemy_skill_triggers!$1:$1,0)-MATCH($F$1,enemy_skill_triggers!$1:$1,0)+1,FALSE)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2" s="47"/>
      <c r="Q442" s="47"/>
      <c r="R442" s="47"/>
    </row>
    <row r="443" spans="1:18" ht="21" customHeight="1" x14ac:dyDescent="0.15">
      <c r="A443" s="39" t="str">
        <f t="shared" si="22"/>
        <v>39009021_39009074</v>
      </c>
      <c r="B443" s="129">
        <v>39009021</v>
      </c>
      <c r="C443" s="47">
        <v>39009074</v>
      </c>
      <c r="D443" s="46" t="str">
        <f ca="1">VLOOKUP($C443,OFFSET(enemy_skills!$A$1,0,0,COUNTA(enemy_skills!$A:$A),MATCH(D$1,enemy_skills!$1:$1,0)-MATCH("enemy_skill_id",enemy_skills!$1:$1,0)+1),MATCH(D$1,enemy_skills!$1:$1,0)-MATCH("enemy_skill_id",enemy_skills!$1:$1,0)+1,FALSE)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3" s="46" t="str">
        <f ca="1">VLOOKUP($C443,OFFSET(enemy_skills!$A$1,0,0,COUNTA(enemy_skills!$A:$A),MATCH(E$1,enemy_skills!$1:$1,0)-MATCH("enemy_skill_id",enemy_skills!$1:$1,0)+1),MATCH(E$1,enemy_skills!$1:$1,0)-MATCH("enemy_skill_id",enemy_skills!$1:$1,0)+1,FALSE)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3" s="47">
        <v>39009221</v>
      </c>
      <c r="G443" s="48">
        <f ca="1">VLOOKUP($F443,OFFSET(enemy_skill_triggers!$A$1,0,0,COUNTA(enemy_skill_triggers!$A:$A),MATCH(G$1,enemy_skill_triggers!$1:$1,0)-MATCH($F$1,enemy_skill_triggers!$1:$1,0)+1),MATCH(G$1,enemy_skill_triggers!$1:$1,0)-MATCH($F$1,enemy_skill_triggers!$1:$1,0)+1,FALSE)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3" s="48">
        <f ca="1">VLOOKUP($F443,OFFSET(enemy_skill_triggers!$A$1,0,0,COUNTA(enemy_skill_triggers!$A:$A),MATCH(H$1,enemy_skill_triggers!$1:$1,0)-MATCH($F$1,enemy_skill_triggers!$1:$1,0)+1),MATCH(H$1,enemy_skill_triggers!$1:$1,0)-MATCH($F$1,enemy_skill_triggers!$1:$1,0)+1,FALSE)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43" s="48">
        <f ca="1">VLOOKUP($F443,OFFSET(enemy_skill_triggers!$A$1,0,0,COUNTA(enemy_skill_triggers!$A:$A),MATCH(I$1,enemy_skill_triggers!$1:$1,0)-MATCH($F$1,enemy_skill_triggers!$1:$1,0)+1),MATCH(I$1,enemy_skill_triggers!$1:$1,0)-MATCH($F$1,enemy_skill_triggers!$1:$1,0)+1,FALSE)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3" s="48" t="str">
        <f ca="1">VLOOKUP($F443,OFFSET(enemy_skill_triggers!$A$1,0,0,COUNTA(enemy_skill_triggers!$A:$A),MATCH(J$1,enemy_skill_triggers!$1:$1,0)-MATCH($F$1,enemy_skill_triggers!$1:$1,0)+1),MATCH(J$1,enemy_skill_triggers!$1:$1,0)-MATCH($F$1,enemy_skill_triggers!$1:$1,0)+1,FALSE)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3" s="48" t="str">
        <f ca="1">VLOOKUP($F443,OFFSET(enemy_skill_triggers!$A$1,0,0,COUNTA(enemy_skill_triggers!$A:$A),MATCH(K$1,enemy_skill_triggers!$1:$1,0)-MATCH($F$1,enemy_skill_triggers!$1:$1,0)+1),MATCH(K$1,enemy_skill_triggers!$1:$1,0)-MATCH($F$1,enemy_skill_triggers!$1:$1,0)+1,FALSE)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3" s="48">
        <f ca="1">VLOOKUP($F443,OFFSET(enemy_skill_triggers!$A$1,0,0,COUNTA(enemy_skill_triggers!$A:$A),MATCH(L$1,enemy_skill_triggers!$1:$1,0)-MATCH($F$1,enemy_skill_triggers!$1:$1,0)+1),MATCH(L$1,enemy_skill_triggers!$1:$1,0)-MATCH($F$1,enemy_skill_triggers!$1:$1,0)+1,FALSE)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3" s="48" t="str">
        <f ca="1">VLOOKUP($F443,OFFSET(enemy_skill_triggers!$A$1,0,0,COUNTA(enemy_skill_triggers!$A:$A),MATCH(M$1,enemy_skill_triggers!$1:$1,0)-MATCH($F$1,enemy_skill_triggers!$1:$1,0)+1),MATCH(M$1,enemy_skill_triggers!$1:$1,0)-MATCH($F$1,enemy_skill_triggers!$1:$1,0)+1,FALSE)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3" s="48">
        <f ca="1">VLOOKUP($F443,OFFSET(enemy_skill_triggers!$A$1,0,0,COUNTA(enemy_skill_triggers!$A:$A),MATCH(N$1,enemy_skill_triggers!$1:$1,0)-MATCH($F$1,enemy_skill_triggers!$1:$1,0)+1),MATCH(N$1,enemy_skill_triggers!$1:$1,0)-MATCH($F$1,enemy_skill_triggers!$1:$1,0)+1,FALSE)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443" s="48">
        <f ca="1">VLOOKUP($F443,OFFSET(enemy_skill_triggers!$A$1,0,0,COUNTA(enemy_skill_triggers!$A:$A),MATCH(O$1,enemy_skill_triggers!$1:$1,0)-MATCH($F$1,enemy_skill_triggers!$1:$1,0)+1),MATCH(O$1,enemy_skill_triggers!$1:$1,0)-MATCH($F$1,enemy_skill_triggers!$1:$1,0)+1,FALSE)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3" s="47"/>
      <c r="Q443" s="47"/>
      <c r="R443" s="47"/>
    </row>
    <row r="444" spans="1:18" ht="21" customHeight="1" x14ac:dyDescent="0.15">
      <c r="A444" s="39" t="str">
        <f t="shared" si="22"/>
        <v>39009021_39009074</v>
      </c>
      <c r="B444" s="129">
        <v>39009021</v>
      </c>
      <c r="C444" s="47">
        <v>39009074</v>
      </c>
      <c r="D444" s="46" t="str">
        <f ca="1">VLOOKUP($C444,OFFSET(enemy_skills!$A$1,0,0,COUNTA(enemy_skills!$A:$A),MATCH(D$1,enemy_skills!$1:$1,0)-MATCH("enemy_skill_id",enemy_skills!$1:$1,0)+1),MATCH(D$1,enemy_skills!$1:$1,0)-MATCH("enemy_skill_id",enemy_skills!$1:$1,0)+1,FALSE)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4" s="46" t="str">
        <f ca="1">VLOOKUP($C444,OFFSET(enemy_skills!$A$1,0,0,COUNTA(enemy_skills!$A:$A),MATCH(E$1,enemy_skills!$1:$1,0)-MATCH("enemy_skill_id",enemy_skills!$1:$1,0)+1),MATCH(E$1,enemy_skills!$1:$1,0)-MATCH("enemy_skill_id",enemy_skills!$1:$1,0)+1,FALSE)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4" s="47">
        <v>39009222</v>
      </c>
      <c r="G444" s="48">
        <f ca="1">VLOOKUP($F444,OFFSET(enemy_skill_triggers!$A$1,0,0,COUNTA(enemy_skill_triggers!$A:$A),MATCH(G$1,enemy_skill_triggers!$1:$1,0)-MATCH($F$1,enemy_skill_triggers!$1:$1,0)+1),MATCH(G$1,enemy_skill_triggers!$1:$1,0)-MATCH($F$1,enemy_skill_triggers!$1:$1,0)+1,FALSE)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4" s="48">
        <f ca="1">VLOOKUP($F444,OFFSET(enemy_skill_triggers!$A$1,0,0,COUNTA(enemy_skill_triggers!$A:$A),MATCH(H$1,enemy_skill_triggers!$1:$1,0)-MATCH($F$1,enemy_skill_triggers!$1:$1,0)+1),MATCH(H$1,enemy_skill_triggers!$1:$1,0)-MATCH($F$1,enemy_skill_triggers!$1:$1,0)+1,FALSE)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444" s="48">
        <f ca="1">VLOOKUP($F444,OFFSET(enemy_skill_triggers!$A$1,0,0,COUNTA(enemy_skill_triggers!$A:$A),MATCH(I$1,enemy_skill_triggers!$1:$1,0)-MATCH($F$1,enemy_skill_triggers!$1:$1,0)+1),MATCH(I$1,enemy_skill_triggers!$1:$1,0)-MATCH($F$1,enemy_skill_triggers!$1:$1,0)+1,FALSE)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4" s="48" t="str">
        <f ca="1">VLOOKUP($F444,OFFSET(enemy_skill_triggers!$A$1,0,0,COUNTA(enemy_skill_triggers!$A:$A),MATCH(J$1,enemy_skill_triggers!$1:$1,0)-MATCH($F$1,enemy_skill_triggers!$1:$1,0)+1),MATCH(J$1,enemy_skill_triggers!$1:$1,0)-MATCH($F$1,enemy_skill_triggers!$1:$1,0)+1,FALSE)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4" s="48" t="str">
        <f ca="1">VLOOKUP($F444,OFFSET(enemy_skill_triggers!$A$1,0,0,COUNTA(enemy_skill_triggers!$A:$A),MATCH(K$1,enemy_skill_triggers!$1:$1,0)-MATCH($F$1,enemy_skill_triggers!$1:$1,0)+1),MATCH(K$1,enemy_skill_triggers!$1:$1,0)-MATCH($F$1,enemy_skill_triggers!$1:$1,0)+1,FALSE)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4" s="48">
        <f ca="1">VLOOKUP($F444,OFFSET(enemy_skill_triggers!$A$1,0,0,COUNTA(enemy_skill_triggers!$A:$A),MATCH(L$1,enemy_skill_triggers!$1:$1,0)-MATCH($F$1,enemy_skill_triggers!$1:$1,0)+1),MATCH(L$1,enemy_skill_triggers!$1:$1,0)-MATCH($F$1,enemy_skill_triggers!$1:$1,0)+1,FALSE)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4" s="48" t="str">
        <f ca="1">VLOOKUP($F444,OFFSET(enemy_skill_triggers!$A$1,0,0,COUNTA(enemy_skill_triggers!$A:$A),MATCH(M$1,enemy_skill_triggers!$1:$1,0)-MATCH($F$1,enemy_skill_triggers!$1:$1,0)+1),MATCH(M$1,enemy_skill_triggers!$1:$1,0)-MATCH($F$1,enemy_skill_triggers!$1:$1,0)+1,FALSE)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4" s="48">
        <f ca="1">VLOOKUP($F444,OFFSET(enemy_skill_triggers!$A$1,0,0,COUNTA(enemy_skill_triggers!$A:$A),MATCH(N$1,enemy_skill_triggers!$1:$1,0)-MATCH($F$1,enemy_skill_triggers!$1:$1,0)+1),MATCH(N$1,enemy_skill_triggers!$1:$1,0)-MATCH($F$1,enemy_skill_triggers!$1:$1,0)+1,FALSE)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44" s="48">
        <f ca="1">VLOOKUP($F444,OFFSET(enemy_skill_triggers!$A$1,0,0,COUNTA(enemy_skill_triggers!$A:$A),MATCH(O$1,enemy_skill_triggers!$1:$1,0)-MATCH($F$1,enemy_skill_triggers!$1:$1,0)+1),MATCH(O$1,enemy_skill_triggers!$1:$1,0)-MATCH($F$1,enemy_skill_triggers!$1:$1,0)+1,FALSE)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4" s="47"/>
      <c r="Q444" s="47"/>
      <c r="R444" s="47"/>
    </row>
    <row r="445" spans="1:18" ht="21" customHeight="1" x14ac:dyDescent="0.15">
      <c r="A445" s="39" t="str">
        <f t="shared" si="22"/>
        <v>39009021_39009074</v>
      </c>
      <c r="B445" s="129">
        <v>39009021</v>
      </c>
      <c r="C445" s="47">
        <v>39009074</v>
      </c>
      <c r="D445" s="46" t="str">
        <f ca="1">VLOOKUP($C445,OFFSET(enemy_skills!$A$1,0,0,COUNTA(enemy_skills!$A:$A),MATCH(D$1,enemy_skills!$1:$1,0)-MATCH("enemy_skill_id",enemy_skills!$1:$1,0)+1),MATCH(D$1,enemy_skills!$1:$1,0)-MATCH("enemy_skill_id",enemy_skills!$1:$1,0)+1,FALSE)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5" s="46" t="str">
        <f ca="1">VLOOKUP($C445,OFFSET(enemy_skills!$A$1,0,0,COUNTA(enemy_skills!$A:$A),MATCH(E$1,enemy_skills!$1:$1,0)-MATCH("enemy_skill_id",enemy_skills!$1:$1,0)+1),MATCH(E$1,enemy_skills!$1:$1,0)-MATCH("enemy_skill_id",enemy_skills!$1:$1,0)+1,FALSE)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5" s="47">
        <v>39009223</v>
      </c>
      <c r="G445" s="48">
        <f ca="1">VLOOKUP($F445,OFFSET(enemy_skill_triggers!$A$1,0,0,COUNTA(enemy_skill_triggers!$A:$A),MATCH(G$1,enemy_skill_triggers!$1:$1,0)-MATCH($F$1,enemy_skill_triggers!$1:$1,0)+1),MATCH(G$1,enemy_skill_triggers!$1:$1,0)-MATCH($F$1,enemy_skill_triggers!$1:$1,0)+1,FALSE)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5" s="48">
        <f ca="1">VLOOKUP($F445,OFFSET(enemy_skill_triggers!$A$1,0,0,COUNTA(enemy_skill_triggers!$A:$A),MATCH(H$1,enemy_skill_triggers!$1:$1,0)-MATCH($F$1,enemy_skill_triggers!$1:$1,0)+1),MATCH(H$1,enemy_skill_triggers!$1:$1,0)-MATCH($F$1,enemy_skill_triggers!$1:$1,0)+1,FALSE)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445" s="48">
        <f ca="1">VLOOKUP($F445,OFFSET(enemy_skill_triggers!$A$1,0,0,COUNTA(enemy_skill_triggers!$A:$A),MATCH(I$1,enemy_skill_triggers!$1:$1,0)-MATCH($F$1,enemy_skill_triggers!$1:$1,0)+1),MATCH(I$1,enemy_skill_triggers!$1:$1,0)-MATCH($F$1,enemy_skill_triggers!$1:$1,0)+1,FALSE)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5" s="48" t="str">
        <f ca="1">VLOOKUP($F445,OFFSET(enemy_skill_triggers!$A$1,0,0,COUNTA(enemy_skill_triggers!$A:$A),MATCH(J$1,enemy_skill_triggers!$1:$1,0)-MATCH($F$1,enemy_skill_triggers!$1:$1,0)+1),MATCH(J$1,enemy_skill_triggers!$1:$1,0)-MATCH($F$1,enemy_skill_triggers!$1:$1,0)+1,FALSE)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5" s="48" t="str">
        <f ca="1">VLOOKUP($F445,OFFSET(enemy_skill_triggers!$A$1,0,0,COUNTA(enemy_skill_triggers!$A:$A),MATCH(K$1,enemy_skill_triggers!$1:$1,0)-MATCH($F$1,enemy_skill_triggers!$1:$1,0)+1),MATCH(K$1,enemy_skill_triggers!$1:$1,0)-MATCH($F$1,enemy_skill_triggers!$1:$1,0)+1,FALSE)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5" s="48">
        <f ca="1">VLOOKUP($F445,OFFSET(enemy_skill_triggers!$A$1,0,0,COUNTA(enemy_skill_triggers!$A:$A),MATCH(L$1,enemy_skill_triggers!$1:$1,0)-MATCH($F$1,enemy_skill_triggers!$1:$1,0)+1),MATCH(L$1,enemy_skill_triggers!$1:$1,0)-MATCH($F$1,enemy_skill_triggers!$1:$1,0)+1,FALSE)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5" s="48" t="str">
        <f ca="1">VLOOKUP($F445,OFFSET(enemy_skill_triggers!$A$1,0,0,COUNTA(enemy_skill_triggers!$A:$A),MATCH(M$1,enemy_skill_triggers!$1:$1,0)-MATCH($F$1,enemy_skill_triggers!$1:$1,0)+1),MATCH(M$1,enemy_skill_triggers!$1:$1,0)-MATCH($F$1,enemy_skill_triggers!$1:$1,0)+1,FALSE)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5" s="48">
        <f ca="1">VLOOKUP($F445,OFFSET(enemy_skill_triggers!$A$1,0,0,COUNTA(enemy_skill_triggers!$A:$A),MATCH(N$1,enemy_skill_triggers!$1:$1,0)-MATCH($F$1,enemy_skill_triggers!$1:$1,0)+1),MATCH(N$1,enemy_skill_triggers!$1:$1,0)-MATCH($F$1,enemy_skill_triggers!$1:$1,0)+1,FALSE)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445" s="48">
        <f ca="1">VLOOKUP($F445,OFFSET(enemy_skill_triggers!$A$1,0,0,COUNTA(enemy_skill_triggers!$A:$A),MATCH(O$1,enemy_skill_triggers!$1:$1,0)-MATCH($F$1,enemy_skill_triggers!$1:$1,0)+1),MATCH(O$1,enemy_skill_triggers!$1:$1,0)-MATCH($F$1,enemy_skill_triggers!$1:$1,0)+1,FALSE)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5" s="47"/>
      <c r="Q445" s="47"/>
      <c r="R445" s="47"/>
    </row>
    <row r="446" spans="1:18" ht="21" customHeight="1" x14ac:dyDescent="0.15">
      <c r="A446" s="39" t="str">
        <f t="shared" si="22"/>
        <v>39009021_39009074</v>
      </c>
      <c r="B446" s="129">
        <v>39009021</v>
      </c>
      <c r="C446" s="47">
        <v>39009074</v>
      </c>
      <c r="D446" s="46" t="str">
        <f ca="1">VLOOKUP($C446,OFFSET(enemy_skills!$A$1,0,0,COUNTA(enemy_skills!$A:$A),MATCH(D$1,enemy_skills!$1:$1,0)-MATCH("enemy_skill_id",enemy_skills!$1:$1,0)+1),MATCH(D$1,enemy_skills!$1:$1,0)-MATCH("enemy_skill_id",enemy_skills!$1:$1,0)+1,FALSE)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6" s="46" t="str">
        <f ca="1">VLOOKUP($C446,OFFSET(enemy_skills!$A$1,0,0,COUNTA(enemy_skills!$A:$A),MATCH(E$1,enemy_skills!$1:$1,0)-MATCH("enemy_skill_id",enemy_skills!$1:$1,0)+1),MATCH(E$1,enemy_skills!$1:$1,0)-MATCH("enemy_skill_id",enemy_skills!$1:$1,0)+1,FALSE)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6" s="47">
        <v>39009224</v>
      </c>
      <c r="G446" s="48">
        <f ca="1">VLOOKUP($F446,OFFSET(enemy_skill_triggers!$A$1,0,0,COUNTA(enemy_skill_triggers!$A:$A),MATCH(G$1,enemy_skill_triggers!$1:$1,0)-MATCH($F$1,enemy_skill_triggers!$1:$1,0)+1),MATCH(G$1,enemy_skill_triggers!$1:$1,0)-MATCH($F$1,enemy_skill_triggers!$1:$1,0)+1,FALSE)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6" s="48">
        <f ca="1">VLOOKUP($F446,OFFSET(enemy_skill_triggers!$A$1,0,0,COUNTA(enemy_skill_triggers!$A:$A),MATCH(H$1,enemy_skill_triggers!$1:$1,0)-MATCH($F$1,enemy_skill_triggers!$1:$1,0)+1),MATCH(H$1,enemy_skill_triggers!$1:$1,0)-MATCH($F$1,enemy_skill_triggers!$1:$1,0)+1,FALSE)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446" s="48">
        <f ca="1">VLOOKUP($F446,OFFSET(enemy_skill_triggers!$A$1,0,0,COUNTA(enemy_skill_triggers!$A:$A),MATCH(I$1,enemy_skill_triggers!$1:$1,0)-MATCH($F$1,enemy_skill_triggers!$1:$1,0)+1),MATCH(I$1,enemy_skill_triggers!$1:$1,0)-MATCH($F$1,enemy_skill_triggers!$1:$1,0)+1,FALSE)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6" s="48" t="str">
        <f ca="1">VLOOKUP($F446,OFFSET(enemy_skill_triggers!$A$1,0,0,COUNTA(enemy_skill_triggers!$A:$A),MATCH(J$1,enemy_skill_triggers!$1:$1,0)-MATCH($F$1,enemy_skill_triggers!$1:$1,0)+1),MATCH(J$1,enemy_skill_triggers!$1:$1,0)-MATCH($F$1,enemy_skill_triggers!$1:$1,0)+1,FALSE)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6" s="48" t="str">
        <f ca="1">VLOOKUP($F446,OFFSET(enemy_skill_triggers!$A$1,0,0,COUNTA(enemy_skill_triggers!$A:$A),MATCH(K$1,enemy_skill_triggers!$1:$1,0)-MATCH($F$1,enemy_skill_triggers!$1:$1,0)+1),MATCH(K$1,enemy_skill_triggers!$1:$1,0)-MATCH($F$1,enemy_skill_triggers!$1:$1,0)+1,FALSE)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6" s="48">
        <f ca="1">VLOOKUP($F446,OFFSET(enemy_skill_triggers!$A$1,0,0,COUNTA(enemy_skill_triggers!$A:$A),MATCH(L$1,enemy_skill_triggers!$1:$1,0)-MATCH($F$1,enemy_skill_triggers!$1:$1,0)+1),MATCH(L$1,enemy_skill_triggers!$1:$1,0)-MATCH($F$1,enemy_skill_triggers!$1:$1,0)+1,FALSE)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6" s="48" t="str">
        <f ca="1">VLOOKUP($F446,OFFSET(enemy_skill_triggers!$A$1,0,0,COUNTA(enemy_skill_triggers!$A:$A),MATCH(M$1,enemy_skill_triggers!$1:$1,0)-MATCH($F$1,enemy_skill_triggers!$1:$1,0)+1),MATCH(M$1,enemy_skill_triggers!$1:$1,0)-MATCH($F$1,enemy_skill_triggers!$1:$1,0)+1,FALSE)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6" s="48">
        <f ca="1">VLOOKUP($F446,OFFSET(enemy_skill_triggers!$A$1,0,0,COUNTA(enemy_skill_triggers!$A:$A),MATCH(N$1,enemy_skill_triggers!$1:$1,0)-MATCH($F$1,enemy_skill_triggers!$1:$1,0)+1),MATCH(N$1,enemy_skill_triggers!$1:$1,0)-MATCH($F$1,enemy_skill_triggers!$1:$1,0)+1,FALSE)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446" s="48">
        <f ca="1">VLOOKUP($F446,OFFSET(enemy_skill_triggers!$A$1,0,0,COUNTA(enemy_skill_triggers!$A:$A),MATCH(O$1,enemy_skill_triggers!$1:$1,0)-MATCH($F$1,enemy_skill_triggers!$1:$1,0)+1),MATCH(O$1,enemy_skill_triggers!$1:$1,0)-MATCH($F$1,enemy_skill_triggers!$1:$1,0)+1,FALSE)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6" s="47"/>
      <c r="Q446" s="47"/>
      <c r="R446" s="47"/>
    </row>
    <row r="447" spans="1:18" ht="21" customHeight="1" x14ac:dyDescent="0.15">
      <c r="A447" s="39" t="str">
        <f t="shared" si="22"/>
        <v>39009021_39009074</v>
      </c>
      <c r="B447" s="129">
        <v>39009021</v>
      </c>
      <c r="C447" s="47">
        <v>39009074</v>
      </c>
      <c r="D447" s="46" t="str">
        <f ca="1">VLOOKUP($C447,OFFSET(enemy_skills!$A$1,0,0,COUNTA(enemy_skills!$A:$A),MATCH(D$1,enemy_skills!$1:$1,0)-MATCH("enemy_skill_id",enemy_skills!$1:$1,0)+1),MATCH(D$1,enemy_skills!$1:$1,0)-MATCH("enemy_skill_id",enemy_skills!$1:$1,0)+1,FALSE)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7" s="46" t="str">
        <f ca="1">VLOOKUP($C447,OFFSET(enemy_skills!$A$1,0,0,COUNTA(enemy_skills!$A:$A),MATCH(E$1,enemy_skills!$1:$1,0)-MATCH("enemy_skill_id",enemy_skills!$1:$1,0)+1),MATCH(E$1,enemy_skills!$1:$1,0)-MATCH("enemy_skill_id",enemy_skills!$1:$1,0)+1,FALSE)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7" s="47">
        <v>39009225</v>
      </c>
      <c r="G447" s="48">
        <f ca="1">VLOOKUP($F447,OFFSET(enemy_skill_triggers!$A$1,0,0,COUNTA(enemy_skill_triggers!$A:$A),MATCH(G$1,enemy_skill_triggers!$1:$1,0)-MATCH($F$1,enemy_skill_triggers!$1:$1,0)+1),MATCH(G$1,enemy_skill_triggers!$1:$1,0)-MATCH($F$1,enemy_skill_triggers!$1:$1,0)+1,FALSE)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7" s="48">
        <f ca="1">VLOOKUP($F447,OFFSET(enemy_skill_triggers!$A$1,0,0,COUNTA(enemy_skill_triggers!$A:$A),MATCH(H$1,enemy_skill_triggers!$1:$1,0)-MATCH($F$1,enemy_skill_triggers!$1:$1,0)+1),MATCH(H$1,enemy_skill_triggers!$1:$1,0)-MATCH($F$1,enemy_skill_triggers!$1:$1,0)+1,FALSE)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447" s="48">
        <f ca="1">VLOOKUP($F447,OFFSET(enemy_skill_triggers!$A$1,0,0,COUNTA(enemy_skill_triggers!$A:$A),MATCH(I$1,enemy_skill_triggers!$1:$1,0)-MATCH($F$1,enemy_skill_triggers!$1:$1,0)+1),MATCH(I$1,enemy_skill_triggers!$1:$1,0)-MATCH($F$1,enemy_skill_triggers!$1:$1,0)+1,FALSE)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7" s="48" t="str">
        <f ca="1">VLOOKUP($F447,OFFSET(enemy_skill_triggers!$A$1,0,0,COUNTA(enemy_skill_triggers!$A:$A),MATCH(J$1,enemy_skill_triggers!$1:$1,0)-MATCH($F$1,enemy_skill_triggers!$1:$1,0)+1),MATCH(J$1,enemy_skill_triggers!$1:$1,0)-MATCH($F$1,enemy_skill_triggers!$1:$1,0)+1,FALSE)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7" s="48" t="str">
        <f ca="1">VLOOKUP($F447,OFFSET(enemy_skill_triggers!$A$1,0,0,COUNTA(enemy_skill_triggers!$A:$A),MATCH(K$1,enemy_skill_triggers!$1:$1,0)-MATCH($F$1,enemy_skill_triggers!$1:$1,0)+1),MATCH(K$1,enemy_skill_triggers!$1:$1,0)-MATCH($F$1,enemy_skill_triggers!$1:$1,0)+1,FALSE)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7" s="48">
        <f ca="1">VLOOKUP($F447,OFFSET(enemy_skill_triggers!$A$1,0,0,COUNTA(enemy_skill_triggers!$A:$A),MATCH(L$1,enemy_skill_triggers!$1:$1,0)-MATCH($F$1,enemy_skill_triggers!$1:$1,0)+1),MATCH(L$1,enemy_skill_triggers!$1:$1,0)-MATCH($F$1,enemy_skill_triggers!$1:$1,0)+1,FALSE)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7" s="48" t="str">
        <f ca="1">VLOOKUP($F447,OFFSET(enemy_skill_triggers!$A$1,0,0,COUNTA(enemy_skill_triggers!$A:$A),MATCH(M$1,enemy_skill_triggers!$1:$1,0)-MATCH($F$1,enemy_skill_triggers!$1:$1,0)+1),MATCH(M$1,enemy_skill_triggers!$1:$1,0)-MATCH($F$1,enemy_skill_triggers!$1:$1,0)+1,FALSE)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7" s="48">
        <f ca="1">VLOOKUP($F447,OFFSET(enemy_skill_triggers!$A$1,0,0,COUNTA(enemy_skill_triggers!$A:$A),MATCH(N$1,enemy_skill_triggers!$1:$1,0)-MATCH($F$1,enemy_skill_triggers!$1:$1,0)+1),MATCH(N$1,enemy_skill_triggers!$1:$1,0)-MATCH($F$1,enemy_skill_triggers!$1:$1,0)+1,FALSE)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447" s="48">
        <f ca="1">VLOOKUP($F447,OFFSET(enemy_skill_triggers!$A$1,0,0,COUNTA(enemy_skill_triggers!$A:$A),MATCH(O$1,enemy_skill_triggers!$1:$1,0)-MATCH($F$1,enemy_skill_triggers!$1:$1,0)+1),MATCH(O$1,enemy_skill_triggers!$1:$1,0)-MATCH($F$1,enemy_skill_triggers!$1:$1,0)+1,FALSE)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7" s="47"/>
      <c r="Q447" s="47"/>
      <c r="R447" s="47"/>
    </row>
    <row r="448" spans="1:18" ht="21" customHeight="1" x14ac:dyDescent="0.15">
      <c r="A448" s="39" t="str">
        <f t="shared" si="22"/>
        <v>39009021_39009074</v>
      </c>
      <c r="B448" s="129">
        <v>39009021</v>
      </c>
      <c r="C448" s="47">
        <v>39009074</v>
      </c>
      <c r="D448" s="46" t="str">
        <f ca="1">VLOOKUP($C448,OFFSET(enemy_skills!$A$1,0,0,COUNTA(enemy_skills!$A:$A),MATCH(D$1,enemy_skills!$1:$1,0)-MATCH("enemy_skill_id",enemy_skills!$1:$1,0)+1),MATCH(D$1,enemy_skills!$1:$1,0)-MATCH("enemy_skill_id",enemy_skills!$1:$1,0)+1,FALSE)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8" s="46" t="str">
        <f ca="1">VLOOKUP($C448,OFFSET(enemy_skills!$A$1,0,0,COUNTA(enemy_skills!$A:$A),MATCH(E$1,enemy_skills!$1:$1,0)-MATCH("enemy_skill_id",enemy_skills!$1:$1,0)+1),MATCH(E$1,enemy_skills!$1:$1,0)-MATCH("enemy_skill_id",enemy_skills!$1:$1,0)+1,FALSE)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8" s="47">
        <v>39009226</v>
      </c>
      <c r="G448" s="48">
        <f ca="1">VLOOKUP($F448,OFFSET(enemy_skill_triggers!$A$1,0,0,COUNTA(enemy_skill_triggers!$A:$A),MATCH(G$1,enemy_skill_triggers!$1:$1,0)-MATCH($F$1,enemy_skill_triggers!$1:$1,0)+1),MATCH(G$1,enemy_skill_triggers!$1:$1,0)-MATCH($F$1,enemy_skill_triggers!$1:$1,0)+1,FALSE)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8" s="48">
        <f ca="1">VLOOKUP($F448,OFFSET(enemy_skill_triggers!$A$1,0,0,COUNTA(enemy_skill_triggers!$A:$A),MATCH(H$1,enemy_skill_triggers!$1:$1,0)-MATCH($F$1,enemy_skill_triggers!$1:$1,0)+1),MATCH(H$1,enemy_skill_triggers!$1:$1,0)-MATCH($F$1,enemy_skill_triggers!$1:$1,0)+1,FALSE)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8" s="48">
        <f ca="1">VLOOKUP($F448,OFFSET(enemy_skill_triggers!$A$1,0,0,COUNTA(enemy_skill_triggers!$A:$A),MATCH(I$1,enemy_skill_triggers!$1:$1,0)-MATCH($F$1,enemy_skill_triggers!$1:$1,0)+1),MATCH(I$1,enemy_skill_triggers!$1:$1,0)-MATCH($F$1,enemy_skill_triggers!$1:$1,0)+1,FALSE)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8" s="48" t="str">
        <f ca="1">VLOOKUP($F448,OFFSET(enemy_skill_triggers!$A$1,0,0,COUNTA(enemy_skill_triggers!$A:$A),MATCH(J$1,enemy_skill_triggers!$1:$1,0)-MATCH($F$1,enemy_skill_triggers!$1:$1,0)+1),MATCH(J$1,enemy_skill_triggers!$1:$1,0)-MATCH($F$1,enemy_skill_triggers!$1:$1,0)+1,FALSE)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8" s="48" t="str">
        <f ca="1">VLOOKUP($F448,OFFSET(enemy_skill_triggers!$A$1,0,0,COUNTA(enemy_skill_triggers!$A:$A),MATCH(K$1,enemy_skill_triggers!$1:$1,0)-MATCH($F$1,enemy_skill_triggers!$1:$1,0)+1),MATCH(K$1,enemy_skill_triggers!$1:$1,0)-MATCH($F$1,enemy_skill_triggers!$1:$1,0)+1,FALSE)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8" s="48">
        <f ca="1">VLOOKUP($F448,OFFSET(enemy_skill_triggers!$A$1,0,0,COUNTA(enemy_skill_triggers!$A:$A),MATCH(L$1,enemy_skill_triggers!$1:$1,0)-MATCH($F$1,enemy_skill_triggers!$1:$1,0)+1),MATCH(L$1,enemy_skill_triggers!$1:$1,0)-MATCH($F$1,enemy_skill_triggers!$1:$1,0)+1,FALSE)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8" s="48" t="str">
        <f ca="1">VLOOKUP($F448,OFFSET(enemy_skill_triggers!$A$1,0,0,COUNTA(enemy_skill_triggers!$A:$A),MATCH(M$1,enemy_skill_triggers!$1:$1,0)-MATCH($F$1,enemy_skill_triggers!$1:$1,0)+1),MATCH(M$1,enemy_skill_triggers!$1:$1,0)-MATCH($F$1,enemy_skill_triggers!$1:$1,0)+1,FALSE)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8" s="48">
        <f ca="1">VLOOKUP($F448,OFFSET(enemy_skill_triggers!$A$1,0,0,COUNTA(enemy_skill_triggers!$A:$A),MATCH(N$1,enemy_skill_triggers!$1:$1,0)-MATCH($F$1,enemy_skill_triggers!$1:$1,0)+1),MATCH(N$1,enemy_skill_triggers!$1:$1,0)-MATCH($F$1,enemy_skill_triggers!$1:$1,0)+1,FALSE)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448" s="48">
        <f ca="1">VLOOKUP($F448,OFFSET(enemy_skill_triggers!$A$1,0,0,COUNTA(enemy_skill_triggers!$A:$A),MATCH(O$1,enemy_skill_triggers!$1:$1,0)-MATCH($F$1,enemy_skill_triggers!$1:$1,0)+1),MATCH(O$1,enemy_skill_triggers!$1:$1,0)-MATCH($F$1,enemy_skill_triggers!$1:$1,0)+1,FALSE)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8" s="47"/>
      <c r="Q448" s="47"/>
      <c r="R448" s="47"/>
    </row>
    <row r="449" spans="1:18" ht="21" customHeight="1" x14ac:dyDescent="0.15">
      <c r="A449" s="39" t="str">
        <f t="shared" si="22"/>
        <v>39009021_39009074</v>
      </c>
      <c r="B449" s="129">
        <v>39009021</v>
      </c>
      <c r="C449" s="47">
        <v>39009074</v>
      </c>
      <c r="D449" s="46" t="str">
        <f ca="1">VLOOKUP($C449,OFFSET(enemy_skills!$A$1,0,0,COUNTA(enemy_skills!$A:$A),MATCH(D$1,enemy_skills!$1:$1,0)-MATCH("enemy_skill_id",enemy_skills!$1:$1,0)+1),MATCH(D$1,enemy_skills!$1:$1,0)-MATCH("enemy_skill_id",enemy_skills!$1:$1,0)+1,FALSE)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49" s="46" t="str">
        <f ca="1">VLOOKUP($C449,OFFSET(enemy_skills!$A$1,0,0,COUNTA(enemy_skills!$A:$A),MATCH(E$1,enemy_skills!$1:$1,0)-MATCH("enemy_skill_id",enemy_skills!$1:$1,0)+1),MATCH(E$1,enemy_skills!$1:$1,0)-MATCH("enemy_skill_id",enemy_skills!$1:$1,0)+1,FALSE)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9" s="47">
        <v>39009227</v>
      </c>
      <c r="G449" s="48">
        <f ca="1">VLOOKUP($F449,OFFSET(enemy_skill_triggers!$A$1,0,0,COUNTA(enemy_skill_triggers!$A:$A),MATCH(G$1,enemy_skill_triggers!$1:$1,0)-MATCH($F$1,enemy_skill_triggers!$1:$1,0)+1),MATCH(G$1,enemy_skill_triggers!$1:$1,0)-MATCH($F$1,enemy_skill_triggers!$1:$1,0)+1,FALSE)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9" s="48">
        <f ca="1">VLOOKUP($F449,OFFSET(enemy_skill_triggers!$A$1,0,0,COUNTA(enemy_skill_triggers!$A:$A),MATCH(H$1,enemy_skill_triggers!$1:$1,0)-MATCH($F$1,enemy_skill_triggers!$1:$1,0)+1),MATCH(H$1,enemy_skill_triggers!$1:$1,0)-MATCH($F$1,enemy_skill_triggers!$1:$1,0)+1,FALSE)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449" s="48">
        <f ca="1">VLOOKUP($F449,OFFSET(enemy_skill_triggers!$A$1,0,0,COUNTA(enemy_skill_triggers!$A:$A),MATCH(I$1,enemy_skill_triggers!$1:$1,0)-MATCH($F$1,enemy_skill_triggers!$1:$1,0)+1),MATCH(I$1,enemy_skill_triggers!$1:$1,0)-MATCH($F$1,enemy_skill_triggers!$1:$1,0)+1,FALSE)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9" s="48" t="str">
        <f ca="1">VLOOKUP($F449,OFFSET(enemy_skill_triggers!$A$1,0,0,COUNTA(enemy_skill_triggers!$A:$A),MATCH(J$1,enemy_skill_triggers!$1:$1,0)-MATCH($F$1,enemy_skill_triggers!$1:$1,0)+1),MATCH(J$1,enemy_skill_triggers!$1:$1,0)-MATCH($F$1,enemy_skill_triggers!$1:$1,0)+1,FALSE)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9" s="48" t="str">
        <f ca="1">VLOOKUP($F449,OFFSET(enemy_skill_triggers!$A$1,0,0,COUNTA(enemy_skill_triggers!$A:$A),MATCH(K$1,enemy_skill_triggers!$1:$1,0)-MATCH($F$1,enemy_skill_triggers!$1:$1,0)+1),MATCH(K$1,enemy_skill_triggers!$1:$1,0)-MATCH($F$1,enemy_skill_triggers!$1:$1,0)+1,FALSE)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9" s="48">
        <f ca="1">VLOOKUP($F449,OFFSET(enemy_skill_triggers!$A$1,0,0,COUNTA(enemy_skill_triggers!$A:$A),MATCH(L$1,enemy_skill_triggers!$1:$1,0)-MATCH($F$1,enemy_skill_triggers!$1:$1,0)+1),MATCH(L$1,enemy_skill_triggers!$1:$1,0)-MATCH($F$1,enemy_skill_triggers!$1:$1,0)+1,FALSE)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9" s="48" t="str">
        <f ca="1">VLOOKUP($F449,OFFSET(enemy_skill_triggers!$A$1,0,0,COUNTA(enemy_skill_triggers!$A:$A),MATCH(M$1,enemy_skill_triggers!$1:$1,0)-MATCH($F$1,enemy_skill_triggers!$1:$1,0)+1),MATCH(M$1,enemy_skill_triggers!$1:$1,0)-MATCH($F$1,enemy_skill_triggers!$1:$1,0)+1,FALSE)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9" s="48">
        <f ca="1">VLOOKUP($F449,OFFSET(enemy_skill_triggers!$A$1,0,0,COUNTA(enemy_skill_triggers!$A:$A),MATCH(N$1,enemy_skill_triggers!$1:$1,0)-MATCH($F$1,enemy_skill_triggers!$1:$1,0)+1),MATCH(N$1,enemy_skill_triggers!$1:$1,0)-MATCH($F$1,enemy_skill_triggers!$1:$1,0)+1,FALSE)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449" s="48">
        <f ca="1">VLOOKUP($F449,OFFSET(enemy_skill_triggers!$A$1,0,0,COUNTA(enemy_skill_triggers!$A:$A),MATCH(O$1,enemy_skill_triggers!$1:$1,0)-MATCH($F$1,enemy_skill_triggers!$1:$1,0)+1),MATCH(O$1,enemy_skill_triggers!$1:$1,0)-MATCH($F$1,enemy_skill_triggers!$1:$1,0)+1,FALSE)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9" s="47"/>
      <c r="Q449" s="47"/>
      <c r="R449" s="47"/>
    </row>
    <row r="450" spans="1:18" ht="21" customHeight="1" x14ac:dyDescent="0.15">
      <c r="A450" s="39" t="str">
        <f t="shared" si="22"/>
        <v>39009021_39009074</v>
      </c>
      <c r="B450" s="129">
        <v>39009021</v>
      </c>
      <c r="C450" s="47">
        <v>39009074</v>
      </c>
      <c r="D450" s="46" t="str">
        <f ca="1">VLOOKUP($C450,OFFSET(enemy_skills!$A$1,0,0,COUNTA(enemy_skills!$A:$A),MATCH(D$1,enemy_skills!$1:$1,0)-MATCH("enemy_skill_id",enemy_skills!$1:$1,0)+1),MATCH(D$1,enemy_skills!$1:$1,0)-MATCH("enemy_skill_id",enemy_skills!$1:$1,0)+1,FALSE)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0" s="46" t="str">
        <f ca="1">VLOOKUP($C450,OFFSET(enemy_skills!$A$1,0,0,COUNTA(enemy_skills!$A:$A),MATCH(E$1,enemy_skills!$1:$1,0)-MATCH("enemy_skill_id",enemy_skills!$1:$1,0)+1),MATCH(E$1,enemy_skills!$1:$1,0)-MATCH("enemy_skill_id",enemy_skills!$1:$1,0)+1,FALSE)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0" s="47">
        <v>39009228</v>
      </c>
      <c r="G450" s="48">
        <f ca="1">VLOOKUP($F450,OFFSET(enemy_skill_triggers!$A$1,0,0,COUNTA(enemy_skill_triggers!$A:$A),MATCH(G$1,enemy_skill_triggers!$1:$1,0)-MATCH($F$1,enemy_skill_triggers!$1:$1,0)+1),MATCH(G$1,enemy_skill_triggers!$1:$1,0)-MATCH($F$1,enemy_skill_triggers!$1:$1,0)+1,FALSE)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0" s="48">
        <f ca="1">VLOOKUP($F450,OFFSET(enemy_skill_triggers!$A$1,0,0,COUNTA(enemy_skill_triggers!$A:$A),MATCH(H$1,enemy_skill_triggers!$1:$1,0)-MATCH($F$1,enemy_skill_triggers!$1:$1,0)+1),MATCH(H$1,enemy_skill_triggers!$1:$1,0)-MATCH($F$1,enemy_skill_triggers!$1:$1,0)+1,FALSE)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450" s="48">
        <f ca="1">VLOOKUP($F450,OFFSET(enemy_skill_triggers!$A$1,0,0,COUNTA(enemy_skill_triggers!$A:$A),MATCH(I$1,enemy_skill_triggers!$1:$1,0)-MATCH($F$1,enemy_skill_triggers!$1:$1,0)+1),MATCH(I$1,enemy_skill_triggers!$1:$1,0)-MATCH($F$1,enemy_skill_triggers!$1:$1,0)+1,FALSE)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0" s="48" t="str">
        <f ca="1">VLOOKUP($F450,OFFSET(enemy_skill_triggers!$A$1,0,0,COUNTA(enemy_skill_triggers!$A:$A),MATCH(J$1,enemy_skill_triggers!$1:$1,0)-MATCH($F$1,enemy_skill_triggers!$1:$1,0)+1),MATCH(J$1,enemy_skill_triggers!$1:$1,0)-MATCH($F$1,enemy_skill_triggers!$1:$1,0)+1,FALSE)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0" s="48" t="str">
        <f ca="1">VLOOKUP($F450,OFFSET(enemy_skill_triggers!$A$1,0,0,COUNTA(enemy_skill_triggers!$A:$A),MATCH(K$1,enemy_skill_triggers!$1:$1,0)-MATCH($F$1,enemy_skill_triggers!$1:$1,0)+1),MATCH(K$1,enemy_skill_triggers!$1:$1,0)-MATCH($F$1,enemy_skill_triggers!$1:$1,0)+1,FALSE)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0" s="48">
        <f ca="1">VLOOKUP($F450,OFFSET(enemy_skill_triggers!$A$1,0,0,COUNTA(enemy_skill_triggers!$A:$A),MATCH(L$1,enemy_skill_triggers!$1:$1,0)-MATCH($F$1,enemy_skill_triggers!$1:$1,0)+1),MATCH(L$1,enemy_skill_triggers!$1:$1,0)-MATCH($F$1,enemy_skill_triggers!$1:$1,0)+1,FALSE)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0" s="48" t="str">
        <f ca="1">VLOOKUP($F450,OFFSET(enemy_skill_triggers!$A$1,0,0,COUNTA(enemy_skill_triggers!$A:$A),MATCH(M$1,enemy_skill_triggers!$1:$1,0)-MATCH($F$1,enemy_skill_triggers!$1:$1,0)+1),MATCH(M$1,enemy_skill_triggers!$1:$1,0)-MATCH($F$1,enemy_skill_triggers!$1:$1,0)+1,FALSE)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0" s="48">
        <f ca="1">VLOOKUP($F450,OFFSET(enemy_skill_triggers!$A$1,0,0,COUNTA(enemy_skill_triggers!$A:$A),MATCH(N$1,enemy_skill_triggers!$1:$1,0)-MATCH($F$1,enemy_skill_triggers!$1:$1,0)+1),MATCH(N$1,enemy_skill_triggers!$1:$1,0)-MATCH($F$1,enemy_skill_triggers!$1:$1,0)+1,FALSE)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450" s="48">
        <f ca="1">VLOOKUP($F450,OFFSET(enemy_skill_triggers!$A$1,0,0,COUNTA(enemy_skill_triggers!$A:$A),MATCH(O$1,enemy_skill_triggers!$1:$1,0)-MATCH($F$1,enemy_skill_triggers!$1:$1,0)+1),MATCH(O$1,enemy_skill_triggers!$1:$1,0)-MATCH($F$1,enemy_skill_triggers!$1:$1,0)+1,FALSE)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0" s="47"/>
      <c r="Q450" s="47"/>
      <c r="R450" s="47"/>
    </row>
    <row r="451" spans="1:18" ht="21" customHeight="1" x14ac:dyDescent="0.15">
      <c r="A451" s="39" t="str">
        <f t="shared" si="22"/>
        <v>39009021_39009074</v>
      </c>
      <c r="B451" s="129">
        <v>39009021</v>
      </c>
      <c r="C451" s="47">
        <v>39009074</v>
      </c>
      <c r="D451" s="46" t="str">
        <f ca="1">VLOOKUP($C451,OFFSET(enemy_skills!$A$1,0,0,COUNTA(enemy_skills!$A:$A),MATCH(D$1,enemy_skills!$1:$1,0)-MATCH("enemy_skill_id",enemy_skills!$1:$1,0)+1),MATCH(D$1,enemy_skills!$1:$1,0)-MATCH("enemy_skill_id",enemy_skills!$1:$1,0)+1,FALSE)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1" s="46" t="str">
        <f ca="1">VLOOKUP($C451,OFFSET(enemy_skills!$A$1,0,0,COUNTA(enemy_skills!$A:$A),MATCH(E$1,enemy_skills!$1:$1,0)-MATCH("enemy_skill_id",enemy_skills!$1:$1,0)+1),MATCH(E$1,enemy_skills!$1:$1,0)-MATCH("enemy_skill_id",enemy_skills!$1:$1,0)+1,FALSE)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1" s="47">
        <v>39009229</v>
      </c>
      <c r="G451" s="48">
        <f ca="1">VLOOKUP($F451,OFFSET(enemy_skill_triggers!$A$1,0,0,COUNTA(enemy_skill_triggers!$A:$A),MATCH(G$1,enemy_skill_triggers!$1:$1,0)-MATCH($F$1,enemy_skill_triggers!$1:$1,0)+1),MATCH(G$1,enemy_skill_triggers!$1:$1,0)-MATCH($F$1,enemy_skill_triggers!$1:$1,0)+1,FALSE)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1" s="48">
        <f ca="1">VLOOKUP($F451,OFFSET(enemy_skill_triggers!$A$1,0,0,COUNTA(enemy_skill_triggers!$A:$A),MATCH(H$1,enemy_skill_triggers!$1:$1,0)-MATCH($F$1,enemy_skill_triggers!$1:$1,0)+1),MATCH(H$1,enemy_skill_triggers!$1:$1,0)-MATCH($F$1,enemy_skill_triggers!$1:$1,0)+1,FALSE)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51" s="48">
        <f ca="1">VLOOKUP($F451,OFFSET(enemy_skill_triggers!$A$1,0,0,COUNTA(enemy_skill_triggers!$A:$A),MATCH(I$1,enemy_skill_triggers!$1:$1,0)-MATCH($F$1,enemy_skill_triggers!$1:$1,0)+1),MATCH(I$1,enemy_skill_triggers!$1:$1,0)-MATCH($F$1,enemy_skill_triggers!$1:$1,0)+1,FALSE)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1" s="48" t="str">
        <f ca="1">VLOOKUP($F451,OFFSET(enemy_skill_triggers!$A$1,0,0,COUNTA(enemy_skill_triggers!$A:$A),MATCH(J$1,enemy_skill_triggers!$1:$1,0)-MATCH($F$1,enemy_skill_triggers!$1:$1,0)+1),MATCH(J$1,enemy_skill_triggers!$1:$1,0)-MATCH($F$1,enemy_skill_triggers!$1:$1,0)+1,FALSE)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1" s="48" t="str">
        <f ca="1">VLOOKUP($F451,OFFSET(enemy_skill_triggers!$A$1,0,0,COUNTA(enemy_skill_triggers!$A:$A),MATCH(K$1,enemy_skill_triggers!$1:$1,0)-MATCH($F$1,enemy_skill_triggers!$1:$1,0)+1),MATCH(K$1,enemy_skill_triggers!$1:$1,0)-MATCH($F$1,enemy_skill_triggers!$1:$1,0)+1,FALSE)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1" s="48">
        <f ca="1">VLOOKUP($F451,OFFSET(enemy_skill_triggers!$A$1,0,0,COUNTA(enemy_skill_triggers!$A:$A),MATCH(L$1,enemy_skill_triggers!$1:$1,0)-MATCH($F$1,enemy_skill_triggers!$1:$1,0)+1),MATCH(L$1,enemy_skill_triggers!$1:$1,0)-MATCH($F$1,enemy_skill_triggers!$1:$1,0)+1,FALSE)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1" s="48" t="str">
        <f ca="1">VLOOKUP($F451,OFFSET(enemy_skill_triggers!$A$1,0,0,COUNTA(enemy_skill_triggers!$A:$A),MATCH(M$1,enemy_skill_triggers!$1:$1,0)-MATCH($F$1,enemy_skill_triggers!$1:$1,0)+1),MATCH(M$1,enemy_skill_triggers!$1:$1,0)-MATCH($F$1,enemy_skill_triggers!$1:$1,0)+1,FALSE)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1" s="48">
        <f ca="1">VLOOKUP($F451,OFFSET(enemy_skill_triggers!$A$1,0,0,COUNTA(enemy_skill_triggers!$A:$A),MATCH(N$1,enemy_skill_triggers!$1:$1,0)-MATCH($F$1,enemy_skill_triggers!$1:$1,0)+1),MATCH(N$1,enemy_skill_triggers!$1:$1,0)-MATCH($F$1,enemy_skill_triggers!$1:$1,0)+1,FALSE)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451" s="48">
        <f ca="1">VLOOKUP($F451,OFFSET(enemy_skill_triggers!$A$1,0,0,COUNTA(enemy_skill_triggers!$A:$A),MATCH(O$1,enemy_skill_triggers!$1:$1,0)-MATCH($F$1,enemy_skill_triggers!$1:$1,0)+1),MATCH(O$1,enemy_skill_triggers!$1:$1,0)-MATCH($F$1,enemy_skill_triggers!$1:$1,0)+1,FALSE)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1" s="47"/>
      <c r="Q451" s="47"/>
      <c r="R451" s="47"/>
    </row>
    <row r="452" spans="1:18" ht="21" customHeight="1" x14ac:dyDescent="0.15">
      <c r="A452" s="39" t="str">
        <f t="shared" si="22"/>
        <v>39009021_39009074</v>
      </c>
      <c r="B452" s="129">
        <v>39009021</v>
      </c>
      <c r="C452" s="47">
        <v>39009074</v>
      </c>
      <c r="D452" s="46" t="str">
        <f ca="1">VLOOKUP($C452,OFFSET(enemy_skills!$A$1,0,0,COUNTA(enemy_skills!$A:$A),MATCH(D$1,enemy_skills!$1:$1,0)-MATCH("enemy_skill_id",enemy_skills!$1:$1,0)+1),MATCH(D$1,enemy_skills!$1:$1,0)-MATCH("enemy_skill_id",enemy_skills!$1:$1,0)+1,FALSE)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2" s="46" t="str">
        <f ca="1">VLOOKUP($C452,OFFSET(enemy_skills!$A$1,0,0,COUNTA(enemy_skills!$A:$A),MATCH(E$1,enemy_skills!$1:$1,0)-MATCH("enemy_skill_id",enemy_skills!$1:$1,0)+1),MATCH(E$1,enemy_skills!$1:$1,0)-MATCH("enemy_skill_id",enemy_skills!$1:$1,0)+1,FALSE)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2" s="47">
        <v>39009230</v>
      </c>
      <c r="G452" s="48">
        <f ca="1">VLOOKUP($F452,OFFSET(enemy_skill_triggers!$A$1,0,0,COUNTA(enemy_skill_triggers!$A:$A),MATCH(G$1,enemy_skill_triggers!$1:$1,0)-MATCH($F$1,enemy_skill_triggers!$1:$1,0)+1),MATCH(G$1,enemy_skill_triggers!$1:$1,0)-MATCH($F$1,enemy_skill_triggers!$1:$1,0)+1,FALSE)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2" s="48">
        <f ca="1">VLOOKUP($F452,OFFSET(enemy_skill_triggers!$A$1,0,0,COUNTA(enemy_skill_triggers!$A:$A),MATCH(H$1,enemy_skill_triggers!$1:$1,0)-MATCH($F$1,enemy_skill_triggers!$1:$1,0)+1),MATCH(H$1,enemy_skill_triggers!$1:$1,0)-MATCH($F$1,enemy_skill_triggers!$1:$1,0)+1,FALSE)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52" s="48">
        <f ca="1">VLOOKUP($F452,OFFSET(enemy_skill_triggers!$A$1,0,0,COUNTA(enemy_skill_triggers!$A:$A),MATCH(I$1,enemy_skill_triggers!$1:$1,0)-MATCH($F$1,enemy_skill_triggers!$1:$1,0)+1),MATCH(I$1,enemy_skill_triggers!$1:$1,0)-MATCH($F$1,enemy_skill_triggers!$1:$1,0)+1,FALSE)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2" s="48" t="str">
        <f ca="1">VLOOKUP($F452,OFFSET(enemy_skill_triggers!$A$1,0,0,COUNTA(enemy_skill_triggers!$A:$A),MATCH(J$1,enemy_skill_triggers!$1:$1,0)-MATCH($F$1,enemy_skill_triggers!$1:$1,0)+1),MATCH(J$1,enemy_skill_triggers!$1:$1,0)-MATCH($F$1,enemy_skill_triggers!$1:$1,0)+1,FALSE)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2" s="48" t="str">
        <f ca="1">VLOOKUP($F452,OFFSET(enemy_skill_triggers!$A$1,0,0,COUNTA(enemy_skill_triggers!$A:$A),MATCH(K$1,enemy_skill_triggers!$1:$1,0)-MATCH($F$1,enemy_skill_triggers!$1:$1,0)+1),MATCH(K$1,enemy_skill_triggers!$1:$1,0)-MATCH($F$1,enemy_skill_triggers!$1:$1,0)+1,FALSE)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2" s="48">
        <f ca="1">VLOOKUP($F452,OFFSET(enemy_skill_triggers!$A$1,0,0,COUNTA(enemy_skill_triggers!$A:$A),MATCH(L$1,enemy_skill_triggers!$1:$1,0)-MATCH($F$1,enemy_skill_triggers!$1:$1,0)+1),MATCH(L$1,enemy_skill_triggers!$1:$1,0)-MATCH($F$1,enemy_skill_triggers!$1:$1,0)+1,FALSE)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2" s="48" t="str">
        <f ca="1">VLOOKUP($F452,OFFSET(enemy_skill_triggers!$A$1,0,0,COUNTA(enemy_skill_triggers!$A:$A),MATCH(M$1,enemy_skill_triggers!$1:$1,0)-MATCH($F$1,enemy_skill_triggers!$1:$1,0)+1),MATCH(M$1,enemy_skill_triggers!$1:$1,0)-MATCH($F$1,enemy_skill_triggers!$1:$1,0)+1,FALSE)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2" s="48">
        <f ca="1">VLOOKUP($F452,OFFSET(enemy_skill_triggers!$A$1,0,0,COUNTA(enemy_skill_triggers!$A:$A),MATCH(N$1,enemy_skill_triggers!$1:$1,0)-MATCH($F$1,enemy_skill_triggers!$1:$1,0)+1),MATCH(N$1,enemy_skill_triggers!$1:$1,0)-MATCH($F$1,enemy_skill_triggers!$1:$1,0)+1,FALSE)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452" s="48">
        <f ca="1">VLOOKUP($F452,OFFSET(enemy_skill_triggers!$A$1,0,0,COUNTA(enemy_skill_triggers!$A:$A),MATCH(O$1,enemy_skill_triggers!$1:$1,0)-MATCH($F$1,enemy_skill_triggers!$1:$1,0)+1),MATCH(O$1,enemy_skill_triggers!$1:$1,0)-MATCH($F$1,enemy_skill_triggers!$1:$1,0)+1,FALSE)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2" s="47"/>
      <c r="Q452" s="47"/>
      <c r="R452" s="47"/>
    </row>
    <row r="453" spans="1:18" ht="21" customHeight="1" x14ac:dyDescent="0.15">
      <c r="A453" s="39" t="str">
        <f t="shared" si="22"/>
        <v>39009021_39009074</v>
      </c>
      <c r="B453" s="129">
        <v>39009021</v>
      </c>
      <c r="C453" s="47">
        <v>39009074</v>
      </c>
      <c r="D453" s="46" t="str">
        <f ca="1">VLOOKUP($C453,OFFSET(enemy_skills!$A$1,0,0,COUNTA(enemy_skills!$A:$A),MATCH(D$1,enemy_skills!$1:$1,0)-MATCH("enemy_skill_id",enemy_skills!$1:$1,0)+1),MATCH(D$1,enemy_skills!$1:$1,0)-MATCH("enemy_skill_id",enemy_skills!$1:$1,0)+1,FALSE)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3" s="46" t="str">
        <f ca="1">VLOOKUP($C453,OFFSET(enemy_skills!$A$1,0,0,COUNTA(enemy_skills!$A:$A),MATCH(E$1,enemy_skills!$1:$1,0)-MATCH("enemy_skill_id",enemy_skills!$1:$1,0)+1),MATCH(E$1,enemy_skills!$1:$1,0)-MATCH("enemy_skill_id",enemy_skills!$1:$1,0)+1,FALSE)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3" s="47">
        <v>39009231</v>
      </c>
      <c r="G453" s="48">
        <f ca="1">VLOOKUP($F453,OFFSET(enemy_skill_triggers!$A$1,0,0,COUNTA(enemy_skill_triggers!$A:$A),MATCH(G$1,enemy_skill_triggers!$1:$1,0)-MATCH($F$1,enemy_skill_triggers!$1:$1,0)+1),MATCH(G$1,enemy_skill_triggers!$1:$1,0)-MATCH($F$1,enemy_skill_triggers!$1:$1,0)+1,FALSE)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3" s="48">
        <f ca="1">VLOOKUP($F453,OFFSET(enemy_skill_triggers!$A$1,0,0,COUNTA(enemy_skill_triggers!$A:$A),MATCH(H$1,enemy_skill_triggers!$1:$1,0)-MATCH($F$1,enemy_skill_triggers!$1:$1,0)+1),MATCH(H$1,enemy_skill_triggers!$1:$1,0)-MATCH($F$1,enemy_skill_triggers!$1:$1,0)+1,FALSE)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53" s="48">
        <f ca="1">VLOOKUP($F453,OFFSET(enemy_skill_triggers!$A$1,0,0,COUNTA(enemy_skill_triggers!$A:$A),MATCH(I$1,enemy_skill_triggers!$1:$1,0)-MATCH($F$1,enemy_skill_triggers!$1:$1,0)+1),MATCH(I$1,enemy_skill_triggers!$1:$1,0)-MATCH($F$1,enemy_skill_triggers!$1:$1,0)+1,FALSE)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3" s="48" t="str">
        <f ca="1">VLOOKUP($F453,OFFSET(enemy_skill_triggers!$A$1,0,0,COUNTA(enemy_skill_triggers!$A:$A),MATCH(J$1,enemy_skill_triggers!$1:$1,0)-MATCH($F$1,enemy_skill_triggers!$1:$1,0)+1),MATCH(J$1,enemy_skill_triggers!$1:$1,0)-MATCH($F$1,enemy_skill_triggers!$1:$1,0)+1,FALSE)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3" s="48" t="str">
        <f ca="1">VLOOKUP($F453,OFFSET(enemy_skill_triggers!$A$1,0,0,COUNTA(enemy_skill_triggers!$A:$A),MATCH(K$1,enemy_skill_triggers!$1:$1,0)-MATCH($F$1,enemy_skill_triggers!$1:$1,0)+1),MATCH(K$1,enemy_skill_triggers!$1:$1,0)-MATCH($F$1,enemy_skill_triggers!$1:$1,0)+1,FALSE)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3" s="48">
        <f ca="1">VLOOKUP($F453,OFFSET(enemy_skill_triggers!$A$1,0,0,COUNTA(enemy_skill_triggers!$A:$A),MATCH(L$1,enemy_skill_triggers!$1:$1,0)-MATCH($F$1,enemy_skill_triggers!$1:$1,0)+1),MATCH(L$1,enemy_skill_triggers!$1:$1,0)-MATCH($F$1,enemy_skill_triggers!$1:$1,0)+1,FALSE)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3" s="48" t="str">
        <f ca="1">VLOOKUP($F453,OFFSET(enemy_skill_triggers!$A$1,0,0,COUNTA(enemy_skill_triggers!$A:$A),MATCH(M$1,enemy_skill_triggers!$1:$1,0)-MATCH($F$1,enemy_skill_triggers!$1:$1,0)+1),MATCH(M$1,enemy_skill_triggers!$1:$1,0)-MATCH($F$1,enemy_skill_triggers!$1:$1,0)+1,FALSE)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3" s="48">
        <f ca="1">VLOOKUP($F453,OFFSET(enemy_skill_triggers!$A$1,0,0,COUNTA(enemy_skill_triggers!$A:$A),MATCH(N$1,enemy_skill_triggers!$1:$1,0)-MATCH($F$1,enemy_skill_triggers!$1:$1,0)+1),MATCH(N$1,enemy_skill_triggers!$1:$1,0)-MATCH($F$1,enemy_skill_triggers!$1:$1,0)+1,FALSE)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453" s="48">
        <f ca="1">VLOOKUP($F453,OFFSET(enemy_skill_triggers!$A$1,0,0,COUNTA(enemy_skill_triggers!$A:$A),MATCH(O$1,enemy_skill_triggers!$1:$1,0)-MATCH($F$1,enemy_skill_triggers!$1:$1,0)+1),MATCH(O$1,enemy_skill_triggers!$1:$1,0)-MATCH($F$1,enemy_skill_triggers!$1:$1,0)+1,FALSE)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3" s="47"/>
      <c r="Q453" s="47"/>
      <c r="R453" s="47"/>
    </row>
    <row r="454" spans="1:18" ht="21" customHeight="1" x14ac:dyDescent="0.15">
      <c r="A454" s="39" t="str">
        <f t="shared" si="22"/>
        <v>39009021_39009074</v>
      </c>
      <c r="B454" s="129">
        <v>39009021</v>
      </c>
      <c r="C454" s="47">
        <v>39009074</v>
      </c>
      <c r="D454" s="46" t="str">
        <f ca="1">VLOOKUP($C454,OFFSET(enemy_skills!$A$1,0,0,COUNTA(enemy_skills!$A:$A),MATCH(D$1,enemy_skills!$1:$1,0)-MATCH("enemy_skill_id",enemy_skills!$1:$1,0)+1),MATCH(D$1,enemy_skills!$1:$1,0)-MATCH("enemy_skill_id",enemy_skills!$1:$1,0)+1,FALSE)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4" s="46" t="str">
        <f ca="1">VLOOKUP($C454,OFFSET(enemy_skills!$A$1,0,0,COUNTA(enemy_skills!$A:$A),MATCH(E$1,enemy_skills!$1:$1,0)-MATCH("enemy_skill_id",enemy_skills!$1:$1,0)+1),MATCH(E$1,enemy_skills!$1:$1,0)-MATCH("enemy_skill_id",enemy_skills!$1:$1,0)+1,FALSE)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4" s="47">
        <v>39009232</v>
      </c>
      <c r="G454" s="48">
        <f ca="1">VLOOKUP($F454,OFFSET(enemy_skill_triggers!$A$1,0,0,COUNTA(enemy_skill_triggers!$A:$A),MATCH(G$1,enemy_skill_triggers!$1:$1,0)-MATCH($F$1,enemy_skill_triggers!$1:$1,0)+1),MATCH(G$1,enemy_skill_triggers!$1:$1,0)-MATCH($F$1,enemy_skill_triggers!$1:$1,0)+1,FALSE)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4" s="48">
        <f ca="1">VLOOKUP($F454,OFFSET(enemy_skill_triggers!$A$1,0,0,COUNTA(enemy_skill_triggers!$A:$A),MATCH(H$1,enemy_skill_triggers!$1:$1,0)-MATCH($F$1,enemy_skill_triggers!$1:$1,0)+1),MATCH(H$1,enemy_skill_triggers!$1:$1,0)-MATCH($F$1,enemy_skill_triggers!$1:$1,0)+1,FALSE)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54" s="48">
        <f ca="1">VLOOKUP($F454,OFFSET(enemy_skill_triggers!$A$1,0,0,COUNTA(enemy_skill_triggers!$A:$A),MATCH(I$1,enemy_skill_triggers!$1:$1,0)-MATCH($F$1,enemy_skill_triggers!$1:$1,0)+1),MATCH(I$1,enemy_skill_triggers!$1:$1,0)-MATCH($F$1,enemy_skill_triggers!$1:$1,0)+1,FALSE)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4" s="48" t="str">
        <f ca="1">VLOOKUP($F454,OFFSET(enemy_skill_triggers!$A$1,0,0,COUNTA(enemy_skill_triggers!$A:$A),MATCH(J$1,enemy_skill_triggers!$1:$1,0)-MATCH($F$1,enemy_skill_triggers!$1:$1,0)+1),MATCH(J$1,enemy_skill_triggers!$1:$1,0)-MATCH($F$1,enemy_skill_triggers!$1:$1,0)+1,FALSE)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4" s="48" t="str">
        <f ca="1">VLOOKUP($F454,OFFSET(enemy_skill_triggers!$A$1,0,0,COUNTA(enemy_skill_triggers!$A:$A),MATCH(K$1,enemy_skill_triggers!$1:$1,0)-MATCH($F$1,enemy_skill_triggers!$1:$1,0)+1),MATCH(K$1,enemy_skill_triggers!$1:$1,0)-MATCH($F$1,enemy_skill_triggers!$1:$1,0)+1,FALSE)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4" s="48">
        <f ca="1">VLOOKUP($F454,OFFSET(enemy_skill_triggers!$A$1,0,0,COUNTA(enemy_skill_triggers!$A:$A),MATCH(L$1,enemy_skill_triggers!$1:$1,0)-MATCH($F$1,enemy_skill_triggers!$1:$1,0)+1),MATCH(L$1,enemy_skill_triggers!$1:$1,0)-MATCH($F$1,enemy_skill_triggers!$1:$1,0)+1,FALSE)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4" s="48" t="str">
        <f ca="1">VLOOKUP($F454,OFFSET(enemy_skill_triggers!$A$1,0,0,COUNTA(enemy_skill_triggers!$A:$A),MATCH(M$1,enemy_skill_triggers!$1:$1,0)-MATCH($F$1,enemy_skill_triggers!$1:$1,0)+1),MATCH(M$1,enemy_skill_triggers!$1:$1,0)-MATCH($F$1,enemy_skill_triggers!$1:$1,0)+1,FALSE)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4" s="48">
        <f ca="1">VLOOKUP($F454,OFFSET(enemy_skill_triggers!$A$1,0,0,COUNTA(enemy_skill_triggers!$A:$A),MATCH(N$1,enemy_skill_triggers!$1:$1,0)-MATCH($F$1,enemy_skill_triggers!$1:$1,0)+1),MATCH(N$1,enemy_skill_triggers!$1:$1,0)-MATCH($F$1,enemy_skill_triggers!$1:$1,0)+1,FALSE)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54" s="48">
        <f ca="1">VLOOKUP($F454,OFFSET(enemy_skill_triggers!$A$1,0,0,COUNTA(enemy_skill_triggers!$A:$A),MATCH(O$1,enemy_skill_triggers!$1:$1,0)-MATCH($F$1,enemy_skill_triggers!$1:$1,0)+1),MATCH(O$1,enemy_skill_triggers!$1:$1,0)-MATCH($F$1,enemy_skill_triggers!$1:$1,0)+1,FALSE)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4" s="47"/>
      <c r="Q454" s="47"/>
      <c r="R454" s="47"/>
    </row>
    <row r="455" spans="1:18" ht="21" customHeight="1" x14ac:dyDescent="0.15">
      <c r="A455" s="39" t="str">
        <f t="shared" si="22"/>
        <v>39009021_39009074</v>
      </c>
      <c r="B455" s="129">
        <v>39009021</v>
      </c>
      <c r="C455" s="47">
        <v>39009074</v>
      </c>
      <c r="D455" s="46" t="str">
        <f ca="1">VLOOKUP($C455,OFFSET(enemy_skills!$A$1,0,0,COUNTA(enemy_skills!$A:$A),MATCH(D$1,enemy_skills!$1:$1,0)-MATCH("enemy_skill_id",enemy_skills!$1:$1,0)+1),MATCH(D$1,enemy_skills!$1:$1,0)-MATCH("enemy_skill_id",enemy_skills!$1:$1,0)+1,FALSE)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5" s="46" t="str">
        <f ca="1">VLOOKUP($C455,OFFSET(enemy_skills!$A$1,0,0,COUNTA(enemy_skills!$A:$A),MATCH(E$1,enemy_skills!$1:$1,0)-MATCH("enemy_skill_id",enemy_skills!$1:$1,0)+1),MATCH(E$1,enemy_skills!$1:$1,0)-MATCH("enemy_skill_id",enemy_skills!$1:$1,0)+1,FALSE)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5" s="47">
        <v>39009233</v>
      </c>
      <c r="G455" s="48">
        <f ca="1">VLOOKUP($F455,OFFSET(enemy_skill_triggers!$A$1,0,0,COUNTA(enemy_skill_triggers!$A:$A),MATCH(G$1,enemy_skill_triggers!$1:$1,0)-MATCH($F$1,enemy_skill_triggers!$1:$1,0)+1),MATCH(G$1,enemy_skill_triggers!$1:$1,0)-MATCH($F$1,enemy_skill_triggers!$1:$1,0)+1,FALSE)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5" s="48">
        <f ca="1">VLOOKUP($F455,OFFSET(enemy_skill_triggers!$A$1,0,0,COUNTA(enemy_skill_triggers!$A:$A),MATCH(H$1,enemy_skill_triggers!$1:$1,0)-MATCH($F$1,enemy_skill_triggers!$1:$1,0)+1),MATCH(H$1,enemy_skill_triggers!$1:$1,0)-MATCH($F$1,enemy_skill_triggers!$1:$1,0)+1,FALSE)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55" s="48">
        <f ca="1">VLOOKUP($F455,OFFSET(enemy_skill_triggers!$A$1,0,0,COUNTA(enemy_skill_triggers!$A:$A),MATCH(I$1,enemy_skill_triggers!$1:$1,0)-MATCH($F$1,enemy_skill_triggers!$1:$1,0)+1),MATCH(I$1,enemy_skill_triggers!$1:$1,0)-MATCH($F$1,enemy_skill_triggers!$1:$1,0)+1,FALSE)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5" s="48" t="str">
        <f ca="1">VLOOKUP($F455,OFFSET(enemy_skill_triggers!$A$1,0,0,COUNTA(enemy_skill_triggers!$A:$A),MATCH(J$1,enemy_skill_triggers!$1:$1,0)-MATCH($F$1,enemy_skill_triggers!$1:$1,0)+1),MATCH(J$1,enemy_skill_triggers!$1:$1,0)-MATCH($F$1,enemy_skill_triggers!$1:$1,0)+1,FALSE)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5" s="48" t="str">
        <f ca="1">VLOOKUP($F455,OFFSET(enemy_skill_triggers!$A$1,0,0,COUNTA(enemy_skill_triggers!$A:$A),MATCH(K$1,enemy_skill_triggers!$1:$1,0)-MATCH($F$1,enemy_skill_triggers!$1:$1,0)+1),MATCH(K$1,enemy_skill_triggers!$1:$1,0)-MATCH($F$1,enemy_skill_triggers!$1:$1,0)+1,FALSE)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5" s="48">
        <f ca="1">VLOOKUP($F455,OFFSET(enemy_skill_triggers!$A$1,0,0,COUNTA(enemy_skill_triggers!$A:$A),MATCH(L$1,enemy_skill_triggers!$1:$1,0)-MATCH($F$1,enemy_skill_triggers!$1:$1,0)+1),MATCH(L$1,enemy_skill_triggers!$1:$1,0)-MATCH($F$1,enemy_skill_triggers!$1:$1,0)+1,FALSE)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5" s="48" t="str">
        <f ca="1">VLOOKUP($F455,OFFSET(enemy_skill_triggers!$A$1,0,0,COUNTA(enemy_skill_triggers!$A:$A),MATCH(M$1,enemy_skill_triggers!$1:$1,0)-MATCH($F$1,enemy_skill_triggers!$1:$1,0)+1),MATCH(M$1,enemy_skill_triggers!$1:$1,0)-MATCH($F$1,enemy_skill_triggers!$1:$1,0)+1,FALSE)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5" s="48">
        <f ca="1">VLOOKUP($F455,OFFSET(enemy_skill_triggers!$A$1,0,0,COUNTA(enemy_skill_triggers!$A:$A),MATCH(N$1,enemy_skill_triggers!$1:$1,0)-MATCH($F$1,enemy_skill_triggers!$1:$1,0)+1),MATCH(N$1,enemy_skill_triggers!$1:$1,0)-MATCH($F$1,enemy_skill_triggers!$1:$1,0)+1,FALSE)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455" s="48">
        <f ca="1">VLOOKUP($F455,OFFSET(enemy_skill_triggers!$A$1,0,0,COUNTA(enemy_skill_triggers!$A:$A),MATCH(O$1,enemy_skill_triggers!$1:$1,0)-MATCH($F$1,enemy_skill_triggers!$1:$1,0)+1),MATCH(O$1,enemy_skill_triggers!$1:$1,0)-MATCH($F$1,enemy_skill_triggers!$1:$1,0)+1,FALSE)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5" s="47"/>
      <c r="Q455" s="47"/>
      <c r="R455" s="47"/>
    </row>
    <row r="456" spans="1:18" ht="21" customHeight="1" x14ac:dyDescent="0.15">
      <c r="A456" s="39" t="str">
        <f t="shared" si="22"/>
        <v>39009021_39009074</v>
      </c>
      <c r="B456" s="129">
        <v>39009021</v>
      </c>
      <c r="C456" s="47">
        <v>39009074</v>
      </c>
      <c r="D456" s="46" t="str">
        <f ca="1">VLOOKUP($C456,OFFSET(enemy_skills!$A$1,0,0,COUNTA(enemy_skills!$A:$A),MATCH(D$1,enemy_skills!$1:$1,0)-MATCH("enemy_skill_id",enemy_skills!$1:$1,0)+1),MATCH(D$1,enemy_skills!$1:$1,0)-MATCH("enemy_skill_id",enemy_skills!$1:$1,0)+1,FALSE)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6" s="46" t="str">
        <f ca="1">VLOOKUP($C456,OFFSET(enemy_skills!$A$1,0,0,COUNTA(enemy_skills!$A:$A),MATCH(E$1,enemy_skills!$1:$1,0)-MATCH("enemy_skill_id",enemy_skills!$1:$1,0)+1),MATCH(E$1,enemy_skills!$1:$1,0)-MATCH("enemy_skill_id",enemy_skills!$1:$1,0)+1,FALSE)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6" s="47">
        <v>39009234</v>
      </c>
      <c r="G456" s="48">
        <f ca="1">VLOOKUP($F456,OFFSET(enemy_skill_triggers!$A$1,0,0,COUNTA(enemy_skill_triggers!$A:$A),MATCH(G$1,enemy_skill_triggers!$1:$1,0)-MATCH($F$1,enemy_skill_triggers!$1:$1,0)+1),MATCH(G$1,enemy_skill_triggers!$1:$1,0)-MATCH($F$1,enemy_skill_triggers!$1:$1,0)+1,FALSE)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6" s="48">
        <f ca="1">VLOOKUP($F456,OFFSET(enemy_skill_triggers!$A$1,0,0,COUNTA(enemy_skill_triggers!$A:$A),MATCH(H$1,enemy_skill_triggers!$1:$1,0)-MATCH($F$1,enemy_skill_triggers!$1:$1,0)+1),MATCH(H$1,enemy_skill_triggers!$1:$1,0)-MATCH($F$1,enemy_skill_triggers!$1:$1,0)+1,FALSE)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56" s="48">
        <f ca="1">VLOOKUP($F456,OFFSET(enemy_skill_triggers!$A$1,0,0,COUNTA(enemy_skill_triggers!$A:$A),MATCH(I$1,enemy_skill_triggers!$1:$1,0)-MATCH($F$1,enemy_skill_triggers!$1:$1,0)+1),MATCH(I$1,enemy_skill_triggers!$1:$1,0)-MATCH($F$1,enemy_skill_triggers!$1:$1,0)+1,FALSE)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6" s="48" t="str">
        <f ca="1">VLOOKUP($F456,OFFSET(enemy_skill_triggers!$A$1,0,0,COUNTA(enemy_skill_triggers!$A:$A),MATCH(J$1,enemy_skill_triggers!$1:$1,0)-MATCH($F$1,enemy_skill_triggers!$1:$1,0)+1),MATCH(J$1,enemy_skill_triggers!$1:$1,0)-MATCH($F$1,enemy_skill_triggers!$1:$1,0)+1,FALSE)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6" s="48" t="str">
        <f ca="1">VLOOKUP($F456,OFFSET(enemy_skill_triggers!$A$1,0,0,COUNTA(enemy_skill_triggers!$A:$A),MATCH(K$1,enemy_skill_triggers!$1:$1,0)-MATCH($F$1,enemy_skill_triggers!$1:$1,0)+1),MATCH(K$1,enemy_skill_triggers!$1:$1,0)-MATCH($F$1,enemy_skill_triggers!$1:$1,0)+1,FALSE)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6" s="48">
        <f ca="1">VLOOKUP($F456,OFFSET(enemy_skill_triggers!$A$1,0,0,COUNTA(enemy_skill_triggers!$A:$A),MATCH(L$1,enemy_skill_triggers!$1:$1,0)-MATCH($F$1,enemy_skill_triggers!$1:$1,0)+1),MATCH(L$1,enemy_skill_triggers!$1:$1,0)-MATCH($F$1,enemy_skill_triggers!$1:$1,0)+1,FALSE)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6" s="48" t="str">
        <f ca="1">VLOOKUP($F456,OFFSET(enemy_skill_triggers!$A$1,0,0,COUNTA(enemy_skill_triggers!$A:$A),MATCH(M$1,enemy_skill_triggers!$1:$1,0)-MATCH($F$1,enemy_skill_triggers!$1:$1,0)+1),MATCH(M$1,enemy_skill_triggers!$1:$1,0)-MATCH($F$1,enemy_skill_triggers!$1:$1,0)+1,FALSE)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6" s="48">
        <f ca="1">VLOOKUP($F456,OFFSET(enemy_skill_triggers!$A$1,0,0,COUNTA(enemy_skill_triggers!$A:$A),MATCH(N$1,enemy_skill_triggers!$1:$1,0)-MATCH($F$1,enemy_skill_triggers!$1:$1,0)+1),MATCH(N$1,enemy_skill_triggers!$1:$1,0)-MATCH($F$1,enemy_skill_triggers!$1:$1,0)+1,FALSE)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456" s="48">
        <f ca="1">VLOOKUP($F456,OFFSET(enemy_skill_triggers!$A$1,0,0,COUNTA(enemy_skill_triggers!$A:$A),MATCH(O$1,enemy_skill_triggers!$1:$1,0)-MATCH($F$1,enemy_skill_triggers!$1:$1,0)+1),MATCH(O$1,enemy_skill_triggers!$1:$1,0)-MATCH($F$1,enemy_skill_triggers!$1:$1,0)+1,FALSE)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6" s="47"/>
      <c r="Q456" s="47"/>
      <c r="R456" s="47"/>
    </row>
    <row r="457" spans="1:18" ht="21" customHeight="1" x14ac:dyDescent="0.15">
      <c r="A457" s="39" t="str">
        <f t="shared" si="22"/>
        <v>39009021_39009074</v>
      </c>
      <c r="B457" s="129">
        <v>39009021</v>
      </c>
      <c r="C457" s="47">
        <v>39009074</v>
      </c>
      <c r="D457" s="46" t="str">
        <f ca="1">VLOOKUP($C457,OFFSET(enemy_skills!$A$1,0,0,COUNTA(enemy_skills!$A:$A),MATCH(D$1,enemy_skills!$1:$1,0)-MATCH("enemy_skill_id",enemy_skills!$1:$1,0)+1),MATCH(D$1,enemy_skills!$1:$1,0)-MATCH("enemy_skill_id",enemy_skills!$1:$1,0)+1,FALSE)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7" s="46" t="str">
        <f ca="1">VLOOKUP($C457,OFFSET(enemy_skills!$A$1,0,0,COUNTA(enemy_skills!$A:$A),MATCH(E$1,enemy_skills!$1:$1,0)-MATCH("enemy_skill_id",enemy_skills!$1:$1,0)+1),MATCH(E$1,enemy_skills!$1:$1,0)-MATCH("enemy_skill_id",enemy_skills!$1:$1,0)+1,FALSE)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7" s="47">
        <v>39009235</v>
      </c>
      <c r="G457" s="48">
        <f ca="1">VLOOKUP($F457,OFFSET(enemy_skill_triggers!$A$1,0,0,COUNTA(enemy_skill_triggers!$A:$A),MATCH(G$1,enemy_skill_triggers!$1:$1,0)-MATCH($F$1,enemy_skill_triggers!$1:$1,0)+1),MATCH(G$1,enemy_skill_triggers!$1:$1,0)-MATCH($F$1,enemy_skill_triggers!$1:$1,0)+1,FALSE)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7" s="48">
        <f ca="1">VLOOKUP($F457,OFFSET(enemy_skill_triggers!$A$1,0,0,COUNTA(enemy_skill_triggers!$A:$A),MATCH(H$1,enemy_skill_triggers!$1:$1,0)-MATCH($F$1,enemy_skill_triggers!$1:$1,0)+1),MATCH(H$1,enemy_skill_triggers!$1:$1,0)-MATCH($F$1,enemy_skill_triggers!$1:$1,0)+1,FALSE)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57" s="48">
        <f ca="1">VLOOKUP($F457,OFFSET(enemy_skill_triggers!$A$1,0,0,COUNTA(enemy_skill_triggers!$A:$A),MATCH(I$1,enemy_skill_triggers!$1:$1,0)-MATCH($F$1,enemy_skill_triggers!$1:$1,0)+1),MATCH(I$1,enemy_skill_triggers!$1:$1,0)-MATCH($F$1,enemy_skill_triggers!$1:$1,0)+1,FALSE)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7" s="48" t="str">
        <f ca="1">VLOOKUP($F457,OFFSET(enemy_skill_triggers!$A$1,0,0,COUNTA(enemy_skill_triggers!$A:$A),MATCH(J$1,enemy_skill_triggers!$1:$1,0)-MATCH($F$1,enemy_skill_triggers!$1:$1,0)+1),MATCH(J$1,enemy_skill_triggers!$1:$1,0)-MATCH($F$1,enemy_skill_triggers!$1:$1,0)+1,FALSE)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7" s="48" t="str">
        <f ca="1">VLOOKUP($F457,OFFSET(enemy_skill_triggers!$A$1,0,0,COUNTA(enemy_skill_triggers!$A:$A),MATCH(K$1,enemy_skill_triggers!$1:$1,0)-MATCH($F$1,enemy_skill_triggers!$1:$1,0)+1),MATCH(K$1,enemy_skill_triggers!$1:$1,0)-MATCH($F$1,enemy_skill_triggers!$1:$1,0)+1,FALSE)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7" s="48">
        <f ca="1">VLOOKUP($F457,OFFSET(enemy_skill_triggers!$A$1,0,0,COUNTA(enemy_skill_triggers!$A:$A),MATCH(L$1,enemy_skill_triggers!$1:$1,0)-MATCH($F$1,enemy_skill_triggers!$1:$1,0)+1),MATCH(L$1,enemy_skill_triggers!$1:$1,0)-MATCH($F$1,enemy_skill_triggers!$1:$1,0)+1,FALSE)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7" s="48" t="str">
        <f ca="1">VLOOKUP($F457,OFFSET(enemy_skill_triggers!$A$1,0,0,COUNTA(enemy_skill_triggers!$A:$A),MATCH(M$1,enemy_skill_triggers!$1:$1,0)-MATCH($F$1,enemy_skill_triggers!$1:$1,0)+1),MATCH(M$1,enemy_skill_triggers!$1:$1,0)-MATCH($F$1,enemy_skill_triggers!$1:$1,0)+1,FALSE)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7" s="48">
        <f ca="1">VLOOKUP($F457,OFFSET(enemy_skill_triggers!$A$1,0,0,COUNTA(enemy_skill_triggers!$A:$A),MATCH(N$1,enemy_skill_triggers!$1:$1,0)-MATCH($F$1,enemy_skill_triggers!$1:$1,0)+1),MATCH(N$1,enemy_skill_triggers!$1:$1,0)-MATCH($F$1,enemy_skill_triggers!$1:$1,0)+1,FALSE)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457" s="48">
        <f ca="1">VLOOKUP($F457,OFFSET(enemy_skill_triggers!$A$1,0,0,COUNTA(enemy_skill_triggers!$A:$A),MATCH(O$1,enemy_skill_triggers!$1:$1,0)-MATCH($F$1,enemy_skill_triggers!$1:$1,0)+1),MATCH(O$1,enemy_skill_triggers!$1:$1,0)-MATCH($F$1,enemy_skill_triggers!$1:$1,0)+1,FALSE)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7" s="47"/>
      <c r="Q457" s="47"/>
      <c r="R457" s="47"/>
    </row>
    <row r="458" spans="1:18" ht="21" customHeight="1" x14ac:dyDescent="0.15">
      <c r="A458" s="39" t="str">
        <f t="shared" si="22"/>
        <v>39009021_39009074</v>
      </c>
      <c r="B458" s="129">
        <v>39009021</v>
      </c>
      <c r="C458" s="47">
        <v>39009074</v>
      </c>
      <c r="D458" s="46" t="str">
        <f ca="1">VLOOKUP($C458,OFFSET(enemy_skills!$A$1,0,0,COUNTA(enemy_skills!$A:$A),MATCH(D$1,enemy_skills!$1:$1,0)-MATCH("enemy_skill_id",enemy_skills!$1:$1,0)+1),MATCH(D$1,enemy_skills!$1:$1,0)-MATCH("enemy_skill_id",enemy_skills!$1:$1,0)+1,FALSE)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8" s="46" t="str">
        <f ca="1">VLOOKUP($C458,OFFSET(enemy_skills!$A$1,0,0,COUNTA(enemy_skills!$A:$A),MATCH(E$1,enemy_skills!$1:$1,0)-MATCH("enemy_skill_id",enemy_skills!$1:$1,0)+1),MATCH(E$1,enemy_skills!$1:$1,0)-MATCH("enemy_skill_id",enemy_skills!$1:$1,0)+1,FALSE)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8" s="47">
        <v>39009236</v>
      </c>
      <c r="G458" s="48">
        <f ca="1">VLOOKUP($F458,OFFSET(enemy_skill_triggers!$A$1,0,0,COUNTA(enemy_skill_triggers!$A:$A),MATCH(G$1,enemy_skill_triggers!$1:$1,0)-MATCH($F$1,enemy_skill_triggers!$1:$1,0)+1),MATCH(G$1,enemy_skill_triggers!$1:$1,0)-MATCH($F$1,enemy_skill_triggers!$1:$1,0)+1,FALSE)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8" s="48">
        <f ca="1">VLOOKUP($F458,OFFSET(enemy_skill_triggers!$A$1,0,0,COUNTA(enemy_skill_triggers!$A:$A),MATCH(H$1,enemy_skill_triggers!$1:$1,0)-MATCH($F$1,enemy_skill_triggers!$1:$1,0)+1),MATCH(H$1,enemy_skill_triggers!$1:$1,0)-MATCH($F$1,enemy_skill_triggers!$1:$1,0)+1,FALSE)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8" s="48">
        <f ca="1">VLOOKUP($F458,OFFSET(enemy_skill_triggers!$A$1,0,0,COUNTA(enemy_skill_triggers!$A:$A),MATCH(I$1,enemy_skill_triggers!$1:$1,0)-MATCH($F$1,enemy_skill_triggers!$1:$1,0)+1),MATCH(I$1,enemy_skill_triggers!$1:$1,0)-MATCH($F$1,enemy_skill_triggers!$1:$1,0)+1,FALSE)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8" s="48" t="str">
        <f ca="1">VLOOKUP($F458,OFFSET(enemy_skill_triggers!$A$1,0,0,COUNTA(enemy_skill_triggers!$A:$A),MATCH(J$1,enemy_skill_triggers!$1:$1,0)-MATCH($F$1,enemy_skill_triggers!$1:$1,0)+1),MATCH(J$1,enemy_skill_triggers!$1:$1,0)-MATCH($F$1,enemy_skill_triggers!$1:$1,0)+1,FALSE)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8" s="48" t="str">
        <f ca="1">VLOOKUP($F458,OFFSET(enemy_skill_triggers!$A$1,0,0,COUNTA(enemy_skill_triggers!$A:$A),MATCH(K$1,enemy_skill_triggers!$1:$1,0)-MATCH($F$1,enemy_skill_triggers!$1:$1,0)+1),MATCH(K$1,enemy_skill_triggers!$1:$1,0)-MATCH($F$1,enemy_skill_triggers!$1:$1,0)+1,FALSE)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8" s="48">
        <f ca="1">VLOOKUP($F458,OFFSET(enemy_skill_triggers!$A$1,0,0,COUNTA(enemy_skill_triggers!$A:$A),MATCH(L$1,enemy_skill_triggers!$1:$1,0)-MATCH($F$1,enemy_skill_triggers!$1:$1,0)+1),MATCH(L$1,enemy_skill_triggers!$1:$1,0)-MATCH($F$1,enemy_skill_triggers!$1:$1,0)+1,FALSE)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8" s="48" t="str">
        <f ca="1">VLOOKUP($F458,OFFSET(enemy_skill_triggers!$A$1,0,0,COUNTA(enemy_skill_triggers!$A:$A),MATCH(M$1,enemy_skill_triggers!$1:$1,0)-MATCH($F$1,enemy_skill_triggers!$1:$1,0)+1),MATCH(M$1,enemy_skill_triggers!$1:$1,0)-MATCH($F$1,enemy_skill_triggers!$1:$1,0)+1,FALSE)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8" s="48">
        <f ca="1">VLOOKUP($F458,OFFSET(enemy_skill_triggers!$A$1,0,0,COUNTA(enemy_skill_triggers!$A:$A),MATCH(N$1,enemy_skill_triggers!$1:$1,0)-MATCH($F$1,enemy_skill_triggers!$1:$1,0)+1),MATCH(N$1,enemy_skill_triggers!$1:$1,0)-MATCH($F$1,enemy_skill_triggers!$1:$1,0)+1,FALSE)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458" s="48">
        <f ca="1">VLOOKUP($F458,OFFSET(enemy_skill_triggers!$A$1,0,0,COUNTA(enemy_skill_triggers!$A:$A),MATCH(O$1,enemy_skill_triggers!$1:$1,0)-MATCH($F$1,enemy_skill_triggers!$1:$1,0)+1),MATCH(O$1,enemy_skill_triggers!$1:$1,0)-MATCH($F$1,enemy_skill_triggers!$1:$1,0)+1,FALSE)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8" s="47"/>
      <c r="Q458" s="47"/>
      <c r="R458" s="47"/>
    </row>
    <row r="459" spans="1:18" ht="21" customHeight="1" x14ac:dyDescent="0.15">
      <c r="A459" s="39" t="str">
        <f t="shared" si="22"/>
        <v>39009021_39009074</v>
      </c>
      <c r="B459" s="129">
        <v>39009021</v>
      </c>
      <c r="C459" s="47">
        <v>39009074</v>
      </c>
      <c r="D459" s="46" t="str">
        <f ca="1">VLOOKUP($C459,OFFSET(enemy_skills!$A$1,0,0,COUNTA(enemy_skills!$A:$A),MATCH(D$1,enemy_skills!$1:$1,0)-MATCH("enemy_skill_id",enemy_skills!$1:$1,0)+1),MATCH(D$1,enemy_skills!$1:$1,0)-MATCH("enemy_skill_id",enemy_skills!$1:$1,0)+1,FALSE)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59" s="46" t="str">
        <f ca="1">VLOOKUP($C459,OFFSET(enemy_skills!$A$1,0,0,COUNTA(enemy_skills!$A:$A),MATCH(E$1,enemy_skills!$1:$1,0)-MATCH("enemy_skill_id",enemy_skills!$1:$1,0)+1),MATCH(E$1,enemy_skills!$1:$1,0)-MATCH("enemy_skill_id",enemy_skills!$1:$1,0)+1,FALSE)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9" s="47">
        <v>39009237</v>
      </c>
      <c r="G459" s="48">
        <f ca="1">VLOOKUP($F459,OFFSET(enemy_skill_triggers!$A$1,0,0,COUNTA(enemy_skill_triggers!$A:$A),MATCH(G$1,enemy_skill_triggers!$1:$1,0)-MATCH($F$1,enemy_skill_triggers!$1:$1,0)+1),MATCH(G$1,enemy_skill_triggers!$1:$1,0)-MATCH($F$1,enemy_skill_triggers!$1:$1,0)+1,FALSE)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9" s="48">
        <f ca="1">VLOOKUP($F459,OFFSET(enemy_skill_triggers!$A$1,0,0,COUNTA(enemy_skill_triggers!$A:$A),MATCH(H$1,enemy_skill_triggers!$1:$1,0)-MATCH($F$1,enemy_skill_triggers!$1:$1,0)+1),MATCH(H$1,enemy_skill_triggers!$1:$1,0)-MATCH($F$1,enemy_skill_triggers!$1:$1,0)+1,FALSE)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59" s="48">
        <f ca="1">VLOOKUP($F459,OFFSET(enemy_skill_triggers!$A$1,0,0,COUNTA(enemy_skill_triggers!$A:$A),MATCH(I$1,enemy_skill_triggers!$1:$1,0)-MATCH($F$1,enemy_skill_triggers!$1:$1,0)+1),MATCH(I$1,enemy_skill_triggers!$1:$1,0)-MATCH($F$1,enemy_skill_triggers!$1:$1,0)+1,FALSE)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9" s="48" t="str">
        <f ca="1">VLOOKUP($F459,OFFSET(enemy_skill_triggers!$A$1,0,0,COUNTA(enemy_skill_triggers!$A:$A),MATCH(J$1,enemy_skill_triggers!$1:$1,0)-MATCH($F$1,enemy_skill_triggers!$1:$1,0)+1),MATCH(J$1,enemy_skill_triggers!$1:$1,0)-MATCH($F$1,enemy_skill_triggers!$1:$1,0)+1,FALSE)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9" s="48" t="str">
        <f ca="1">VLOOKUP($F459,OFFSET(enemy_skill_triggers!$A$1,0,0,COUNTA(enemy_skill_triggers!$A:$A),MATCH(K$1,enemy_skill_triggers!$1:$1,0)-MATCH($F$1,enemy_skill_triggers!$1:$1,0)+1),MATCH(K$1,enemy_skill_triggers!$1:$1,0)-MATCH($F$1,enemy_skill_triggers!$1:$1,0)+1,FALSE)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9" s="48">
        <f ca="1">VLOOKUP($F459,OFFSET(enemy_skill_triggers!$A$1,0,0,COUNTA(enemy_skill_triggers!$A:$A),MATCH(L$1,enemy_skill_triggers!$1:$1,0)-MATCH($F$1,enemy_skill_triggers!$1:$1,0)+1),MATCH(L$1,enemy_skill_triggers!$1:$1,0)-MATCH($F$1,enemy_skill_triggers!$1:$1,0)+1,FALSE)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9" s="48" t="str">
        <f ca="1">VLOOKUP($F459,OFFSET(enemy_skill_triggers!$A$1,0,0,COUNTA(enemy_skill_triggers!$A:$A),MATCH(M$1,enemy_skill_triggers!$1:$1,0)-MATCH($F$1,enemy_skill_triggers!$1:$1,0)+1),MATCH(M$1,enemy_skill_triggers!$1:$1,0)-MATCH($F$1,enemy_skill_triggers!$1:$1,0)+1,FALSE)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9" s="48">
        <f ca="1">VLOOKUP($F459,OFFSET(enemy_skill_triggers!$A$1,0,0,COUNTA(enemy_skill_triggers!$A:$A),MATCH(N$1,enemy_skill_triggers!$1:$1,0)-MATCH($F$1,enemy_skill_triggers!$1:$1,0)+1),MATCH(N$1,enemy_skill_triggers!$1:$1,0)-MATCH($F$1,enemy_skill_triggers!$1:$1,0)+1,FALSE)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59" s="48">
        <f ca="1">VLOOKUP($F459,OFFSET(enemy_skill_triggers!$A$1,0,0,COUNTA(enemy_skill_triggers!$A:$A),MATCH(O$1,enemy_skill_triggers!$1:$1,0)-MATCH($F$1,enemy_skill_triggers!$1:$1,0)+1),MATCH(O$1,enemy_skill_triggers!$1:$1,0)-MATCH($F$1,enemy_skill_triggers!$1:$1,0)+1,FALSE)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9" s="47"/>
      <c r="Q459" s="47"/>
      <c r="R459" s="47"/>
    </row>
    <row r="460" spans="1:18" ht="21" customHeight="1" x14ac:dyDescent="0.15">
      <c r="A460" s="39" t="str">
        <f t="shared" si="22"/>
        <v>39009021_39009074</v>
      </c>
      <c r="B460" s="129">
        <v>39009021</v>
      </c>
      <c r="C460" s="47">
        <v>39009074</v>
      </c>
      <c r="D460" s="46" t="str">
        <f ca="1">VLOOKUP($C460,OFFSET(enemy_skills!$A$1,0,0,COUNTA(enemy_skills!$A:$A),MATCH(D$1,enemy_skills!$1:$1,0)-MATCH("enemy_skill_id",enemy_skills!$1:$1,0)+1),MATCH(D$1,enemy_skills!$1:$1,0)-MATCH("enemy_skill_id",enemy_skills!$1:$1,0)+1,FALSE)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0" s="46" t="str">
        <f ca="1">VLOOKUP($C460,OFFSET(enemy_skills!$A$1,0,0,COUNTA(enemy_skills!$A:$A),MATCH(E$1,enemy_skills!$1:$1,0)-MATCH("enemy_skill_id",enemy_skills!$1:$1,0)+1),MATCH(E$1,enemy_skills!$1:$1,0)-MATCH("enemy_skill_id",enemy_skills!$1:$1,0)+1,FALSE)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0" s="47">
        <v>39009238</v>
      </c>
      <c r="G460" s="48">
        <f ca="1">VLOOKUP($F460,OFFSET(enemy_skill_triggers!$A$1,0,0,COUNTA(enemy_skill_triggers!$A:$A),MATCH(G$1,enemy_skill_triggers!$1:$1,0)-MATCH($F$1,enemy_skill_triggers!$1:$1,0)+1),MATCH(G$1,enemy_skill_triggers!$1:$1,0)-MATCH($F$1,enemy_skill_triggers!$1:$1,0)+1,FALSE)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0" s="48">
        <f ca="1">VLOOKUP($F460,OFFSET(enemy_skill_triggers!$A$1,0,0,COUNTA(enemy_skill_triggers!$A:$A),MATCH(H$1,enemy_skill_triggers!$1:$1,0)-MATCH($F$1,enemy_skill_triggers!$1:$1,0)+1),MATCH(H$1,enemy_skill_triggers!$1:$1,0)-MATCH($F$1,enemy_skill_triggers!$1:$1,0)+1,FALSE)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60" s="48">
        <f ca="1">VLOOKUP($F460,OFFSET(enemy_skill_triggers!$A$1,0,0,COUNTA(enemy_skill_triggers!$A:$A),MATCH(I$1,enemy_skill_triggers!$1:$1,0)-MATCH($F$1,enemy_skill_triggers!$1:$1,0)+1),MATCH(I$1,enemy_skill_triggers!$1:$1,0)-MATCH($F$1,enemy_skill_triggers!$1:$1,0)+1,FALSE)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0" s="48" t="str">
        <f ca="1">VLOOKUP($F460,OFFSET(enemy_skill_triggers!$A$1,0,0,COUNTA(enemy_skill_triggers!$A:$A),MATCH(J$1,enemy_skill_triggers!$1:$1,0)-MATCH($F$1,enemy_skill_triggers!$1:$1,0)+1),MATCH(J$1,enemy_skill_triggers!$1:$1,0)-MATCH($F$1,enemy_skill_triggers!$1:$1,0)+1,FALSE)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0" s="48" t="str">
        <f ca="1">VLOOKUP($F460,OFFSET(enemy_skill_triggers!$A$1,0,0,COUNTA(enemy_skill_triggers!$A:$A),MATCH(K$1,enemy_skill_triggers!$1:$1,0)-MATCH($F$1,enemy_skill_triggers!$1:$1,0)+1),MATCH(K$1,enemy_skill_triggers!$1:$1,0)-MATCH($F$1,enemy_skill_triggers!$1:$1,0)+1,FALSE)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0" s="48">
        <f ca="1">VLOOKUP($F460,OFFSET(enemy_skill_triggers!$A$1,0,0,COUNTA(enemy_skill_triggers!$A:$A),MATCH(L$1,enemy_skill_triggers!$1:$1,0)-MATCH($F$1,enemy_skill_triggers!$1:$1,0)+1),MATCH(L$1,enemy_skill_triggers!$1:$1,0)-MATCH($F$1,enemy_skill_triggers!$1:$1,0)+1,FALSE)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0" s="48" t="str">
        <f ca="1">VLOOKUP($F460,OFFSET(enemy_skill_triggers!$A$1,0,0,COUNTA(enemy_skill_triggers!$A:$A),MATCH(M$1,enemy_skill_triggers!$1:$1,0)-MATCH($F$1,enemy_skill_triggers!$1:$1,0)+1),MATCH(M$1,enemy_skill_triggers!$1:$1,0)-MATCH($F$1,enemy_skill_triggers!$1:$1,0)+1,FALSE)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0" s="48">
        <f ca="1">VLOOKUP($F460,OFFSET(enemy_skill_triggers!$A$1,0,0,COUNTA(enemy_skill_triggers!$A:$A),MATCH(N$1,enemy_skill_triggers!$1:$1,0)-MATCH($F$1,enemy_skill_triggers!$1:$1,0)+1),MATCH(N$1,enemy_skill_triggers!$1:$1,0)-MATCH($F$1,enemy_skill_triggers!$1:$1,0)+1,FALSE)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460" s="48">
        <f ca="1">VLOOKUP($F460,OFFSET(enemy_skill_triggers!$A$1,0,0,COUNTA(enemy_skill_triggers!$A:$A),MATCH(O$1,enemy_skill_triggers!$1:$1,0)-MATCH($F$1,enemy_skill_triggers!$1:$1,0)+1),MATCH(O$1,enemy_skill_triggers!$1:$1,0)-MATCH($F$1,enemy_skill_triggers!$1:$1,0)+1,FALSE)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0" s="47"/>
      <c r="Q460" s="47"/>
      <c r="R460" s="47"/>
    </row>
    <row r="461" spans="1:18" ht="21" customHeight="1" x14ac:dyDescent="0.15">
      <c r="A461" s="39" t="str">
        <f t="shared" si="22"/>
        <v>39009021_39009074</v>
      </c>
      <c r="B461" s="129">
        <v>39009021</v>
      </c>
      <c r="C461" s="47">
        <v>39009074</v>
      </c>
      <c r="D461" s="46" t="str">
        <f ca="1">VLOOKUP($C461,OFFSET(enemy_skills!$A$1,0,0,COUNTA(enemy_skills!$A:$A),MATCH(D$1,enemy_skills!$1:$1,0)-MATCH("enemy_skill_id",enemy_skills!$1:$1,0)+1),MATCH(D$1,enemy_skills!$1:$1,0)-MATCH("enemy_skill_id",enemy_skills!$1:$1,0)+1,FALSE)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1" s="46" t="str">
        <f ca="1">VLOOKUP($C461,OFFSET(enemy_skills!$A$1,0,0,COUNTA(enemy_skills!$A:$A),MATCH(E$1,enemy_skills!$1:$1,0)-MATCH("enemy_skill_id",enemy_skills!$1:$1,0)+1),MATCH(E$1,enemy_skills!$1:$1,0)-MATCH("enemy_skill_id",enemy_skills!$1:$1,0)+1,FALSE)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1" s="47">
        <v>39009239</v>
      </c>
      <c r="G461" s="48">
        <f ca="1">VLOOKUP($F461,OFFSET(enemy_skill_triggers!$A$1,0,0,COUNTA(enemy_skill_triggers!$A:$A),MATCH(G$1,enemy_skill_triggers!$1:$1,0)-MATCH($F$1,enemy_skill_triggers!$1:$1,0)+1),MATCH(G$1,enemy_skill_triggers!$1:$1,0)-MATCH($F$1,enemy_skill_triggers!$1:$1,0)+1,FALSE)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1" s="48">
        <f ca="1">VLOOKUP($F461,OFFSET(enemy_skill_triggers!$A$1,0,0,COUNTA(enemy_skill_triggers!$A:$A),MATCH(H$1,enemy_skill_triggers!$1:$1,0)-MATCH($F$1,enemy_skill_triggers!$1:$1,0)+1),MATCH(H$1,enemy_skill_triggers!$1:$1,0)-MATCH($F$1,enemy_skill_triggers!$1:$1,0)+1,FALSE)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61" s="48">
        <f ca="1">VLOOKUP($F461,OFFSET(enemy_skill_triggers!$A$1,0,0,COUNTA(enemy_skill_triggers!$A:$A),MATCH(I$1,enemy_skill_triggers!$1:$1,0)-MATCH($F$1,enemy_skill_triggers!$1:$1,0)+1),MATCH(I$1,enemy_skill_triggers!$1:$1,0)-MATCH($F$1,enemy_skill_triggers!$1:$1,0)+1,FALSE)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1" s="48" t="str">
        <f ca="1">VLOOKUP($F461,OFFSET(enemy_skill_triggers!$A$1,0,0,COUNTA(enemy_skill_triggers!$A:$A),MATCH(J$1,enemy_skill_triggers!$1:$1,0)-MATCH($F$1,enemy_skill_triggers!$1:$1,0)+1),MATCH(J$1,enemy_skill_triggers!$1:$1,0)-MATCH($F$1,enemy_skill_triggers!$1:$1,0)+1,FALSE)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1" s="48" t="str">
        <f ca="1">VLOOKUP($F461,OFFSET(enemy_skill_triggers!$A$1,0,0,COUNTA(enemy_skill_triggers!$A:$A),MATCH(K$1,enemy_skill_triggers!$1:$1,0)-MATCH($F$1,enemy_skill_triggers!$1:$1,0)+1),MATCH(K$1,enemy_skill_triggers!$1:$1,0)-MATCH($F$1,enemy_skill_triggers!$1:$1,0)+1,FALSE)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1" s="48">
        <f ca="1">VLOOKUP($F461,OFFSET(enemy_skill_triggers!$A$1,0,0,COUNTA(enemy_skill_triggers!$A:$A),MATCH(L$1,enemy_skill_triggers!$1:$1,0)-MATCH($F$1,enemy_skill_triggers!$1:$1,0)+1),MATCH(L$1,enemy_skill_triggers!$1:$1,0)-MATCH($F$1,enemy_skill_triggers!$1:$1,0)+1,FALSE)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1" s="48" t="str">
        <f ca="1">VLOOKUP($F461,OFFSET(enemy_skill_triggers!$A$1,0,0,COUNTA(enemy_skill_triggers!$A:$A),MATCH(M$1,enemy_skill_triggers!$1:$1,0)-MATCH($F$1,enemy_skill_triggers!$1:$1,0)+1),MATCH(M$1,enemy_skill_triggers!$1:$1,0)-MATCH($F$1,enemy_skill_triggers!$1:$1,0)+1,FALSE)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1" s="48">
        <f ca="1">VLOOKUP($F461,OFFSET(enemy_skill_triggers!$A$1,0,0,COUNTA(enemy_skill_triggers!$A:$A),MATCH(N$1,enemy_skill_triggers!$1:$1,0)-MATCH($F$1,enemy_skill_triggers!$1:$1,0)+1),MATCH(N$1,enemy_skill_triggers!$1:$1,0)-MATCH($F$1,enemy_skill_triggers!$1:$1,0)+1,FALSE)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461" s="48">
        <f ca="1">VLOOKUP($F461,OFFSET(enemy_skill_triggers!$A$1,0,0,COUNTA(enemy_skill_triggers!$A:$A),MATCH(O$1,enemy_skill_triggers!$1:$1,0)-MATCH($F$1,enemy_skill_triggers!$1:$1,0)+1),MATCH(O$1,enemy_skill_triggers!$1:$1,0)-MATCH($F$1,enemy_skill_triggers!$1:$1,0)+1,FALSE)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1" s="47"/>
      <c r="Q461" s="47"/>
      <c r="R461" s="47"/>
    </row>
    <row r="462" spans="1:18" ht="21" customHeight="1" x14ac:dyDescent="0.15">
      <c r="A462" s="39" t="str">
        <f t="shared" si="22"/>
        <v>39009021_39009074</v>
      </c>
      <c r="B462" s="129">
        <v>39009021</v>
      </c>
      <c r="C462" s="47">
        <v>39009074</v>
      </c>
      <c r="D462" s="46" t="str">
        <f ca="1">VLOOKUP($C462,OFFSET(enemy_skills!$A$1,0,0,COUNTA(enemy_skills!$A:$A),MATCH(D$1,enemy_skills!$1:$1,0)-MATCH("enemy_skill_id",enemy_skills!$1:$1,0)+1),MATCH(D$1,enemy_skills!$1:$1,0)-MATCH("enemy_skill_id",enemy_skills!$1:$1,0)+1,FALSE)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2" s="46" t="str">
        <f ca="1">VLOOKUP($C462,OFFSET(enemy_skills!$A$1,0,0,COUNTA(enemy_skills!$A:$A),MATCH(E$1,enemy_skills!$1:$1,0)-MATCH("enemy_skill_id",enemy_skills!$1:$1,0)+1),MATCH(E$1,enemy_skills!$1:$1,0)-MATCH("enemy_skill_id",enemy_skills!$1:$1,0)+1,FALSE)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2" s="47">
        <v>39009240</v>
      </c>
      <c r="G462" s="48">
        <f ca="1">VLOOKUP($F462,OFFSET(enemy_skill_triggers!$A$1,0,0,COUNTA(enemy_skill_triggers!$A:$A),MATCH(G$1,enemy_skill_triggers!$1:$1,0)-MATCH($F$1,enemy_skill_triggers!$1:$1,0)+1),MATCH(G$1,enemy_skill_triggers!$1:$1,0)-MATCH($F$1,enemy_skill_triggers!$1:$1,0)+1,FALSE)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2" s="48">
        <f ca="1">VLOOKUP($F462,OFFSET(enemy_skill_triggers!$A$1,0,0,COUNTA(enemy_skill_triggers!$A:$A),MATCH(H$1,enemy_skill_triggers!$1:$1,0)-MATCH($F$1,enemy_skill_triggers!$1:$1,0)+1),MATCH(H$1,enemy_skill_triggers!$1:$1,0)-MATCH($F$1,enemy_skill_triggers!$1:$1,0)+1,FALSE)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62" s="48">
        <f ca="1">VLOOKUP($F462,OFFSET(enemy_skill_triggers!$A$1,0,0,COUNTA(enemy_skill_triggers!$A:$A),MATCH(I$1,enemy_skill_triggers!$1:$1,0)-MATCH($F$1,enemy_skill_triggers!$1:$1,0)+1),MATCH(I$1,enemy_skill_triggers!$1:$1,0)-MATCH($F$1,enemy_skill_triggers!$1:$1,0)+1,FALSE)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2" s="48" t="str">
        <f ca="1">VLOOKUP($F462,OFFSET(enemy_skill_triggers!$A$1,0,0,COUNTA(enemy_skill_triggers!$A:$A),MATCH(J$1,enemy_skill_triggers!$1:$1,0)-MATCH($F$1,enemy_skill_triggers!$1:$1,0)+1),MATCH(J$1,enemy_skill_triggers!$1:$1,0)-MATCH($F$1,enemy_skill_triggers!$1:$1,0)+1,FALSE)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2" s="48" t="str">
        <f ca="1">VLOOKUP($F462,OFFSET(enemy_skill_triggers!$A$1,0,0,COUNTA(enemy_skill_triggers!$A:$A),MATCH(K$1,enemy_skill_triggers!$1:$1,0)-MATCH($F$1,enemy_skill_triggers!$1:$1,0)+1),MATCH(K$1,enemy_skill_triggers!$1:$1,0)-MATCH($F$1,enemy_skill_triggers!$1:$1,0)+1,FALSE)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2" s="48">
        <f ca="1">VLOOKUP($F462,OFFSET(enemy_skill_triggers!$A$1,0,0,COUNTA(enemy_skill_triggers!$A:$A),MATCH(L$1,enemy_skill_triggers!$1:$1,0)-MATCH($F$1,enemy_skill_triggers!$1:$1,0)+1),MATCH(L$1,enemy_skill_triggers!$1:$1,0)-MATCH($F$1,enemy_skill_triggers!$1:$1,0)+1,FALSE)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2" s="48" t="str">
        <f ca="1">VLOOKUP($F462,OFFSET(enemy_skill_triggers!$A$1,0,0,COUNTA(enemy_skill_triggers!$A:$A),MATCH(M$1,enemy_skill_triggers!$1:$1,0)-MATCH($F$1,enemy_skill_triggers!$1:$1,0)+1),MATCH(M$1,enemy_skill_triggers!$1:$1,0)-MATCH($F$1,enemy_skill_triggers!$1:$1,0)+1,FALSE)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2" s="48">
        <f ca="1">VLOOKUP($F462,OFFSET(enemy_skill_triggers!$A$1,0,0,COUNTA(enemy_skill_triggers!$A:$A),MATCH(N$1,enemy_skill_triggers!$1:$1,0)-MATCH($F$1,enemy_skill_triggers!$1:$1,0)+1),MATCH(N$1,enemy_skill_triggers!$1:$1,0)-MATCH($F$1,enemy_skill_triggers!$1:$1,0)+1,FALSE)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62" s="48">
        <f ca="1">VLOOKUP($F462,OFFSET(enemy_skill_triggers!$A$1,0,0,COUNTA(enemy_skill_triggers!$A:$A),MATCH(O$1,enemy_skill_triggers!$1:$1,0)-MATCH($F$1,enemy_skill_triggers!$1:$1,0)+1),MATCH(O$1,enemy_skill_triggers!$1:$1,0)-MATCH($F$1,enemy_skill_triggers!$1:$1,0)+1,FALSE)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2" s="47"/>
      <c r="Q462" s="47"/>
      <c r="R462" s="47"/>
    </row>
    <row r="463" spans="1:18" ht="21" customHeight="1" x14ac:dyDescent="0.15">
      <c r="A463" s="39" t="str">
        <f t="shared" si="22"/>
        <v>39009021_39009074</v>
      </c>
      <c r="B463" s="129">
        <v>39009021</v>
      </c>
      <c r="C463" s="47">
        <v>39009074</v>
      </c>
      <c r="D463" s="46" t="str">
        <f ca="1">VLOOKUP($C463,OFFSET(enemy_skills!$A$1,0,0,COUNTA(enemy_skills!$A:$A),MATCH(D$1,enemy_skills!$1:$1,0)-MATCH("enemy_skill_id",enemy_skills!$1:$1,0)+1),MATCH(D$1,enemy_skills!$1:$1,0)-MATCH("enemy_skill_id",enemy_skills!$1:$1,0)+1,FALSE)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3" s="46" t="str">
        <f ca="1">VLOOKUP($C463,OFFSET(enemy_skills!$A$1,0,0,COUNTA(enemy_skills!$A:$A),MATCH(E$1,enemy_skills!$1:$1,0)-MATCH("enemy_skill_id",enemy_skills!$1:$1,0)+1),MATCH(E$1,enemy_skills!$1:$1,0)-MATCH("enemy_skill_id",enemy_skills!$1:$1,0)+1,FALSE)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3" s="47">
        <v>39009241</v>
      </c>
      <c r="G463" s="48">
        <f ca="1">VLOOKUP($F463,OFFSET(enemy_skill_triggers!$A$1,0,0,COUNTA(enemy_skill_triggers!$A:$A),MATCH(G$1,enemy_skill_triggers!$1:$1,0)-MATCH($F$1,enemy_skill_triggers!$1:$1,0)+1),MATCH(G$1,enemy_skill_triggers!$1:$1,0)-MATCH($F$1,enemy_skill_triggers!$1:$1,0)+1,FALSE)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3" s="48">
        <f ca="1">VLOOKUP($F463,OFFSET(enemy_skill_triggers!$A$1,0,0,COUNTA(enemy_skill_triggers!$A:$A),MATCH(H$1,enemy_skill_triggers!$1:$1,0)-MATCH($F$1,enemy_skill_triggers!$1:$1,0)+1),MATCH(H$1,enemy_skill_triggers!$1:$1,0)-MATCH($F$1,enemy_skill_triggers!$1:$1,0)+1,FALSE)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63" s="48">
        <f ca="1">VLOOKUP($F463,OFFSET(enemy_skill_triggers!$A$1,0,0,COUNTA(enemy_skill_triggers!$A:$A),MATCH(I$1,enemy_skill_triggers!$1:$1,0)-MATCH($F$1,enemy_skill_triggers!$1:$1,0)+1),MATCH(I$1,enemy_skill_triggers!$1:$1,0)-MATCH($F$1,enemy_skill_triggers!$1:$1,0)+1,FALSE)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3" s="48" t="str">
        <f ca="1">VLOOKUP($F463,OFFSET(enemy_skill_triggers!$A$1,0,0,COUNTA(enemy_skill_triggers!$A:$A),MATCH(J$1,enemy_skill_triggers!$1:$1,0)-MATCH($F$1,enemy_skill_triggers!$1:$1,0)+1),MATCH(J$1,enemy_skill_triggers!$1:$1,0)-MATCH($F$1,enemy_skill_triggers!$1:$1,0)+1,FALSE)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3" s="48" t="str">
        <f ca="1">VLOOKUP($F463,OFFSET(enemy_skill_triggers!$A$1,0,0,COUNTA(enemy_skill_triggers!$A:$A),MATCH(K$1,enemy_skill_triggers!$1:$1,0)-MATCH($F$1,enemy_skill_triggers!$1:$1,0)+1),MATCH(K$1,enemy_skill_triggers!$1:$1,0)-MATCH($F$1,enemy_skill_triggers!$1:$1,0)+1,FALSE)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3" s="48">
        <f ca="1">VLOOKUP($F463,OFFSET(enemy_skill_triggers!$A$1,0,0,COUNTA(enemy_skill_triggers!$A:$A),MATCH(L$1,enemy_skill_triggers!$1:$1,0)-MATCH($F$1,enemy_skill_triggers!$1:$1,0)+1),MATCH(L$1,enemy_skill_triggers!$1:$1,0)-MATCH($F$1,enemy_skill_triggers!$1:$1,0)+1,FALSE)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3" s="48" t="str">
        <f ca="1">VLOOKUP($F463,OFFSET(enemy_skill_triggers!$A$1,0,0,COUNTA(enemy_skill_triggers!$A:$A),MATCH(M$1,enemy_skill_triggers!$1:$1,0)-MATCH($F$1,enemy_skill_triggers!$1:$1,0)+1),MATCH(M$1,enemy_skill_triggers!$1:$1,0)-MATCH($F$1,enemy_skill_triggers!$1:$1,0)+1,FALSE)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3" s="48">
        <f ca="1">VLOOKUP($F463,OFFSET(enemy_skill_triggers!$A$1,0,0,COUNTA(enemy_skill_triggers!$A:$A),MATCH(N$1,enemy_skill_triggers!$1:$1,0)-MATCH($F$1,enemy_skill_triggers!$1:$1,0)+1),MATCH(N$1,enemy_skill_triggers!$1:$1,0)-MATCH($F$1,enemy_skill_triggers!$1:$1,0)+1,FALSE)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463" s="48">
        <f ca="1">VLOOKUP($F463,OFFSET(enemy_skill_triggers!$A$1,0,0,COUNTA(enemy_skill_triggers!$A:$A),MATCH(O$1,enemy_skill_triggers!$1:$1,0)-MATCH($F$1,enemy_skill_triggers!$1:$1,0)+1),MATCH(O$1,enemy_skill_triggers!$1:$1,0)-MATCH($F$1,enemy_skill_triggers!$1:$1,0)+1,FALSE)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3" s="47"/>
      <c r="Q463" s="47"/>
      <c r="R463" s="47"/>
    </row>
    <row r="464" spans="1:18" ht="21" customHeight="1" x14ac:dyDescent="0.15">
      <c r="A464" s="39" t="str">
        <f t="shared" si="22"/>
        <v>39009021_39009074</v>
      </c>
      <c r="B464" s="129">
        <v>39009021</v>
      </c>
      <c r="C464" s="47">
        <v>39009074</v>
      </c>
      <c r="D464" s="46" t="str">
        <f ca="1">VLOOKUP($C464,OFFSET(enemy_skills!$A$1,0,0,COUNTA(enemy_skills!$A:$A),MATCH(D$1,enemy_skills!$1:$1,0)-MATCH("enemy_skill_id",enemy_skills!$1:$1,0)+1),MATCH(D$1,enemy_skills!$1:$1,0)-MATCH("enemy_skill_id",enemy_skills!$1:$1,0)+1,FALSE)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4" s="46" t="str">
        <f ca="1">VLOOKUP($C464,OFFSET(enemy_skills!$A$1,0,0,COUNTA(enemy_skills!$A:$A),MATCH(E$1,enemy_skills!$1:$1,0)-MATCH("enemy_skill_id",enemy_skills!$1:$1,0)+1),MATCH(E$1,enemy_skills!$1:$1,0)-MATCH("enemy_skill_id",enemy_skills!$1:$1,0)+1,FALSE)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4" s="47">
        <v>39009242</v>
      </c>
      <c r="G464" s="48">
        <f ca="1">VLOOKUP($F464,OFFSET(enemy_skill_triggers!$A$1,0,0,COUNTA(enemy_skill_triggers!$A:$A),MATCH(G$1,enemy_skill_triggers!$1:$1,0)-MATCH($F$1,enemy_skill_triggers!$1:$1,0)+1),MATCH(G$1,enemy_skill_triggers!$1:$1,0)-MATCH($F$1,enemy_skill_triggers!$1:$1,0)+1,FALSE)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4" s="48">
        <f ca="1">VLOOKUP($F464,OFFSET(enemy_skill_triggers!$A$1,0,0,COUNTA(enemy_skill_triggers!$A:$A),MATCH(H$1,enemy_skill_triggers!$1:$1,0)-MATCH($F$1,enemy_skill_triggers!$1:$1,0)+1),MATCH(H$1,enemy_skill_triggers!$1:$1,0)-MATCH($F$1,enemy_skill_triggers!$1:$1,0)+1,FALSE)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464" s="48">
        <f ca="1">VLOOKUP($F464,OFFSET(enemy_skill_triggers!$A$1,0,0,COUNTA(enemy_skill_triggers!$A:$A),MATCH(I$1,enemy_skill_triggers!$1:$1,0)-MATCH($F$1,enemy_skill_triggers!$1:$1,0)+1),MATCH(I$1,enemy_skill_triggers!$1:$1,0)-MATCH($F$1,enemy_skill_triggers!$1:$1,0)+1,FALSE)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4" s="48" t="str">
        <f ca="1">VLOOKUP($F464,OFFSET(enemy_skill_triggers!$A$1,0,0,COUNTA(enemy_skill_triggers!$A:$A),MATCH(J$1,enemy_skill_triggers!$1:$1,0)-MATCH($F$1,enemy_skill_triggers!$1:$1,0)+1),MATCH(J$1,enemy_skill_triggers!$1:$1,0)-MATCH($F$1,enemy_skill_triggers!$1:$1,0)+1,FALSE)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4" s="48" t="str">
        <f ca="1">VLOOKUP($F464,OFFSET(enemy_skill_triggers!$A$1,0,0,COUNTA(enemy_skill_triggers!$A:$A),MATCH(K$1,enemy_skill_triggers!$1:$1,0)-MATCH($F$1,enemy_skill_triggers!$1:$1,0)+1),MATCH(K$1,enemy_skill_triggers!$1:$1,0)-MATCH($F$1,enemy_skill_triggers!$1:$1,0)+1,FALSE)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4" s="48">
        <f ca="1">VLOOKUP($F464,OFFSET(enemy_skill_triggers!$A$1,0,0,COUNTA(enemy_skill_triggers!$A:$A),MATCH(L$1,enemy_skill_triggers!$1:$1,0)-MATCH($F$1,enemy_skill_triggers!$1:$1,0)+1),MATCH(L$1,enemy_skill_triggers!$1:$1,0)-MATCH($F$1,enemy_skill_triggers!$1:$1,0)+1,FALSE)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4" s="48" t="str">
        <f ca="1">VLOOKUP($F464,OFFSET(enemy_skill_triggers!$A$1,0,0,COUNTA(enemy_skill_triggers!$A:$A),MATCH(M$1,enemy_skill_triggers!$1:$1,0)-MATCH($F$1,enemy_skill_triggers!$1:$1,0)+1),MATCH(M$1,enemy_skill_triggers!$1:$1,0)-MATCH($F$1,enemy_skill_triggers!$1:$1,0)+1,FALSE)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4" s="48">
        <f ca="1">VLOOKUP($F464,OFFSET(enemy_skill_triggers!$A$1,0,0,COUNTA(enemy_skill_triggers!$A:$A),MATCH(N$1,enemy_skill_triggers!$1:$1,0)-MATCH($F$1,enemy_skill_triggers!$1:$1,0)+1),MATCH(N$1,enemy_skill_triggers!$1:$1,0)-MATCH($F$1,enemy_skill_triggers!$1:$1,0)+1,FALSE)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464" s="48">
        <f ca="1">VLOOKUP($F464,OFFSET(enemy_skill_triggers!$A$1,0,0,COUNTA(enemy_skill_triggers!$A:$A),MATCH(O$1,enemy_skill_triggers!$1:$1,0)-MATCH($F$1,enemy_skill_triggers!$1:$1,0)+1),MATCH(O$1,enemy_skill_triggers!$1:$1,0)-MATCH($F$1,enemy_skill_triggers!$1:$1,0)+1,FALSE)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4" s="47"/>
      <c r="Q464" s="47"/>
      <c r="R464" s="47"/>
    </row>
    <row r="465" spans="1:18" ht="21" customHeight="1" x14ac:dyDescent="0.15">
      <c r="A465" s="39" t="str">
        <f t="shared" si="22"/>
        <v>39009021_39009074</v>
      </c>
      <c r="B465" s="129">
        <v>39009021</v>
      </c>
      <c r="C465" s="47">
        <v>39009074</v>
      </c>
      <c r="D465" s="46" t="str">
        <f ca="1">VLOOKUP($C465,OFFSET(enemy_skills!$A$1,0,0,COUNTA(enemy_skills!$A:$A),MATCH(D$1,enemy_skills!$1:$1,0)-MATCH("enemy_skill_id",enemy_skills!$1:$1,0)+1),MATCH(D$1,enemy_skills!$1:$1,0)-MATCH("enemy_skill_id",enemy_skills!$1:$1,0)+1,FALSE)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5" s="46" t="str">
        <f ca="1">VLOOKUP($C465,OFFSET(enemy_skills!$A$1,0,0,COUNTA(enemy_skills!$A:$A),MATCH(E$1,enemy_skills!$1:$1,0)-MATCH("enemy_skill_id",enemy_skills!$1:$1,0)+1),MATCH(E$1,enemy_skills!$1:$1,0)-MATCH("enemy_skill_id",enemy_skills!$1:$1,0)+1,FALSE)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5" s="47">
        <v>39009243</v>
      </c>
      <c r="G465" s="48">
        <f ca="1">VLOOKUP($F465,OFFSET(enemy_skill_triggers!$A$1,0,0,COUNTA(enemy_skill_triggers!$A:$A),MATCH(G$1,enemy_skill_triggers!$1:$1,0)-MATCH($F$1,enemy_skill_triggers!$1:$1,0)+1),MATCH(G$1,enemy_skill_triggers!$1:$1,0)-MATCH($F$1,enemy_skill_triggers!$1:$1,0)+1,FALSE)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5" s="48">
        <f ca="1">VLOOKUP($F465,OFFSET(enemy_skill_triggers!$A$1,0,0,COUNTA(enemy_skill_triggers!$A:$A),MATCH(H$1,enemy_skill_triggers!$1:$1,0)-MATCH($F$1,enemy_skill_triggers!$1:$1,0)+1),MATCH(H$1,enemy_skill_triggers!$1:$1,0)-MATCH($F$1,enemy_skill_triggers!$1:$1,0)+1,FALSE)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465" s="48">
        <f ca="1">VLOOKUP($F465,OFFSET(enemy_skill_triggers!$A$1,0,0,COUNTA(enemy_skill_triggers!$A:$A),MATCH(I$1,enemy_skill_triggers!$1:$1,0)-MATCH($F$1,enemy_skill_triggers!$1:$1,0)+1),MATCH(I$1,enemy_skill_triggers!$1:$1,0)-MATCH($F$1,enemy_skill_triggers!$1:$1,0)+1,FALSE)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5" s="48" t="str">
        <f ca="1">VLOOKUP($F465,OFFSET(enemy_skill_triggers!$A$1,0,0,COUNTA(enemy_skill_triggers!$A:$A),MATCH(J$1,enemy_skill_triggers!$1:$1,0)-MATCH($F$1,enemy_skill_triggers!$1:$1,0)+1),MATCH(J$1,enemy_skill_triggers!$1:$1,0)-MATCH($F$1,enemy_skill_triggers!$1:$1,0)+1,FALSE)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5" s="48" t="str">
        <f ca="1">VLOOKUP($F465,OFFSET(enemy_skill_triggers!$A$1,0,0,COUNTA(enemy_skill_triggers!$A:$A),MATCH(K$1,enemy_skill_triggers!$1:$1,0)-MATCH($F$1,enemy_skill_triggers!$1:$1,0)+1),MATCH(K$1,enemy_skill_triggers!$1:$1,0)-MATCH($F$1,enemy_skill_triggers!$1:$1,0)+1,FALSE)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5" s="48">
        <f ca="1">VLOOKUP($F465,OFFSET(enemy_skill_triggers!$A$1,0,0,COUNTA(enemy_skill_triggers!$A:$A),MATCH(L$1,enemy_skill_triggers!$1:$1,0)-MATCH($F$1,enemy_skill_triggers!$1:$1,0)+1),MATCH(L$1,enemy_skill_triggers!$1:$1,0)-MATCH($F$1,enemy_skill_triggers!$1:$1,0)+1,FALSE)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5" s="48" t="str">
        <f ca="1">VLOOKUP($F465,OFFSET(enemy_skill_triggers!$A$1,0,0,COUNTA(enemy_skill_triggers!$A:$A),MATCH(M$1,enemy_skill_triggers!$1:$1,0)-MATCH($F$1,enemy_skill_triggers!$1:$1,0)+1),MATCH(M$1,enemy_skill_triggers!$1:$1,0)-MATCH($F$1,enemy_skill_triggers!$1:$1,0)+1,FALSE)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5" s="48">
        <f ca="1">VLOOKUP($F465,OFFSET(enemy_skill_triggers!$A$1,0,0,COUNTA(enemy_skill_triggers!$A:$A),MATCH(N$1,enemy_skill_triggers!$1:$1,0)-MATCH($F$1,enemy_skill_triggers!$1:$1,0)+1),MATCH(N$1,enemy_skill_triggers!$1:$1,0)-MATCH($F$1,enemy_skill_triggers!$1:$1,0)+1,FALSE)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465" s="48">
        <f ca="1">VLOOKUP($F465,OFFSET(enemy_skill_triggers!$A$1,0,0,COUNTA(enemy_skill_triggers!$A:$A),MATCH(O$1,enemy_skill_triggers!$1:$1,0)-MATCH($F$1,enemy_skill_triggers!$1:$1,0)+1),MATCH(O$1,enemy_skill_triggers!$1:$1,0)-MATCH($F$1,enemy_skill_triggers!$1:$1,0)+1,FALSE)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5" s="47"/>
      <c r="Q465" s="47"/>
      <c r="R465" s="47"/>
    </row>
    <row r="466" spans="1:18" ht="21" customHeight="1" x14ac:dyDescent="0.15">
      <c r="A466" s="39" t="str">
        <f t="shared" si="22"/>
        <v>39009021_39009074</v>
      </c>
      <c r="B466" s="129">
        <v>39009021</v>
      </c>
      <c r="C466" s="47">
        <v>39009074</v>
      </c>
      <c r="D466" s="46" t="str">
        <f ca="1">VLOOKUP($C466,OFFSET(enemy_skills!$A$1,0,0,COUNTA(enemy_skills!$A:$A),MATCH(D$1,enemy_skills!$1:$1,0)-MATCH("enemy_skill_id",enemy_skills!$1:$1,0)+1),MATCH(D$1,enemy_skills!$1:$1,0)-MATCH("enemy_skill_id",enemy_skills!$1:$1,0)+1,FALSE)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6" s="46" t="str">
        <f ca="1">VLOOKUP($C466,OFFSET(enemy_skills!$A$1,0,0,COUNTA(enemy_skills!$A:$A),MATCH(E$1,enemy_skills!$1:$1,0)-MATCH("enemy_skill_id",enemy_skills!$1:$1,0)+1),MATCH(E$1,enemy_skills!$1:$1,0)-MATCH("enemy_skill_id",enemy_skills!$1:$1,0)+1,FALSE)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6" s="47">
        <v>39009244</v>
      </c>
      <c r="G466" s="48">
        <f ca="1">VLOOKUP($F466,OFFSET(enemy_skill_triggers!$A$1,0,0,COUNTA(enemy_skill_triggers!$A:$A),MATCH(G$1,enemy_skill_triggers!$1:$1,0)-MATCH($F$1,enemy_skill_triggers!$1:$1,0)+1),MATCH(G$1,enemy_skill_triggers!$1:$1,0)-MATCH($F$1,enemy_skill_triggers!$1:$1,0)+1,FALSE)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6" s="48">
        <f ca="1">VLOOKUP($F466,OFFSET(enemy_skill_triggers!$A$1,0,0,COUNTA(enemy_skill_triggers!$A:$A),MATCH(H$1,enemy_skill_triggers!$1:$1,0)-MATCH($F$1,enemy_skill_triggers!$1:$1,0)+1),MATCH(H$1,enemy_skill_triggers!$1:$1,0)-MATCH($F$1,enemy_skill_triggers!$1:$1,0)+1,FALSE)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466" s="48">
        <f ca="1">VLOOKUP($F466,OFFSET(enemy_skill_triggers!$A$1,0,0,COUNTA(enemy_skill_triggers!$A:$A),MATCH(I$1,enemy_skill_triggers!$1:$1,0)-MATCH($F$1,enemy_skill_triggers!$1:$1,0)+1),MATCH(I$1,enemy_skill_triggers!$1:$1,0)-MATCH($F$1,enemy_skill_triggers!$1:$1,0)+1,FALSE)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6" s="48" t="str">
        <f ca="1">VLOOKUP($F466,OFFSET(enemy_skill_triggers!$A$1,0,0,COUNTA(enemy_skill_triggers!$A:$A),MATCH(J$1,enemy_skill_triggers!$1:$1,0)-MATCH($F$1,enemy_skill_triggers!$1:$1,0)+1),MATCH(J$1,enemy_skill_triggers!$1:$1,0)-MATCH($F$1,enemy_skill_triggers!$1:$1,0)+1,FALSE)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6" s="48" t="str">
        <f ca="1">VLOOKUP($F466,OFFSET(enemy_skill_triggers!$A$1,0,0,COUNTA(enemy_skill_triggers!$A:$A),MATCH(K$1,enemy_skill_triggers!$1:$1,0)-MATCH($F$1,enemy_skill_triggers!$1:$1,0)+1),MATCH(K$1,enemy_skill_triggers!$1:$1,0)-MATCH($F$1,enemy_skill_triggers!$1:$1,0)+1,FALSE)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6" s="48">
        <f ca="1">VLOOKUP($F466,OFFSET(enemy_skill_triggers!$A$1,0,0,COUNTA(enemy_skill_triggers!$A:$A),MATCH(L$1,enemy_skill_triggers!$1:$1,0)-MATCH($F$1,enemy_skill_triggers!$1:$1,0)+1),MATCH(L$1,enemy_skill_triggers!$1:$1,0)-MATCH($F$1,enemy_skill_triggers!$1:$1,0)+1,FALSE)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6" s="48" t="str">
        <f ca="1">VLOOKUP($F466,OFFSET(enemy_skill_triggers!$A$1,0,0,COUNTA(enemy_skill_triggers!$A:$A),MATCH(M$1,enemy_skill_triggers!$1:$1,0)-MATCH($F$1,enemy_skill_triggers!$1:$1,0)+1),MATCH(M$1,enemy_skill_triggers!$1:$1,0)-MATCH($F$1,enemy_skill_triggers!$1:$1,0)+1,FALSE)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6" s="48">
        <f ca="1">VLOOKUP($F466,OFFSET(enemy_skill_triggers!$A$1,0,0,COUNTA(enemy_skill_triggers!$A:$A),MATCH(N$1,enemy_skill_triggers!$1:$1,0)-MATCH($F$1,enemy_skill_triggers!$1:$1,0)+1),MATCH(N$1,enemy_skill_triggers!$1:$1,0)-MATCH($F$1,enemy_skill_triggers!$1:$1,0)+1,FALSE)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466" s="48">
        <f ca="1">VLOOKUP($F466,OFFSET(enemy_skill_triggers!$A$1,0,0,COUNTA(enemy_skill_triggers!$A:$A),MATCH(O$1,enemy_skill_triggers!$1:$1,0)-MATCH($F$1,enemy_skill_triggers!$1:$1,0)+1),MATCH(O$1,enemy_skill_triggers!$1:$1,0)-MATCH($F$1,enemy_skill_triggers!$1:$1,0)+1,FALSE)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6" s="47"/>
      <c r="Q466" s="47"/>
      <c r="R466" s="47"/>
    </row>
    <row r="467" spans="1:18" ht="21" customHeight="1" x14ac:dyDescent="0.15">
      <c r="A467" s="39" t="str">
        <f t="shared" si="22"/>
        <v>39009021_39009074</v>
      </c>
      <c r="B467" s="129">
        <v>39009021</v>
      </c>
      <c r="C467" s="47">
        <v>39009074</v>
      </c>
      <c r="D467" s="46" t="str">
        <f ca="1">VLOOKUP($C467,OFFSET(enemy_skills!$A$1,0,0,COUNTA(enemy_skills!$A:$A),MATCH(D$1,enemy_skills!$1:$1,0)-MATCH("enemy_skill_id",enemy_skills!$1:$1,0)+1),MATCH(D$1,enemy_skills!$1:$1,0)-MATCH("enemy_skill_id",enemy_skills!$1:$1,0)+1,FALSE)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7" s="46" t="str">
        <f ca="1">VLOOKUP($C467,OFFSET(enemy_skills!$A$1,0,0,COUNTA(enemy_skills!$A:$A),MATCH(E$1,enemy_skills!$1:$1,0)-MATCH("enemy_skill_id",enemy_skills!$1:$1,0)+1),MATCH(E$1,enemy_skills!$1:$1,0)-MATCH("enemy_skill_id",enemy_skills!$1:$1,0)+1,FALSE)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7" s="47">
        <v>39009245</v>
      </c>
      <c r="G467" s="48">
        <f ca="1">VLOOKUP($F467,OFFSET(enemy_skill_triggers!$A$1,0,0,COUNTA(enemy_skill_triggers!$A:$A),MATCH(G$1,enemy_skill_triggers!$1:$1,0)-MATCH($F$1,enemy_skill_triggers!$1:$1,0)+1),MATCH(G$1,enemy_skill_triggers!$1:$1,0)-MATCH($F$1,enemy_skill_triggers!$1:$1,0)+1,FALSE)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7" s="48">
        <f ca="1">VLOOKUP($F467,OFFSET(enemy_skill_triggers!$A$1,0,0,COUNTA(enemy_skill_triggers!$A:$A),MATCH(H$1,enemy_skill_triggers!$1:$1,0)-MATCH($F$1,enemy_skill_triggers!$1:$1,0)+1),MATCH(H$1,enemy_skill_triggers!$1:$1,0)-MATCH($F$1,enemy_skill_triggers!$1:$1,0)+1,FALSE)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467" s="48">
        <f ca="1">VLOOKUP($F467,OFFSET(enemy_skill_triggers!$A$1,0,0,COUNTA(enemy_skill_triggers!$A:$A),MATCH(I$1,enemy_skill_triggers!$1:$1,0)-MATCH($F$1,enemy_skill_triggers!$1:$1,0)+1),MATCH(I$1,enemy_skill_triggers!$1:$1,0)-MATCH($F$1,enemy_skill_triggers!$1:$1,0)+1,FALSE)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7" s="48" t="str">
        <f ca="1">VLOOKUP($F467,OFFSET(enemy_skill_triggers!$A$1,0,0,COUNTA(enemy_skill_triggers!$A:$A),MATCH(J$1,enemy_skill_triggers!$1:$1,0)-MATCH($F$1,enemy_skill_triggers!$1:$1,0)+1),MATCH(J$1,enemy_skill_triggers!$1:$1,0)-MATCH($F$1,enemy_skill_triggers!$1:$1,0)+1,FALSE)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7" s="48" t="str">
        <f ca="1">VLOOKUP($F467,OFFSET(enemy_skill_triggers!$A$1,0,0,COUNTA(enemy_skill_triggers!$A:$A),MATCH(K$1,enemy_skill_triggers!$1:$1,0)-MATCH($F$1,enemy_skill_triggers!$1:$1,0)+1),MATCH(K$1,enemy_skill_triggers!$1:$1,0)-MATCH($F$1,enemy_skill_triggers!$1:$1,0)+1,FALSE)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7" s="48">
        <f ca="1">VLOOKUP($F467,OFFSET(enemy_skill_triggers!$A$1,0,0,COUNTA(enemy_skill_triggers!$A:$A),MATCH(L$1,enemy_skill_triggers!$1:$1,0)-MATCH($F$1,enemy_skill_triggers!$1:$1,0)+1),MATCH(L$1,enemy_skill_triggers!$1:$1,0)-MATCH($F$1,enemy_skill_triggers!$1:$1,0)+1,FALSE)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7" s="48" t="str">
        <f ca="1">VLOOKUP($F467,OFFSET(enemy_skill_triggers!$A$1,0,0,COUNTA(enemy_skill_triggers!$A:$A),MATCH(M$1,enemy_skill_triggers!$1:$1,0)-MATCH($F$1,enemy_skill_triggers!$1:$1,0)+1),MATCH(M$1,enemy_skill_triggers!$1:$1,0)-MATCH($F$1,enemy_skill_triggers!$1:$1,0)+1,FALSE)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7" s="48">
        <f ca="1">VLOOKUP($F467,OFFSET(enemy_skill_triggers!$A$1,0,0,COUNTA(enemy_skill_triggers!$A:$A),MATCH(N$1,enemy_skill_triggers!$1:$1,0)-MATCH($F$1,enemy_skill_triggers!$1:$1,0)+1),MATCH(N$1,enemy_skill_triggers!$1:$1,0)-MATCH($F$1,enemy_skill_triggers!$1:$1,0)+1,FALSE)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467" s="48">
        <f ca="1">VLOOKUP($F467,OFFSET(enemy_skill_triggers!$A$1,0,0,COUNTA(enemy_skill_triggers!$A:$A),MATCH(O$1,enemy_skill_triggers!$1:$1,0)-MATCH($F$1,enemy_skill_triggers!$1:$1,0)+1),MATCH(O$1,enemy_skill_triggers!$1:$1,0)-MATCH($F$1,enemy_skill_triggers!$1:$1,0)+1,FALSE)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7" s="47"/>
      <c r="Q467" s="47"/>
      <c r="R467" s="47"/>
    </row>
    <row r="468" spans="1:18" ht="21" customHeight="1" x14ac:dyDescent="0.15">
      <c r="A468" s="39" t="str">
        <f t="shared" si="22"/>
        <v>39009021_39009074</v>
      </c>
      <c r="B468" s="129">
        <v>39009021</v>
      </c>
      <c r="C468" s="47">
        <v>39009074</v>
      </c>
      <c r="D468" s="46" t="str">
        <f ca="1">VLOOKUP($C468,OFFSET(enemy_skills!$A$1,0,0,COUNTA(enemy_skills!$A:$A),MATCH(D$1,enemy_skills!$1:$1,0)-MATCH("enemy_skill_id",enemy_skills!$1:$1,0)+1),MATCH(D$1,enemy_skills!$1:$1,0)-MATCH("enemy_skill_id",enemy_skills!$1:$1,0)+1,FALSE)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8" s="46" t="str">
        <f ca="1">VLOOKUP($C468,OFFSET(enemy_skills!$A$1,0,0,COUNTA(enemy_skills!$A:$A),MATCH(E$1,enemy_skills!$1:$1,0)-MATCH("enemy_skill_id",enemy_skills!$1:$1,0)+1),MATCH(E$1,enemy_skills!$1:$1,0)-MATCH("enemy_skill_id",enemy_skills!$1:$1,0)+1,FALSE)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8" s="47">
        <v>39009246</v>
      </c>
      <c r="G468" s="48">
        <f ca="1">VLOOKUP($F468,OFFSET(enemy_skill_triggers!$A$1,0,0,COUNTA(enemy_skill_triggers!$A:$A),MATCH(G$1,enemy_skill_triggers!$1:$1,0)-MATCH($F$1,enemy_skill_triggers!$1:$1,0)+1),MATCH(G$1,enemy_skill_triggers!$1:$1,0)-MATCH($F$1,enemy_skill_triggers!$1:$1,0)+1,FALSE)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8" s="48">
        <f ca="1">VLOOKUP($F468,OFFSET(enemy_skill_triggers!$A$1,0,0,COUNTA(enemy_skill_triggers!$A:$A),MATCH(H$1,enemy_skill_triggers!$1:$1,0)-MATCH($F$1,enemy_skill_triggers!$1:$1,0)+1),MATCH(H$1,enemy_skill_triggers!$1:$1,0)-MATCH($F$1,enemy_skill_triggers!$1:$1,0)+1,FALSE)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68" s="48">
        <f ca="1">VLOOKUP($F468,OFFSET(enemy_skill_triggers!$A$1,0,0,COUNTA(enemy_skill_triggers!$A:$A),MATCH(I$1,enemy_skill_triggers!$1:$1,0)-MATCH($F$1,enemy_skill_triggers!$1:$1,0)+1),MATCH(I$1,enemy_skill_triggers!$1:$1,0)-MATCH($F$1,enemy_skill_triggers!$1:$1,0)+1,FALSE)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8" s="48" t="str">
        <f ca="1">VLOOKUP($F468,OFFSET(enemy_skill_triggers!$A$1,0,0,COUNTA(enemy_skill_triggers!$A:$A),MATCH(J$1,enemy_skill_triggers!$1:$1,0)-MATCH($F$1,enemy_skill_triggers!$1:$1,0)+1),MATCH(J$1,enemy_skill_triggers!$1:$1,0)-MATCH($F$1,enemy_skill_triggers!$1:$1,0)+1,FALSE)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8" s="48" t="str">
        <f ca="1">VLOOKUP($F468,OFFSET(enemy_skill_triggers!$A$1,0,0,COUNTA(enemy_skill_triggers!$A:$A),MATCH(K$1,enemy_skill_triggers!$1:$1,0)-MATCH($F$1,enemy_skill_triggers!$1:$1,0)+1),MATCH(K$1,enemy_skill_triggers!$1:$1,0)-MATCH($F$1,enemy_skill_triggers!$1:$1,0)+1,FALSE)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8" s="48">
        <f ca="1">VLOOKUP($F468,OFFSET(enemy_skill_triggers!$A$1,0,0,COUNTA(enemy_skill_triggers!$A:$A),MATCH(L$1,enemy_skill_triggers!$1:$1,0)-MATCH($F$1,enemy_skill_triggers!$1:$1,0)+1),MATCH(L$1,enemy_skill_triggers!$1:$1,0)-MATCH($F$1,enemy_skill_triggers!$1:$1,0)+1,FALSE)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8" s="48" t="str">
        <f ca="1">VLOOKUP($F468,OFFSET(enemy_skill_triggers!$A$1,0,0,COUNTA(enemy_skill_triggers!$A:$A),MATCH(M$1,enemy_skill_triggers!$1:$1,0)-MATCH($F$1,enemy_skill_triggers!$1:$1,0)+1),MATCH(M$1,enemy_skill_triggers!$1:$1,0)-MATCH($F$1,enemy_skill_triggers!$1:$1,0)+1,FALSE)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8" s="48">
        <f ca="1">VLOOKUP($F468,OFFSET(enemy_skill_triggers!$A$1,0,0,COUNTA(enemy_skill_triggers!$A:$A),MATCH(N$1,enemy_skill_triggers!$1:$1,0)-MATCH($F$1,enemy_skill_triggers!$1:$1,0)+1),MATCH(N$1,enemy_skill_triggers!$1:$1,0)-MATCH($F$1,enemy_skill_triggers!$1:$1,0)+1,FALSE)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468" s="48">
        <f ca="1">VLOOKUP($F468,OFFSET(enemy_skill_triggers!$A$1,0,0,COUNTA(enemy_skill_triggers!$A:$A),MATCH(O$1,enemy_skill_triggers!$1:$1,0)-MATCH($F$1,enemy_skill_triggers!$1:$1,0)+1),MATCH(O$1,enemy_skill_triggers!$1:$1,0)-MATCH($F$1,enemy_skill_triggers!$1:$1,0)+1,FALSE)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8" s="47"/>
      <c r="Q468" s="47"/>
      <c r="R468" s="47"/>
    </row>
    <row r="469" spans="1:18" ht="21" customHeight="1" x14ac:dyDescent="0.15">
      <c r="A469" s="39" t="str">
        <f t="shared" si="22"/>
        <v>39009021_39009074</v>
      </c>
      <c r="B469" s="129">
        <v>39009021</v>
      </c>
      <c r="C469" s="47">
        <v>39009074</v>
      </c>
      <c r="D469" s="46" t="str">
        <f ca="1">VLOOKUP($C469,OFFSET(enemy_skills!$A$1,0,0,COUNTA(enemy_skills!$A:$A),MATCH(D$1,enemy_skills!$1:$1,0)-MATCH("enemy_skill_id",enemy_skills!$1:$1,0)+1),MATCH(D$1,enemy_skills!$1:$1,0)-MATCH("enemy_skill_id",enemy_skills!$1:$1,0)+1,FALSE)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69" s="46" t="str">
        <f ca="1">VLOOKUP($C469,OFFSET(enemy_skills!$A$1,0,0,COUNTA(enemy_skills!$A:$A),MATCH(E$1,enemy_skills!$1:$1,0)-MATCH("enemy_skill_id",enemy_skills!$1:$1,0)+1),MATCH(E$1,enemy_skills!$1:$1,0)-MATCH("enemy_skill_id",enemy_skills!$1:$1,0)+1,FALSE)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9" s="47">
        <v>39009247</v>
      </c>
      <c r="G469" s="48">
        <f ca="1">VLOOKUP($F469,OFFSET(enemy_skill_triggers!$A$1,0,0,COUNTA(enemy_skill_triggers!$A:$A),MATCH(G$1,enemy_skill_triggers!$1:$1,0)-MATCH($F$1,enemy_skill_triggers!$1:$1,0)+1),MATCH(G$1,enemy_skill_triggers!$1:$1,0)-MATCH($F$1,enemy_skill_triggers!$1:$1,0)+1,FALSE)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9" s="48">
        <f ca="1">VLOOKUP($F469,OFFSET(enemy_skill_triggers!$A$1,0,0,COUNTA(enemy_skill_triggers!$A:$A),MATCH(H$1,enemy_skill_triggers!$1:$1,0)-MATCH($F$1,enemy_skill_triggers!$1:$1,0)+1),MATCH(H$1,enemy_skill_triggers!$1:$1,0)-MATCH($F$1,enemy_skill_triggers!$1:$1,0)+1,FALSE)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469" s="48">
        <f ca="1">VLOOKUP($F469,OFFSET(enemy_skill_triggers!$A$1,0,0,COUNTA(enemy_skill_triggers!$A:$A),MATCH(I$1,enemy_skill_triggers!$1:$1,0)-MATCH($F$1,enemy_skill_triggers!$1:$1,0)+1),MATCH(I$1,enemy_skill_triggers!$1:$1,0)-MATCH($F$1,enemy_skill_triggers!$1:$1,0)+1,FALSE)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9" s="48" t="str">
        <f ca="1">VLOOKUP($F469,OFFSET(enemy_skill_triggers!$A$1,0,0,COUNTA(enemy_skill_triggers!$A:$A),MATCH(J$1,enemy_skill_triggers!$1:$1,0)-MATCH($F$1,enemy_skill_triggers!$1:$1,0)+1),MATCH(J$1,enemy_skill_triggers!$1:$1,0)-MATCH($F$1,enemy_skill_triggers!$1:$1,0)+1,FALSE)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9" s="48" t="str">
        <f ca="1">VLOOKUP($F469,OFFSET(enemy_skill_triggers!$A$1,0,0,COUNTA(enemy_skill_triggers!$A:$A),MATCH(K$1,enemy_skill_triggers!$1:$1,0)-MATCH($F$1,enemy_skill_triggers!$1:$1,0)+1),MATCH(K$1,enemy_skill_triggers!$1:$1,0)-MATCH($F$1,enemy_skill_triggers!$1:$1,0)+1,FALSE)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9" s="48">
        <f ca="1">VLOOKUP($F469,OFFSET(enemy_skill_triggers!$A$1,0,0,COUNTA(enemy_skill_triggers!$A:$A),MATCH(L$1,enemy_skill_triggers!$1:$1,0)-MATCH($F$1,enemy_skill_triggers!$1:$1,0)+1),MATCH(L$1,enemy_skill_triggers!$1:$1,0)-MATCH($F$1,enemy_skill_triggers!$1:$1,0)+1,FALSE)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9" s="48" t="str">
        <f ca="1">VLOOKUP($F469,OFFSET(enemy_skill_triggers!$A$1,0,0,COUNTA(enemy_skill_triggers!$A:$A),MATCH(M$1,enemy_skill_triggers!$1:$1,0)-MATCH($F$1,enemy_skill_triggers!$1:$1,0)+1),MATCH(M$1,enemy_skill_triggers!$1:$1,0)-MATCH($F$1,enemy_skill_triggers!$1:$1,0)+1,FALSE)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9" s="48">
        <f ca="1">VLOOKUP($F469,OFFSET(enemy_skill_triggers!$A$1,0,0,COUNTA(enemy_skill_triggers!$A:$A),MATCH(N$1,enemy_skill_triggers!$1:$1,0)-MATCH($F$1,enemy_skill_triggers!$1:$1,0)+1),MATCH(N$1,enemy_skill_triggers!$1:$1,0)-MATCH($F$1,enemy_skill_triggers!$1:$1,0)+1,FALSE)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469" s="48">
        <f ca="1">VLOOKUP($F469,OFFSET(enemy_skill_triggers!$A$1,0,0,COUNTA(enemy_skill_triggers!$A:$A),MATCH(O$1,enemy_skill_triggers!$1:$1,0)-MATCH($F$1,enemy_skill_triggers!$1:$1,0)+1),MATCH(O$1,enemy_skill_triggers!$1:$1,0)-MATCH($F$1,enemy_skill_triggers!$1:$1,0)+1,FALSE)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9" s="47"/>
      <c r="Q469" s="47"/>
      <c r="R469" s="47"/>
    </row>
    <row r="470" spans="1:18" ht="21" customHeight="1" x14ac:dyDescent="0.15">
      <c r="A470" s="39" t="str">
        <f t="shared" si="22"/>
        <v>39009021_39009074</v>
      </c>
      <c r="B470" s="129">
        <v>39009021</v>
      </c>
      <c r="C470" s="47">
        <v>39009074</v>
      </c>
      <c r="D470" s="46" t="str">
        <f ca="1">VLOOKUP($C470,OFFSET(enemy_skills!$A$1,0,0,COUNTA(enemy_skills!$A:$A),MATCH(D$1,enemy_skills!$1:$1,0)-MATCH("enemy_skill_id",enemy_skills!$1:$1,0)+1),MATCH(D$1,enemy_skills!$1:$1,0)-MATCH("enemy_skill_id",enemy_skills!$1:$1,0)+1,FALSE)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70" s="46" t="str">
        <f ca="1">VLOOKUP($C470,OFFSET(enemy_skills!$A$1,0,0,COUNTA(enemy_skills!$A:$A),MATCH(E$1,enemy_skills!$1:$1,0)-MATCH("enemy_skill_id",enemy_skills!$1:$1,0)+1),MATCH(E$1,enemy_skills!$1:$1,0)-MATCH("enemy_skill_id",enemy_skills!$1:$1,0)+1,FALSE)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0" s="47">
        <v>39009248</v>
      </c>
      <c r="G470" s="48">
        <f ca="1">VLOOKUP($F470,OFFSET(enemy_skill_triggers!$A$1,0,0,COUNTA(enemy_skill_triggers!$A:$A),MATCH(G$1,enemy_skill_triggers!$1:$1,0)-MATCH($F$1,enemy_skill_triggers!$1:$1,0)+1),MATCH(G$1,enemy_skill_triggers!$1:$1,0)-MATCH($F$1,enemy_skill_triggers!$1:$1,0)+1,FALSE)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0" s="48">
        <f ca="1">VLOOKUP($F470,OFFSET(enemy_skill_triggers!$A$1,0,0,COUNTA(enemy_skill_triggers!$A:$A),MATCH(H$1,enemy_skill_triggers!$1:$1,0)-MATCH($F$1,enemy_skill_triggers!$1:$1,0)+1),MATCH(H$1,enemy_skill_triggers!$1:$1,0)-MATCH($F$1,enemy_skill_triggers!$1:$1,0)+1,FALSE)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470" s="48">
        <f ca="1">VLOOKUP($F470,OFFSET(enemy_skill_triggers!$A$1,0,0,COUNTA(enemy_skill_triggers!$A:$A),MATCH(I$1,enemy_skill_triggers!$1:$1,0)-MATCH($F$1,enemy_skill_triggers!$1:$1,0)+1),MATCH(I$1,enemy_skill_triggers!$1:$1,0)-MATCH($F$1,enemy_skill_triggers!$1:$1,0)+1,FALSE)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0" s="48" t="str">
        <f ca="1">VLOOKUP($F470,OFFSET(enemy_skill_triggers!$A$1,0,0,COUNTA(enemy_skill_triggers!$A:$A),MATCH(J$1,enemy_skill_triggers!$1:$1,0)-MATCH($F$1,enemy_skill_triggers!$1:$1,0)+1),MATCH(J$1,enemy_skill_triggers!$1:$1,0)-MATCH($F$1,enemy_skill_triggers!$1:$1,0)+1,FALSE)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0" s="48" t="str">
        <f ca="1">VLOOKUP($F470,OFFSET(enemy_skill_triggers!$A$1,0,0,COUNTA(enemy_skill_triggers!$A:$A),MATCH(K$1,enemy_skill_triggers!$1:$1,0)-MATCH($F$1,enemy_skill_triggers!$1:$1,0)+1),MATCH(K$1,enemy_skill_triggers!$1:$1,0)-MATCH($F$1,enemy_skill_triggers!$1:$1,0)+1,FALSE)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0" s="48">
        <f ca="1">VLOOKUP($F470,OFFSET(enemy_skill_triggers!$A$1,0,0,COUNTA(enemy_skill_triggers!$A:$A),MATCH(L$1,enemy_skill_triggers!$1:$1,0)-MATCH($F$1,enemy_skill_triggers!$1:$1,0)+1),MATCH(L$1,enemy_skill_triggers!$1:$1,0)-MATCH($F$1,enemy_skill_triggers!$1:$1,0)+1,FALSE)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0" s="48" t="str">
        <f ca="1">VLOOKUP($F470,OFFSET(enemy_skill_triggers!$A$1,0,0,COUNTA(enemy_skill_triggers!$A:$A),MATCH(M$1,enemy_skill_triggers!$1:$1,0)-MATCH($F$1,enemy_skill_triggers!$1:$1,0)+1),MATCH(M$1,enemy_skill_triggers!$1:$1,0)-MATCH($F$1,enemy_skill_triggers!$1:$1,0)+1,FALSE)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0" s="48">
        <f ca="1">VLOOKUP($F470,OFFSET(enemy_skill_triggers!$A$1,0,0,COUNTA(enemy_skill_triggers!$A:$A),MATCH(N$1,enemy_skill_triggers!$1:$1,0)-MATCH($F$1,enemy_skill_triggers!$1:$1,0)+1),MATCH(N$1,enemy_skill_triggers!$1:$1,0)-MATCH($F$1,enemy_skill_triggers!$1:$1,0)+1,FALSE)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470" s="48">
        <f ca="1">VLOOKUP($F470,OFFSET(enemy_skill_triggers!$A$1,0,0,COUNTA(enemy_skill_triggers!$A:$A),MATCH(O$1,enemy_skill_triggers!$1:$1,0)-MATCH($F$1,enemy_skill_triggers!$1:$1,0)+1),MATCH(O$1,enemy_skill_triggers!$1:$1,0)-MATCH($F$1,enemy_skill_triggers!$1:$1,0)+1,FALSE)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0" s="47"/>
      <c r="Q470" s="47"/>
      <c r="R470" s="47"/>
    </row>
    <row r="471" spans="1:18" ht="21" customHeight="1" x14ac:dyDescent="0.15">
      <c r="A471" s="39" t="str">
        <f t="shared" si="22"/>
        <v>39009021_39009074</v>
      </c>
      <c r="B471" s="129">
        <v>39009021</v>
      </c>
      <c r="C471" s="47">
        <v>39009074</v>
      </c>
      <c r="D471" s="46" t="str">
        <f ca="1">VLOOKUP($C471,OFFSET(enemy_skills!$A$1,0,0,COUNTA(enemy_skills!$A:$A),MATCH(D$1,enemy_skills!$1:$1,0)-MATCH("enemy_skill_id",enemy_skills!$1:$1,0)+1),MATCH(D$1,enemy_skills!$1:$1,0)-MATCH("enemy_skill_id",enemy_skills!$1:$1,0)+1,FALSE)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71" s="46" t="str">
        <f ca="1">VLOOKUP($C471,OFFSET(enemy_skills!$A$1,0,0,COUNTA(enemy_skills!$A:$A),MATCH(E$1,enemy_skills!$1:$1,0)-MATCH("enemy_skill_id",enemy_skills!$1:$1,0)+1),MATCH(E$1,enemy_skills!$1:$1,0)-MATCH("enemy_skill_id",enemy_skills!$1:$1,0)+1,FALSE)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1" s="47">
        <v>39009249</v>
      </c>
      <c r="G471" s="48">
        <f ca="1">VLOOKUP($F471,OFFSET(enemy_skill_triggers!$A$1,0,0,COUNTA(enemy_skill_triggers!$A:$A),MATCH(G$1,enemy_skill_triggers!$1:$1,0)-MATCH($F$1,enemy_skill_triggers!$1:$1,0)+1),MATCH(G$1,enemy_skill_triggers!$1:$1,0)-MATCH($F$1,enemy_skill_triggers!$1:$1,0)+1,FALSE)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1" s="48">
        <f ca="1">VLOOKUP($F471,OFFSET(enemy_skill_triggers!$A$1,0,0,COUNTA(enemy_skill_triggers!$A:$A),MATCH(H$1,enemy_skill_triggers!$1:$1,0)-MATCH($F$1,enemy_skill_triggers!$1:$1,0)+1),MATCH(H$1,enemy_skill_triggers!$1:$1,0)-MATCH($F$1,enemy_skill_triggers!$1:$1,0)+1,FALSE)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471" s="48">
        <f ca="1">VLOOKUP($F471,OFFSET(enemy_skill_triggers!$A$1,0,0,COUNTA(enemy_skill_triggers!$A:$A),MATCH(I$1,enemy_skill_triggers!$1:$1,0)-MATCH($F$1,enemy_skill_triggers!$1:$1,0)+1),MATCH(I$1,enemy_skill_triggers!$1:$1,0)-MATCH($F$1,enemy_skill_triggers!$1:$1,0)+1,FALSE)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1" s="48" t="str">
        <f ca="1">VLOOKUP($F471,OFFSET(enemy_skill_triggers!$A$1,0,0,COUNTA(enemy_skill_triggers!$A:$A),MATCH(J$1,enemy_skill_triggers!$1:$1,0)-MATCH($F$1,enemy_skill_triggers!$1:$1,0)+1),MATCH(J$1,enemy_skill_triggers!$1:$1,0)-MATCH($F$1,enemy_skill_triggers!$1:$1,0)+1,FALSE)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1" s="48" t="str">
        <f ca="1">VLOOKUP($F471,OFFSET(enemy_skill_triggers!$A$1,0,0,COUNTA(enemy_skill_triggers!$A:$A),MATCH(K$1,enemy_skill_triggers!$1:$1,0)-MATCH($F$1,enemy_skill_triggers!$1:$1,0)+1),MATCH(K$1,enemy_skill_triggers!$1:$1,0)-MATCH($F$1,enemy_skill_triggers!$1:$1,0)+1,FALSE)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1" s="48">
        <f ca="1">VLOOKUP($F471,OFFSET(enemy_skill_triggers!$A$1,0,0,COUNTA(enemy_skill_triggers!$A:$A),MATCH(L$1,enemy_skill_triggers!$1:$1,0)-MATCH($F$1,enemy_skill_triggers!$1:$1,0)+1),MATCH(L$1,enemy_skill_triggers!$1:$1,0)-MATCH($F$1,enemy_skill_triggers!$1:$1,0)+1,FALSE)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1" s="48" t="str">
        <f ca="1">VLOOKUP($F471,OFFSET(enemy_skill_triggers!$A$1,0,0,COUNTA(enemy_skill_triggers!$A:$A),MATCH(M$1,enemy_skill_triggers!$1:$1,0)-MATCH($F$1,enemy_skill_triggers!$1:$1,0)+1),MATCH(M$1,enemy_skill_triggers!$1:$1,0)-MATCH($F$1,enemy_skill_triggers!$1:$1,0)+1,FALSE)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1" s="48">
        <f ca="1">VLOOKUP($F471,OFFSET(enemy_skill_triggers!$A$1,0,0,COUNTA(enemy_skill_triggers!$A:$A),MATCH(N$1,enemy_skill_triggers!$1:$1,0)-MATCH($F$1,enemy_skill_triggers!$1:$1,0)+1),MATCH(N$1,enemy_skill_triggers!$1:$1,0)-MATCH($F$1,enemy_skill_triggers!$1:$1,0)+1,FALSE)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471" s="48">
        <f ca="1">VLOOKUP($F471,OFFSET(enemy_skill_triggers!$A$1,0,0,COUNTA(enemy_skill_triggers!$A:$A),MATCH(O$1,enemy_skill_triggers!$1:$1,0)-MATCH($F$1,enemy_skill_triggers!$1:$1,0)+1),MATCH(O$1,enemy_skill_triggers!$1:$1,0)-MATCH($F$1,enemy_skill_triggers!$1:$1,0)+1,FALSE)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1" s="47"/>
      <c r="Q471" s="47"/>
      <c r="R471" s="47"/>
    </row>
    <row r="472" spans="1:18" ht="21" customHeight="1" x14ac:dyDescent="0.15">
      <c r="A472" s="39" t="str">
        <f t="shared" si="22"/>
        <v>39009021_39009074</v>
      </c>
      <c r="B472" s="129">
        <v>39009021</v>
      </c>
      <c r="C472" s="47">
        <v>39009074</v>
      </c>
      <c r="D472" s="46" t="str">
        <f ca="1">VLOOKUP($C472,OFFSET(enemy_skills!$A$1,0,0,COUNTA(enemy_skills!$A:$A),MATCH(D$1,enemy_skills!$1:$1,0)-MATCH("enemy_skill_id",enemy_skills!$1:$1,0)+1),MATCH(D$1,enemy_skills!$1:$1,0)-MATCH("enemy_skill_id",enemy_skills!$1:$1,0)+1,FALSE)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472" s="46" t="str">
        <f ca="1">VLOOKUP($C472,OFFSET(enemy_skills!$A$1,0,0,COUNTA(enemy_skills!$A:$A),MATCH(E$1,enemy_skills!$1:$1,0)-MATCH("enemy_skill_id",enemy_skills!$1:$1,0)+1),MATCH(E$1,enemy_skills!$1:$1,0)-MATCH("enemy_skill_id",enemy_skills!$1:$1,0)+1,FALSE)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2" s="47">
        <v>39009250</v>
      </c>
      <c r="G472" s="48">
        <f ca="1">VLOOKUP($F472,OFFSET(enemy_skill_triggers!$A$1,0,0,COUNTA(enemy_skill_triggers!$A:$A),MATCH(G$1,enemy_skill_triggers!$1:$1,0)-MATCH($F$1,enemy_skill_triggers!$1:$1,0)+1),MATCH(G$1,enemy_skill_triggers!$1:$1,0)-MATCH($F$1,enemy_skill_triggers!$1:$1,0)+1,FALSE)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2" s="48">
        <f ca="1">VLOOKUP($F472,OFFSET(enemy_skill_triggers!$A$1,0,0,COUNTA(enemy_skill_triggers!$A:$A),MATCH(H$1,enemy_skill_triggers!$1:$1,0)-MATCH($F$1,enemy_skill_triggers!$1:$1,0)+1),MATCH(H$1,enemy_skill_triggers!$1:$1,0)-MATCH($F$1,enemy_skill_triggers!$1:$1,0)+1,FALSE)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472" s="48">
        <f ca="1">VLOOKUP($F472,OFFSET(enemy_skill_triggers!$A$1,0,0,COUNTA(enemy_skill_triggers!$A:$A),MATCH(I$1,enemy_skill_triggers!$1:$1,0)-MATCH($F$1,enemy_skill_triggers!$1:$1,0)+1),MATCH(I$1,enemy_skill_triggers!$1:$1,0)-MATCH($F$1,enemy_skill_triggers!$1:$1,0)+1,FALSE)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2" s="48" t="str">
        <f ca="1">VLOOKUP($F472,OFFSET(enemy_skill_triggers!$A$1,0,0,COUNTA(enemy_skill_triggers!$A:$A),MATCH(J$1,enemy_skill_triggers!$1:$1,0)-MATCH($F$1,enemy_skill_triggers!$1:$1,0)+1),MATCH(J$1,enemy_skill_triggers!$1:$1,0)-MATCH($F$1,enemy_skill_triggers!$1:$1,0)+1,FALSE)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2" s="48" t="str">
        <f ca="1">VLOOKUP($F472,OFFSET(enemy_skill_triggers!$A$1,0,0,COUNTA(enemy_skill_triggers!$A:$A),MATCH(K$1,enemy_skill_triggers!$1:$1,0)-MATCH($F$1,enemy_skill_triggers!$1:$1,0)+1),MATCH(K$1,enemy_skill_triggers!$1:$1,0)-MATCH($F$1,enemy_skill_triggers!$1:$1,0)+1,FALSE)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2" s="48">
        <f ca="1">VLOOKUP($F472,OFFSET(enemy_skill_triggers!$A$1,0,0,COUNTA(enemy_skill_triggers!$A:$A),MATCH(L$1,enemy_skill_triggers!$1:$1,0)-MATCH($F$1,enemy_skill_triggers!$1:$1,0)+1),MATCH(L$1,enemy_skill_triggers!$1:$1,0)-MATCH($F$1,enemy_skill_triggers!$1:$1,0)+1,FALSE)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2" s="48" t="str">
        <f ca="1">VLOOKUP($F472,OFFSET(enemy_skill_triggers!$A$1,0,0,COUNTA(enemy_skill_triggers!$A:$A),MATCH(M$1,enemy_skill_triggers!$1:$1,0)-MATCH($F$1,enemy_skill_triggers!$1:$1,0)+1),MATCH(M$1,enemy_skill_triggers!$1:$1,0)-MATCH($F$1,enemy_skill_triggers!$1:$1,0)+1,FALSE)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2" s="48">
        <f ca="1">VLOOKUP($F472,OFFSET(enemy_skill_triggers!$A$1,0,0,COUNTA(enemy_skill_triggers!$A:$A),MATCH(N$1,enemy_skill_triggers!$1:$1,0)-MATCH($F$1,enemy_skill_triggers!$1:$1,0)+1),MATCH(N$1,enemy_skill_triggers!$1:$1,0)-MATCH($F$1,enemy_skill_triggers!$1:$1,0)+1,FALSE)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472" s="48">
        <f ca="1">VLOOKUP($F472,OFFSET(enemy_skill_triggers!$A$1,0,0,COUNTA(enemy_skill_triggers!$A:$A),MATCH(O$1,enemy_skill_triggers!$1:$1,0)-MATCH($F$1,enemy_skill_triggers!$1:$1,0)+1),MATCH(O$1,enemy_skill_triggers!$1:$1,0)-MATCH($F$1,enemy_skill_triggers!$1:$1,0)+1,FALSE)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2" s="47"/>
      <c r="Q472" s="47"/>
      <c r="R472" s="47"/>
    </row>
    <row r="473" spans="1:18" ht="21" customHeight="1" x14ac:dyDescent="0.15">
      <c r="A473" s="39" t="str">
        <f t="shared" si="22"/>
        <v>39009022_39009022</v>
      </c>
      <c r="B473" s="130">
        <v>39009022</v>
      </c>
      <c r="C473" s="142">
        <v>39009022</v>
      </c>
      <c r="D473" s="46" t="str">
        <f ca="1">VLOOKUP($C473,OFFSET(enemy_skills!$A$1,0,0,COUNTA(enemy_skills!$A:$A),MATCH(D$1,enemy_skills!$1:$1,0)-MATCH("enemy_skill_id",enemy_skills!$1:$1,0)+1),MATCH(D$1,enemy_skills!$1:$1,0)-MATCH("enemy_skill_id",enemy_skills!$1:$1,0)+1,FALSE)</f>
        <v>雪まつりへようこそ♪</v>
      </c>
      <c r="E473" s="46" t="str">
        <f ca="1">VLOOKUP($C473,OFFSET(enemy_skills!$A$1,0,0,COUNTA(enemy_skills!$A:$A),MATCH(E$1,enemy_skills!$1:$1,0)-MATCH("enemy_skill_id",enemy_skills!$1:$1,0)+1),MATCH(E$1,enemy_skills!$1:$1,0)-MATCH("enemy_skill_id",enemy_skills!$1:$1,0)+1,FALSE)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473" s="47">
        <v>39009001</v>
      </c>
      <c r="G473" s="48">
        <f ca="1">VLOOKUP($F473,OFFSET(enemy_skill_triggers!$A$1,0,0,COUNTA(enemy_skill_triggers!$A:$A),MATCH(G$1,enemy_skill_triggers!$1:$1,0)-MATCH($F$1,enemy_skill_triggers!$1:$1,0)+1),MATCH(G$1,enemy_skill_triggers!$1:$1,0)-MATCH($F$1,enemy_skill_triggers!$1:$1,0)+1,FALSE)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3" s="48" t="str">
        <f ca="1">VLOOKUP($F473,OFFSET(enemy_skill_triggers!$A$1,0,0,COUNTA(enemy_skill_triggers!$A:$A),MATCH(H$1,enemy_skill_triggers!$1:$1,0)-MATCH($F$1,enemy_skill_triggers!$1:$1,0)+1),MATCH(H$1,enemy_skill_triggers!$1:$1,0)-MATCH($F$1,enemy_skill_triggers!$1:$1,0)+1,FALSE)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3" s="48">
        <f ca="1">VLOOKUP($F473,OFFSET(enemy_skill_triggers!$A$1,0,0,COUNTA(enemy_skill_triggers!$A:$A),MATCH(I$1,enemy_skill_triggers!$1:$1,0)-MATCH($F$1,enemy_skill_triggers!$1:$1,0)+1),MATCH(I$1,enemy_skill_triggers!$1:$1,0)-MATCH($F$1,enemy_skill_triggers!$1:$1,0)+1,FALSE)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3" s="48" t="str">
        <f ca="1">VLOOKUP($F473,OFFSET(enemy_skill_triggers!$A$1,0,0,COUNTA(enemy_skill_triggers!$A:$A),MATCH(J$1,enemy_skill_triggers!$1:$1,0)-MATCH($F$1,enemy_skill_triggers!$1:$1,0)+1),MATCH(J$1,enemy_skill_triggers!$1:$1,0)-MATCH($F$1,enemy_skill_triggers!$1:$1,0)+1,FALSE)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3" s="48" t="str">
        <f ca="1">VLOOKUP($F473,OFFSET(enemy_skill_triggers!$A$1,0,0,COUNTA(enemy_skill_triggers!$A:$A),MATCH(K$1,enemy_skill_triggers!$1:$1,0)-MATCH($F$1,enemy_skill_triggers!$1:$1,0)+1),MATCH(K$1,enemy_skill_triggers!$1:$1,0)-MATCH($F$1,enemy_skill_triggers!$1:$1,0)+1,FALSE)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3" s="48">
        <f ca="1">VLOOKUP($F473,OFFSET(enemy_skill_triggers!$A$1,0,0,COUNTA(enemy_skill_triggers!$A:$A),MATCH(L$1,enemy_skill_triggers!$1:$1,0)-MATCH($F$1,enemy_skill_triggers!$1:$1,0)+1),MATCH(L$1,enemy_skill_triggers!$1:$1,0)-MATCH($F$1,enemy_skill_triggers!$1:$1,0)+1,FALSE)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3" s="48" t="str">
        <f ca="1">VLOOKUP($F473,OFFSET(enemy_skill_triggers!$A$1,0,0,COUNTA(enemy_skill_triggers!$A:$A),MATCH(M$1,enemy_skill_triggers!$1:$1,0)-MATCH($F$1,enemy_skill_triggers!$1:$1,0)+1),MATCH(M$1,enemy_skill_triggers!$1:$1,0)-MATCH($F$1,enemy_skill_triggers!$1:$1,0)+1,FALSE)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3" s="48" t="str">
        <f ca="1">VLOOKUP($F473,OFFSET(enemy_skill_triggers!$A$1,0,0,COUNTA(enemy_skill_triggers!$A:$A),MATCH(N$1,enemy_skill_triggers!$1:$1,0)-MATCH($F$1,enemy_skill_triggers!$1:$1,0)+1),MATCH(N$1,enemy_skill_triggers!$1:$1,0)-MATCH($F$1,enemy_skill_triggers!$1:$1,0)+1,FALSE)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3" s="48">
        <f ca="1">VLOOKUP($F473,OFFSET(enemy_skill_triggers!$A$1,0,0,COUNTA(enemy_skill_triggers!$A:$A),MATCH(O$1,enemy_skill_triggers!$1:$1,0)-MATCH($F$1,enemy_skill_triggers!$1:$1,0)+1),MATCH(O$1,enemy_skill_triggers!$1:$1,0)-MATCH($F$1,enemy_skill_triggers!$1:$1,0)+1,FALSE)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3" s="47"/>
      <c r="Q473" s="47"/>
      <c r="R473" s="47"/>
    </row>
    <row r="474" spans="1:18" ht="21" customHeight="1" x14ac:dyDescent="0.15">
      <c r="A474" s="39" t="str">
        <f t="shared" si="22"/>
        <v>39009022_39009030</v>
      </c>
      <c r="B474" s="130">
        <v>39009022</v>
      </c>
      <c r="C474" s="47">
        <v>39009030</v>
      </c>
      <c r="D474" s="46" t="str">
        <f ca="1">VLOOKUP($C474,OFFSET(enemy_skills!$A$1,0,0,COUNTA(enemy_skills!$A:$A),MATCH(D$1,enemy_skills!$1:$1,0)-MATCH("enemy_skill_id",enemy_skills!$1:$1,0)+1),MATCH(D$1,enemy_skills!$1:$1,0)-MATCH("enemy_skill_id",enemy_skills!$1:$1,0)+1,FALSE)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474" s="46" t="str">
        <f ca="1">VLOOKUP($C474,OFFSET(enemy_skills!$A$1,0,0,COUNTA(enemy_skills!$A:$A),MATCH(E$1,enemy_skills!$1:$1,0)-MATCH("enemy_skill_id",enemy_skills!$1:$1,0)+1),MATCH(E$1,enemy_skills!$1:$1,0)-MATCH("enemy_skill_id",enemy_skills!$1:$1,0)+1,FALSE)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74" s="47">
        <v>39009002</v>
      </c>
      <c r="G474" s="48">
        <f ca="1">VLOOKUP($F474,OFFSET(enemy_skill_triggers!$A$1,0,0,COUNTA(enemy_skill_triggers!$A:$A),MATCH(G$1,enemy_skill_triggers!$1:$1,0)-MATCH($F$1,enemy_skill_triggers!$1:$1,0)+1),MATCH(G$1,enemy_skill_triggers!$1:$1,0)-MATCH($F$1,enemy_skill_triggers!$1:$1,0)+1,FALSE)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4" s="48">
        <f ca="1">VLOOKUP($F474,OFFSET(enemy_skill_triggers!$A$1,0,0,COUNTA(enemy_skill_triggers!$A:$A),MATCH(H$1,enemy_skill_triggers!$1:$1,0)-MATCH($F$1,enemy_skill_triggers!$1:$1,0)+1),MATCH(H$1,enemy_skill_triggers!$1:$1,0)-MATCH($F$1,enemy_skill_triggers!$1:$1,0)+1,FALSE)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4" s="48">
        <f ca="1">VLOOKUP($F474,OFFSET(enemy_skill_triggers!$A$1,0,0,COUNTA(enemy_skill_triggers!$A:$A),MATCH(I$1,enemy_skill_triggers!$1:$1,0)-MATCH($F$1,enemy_skill_triggers!$1:$1,0)+1),MATCH(I$1,enemy_skill_triggers!$1:$1,0)-MATCH($F$1,enemy_skill_triggers!$1:$1,0)+1,FALSE)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4" s="48" t="str">
        <f ca="1">VLOOKUP($F474,OFFSET(enemy_skill_triggers!$A$1,0,0,COUNTA(enemy_skill_triggers!$A:$A),MATCH(J$1,enemy_skill_triggers!$1:$1,0)-MATCH($F$1,enemy_skill_triggers!$1:$1,0)+1),MATCH(J$1,enemy_skill_triggers!$1:$1,0)-MATCH($F$1,enemy_skill_triggers!$1:$1,0)+1,FALSE)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4" s="48" t="str">
        <f ca="1">VLOOKUP($F474,OFFSET(enemy_skill_triggers!$A$1,0,0,COUNTA(enemy_skill_triggers!$A:$A),MATCH(K$1,enemy_skill_triggers!$1:$1,0)-MATCH($F$1,enemy_skill_triggers!$1:$1,0)+1),MATCH(K$1,enemy_skill_triggers!$1:$1,0)-MATCH($F$1,enemy_skill_triggers!$1:$1,0)+1,FALSE)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4" s="48" t="str">
        <f ca="1">VLOOKUP($F474,OFFSET(enemy_skill_triggers!$A$1,0,0,COUNTA(enemy_skill_triggers!$A:$A),MATCH(L$1,enemy_skill_triggers!$1:$1,0)-MATCH($F$1,enemy_skill_triggers!$1:$1,0)+1),MATCH(L$1,enemy_skill_triggers!$1:$1,0)-MATCH($F$1,enemy_skill_triggers!$1:$1,0)+1,FALSE)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4" s="48" t="str">
        <f ca="1">VLOOKUP($F474,OFFSET(enemy_skill_triggers!$A$1,0,0,COUNTA(enemy_skill_triggers!$A:$A),MATCH(M$1,enemy_skill_triggers!$1:$1,0)-MATCH($F$1,enemy_skill_triggers!$1:$1,0)+1),MATCH(M$1,enemy_skill_triggers!$1:$1,0)-MATCH($F$1,enemy_skill_triggers!$1:$1,0)+1,FALSE)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4" s="48" t="str">
        <f ca="1">VLOOKUP($F474,OFFSET(enemy_skill_triggers!$A$1,0,0,COUNTA(enemy_skill_triggers!$A:$A),MATCH(N$1,enemy_skill_triggers!$1:$1,0)-MATCH($F$1,enemy_skill_triggers!$1:$1,0)+1),MATCH(N$1,enemy_skill_triggers!$1:$1,0)-MATCH($F$1,enemy_skill_triggers!$1:$1,0)+1,FALSE)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4" s="48">
        <f ca="1">VLOOKUP($F474,OFFSET(enemy_skill_triggers!$A$1,0,0,COUNTA(enemy_skill_triggers!$A:$A),MATCH(O$1,enemy_skill_triggers!$1:$1,0)-MATCH($F$1,enemy_skill_triggers!$1:$1,0)+1),MATCH(O$1,enemy_skill_triggers!$1:$1,0)-MATCH($F$1,enemy_skill_triggers!$1:$1,0)+1,FALSE)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4" s="47"/>
      <c r="Q474" s="47"/>
      <c r="R474" s="47"/>
    </row>
    <row r="475" spans="1:18" ht="21" customHeight="1" x14ac:dyDescent="0.15">
      <c r="A475" s="39" t="str">
        <f t="shared" si="22"/>
        <v>39009022_39009031</v>
      </c>
      <c r="B475" s="130">
        <v>39009022</v>
      </c>
      <c r="C475" s="47">
        <v>39009031</v>
      </c>
      <c r="D475" s="46" t="str">
        <f ca="1">VLOOKUP($C475,OFFSET(enemy_skills!$A$1,0,0,COUNTA(enemy_skills!$A:$A),MATCH(D$1,enemy_skills!$1:$1,0)-MATCH("enemy_skill_id",enemy_skills!$1:$1,0)+1),MATCH(D$1,enemy_skills!$1:$1,0)-MATCH("enemy_skill_id",enemy_skills!$1:$1,0)+1,FALSE)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475" s="46" t="str">
        <f ca="1">VLOOKUP($C475,OFFSET(enemy_skills!$A$1,0,0,COUNTA(enemy_skills!$A:$A),MATCH(E$1,enemy_skills!$1:$1,0)-MATCH("enemy_skill_id",enemy_skills!$1:$1,0)+1),MATCH(E$1,enemy_skills!$1:$1,0)-MATCH("enemy_skill_id",enemy_skills!$1:$1,0)+1,FALSE)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475" s="47">
        <v>39009003</v>
      </c>
      <c r="G475" s="48">
        <f ca="1">VLOOKUP($F475,OFFSET(enemy_skill_triggers!$A$1,0,0,COUNTA(enemy_skill_triggers!$A:$A),MATCH(G$1,enemy_skill_triggers!$1:$1,0)-MATCH($F$1,enemy_skill_triggers!$1:$1,0)+1),MATCH(G$1,enemy_skill_triggers!$1:$1,0)-MATCH($F$1,enemy_skill_triggers!$1:$1,0)+1,FALSE)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5" s="48">
        <f ca="1">VLOOKUP($F475,OFFSET(enemy_skill_triggers!$A$1,0,0,COUNTA(enemy_skill_triggers!$A:$A),MATCH(H$1,enemy_skill_triggers!$1:$1,0)-MATCH($F$1,enemy_skill_triggers!$1:$1,0)+1),MATCH(H$1,enemy_skill_triggers!$1:$1,0)-MATCH($F$1,enemy_skill_triggers!$1:$1,0)+1,FALSE)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5" s="48">
        <f ca="1">VLOOKUP($F475,OFFSET(enemy_skill_triggers!$A$1,0,0,COUNTA(enemy_skill_triggers!$A:$A),MATCH(I$1,enemy_skill_triggers!$1:$1,0)-MATCH($F$1,enemy_skill_triggers!$1:$1,0)+1),MATCH(I$1,enemy_skill_triggers!$1:$1,0)-MATCH($F$1,enemy_skill_triggers!$1:$1,0)+1,FALSE)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5" s="48" t="str">
        <f ca="1">VLOOKUP($F475,OFFSET(enemy_skill_triggers!$A$1,0,0,COUNTA(enemy_skill_triggers!$A:$A),MATCH(J$1,enemy_skill_triggers!$1:$1,0)-MATCH($F$1,enemy_skill_triggers!$1:$1,0)+1),MATCH(J$1,enemy_skill_triggers!$1:$1,0)-MATCH($F$1,enemy_skill_triggers!$1:$1,0)+1,FALSE)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5" s="48" t="str">
        <f ca="1">VLOOKUP($F475,OFFSET(enemy_skill_triggers!$A$1,0,0,COUNTA(enemy_skill_triggers!$A:$A),MATCH(K$1,enemy_skill_triggers!$1:$1,0)-MATCH($F$1,enemy_skill_triggers!$1:$1,0)+1),MATCH(K$1,enemy_skill_triggers!$1:$1,0)-MATCH($F$1,enemy_skill_triggers!$1:$1,0)+1,FALSE)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5" s="48">
        <f ca="1">VLOOKUP($F475,OFFSET(enemy_skill_triggers!$A$1,0,0,COUNTA(enemy_skill_triggers!$A:$A),MATCH(L$1,enemy_skill_triggers!$1:$1,0)-MATCH($F$1,enemy_skill_triggers!$1:$1,0)+1),MATCH(L$1,enemy_skill_triggers!$1:$1,0)-MATCH($F$1,enemy_skill_triggers!$1:$1,0)+1,FALSE)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75" s="48" t="str">
        <f ca="1">VLOOKUP($F475,OFFSET(enemy_skill_triggers!$A$1,0,0,COUNTA(enemy_skill_triggers!$A:$A),MATCH(M$1,enemy_skill_triggers!$1:$1,0)-MATCH($F$1,enemy_skill_triggers!$1:$1,0)+1),MATCH(M$1,enemy_skill_triggers!$1:$1,0)-MATCH($F$1,enemy_skill_triggers!$1:$1,0)+1,FALSE)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5" s="48" t="str">
        <f ca="1">VLOOKUP($F475,OFFSET(enemy_skill_triggers!$A$1,0,0,COUNTA(enemy_skill_triggers!$A:$A),MATCH(N$1,enemy_skill_triggers!$1:$1,0)-MATCH($F$1,enemy_skill_triggers!$1:$1,0)+1),MATCH(N$1,enemy_skill_triggers!$1:$1,0)-MATCH($F$1,enemy_skill_triggers!$1:$1,0)+1,FALSE)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5" s="48">
        <f ca="1">VLOOKUP($F475,OFFSET(enemy_skill_triggers!$A$1,0,0,COUNTA(enemy_skill_triggers!$A:$A),MATCH(O$1,enemy_skill_triggers!$1:$1,0)-MATCH($F$1,enemy_skill_triggers!$1:$1,0)+1),MATCH(O$1,enemy_skill_triggers!$1:$1,0)-MATCH($F$1,enemy_skill_triggers!$1:$1,0)+1,FALSE)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5" s="47"/>
      <c r="Q475" s="47"/>
      <c r="R475" s="47"/>
    </row>
    <row r="476" spans="1:18" ht="21" customHeight="1" x14ac:dyDescent="0.15">
      <c r="A476" s="39" t="str">
        <f t="shared" si="22"/>
        <v>39009022_39009032</v>
      </c>
      <c r="B476" s="130">
        <v>39009022</v>
      </c>
      <c r="C476" s="47">
        <v>39009032</v>
      </c>
      <c r="D476" s="46" t="str">
        <f ca="1">VLOOKUP($C476,OFFSET(enemy_skills!$A$1,0,0,COUNTA(enemy_skills!$A:$A),MATCH(D$1,enemy_skills!$1:$1,0)-MATCH("enemy_skill_id",enemy_skills!$1:$1,0)+1),MATCH(D$1,enemy_skills!$1:$1,0)-MATCH("enemy_skill_id",enemy_skills!$1:$1,0)+1,FALSE)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476" s="46" t="str">
        <f ca="1">VLOOKUP($C476,OFFSET(enemy_skills!$A$1,0,0,COUNTA(enemy_skills!$A:$A),MATCH(E$1,enemy_skills!$1:$1,0)-MATCH("enemy_skill_id",enemy_skills!$1:$1,0)+1),MATCH(E$1,enemy_skills!$1:$1,0)-MATCH("enemy_skill_id",enemy_skills!$1:$1,0)+1,FALSE)</f>
        <v>自己回復+全体攻撃</v>
      </c>
      <c r="F476" s="47">
        <v>39009004</v>
      </c>
      <c r="G476" s="48">
        <f ca="1">VLOOKUP($F476,OFFSET(enemy_skill_triggers!$A$1,0,0,COUNTA(enemy_skill_triggers!$A:$A),MATCH(G$1,enemy_skill_triggers!$1:$1,0)-MATCH($F$1,enemy_skill_triggers!$1:$1,0)+1),MATCH(G$1,enemy_skill_triggers!$1:$1,0)-MATCH($F$1,enemy_skill_triggers!$1:$1,0)+1,FALSE)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6" s="48">
        <f ca="1">VLOOKUP($F476,OFFSET(enemy_skill_triggers!$A$1,0,0,COUNTA(enemy_skill_triggers!$A:$A),MATCH(H$1,enemy_skill_triggers!$1:$1,0)-MATCH($F$1,enemy_skill_triggers!$1:$1,0)+1),MATCH(H$1,enemy_skill_triggers!$1:$1,0)-MATCH($F$1,enemy_skill_triggers!$1:$1,0)+1,FALSE)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76" s="48">
        <f ca="1">VLOOKUP($F476,OFFSET(enemy_skill_triggers!$A$1,0,0,COUNTA(enemy_skill_triggers!$A:$A),MATCH(I$1,enemy_skill_triggers!$1:$1,0)-MATCH($F$1,enemy_skill_triggers!$1:$1,0)+1),MATCH(I$1,enemy_skill_triggers!$1:$1,0)-MATCH($F$1,enemy_skill_triggers!$1:$1,0)+1,FALSE)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6" s="48" t="str">
        <f ca="1">VLOOKUP($F476,OFFSET(enemy_skill_triggers!$A$1,0,0,COUNTA(enemy_skill_triggers!$A:$A),MATCH(J$1,enemy_skill_triggers!$1:$1,0)-MATCH($F$1,enemy_skill_triggers!$1:$1,0)+1),MATCH(J$1,enemy_skill_triggers!$1:$1,0)-MATCH($F$1,enemy_skill_triggers!$1:$1,0)+1,FALSE)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6" s="48" t="str">
        <f ca="1">VLOOKUP($F476,OFFSET(enemy_skill_triggers!$A$1,0,0,COUNTA(enemy_skill_triggers!$A:$A),MATCH(K$1,enemy_skill_triggers!$1:$1,0)-MATCH($F$1,enemy_skill_triggers!$1:$1,0)+1),MATCH(K$1,enemy_skill_triggers!$1:$1,0)-MATCH($F$1,enemy_skill_triggers!$1:$1,0)+1,FALSE)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6" s="48">
        <f ca="1">VLOOKUP($F476,OFFSET(enemy_skill_triggers!$A$1,0,0,COUNTA(enemy_skill_triggers!$A:$A),MATCH(L$1,enemy_skill_triggers!$1:$1,0)-MATCH($F$1,enemy_skill_triggers!$1:$1,0)+1),MATCH(L$1,enemy_skill_triggers!$1:$1,0)-MATCH($F$1,enemy_skill_triggers!$1:$1,0)+1,FALSE)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6" s="48" t="str">
        <f ca="1">VLOOKUP($F476,OFFSET(enemy_skill_triggers!$A$1,0,0,COUNTA(enemy_skill_triggers!$A:$A),MATCH(M$1,enemy_skill_triggers!$1:$1,0)-MATCH($F$1,enemy_skill_triggers!$1:$1,0)+1),MATCH(M$1,enemy_skill_triggers!$1:$1,0)-MATCH($F$1,enemy_skill_triggers!$1:$1,0)+1,FALSE)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6" s="48" t="str">
        <f ca="1">VLOOKUP($F476,OFFSET(enemy_skill_triggers!$A$1,0,0,COUNTA(enemy_skill_triggers!$A:$A),MATCH(N$1,enemy_skill_triggers!$1:$1,0)-MATCH($F$1,enemy_skill_triggers!$1:$1,0)+1),MATCH(N$1,enemy_skill_triggers!$1:$1,0)-MATCH($F$1,enemy_skill_triggers!$1:$1,0)+1,FALSE)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6" s="48">
        <f ca="1">VLOOKUP($F476,OFFSET(enemy_skill_triggers!$A$1,0,0,COUNTA(enemy_skill_triggers!$A:$A),MATCH(O$1,enemy_skill_triggers!$1:$1,0)-MATCH($F$1,enemy_skill_triggers!$1:$1,0)+1),MATCH(O$1,enemy_skill_triggers!$1:$1,0)-MATCH($F$1,enemy_skill_triggers!$1:$1,0)+1,FALSE)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6" s="47"/>
      <c r="Q476" s="47"/>
      <c r="R476" s="47"/>
    </row>
    <row r="477" spans="1:18" ht="21" customHeight="1" x14ac:dyDescent="0.15">
      <c r="A477" s="39" t="str">
        <f t="shared" si="22"/>
        <v>39009022_39009033</v>
      </c>
      <c r="B477" s="130">
        <v>39009022</v>
      </c>
      <c r="C477" s="47">
        <v>39009033</v>
      </c>
      <c r="D477" s="46" t="str">
        <f ca="1">VLOOKUP($C477,OFFSET(enemy_skills!$A$1,0,0,COUNTA(enemy_skills!$A:$A),MATCH(D$1,enemy_skills!$1:$1,0)-MATCH("enemy_skill_id",enemy_skills!$1:$1,0)+1),MATCH(D$1,enemy_skills!$1:$1,0)-MATCH("enemy_skill_id",enemy_skills!$1:$1,0)+1,FALSE)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477" s="46" t="str">
        <f ca="1">VLOOKUP($C477,OFFSET(enemy_skills!$A$1,0,0,COUNTA(enemy_skills!$A:$A),MATCH(E$1,enemy_skills!$1:$1,0)-MATCH("enemy_skill_id",enemy_skills!$1:$1,0)+1),MATCH(E$1,enemy_skills!$1:$1,0)-MATCH("enemy_skill_id",enemy_skills!$1:$1,0)+1,FALSE)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77" s="47">
        <v>39009005</v>
      </c>
      <c r="G477" s="48">
        <f ca="1">VLOOKUP($F477,OFFSET(enemy_skill_triggers!$A$1,0,0,COUNTA(enemy_skill_triggers!$A:$A),MATCH(G$1,enemy_skill_triggers!$1:$1,0)-MATCH($F$1,enemy_skill_triggers!$1:$1,0)+1),MATCH(G$1,enemy_skill_triggers!$1:$1,0)-MATCH($F$1,enemy_skill_triggers!$1:$1,0)+1,FALSE)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7" s="48">
        <f ca="1">VLOOKUP($F477,OFFSET(enemy_skill_triggers!$A$1,0,0,COUNTA(enemy_skill_triggers!$A:$A),MATCH(H$1,enemy_skill_triggers!$1:$1,0)-MATCH($F$1,enemy_skill_triggers!$1:$1,0)+1),MATCH(H$1,enemy_skill_triggers!$1:$1,0)-MATCH($F$1,enemy_skill_triggers!$1:$1,0)+1,FALSE)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77" s="48">
        <f ca="1">VLOOKUP($F477,OFFSET(enemy_skill_triggers!$A$1,0,0,COUNTA(enemy_skill_triggers!$A:$A),MATCH(I$1,enemy_skill_triggers!$1:$1,0)-MATCH($F$1,enemy_skill_triggers!$1:$1,0)+1),MATCH(I$1,enemy_skill_triggers!$1:$1,0)-MATCH($F$1,enemy_skill_triggers!$1:$1,0)+1,FALSE)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7" s="48">
        <f ca="1">VLOOKUP($F477,OFFSET(enemy_skill_triggers!$A$1,0,0,COUNTA(enemy_skill_triggers!$A:$A),MATCH(J$1,enemy_skill_triggers!$1:$1,0)-MATCH($F$1,enemy_skill_triggers!$1:$1,0)+1),MATCH(J$1,enemy_skill_triggers!$1:$1,0)-MATCH($F$1,enemy_skill_triggers!$1:$1,0)+1,FALSE)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7" s="48" t="str">
        <f ca="1">VLOOKUP($F477,OFFSET(enemy_skill_triggers!$A$1,0,0,COUNTA(enemy_skill_triggers!$A:$A),MATCH(K$1,enemy_skill_triggers!$1:$1,0)-MATCH($F$1,enemy_skill_triggers!$1:$1,0)+1),MATCH(K$1,enemy_skill_triggers!$1:$1,0)-MATCH($F$1,enemy_skill_triggers!$1:$1,0)+1,FALSE)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7" s="48">
        <f ca="1">VLOOKUP($F477,OFFSET(enemy_skill_triggers!$A$1,0,0,COUNTA(enemy_skill_triggers!$A:$A),MATCH(L$1,enemy_skill_triggers!$1:$1,0)-MATCH($F$1,enemy_skill_triggers!$1:$1,0)+1),MATCH(L$1,enemy_skill_triggers!$1:$1,0)-MATCH($F$1,enemy_skill_triggers!$1:$1,0)+1,FALSE)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7" s="48" t="str">
        <f ca="1">VLOOKUP($F477,OFFSET(enemy_skill_triggers!$A$1,0,0,COUNTA(enemy_skill_triggers!$A:$A),MATCH(M$1,enemy_skill_triggers!$1:$1,0)-MATCH($F$1,enemy_skill_triggers!$1:$1,0)+1),MATCH(M$1,enemy_skill_triggers!$1:$1,0)-MATCH($F$1,enemy_skill_triggers!$1:$1,0)+1,FALSE)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7" s="48" t="str">
        <f ca="1">VLOOKUP($F477,OFFSET(enemy_skill_triggers!$A$1,0,0,COUNTA(enemy_skill_triggers!$A:$A),MATCH(N$1,enemy_skill_triggers!$1:$1,0)-MATCH($F$1,enemy_skill_triggers!$1:$1,0)+1),MATCH(N$1,enemy_skill_triggers!$1:$1,0)-MATCH($F$1,enemy_skill_triggers!$1:$1,0)+1,FALSE)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7" s="48">
        <f ca="1">VLOOKUP($F477,OFFSET(enemy_skill_triggers!$A$1,0,0,COUNTA(enemy_skill_triggers!$A:$A),MATCH(O$1,enemy_skill_triggers!$1:$1,0)-MATCH($F$1,enemy_skill_triggers!$1:$1,0)+1),MATCH(O$1,enemy_skill_triggers!$1:$1,0)-MATCH($F$1,enemy_skill_triggers!$1:$1,0)+1,FALSE)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7" s="47"/>
      <c r="Q477" s="47"/>
      <c r="R477" s="47"/>
    </row>
    <row r="478" spans="1:18" ht="21" customHeight="1" x14ac:dyDescent="0.15">
      <c r="A478" s="39" t="str">
        <f t="shared" si="22"/>
        <v>39009022_39009023</v>
      </c>
      <c r="B478" s="130">
        <v>39009022</v>
      </c>
      <c r="C478" s="142">
        <v>39009023</v>
      </c>
      <c r="D478" s="46" t="str">
        <f ca="1">VLOOKUP($C478,OFFSET(enemy_skills!$A$1,0,0,COUNTA(enemy_skills!$A:$A),MATCH(D$1,enemy_skills!$1:$1,0)-MATCH("enemy_skill_id",enemy_skills!$1:$1,0)+1),MATCH(D$1,enemy_skills!$1:$1,0)-MATCH("enemy_skill_id",enemy_skills!$1:$1,0)+1,FALSE)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478" s="46" t="str">
        <f ca="1">VLOOKUP($C478,OFFSET(enemy_skills!$A$1,0,0,COUNTA(enemy_skills!$A:$A),MATCH(E$1,enemy_skills!$1:$1,0)-MATCH("enemy_skill_id",enemy_skills!$1:$1,0)+1),MATCH(E$1,enemy_skills!$1:$1,0)-MATCH("enemy_skill_id",enemy_skills!$1:$1,0)+1,FALSE)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478" s="47">
        <v>39009006</v>
      </c>
      <c r="G478" s="48">
        <f ca="1">VLOOKUP($F478,OFFSET(enemy_skill_triggers!$A$1,0,0,COUNTA(enemy_skill_triggers!$A:$A),MATCH(G$1,enemy_skill_triggers!$1:$1,0)-MATCH($F$1,enemy_skill_triggers!$1:$1,0)+1),MATCH(G$1,enemy_skill_triggers!$1:$1,0)-MATCH($F$1,enemy_skill_triggers!$1:$1,0)+1,FALSE)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8" s="48">
        <f ca="1">VLOOKUP($F478,OFFSET(enemy_skill_triggers!$A$1,0,0,COUNTA(enemy_skill_triggers!$A:$A),MATCH(H$1,enemy_skill_triggers!$1:$1,0)-MATCH($F$1,enemy_skill_triggers!$1:$1,0)+1),MATCH(H$1,enemy_skill_triggers!$1:$1,0)-MATCH($F$1,enemy_skill_triggers!$1:$1,0)+1,FALSE)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78" s="48">
        <f ca="1">VLOOKUP($F478,OFFSET(enemy_skill_triggers!$A$1,0,0,COUNTA(enemy_skill_triggers!$A:$A),MATCH(I$1,enemy_skill_triggers!$1:$1,0)-MATCH($F$1,enemy_skill_triggers!$1:$1,0)+1),MATCH(I$1,enemy_skill_triggers!$1:$1,0)-MATCH($F$1,enemy_skill_triggers!$1:$1,0)+1,FALSE)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8" s="48">
        <f ca="1">VLOOKUP($F478,OFFSET(enemy_skill_triggers!$A$1,0,0,COUNTA(enemy_skill_triggers!$A:$A),MATCH(J$1,enemy_skill_triggers!$1:$1,0)-MATCH($F$1,enemy_skill_triggers!$1:$1,0)+1),MATCH(J$1,enemy_skill_triggers!$1:$1,0)-MATCH($F$1,enemy_skill_triggers!$1:$1,0)+1,FALSE)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8" s="48" t="str">
        <f ca="1">VLOOKUP($F478,OFFSET(enemy_skill_triggers!$A$1,0,0,COUNTA(enemy_skill_triggers!$A:$A),MATCH(K$1,enemy_skill_triggers!$1:$1,0)-MATCH($F$1,enemy_skill_triggers!$1:$1,0)+1),MATCH(K$1,enemy_skill_triggers!$1:$1,0)-MATCH($F$1,enemy_skill_triggers!$1:$1,0)+1,FALSE)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8" s="48">
        <f ca="1">VLOOKUP($F478,OFFSET(enemy_skill_triggers!$A$1,0,0,COUNTA(enemy_skill_triggers!$A:$A),MATCH(L$1,enemy_skill_triggers!$1:$1,0)-MATCH($F$1,enemy_skill_triggers!$1:$1,0)+1),MATCH(L$1,enemy_skill_triggers!$1:$1,0)-MATCH($F$1,enemy_skill_triggers!$1:$1,0)+1,FALSE)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8" s="48" t="str">
        <f ca="1">VLOOKUP($F478,OFFSET(enemy_skill_triggers!$A$1,0,0,COUNTA(enemy_skill_triggers!$A:$A),MATCH(M$1,enemy_skill_triggers!$1:$1,0)-MATCH($F$1,enemy_skill_triggers!$1:$1,0)+1),MATCH(M$1,enemy_skill_triggers!$1:$1,0)-MATCH($F$1,enemy_skill_triggers!$1:$1,0)+1,FALSE)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8" s="48" t="str">
        <f ca="1">VLOOKUP($F478,OFFSET(enemy_skill_triggers!$A$1,0,0,COUNTA(enemy_skill_triggers!$A:$A),MATCH(N$1,enemy_skill_triggers!$1:$1,0)-MATCH($F$1,enemy_skill_triggers!$1:$1,0)+1),MATCH(N$1,enemy_skill_triggers!$1:$1,0)-MATCH($F$1,enemy_skill_triggers!$1:$1,0)+1,FALSE)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8" s="48">
        <f ca="1">VLOOKUP($F478,OFFSET(enemy_skill_triggers!$A$1,0,0,COUNTA(enemy_skill_triggers!$A:$A),MATCH(O$1,enemy_skill_triggers!$1:$1,0)-MATCH($F$1,enemy_skill_triggers!$1:$1,0)+1),MATCH(O$1,enemy_skill_triggers!$1:$1,0)-MATCH($F$1,enemy_skill_triggers!$1:$1,0)+1,FALSE)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8" s="47"/>
      <c r="Q478" s="47"/>
      <c r="R478" s="47"/>
    </row>
    <row r="479" spans="1:18" ht="21" customHeight="1" x14ac:dyDescent="0.15">
      <c r="A479" s="39" t="str">
        <f t="shared" si="22"/>
        <v>39009022_39009035</v>
      </c>
      <c r="B479" s="130">
        <v>39009022</v>
      </c>
      <c r="C479" s="47">
        <v>39009035</v>
      </c>
      <c r="D479" s="46" t="str">
        <f ca="1">VLOOKUP($C479,OFFSET(enemy_skills!$A$1,0,0,COUNTA(enemy_skills!$A:$A),MATCH(D$1,enemy_skills!$1:$1,0)-MATCH("enemy_skill_id",enemy_skills!$1:$1,0)+1),MATCH(D$1,enemy_skills!$1:$1,0)-MATCH("enemy_skill_id",enemy_skills!$1:$1,0)+1,FALSE)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479" s="46" t="str">
        <f ca="1">VLOOKUP($C479,OFFSET(enemy_skills!$A$1,0,0,COUNTA(enemy_skills!$A:$A),MATCH(E$1,enemy_skills!$1:$1,0)-MATCH("enemy_skill_id",enemy_skills!$1:$1,0)+1),MATCH(E$1,enemy_skills!$1:$1,0)-MATCH("enemy_skill_id",enemy_skills!$1:$1,0)+1,FALSE)</f>
        <v>自己回復</v>
      </c>
      <c r="F479" s="47">
        <v>39009007</v>
      </c>
      <c r="G479" s="48">
        <f ca="1">VLOOKUP($F479,OFFSET(enemy_skill_triggers!$A$1,0,0,COUNTA(enemy_skill_triggers!$A:$A),MATCH(G$1,enemy_skill_triggers!$1:$1,0)-MATCH($F$1,enemy_skill_triggers!$1:$1,0)+1),MATCH(G$1,enemy_skill_triggers!$1:$1,0)-MATCH($F$1,enemy_skill_triggers!$1:$1,0)+1,FALSE)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9" s="48">
        <f ca="1">VLOOKUP($F479,OFFSET(enemy_skill_triggers!$A$1,0,0,COUNTA(enemy_skill_triggers!$A:$A),MATCH(H$1,enemy_skill_triggers!$1:$1,0)-MATCH($F$1,enemy_skill_triggers!$1:$1,0)+1),MATCH(H$1,enemy_skill_triggers!$1:$1,0)-MATCH($F$1,enemy_skill_triggers!$1:$1,0)+1,FALSE)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79" s="48">
        <f ca="1">VLOOKUP($F479,OFFSET(enemy_skill_triggers!$A$1,0,0,COUNTA(enemy_skill_triggers!$A:$A),MATCH(I$1,enemy_skill_triggers!$1:$1,0)-MATCH($F$1,enemy_skill_triggers!$1:$1,0)+1),MATCH(I$1,enemy_skill_triggers!$1:$1,0)-MATCH($F$1,enemy_skill_triggers!$1:$1,0)+1,FALSE)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79" s="48">
        <f ca="1">VLOOKUP($F479,OFFSET(enemy_skill_triggers!$A$1,0,0,COUNTA(enemy_skill_triggers!$A:$A),MATCH(J$1,enemy_skill_triggers!$1:$1,0)-MATCH($F$1,enemy_skill_triggers!$1:$1,0)+1),MATCH(J$1,enemy_skill_triggers!$1:$1,0)-MATCH($F$1,enemy_skill_triggers!$1:$1,0)+1,FALSE)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9" s="48" t="str">
        <f ca="1">VLOOKUP($F479,OFFSET(enemy_skill_triggers!$A$1,0,0,COUNTA(enemy_skill_triggers!$A:$A),MATCH(K$1,enemy_skill_triggers!$1:$1,0)-MATCH($F$1,enemy_skill_triggers!$1:$1,0)+1),MATCH(K$1,enemy_skill_triggers!$1:$1,0)-MATCH($F$1,enemy_skill_triggers!$1:$1,0)+1,FALSE)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9" s="48">
        <f ca="1">VLOOKUP($F479,OFFSET(enemy_skill_triggers!$A$1,0,0,COUNTA(enemy_skill_triggers!$A:$A),MATCH(L$1,enemy_skill_triggers!$1:$1,0)-MATCH($F$1,enemy_skill_triggers!$1:$1,0)+1),MATCH(L$1,enemy_skill_triggers!$1:$1,0)-MATCH($F$1,enemy_skill_triggers!$1:$1,0)+1,FALSE)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9" s="48" t="str">
        <f ca="1">VLOOKUP($F479,OFFSET(enemy_skill_triggers!$A$1,0,0,COUNTA(enemy_skill_triggers!$A:$A),MATCH(M$1,enemy_skill_triggers!$1:$1,0)-MATCH($F$1,enemy_skill_triggers!$1:$1,0)+1),MATCH(M$1,enemy_skill_triggers!$1:$1,0)-MATCH($F$1,enemy_skill_triggers!$1:$1,0)+1,FALSE)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9" s="48" t="str">
        <f ca="1">VLOOKUP($F479,OFFSET(enemy_skill_triggers!$A$1,0,0,COUNTA(enemy_skill_triggers!$A:$A),MATCH(N$1,enemy_skill_triggers!$1:$1,0)-MATCH($F$1,enemy_skill_triggers!$1:$1,0)+1),MATCH(N$1,enemy_skill_triggers!$1:$1,0)-MATCH($F$1,enemy_skill_triggers!$1:$1,0)+1,FALSE)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9" s="48">
        <f ca="1">VLOOKUP($F479,OFFSET(enemy_skill_triggers!$A$1,0,0,COUNTA(enemy_skill_triggers!$A:$A),MATCH(O$1,enemy_skill_triggers!$1:$1,0)-MATCH($F$1,enemy_skill_triggers!$1:$1,0)+1),MATCH(O$1,enemy_skill_triggers!$1:$1,0)-MATCH($F$1,enemy_skill_triggers!$1:$1,0)+1,FALSE)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79" s="47"/>
      <c r="Q479" s="47"/>
      <c r="R479" s="47"/>
    </row>
    <row r="480" spans="1:18" ht="21" customHeight="1" x14ac:dyDescent="0.15">
      <c r="A480" s="39" t="str">
        <f t="shared" si="22"/>
        <v>39009022_39009036</v>
      </c>
      <c r="B480" s="130">
        <v>39009022</v>
      </c>
      <c r="C480" s="47">
        <v>39009036</v>
      </c>
      <c r="D480" s="46" t="str">
        <f ca="1">VLOOKUP($C480,OFFSET(enemy_skills!$A$1,0,0,COUNTA(enemy_skills!$A:$A),MATCH(D$1,enemy_skills!$1:$1,0)-MATCH("enemy_skill_id",enemy_skills!$1:$1,0)+1),MATCH(D$1,enemy_skills!$1:$1,0)-MATCH("enemy_skill_id",enemy_skills!$1:$1,0)+1,FALSE)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480" s="46" t="str">
        <f ca="1">VLOOKUP($C480,OFFSET(enemy_skills!$A$1,0,0,COUNTA(enemy_skills!$A:$A),MATCH(E$1,enemy_skills!$1:$1,0)-MATCH("enemy_skill_id",enemy_skills!$1:$1,0)+1),MATCH(E$1,enemy_skills!$1:$1,0)-MATCH("enemy_skill_id",enemy_skills!$1:$1,0)+1,FALSE)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480" s="47">
        <v>39009008</v>
      </c>
      <c r="G480" s="48">
        <f ca="1">VLOOKUP($F480,OFFSET(enemy_skill_triggers!$A$1,0,0,COUNTA(enemy_skill_triggers!$A:$A),MATCH(G$1,enemy_skill_triggers!$1:$1,0)-MATCH($F$1,enemy_skill_triggers!$1:$1,0)+1),MATCH(G$1,enemy_skill_triggers!$1:$1,0)-MATCH($F$1,enemy_skill_triggers!$1:$1,0)+1,FALSE)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0" s="48">
        <f ca="1">VLOOKUP($F480,OFFSET(enemy_skill_triggers!$A$1,0,0,COUNTA(enemy_skill_triggers!$A:$A),MATCH(H$1,enemy_skill_triggers!$1:$1,0)-MATCH($F$1,enemy_skill_triggers!$1:$1,0)+1),MATCH(H$1,enemy_skill_triggers!$1:$1,0)-MATCH($F$1,enemy_skill_triggers!$1:$1,0)+1,FALSE)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80" s="48">
        <f ca="1">VLOOKUP($F480,OFFSET(enemy_skill_triggers!$A$1,0,0,COUNTA(enemy_skill_triggers!$A:$A),MATCH(I$1,enemy_skill_triggers!$1:$1,0)-MATCH($F$1,enemy_skill_triggers!$1:$1,0)+1),MATCH(I$1,enemy_skill_triggers!$1:$1,0)-MATCH($F$1,enemy_skill_triggers!$1:$1,0)+1,FALSE)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0" s="48">
        <f ca="1">VLOOKUP($F480,OFFSET(enemy_skill_triggers!$A$1,0,0,COUNTA(enemy_skill_triggers!$A:$A),MATCH(J$1,enemy_skill_triggers!$1:$1,0)-MATCH($F$1,enemy_skill_triggers!$1:$1,0)+1),MATCH(J$1,enemy_skill_triggers!$1:$1,0)-MATCH($F$1,enemy_skill_triggers!$1:$1,0)+1,FALSE)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0" s="48" t="str">
        <f ca="1">VLOOKUP($F480,OFFSET(enemy_skill_triggers!$A$1,0,0,COUNTA(enemy_skill_triggers!$A:$A),MATCH(K$1,enemy_skill_triggers!$1:$1,0)-MATCH($F$1,enemy_skill_triggers!$1:$1,0)+1),MATCH(K$1,enemy_skill_triggers!$1:$1,0)-MATCH($F$1,enemy_skill_triggers!$1:$1,0)+1,FALSE)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0" s="48">
        <f ca="1">VLOOKUP($F480,OFFSET(enemy_skill_triggers!$A$1,0,0,COUNTA(enemy_skill_triggers!$A:$A),MATCH(L$1,enemy_skill_triggers!$1:$1,0)-MATCH($F$1,enemy_skill_triggers!$1:$1,0)+1),MATCH(L$1,enemy_skill_triggers!$1:$1,0)-MATCH($F$1,enemy_skill_triggers!$1:$1,0)+1,FALSE)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0" s="48" t="str">
        <f ca="1">VLOOKUP($F480,OFFSET(enemy_skill_triggers!$A$1,0,0,COUNTA(enemy_skill_triggers!$A:$A),MATCH(M$1,enemy_skill_triggers!$1:$1,0)-MATCH($F$1,enemy_skill_triggers!$1:$1,0)+1),MATCH(M$1,enemy_skill_triggers!$1:$1,0)-MATCH($F$1,enemy_skill_triggers!$1:$1,0)+1,FALSE)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0" s="48" t="str">
        <f ca="1">VLOOKUP($F480,OFFSET(enemy_skill_triggers!$A$1,0,0,COUNTA(enemy_skill_triggers!$A:$A),MATCH(N$1,enemy_skill_triggers!$1:$1,0)-MATCH($F$1,enemy_skill_triggers!$1:$1,0)+1),MATCH(N$1,enemy_skill_triggers!$1:$1,0)-MATCH($F$1,enemy_skill_triggers!$1:$1,0)+1,FALSE)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0" s="48">
        <f ca="1">VLOOKUP($F480,OFFSET(enemy_skill_triggers!$A$1,0,0,COUNTA(enemy_skill_triggers!$A:$A),MATCH(O$1,enemy_skill_triggers!$1:$1,0)-MATCH($F$1,enemy_skill_triggers!$1:$1,0)+1),MATCH(O$1,enemy_skill_triggers!$1:$1,0)-MATCH($F$1,enemy_skill_triggers!$1:$1,0)+1,FALSE)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0" s="47"/>
      <c r="Q480" s="47"/>
      <c r="R480" s="47"/>
    </row>
    <row r="481" spans="1:18" ht="21" customHeight="1" x14ac:dyDescent="0.15">
      <c r="A481" s="39" t="str">
        <f t="shared" si="22"/>
        <v>39009023_39009037</v>
      </c>
      <c r="B481" s="130">
        <v>39009023</v>
      </c>
      <c r="C481" s="127">
        <v>39009037</v>
      </c>
      <c r="D481" s="46" t="str">
        <f ca="1">VLOOKUP($C481,OFFSET(enemy_skills!$A$1,0,0,COUNTA(enemy_skills!$A:$A),MATCH(D$1,enemy_skills!$1:$1,0)-MATCH("enemy_skill_id",enemy_skills!$1:$1,0)+1),MATCH(D$1,enemy_skills!$1:$1,0)-MATCH("enemy_skill_id",enemy_skills!$1:$1,0)+1,FALSE)</f>
        <v>星の輝きのように強く♪</v>
      </c>
      <c r="E481" s="46" t="str">
        <f ca="1">VLOOKUP($C481,OFFSET(enemy_skills!$A$1,0,0,COUNTA(enemy_skills!$A:$A),MATCH(E$1,enemy_skills!$1:$1,0)-MATCH("enemy_skill_id",enemy_skills!$1:$1,0)+1),MATCH(E$1,enemy_skills!$1:$1,0)-MATCH("enemy_skill_id",enemy_skills!$1:$1,0)+1,FALSE)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81" s="127">
        <v>39009009</v>
      </c>
      <c r="G481" s="48">
        <f ca="1">VLOOKUP($F481,OFFSET(enemy_skill_triggers!$A$1,0,0,COUNTA(enemy_skill_triggers!$A:$A),MATCH(G$1,enemy_skill_triggers!$1:$1,0)-MATCH($F$1,enemy_skill_triggers!$1:$1,0)+1),MATCH(G$1,enemy_skill_triggers!$1:$1,0)-MATCH($F$1,enemy_skill_triggers!$1:$1,0)+1,FALSE)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1" s="48" t="str">
        <f ca="1">VLOOKUP($F481,OFFSET(enemy_skill_triggers!$A$1,0,0,COUNTA(enemy_skill_triggers!$A:$A),MATCH(H$1,enemy_skill_triggers!$1:$1,0)-MATCH($F$1,enemy_skill_triggers!$1:$1,0)+1),MATCH(H$1,enemy_skill_triggers!$1:$1,0)-MATCH($F$1,enemy_skill_triggers!$1:$1,0)+1,FALSE)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1" s="48">
        <f ca="1">VLOOKUP($F481,OFFSET(enemy_skill_triggers!$A$1,0,0,COUNTA(enemy_skill_triggers!$A:$A),MATCH(I$1,enemy_skill_triggers!$1:$1,0)-MATCH($F$1,enemy_skill_triggers!$1:$1,0)+1),MATCH(I$1,enemy_skill_triggers!$1:$1,0)-MATCH($F$1,enemy_skill_triggers!$1:$1,0)+1,FALSE)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1" s="48" t="str">
        <f ca="1">VLOOKUP($F481,OFFSET(enemy_skill_triggers!$A$1,0,0,COUNTA(enemy_skill_triggers!$A:$A),MATCH(J$1,enemy_skill_triggers!$1:$1,0)-MATCH($F$1,enemy_skill_triggers!$1:$1,0)+1),MATCH(J$1,enemy_skill_triggers!$1:$1,0)-MATCH($F$1,enemy_skill_triggers!$1:$1,0)+1,FALSE)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1" s="48" t="str">
        <f ca="1">VLOOKUP($F481,OFFSET(enemy_skill_triggers!$A$1,0,0,COUNTA(enemy_skill_triggers!$A:$A),MATCH(K$1,enemy_skill_triggers!$1:$1,0)-MATCH($F$1,enemy_skill_triggers!$1:$1,0)+1),MATCH(K$1,enemy_skill_triggers!$1:$1,0)-MATCH($F$1,enemy_skill_triggers!$1:$1,0)+1,FALSE)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1" s="48">
        <f ca="1">VLOOKUP($F481,OFFSET(enemy_skill_triggers!$A$1,0,0,COUNTA(enemy_skill_triggers!$A:$A),MATCH(L$1,enemy_skill_triggers!$1:$1,0)-MATCH($F$1,enemy_skill_triggers!$1:$1,0)+1),MATCH(L$1,enemy_skill_triggers!$1:$1,0)-MATCH($F$1,enemy_skill_triggers!$1:$1,0)+1,FALSE)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1" s="48" t="str">
        <f ca="1">VLOOKUP($F481,OFFSET(enemy_skill_triggers!$A$1,0,0,COUNTA(enemy_skill_triggers!$A:$A),MATCH(M$1,enemy_skill_triggers!$1:$1,0)-MATCH($F$1,enemy_skill_triggers!$1:$1,0)+1),MATCH(M$1,enemy_skill_triggers!$1:$1,0)-MATCH($F$1,enemy_skill_triggers!$1:$1,0)+1,FALSE)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1" s="48" t="str">
        <f ca="1">VLOOKUP($F481,OFFSET(enemy_skill_triggers!$A$1,0,0,COUNTA(enemy_skill_triggers!$A:$A),MATCH(N$1,enemy_skill_triggers!$1:$1,0)-MATCH($F$1,enemy_skill_triggers!$1:$1,0)+1),MATCH(N$1,enemy_skill_triggers!$1:$1,0)-MATCH($F$1,enemy_skill_triggers!$1:$1,0)+1,FALSE)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1" s="48">
        <f ca="1">VLOOKUP($F481,OFFSET(enemy_skill_triggers!$A$1,0,0,COUNTA(enemy_skill_triggers!$A:$A),MATCH(O$1,enemy_skill_triggers!$1:$1,0)-MATCH($F$1,enemy_skill_triggers!$1:$1,0)+1),MATCH(O$1,enemy_skill_triggers!$1:$1,0)-MATCH($F$1,enemy_skill_triggers!$1:$1,0)+1,FALSE)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1" s="47"/>
      <c r="Q481" s="47"/>
      <c r="R481" s="47"/>
    </row>
    <row r="482" spans="1:18" ht="21" customHeight="1" x14ac:dyDescent="0.15">
      <c r="A482" s="39" t="str">
        <f t="shared" si="22"/>
        <v>39009023_39009038</v>
      </c>
      <c r="B482" s="130">
        <v>39009023</v>
      </c>
      <c r="C482" s="127">
        <v>39009038</v>
      </c>
      <c r="D482" s="46" t="str">
        <f ca="1">VLOOKUP($C482,OFFSET(enemy_skills!$A$1,0,0,COUNTA(enemy_skills!$A:$A),MATCH(D$1,enemy_skills!$1:$1,0)-MATCH("enemy_skill_id",enemy_skills!$1:$1,0)+1),MATCH(D$1,enemy_skills!$1:$1,0)-MATCH("enemy_skill_id",enemy_skills!$1:$1,0)+1,FALSE)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482" s="46" t="str">
        <f ca="1">VLOOKUP($C482,OFFSET(enemy_skills!$A$1,0,0,COUNTA(enemy_skills!$A:$A),MATCH(E$1,enemy_skills!$1:$1,0)-MATCH("enemy_skill_id",enemy_skills!$1:$1,0)+1),MATCH(E$1,enemy_skills!$1:$1,0)-MATCH("enemy_skill_id",enemy_skills!$1:$1,0)+1,FALSE)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82" s="127">
        <v>39009010</v>
      </c>
      <c r="G482" s="48">
        <f ca="1">VLOOKUP($F482,OFFSET(enemy_skill_triggers!$A$1,0,0,COUNTA(enemy_skill_triggers!$A:$A),MATCH(G$1,enemy_skill_triggers!$1:$1,0)-MATCH($F$1,enemy_skill_triggers!$1:$1,0)+1),MATCH(G$1,enemy_skill_triggers!$1:$1,0)-MATCH($F$1,enemy_skill_triggers!$1:$1,0)+1,FALSE)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2" s="48">
        <f ca="1">VLOOKUP($F482,OFFSET(enemy_skill_triggers!$A$1,0,0,COUNTA(enemy_skill_triggers!$A:$A),MATCH(H$1,enemy_skill_triggers!$1:$1,0)-MATCH($F$1,enemy_skill_triggers!$1:$1,0)+1),MATCH(H$1,enemy_skill_triggers!$1:$1,0)-MATCH($F$1,enemy_skill_triggers!$1:$1,0)+1,FALSE)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2" s="48">
        <f ca="1">VLOOKUP($F482,OFFSET(enemy_skill_triggers!$A$1,0,0,COUNTA(enemy_skill_triggers!$A:$A),MATCH(I$1,enemy_skill_triggers!$1:$1,0)-MATCH($F$1,enemy_skill_triggers!$1:$1,0)+1),MATCH(I$1,enemy_skill_triggers!$1:$1,0)-MATCH($F$1,enemy_skill_triggers!$1:$1,0)+1,FALSE)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2" s="48" t="str">
        <f ca="1">VLOOKUP($F482,OFFSET(enemy_skill_triggers!$A$1,0,0,COUNTA(enemy_skill_triggers!$A:$A),MATCH(J$1,enemy_skill_triggers!$1:$1,0)-MATCH($F$1,enemy_skill_triggers!$1:$1,0)+1),MATCH(J$1,enemy_skill_triggers!$1:$1,0)-MATCH($F$1,enemy_skill_triggers!$1:$1,0)+1,FALSE)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2" s="48" t="str">
        <f ca="1">VLOOKUP($F482,OFFSET(enemy_skill_triggers!$A$1,0,0,COUNTA(enemy_skill_triggers!$A:$A),MATCH(K$1,enemy_skill_triggers!$1:$1,0)-MATCH($F$1,enemy_skill_triggers!$1:$1,0)+1),MATCH(K$1,enemy_skill_triggers!$1:$1,0)-MATCH($F$1,enemy_skill_triggers!$1:$1,0)+1,FALSE)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2" s="48" t="str">
        <f ca="1">VLOOKUP($F482,OFFSET(enemy_skill_triggers!$A$1,0,0,COUNTA(enemy_skill_triggers!$A:$A),MATCH(L$1,enemy_skill_triggers!$1:$1,0)-MATCH($F$1,enemy_skill_triggers!$1:$1,0)+1),MATCH(L$1,enemy_skill_triggers!$1:$1,0)-MATCH($F$1,enemy_skill_triggers!$1:$1,0)+1,FALSE)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2" s="48" t="str">
        <f ca="1">VLOOKUP($F482,OFFSET(enemy_skill_triggers!$A$1,0,0,COUNTA(enemy_skill_triggers!$A:$A),MATCH(M$1,enemy_skill_triggers!$1:$1,0)-MATCH($F$1,enemy_skill_triggers!$1:$1,0)+1),MATCH(M$1,enemy_skill_triggers!$1:$1,0)-MATCH($F$1,enemy_skill_triggers!$1:$1,0)+1,FALSE)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2" s="48" t="str">
        <f ca="1">VLOOKUP($F482,OFFSET(enemy_skill_triggers!$A$1,0,0,COUNTA(enemy_skill_triggers!$A:$A),MATCH(N$1,enemy_skill_triggers!$1:$1,0)-MATCH($F$1,enemy_skill_triggers!$1:$1,0)+1),MATCH(N$1,enemy_skill_triggers!$1:$1,0)-MATCH($F$1,enemy_skill_triggers!$1:$1,0)+1,FALSE)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2" s="48">
        <f ca="1">VLOOKUP($F482,OFFSET(enemy_skill_triggers!$A$1,0,0,COUNTA(enemy_skill_triggers!$A:$A),MATCH(O$1,enemy_skill_triggers!$1:$1,0)-MATCH($F$1,enemy_skill_triggers!$1:$1,0)+1),MATCH(O$1,enemy_skill_triggers!$1:$1,0)-MATCH($F$1,enemy_skill_triggers!$1:$1,0)+1,FALSE)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2" s="47"/>
      <c r="Q482" s="47"/>
      <c r="R482" s="47"/>
    </row>
    <row r="483" spans="1:18" ht="21" customHeight="1" x14ac:dyDescent="0.15">
      <c r="A483" s="39" t="str">
        <f t="shared" si="22"/>
        <v>39009023_39009039</v>
      </c>
      <c r="B483" s="130">
        <v>39009023</v>
      </c>
      <c r="C483" s="127">
        <v>39009039</v>
      </c>
      <c r="D483" s="46" t="str">
        <f ca="1">VLOOKUP($C483,OFFSET(enemy_skills!$A$1,0,0,COUNTA(enemy_skills!$A:$A),MATCH(D$1,enemy_skills!$1:$1,0)-MATCH("enemy_skill_id",enemy_skills!$1:$1,0)+1),MATCH(D$1,enemy_skills!$1:$1,0)-MATCH("enemy_skill_id",enemy_skills!$1:$1,0)+1,FALSE)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483" s="46" t="str">
        <f ca="1">VLOOKUP($C483,OFFSET(enemy_skills!$A$1,0,0,COUNTA(enemy_skills!$A:$A),MATCH(E$1,enemy_skills!$1:$1,0)-MATCH("enemy_skill_id",enemy_skills!$1:$1,0)+1),MATCH(E$1,enemy_skills!$1:$1,0)-MATCH("enemy_skill_id",enemy_skills!$1:$1,0)+1,FALSE)</f>
        <v>自己回復+2回連続攻撃</v>
      </c>
      <c r="F483" s="127">
        <v>39009011</v>
      </c>
      <c r="G483" s="48">
        <f ca="1">VLOOKUP($F483,OFFSET(enemy_skill_triggers!$A$1,0,0,COUNTA(enemy_skill_triggers!$A:$A),MATCH(G$1,enemy_skill_triggers!$1:$1,0)-MATCH($F$1,enemy_skill_triggers!$1:$1,0)+1),MATCH(G$1,enemy_skill_triggers!$1:$1,0)-MATCH($F$1,enemy_skill_triggers!$1:$1,0)+1,FALSE)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3" s="48">
        <f ca="1">VLOOKUP($F483,OFFSET(enemy_skill_triggers!$A$1,0,0,COUNTA(enemy_skill_triggers!$A:$A),MATCH(H$1,enemy_skill_triggers!$1:$1,0)-MATCH($F$1,enemy_skill_triggers!$1:$1,0)+1),MATCH(H$1,enemy_skill_triggers!$1:$1,0)-MATCH($F$1,enemy_skill_triggers!$1:$1,0)+1,FALSE)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3" s="48">
        <f ca="1">VLOOKUP($F483,OFFSET(enemy_skill_triggers!$A$1,0,0,COUNTA(enemy_skill_triggers!$A:$A),MATCH(I$1,enemy_skill_triggers!$1:$1,0)-MATCH($F$1,enemy_skill_triggers!$1:$1,0)+1),MATCH(I$1,enemy_skill_triggers!$1:$1,0)-MATCH($F$1,enemy_skill_triggers!$1:$1,0)+1,FALSE)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3" s="48" t="str">
        <f ca="1">VLOOKUP($F483,OFFSET(enemy_skill_triggers!$A$1,0,0,COUNTA(enemy_skill_triggers!$A:$A),MATCH(J$1,enemy_skill_triggers!$1:$1,0)-MATCH($F$1,enemy_skill_triggers!$1:$1,0)+1),MATCH(J$1,enemy_skill_triggers!$1:$1,0)-MATCH($F$1,enemy_skill_triggers!$1:$1,0)+1,FALSE)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3" s="48" t="str">
        <f ca="1">VLOOKUP($F483,OFFSET(enemy_skill_triggers!$A$1,0,0,COUNTA(enemy_skill_triggers!$A:$A),MATCH(K$1,enemy_skill_triggers!$1:$1,0)-MATCH($F$1,enemy_skill_triggers!$1:$1,0)+1),MATCH(K$1,enemy_skill_triggers!$1:$1,0)-MATCH($F$1,enemy_skill_triggers!$1:$1,0)+1,FALSE)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3" s="48">
        <f ca="1">VLOOKUP($F483,OFFSET(enemy_skill_triggers!$A$1,0,0,COUNTA(enemy_skill_triggers!$A:$A),MATCH(L$1,enemy_skill_triggers!$1:$1,0)-MATCH($F$1,enemy_skill_triggers!$1:$1,0)+1),MATCH(L$1,enemy_skill_triggers!$1:$1,0)-MATCH($F$1,enemy_skill_triggers!$1:$1,0)+1,FALSE)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83" s="48" t="str">
        <f ca="1">VLOOKUP($F483,OFFSET(enemy_skill_triggers!$A$1,0,0,COUNTA(enemy_skill_triggers!$A:$A),MATCH(M$1,enemy_skill_triggers!$1:$1,0)-MATCH($F$1,enemy_skill_triggers!$1:$1,0)+1),MATCH(M$1,enemy_skill_triggers!$1:$1,0)-MATCH($F$1,enemy_skill_triggers!$1:$1,0)+1,FALSE)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3" s="48" t="str">
        <f ca="1">VLOOKUP($F483,OFFSET(enemy_skill_triggers!$A$1,0,0,COUNTA(enemy_skill_triggers!$A:$A),MATCH(N$1,enemy_skill_triggers!$1:$1,0)-MATCH($F$1,enemy_skill_triggers!$1:$1,0)+1),MATCH(N$1,enemy_skill_triggers!$1:$1,0)-MATCH($F$1,enemy_skill_triggers!$1:$1,0)+1,FALSE)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3" s="48">
        <f ca="1">VLOOKUP($F483,OFFSET(enemy_skill_triggers!$A$1,0,0,COUNTA(enemy_skill_triggers!$A:$A),MATCH(O$1,enemy_skill_triggers!$1:$1,0)-MATCH($F$1,enemy_skill_triggers!$1:$1,0)+1),MATCH(O$1,enemy_skill_triggers!$1:$1,0)-MATCH($F$1,enemy_skill_triggers!$1:$1,0)+1,FALSE)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3" s="47"/>
      <c r="Q483" s="47"/>
      <c r="R483" s="47"/>
    </row>
    <row r="484" spans="1:18" ht="21" customHeight="1" x14ac:dyDescent="0.15">
      <c r="A484" s="39" t="str">
        <f t="shared" ref="A484:A576" si="23">B484&amp;"_"&amp;C484</f>
        <v>39009023_39009040</v>
      </c>
      <c r="B484" s="130">
        <v>39009023</v>
      </c>
      <c r="C484" s="127">
        <v>39009040</v>
      </c>
      <c r="D484" s="46" t="str">
        <f ca="1">VLOOKUP($C484,OFFSET(enemy_skills!$A$1,0,0,COUNTA(enemy_skills!$A:$A),MATCH(D$1,enemy_skills!$1:$1,0)-MATCH("enemy_skill_id",enemy_skills!$1:$1,0)+1),MATCH(D$1,enemy_skills!$1:$1,0)-MATCH("enemy_skill_id",enemy_skills!$1:$1,0)+1,FALSE)</f>
        <v>シャイニーメテオ</v>
      </c>
      <c r="E484" s="46" t="str">
        <f ca="1">VLOOKUP($C484,OFFSET(enemy_skills!$A$1,0,0,COUNTA(enemy_skills!$A:$A),MATCH(E$1,enemy_skills!$1:$1,0)-MATCH("enemy_skill_id",enemy_skills!$1:$1,0)+1),MATCH(E$1,enemy_skills!$1:$1,0)-MATCH("enemy_skill_id",enemy_skills!$1:$1,0)+1,FALSE)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484" s="127">
        <v>39009012</v>
      </c>
      <c r="G484" s="48">
        <f ca="1">VLOOKUP($F484,OFFSET(enemy_skill_triggers!$A$1,0,0,COUNTA(enemy_skill_triggers!$A:$A),MATCH(G$1,enemy_skill_triggers!$1:$1,0)-MATCH($F$1,enemy_skill_triggers!$1:$1,0)+1),MATCH(G$1,enemy_skill_triggers!$1:$1,0)-MATCH($F$1,enemy_skill_triggers!$1:$1,0)+1,FALSE)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4" s="48">
        <f ca="1">VLOOKUP($F484,OFFSET(enemy_skill_triggers!$A$1,0,0,COUNTA(enemy_skill_triggers!$A:$A),MATCH(H$1,enemy_skill_triggers!$1:$1,0)-MATCH($F$1,enemy_skill_triggers!$1:$1,0)+1),MATCH(H$1,enemy_skill_triggers!$1:$1,0)-MATCH($F$1,enemy_skill_triggers!$1:$1,0)+1,FALSE)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84" s="48">
        <f ca="1">VLOOKUP($F484,OFFSET(enemy_skill_triggers!$A$1,0,0,COUNTA(enemy_skill_triggers!$A:$A),MATCH(I$1,enemy_skill_triggers!$1:$1,0)-MATCH($F$1,enemy_skill_triggers!$1:$1,0)+1),MATCH(I$1,enemy_skill_triggers!$1:$1,0)-MATCH($F$1,enemy_skill_triggers!$1:$1,0)+1,FALSE)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84" s="48" t="str">
        <f ca="1">VLOOKUP($F484,OFFSET(enemy_skill_triggers!$A$1,0,0,COUNTA(enemy_skill_triggers!$A:$A),MATCH(J$1,enemy_skill_triggers!$1:$1,0)-MATCH($F$1,enemy_skill_triggers!$1:$1,0)+1),MATCH(J$1,enemy_skill_triggers!$1:$1,0)-MATCH($F$1,enemy_skill_triggers!$1:$1,0)+1,FALSE)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4" s="48" t="str">
        <f ca="1">VLOOKUP($F484,OFFSET(enemy_skill_triggers!$A$1,0,0,COUNTA(enemy_skill_triggers!$A:$A),MATCH(K$1,enemy_skill_triggers!$1:$1,0)-MATCH($F$1,enemy_skill_triggers!$1:$1,0)+1),MATCH(K$1,enemy_skill_triggers!$1:$1,0)-MATCH($F$1,enemy_skill_triggers!$1:$1,0)+1,FALSE)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4" s="48">
        <f ca="1">VLOOKUP($F484,OFFSET(enemy_skill_triggers!$A$1,0,0,COUNTA(enemy_skill_triggers!$A:$A),MATCH(L$1,enemy_skill_triggers!$1:$1,0)-MATCH($F$1,enemy_skill_triggers!$1:$1,0)+1),MATCH(L$1,enemy_skill_triggers!$1:$1,0)-MATCH($F$1,enemy_skill_triggers!$1:$1,0)+1,FALSE)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4" s="48" t="str">
        <f ca="1">VLOOKUP($F484,OFFSET(enemy_skill_triggers!$A$1,0,0,COUNTA(enemy_skill_triggers!$A:$A),MATCH(M$1,enemy_skill_triggers!$1:$1,0)-MATCH($F$1,enemy_skill_triggers!$1:$1,0)+1),MATCH(M$1,enemy_skill_triggers!$1:$1,0)-MATCH($F$1,enemy_skill_triggers!$1:$1,0)+1,FALSE)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4" s="48" t="str">
        <f ca="1">VLOOKUP($F484,OFFSET(enemy_skill_triggers!$A$1,0,0,COUNTA(enemy_skill_triggers!$A:$A),MATCH(N$1,enemy_skill_triggers!$1:$1,0)-MATCH($F$1,enemy_skill_triggers!$1:$1,0)+1),MATCH(N$1,enemy_skill_triggers!$1:$1,0)-MATCH($F$1,enemy_skill_triggers!$1:$1,0)+1,FALSE)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4" s="48">
        <f ca="1">VLOOKUP($F484,OFFSET(enemy_skill_triggers!$A$1,0,0,COUNTA(enemy_skill_triggers!$A:$A),MATCH(O$1,enemy_skill_triggers!$1:$1,0)-MATCH($F$1,enemy_skill_triggers!$1:$1,0)+1),MATCH(O$1,enemy_skill_triggers!$1:$1,0)-MATCH($F$1,enemy_skill_triggers!$1:$1,0)+1,FALSE)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84" s="47"/>
      <c r="Q484" s="47"/>
      <c r="R484" s="47"/>
    </row>
    <row r="485" spans="1:18" ht="21" customHeight="1" x14ac:dyDescent="0.15">
      <c r="A485" s="39" t="str">
        <f t="shared" si="23"/>
        <v>39009023_39009041</v>
      </c>
      <c r="B485" s="130">
        <v>39009023</v>
      </c>
      <c r="C485" s="127">
        <v>39009041</v>
      </c>
      <c r="D485" s="46" t="str">
        <f ca="1">VLOOKUP($C485,OFFSET(enemy_skills!$A$1,0,0,COUNTA(enemy_skills!$A:$A),MATCH(D$1,enemy_skills!$1:$1,0)-MATCH("enemy_skill_id",enemy_skills!$1:$1,0)+1),MATCH(D$1,enemy_skills!$1:$1,0)-MATCH("enemy_skill_id",enemy_skills!$1:$1,0)+1,FALSE)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485" s="46" t="str">
        <f ca="1">VLOOKUP($C485,OFFSET(enemy_skills!$A$1,0,0,COUNTA(enemy_skills!$A:$A),MATCH(E$1,enemy_skills!$1:$1,0)-MATCH("enemy_skill_id",enemy_skills!$1:$1,0)+1),MATCH(E$1,enemy_skills!$1:$1,0)-MATCH("enemy_skill_id",enemy_skills!$1:$1,0)+1,FALSE)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85" s="127">
        <v>39009013</v>
      </c>
      <c r="G485" s="48">
        <f ca="1">VLOOKUP($F485,OFFSET(enemy_skill_triggers!$A$1,0,0,COUNTA(enemy_skill_triggers!$A:$A),MATCH(G$1,enemy_skill_triggers!$1:$1,0)-MATCH($F$1,enemy_skill_triggers!$1:$1,0)+1),MATCH(G$1,enemy_skill_triggers!$1:$1,0)-MATCH($F$1,enemy_skill_triggers!$1:$1,0)+1,FALSE)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5" s="48">
        <f ca="1">VLOOKUP($F485,OFFSET(enemy_skill_triggers!$A$1,0,0,COUNTA(enemy_skill_triggers!$A:$A),MATCH(H$1,enemy_skill_triggers!$1:$1,0)-MATCH($F$1,enemy_skill_triggers!$1:$1,0)+1),MATCH(H$1,enemy_skill_triggers!$1:$1,0)-MATCH($F$1,enemy_skill_triggers!$1:$1,0)+1,FALSE)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85" s="48">
        <f ca="1">VLOOKUP($F485,OFFSET(enemy_skill_triggers!$A$1,0,0,COUNTA(enemy_skill_triggers!$A:$A),MATCH(I$1,enemy_skill_triggers!$1:$1,0)-MATCH($F$1,enemy_skill_triggers!$1:$1,0)+1),MATCH(I$1,enemy_skill_triggers!$1:$1,0)-MATCH($F$1,enemy_skill_triggers!$1:$1,0)+1,FALSE)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5" s="48">
        <f ca="1">VLOOKUP($F485,OFFSET(enemy_skill_triggers!$A$1,0,0,COUNTA(enemy_skill_triggers!$A:$A),MATCH(J$1,enemy_skill_triggers!$1:$1,0)-MATCH($F$1,enemy_skill_triggers!$1:$1,0)+1),MATCH(J$1,enemy_skill_triggers!$1:$1,0)-MATCH($F$1,enemy_skill_triggers!$1:$1,0)+1,FALSE)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5" s="48" t="str">
        <f ca="1">VLOOKUP($F485,OFFSET(enemy_skill_triggers!$A$1,0,0,COUNTA(enemy_skill_triggers!$A:$A),MATCH(K$1,enemy_skill_triggers!$1:$1,0)-MATCH($F$1,enemy_skill_triggers!$1:$1,0)+1),MATCH(K$1,enemy_skill_triggers!$1:$1,0)-MATCH($F$1,enemy_skill_triggers!$1:$1,0)+1,FALSE)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5" s="48">
        <f ca="1">VLOOKUP($F485,OFFSET(enemy_skill_triggers!$A$1,0,0,COUNTA(enemy_skill_triggers!$A:$A),MATCH(L$1,enemy_skill_triggers!$1:$1,0)-MATCH($F$1,enemy_skill_triggers!$1:$1,0)+1),MATCH(L$1,enemy_skill_triggers!$1:$1,0)-MATCH($F$1,enemy_skill_triggers!$1:$1,0)+1,FALSE)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5" s="48" t="str">
        <f ca="1">VLOOKUP($F485,OFFSET(enemy_skill_triggers!$A$1,0,0,COUNTA(enemy_skill_triggers!$A:$A),MATCH(M$1,enemy_skill_triggers!$1:$1,0)-MATCH($F$1,enemy_skill_triggers!$1:$1,0)+1),MATCH(M$1,enemy_skill_triggers!$1:$1,0)-MATCH($F$1,enemy_skill_triggers!$1:$1,0)+1,FALSE)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5" s="48" t="str">
        <f ca="1">VLOOKUP($F485,OFFSET(enemy_skill_triggers!$A$1,0,0,COUNTA(enemy_skill_triggers!$A:$A),MATCH(N$1,enemy_skill_triggers!$1:$1,0)-MATCH($F$1,enemy_skill_triggers!$1:$1,0)+1),MATCH(N$1,enemy_skill_triggers!$1:$1,0)-MATCH($F$1,enemy_skill_triggers!$1:$1,0)+1,FALSE)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5" s="48">
        <f ca="1">VLOOKUP($F485,OFFSET(enemy_skill_triggers!$A$1,0,0,COUNTA(enemy_skill_triggers!$A:$A),MATCH(O$1,enemy_skill_triggers!$1:$1,0)-MATCH($F$1,enemy_skill_triggers!$1:$1,0)+1),MATCH(O$1,enemy_skill_triggers!$1:$1,0)-MATCH($F$1,enemy_skill_triggers!$1:$1,0)+1,FALSE)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5" s="47"/>
      <c r="Q485" s="47"/>
      <c r="R485" s="47"/>
    </row>
    <row r="486" spans="1:18" ht="21" customHeight="1" x14ac:dyDescent="0.15">
      <c r="A486" s="39" t="str">
        <f t="shared" si="23"/>
        <v>39009023_39009024</v>
      </c>
      <c r="B486" s="130">
        <v>39009023</v>
      </c>
      <c r="C486" s="143">
        <v>39009024</v>
      </c>
      <c r="D486" s="46" t="str">
        <f ca="1">VLOOKUP($C486,OFFSET(enemy_skills!$A$1,0,0,COUNTA(enemy_skills!$A:$A),MATCH(D$1,enemy_skills!$1:$1,0)-MATCH("enemy_skill_id",enemy_skills!$1:$1,0)+1),MATCH(D$1,enemy_skills!$1:$1,0)-MATCH("enemy_skill_id",enemy_skills!$1:$1,0)+1,FALSE)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486" s="46" t="str">
        <f ca="1">VLOOKUP($C486,OFFSET(enemy_skills!$A$1,0,0,COUNTA(enemy_skills!$A:$A),MATCH(E$1,enemy_skills!$1:$1,0)-MATCH("enemy_skill_id",enemy_skills!$1:$1,0)+1),MATCH(E$1,enemy_skills!$1:$1,0)-MATCH("enemy_skill_id",enemy_skills!$1:$1,0)+1,FALSE)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486" s="127">
        <v>39009014</v>
      </c>
      <c r="G486" s="48">
        <f ca="1">VLOOKUP($F486,OFFSET(enemy_skill_triggers!$A$1,0,0,COUNTA(enemy_skill_triggers!$A:$A),MATCH(G$1,enemy_skill_triggers!$1:$1,0)-MATCH($F$1,enemy_skill_triggers!$1:$1,0)+1),MATCH(G$1,enemy_skill_triggers!$1:$1,0)-MATCH($F$1,enemy_skill_triggers!$1:$1,0)+1,FALSE)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6" s="48">
        <f ca="1">VLOOKUP($F486,OFFSET(enemy_skill_triggers!$A$1,0,0,COUNTA(enemy_skill_triggers!$A:$A),MATCH(H$1,enemy_skill_triggers!$1:$1,0)-MATCH($F$1,enemy_skill_triggers!$1:$1,0)+1),MATCH(H$1,enemy_skill_triggers!$1:$1,0)-MATCH($F$1,enemy_skill_triggers!$1:$1,0)+1,FALSE)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86" s="48">
        <f ca="1">VLOOKUP($F486,OFFSET(enemy_skill_triggers!$A$1,0,0,COUNTA(enemy_skill_triggers!$A:$A),MATCH(I$1,enemy_skill_triggers!$1:$1,0)-MATCH($F$1,enemy_skill_triggers!$1:$1,0)+1),MATCH(I$1,enemy_skill_triggers!$1:$1,0)-MATCH($F$1,enemy_skill_triggers!$1:$1,0)+1,FALSE)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6" s="48">
        <f ca="1">VLOOKUP($F486,OFFSET(enemy_skill_triggers!$A$1,0,0,COUNTA(enemy_skill_triggers!$A:$A),MATCH(J$1,enemy_skill_triggers!$1:$1,0)-MATCH($F$1,enemy_skill_triggers!$1:$1,0)+1),MATCH(J$1,enemy_skill_triggers!$1:$1,0)-MATCH($F$1,enemy_skill_triggers!$1:$1,0)+1,FALSE)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6" s="48" t="str">
        <f ca="1">VLOOKUP($F486,OFFSET(enemy_skill_triggers!$A$1,0,0,COUNTA(enemy_skill_triggers!$A:$A),MATCH(K$1,enemy_skill_triggers!$1:$1,0)-MATCH($F$1,enemy_skill_triggers!$1:$1,0)+1),MATCH(K$1,enemy_skill_triggers!$1:$1,0)-MATCH($F$1,enemy_skill_triggers!$1:$1,0)+1,FALSE)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6" s="48">
        <f ca="1">VLOOKUP($F486,OFFSET(enemy_skill_triggers!$A$1,0,0,COUNTA(enemy_skill_triggers!$A:$A),MATCH(L$1,enemy_skill_triggers!$1:$1,0)-MATCH($F$1,enemy_skill_triggers!$1:$1,0)+1),MATCH(L$1,enemy_skill_triggers!$1:$1,0)-MATCH($F$1,enemy_skill_triggers!$1:$1,0)+1,FALSE)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6" s="48" t="str">
        <f ca="1">VLOOKUP($F486,OFFSET(enemy_skill_triggers!$A$1,0,0,COUNTA(enemy_skill_triggers!$A:$A),MATCH(M$1,enemy_skill_triggers!$1:$1,0)-MATCH($F$1,enemy_skill_triggers!$1:$1,0)+1),MATCH(M$1,enemy_skill_triggers!$1:$1,0)-MATCH($F$1,enemy_skill_triggers!$1:$1,0)+1,FALSE)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6" s="48" t="str">
        <f ca="1">VLOOKUP($F486,OFFSET(enemy_skill_triggers!$A$1,0,0,COUNTA(enemy_skill_triggers!$A:$A),MATCH(N$1,enemy_skill_triggers!$1:$1,0)-MATCH($F$1,enemy_skill_triggers!$1:$1,0)+1),MATCH(N$1,enemy_skill_triggers!$1:$1,0)-MATCH($F$1,enemy_skill_triggers!$1:$1,0)+1,FALSE)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6" s="48">
        <f ca="1">VLOOKUP($F486,OFFSET(enemy_skill_triggers!$A$1,0,0,COUNTA(enemy_skill_triggers!$A:$A),MATCH(O$1,enemy_skill_triggers!$1:$1,0)-MATCH($F$1,enemy_skill_triggers!$1:$1,0)+1),MATCH(O$1,enemy_skill_triggers!$1:$1,0)-MATCH($F$1,enemy_skill_triggers!$1:$1,0)+1,FALSE)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6" s="47"/>
      <c r="Q486" s="47"/>
      <c r="R486" s="47"/>
    </row>
    <row r="487" spans="1:18" ht="21" customHeight="1" x14ac:dyDescent="0.15">
      <c r="A487" s="39" t="str">
        <f t="shared" si="23"/>
        <v>39009023_39009043</v>
      </c>
      <c r="B487" s="130">
        <v>39009023</v>
      </c>
      <c r="C487" s="127">
        <v>39009043</v>
      </c>
      <c r="D487" s="46" t="str">
        <f ca="1">VLOOKUP($C487,OFFSET(enemy_skills!$A$1,0,0,COUNTA(enemy_skills!$A:$A),MATCH(D$1,enemy_skills!$1:$1,0)-MATCH("enemy_skill_id",enemy_skills!$1:$1,0)+1),MATCH(D$1,enemy_skills!$1:$1,0)-MATCH("enemy_skill_id",enemy_skills!$1:$1,0)+1,FALSE)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487" s="46" t="str">
        <f ca="1">VLOOKUP($C487,OFFSET(enemy_skills!$A$1,0,0,COUNTA(enemy_skills!$A:$A),MATCH(E$1,enemy_skills!$1:$1,0)-MATCH("enemy_skill_id",enemy_skills!$1:$1,0)+1),MATCH(E$1,enemy_skills!$1:$1,0)-MATCH("enemy_skill_id",enemy_skills!$1:$1,0)+1,FALSE)</f>
        <v>自己回復</v>
      </c>
      <c r="F487" s="127">
        <v>39009015</v>
      </c>
      <c r="G487" s="48">
        <f ca="1">VLOOKUP($F487,OFFSET(enemy_skill_triggers!$A$1,0,0,COUNTA(enemy_skill_triggers!$A:$A),MATCH(G$1,enemy_skill_triggers!$1:$1,0)-MATCH($F$1,enemy_skill_triggers!$1:$1,0)+1),MATCH(G$1,enemy_skill_triggers!$1:$1,0)-MATCH($F$1,enemy_skill_triggers!$1:$1,0)+1,FALSE)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7" s="48">
        <f ca="1">VLOOKUP($F487,OFFSET(enemy_skill_triggers!$A$1,0,0,COUNTA(enemy_skill_triggers!$A:$A),MATCH(H$1,enemy_skill_triggers!$1:$1,0)-MATCH($F$1,enemy_skill_triggers!$1:$1,0)+1),MATCH(H$1,enemy_skill_triggers!$1:$1,0)-MATCH($F$1,enemy_skill_triggers!$1:$1,0)+1,FALSE)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87" s="48">
        <f ca="1">VLOOKUP($F487,OFFSET(enemy_skill_triggers!$A$1,0,0,COUNTA(enemy_skill_triggers!$A:$A),MATCH(I$1,enemy_skill_triggers!$1:$1,0)-MATCH($F$1,enemy_skill_triggers!$1:$1,0)+1),MATCH(I$1,enemy_skill_triggers!$1:$1,0)-MATCH($F$1,enemy_skill_triggers!$1:$1,0)+1,FALSE)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7" s="48">
        <f ca="1">VLOOKUP($F487,OFFSET(enemy_skill_triggers!$A$1,0,0,COUNTA(enemy_skill_triggers!$A:$A),MATCH(J$1,enemy_skill_triggers!$1:$1,0)-MATCH($F$1,enemy_skill_triggers!$1:$1,0)+1),MATCH(J$1,enemy_skill_triggers!$1:$1,0)-MATCH($F$1,enemy_skill_triggers!$1:$1,0)+1,FALSE)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7" s="48" t="str">
        <f ca="1">VLOOKUP($F487,OFFSET(enemy_skill_triggers!$A$1,0,0,COUNTA(enemy_skill_triggers!$A:$A),MATCH(K$1,enemy_skill_triggers!$1:$1,0)-MATCH($F$1,enemy_skill_triggers!$1:$1,0)+1),MATCH(K$1,enemy_skill_triggers!$1:$1,0)-MATCH($F$1,enemy_skill_triggers!$1:$1,0)+1,FALSE)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7" s="48">
        <f ca="1">VLOOKUP($F487,OFFSET(enemy_skill_triggers!$A$1,0,0,COUNTA(enemy_skill_triggers!$A:$A),MATCH(L$1,enemy_skill_triggers!$1:$1,0)-MATCH($F$1,enemy_skill_triggers!$1:$1,0)+1),MATCH(L$1,enemy_skill_triggers!$1:$1,0)-MATCH($F$1,enemy_skill_triggers!$1:$1,0)+1,FALSE)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7" s="48" t="str">
        <f ca="1">VLOOKUP($F487,OFFSET(enemy_skill_triggers!$A$1,0,0,COUNTA(enemy_skill_triggers!$A:$A),MATCH(M$1,enemy_skill_triggers!$1:$1,0)-MATCH($F$1,enemy_skill_triggers!$1:$1,0)+1),MATCH(M$1,enemy_skill_triggers!$1:$1,0)-MATCH($F$1,enemy_skill_triggers!$1:$1,0)+1,FALSE)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7" s="48" t="str">
        <f ca="1">VLOOKUP($F487,OFFSET(enemy_skill_triggers!$A$1,0,0,COUNTA(enemy_skill_triggers!$A:$A),MATCH(N$1,enemy_skill_triggers!$1:$1,0)-MATCH($F$1,enemy_skill_triggers!$1:$1,0)+1),MATCH(N$1,enemy_skill_triggers!$1:$1,0)-MATCH($F$1,enemy_skill_triggers!$1:$1,0)+1,FALSE)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7" s="48">
        <f ca="1">VLOOKUP($F487,OFFSET(enemy_skill_triggers!$A$1,0,0,COUNTA(enemy_skill_triggers!$A:$A),MATCH(O$1,enemy_skill_triggers!$1:$1,0)-MATCH($F$1,enemy_skill_triggers!$1:$1,0)+1),MATCH(O$1,enemy_skill_triggers!$1:$1,0)-MATCH($F$1,enemy_skill_triggers!$1:$1,0)+1,FALSE)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7" s="47"/>
      <c r="Q487" s="47"/>
      <c r="R487" s="47"/>
    </row>
    <row r="488" spans="1:18" ht="21" customHeight="1" x14ac:dyDescent="0.15">
      <c r="A488" s="39" t="str">
        <f t="shared" si="23"/>
        <v>39009023_39009044</v>
      </c>
      <c r="B488" s="130">
        <v>39009023</v>
      </c>
      <c r="C488" s="127">
        <v>39009044</v>
      </c>
      <c r="D488" s="46" t="str">
        <f ca="1">VLOOKUP($C488,OFFSET(enemy_skills!$A$1,0,0,COUNTA(enemy_skills!$A:$A),MATCH(D$1,enemy_skills!$1:$1,0)-MATCH("enemy_skill_id",enemy_skills!$1:$1,0)+1),MATCH(D$1,enemy_skills!$1:$1,0)-MATCH("enemy_skill_id",enemy_skills!$1:$1,0)+1,FALSE)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488" s="46" t="str">
        <f ca="1">VLOOKUP($C488,OFFSET(enemy_skills!$A$1,0,0,COUNTA(enemy_skills!$A:$A),MATCH(E$1,enemy_skills!$1:$1,0)-MATCH("enemy_skill_id",enemy_skills!$1:$1,0)+1),MATCH(E$1,enemy_skills!$1:$1,0)-MATCH("enemy_skill_id",enemy_skills!$1:$1,0)+1,FALSE)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488" s="127">
        <v>39009016</v>
      </c>
      <c r="G488" s="48">
        <f ca="1">VLOOKUP($F488,OFFSET(enemy_skill_triggers!$A$1,0,0,COUNTA(enemy_skill_triggers!$A:$A),MATCH(G$1,enemy_skill_triggers!$1:$1,0)-MATCH($F$1,enemy_skill_triggers!$1:$1,0)+1),MATCH(G$1,enemy_skill_triggers!$1:$1,0)-MATCH($F$1,enemy_skill_triggers!$1:$1,0)+1,FALSE)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8" s="48">
        <f ca="1">VLOOKUP($F488,OFFSET(enemy_skill_triggers!$A$1,0,0,COUNTA(enemy_skill_triggers!$A:$A),MATCH(H$1,enemy_skill_triggers!$1:$1,0)-MATCH($F$1,enemy_skill_triggers!$1:$1,0)+1),MATCH(H$1,enemy_skill_triggers!$1:$1,0)-MATCH($F$1,enemy_skill_triggers!$1:$1,0)+1,FALSE)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88" s="48">
        <f ca="1">VLOOKUP($F488,OFFSET(enemy_skill_triggers!$A$1,0,0,COUNTA(enemy_skill_triggers!$A:$A),MATCH(I$1,enemy_skill_triggers!$1:$1,0)-MATCH($F$1,enemy_skill_triggers!$1:$1,0)+1),MATCH(I$1,enemy_skill_triggers!$1:$1,0)-MATCH($F$1,enemy_skill_triggers!$1:$1,0)+1,FALSE)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8" s="48">
        <f ca="1">VLOOKUP($F488,OFFSET(enemy_skill_triggers!$A$1,0,0,COUNTA(enemy_skill_triggers!$A:$A),MATCH(J$1,enemy_skill_triggers!$1:$1,0)-MATCH($F$1,enemy_skill_triggers!$1:$1,0)+1),MATCH(J$1,enemy_skill_triggers!$1:$1,0)-MATCH($F$1,enemy_skill_triggers!$1:$1,0)+1,FALSE)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8" s="48" t="str">
        <f ca="1">VLOOKUP($F488,OFFSET(enemy_skill_triggers!$A$1,0,0,COUNTA(enemy_skill_triggers!$A:$A),MATCH(K$1,enemy_skill_triggers!$1:$1,0)-MATCH($F$1,enemy_skill_triggers!$1:$1,0)+1),MATCH(K$1,enemy_skill_triggers!$1:$1,0)-MATCH($F$1,enemy_skill_triggers!$1:$1,0)+1,FALSE)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8" s="48">
        <f ca="1">VLOOKUP($F488,OFFSET(enemy_skill_triggers!$A$1,0,0,COUNTA(enemy_skill_triggers!$A:$A),MATCH(L$1,enemy_skill_triggers!$1:$1,0)-MATCH($F$1,enemy_skill_triggers!$1:$1,0)+1),MATCH(L$1,enemy_skill_triggers!$1:$1,0)-MATCH($F$1,enemy_skill_triggers!$1:$1,0)+1,FALSE)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8" s="48" t="str">
        <f ca="1">VLOOKUP($F488,OFFSET(enemy_skill_triggers!$A$1,0,0,COUNTA(enemy_skill_triggers!$A:$A),MATCH(M$1,enemy_skill_triggers!$1:$1,0)-MATCH($F$1,enemy_skill_triggers!$1:$1,0)+1),MATCH(M$1,enemy_skill_triggers!$1:$1,0)-MATCH($F$1,enemy_skill_triggers!$1:$1,0)+1,FALSE)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8" s="48" t="str">
        <f ca="1">VLOOKUP($F488,OFFSET(enemy_skill_triggers!$A$1,0,0,COUNTA(enemy_skill_triggers!$A:$A),MATCH(N$1,enemy_skill_triggers!$1:$1,0)-MATCH($F$1,enemy_skill_triggers!$1:$1,0)+1),MATCH(N$1,enemy_skill_triggers!$1:$1,0)-MATCH($F$1,enemy_skill_triggers!$1:$1,0)+1,FALSE)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8" s="48">
        <f ca="1">VLOOKUP($F488,OFFSET(enemy_skill_triggers!$A$1,0,0,COUNTA(enemy_skill_triggers!$A:$A),MATCH(O$1,enemy_skill_triggers!$1:$1,0)-MATCH($F$1,enemy_skill_triggers!$1:$1,0)+1),MATCH(O$1,enemy_skill_triggers!$1:$1,0)-MATCH($F$1,enemy_skill_triggers!$1:$1,0)+1,FALSE)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8" s="47"/>
      <c r="Q488" s="47"/>
      <c r="R488" s="47"/>
    </row>
    <row r="489" spans="1:18" ht="21" customHeight="1" x14ac:dyDescent="0.15">
      <c r="A489" s="39" t="str">
        <f t="shared" si="23"/>
        <v>39009024_39009045</v>
      </c>
      <c r="B489" s="130">
        <v>39009024</v>
      </c>
      <c r="C489" s="128">
        <v>39009045</v>
      </c>
      <c r="D489" s="46" t="str">
        <f ca="1">VLOOKUP($C489,OFFSET(enemy_skills!$A$1,0,0,COUNTA(enemy_skills!$A:$A),MATCH(D$1,enemy_skills!$1:$1,0)-MATCH("enemy_skill_id",enemy_skills!$1:$1,0)+1),MATCH(D$1,enemy_skills!$1:$1,0)-MATCH("enemy_skill_id",enemy_skills!$1:$1,0)+1,FALSE)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489" s="46" t="str">
        <f ca="1">VLOOKUP($C489,OFFSET(enemy_skills!$A$1,0,0,COUNTA(enemy_skills!$A:$A),MATCH(E$1,enemy_skills!$1:$1,0)-MATCH("enemy_skill_id",enemy_skills!$1:$1,0)+1),MATCH(E$1,enemy_skills!$1:$1,0)-MATCH("enemy_skill_id",enemy_skills!$1:$1,0)+1,FALSE)</f>
        <v>3ターン回復効果付与</v>
      </c>
      <c r="F489" s="128">
        <v>39009017</v>
      </c>
      <c r="G489" s="48">
        <f ca="1">VLOOKUP($F489,OFFSET(enemy_skill_triggers!$A$1,0,0,COUNTA(enemy_skill_triggers!$A:$A),MATCH(G$1,enemy_skill_triggers!$1:$1,0)-MATCH($F$1,enemy_skill_triggers!$1:$1,0)+1),MATCH(G$1,enemy_skill_triggers!$1:$1,0)-MATCH($F$1,enemy_skill_triggers!$1:$1,0)+1,FALSE)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9" s="48" t="str">
        <f ca="1">VLOOKUP($F489,OFFSET(enemy_skill_triggers!$A$1,0,0,COUNTA(enemy_skill_triggers!$A:$A),MATCH(H$1,enemy_skill_triggers!$1:$1,0)-MATCH($F$1,enemy_skill_triggers!$1:$1,0)+1),MATCH(H$1,enemy_skill_triggers!$1:$1,0)-MATCH($F$1,enemy_skill_triggers!$1:$1,0)+1,FALSE)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9" s="48">
        <f ca="1">VLOOKUP($F489,OFFSET(enemy_skill_triggers!$A$1,0,0,COUNTA(enemy_skill_triggers!$A:$A),MATCH(I$1,enemy_skill_triggers!$1:$1,0)-MATCH($F$1,enemy_skill_triggers!$1:$1,0)+1),MATCH(I$1,enemy_skill_triggers!$1:$1,0)-MATCH($F$1,enemy_skill_triggers!$1:$1,0)+1,FALSE)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9" s="48" t="str">
        <f ca="1">VLOOKUP($F489,OFFSET(enemy_skill_triggers!$A$1,0,0,COUNTA(enemy_skill_triggers!$A:$A),MATCH(J$1,enemy_skill_triggers!$1:$1,0)-MATCH($F$1,enemy_skill_triggers!$1:$1,0)+1),MATCH(J$1,enemy_skill_triggers!$1:$1,0)-MATCH($F$1,enemy_skill_triggers!$1:$1,0)+1,FALSE)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9" s="48" t="str">
        <f ca="1">VLOOKUP($F489,OFFSET(enemy_skill_triggers!$A$1,0,0,COUNTA(enemy_skill_triggers!$A:$A),MATCH(K$1,enemy_skill_triggers!$1:$1,0)-MATCH($F$1,enemy_skill_triggers!$1:$1,0)+1),MATCH(K$1,enemy_skill_triggers!$1:$1,0)-MATCH($F$1,enemy_skill_triggers!$1:$1,0)+1,FALSE)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9" s="48">
        <f ca="1">VLOOKUP($F489,OFFSET(enemy_skill_triggers!$A$1,0,0,COUNTA(enemy_skill_triggers!$A:$A),MATCH(L$1,enemy_skill_triggers!$1:$1,0)-MATCH($F$1,enemy_skill_triggers!$1:$1,0)+1),MATCH(L$1,enemy_skill_triggers!$1:$1,0)-MATCH($F$1,enemy_skill_triggers!$1:$1,0)+1,FALSE)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9" s="48" t="str">
        <f ca="1">VLOOKUP($F489,OFFSET(enemy_skill_triggers!$A$1,0,0,COUNTA(enemy_skill_triggers!$A:$A),MATCH(M$1,enemy_skill_triggers!$1:$1,0)-MATCH($F$1,enemy_skill_triggers!$1:$1,0)+1),MATCH(M$1,enemy_skill_triggers!$1:$1,0)-MATCH($F$1,enemy_skill_triggers!$1:$1,0)+1,FALSE)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9" s="48" t="str">
        <f ca="1">VLOOKUP($F489,OFFSET(enemy_skill_triggers!$A$1,0,0,COUNTA(enemy_skill_triggers!$A:$A),MATCH(N$1,enemy_skill_triggers!$1:$1,0)-MATCH($F$1,enemy_skill_triggers!$1:$1,0)+1),MATCH(N$1,enemy_skill_triggers!$1:$1,0)-MATCH($F$1,enemy_skill_triggers!$1:$1,0)+1,FALSE)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9" s="48">
        <f ca="1">VLOOKUP($F489,OFFSET(enemy_skill_triggers!$A$1,0,0,COUNTA(enemy_skill_triggers!$A:$A),MATCH(O$1,enemy_skill_triggers!$1:$1,0)-MATCH($F$1,enemy_skill_triggers!$1:$1,0)+1),MATCH(O$1,enemy_skill_triggers!$1:$1,0)-MATCH($F$1,enemy_skill_triggers!$1:$1,0)+1,FALSE)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9" s="47"/>
      <c r="Q489" s="47"/>
      <c r="R489" s="47"/>
    </row>
    <row r="490" spans="1:18" ht="21" customHeight="1" x14ac:dyDescent="0.15">
      <c r="A490" s="39" t="str">
        <f t="shared" si="23"/>
        <v>39009025_39009046</v>
      </c>
      <c r="B490" s="130">
        <v>39009025</v>
      </c>
      <c r="C490" s="129">
        <v>39009046</v>
      </c>
      <c r="D490" s="46" t="str">
        <f ca="1">VLOOKUP($C490,OFFSET(enemy_skills!$A$1,0,0,COUNTA(enemy_skills!$A:$A),MATCH(D$1,enemy_skills!$1:$1,0)-MATCH("enemy_skill_id",enemy_skills!$1:$1,0)+1),MATCH(D$1,enemy_skills!$1:$1,0)-MATCH("enemy_skill_id",enemy_skills!$1:$1,0)+1,FALSE)</f>
        <v>こんにちわ♪</v>
      </c>
      <c r="E490" s="46" t="str">
        <f ca="1">VLOOKUP($C490,OFFSET(enemy_skills!$A$1,0,0,COUNTA(enemy_skills!$A:$A),MATCH(E$1,enemy_skills!$1:$1,0)-MATCH("enemy_skill_id",enemy_skills!$1:$1,0)+1),MATCH(E$1,enemy_skills!$1:$1,0)-MATCH("enemy_skill_id",enemy_skills!$1:$1,0)+1,FALSE)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0" s="129">
        <v>39009018</v>
      </c>
      <c r="G490" s="48">
        <f ca="1">VLOOKUP($F490,OFFSET(enemy_skill_triggers!$A$1,0,0,COUNTA(enemy_skill_triggers!$A:$A),MATCH(G$1,enemy_skill_triggers!$1:$1,0)-MATCH($F$1,enemy_skill_triggers!$1:$1,0)+1),MATCH(G$1,enemy_skill_triggers!$1:$1,0)-MATCH($F$1,enemy_skill_triggers!$1:$1,0)+1,FALSE)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0" s="48" t="str">
        <f ca="1">VLOOKUP($F490,OFFSET(enemy_skill_triggers!$A$1,0,0,COUNTA(enemy_skill_triggers!$A:$A),MATCH(H$1,enemy_skill_triggers!$1:$1,0)-MATCH($F$1,enemy_skill_triggers!$1:$1,0)+1),MATCH(H$1,enemy_skill_triggers!$1:$1,0)-MATCH($F$1,enemy_skill_triggers!$1:$1,0)+1,FALSE)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0" s="48">
        <f ca="1">VLOOKUP($F490,OFFSET(enemy_skill_triggers!$A$1,0,0,COUNTA(enemy_skill_triggers!$A:$A),MATCH(I$1,enemy_skill_triggers!$1:$1,0)-MATCH($F$1,enemy_skill_triggers!$1:$1,0)+1),MATCH(I$1,enemy_skill_triggers!$1:$1,0)-MATCH($F$1,enemy_skill_triggers!$1:$1,0)+1,FALSE)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0" s="48" t="str">
        <f ca="1">VLOOKUP($F490,OFFSET(enemy_skill_triggers!$A$1,0,0,COUNTA(enemy_skill_triggers!$A:$A),MATCH(J$1,enemy_skill_triggers!$1:$1,0)-MATCH($F$1,enemy_skill_triggers!$1:$1,0)+1),MATCH(J$1,enemy_skill_triggers!$1:$1,0)-MATCH($F$1,enemy_skill_triggers!$1:$1,0)+1,FALSE)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0" s="48" t="str">
        <f ca="1">VLOOKUP($F490,OFFSET(enemy_skill_triggers!$A$1,0,0,COUNTA(enemy_skill_triggers!$A:$A),MATCH(K$1,enemy_skill_triggers!$1:$1,0)-MATCH($F$1,enemy_skill_triggers!$1:$1,0)+1),MATCH(K$1,enemy_skill_triggers!$1:$1,0)-MATCH($F$1,enemy_skill_triggers!$1:$1,0)+1,FALSE)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0" s="48">
        <f ca="1">VLOOKUP($F490,OFFSET(enemy_skill_triggers!$A$1,0,0,COUNTA(enemy_skill_triggers!$A:$A),MATCH(L$1,enemy_skill_triggers!$1:$1,0)-MATCH($F$1,enemy_skill_triggers!$1:$1,0)+1),MATCH(L$1,enemy_skill_triggers!$1:$1,0)-MATCH($F$1,enemy_skill_triggers!$1:$1,0)+1,FALSE)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0" s="48" t="str">
        <f ca="1">VLOOKUP($F490,OFFSET(enemy_skill_triggers!$A$1,0,0,COUNTA(enemy_skill_triggers!$A:$A),MATCH(M$1,enemy_skill_triggers!$1:$1,0)-MATCH($F$1,enemy_skill_triggers!$1:$1,0)+1),MATCH(M$1,enemy_skill_triggers!$1:$1,0)-MATCH($F$1,enemy_skill_triggers!$1:$1,0)+1,FALSE)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0" s="48" t="str">
        <f ca="1">VLOOKUP($F490,OFFSET(enemy_skill_triggers!$A$1,0,0,COUNTA(enemy_skill_triggers!$A:$A),MATCH(N$1,enemy_skill_triggers!$1:$1,0)-MATCH($F$1,enemy_skill_triggers!$1:$1,0)+1),MATCH(N$1,enemy_skill_triggers!$1:$1,0)-MATCH($F$1,enemy_skill_triggers!$1:$1,0)+1,FALSE)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0" s="48">
        <f ca="1">VLOOKUP($F490,OFFSET(enemy_skill_triggers!$A$1,0,0,COUNTA(enemy_skill_triggers!$A:$A),MATCH(O$1,enemy_skill_triggers!$1:$1,0)-MATCH($F$1,enemy_skill_triggers!$1:$1,0)+1),MATCH(O$1,enemy_skill_triggers!$1:$1,0)-MATCH($F$1,enemy_skill_triggers!$1:$1,0)+1,FALSE)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0" s="47"/>
      <c r="Q490" s="47"/>
      <c r="R490" s="47"/>
    </row>
    <row r="491" spans="1:18" ht="21" customHeight="1" x14ac:dyDescent="0.15">
      <c r="A491" s="39" t="str">
        <f t="shared" si="23"/>
        <v>39009026_39009025</v>
      </c>
      <c r="B491" s="130">
        <v>39009026</v>
      </c>
      <c r="C491" s="144">
        <v>39009025</v>
      </c>
      <c r="D491" s="46" t="str">
        <f ca="1">VLOOKUP($C491,OFFSET(enemy_skills!$A$1,0,0,COUNTA(enemy_skills!$A:$A),MATCH(D$1,enemy_skills!$1:$1,0)-MATCH("enemy_skill_id",enemy_skills!$1:$1,0)+1),MATCH(D$1,enemy_skills!$1:$1,0)-MATCH("enemy_skill_id",enemy_skills!$1:$1,0)+1,FALSE)</f>
        <v>パワフルな願い星をどうぞ☆</v>
      </c>
      <c r="E491" s="46" t="str">
        <f ca="1">VLOOKUP($C491,OFFSET(enemy_skills!$A$1,0,0,COUNTA(enemy_skills!$A:$A),MATCH(E$1,enemy_skills!$1:$1,0)-MATCH("enemy_skill_id",enemy_skills!$1:$1,0)+1),MATCH(E$1,enemy_skills!$1:$1,0)-MATCH("enemy_skill_id",enemy_skills!$1:$1,0)+1,FALSE)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緑パネルを緑のダメージパネルに4個変換</v>
      </c>
      <c r="F491" s="131">
        <v>39009019</v>
      </c>
      <c r="G491" s="48">
        <f ca="1">VLOOKUP($F491,OFFSET(enemy_skill_triggers!$A$1,0,0,COUNTA(enemy_skill_triggers!$A:$A),MATCH(G$1,enemy_skill_triggers!$1:$1,0)-MATCH($F$1,enemy_skill_triggers!$1:$1,0)+1),MATCH(G$1,enemy_skill_triggers!$1:$1,0)-MATCH($F$1,enemy_skill_triggers!$1:$1,0)+1,FALSE)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1" s="48">
        <f ca="1">VLOOKUP($F491,OFFSET(enemy_skill_triggers!$A$1,0,0,COUNTA(enemy_skill_triggers!$A:$A),MATCH(H$1,enemy_skill_triggers!$1:$1,0)-MATCH($F$1,enemy_skill_triggers!$1:$1,0)+1),MATCH(H$1,enemy_skill_triggers!$1:$1,0)-MATCH($F$1,enemy_skill_triggers!$1:$1,0)+1,FALSE)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1" s="48">
        <f ca="1">VLOOKUP($F491,OFFSET(enemy_skill_triggers!$A$1,0,0,COUNTA(enemy_skill_triggers!$A:$A),MATCH(I$1,enemy_skill_triggers!$1:$1,0)-MATCH($F$1,enemy_skill_triggers!$1:$1,0)+1),MATCH(I$1,enemy_skill_triggers!$1:$1,0)-MATCH($F$1,enemy_skill_triggers!$1:$1,0)+1,FALSE)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1" s="48" t="str">
        <f ca="1">VLOOKUP($F491,OFFSET(enemy_skill_triggers!$A$1,0,0,COUNTA(enemy_skill_triggers!$A:$A),MATCH(J$1,enemy_skill_triggers!$1:$1,0)-MATCH($F$1,enemy_skill_triggers!$1:$1,0)+1),MATCH(J$1,enemy_skill_triggers!$1:$1,0)-MATCH($F$1,enemy_skill_triggers!$1:$1,0)+1,FALSE)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1" s="48" t="str">
        <f ca="1">VLOOKUP($F491,OFFSET(enemy_skill_triggers!$A$1,0,0,COUNTA(enemy_skill_triggers!$A:$A),MATCH(K$1,enemy_skill_triggers!$1:$1,0)-MATCH($F$1,enemy_skill_triggers!$1:$1,0)+1),MATCH(K$1,enemy_skill_triggers!$1:$1,0)-MATCH($F$1,enemy_skill_triggers!$1:$1,0)+1,FALSE)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1" s="48">
        <f ca="1">VLOOKUP($F491,OFFSET(enemy_skill_triggers!$A$1,0,0,COUNTA(enemy_skill_triggers!$A:$A),MATCH(L$1,enemy_skill_triggers!$1:$1,0)-MATCH($F$1,enemy_skill_triggers!$1:$1,0)+1),MATCH(L$1,enemy_skill_triggers!$1:$1,0)-MATCH($F$1,enemy_skill_triggers!$1:$1,0)+1,FALSE)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1" s="48" t="str">
        <f ca="1">VLOOKUP($F491,OFFSET(enemy_skill_triggers!$A$1,0,0,COUNTA(enemy_skill_triggers!$A:$A),MATCH(M$1,enemy_skill_triggers!$1:$1,0)-MATCH($F$1,enemy_skill_triggers!$1:$1,0)+1),MATCH(M$1,enemy_skill_triggers!$1:$1,0)-MATCH($F$1,enemy_skill_triggers!$1:$1,0)+1,FALSE)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1" s="48" t="str">
        <f ca="1">VLOOKUP($F491,OFFSET(enemy_skill_triggers!$A$1,0,0,COUNTA(enemy_skill_triggers!$A:$A),MATCH(N$1,enemy_skill_triggers!$1:$1,0)-MATCH($F$1,enemy_skill_triggers!$1:$1,0)+1),MATCH(N$1,enemy_skill_triggers!$1:$1,0)-MATCH($F$1,enemy_skill_triggers!$1:$1,0)+1,FALSE)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1" s="48">
        <f ca="1">VLOOKUP($F491,OFFSET(enemy_skill_triggers!$A$1,0,0,COUNTA(enemy_skill_triggers!$A:$A),MATCH(O$1,enemy_skill_triggers!$1:$1,0)-MATCH($F$1,enemy_skill_triggers!$1:$1,0)+1),MATCH(O$1,enemy_skill_triggers!$1:$1,0)-MATCH($F$1,enemy_skill_triggers!$1:$1,0)+1,FALSE)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1" s="47"/>
      <c r="Q491" s="47"/>
      <c r="R491" s="47"/>
    </row>
    <row r="492" spans="1:18" ht="21" customHeight="1" x14ac:dyDescent="0.15">
      <c r="A492" s="39" t="str">
        <f t="shared" si="23"/>
        <v>39009026_39009050</v>
      </c>
      <c r="B492" s="130">
        <v>39009026</v>
      </c>
      <c r="C492" s="131">
        <v>39009050</v>
      </c>
      <c r="D492" s="46" t="str">
        <f ca="1">VLOOKUP($C492,OFFSET(enemy_skills!$A$1,0,0,COUNTA(enemy_skills!$A:$A),MATCH(D$1,enemy_skills!$1:$1,0)-MATCH("enemy_skill_id",enemy_skills!$1:$1,0)+1),MATCH(D$1,enemy_skills!$1:$1,0)-MATCH("enemy_skill_id",enemy_skills!$1:$1,0)+1,FALSE)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492" s="46" t="str">
        <f ca="1">VLOOKUP($C492,OFFSET(enemy_skills!$A$1,0,0,COUNTA(enemy_skills!$A:$A),MATCH(E$1,enemy_skills!$1:$1,0)-MATCH("enemy_skill_id",enemy_skills!$1:$1,0)+1),MATCH(E$1,enemy_skills!$1:$1,0)-MATCH("enemy_skill_id",enemy_skills!$1:$1,0)+1,FALSE)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2" s="131">
        <v>39009020</v>
      </c>
      <c r="G492" s="48">
        <f ca="1">VLOOKUP($F492,OFFSET(enemy_skill_triggers!$A$1,0,0,COUNTA(enemy_skill_triggers!$A:$A),MATCH(G$1,enemy_skill_triggers!$1:$1,0)-MATCH($F$1,enemy_skill_triggers!$1:$1,0)+1),MATCH(G$1,enemy_skill_triggers!$1:$1,0)-MATCH($F$1,enemy_skill_triggers!$1:$1,0)+1,FALSE)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2" s="48">
        <f ca="1">VLOOKUP($F492,OFFSET(enemy_skill_triggers!$A$1,0,0,COUNTA(enemy_skill_triggers!$A:$A),MATCH(H$1,enemy_skill_triggers!$1:$1,0)-MATCH($F$1,enemy_skill_triggers!$1:$1,0)+1),MATCH(H$1,enemy_skill_triggers!$1:$1,0)-MATCH($F$1,enemy_skill_triggers!$1:$1,0)+1,FALSE)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492" s="48">
        <f ca="1">VLOOKUP($F492,OFFSET(enemy_skill_triggers!$A$1,0,0,COUNTA(enemy_skill_triggers!$A:$A),MATCH(I$1,enemy_skill_triggers!$1:$1,0)-MATCH($F$1,enemy_skill_triggers!$1:$1,0)+1),MATCH(I$1,enemy_skill_triggers!$1:$1,0)-MATCH($F$1,enemy_skill_triggers!$1:$1,0)+1,FALSE)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2" s="48" t="str">
        <f ca="1">VLOOKUP($F492,OFFSET(enemy_skill_triggers!$A$1,0,0,COUNTA(enemy_skill_triggers!$A:$A),MATCH(J$1,enemy_skill_triggers!$1:$1,0)-MATCH($F$1,enemy_skill_triggers!$1:$1,0)+1),MATCH(J$1,enemy_skill_triggers!$1:$1,0)-MATCH($F$1,enemy_skill_triggers!$1:$1,0)+1,FALSE)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2" s="48" t="str">
        <f ca="1">VLOOKUP($F492,OFFSET(enemy_skill_triggers!$A$1,0,0,COUNTA(enemy_skill_triggers!$A:$A),MATCH(K$1,enemy_skill_triggers!$1:$1,0)-MATCH($F$1,enemy_skill_triggers!$1:$1,0)+1),MATCH(K$1,enemy_skill_triggers!$1:$1,0)-MATCH($F$1,enemy_skill_triggers!$1:$1,0)+1,FALSE)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2" s="48">
        <f ca="1">VLOOKUP($F492,OFFSET(enemy_skill_triggers!$A$1,0,0,COUNTA(enemy_skill_triggers!$A:$A),MATCH(L$1,enemy_skill_triggers!$1:$1,0)-MATCH($F$1,enemy_skill_triggers!$1:$1,0)+1),MATCH(L$1,enemy_skill_triggers!$1:$1,0)-MATCH($F$1,enemy_skill_triggers!$1:$1,0)+1,FALSE)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2" s="48" t="str">
        <f ca="1">VLOOKUP($F492,OFFSET(enemy_skill_triggers!$A$1,0,0,COUNTA(enemy_skill_triggers!$A:$A),MATCH(M$1,enemy_skill_triggers!$1:$1,0)-MATCH($F$1,enemy_skill_triggers!$1:$1,0)+1),MATCH(M$1,enemy_skill_triggers!$1:$1,0)-MATCH($F$1,enemy_skill_triggers!$1:$1,0)+1,FALSE)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2" s="48">
        <f ca="1">VLOOKUP($F492,OFFSET(enemy_skill_triggers!$A$1,0,0,COUNTA(enemy_skill_triggers!$A:$A),MATCH(N$1,enemy_skill_triggers!$1:$1,0)-MATCH($F$1,enemy_skill_triggers!$1:$1,0)+1),MATCH(N$1,enemy_skill_triggers!$1:$1,0)-MATCH($F$1,enemy_skill_triggers!$1:$1,0)+1,FALSE)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492" s="48">
        <f ca="1">VLOOKUP($F492,OFFSET(enemy_skill_triggers!$A$1,0,0,COUNTA(enemy_skill_triggers!$A:$A),MATCH(O$1,enemy_skill_triggers!$1:$1,0)-MATCH($F$1,enemy_skill_triggers!$1:$1,0)+1),MATCH(O$1,enemy_skill_triggers!$1:$1,0)-MATCH($F$1,enemy_skill_triggers!$1:$1,0)+1,FALSE)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2" s="47"/>
      <c r="Q492" s="47"/>
      <c r="R492" s="47"/>
    </row>
    <row r="493" spans="1:18" ht="21" customHeight="1" x14ac:dyDescent="0.15">
      <c r="A493" s="39" t="str">
        <f t="shared" si="23"/>
        <v>39009026_39009051</v>
      </c>
      <c r="B493" s="130">
        <v>39009026</v>
      </c>
      <c r="C493" s="131">
        <v>39009051</v>
      </c>
      <c r="D493" s="46" t="str">
        <f ca="1">VLOOKUP($C493,OFFSET(enemy_skills!$A$1,0,0,COUNTA(enemy_skills!$A:$A),MATCH(D$1,enemy_skills!$1:$1,0)-MATCH("enemy_skill_id",enemy_skills!$1:$1,0)+1),MATCH(D$1,enemy_skills!$1:$1,0)-MATCH("enemy_skill_id",enemy_skills!$1:$1,0)+1,FALSE)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493" s="46" t="str">
        <f ca="1">VLOOKUP($C493,OFFSET(enemy_skills!$A$1,0,0,COUNTA(enemy_skills!$A:$A),MATCH(E$1,enemy_skills!$1:$1,0)-MATCH("enemy_skill_id",enemy_skills!$1:$1,0)+1),MATCH(E$1,enemy_skills!$1:$1,0)-MATCH("enemy_skill_id",enemy_skills!$1:$1,0)+1,FALSE)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3" s="131">
        <v>39009021</v>
      </c>
      <c r="G493" s="48">
        <f ca="1">VLOOKUP($F493,OFFSET(enemy_skill_triggers!$A$1,0,0,COUNTA(enemy_skill_triggers!$A:$A),MATCH(G$1,enemy_skill_triggers!$1:$1,0)-MATCH($F$1,enemy_skill_triggers!$1:$1,0)+1),MATCH(G$1,enemy_skill_triggers!$1:$1,0)-MATCH($F$1,enemy_skill_triggers!$1:$1,0)+1,FALSE)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3" s="48">
        <f ca="1">VLOOKUP($F493,OFFSET(enemy_skill_triggers!$A$1,0,0,COUNTA(enemy_skill_triggers!$A:$A),MATCH(H$1,enemy_skill_triggers!$1:$1,0)-MATCH($F$1,enemy_skill_triggers!$1:$1,0)+1),MATCH(H$1,enemy_skill_triggers!$1:$1,0)-MATCH($F$1,enemy_skill_triggers!$1:$1,0)+1,FALSE)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493" s="48">
        <f ca="1">VLOOKUP($F493,OFFSET(enemy_skill_triggers!$A$1,0,0,COUNTA(enemy_skill_triggers!$A:$A),MATCH(I$1,enemy_skill_triggers!$1:$1,0)-MATCH($F$1,enemy_skill_triggers!$1:$1,0)+1),MATCH(I$1,enemy_skill_triggers!$1:$1,0)-MATCH($F$1,enemy_skill_triggers!$1:$1,0)+1,FALSE)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3" s="48" t="str">
        <f ca="1">VLOOKUP($F493,OFFSET(enemy_skill_triggers!$A$1,0,0,COUNTA(enemy_skill_triggers!$A:$A),MATCH(J$1,enemy_skill_triggers!$1:$1,0)-MATCH($F$1,enemy_skill_triggers!$1:$1,0)+1),MATCH(J$1,enemy_skill_triggers!$1:$1,0)-MATCH($F$1,enemy_skill_triggers!$1:$1,0)+1,FALSE)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3" s="48" t="str">
        <f ca="1">VLOOKUP($F493,OFFSET(enemy_skill_triggers!$A$1,0,0,COUNTA(enemy_skill_triggers!$A:$A),MATCH(K$1,enemy_skill_triggers!$1:$1,0)-MATCH($F$1,enemy_skill_triggers!$1:$1,0)+1),MATCH(K$1,enemy_skill_triggers!$1:$1,0)-MATCH($F$1,enemy_skill_triggers!$1:$1,0)+1,FALSE)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3" s="48">
        <f ca="1">VLOOKUP($F493,OFFSET(enemy_skill_triggers!$A$1,0,0,COUNTA(enemy_skill_triggers!$A:$A),MATCH(L$1,enemy_skill_triggers!$1:$1,0)-MATCH($F$1,enemy_skill_triggers!$1:$1,0)+1),MATCH(L$1,enemy_skill_triggers!$1:$1,0)-MATCH($F$1,enemy_skill_triggers!$1:$1,0)+1,FALSE)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3" s="48" t="str">
        <f ca="1">VLOOKUP($F493,OFFSET(enemy_skill_triggers!$A$1,0,0,COUNTA(enemy_skill_triggers!$A:$A),MATCH(M$1,enemy_skill_triggers!$1:$1,0)-MATCH($F$1,enemy_skill_triggers!$1:$1,0)+1),MATCH(M$1,enemy_skill_triggers!$1:$1,0)-MATCH($F$1,enemy_skill_triggers!$1:$1,0)+1,FALSE)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3" s="48">
        <f ca="1">VLOOKUP($F493,OFFSET(enemy_skill_triggers!$A$1,0,0,COUNTA(enemy_skill_triggers!$A:$A),MATCH(N$1,enemy_skill_triggers!$1:$1,0)-MATCH($F$1,enemy_skill_triggers!$1:$1,0)+1),MATCH(N$1,enemy_skill_triggers!$1:$1,0)-MATCH($F$1,enemy_skill_triggers!$1:$1,0)+1,FALSE)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93" s="48">
        <f ca="1">VLOOKUP($F493,OFFSET(enemy_skill_triggers!$A$1,0,0,COUNTA(enemy_skill_triggers!$A:$A),MATCH(O$1,enemy_skill_triggers!$1:$1,0)-MATCH($F$1,enemy_skill_triggers!$1:$1,0)+1),MATCH(O$1,enemy_skill_triggers!$1:$1,0)-MATCH($F$1,enemy_skill_triggers!$1:$1,0)+1,FALSE)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3" s="47"/>
      <c r="Q493" s="47"/>
      <c r="R493" s="47"/>
    </row>
    <row r="494" spans="1:18" ht="21" customHeight="1" x14ac:dyDescent="0.15">
      <c r="A494" s="39" t="str">
        <f t="shared" si="23"/>
        <v>39009026_39009052</v>
      </c>
      <c r="B494" s="130">
        <v>39009026</v>
      </c>
      <c r="C494" s="131">
        <v>39009052</v>
      </c>
      <c r="D494" s="46" t="str">
        <f ca="1">VLOOKUP($C494,OFFSET(enemy_skills!$A$1,0,0,COUNTA(enemy_skills!$A:$A),MATCH(D$1,enemy_skills!$1:$1,0)-MATCH("enemy_skill_id",enemy_skills!$1:$1,0)+1),MATCH(D$1,enemy_skills!$1:$1,0)-MATCH("enemy_skill_id",enemy_skills!$1:$1,0)+1,FALSE)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494" s="46" t="str">
        <f ca="1">VLOOKUP($C494,OFFSET(enemy_skills!$A$1,0,0,COUNTA(enemy_skills!$A:$A),MATCH(E$1,enemy_skills!$1:$1,0)-MATCH("enemy_skill_id",enemy_skills!$1:$1,0)+1),MATCH(E$1,enemy_skills!$1:$1,0)-MATCH("enemy_skill_id",enemy_skills!$1:$1,0)+1,FALSE)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4" s="131">
        <v>39009022</v>
      </c>
      <c r="G494" s="48">
        <f ca="1">VLOOKUP($F494,OFFSET(enemy_skill_triggers!$A$1,0,0,COUNTA(enemy_skill_triggers!$A:$A),MATCH(G$1,enemy_skill_triggers!$1:$1,0)-MATCH($F$1,enemy_skill_triggers!$1:$1,0)+1),MATCH(G$1,enemy_skill_triggers!$1:$1,0)-MATCH($F$1,enemy_skill_triggers!$1:$1,0)+1,FALSE)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4" s="48">
        <f ca="1">VLOOKUP($F494,OFFSET(enemy_skill_triggers!$A$1,0,0,COUNTA(enemy_skill_triggers!$A:$A),MATCH(H$1,enemy_skill_triggers!$1:$1,0)-MATCH($F$1,enemy_skill_triggers!$1:$1,0)+1),MATCH(H$1,enemy_skill_triggers!$1:$1,0)-MATCH($F$1,enemy_skill_triggers!$1:$1,0)+1,FALSE)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494" s="48">
        <f ca="1">VLOOKUP($F494,OFFSET(enemy_skill_triggers!$A$1,0,0,COUNTA(enemy_skill_triggers!$A:$A),MATCH(I$1,enemy_skill_triggers!$1:$1,0)-MATCH($F$1,enemy_skill_triggers!$1:$1,0)+1),MATCH(I$1,enemy_skill_triggers!$1:$1,0)-MATCH($F$1,enemy_skill_triggers!$1:$1,0)+1,FALSE)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4" s="48" t="str">
        <f ca="1">VLOOKUP($F494,OFFSET(enemy_skill_triggers!$A$1,0,0,COUNTA(enemy_skill_triggers!$A:$A),MATCH(J$1,enemy_skill_triggers!$1:$1,0)-MATCH($F$1,enemy_skill_triggers!$1:$1,0)+1),MATCH(J$1,enemy_skill_triggers!$1:$1,0)-MATCH($F$1,enemy_skill_triggers!$1:$1,0)+1,FALSE)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4" s="48" t="str">
        <f ca="1">VLOOKUP($F494,OFFSET(enemy_skill_triggers!$A$1,0,0,COUNTA(enemy_skill_triggers!$A:$A),MATCH(K$1,enemy_skill_triggers!$1:$1,0)-MATCH($F$1,enemy_skill_triggers!$1:$1,0)+1),MATCH(K$1,enemy_skill_triggers!$1:$1,0)-MATCH($F$1,enemy_skill_triggers!$1:$1,0)+1,FALSE)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4" s="48">
        <f ca="1">VLOOKUP($F494,OFFSET(enemy_skill_triggers!$A$1,0,0,COUNTA(enemy_skill_triggers!$A:$A),MATCH(L$1,enemy_skill_triggers!$1:$1,0)-MATCH($F$1,enemy_skill_triggers!$1:$1,0)+1),MATCH(L$1,enemy_skill_triggers!$1:$1,0)-MATCH($F$1,enemy_skill_triggers!$1:$1,0)+1,FALSE)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4" s="48" t="str">
        <f ca="1">VLOOKUP($F494,OFFSET(enemy_skill_triggers!$A$1,0,0,COUNTA(enemy_skill_triggers!$A:$A),MATCH(M$1,enemy_skill_triggers!$1:$1,0)-MATCH($F$1,enemy_skill_triggers!$1:$1,0)+1),MATCH(M$1,enemy_skill_triggers!$1:$1,0)-MATCH($F$1,enemy_skill_triggers!$1:$1,0)+1,FALSE)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4" s="48">
        <f ca="1">VLOOKUP($F494,OFFSET(enemy_skill_triggers!$A$1,0,0,COUNTA(enemy_skill_triggers!$A:$A),MATCH(N$1,enemy_skill_triggers!$1:$1,0)-MATCH($F$1,enemy_skill_triggers!$1:$1,0)+1),MATCH(N$1,enemy_skill_triggers!$1:$1,0)-MATCH($F$1,enemy_skill_triggers!$1:$1,0)+1,FALSE)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494" s="48">
        <f ca="1">VLOOKUP($F494,OFFSET(enemy_skill_triggers!$A$1,0,0,COUNTA(enemy_skill_triggers!$A:$A),MATCH(O$1,enemy_skill_triggers!$1:$1,0)-MATCH($F$1,enemy_skill_triggers!$1:$1,0)+1),MATCH(O$1,enemy_skill_triggers!$1:$1,0)-MATCH($F$1,enemy_skill_triggers!$1:$1,0)+1,FALSE)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4" s="47"/>
      <c r="Q494" s="47"/>
      <c r="R494" s="47"/>
    </row>
    <row r="495" spans="1:18" ht="21" customHeight="1" x14ac:dyDescent="0.15">
      <c r="A495" s="39" t="str">
        <f t="shared" si="23"/>
        <v>39009026_39009056</v>
      </c>
      <c r="B495" s="130">
        <v>39009026</v>
      </c>
      <c r="C495" s="131">
        <v>39009056</v>
      </c>
      <c r="D495" s="46" t="str">
        <f ca="1">VLOOKUP($C495,OFFSET(enemy_skills!$A$1,0,0,COUNTA(enemy_skills!$A:$A),MATCH(D$1,enemy_skills!$1:$1,0)-MATCH("enemy_skill_id",enemy_skills!$1:$1,0)+1),MATCH(D$1,enemy_skills!$1:$1,0)-MATCH("enemy_skill_id",enemy_skills!$1:$1,0)+1,FALSE)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495" s="46" t="str">
        <f ca="1">VLOOKUP($C495,OFFSET(enemy_skills!$A$1,0,0,COUNTA(enemy_skills!$A:$A),MATCH(E$1,enemy_skills!$1:$1,0)-MATCH("enemy_skill_id",enemy_skills!$1:$1,0)+1),MATCH(E$1,enemy_skills!$1:$1,0)-MATCH("enemy_skill_id",enemy_skills!$1:$1,0)+1,FALSE)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5" s="131">
        <v>39009023</v>
      </c>
      <c r="G495" s="48">
        <f ca="1">VLOOKUP($F495,OFFSET(enemy_skill_triggers!$A$1,0,0,COUNTA(enemy_skill_triggers!$A:$A),MATCH(G$1,enemy_skill_triggers!$1:$1,0)-MATCH($F$1,enemy_skill_triggers!$1:$1,0)+1),MATCH(G$1,enemy_skill_triggers!$1:$1,0)-MATCH($F$1,enemy_skill_triggers!$1:$1,0)+1,FALSE)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5" s="48">
        <f ca="1">VLOOKUP($F495,OFFSET(enemy_skill_triggers!$A$1,0,0,COUNTA(enemy_skill_triggers!$A:$A),MATCH(H$1,enemy_skill_triggers!$1:$1,0)-MATCH($F$1,enemy_skill_triggers!$1:$1,0)+1),MATCH(H$1,enemy_skill_triggers!$1:$1,0)-MATCH($F$1,enemy_skill_triggers!$1:$1,0)+1,FALSE)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495" s="48">
        <f ca="1">VLOOKUP($F495,OFFSET(enemy_skill_triggers!$A$1,0,0,COUNTA(enemy_skill_triggers!$A:$A),MATCH(I$1,enemy_skill_triggers!$1:$1,0)-MATCH($F$1,enemy_skill_triggers!$1:$1,0)+1),MATCH(I$1,enemy_skill_triggers!$1:$1,0)-MATCH($F$1,enemy_skill_triggers!$1:$1,0)+1,FALSE)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5" s="48" t="str">
        <f ca="1">VLOOKUP($F495,OFFSET(enemy_skill_triggers!$A$1,0,0,COUNTA(enemy_skill_triggers!$A:$A),MATCH(J$1,enemy_skill_triggers!$1:$1,0)-MATCH($F$1,enemy_skill_triggers!$1:$1,0)+1),MATCH(J$1,enemy_skill_triggers!$1:$1,0)-MATCH($F$1,enemy_skill_triggers!$1:$1,0)+1,FALSE)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5" s="48" t="str">
        <f ca="1">VLOOKUP($F495,OFFSET(enemy_skill_triggers!$A$1,0,0,COUNTA(enemy_skill_triggers!$A:$A),MATCH(K$1,enemy_skill_triggers!$1:$1,0)-MATCH($F$1,enemy_skill_triggers!$1:$1,0)+1),MATCH(K$1,enemy_skill_triggers!$1:$1,0)-MATCH($F$1,enemy_skill_triggers!$1:$1,0)+1,FALSE)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5" s="48">
        <f ca="1">VLOOKUP($F495,OFFSET(enemy_skill_triggers!$A$1,0,0,COUNTA(enemy_skill_triggers!$A:$A),MATCH(L$1,enemy_skill_triggers!$1:$1,0)-MATCH($F$1,enemy_skill_triggers!$1:$1,0)+1),MATCH(L$1,enemy_skill_triggers!$1:$1,0)-MATCH($F$1,enemy_skill_triggers!$1:$1,0)+1,FALSE)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5" s="48" t="str">
        <f ca="1">VLOOKUP($F495,OFFSET(enemy_skill_triggers!$A$1,0,0,COUNTA(enemy_skill_triggers!$A:$A),MATCH(M$1,enemy_skill_triggers!$1:$1,0)-MATCH($F$1,enemy_skill_triggers!$1:$1,0)+1),MATCH(M$1,enemy_skill_triggers!$1:$1,0)-MATCH($F$1,enemy_skill_triggers!$1:$1,0)+1,FALSE)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5" s="48">
        <f ca="1">VLOOKUP($F495,OFFSET(enemy_skill_triggers!$A$1,0,0,COUNTA(enemy_skill_triggers!$A:$A),MATCH(N$1,enemy_skill_triggers!$1:$1,0)-MATCH($F$1,enemy_skill_triggers!$1:$1,0)+1),MATCH(N$1,enemy_skill_triggers!$1:$1,0)-MATCH($F$1,enemy_skill_triggers!$1:$1,0)+1,FALSE)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495" s="48">
        <f ca="1">VLOOKUP($F495,OFFSET(enemy_skill_triggers!$A$1,0,0,COUNTA(enemy_skill_triggers!$A:$A),MATCH(O$1,enemy_skill_triggers!$1:$1,0)-MATCH($F$1,enemy_skill_triggers!$1:$1,0)+1),MATCH(O$1,enemy_skill_triggers!$1:$1,0)-MATCH($F$1,enemy_skill_triggers!$1:$1,0)+1,FALSE)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5" s="47"/>
      <c r="Q495" s="47"/>
      <c r="R495" s="47"/>
    </row>
    <row r="496" spans="1:18" ht="21" customHeight="1" x14ac:dyDescent="0.15">
      <c r="A496" s="39" t="str">
        <f t="shared" si="23"/>
        <v>39009026_39009056</v>
      </c>
      <c r="B496" s="130">
        <v>39009026</v>
      </c>
      <c r="C496" s="131">
        <v>39009056</v>
      </c>
      <c r="D496" s="46" t="str">
        <f ca="1">VLOOKUP($C496,OFFSET(enemy_skills!$A$1,0,0,COUNTA(enemy_skills!$A:$A),MATCH(D$1,enemy_skills!$1:$1,0)-MATCH("enemy_skill_id",enemy_skills!$1:$1,0)+1),MATCH(D$1,enemy_skills!$1:$1,0)-MATCH("enemy_skill_id",enemy_skills!$1:$1,0)+1,FALSE)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496" s="46" t="str">
        <f ca="1">VLOOKUP($C496,OFFSET(enemy_skills!$A$1,0,0,COUNTA(enemy_skills!$A:$A),MATCH(E$1,enemy_skills!$1:$1,0)-MATCH("enemy_skill_id",enemy_skills!$1:$1,0)+1),MATCH(E$1,enemy_skills!$1:$1,0)-MATCH("enemy_skill_id",enemy_skills!$1:$1,0)+1,FALSE)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6" s="131">
        <v>39009024</v>
      </c>
      <c r="G496" s="48">
        <f ca="1">VLOOKUP($F496,OFFSET(enemy_skill_triggers!$A$1,0,0,COUNTA(enemy_skill_triggers!$A:$A),MATCH(G$1,enemy_skill_triggers!$1:$1,0)-MATCH($F$1,enemy_skill_triggers!$1:$1,0)+1),MATCH(G$1,enemy_skill_triggers!$1:$1,0)-MATCH($F$1,enemy_skill_triggers!$1:$1,0)+1,FALSE)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6" s="48">
        <f ca="1">VLOOKUP($F496,OFFSET(enemy_skill_triggers!$A$1,0,0,COUNTA(enemy_skill_triggers!$A:$A),MATCH(H$1,enemy_skill_triggers!$1:$1,0)-MATCH($F$1,enemy_skill_triggers!$1:$1,0)+1),MATCH(H$1,enemy_skill_triggers!$1:$1,0)-MATCH($F$1,enemy_skill_triggers!$1:$1,0)+1,FALSE)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96" s="48">
        <f ca="1">VLOOKUP($F496,OFFSET(enemy_skill_triggers!$A$1,0,0,COUNTA(enemy_skill_triggers!$A:$A),MATCH(I$1,enemy_skill_triggers!$1:$1,0)-MATCH($F$1,enemy_skill_triggers!$1:$1,0)+1),MATCH(I$1,enemy_skill_triggers!$1:$1,0)-MATCH($F$1,enemy_skill_triggers!$1:$1,0)+1,FALSE)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6" s="48" t="str">
        <f ca="1">VLOOKUP($F496,OFFSET(enemy_skill_triggers!$A$1,0,0,COUNTA(enemy_skill_triggers!$A:$A),MATCH(J$1,enemy_skill_triggers!$1:$1,0)-MATCH($F$1,enemy_skill_triggers!$1:$1,0)+1),MATCH(J$1,enemy_skill_triggers!$1:$1,0)-MATCH($F$1,enemy_skill_triggers!$1:$1,0)+1,FALSE)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6" s="48" t="str">
        <f ca="1">VLOOKUP($F496,OFFSET(enemy_skill_triggers!$A$1,0,0,COUNTA(enemy_skill_triggers!$A:$A),MATCH(K$1,enemy_skill_triggers!$1:$1,0)-MATCH($F$1,enemy_skill_triggers!$1:$1,0)+1),MATCH(K$1,enemy_skill_triggers!$1:$1,0)-MATCH($F$1,enemy_skill_triggers!$1:$1,0)+1,FALSE)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6" s="48">
        <f ca="1">VLOOKUP($F496,OFFSET(enemy_skill_triggers!$A$1,0,0,COUNTA(enemy_skill_triggers!$A:$A),MATCH(L$1,enemy_skill_triggers!$1:$1,0)-MATCH($F$1,enemy_skill_triggers!$1:$1,0)+1),MATCH(L$1,enemy_skill_triggers!$1:$1,0)-MATCH($F$1,enemy_skill_triggers!$1:$1,0)+1,FALSE)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6" s="48" t="str">
        <f ca="1">VLOOKUP($F496,OFFSET(enemy_skill_triggers!$A$1,0,0,COUNTA(enemy_skill_triggers!$A:$A),MATCH(M$1,enemy_skill_triggers!$1:$1,0)-MATCH($F$1,enemy_skill_triggers!$1:$1,0)+1),MATCH(M$1,enemy_skill_triggers!$1:$1,0)-MATCH($F$1,enemy_skill_triggers!$1:$1,0)+1,FALSE)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6" s="48">
        <f ca="1">VLOOKUP($F496,OFFSET(enemy_skill_triggers!$A$1,0,0,COUNTA(enemy_skill_triggers!$A:$A),MATCH(N$1,enemy_skill_triggers!$1:$1,0)-MATCH($F$1,enemy_skill_triggers!$1:$1,0)+1),MATCH(N$1,enemy_skill_triggers!$1:$1,0)-MATCH($F$1,enemy_skill_triggers!$1:$1,0)+1,FALSE)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496" s="48">
        <f ca="1">VLOOKUP($F496,OFFSET(enemy_skill_triggers!$A$1,0,0,COUNTA(enemy_skill_triggers!$A:$A),MATCH(O$1,enemy_skill_triggers!$1:$1,0)-MATCH($F$1,enemy_skill_triggers!$1:$1,0)+1),MATCH(O$1,enemy_skill_triggers!$1:$1,0)-MATCH($F$1,enemy_skill_triggers!$1:$1,0)+1,FALSE)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6" s="47"/>
      <c r="Q496" s="47"/>
      <c r="R496" s="47"/>
    </row>
    <row r="497" spans="1:18" ht="21" customHeight="1" x14ac:dyDescent="0.15">
      <c r="A497" s="39" t="str">
        <f t="shared" si="23"/>
        <v>39009026_39009051</v>
      </c>
      <c r="B497" s="130">
        <v>39009026</v>
      </c>
      <c r="C497" s="131">
        <v>39009051</v>
      </c>
      <c r="D497" s="46" t="str">
        <f ca="1">VLOOKUP($C497,OFFSET(enemy_skills!$A$1,0,0,COUNTA(enemy_skills!$A:$A),MATCH(D$1,enemy_skills!$1:$1,0)-MATCH("enemy_skill_id",enemy_skills!$1:$1,0)+1),MATCH(D$1,enemy_skills!$1:$1,0)-MATCH("enemy_skill_id",enemy_skills!$1:$1,0)+1,FALSE)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497" s="46" t="str">
        <f ca="1">VLOOKUP($C497,OFFSET(enemy_skills!$A$1,0,0,COUNTA(enemy_skills!$A:$A),MATCH(E$1,enemy_skills!$1:$1,0)-MATCH("enemy_skill_id",enemy_skills!$1:$1,0)+1),MATCH(E$1,enemy_skills!$1:$1,0)-MATCH("enemy_skill_id",enemy_skills!$1:$1,0)+1,FALSE)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7" s="131">
        <v>39009025</v>
      </c>
      <c r="G497" s="48">
        <f ca="1">VLOOKUP($F497,OFFSET(enemy_skill_triggers!$A$1,0,0,COUNTA(enemy_skill_triggers!$A:$A),MATCH(G$1,enemy_skill_triggers!$1:$1,0)-MATCH($F$1,enemy_skill_triggers!$1:$1,0)+1),MATCH(G$1,enemy_skill_triggers!$1:$1,0)-MATCH($F$1,enemy_skill_triggers!$1:$1,0)+1,FALSE)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7" s="48">
        <f ca="1">VLOOKUP($F497,OFFSET(enemy_skill_triggers!$A$1,0,0,COUNTA(enemy_skill_triggers!$A:$A),MATCH(H$1,enemy_skill_triggers!$1:$1,0)-MATCH($F$1,enemy_skill_triggers!$1:$1,0)+1),MATCH(H$1,enemy_skill_triggers!$1:$1,0)-MATCH($F$1,enemy_skill_triggers!$1:$1,0)+1,FALSE)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497" s="48">
        <f ca="1">VLOOKUP($F497,OFFSET(enemy_skill_triggers!$A$1,0,0,COUNTA(enemy_skill_triggers!$A:$A),MATCH(I$1,enemy_skill_triggers!$1:$1,0)-MATCH($F$1,enemy_skill_triggers!$1:$1,0)+1),MATCH(I$1,enemy_skill_triggers!$1:$1,0)-MATCH($F$1,enemy_skill_triggers!$1:$1,0)+1,FALSE)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7" s="48" t="str">
        <f ca="1">VLOOKUP($F497,OFFSET(enemy_skill_triggers!$A$1,0,0,COUNTA(enemy_skill_triggers!$A:$A),MATCH(J$1,enemy_skill_triggers!$1:$1,0)-MATCH($F$1,enemy_skill_triggers!$1:$1,0)+1),MATCH(J$1,enemy_skill_triggers!$1:$1,0)-MATCH($F$1,enemy_skill_triggers!$1:$1,0)+1,FALSE)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7" s="48" t="str">
        <f ca="1">VLOOKUP($F497,OFFSET(enemy_skill_triggers!$A$1,0,0,COUNTA(enemy_skill_triggers!$A:$A),MATCH(K$1,enemy_skill_triggers!$1:$1,0)-MATCH($F$1,enemy_skill_triggers!$1:$1,0)+1),MATCH(K$1,enemy_skill_triggers!$1:$1,0)-MATCH($F$1,enemy_skill_triggers!$1:$1,0)+1,FALSE)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7" s="48">
        <f ca="1">VLOOKUP($F497,OFFSET(enemy_skill_triggers!$A$1,0,0,COUNTA(enemy_skill_triggers!$A:$A),MATCH(L$1,enemy_skill_triggers!$1:$1,0)-MATCH($F$1,enemy_skill_triggers!$1:$1,0)+1),MATCH(L$1,enemy_skill_triggers!$1:$1,0)-MATCH($F$1,enemy_skill_triggers!$1:$1,0)+1,FALSE)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7" s="48" t="str">
        <f ca="1">VLOOKUP($F497,OFFSET(enemy_skill_triggers!$A$1,0,0,COUNTA(enemy_skill_triggers!$A:$A),MATCH(M$1,enemy_skill_triggers!$1:$1,0)-MATCH($F$1,enemy_skill_triggers!$1:$1,0)+1),MATCH(M$1,enemy_skill_triggers!$1:$1,0)-MATCH($F$1,enemy_skill_triggers!$1:$1,0)+1,FALSE)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7" s="48">
        <f ca="1">VLOOKUP($F497,OFFSET(enemy_skill_triggers!$A$1,0,0,COUNTA(enemy_skill_triggers!$A:$A),MATCH(N$1,enemy_skill_triggers!$1:$1,0)-MATCH($F$1,enemy_skill_triggers!$1:$1,0)+1),MATCH(N$1,enemy_skill_triggers!$1:$1,0)-MATCH($F$1,enemy_skill_triggers!$1:$1,0)+1,FALSE)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497" s="48">
        <f ca="1">VLOOKUP($F497,OFFSET(enemy_skill_triggers!$A$1,0,0,COUNTA(enemy_skill_triggers!$A:$A),MATCH(O$1,enemy_skill_triggers!$1:$1,0)-MATCH($F$1,enemy_skill_triggers!$1:$1,0)+1),MATCH(O$1,enemy_skill_triggers!$1:$1,0)-MATCH($F$1,enemy_skill_triggers!$1:$1,0)+1,FALSE)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7" s="47"/>
      <c r="Q497" s="47"/>
      <c r="R497" s="47"/>
    </row>
    <row r="498" spans="1:18" ht="21" customHeight="1" x14ac:dyDescent="0.15">
      <c r="A498" s="39" t="str">
        <f t="shared" si="23"/>
        <v>39009026_39009052</v>
      </c>
      <c r="B498" s="130">
        <v>39009026</v>
      </c>
      <c r="C498" s="131">
        <v>39009052</v>
      </c>
      <c r="D498" s="46" t="str">
        <f ca="1">VLOOKUP($C498,OFFSET(enemy_skills!$A$1,0,0,COUNTA(enemy_skills!$A:$A),MATCH(D$1,enemy_skills!$1:$1,0)-MATCH("enemy_skill_id",enemy_skills!$1:$1,0)+1),MATCH(D$1,enemy_skills!$1:$1,0)-MATCH("enemy_skill_id",enemy_skills!$1:$1,0)+1,FALSE)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498" s="46" t="str">
        <f ca="1">VLOOKUP($C498,OFFSET(enemy_skills!$A$1,0,0,COUNTA(enemy_skills!$A:$A),MATCH(E$1,enemy_skills!$1:$1,0)-MATCH("enemy_skill_id",enemy_skills!$1:$1,0)+1),MATCH(E$1,enemy_skills!$1:$1,0)-MATCH("enemy_skill_id",enemy_skills!$1:$1,0)+1,FALSE)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8" s="131">
        <v>39009026</v>
      </c>
      <c r="G498" s="48">
        <f ca="1">VLOOKUP($F498,OFFSET(enemy_skill_triggers!$A$1,0,0,COUNTA(enemy_skill_triggers!$A:$A),MATCH(G$1,enemy_skill_triggers!$1:$1,0)-MATCH($F$1,enemy_skill_triggers!$1:$1,0)+1),MATCH(G$1,enemy_skill_triggers!$1:$1,0)-MATCH($F$1,enemy_skill_triggers!$1:$1,0)+1,FALSE)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8" s="48">
        <f ca="1">VLOOKUP($F498,OFFSET(enemy_skill_triggers!$A$1,0,0,COUNTA(enemy_skill_triggers!$A:$A),MATCH(H$1,enemy_skill_triggers!$1:$1,0)-MATCH($F$1,enemy_skill_triggers!$1:$1,0)+1),MATCH(H$1,enemy_skill_triggers!$1:$1,0)-MATCH($F$1,enemy_skill_triggers!$1:$1,0)+1,FALSE)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498" s="48">
        <f ca="1">VLOOKUP($F498,OFFSET(enemy_skill_triggers!$A$1,0,0,COUNTA(enemy_skill_triggers!$A:$A),MATCH(I$1,enemy_skill_triggers!$1:$1,0)-MATCH($F$1,enemy_skill_triggers!$1:$1,0)+1),MATCH(I$1,enemy_skill_triggers!$1:$1,0)-MATCH($F$1,enemy_skill_triggers!$1:$1,0)+1,FALSE)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8" s="48" t="str">
        <f ca="1">VLOOKUP($F498,OFFSET(enemy_skill_triggers!$A$1,0,0,COUNTA(enemy_skill_triggers!$A:$A),MATCH(J$1,enemy_skill_triggers!$1:$1,0)-MATCH($F$1,enemy_skill_triggers!$1:$1,0)+1),MATCH(J$1,enemy_skill_triggers!$1:$1,0)-MATCH($F$1,enemy_skill_triggers!$1:$1,0)+1,FALSE)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8" s="48" t="str">
        <f ca="1">VLOOKUP($F498,OFFSET(enemy_skill_triggers!$A$1,0,0,COUNTA(enemy_skill_triggers!$A:$A),MATCH(K$1,enemy_skill_triggers!$1:$1,0)-MATCH($F$1,enemy_skill_triggers!$1:$1,0)+1),MATCH(K$1,enemy_skill_triggers!$1:$1,0)-MATCH($F$1,enemy_skill_triggers!$1:$1,0)+1,FALSE)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8" s="48">
        <f ca="1">VLOOKUP($F498,OFFSET(enemy_skill_triggers!$A$1,0,0,COUNTA(enemy_skill_triggers!$A:$A),MATCH(L$1,enemy_skill_triggers!$1:$1,0)-MATCH($F$1,enemy_skill_triggers!$1:$1,0)+1),MATCH(L$1,enemy_skill_triggers!$1:$1,0)-MATCH($F$1,enemy_skill_triggers!$1:$1,0)+1,FALSE)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8" s="48" t="str">
        <f ca="1">VLOOKUP($F498,OFFSET(enemy_skill_triggers!$A$1,0,0,COUNTA(enemy_skill_triggers!$A:$A),MATCH(M$1,enemy_skill_triggers!$1:$1,0)-MATCH($F$1,enemy_skill_triggers!$1:$1,0)+1),MATCH(M$1,enemy_skill_triggers!$1:$1,0)-MATCH($F$1,enemy_skill_triggers!$1:$1,0)+1,FALSE)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8" s="48">
        <f ca="1">VLOOKUP($F498,OFFSET(enemy_skill_triggers!$A$1,0,0,COUNTA(enemy_skill_triggers!$A:$A),MATCH(N$1,enemy_skill_triggers!$1:$1,0)-MATCH($F$1,enemy_skill_triggers!$1:$1,0)+1),MATCH(N$1,enemy_skill_triggers!$1:$1,0)-MATCH($F$1,enemy_skill_triggers!$1:$1,0)+1,FALSE)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498" s="48">
        <f ca="1">VLOOKUP($F498,OFFSET(enemy_skill_triggers!$A$1,0,0,COUNTA(enemy_skill_triggers!$A:$A),MATCH(O$1,enemy_skill_triggers!$1:$1,0)-MATCH($F$1,enemy_skill_triggers!$1:$1,0)+1),MATCH(O$1,enemy_skill_triggers!$1:$1,0)-MATCH($F$1,enemy_skill_triggers!$1:$1,0)+1,FALSE)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8" s="47"/>
      <c r="Q498" s="47"/>
      <c r="R498" s="47"/>
    </row>
    <row r="499" spans="1:18" ht="21" customHeight="1" x14ac:dyDescent="0.15">
      <c r="A499" s="39" t="str">
        <f t="shared" si="23"/>
        <v>39009026_39009049</v>
      </c>
      <c r="B499" s="130">
        <v>39009026</v>
      </c>
      <c r="C499" s="131">
        <v>39009049</v>
      </c>
      <c r="D499" s="46" t="str">
        <f ca="1">VLOOKUP($C499,OFFSET(enemy_skills!$A$1,0,0,COUNTA(enemy_skills!$A:$A),MATCH(D$1,enemy_skills!$1:$1,0)-MATCH("enemy_skill_id",enemy_skills!$1:$1,0)+1),MATCH(D$1,enemy_skills!$1:$1,0)-MATCH("enemy_skill_id",enemy_skills!$1:$1,0)+1,FALSE)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499" s="46" t="str">
        <f ca="1">VLOOKUP($C499,OFFSET(enemy_skills!$A$1,0,0,COUNTA(enemy_skills!$A:$A),MATCH(E$1,enemy_skills!$1:$1,0)-MATCH("enemy_skill_id",enemy_skills!$1:$1,0)+1),MATCH(E$1,enemy_skills!$1:$1,0)-MATCH("enemy_skill_id",enemy_skills!$1:$1,0)+1,FALSE)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9" s="131">
        <v>39009027</v>
      </c>
      <c r="G499" s="48">
        <f ca="1">VLOOKUP($F499,OFFSET(enemy_skill_triggers!$A$1,0,0,COUNTA(enemy_skill_triggers!$A:$A),MATCH(G$1,enemy_skill_triggers!$1:$1,0)-MATCH($F$1,enemy_skill_triggers!$1:$1,0)+1),MATCH(G$1,enemy_skill_triggers!$1:$1,0)-MATCH($F$1,enemy_skill_triggers!$1:$1,0)+1,FALSE)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9" s="48">
        <f ca="1">VLOOKUP($F499,OFFSET(enemy_skill_triggers!$A$1,0,0,COUNTA(enemy_skill_triggers!$A:$A),MATCH(H$1,enemy_skill_triggers!$1:$1,0)-MATCH($F$1,enemy_skill_triggers!$1:$1,0)+1),MATCH(H$1,enemy_skill_triggers!$1:$1,0)-MATCH($F$1,enemy_skill_triggers!$1:$1,0)+1,FALSE)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499" s="48">
        <f ca="1">VLOOKUP($F499,OFFSET(enemy_skill_triggers!$A$1,0,0,COUNTA(enemy_skill_triggers!$A:$A),MATCH(I$1,enemy_skill_triggers!$1:$1,0)-MATCH($F$1,enemy_skill_triggers!$1:$1,0)+1),MATCH(I$1,enemy_skill_triggers!$1:$1,0)-MATCH($F$1,enemy_skill_triggers!$1:$1,0)+1,FALSE)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9" s="48" t="str">
        <f ca="1">VLOOKUP($F499,OFFSET(enemy_skill_triggers!$A$1,0,0,COUNTA(enemy_skill_triggers!$A:$A),MATCH(J$1,enemy_skill_triggers!$1:$1,0)-MATCH($F$1,enemy_skill_triggers!$1:$1,0)+1),MATCH(J$1,enemy_skill_triggers!$1:$1,0)-MATCH($F$1,enemy_skill_triggers!$1:$1,0)+1,FALSE)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9" s="48" t="str">
        <f ca="1">VLOOKUP($F499,OFFSET(enemy_skill_triggers!$A$1,0,0,COUNTA(enemy_skill_triggers!$A:$A),MATCH(K$1,enemy_skill_triggers!$1:$1,0)-MATCH($F$1,enemy_skill_triggers!$1:$1,0)+1),MATCH(K$1,enemy_skill_triggers!$1:$1,0)-MATCH($F$1,enemy_skill_triggers!$1:$1,0)+1,FALSE)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9" s="48">
        <f ca="1">VLOOKUP($F499,OFFSET(enemy_skill_triggers!$A$1,0,0,COUNTA(enemy_skill_triggers!$A:$A),MATCH(L$1,enemy_skill_triggers!$1:$1,0)-MATCH($F$1,enemy_skill_triggers!$1:$1,0)+1),MATCH(L$1,enemy_skill_triggers!$1:$1,0)-MATCH($F$1,enemy_skill_triggers!$1:$1,0)+1,FALSE)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9" s="48" t="str">
        <f ca="1">VLOOKUP($F499,OFFSET(enemy_skill_triggers!$A$1,0,0,COUNTA(enemy_skill_triggers!$A:$A),MATCH(M$1,enemy_skill_triggers!$1:$1,0)-MATCH($F$1,enemy_skill_triggers!$1:$1,0)+1),MATCH(M$1,enemy_skill_triggers!$1:$1,0)-MATCH($F$1,enemy_skill_triggers!$1:$1,0)+1,FALSE)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9" s="48">
        <f ca="1">VLOOKUP($F499,OFFSET(enemy_skill_triggers!$A$1,0,0,COUNTA(enemy_skill_triggers!$A:$A),MATCH(N$1,enemy_skill_triggers!$1:$1,0)-MATCH($F$1,enemy_skill_triggers!$1:$1,0)+1),MATCH(N$1,enemy_skill_triggers!$1:$1,0)-MATCH($F$1,enemy_skill_triggers!$1:$1,0)+1,FALSE)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499" s="48">
        <f ca="1">VLOOKUP($F499,OFFSET(enemy_skill_triggers!$A$1,0,0,COUNTA(enemy_skill_triggers!$A:$A),MATCH(O$1,enemy_skill_triggers!$1:$1,0)-MATCH($F$1,enemy_skill_triggers!$1:$1,0)+1),MATCH(O$1,enemy_skill_triggers!$1:$1,0)-MATCH($F$1,enemy_skill_triggers!$1:$1,0)+1,FALSE)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9" s="47"/>
      <c r="Q499" s="47"/>
      <c r="R499" s="47"/>
    </row>
    <row r="500" spans="1:18" ht="21" customHeight="1" x14ac:dyDescent="0.15">
      <c r="A500" s="39" t="str">
        <f t="shared" si="23"/>
        <v>39009026_39009049</v>
      </c>
      <c r="B500" s="130">
        <v>39009026</v>
      </c>
      <c r="C500" s="131">
        <v>39009049</v>
      </c>
      <c r="D500" s="46" t="str">
        <f ca="1">VLOOKUP($C500,OFFSET(enemy_skills!$A$1,0,0,COUNTA(enemy_skills!$A:$A),MATCH(D$1,enemy_skills!$1:$1,0)-MATCH("enemy_skill_id",enemy_skills!$1:$1,0)+1),MATCH(D$1,enemy_skills!$1:$1,0)-MATCH("enemy_skill_id",enemy_skills!$1:$1,0)+1,FALSE)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500" s="46" t="str">
        <f ca="1">VLOOKUP($C500,OFFSET(enemy_skills!$A$1,0,0,COUNTA(enemy_skills!$A:$A),MATCH(E$1,enemy_skills!$1:$1,0)-MATCH("enemy_skill_id",enemy_skills!$1:$1,0)+1),MATCH(E$1,enemy_skills!$1:$1,0)-MATCH("enemy_skill_id",enemy_skills!$1:$1,0)+1,FALSE)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0" s="131">
        <v>39009028</v>
      </c>
      <c r="G500" s="48">
        <f ca="1">VLOOKUP($F500,OFFSET(enemy_skill_triggers!$A$1,0,0,COUNTA(enemy_skill_triggers!$A:$A),MATCH(G$1,enemy_skill_triggers!$1:$1,0)-MATCH($F$1,enemy_skill_triggers!$1:$1,0)+1),MATCH(G$1,enemy_skill_triggers!$1:$1,0)-MATCH($F$1,enemy_skill_triggers!$1:$1,0)+1,FALSE)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0" s="48">
        <f ca="1">VLOOKUP($F500,OFFSET(enemy_skill_triggers!$A$1,0,0,COUNTA(enemy_skill_triggers!$A:$A),MATCH(H$1,enemy_skill_triggers!$1:$1,0)-MATCH($F$1,enemy_skill_triggers!$1:$1,0)+1),MATCH(H$1,enemy_skill_triggers!$1:$1,0)-MATCH($F$1,enemy_skill_triggers!$1:$1,0)+1,FALSE)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500" s="48">
        <f ca="1">VLOOKUP($F500,OFFSET(enemy_skill_triggers!$A$1,0,0,COUNTA(enemy_skill_triggers!$A:$A),MATCH(I$1,enemy_skill_triggers!$1:$1,0)-MATCH($F$1,enemy_skill_triggers!$1:$1,0)+1),MATCH(I$1,enemy_skill_triggers!$1:$1,0)-MATCH($F$1,enemy_skill_triggers!$1:$1,0)+1,FALSE)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0" s="48" t="str">
        <f ca="1">VLOOKUP($F500,OFFSET(enemy_skill_triggers!$A$1,0,0,COUNTA(enemy_skill_triggers!$A:$A),MATCH(J$1,enemy_skill_triggers!$1:$1,0)-MATCH($F$1,enemy_skill_triggers!$1:$1,0)+1),MATCH(J$1,enemy_skill_triggers!$1:$1,0)-MATCH($F$1,enemy_skill_triggers!$1:$1,0)+1,FALSE)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0" s="48" t="str">
        <f ca="1">VLOOKUP($F500,OFFSET(enemy_skill_triggers!$A$1,0,0,COUNTA(enemy_skill_triggers!$A:$A),MATCH(K$1,enemy_skill_triggers!$1:$1,0)-MATCH($F$1,enemy_skill_triggers!$1:$1,0)+1),MATCH(K$1,enemy_skill_triggers!$1:$1,0)-MATCH($F$1,enemy_skill_triggers!$1:$1,0)+1,FALSE)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0" s="48">
        <f ca="1">VLOOKUP($F500,OFFSET(enemy_skill_triggers!$A$1,0,0,COUNTA(enemy_skill_triggers!$A:$A),MATCH(L$1,enemy_skill_triggers!$1:$1,0)-MATCH($F$1,enemy_skill_triggers!$1:$1,0)+1),MATCH(L$1,enemy_skill_triggers!$1:$1,0)-MATCH($F$1,enemy_skill_triggers!$1:$1,0)+1,FALSE)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0" s="48" t="str">
        <f ca="1">VLOOKUP($F500,OFFSET(enemy_skill_triggers!$A$1,0,0,COUNTA(enemy_skill_triggers!$A:$A),MATCH(M$1,enemy_skill_triggers!$1:$1,0)-MATCH($F$1,enemy_skill_triggers!$1:$1,0)+1),MATCH(M$1,enemy_skill_triggers!$1:$1,0)-MATCH($F$1,enemy_skill_triggers!$1:$1,0)+1,FALSE)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0" s="48">
        <f ca="1">VLOOKUP($F500,OFFSET(enemy_skill_triggers!$A$1,0,0,COUNTA(enemy_skill_triggers!$A:$A),MATCH(N$1,enemy_skill_triggers!$1:$1,0)-MATCH($F$1,enemy_skill_triggers!$1:$1,0)+1),MATCH(N$1,enemy_skill_triggers!$1:$1,0)-MATCH($F$1,enemy_skill_triggers!$1:$1,0)+1,FALSE)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00" s="48">
        <f ca="1">VLOOKUP($F500,OFFSET(enemy_skill_triggers!$A$1,0,0,COUNTA(enemy_skill_triggers!$A:$A),MATCH(O$1,enemy_skill_triggers!$1:$1,0)-MATCH($F$1,enemy_skill_triggers!$1:$1,0)+1),MATCH(O$1,enemy_skill_triggers!$1:$1,0)-MATCH($F$1,enemy_skill_triggers!$1:$1,0)+1,FALSE)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0" s="47"/>
      <c r="Q500" s="47"/>
      <c r="R500" s="47"/>
    </row>
    <row r="501" spans="1:18" ht="21" customHeight="1" x14ac:dyDescent="0.15">
      <c r="A501" s="39" t="str">
        <f t="shared" si="23"/>
        <v>39009026_39009050</v>
      </c>
      <c r="B501" s="130">
        <v>39009026</v>
      </c>
      <c r="C501" s="131">
        <v>39009050</v>
      </c>
      <c r="D501" s="46" t="str">
        <f ca="1">VLOOKUP($C501,OFFSET(enemy_skills!$A$1,0,0,COUNTA(enemy_skills!$A:$A),MATCH(D$1,enemy_skills!$1:$1,0)-MATCH("enemy_skill_id",enemy_skills!$1:$1,0)+1),MATCH(D$1,enemy_skills!$1:$1,0)-MATCH("enemy_skill_id",enemy_skills!$1:$1,0)+1,FALSE)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501" s="46" t="str">
        <f ca="1">VLOOKUP($C501,OFFSET(enemy_skills!$A$1,0,0,COUNTA(enemy_skills!$A:$A),MATCH(E$1,enemy_skills!$1:$1,0)-MATCH("enemy_skill_id",enemy_skills!$1:$1,0)+1),MATCH(E$1,enemy_skills!$1:$1,0)-MATCH("enemy_skill_id",enemy_skills!$1:$1,0)+1,FALSE)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1" s="131">
        <v>39009029</v>
      </c>
      <c r="G501" s="48">
        <f ca="1">VLOOKUP($F501,OFFSET(enemy_skill_triggers!$A$1,0,0,COUNTA(enemy_skill_triggers!$A:$A),MATCH(G$1,enemy_skill_triggers!$1:$1,0)-MATCH($F$1,enemy_skill_triggers!$1:$1,0)+1),MATCH(G$1,enemy_skill_triggers!$1:$1,0)-MATCH($F$1,enemy_skill_triggers!$1:$1,0)+1,FALSE)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1" s="48">
        <f ca="1">VLOOKUP($F501,OFFSET(enemy_skill_triggers!$A$1,0,0,COUNTA(enemy_skill_triggers!$A:$A),MATCH(H$1,enemy_skill_triggers!$1:$1,0)-MATCH($F$1,enemy_skill_triggers!$1:$1,0)+1),MATCH(H$1,enemy_skill_triggers!$1:$1,0)-MATCH($F$1,enemy_skill_triggers!$1:$1,0)+1,FALSE)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01" s="48">
        <f ca="1">VLOOKUP($F501,OFFSET(enemy_skill_triggers!$A$1,0,0,COUNTA(enemy_skill_triggers!$A:$A),MATCH(I$1,enemy_skill_triggers!$1:$1,0)-MATCH($F$1,enemy_skill_triggers!$1:$1,0)+1),MATCH(I$1,enemy_skill_triggers!$1:$1,0)-MATCH($F$1,enemy_skill_triggers!$1:$1,0)+1,FALSE)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1" s="48" t="str">
        <f ca="1">VLOOKUP($F501,OFFSET(enemy_skill_triggers!$A$1,0,0,COUNTA(enemy_skill_triggers!$A:$A),MATCH(J$1,enemy_skill_triggers!$1:$1,0)-MATCH($F$1,enemy_skill_triggers!$1:$1,0)+1),MATCH(J$1,enemy_skill_triggers!$1:$1,0)-MATCH($F$1,enemy_skill_triggers!$1:$1,0)+1,FALSE)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1" s="48" t="str">
        <f ca="1">VLOOKUP($F501,OFFSET(enemy_skill_triggers!$A$1,0,0,COUNTA(enemy_skill_triggers!$A:$A),MATCH(K$1,enemy_skill_triggers!$1:$1,0)-MATCH($F$1,enemy_skill_triggers!$1:$1,0)+1),MATCH(K$1,enemy_skill_triggers!$1:$1,0)-MATCH($F$1,enemy_skill_triggers!$1:$1,0)+1,FALSE)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1" s="48">
        <f ca="1">VLOOKUP($F501,OFFSET(enemy_skill_triggers!$A$1,0,0,COUNTA(enemy_skill_triggers!$A:$A),MATCH(L$1,enemy_skill_triggers!$1:$1,0)-MATCH($F$1,enemy_skill_triggers!$1:$1,0)+1),MATCH(L$1,enemy_skill_triggers!$1:$1,0)-MATCH($F$1,enemy_skill_triggers!$1:$1,0)+1,FALSE)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1" s="48" t="str">
        <f ca="1">VLOOKUP($F501,OFFSET(enemy_skill_triggers!$A$1,0,0,COUNTA(enemy_skill_triggers!$A:$A),MATCH(M$1,enemy_skill_triggers!$1:$1,0)-MATCH($F$1,enemy_skill_triggers!$1:$1,0)+1),MATCH(M$1,enemy_skill_triggers!$1:$1,0)-MATCH($F$1,enemy_skill_triggers!$1:$1,0)+1,FALSE)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1" s="48">
        <f ca="1">VLOOKUP($F501,OFFSET(enemy_skill_triggers!$A$1,0,0,COUNTA(enemy_skill_triggers!$A:$A),MATCH(N$1,enemy_skill_triggers!$1:$1,0)-MATCH($F$1,enemy_skill_triggers!$1:$1,0)+1),MATCH(N$1,enemy_skill_triggers!$1:$1,0)-MATCH($F$1,enemy_skill_triggers!$1:$1,0)+1,FALSE)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01" s="48">
        <f ca="1">VLOOKUP($F501,OFFSET(enemy_skill_triggers!$A$1,0,0,COUNTA(enemy_skill_triggers!$A:$A),MATCH(O$1,enemy_skill_triggers!$1:$1,0)-MATCH($F$1,enemy_skill_triggers!$1:$1,0)+1),MATCH(O$1,enemy_skill_triggers!$1:$1,0)-MATCH($F$1,enemy_skill_triggers!$1:$1,0)+1,FALSE)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1" s="47"/>
      <c r="Q501" s="47"/>
      <c r="R501" s="47"/>
    </row>
    <row r="502" spans="1:18" ht="21" customHeight="1" x14ac:dyDescent="0.15">
      <c r="A502" s="39" t="str">
        <f t="shared" si="23"/>
        <v>39009026_39009050</v>
      </c>
      <c r="B502" s="130">
        <v>39009026</v>
      </c>
      <c r="C502" s="131">
        <v>39009050</v>
      </c>
      <c r="D502" s="46" t="str">
        <f ca="1">VLOOKUP($C502,OFFSET(enemy_skills!$A$1,0,0,COUNTA(enemy_skills!$A:$A),MATCH(D$1,enemy_skills!$1:$1,0)-MATCH("enemy_skill_id",enemy_skills!$1:$1,0)+1),MATCH(D$1,enemy_skills!$1:$1,0)-MATCH("enemy_skill_id",enemy_skills!$1:$1,0)+1,FALSE)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502" s="46" t="str">
        <f ca="1">VLOOKUP($C502,OFFSET(enemy_skills!$A$1,0,0,COUNTA(enemy_skills!$A:$A),MATCH(E$1,enemy_skills!$1:$1,0)-MATCH("enemy_skill_id",enemy_skills!$1:$1,0)+1),MATCH(E$1,enemy_skills!$1:$1,0)-MATCH("enemy_skill_id",enemy_skills!$1:$1,0)+1,FALSE)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2" s="131">
        <v>39009030</v>
      </c>
      <c r="G502" s="48">
        <f ca="1">VLOOKUP($F502,OFFSET(enemy_skill_triggers!$A$1,0,0,COUNTA(enemy_skill_triggers!$A:$A),MATCH(G$1,enemy_skill_triggers!$1:$1,0)-MATCH($F$1,enemy_skill_triggers!$1:$1,0)+1),MATCH(G$1,enemy_skill_triggers!$1:$1,0)-MATCH($F$1,enemy_skill_triggers!$1:$1,0)+1,FALSE)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2" s="48">
        <f ca="1">VLOOKUP($F502,OFFSET(enemy_skill_triggers!$A$1,0,0,COUNTA(enemy_skill_triggers!$A:$A),MATCH(H$1,enemy_skill_triggers!$1:$1,0)-MATCH($F$1,enemy_skill_triggers!$1:$1,0)+1),MATCH(H$1,enemy_skill_triggers!$1:$1,0)-MATCH($F$1,enemy_skill_triggers!$1:$1,0)+1,FALSE)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02" s="48">
        <f ca="1">VLOOKUP($F502,OFFSET(enemy_skill_triggers!$A$1,0,0,COUNTA(enemy_skill_triggers!$A:$A),MATCH(I$1,enemy_skill_triggers!$1:$1,0)-MATCH($F$1,enemy_skill_triggers!$1:$1,0)+1),MATCH(I$1,enemy_skill_triggers!$1:$1,0)-MATCH($F$1,enemy_skill_triggers!$1:$1,0)+1,FALSE)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2" s="48" t="str">
        <f ca="1">VLOOKUP($F502,OFFSET(enemy_skill_triggers!$A$1,0,0,COUNTA(enemy_skill_triggers!$A:$A),MATCH(J$1,enemy_skill_triggers!$1:$1,0)-MATCH($F$1,enemy_skill_triggers!$1:$1,0)+1),MATCH(J$1,enemy_skill_triggers!$1:$1,0)-MATCH($F$1,enemy_skill_triggers!$1:$1,0)+1,FALSE)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2" s="48" t="str">
        <f ca="1">VLOOKUP($F502,OFFSET(enemy_skill_triggers!$A$1,0,0,COUNTA(enemy_skill_triggers!$A:$A),MATCH(K$1,enemy_skill_triggers!$1:$1,0)-MATCH($F$1,enemy_skill_triggers!$1:$1,0)+1),MATCH(K$1,enemy_skill_triggers!$1:$1,0)-MATCH($F$1,enemy_skill_triggers!$1:$1,0)+1,FALSE)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2" s="48">
        <f ca="1">VLOOKUP($F502,OFFSET(enemy_skill_triggers!$A$1,0,0,COUNTA(enemy_skill_triggers!$A:$A),MATCH(L$1,enemy_skill_triggers!$1:$1,0)-MATCH($F$1,enemy_skill_triggers!$1:$1,0)+1),MATCH(L$1,enemy_skill_triggers!$1:$1,0)-MATCH($F$1,enemy_skill_triggers!$1:$1,0)+1,FALSE)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2" s="48" t="str">
        <f ca="1">VLOOKUP($F502,OFFSET(enemy_skill_triggers!$A$1,0,0,COUNTA(enemy_skill_triggers!$A:$A),MATCH(M$1,enemy_skill_triggers!$1:$1,0)-MATCH($F$1,enemy_skill_triggers!$1:$1,0)+1),MATCH(M$1,enemy_skill_triggers!$1:$1,0)-MATCH($F$1,enemy_skill_triggers!$1:$1,0)+1,FALSE)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2" s="48">
        <f ca="1">VLOOKUP($F502,OFFSET(enemy_skill_triggers!$A$1,0,0,COUNTA(enemy_skill_triggers!$A:$A),MATCH(N$1,enemy_skill_triggers!$1:$1,0)-MATCH($F$1,enemy_skill_triggers!$1:$1,0)+1),MATCH(N$1,enemy_skill_triggers!$1:$1,0)-MATCH($F$1,enemy_skill_triggers!$1:$1,0)+1,FALSE)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502" s="48">
        <f ca="1">VLOOKUP($F502,OFFSET(enemy_skill_triggers!$A$1,0,0,COUNTA(enemy_skill_triggers!$A:$A),MATCH(O$1,enemy_skill_triggers!$1:$1,0)-MATCH($F$1,enemy_skill_triggers!$1:$1,0)+1),MATCH(O$1,enemy_skill_triggers!$1:$1,0)-MATCH($F$1,enemy_skill_triggers!$1:$1,0)+1,FALSE)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2" s="47"/>
      <c r="Q502" s="47"/>
      <c r="R502" s="47"/>
    </row>
    <row r="503" spans="1:18" ht="21" customHeight="1" x14ac:dyDescent="0.15">
      <c r="A503" s="39" t="str">
        <f t="shared" si="23"/>
        <v>39009026_39009055</v>
      </c>
      <c r="B503" s="130">
        <v>39009026</v>
      </c>
      <c r="C503" s="131">
        <v>39009055</v>
      </c>
      <c r="D503" s="46" t="str">
        <f ca="1">VLOOKUP($C503,OFFSET(enemy_skills!$A$1,0,0,COUNTA(enemy_skills!$A:$A),MATCH(D$1,enemy_skills!$1:$1,0)-MATCH("enemy_skill_id",enemy_skills!$1:$1,0)+1),MATCH(D$1,enemy_skills!$1:$1,0)-MATCH("enemy_skill_id",enemy_skills!$1:$1,0)+1,FALSE)</f>
        <v>KAITOさーん！_x000D_アイスの星座つくろっ☆</v>
      </c>
      <c r="E503" s="46" t="str">
        <f ca="1">VLOOKUP($C503,OFFSET(enemy_skills!$A$1,0,0,COUNTA(enemy_skills!$A:$A),MATCH(E$1,enemy_skills!$1:$1,0)-MATCH("enemy_skill_id",enemy_skills!$1:$1,0)+1),MATCH(E$1,enemy_skills!$1:$1,0)-MATCH("enemy_skill_id",enemy_skills!$1:$1,0)+1,FALSE)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3" s="131">
        <v>39009031</v>
      </c>
      <c r="G503" s="48">
        <f ca="1">VLOOKUP($F503,OFFSET(enemy_skill_triggers!$A$1,0,0,COUNTA(enemy_skill_triggers!$A:$A),MATCH(G$1,enemy_skill_triggers!$1:$1,0)-MATCH($F$1,enemy_skill_triggers!$1:$1,0)+1),MATCH(G$1,enemy_skill_triggers!$1:$1,0)-MATCH($F$1,enemy_skill_triggers!$1:$1,0)+1,FALSE)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3" s="48">
        <f ca="1">VLOOKUP($F503,OFFSET(enemy_skill_triggers!$A$1,0,0,COUNTA(enemy_skill_triggers!$A:$A),MATCH(H$1,enemy_skill_triggers!$1:$1,0)-MATCH($F$1,enemy_skill_triggers!$1:$1,0)+1),MATCH(H$1,enemy_skill_triggers!$1:$1,0)-MATCH($F$1,enemy_skill_triggers!$1:$1,0)+1,FALSE)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03" s="48">
        <f ca="1">VLOOKUP($F503,OFFSET(enemy_skill_triggers!$A$1,0,0,COUNTA(enemy_skill_triggers!$A:$A),MATCH(I$1,enemy_skill_triggers!$1:$1,0)-MATCH($F$1,enemy_skill_triggers!$1:$1,0)+1),MATCH(I$1,enemy_skill_triggers!$1:$1,0)-MATCH($F$1,enemy_skill_triggers!$1:$1,0)+1,FALSE)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3" s="48" t="str">
        <f ca="1">VLOOKUP($F503,OFFSET(enemy_skill_triggers!$A$1,0,0,COUNTA(enemy_skill_triggers!$A:$A),MATCH(J$1,enemy_skill_triggers!$1:$1,0)-MATCH($F$1,enemy_skill_triggers!$1:$1,0)+1),MATCH(J$1,enemy_skill_triggers!$1:$1,0)-MATCH($F$1,enemy_skill_triggers!$1:$1,0)+1,FALSE)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3" s="48" t="str">
        <f ca="1">VLOOKUP($F503,OFFSET(enemy_skill_triggers!$A$1,0,0,COUNTA(enemy_skill_triggers!$A:$A),MATCH(K$1,enemy_skill_triggers!$1:$1,0)-MATCH($F$1,enemy_skill_triggers!$1:$1,0)+1),MATCH(K$1,enemy_skill_triggers!$1:$1,0)-MATCH($F$1,enemy_skill_triggers!$1:$1,0)+1,FALSE)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3" s="48">
        <f ca="1">VLOOKUP($F503,OFFSET(enemy_skill_triggers!$A$1,0,0,COUNTA(enemy_skill_triggers!$A:$A),MATCH(L$1,enemy_skill_triggers!$1:$1,0)-MATCH($F$1,enemy_skill_triggers!$1:$1,0)+1),MATCH(L$1,enemy_skill_triggers!$1:$1,0)-MATCH($F$1,enemy_skill_triggers!$1:$1,0)+1,FALSE)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3" s="48" t="str">
        <f ca="1">VLOOKUP($F503,OFFSET(enemy_skill_triggers!$A$1,0,0,COUNTA(enemy_skill_triggers!$A:$A),MATCH(M$1,enemy_skill_triggers!$1:$1,0)-MATCH($F$1,enemy_skill_triggers!$1:$1,0)+1),MATCH(M$1,enemy_skill_triggers!$1:$1,0)-MATCH($F$1,enemy_skill_triggers!$1:$1,0)+1,FALSE)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3" s="48">
        <f ca="1">VLOOKUP($F503,OFFSET(enemy_skill_triggers!$A$1,0,0,COUNTA(enemy_skill_triggers!$A:$A),MATCH(N$1,enemy_skill_triggers!$1:$1,0)-MATCH($F$1,enemy_skill_triggers!$1:$1,0)+1),MATCH(N$1,enemy_skill_triggers!$1:$1,0)-MATCH($F$1,enemy_skill_triggers!$1:$1,0)+1,FALSE)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503" s="48">
        <f ca="1">VLOOKUP($F503,OFFSET(enemy_skill_triggers!$A$1,0,0,COUNTA(enemy_skill_triggers!$A:$A),MATCH(O$1,enemy_skill_triggers!$1:$1,0)-MATCH($F$1,enemy_skill_triggers!$1:$1,0)+1),MATCH(O$1,enemy_skill_triggers!$1:$1,0)-MATCH($F$1,enemy_skill_triggers!$1:$1,0)+1,FALSE)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3" s="47"/>
      <c r="Q503" s="47"/>
      <c r="R503" s="47"/>
    </row>
    <row r="504" spans="1:18" ht="21" customHeight="1" x14ac:dyDescent="0.15">
      <c r="A504" s="39" t="str">
        <f t="shared" si="23"/>
        <v>39009026_39009049</v>
      </c>
      <c r="B504" s="130">
        <v>39009026</v>
      </c>
      <c r="C504" s="131">
        <v>39009049</v>
      </c>
      <c r="D504" s="46" t="str">
        <f ca="1">VLOOKUP($C504,OFFSET(enemy_skills!$A$1,0,0,COUNTA(enemy_skills!$A:$A),MATCH(D$1,enemy_skills!$1:$1,0)-MATCH("enemy_skill_id",enemy_skills!$1:$1,0)+1),MATCH(D$1,enemy_skills!$1:$1,0)-MATCH("enemy_skill_id",enemy_skills!$1:$1,0)+1,FALSE)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504" s="46" t="str">
        <f ca="1">VLOOKUP($C504,OFFSET(enemy_skills!$A$1,0,0,COUNTA(enemy_skills!$A:$A),MATCH(E$1,enemy_skills!$1:$1,0)-MATCH("enemy_skill_id",enemy_skills!$1:$1,0)+1),MATCH(E$1,enemy_skills!$1:$1,0)-MATCH("enemy_skill_id",enemy_skills!$1:$1,0)+1,FALSE)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4" s="131">
        <v>39009032</v>
      </c>
      <c r="G504" s="48">
        <f ca="1">VLOOKUP($F504,OFFSET(enemy_skill_triggers!$A$1,0,0,COUNTA(enemy_skill_triggers!$A:$A),MATCH(G$1,enemy_skill_triggers!$1:$1,0)-MATCH($F$1,enemy_skill_triggers!$1:$1,0)+1),MATCH(G$1,enemy_skill_triggers!$1:$1,0)-MATCH($F$1,enemy_skill_triggers!$1:$1,0)+1,FALSE)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4" s="48">
        <f ca="1">VLOOKUP($F504,OFFSET(enemy_skill_triggers!$A$1,0,0,COUNTA(enemy_skill_triggers!$A:$A),MATCH(H$1,enemy_skill_triggers!$1:$1,0)-MATCH($F$1,enemy_skill_triggers!$1:$1,0)+1),MATCH(H$1,enemy_skill_triggers!$1:$1,0)-MATCH($F$1,enemy_skill_triggers!$1:$1,0)+1,FALSE)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504" s="48">
        <f ca="1">VLOOKUP($F504,OFFSET(enemy_skill_triggers!$A$1,0,0,COUNTA(enemy_skill_triggers!$A:$A),MATCH(I$1,enemy_skill_triggers!$1:$1,0)-MATCH($F$1,enemy_skill_triggers!$1:$1,0)+1),MATCH(I$1,enemy_skill_triggers!$1:$1,0)-MATCH($F$1,enemy_skill_triggers!$1:$1,0)+1,FALSE)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4" s="48" t="str">
        <f ca="1">VLOOKUP($F504,OFFSET(enemy_skill_triggers!$A$1,0,0,COUNTA(enemy_skill_triggers!$A:$A),MATCH(J$1,enemy_skill_triggers!$1:$1,0)-MATCH($F$1,enemy_skill_triggers!$1:$1,0)+1),MATCH(J$1,enemy_skill_triggers!$1:$1,0)-MATCH($F$1,enemy_skill_triggers!$1:$1,0)+1,FALSE)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4" s="48" t="str">
        <f ca="1">VLOOKUP($F504,OFFSET(enemy_skill_triggers!$A$1,0,0,COUNTA(enemy_skill_triggers!$A:$A),MATCH(K$1,enemy_skill_triggers!$1:$1,0)-MATCH($F$1,enemy_skill_triggers!$1:$1,0)+1),MATCH(K$1,enemy_skill_triggers!$1:$1,0)-MATCH($F$1,enemy_skill_triggers!$1:$1,0)+1,FALSE)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4" s="48">
        <f ca="1">VLOOKUP($F504,OFFSET(enemy_skill_triggers!$A$1,0,0,COUNTA(enemy_skill_triggers!$A:$A),MATCH(L$1,enemy_skill_triggers!$1:$1,0)-MATCH($F$1,enemy_skill_triggers!$1:$1,0)+1),MATCH(L$1,enemy_skill_triggers!$1:$1,0)-MATCH($F$1,enemy_skill_triggers!$1:$1,0)+1,FALSE)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4" s="48" t="str">
        <f ca="1">VLOOKUP($F504,OFFSET(enemy_skill_triggers!$A$1,0,0,COUNTA(enemy_skill_triggers!$A:$A),MATCH(M$1,enemy_skill_triggers!$1:$1,0)-MATCH($F$1,enemy_skill_triggers!$1:$1,0)+1),MATCH(M$1,enemy_skill_triggers!$1:$1,0)-MATCH($F$1,enemy_skill_triggers!$1:$1,0)+1,FALSE)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4" s="48">
        <f ca="1">VLOOKUP($F504,OFFSET(enemy_skill_triggers!$A$1,0,0,COUNTA(enemy_skill_triggers!$A:$A),MATCH(N$1,enemy_skill_triggers!$1:$1,0)-MATCH($F$1,enemy_skill_triggers!$1:$1,0)+1),MATCH(N$1,enemy_skill_triggers!$1:$1,0)-MATCH($F$1,enemy_skill_triggers!$1:$1,0)+1,FALSE)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04" s="48">
        <f ca="1">VLOOKUP($F504,OFFSET(enemy_skill_triggers!$A$1,0,0,COUNTA(enemy_skill_triggers!$A:$A),MATCH(O$1,enemy_skill_triggers!$1:$1,0)-MATCH($F$1,enemy_skill_triggers!$1:$1,0)+1),MATCH(O$1,enemy_skill_triggers!$1:$1,0)-MATCH($F$1,enemy_skill_triggers!$1:$1,0)+1,FALSE)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4" s="47"/>
      <c r="Q504" s="47"/>
      <c r="R504" s="47"/>
    </row>
    <row r="505" spans="1:18" ht="21" customHeight="1" x14ac:dyDescent="0.15">
      <c r="A505" s="39" t="str">
        <f t="shared" si="23"/>
        <v>39009026_39009049</v>
      </c>
      <c r="B505" s="130">
        <v>39009026</v>
      </c>
      <c r="C505" s="131">
        <v>39009049</v>
      </c>
      <c r="D505" s="46" t="str">
        <f ca="1">VLOOKUP($C505,OFFSET(enemy_skills!$A$1,0,0,COUNTA(enemy_skills!$A:$A),MATCH(D$1,enemy_skills!$1:$1,0)-MATCH("enemy_skill_id",enemy_skills!$1:$1,0)+1),MATCH(D$1,enemy_skills!$1:$1,0)-MATCH("enemy_skill_id",enemy_skills!$1:$1,0)+1,FALSE)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505" s="46" t="str">
        <f ca="1">VLOOKUP($C505,OFFSET(enemy_skills!$A$1,0,0,COUNTA(enemy_skills!$A:$A),MATCH(E$1,enemy_skills!$1:$1,0)-MATCH("enemy_skill_id",enemy_skills!$1:$1,0)+1),MATCH(E$1,enemy_skills!$1:$1,0)-MATCH("enemy_skill_id",enemy_skills!$1:$1,0)+1,FALSE)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5" s="131">
        <v>39009033</v>
      </c>
      <c r="G505" s="48">
        <f ca="1">VLOOKUP($F505,OFFSET(enemy_skill_triggers!$A$1,0,0,COUNTA(enemy_skill_triggers!$A:$A),MATCH(G$1,enemy_skill_triggers!$1:$1,0)-MATCH($F$1,enemy_skill_triggers!$1:$1,0)+1),MATCH(G$1,enemy_skill_triggers!$1:$1,0)-MATCH($F$1,enemy_skill_triggers!$1:$1,0)+1,FALSE)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5" s="48">
        <f ca="1">VLOOKUP($F505,OFFSET(enemy_skill_triggers!$A$1,0,0,COUNTA(enemy_skill_triggers!$A:$A),MATCH(H$1,enemy_skill_triggers!$1:$1,0)-MATCH($F$1,enemy_skill_triggers!$1:$1,0)+1),MATCH(H$1,enemy_skill_triggers!$1:$1,0)-MATCH($F$1,enemy_skill_triggers!$1:$1,0)+1,FALSE)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05" s="48">
        <f ca="1">VLOOKUP($F505,OFFSET(enemy_skill_triggers!$A$1,0,0,COUNTA(enemy_skill_triggers!$A:$A),MATCH(I$1,enemy_skill_triggers!$1:$1,0)-MATCH($F$1,enemy_skill_triggers!$1:$1,0)+1),MATCH(I$1,enemy_skill_triggers!$1:$1,0)-MATCH($F$1,enemy_skill_triggers!$1:$1,0)+1,FALSE)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5" s="48" t="str">
        <f ca="1">VLOOKUP($F505,OFFSET(enemy_skill_triggers!$A$1,0,0,COUNTA(enemy_skill_triggers!$A:$A),MATCH(J$1,enemy_skill_triggers!$1:$1,0)-MATCH($F$1,enemy_skill_triggers!$1:$1,0)+1),MATCH(J$1,enemy_skill_triggers!$1:$1,0)-MATCH($F$1,enemy_skill_triggers!$1:$1,0)+1,FALSE)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5" s="48" t="str">
        <f ca="1">VLOOKUP($F505,OFFSET(enemy_skill_triggers!$A$1,0,0,COUNTA(enemy_skill_triggers!$A:$A),MATCH(K$1,enemy_skill_triggers!$1:$1,0)-MATCH($F$1,enemy_skill_triggers!$1:$1,0)+1),MATCH(K$1,enemy_skill_triggers!$1:$1,0)-MATCH($F$1,enemy_skill_triggers!$1:$1,0)+1,FALSE)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5" s="48">
        <f ca="1">VLOOKUP($F505,OFFSET(enemy_skill_triggers!$A$1,0,0,COUNTA(enemy_skill_triggers!$A:$A),MATCH(L$1,enemy_skill_triggers!$1:$1,0)-MATCH($F$1,enemy_skill_triggers!$1:$1,0)+1),MATCH(L$1,enemy_skill_triggers!$1:$1,0)-MATCH($F$1,enemy_skill_triggers!$1:$1,0)+1,FALSE)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5" s="48" t="str">
        <f ca="1">VLOOKUP($F505,OFFSET(enemy_skill_triggers!$A$1,0,0,COUNTA(enemy_skill_triggers!$A:$A),MATCH(M$1,enemy_skill_triggers!$1:$1,0)-MATCH($F$1,enemy_skill_triggers!$1:$1,0)+1),MATCH(M$1,enemy_skill_triggers!$1:$1,0)-MATCH($F$1,enemy_skill_triggers!$1:$1,0)+1,FALSE)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5" s="48">
        <f ca="1">VLOOKUP($F505,OFFSET(enemy_skill_triggers!$A$1,0,0,COUNTA(enemy_skill_triggers!$A:$A),MATCH(N$1,enemy_skill_triggers!$1:$1,0)-MATCH($F$1,enemy_skill_triggers!$1:$1,0)+1),MATCH(N$1,enemy_skill_triggers!$1:$1,0)-MATCH($F$1,enemy_skill_triggers!$1:$1,0)+1,FALSE)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05" s="48">
        <f ca="1">VLOOKUP($F505,OFFSET(enemy_skill_triggers!$A$1,0,0,COUNTA(enemy_skill_triggers!$A:$A),MATCH(O$1,enemy_skill_triggers!$1:$1,0)-MATCH($F$1,enemy_skill_triggers!$1:$1,0)+1),MATCH(O$1,enemy_skill_triggers!$1:$1,0)-MATCH($F$1,enemy_skill_triggers!$1:$1,0)+1,FALSE)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5" s="47"/>
      <c r="Q505" s="47"/>
      <c r="R505" s="47"/>
    </row>
    <row r="506" spans="1:18" ht="21" customHeight="1" x14ac:dyDescent="0.15">
      <c r="A506" s="39" t="str">
        <f t="shared" si="23"/>
        <v>39009026_39009048</v>
      </c>
      <c r="B506" s="130">
        <v>39009026</v>
      </c>
      <c r="C506" s="131">
        <v>39009048</v>
      </c>
      <c r="D506" s="46" t="str">
        <f ca="1">VLOOKUP($C506,OFFSET(enemy_skills!$A$1,0,0,COUNTA(enemy_skills!$A:$A),MATCH(D$1,enemy_skills!$1:$1,0)-MATCH("enemy_skill_id",enemy_skills!$1:$1,0)+1),MATCH(D$1,enemy_skills!$1:$1,0)-MATCH("enemy_skill_id",enemy_skills!$1:$1,0)+1,FALSE)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506" s="46" t="str">
        <f ca="1">VLOOKUP($C506,OFFSET(enemy_skills!$A$1,0,0,COUNTA(enemy_skills!$A:$A),MATCH(E$1,enemy_skills!$1:$1,0)-MATCH("enemy_skill_id",enemy_skills!$1:$1,0)+1),MATCH(E$1,enemy_skills!$1:$1,0)-MATCH("enemy_skill_id",enemy_skills!$1:$1,0)+1,FALSE)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6" s="131">
        <v>39009034</v>
      </c>
      <c r="G506" s="48">
        <f ca="1">VLOOKUP($F506,OFFSET(enemy_skill_triggers!$A$1,0,0,COUNTA(enemy_skill_triggers!$A:$A),MATCH(G$1,enemy_skill_triggers!$1:$1,0)-MATCH($F$1,enemy_skill_triggers!$1:$1,0)+1),MATCH(G$1,enemy_skill_triggers!$1:$1,0)-MATCH($F$1,enemy_skill_triggers!$1:$1,0)+1,FALSE)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6" s="48">
        <f ca="1">VLOOKUP($F506,OFFSET(enemy_skill_triggers!$A$1,0,0,COUNTA(enemy_skill_triggers!$A:$A),MATCH(H$1,enemy_skill_triggers!$1:$1,0)-MATCH($F$1,enemy_skill_triggers!$1:$1,0)+1),MATCH(H$1,enemy_skill_triggers!$1:$1,0)-MATCH($F$1,enemy_skill_triggers!$1:$1,0)+1,FALSE)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06" s="48">
        <f ca="1">VLOOKUP($F506,OFFSET(enemy_skill_triggers!$A$1,0,0,COUNTA(enemy_skill_triggers!$A:$A),MATCH(I$1,enemy_skill_triggers!$1:$1,0)-MATCH($F$1,enemy_skill_triggers!$1:$1,0)+1),MATCH(I$1,enemy_skill_triggers!$1:$1,0)-MATCH($F$1,enemy_skill_triggers!$1:$1,0)+1,FALSE)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6" s="48" t="str">
        <f ca="1">VLOOKUP($F506,OFFSET(enemy_skill_triggers!$A$1,0,0,COUNTA(enemy_skill_triggers!$A:$A),MATCH(J$1,enemy_skill_triggers!$1:$1,0)-MATCH($F$1,enemy_skill_triggers!$1:$1,0)+1),MATCH(J$1,enemy_skill_triggers!$1:$1,0)-MATCH($F$1,enemy_skill_triggers!$1:$1,0)+1,FALSE)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6" s="48" t="str">
        <f ca="1">VLOOKUP($F506,OFFSET(enemy_skill_triggers!$A$1,0,0,COUNTA(enemy_skill_triggers!$A:$A),MATCH(K$1,enemy_skill_triggers!$1:$1,0)-MATCH($F$1,enemy_skill_triggers!$1:$1,0)+1),MATCH(K$1,enemy_skill_triggers!$1:$1,0)-MATCH($F$1,enemy_skill_triggers!$1:$1,0)+1,FALSE)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6" s="48">
        <f ca="1">VLOOKUP($F506,OFFSET(enemy_skill_triggers!$A$1,0,0,COUNTA(enemy_skill_triggers!$A:$A),MATCH(L$1,enemy_skill_triggers!$1:$1,0)-MATCH($F$1,enemy_skill_triggers!$1:$1,0)+1),MATCH(L$1,enemy_skill_triggers!$1:$1,0)-MATCH($F$1,enemy_skill_triggers!$1:$1,0)+1,FALSE)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6" s="48" t="str">
        <f ca="1">VLOOKUP($F506,OFFSET(enemy_skill_triggers!$A$1,0,0,COUNTA(enemy_skill_triggers!$A:$A),MATCH(M$1,enemy_skill_triggers!$1:$1,0)-MATCH($F$1,enemy_skill_triggers!$1:$1,0)+1),MATCH(M$1,enemy_skill_triggers!$1:$1,0)-MATCH($F$1,enemy_skill_triggers!$1:$1,0)+1,FALSE)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6" s="48">
        <f ca="1">VLOOKUP($F506,OFFSET(enemy_skill_triggers!$A$1,0,0,COUNTA(enemy_skill_triggers!$A:$A),MATCH(N$1,enemy_skill_triggers!$1:$1,0)-MATCH($F$1,enemy_skill_triggers!$1:$1,0)+1),MATCH(N$1,enemy_skill_triggers!$1:$1,0)-MATCH($F$1,enemy_skill_triggers!$1:$1,0)+1,FALSE)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06" s="48">
        <f ca="1">VLOOKUP($F506,OFFSET(enemy_skill_triggers!$A$1,0,0,COUNTA(enemy_skill_triggers!$A:$A),MATCH(O$1,enemy_skill_triggers!$1:$1,0)-MATCH($F$1,enemy_skill_triggers!$1:$1,0)+1),MATCH(O$1,enemy_skill_triggers!$1:$1,0)-MATCH($F$1,enemy_skill_triggers!$1:$1,0)+1,FALSE)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6" s="47"/>
      <c r="Q506" s="47"/>
      <c r="R506" s="47"/>
    </row>
    <row r="507" spans="1:18" ht="21" customHeight="1" x14ac:dyDescent="0.15">
      <c r="A507" s="39" t="str">
        <f t="shared" si="23"/>
        <v>39009026_39009048</v>
      </c>
      <c r="B507" s="130">
        <v>39009026</v>
      </c>
      <c r="C507" s="131">
        <v>39009048</v>
      </c>
      <c r="D507" s="46" t="str">
        <f ca="1">VLOOKUP($C507,OFFSET(enemy_skills!$A$1,0,0,COUNTA(enemy_skills!$A:$A),MATCH(D$1,enemy_skills!$1:$1,0)-MATCH("enemy_skill_id",enemy_skills!$1:$1,0)+1),MATCH(D$1,enemy_skills!$1:$1,0)-MATCH("enemy_skill_id",enemy_skills!$1:$1,0)+1,FALSE)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507" s="46" t="str">
        <f ca="1">VLOOKUP($C507,OFFSET(enemy_skills!$A$1,0,0,COUNTA(enemy_skills!$A:$A),MATCH(E$1,enemy_skills!$1:$1,0)-MATCH("enemy_skill_id",enemy_skills!$1:$1,0)+1),MATCH(E$1,enemy_skills!$1:$1,0)-MATCH("enemy_skill_id",enemy_skills!$1:$1,0)+1,FALSE)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7" s="131">
        <v>39009035</v>
      </c>
      <c r="G507" s="48">
        <f ca="1">VLOOKUP($F507,OFFSET(enemy_skill_triggers!$A$1,0,0,COUNTA(enemy_skill_triggers!$A:$A),MATCH(G$1,enemy_skill_triggers!$1:$1,0)-MATCH($F$1,enemy_skill_triggers!$1:$1,0)+1),MATCH(G$1,enemy_skill_triggers!$1:$1,0)-MATCH($F$1,enemy_skill_triggers!$1:$1,0)+1,FALSE)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7" s="48">
        <f ca="1">VLOOKUP($F507,OFFSET(enemy_skill_triggers!$A$1,0,0,COUNTA(enemy_skill_triggers!$A:$A),MATCH(H$1,enemy_skill_triggers!$1:$1,0)-MATCH($F$1,enemy_skill_triggers!$1:$1,0)+1),MATCH(H$1,enemy_skill_triggers!$1:$1,0)-MATCH($F$1,enemy_skill_triggers!$1:$1,0)+1,FALSE)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07" s="48">
        <f ca="1">VLOOKUP($F507,OFFSET(enemy_skill_triggers!$A$1,0,0,COUNTA(enemy_skill_triggers!$A:$A),MATCH(I$1,enemy_skill_triggers!$1:$1,0)-MATCH($F$1,enemy_skill_triggers!$1:$1,0)+1),MATCH(I$1,enemy_skill_triggers!$1:$1,0)-MATCH($F$1,enemy_skill_triggers!$1:$1,0)+1,FALSE)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7" s="48" t="str">
        <f ca="1">VLOOKUP($F507,OFFSET(enemy_skill_triggers!$A$1,0,0,COUNTA(enemy_skill_triggers!$A:$A),MATCH(J$1,enemy_skill_triggers!$1:$1,0)-MATCH($F$1,enemy_skill_triggers!$1:$1,0)+1),MATCH(J$1,enemy_skill_triggers!$1:$1,0)-MATCH($F$1,enemy_skill_triggers!$1:$1,0)+1,FALSE)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7" s="48" t="str">
        <f ca="1">VLOOKUP($F507,OFFSET(enemy_skill_triggers!$A$1,0,0,COUNTA(enemy_skill_triggers!$A:$A),MATCH(K$1,enemy_skill_triggers!$1:$1,0)-MATCH($F$1,enemy_skill_triggers!$1:$1,0)+1),MATCH(K$1,enemy_skill_triggers!$1:$1,0)-MATCH($F$1,enemy_skill_triggers!$1:$1,0)+1,FALSE)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7" s="48">
        <f ca="1">VLOOKUP($F507,OFFSET(enemy_skill_triggers!$A$1,0,0,COUNTA(enemy_skill_triggers!$A:$A),MATCH(L$1,enemy_skill_triggers!$1:$1,0)-MATCH($F$1,enemy_skill_triggers!$1:$1,0)+1),MATCH(L$1,enemy_skill_triggers!$1:$1,0)-MATCH($F$1,enemy_skill_triggers!$1:$1,0)+1,FALSE)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7" s="48" t="str">
        <f ca="1">VLOOKUP($F507,OFFSET(enemy_skill_triggers!$A$1,0,0,COUNTA(enemy_skill_triggers!$A:$A),MATCH(M$1,enemy_skill_triggers!$1:$1,0)-MATCH($F$1,enemy_skill_triggers!$1:$1,0)+1),MATCH(M$1,enemy_skill_triggers!$1:$1,0)-MATCH($F$1,enemy_skill_triggers!$1:$1,0)+1,FALSE)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7" s="48">
        <f ca="1">VLOOKUP($F507,OFFSET(enemy_skill_triggers!$A$1,0,0,COUNTA(enemy_skill_triggers!$A:$A),MATCH(N$1,enemy_skill_triggers!$1:$1,0)-MATCH($F$1,enemy_skill_triggers!$1:$1,0)+1),MATCH(N$1,enemy_skill_triggers!$1:$1,0)-MATCH($F$1,enemy_skill_triggers!$1:$1,0)+1,FALSE)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507" s="48">
        <f ca="1">VLOOKUP($F507,OFFSET(enemy_skill_triggers!$A$1,0,0,COUNTA(enemy_skill_triggers!$A:$A),MATCH(O$1,enemy_skill_triggers!$1:$1,0)-MATCH($F$1,enemy_skill_triggers!$1:$1,0)+1),MATCH(O$1,enemy_skill_triggers!$1:$1,0)-MATCH($F$1,enemy_skill_triggers!$1:$1,0)+1,FALSE)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7" s="47"/>
      <c r="Q507" s="47"/>
      <c r="R507" s="47"/>
    </row>
    <row r="508" spans="1:18" ht="21" customHeight="1" x14ac:dyDescent="0.15">
      <c r="A508" s="39" t="str">
        <f t="shared" si="23"/>
        <v>39009026_39009049</v>
      </c>
      <c r="B508" s="130">
        <v>39009026</v>
      </c>
      <c r="C508" s="131">
        <v>39009049</v>
      </c>
      <c r="D508" s="46" t="str">
        <f ca="1">VLOOKUP($C508,OFFSET(enemy_skills!$A$1,0,0,COUNTA(enemy_skills!$A:$A),MATCH(D$1,enemy_skills!$1:$1,0)-MATCH("enemy_skill_id",enemy_skills!$1:$1,0)+1),MATCH(D$1,enemy_skills!$1:$1,0)-MATCH("enemy_skill_id",enemy_skills!$1:$1,0)+1,FALSE)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508" s="46" t="str">
        <f ca="1">VLOOKUP($C508,OFFSET(enemy_skills!$A$1,0,0,COUNTA(enemy_skills!$A:$A),MATCH(E$1,enemy_skills!$1:$1,0)-MATCH("enemy_skill_id",enemy_skills!$1:$1,0)+1),MATCH(E$1,enemy_skills!$1:$1,0)-MATCH("enemy_skill_id",enemy_skills!$1:$1,0)+1,FALSE)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8" s="131">
        <v>39009036</v>
      </c>
      <c r="G508" s="48">
        <f ca="1">VLOOKUP($F508,OFFSET(enemy_skill_triggers!$A$1,0,0,COUNTA(enemy_skill_triggers!$A:$A),MATCH(G$1,enemy_skill_triggers!$1:$1,0)-MATCH($F$1,enemy_skill_triggers!$1:$1,0)+1),MATCH(G$1,enemy_skill_triggers!$1:$1,0)-MATCH($F$1,enemy_skill_triggers!$1:$1,0)+1,FALSE)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8" s="48">
        <f ca="1">VLOOKUP($F508,OFFSET(enemy_skill_triggers!$A$1,0,0,COUNTA(enemy_skill_triggers!$A:$A),MATCH(H$1,enemy_skill_triggers!$1:$1,0)-MATCH($F$1,enemy_skill_triggers!$1:$1,0)+1),MATCH(H$1,enemy_skill_triggers!$1:$1,0)-MATCH($F$1,enemy_skill_triggers!$1:$1,0)+1,FALSE)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508" s="48">
        <f ca="1">VLOOKUP($F508,OFFSET(enemy_skill_triggers!$A$1,0,0,COUNTA(enemy_skill_triggers!$A:$A),MATCH(I$1,enemy_skill_triggers!$1:$1,0)-MATCH($F$1,enemy_skill_triggers!$1:$1,0)+1),MATCH(I$1,enemy_skill_triggers!$1:$1,0)-MATCH($F$1,enemy_skill_triggers!$1:$1,0)+1,FALSE)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8" s="48" t="str">
        <f ca="1">VLOOKUP($F508,OFFSET(enemy_skill_triggers!$A$1,0,0,COUNTA(enemy_skill_triggers!$A:$A),MATCH(J$1,enemy_skill_triggers!$1:$1,0)-MATCH($F$1,enemy_skill_triggers!$1:$1,0)+1),MATCH(J$1,enemy_skill_triggers!$1:$1,0)-MATCH($F$1,enemy_skill_triggers!$1:$1,0)+1,FALSE)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8" s="48" t="str">
        <f ca="1">VLOOKUP($F508,OFFSET(enemy_skill_triggers!$A$1,0,0,COUNTA(enemy_skill_triggers!$A:$A),MATCH(K$1,enemy_skill_triggers!$1:$1,0)-MATCH($F$1,enemy_skill_triggers!$1:$1,0)+1),MATCH(K$1,enemy_skill_triggers!$1:$1,0)-MATCH($F$1,enemy_skill_triggers!$1:$1,0)+1,FALSE)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8" s="48">
        <f ca="1">VLOOKUP($F508,OFFSET(enemy_skill_triggers!$A$1,0,0,COUNTA(enemy_skill_triggers!$A:$A),MATCH(L$1,enemy_skill_triggers!$1:$1,0)-MATCH($F$1,enemy_skill_triggers!$1:$1,0)+1),MATCH(L$1,enemy_skill_triggers!$1:$1,0)-MATCH($F$1,enemy_skill_triggers!$1:$1,0)+1,FALSE)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8" s="48" t="str">
        <f ca="1">VLOOKUP($F508,OFFSET(enemy_skill_triggers!$A$1,0,0,COUNTA(enemy_skill_triggers!$A:$A),MATCH(M$1,enemy_skill_triggers!$1:$1,0)-MATCH($F$1,enemy_skill_triggers!$1:$1,0)+1),MATCH(M$1,enemy_skill_triggers!$1:$1,0)-MATCH($F$1,enemy_skill_triggers!$1:$1,0)+1,FALSE)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8" s="48">
        <f ca="1">VLOOKUP($F508,OFFSET(enemy_skill_triggers!$A$1,0,0,COUNTA(enemy_skill_triggers!$A:$A),MATCH(N$1,enemy_skill_triggers!$1:$1,0)-MATCH($F$1,enemy_skill_triggers!$1:$1,0)+1),MATCH(N$1,enemy_skill_triggers!$1:$1,0)-MATCH($F$1,enemy_skill_triggers!$1:$1,0)+1,FALSE)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508" s="48">
        <f ca="1">VLOOKUP($F508,OFFSET(enemy_skill_triggers!$A$1,0,0,COUNTA(enemy_skill_triggers!$A:$A),MATCH(O$1,enemy_skill_triggers!$1:$1,0)-MATCH($F$1,enemy_skill_triggers!$1:$1,0)+1),MATCH(O$1,enemy_skill_triggers!$1:$1,0)-MATCH($F$1,enemy_skill_triggers!$1:$1,0)+1,FALSE)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8" s="47"/>
      <c r="Q508" s="47"/>
      <c r="R508" s="47"/>
    </row>
    <row r="509" spans="1:18" ht="21" customHeight="1" x14ac:dyDescent="0.15">
      <c r="A509" s="39" t="str">
        <f t="shared" si="23"/>
        <v>39009026_39009056</v>
      </c>
      <c r="B509" s="130">
        <v>39009026</v>
      </c>
      <c r="C509" s="131">
        <v>39009056</v>
      </c>
      <c r="D509" s="46" t="str">
        <f ca="1">VLOOKUP($C509,OFFSET(enemy_skills!$A$1,0,0,COUNTA(enemy_skills!$A:$A),MATCH(D$1,enemy_skills!$1:$1,0)-MATCH("enemy_skill_id",enemy_skills!$1:$1,0)+1),MATCH(D$1,enemy_skills!$1:$1,0)-MATCH("enemy_skill_id",enemy_skills!$1:$1,0)+1,FALSE)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509" s="46" t="str">
        <f ca="1">VLOOKUP($C509,OFFSET(enemy_skills!$A$1,0,0,COUNTA(enemy_skills!$A:$A),MATCH(E$1,enemy_skills!$1:$1,0)-MATCH("enemy_skill_id",enemy_skills!$1:$1,0)+1),MATCH(E$1,enemy_skills!$1:$1,0)-MATCH("enemy_skill_id",enemy_skills!$1:$1,0)+1,FALSE)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9" s="131">
        <v>39009037</v>
      </c>
      <c r="G509" s="48">
        <f ca="1">VLOOKUP($F509,OFFSET(enemy_skill_triggers!$A$1,0,0,COUNTA(enemy_skill_triggers!$A:$A),MATCH(G$1,enemy_skill_triggers!$1:$1,0)-MATCH($F$1,enemy_skill_triggers!$1:$1,0)+1),MATCH(G$1,enemy_skill_triggers!$1:$1,0)-MATCH($F$1,enemy_skill_triggers!$1:$1,0)+1,FALSE)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9" s="48">
        <f ca="1">VLOOKUP($F509,OFFSET(enemy_skill_triggers!$A$1,0,0,COUNTA(enemy_skill_triggers!$A:$A),MATCH(H$1,enemy_skill_triggers!$1:$1,0)-MATCH($F$1,enemy_skill_triggers!$1:$1,0)+1),MATCH(H$1,enemy_skill_triggers!$1:$1,0)-MATCH($F$1,enemy_skill_triggers!$1:$1,0)+1,FALSE)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509" s="48">
        <f ca="1">VLOOKUP($F509,OFFSET(enemy_skill_triggers!$A$1,0,0,COUNTA(enemy_skill_triggers!$A:$A),MATCH(I$1,enemy_skill_triggers!$1:$1,0)-MATCH($F$1,enemy_skill_triggers!$1:$1,0)+1),MATCH(I$1,enemy_skill_triggers!$1:$1,0)-MATCH($F$1,enemy_skill_triggers!$1:$1,0)+1,FALSE)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9" s="48" t="str">
        <f ca="1">VLOOKUP($F509,OFFSET(enemy_skill_triggers!$A$1,0,0,COUNTA(enemy_skill_triggers!$A:$A),MATCH(J$1,enemy_skill_triggers!$1:$1,0)-MATCH($F$1,enemy_skill_triggers!$1:$1,0)+1),MATCH(J$1,enemy_skill_triggers!$1:$1,0)-MATCH($F$1,enemy_skill_triggers!$1:$1,0)+1,FALSE)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9" s="48" t="str">
        <f ca="1">VLOOKUP($F509,OFFSET(enemy_skill_triggers!$A$1,0,0,COUNTA(enemy_skill_triggers!$A:$A),MATCH(K$1,enemy_skill_triggers!$1:$1,0)-MATCH($F$1,enemy_skill_triggers!$1:$1,0)+1),MATCH(K$1,enemy_skill_triggers!$1:$1,0)-MATCH($F$1,enemy_skill_triggers!$1:$1,0)+1,FALSE)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9" s="48">
        <f ca="1">VLOOKUP($F509,OFFSET(enemy_skill_triggers!$A$1,0,0,COUNTA(enemy_skill_triggers!$A:$A),MATCH(L$1,enemy_skill_triggers!$1:$1,0)-MATCH($F$1,enemy_skill_triggers!$1:$1,0)+1),MATCH(L$1,enemy_skill_triggers!$1:$1,0)-MATCH($F$1,enemy_skill_triggers!$1:$1,0)+1,FALSE)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9" s="48" t="str">
        <f ca="1">VLOOKUP($F509,OFFSET(enemy_skill_triggers!$A$1,0,0,COUNTA(enemy_skill_triggers!$A:$A),MATCH(M$1,enemy_skill_triggers!$1:$1,0)-MATCH($F$1,enemy_skill_triggers!$1:$1,0)+1),MATCH(M$1,enemy_skill_triggers!$1:$1,0)-MATCH($F$1,enemy_skill_triggers!$1:$1,0)+1,FALSE)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9" s="48">
        <f ca="1">VLOOKUP($F509,OFFSET(enemy_skill_triggers!$A$1,0,0,COUNTA(enemy_skill_triggers!$A:$A),MATCH(N$1,enemy_skill_triggers!$1:$1,0)-MATCH($F$1,enemy_skill_triggers!$1:$1,0)+1),MATCH(N$1,enemy_skill_triggers!$1:$1,0)-MATCH($F$1,enemy_skill_triggers!$1:$1,0)+1,FALSE)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509" s="48">
        <f ca="1">VLOOKUP($F509,OFFSET(enemy_skill_triggers!$A$1,0,0,COUNTA(enemy_skill_triggers!$A:$A),MATCH(O$1,enemy_skill_triggers!$1:$1,0)-MATCH($F$1,enemy_skill_triggers!$1:$1,0)+1),MATCH(O$1,enemy_skill_triggers!$1:$1,0)-MATCH($F$1,enemy_skill_triggers!$1:$1,0)+1,FALSE)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9" s="47"/>
      <c r="Q509" s="47"/>
      <c r="R509" s="47"/>
    </row>
    <row r="510" spans="1:18" ht="21" customHeight="1" x14ac:dyDescent="0.15">
      <c r="A510" s="39" t="str">
        <f t="shared" si="23"/>
        <v>39009026_39009056</v>
      </c>
      <c r="B510" s="130">
        <v>39009026</v>
      </c>
      <c r="C510" s="131">
        <v>39009056</v>
      </c>
      <c r="D510" s="46" t="str">
        <f ca="1">VLOOKUP($C510,OFFSET(enemy_skills!$A$1,0,0,COUNTA(enemy_skills!$A:$A),MATCH(D$1,enemy_skills!$1:$1,0)-MATCH("enemy_skill_id",enemy_skills!$1:$1,0)+1),MATCH(D$1,enemy_skills!$1:$1,0)-MATCH("enemy_skill_id",enemy_skills!$1:$1,0)+1,FALSE)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510" s="46" t="str">
        <f ca="1">VLOOKUP($C510,OFFSET(enemy_skills!$A$1,0,0,COUNTA(enemy_skills!$A:$A),MATCH(E$1,enemy_skills!$1:$1,0)-MATCH("enemy_skill_id",enemy_skills!$1:$1,0)+1),MATCH(E$1,enemy_skills!$1:$1,0)-MATCH("enemy_skill_id",enemy_skills!$1:$1,0)+1,FALSE)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0" s="131">
        <v>39009038</v>
      </c>
      <c r="G510" s="48">
        <f ca="1">VLOOKUP($F510,OFFSET(enemy_skill_triggers!$A$1,0,0,COUNTA(enemy_skill_triggers!$A:$A),MATCH(G$1,enemy_skill_triggers!$1:$1,0)-MATCH($F$1,enemy_skill_triggers!$1:$1,0)+1),MATCH(G$1,enemy_skill_triggers!$1:$1,0)-MATCH($F$1,enemy_skill_triggers!$1:$1,0)+1,FALSE)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0" s="48">
        <f ca="1">VLOOKUP($F510,OFFSET(enemy_skill_triggers!$A$1,0,0,COUNTA(enemy_skill_triggers!$A:$A),MATCH(H$1,enemy_skill_triggers!$1:$1,0)-MATCH($F$1,enemy_skill_triggers!$1:$1,0)+1),MATCH(H$1,enemy_skill_triggers!$1:$1,0)-MATCH($F$1,enemy_skill_triggers!$1:$1,0)+1,FALSE)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10" s="48">
        <f ca="1">VLOOKUP($F510,OFFSET(enemy_skill_triggers!$A$1,0,0,COUNTA(enemy_skill_triggers!$A:$A),MATCH(I$1,enemy_skill_triggers!$1:$1,0)-MATCH($F$1,enemy_skill_triggers!$1:$1,0)+1),MATCH(I$1,enemy_skill_triggers!$1:$1,0)-MATCH($F$1,enemy_skill_triggers!$1:$1,0)+1,FALSE)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0" s="48" t="str">
        <f ca="1">VLOOKUP($F510,OFFSET(enemy_skill_triggers!$A$1,0,0,COUNTA(enemy_skill_triggers!$A:$A),MATCH(J$1,enemy_skill_triggers!$1:$1,0)-MATCH($F$1,enemy_skill_triggers!$1:$1,0)+1),MATCH(J$1,enemy_skill_triggers!$1:$1,0)-MATCH($F$1,enemy_skill_triggers!$1:$1,0)+1,FALSE)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0" s="48" t="str">
        <f ca="1">VLOOKUP($F510,OFFSET(enemy_skill_triggers!$A$1,0,0,COUNTA(enemy_skill_triggers!$A:$A),MATCH(K$1,enemy_skill_triggers!$1:$1,0)-MATCH($F$1,enemy_skill_triggers!$1:$1,0)+1),MATCH(K$1,enemy_skill_triggers!$1:$1,0)-MATCH($F$1,enemy_skill_triggers!$1:$1,0)+1,FALSE)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0" s="48">
        <f ca="1">VLOOKUP($F510,OFFSET(enemy_skill_triggers!$A$1,0,0,COUNTA(enemy_skill_triggers!$A:$A),MATCH(L$1,enemy_skill_triggers!$1:$1,0)-MATCH($F$1,enemy_skill_triggers!$1:$1,0)+1),MATCH(L$1,enemy_skill_triggers!$1:$1,0)-MATCH($F$1,enemy_skill_triggers!$1:$1,0)+1,FALSE)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0" s="48" t="str">
        <f ca="1">VLOOKUP($F510,OFFSET(enemy_skill_triggers!$A$1,0,0,COUNTA(enemy_skill_triggers!$A:$A),MATCH(M$1,enemy_skill_triggers!$1:$1,0)-MATCH($F$1,enemy_skill_triggers!$1:$1,0)+1),MATCH(M$1,enemy_skill_triggers!$1:$1,0)-MATCH($F$1,enemy_skill_triggers!$1:$1,0)+1,FALSE)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0" s="48">
        <f ca="1">VLOOKUP($F510,OFFSET(enemy_skill_triggers!$A$1,0,0,COUNTA(enemy_skill_triggers!$A:$A),MATCH(N$1,enemy_skill_triggers!$1:$1,0)-MATCH($F$1,enemy_skill_triggers!$1:$1,0)+1),MATCH(N$1,enemy_skill_triggers!$1:$1,0)-MATCH($F$1,enemy_skill_triggers!$1:$1,0)+1,FALSE)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510" s="48">
        <f ca="1">VLOOKUP($F510,OFFSET(enemy_skill_triggers!$A$1,0,0,COUNTA(enemy_skill_triggers!$A:$A),MATCH(O$1,enemy_skill_triggers!$1:$1,0)-MATCH($F$1,enemy_skill_triggers!$1:$1,0)+1),MATCH(O$1,enemy_skill_triggers!$1:$1,0)-MATCH($F$1,enemy_skill_triggers!$1:$1,0)+1,FALSE)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0" s="47"/>
      <c r="Q510" s="47"/>
      <c r="R510" s="47"/>
    </row>
    <row r="511" spans="1:18" ht="21" customHeight="1" x14ac:dyDescent="0.15">
      <c r="A511" s="39" t="str">
        <f t="shared" si="23"/>
        <v>39009026_39009050</v>
      </c>
      <c r="B511" s="130">
        <v>39009026</v>
      </c>
      <c r="C511" s="131">
        <v>39009050</v>
      </c>
      <c r="D511" s="46" t="str">
        <f ca="1">VLOOKUP($C511,OFFSET(enemy_skills!$A$1,0,0,COUNTA(enemy_skills!$A:$A),MATCH(D$1,enemy_skills!$1:$1,0)-MATCH("enemy_skill_id",enemy_skills!$1:$1,0)+1),MATCH(D$1,enemy_skills!$1:$1,0)-MATCH("enemy_skill_id",enemy_skills!$1:$1,0)+1,FALSE)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511" s="46" t="str">
        <f ca="1">VLOOKUP($C511,OFFSET(enemy_skills!$A$1,0,0,COUNTA(enemy_skills!$A:$A),MATCH(E$1,enemy_skills!$1:$1,0)-MATCH("enemy_skill_id",enemy_skills!$1:$1,0)+1),MATCH(E$1,enemy_skills!$1:$1,0)-MATCH("enemy_skill_id",enemy_skills!$1:$1,0)+1,FALSE)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1" s="131">
        <v>39009039</v>
      </c>
      <c r="G511" s="48">
        <f ca="1">VLOOKUP($F511,OFFSET(enemy_skill_triggers!$A$1,0,0,COUNTA(enemy_skill_triggers!$A:$A),MATCH(G$1,enemy_skill_triggers!$1:$1,0)-MATCH($F$1,enemy_skill_triggers!$1:$1,0)+1),MATCH(G$1,enemy_skill_triggers!$1:$1,0)-MATCH($F$1,enemy_skill_triggers!$1:$1,0)+1,FALSE)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1" s="48">
        <f ca="1">VLOOKUP($F511,OFFSET(enemy_skill_triggers!$A$1,0,0,COUNTA(enemy_skill_triggers!$A:$A),MATCH(H$1,enemy_skill_triggers!$1:$1,0)-MATCH($F$1,enemy_skill_triggers!$1:$1,0)+1),MATCH(H$1,enemy_skill_triggers!$1:$1,0)-MATCH($F$1,enemy_skill_triggers!$1:$1,0)+1,FALSE)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11" s="48">
        <f ca="1">VLOOKUP($F511,OFFSET(enemy_skill_triggers!$A$1,0,0,COUNTA(enemy_skill_triggers!$A:$A),MATCH(I$1,enemy_skill_triggers!$1:$1,0)-MATCH($F$1,enemy_skill_triggers!$1:$1,0)+1),MATCH(I$1,enemy_skill_triggers!$1:$1,0)-MATCH($F$1,enemy_skill_triggers!$1:$1,0)+1,FALSE)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1" s="48" t="str">
        <f ca="1">VLOOKUP($F511,OFFSET(enemy_skill_triggers!$A$1,0,0,COUNTA(enemy_skill_triggers!$A:$A),MATCH(J$1,enemy_skill_triggers!$1:$1,0)-MATCH($F$1,enemy_skill_triggers!$1:$1,0)+1),MATCH(J$1,enemy_skill_triggers!$1:$1,0)-MATCH($F$1,enemy_skill_triggers!$1:$1,0)+1,FALSE)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1" s="48" t="str">
        <f ca="1">VLOOKUP($F511,OFFSET(enemy_skill_triggers!$A$1,0,0,COUNTA(enemy_skill_triggers!$A:$A),MATCH(K$1,enemy_skill_triggers!$1:$1,0)-MATCH($F$1,enemy_skill_triggers!$1:$1,0)+1),MATCH(K$1,enemy_skill_triggers!$1:$1,0)-MATCH($F$1,enemy_skill_triggers!$1:$1,0)+1,FALSE)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1" s="48">
        <f ca="1">VLOOKUP($F511,OFFSET(enemy_skill_triggers!$A$1,0,0,COUNTA(enemy_skill_triggers!$A:$A),MATCH(L$1,enemy_skill_triggers!$1:$1,0)-MATCH($F$1,enemy_skill_triggers!$1:$1,0)+1),MATCH(L$1,enemy_skill_triggers!$1:$1,0)-MATCH($F$1,enemy_skill_triggers!$1:$1,0)+1,FALSE)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1" s="48" t="str">
        <f ca="1">VLOOKUP($F511,OFFSET(enemy_skill_triggers!$A$1,0,0,COUNTA(enemy_skill_triggers!$A:$A),MATCH(M$1,enemy_skill_triggers!$1:$1,0)-MATCH($F$1,enemy_skill_triggers!$1:$1,0)+1),MATCH(M$1,enemy_skill_triggers!$1:$1,0)-MATCH($F$1,enemy_skill_triggers!$1:$1,0)+1,FALSE)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1" s="48">
        <f ca="1">VLOOKUP($F511,OFFSET(enemy_skill_triggers!$A$1,0,0,COUNTA(enemy_skill_triggers!$A:$A),MATCH(N$1,enemy_skill_triggers!$1:$1,0)-MATCH($F$1,enemy_skill_triggers!$1:$1,0)+1),MATCH(N$1,enemy_skill_triggers!$1:$1,0)-MATCH($F$1,enemy_skill_triggers!$1:$1,0)+1,FALSE)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511" s="48">
        <f ca="1">VLOOKUP($F511,OFFSET(enemy_skill_triggers!$A$1,0,0,COUNTA(enemy_skill_triggers!$A:$A),MATCH(O$1,enemy_skill_triggers!$1:$1,0)-MATCH($F$1,enemy_skill_triggers!$1:$1,0)+1),MATCH(O$1,enemy_skill_triggers!$1:$1,0)-MATCH($F$1,enemy_skill_triggers!$1:$1,0)+1,FALSE)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1" s="47"/>
      <c r="Q511" s="47"/>
      <c r="R511" s="47"/>
    </row>
    <row r="512" spans="1:18" ht="21" customHeight="1" x14ac:dyDescent="0.15">
      <c r="A512" s="39" t="str">
        <f t="shared" si="23"/>
        <v>39009026_39009053</v>
      </c>
      <c r="B512" s="130">
        <v>39009026</v>
      </c>
      <c r="C512" s="131">
        <v>39009053</v>
      </c>
      <c r="D512" s="46" t="str">
        <f ca="1">VLOOKUP($C512,OFFSET(enemy_skills!$A$1,0,0,COUNTA(enemy_skills!$A:$A),MATCH(D$1,enemy_skills!$1:$1,0)-MATCH("enemy_skill_id",enemy_skills!$1:$1,0)+1),MATCH(D$1,enemy_skills!$1:$1,0)-MATCH("enemy_skill_id",enemy_skills!$1:$1,0)+1,FALSE)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512" s="46" t="str">
        <f ca="1">VLOOKUP($C512,OFFSET(enemy_skills!$A$1,0,0,COUNTA(enemy_skills!$A:$A),MATCH(E$1,enemy_skills!$1:$1,0)-MATCH("enemy_skill_id",enemy_skills!$1:$1,0)+1),MATCH(E$1,enemy_skills!$1:$1,0)-MATCH("enemy_skill_id",enemy_skills!$1:$1,0)+1,FALSE)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2" s="131">
        <v>39009040</v>
      </c>
      <c r="G512" s="48">
        <f ca="1">VLOOKUP($F512,OFFSET(enemy_skill_triggers!$A$1,0,0,COUNTA(enemy_skill_triggers!$A:$A),MATCH(G$1,enemy_skill_triggers!$1:$1,0)-MATCH($F$1,enemy_skill_triggers!$1:$1,0)+1),MATCH(G$1,enemy_skill_triggers!$1:$1,0)-MATCH($F$1,enemy_skill_triggers!$1:$1,0)+1,FALSE)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2" s="48">
        <f ca="1">VLOOKUP($F512,OFFSET(enemy_skill_triggers!$A$1,0,0,COUNTA(enemy_skill_triggers!$A:$A),MATCH(H$1,enemy_skill_triggers!$1:$1,0)-MATCH($F$1,enemy_skill_triggers!$1:$1,0)+1),MATCH(H$1,enemy_skill_triggers!$1:$1,0)-MATCH($F$1,enemy_skill_triggers!$1:$1,0)+1,FALSE)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12" s="48">
        <f ca="1">VLOOKUP($F512,OFFSET(enemy_skill_triggers!$A$1,0,0,COUNTA(enemy_skill_triggers!$A:$A),MATCH(I$1,enemy_skill_triggers!$1:$1,0)-MATCH($F$1,enemy_skill_triggers!$1:$1,0)+1),MATCH(I$1,enemy_skill_triggers!$1:$1,0)-MATCH($F$1,enemy_skill_triggers!$1:$1,0)+1,FALSE)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2" s="48" t="str">
        <f ca="1">VLOOKUP($F512,OFFSET(enemy_skill_triggers!$A$1,0,0,COUNTA(enemy_skill_triggers!$A:$A),MATCH(J$1,enemy_skill_triggers!$1:$1,0)-MATCH($F$1,enemy_skill_triggers!$1:$1,0)+1),MATCH(J$1,enemy_skill_triggers!$1:$1,0)-MATCH($F$1,enemy_skill_triggers!$1:$1,0)+1,FALSE)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2" s="48" t="str">
        <f ca="1">VLOOKUP($F512,OFFSET(enemy_skill_triggers!$A$1,0,0,COUNTA(enemy_skill_triggers!$A:$A),MATCH(K$1,enemy_skill_triggers!$1:$1,0)-MATCH($F$1,enemy_skill_triggers!$1:$1,0)+1),MATCH(K$1,enemy_skill_triggers!$1:$1,0)-MATCH($F$1,enemy_skill_triggers!$1:$1,0)+1,FALSE)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2" s="48">
        <f ca="1">VLOOKUP($F512,OFFSET(enemy_skill_triggers!$A$1,0,0,COUNTA(enemy_skill_triggers!$A:$A),MATCH(L$1,enemy_skill_triggers!$1:$1,0)-MATCH($F$1,enemy_skill_triggers!$1:$1,0)+1),MATCH(L$1,enemy_skill_triggers!$1:$1,0)-MATCH($F$1,enemy_skill_triggers!$1:$1,0)+1,FALSE)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2" s="48" t="str">
        <f ca="1">VLOOKUP($F512,OFFSET(enemy_skill_triggers!$A$1,0,0,COUNTA(enemy_skill_triggers!$A:$A),MATCH(M$1,enemy_skill_triggers!$1:$1,0)-MATCH($F$1,enemy_skill_triggers!$1:$1,0)+1),MATCH(M$1,enemy_skill_triggers!$1:$1,0)-MATCH($F$1,enemy_skill_triggers!$1:$1,0)+1,FALSE)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2" s="48">
        <f ca="1">VLOOKUP($F512,OFFSET(enemy_skill_triggers!$A$1,0,0,COUNTA(enemy_skill_triggers!$A:$A),MATCH(N$1,enemy_skill_triggers!$1:$1,0)-MATCH($F$1,enemy_skill_triggers!$1:$1,0)+1),MATCH(N$1,enemy_skill_triggers!$1:$1,0)-MATCH($F$1,enemy_skill_triggers!$1:$1,0)+1,FALSE)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512" s="48">
        <f ca="1">VLOOKUP($F512,OFFSET(enemy_skill_triggers!$A$1,0,0,COUNTA(enemy_skill_triggers!$A:$A),MATCH(O$1,enemy_skill_triggers!$1:$1,0)-MATCH($F$1,enemy_skill_triggers!$1:$1,0)+1),MATCH(O$1,enemy_skill_triggers!$1:$1,0)-MATCH($F$1,enemy_skill_triggers!$1:$1,0)+1,FALSE)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2" s="47"/>
      <c r="Q512" s="47"/>
      <c r="R512" s="47"/>
    </row>
    <row r="513" spans="1:18" ht="21" customHeight="1" x14ac:dyDescent="0.15">
      <c r="A513" s="39" t="str">
        <f t="shared" si="23"/>
        <v>39009026_39009054</v>
      </c>
      <c r="B513" s="130">
        <v>39009026</v>
      </c>
      <c r="C513" s="131">
        <v>39009054</v>
      </c>
      <c r="D513" s="46" t="str">
        <f ca="1">VLOOKUP($C513,OFFSET(enemy_skills!$A$1,0,0,COUNTA(enemy_skills!$A:$A),MATCH(D$1,enemy_skills!$1:$1,0)-MATCH("enemy_skill_id",enemy_skills!$1:$1,0)+1),MATCH(D$1,enemy_skills!$1:$1,0)-MATCH("enemy_skill_id",enemy_skills!$1:$1,0)+1,FALSE)</f>
        <v>MEIKOさん、素敵な夜にしようねっ☆</v>
      </c>
      <c r="E513" s="46" t="str">
        <f ca="1">VLOOKUP($C513,OFFSET(enemy_skills!$A$1,0,0,COUNTA(enemy_skills!$A:$A),MATCH(E$1,enemy_skills!$1:$1,0)-MATCH("enemy_skill_id",enemy_skills!$1:$1,0)+1),MATCH(E$1,enemy_skills!$1:$1,0)-MATCH("enemy_skill_id",enemy_skills!$1:$1,0)+1,FALSE)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3" s="131">
        <v>39009041</v>
      </c>
      <c r="G513" s="48">
        <f ca="1">VLOOKUP($F513,OFFSET(enemy_skill_triggers!$A$1,0,0,COUNTA(enemy_skill_triggers!$A:$A),MATCH(G$1,enemy_skill_triggers!$1:$1,0)-MATCH($F$1,enemy_skill_triggers!$1:$1,0)+1),MATCH(G$1,enemy_skill_triggers!$1:$1,0)-MATCH($F$1,enemy_skill_triggers!$1:$1,0)+1,FALSE)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3" s="48">
        <f ca="1">VLOOKUP($F513,OFFSET(enemy_skill_triggers!$A$1,0,0,COUNTA(enemy_skill_triggers!$A:$A),MATCH(H$1,enemy_skill_triggers!$1:$1,0)-MATCH($F$1,enemy_skill_triggers!$1:$1,0)+1),MATCH(H$1,enemy_skill_triggers!$1:$1,0)-MATCH($F$1,enemy_skill_triggers!$1:$1,0)+1,FALSE)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13" s="48">
        <f ca="1">VLOOKUP($F513,OFFSET(enemy_skill_triggers!$A$1,0,0,COUNTA(enemy_skill_triggers!$A:$A),MATCH(I$1,enemy_skill_triggers!$1:$1,0)-MATCH($F$1,enemy_skill_triggers!$1:$1,0)+1),MATCH(I$1,enemy_skill_triggers!$1:$1,0)-MATCH($F$1,enemy_skill_triggers!$1:$1,0)+1,FALSE)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3" s="48" t="str">
        <f ca="1">VLOOKUP($F513,OFFSET(enemy_skill_triggers!$A$1,0,0,COUNTA(enemy_skill_triggers!$A:$A),MATCH(J$1,enemy_skill_triggers!$1:$1,0)-MATCH($F$1,enemy_skill_triggers!$1:$1,0)+1),MATCH(J$1,enemy_skill_triggers!$1:$1,0)-MATCH($F$1,enemy_skill_triggers!$1:$1,0)+1,FALSE)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3" s="48" t="str">
        <f ca="1">VLOOKUP($F513,OFFSET(enemy_skill_triggers!$A$1,0,0,COUNTA(enemy_skill_triggers!$A:$A),MATCH(K$1,enemy_skill_triggers!$1:$1,0)-MATCH($F$1,enemy_skill_triggers!$1:$1,0)+1),MATCH(K$1,enemy_skill_triggers!$1:$1,0)-MATCH($F$1,enemy_skill_triggers!$1:$1,0)+1,FALSE)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3" s="48">
        <f ca="1">VLOOKUP($F513,OFFSET(enemy_skill_triggers!$A$1,0,0,COUNTA(enemy_skill_triggers!$A:$A),MATCH(L$1,enemy_skill_triggers!$1:$1,0)-MATCH($F$1,enemy_skill_triggers!$1:$1,0)+1),MATCH(L$1,enemy_skill_triggers!$1:$1,0)-MATCH($F$1,enemy_skill_triggers!$1:$1,0)+1,FALSE)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3" s="48" t="str">
        <f ca="1">VLOOKUP($F513,OFFSET(enemy_skill_triggers!$A$1,0,0,COUNTA(enemy_skill_triggers!$A:$A),MATCH(M$1,enemy_skill_triggers!$1:$1,0)-MATCH($F$1,enemy_skill_triggers!$1:$1,0)+1),MATCH(M$1,enemy_skill_triggers!$1:$1,0)-MATCH($F$1,enemy_skill_triggers!$1:$1,0)+1,FALSE)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3" s="48">
        <f ca="1">VLOOKUP($F513,OFFSET(enemy_skill_triggers!$A$1,0,0,COUNTA(enemy_skill_triggers!$A:$A),MATCH(N$1,enemy_skill_triggers!$1:$1,0)-MATCH($F$1,enemy_skill_triggers!$1:$1,0)+1),MATCH(N$1,enemy_skill_triggers!$1:$1,0)-MATCH($F$1,enemy_skill_triggers!$1:$1,0)+1,FALSE)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513" s="48">
        <f ca="1">VLOOKUP($F513,OFFSET(enemy_skill_triggers!$A$1,0,0,COUNTA(enemy_skill_triggers!$A:$A),MATCH(O$1,enemy_skill_triggers!$1:$1,0)-MATCH($F$1,enemy_skill_triggers!$1:$1,0)+1),MATCH(O$1,enemy_skill_triggers!$1:$1,0)-MATCH($F$1,enemy_skill_triggers!$1:$1,0)+1,FALSE)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3" s="47"/>
      <c r="Q513" s="47"/>
      <c r="R513" s="47"/>
    </row>
    <row r="514" spans="1:18" ht="21" customHeight="1" x14ac:dyDescent="0.15">
      <c r="A514" s="39" t="str">
        <f t="shared" ref="A514" si="24">B514&amp;"_"&amp;C514</f>
        <v>39009026_39009053</v>
      </c>
      <c r="B514" s="130">
        <v>39009026</v>
      </c>
      <c r="C514" s="131">
        <v>39009053</v>
      </c>
      <c r="D514" s="46" t="str">
        <f ca="1">VLOOKUP($C514,OFFSET(enemy_skills!$A$1,0,0,COUNTA(enemy_skills!$A:$A),MATCH(D$1,enemy_skills!$1:$1,0)-MATCH("enemy_skill_id",enemy_skills!$1:$1,0)+1),MATCH(D$1,enemy_skills!$1:$1,0)-MATCH("enemy_skill_id",enemy_skills!$1:$1,0)+1,FALSE)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514" s="46" t="str">
        <f ca="1">VLOOKUP($C514,OFFSET(enemy_skills!$A$1,0,0,COUNTA(enemy_skills!$A:$A),MATCH(E$1,enemy_skills!$1:$1,0)-MATCH("enemy_skill_id",enemy_skills!$1:$1,0)+1),MATCH(E$1,enemy_skills!$1:$1,0)-MATCH("enemy_skill_id",enemy_skills!$1:$1,0)+1,FALSE)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4" s="131">
        <v>39009042</v>
      </c>
      <c r="G514" s="48">
        <f ca="1">VLOOKUP($F514,OFFSET(enemy_skill_triggers!$A$1,0,0,COUNTA(enemy_skill_triggers!$A:$A),MATCH(G$1,enemy_skill_triggers!$1:$1,0)-MATCH($F$1,enemy_skill_triggers!$1:$1,0)+1),MATCH(G$1,enemy_skill_triggers!$1:$1,0)-MATCH($F$1,enemy_skill_triggers!$1:$1,0)+1,FALSE)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4" s="48">
        <f ca="1">VLOOKUP($F514,OFFSET(enemy_skill_triggers!$A$1,0,0,COUNTA(enemy_skill_triggers!$A:$A),MATCH(H$1,enemy_skill_triggers!$1:$1,0)-MATCH($F$1,enemy_skill_triggers!$1:$1,0)+1),MATCH(H$1,enemy_skill_triggers!$1:$1,0)-MATCH($F$1,enemy_skill_triggers!$1:$1,0)+1,FALSE)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14" s="48">
        <f ca="1">VLOOKUP($F514,OFFSET(enemy_skill_triggers!$A$1,0,0,COUNTA(enemy_skill_triggers!$A:$A),MATCH(I$1,enemy_skill_triggers!$1:$1,0)-MATCH($F$1,enemy_skill_triggers!$1:$1,0)+1),MATCH(I$1,enemy_skill_triggers!$1:$1,0)-MATCH($F$1,enemy_skill_triggers!$1:$1,0)+1,FALSE)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4" s="48" t="str">
        <f ca="1">VLOOKUP($F514,OFFSET(enemy_skill_triggers!$A$1,0,0,COUNTA(enemy_skill_triggers!$A:$A),MATCH(J$1,enemy_skill_triggers!$1:$1,0)-MATCH($F$1,enemy_skill_triggers!$1:$1,0)+1),MATCH(J$1,enemy_skill_triggers!$1:$1,0)-MATCH($F$1,enemy_skill_triggers!$1:$1,0)+1,FALSE)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4" s="48" t="str">
        <f ca="1">VLOOKUP($F514,OFFSET(enemy_skill_triggers!$A$1,0,0,COUNTA(enemy_skill_triggers!$A:$A),MATCH(K$1,enemy_skill_triggers!$1:$1,0)-MATCH($F$1,enemy_skill_triggers!$1:$1,0)+1),MATCH(K$1,enemy_skill_triggers!$1:$1,0)-MATCH($F$1,enemy_skill_triggers!$1:$1,0)+1,FALSE)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4" s="48">
        <f ca="1">VLOOKUP($F514,OFFSET(enemy_skill_triggers!$A$1,0,0,COUNTA(enemy_skill_triggers!$A:$A),MATCH(L$1,enemy_skill_triggers!$1:$1,0)-MATCH($F$1,enemy_skill_triggers!$1:$1,0)+1),MATCH(L$1,enemy_skill_triggers!$1:$1,0)-MATCH($F$1,enemy_skill_triggers!$1:$1,0)+1,FALSE)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4" s="48" t="str">
        <f ca="1">VLOOKUP($F514,OFFSET(enemy_skill_triggers!$A$1,0,0,COUNTA(enemy_skill_triggers!$A:$A),MATCH(M$1,enemy_skill_triggers!$1:$1,0)-MATCH($F$1,enemy_skill_triggers!$1:$1,0)+1),MATCH(M$1,enemy_skill_triggers!$1:$1,0)-MATCH($F$1,enemy_skill_triggers!$1:$1,0)+1,FALSE)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4" s="48">
        <f ca="1">VLOOKUP($F514,OFFSET(enemy_skill_triggers!$A$1,0,0,COUNTA(enemy_skill_triggers!$A:$A),MATCH(N$1,enemy_skill_triggers!$1:$1,0)-MATCH($F$1,enemy_skill_triggers!$1:$1,0)+1),MATCH(N$1,enemy_skill_triggers!$1:$1,0)-MATCH($F$1,enemy_skill_triggers!$1:$1,0)+1,FALSE)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514" s="48">
        <f ca="1">VLOOKUP($F514,OFFSET(enemy_skill_triggers!$A$1,0,0,COUNTA(enemy_skill_triggers!$A:$A),MATCH(O$1,enemy_skill_triggers!$1:$1,0)-MATCH($F$1,enemy_skill_triggers!$1:$1,0)+1),MATCH(O$1,enemy_skill_triggers!$1:$1,0)-MATCH($F$1,enemy_skill_triggers!$1:$1,0)+1,FALSE)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4" s="47"/>
      <c r="Q514" s="47"/>
      <c r="R514" s="47"/>
    </row>
    <row r="515" spans="1:18" ht="21" customHeight="1" x14ac:dyDescent="0.15">
      <c r="A515" s="39" t="str">
        <f t="shared" si="23"/>
        <v>39009026_39009057</v>
      </c>
      <c r="B515" s="130">
        <v>39009026</v>
      </c>
      <c r="C515" s="131">
        <v>39009057</v>
      </c>
      <c r="D515" s="46" t="str">
        <f ca="1">VLOOKUP($C515,OFFSET(enemy_skills!$A$1,0,0,COUNTA(enemy_skills!$A:$A),MATCH(D$1,enemy_skills!$1:$1,0)-MATCH("enemy_skill_id",enemy_skills!$1:$1,0)+1),MATCH(D$1,enemy_skills!$1:$1,0)-MATCH("enemy_skill_id",enemy_skills!$1:$1,0)+1,FALSE)</f>
        <v>神秘的な光芒を見て…☆</v>
      </c>
      <c r="E515" s="46" t="str">
        <f ca="1">VLOOKUP($C515,OFFSET(enemy_skills!$A$1,0,0,COUNTA(enemy_skills!$A:$A),MATCH(E$1,enemy_skills!$1:$1,0)-MATCH("enemy_skill_id",enemy_skills!$1:$1,0)+1),MATCH(E$1,enemy_skills!$1:$1,0)-MATCH("enemy_skill_id",enemy_skills!$1:$1,0)+1,FALSE)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515" s="131">
        <v>39009074</v>
      </c>
      <c r="G515" s="48">
        <f ca="1">VLOOKUP($F515,OFFSET(enemy_skill_triggers!$A$1,0,0,COUNTA(enemy_skill_triggers!$A:$A),MATCH(G$1,enemy_skill_triggers!$1:$1,0)-MATCH($F$1,enemy_skill_triggers!$1:$1,0)+1),MATCH(G$1,enemy_skill_triggers!$1:$1,0)-MATCH($F$1,enemy_skill_triggers!$1:$1,0)+1,FALSE)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5" s="48">
        <f ca="1">VLOOKUP($F515,OFFSET(enemy_skill_triggers!$A$1,0,0,COUNTA(enemy_skill_triggers!$A:$A),MATCH(H$1,enemy_skill_triggers!$1:$1,0)-MATCH($F$1,enemy_skill_triggers!$1:$1,0)+1),MATCH(H$1,enemy_skill_triggers!$1:$1,0)-MATCH($F$1,enemy_skill_triggers!$1:$1,0)+1,FALSE)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515" s="48">
        <f ca="1">VLOOKUP($F515,OFFSET(enemy_skill_triggers!$A$1,0,0,COUNTA(enemy_skill_triggers!$A:$A),MATCH(I$1,enemy_skill_triggers!$1:$1,0)-MATCH($F$1,enemy_skill_triggers!$1:$1,0)+1),MATCH(I$1,enemy_skill_triggers!$1:$1,0)-MATCH($F$1,enemy_skill_triggers!$1:$1,0)+1,FALSE)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5" s="48" t="str">
        <f ca="1">VLOOKUP($F515,OFFSET(enemy_skill_triggers!$A$1,0,0,COUNTA(enemy_skill_triggers!$A:$A),MATCH(J$1,enemy_skill_triggers!$1:$1,0)-MATCH($F$1,enemy_skill_triggers!$1:$1,0)+1),MATCH(J$1,enemy_skill_triggers!$1:$1,0)-MATCH($F$1,enemy_skill_triggers!$1:$1,0)+1,FALSE)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5" s="48" t="str">
        <f ca="1">VLOOKUP($F515,OFFSET(enemy_skill_triggers!$A$1,0,0,COUNTA(enemy_skill_triggers!$A:$A),MATCH(K$1,enemy_skill_triggers!$1:$1,0)-MATCH($F$1,enemy_skill_triggers!$1:$1,0)+1),MATCH(K$1,enemy_skill_triggers!$1:$1,0)-MATCH($F$1,enemy_skill_triggers!$1:$1,0)+1,FALSE)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5" s="48">
        <f ca="1">VLOOKUP($F515,OFFSET(enemy_skill_triggers!$A$1,0,0,COUNTA(enemy_skill_triggers!$A:$A),MATCH(L$1,enemy_skill_triggers!$1:$1,0)-MATCH($F$1,enemy_skill_triggers!$1:$1,0)+1),MATCH(L$1,enemy_skill_triggers!$1:$1,0)-MATCH($F$1,enemy_skill_triggers!$1:$1,0)+1,FALSE)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5" s="48" t="str">
        <f ca="1">VLOOKUP($F515,OFFSET(enemy_skill_triggers!$A$1,0,0,COUNTA(enemy_skill_triggers!$A:$A),MATCH(M$1,enemy_skill_triggers!$1:$1,0)-MATCH($F$1,enemy_skill_triggers!$1:$1,0)+1),MATCH(M$1,enemy_skill_triggers!$1:$1,0)-MATCH($F$1,enemy_skill_triggers!$1:$1,0)+1,FALSE)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5" s="48" t="str">
        <f ca="1">VLOOKUP($F515,OFFSET(enemy_skill_triggers!$A$1,0,0,COUNTA(enemy_skill_triggers!$A:$A),MATCH(N$1,enemy_skill_triggers!$1:$1,0)-MATCH($F$1,enemy_skill_triggers!$1:$1,0)+1),MATCH(N$1,enemy_skill_triggers!$1:$1,0)-MATCH($F$1,enemy_skill_triggers!$1:$1,0)+1,FALSE)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5" s="48">
        <f ca="1">VLOOKUP($F515,OFFSET(enemy_skill_triggers!$A$1,0,0,COUNTA(enemy_skill_triggers!$A:$A),MATCH(O$1,enemy_skill_triggers!$1:$1,0)-MATCH($F$1,enemy_skill_triggers!$1:$1,0)+1),MATCH(O$1,enemy_skill_triggers!$1:$1,0)-MATCH($F$1,enemy_skill_triggers!$1:$1,0)+1,FALSE)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5" s="47"/>
      <c r="Q515" s="47"/>
      <c r="R515" s="47"/>
    </row>
    <row r="516" spans="1:18" ht="21" customHeight="1" x14ac:dyDescent="0.15">
      <c r="A516" s="39" t="str">
        <f t="shared" si="23"/>
        <v>39009026_39009058</v>
      </c>
      <c r="B516" s="130">
        <v>39009026</v>
      </c>
      <c r="C516" s="131">
        <v>39009058</v>
      </c>
      <c r="D516" s="46" t="str">
        <f ca="1">VLOOKUP($C516,OFFSET(enemy_skills!$A$1,0,0,COUNTA(enemy_skills!$A:$A),MATCH(D$1,enemy_skills!$1:$1,0)-MATCH("enemy_skill_id",enemy_skills!$1:$1,0)+1),MATCH(D$1,enemy_skills!$1:$1,0)-MATCH("enemy_skill_id",enemy_skills!$1:$1,0)+1,FALSE)</f>
        <v>メテオシャワー</v>
      </c>
      <c r="E516" s="46" t="str">
        <f ca="1">VLOOKUP($C516,OFFSET(enemy_skills!$A$1,0,0,COUNTA(enemy_skills!$A:$A),MATCH(E$1,enemy_skills!$1:$1,0)-MATCH("enemy_skill_id",enemy_skills!$1:$1,0)+1),MATCH(E$1,enemy_skills!$1:$1,0)-MATCH("enemy_skill_id",enemy_skills!$1:$1,0)+1,FALSE)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16" s="131">
        <v>39009075</v>
      </c>
      <c r="G516" s="48">
        <f ca="1">VLOOKUP($F516,OFFSET(enemy_skill_triggers!$A$1,0,0,COUNTA(enemy_skill_triggers!$A:$A),MATCH(G$1,enemy_skill_triggers!$1:$1,0)-MATCH($F$1,enemy_skill_triggers!$1:$1,0)+1),MATCH(G$1,enemy_skill_triggers!$1:$1,0)-MATCH($F$1,enemy_skill_triggers!$1:$1,0)+1,FALSE)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6" s="48">
        <f ca="1">VLOOKUP($F516,OFFSET(enemy_skill_triggers!$A$1,0,0,COUNTA(enemy_skill_triggers!$A:$A),MATCH(H$1,enemy_skill_triggers!$1:$1,0)-MATCH($F$1,enemy_skill_triggers!$1:$1,0)+1),MATCH(H$1,enemy_skill_triggers!$1:$1,0)-MATCH($F$1,enemy_skill_triggers!$1:$1,0)+1,FALSE)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516" s="48">
        <f ca="1">VLOOKUP($F516,OFFSET(enemy_skill_triggers!$A$1,0,0,COUNTA(enemy_skill_triggers!$A:$A),MATCH(I$1,enemy_skill_triggers!$1:$1,0)-MATCH($F$1,enemy_skill_triggers!$1:$1,0)+1),MATCH(I$1,enemy_skill_triggers!$1:$1,0)-MATCH($F$1,enemy_skill_triggers!$1:$1,0)+1,FALSE)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6" s="48" t="str">
        <f ca="1">VLOOKUP($F516,OFFSET(enemy_skill_triggers!$A$1,0,0,COUNTA(enemy_skill_triggers!$A:$A),MATCH(J$1,enemy_skill_triggers!$1:$1,0)-MATCH($F$1,enemy_skill_triggers!$1:$1,0)+1),MATCH(J$1,enemy_skill_triggers!$1:$1,0)-MATCH($F$1,enemy_skill_triggers!$1:$1,0)+1,FALSE)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6" s="48" t="str">
        <f ca="1">VLOOKUP($F516,OFFSET(enemy_skill_triggers!$A$1,0,0,COUNTA(enemy_skill_triggers!$A:$A),MATCH(K$1,enemy_skill_triggers!$1:$1,0)-MATCH($F$1,enemy_skill_triggers!$1:$1,0)+1),MATCH(K$1,enemy_skill_triggers!$1:$1,0)-MATCH($F$1,enemy_skill_triggers!$1:$1,0)+1,FALSE)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6" s="48" t="str">
        <f ca="1">VLOOKUP($F516,OFFSET(enemy_skill_triggers!$A$1,0,0,COUNTA(enemy_skill_triggers!$A:$A),MATCH(L$1,enemy_skill_triggers!$1:$1,0)-MATCH($F$1,enemy_skill_triggers!$1:$1,0)+1),MATCH(L$1,enemy_skill_triggers!$1:$1,0)-MATCH($F$1,enemy_skill_triggers!$1:$1,0)+1,FALSE)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6" s="48" t="str">
        <f ca="1">VLOOKUP($F516,OFFSET(enemy_skill_triggers!$A$1,0,0,COUNTA(enemy_skill_triggers!$A:$A),MATCH(M$1,enemy_skill_triggers!$1:$1,0)-MATCH($F$1,enemy_skill_triggers!$1:$1,0)+1),MATCH(M$1,enemy_skill_triggers!$1:$1,0)-MATCH($F$1,enemy_skill_triggers!$1:$1,0)+1,FALSE)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6" s="48" t="str">
        <f ca="1">VLOOKUP($F516,OFFSET(enemy_skill_triggers!$A$1,0,0,COUNTA(enemy_skill_triggers!$A:$A),MATCH(N$1,enemy_skill_triggers!$1:$1,0)-MATCH($F$1,enemy_skill_triggers!$1:$1,0)+1),MATCH(N$1,enemy_skill_triggers!$1:$1,0)-MATCH($F$1,enemy_skill_triggers!$1:$1,0)+1,FALSE)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6" s="48">
        <f ca="1">VLOOKUP($F516,OFFSET(enemy_skill_triggers!$A$1,0,0,COUNTA(enemy_skill_triggers!$A:$A),MATCH(O$1,enemy_skill_triggers!$1:$1,0)-MATCH($F$1,enemy_skill_triggers!$1:$1,0)+1),MATCH(O$1,enemy_skill_triggers!$1:$1,0)-MATCH($F$1,enemy_skill_triggers!$1:$1,0)+1,FALSE)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6" s="47"/>
      <c r="Q516" s="47"/>
      <c r="R516" s="47"/>
    </row>
    <row r="517" spans="1:18" ht="21" customHeight="1" x14ac:dyDescent="0.15">
      <c r="A517" s="39" t="str">
        <f t="shared" si="23"/>
        <v>39009026_39009059</v>
      </c>
      <c r="B517" s="130">
        <v>39009026</v>
      </c>
      <c r="C517" s="131">
        <v>39009059</v>
      </c>
      <c r="D517" s="46" t="str">
        <f ca="1">VLOOKUP($C517,OFFSET(enemy_skills!$A$1,0,0,COUNTA(enemy_skills!$A:$A),MATCH(D$1,enemy_skills!$1:$1,0)-MATCH("enemy_skill_id",enemy_skills!$1:$1,0)+1),MATCH(D$1,enemy_skills!$1:$1,0)-MATCH("enemy_skill_id",enemy_skills!$1:$1,0)+1,FALSE)</f>
        <v>ツインスターシュート</v>
      </c>
      <c r="E517" s="46" t="str">
        <f ca="1">VLOOKUP($C517,OFFSET(enemy_skills!$A$1,0,0,COUNTA(enemy_skills!$A:$A),MATCH(E$1,enemy_skills!$1:$1,0)-MATCH("enemy_skill_id",enemy_skills!$1:$1,0)+1),MATCH(E$1,enemy_skills!$1:$1,0)-MATCH("enemy_skill_id",enemy_skills!$1:$1,0)+1,FALSE)</f>
        <v>3ターン攻撃力UP+2回連続攻撃</v>
      </c>
      <c r="F517" s="131">
        <v>39009076</v>
      </c>
      <c r="G517" s="48">
        <f ca="1">VLOOKUP($F517,OFFSET(enemy_skill_triggers!$A$1,0,0,COUNTA(enemy_skill_triggers!$A:$A),MATCH(G$1,enemy_skill_triggers!$1:$1,0)-MATCH($F$1,enemy_skill_triggers!$1:$1,0)+1),MATCH(G$1,enemy_skill_triggers!$1:$1,0)-MATCH($F$1,enemy_skill_triggers!$1:$1,0)+1,FALSE)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7" s="48">
        <f ca="1">VLOOKUP($F517,OFFSET(enemy_skill_triggers!$A$1,0,0,COUNTA(enemy_skill_triggers!$A:$A),MATCH(H$1,enemy_skill_triggers!$1:$1,0)-MATCH($F$1,enemy_skill_triggers!$1:$1,0)+1),MATCH(H$1,enemy_skill_triggers!$1:$1,0)-MATCH($F$1,enemy_skill_triggers!$1:$1,0)+1,FALSE)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517" s="48">
        <f ca="1">VLOOKUP($F517,OFFSET(enemy_skill_triggers!$A$1,0,0,COUNTA(enemy_skill_triggers!$A:$A),MATCH(I$1,enemy_skill_triggers!$1:$1,0)-MATCH($F$1,enemy_skill_triggers!$1:$1,0)+1),MATCH(I$1,enemy_skill_triggers!$1:$1,0)-MATCH($F$1,enemy_skill_triggers!$1:$1,0)+1,FALSE)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7" s="48">
        <f ca="1">VLOOKUP($F517,OFFSET(enemy_skill_triggers!$A$1,0,0,COUNTA(enemy_skill_triggers!$A:$A),MATCH(J$1,enemy_skill_triggers!$1:$1,0)-MATCH($F$1,enemy_skill_triggers!$1:$1,0)+1),MATCH(J$1,enemy_skill_triggers!$1:$1,0)-MATCH($F$1,enemy_skill_triggers!$1:$1,0)+1,FALSE)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7" s="48" t="str">
        <f ca="1">VLOOKUP($F517,OFFSET(enemy_skill_triggers!$A$1,0,0,COUNTA(enemy_skill_triggers!$A:$A),MATCH(K$1,enemy_skill_triggers!$1:$1,0)-MATCH($F$1,enemy_skill_triggers!$1:$1,0)+1),MATCH(K$1,enemy_skill_triggers!$1:$1,0)-MATCH($F$1,enemy_skill_triggers!$1:$1,0)+1,FALSE)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7" s="48">
        <f ca="1">VLOOKUP($F517,OFFSET(enemy_skill_triggers!$A$1,0,0,COUNTA(enemy_skill_triggers!$A:$A),MATCH(L$1,enemy_skill_triggers!$1:$1,0)-MATCH($F$1,enemy_skill_triggers!$1:$1,0)+1),MATCH(L$1,enemy_skill_triggers!$1:$1,0)-MATCH($F$1,enemy_skill_triggers!$1:$1,0)+1,FALSE)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7" s="48" t="str">
        <f ca="1">VLOOKUP($F517,OFFSET(enemy_skill_triggers!$A$1,0,0,COUNTA(enemy_skill_triggers!$A:$A),MATCH(M$1,enemy_skill_triggers!$1:$1,0)-MATCH($F$1,enemy_skill_triggers!$1:$1,0)+1),MATCH(M$1,enemy_skill_triggers!$1:$1,0)-MATCH($F$1,enemy_skill_triggers!$1:$1,0)+1,FALSE)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7" s="48" t="str">
        <f ca="1">VLOOKUP($F517,OFFSET(enemy_skill_triggers!$A$1,0,0,COUNTA(enemy_skill_triggers!$A:$A),MATCH(N$1,enemy_skill_triggers!$1:$1,0)-MATCH($F$1,enemy_skill_triggers!$1:$1,0)+1),MATCH(N$1,enemy_skill_triggers!$1:$1,0)-MATCH($F$1,enemy_skill_triggers!$1:$1,0)+1,FALSE)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7" s="48">
        <f ca="1">VLOOKUP($F517,OFFSET(enemy_skill_triggers!$A$1,0,0,COUNTA(enemy_skill_triggers!$A:$A),MATCH(O$1,enemy_skill_triggers!$1:$1,0)-MATCH($F$1,enemy_skill_triggers!$1:$1,0)+1),MATCH(O$1,enemy_skill_triggers!$1:$1,0)-MATCH($F$1,enemy_skill_triggers!$1:$1,0)+1,FALSE)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7" s="47"/>
      <c r="Q517" s="47"/>
      <c r="R517" s="47"/>
    </row>
    <row r="518" spans="1:18" ht="21" customHeight="1" x14ac:dyDescent="0.15">
      <c r="A518" s="39" t="str">
        <f t="shared" si="23"/>
        <v>39009027_39009060</v>
      </c>
      <c r="B518" s="130">
        <v>39009027</v>
      </c>
      <c r="C518" s="132">
        <v>39009060</v>
      </c>
      <c r="D518" s="46" t="str">
        <f ca="1">VLOOKUP($C518,OFFSET(enemy_skills!$A$1,0,0,COUNTA(enemy_skills!$A:$A),MATCH(D$1,enemy_skills!$1:$1,0)-MATCH("enemy_skill_id",enemy_skills!$1:$1,0)+1),MATCH(D$1,enemy_skills!$1:$1,0)-MATCH("enemy_skill_id",enemy_skills!$1:$1,0)+1,FALSE)</f>
        <v>お星様にお願いしよっ♪</v>
      </c>
      <c r="E518" s="46" t="str">
        <f ca="1">VLOOKUP($C518,OFFSET(enemy_skills!$A$1,0,0,COUNTA(enemy_skills!$A:$A),MATCH(E$1,enemy_skills!$1:$1,0)-MATCH("enemy_skill_id",enemy_skills!$1:$1,0)+1),MATCH(E$1,enemy_skills!$1:$1,0)-MATCH("enemy_skill_id",enemy_skills!$1:$1,0)+1,FALSE)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8" s="132">
        <v>39009077</v>
      </c>
      <c r="G518" s="48">
        <f ca="1">VLOOKUP($F518,OFFSET(enemy_skill_triggers!$A$1,0,0,COUNTA(enemy_skill_triggers!$A:$A),MATCH(G$1,enemy_skill_triggers!$1:$1,0)-MATCH($F$1,enemy_skill_triggers!$1:$1,0)+1),MATCH(G$1,enemy_skill_triggers!$1:$1,0)-MATCH($F$1,enemy_skill_triggers!$1:$1,0)+1,FALSE)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8" s="48">
        <f ca="1">VLOOKUP($F518,OFFSET(enemy_skill_triggers!$A$1,0,0,COUNTA(enemy_skill_triggers!$A:$A),MATCH(H$1,enemy_skill_triggers!$1:$1,0)-MATCH($F$1,enemy_skill_triggers!$1:$1,0)+1),MATCH(H$1,enemy_skill_triggers!$1:$1,0)-MATCH($F$1,enemy_skill_triggers!$1:$1,0)+1,FALSE)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8" s="48">
        <f ca="1">VLOOKUP($F518,OFFSET(enemy_skill_triggers!$A$1,0,0,COUNTA(enemy_skill_triggers!$A:$A),MATCH(I$1,enemy_skill_triggers!$1:$1,0)-MATCH($F$1,enemy_skill_triggers!$1:$1,0)+1),MATCH(I$1,enemy_skill_triggers!$1:$1,0)-MATCH($F$1,enemy_skill_triggers!$1:$1,0)+1,FALSE)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8" s="48" t="str">
        <f ca="1">VLOOKUP($F518,OFFSET(enemy_skill_triggers!$A$1,0,0,COUNTA(enemy_skill_triggers!$A:$A),MATCH(J$1,enemy_skill_triggers!$1:$1,0)-MATCH($F$1,enemy_skill_triggers!$1:$1,0)+1),MATCH(J$1,enemy_skill_triggers!$1:$1,0)-MATCH($F$1,enemy_skill_triggers!$1:$1,0)+1,FALSE)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8" s="48" t="str">
        <f ca="1">VLOOKUP($F518,OFFSET(enemy_skill_triggers!$A$1,0,0,COUNTA(enemy_skill_triggers!$A:$A),MATCH(K$1,enemy_skill_triggers!$1:$1,0)-MATCH($F$1,enemy_skill_triggers!$1:$1,0)+1),MATCH(K$1,enemy_skill_triggers!$1:$1,0)-MATCH($F$1,enemy_skill_triggers!$1:$1,0)+1,FALSE)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8" s="48">
        <f ca="1">VLOOKUP($F518,OFFSET(enemy_skill_triggers!$A$1,0,0,COUNTA(enemy_skill_triggers!$A:$A),MATCH(L$1,enemy_skill_triggers!$1:$1,0)-MATCH($F$1,enemy_skill_triggers!$1:$1,0)+1),MATCH(L$1,enemy_skill_triggers!$1:$1,0)-MATCH($F$1,enemy_skill_triggers!$1:$1,0)+1,FALSE)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8" s="48" t="str">
        <f ca="1">VLOOKUP($F518,OFFSET(enemy_skill_triggers!$A$1,0,0,COUNTA(enemy_skill_triggers!$A:$A),MATCH(M$1,enemy_skill_triggers!$1:$1,0)-MATCH($F$1,enemy_skill_triggers!$1:$1,0)+1),MATCH(M$1,enemy_skill_triggers!$1:$1,0)-MATCH($F$1,enemy_skill_triggers!$1:$1,0)+1,FALSE)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8" s="48" t="str">
        <f ca="1">VLOOKUP($F518,OFFSET(enemy_skill_triggers!$A$1,0,0,COUNTA(enemy_skill_triggers!$A:$A),MATCH(N$1,enemy_skill_triggers!$1:$1,0)-MATCH($F$1,enemy_skill_triggers!$1:$1,0)+1),MATCH(N$1,enemy_skill_triggers!$1:$1,0)-MATCH($F$1,enemy_skill_triggers!$1:$1,0)+1,FALSE)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8" s="48">
        <f ca="1">VLOOKUP($F518,OFFSET(enemy_skill_triggers!$A$1,0,0,COUNTA(enemy_skill_triggers!$A:$A),MATCH(O$1,enemy_skill_triggers!$1:$1,0)-MATCH($F$1,enemy_skill_triggers!$1:$1,0)+1),MATCH(O$1,enemy_skill_triggers!$1:$1,0)-MATCH($F$1,enemy_skill_triggers!$1:$1,0)+1,FALSE)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8" s="47"/>
      <c r="Q518" s="47"/>
      <c r="R518" s="47"/>
    </row>
    <row r="519" spans="1:18" ht="21" customHeight="1" x14ac:dyDescent="0.15">
      <c r="A519" s="39" t="str">
        <f t="shared" si="23"/>
        <v>39009027_39009061</v>
      </c>
      <c r="B519" s="130">
        <v>39009027</v>
      </c>
      <c r="C519" s="132">
        <v>39009061</v>
      </c>
      <c r="D519" s="46" t="str">
        <f ca="1">VLOOKUP($C519,OFFSET(enemy_skills!$A$1,0,0,COUNTA(enemy_skills!$A:$A),MATCH(D$1,enemy_skills!$1:$1,0)-MATCH("enemy_skill_id",enemy_skills!$1:$1,0)+1),MATCH(D$1,enemy_skills!$1:$1,0)-MATCH("enemy_skill_id",enemy_skills!$1:$1,0)+1,FALSE)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19" s="46" t="str">
        <f ca="1">VLOOKUP($C519,OFFSET(enemy_skills!$A$1,0,0,COUNTA(enemy_skills!$A:$A),MATCH(E$1,enemy_skills!$1:$1,0)-MATCH("enemy_skill_id",enemy_skills!$1:$1,0)+1),MATCH(E$1,enemy_skills!$1:$1,0)-MATCH("enemy_skill_id",enemy_skills!$1:$1,0)+1,FALSE)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19" s="132">
        <v>39009078</v>
      </c>
      <c r="G519" s="48">
        <f ca="1">VLOOKUP($F519,OFFSET(enemy_skill_triggers!$A$1,0,0,COUNTA(enemy_skill_triggers!$A:$A),MATCH(G$1,enemy_skill_triggers!$1:$1,0)-MATCH($F$1,enemy_skill_triggers!$1:$1,0)+1),MATCH(G$1,enemy_skill_triggers!$1:$1,0)-MATCH($F$1,enemy_skill_triggers!$1:$1,0)+1,FALSE)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9" s="48">
        <f ca="1">VLOOKUP($F519,OFFSET(enemy_skill_triggers!$A$1,0,0,COUNTA(enemy_skill_triggers!$A:$A),MATCH(H$1,enemy_skill_triggers!$1:$1,0)-MATCH($F$1,enemy_skill_triggers!$1:$1,0)+1),MATCH(H$1,enemy_skill_triggers!$1:$1,0)-MATCH($F$1,enemy_skill_triggers!$1:$1,0)+1,FALSE)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19" s="48">
        <f ca="1">VLOOKUP($F519,OFFSET(enemy_skill_triggers!$A$1,0,0,COUNTA(enemy_skill_triggers!$A:$A),MATCH(I$1,enemy_skill_triggers!$1:$1,0)-MATCH($F$1,enemy_skill_triggers!$1:$1,0)+1),MATCH(I$1,enemy_skill_triggers!$1:$1,0)-MATCH($F$1,enemy_skill_triggers!$1:$1,0)+1,FALSE)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9" s="48" t="str">
        <f ca="1">VLOOKUP($F519,OFFSET(enemy_skill_triggers!$A$1,0,0,COUNTA(enemy_skill_triggers!$A:$A),MATCH(J$1,enemy_skill_triggers!$1:$1,0)-MATCH($F$1,enemy_skill_triggers!$1:$1,0)+1),MATCH(J$1,enemy_skill_triggers!$1:$1,0)-MATCH($F$1,enemy_skill_triggers!$1:$1,0)+1,FALSE)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9" s="48" t="str">
        <f ca="1">VLOOKUP($F519,OFFSET(enemy_skill_triggers!$A$1,0,0,COUNTA(enemy_skill_triggers!$A:$A),MATCH(K$1,enemy_skill_triggers!$1:$1,0)-MATCH($F$1,enemy_skill_triggers!$1:$1,0)+1),MATCH(K$1,enemy_skill_triggers!$1:$1,0)-MATCH($F$1,enemy_skill_triggers!$1:$1,0)+1,FALSE)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9" s="48">
        <f ca="1">VLOOKUP($F519,OFFSET(enemy_skill_triggers!$A$1,0,0,COUNTA(enemy_skill_triggers!$A:$A),MATCH(L$1,enemy_skill_triggers!$1:$1,0)-MATCH($F$1,enemy_skill_triggers!$1:$1,0)+1),MATCH(L$1,enemy_skill_triggers!$1:$1,0)-MATCH($F$1,enemy_skill_triggers!$1:$1,0)+1,FALSE)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9" s="48" t="str">
        <f ca="1">VLOOKUP($F519,OFFSET(enemy_skill_triggers!$A$1,0,0,COUNTA(enemy_skill_triggers!$A:$A),MATCH(M$1,enemy_skill_triggers!$1:$1,0)-MATCH($F$1,enemy_skill_triggers!$1:$1,0)+1),MATCH(M$1,enemy_skill_triggers!$1:$1,0)-MATCH($F$1,enemy_skill_triggers!$1:$1,0)+1,FALSE)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9" s="48">
        <f ca="1">VLOOKUP($F519,OFFSET(enemy_skill_triggers!$A$1,0,0,COUNTA(enemy_skill_triggers!$A:$A),MATCH(N$1,enemy_skill_triggers!$1:$1,0)-MATCH($F$1,enemy_skill_triggers!$1:$1,0)+1),MATCH(N$1,enemy_skill_triggers!$1:$1,0)-MATCH($F$1,enemy_skill_triggers!$1:$1,0)+1,FALSE)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19" s="48">
        <f ca="1">VLOOKUP($F519,OFFSET(enemy_skill_triggers!$A$1,0,0,COUNTA(enemy_skill_triggers!$A:$A),MATCH(O$1,enemy_skill_triggers!$1:$1,0)-MATCH($F$1,enemy_skill_triggers!$1:$1,0)+1),MATCH(O$1,enemy_skill_triggers!$1:$1,0)-MATCH($F$1,enemy_skill_triggers!$1:$1,0)+1,FALSE)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9" s="47"/>
      <c r="Q519" s="47"/>
      <c r="R519" s="47"/>
    </row>
    <row r="520" spans="1:18" ht="21" customHeight="1" x14ac:dyDescent="0.15">
      <c r="A520" s="39" t="str">
        <f t="shared" si="23"/>
        <v>39009027_39009061</v>
      </c>
      <c r="B520" s="130">
        <v>39009027</v>
      </c>
      <c r="C520" s="132">
        <v>39009061</v>
      </c>
      <c r="D520" s="46" t="str">
        <f ca="1">VLOOKUP($C520,OFFSET(enemy_skills!$A$1,0,0,COUNTA(enemy_skills!$A:$A),MATCH(D$1,enemy_skills!$1:$1,0)-MATCH("enemy_skill_id",enemy_skills!$1:$1,0)+1),MATCH(D$1,enemy_skills!$1:$1,0)-MATCH("enemy_skill_id",enemy_skills!$1:$1,0)+1,FALSE)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0" s="46" t="str">
        <f ca="1">VLOOKUP($C520,OFFSET(enemy_skills!$A$1,0,0,COUNTA(enemy_skills!$A:$A),MATCH(E$1,enemy_skills!$1:$1,0)-MATCH("enemy_skill_id",enemy_skills!$1:$1,0)+1),MATCH(E$1,enemy_skills!$1:$1,0)-MATCH("enemy_skill_id",enemy_skills!$1:$1,0)+1,FALSE)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0" s="132">
        <v>39009079</v>
      </c>
      <c r="G520" s="48">
        <f ca="1">VLOOKUP($F520,OFFSET(enemy_skill_triggers!$A$1,0,0,COUNTA(enemy_skill_triggers!$A:$A),MATCH(G$1,enemy_skill_triggers!$1:$1,0)-MATCH($F$1,enemy_skill_triggers!$1:$1,0)+1),MATCH(G$1,enemy_skill_triggers!$1:$1,0)-MATCH($F$1,enemy_skill_triggers!$1:$1,0)+1,FALSE)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0" s="48">
        <f ca="1">VLOOKUP($F520,OFFSET(enemy_skill_triggers!$A$1,0,0,COUNTA(enemy_skill_triggers!$A:$A),MATCH(H$1,enemy_skill_triggers!$1:$1,0)-MATCH($F$1,enemy_skill_triggers!$1:$1,0)+1),MATCH(H$1,enemy_skill_triggers!$1:$1,0)-MATCH($F$1,enemy_skill_triggers!$1:$1,0)+1,FALSE)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520" s="48">
        <f ca="1">VLOOKUP($F520,OFFSET(enemy_skill_triggers!$A$1,0,0,COUNTA(enemy_skill_triggers!$A:$A),MATCH(I$1,enemy_skill_triggers!$1:$1,0)-MATCH($F$1,enemy_skill_triggers!$1:$1,0)+1),MATCH(I$1,enemy_skill_triggers!$1:$1,0)-MATCH($F$1,enemy_skill_triggers!$1:$1,0)+1,FALSE)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0" s="48" t="str">
        <f ca="1">VLOOKUP($F520,OFFSET(enemy_skill_triggers!$A$1,0,0,COUNTA(enemy_skill_triggers!$A:$A),MATCH(J$1,enemy_skill_triggers!$1:$1,0)-MATCH($F$1,enemy_skill_triggers!$1:$1,0)+1),MATCH(J$1,enemy_skill_triggers!$1:$1,0)-MATCH($F$1,enemy_skill_triggers!$1:$1,0)+1,FALSE)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0" s="48" t="str">
        <f ca="1">VLOOKUP($F520,OFFSET(enemy_skill_triggers!$A$1,0,0,COUNTA(enemy_skill_triggers!$A:$A),MATCH(K$1,enemy_skill_triggers!$1:$1,0)-MATCH($F$1,enemy_skill_triggers!$1:$1,0)+1),MATCH(K$1,enemy_skill_triggers!$1:$1,0)-MATCH($F$1,enemy_skill_triggers!$1:$1,0)+1,FALSE)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0" s="48">
        <f ca="1">VLOOKUP($F520,OFFSET(enemy_skill_triggers!$A$1,0,0,COUNTA(enemy_skill_triggers!$A:$A),MATCH(L$1,enemy_skill_triggers!$1:$1,0)-MATCH($F$1,enemy_skill_triggers!$1:$1,0)+1),MATCH(L$1,enemy_skill_triggers!$1:$1,0)-MATCH($F$1,enemy_skill_triggers!$1:$1,0)+1,FALSE)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0" s="48" t="str">
        <f ca="1">VLOOKUP($F520,OFFSET(enemy_skill_triggers!$A$1,0,0,COUNTA(enemy_skill_triggers!$A:$A),MATCH(M$1,enemy_skill_triggers!$1:$1,0)-MATCH($F$1,enemy_skill_triggers!$1:$1,0)+1),MATCH(M$1,enemy_skill_triggers!$1:$1,0)-MATCH($F$1,enemy_skill_triggers!$1:$1,0)+1,FALSE)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0" s="48">
        <f ca="1">VLOOKUP($F520,OFFSET(enemy_skill_triggers!$A$1,0,0,COUNTA(enemy_skill_triggers!$A:$A),MATCH(N$1,enemy_skill_triggers!$1:$1,0)-MATCH($F$1,enemy_skill_triggers!$1:$1,0)+1),MATCH(N$1,enemy_skill_triggers!$1:$1,0)-MATCH($F$1,enemy_skill_triggers!$1:$1,0)+1,FALSE)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520" s="48">
        <f ca="1">VLOOKUP($F520,OFFSET(enemy_skill_triggers!$A$1,0,0,COUNTA(enemy_skill_triggers!$A:$A),MATCH(O$1,enemy_skill_triggers!$1:$1,0)-MATCH($F$1,enemy_skill_triggers!$1:$1,0)+1),MATCH(O$1,enemy_skill_triggers!$1:$1,0)-MATCH($F$1,enemy_skill_triggers!$1:$1,0)+1,FALSE)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0" s="47"/>
      <c r="Q520" s="47"/>
      <c r="R520" s="47"/>
    </row>
    <row r="521" spans="1:18" ht="21" customHeight="1" x14ac:dyDescent="0.15">
      <c r="A521" s="39" t="str">
        <f t="shared" si="23"/>
        <v>39009027_39009061</v>
      </c>
      <c r="B521" s="130">
        <v>39009027</v>
      </c>
      <c r="C521" s="132">
        <v>39009061</v>
      </c>
      <c r="D521" s="46" t="str">
        <f ca="1">VLOOKUP($C521,OFFSET(enemy_skills!$A$1,0,0,COUNTA(enemy_skills!$A:$A),MATCH(D$1,enemy_skills!$1:$1,0)-MATCH("enemy_skill_id",enemy_skills!$1:$1,0)+1),MATCH(D$1,enemy_skills!$1:$1,0)-MATCH("enemy_skill_id",enemy_skills!$1:$1,0)+1,FALSE)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1" s="46" t="str">
        <f ca="1">VLOOKUP($C521,OFFSET(enemy_skills!$A$1,0,0,COUNTA(enemy_skills!$A:$A),MATCH(E$1,enemy_skills!$1:$1,0)-MATCH("enemy_skill_id",enemy_skills!$1:$1,0)+1),MATCH(E$1,enemy_skills!$1:$1,0)-MATCH("enemy_skill_id",enemy_skills!$1:$1,0)+1,FALSE)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1" s="132">
        <v>39009080</v>
      </c>
      <c r="G521" s="48">
        <f ca="1">VLOOKUP($F521,OFFSET(enemy_skill_triggers!$A$1,0,0,COUNTA(enemy_skill_triggers!$A:$A),MATCH(G$1,enemy_skill_triggers!$1:$1,0)-MATCH($F$1,enemy_skill_triggers!$1:$1,0)+1),MATCH(G$1,enemy_skill_triggers!$1:$1,0)-MATCH($F$1,enemy_skill_triggers!$1:$1,0)+1,FALSE)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1" s="48">
        <f ca="1">VLOOKUP($F521,OFFSET(enemy_skill_triggers!$A$1,0,0,COUNTA(enemy_skill_triggers!$A:$A),MATCH(H$1,enemy_skill_triggers!$1:$1,0)-MATCH($F$1,enemy_skill_triggers!$1:$1,0)+1),MATCH(H$1,enemy_skill_triggers!$1:$1,0)-MATCH($F$1,enemy_skill_triggers!$1:$1,0)+1,FALSE)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521" s="48">
        <f ca="1">VLOOKUP($F521,OFFSET(enemy_skill_triggers!$A$1,0,0,COUNTA(enemy_skill_triggers!$A:$A),MATCH(I$1,enemy_skill_triggers!$1:$1,0)-MATCH($F$1,enemy_skill_triggers!$1:$1,0)+1),MATCH(I$1,enemy_skill_triggers!$1:$1,0)-MATCH($F$1,enemy_skill_triggers!$1:$1,0)+1,FALSE)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1" s="48" t="str">
        <f ca="1">VLOOKUP($F521,OFFSET(enemy_skill_triggers!$A$1,0,0,COUNTA(enemy_skill_triggers!$A:$A),MATCH(J$1,enemy_skill_triggers!$1:$1,0)-MATCH($F$1,enemy_skill_triggers!$1:$1,0)+1),MATCH(J$1,enemy_skill_triggers!$1:$1,0)-MATCH($F$1,enemy_skill_triggers!$1:$1,0)+1,FALSE)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1" s="48" t="str">
        <f ca="1">VLOOKUP($F521,OFFSET(enemy_skill_triggers!$A$1,0,0,COUNTA(enemy_skill_triggers!$A:$A),MATCH(K$1,enemy_skill_triggers!$1:$1,0)-MATCH($F$1,enemy_skill_triggers!$1:$1,0)+1),MATCH(K$1,enemy_skill_triggers!$1:$1,0)-MATCH($F$1,enemy_skill_triggers!$1:$1,0)+1,FALSE)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1" s="48">
        <f ca="1">VLOOKUP($F521,OFFSET(enemy_skill_triggers!$A$1,0,0,COUNTA(enemy_skill_triggers!$A:$A),MATCH(L$1,enemy_skill_triggers!$1:$1,0)-MATCH($F$1,enemy_skill_triggers!$1:$1,0)+1),MATCH(L$1,enemy_skill_triggers!$1:$1,0)-MATCH($F$1,enemy_skill_triggers!$1:$1,0)+1,FALSE)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1" s="48" t="str">
        <f ca="1">VLOOKUP($F521,OFFSET(enemy_skill_triggers!$A$1,0,0,COUNTA(enemy_skill_triggers!$A:$A),MATCH(M$1,enemy_skill_triggers!$1:$1,0)-MATCH($F$1,enemy_skill_triggers!$1:$1,0)+1),MATCH(M$1,enemy_skill_triggers!$1:$1,0)-MATCH($F$1,enemy_skill_triggers!$1:$1,0)+1,FALSE)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1" s="48">
        <f ca="1">VLOOKUP($F521,OFFSET(enemy_skill_triggers!$A$1,0,0,COUNTA(enemy_skill_triggers!$A:$A),MATCH(N$1,enemy_skill_triggers!$1:$1,0)-MATCH($F$1,enemy_skill_triggers!$1:$1,0)+1),MATCH(N$1,enemy_skill_triggers!$1:$1,0)-MATCH($F$1,enemy_skill_triggers!$1:$1,0)+1,FALSE)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521" s="48">
        <f ca="1">VLOOKUP($F521,OFFSET(enemy_skill_triggers!$A$1,0,0,COUNTA(enemy_skill_triggers!$A:$A),MATCH(O$1,enemy_skill_triggers!$1:$1,0)-MATCH($F$1,enemy_skill_triggers!$1:$1,0)+1),MATCH(O$1,enemy_skill_triggers!$1:$1,0)-MATCH($F$1,enemy_skill_triggers!$1:$1,0)+1,FALSE)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1" s="47"/>
      <c r="Q521" s="47"/>
      <c r="R521" s="47"/>
    </row>
    <row r="522" spans="1:18" ht="21" customHeight="1" x14ac:dyDescent="0.15">
      <c r="A522" s="39" t="str">
        <f t="shared" si="23"/>
        <v>39009027_39009061</v>
      </c>
      <c r="B522" s="130">
        <v>39009027</v>
      </c>
      <c r="C522" s="132">
        <v>39009061</v>
      </c>
      <c r="D522" s="46" t="str">
        <f ca="1">VLOOKUP($C522,OFFSET(enemy_skills!$A$1,0,0,COUNTA(enemy_skills!$A:$A),MATCH(D$1,enemy_skills!$1:$1,0)-MATCH("enemy_skill_id",enemy_skills!$1:$1,0)+1),MATCH(D$1,enemy_skills!$1:$1,0)-MATCH("enemy_skill_id",enemy_skills!$1:$1,0)+1,FALSE)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2" s="46" t="str">
        <f ca="1">VLOOKUP($C522,OFFSET(enemy_skills!$A$1,0,0,COUNTA(enemy_skills!$A:$A),MATCH(E$1,enemy_skills!$1:$1,0)-MATCH("enemy_skill_id",enemy_skills!$1:$1,0)+1),MATCH(E$1,enemy_skills!$1:$1,0)-MATCH("enemy_skill_id",enemy_skills!$1:$1,0)+1,FALSE)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2" s="132">
        <v>39009081</v>
      </c>
      <c r="G522" s="48">
        <f ca="1">VLOOKUP($F522,OFFSET(enemy_skill_triggers!$A$1,0,0,COUNTA(enemy_skill_triggers!$A:$A),MATCH(G$1,enemy_skill_triggers!$1:$1,0)-MATCH($F$1,enemy_skill_triggers!$1:$1,0)+1),MATCH(G$1,enemy_skill_triggers!$1:$1,0)-MATCH($F$1,enemy_skill_triggers!$1:$1,0)+1,FALSE)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2" s="48">
        <f ca="1">VLOOKUP($F522,OFFSET(enemy_skill_triggers!$A$1,0,0,COUNTA(enemy_skill_triggers!$A:$A),MATCH(H$1,enemy_skill_triggers!$1:$1,0)-MATCH($F$1,enemy_skill_triggers!$1:$1,0)+1),MATCH(H$1,enemy_skill_triggers!$1:$1,0)-MATCH($F$1,enemy_skill_triggers!$1:$1,0)+1,FALSE)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522" s="48">
        <f ca="1">VLOOKUP($F522,OFFSET(enemy_skill_triggers!$A$1,0,0,COUNTA(enemy_skill_triggers!$A:$A),MATCH(I$1,enemy_skill_triggers!$1:$1,0)-MATCH($F$1,enemy_skill_triggers!$1:$1,0)+1),MATCH(I$1,enemy_skill_triggers!$1:$1,0)-MATCH($F$1,enemy_skill_triggers!$1:$1,0)+1,FALSE)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2" s="48" t="str">
        <f ca="1">VLOOKUP($F522,OFFSET(enemy_skill_triggers!$A$1,0,0,COUNTA(enemy_skill_triggers!$A:$A),MATCH(J$1,enemy_skill_triggers!$1:$1,0)-MATCH($F$1,enemy_skill_triggers!$1:$1,0)+1),MATCH(J$1,enemy_skill_triggers!$1:$1,0)-MATCH($F$1,enemy_skill_triggers!$1:$1,0)+1,FALSE)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2" s="48" t="str">
        <f ca="1">VLOOKUP($F522,OFFSET(enemy_skill_triggers!$A$1,0,0,COUNTA(enemy_skill_triggers!$A:$A),MATCH(K$1,enemy_skill_triggers!$1:$1,0)-MATCH($F$1,enemy_skill_triggers!$1:$1,0)+1),MATCH(K$1,enemy_skill_triggers!$1:$1,0)-MATCH($F$1,enemy_skill_triggers!$1:$1,0)+1,FALSE)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2" s="48">
        <f ca="1">VLOOKUP($F522,OFFSET(enemy_skill_triggers!$A$1,0,0,COUNTA(enemy_skill_triggers!$A:$A),MATCH(L$1,enemy_skill_triggers!$1:$1,0)-MATCH($F$1,enemy_skill_triggers!$1:$1,0)+1),MATCH(L$1,enemy_skill_triggers!$1:$1,0)-MATCH($F$1,enemy_skill_triggers!$1:$1,0)+1,FALSE)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2" s="48" t="str">
        <f ca="1">VLOOKUP($F522,OFFSET(enemy_skill_triggers!$A$1,0,0,COUNTA(enemy_skill_triggers!$A:$A),MATCH(M$1,enemy_skill_triggers!$1:$1,0)-MATCH($F$1,enemy_skill_triggers!$1:$1,0)+1),MATCH(M$1,enemy_skill_triggers!$1:$1,0)-MATCH($F$1,enemy_skill_triggers!$1:$1,0)+1,FALSE)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2" s="48">
        <f ca="1">VLOOKUP($F522,OFFSET(enemy_skill_triggers!$A$1,0,0,COUNTA(enemy_skill_triggers!$A:$A),MATCH(N$1,enemy_skill_triggers!$1:$1,0)-MATCH($F$1,enemy_skill_triggers!$1:$1,0)+1),MATCH(N$1,enemy_skill_triggers!$1:$1,0)-MATCH($F$1,enemy_skill_triggers!$1:$1,0)+1,FALSE)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522" s="48">
        <f ca="1">VLOOKUP($F522,OFFSET(enemy_skill_triggers!$A$1,0,0,COUNTA(enemy_skill_triggers!$A:$A),MATCH(O$1,enemy_skill_triggers!$1:$1,0)-MATCH($F$1,enemy_skill_triggers!$1:$1,0)+1),MATCH(O$1,enemy_skill_triggers!$1:$1,0)-MATCH($F$1,enemy_skill_triggers!$1:$1,0)+1,FALSE)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2" s="47"/>
      <c r="Q522" s="47"/>
      <c r="R522" s="47"/>
    </row>
    <row r="523" spans="1:18" ht="21" customHeight="1" x14ac:dyDescent="0.15">
      <c r="A523" s="39" t="str">
        <f t="shared" si="23"/>
        <v>39009027_39009061</v>
      </c>
      <c r="B523" s="130">
        <v>39009027</v>
      </c>
      <c r="C523" s="132">
        <v>39009061</v>
      </c>
      <c r="D523" s="46" t="str">
        <f ca="1">VLOOKUP($C523,OFFSET(enemy_skills!$A$1,0,0,COUNTA(enemy_skills!$A:$A),MATCH(D$1,enemy_skills!$1:$1,0)-MATCH("enemy_skill_id",enemy_skills!$1:$1,0)+1),MATCH(D$1,enemy_skills!$1:$1,0)-MATCH("enemy_skill_id",enemy_skills!$1:$1,0)+1,FALSE)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3" s="46" t="str">
        <f ca="1">VLOOKUP($C523,OFFSET(enemy_skills!$A$1,0,0,COUNTA(enemy_skills!$A:$A),MATCH(E$1,enemy_skills!$1:$1,0)-MATCH("enemy_skill_id",enemy_skills!$1:$1,0)+1),MATCH(E$1,enemy_skills!$1:$1,0)-MATCH("enemy_skill_id",enemy_skills!$1:$1,0)+1,FALSE)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3" s="132">
        <v>39009082</v>
      </c>
      <c r="G523" s="48">
        <f ca="1">VLOOKUP($F523,OFFSET(enemy_skill_triggers!$A$1,0,0,COUNTA(enemy_skill_triggers!$A:$A),MATCH(G$1,enemy_skill_triggers!$1:$1,0)-MATCH($F$1,enemy_skill_triggers!$1:$1,0)+1),MATCH(G$1,enemy_skill_triggers!$1:$1,0)-MATCH($F$1,enemy_skill_triggers!$1:$1,0)+1,FALSE)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3" s="48">
        <f ca="1">VLOOKUP($F523,OFFSET(enemy_skill_triggers!$A$1,0,0,COUNTA(enemy_skill_triggers!$A:$A),MATCH(H$1,enemy_skill_triggers!$1:$1,0)-MATCH($F$1,enemy_skill_triggers!$1:$1,0)+1),MATCH(H$1,enemy_skill_triggers!$1:$1,0)-MATCH($F$1,enemy_skill_triggers!$1:$1,0)+1,FALSE)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23" s="48">
        <f ca="1">VLOOKUP($F523,OFFSET(enemy_skill_triggers!$A$1,0,0,COUNTA(enemy_skill_triggers!$A:$A),MATCH(I$1,enemy_skill_triggers!$1:$1,0)-MATCH($F$1,enemy_skill_triggers!$1:$1,0)+1),MATCH(I$1,enemy_skill_triggers!$1:$1,0)-MATCH($F$1,enemy_skill_triggers!$1:$1,0)+1,FALSE)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3" s="48" t="str">
        <f ca="1">VLOOKUP($F523,OFFSET(enemy_skill_triggers!$A$1,0,0,COUNTA(enemy_skill_triggers!$A:$A),MATCH(J$1,enemy_skill_triggers!$1:$1,0)-MATCH($F$1,enemy_skill_triggers!$1:$1,0)+1),MATCH(J$1,enemy_skill_triggers!$1:$1,0)-MATCH($F$1,enemy_skill_triggers!$1:$1,0)+1,FALSE)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3" s="48" t="str">
        <f ca="1">VLOOKUP($F523,OFFSET(enemy_skill_triggers!$A$1,0,0,COUNTA(enemy_skill_triggers!$A:$A),MATCH(K$1,enemy_skill_triggers!$1:$1,0)-MATCH($F$1,enemy_skill_triggers!$1:$1,0)+1),MATCH(K$1,enemy_skill_triggers!$1:$1,0)-MATCH($F$1,enemy_skill_triggers!$1:$1,0)+1,FALSE)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3" s="48">
        <f ca="1">VLOOKUP($F523,OFFSET(enemy_skill_triggers!$A$1,0,0,COUNTA(enemy_skill_triggers!$A:$A),MATCH(L$1,enemy_skill_triggers!$1:$1,0)-MATCH($F$1,enemy_skill_triggers!$1:$1,0)+1),MATCH(L$1,enemy_skill_triggers!$1:$1,0)-MATCH($F$1,enemy_skill_triggers!$1:$1,0)+1,FALSE)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3" s="48" t="str">
        <f ca="1">VLOOKUP($F523,OFFSET(enemy_skill_triggers!$A$1,0,0,COUNTA(enemy_skill_triggers!$A:$A),MATCH(M$1,enemy_skill_triggers!$1:$1,0)-MATCH($F$1,enemy_skill_triggers!$1:$1,0)+1),MATCH(M$1,enemy_skill_triggers!$1:$1,0)-MATCH($F$1,enemy_skill_triggers!$1:$1,0)+1,FALSE)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3" s="48">
        <f ca="1">VLOOKUP($F523,OFFSET(enemy_skill_triggers!$A$1,0,0,COUNTA(enemy_skill_triggers!$A:$A),MATCH(N$1,enemy_skill_triggers!$1:$1,0)-MATCH($F$1,enemy_skill_triggers!$1:$1,0)+1),MATCH(N$1,enemy_skill_triggers!$1:$1,0)-MATCH($F$1,enemy_skill_triggers!$1:$1,0)+1,FALSE)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523" s="48">
        <f ca="1">VLOOKUP($F523,OFFSET(enemy_skill_triggers!$A$1,0,0,COUNTA(enemy_skill_triggers!$A:$A),MATCH(O$1,enemy_skill_triggers!$1:$1,0)-MATCH($F$1,enemy_skill_triggers!$1:$1,0)+1),MATCH(O$1,enemy_skill_triggers!$1:$1,0)-MATCH($F$1,enemy_skill_triggers!$1:$1,0)+1,FALSE)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3" s="47"/>
      <c r="Q523" s="47"/>
      <c r="R523" s="47"/>
    </row>
    <row r="524" spans="1:18" ht="21" customHeight="1" x14ac:dyDescent="0.15">
      <c r="A524" s="39" t="str">
        <f t="shared" si="23"/>
        <v>39009027_39009061</v>
      </c>
      <c r="B524" s="130">
        <v>39009027</v>
      </c>
      <c r="C524" s="132">
        <v>39009061</v>
      </c>
      <c r="D524" s="46" t="str">
        <f ca="1">VLOOKUP($C524,OFFSET(enemy_skills!$A$1,0,0,COUNTA(enemy_skills!$A:$A),MATCH(D$1,enemy_skills!$1:$1,0)-MATCH("enemy_skill_id",enemy_skills!$1:$1,0)+1),MATCH(D$1,enemy_skills!$1:$1,0)-MATCH("enemy_skill_id",enemy_skills!$1:$1,0)+1,FALSE)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4" s="46" t="str">
        <f ca="1">VLOOKUP($C524,OFFSET(enemy_skills!$A$1,0,0,COUNTA(enemy_skills!$A:$A),MATCH(E$1,enemy_skills!$1:$1,0)-MATCH("enemy_skill_id",enemy_skills!$1:$1,0)+1),MATCH(E$1,enemy_skills!$1:$1,0)-MATCH("enemy_skill_id",enemy_skills!$1:$1,0)+1,FALSE)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4" s="132">
        <v>39009083</v>
      </c>
      <c r="G524" s="48">
        <f ca="1">VLOOKUP($F524,OFFSET(enemy_skill_triggers!$A$1,0,0,COUNTA(enemy_skill_triggers!$A:$A),MATCH(G$1,enemy_skill_triggers!$1:$1,0)-MATCH($F$1,enemy_skill_triggers!$1:$1,0)+1),MATCH(G$1,enemy_skill_triggers!$1:$1,0)-MATCH($F$1,enemy_skill_triggers!$1:$1,0)+1,FALSE)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4" s="48">
        <f ca="1">VLOOKUP($F524,OFFSET(enemy_skill_triggers!$A$1,0,0,COUNTA(enemy_skill_triggers!$A:$A),MATCH(H$1,enemy_skill_triggers!$1:$1,0)-MATCH($F$1,enemy_skill_triggers!$1:$1,0)+1),MATCH(H$1,enemy_skill_triggers!$1:$1,0)-MATCH($F$1,enemy_skill_triggers!$1:$1,0)+1,FALSE)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524" s="48">
        <f ca="1">VLOOKUP($F524,OFFSET(enemy_skill_triggers!$A$1,0,0,COUNTA(enemy_skill_triggers!$A:$A),MATCH(I$1,enemy_skill_triggers!$1:$1,0)-MATCH($F$1,enemy_skill_triggers!$1:$1,0)+1),MATCH(I$1,enemy_skill_triggers!$1:$1,0)-MATCH($F$1,enemy_skill_triggers!$1:$1,0)+1,FALSE)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4" s="48" t="str">
        <f ca="1">VLOOKUP($F524,OFFSET(enemy_skill_triggers!$A$1,0,0,COUNTA(enemy_skill_triggers!$A:$A),MATCH(J$1,enemy_skill_triggers!$1:$1,0)-MATCH($F$1,enemy_skill_triggers!$1:$1,0)+1),MATCH(J$1,enemy_skill_triggers!$1:$1,0)-MATCH($F$1,enemy_skill_triggers!$1:$1,0)+1,FALSE)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4" s="48" t="str">
        <f ca="1">VLOOKUP($F524,OFFSET(enemy_skill_triggers!$A$1,0,0,COUNTA(enemy_skill_triggers!$A:$A),MATCH(K$1,enemy_skill_triggers!$1:$1,0)-MATCH($F$1,enemy_skill_triggers!$1:$1,0)+1),MATCH(K$1,enemy_skill_triggers!$1:$1,0)-MATCH($F$1,enemy_skill_triggers!$1:$1,0)+1,FALSE)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4" s="48">
        <f ca="1">VLOOKUP($F524,OFFSET(enemy_skill_triggers!$A$1,0,0,COUNTA(enemy_skill_triggers!$A:$A),MATCH(L$1,enemy_skill_triggers!$1:$1,0)-MATCH($F$1,enemy_skill_triggers!$1:$1,0)+1),MATCH(L$1,enemy_skill_triggers!$1:$1,0)-MATCH($F$1,enemy_skill_triggers!$1:$1,0)+1,FALSE)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4" s="48" t="str">
        <f ca="1">VLOOKUP($F524,OFFSET(enemy_skill_triggers!$A$1,0,0,COUNTA(enemy_skill_triggers!$A:$A),MATCH(M$1,enemy_skill_triggers!$1:$1,0)-MATCH($F$1,enemy_skill_triggers!$1:$1,0)+1),MATCH(M$1,enemy_skill_triggers!$1:$1,0)-MATCH($F$1,enemy_skill_triggers!$1:$1,0)+1,FALSE)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4" s="48">
        <f ca="1">VLOOKUP($F524,OFFSET(enemy_skill_triggers!$A$1,0,0,COUNTA(enemy_skill_triggers!$A:$A),MATCH(N$1,enemy_skill_triggers!$1:$1,0)-MATCH($F$1,enemy_skill_triggers!$1:$1,0)+1),MATCH(N$1,enemy_skill_triggers!$1:$1,0)-MATCH($F$1,enemy_skill_triggers!$1:$1,0)+1,FALSE)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524" s="48">
        <f ca="1">VLOOKUP($F524,OFFSET(enemy_skill_triggers!$A$1,0,0,COUNTA(enemy_skill_triggers!$A:$A),MATCH(O$1,enemy_skill_triggers!$1:$1,0)-MATCH($F$1,enemy_skill_triggers!$1:$1,0)+1),MATCH(O$1,enemy_skill_triggers!$1:$1,0)-MATCH($F$1,enemy_skill_triggers!$1:$1,0)+1,FALSE)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4" s="47"/>
      <c r="Q524" s="47"/>
      <c r="R524" s="47"/>
    </row>
    <row r="525" spans="1:18" ht="21" customHeight="1" x14ac:dyDescent="0.15">
      <c r="A525" s="39" t="str">
        <f t="shared" si="23"/>
        <v>39009027_39009061</v>
      </c>
      <c r="B525" s="130">
        <v>39009027</v>
      </c>
      <c r="C525" s="132">
        <v>39009061</v>
      </c>
      <c r="D525" s="46" t="str">
        <f ca="1">VLOOKUP($C525,OFFSET(enemy_skills!$A$1,0,0,COUNTA(enemy_skills!$A:$A),MATCH(D$1,enemy_skills!$1:$1,0)-MATCH("enemy_skill_id",enemy_skills!$1:$1,0)+1),MATCH(D$1,enemy_skills!$1:$1,0)-MATCH("enemy_skill_id",enemy_skills!$1:$1,0)+1,FALSE)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5" s="46" t="str">
        <f ca="1">VLOOKUP($C525,OFFSET(enemy_skills!$A$1,0,0,COUNTA(enemy_skills!$A:$A),MATCH(E$1,enemy_skills!$1:$1,0)-MATCH("enemy_skill_id",enemy_skills!$1:$1,0)+1),MATCH(E$1,enemy_skills!$1:$1,0)-MATCH("enemy_skill_id",enemy_skills!$1:$1,0)+1,FALSE)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5" s="132">
        <v>39009084</v>
      </c>
      <c r="G525" s="48">
        <f ca="1">VLOOKUP($F525,OFFSET(enemy_skill_triggers!$A$1,0,0,COUNTA(enemy_skill_triggers!$A:$A),MATCH(G$1,enemy_skill_triggers!$1:$1,0)-MATCH($F$1,enemy_skill_triggers!$1:$1,0)+1),MATCH(G$1,enemy_skill_triggers!$1:$1,0)-MATCH($F$1,enemy_skill_triggers!$1:$1,0)+1,FALSE)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5" s="48">
        <f ca="1">VLOOKUP($F525,OFFSET(enemy_skill_triggers!$A$1,0,0,COUNTA(enemy_skill_triggers!$A:$A),MATCH(H$1,enemy_skill_triggers!$1:$1,0)-MATCH($F$1,enemy_skill_triggers!$1:$1,0)+1),MATCH(H$1,enemy_skill_triggers!$1:$1,0)-MATCH($F$1,enemy_skill_triggers!$1:$1,0)+1,FALSE)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525" s="48">
        <f ca="1">VLOOKUP($F525,OFFSET(enemy_skill_triggers!$A$1,0,0,COUNTA(enemy_skill_triggers!$A:$A),MATCH(I$1,enemy_skill_triggers!$1:$1,0)-MATCH($F$1,enemy_skill_triggers!$1:$1,0)+1),MATCH(I$1,enemy_skill_triggers!$1:$1,0)-MATCH($F$1,enemy_skill_triggers!$1:$1,0)+1,FALSE)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5" s="48" t="str">
        <f ca="1">VLOOKUP($F525,OFFSET(enemy_skill_triggers!$A$1,0,0,COUNTA(enemy_skill_triggers!$A:$A),MATCH(J$1,enemy_skill_triggers!$1:$1,0)-MATCH($F$1,enemy_skill_triggers!$1:$1,0)+1),MATCH(J$1,enemy_skill_triggers!$1:$1,0)-MATCH($F$1,enemy_skill_triggers!$1:$1,0)+1,FALSE)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5" s="48" t="str">
        <f ca="1">VLOOKUP($F525,OFFSET(enemy_skill_triggers!$A$1,0,0,COUNTA(enemy_skill_triggers!$A:$A),MATCH(K$1,enemy_skill_triggers!$1:$1,0)-MATCH($F$1,enemy_skill_triggers!$1:$1,0)+1),MATCH(K$1,enemy_skill_triggers!$1:$1,0)-MATCH($F$1,enemy_skill_triggers!$1:$1,0)+1,FALSE)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5" s="48">
        <f ca="1">VLOOKUP($F525,OFFSET(enemy_skill_triggers!$A$1,0,0,COUNTA(enemy_skill_triggers!$A:$A),MATCH(L$1,enemy_skill_triggers!$1:$1,0)-MATCH($F$1,enemy_skill_triggers!$1:$1,0)+1),MATCH(L$1,enemy_skill_triggers!$1:$1,0)-MATCH($F$1,enemy_skill_triggers!$1:$1,0)+1,FALSE)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5" s="48" t="str">
        <f ca="1">VLOOKUP($F525,OFFSET(enemy_skill_triggers!$A$1,0,0,COUNTA(enemy_skill_triggers!$A:$A),MATCH(M$1,enemy_skill_triggers!$1:$1,0)-MATCH($F$1,enemy_skill_triggers!$1:$1,0)+1),MATCH(M$1,enemy_skill_triggers!$1:$1,0)-MATCH($F$1,enemy_skill_triggers!$1:$1,0)+1,FALSE)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5" s="48">
        <f ca="1">VLOOKUP($F525,OFFSET(enemy_skill_triggers!$A$1,0,0,COUNTA(enemy_skill_triggers!$A:$A),MATCH(N$1,enemy_skill_triggers!$1:$1,0)-MATCH($F$1,enemy_skill_triggers!$1:$1,0)+1),MATCH(N$1,enemy_skill_triggers!$1:$1,0)-MATCH($F$1,enemy_skill_triggers!$1:$1,0)+1,FALSE)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25" s="48">
        <f ca="1">VLOOKUP($F525,OFFSET(enemy_skill_triggers!$A$1,0,0,COUNTA(enemy_skill_triggers!$A:$A),MATCH(O$1,enemy_skill_triggers!$1:$1,0)-MATCH($F$1,enemy_skill_triggers!$1:$1,0)+1),MATCH(O$1,enemy_skill_triggers!$1:$1,0)-MATCH($F$1,enemy_skill_triggers!$1:$1,0)+1,FALSE)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5" s="47"/>
      <c r="Q525" s="47"/>
      <c r="R525" s="47"/>
    </row>
    <row r="526" spans="1:18" ht="21" customHeight="1" x14ac:dyDescent="0.15">
      <c r="A526" s="39" t="str">
        <f t="shared" si="23"/>
        <v>39009027_39009061</v>
      </c>
      <c r="B526" s="130">
        <v>39009027</v>
      </c>
      <c r="C526" s="132">
        <v>39009061</v>
      </c>
      <c r="D526" s="46" t="str">
        <f ca="1">VLOOKUP($C526,OFFSET(enemy_skills!$A$1,0,0,COUNTA(enemy_skills!$A:$A),MATCH(D$1,enemy_skills!$1:$1,0)-MATCH("enemy_skill_id",enemy_skills!$1:$1,0)+1),MATCH(D$1,enemy_skills!$1:$1,0)-MATCH("enemy_skill_id",enemy_skills!$1:$1,0)+1,FALSE)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6" s="46" t="str">
        <f ca="1">VLOOKUP($C526,OFFSET(enemy_skills!$A$1,0,0,COUNTA(enemy_skills!$A:$A),MATCH(E$1,enemy_skills!$1:$1,0)-MATCH("enemy_skill_id",enemy_skills!$1:$1,0)+1),MATCH(E$1,enemy_skills!$1:$1,0)-MATCH("enemy_skill_id",enemy_skills!$1:$1,0)+1,FALSE)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6" s="132">
        <v>39009085</v>
      </c>
      <c r="G526" s="48">
        <f ca="1">VLOOKUP($F526,OFFSET(enemy_skill_triggers!$A$1,0,0,COUNTA(enemy_skill_triggers!$A:$A),MATCH(G$1,enemy_skill_triggers!$1:$1,0)-MATCH($F$1,enemy_skill_triggers!$1:$1,0)+1),MATCH(G$1,enemy_skill_triggers!$1:$1,0)-MATCH($F$1,enemy_skill_triggers!$1:$1,0)+1,FALSE)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6" s="48">
        <f ca="1">VLOOKUP($F526,OFFSET(enemy_skill_triggers!$A$1,0,0,COUNTA(enemy_skill_triggers!$A:$A),MATCH(H$1,enemy_skill_triggers!$1:$1,0)-MATCH($F$1,enemy_skill_triggers!$1:$1,0)+1),MATCH(H$1,enemy_skill_triggers!$1:$1,0)-MATCH($F$1,enemy_skill_triggers!$1:$1,0)+1,FALSE)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526" s="48">
        <f ca="1">VLOOKUP($F526,OFFSET(enemy_skill_triggers!$A$1,0,0,COUNTA(enemy_skill_triggers!$A:$A),MATCH(I$1,enemy_skill_triggers!$1:$1,0)-MATCH($F$1,enemy_skill_triggers!$1:$1,0)+1),MATCH(I$1,enemy_skill_triggers!$1:$1,0)-MATCH($F$1,enemy_skill_triggers!$1:$1,0)+1,FALSE)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6" s="48" t="str">
        <f ca="1">VLOOKUP($F526,OFFSET(enemy_skill_triggers!$A$1,0,0,COUNTA(enemy_skill_triggers!$A:$A),MATCH(J$1,enemy_skill_triggers!$1:$1,0)-MATCH($F$1,enemy_skill_triggers!$1:$1,0)+1),MATCH(J$1,enemy_skill_triggers!$1:$1,0)-MATCH($F$1,enemy_skill_triggers!$1:$1,0)+1,FALSE)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6" s="48" t="str">
        <f ca="1">VLOOKUP($F526,OFFSET(enemy_skill_triggers!$A$1,0,0,COUNTA(enemy_skill_triggers!$A:$A),MATCH(K$1,enemy_skill_triggers!$1:$1,0)-MATCH($F$1,enemy_skill_triggers!$1:$1,0)+1),MATCH(K$1,enemy_skill_triggers!$1:$1,0)-MATCH($F$1,enemy_skill_triggers!$1:$1,0)+1,FALSE)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6" s="48">
        <f ca="1">VLOOKUP($F526,OFFSET(enemy_skill_triggers!$A$1,0,0,COUNTA(enemy_skill_triggers!$A:$A),MATCH(L$1,enemy_skill_triggers!$1:$1,0)-MATCH($F$1,enemy_skill_triggers!$1:$1,0)+1),MATCH(L$1,enemy_skill_triggers!$1:$1,0)-MATCH($F$1,enemy_skill_triggers!$1:$1,0)+1,FALSE)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6" s="48" t="str">
        <f ca="1">VLOOKUP($F526,OFFSET(enemy_skill_triggers!$A$1,0,0,COUNTA(enemy_skill_triggers!$A:$A),MATCH(M$1,enemy_skill_triggers!$1:$1,0)-MATCH($F$1,enemy_skill_triggers!$1:$1,0)+1),MATCH(M$1,enemy_skill_triggers!$1:$1,0)-MATCH($F$1,enemy_skill_triggers!$1:$1,0)+1,FALSE)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6" s="48">
        <f ca="1">VLOOKUP($F526,OFFSET(enemy_skill_triggers!$A$1,0,0,COUNTA(enemy_skill_triggers!$A:$A),MATCH(N$1,enemy_skill_triggers!$1:$1,0)-MATCH($F$1,enemy_skill_triggers!$1:$1,0)+1),MATCH(N$1,enemy_skill_triggers!$1:$1,0)-MATCH($F$1,enemy_skill_triggers!$1:$1,0)+1,FALSE)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26" s="48">
        <f ca="1">VLOOKUP($F526,OFFSET(enemy_skill_triggers!$A$1,0,0,COUNTA(enemy_skill_triggers!$A:$A),MATCH(O$1,enemy_skill_triggers!$1:$1,0)-MATCH($F$1,enemy_skill_triggers!$1:$1,0)+1),MATCH(O$1,enemy_skill_triggers!$1:$1,0)-MATCH($F$1,enemy_skill_triggers!$1:$1,0)+1,FALSE)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6" s="47"/>
      <c r="Q526" s="47"/>
      <c r="R526" s="47"/>
    </row>
    <row r="527" spans="1:18" ht="21" customHeight="1" x14ac:dyDescent="0.15">
      <c r="A527" s="39" t="str">
        <f t="shared" si="23"/>
        <v>39009027_39009061</v>
      </c>
      <c r="B527" s="130">
        <v>39009027</v>
      </c>
      <c r="C527" s="132">
        <v>39009061</v>
      </c>
      <c r="D527" s="46" t="str">
        <f ca="1">VLOOKUP($C527,OFFSET(enemy_skills!$A$1,0,0,COUNTA(enemy_skills!$A:$A),MATCH(D$1,enemy_skills!$1:$1,0)-MATCH("enemy_skill_id",enemy_skills!$1:$1,0)+1),MATCH(D$1,enemy_skills!$1:$1,0)-MATCH("enemy_skill_id",enemy_skills!$1:$1,0)+1,FALSE)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7" s="46" t="str">
        <f ca="1">VLOOKUP($C527,OFFSET(enemy_skills!$A$1,0,0,COUNTA(enemy_skills!$A:$A),MATCH(E$1,enemy_skills!$1:$1,0)-MATCH("enemy_skill_id",enemy_skills!$1:$1,0)+1),MATCH(E$1,enemy_skills!$1:$1,0)-MATCH("enemy_skill_id",enemy_skills!$1:$1,0)+1,FALSE)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7" s="132">
        <v>39009086</v>
      </c>
      <c r="G527" s="48">
        <f ca="1">VLOOKUP($F527,OFFSET(enemy_skill_triggers!$A$1,0,0,COUNTA(enemy_skill_triggers!$A:$A),MATCH(G$1,enemy_skill_triggers!$1:$1,0)-MATCH($F$1,enemy_skill_triggers!$1:$1,0)+1),MATCH(G$1,enemy_skill_triggers!$1:$1,0)-MATCH($F$1,enemy_skill_triggers!$1:$1,0)+1,FALSE)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7" s="48">
        <f ca="1">VLOOKUP($F527,OFFSET(enemy_skill_triggers!$A$1,0,0,COUNTA(enemy_skill_triggers!$A:$A),MATCH(H$1,enemy_skill_triggers!$1:$1,0)-MATCH($F$1,enemy_skill_triggers!$1:$1,0)+1),MATCH(H$1,enemy_skill_triggers!$1:$1,0)-MATCH($F$1,enemy_skill_triggers!$1:$1,0)+1,FALSE)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527" s="48">
        <f ca="1">VLOOKUP($F527,OFFSET(enemy_skill_triggers!$A$1,0,0,COUNTA(enemy_skill_triggers!$A:$A),MATCH(I$1,enemy_skill_triggers!$1:$1,0)-MATCH($F$1,enemy_skill_triggers!$1:$1,0)+1),MATCH(I$1,enemy_skill_triggers!$1:$1,0)-MATCH($F$1,enemy_skill_triggers!$1:$1,0)+1,FALSE)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7" s="48" t="str">
        <f ca="1">VLOOKUP($F527,OFFSET(enemy_skill_triggers!$A$1,0,0,COUNTA(enemy_skill_triggers!$A:$A),MATCH(J$1,enemy_skill_triggers!$1:$1,0)-MATCH($F$1,enemy_skill_triggers!$1:$1,0)+1),MATCH(J$1,enemy_skill_triggers!$1:$1,0)-MATCH($F$1,enemy_skill_triggers!$1:$1,0)+1,FALSE)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7" s="48" t="str">
        <f ca="1">VLOOKUP($F527,OFFSET(enemy_skill_triggers!$A$1,0,0,COUNTA(enemy_skill_triggers!$A:$A),MATCH(K$1,enemy_skill_triggers!$1:$1,0)-MATCH($F$1,enemy_skill_triggers!$1:$1,0)+1),MATCH(K$1,enemy_skill_triggers!$1:$1,0)-MATCH($F$1,enemy_skill_triggers!$1:$1,0)+1,FALSE)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7" s="48">
        <f ca="1">VLOOKUP($F527,OFFSET(enemy_skill_triggers!$A$1,0,0,COUNTA(enemy_skill_triggers!$A:$A),MATCH(L$1,enemy_skill_triggers!$1:$1,0)-MATCH($F$1,enemy_skill_triggers!$1:$1,0)+1),MATCH(L$1,enemy_skill_triggers!$1:$1,0)-MATCH($F$1,enemy_skill_triggers!$1:$1,0)+1,FALSE)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7" s="48" t="str">
        <f ca="1">VLOOKUP($F527,OFFSET(enemy_skill_triggers!$A$1,0,0,COUNTA(enemy_skill_triggers!$A:$A),MATCH(M$1,enemy_skill_triggers!$1:$1,0)-MATCH($F$1,enemy_skill_triggers!$1:$1,0)+1),MATCH(M$1,enemy_skill_triggers!$1:$1,0)-MATCH($F$1,enemy_skill_triggers!$1:$1,0)+1,FALSE)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7" s="48">
        <f ca="1">VLOOKUP($F527,OFFSET(enemy_skill_triggers!$A$1,0,0,COUNTA(enemy_skill_triggers!$A:$A),MATCH(N$1,enemy_skill_triggers!$1:$1,0)-MATCH($F$1,enemy_skill_triggers!$1:$1,0)+1),MATCH(N$1,enemy_skill_triggers!$1:$1,0)-MATCH($F$1,enemy_skill_triggers!$1:$1,0)+1,FALSE)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27" s="48">
        <f ca="1">VLOOKUP($F527,OFFSET(enemy_skill_triggers!$A$1,0,0,COUNTA(enemy_skill_triggers!$A:$A),MATCH(O$1,enemy_skill_triggers!$1:$1,0)-MATCH($F$1,enemy_skill_triggers!$1:$1,0)+1),MATCH(O$1,enemy_skill_triggers!$1:$1,0)-MATCH($F$1,enemy_skill_triggers!$1:$1,0)+1,FALSE)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7" s="47"/>
      <c r="Q527" s="47"/>
      <c r="R527" s="47"/>
    </row>
    <row r="528" spans="1:18" ht="21" customHeight="1" x14ac:dyDescent="0.15">
      <c r="A528" s="39" t="str">
        <f t="shared" si="23"/>
        <v>39009027_39009061</v>
      </c>
      <c r="B528" s="130">
        <v>39009027</v>
      </c>
      <c r="C528" s="132">
        <v>39009061</v>
      </c>
      <c r="D528" s="46" t="str">
        <f ca="1">VLOOKUP($C528,OFFSET(enemy_skills!$A$1,0,0,COUNTA(enemy_skills!$A:$A),MATCH(D$1,enemy_skills!$1:$1,0)-MATCH("enemy_skill_id",enemy_skills!$1:$1,0)+1),MATCH(D$1,enemy_skills!$1:$1,0)-MATCH("enemy_skill_id",enemy_skills!$1:$1,0)+1,FALSE)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8" s="46" t="str">
        <f ca="1">VLOOKUP($C528,OFFSET(enemy_skills!$A$1,0,0,COUNTA(enemy_skills!$A:$A),MATCH(E$1,enemy_skills!$1:$1,0)-MATCH("enemy_skill_id",enemy_skills!$1:$1,0)+1),MATCH(E$1,enemy_skills!$1:$1,0)-MATCH("enemy_skill_id",enemy_skills!$1:$1,0)+1,FALSE)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8" s="132">
        <v>39009087</v>
      </c>
      <c r="G528" s="48">
        <f ca="1">VLOOKUP($F528,OFFSET(enemy_skill_triggers!$A$1,0,0,COUNTA(enemy_skill_triggers!$A:$A),MATCH(G$1,enemy_skill_triggers!$1:$1,0)-MATCH($F$1,enemy_skill_triggers!$1:$1,0)+1),MATCH(G$1,enemy_skill_triggers!$1:$1,0)-MATCH($F$1,enemy_skill_triggers!$1:$1,0)+1,FALSE)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8" s="48">
        <f ca="1">VLOOKUP($F528,OFFSET(enemy_skill_triggers!$A$1,0,0,COUNTA(enemy_skill_triggers!$A:$A),MATCH(H$1,enemy_skill_triggers!$1:$1,0)-MATCH($F$1,enemy_skill_triggers!$1:$1,0)+1),MATCH(H$1,enemy_skill_triggers!$1:$1,0)-MATCH($F$1,enemy_skill_triggers!$1:$1,0)+1,FALSE)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28" s="48">
        <f ca="1">VLOOKUP($F528,OFFSET(enemy_skill_triggers!$A$1,0,0,COUNTA(enemy_skill_triggers!$A:$A),MATCH(I$1,enemy_skill_triggers!$1:$1,0)-MATCH($F$1,enemy_skill_triggers!$1:$1,0)+1),MATCH(I$1,enemy_skill_triggers!$1:$1,0)-MATCH($F$1,enemy_skill_triggers!$1:$1,0)+1,FALSE)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8" s="48" t="str">
        <f ca="1">VLOOKUP($F528,OFFSET(enemy_skill_triggers!$A$1,0,0,COUNTA(enemy_skill_triggers!$A:$A),MATCH(J$1,enemy_skill_triggers!$1:$1,0)-MATCH($F$1,enemy_skill_triggers!$1:$1,0)+1),MATCH(J$1,enemy_skill_triggers!$1:$1,0)-MATCH($F$1,enemy_skill_triggers!$1:$1,0)+1,FALSE)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8" s="48" t="str">
        <f ca="1">VLOOKUP($F528,OFFSET(enemy_skill_triggers!$A$1,0,0,COUNTA(enemy_skill_triggers!$A:$A),MATCH(K$1,enemy_skill_triggers!$1:$1,0)-MATCH($F$1,enemy_skill_triggers!$1:$1,0)+1),MATCH(K$1,enemy_skill_triggers!$1:$1,0)-MATCH($F$1,enemy_skill_triggers!$1:$1,0)+1,FALSE)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8" s="48">
        <f ca="1">VLOOKUP($F528,OFFSET(enemy_skill_triggers!$A$1,0,0,COUNTA(enemy_skill_triggers!$A:$A),MATCH(L$1,enemy_skill_triggers!$1:$1,0)-MATCH($F$1,enemy_skill_triggers!$1:$1,0)+1),MATCH(L$1,enemy_skill_triggers!$1:$1,0)-MATCH($F$1,enemy_skill_triggers!$1:$1,0)+1,FALSE)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8" s="48" t="str">
        <f ca="1">VLOOKUP($F528,OFFSET(enemy_skill_triggers!$A$1,0,0,COUNTA(enemy_skill_triggers!$A:$A),MATCH(M$1,enemy_skill_triggers!$1:$1,0)-MATCH($F$1,enemy_skill_triggers!$1:$1,0)+1),MATCH(M$1,enemy_skill_triggers!$1:$1,0)-MATCH($F$1,enemy_skill_triggers!$1:$1,0)+1,FALSE)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8" s="48">
        <f ca="1">VLOOKUP($F528,OFFSET(enemy_skill_triggers!$A$1,0,0,COUNTA(enemy_skill_triggers!$A:$A),MATCH(N$1,enemy_skill_triggers!$1:$1,0)-MATCH($F$1,enemy_skill_triggers!$1:$1,0)+1),MATCH(N$1,enemy_skill_triggers!$1:$1,0)-MATCH($F$1,enemy_skill_triggers!$1:$1,0)+1,FALSE)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28" s="48">
        <f ca="1">VLOOKUP($F528,OFFSET(enemy_skill_triggers!$A$1,0,0,COUNTA(enemy_skill_triggers!$A:$A),MATCH(O$1,enemy_skill_triggers!$1:$1,0)-MATCH($F$1,enemy_skill_triggers!$1:$1,0)+1),MATCH(O$1,enemy_skill_triggers!$1:$1,0)-MATCH($F$1,enemy_skill_triggers!$1:$1,0)+1,FALSE)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8" s="47"/>
      <c r="Q528" s="47"/>
      <c r="R528" s="47"/>
    </row>
    <row r="529" spans="1:18" ht="21" customHeight="1" x14ac:dyDescent="0.15">
      <c r="A529" s="39" t="str">
        <f t="shared" si="23"/>
        <v>39009027_39009061</v>
      </c>
      <c r="B529" s="130">
        <v>39009027</v>
      </c>
      <c r="C529" s="132">
        <v>39009061</v>
      </c>
      <c r="D529" s="46" t="str">
        <f ca="1">VLOOKUP($C529,OFFSET(enemy_skills!$A$1,0,0,COUNTA(enemy_skills!$A:$A),MATCH(D$1,enemy_skills!$1:$1,0)-MATCH("enemy_skill_id",enemy_skills!$1:$1,0)+1),MATCH(D$1,enemy_skills!$1:$1,0)-MATCH("enemy_skill_id",enemy_skills!$1:$1,0)+1,FALSE)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29" s="46" t="str">
        <f ca="1">VLOOKUP($C529,OFFSET(enemy_skills!$A$1,0,0,COUNTA(enemy_skills!$A:$A),MATCH(E$1,enemy_skills!$1:$1,0)-MATCH("enemy_skill_id",enemy_skills!$1:$1,0)+1),MATCH(E$1,enemy_skills!$1:$1,0)-MATCH("enemy_skill_id",enemy_skills!$1:$1,0)+1,FALSE)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29" s="132">
        <v>39009088</v>
      </c>
      <c r="G529" s="48">
        <f ca="1">VLOOKUP($F529,OFFSET(enemy_skill_triggers!$A$1,0,0,COUNTA(enemy_skill_triggers!$A:$A),MATCH(G$1,enemy_skill_triggers!$1:$1,0)-MATCH($F$1,enemy_skill_triggers!$1:$1,0)+1),MATCH(G$1,enemy_skill_triggers!$1:$1,0)-MATCH($F$1,enemy_skill_triggers!$1:$1,0)+1,FALSE)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9" s="48">
        <f ca="1">VLOOKUP($F529,OFFSET(enemy_skill_triggers!$A$1,0,0,COUNTA(enemy_skill_triggers!$A:$A),MATCH(H$1,enemy_skill_triggers!$1:$1,0)-MATCH($F$1,enemy_skill_triggers!$1:$1,0)+1),MATCH(H$1,enemy_skill_triggers!$1:$1,0)-MATCH($F$1,enemy_skill_triggers!$1:$1,0)+1,FALSE)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29" s="48">
        <f ca="1">VLOOKUP($F529,OFFSET(enemy_skill_triggers!$A$1,0,0,COUNTA(enemy_skill_triggers!$A:$A),MATCH(I$1,enemy_skill_triggers!$1:$1,0)-MATCH($F$1,enemy_skill_triggers!$1:$1,0)+1),MATCH(I$1,enemy_skill_triggers!$1:$1,0)-MATCH($F$1,enemy_skill_triggers!$1:$1,0)+1,FALSE)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9" s="48" t="str">
        <f ca="1">VLOOKUP($F529,OFFSET(enemy_skill_triggers!$A$1,0,0,COUNTA(enemy_skill_triggers!$A:$A),MATCH(J$1,enemy_skill_triggers!$1:$1,0)-MATCH($F$1,enemy_skill_triggers!$1:$1,0)+1),MATCH(J$1,enemy_skill_triggers!$1:$1,0)-MATCH($F$1,enemy_skill_triggers!$1:$1,0)+1,FALSE)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9" s="48" t="str">
        <f ca="1">VLOOKUP($F529,OFFSET(enemy_skill_triggers!$A$1,0,0,COUNTA(enemy_skill_triggers!$A:$A),MATCH(K$1,enemy_skill_triggers!$1:$1,0)-MATCH($F$1,enemy_skill_triggers!$1:$1,0)+1),MATCH(K$1,enemy_skill_triggers!$1:$1,0)-MATCH($F$1,enemy_skill_triggers!$1:$1,0)+1,FALSE)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9" s="48">
        <f ca="1">VLOOKUP($F529,OFFSET(enemy_skill_triggers!$A$1,0,0,COUNTA(enemy_skill_triggers!$A:$A),MATCH(L$1,enemy_skill_triggers!$1:$1,0)-MATCH($F$1,enemy_skill_triggers!$1:$1,0)+1),MATCH(L$1,enemy_skill_triggers!$1:$1,0)-MATCH($F$1,enemy_skill_triggers!$1:$1,0)+1,FALSE)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9" s="48" t="str">
        <f ca="1">VLOOKUP($F529,OFFSET(enemy_skill_triggers!$A$1,0,0,COUNTA(enemy_skill_triggers!$A:$A),MATCH(M$1,enemy_skill_triggers!$1:$1,0)-MATCH($F$1,enemy_skill_triggers!$1:$1,0)+1),MATCH(M$1,enemy_skill_triggers!$1:$1,0)-MATCH($F$1,enemy_skill_triggers!$1:$1,0)+1,FALSE)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9" s="48">
        <f ca="1">VLOOKUP($F529,OFFSET(enemy_skill_triggers!$A$1,0,0,COUNTA(enemy_skill_triggers!$A:$A),MATCH(N$1,enemy_skill_triggers!$1:$1,0)-MATCH($F$1,enemy_skill_triggers!$1:$1,0)+1),MATCH(N$1,enemy_skill_triggers!$1:$1,0)-MATCH($F$1,enemy_skill_triggers!$1:$1,0)+1,FALSE)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529" s="48">
        <f ca="1">VLOOKUP($F529,OFFSET(enemy_skill_triggers!$A$1,0,0,COUNTA(enemy_skill_triggers!$A:$A),MATCH(O$1,enemy_skill_triggers!$1:$1,0)-MATCH($F$1,enemy_skill_triggers!$1:$1,0)+1),MATCH(O$1,enemy_skill_triggers!$1:$1,0)-MATCH($F$1,enemy_skill_triggers!$1:$1,0)+1,FALSE)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9" s="47"/>
      <c r="Q529" s="47"/>
      <c r="R529" s="47"/>
    </row>
    <row r="530" spans="1:18" ht="21" customHeight="1" x14ac:dyDescent="0.15">
      <c r="A530" s="39" t="str">
        <f t="shared" si="23"/>
        <v>39009027_39009061</v>
      </c>
      <c r="B530" s="130">
        <v>39009027</v>
      </c>
      <c r="C530" s="132">
        <v>39009061</v>
      </c>
      <c r="D530" s="46" t="str">
        <f ca="1">VLOOKUP($C530,OFFSET(enemy_skills!$A$1,0,0,COUNTA(enemy_skills!$A:$A),MATCH(D$1,enemy_skills!$1:$1,0)-MATCH("enemy_skill_id",enemy_skills!$1:$1,0)+1),MATCH(D$1,enemy_skills!$1:$1,0)-MATCH("enemy_skill_id",enemy_skills!$1:$1,0)+1,FALSE)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0" s="46" t="str">
        <f ca="1">VLOOKUP($C530,OFFSET(enemy_skills!$A$1,0,0,COUNTA(enemy_skills!$A:$A),MATCH(E$1,enemy_skills!$1:$1,0)-MATCH("enemy_skill_id",enemy_skills!$1:$1,0)+1),MATCH(E$1,enemy_skills!$1:$1,0)-MATCH("enemy_skill_id",enemy_skills!$1:$1,0)+1,FALSE)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0" s="132">
        <v>39009089</v>
      </c>
      <c r="G530" s="48">
        <f ca="1">VLOOKUP($F530,OFFSET(enemy_skill_triggers!$A$1,0,0,COUNTA(enemy_skill_triggers!$A:$A),MATCH(G$1,enemy_skill_triggers!$1:$1,0)-MATCH($F$1,enemy_skill_triggers!$1:$1,0)+1),MATCH(G$1,enemy_skill_triggers!$1:$1,0)-MATCH($F$1,enemy_skill_triggers!$1:$1,0)+1,FALSE)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0" s="48">
        <f ca="1">VLOOKUP($F530,OFFSET(enemy_skill_triggers!$A$1,0,0,COUNTA(enemy_skill_triggers!$A:$A),MATCH(H$1,enemy_skill_triggers!$1:$1,0)-MATCH($F$1,enemy_skill_triggers!$1:$1,0)+1),MATCH(H$1,enemy_skill_triggers!$1:$1,0)-MATCH($F$1,enemy_skill_triggers!$1:$1,0)+1,FALSE)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30" s="48">
        <f ca="1">VLOOKUP($F530,OFFSET(enemy_skill_triggers!$A$1,0,0,COUNTA(enemy_skill_triggers!$A:$A),MATCH(I$1,enemy_skill_triggers!$1:$1,0)-MATCH($F$1,enemy_skill_triggers!$1:$1,0)+1),MATCH(I$1,enemy_skill_triggers!$1:$1,0)-MATCH($F$1,enemy_skill_triggers!$1:$1,0)+1,FALSE)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0" s="48" t="str">
        <f ca="1">VLOOKUP($F530,OFFSET(enemy_skill_triggers!$A$1,0,0,COUNTA(enemy_skill_triggers!$A:$A),MATCH(J$1,enemy_skill_triggers!$1:$1,0)-MATCH($F$1,enemy_skill_triggers!$1:$1,0)+1),MATCH(J$1,enemy_skill_triggers!$1:$1,0)-MATCH($F$1,enemy_skill_triggers!$1:$1,0)+1,FALSE)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0" s="48" t="str">
        <f ca="1">VLOOKUP($F530,OFFSET(enemy_skill_triggers!$A$1,0,0,COUNTA(enemy_skill_triggers!$A:$A),MATCH(K$1,enemy_skill_triggers!$1:$1,0)-MATCH($F$1,enemy_skill_triggers!$1:$1,0)+1),MATCH(K$1,enemy_skill_triggers!$1:$1,0)-MATCH($F$1,enemy_skill_triggers!$1:$1,0)+1,FALSE)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0" s="48">
        <f ca="1">VLOOKUP($F530,OFFSET(enemy_skill_triggers!$A$1,0,0,COUNTA(enemy_skill_triggers!$A:$A),MATCH(L$1,enemy_skill_triggers!$1:$1,0)-MATCH($F$1,enemy_skill_triggers!$1:$1,0)+1),MATCH(L$1,enemy_skill_triggers!$1:$1,0)-MATCH($F$1,enemy_skill_triggers!$1:$1,0)+1,FALSE)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0" s="48" t="str">
        <f ca="1">VLOOKUP($F530,OFFSET(enemy_skill_triggers!$A$1,0,0,COUNTA(enemy_skill_triggers!$A:$A),MATCH(M$1,enemy_skill_triggers!$1:$1,0)-MATCH($F$1,enemy_skill_triggers!$1:$1,0)+1),MATCH(M$1,enemy_skill_triggers!$1:$1,0)-MATCH($F$1,enemy_skill_triggers!$1:$1,0)+1,FALSE)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0" s="48">
        <f ca="1">VLOOKUP($F530,OFFSET(enemy_skill_triggers!$A$1,0,0,COUNTA(enemy_skill_triggers!$A:$A),MATCH(N$1,enemy_skill_triggers!$1:$1,0)-MATCH($F$1,enemy_skill_triggers!$1:$1,0)+1),MATCH(N$1,enemy_skill_triggers!$1:$1,0)-MATCH($F$1,enemy_skill_triggers!$1:$1,0)+1,FALSE)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530" s="48">
        <f ca="1">VLOOKUP($F530,OFFSET(enemy_skill_triggers!$A$1,0,0,COUNTA(enemy_skill_triggers!$A:$A),MATCH(O$1,enemy_skill_triggers!$1:$1,0)-MATCH($F$1,enemy_skill_triggers!$1:$1,0)+1),MATCH(O$1,enemy_skill_triggers!$1:$1,0)-MATCH($F$1,enemy_skill_triggers!$1:$1,0)+1,FALSE)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0" s="47"/>
      <c r="Q530" s="47"/>
      <c r="R530" s="47"/>
    </row>
    <row r="531" spans="1:18" ht="21" customHeight="1" x14ac:dyDescent="0.15">
      <c r="A531" s="39" t="str">
        <f t="shared" si="23"/>
        <v>39009027_39009061</v>
      </c>
      <c r="B531" s="130">
        <v>39009027</v>
      </c>
      <c r="C531" s="132">
        <v>39009061</v>
      </c>
      <c r="D531" s="46" t="str">
        <f ca="1">VLOOKUP($C531,OFFSET(enemy_skills!$A$1,0,0,COUNTA(enemy_skills!$A:$A),MATCH(D$1,enemy_skills!$1:$1,0)-MATCH("enemy_skill_id",enemy_skills!$1:$1,0)+1),MATCH(D$1,enemy_skills!$1:$1,0)-MATCH("enemy_skill_id",enemy_skills!$1:$1,0)+1,FALSE)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1" s="46" t="str">
        <f ca="1">VLOOKUP($C531,OFFSET(enemy_skills!$A$1,0,0,COUNTA(enemy_skills!$A:$A),MATCH(E$1,enemy_skills!$1:$1,0)-MATCH("enemy_skill_id",enemy_skills!$1:$1,0)+1),MATCH(E$1,enemy_skills!$1:$1,0)-MATCH("enemy_skill_id",enemy_skills!$1:$1,0)+1,FALSE)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1" s="132">
        <v>39009090</v>
      </c>
      <c r="G531" s="48">
        <f ca="1">VLOOKUP($F531,OFFSET(enemy_skill_triggers!$A$1,0,0,COUNTA(enemy_skill_triggers!$A:$A),MATCH(G$1,enemy_skill_triggers!$1:$1,0)-MATCH($F$1,enemy_skill_triggers!$1:$1,0)+1),MATCH(G$1,enemy_skill_triggers!$1:$1,0)-MATCH($F$1,enemy_skill_triggers!$1:$1,0)+1,FALSE)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1" s="48">
        <f ca="1">VLOOKUP($F531,OFFSET(enemy_skill_triggers!$A$1,0,0,COUNTA(enemy_skill_triggers!$A:$A),MATCH(H$1,enemy_skill_triggers!$1:$1,0)-MATCH($F$1,enemy_skill_triggers!$1:$1,0)+1),MATCH(H$1,enemy_skill_triggers!$1:$1,0)-MATCH($F$1,enemy_skill_triggers!$1:$1,0)+1,FALSE)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531" s="48">
        <f ca="1">VLOOKUP($F531,OFFSET(enemy_skill_triggers!$A$1,0,0,COUNTA(enemy_skill_triggers!$A:$A),MATCH(I$1,enemy_skill_triggers!$1:$1,0)-MATCH($F$1,enemy_skill_triggers!$1:$1,0)+1),MATCH(I$1,enemy_skill_triggers!$1:$1,0)-MATCH($F$1,enemy_skill_triggers!$1:$1,0)+1,FALSE)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1" s="48" t="str">
        <f ca="1">VLOOKUP($F531,OFFSET(enemy_skill_triggers!$A$1,0,0,COUNTA(enemy_skill_triggers!$A:$A),MATCH(J$1,enemy_skill_triggers!$1:$1,0)-MATCH($F$1,enemy_skill_triggers!$1:$1,0)+1),MATCH(J$1,enemy_skill_triggers!$1:$1,0)-MATCH($F$1,enemy_skill_triggers!$1:$1,0)+1,FALSE)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1" s="48" t="str">
        <f ca="1">VLOOKUP($F531,OFFSET(enemy_skill_triggers!$A$1,0,0,COUNTA(enemy_skill_triggers!$A:$A),MATCH(K$1,enemy_skill_triggers!$1:$1,0)-MATCH($F$1,enemy_skill_triggers!$1:$1,0)+1),MATCH(K$1,enemy_skill_triggers!$1:$1,0)-MATCH($F$1,enemy_skill_triggers!$1:$1,0)+1,FALSE)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1" s="48">
        <f ca="1">VLOOKUP($F531,OFFSET(enemy_skill_triggers!$A$1,0,0,COUNTA(enemy_skill_triggers!$A:$A),MATCH(L$1,enemy_skill_triggers!$1:$1,0)-MATCH($F$1,enemy_skill_triggers!$1:$1,0)+1),MATCH(L$1,enemy_skill_triggers!$1:$1,0)-MATCH($F$1,enemy_skill_triggers!$1:$1,0)+1,FALSE)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1" s="48" t="str">
        <f ca="1">VLOOKUP($F531,OFFSET(enemy_skill_triggers!$A$1,0,0,COUNTA(enemy_skill_triggers!$A:$A),MATCH(M$1,enemy_skill_triggers!$1:$1,0)-MATCH($F$1,enemy_skill_triggers!$1:$1,0)+1),MATCH(M$1,enemy_skill_triggers!$1:$1,0)-MATCH($F$1,enemy_skill_triggers!$1:$1,0)+1,FALSE)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1" s="48">
        <f ca="1">VLOOKUP($F531,OFFSET(enemy_skill_triggers!$A$1,0,0,COUNTA(enemy_skill_triggers!$A:$A),MATCH(N$1,enemy_skill_triggers!$1:$1,0)-MATCH($F$1,enemy_skill_triggers!$1:$1,0)+1),MATCH(N$1,enemy_skill_triggers!$1:$1,0)-MATCH($F$1,enemy_skill_triggers!$1:$1,0)+1,FALSE)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31" s="48">
        <f ca="1">VLOOKUP($F531,OFFSET(enemy_skill_triggers!$A$1,0,0,COUNTA(enemy_skill_triggers!$A:$A),MATCH(O$1,enemy_skill_triggers!$1:$1,0)-MATCH($F$1,enemy_skill_triggers!$1:$1,0)+1),MATCH(O$1,enemy_skill_triggers!$1:$1,0)-MATCH($F$1,enemy_skill_triggers!$1:$1,0)+1,FALSE)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1" s="47"/>
      <c r="Q531" s="47"/>
      <c r="R531" s="47"/>
    </row>
    <row r="532" spans="1:18" ht="21" customHeight="1" x14ac:dyDescent="0.15">
      <c r="A532" s="39" t="str">
        <f t="shared" si="23"/>
        <v>39009027_39009061</v>
      </c>
      <c r="B532" s="130">
        <v>39009027</v>
      </c>
      <c r="C532" s="132">
        <v>39009061</v>
      </c>
      <c r="D532" s="46" t="str">
        <f ca="1">VLOOKUP($C532,OFFSET(enemy_skills!$A$1,0,0,COUNTA(enemy_skills!$A:$A),MATCH(D$1,enemy_skills!$1:$1,0)-MATCH("enemy_skill_id",enemy_skills!$1:$1,0)+1),MATCH(D$1,enemy_skills!$1:$1,0)-MATCH("enemy_skill_id",enemy_skills!$1:$1,0)+1,FALSE)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2" s="46" t="str">
        <f ca="1">VLOOKUP($C532,OFFSET(enemy_skills!$A$1,0,0,COUNTA(enemy_skills!$A:$A),MATCH(E$1,enemy_skills!$1:$1,0)-MATCH("enemy_skill_id",enemy_skills!$1:$1,0)+1),MATCH(E$1,enemy_skills!$1:$1,0)-MATCH("enemy_skill_id",enemy_skills!$1:$1,0)+1,FALSE)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2" s="132">
        <v>39009091</v>
      </c>
      <c r="G532" s="48">
        <f ca="1">VLOOKUP($F532,OFFSET(enemy_skill_triggers!$A$1,0,0,COUNTA(enemy_skill_triggers!$A:$A),MATCH(G$1,enemy_skill_triggers!$1:$1,0)-MATCH($F$1,enemy_skill_triggers!$1:$1,0)+1),MATCH(G$1,enemy_skill_triggers!$1:$1,0)-MATCH($F$1,enemy_skill_triggers!$1:$1,0)+1,FALSE)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2" s="48">
        <f ca="1">VLOOKUP($F532,OFFSET(enemy_skill_triggers!$A$1,0,0,COUNTA(enemy_skill_triggers!$A:$A),MATCH(H$1,enemy_skill_triggers!$1:$1,0)-MATCH($F$1,enemy_skill_triggers!$1:$1,0)+1),MATCH(H$1,enemy_skill_triggers!$1:$1,0)-MATCH($F$1,enemy_skill_triggers!$1:$1,0)+1,FALSE)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32" s="48">
        <f ca="1">VLOOKUP($F532,OFFSET(enemy_skill_triggers!$A$1,0,0,COUNTA(enemy_skill_triggers!$A:$A),MATCH(I$1,enemy_skill_triggers!$1:$1,0)-MATCH($F$1,enemy_skill_triggers!$1:$1,0)+1),MATCH(I$1,enemy_skill_triggers!$1:$1,0)-MATCH($F$1,enemy_skill_triggers!$1:$1,0)+1,FALSE)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2" s="48" t="str">
        <f ca="1">VLOOKUP($F532,OFFSET(enemy_skill_triggers!$A$1,0,0,COUNTA(enemy_skill_triggers!$A:$A),MATCH(J$1,enemy_skill_triggers!$1:$1,0)-MATCH($F$1,enemy_skill_triggers!$1:$1,0)+1),MATCH(J$1,enemy_skill_triggers!$1:$1,0)-MATCH($F$1,enemy_skill_triggers!$1:$1,0)+1,FALSE)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2" s="48" t="str">
        <f ca="1">VLOOKUP($F532,OFFSET(enemy_skill_triggers!$A$1,0,0,COUNTA(enemy_skill_triggers!$A:$A),MATCH(K$1,enemy_skill_triggers!$1:$1,0)-MATCH($F$1,enemy_skill_triggers!$1:$1,0)+1),MATCH(K$1,enemy_skill_triggers!$1:$1,0)-MATCH($F$1,enemy_skill_triggers!$1:$1,0)+1,FALSE)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2" s="48">
        <f ca="1">VLOOKUP($F532,OFFSET(enemy_skill_triggers!$A$1,0,0,COUNTA(enemy_skill_triggers!$A:$A),MATCH(L$1,enemy_skill_triggers!$1:$1,0)-MATCH($F$1,enemy_skill_triggers!$1:$1,0)+1),MATCH(L$1,enemy_skill_triggers!$1:$1,0)-MATCH($F$1,enemy_skill_triggers!$1:$1,0)+1,FALSE)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2" s="48" t="str">
        <f ca="1">VLOOKUP($F532,OFFSET(enemy_skill_triggers!$A$1,0,0,COUNTA(enemy_skill_triggers!$A:$A),MATCH(M$1,enemy_skill_triggers!$1:$1,0)-MATCH($F$1,enemy_skill_triggers!$1:$1,0)+1),MATCH(M$1,enemy_skill_triggers!$1:$1,0)-MATCH($F$1,enemy_skill_triggers!$1:$1,0)+1,FALSE)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2" s="48">
        <f ca="1">VLOOKUP($F532,OFFSET(enemy_skill_triggers!$A$1,0,0,COUNTA(enemy_skill_triggers!$A:$A),MATCH(N$1,enemy_skill_triggers!$1:$1,0)-MATCH($F$1,enemy_skill_triggers!$1:$1,0)+1),MATCH(N$1,enemy_skill_triggers!$1:$1,0)-MATCH($F$1,enemy_skill_triggers!$1:$1,0)+1,FALSE)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32" s="48">
        <f ca="1">VLOOKUP($F532,OFFSET(enemy_skill_triggers!$A$1,0,0,COUNTA(enemy_skill_triggers!$A:$A),MATCH(O$1,enemy_skill_triggers!$1:$1,0)-MATCH($F$1,enemy_skill_triggers!$1:$1,0)+1),MATCH(O$1,enemy_skill_triggers!$1:$1,0)-MATCH($F$1,enemy_skill_triggers!$1:$1,0)+1,FALSE)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2" s="47"/>
      <c r="Q532" s="47"/>
      <c r="R532" s="47"/>
    </row>
    <row r="533" spans="1:18" ht="21" customHeight="1" x14ac:dyDescent="0.15">
      <c r="A533" s="39" t="str">
        <f t="shared" si="23"/>
        <v>39009027_39009061</v>
      </c>
      <c r="B533" s="130">
        <v>39009027</v>
      </c>
      <c r="C533" s="132">
        <v>39009061</v>
      </c>
      <c r="D533" s="46" t="str">
        <f ca="1">VLOOKUP($C533,OFFSET(enemy_skills!$A$1,0,0,COUNTA(enemy_skills!$A:$A),MATCH(D$1,enemy_skills!$1:$1,0)-MATCH("enemy_skill_id",enemy_skills!$1:$1,0)+1),MATCH(D$1,enemy_skills!$1:$1,0)-MATCH("enemy_skill_id",enemy_skills!$1:$1,0)+1,FALSE)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3" s="46" t="str">
        <f ca="1">VLOOKUP($C533,OFFSET(enemy_skills!$A$1,0,0,COUNTA(enemy_skills!$A:$A),MATCH(E$1,enemy_skills!$1:$1,0)-MATCH("enemy_skill_id",enemy_skills!$1:$1,0)+1),MATCH(E$1,enemy_skills!$1:$1,0)-MATCH("enemy_skill_id",enemy_skills!$1:$1,0)+1,FALSE)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3" s="132">
        <v>39009092</v>
      </c>
      <c r="G533" s="48">
        <f ca="1">VLOOKUP($F533,OFFSET(enemy_skill_triggers!$A$1,0,0,COUNTA(enemy_skill_triggers!$A:$A),MATCH(G$1,enemy_skill_triggers!$1:$1,0)-MATCH($F$1,enemy_skill_triggers!$1:$1,0)+1),MATCH(G$1,enemy_skill_triggers!$1:$1,0)-MATCH($F$1,enemy_skill_triggers!$1:$1,0)+1,FALSE)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3" s="48">
        <f ca="1">VLOOKUP($F533,OFFSET(enemy_skill_triggers!$A$1,0,0,COUNTA(enemy_skill_triggers!$A:$A),MATCH(H$1,enemy_skill_triggers!$1:$1,0)-MATCH($F$1,enemy_skill_triggers!$1:$1,0)+1),MATCH(H$1,enemy_skill_triggers!$1:$1,0)-MATCH($F$1,enemy_skill_triggers!$1:$1,0)+1,FALSE)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3" s="48">
        <f ca="1">VLOOKUP($F533,OFFSET(enemy_skill_triggers!$A$1,0,0,COUNTA(enemy_skill_triggers!$A:$A),MATCH(I$1,enemy_skill_triggers!$1:$1,0)-MATCH($F$1,enemy_skill_triggers!$1:$1,0)+1),MATCH(I$1,enemy_skill_triggers!$1:$1,0)-MATCH($F$1,enemy_skill_triggers!$1:$1,0)+1,FALSE)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3" s="48" t="str">
        <f ca="1">VLOOKUP($F533,OFFSET(enemy_skill_triggers!$A$1,0,0,COUNTA(enemy_skill_triggers!$A:$A),MATCH(J$1,enemy_skill_triggers!$1:$1,0)-MATCH($F$1,enemy_skill_triggers!$1:$1,0)+1),MATCH(J$1,enemy_skill_triggers!$1:$1,0)-MATCH($F$1,enemy_skill_triggers!$1:$1,0)+1,FALSE)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3" s="48" t="str">
        <f ca="1">VLOOKUP($F533,OFFSET(enemy_skill_triggers!$A$1,0,0,COUNTA(enemy_skill_triggers!$A:$A),MATCH(K$1,enemy_skill_triggers!$1:$1,0)-MATCH($F$1,enemy_skill_triggers!$1:$1,0)+1),MATCH(K$1,enemy_skill_triggers!$1:$1,0)-MATCH($F$1,enemy_skill_triggers!$1:$1,0)+1,FALSE)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3" s="48">
        <f ca="1">VLOOKUP($F533,OFFSET(enemy_skill_triggers!$A$1,0,0,COUNTA(enemy_skill_triggers!$A:$A),MATCH(L$1,enemy_skill_triggers!$1:$1,0)-MATCH($F$1,enemy_skill_triggers!$1:$1,0)+1),MATCH(L$1,enemy_skill_triggers!$1:$1,0)-MATCH($F$1,enemy_skill_triggers!$1:$1,0)+1,FALSE)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3" s="48" t="str">
        <f ca="1">VLOOKUP($F533,OFFSET(enemy_skill_triggers!$A$1,0,0,COUNTA(enemy_skill_triggers!$A:$A),MATCH(M$1,enemy_skill_triggers!$1:$1,0)-MATCH($F$1,enemy_skill_triggers!$1:$1,0)+1),MATCH(M$1,enemy_skill_triggers!$1:$1,0)-MATCH($F$1,enemy_skill_triggers!$1:$1,0)+1,FALSE)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3" s="48">
        <f ca="1">VLOOKUP($F533,OFFSET(enemy_skill_triggers!$A$1,0,0,COUNTA(enemy_skill_triggers!$A:$A),MATCH(N$1,enemy_skill_triggers!$1:$1,0)-MATCH($F$1,enemy_skill_triggers!$1:$1,0)+1),MATCH(N$1,enemy_skill_triggers!$1:$1,0)-MATCH($F$1,enemy_skill_triggers!$1:$1,0)+1,FALSE)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33" s="48">
        <f ca="1">VLOOKUP($F533,OFFSET(enemy_skill_triggers!$A$1,0,0,COUNTA(enemy_skill_triggers!$A:$A),MATCH(O$1,enemy_skill_triggers!$1:$1,0)-MATCH($F$1,enemy_skill_triggers!$1:$1,0)+1),MATCH(O$1,enemy_skill_triggers!$1:$1,0)-MATCH($F$1,enemy_skill_triggers!$1:$1,0)+1,FALSE)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3" s="47"/>
      <c r="Q533" s="47"/>
      <c r="R533" s="47"/>
    </row>
    <row r="534" spans="1:18" ht="21" customHeight="1" x14ac:dyDescent="0.15">
      <c r="A534" s="39" t="str">
        <f t="shared" si="23"/>
        <v>39009027_39009061</v>
      </c>
      <c r="B534" s="130">
        <v>39009027</v>
      </c>
      <c r="C534" s="132">
        <v>39009061</v>
      </c>
      <c r="D534" s="46" t="str">
        <f ca="1">VLOOKUP($C534,OFFSET(enemy_skills!$A$1,0,0,COUNTA(enemy_skills!$A:$A),MATCH(D$1,enemy_skills!$1:$1,0)-MATCH("enemy_skill_id",enemy_skills!$1:$1,0)+1),MATCH(D$1,enemy_skills!$1:$1,0)-MATCH("enemy_skill_id",enemy_skills!$1:$1,0)+1,FALSE)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4" s="46" t="str">
        <f ca="1">VLOOKUP($C534,OFFSET(enemy_skills!$A$1,0,0,COUNTA(enemy_skills!$A:$A),MATCH(E$1,enemy_skills!$1:$1,0)-MATCH("enemy_skill_id",enemy_skills!$1:$1,0)+1),MATCH(E$1,enemy_skills!$1:$1,0)-MATCH("enemy_skill_id",enemy_skills!$1:$1,0)+1,FALSE)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4" s="132">
        <v>39009093</v>
      </c>
      <c r="G534" s="48">
        <f ca="1">VLOOKUP($F534,OFFSET(enemy_skill_triggers!$A$1,0,0,COUNTA(enemy_skill_triggers!$A:$A),MATCH(G$1,enemy_skill_triggers!$1:$1,0)-MATCH($F$1,enemy_skill_triggers!$1:$1,0)+1),MATCH(G$1,enemy_skill_triggers!$1:$1,0)-MATCH($F$1,enemy_skill_triggers!$1:$1,0)+1,FALSE)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4" s="48">
        <f ca="1">VLOOKUP($F534,OFFSET(enemy_skill_triggers!$A$1,0,0,COUNTA(enemy_skill_triggers!$A:$A),MATCH(H$1,enemy_skill_triggers!$1:$1,0)-MATCH($F$1,enemy_skill_triggers!$1:$1,0)+1),MATCH(H$1,enemy_skill_triggers!$1:$1,0)-MATCH($F$1,enemy_skill_triggers!$1:$1,0)+1,FALSE)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34" s="48">
        <f ca="1">VLOOKUP($F534,OFFSET(enemy_skill_triggers!$A$1,0,0,COUNTA(enemy_skill_triggers!$A:$A),MATCH(I$1,enemy_skill_triggers!$1:$1,0)-MATCH($F$1,enemy_skill_triggers!$1:$1,0)+1),MATCH(I$1,enemy_skill_triggers!$1:$1,0)-MATCH($F$1,enemy_skill_triggers!$1:$1,0)+1,FALSE)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4" s="48" t="str">
        <f ca="1">VLOOKUP($F534,OFFSET(enemy_skill_triggers!$A$1,0,0,COUNTA(enemy_skill_triggers!$A:$A),MATCH(J$1,enemy_skill_triggers!$1:$1,0)-MATCH($F$1,enemy_skill_triggers!$1:$1,0)+1),MATCH(J$1,enemy_skill_triggers!$1:$1,0)-MATCH($F$1,enemy_skill_triggers!$1:$1,0)+1,FALSE)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4" s="48" t="str">
        <f ca="1">VLOOKUP($F534,OFFSET(enemy_skill_triggers!$A$1,0,0,COUNTA(enemy_skill_triggers!$A:$A),MATCH(K$1,enemy_skill_triggers!$1:$1,0)-MATCH($F$1,enemy_skill_triggers!$1:$1,0)+1),MATCH(K$1,enemy_skill_triggers!$1:$1,0)-MATCH($F$1,enemy_skill_triggers!$1:$1,0)+1,FALSE)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4" s="48">
        <f ca="1">VLOOKUP($F534,OFFSET(enemy_skill_triggers!$A$1,0,0,COUNTA(enemy_skill_triggers!$A:$A),MATCH(L$1,enemy_skill_triggers!$1:$1,0)-MATCH($F$1,enemy_skill_triggers!$1:$1,0)+1),MATCH(L$1,enemy_skill_triggers!$1:$1,0)-MATCH($F$1,enemy_skill_triggers!$1:$1,0)+1,FALSE)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4" s="48" t="str">
        <f ca="1">VLOOKUP($F534,OFFSET(enemy_skill_triggers!$A$1,0,0,COUNTA(enemy_skill_triggers!$A:$A),MATCH(M$1,enemy_skill_triggers!$1:$1,0)-MATCH($F$1,enemy_skill_triggers!$1:$1,0)+1),MATCH(M$1,enemy_skill_triggers!$1:$1,0)-MATCH($F$1,enemy_skill_triggers!$1:$1,0)+1,FALSE)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4" s="48">
        <f ca="1">VLOOKUP($F534,OFFSET(enemy_skill_triggers!$A$1,0,0,COUNTA(enemy_skill_triggers!$A:$A),MATCH(N$1,enemy_skill_triggers!$1:$1,0)-MATCH($F$1,enemy_skill_triggers!$1:$1,0)+1),MATCH(N$1,enemy_skill_triggers!$1:$1,0)-MATCH($F$1,enemy_skill_triggers!$1:$1,0)+1,FALSE)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534" s="48">
        <f ca="1">VLOOKUP($F534,OFFSET(enemy_skill_triggers!$A$1,0,0,COUNTA(enemy_skill_triggers!$A:$A),MATCH(O$1,enemy_skill_triggers!$1:$1,0)-MATCH($F$1,enemy_skill_triggers!$1:$1,0)+1),MATCH(O$1,enemy_skill_triggers!$1:$1,0)-MATCH($F$1,enemy_skill_triggers!$1:$1,0)+1,FALSE)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4" s="47"/>
      <c r="Q534" s="47"/>
      <c r="R534" s="47"/>
    </row>
    <row r="535" spans="1:18" ht="21" customHeight="1" x14ac:dyDescent="0.15">
      <c r="A535" s="39" t="str">
        <f t="shared" si="23"/>
        <v>39009027_39009061</v>
      </c>
      <c r="B535" s="130">
        <v>39009027</v>
      </c>
      <c r="C535" s="132">
        <v>39009061</v>
      </c>
      <c r="D535" s="46" t="str">
        <f ca="1">VLOOKUP($C535,OFFSET(enemy_skills!$A$1,0,0,COUNTA(enemy_skills!$A:$A),MATCH(D$1,enemy_skills!$1:$1,0)-MATCH("enemy_skill_id",enemy_skills!$1:$1,0)+1),MATCH(D$1,enemy_skills!$1:$1,0)-MATCH("enemy_skill_id",enemy_skills!$1:$1,0)+1,FALSE)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5" s="46" t="str">
        <f ca="1">VLOOKUP($C535,OFFSET(enemy_skills!$A$1,0,0,COUNTA(enemy_skills!$A:$A),MATCH(E$1,enemy_skills!$1:$1,0)-MATCH("enemy_skill_id",enemy_skills!$1:$1,0)+1),MATCH(E$1,enemy_skills!$1:$1,0)-MATCH("enemy_skill_id",enemy_skills!$1:$1,0)+1,FALSE)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5" s="132">
        <v>39009094</v>
      </c>
      <c r="G535" s="48">
        <f ca="1">VLOOKUP($F535,OFFSET(enemy_skill_triggers!$A$1,0,0,COUNTA(enemy_skill_triggers!$A:$A),MATCH(G$1,enemy_skill_triggers!$1:$1,0)-MATCH($F$1,enemy_skill_triggers!$1:$1,0)+1),MATCH(G$1,enemy_skill_triggers!$1:$1,0)-MATCH($F$1,enemy_skill_triggers!$1:$1,0)+1,FALSE)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5" s="48">
        <f ca="1">VLOOKUP($F535,OFFSET(enemy_skill_triggers!$A$1,0,0,COUNTA(enemy_skill_triggers!$A:$A),MATCH(H$1,enemy_skill_triggers!$1:$1,0)-MATCH($F$1,enemy_skill_triggers!$1:$1,0)+1),MATCH(H$1,enemy_skill_triggers!$1:$1,0)-MATCH($F$1,enemy_skill_triggers!$1:$1,0)+1,FALSE)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535" s="48">
        <f ca="1">VLOOKUP($F535,OFFSET(enemy_skill_triggers!$A$1,0,0,COUNTA(enemy_skill_triggers!$A:$A),MATCH(I$1,enemy_skill_triggers!$1:$1,0)-MATCH($F$1,enemy_skill_triggers!$1:$1,0)+1),MATCH(I$1,enemy_skill_triggers!$1:$1,0)-MATCH($F$1,enemy_skill_triggers!$1:$1,0)+1,FALSE)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5" s="48" t="str">
        <f ca="1">VLOOKUP($F535,OFFSET(enemy_skill_triggers!$A$1,0,0,COUNTA(enemy_skill_triggers!$A:$A),MATCH(J$1,enemy_skill_triggers!$1:$1,0)-MATCH($F$1,enemy_skill_triggers!$1:$1,0)+1),MATCH(J$1,enemy_skill_triggers!$1:$1,0)-MATCH($F$1,enemy_skill_triggers!$1:$1,0)+1,FALSE)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5" s="48" t="str">
        <f ca="1">VLOOKUP($F535,OFFSET(enemy_skill_triggers!$A$1,0,0,COUNTA(enemy_skill_triggers!$A:$A),MATCH(K$1,enemy_skill_triggers!$1:$1,0)-MATCH($F$1,enemy_skill_triggers!$1:$1,0)+1),MATCH(K$1,enemy_skill_triggers!$1:$1,0)-MATCH($F$1,enemy_skill_triggers!$1:$1,0)+1,FALSE)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5" s="48">
        <f ca="1">VLOOKUP($F535,OFFSET(enemy_skill_triggers!$A$1,0,0,COUNTA(enemy_skill_triggers!$A:$A),MATCH(L$1,enemy_skill_triggers!$1:$1,0)-MATCH($F$1,enemy_skill_triggers!$1:$1,0)+1),MATCH(L$1,enemy_skill_triggers!$1:$1,0)-MATCH($F$1,enemy_skill_triggers!$1:$1,0)+1,FALSE)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5" s="48" t="str">
        <f ca="1">VLOOKUP($F535,OFFSET(enemy_skill_triggers!$A$1,0,0,COUNTA(enemy_skill_triggers!$A:$A),MATCH(M$1,enemy_skill_triggers!$1:$1,0)-MATCH($F$1,enemy_skill_triggers!$1:$1,0)+1),MATCH(M$1,enemy_skill_triggers!$1:$1,0)-MATCH($F$1,enemy_skill_triggers!$1:$1,0)+1,FALSE)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5" s="48">
        <f ca="1">VLOOKUP($F535,OFFSET(enemy_skill_triggers!$A$1,0,0,COUNTA(enemy_skill_triggers!$A:$A),MATCH(N$1,enemy_skill_triggers!$1:$1,0)-MATCH($F$1,enemy_skill_triggers!$1:$1,0)+1),MATCH(N$1,enemy_skill_triggers!$1:$1,0)-MATCH($F$1,enemy_skill_triggers!$1:$1,0)+1,FALSE)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535" s="48">
        <f ca="1">VLOOKUP($F535,OFFSET(enemy_skill_triggers!$A$1,0,0,COUNTA(enemy_skill_triggers!$A:$A),MATCH(O$1,enemy_skill_triggers!$1:$1,0)-MATCH($F$1,enemy_skill_triggers!$1:$1,0)+1),MATCH(O$1,enemy_skill_triggers!$1:$1,0)-MATCH($F$1,enemy_skill_triggers!$1:$1,0)+1,FALSE)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5" s="47"/>
      <c r="Q535" s="47"/>
      <c r="R535" s="47"/>
    </row>
    <row r="536" spans="1:18" ht="21" customHeight="1" x14ac:dyDescent="0.15">
      <c r="A536" s="39" t="str">
        <f t="shared" si="23"/>
        <v>39009027_39009061</v>
      </c>
      <c r="B536" s="130">
        <v>39009027</v>
      </c>
      <c r="C536" s="132">
        <v>39009061</v>
      </c>
      <c r="D536" s="46" t="str">
        <f ca="1">VLOOKUP($C536,OFFSET(enemy_skills!$A$1,0,0,COUNTA(enemy_skills!$A:$A),MATCH(D$1,enemy_skills!$1:$1,0)-MATCH("enemy_skill_id",enemy_skills!$1:$1,0)+1),MATCH(D$1,enemy_skills!$1:$1,0)-MATCH("enemy_skill_id",enemy_skills!$1:$1,0)+1,FALSE)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6" s="46" t="str">
        <f ca="1">VLOOKUP($C536,OFFSET(enemy_skills!$A$1,0,0,COUNTA(enemy_skills!$A:$A),MATCH(E$1,enemy_skills!$1:$1,0)-MATCH("enemy_skill_id",enemy_skills!$1:$1,0)+1),MATCH(E$1,enemy_skills!$1:$1,0)-MATCH("enemy_skill_id",enemy_skills!$1:$1,0)+1,FALSE)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6" s="132">
        <v>39009095</v>
      </c>
      <c r="G536" s="48">
        <f ca="1">VLOOKUP($F536,OFFSET(enemy_skill_triggers!$A$1,0,0,COUNTA(enemy_skill_triggers!$A:$A),MATCH(G$1,enemy_skill_triggers!$1:$1,0)-MATCH($F$1,enemy_skill_triggers!$1:$1,0)+1),MATCH(G$1,enemy_skill_triggers!$1:$1,0)-MATCH($F$1,enemy_skill_triggers!$1:$1,0)+1,FALSE)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6" s="48">
        <f ca="1">VLOOKUP($F536,OFFSET(enemy_skill_triggers!$A$1,0,0,COUNTA(enemy_skill_triggers!$A:$A),MATCH(H$1,enemy_skill_triggers!$1:$1,0)-MATCH($F$1,enemy_skill_triggers!$1:$1,0)+1),MATCH(H$1,enemy_skill_triggers!$1:$1,0)-MATCH($F$1,enemy_skill_triggers!$1:$1,0)+1,FALSE)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536" s="48">
        <f ca="1">VLOOKUP($F536,OFFSET(enemy_skill_triggers!$A$1,0,0,COUNTA(enemy_skill_triggers!$A:$A),MATCH(I$1,enemy_skill_triggers!$1:$1,0)-MATCH($F$1,enemy_skill_triggers!$1:$1,0)+1),MATCH(I$1,enemy_skill_triggers!$1:$1,0)-MATCH($F$1,enemy_skill_triggers!$1:$1,0)+1,FALSE)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6" s="48" t="str">
        <f ca="1">VLOOKUP($F536,OFFSET(enemy_skill_triggers!$A$1,0,0,COUNTA(enemy_skill_triggers!$A:$A),MATCH(J$1,enemy_skill_triggers!$1:$1,0)-MATCH($F$1,enemy_skill_triggers!$1:$1,0)+1),MATCH(J$1,enemy_skill_triggers!$1:$1,0)-MATCH($F$1,enemy_skill_triggers!$1:$1,0)+1,FALSE)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6" s="48" t="str">
        <f ca="1">VLOOKUP($F536,OFFSET(enemy_skill_triggers!$A$1,0,0,COUNTA(enemy_skill_triggers!$A:$A),MATCH(K$1,enemy_skill_triggers!$1:$1,0)-MATCH($F$1,enemy_skill_triggers!$1:$1,0)+1),MATCH(K$1,enemy_skill_triggers!$1:$1,0)-MATCH($F$1,enemy_skill_triggers!$1:$1,0)+1,FALSE)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6" s="48">
        <f ca="1">VLOOKUP($F536,OFFSET(enemy_skill_triggers!$A$1,0,0,COUNTA(enemy_skill_triggers!$A:$A),MATCH(L$1,enemy_skill_triggers!$1:$1,0)-MATCH($F$1,enemy_skill_triggers!$1:$1,0)+1),MATCH(L$1,enemy_skill_triggers!$1:$1,0)-MATCH($F$1,enemy_skill_triggers!$1:$1,0)+1,FALSE)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6" s="48" t="str">
        <f ca="1">VLOOKUP($F536,OFFSET(enemy_skill_triggers!$A$1,0,0,COUNTA(enemy_skill_triggers!$A:$A),MATCH(M$1,enemy_skill_triggers!$1:$1,0)-MATCH($F$1,enemy_skill_triggers!$1:$1,0)+1),MATCH(M$1,enemy_skill_triggers!$1:$1,0)-MATCH($F$1,enemy_skill_triggers!$1:$1,0)+1,FALSE)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6" s="48">
        <f ca="1">VLOOKUP($F536,OFFSET(enemy_skill_triggers!$A$1,0,0,COUNTA(enemy_skill_triggers!$A:$A),MATCH(N$1,enemy_skill_triggers!$1:$1,0)-MATCH($F$1,enemy_skill_triggers!$1:$1,0)+1),MATCH(N$1,enemy_skill_triggers!$1:$1,0)-MATCH($F$1,enemy_skill_triggers!$1:$1,0)+1,FALSE)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536" s="48">
        <f ca="1">VLOOKUP($F536,OFFSET(enemy_skill_triggers!$A$1,0,0,COUNTA(enemy_skill_triggers!$A:$A),MATCH(O$1,enemy_skill_triggers!$1:$1,0)-MATCH($F$1,enemy_skill_triggers!$1:$1,0)+1),MATCH(O$1,enemy_skill_triggers!$1:$1,0)-MATCH($F$1,enemy_skill_triggers!$1:$1,0)+1,FALSE)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6" s="47"/>
      <c r="Q536" s="47"/>
      <c r="R536" s="47"/>
    </row>
    <row r="537" spans="1:18" ht="21" customHeight="1" x14ac:dyDescent="0.15">
      <c r="A537" s="39" t="str">
        <f t="shared" si="23"/>
        <v>39009027_39009061</v>
      </c>
      <c r="B537" s="130">
        <v>39009027</v>
      </c>
      <c r="C537" s="132">
        <v>39009061</v>
      </c>
      <c r="D537" s="46" t="str">
        <f ca="1">VLOOKUP($C537,OFFSET(enemy_skills!$A$1,0,0,COUNTA(enemy_skills!$A:$A),MATCH(D$1,enemy_skills!$1:$1,0)-MATCH("enemy_skill_id",enemy_skills!$1:$1,0)+1),MATCH(D$1,enemy_skills!$1:$1,0)-MATCH("enemy_skill_id",enemy_skills!$1:$1,0)+1,FALSE)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7" s="46" t="str">
        <f ca="1">VLOOKUP($C537,OFFSET(enemy_skills!$A$1,0,0,COUNTA(enemy_skills!$A:$A),MATCH(E$1,enemy_skills!$1:$1,0)-MATCH("enemy_skill_id",enemy_skills!$1:$1,0)+1),MATCH(E$1,enemy_skills!$1:$1,0)-MATCH("enemy_skill_id",enemy_skills!$1:$1,0)+1,FALSE)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7" s="132">
        <v>39009096</v>
      </c>
      <c r="G537" s="48">
        <f ca="1">VLOOKUP($F537,OFFSET(enemy_skill_triggers!$A$1,0,0,COUNTA(enemy_skill_triggers!$A:$A),MATCH(G$1,enemy_skill_triggers!$1:$1,0)-MATCH($F$1,enemy_skill_triggers!$1:$1,0)+1),MATCH(G$1,enemy_skill_triggers!$1:$1,0)-MATCH($F$1,enemy_skill_triggers!$1:$1,0)+1,FALSE)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7" s="48">
        <f ca="1">VLOOKUP($F537,OFFSET(enemy_skill_triggers!$A$1,0,0,COUNTA(enemy_skill_triggers!$A:$A),MATCH(H$1,enemy_skill_triggers!$1:$1,0)-MATCH($F$1,enemy_skill_triggers!$1:$1,0)+1),MATCH(H$1,enemy_skill_triggers!$1:$1,0)-MATCH($F$1,enemy_skill_triggers!$1:$1,0)+1,FALSE)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37" s="48">
        <f ca="1">VLOOKUP($F537,OFFSET(enemy_skill_triggers!$A$1,0,0,COUNTA(enemy_skill_triggers!$A:$A),MATCH(I$1,enemy_skill_triggers!$1:$1,0)-MATCH($F$1,enemy_skill_triggers!$1:$1,0)+1),MATCH(I$1,enemy_skill_triggers!$1:$1,0)-MATCH($F$1,enemy_skill_triggers!$1:$1,0)+1,FALSE)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7" s="48" t="str">
        <f ca="1">VLOOKUP($F537,OFFSET(enemy_skill_triggers!$A$1,0,0,COUNTA(enemy_skill_triggers!$A:$A),MATCH(J$1,enemy_skill_triggers!$1:$1,0)-MATCH($F$1,enemy_skill_triggers!$1:$1,0)+1),MATCH(J$1,enemy_skill_triggers!$1:$1,0)-MATCH($F$1,enemy_skill_triggers!$1:$1,0)+1,FALSE)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7" s="48" t="str">
        <f ca="1">VLOOKUP($F537,OFFSET(enemy_skill_triggers!$A$1,0,0,COUNTA(enemy_skill_triggers!$A:$A),MATCH(K$1,enemy_skill_triggers!$1:$1,0)-MATCH($F$1,enemy_skill_triggers!$1:$1,0)+1),MATCH(K$1,enemy_skill_triggers!$1:$1,0)-MATCH($F$1,enemy_skill_triggers!$1:$1,0)+1,FALSE)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7" s="48">
        <f ca="1">VLOOKUP($F537,OFFSET(enemy_skill_triggers!$A$1,0,0,COUNTA(enemy_skill_triggers!$A:$A),MATCH(L$1,enemy_skill_triggers!$1:$1,0)-MATCH($F$1,enemy_skill_triggers!$1:$1,0)+1),MATCH(L$1,enemy_skill_triggers!$1:$1,0)-MATCH($F$1,enemy_skill_triggers!$1:$1,0)+1,FALSE)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7" s="48" t="str">
        <f ca="1">VLOOKUP($F537,OFFSET(enemy_skill_triggers!$A$1,0,0,COUNTA(enemy_skill_triggers!$A:$A),MATCH(M$1,enemy_skill_triggers!$1:$1,0)-MATCH($F$1,enemy_skill_triggers!$1:$1,0)+1),MATCH(M$1,enemy_skill_triggers!$1:$1,0)-MATCH($F$1,enemy_skill_triggers!$1:$1,0)+1,FALSE)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7" s="48">
        <f ca="1">VLOOKUP($F537,OFFSET(enemy_skill_triggers!$A$1,0,0,COUNTA(enemy_skill_triggers!$A:$A),MATCH(N$1,enemy_skill_triggers!$1:$1,0)-MATCH($F$1,enemy_skill_triggers!$1:$1,0)+1),MATCH(N$1,enemy_skill_triggers!$1:$1,0)-MATCH($F$1,enemy_skill_triggers!$1:$1,0)+1,FALSE)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537" s="48">
        <f ca="1">VLOOKUP($F537,OFFSET(enemy_skill_triggers!$A$1,0,0,COUNTA(enemy_skill_triggers!$A:$A),MATCH(O$1,enemy_skill_triggers!$1:$1,0)-MATCH($F$1,enemy_skill_triggers!$1:$1,0)+1),MATCH(O$1,enemy_skill_triggers!$1:$1,0)-MATCH($F$1,enemy_skill_triggers!$1:$1,0)+1,FALSE)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7" s="47"/>
      <c r="Q537" s="47"/>
      <c r="R537" s="47"/>
    </row>
    <row r="538" spans="1:18" ht="21" customHeight="1" x14ac:dyDescent="0.15">
      <c r="A538" s="39" t="str">
        <f t="shared" si="23"/>
        <v>39009027_39009061</v>
      </c>
      <c r="B538" s="130">
        <v>39009027</v>
      </c>
      <c r="C538" s="132">
        <v>39009061</v>
      </c>
      <c r="D538" s="46" t="str">
        <f ca="1">VLOOKUP($C538,OFFSET(enemy_skills!$A$1,0,0,COUNTA(enemy_skills!$A:$A),MATCH(D$1,enemy_skills!$1:$1,0)-MATCH("enemy_skill_id",enemy_skills!$1:$1,0)+1),MATCH(D$1,enemy_skills!$1:$1,0)-MATCH("enemy_skill_id",enemy_skills!$1:$1,0)+1,FALSE)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8" s="46" t="str">
        <f ca="1">VLOOKUP($C538,OFFSET(enemy_skills!$A$1,0,0,COUNTA(enemy_skills!$A:$A),MATCH(E$1,enemy_skills!$1:$1,0)-MATCH("enemy_skill_id",enemy_skills!$1:$1,0)+1),MATCH(E$1,enemy_skills!$1:$1,0)-MATCH("enemy_skill_id",enemy_skills!$1:$1,0)+1,FALSE)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8" s="132">
        <v>39009097</v>
      </c>
      <c r="G538" s="48">
        <f ca="1">VLOOKUP($F538,OFFSET(enemy_skill_triggers!$A$1,0,0,COUNTA(enemy_skill_triggers!$A:$A),MATCH(G$1,enemy_skill_triggers!$1:$1,0)-MATCH($F$1,enemy_skill_triggers!$1:$1,0)+1),MATCH(G$1,enemy_skill_triggers!$1:$1,0)-MATCH($F$1,enemy_skill_triggers!$1:$1,0)+1,FALSE)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8" s="48">
        <f ca="1">VLOOKUP($F538,OFFSET(enemy_skill_triggers!$A$1,0,0,COUNTA(enemy_skill_triggers!$A:$A),MATCH(H$1,enemy_skill_triggers!$1:$1,0)-MATCH($F$1,enemy_skill_triggers!$1:$1,0)+1),MATCH(H$1,enemy_skill_triggers!$1:$1,0)-MATCH($F$1,enemy_skill_triggers!$1:$1,0)+1,FALSE)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38" s="48">
        <f ca="1">VLOOKUP($F538,OFFSET(enemy_skill_triggers!$A$1,0,0,COUNTA(enemy_skill_triggers!$A:$A),MATCH(I$1,enemy_skill_triggers!$1:$1,0)-MATCH($F$1,enemy_skill_triggers!$1:$1,0)+1),MATCH(I$1,enemy_skill_triggers!$1:$1,0)-MATCH($F$1,enemy_skill_triggers!$1:$1,0)+1,FALSE)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8" s="48" t="str">
        <f ca="1">VLOOKUP($F538,OFFSET(enemy_skill_triggers!$A$1,0,0,COUNTA(enemy_skill_triggers!$A:$A),MATCH(J$1,enemy_skill_triggers!$1:$1,0)-MATCH($F$1,enemy_skill_triggers!$1:$1,0)+1),MATCH(J$1,enemy_skill_triggers!$1:$1,0)-MATCH($F$1,enemy_skill_triggers!$1:$1,0)+1,FALSE)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8" s="48" t="str">
        <f ca="1">VLOOKUP($F538,OFFSET(enemy_skill_triggers!$A$1,0,0,COUNTA(enemy_skill_triggers!$A:$A),MATCH(K$1,enemy_skill_triggers!$1:$1,0)-MATCH($F$1,enemy_skill_triggers!$1:$1,0)+1),MATCH(K$1,enemy_skill_triggers!$1:$1,0)-MATCH($F$1,enemy_skill_triggers!$1:$1,0)+1,FALSE)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8" s="48">
        <f ca="1">VLOOKUP($F538,OFFSET(enemy_skill_triggers!$A$1,0,0,COUNTA(enemy_skill_triggers!$A:$A),MATCH(L$1,enemy_skill_triggers!$1:$1,0)-MATCH($F$1,enemy_skill_triggers!$1:$1,0)+1),MATCH(L$1,enemy_skill_triggers!$1:$1,0)-MATCH($F$1,enemy_skill_triggers!$1:$1,0)+1,FALSE)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8" s="48" t="str">
        <f ca="1">VLOOKUP($F538,OFFSET(enemy_skill_triggers!$A$1,0,0,COUNTA(enemy_skill_triggers!$A:$A),MATCH(M$1,enemy_skill_triggers!$1:$1,0)-MATCH($F$1,enemy_skill_triggers!$1:$1,0)+1),MATCH(M$1,enemy_skill_triggers!$1:$1,0)-MATCH($F$1,enemy_skill_triggers!$1:$1,0)+1,FALSE)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8" s="48">
        <f ca="1">VLOOKUP($F538,OFFSET(enemy_skill_triggers!$A$1,0,0,COUNTA(enemy_skill_triggers!$A:$A),MATCH(N$1,enemy_skill_triggers!$1:$1,0)-MATCH($F$1,enemy_skill_triggers!$1:$1,0)+1),MATCH(N$1,enemy_skill_triggers!$1:$1,0)-MATCH($F$1,enemy_skill_triggers!$1:$1,0)+1,FALSE)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538" s="48">
        <f ca="1">VLOOKUP($F538,OFFSET(enemy_skill_triggers!$A$1,0,0,COUNTA(enemy_skill_triggers!$A:$A),MATCH(O$1,enemy_skill_triggers!$1:$1,0)-MATCH($F$1,enemy_skill_triggers!$1:$1,0)+1),MATCH(O$1,enemy_skill_triggers!$1:$1,0)-MATCH($F$1,enemy_skill_triggers!$1:$1,0)+1,FALSE)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8" s="47"/>
      <c r="Q538" s="47"/>
      <c r="R538" s="47"/>
    </row>
    <row r="539" spans="1:18" ht="21" customHeight="1" x14ac:dyDescent="0.15">
      <c r="A539" s="39" t="str">
        <f t="shared" si="23"/>
        <v>39009027_39009061</v>
      </c>
      <c r="B539" s="130">
        <v>39009027</v>
      </c>
      <c r="C539" s="132">
        <v>39009061</v>
      </c>
      <c r="D539" s="46" t="str">
        <f ca="1">VLOOKUP($C539,OFFSET(enemy_skills!$A$1,0,0,COUNTA(enemy_skills!$A:$A),MATCH(D$1,enemy_skills!$1:$1,0)-MATCH("enemy_skill_id",enemy_skills!$1:$1,0)+1),MATCH(D$1,enemy_skills!$1:$1,0)-MATCH("enemy_skill_id",enemy_skills!$1:$1,0)+1,FALSE)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39" s="46" t="str">
        <f ca="1">VLOOKUP($C539,OFFSET(enemy_skills!$A$1,0,0,COUNTA(enemy_skills!$A:$A),MATCH(E$1,enemy_skills!$1:$1,0)-MATCH("enemy_skill_id",enemy_skills!$1:$1,0)+1),MATCH(E$1,enemy_skills!$1:$1,0)-MATCH("enemy_skill_id",enemy_skills!$1:$1,0)+1,FALSE)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39" s="132">
        <v>39009098</v>
      </c>
      <c r="G539" s="48">
        <f ca="1">VLOOKUP($F539,OFFSET(enemy_skill_triggers!$A$1,0,0,COUNTA(enemy_skill_triggers!$A:$A),MATCH(G$1,enemy_skill_triggers!$1:$1,0)-MATCH($F$1,enemy_skill_triggers!$1:$1,0)+1),MATCH(G$1,enemy_skill_triggers!$1:$1,0)-MATCH($F$1,enemy_skill_triggers!$1:$1,0)+1,FALSE)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9" s="48">
        <f ca="1">VLOOKUP($F539,OFFSET(enemy_skill_triggers!$A$1,0,0,COUNTA(enemy_skill_triggers!$A:$A),MATCH(H$1,enemy_skill_triggers!$1:$1,0)-MATCH($F$1,enemy_skill_triggers!$1:$1,0)+1),MATCH(H$1,enemy_skill_triggers!$1:$1,0)-MATCH($F$1,enemy_skill_triggers!$1:$1,0)+1,FALSE)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39" s="48">
        <f ca="1">VLOOKUP($F539,OFFSET(enemy_skill_triggers!$A$1,0,0,COUNTA(enemy_skill_triggers!$A:$A),MATCH(I$1,enemy_skill_triggers!$1:$1,0)-MATCH($F$1,enemy_skill_triggers!$1:$1,0)+1),MATCH(I$1,enemy_skill_triggers!$1:$1,0)-MATCH($F$1,enemy_skill_triggers!$1:$1,0)+1,FALSE)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9" s="48" t="str">
        <f ca="1">VLOOKUP($F539,OFFSET(enemy_skill_triggers!$A$1,0,0,COUNTA(enemy_skill_triggers!$A:$A),MATCH(J$1,enemy_skill_triggers!$1:$1,0)-MATCH($F$1,enemy_skill_triggers!$1:$1,0)+1),MATCH(J$1,enemy_skill_triggers!$1:$1,0)-MATCH($F$1,enemy_skill_triggers!$1:$1,0)+1,FALSE)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9" s="48" t="str">
        <f ca="1">VLOOKUP($F539,OFFSET(enemy_skill_triggers!$A$1,0,0,COUNTA(enemy_skill_triggers!$A:$A),MATCH(K$1,enemy_skill_triggers!$1:$1,0)-MATCH($F$1,enemy_skill_triggers!$1:$1,0)+1),MATCH(K$1,enemy_skill_triggers!$1:$1,0)-MATCH($F$1,enemy_skill_triggers!$1:$1,0)+1,FALSE)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9" s="48">
        <f ca="1">VLOOKUP($F539,OFFSET(enemy_skill_triggers!$A$1,0,0,COUNTA(enemy_skill_triggers!$A:$A),MATCH(L$1,enemy_skill_triggers!$1:$1,0)-MATCH($F$1,enemy_skill_triggers!$1:$1,0)+1),MATCH(L$1,enemy_skill_triggers!$1:$1,0)-MATCH($F$1,enemy_skill_triggers!$1:$1,0)+1,FALSE)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9" s="48" t="str">
        <f ca="1">VLOOKUP($F539,OFFSET(enemy_skill_triggers!$A$1,0,0,COUNTA(enemy_skill_triggers!$A:$A),MATCH(M$1,enemy_skill_triggers!$1:$1,0)-MATCH($F$1,enemy_skill_triggers!$1:$1,0)+1),MATCH(M$1,enemy_skill_triggers!$1:$1,0)-MATCH($F$1,enemy_skill_triggers!$1:$1,0)+1,FALSE)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9" s="48">
        <f ca="1">VLOOKUP($F539,OFFSET(enemy_skill_triggers!$A$1,0,0,COUNTA(enemy_skill_triggers!$A:$A),MATCH(N$1,enemy_skill_triggers!$1:$1,0)-MATCH($F$1,enemy_skill_triggers!$1:$1,0)+1),MATCH(N$1,enemy_skill_triggers!$1:$1,0)-MATCH($F$1,enemy_skill_triggers!$1:$1,0)+1,FALSE)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539" s="48">
        <f ca="1">VLOOKUP($F539,OFFSET(enemy_skill_triggers!$A$1,0,0,COUNTA(enemy_skill_triggers!$A:$A),MATCH(O$1,enemy_skill_triggers!$1:$1,0)-MATCH($F$1,enemy_skill_triggers!$1:$1,0)+1),MATCH(O$1,enemy_skill_triggers!$1:$1,0)-MATCH($F$1,enemy_skill_triggers!$1:$1,0)+1,FALSE)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9" s="47"/>
      <c r="Q539" s="47"/>
      <c r="R539" s="47"/>
    </row>
    <row r="540" spans="1:18" ht="21" customHeight="1" x14ac:dyDescent="0.15">
      <c r="A540" s="39" t="str">
        <f t="shared" si="23"/>
        <v>39009027_39009061</v>
      </c>
      <c r="B540" s="130">
        <v>39009027</v>
      </c>
      <c r="C540" s="132">
        <v>39009061</v>
      </c>
      <c r="D540" s="46" t="str">
        <f ca="1">VLOOKUP($C540,OFFSET(enemy_skills!$A$1,0,0,COUNTA(enemy_skills!$A:$A),MATCH(D$1,enemy_skills!$1:$1,0)-MATCH("enemy_skill_id",enemy_skills!$1:$1,0)+1),MATCH(D$1,enemy_skills!$1:$1,0)-MATCH("enemy_skill_id",enemy_skills!$1:$1,0)+1,FALSE)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40" s="46" t="str">
        <f ca="1">VLOOKUP($C540,OFFSET(enemy_skills!$A$1,0,0,COUNTA(enemy_skills!$A:$A),MATCH(E$1,enemy_skills!$1:$1,0)-MATCH("enemy_skill_id",enemy_skills!$1:$1,0)+1),MATCH(E$1,enemy_skills!$1:$1,0)-MATCH("enemy_skill_id",enemy_skills!$1:$1,0)+1,FALSE)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40" s="132">
        <v>39009099</v>
      </c>
      <c r="G540" s="48">
        <f ca="1">VLOOKUP($F540,OFFSET(enemy_skill_triggers!$A$1,0,0,COUNTA(enemy_skill_triggers!$A:$A),MATCH(G$1,enemy_skill_triggers!$1:$1,0)-MATCH($F$1,enemy_skill_triggers!$1:$1,0)+1),MATCH(G$1,enemy_skill_triggers!$1:$1,0)-MATCH($F$1,enemy_skill_triggers!$1:$1,0)+1,FALSE)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0" s="48">
        <f ca="1">VLOOKUP($F540,OFFSET(enemy_skill_triggers!$A$1,0,0,COUNTA(enemy_skill_triggers!$A:$A),MATCH(H$1,enemy_skill_triggers!$1:$1,0)-MATCH($F$1,enemy_skill_triggers!$1:$1,0)+1),MATCH(H$1,enemy_skill_triggers!$1:$1,0)-MATCH($F$1,enemy_skill_triggers!$1:$1,0)+1,FALSE)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40" s="48">
        <f ca="1">VLOOKUP($F540,OFFSET(enemy_skill_triggers!$A$1,0,0,COUNTA(enemy_skill_triggers!$A:$A),MATCH(I$1,enemy_skill_triggers!$1:$1,0)-MATCH($F$1,enemy_skill_triggers!$1:$1,0)+1),MATCH(I$1,enemy_skill_triggers!$1:$1,0)-MATCH($F$1,enemy_skill_triggers!$1:$1,0)+1,FALSE)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0" s="48" t="str">
        <f ca="1">VLOOKUP($F540,OFFSET(enemy_skill_triggers!$A$1,0,0,COUNTA(enemy_skill_triggers!$A:$A),MATCH(J$1,enemy_skill_triggers!$1:$1,0)-MATCH($F$1,enemy_skill_triggers!$1:$1,0)+1),MATCH(J$1,enemy_skill_triggers!$1:$1,0)-MATCH($F$1,enemy_skill_triggers!$1:$1,0)+1,FALSE)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0" s="48" t="str">
        <f ca="1">VLOOKUP($F540,OFFSET(enemy_skill_triggers!$A$1,0,0,COUNTA(enemy_skill_triggers!$A:$A),MATCH(K$1,enemy_skill_triggers!$1:$1,0)-MATCH($F$1,enemy_skill_triggers!$1:$1,0)+1),MATCH(K$1,enemy_skill_triggers!$1:$1,0)-MATCH($F$1,enemy_skill_triggers!$1:$1,0)+1,FALSE)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0" s="48">
        <f ca="1">VLOOKUP($F540,OFFSET(enemy_skill_triggers!$A$1,0,0,COUNTA(enemy_skill_triggers!$A:$A),MATCH(L$1,enemy_skill_triggers!$1:$1,0)-MATCH($F$1,enemy_skill_triggers!$1:$1,0)+1),MATCH(L$1,enemy_skill_triggers!$1:$1,0)-MATCH($F$1,enemy_skill_triggers!$1:$1,0)+1,FALSE)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0" s="48" t="str">
        <f ca="1">VLOOKUP($F540,OFFSET(enemy_skill_triggers!$A$1,0,0,COUNTA(enemy_skill_triggers!$A:$A),MATCH(M$1,enemy_skill_triggers!$1:$1,0)-MATCH($F$1,enemy_skill_triggers!$1:$1,0)+1),MATCH(M$1,enemy_skill_triggers!$1:$1,0)-MATCH($F$1,enemy_skill_triggers!$1:$1,0)+1,FALSE)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0" s="48">
        <f ca="1">VLOOKUP($F540,OFFSET(enemy_skill_triggers!$A$1,0,0,COUNTA(enemy_skill_triggers!$A:$A),MATCH(N$1,enemy_skill_triggers!$1:$1,0)-MATCH($F$1,enemy_skill_triggers!$1:$1,0)+1),MATCH(N$1,enemy_skill_triggers!$1:$1,0)-MATCH($F$1,enemy_skill_triggers!$1:$1,0)+1,FALSE)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540" s="48">
        <f ca="1">VLOOKUP($F540,OFFSET(enemy_skill_triggers!$A$1,0,0,COUNTA(enemy_skill_triggers!$A:$A),MATCH(O$1,enemy_skill_triggers!$1:$1,0)-MATCH($F$1,enemy_skill_triggers!$1:$1,0)+1),MATCH(O$1,enemy_skill_triggers!$1:$1,0)-MATCH($F$1,enemy_skill_triggers!$1:$1,0)+1,FALSE)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0" s="47"/>
      <c r="Q540" s="47"/>
      <c r="R540" s="47"/>
    </row>
    <row r="541" spans="1:18" ht="21" customHeight="1" x14ac:dyDescent="0.15">
      <c r="A541" s="39" t="str">
        <f t="shared" ref="A541" si="25">B541&amp;"_"&amp;C541</f>
        <v>39009027_39009061</v>
      </c>
      <c r="B541" s="130">
        <v>39009027</v>
      </c>
      <c r="C541" s="132">
        <v>39009061</v>
      </c>
      <c r="D541" s="46" t="str">
        <f ca="1">VLOOKUP($C541,OFFSET(enemy_skills!$A$1,0,0,COUNTA(enemy_skills!$A:$A),MATCH(D$1,enemy_skills!$1:$1,0)-MATCH("enemy_skill_id",enemy_skills!$1:$1,0)+1),MATCH(D$1,enemy_skills!$1:$1,0)-MATCH("enemy_skill_id",enemy_skills!$1:$1,0)+1,FALSE)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541" s="46" t="str">
        <f ca="1">VLOOKUP($C541,OFFSET(enemy_skills!$A$1,0,0,COUNTA(enemy_skills!$A:$A),MATCH(E$1,enemy_skills!$1:$1,0)-MATCH("enemy_skill_id",enemy_skills!$1:$1,0)+1),MATCH(E$1,enemy_skills!$1:$1,0)-MATCH("enemy_skill_id",enemy_skills!$1:$1,0)+1,FALSE)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541" s="132">
        <v>39009100</v>
      </c>
      <c r="G541" s="48">
        <f ca="1">VLOOKUP($F541,OFFSET(enemy_skill_triggers!$A$1,0,0,COUNTA(enemy_skill_triggers!$A:$A),MATCH(G$1,enemy_skill_triggers!$1:$1,0)-MATCH($F$1,enemy_skill_triggers!$1:$1,0)+1),MATCH(G$1,enemy_skill_triggers!$1:$1,0)-MATCH($F$1,enemy_skill_triggers!$1:$1,0)+1,FALSE)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1" s="48">
        <f ca="1">VLOOKUP($F541,OFFSET(enemy_skill_triggers!$A$1,0,0,COUNTA(enemy_skill_triggers!$A:$A),MATCH(H$1,enemy_skill_triggers!$1:$1,0)-MATCH($F$1,enemy_skill_triggers!$1:$1,0)+1),MATCH(H$1,enemy_skill_triggers!$1:$1,0)-MATCH($F$1,enemy_skill_triggers!$1:$1,0)+1,FALSE)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41" s="48">
        <f ca="1">VLOOKUP($F541,OFFSET(enemy_skill_triggers!$A$1,0,0,COUNTA(enemy_skill_triggers!$A:$A),MATCH(I$1,enemy_skill_triggers!$1:$1,0)-MATCH($F$1,enemy_skill_triggers!$1:$1,0)+1),MATCH(I$1,enemy_skill_triggers!$1:$1,0)-MATCH($F$1,enemy_skill_triggers!$1:$1,0)+1,FALSE)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1" s="48" t="str">
        <f ca="1">VLOOKUP($F541,OFFSET(enemy_skill_triggers!$A$1,0,0,COUNTA(enemy_skill_triggers!$A:$A),MATCH(J$1,enemy_skill_triggers!$1:$1,0)-MATCH($F$1,enemy_skill_triggers!$1:$1,0)+1),MATCH(J$1,enemy_skill_triggers!$1:$1,0)-MATCH($F$1,enemy_skill_triggers!$1:$1,0)+1,FALSE)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1" s="48" t="str">
        <f ca="1">VLOOKUP($F541,OFFSET(enemy_skill_triggers!$A$1,0,0,COUNTA(enemy_skill_triggers!$A:$A),MATCH(K$1,enemy_skill_triggers!$1:$1,0)-MATCH($F$1,enemy_skill_triggers!$1:$1,0)+1),MATCH(K$1,enemy_skill_triggers!$1:$1,0)-MATCH($F$1,enemy_skill_triggers!$1:$1,0)+1,FALSE)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1" s="48">
        <f ca="1">VLOOKUP($F541,OFFSET(enemy_skill_triggers!$A$1,0,0,COUNTA(enemy_skill_triggers!$A:$A),MATCH(L$1,enemy_skill_triggers!$1:$1,0)-MATCH($F$1,enemy_skill_triggers!$1:$1,0)+1),MATCH(L$1,enemy_skill_triggers!$1:$1,0)-MATCH($F$1,enemy_skill_triggers!$1:$1,0)+1,FALSE)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1" s="48" t="str">
        <f ca="1">VLOOKUP($F541,OFFSET(enemy_skill_triggers!$A$1,0,0,COUNTA(enemy_skill_triggers!$A:$A),MATCH(M$1,enemy_skill_triggers!$1:$1,0)-MATCH($F$1,enemy_skill_triggers!$1:$1,0)+1),MATCH(M$1,enemy_skill_triggers!$1:$1,0)-MATCH($F$1,enemy_skill_triggers!$1:$1,0)+1,FALSE)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1" s="48">
        <f ca="1">VLOOKUP($F541,OFFSET(enemy_skill_triggers!$A$1,0,0,COUNTA(enemy_skill_triggers!$A:$A),MATCH(N$1,enemy_skill_triggers!$1:$1,0)-MATCH($F$1,enemy_skill_triggers!$1:$1,0)+1),MATCH(N$1,enemy_skill_triggers!$1:$1,0)-MATCH($F$1,enemy_skill_triggers!$1:$1,0)+1,FALSE)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541" s="48">
        <f ca="1">VLOOKUP($F541,OFFSET(enemy_skill_triggers!$A$1,0,0,COUNTA(enemy_skill_triggers!$A:$A),MATCH(O$1,enemy_skill_triggers!$1:$1,0)-MATCH($F$1,enemy_skill_triggers!$1:$1,0)+1),MATCH(O$1,enemy_skill_triggers!$1:$1,0)-MATCH($F$1,enemy_skill_triggers!$1:$1,0)+1,FALSE)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1" s="47"/>
      <c r="Q541" s="47"/>
      <c r="R541" s="47"/>
    </row>
    <row r="542" spans="1:18" ht="21" customHeight="1" x14ac:dyDescent="0.15">
      <c r="A542" s="39" t="str">
        <f t="shared" si="23"/>
        <v>39009027_39009062</v>
      </c>
      <c r="B542" s="130">
        <v>39009027</v>
      </c>
      <c r="C542" s="132">
        <v>39009062</v>
      </c>
      <c r="D542" s="46" t="str">
        <f ca="1">VLOOKUP($C542,OFFSET(enemy_skills!$A$1,0,0,COUNTA(enemy_skills!$A:$A),MATCH(D$1,enemy_skills!$1:$1,0)-MATCH("enemy_skill_id",enemy_skills!$1:$1,0)+1),MATCH(D$1,enemy_skills!$1:$1,0)-MATCH("enemy_skill_id",enemy_skills!$1:$1,0)+1,FALSE)</f>
        <v>スターダスト・ファンタジア</v>
      </c>
      <c r="E542" s="46" t="str">
        <f ca="1">VLOOKUP($C542,OFFSET(enemy_skills!$A$1,0,0,COUNTA(enemy_skills!$A:$A),MATCH(E$1,enemy_skills!$1:$1,0)-MATCH("enemy_skill_id",enemy_skills!$1:$1,0)+1),MATCH(E$1,enemy_skills!$1:$1,0)-MATCH("enemy_skill_id",enemy_skills!$1:$1,0)+1,FALSE)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542" s="132">
        <v>39009132</v>
      </c>
      <c r="G542" s="48">
        <f ca="1">VLOOKUP($F542,OFFSET(enemy_skill_triggers!$A$1,0,0,COUNTA(enemy_skill_triggers!$A:$A),MATCH(G$1,enemy_skill_triggers!$1:$1,0)-MATCH($F$1,enemy_skill_triggers!$1:$1,0)+1),MATCH(G$1,enemy_skill_triggers!$1:$1,0)-MATCH($F$1,enemy_skill_triggers!$1:$1,0)+1,FALSE)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2" s="48">
        <f ca="1">VLOOKUP($F542,OFFSET(enemy_skill_triggers!$A$1,0,0,COUNTA(enemy_skill_triggers!$A:$A),MATCH(H$1,enemy_skill_triggers!$1:$1,0)-MATCH($F$1,enemy_skill_triggers!$1:$1,0)+1),MATCH(H$1,enemy_skill_triggers!$1:$1,0)-MATCH($F$1,enemy_skill_triggers!$1:$1,0)+1,FALSE)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542" s="48">
        <f ca="1">VLOOKUP($F542,OFFSET(enemy_skill_triggers!$A$1,0,0,COUNTA(enemy_skill_triggers!$A:$A),MATCH(I$1,enemy_skill_triggers!$1:$1,0)-MATCH($F$1,enemy_skill_triggers!$1:$1,0)+1),MATCH(I$1,enemy_skill_triggers!$1:$1,0)-MATCH($F$1,enemy_skill_triggers!$1:$1,0)+1,FALSE)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2" s="48" t="str">
        <f ca="1">VLOOKUP($F542,OFFSET(enemy_skill_triggers!$A$1,0,0,COUNTA(enemy_skill_triggers!$A:$A),MATCH(J$1,enemy_skill_triggers!$1:$1,0)-MATCH($F$1,enemy_skill_triggers!$1:$1,0)+1),MATCH(J$1,enemy_skill_triggers!$1:$1,0)-MATCH($F$1,enemy_skill_triggers!$1:$1,0)+1,FALSE)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2" s="48">
        <f ca="1">VLOOKUP($F542,OFFSET(enemy_skill_triggers!$A$1,0,0,COUNTA(enemy_skill_triggers!$A:$A),MATCH(K$1,enemy_skill_triggers!$1:$1,0)-MATCH($F$1,enemy_skill_triggers!$1:$1,0)+1),MATCH(K$1,enemy_skill_triggers!$1:$1,0)-MATCH($F$1,enemy_skill_triggers!$1:$1,0)+1,FALSE)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542" s="48" t="str">
        <f ca="1">VLOOKUP($F542,OFFSET(enemy_skill_triggers!$A$1,0,0,COUNTA(enemy_skill_triggers!$A:$A),MATCH(L$1,enemy_skill_triggers!$1:$1,0)-MATCH($F$1,enemy_skill_triggers!$1:$1,0)+1),MATCH(L$1,enemy_skill_triggers!$1:$1,0)-MATCH($F$1,enemy_skill_triggers!$1:$1,0)+1,FALSE)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2" s="48" t="str">
        <f ca="1">VLOOKUP($F542,OFFSET(enemy_skill_triggers!$A$1,0,0,COUNTA(enemy_skill_triggers!$A:$A),MATCH(M$1,enemy_skill_triggers!$1:$1,0)-MATCH($F$1,enemy_skill_triggers!$1:$1,0)+1),MATCH(M$1,enemy_skill_triggers!$1:$1,0)-MATCH($F$1,enemy_skill_triggers!$1:$1,0)+1,FALSE)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2" s="48" t="str">
        <f ca="1">VLOOKUP($F542,OFFSET(enemy_skill_triggers!$A$1,0,0,COUNTA(enemy_skill_triggers!$A:$A),MATCH(N$1,enemy_skill_triggers!$1:$1,0)-MATCH($F$1,enemy_skill_triggers!$1:$1,0)+1),MATCH(N$1,enemy_skill_triggers!$1:$1,0)-MATCH($F$1,enemy_skill_triggers!$1:$1,0)+1,FALSE)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2" s="48">
        <f ca="1">VLOOKUP($F542,OFFSET(enemy_skill_triggers!$A$1,0,0,COUNTA(enemy_skill_triggers!$A:$A),MATCH(O$1,enemy_skill_triggers!$1:$1,0)-MATCH($F$1,enemy_skill_triggers!$1:$1,0)+1),MATCH(O$1,enemy_skill_triggers!$1:$1,0)-MATCH($F$1,enemy_skill_triggers!$1:$1,0)+1,FALSE)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2" s="47"/>
      <c r="Q542" s="47"/>
      <c r="R542" s="47"/>
    </row>
    <row r="543" spans="1:18" ht="21" customHeight="1" x14ac:dyDescent="0.15">
      <c r="A543" s="39" t="str">
        <f t="shared" si="23"/>
        <v>39009027_39009063</v>
      </c>
      <c r="B543" s="130">
        <v>39009027</v>
      </c>
      <c r="C543" s="132">
        <v>39009063</v>
      </c>
      <c r="D543" s="46" t="str">
        <f ca="1">VLOOKUP($C543,OFFSET(enemy_skills!$A$1,0,0,COUNTA(enemy_skills!$A:$A),MATCH(D$1,enemy_skills!$1:$1,0)-MATCH("enemy_skill_id",enemy_skills!$1:$1,0)+1),MATCH(D$1,enemy_skills!$1:$1,0)-MATCH("enemy_skill_id",enemy_skills!$1:$1,0)+1,FALSE)</f>
        <v>スターライト・ファンタジア</v>
      </c>
      <c r="E543" s="46" t="str">
        <f ca="1">VLOOKUP($C543,OFFSET(enemy_skills!$A$1,0,0,COUNTA(enemy_skills!$A:$A),MATCH(E$1,enemy_skills!$1:$1,0)-MATCH("enemy_skill_id",enemy_skills!$1:$1,0)+1),MATCH(E$1,enemy_skills!$1:$1,0)-MATCH("enemy_skill_id",enemy_skills!$1:$1,0)+1,FALSE)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543" s="132">
        <v>39009133</v>
      </c>
      <c r="G543" s="48">
        <f ca="1">VLOOKUP($F543,OFFSET(enemy_skill_triggers!$A$1,0,0,COUNTA(enemy_skill_triggers!$A:$A),MATCH(G$1,enemy_skill_triggers!$1:$1,0)-MATCH($F$1,enemy_skill_triggers!$1:$1,0)+1),MATCH(G$1,enemy_skill_triggers!$1:$1,0)-MATCH($F$1,enemy_skill_triggers!$1:$1,0)+1,FALSE)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3" s="48">
        <f ca="1">VLOOKUP($F543,OFFSET(enemy_skill_triggers!$A$1,0,0,COUNTA(enemy_skill_triggers!$A:$A),MATCH(H$1,enemy_skill_triggers!$1:$1,0)-MATCH($F$1,enemy_skill_triggers!$1:$1,0)+1),MATCH(H$1,enemy_skill_triggers!$1:$1,0)-MATCH($F$1,enemy_skill_triggers!$1:$1,0)+1,FALSE)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543" s="48">
        <f ca="1">VLOOKUP($F543,OFFSET(enemy_skill_triggers!$A$1,0,0,COUNTA(enemy_skill_triggers!$A:$A),MATCH(I$1,enemy_skill_triggers!$1:$1,0)-MATCH($F$1,enemy_skill_triggers!$1:$1,0)+1),MATCH(I$1,enemy_skill_triggers!$1:$1,0)-MATCH($F$1,enemy_skill_triggers!$1:$1,0)+1,FALSE)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3" s="48">
        <f ca="1">VLOOKUP($F543,OFFSET(enemy_skill_triggers!$A$1,0,0,COUNTA(enemy_skill_triggers!$A:$A),MATCH(J$1,enemy_skill_triggers!$1:$1,0)-MATCH($F$1,enemy_skill_triggers!$1:$1,0)+1),MATCH(J$1,enemy_skill_triggers!$1:$1,0)-MATCH($F$1,enemy_skill_triggers!$1:$1,0)+1,FALSE)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43" s="48">
        <f ca="1">VLOOKUP($F543,OFFSET(enemy_skill_triggers!$A$1,0,0,COUNTA(enemy_skill_triggers!$A:$A),MATCH(K$1,enemy_skill_triggers!$1:$1,0)-MATCH($F$1,enemy_skill_triggers!$1:$1,0)+1),MATCH(K$1,enemy_skill_triggers!$1:$1,0)-MATCH($F$1,enemy_skill_triggers!$1:$1,0)+1,FALSE)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43" s="48" t="str">
        <f ca="1">VLOOKUP($F543,OFFSET(enemy_skill_triggers!$A$1,0,0,COUNTA(enemy_skill_triggers!$A:$A),MATCH(L$1,enemy_skill_triggers!$1:$1,0)-MATCH($F$1,enemy_skill_triggers!$1:$1,0)+1),MATCH(L$1,enemy_skill_triggers!$1:$1,0)-MATCH($F$1,enemy_skill_triggers!$1:$1,0)+1,FALSE)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3" s="48" t="str">
        <f ca="1">VLOOKUP($F543,OFFSET(enemy_skill_triggers!$A$1,0,0,COUNTA(enemy_skill_triggers!$A:$A),MATCH(M$1,enemy_skill_triggers!$1:$1,0)-MATCH($F$1,enemy_skill_triggers!$1:$1,0)+1),MATCH(M$1,enemy_skill_triggers!$1:$1,0)-MATCH($F$1,enemy_skill_triggers!$1:$1,0)+1,FALSE)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3" s="48" t="str">
        <f ca="1">VLOOKUP($F543,OFFSET(enemy_skill_triggers!$A$1,0,0,COUNTA(enemy_skill_triggers!$A:$A),MATCH(N$1,enemy_skill_triggers!$1:$1,0)-MATCH($F$1,enemy_skill_triggers!$1:$1,0)+1),MATCH(N$1,enemy_skill_triggers!$1:$1,0)-MATCH($F$1,enemy_skill_triggers!$1:$1,0)+1,FALSE)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3" s="48">
        <f ca="1">VLOOKUP($F543,OFFSET(enemy_skill_triggers!$A$1,0,0,COUNTA(enemy_skill_triggers!$A:$A),MATCH(O$1,enemy_skill_triggers!$1:$1,0)-MATCH($F$1,enemy_skill_triggers!$1:$1,0)+1),MATCH(O$1,enemy_skill_triggers!$1:$1,0)-MATCH($F$1,enemy_skill_triggers!$1:$1,0)+1,FALSE)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3" s="47"/>
      <c r="Q543" s="47"/>
      <c r="R543" s="47"/>
    </row>
    <row r="544" spans="1:18" ht="21" customHeight="1" x14ac:dyDescent="0.15">
      <c r="A544" s="39" t="str">
        <f t="shared" si="23"/>
        <v>39009027_39009064</v>
      </c>
      <c r="B544" s="130">
        <v>39009027</v>
      </c>
      <c r="C544" s="132">
        <v>39009064</v>
      </c>
      <c r="D544" s="46" t="str">
        <f ca="1">VLOOKUP($C544,OFFSET(enemy_skills!$A$1,0,0,COUNTA(enemy_skills!$A:$A),MATCH(D$1,enemy_skills!$1:$1,0)-MATCH("enemy_skill_id",enemy_skills!$1:$1,0)+1),MATCH(D$1,enemy_skills!$1:$1,0)-MATCH("enemy_skill_id",enemy_skills!$1:$1,0)+1,FALSE)</f>
        <v>ハーフムーン・ファンタジア</v>
      </c>
      <c r="E544" s="46" t="str">
        <f ca="1">VLOOKUP($C544,OFFSET(enemy_skills!$A$1,0,0,COUNTA(enemy_skills!$A:$A),MATCH(E$1,enemy_skills!$1:$1,0)-MATCH("enemy_skill_id",enemy_skills!$1:$1,0)+1),MATCH(E$1,enemy_skills!$1:$1,0)-MATCH("enemy_skill_id",enemy_skills!$1:$1,0)+1,FALSE)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544" s="132">
        <v>39009134</v>
      </c>
      <c r="G544" s="48">
        <f ca="1">VLOOKUP($F544,OFFSET(enemy_skill_triggers!$A$1,0,0,COUNTA(enemy_skill_triggers!$A:$A),MATCH(G$1,enemy_skill_triggers!$1:$1,0)-MATCH($F$1,enemy_skill_triggers!$1:$1,0)+1),MATCH(G$1,enemy_skill_triggers!$1:$1,0)-MATCH($F$1,enemy_skill_triggers!$1:$1,0)+1,FALSE)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4" s="48">
        <f ca="1">VLOOKUP($F544,OFFSET(enemy_skill_triggers!$A$1,0,0,COUNTA(enemy_skill_triggers!$A:$A),MATCH(H$1,enemy_skill_triggers!$1:$1,0)-MATCH($F$1,enemy_skill_triggers!$1:$1,0)+1),MATCH(H$1,enemy_skill_triggers!$1:$1,0)-MATCH($F$1,enemy_skill_triggers!$1:$1,0)+1,FALSE)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544" s="48">
        <f ca="1">VLOOKUP($F544,OFFSET(enemy_skill_triggers!$A$1,0,0,COUNTA(enemy_skill_triggers!$A:$A),MATCH(I$1,enemy_skill_triggers!$1:$1,0)-MATCH($F$1,enemy_skill_triggers!$1:$1,0)+1),MATCH(I$1,enemy_skill_triggers!$1:$1,0)-MATCH($F$1,enemy_skill_triggers!$1:$1,0)+1,FALSE)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4" s="48">
        <f ca="1">VLOOKUP($F544,OFFSET(enemy_skill_triggers!$A$1,0,0,COUNTA(enemy_skill_triggers!$A:$A),MATCH(J$1,enemy_skill_triggers!$1:$1,0)-MATCH($F$1,enemy_skill_triggers!$1:$1,0)+1),MATCH(J$1,enemy_skill_triggers!$1:$1,0)-MATCH($F$1,enemy_skill_triggers!$1:$1,0)+1,FALSE)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4" s="48">
        <f ca="1">VLOOKUP($F544,OFFSET(enemy_skill_triggers!$A$1,0,0,COUNTA(enemy_skill_triggers!$A:$A),MATCH(K$1,enemy_skill_triggers!$1:$1,0)-MATCH($F$1,enemy_skill_triggers!$1:$1,0)+1),MATCH(K$1,enemy_skill_triggers!$1:$1,0)-MATCH($F$1,enemy_skill_triggers!$1:$1,0)+1,FALSE)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544" s="48" t="str">
        <f ca="1">VLOOKUP($F544,OFFSET(enemy_skill_triggers!$A$1,0,0,COUNTA(enemy_skill_triggers!$A:$A),MATCH(L$1,enemy_skill_triggers!$1:$1,0)-MATCH($F$1,enemy_skill_triggers!$1:$1,0)+1),MATCH(L$1,enemy_skill_triggers!$1:$1,0)-MATCH($F$1,enemy_skill_triggers!$1:$1,0)+1,FALSE)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4" s="48" t="str">
        <f ca="1">VLOOKUP($F544,OFFSET(enemy_skill_triggers!$A$1,0,0,COUNTA(enemy_skill_triggers!$A:$A),MATCH(M$1,enemy_skill_triggers!$1:$1,0)-MATCH($F$1,enemy_skill_triggers!$1:$1,0)+1),MATCH(M$1,enemy_skill_triggers!$1:$1,0)-MATCH($F$1,enemy_skill_triggers!$1:$1,0)+1,FALSE)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4" s="48" t="str">
        <f ca="1">VLOOKUP($F544,OFFSET(enemy_skill_triggers!$A$1,0,0,COUNTA(enemy_skill_triggers!$A:$A),MATCH(N$1,enemy_skill_triggers!$1:$1,0)-MATCH($F$1,enemy_skill_triggers!$1:$1,0)+1),MATCH(N$1,enemy_skill_triggers!$1:$1,0)-MATCH($F$1,enemy_skill_triggers!$1:$1,0)+1,FALSE)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4" s="48">
        <f ca="1">VLOOKUP($F544,OFFSET(enemy_skill_triggers!$A$1,0,0,COUNTA(enemy_skill_triggers!$A:$A),MATCH(O$1,enemy_skill_triggers!$1:$1,0)-MATCH($F$1,enemy_skill_triggers!$1:$1,0)+1),MATCH(O$1,enemy_skill_triggers!$1:$1,0)-MATCH($F$1,enemy_skill_triggers!$1:$1,0)+1,FALSE)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4" s="47"/>
      <c r="Q544" s="47"/>
      <c r="R544" s="47"/>
    </row>
    <row r="545" spans="1:18" ht="21" customHeight="1" x14ac:dyDescent="0.15">
      <c r="A545" s="39" t="str">
        <f t="shared" si="23"/>
        <v>39009027_39009065</v>
      </c>
      <c r="B545" s="130">
        <v>39009027</v>
      </c>
      <c r="C545" s="132">
        <v>39009065</v>
      </c>
      <c r="D545" s="46" t="str">
        <f ca="1">VLOOKUP($C545,OFFSET(enemy_skills!$A$1,0,0,COUNTA(enemy_skills!$A:$A),MATCH(D$1,enemy_skills!$1:$1,0)-MATCH("enemy_skill_id",enemy_skills!$1:$1,0)+1),MATCH(D$1,enemy_skills!$1:$1,0)-MATCH("enemy_skill_id",enemy_skills!$1:$1,0)+1,FALSE)</f>
        <v>フルムーン・ファンタジア</v>
      </c>
      <c r="E545" s="46" t="str">
        <f ca="1">VLOOKUP($C545,OFFSET(enemy_skills!$A$1,0,0,COUNTA(enemy_skills!$A:$A),MATCH(E$1,enemy_skills!$1:$1,0)-MATCH("enemy_skill_id",enemy_skills!$1:$1,0)+1),MATCH(E$1,enemy_skills!$1:$1,0)-MATCH("enemy_skill_id",enemy_skills!$1:$1,0)+1,FALSE)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545" s="132">
        <v>39009135</v>
      </c>
      <c r="G545" s="48">
        <f ca="1">VLOOKUP($F545,OFFSET(enemy_skill_triggers!$A$1,0,0,COUNTA(enemy_skill_triggers!$A:$A),MATCH(G$1,enemy_skill_triggers!$1:$1,0)-MATCH($F$1,enemy_skill_triggers!$1:$1,0)+1),MATCH(G$1,enemy_skill_triggers!$1:$1,0)-MATCH($F$1,enemy_skill_triggers!$1:$1,0)+1,FALSE)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5" s="48">
        <f ca="1">VLOOKUP($F545,OFFSET(enemy_skill_triggers!$A$1,0,0,COUNTA(enemy_skill_triggers!$A:$A),MATCH(H$1,enemy_skill_triggers!$1:$1,0)-MATCH($F$1,enemy_skill_triggers!$1:$1,0)+1),MATCH(H$1,enemy_skill_triggers!$1:$1,0)-MATCH($F$1,enemy_skill_triggers!$1:$1,0)+1,FALSE)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545" s="48">
        <f ca="1">VLOOKUP($F545,OFFSET(enemy_skill_triggers!$A$1,0,0,COUNTA(enemy_skill_triggers!$A:$A),MATCH(I$1,enemy_skill_triggers!$1:$1,0)-MATCH($F$1,enemy_skill_triggers!$1:$1,0)+1),MATCH(I$1,enemy_skill_triggers!$1:$1,0)-MATCH($F$1,enemy_skill_triggers!$1:$1,0)+1,FALSE)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5" s="48">
        <f ca="1">VLOOKUP($F545,OFFSET(enemy_skill_triggers!$A$1,0,0,COUNTA(enemy_skill_triggers!$A:$A),MATCH(J$1,enemy_skill_triggers!$1:$1,0)-MATCH($F$1,enemy_skill_triggers!$1:$1,0)+1),MATCH(J$1,enemy_skill_triggers!$1:$1,0)-MATCH($F$1,enemy_skill_triggers!$1:$1,0)+1,FALSE)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45" s="48" t="str">
        <f ca="1">VLOOKUP($F545,OFFSET(enemy_skill_triggers!$A$1,0,0,COUNTA(enemy_skill_triggers!$A:$A),MATCH(K$1,enemy_skill_triggers!$1:$1,0)-MATCH($F$1,enemy_skill_triggers!$1:$1,0)+1),MATCH(K$1,enemy_skill_triggers!$1:$1,0)-MATCH($F$1,enemy_skill_triggers!$1:$1,0)+1,FALSE)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5" s="48" t="str">
        <f ca="1">VLOOKUP($F545,OFFSET(enemy_skill_triggers!$A$1,0,0,COUNTA(enemy_skill_triggers!$A:$A),MATCH(L$1,enemy_skill_triggers!$1:$1,0)-MATCH($F$1,enemy_skill_triggers!$1:$1,0)+1),MATCH(L$1,enemy_skill_triggers!$1:$1,0)-MATCH($F$1,enemy_skill_triggers!$1:$1,0)+1,FALSE)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5" s="48" t="str">
        <f ca="1">VLOOKUP($F545,OFFSET(enemy_skill_triggers!$A$1,0,0,COUNTA(enemy_skill_triggers!$A:$A),MATCH(M$1,enemy_skill_triggers!$1:$1,0)-MATCH($F$1,enemy_skill_triggers!$1:$1,0)+1),MATCH(M$1,enemy_skill_triggers!$1:$1,0)-MATCH($F$1,enemy_skill_triggers!$1:$1,0)+1,FALSE)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5" s="48" t="str">
        <f ca="1">VLOOKUP($F545,OFFSET(enemy_skill_triggers!$A$1,0,0,COUNTA(enemy_skill_triggers!$A:$A),MATCH(N$1,enemy_skill_triggers!$1:$1,0)-MATCH($F$1,enemy_skill_triggers!$1:$1,0)+1),MATCH(N$1,enemy_skill_triggers!$1:$1,0)-MATCH($F$1,enemy_skill_triggers!$1:$1,0)+1,FALSE)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5" s="48">
        <f ca="1">VLOOKUP($F545,OFFSET(enemy_skill_triggers!$A$1,0,0,COUNTA(enemy_skill_triggers!$A:$A),MATCH(O$1,enemy_skill_triggers!$1:$1,0)-MATCH($F$1,enemy_skill_triggers!$1:$1,0)+1),MATCH(O$1,enemy_skill_triggers!$1:$1,0)-MATCH($F$1,enemy_skill_triggers!$1:$1,0)+1,FALSE)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5" s="47"/>
      <c r="Q545" s="47"/>
      <c r="R545" s="47"/>
    </row>
    <row r="546" spans="1:18" ht="21" customHeight="1" x14ac:dyDescent="0.15">
      <c r="A546" s="39" t="str">
        <f t="shared" si="23"/>
        <v>39009027_39009066</v>
      </c>
      <c r="B546" s="130">
        <v>39009027</v>
      </c>
      <c r="C546" s="132">
        <v>39009066</v>
      </c>
      <c r="D546" s="46" t="str">
        <f ca="1">VLOOKUP($C546,OFFSET(enemy_skills!$A$1,0,0,COUNTA(enemy_skills!$A:$A),MATCH(D$1,enemy_skills!$1:$1,0)-MATCH("enemy_skill_id",enemy_skills!$1:$1,0)+1),MATCH(D$1,enemy_skills!$1:$1,0)-MATCH("enemy_skill_id",enemy_skills!$1:$1,0)+1,FALSE)</f>
        <v>ゆっくり楽しもうね♪</v>
      </c>
      <c r="E546" s="46" t="str">
        <f ca="1">VLOOKUP($C546,OFFSET(enemy_skills!$A$1,0,0,COUNTA(enemy_skills!$A:$A),MATCH(E$1,enemy_skills!$1:$1,0)-MATCH("enemy_skill_id",enemy_skills!$1:$1,0)+1),MATCH(E$1,enemy_skills!$1:$1,0)-MATCH("enemy_skill_id",enemy_skills!$1:$1,0)+1,FALSE)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3ターン全ユニットの回復力50%DOWN+_x000D_ハートパネルドロップ率DOWN</v>
      </c>
      <c r="F546" s="132">
        <v>39009136</v>
      </c>
      <c r="G546" s="48">
        <f ca="1">VLOOKUP($F546,OFFSET(enemy_skill_triggers!$A$1,0,0,COUNTA(enemy_skill_triggers!$A:$A),MATCH(G$1,enemy_skill_triggers!$1:$1,0)-MATCH($F$1,enemy_skill_triggers!$1:$1,0)+1),MATCH(G$1,enemy_skill_triggers!$1:$1,0)-MATCH($F$1,enemy_skill_triggers!$1:$1,0)+1,FALSE)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6" s="48">
        <f ca="1">VLOOKUP($F546,OFFSET(enemy_skill_triggers!$A$1,0,0,COUNTA(enemy_skill_triggers!$A:$A),MATCH(H$1,enemy_skill_triggers!$1:$1,0)-MATCH($F$1,enemy_skill_triggers!$1:$1,0)+1),MATCH(H$1,enemy_skill_triggers!$1:$1,0)-MATCH($F$1,enemy_skill_triggers!$1:$1,0)+1,FALSE)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6" s="48">
        <f ca="1">VLOOKUP($F546,OFFSET(enemy_skill_triggers!$A$1,0,0,COUNTA(enemy_skill_triggers!$A:$A),MATCH(I$1,enemy_skill_triggers!$1:$1,0)-MATCH($F$1,enemy_skill_triggers!$1:$1,0)+1),MATCH(I$1,enemy_skill_triggers!$1:$1,0)-MATCH($F$1,enemy_skill_triggers!$1:$1,0)+1,FALSE)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6" s="48">
        <f ca="1">VLOOKUP($F546,OFFSET(enemy_skill_triggers!$A$1,0,0,COUNTA(enemy_skill_triggers!$A:$A),MATCH(J$1,enemy_skill_triggers!$1:$1,0)-MATCH($F$1,enemy_skill_triggers!$1:$1,0)+1),MATCH(J$1,enemy_skill_triggers!$1:$1,0)-MATCH($F$1,enemy_skill_triggers!$1:$1,0)+1,FALSE)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6" s="48" t="str">
        <f ca="1">VLOOKUP($F546,OFFSET(enemy_skill_triggers!$A$1,0,0,COUNTA(enemy_skill_triggers!$A:$A),MATCH(K$1,enemy_skill_triggers!$1:$1,0)-MATCH($F$1,enemy_skill_triggers!$1:$1,0)+1),MATCH(K$1,enemy_skill_triggers!$1:$1,0)-MATCH($F$1,enemy_skill_triggers!$1:$1,0)+1,FALSE)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6" s="48">
        <f ca="1">VLOOKUP($F546,OFFSET(enemy_skill_triggers!$A$1,0,0,COUNTA(enemy_skill_triggers!$A:$A),MATCH(L$1,enemy_skill_triggers!$1:$1,0)-MATCH($F$1,enemy_skill_triggers!$1:$1,0)+1),MATCH(L$1,enemy_skill_triggers!$1:$1,0)-MATCH($F$1,enemy_skill_triggers!$1:$1,0)+1,FALSE)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6" s="48" t="str">
        <f ca="1">VLOOKUP($F546,OFFSET(enemy_skill_triggers!$A$1,0,0,COUNTA(enemy_skill_triggers!$A:$A),MATCH(M$1,enemy_skill_triggers!$1:$1,0)-MATCH($F$1,enemy_skill_triggers!$1:$1,0)+1),MATCH(M$1,enemy_skill_triggers!$1:$1,0)-MATCH($F$1,enemy_skill_triggers!$1:$1,0)+1,FALSE)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6" s="48" t="str">
        <f ca="1">VLOOKUP($F546,OFFSET(enemy_skill_triggers!$A$1,0,0,COUNTA(enemy_skill_triggers!$A:$A),MATCH(N$1,enemy_skill_triggers!$1:$1,0)-MATCH($F$1,enemy_skill_triggers!$1:$1,0)+1),MATCH(N$1,enemy_skill_triggers!$1:$1,0)-MATCH($F$1,enemy_skill_triggers!$1:$1,0)+1,FALSE)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6" s="48">
        <f ca="1">VLOOKUP($F546,OFFSET(enemy_skill_triggers!$A$1,0,0,COUNTA(enemy_skill_triggers!$A:$A),MATCH(O$1,enemy_skill_triggers!$1:$1,0)-MATCH($F$1,enemy_skill_triggers!$1:$1,0)+1),MATCH(O$1,enemy_skill_triggers!$1:$1,0)-MATCH($F$1,enemy_skill_triggers!$1:$1,0)+1,FALSE)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6" s="47"/>
      <c r="Q546" s="47"/>
      <c r="R546" s="47"/>
    </row>
    <row r="547" spans="1:18" ht="21" customHeight="1" x14ac:dyDescent="0.15">
      <c r="A547" s="39" t="str">
        <f t="shared" si="23"/>
        <v>39009028_39009067</v>
      </c>
      <c r="B547" s="130">
        <v>39009028</v>
      </c>
      <c r="C547" s="47">
        <v>39009067</v>
      </c>
      <c r="D547" s="46" t="str">
        <f ca="1">VLOOKUP($C547,OFFSET(enemy_skills!$A$1,0,0,COUNTA(enemy_skills!$A:$A),MATCH(D$1,enemy_skills!$1:$1,0)-MATCH("enemy_skill_id",enemy_skills!$1:$1,0)+1),MATCH(D$1,enemy_skills!$1:$1,0)-MATCH("enemy_skill_id",enemy_skills!$1:$1,0)+1,FALSE)</f>
        <v>もうすぐ夜が明けるよ…♪</v>
      </c>
      <c r="E547" s="46" t="str">
        <f ca="1">VLOOKUP($C547,OFFSET(enemy_skills!$A$1,0,0,COUNTA(enemy_skills!$A:$A),MATCH(E$1,enemy_skills!$1:$1,0)-MATCH("enemy_skill_id",enemy_skills!$1:$1,0)+1),MATCH(E$1,enemy_skills!$1:$1,0)-MATCH("enemy_skill_id",enemy_skills!$1:$1,0)+1,FALSE)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547" s="47">
        <v>39009137</v>
      </c>
      <c r="G547" s="48">
        <f ca="1">VLOOKUP($F547,OFFSET(enemy_skill_triggers!$A$1,0,0,COUNTA(enemy_skill_triggers!$A:$A),MATCH(G$1,enemy_skill_triggers!$1:$1,0)-MATCH($F$1,enemy_skill_triggers!$1:$1,0)+1),MATCH(G$1,enemy_skill_triggers!$1:$1,0)-MATCH($F$1,enemy_skill_triggers!$1:$1,0)+1,FALSE)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7" s="48">
        <f ca="1">VLOOKUP($F547,OFFSET(enemy_skill_triggers!$A$1,0,0,COUNTA(enemy_skill_triggers!$A:$A),MATCH(H$1,enemy_skill_triggers!$1:$1,0)-MATCH($F$1,enemy_skill_triggers!$1:$1,0)+1),MATCH(H$1,enemy_skill_triggers!$1:$1,0)-MATCH($F$1,enemy_skill_triggers!$1:$1,0)+1,FALSE)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7" s="48">
        <f ca="1">VLOOKUP($F547,OFFSET(enemy_skill_triggers!$A$1,0,0,COUNTA(enemy_skill_triggers!$A:$A),MATCH(I$1,enemy_skill_triggers!$1:$1,0)-MATCH($F$1,enemy_skill_triggers!$1:$1,0)+1),MATCH(I$1,enemy_skill_triggers!$1:$1,0)-MATCH($F$1,enemy_skill_triggers!$1:$1,0)+1,FALSE)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7" s="48" t="str">
        <f ca="1">VLOOKUP($F547,OFFSET(enemy_skill_triggers!$A$1,0,0,COUNTA(enemy_skill_triggers!$A:$A),MATCH(J$1,enemy_skill_triggers!$1:$1,0)-MATCH($F$1,enemy_skill_triggers!$1:$1,0)+1),MATCH(J$1,enemy_skill_triggers!$1:$1,0)-MATCH($F$1,enemy_skill_triggers!$1:$1,0)+1,FALSE)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7" s="48" t="str">
        <f ca="1">VLOOKUP($F547,OFFSET(enemy_skill_triggers!$A$1,0,0,COUNTA(enemy_skill_triggers!$A:$A),MATCH(K$1,enemy_skill_triggers!$1:$1,0)-MATCH($F$1,enemy_skill_triggers!$1:$1,0)+1),MATCH(K$1,enemy_skill_triggers!$1:$1,0)-MATCH($F$1,enemy_skill_triggers!$1:$1,0)+1,FALSE)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7" s="48">
        <f ca="1">VLOOKUP($F547,OFFSET(enemy_skill_triggers!$A$1,0,0,COUNTA(enemy_skill_triggers!$A:$A),MATCH(L$1,enemy_skill_triggers!$1:$1,0)-MATCH($F$1,enemy_skill_triggers!$1:$1,0)+1),MATCH(L$1,enemy_skill_triggers!$1:$1,0)-MATCH($F$1,enemy_skill_triggers!$1:$1,0)+1,FALSE)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7" s="48" t="str">
        <f ca="1">VLOOKUP($F547,OFFSET(enemy_skill_triggers!$A$1,0,0,COUNTA(enemy_skill_triggers!$A:$A),MATCH(M$1,enemy_skill_triggers!$1:$1,0)-MATCH($F$1,enemy_skill_triggers!$1:$1,0)+1),MATCH(M$1,enemy_skill_triggers!$1:$1,0)-MATCH($F$1,enemy_skill_triggers!$1:$1,0)+1,FALSE)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7" s="48" t="str">
        <f ca="1">VLOOKUP($F547,OFFSET(enemy_skill_triggers!$A$1,0,0,COUNTA(enemy_skill_triggers!$A:$A),MATCH(N$1,enemy_skill_triggers!$1:$1,0)-MATCH($F$1,enemy_skill_triggers!$1:$1,0)+1),MATCH(N$1,enemy_skill_triggers!$1:$1,0)-MATCH($F$1,enemy_skill_triggers!$1:$1,0)+1,FALSE)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7" s="48">
        <f ca="1">VLOOKUP($F547,OFFSET(enemy_skill_triggers!$A$1,0,0,COUNTA(enemy_skill_triggers!$A:$A),MATCH(O$1,enemy_skill_triggers!$1:$1,0)-MATCH($F$1,enemy_skill_triggers!$1:$1,0)+1),MATCH(O$1,enemy_skill_triggers!$1:$1,0)-MATCH($F$1,enemy_skill_triggers!$1:$1,0)+1,FALSE)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7" s="47"/>
      <c r="Q547" s="47"/>
      <c r="R547" s="47"/>
    </row>
    <row r="548" spans="1:18" ht="21" customHeight="1" x14ac:dyDescent="0.15">
      <c r="A548" s="39" t="str">
        <f t="shared" si="23"/>
        <v>39009028_39009026</v>
      </c>
      <c r="B548" s="130">
        <v>39009028</v>
      </c>
      <c r="C548" s="142">
        <v>39009026</v>
      </c>
      <c r="D548" s="46" t="str">
        <f ca="1">VLOOKUP($C548,OFFSET(enemy_skills!$A$1,0,0,COUNTA(enemy_skills!$A:$A),MATCH(D$1,enemy_skills!$1:$1,0)-MATCH("enemy_skill_id",enemy_skills!$1:$1,0)+1),MATCH(D$1,enemy_skills!$1:$1,0)-MATCH("enemy_skill_id",enemy_skills!$1:$1,0)+1,FALSE)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48" s="46" t="str">
        <f ca="1">VLOOKUP($C548,OFFSET(enemy_skills!$A$1,0,0,COUNTA(enemy_skills!$A:$A),MATCH(E$1,enemy_skills!$1:$1,0)-MATCH("enemy_skill_id",enemy_skills!$1:$1,0)+1),MATCH(E$1,enemy_skills!$1:$1,0)-MATCH("enemy_skill_id",enemy_skills!$1:$1,0)+1,FALSE)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48" s="47">
        <v>39009138</v>
      </c>
      <c r="G548" s="48">
        <f ca="1">VLOOKUP($F548,OFFSET(enemy_skill_triggers!$A$1,0,0,COUNTA(enemy_skill_triggers!$A:$A),MATCH(G$1,enemy_skill_triggers!$1:$1,0)-MATCH($F$1,enemy_skill_triggers!$1:$1,0)+1),MATCH(G$1,enemy_skill_triggers!$1:$1,0)-MATCH($F$1,enemy_skill_triggers!$1:$1,0)+1,FALSE)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8" s="48">
        <f ca="1">VLOOKUP($F548,OFFSET(enemy_skill_triggers!$A$1,0,0,COUNTA(enemy_skill_triggers!$A:$A),MATCH(H$1,enemy_skill_triggers!$1:$1,0)-MATCH($F$1,enemy_skill_triggers!$1:$1,0)+1),MATCH(H$1,enemy_skill_triggers!$1:$1,0)-MATCH($F$1,enemy_skill_triggers!$1:$1,0)+1,FALSE)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48" s="48">
        <f ca="1">VLOOKUP($F548,OFFSET(enemy_skill_triggers!$A$1,0,0,COUNTA(enemy_skill_triggers!$A:$A),MATCH(I$1,enemy_skill_triggers!$1:$1,0)-MATCH($F$1,enemy_skill_triggers!$1:$1,0)+1),MATCH(I$1,enemy_skill_triggers!$1:$1,0)-MATCH($F$1,enemy_skill_triggers!$1:$1,0)+1,FALSE)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8" s="48" t="str">
        <f ca="1">VLOOKUP($F548,OFFSET(enemy_skill_triggers!$A$1,0,0,COUNTA(enemy_skill_triggers!$A:$A),MATCH(J$1,enemy_skill_triggers!$1:$1,0)-MATCH($F$1,enemy_skill_triggers!$1:$1,0)+1),MATCH(J$1,enemy_skill_triggers!$1:$1,0)-MATCH($F$1,enemy_skill_triggers!$1:$1,0)+1,FALSE)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8" s="48" t="str">
        <f ca="1">VLOOKUP($F548,OFFSET(enemy_skill_triggers!$A$1,0,0,COUNTA(enemy_skill_triggers!$A:$A),MATCH(K$1,enemy_skill_triggers!$1:$1,0)-MATCH($F$1,enemy_skill_triggers!$1:$1,0)+1),MATCH(K$1,enemy_skill_triggers!$1:$1,0)-MATCH($F$1,enemy_skill_triggers!$1:$1,0)+1,FALSE)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8" s="48">
        <f ca="1">VLOOKUP($F548,OFFSET(enemy_skill_triggers!$A$1,0,0,COUNTA(enemy_skill_triggers!$A:$A),MATCH(L$1,enemy_skill_triggers!$1:$1,0)-MATCH($F$1,enemy_skill_triggers!$1:$1,0)+1),MATCH(L$1,enemy_skill_triggers!$1:$1,0)-MATCH($F$1,enemy_skill_triggers!$1:$1,0)+1,FALSE)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8" s="48" t="str">
        <f ca="1">VLOOKUP($F548,OFFSET(enemy_skill_triggers!$A$1,0,0,COUNTA(enemy_skill_triggers!$A:$A),MATCH(M$1,enemy_skill_triggers!$1:$1,0)-MATCH($F$1,enemy_skill_triggers!$1:$1,0)+1),MATCH(M$1,enemy_skill_triggers!$1:$1,0)-MATCH($F$1,enemy_skill_triggers!$1:$1,0)+1,FALSE)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8" s="48">
        <f ca="1">VLOOKUP($F548,OFFSET(enemy_skill_triggers!$A$1,0,0,COUNTA(enemy_skill_triggers!$A:$A),MATCH(N$1,enemy_skill_triggers!$1:$1,0)-MATCH($F$1,enemy_skill_triggers!$1:$1,0)+1),MATCH(N$1,enemy_skill_triggers!$1:$1,0)-MATCH($F$1,enemy_skill_triggers!$1:$1,0)+1,FALSE)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48" s="48">
        <f ca="1">VLOOKUP($F548,OFFSET(enemy_skill_triggers!$A$1,0,0,COUNTA(enemy_skill_triggers!$A:$A),MATCH(O$1,enemy_skill_triggers!$1:$1,0)-MATCH($F$1,enemy_skill_triggers!$1:$1,0)+1),MATCH(O$1,enemy_skill_triggers!$1:$1,0)-MATCH($F$1,enemy_skill_triggers!$1:$1,0)+1,FALSE)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8" s="47"/>
      <c r="Q548" s="47"/>
      <c r="R548" s="47"/>
    </row>
    <row r="549" spans="1:18" ht="21" customHeight="1" x14ac:dyDescent="0.15">
      <c r="A549" s="39" t="str">
        <f t="shared" si="23"/>
        <v>39009028_39009026</v>
      </c>
      <c r="B549" s="130">
        <v>39009028</v>
      </c>
      <c r="C549" s="142">
        <v>39009026</v>
      </c>
      <c r="D549" s="46" t="str">
        <f ca="1">VLOOKUP($C549,OFFSET(enemy_skills!$A$1,0,0,COUNTA(enemy_skills!$A:$A),MATCH(D$1,enemy_skills!$1:$1,0)-MATCH("enemy_skill_id",enemy_skills!$1:$1,0)+1),MATCH(D$1,enemy_skills!$1:$1,0)-MATCH("enemy_skill_id",enemy_skills!$1:$1,0)+1,FALSE)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49" s="46" t="str">
        <f ca="1">VLOOKUP($C549,OFFSET(enemy_skills!$A$1,0,0,COUNTA(enemy_skills!$A:$A),MATCH(E$1,enemy_skills!$1:$1,0)-MATCH("enemy_skill_id",enemy_skills!$1:$1,0)+1),MATCH(E$1,enemy_skills!$1:$1,0)-MATCH("enemy_skill_id",enemy_skills!$1:$1,0)+1,FALSE)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49" s="47">
        <v>39009139</v>
      </c>
      <c r="G549" s="48">
        <f ca="1">VLOOKUP($F549,OFFSET(enemy_skill_triggers!$A$1,0,0,COUNTA(enemy_skill_triggers!$A:$A),MATCH(G$1,enemy_skill_triggers!$1:$1,0)-MATCH($F$1,enemy_skill_triggers!$1:$1,0)+1),MATCH(G$1,enemy_skill_triggers!$1:$1,0)-MATCH($F$1,enemy_skill_triggers!$1:$1,0)+1,FALSE)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9" s="48">
        <f ca="1">VLOOKUP($F549,OFFSET(enemy_skill_triggers!$A$1,0,0,COUNTA(enemy_skill_triggers!$A:$A),MATCH(H$1,enemy_skill_triggers!$1:$1,0)-MATCH($F$1,enemy_skill_triggers!$1:$1,0)+1),MATCH(H$1,enemy_skill_triggers!$1:$1,0)-MATCH($F$1,enemy_skill_triggers!$1:$1,0)+1,FALSE)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549" s="48">
        <f ca="1">VLOOKUP($F549,OFFSET(enemy_skill_triggers!$A$1,0,0,COUNTA(enemy_skill_triggers!$A:$A),MATCH(I$1,enemy_skill_triggers!$1:$1,0)-MATCH($F$1,enemy_skill_triggers!$1:$1,0)+1),MATCH(I$1,enemy_skill_triggers!$1:$1,0)-MATCH($F$1,enemy_skill_triggers!$1:$1,0)+1,FALSE)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9" s="48" t="str">
        <f ca="1">VLOOKUP($F549,OFFSET(enemy_skill_triggers!$A$1,0,0,COUNTA(enemy_skill_triggers!$A:$A),MATCH(J$1,enemy_skill_triggers!$1:$1,0)-MATCH($F$1,enemy_skill_triggers!$1:$1,0)+1),MATCH(J$1,enemy_skill_triggers!$1:$1,0)-MATCH($F$1,enemy_skill_triggers!$1:$1,0)+1,FALSE)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9" s="48" t="str">
        <f ca="1">VLOOKUP($F549,OFFSET(enemy_skill_triggers!$A$1,0,0,COUNTA(enemy_skill_triggers!$A:$A),MATCH(K$1,enemy_skill_triggers!$1:$1,0)-MATCH($F$1,enemy_skill_triggers!$1:$1,0)+1),MATCH(K$1,enemy_skill_triggers!$1:$1,0)-MATCH($F$1,enemy_skill_triggers!$1:$1,0)+1,FALSE)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9" s="48">
        <f ca="1">VLOOKUP($F549,OFFSET(enemy_skill_triggers!$A$1,0,0,COUNTA(enemy_skill_triggers!$A:$A),MATCH(L$1,enemy_skill_triggers!$1:$1,0)-MATCH($F$1,enemy_skill_triggers!$1:$1,0)+1),MATCH(L$1,enemy_skill_triggers!$1:$1,0)-MATCH($F$1,enemy_skill_triggers!$1:$1,0)+1,FALSE)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9" s="48" t="str">
        <f ca="1">VLOOKUP($F549,OFFSET(enemy_skill_triggers!$A$1,0,0,COUNTA(enemy_skill_triggers!$A:$A),MATCH(M$1,enemy_skill_triggers!$1:$1,0)-MATCH($F$1,enemy_skill_triggers!$1:$1,0)+1),MATCH(M$1,enemy_skill_triggers!$1:$1,0)-MATCH($F$1,enemy_skill_triggers!$1:$1,0)+1,FALSE)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9" s="48">
        <f ca="1">VLOOKUP($F549,OFFSET(enemy_skill_triggers!$A$1,0,0,COUNTA(enemy_skill_triggers!$A:$A),MATCH(N$1,enemy_skill_triggers!$1:$1,0)-MATCH($F$1,enemy_skill_triggers!$1:$1,0)+1),MATCH(N$1,enemy_skill_triggers!$1:$1,0)-MATCH($F$1,enemy_skill_triggers!$1:$1,0)+1,FALSE)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549" s="48">
        <f ca="1">VLOOKUP($F549,OFFSET(enemy_skill_triggers!$A$1,0,0,COUNTA(enemy_skill_triggers!$A:$A),MATCH(O$1,enemy_skill_triggers!$1:$1,0)-MATCH($F$1,enemy_skill_triggers!$1:$1,0)+1),MATCH(O$1,enemy_skill_triggers!$1:$1,0)-MATCH($F$1,enemy_skill_triggers!$1:$1,0)+1,FALSE)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9" s="47"/>
      <c r="Q549" s="47"/>
      <c r="R549" s="47"/>
    </row>
    <row r="550" spans="1:18" ht="21" customHeight="1" x14ac:dyDescent="0.15">
      <c r="A550" s="39" t="str">
        <f t="shared" si="23"/>
        <v>39009028_39009026</v>
      </c>
      <c r="B550" s="130">
        <v>39009028</v>
      </c>
      <c r="C550" s="142">
        <v>39009026</v>
      </c>
      <c r="D550" s="46" t="str">
        <f ca="1">VLOOKUP($C550,OFFSET(enemy_skills!$A$1,0,0,COUNTA(enemy_skills!$A:$A),MATCH(D$1,enemy_skills!$1:$1,0)-MATCH("enemy_skill_id",enemy_skills!$1:$1,0)+1),MATCH(D$1,enemy_skills!$1:$1,0)-MATCH("enemy_skill_id",enemy_skills!$1:$1,0)+1,FALSE)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0" s="46" t="str">
        <f ca="1">VLOOKUP($C550,OFFSET(enemy_skills!$A$1,0,0,COUNTA(enemy_skills!$A:$A),MATCH(E$1,enemy_skills!$1:$1,0)-MATCH("enemy_skill_id",enemy_skills!$1:$1,0)+1),MATCH(E$1,enemy_skills!$1:$1,0)-MATCH("enemy_skill_id",enemy_skills!$1:$1,0)+1,FALSE)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0" s="47">
        <v>39009140</v>
      </c>
      <c r="G550" s="48">
        <f ca="1">VLOOKUP($F550,OFFSET(enemy_skill_triggers!$A$1,0,0,COUNTA(enemy_skill_triggers!$A:$A),MATCH(G$1,enemy_skill_triggers!$1:$1,0)-MATCH($F$1,enemy_skill_triggers!$1:$1,0)+1),MATCH(G$1,enemy_skill_triggers!$1:$1,0)-MATCH($F$1,enemy_skill_triggers!$1:$1,0)+1,FALSE)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0" s="48">
        <f ca="1">VLOOKUP($F550,OFFSET(enemy_skill_triggers!$A$1,0,0,COUNTA(enemy_skill_triggers!$A:$A),MATCH(H$1,enemy_skill_triggers!$1:$1,0)-MATCH($F$1,enemy_skill_triggers!$1:$1,0)+1),MATCH(H$1,enemy_skill_triggers!$1:$1,0)-MATCH($F$1,enemy_skill_triggers!$1:$1,0)+1,FALSE)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550" s="48">
        <f ca="1">VLOOKUP($F550,OFFSET(enemy_skill_triggers!$A$1,0,0,COUNTA(enemy_skill_triggers!$A:$A),MATCH(I$1,enemy_skill_triggers!$1:$1,0)-MATCH($F$1,enemy_skill_triggers!$1:$1,0)+1),MATCH(I$1,enemy_skill_triggers!$1:$1,0)-MATCH($F$1,enemy_skill_triggers!$1:$1,0)+1,FALSE)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0" s="48" t="str">
        <f ca="1">VLOOKUP($F550,OFFSET(enemy_skill_triggers!$A$1,0,0,COUNTA(enemy_skill_triggers!$A:$A),MATCH(J$1,enemy_skill_triggers!$1:$1,0)-MATCH($F$1,enemy_skill_triggers!$1:$1,0)+1),MATCH(J$1,enemy_skill_triggers!$1:$1,0)-MATCH($F$1,enemy_skill_triggers!$1:$1,0)+1,FALSE)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0" s="48" t="str">
        <f ca="1">VLOOKUP($F550,OFFSET(enemy_skill_triggers!$A$1,0,0,COUNTA(enemy_skill_triggers!$A:$A),MATCH(K$1,enemy_skill_triggers!$1:$1,0)-MATCH($F$1,enemy_skill_triggers!$1:$1,0)+1),MATCH(K$1,enemy_skill_triggers!$1:$1,0)-MATCH($F$1,enemy_skill_triggers!$1:$1,0)+1,FALSE)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0" s="48">
        <f ca="1">VLOOKUP($F550,OFFSET(enemy_skill_triggers!$A$1,0,0,COUNTA(enemy_skill_triggers!$A:$A),MATCH(L$1,enemy_skill_triggers!$1:$1,0)-MATCH($F$1,enemy_skill_triggers!$1:$1,0)+1),MATCH(L$1,enemy_skill_triggers!$1:$1,0)-MATCH($F$1,enemy_skill_triggers!$1:$1,0)+1,FALSE)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0" s="48" t="str">
        <f ca="1">VLOOKUP($F550,OFFSET(enemy_skill_triggers!$A$1,0,0,COUNTA(enemy_skill_triggers!$A:$A),MATCH(M$1,enemy_skill_triggers!$1:$1,0)-MATCH($F$1,enemy_skill_triggers!$1:$1,0)+1),MATCH(M$1,enemy_skill_triggers!$1:$1,0)-MATCH($F$1,enemy_skill_triggers!$1:$1,0)+1,FALSE)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0" s="48">
        <f ca="1">VLOOKUP($F550,OFFSET(enemy_skill_triggers!$A$1,0,0,COUNTA(enemy_skill_triggers!$A:$A),MATCH(N$1,enemy_skill_triggers!$1:$1,0)-MATCH($F$1,enemy_skill_triggers!$1:$1,0)+1),MATCH(N$1,enemy_skill_triggers!$1:$1,0)-MATCH($F$1,enemy_skill_triggers!$1:$1,0)+1,FALSE)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550" s="48">
        <f ca="1">VLOOKUP($F550,OFFSET(enemy_skill_triggers!$A$1,0,0,COUNTA(enemy_skill_triggers!$A:$A),MATCH(O$1,enemy_skill_triggers!$1:$1,0)-MATCH($F$1,enemy_skill_triggers!$1:$1,0)+1),MATCH(O$1,enemy_skill_triggers!$1:$1,0)-MATCH($F$1,enemy_skill_triggers!$1:$1,0)+1,FALSE)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0" s="47"/>
      <c r="Q550" s="47"/>
      <c r="R550" s="47"/>
    </row>
    <row r="551" spans="1:18" ht="21" customHeight="1" x14ac:dyDescent="0.15">
      <c r="A551" s="39" t="str">
        <f t="shared" si="23"/>
        <v>39009028_39009026</v>
      </c>
      <c r="B551" s="130">
        <v>39009028</v>
      </c>
      <c r="C551" s="142">
        <v>39009026</v>
      </c>
      <c r="D551" s="46" t="str">
        <f ca="1">VLOOKUP($C551,OFFSET(enemy_skills!$A$1,0,0,COUNTA(enemy_skills!$A:$A),MATCH(D$1,enemy_skills!$1:$1,0)-MATCH("enemy_skill_id",enemy_skills!$1:$1,0)+1),MATCH(D$1,enemy_skills!$1:$1,0)-MATCH("enemy_skill_id",enemy_skills!$1:$1,0)+1,FALSE)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1" s="46" t="str">
        <f ca="1">VLOOKUP($C551,OFFSET(enemy_skills!$A$1,0,0,COUNTA(enemy_skills!$A:$A),MATCH(E$1,enemy_skills!$1:$1,0)-MATCH("enemy_skill_id",enemy_skills!$1:$1,0)+1),MATCH(E$1,enemy_skills!$1:$1,0)-MATCH("enemy_skill_id",enemy_skills!$1:$1,0)+1,FALSE)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1" s="47">
        <v>39009141</v>
      </c>
      <c r="G551" s="48">
        <f ca="1">VLOOKUP($F551,OFFSET(enemy_skill_triggers!$A$1,0,0,COUNTA(enemy_skill_triggers!$A:$A),MATCH(G$1,enemy_skill_triggers!$1:$1,0)-MATCH($F$1,enemy_skill_triggers!$1:$1,0)+1),MATCH(G$1,enemy_skill_triggers!$1:$1,0)-MATCH($F$1,enemy_skill_triggers!$1:$1,0)+1,FALSE)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1" s="48">
        <f ca="1">VLOOKUP($F551,OFFSET(enemy_skill_triggers!$A$1,0,0,COUNTA(enemy_skill_triggers!$A:$A),MATCH(H$1,enemy_skill_triggers!$1:$1,0)-MATCH($F$1,enemy_skill_triggers!$1:$1,0)+1),MATCH(H$1,enemy_skill_triggers!$1:$1,0)-MATCH($F$1,enemy_skill_triggers!$1:$1,0)+1,FALSE)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551" s="48">
        <f ca="1">VLOOKUP($F551,OFFSET(enemy_skill_triggers!$A$1,0,0,COUNTA(enemy_skill_triggers!$A:$A),MATCH(I$1,enemy_skill_triggers!$1:$1,0)-MATCH($F$1,enemy_skill_triggers!$1:$1,0)+1),MATCH(I$1,enemy_skill_triggers!$1:$1,0)-MATCH($F$1,enemy_skill_triggers!$1:$1,0)+1,FALSE)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1" s="48" t="str">
        <f ca="1">VLOOKUP($F551,OFFSET(enemy_skill_triggers!$A$1,0,0,COUNTA(enemy_skill_triggers!$A:$A),MATCH(J$1,enemy_skill_triggers!$1:$1,0)-MATCH($F$1,enemy_skill_triggers!$1:$1,0)+1),MATCH(J$1,enemy_skill_triggers!$1:$1,0)-MATCH($F$1,enemy_skill_triggers!$1:$1,0)+1,FALSE)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1" s="48" t="str">
        <f ca="1">VLOOKUP($F551,OFFSET(enemy_skill_triggers!$A$1,0,0,COUNTA(enemy_skill_triggers!$A:$A),MATCH(K$1,enemy_skill_triggers!$1:$1,0)-MATCH($F$1,enemy_skill_triggers!$1:$1,0)+1),MATCH(K$1,enemy_skill_triggers!$1:$1,0)-MATCH($F$1,enemy_skill_triggers!$1:$1,0)+1,FALSE)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1" s="48">
        <f ca="1">VLOOKUP($F551,OFFSET(enemy_skill_triggers!$A$1,0,0,COUNTA(enemy_skill_triggers!$A:$A),MATCH(L$1,enemy_skill_triggers!$1:$1,0)-MATCH($F$1,enemy_skill_triggers!$1:$1,0)+1),MATCH(L$1,enemy_skill_triggers!$1:$1,0)-MATCH($F$1,enemy_skill_triggers!$1:$1,0)+1,FALSE)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1" s="48" t="str">
        <f ca="1">VLOOKUP($F551,OFFSET(enemy_skill_triggers!$A$1,0,0,COUNTA(enemy_skill_triggers!$A:$A),MATCH(M$1,enemy_skill_triggers!$1:$1,0)-MATCH($F$1,enemy_skill_triggers!$1:$1,0)+1),MATCH(M$1,enemy_skill_triggers!$1:$1,0)-MATCH($F$1,enemy_skill_triggers!$1:$1,0)+1,FALSE)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1" s="48">
        <f ca="1">VLOOKUP($F551,OFFSET(enemy_skill_triggers!$A$1,0,0,COUNTA(enemy_skill_triggers!$A:$A),MATCH(N$1,enemy_skill_triggers!$1:$1,0)-MATCH($F$1,enemy_skill_triggers!$1:$1,0)+1),MATCH(N$1,enemy_skill_triggers!$1:$1,0)-MATCH($F$1,enemy_skill_triggers!$1:$1,0)+1,FALSE)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551" s="48">
        <f ca="1">VLOOKUP($F551,OFFSET(enemy_skill_triggers!$A$1,0,0,COUNTA(enemy_skill_triggers!$A:$A),MATCH(O$1,enemy_skill_triggers!$1:$1,0)-MATCH($F$1,enemy_skill_triggers!$1:$1,0)+1),MATCH(O$1,enemy_skill_triggers!$1:$1,0)-MATCH($F$1,enemy_skill_triggers!$1:$1,0)+1,FALSE)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1" s="47"/>
      <c r="Q551" s="47"/>
      <c r="R551" s="47"/>
    </row>
    <row r="552" spans="1:18" ht="21" customHeight="1" x14ac:dyDescent="0.15">
      <c r="A552" s="39" t="str">
        <f t="shared" si="23"/>
        <v>39009028_39009026</v>
      </c>
      <c r="B552" s="130">
        <v>39009028</v>
      </c>
      <c r="C552" s="142">
        <v>39009026</v>
      </c>
      <c r="D552" s="46" t="str">
        <f ca="1">VLOOKUP($C552,OFFSET(enemy_skills!$A$1,0,0,COUNTA(enemy_skills!$A:$A),MATCH(D$1,enemy_skills!$1:$1,0)-MATCH("enemy_skill_id",enemy_skills!$1:$1,0)+1),MATCH(D$1,enemy_skills!$1:$1,0)-MATCH("enemy_skill_id",enemy_skills!$1:$1,0)+1,FALSE)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2" s="46" t="str">
        <f ca="1">VLOOKUP($C552,OFFSET(enemy_skills!$A$1,0,0,COUNTA(enemy_skills!$A:$A),MATCH(E$1,enemy_skills!$1:$1,0)-MATCH("enemy_skill_id",enemy_skills!$1:$1,0)+1),MATCH(E$1,enemy_skills!$1:$1,0)-MATCH("enemy_skill_id",enemy_skills!$1:$1,0)+1,FALSE)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2" s="47">
        <v>39009142</v>
      </c>
      <c r="G552" s="48">
        <f ca="1">VLOOKUP($F552,OFFSET(enemy_skill_triggers!$A$1,0,0,COUNTA(enemy_skill_triggers!$A:$A),MATCH(G$1,enemy_skill_triggers!$1:$1,0)-MATCH($F$1,enemy_skill_triggers!$1:$1,0)+1),MATCH(G$1,enemy_skill_triggers!$1:$1,0)-MATCH($F$1,enemy_skill_triggers!$1:$1,0)+1,FALSE)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2" s="48">
        <f ca="1">VLOOKUP($F552,OFFSET(enemy_skill_triggers!$A$1,0,0,COUNTA(enemy_skill_triggers!$A:$A),MATCH(H$1,enemy_skill_triggers!$1:$1,0)-MATCH($F$1,enemy_skill_triggers!$1:$1,0)+1),MATCH(H$1,enemy_skill_triggers!$1:$1,0)-MATCH($F$1,enemy_skill_triggers!$1:$1,0)+1,FALSE)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52" s="48">
        <f ca="1">VLOOKUP($F552,OFFSET(enemy_skill_triggers!$A$1,0,0,COUNTA(enemy_skill_triggers!$A:$A),MATCH(I$1,enemy_skill_triggers!$1:$1,0)-MATCH($F$1,enemy_skill_triggers!$1:$1,0)+1),MATCH(I$1,enemy_skill_triggers!$1:$1,0)-MATCH($F$1,enemy_skill_triggers!$1:$1,0)+1,FALSE)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2" s="48" t="str">
        <f ca="1">VLOOKUP($F552,OFFSET(enemy_skill_triggers!$A$1,0,0,COUNTA(enemy_skill_triggers!$A:$A),MATCH(J$1,enemy_skill_triggers!$1:$1,0)-MATCH($F$1,enemy_skill_triggers!$1:$1,0)+1),MATCH(J$1,enemy_skill_triggers!$1:$1,0)-MATCH($F$1,enemy_skill_triggers!$1:$1,0)+1,FALSE)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2" s="48" t="str">
        <f ca="1">VLOOKUP($F552,OFFSET(enemy_skill_triggers!$A$1,0,0,COUNTA(enemy_skill_triggers!$A:$A),MATCH(K$1,enemy_skill_triggers!$1:$1,0)-MATCH($F$1,enemy_skill_triggers!$1:$1,0)+1),MATCH(K$1,enemy_skill_triggers!$1:$1,0)-MATCH($F$1,enemy_skill_triggers!$1:$1,0)+1,FALSE)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2" s="48">
        <f ca="1">VLOOKUP($F552,OFFSET(enemy_skill_triggers!$A$1,0,0,COUNTA(enemy_skill_triggers!$A:$A),MATCH(L$1,enemy_skill_triggers!$1:$1,0)-MATCH($F$1,enemy_skill_triggers!$1:$1,0)+1),MATCH(L$1,enemy_skill_triggers!$1:$1,0)-MATCH($F$1,enemy_skill_triggers!$1:$1,0)+1,FALSE)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2" s="48" t="str">
        <f ca="1">VLOOKUP($F552,OFFSET(enemy_skill_triggers!$A$1,0,0,COUNTA(enemy_skill_triggers!$A:$A),MATCH(M$1,enemy_skill_triggers!$1:$1,0)-MATCH($F$1,enemy_skill_triggers!$1:$1,0)+1),MATCH(M$1,enemy_skill_triggers!$1:$1,0)-MATCH($F$1,enemy_skill_triggers!$1:$1,0)+1,FALSE)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2" s="48">
        <f ca="1">VLOOKUP($F552,OFFSET(enemy_skill_triggers!$A$1,0,0,COUNTA(enemy_skill_triggers!$A:$A),MATCH(N$1,enemy_skill_triggers!$1:$1,0)-MATCH($F$1,enemy_skill_triggers!$1:$1,0)+1),MATCH(N$1,enemy_skill_triggers!$1:$1,0)-MATCH($F$1,enemy_skill_triggers!$1:$1,0)+1,FALSE)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552" s="48">
        <f ca="1">VLOOKUP($F552,OFFSET(enemy_skill_triggers!$A$1,0,0,COUNTA(enemy_skill_triggers!$A:$A),MATCH(O$1,enemy_skill_triggers!$1:$1,0)-MATCH($F$1,enemy_skill_triggers!$1:$1,0)+1),MATCH(O$1,enemy_skill_triggers!$1:$1,0)-MATCH($F$1,enemy_skill_triggers!$1:$1,0)+1,FALSE)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2" s="47"/>
      <c r="Q552" s="47"/>
      <c r="R552" s="47"/>
    </row>
    <row r="553" spans="1:18" ht="21" customHeight="1" x14ac:dyDescent="0.15">
      <c r="A553" s="39" t="str">
        <f t="shared" si="23"/>
        <v>39009028_39009026</v>
      </c>
      <c r="B553" s="130">
        <v>39009028</v>
      </c>
      <c r="C553" s="142">
        <v>39009026</v>
      </c>
      <c r="D553" s="46" t="str">
        <f ca="1">VLOOKUP($C553,OFFSET(enemy_skills!$A$1,0,0,COUNTA(enemy_skills!$A:$A),MATCH(D$1,enemy_skills!$1:$1,0)-MATCH("enemy_skill_id",enemy_skills!$1:$1,0)+1),MATCH(D$1,enemy_skills!$1:$1,0)-MATCH("enemy_skill_id",enemy_skills!$1:$1,0)+1,FALSE)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3" s="46" t="str">
        <f ca="1">VLOOKUP($C553,OFFSET(enemy_skills!$A$1,0,0,COUNTA(enemy_skills!$A:$A),MATCH(E$1,enemy_skills!$1:$1,0)-MATCH("enemy_skill_id",enemy_skills!$1:$1,0)+1),MATCH(E$1,enemy_skills!$1:$1,0)-MATCH("enemy_skill_id",enemy_skills!$1:$1,0)+1,FALSE)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3" s="47">
        <v>39009143</v>
      </c>
      <c r="G553" s="48">
        <f ca="1">VLOOKUP($F553,OFFSET(enemy_skill_triggers!$A$1,0,0,COUNTA(enemy_skill_triggers!$A:$A),MATCH(G$1,enemy_skill_triggers!$1:$1,0)-MATCH($F$1,enemy_skill_triggers!$1:$1,0)+1),MATCH(G$1,enemy_skill_triggers!$1:$1,0)-MATCH($F$1,enemy_skill_triggers!$1:$1,0)+1,FALSE)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3" s="48">
        <f ca="1">VLOOKUP($F553,OFFSET(enemy_skill_triggers!$A$1,0,0,COUNTA(enemy_skill_triggers!$A:$A),MATCH(H$1,enemy_skill_triggers!$1:$1,0)-MATCH($F$1,enemy_skill_triggers!$1:$1,0)+1),MATCH(H$1,enemy_skill_triggers!$1:$1,0)-MATCH($F$1,enemy_skill_triggers!$1:$1,0)+1,FALSE)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553" s="48">
        <f ca="1">VLOOKUP($F553,OFFSET(enemy_skill_triggers!$A$1,0,0,COUNTA(enemy_skill_triggers!$A:$A),MATCH(I$1,enemy_skill_triggers!$1:$1,0)-MATCH($F$1,enemy_skill_triggers!$1:$1,0)+1),MATCH(I$1,enemy_skill_triggers!$1:$1,0)-MATCH($F$1,enemy_skill_triggers!$1:$1,0)+1,FALSE)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3" s="48" t="str">
        <f ca="1">VLOOKUP($F553,OFFSET(enemy_skill_triggers!$A$1,0,0,COUNTA(enemy_skill_triggers!$A:$A),MATCH(J$1,enemy_skill_triggers!$1:$1,0)-MATCH($F$1,enemy_skill_triggers!$1:$1,0)+1),MATCH(J$1,enemy_skill_triggers!$1:$1,0)-MATCH($F$1,enemy_skill_triggers!$1:$1,0)+1,FALSE)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3" s="48" t="str">
        <f ca="1">VLOOKUP($F553,OFFSET(enemy_skill_triggers!$A$1,0,0,COUNTA(enemy_skill_triggers!$A:$A),MATCH(K$1,enemy_skill_triggers!$1:$1,0)-MATCH($F$1,enemy_skill_triggers!$1:$1,0)+1),MATCH(K$1,enemy_skill_triggers!$1:$1,0)-MATCH($F$1,enemy_skill_triggers!$1:$1,0)+1,FALSE)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3" s="48">
        <f ca="1">VLOOKUP($F553,OFFSET(enemy_skill_triggers!$A$1,0,0,COUNTA(enemy_skill_triggers!$A:$A),MATCH(L$1,enemy_skill_triggers!$1:$1,0)-MATCH($F$1,enemy_skill_triggers!$1:$1,0)+1),MATCH(L$1,enemy_skill_triggers!$1:$1,0)-MATCH($F$1,enemy_skill_triggers!$1:$1,0)+1,FALSE)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3" s="48" t="str">
        <f ca="1">VLOOKUP($F553,OFFSET(enemy_skill_triggers!$A$1,0,0,COUNTA(enemy_skill_triggers!$A:$A),MATCH(M$1,enemy_skill_triggers!$1:$1,0)-MATCH($F$1,enemy_skill_triggers!$1:$1,0)+1),MATCH(M$1,enemy_skill_triggers!$1:$1,0)-MATCH($F$1,enemy_skill_triggers!$1:$1,0)+1,FALSE)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3" s="48">
        <f ca="1">VLOOKUP($F553,OFFSET(enemy_skill_triggers!$A$1,0,0,COUNTA(enemy_skill_triggers!$A:$A),MATCH(N$1,enemy_skill_triggers!$1:$1,0)-MATCH($F$1,enemy_skill_triggers!$1:$1,0)+1),MATCH(N$1,enemy_skill_triggers!$1:$1,0)-MATCH($F$1,enemy_skill_triggers!$1:$1,0)+1,FALSE)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553" s="48">
        <f ca="1">VLOOKUP($F553,OFFSET(enemy_skill_triggers!$A$1,0,0,COUNTA(enemy_skill_triggers!$A:$A),MATCH(O$1,enemy_skill_triggers!$1:$1,0)-MATCH($F$1,enemy_skill_triggers!$1:$1,0)+1),MATCH(O$1,enemy_skill_triggers!$1:$1,0)-MATCH($F$1,enemy_skill_triggers!$1:$1,0)+1,FALSE)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3" s="47"/>
      <c r="Q553" s="47"/>
      <c r="R553" s="47"/>
    </row>
    <row r="554" spans="1:18" ht="21" customHeight="1" x14ac:dyDescent="0.15">
      <c r="A554" s="39" t="str">
        <f t="shared" si="23"/>
        <v>39009028_39009026</v>
      </c>
      <c r="B554" s="130">
        <v>39009028</v>
      </c>
      <c r="C554" s="142">
        <v>39009026</v>
      </c>
      <c r="D554" s="46" t="str">
        <f ca="1">VLOOKUP($C554,OFFSET(enemy_skills!$A$1,0,0,COUNTA(enemy_skills!$A:$A),MATCH(D$1,enemy_skills!$1:$1,0)-MATCH("enemy_skill_id",enemy_skills!$1:$1,0)+1),MATCH(D$1,enemy_skills!$1:$1,0)-MATCH("enemy_skill_id",enemy_skills!$1:$1,0)+1,FALSE)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4" s="46" t="str">
        <f ca="1">VLOOKUP($C554,OFFSET(enemy_skills!$A$1,0,0,COUNTA(enemy_skills!$A:$A),MATCH(E$1,enemy_skills!$1:$1,0)-MATCH("enemy_skill_id",enemy_skills!$1:$1,0)+1),MATCH(E$1,enemy_skills!$1:$1,0)-MATCH("enemy_skill_id",enemy_skills!$1:$1,0)+1,FALSE)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4" s="47">
        <v>39009144</v>
      </c>
      <c r="G554" s="48">
        <f ca="1">VLOOKUP($F554,OFFSET(enemy_skill_triggers!$A$1,0,0,COUNTA(enemy_skill_triggers!$A:$A),MATCH(G$1,enemy_skill_triggers!$1:$1,0)-MATCH($F$1,enemy_skill_triggers!$1:$1,0)+1),MATCH(G$1,enemy_skill_triggers!$1:$1,0)-MATCH($F$1,enemy_skill_triggers!$1:$1,0)+1,FALSE)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4" s="48">
        <f ca="1">VLOOKUP($F554,OFFSET(enemy_skill_triggers!$A$1,0,0,COUNTA(enemy_skill_triggers!$A:$A),MATCH(H$1,enemy_skill_triggers!$1:$1,0)-MATCH($F$1,enemy_skill_triggers!$1:$1,0)+1),MATCH(H$1,enemy_skill_triggers!$1:$1,0)-MATCH($F$1,enemy_skill_triggers!$1:$1,0)+1,FALSE)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554" s="48">
        <f ca="1">VLOOKUP($F554,OFFSET(enemy_skill_triggers!$A$1,0,0,COUNTA(enemy_skill_triggers!$A:$A),MATCH(I$1,enemy_skill_triggers!$1:$1,0)-MATCH($F$1,enemy_skill_triggers!$1:$1,0)+1),MATCH(I$1,enemy_skill_triggers!$1:$1,0)-MATCH($F$1,enemy_skill_triggers!$1:$1,0)+1,FALSE)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4" s="48" t="str">
        <f ca="1">VLOOKUP($F554,OFFSET(enemy_skill_triggers!$A$1,0,0,COUNTA(enemy_skill_triggers!$A:$A),MATCH(J$1,enemy_skill_triggers!$1:$1,0)-MATCH($F$1,enemy_skill_triggers!$1:$1,0)+1),MATCH(J$1,enemy_skill_triggers!$1:$1,0)-MATCH($F$1,enemy_skill_triggers!$1:$1,0)+1,FALSE)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4" s="48" t="str">
        <f ca="1">VLOOKUP($F554,OFFSET(enemy_skill_triggers!$A$1,0,0,COUNTA(enemy_skill_triggers!$A:$A),MATCH(K$1,enemy_skill_triggers!$1:$1,0)-MATCH($F$1,enemy_skill_triggers!$1:$1,0)+1),MATCH(K$1,enemy_skill_triggers!$1:$1,0)-MATCH($F$1,enemy_skill_triggers!$1:$1,0)+1,FALSE)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4" s="48">
        <f ca="1">VLOOKUP($F554,OFFSET(enemy_skill_triggers!$A$1,0,0,COUNTA(enemy_skill_triggers!$A:$A),MATCH(L$1,enemy_skill_triggers!$1:$1,0)-MATCH($F$1,enemy_skill_triggers!$1:$1,0)+1),MATCH(L$1,enemy_skill_triggers!$1:$1,0)-MATCH($F$1,enemy_skill_triggers!$1:$1,0)+1,FALSE)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4" s="48" t="str">
        <f ca="1">VLOOKUP($F554,OFFSET(enemy_skill_triggers!$A$1,0,0,COUNTA(enemy_skill_triggers!$A:$A),MATCH(M$1,enemy_skill_triggers!$1:$1,0)-MATCH($F$1,enemy_skill_triggers!$1:$1,0)+1),MATCH(M$1,enemy_skill_triggers!$1:$1,0)-MATCH($F$1,enemy_skill_triggers!$1:$1,0)+1,FALSE)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4" s="48">
        <f ca="1">VLOOKUP($F554,OFFSET(enemy_skill_triggers!$A$1,0,0,COUNTA(enemy_skill_triggers!$A:$A),MATCH(N$1,enemy_skill_triggers!$1:$1,0)-MATCH($F$1,enemy_skill_triggers!$1:$1,0)+1),MATCH(N$1,enemy_skill_triggers!$1:$1,0)-MATCH($F$1,enemy_skill_triggers!$1:$1,0)+1,FALSE)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54" s="48">
        <f ca="1">VLOOKUP($F554,OFFSET(enemy_skill_triggers!$A$1,0,0,COUNTA(enemy_skill_triggers!$A:$A),MATCH(O$1,enemy_skill_triggers!$1:$1,0)-MATCH($F$1,enemy_skill_triggers!$1:$1,0)+1),MATCH(O$1,enemy_skill_triggers!$1:$1,0)-MATCH($F$1,enemy_skill_triggers!$1:$1,0)+1,FALSE)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4" s="47"/>
      <c r="Q554" s="47"/>
      <c r="R554" s="47"/>
    </row>
    <row r="555" spans="1:18" ht="21" customHeight="1" x14ac:dyDescent="0.15">
      <c r="A555" s="39" t="str">
        <f t="shared" si="23"/>
        <v>39009028_39009026</v>
      </c>
      <c r="B555" s="130">
        <v>39009028</v>
      </c>
      <c r="C555" s="142">
        <v>39009026</v>
      </c>
      <c r="D555" s="46" t="str">
        <f ca="1">VLOOKUP($C555,OFFSET(enemy_skills!$A$1,0,0,COUNTA(enemy_skills!$A:$A),MATCH(D$1,enemy_skills!$1:$1,0)-MATCH("enemy_skill_id",enemy_skills!$1:$1,0)+1),MATCH(D$1,enemy_skills!$1:$1,0)-MATCH("enemy_skill_id",enemy_skills!$1:$1,0)+1,FALSE)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5" s="46" t="str">
        <f ca="1">VLOOKUP($C555,OFFSET(enemy_skills!$A$1,0,0,COUNTA(enemy_skills!$A:$A),MATCH(E$1,enemy_skills!$1:$1,0)-MATCH("enemy_skill_id",enemy_skills!$1:$1,0)+1),MATCH(E$1,enemy_skills!$1:$1,0)-MATCH("enemy_skill_id",enemy_skills!$1:$1,0)+1,FALSE)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5" s="47">
        <v>39009145</v>
      </c>
      <c r="G555" s="48">
        <f ca="1">VLOOKUP($F555,OFFSET(enemy_skill_triggers!$A$1,0,0,COUNTA(enemy_skill_triggers!$A:$A),MATCH(G$1,enemy_skill_triggers!$1:$1,0)-MATCH($F$1,enemy_skill_triggers!$1:$1,0)+1),MATCH(G$1,enemy_skill_triggers!$1:$1,0)-MATCH($F$1,enemy_skill_triggers!$1:$1,0)+1,FALSE)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5" s="48">
        <f ca="1">VLOOKUP($F555,OFFSET(enemy_skill_triggers!$A$1,0,0,COUNTA(enemy_skill_triggers!$A:$A),MATCH(H$1,enemy_skill_triggers!$1:$1,0)-MATCH($F$1,enemy_skill_triggers!$1:$1,0)+1),MATCH(H$1,enemy_skill_triggers!$1:$1,0)-MATCH($F$1,enemy_skill_triggers!$1:$1,0)+1,FALSE)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555" s="48">
        <f ca="1">VLOOKUP($F555,OFFSET(enemy_skill_triggers!$A$1,0,0,COUNTA(enemy_skill_triggers!$A:$A),MATCH(I$1,enemy_skill_triggers!$1:$1,0)-MATCH($F$1,enemy_skill_triggers!$1:$1,0)+1),MATCH(I$1,enemy_skill_triggers!$1:$1,0)-MATCH($F$1,enemy_skill_triggers!$1:$1,0)+1,FALSE)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5" s="48" t="str">
        <f ca="1">VLOOKUP($F555,OFFSET(enemy_skill_triggers!$A$1,0,0,COUNTA(enemy_skill_triggers!$A:$A),MATCH(J$1,enemy_skill_triggers!$1:$1,0)-MATCH($F$1,enemy_skill_triggers!$1:$1,0)+1),MATCH(J$1,enemy_skill_triggers!$1:$1,0)-MATCH($F$1,enemy_skill_triggers!$1:$1,0)+1,FALSE)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5" s="48" t="str">
        <f ca="1">VLOOKUP($F555,OFFSET(enemy_skill_triggers!$A$1,0,0,COUNTA(enemy_skill_triggers!$A:$A),MATCH(K$1,enemy_skill_triggers!$1:$1,0)-MATCH($F$1,enemy_skill_triggers!$1:$1,0)+1),MATCH(K$1,enemy_skill_triggers!$1:$1,0)-MATCH($F$1,enemy_skill_triggers!$1:$1,0)+1,FALSE)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5" s="48">
        <f ca="1">VLOOKUP($F555,OFFSET(enemy_skill_triggers!$A$1,0,0,COUNTA(enemy_skill_triggers!$A:$A),MATCH(L$1,enemy_skill_triggers!$1:$1,0)-MATCH($F$1,enemy_skill_triggers!$1:$1,0)+1),MATCH(L$1,enemy_skill_triggers!$1:$1,0)-MATCH($F$1,enemy_skill_triggers!$1:$1,0)+1,FALSE)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5" s="48" t="str">
        <f ca="1">VLOOKUP($F555,OFFSET(enemy_skill_triggers!$A$1,0,0,COUNTA(enemy_skill_triggers!$A:$A),MATCH(M$1,enemy_skill_triggers!$1:$1,0)-MATCH($F$1,enemy_skill_triggers!$1:$1,0)+1),MATCH(M$1,enemy_skill_triggers!$1:$1,0)-MATCH($F$1,enemy_skill_triggers!$1:$1,0)+1,FALSE)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5" s="48">
        <f ca="1">VLOOKUP($F555,OFFSET(enemy_skill_triggers!$A$1,0,0,COUNTA(enemy_skill_triggers!$A:$A),MATCH(N$1,enemy_skill_triggers!$1:$1,0)-MATCH($F$1,enemy_skill_triggers!$1:$1,0)+1),MATCH(N$1,enemy_skill_triggers!$1:$1,0)-MATCH($F$1,enemy_skill_triggers!$1:$1,0)+1,FALSE)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55" s="48">
        <f ca="1">VLOOKUP($F555,OFFSET(enemy_skill_triggers!$A$1,0,0,COUNTA(enemy_skill_triggers!$A:$A),MATCH(O$1,enemy_skill_triggers!$1:$1,0)-MATCH($F$1,enemy_skill_triggers!$1:$1,0)+1),MATCH(O$1,enemy_skill_triggers!$1:$1,0)-MATCH($F$1,enemy_skill_triggers!$1:$1,0)+1,FALSE)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5" s="47"/>
      <c r="Q555" s="47"/>
      <c r="R555" s="47"/>
    </row>
    <row r="556" spans="1:18" ht="21" customHeight="1" x14ac:dyDescent="0.15">
      <c r="A556" s="39" t="str">
        <f t="shared" si="23"/>
        <v>39009028_39009026</v>
      </c>
      <c r="B556" s="130">
        <v>39009028</v>
      </c>
      <c r="C556" s="142">
        <v>39009026</v>
      </c>
      <c r="D556" s="46" t="str">
        <f ca="1">VLOOKUP($C556,OFFSET(enemy_skills!$A$1,0,0,COUNTA(enemy_skills!$A:$A),MATCH(D$1,enemy_skills!$1:$1,0)-MATCH("enemy_skill_id",enemy_skills!$1:$1,0)+1),MATCH(D$1,enemy_skills!$1:$1,0)-MATCH("enemy_skill_id",enemy_skills!$1:$1,0)+1,FALSE)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6" s="46" t="str">
        <f ca="1">VLOOKUP($C556,OFFSET(enemy_skills!$A$1,0,0,COUNTA(enemy_skills!$A:$A),MATCH(E$1,enemy_skills!$1:$1,0)-MATCH("enemy_skill_id",enemy_skills!$1:$1,0)+1),MATCH(E$1,enemy_skills!$1:$1,0)-MATCH("enemy_skill_id",enemy_skills!$1:$1,0)+1,FALSE)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6" s="47">
        <v>39009146</v>
      </c>
      <c r="G556" s="48">
        <f ca="1">VLOOKUP($F556,OFFSET(enemy_skill_triggers!$A$1,0,0,COUNTA(enemy_skill_triggers!$A:$A),MATCH(G$1,enemy_skill_triggers!$1:$1,0)-MATCH($F$1,enemy_skill_triggers!$1:$1,0)+1),MATCH(G$1,enemy_skill_triggers!$1:$1,0)-MATCH($F$1,enemy_skill_triggers!$1:$1,0)+1,FALSE)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6" s="48">
        <f ca="1">VLOOKUP($F556,OFFSET(enemy_skill_triggers!$A$1,0,0,COUNTA(enemy_skill_triggers!$A:$A),MATCH(H$1,enemy_skill_triggers!$1:$1,0)-MATCH($F$1,enemy_skill_triggers!$1:$1,0)+1),MATCH(H$1,enemy_skill_triggers!$1:$1,0)-MATCH($F$1,enemy_skill_triggers!$1:$1,0)+1,FALSE)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556" s="48">
        <f ca="1">VLOOKUP($F556,OFFSET(enemy_skill_triggers!$A$1,0,0,COUNTA(enemy_skill_triggers!$A:$A),MATCH(I$1,enemy_skill_triggers!$1:$1,0)-MATCH($F$1,enemy_skill_triggers!$1:$1,0)+1),MATCH(I$1,enemy_skill_triggers!$1:$1,0)-MATCH($F$1,enemy_skill_triggers!$1:$1,0)+1,FALSE)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6" s="48" t="str">
        <f ca="1">VLOOKUP($F556,OFFSET(enemy_skill_triggers!$A$1,0,0,COUNTA(enemy_skill_triggers!$A:$A),MATCH(J$1,enemy_skill_triggers!$1:$1,0)-MATCH($F$1,enemy_skill_triggers!$1:$1,0)+1),MATCH(J$1,enemy_skill_triggers!$1:$1,0)-MATCH($F$1,enemy_skill_triggers!$1:$1,0)+1,FALSE)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6" s="48" t="str">
        <f ca="1">VLOOKUP($F556,OFFSET(enemy_skill_triggers!$A$1,0,0,COUNTA(enemy_skill_triggers!$A:$A),MATCH(K$1,enemy_skill_triggers!$1:$1,0)-MATCH($F$1,enemy_skill_triggers!$1:$1,0)+1),MATCH(K$1,enemy_skill_triggers!$1:$1,0)-MATCH($F$1,enemy_skill_triggers!$1:$1,0)+1,FALSE)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6" s="48">
        <f ca="1">VLOOKUP($F556,OFFSET(enemy_skill_triggers!$A$1,0,0,COUNTA(enemy_skill_triggers!$A:$A),MATCH(L$1,enemy_skill_triggers!$1:$1,0)-MATCH($F$1,enemy_skill_triggers!$1:$1,0)+1),MATCH(L$1,enemy_skill_triggers!$1:$1,0)-MATCH($F$1,enemy_skill_triggers!$1:$1,0)+1,FALSE)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6" s="48" t="str">
        <f ca="1">VLOOKUP($F556,OFFSET(enemy_skill_triggers!$A$1,0,0,COUNTA(enemy_skill_triggers!$A:$A),MATCH(M$1,enemy_skill_triggers!$1:$1,0)-MATCH($F$1,enemy_skill_triggers!$1:$1,0)+1),MATCH(M$1,enemy_skill_triggers!$1:$1,0)-MATCH($F$1,enemy_skill_triggers!$1:$1,0)+1,FALSE)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6" s="48">
        <f ca="1">VLOOKUP($F556,OFFSET(enemy_skill_triggers!$A$1,0,0,COUNTA(enemy_skill_triggers!$A:$A),MATCH(N$1,enemy_skill_triggers!$1:$1,0)-MATCH($F$1,enemy_skill_triggers!$1:$1,0)+1),MATCH(N$1,enemy_skill_triggers!$1:$1,0)-MATCH($F$1,enemy_skill_triggers!$1:$1,0)+1,FALSE)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56" s="48">
        <f ca="1">VLOOKUP($F556,OFFSET(enemy_skill_triggers!$A$1,0,0,COUNTA(enemy_skill_triggers!$A:$A),MATCH(O$1,enemy_skill_triggers!$1:$1,0)-MATCH($F$1,enemy_skill_triggers!$1:$1,0)+1),MATCH(O$1,enemy_skill_triggers!$1:$1,0)-MATCH($F$1,enemy_skill_triggers!$1:$1,0)+1,FALSE)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6" s="47"/>
      <c r="Q556" s="47"/>
      <c r="R556" s="47"/>
    </row>
    <row r="557" spans="1:18" ht="21" customHeight="1" x14ac:dyDescent="0.15">
      <c r="A557" s="39" t="str">
        <f t="shared" si="23"/>
        <v>39009028_39009026</v>
      </c>
      <c r="B557" s="130">
        <v>39009028</v>
      </c>
      <c r="C557" s="142">
        <v>39009026</v>
      </c>
      <c r="D557" s="46" t="str">
        <f ca="1">VLOOKUP($C557,OFFSET(enemy_skills!$A$1,0,0,COUNTA(enemy_skills!$A:$A),MATCH(D$1,enemy_skills!$1:$1,0)-MATCH("enemy_skill_id",enemy_skills!$1:$1,0)+1),MATCH(D$1,enemy_skills!$1:$1,0)-MATCH("enemy_skill_id",enemy_skills!$1:$1,0)+1,FALSE)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7" s="46" t="str">
        <f ca="1">VLOOKUP($C557,OFFSET(enemy_skills!$A$1,0,0,COUNTA(enemy_skills!$A:$A),MATCH(E$1,enemy_skills!$1:$1,0)-MATCH("enemy_skill_id",enemy_skills!$1:$1,0)+1),MATCH(E$1,enemy_skills!$1:$1,0)-MATCH("enemy_skill_id",enemy_skills!$1:$1,0)+1,FALSE)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7" s="47">
        <v>39009147</v>
      </c>
      <c r="G557" s="48">
        <f ca="1">VLOOKUP($F557,OFFSET(enemy_skill_triggers!$A$1,0,0,COUNTA(enemy_skill_triggers!$A:$A),MATCH(G$1,enemy_skill_triggers!$1:$1,0)-MATCH($F$1,enemy_skill_triggers!$1:$1,0)+1),MATCH(G$1,enemy_skill_triggers!$1:$1,0)-MATCH($F$1,enemy_skill_triggers!$1:$1,0)+1,FALSE)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7" s="48">
        <f ca="1">VLOOKUP($F557,OFFSET(enemy_skill_triggers!$A$1,0,0,COUNTA(enemy_skill_triggers!$A:$A),MATCH(H$1,enemy_skill_triggers!$1:$1,0)-MATCH($F$1,enemy_skill_triggers!$1:$1,0)+1),MATCH(H$1,enemy_skill_triggers!$1:$1,0)-MATCH($F$1,enemy_skill_triggers!$1:$1,0)+1,FALSE)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57" s="48">
        <f ca="1">VLOOKUP($F557,OFFSET(enemy_skill_triggers!$A$1,0,0,COUNTA(enemy_skill_triggers!$A:$A),MATCH(I$1,enemy_skill_triggers!$1:$1,0)-MATCH($F$1,enemy_skill_triggers!$1:$1,0)+1),MATCH(I$1,enemy_skill_triggers!$1:$1,0)-MATCH($F$1,enemy_skill_triggers!$1:$1,0)+1,FALSE)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7" s="48" t="str">
        <f ca="1">VLOOKUP($F557,OFFSET(enemy_skill_triggers!$A$1,0,0,COUNTA(enemy_skill_triggers!$A:$A),MATCH(J$1,enemy_skill_triggers!$1:$1,0)-MATCH($F$1,enemy_skill_triggers!$1:$1,0)+1),MATCH(J$1,enemy_skill_triggers!$1:$1,0)-MATCH($F$1,enemy_skill_triggers!$1:$1,0)+1,FALSE)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7" s="48" t="str">
        <f ca="1">VLOOKUP($F557,OFFSET(enemy_skill_triggers!$A$1,0,0,COUNTA(enemy_skill_triggers!$A:$A),MATCH(K$1,enemy_skill_triggers!$1:$1,0)-MATCH($F$1,enemy_skill_triggers!$1:$1,0)+1),MATCH(K$1,enemy_skill_triggers!$1:$1,0)-MATCH($F$1,enemy_skill_triggers!$1:$1,0)+1,FALSE)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7" s="48">
        <f ca="1">VLOOKUP($F557,OFFSET(enemy_skill_triggers!$A$1,0,0,COUNTA(enemy_skill_triggers!$A:$A),MATCH(L$1,enemy_skill_triggers!$1:$1,0)-MATCH($F$1,enemy_skill_triggers!$1:$1,0)+1),MATCH(L$1,enemy_skill_triggers!$1:$1,0)-MATCH($F$1,enemy_skill_triggers!$1:$1,0)+1,FALSE)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7" s="48" t="str">
        <f ca="1">VLOOKUP($F557,OFFSET(enemy_skill_triggers!$A$1,0,0,COUNTA(enemy_skill_triggers!$A:$A),MATCH(M$1,enemy_skill_triggers!$1:$1,0)-MATCH($F$1,enemy_skill_triggers!$1:$1,0)+1),MATCH(M$1,enemy_skill_triggers!$1:$1,0)-MATCH($F$1,enemy_skill_triggers!$1:$1,0)+1,FALSE)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7" s="48">
        <f ca="1">VLOOKUP($F557,OFFSET(enemy_skill_triggers!$A$1,0,0,COUNTA(enemy_skill_triggers!$A:$A),MATCH(N$1,enemy_skill_triggers!$1:$1,0)-MATCH($F$1,enemy_skill_triggers!$1:$1,0)+1),MATCH(N$1,enemy_skill_triggers!$1:$1,0)-MATCH($F$1,enemy_skill_triggers!$1:$1,0)+1,FALSE)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57" s="48">
        <f ca="1">VLOOKUP($F557,OFFSET(enemy_skill_triggers!$A$1,0,0,COUNTA(enemy_skill_triggers!$A:$A),MATCH(O$1,enemy_skill_triggers!$1:$1,0)-MATCH($F$1,enemy_skill_triggers!$1:$1,0)+1),MATCH(O$1,enemy_skill_triggers!$1:$1,0)-MATCH($F$1,enemy_skill_triggers!$1:$1,0)+1,FALSE)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7" s="47"/>
      <c r="Q557" s="47"/>
      <c r="R557" s="47"/>
    </row>
    <row r="558" spans="1:18" ht="21" customHeight="1" x14ac:dyDescent="0.15">
      <c r="A558" s="39" t="str">
        <f t="shared" si="23"/>
        <v>39009028_39009026</v>
      </c>
      <c r="B558" s="130">
        <v>39009028</v>
      </c>
      <c r="C558" s="142">
        <v>39009026</v>
      </c>
      <c r="D558" s="46" t="str">
        <f ca="1">VLOOKUP($C558,OFFSET(enemy_skills!$A$1,0,0,COUNTA(enemy_skills!$A:$A),MATCH(D$1,enemy_skills!$1:$1,0)-MATCH("enemy_skill_id",enemy_skills!$1:$1,0)+1),MATCH(D$1,enemy_skills!$1:$1,0)-MATCH("enemy_skill_id",enemy_skills!$1:$1,0)+1,FALSE)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8" s="46" t="str">
        <f ca="1">VLOOKUP($C558,OFFSET(enemy_skills!$A$1,0,0,COUNTA(enemy_skills!$A:$A),MATCH(E$1,enemy_skills!$1:$1,0)-MATCH("enemy_skill_id",enemy_skills!$1:$1,0)+1),MATCH(E$1,enemy_skills!$1:$1,0)-MATCH("enemy_skill_id",enemy_skills!$1:$1,0)+1,FALSE)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8" s="47">
        <v>39009148</v>
      </c>
      <c r="G558" s="48">
        <f ca="1">VLOOKUP($F558,OFFSET(enemy_skill_triggers!$A$1,0,0,COUNTA(enemy_skill_triggers!$A:$A),MATCH(G$1,enemy_skill_triggers!$1:$1,0)-MATCH($F$1,enemy_skill_triggers!$1:$1,0)+1),MATCH(G$1,enemy_skill_triggers!$1:$1,0)-MATCH($F$1,enemy_skill_triggers!$1:$1,0)+1,FALSE)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8" s="48">
        <f ca="1">VLOOKUP($F558,OFFSET(enemy_skill_triggers!$A$1,0,0,COUNTA(enemy_skill_triggers!$A:$A),MATCH(H$1,enemy_skill_triggers!$1:$1,0)-MATCH($F$1,enemy_skill_triggers!$1:$1,0)+1),MATCH(H$1,enemy_skill_triggers!$1:$1,0)-MATCH($F$1,enemy_skill_triggers!$1:$1,0)+1,FALSE)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58" s="48">
        <f ca="1">VLOOKUP($F558,OFFSET(enemy_skill_triggers!$A$1,0,0,COUNTA(enemy_skill_triggers!$A:$A),MATCH(I$1,enemy_skill_triggers!$1:$1,0)-MATCH($F$1,enemy_skill_triggers!$1:$1,0)+1),MATCH(I$1,enemy_skill_triggers!$1:$1,0)-MATCH($F$1,enemy_skill_triggers!$1:$1,0)+1,FALSE)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8" s="48" t="str">
        <f ca="1">VLOOKUP($F558,OFFSET(enemy_skill_triggers!$A$1,0,0,COUNTA(enemy_skill_triggers!$A:$A),MATCH(J$1,enemy_skill_triggers!$1:$1,0)-MATCH($F$1,enemy_skill_triggers!$1:$1,0)+1),MATCH(J$1,enemy_skill_triggers!$1:$1,0)-MATCH($F$1,enemy_skill_triggers!$1:$1,0)+1,FALSE)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8" s="48" t="str">
        <f ca="1">VLOOKUP($F558,OFFSET(enemy_skill_triggers!$A$1,0,0,COUNTA(enemy_skill_triggers!$A:$A),MATCH(K$1,enemy_skill_triggers!$1:$1,0)-MATCH($F$1,enemy_skill_triggers!$1:$1,0)+1),MATCH(K$1,enemy_skill_triggers!$1:$1,0)-MATCH($F$1,enemy_skill_triggers!$1:$1,0)+1,FALSE)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8" s="48">
        <f ca="1">VLOOKUP($F558,OFFSET(enemy_skill_triggers!$A$1,0,0,COUNTA(enemy_skill_triggers!$A:$A),MATCH(L$1,enemy_skill_triggers!$1:$1,0)-MATCH($F$1,enemy_skill_triggers!$1:$1,0)+1),MATCH(L$1,enemy_skill_triggers!$1:$1,0)-MATCH($F$1,enemy_skill_triggers!$1:$1,0)+1,FALSE)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8" s="48" t="str">
        <f ca="1">VLOOKUP($F558,OFFSET(enemy_skill_triggers!$A$1,0,0,COUNTA(enemy_skill_triggers!$A:$A),MATCH(M$1,enemy_skill_triggers!$1:$1,0)-MATCH($F$1,enemy_skill_triggers!$1:$1,0)+1),MATCH(M$1,enemy_skill_triggers!$1:$1,0)-MATCH($F$1,enemy_skill_triggers!$1:$1,0)+1,FALSE)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8" s="48">
        <f ca="1">VLOOKUP($F558,OFFSET(enemy_skill_triggers!$A$1,0,0,COUNTA(enemy_skill_triggers!$A:$A),MATCH(N$1,enemy_skill_triggers!$1:$1,0)-MATCH($F$1,enemy_skill_triggers!$1:$1,0)+1),MATCH(N$1,enemy_skill_triggers!$1:$1,0)-MATCH($F$1,enemy_skill_triggers!$1:$1,0)+1,FALSE)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558" s="48">
        <f ca="1">VLOOKUP($F558,OFFSET(enemy_skill_triggers!$A$1,0,0,COUNTA(enemy_skill_triggers!$A:$A),MATCH(O$1,enemy_skill_triggers!$1:$1,0)-MATCH($F$1,enemy_skill_triggers!$1:$1,0)+1),MATCH(O$1,enemy_skill_triggers!$1:$1,0)-MATCH($F$1,enemy_skill_triggers!$1:$1,0)+1,FALSE)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8" s="47"/>
      <c r="Q558" s="47"/>
      <c r="R558" s="47"/>
    </row>
    <row r="559" spans="1:18" ht="21" customHeight="1" x14ac:dyDescent="0.15">
      <c r="A559" s="39" t="str">
        <f t="shared" si="23"/>
        <v>39009028_39009026</v>
      </c>
      <c r="B559" s="130">
        <v>39009028</v>
      </c>
      <c r="C559" s="142">
        <v>39009026</v>
      </c>
      <c r="D559" s="46" t="str">
        <f ca="1">VLOOKUP($C559,OFFSET(enemy_skills!$A$1,0,0,COUNTA(enemy_skills!$A:$A),MATCH(D$1,enemy_skills!$1:$1,0)-MATCH("enemy_skill_id",enemy_skills!$1:$1,0)+1),MATCH(D$1,enemy_skills!$1:$1,0)-MATCH("enemy_skill_id",enemy_skills!$1:$1,0)+1,FALSE)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59" s="46" t="str">
        <f ca="1">VLOOKUP($C559,OFFSET(enemy_skills!$A$1,0,0,COUNTA(enemy_skills!$A:$A),MATCH(E$1,enemy_skills!$1:$1,0)-MATCH("enemy_skill_id",enemy_skills!$1:$1,0)+1),MATCH(E$1,enemy_skills!$1:$1,0)-MATCH("enemy_skill_id",enemy_skills!$1:$1,0)+1,FALSE)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59" s="47">
        <v>39009149</v>
      </c>
      <c r="G559" s="48">
        <f ca="1">VLOOKUP($F559,OFFSET(enemy_skill_triggers!$A$1,0,0,COUNTA(enemy_skill_triggers!$A:$A),MATCH(G$1,enemy_skill_triggers!$1:$1,0)-MATCH($F$1,enemy_skill_triggers!$1:$1,0)+1),MATCH(G$1,enemy_skill_triggers!$1:$1,0)-MATCH($F$1,enemy_skill_triggers!$1:$1,0)+1,FALSE)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9" s="48">
        <f ca="1">VLOOKUP($F559,OFFSET(enemy_skill_triggers!$A$1,0,0,COUNTA(enemy_skill_triggers!$A:$A),MATCH(H$1,enemy_skill_triggers!$1:$1,0)-MATCH($F$1,enemy_skill_triggers!$1:$1,0)+1),MATCH(H$1,enemy_skill_triggers!$1:$1,0)-MATCH($F$1,enemy_skill_triggers!$1:$1,0)+1,FALSE)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59" s="48">
        <f ca="1">VLOOKUP($F559,OFFSET(enemy_skill_triggers!$A$1,0,0,COUNTA(enemy_skill_triggers!$A:$A),MATCH(I$1,enemy_skill_triggers!$1:$1,0)-MATCH($F$1,enemy_skill_triggers!$1:$1,0)+1),MATCH(I$1,enemy_skill_triggers!$1:$1,0)-MATCH($F$1,enemy_skill_triggers!$1:$1,0)+1,FALSE)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9" s="48" t="str">
        <f ca="1">VLOOKUP($F559,OFFSET(enemy_skill_triggers!$A$1,0,0,COUNTA(enemy_skill_triggers!$A:$A),MATCH(J$1,enemy_skill_triggers!$1:$1,0)-MATCH($F$1,enemy_skill_triggers!$1:$1,0)+1),MATCH(J$1,enemy_skill_triggers!$1:$1,0)-MATCH($F$1,enemy_skill_triggers!$1:$1,0)+1,FALSE)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9" s="48" t="str">
        <f ca="1">VLOOKUP($F559,OFFSET(enemy_skill_triggers!$A$1,0,0,COUNTA(enemy_skill_triggers!$A:$A),MATCH(K$1,enemy_skill_triggers!$1:$1,0)-MATCH($F$1,enemy_skill_triggers!$1:$1,0)+1),MATCH(K$1,enemy_skill_triggers!$1:$1,0)-MATCH($F$1,enemy_skill_triggers!$1:$1,0)+1,FALSE)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9" s="48">
        <f ca="1">VLOOKUP($F559,OFFSET(enemy_skill_triggers!$A$1,0,0,COUNTA(enemy_skill_triggers!$A:$A),MATCH(L$1,enemy_skill_triggers!$1:$1,0)-MATCH($F$1,enemy_skill_triggers!$1:$1,0)+1),MATCH(L$1,enemy_skill_triggers!$1:$1,0)-MATCH($F$1,enemy_skill_triggers!$1:$1,0)+1,FALSE)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9" s="48" t="str">
        <f ca="1">VLOOKUP($F559,OFFSET(enemy_skill_triggers!$A$1,0,0,COUNTA(enemy_skill_triggers!$A:$A),MATCH(M$1,enemy_skill_triggers!$1:$1,0)-MATCH($F$1,enemy_skill_triggers!$1:$1,0)+1),MATCH(M$1,enemy_skill_triggers!$1:$1,0)-MATCH($F$1,enemy_skill_triggers!$1:$1,0)+1,FALSE)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9" s="48">
        <f ca="1">VLOOKUP($F559,OFFSET(enemy_skill_triggers!$A$1,0,0,COUNTA(enemy_skill_triggers!$A:$A),MATCH(N$1,enemy_skill_triggers!$1:$1,0)-MATCH($F$1,enemy_skill_triggers!$1:$1,0)+1),MATCH(N$1,enemy_skill_triggers!$1:$1,0)-MATCH($F$1,enemy_skill_triggers!$1:$1,0)+1,FALSE)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559" s="48">
        <f ca="1">VLOOKUP($F559,OFFSET(enemy_skill_triggers!$A$1,0,0,COUNTA(enemy_skill_triggers!$A:$A),MATCH(O$1,enemy_skill_triggers!$1:$1,0)-MATCH($F$1,enemy_skill_triggers!$1:$1,0)+1),MATCH(O$1,enemy_skill_triggers!$1:$1,0)-MATCH($F$1,enemy_skill_triggers!$1:$1,0)+1,FALSE)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9" s="47"/>
      <c r="Q559" s="47"/>
      <c r="R559" s="47"/>
    </row>
    <row r="560" spans="1:18" ht="21" customHeight="1" x14ac:dyDescent="0.15">
      <c r="A560" s="39" t="str">
        <f t="shared" si="23"/>
        <v>39009028_39009026</v>
      </c>
      <c r="B560" s="130">
        <v>39009028</v>
      </c>
      <c r="C560" s="142">
        <v>39009026</v>
      </c>
      <c r="D560" s="46" t="str">
        <f ca="1">VLOOKUP($C560,OFFSET(enemy_skills!$A$1,0,0,COUNTA(enemy_skills!$A:$A),MATCH(D$1,enemy_skills!$1:$1,0)-MATCH("enemy_skill_id",enemy_skills!$1:$1,0)+1),MATCH(D$1,enemy_skills!$1:$1,0)-MATCH("enemy_skill_id",enemy_skills!$1:$1,0)+1,FALSE)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0" s="46" t="str">
        <f ca="1">VLOOKUP($C560,OFFSET(enemy_skills!$A$1,0,0,COUNTA(enemy_skills!$A:$A),MATCH(E$1,enemy_skills!$1:$1,0)-MATCH("enemy_skill_id",enemy_skills!$1:$1,0)+1),MATCH(E$1,enemy_skills!$1:$1,0)-MATCH("enemy_skill_id",enemy_skills!$1:$1,0)+1,FALSE)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0" s="47">
        <v>39009150</v>
      </c>
      <c r="G560" s="48">
        <f ca="1">VLOOKUP($F560,OFFSET(enemy_skill_triggers!$A$1,0,0,COUNTA(enemy_skill_triggers!$A:$A),MATCH(G$1,enemy_skill_triggers!$1:$1,0)-MATCH($F$1,enemy_skill_triggers!$1:$1,0)+1),MATCH(G$1,enemy_skill_triggers!$1:$1,0)-MATCH($F$1,enemy_skill_triggers!$1:$1,0)+1,FALSE)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0" s="48">
        <f ca="1">VLOOKUP($F560,OFFSET(enemy_skill_triggers!$A$1,0,0,COUNTA(enemy_skill_triggers!$A:$A),MATCH(H$1,enemy_skill_triggers!$1:$1,0)-MATCH($F$1,enemy_skill_triggers!$1:$1,0)+1),MATCH(H$1,enemy_skill_triggers!$1:$1,0)-MATCH($F$1,enemy_skill_triggers!$1:$1,0)+1,FALSE)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560" s="48">
        <f ca="1">VLOOKUP($F560,OFFSET(enemy_skill_triggers!$A$1,0,0,COUNTA(enemy_skill_triggers!$A:$A),MATCH(I$1,enemy_skill_triggers!$1:$1,0)-MATCH($F$1,enemy_skill_triggers!$1:$1,0)+1),MATCH(I$1,enemy_skill_triggers!$1:$1,0)-MATCH($F$1,enemy_skill_triggers!$1:$1,0)+1,FALSE)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0" s="48" t="str">
        <f ca="1">VLOOKUP($F560,OFFSET(enemy_skill_triggers!$A$1,0,0,COUNTA(enemy_skill_triggers!$A:$A),MATCH(J$1,enemy_skill_triggers!$1:$1,0)-MATCH($F$1,enemy_skill_triggers!$1:$1,0)+1),MATCH(J$1,enemy_skill_triggers!$1:$1,0)-MATCH($F$1,enemy_skill_triggers!$1:$1,0)+1,FALSE)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0" s="48" t="str">
        <f ca="1">VLOOKUP($F560,OFFSET(enemy_skill_triggers!$A$1,0,0,COUNTA(enemy_skill_triggers!$A:$A),MATCH(K$1,enemy_skill_triggers!$1:$1,0)-MATCH($F$1,enemy_skill_triggers!$1:$1,0)+1),MATCH(K$1,enemy_skill_triggers!$1:$1,0)-MATCH($F$1,enemy_skill_triggers!$1:$1,0)+1,FALSE)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0" s="48">
        <f ca="1">VLOOKUP($F560,OFFSET(enemy_skill_triggers!$A$1,0,0,COUNTA(enemy_skill_triggers!$A:$A),MATCH(L$1,enemy_skill_triggers!$1:$1,0)-MATCH($F$1,enemy_skill_triggers!$1:$1,0)+1),MATCH(L$1,enemy_skill_triggers!$1:$1,0)-MATCH($F$1,enemy_skill_triggers!$1:$1,0)+1,FALSE)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0" s="48" t="str">
        <f ca="1">VLOOKUP($F560,OFFSET(enemy_skill_triggers!$A$1,0,0,COUNTA(enemy_skill_triggers!$A:$A),MATCH(M$1,enemy_skill_triggers!$1:$1,0)-MATCH($F$1,enemy_skill_triggers!$1:$1,0)+1),MATCH(M$1,enemy_skill_triggers!$1:$1,0)-MATCH($F$1,enemy_skill_triggers!$1:$1,0)+1,FALSE)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0" s="48">
        <f ca="1">VLOOKUP($F560,OFFSET(enemy_skill_triggers!$A$1,0,0,COUNTA(enemy_skill_triggers!$A:$A),MATCH(N$1,enemy_skill_triggers!$1:$1,0)-MATCH($F$1,enemy_skill_triggers!$1:$1,0)+1),MATCH(N$1,enemy_skill_triggers!$1:$1,0)-MATCH($F$1,enemy_skill_triggers!$1:$1,0)+1,FALSE)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60" s="48">
        <f ca="1">VLOOKUP($F560,OFFSET(enemy_skill_triggers!$A$1,0,0,COUNTA(enemy_skill_triggers!$A:$A),MATCH(O$1,enemy_skill_triggers!$1:$1,0)-MATCH($F$1,enemy_skill_triggers!$1:$1,0)+1),MATCH(O$1,enemy_skill_triggers!$1:$1,0)-MATCH($F$1,enemy_skill_triggers!$1:$1,0)+1,FALSE)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0" s="47"/>
      <c r="Q560" s="47"/>
      <c r="R560" s="47"/>
    </row>
    <row r="561" spans="1:18" ht="21" customHeight="1" x14ac:dyDescent="0.15">
      <c r="A561" s="39" t="str">
        <f t="shared" si="23"/>
        <v>39009028_39009026</v>
      </c>
      <c r="B561" s="130">
        <v>39009028</v>
      </c>
      <c r="C561" s="142">
        <v>39009026</v>
      </c>
      <c r="D561" s="46" t="str">
        <f ca="1">VLOOKUP($C561,OFFSET(enemy_skills!$A$1,0,0,COUNTA(enemy_skills!$A:$A),MATCH(D$1,enemy_skills!$1:$1,0)-MATCH("enemy_skill_id",enemy_skills!$1:$1,0)+1),MATCH(D$1,enemy_skills!$1:$1,0)-MATCH("enemy_skill_id",enemy_skills!$1:$1,0)+1,FALSE)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1" s="46" t="str">
        <f ca="1">VLOOKUP($C561,OFFSET(enemy_skills!$A$1,0,0,COUNTA(enemy_skills!$A:$A),MATCH(E$1,enemy_skills!$1:$1,0)-MATCH("enemy_skill_id",enemy_skills!$1:$1,0)+1),MATCH(E$1,enemy_skills!$1:$1,0)-MATCH("enemy_skill_id",enemy_skills!$1:$1,0)+1,FALSE)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1" s="47">
        <v>39009151</v>
      </c>
      <c r="G561" s="48">
        <f ca="1">VLOOKUP($F561,OFFSET(enemy_skill_triggers!$A$1,0,0,COUNTA(enemy_skill_triggers!$A:$A),MATCH(G$1,enemy_skill_triggers!$1:$1,0)-MATCH($F$1,enemy_skill_triggers!$1:$1,0)+1),MATCH(G$1,enemy_skill_triggers!$1:$1,0)-MATCH($F$1,enemy_skill_triggers!$1:$1,0)+1,FALSE)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1" s="48">
        <f ca="1">VLOOKUP($F561,OFFSET(enemy_skill_triggers!$A$1,0,0,COUNTA(enemy_skill_triggers!$A:$A),MATCH(H$1,enemy_skill_triggers!$1:$1,0)-MATCH($F$1,enemy_skill_triggers!$1:$1,0)+1),MATCH(H$1,enemy_skill_triggers!$1:$1,0)-MATCH($F$1,enemy_skill_triggers!$1:$1,0)+1,FALSE)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61" s="48">
        <f ca="1">VLOOKUP($F561,OFFSET(enemy_skill_triggers!$A$1,0,0,COUNTA(enemy_skill_triggers!$A:$A),MATCH(I$1,enemy_skill_triggers!$1:$1,0)-MATCH($F$1,enemy_skill_triggers!$1:$1,0)+1),MATCH(I$1,enemy_skill_triggers!$1:$1,0)-MATCH($F$1,enemy_skill_triggers!$1:$1,0)+1,FALSE)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1" s="48" t="str">
        <f ca="1">VLOOKUP($F561,OFFSET(enemy_skill_triggers!$A$1,0,0,COUNTA(enemy_skill_triggers!$A:$A),MATCH(J$1,enemy_skill_triggers!$1:$1,0)-MATCH($F$1,enemy_skill_triggers!$1:$1,0)+1),MATCH(J$1,enemy_skill_triggers!$1:$1,0)-MATCH($F$1,enemy_skill_triggers!$1:$1,0)+1,FALSE)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1" s="48" t="str">
        <f ca="1">VLOOKUP($F561,OFFSET(enemy_skill_triggers!$A$1,0,0,COUNTA(enemy_skill_triggers!$A:$A),MATCH(K$1,enemy_skill_triggers!$1:$1,0)-MATCH($F$1,enemy_skill_triggers!$1:$1,0)+1),MATCH(K$1,enemy_skill_triggers!$1:$1,0)-MATCH($F$1,enemy_skill_triggers!$1:$1,0)+1,FALSE)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1" s="48">
        <f ca="1">VLOOKUP($F561,OFFSET(enemy_skill_triggers!$A$1,0,0,COUNTA(enemy_skill_triggers!$A:$A),MATCH(L$1,enemy_skill_triggers!$1:$1,0)-MATCH($F$1,enemy_skill_triggers!$1:$1,0)+1),MATCH(L$1,enemy_skill_triggers!$1:$1,0)-MATCH($F$1,enemy_skill_triggers!$1:$1,0)+1,FALSE)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1" s="48" t="str">
        <f ca="1">VLOOKUP($F561,OFFSET(enemy_skill_triggers!$A$1,0,0,COUNTA(enemy_skill_triggers!$A:$A),MATCH(M$1,enemy_skill_triggers!$1:$1,0)-MATCH($F$1,enemy_skill_triggers!$1:$1,0)+1),MATCH(M$1,enemy_skill_triggers!$1:$1,0)-MATCH($F$1,enemy_skill_triggers!$1:$1,0)+1,FALSE)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1" s="48">
        <f ca="1">VLOOKUP($F561,OFFSET(enemy_skill_triggers!$A$1,0,0,COUNTA(enemy_skill_triggers!$A:$A),MATCH(N$1,enemy_skill_triggers!$1:$1,0)-MATCH($F$1,enemy_skill_triggers!$1:$1,0)+1),MATCH(N$1,enemy_skill_triggers!$1:$1,0)-MATCH($F$1,enemy_skill_triggers!$1:$1,0)+1,FALSE)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61" s="48">
        <f ca="1">VLOOKUP($F561,OFFSET(enemy_skill_triggers!$A$1,0,0,COUNTA(enemy_skill_triggers!$A:$A),MATCH(O$1,enemy_skill_triggers!$1:$1,0)-MATCH($F$1,enemy_skill_triggers!$1:$1,0)+1),MATCH(O$1,enemy_skill_triggers!$1:$1,0)-MATCH($F$1,enemy_skill_triggers!$1:$1,0)+1,FALSE)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1" s="47"/>
      <c r="Q561" s="47"/>
      <c r="R561" s="47"/>
    </row>
    <row r="562" spans="1:18" ht="21" customHeight="1" x14ac:dyDescent="0.15">
      <c r="A562" s="39" t="str">
        <f t="shared" si="23"/>
        <v>39009028_39009026</v>
      </c>
      <c r="B562" s="130">
        <v>39009028</v>
      </c>
      <c r="C562" s="142">
        <v>39009026</v>
      </c>
      <c r="D562" s="46" t="str">
        <f ca="1">VLOOKUP($C562,OFFSET(enemy_skills!$A$1,0,0,COUNTA(enemy_skills!$A:$A),MATCH(D$1,enemy_skills!$1:$1,0)-MATCH("enemy_skill_id",enemy_skills!$1:$1,0)+1),MATCH(D$1,enemy_skills!$1:$1,0)-MATCH("enemy_skill_id",enemy_skills!$1:$1,0)+1,FALSE)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2" s="46" t="str">
        <f ca="1">VLOOKUP($C562,OFFSET(enemy_skills!$A$1,0,0,COUNTA(enemy_skills!$A:$A),MATCH(E$1,enemy_skills!$1:$1,0)-MATCH("enemy_skill_id",enemy_skills!$1:$1,0)+1),MATCH(E$1,enemy_skills!$1:$1,0)-MATCH("enemy_skill_id",enemy_skills!$1:$1,0)+1,FALSE)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2" s="47">
        <v>39009152</v>
      </c>
      <c r="G562" s="48">
        <f ca="1">VLOOKUP($F562,OFFSET(enemy_skill_triggers!$A$1,0,0,COUNTA(enemy_skill_triggers!$A:$A),MATCH(G$1,enemy_skill_triggers!$1:$1,0)-MATCH($F$1,enemy_skill_triggers!$1:$1,0)+1),MATCH(G$1,enemy_skill_triggers!$1:$1,0)-MATCH($F$1,enemy_skill_triggers!$1:$1,0)+1,FALSE)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2" s="48">
        <f ca="1">VLOOKUP($F562,OFFSET(enemy_skill_triggers!$A$1,0,0,COUNTA(enemy_skill_triggers!$A:$A),MATCH(H$1,enemy_skill_triggers!$1:$1,0)-MATCH($F$1,enemy_skill_triggers!$1:$1,0)+1),MATCH(H$1,enemy_skill_triggers!$1:$1,0)-MATCH($F$1,enemy_skill_triggers!$1:$1,0)+1,FALSE)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62" s="48">
        <f ca="1">VLOOKUP($F562,OFFSET(enemy_skill_triggers!$A$1,0,0,COUNTA(enemy_skill_triggers!$A:$A),MATCH(I$1,enemy_skill_triggers!$1:$1,0)-MATCH($F$1,enemy_skill_triggers!$1:$1,0)+1),MATCH(I$1,enemy_skill_triggers!$1:$1,0)-MATCH($F$1,enemy_skill_triggers!$1:$1,0)+1,FALSE)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2" s="48" t="str">
        <f ca="1">VLOOKUP($F562,OFFSET(enemy_skill_triggers!$A$1,0,0,COUNTA(enemy_skill_triggers!$A:$A),MATCH(J$1,enemy_skill_triggers!$1:$1,0)-MATCH($F$1,enemy_skill_triggers!$1:$1,0)+1),MATCH(J$1,enemy_skill_triggers!$1:$1,0)-MATCH($F$1,enemy_skill_triggers!$1:$1,0)+1,FALSE)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2" s="48" t="str">
        <f ca="1">VLOOKUP($F562,OFFSET(enemy_skill_triggers!$A$1,0,0,COUNTA(enemy_skill_triggers!$A:$A),MATCH(K$1,enemy_skill_triggers!$1:$1,0)-MATCH($F$1,enemy_skill_triggers!$1:$1,0)+1),MATCH(K$1,enemy_skill_triggers!$1:$1,0)-MATCH($F$1,enemy_skill_triggers!$1:$1,0)+1,FALSE)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2" s="48">
        <f ca="1">VLOOKUP($F562,OFFSET(enemy_skill_triggers!$A$1,0,0,COUNTA(enemy_skill_triggers!$A:$A),MATCH(L$1,enemy_skill_triggers!$1:$1,0)-MATCH($F$1,enemy_skill_triggers!$1:$1,0)+1),MATCH(L$1,enemy_skill_triggers!$1:$1,0)-MATCH($F$1,enemy_skill_triggers!$1:$1,0)+1,FALSE)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2" s="48" t="str">
        <f ca="1">VLOOKUP($F562,OFFSET(enemy_skill_triggers!$A$1,0,0,COUNTA(enemy_skill_triggers!$A:$A),MATCH(M$1,enemy_skill_triggers!$1:$1,0)-MATCH($F$1,enemy_skill_triggers!$1:$1,0)+1),MATCH(M$1,enemy_skill_triggers!$1:$1,0)-MATCH($F$1,enemy_skill_triggers!$1:$1,0)+1,FALSE)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2" s="48">
        <f ca="1">VLOOKUP($F562,OFFSET(enemy_skill_triggers!$A$1,0,0,COUNTA(enemy_skill_triggers!$A:$A),MATCH(N$1,enemy_skill_triggers!$1:$1,0)-MATCH($F$1,enemy_skill_triggers!$1:$1,0)+1),MATCH(N$1,enemy_skill_triggers!$1:$1,0)-MATCH($F$1,enemy_skill_triggers!$1:$1,0)+1,FALSE)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62" s="48">
        <f ca="1">VLOOKUP($F562,OFFSET(enemy_skill_triggers!$A$1,0,0,COUNTA(enemy_skill_triggers!$A:$A),MATCH(O$1,enemy_skill_triggers!$1:$1,0)-MATCH($F$1,enemy_skill_triggers!$1:$1,0)+1),MATCH(O$1,enemy_skill_triggers!$1:$1,0)-MATCH($F$1,enemy_skill_triggers!$1:$1,0)+1,FALSE)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2" s="47"/>
      <c r="Q562" s="47"/>
      <c r="R562" s="47"/>
    </row>
    <row r="563" spans="1:18" ht="21" customHeight="1" x14ac:dyDescent="0.15">
      <c r="A563" s="39" t="str">
        <f t="shared" si="23"/>
        <v>39009028_39009026</v>
      </c>
      <c r="B563" s="130">
        <v>39009028</v>
      </c>
      <c r="C563" s="142">
        <v>39009026</v>
      </c>
      <c r="D563" s="46" t="str">
        <f ca="1">VLOOKUP($C563,OFFSET(enemy_skills!$A$1,0,0,COUNTA(enemy_skills!$A:$A),MATCH(D$1,enemy_skills!$1:$1,0)-MATCH("enemy_skill_id",enemy_skills!$1:$1,0)+1),MATCH(D$1,enemy_skills!$1:$1,0)-MATCH("enemy_skill_id",enemy_skills!$1:$1,0)+1,FALSE)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3" s="46" t="str">
        <f ca="1">VLOOKUP($C563,OFFSET(enemy_skills!$A$1,0,0,COUNTA(enemy_skills!$A:$A),MATCH(E$1,enemy_skills!$1:$1,0)-MATCH("enemy_skill_id",enemy_skills!$1:$1,0)+1),MATCH(E$1,enemy_skills!$1:$1,0)-MATCH("enemy_skill_id",enemy_skills!$1:$1,0)+1,FALSE)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3" s="47">
        <v>39009153</v>
      </c>
      <c r="G563" s="48">
        <f ca="1">VLOOKUP($F563,OFFSET(enemy_skill_triggers!$A$1,0,0,COUNTA(enemy_skill_triggers!$A:$A),MATCH(G$1,enemy_skill_triggers!$1:$1,0)-MATCH($F$1,enemy_skill_triggers!$1:$1,0)+1),MATCH(G$1,enemy_skill_triggers!$1:$1,0)-MATCH($F$1,enemy_skill_triggers!$1:$1,0)+1,FALSE)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3" s="48">
        <f ca="1">VLOOKUP($F563,OFFSET(enemy_skill_triggers!$A$1,0,0,COUNTA(enemy_skill_triggers!$A:$A),MATCH(H$1,enemy_skill_triggers!$1:$1,0)-MATCH($F$1,enemy_skill_triggers!$1:$1,0)+1),MATCH(H$1,enemy_skill_triggers!$1:$1,0)-MATCH($F$1,enemy_skill_triggers!$1:$1,0)+1,FALSE)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63" s="48">
        <f ca="1">VLOOKUP($F563,OFFSET(enemy_skill_triggers!$A$1,0,0,COUNTA(enemy_skill_triggers!$A:$A),MATCH(I$1,enemy_skill_triggers!$1:$1,0)-MATCH($F$1,enemy_skill_triggers!$1:$1,0)+1),MATCH(I$1,enemy_skill_triggers!$1:$1,0)-MATCH($F$1,enemy_skill_triggers!$1:$1,0)+1,FALSE)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3" s="48" t="str">
        <f ca="1">VLOOKUP($F563,OFFSET(enemy_skill_triggers!$A$1,0,0,COUNTA(enemy_skill_triggers!$A:$A),MATCH(J$1,enemy_skill_triggers!$1:$1,0)-MATCH($F$1,enemy_skill_triggers!$1:$1,0)+1),MATCH(J$1,enemy_skill_triggers!$1:$1,0)-MATCH($F$1,enemy_skill_triggers!$1:$1,0)+1,FALSE)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3" s="48" t="str">
        <f ca="1">VLOOKUP($F563,OFFSET(enemy_skill_triggers!$A$1,0,0,COUNTA(enemy_skill_triggers!$A:$A),MATCH(K$1,enemy_skill_triggers!$1:$1,0)-MATCH($F$1,enemy_skill_triggers!$1:$1,0)+1),MATCH(K$1,enemy_skill_triggers!$1:$1,0)-MATCH($F$1,enemy_skill_triggers!$1:$1,0)+1,FALSE)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3" s="48">
        <f ca="1">VLOOKUP($F563,OFFSET(enemy_skill_triggers!$A$1,0,0,COUNTA(enemy_skill_triggers!$A:$A),MATCH(L$1,enemy_skill_triggers!$1:$1,0)-MATCH($F$1,enemy_skill_triggers!$1:$1,0)+1),MATCH(L$1,enemy_skill_triggers!$1:$1,0)-MATCH($F$1,enemy_skill_triggers!$1:$1,0)+1,FALSE)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3" s="48" t="str">
        <f ca="1">VLOOKUP($F563,OFFSET(enemy_skill_triggers!$A$1,0,0,COUNTA(enemy_skill_triggers!$A:$A),MATCH(M$1,enemy_skill_triggers!$1:$1,0)-MATCH($F$1,enemy_skill_triggers!$1:$1,0)+1),MATCH(M$1,enemy_skill_triggers!$1:$1,0)-MATCH($F$1,enemy_skill_triggers!$1:$1,0)+1,FALSE)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3" s="48">
        <f ca="1">VLOOKUP($F563,OFFSET(enemy_skill_triggers!$A$1,0,0,COUNTA(enemy_skill_triggers!$A:$A),MATCH(N$1,enemy_skill_triggers!$1:$1,0)-MATCH($F$1,enemy_skill_triggers!$1:$1,0)+1),MATCH(N$1,enemy_skill_triggers!$1:$1,0)-MATCH($F$1,enemy_skill_triggers!$1:$1,0)+1,FALSE)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563" s="48">
        <f ca="1">VLOOKUP($F563,OFFSET(enemy_skill_triggers!$A$1,0,0,COUNTA(enemy_skill_triggers!$A:$A),MATCH(O$1,enemy_skill_triggers!$1:$1,0)-MATCH($F$1,enemy_skill_triggers!$1:$1,0)+1),MATCH(O$1,enemy_skill_triggers!$1:$1,0)-MATCH($F$1,enemy_skill_triggers!$1:$1,0)+1,FALSE)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3" s="47"/>
      <c r="Q563" s="47"/>
      <c r="R563" s="47"/>
    </row>
    <row r="564" spans="1:18" ht="21" customHeight="1" x14ac:dyDescent="0.15">
      <c r="A564" s="39" t="str">
        <f t="shared" si="23"/>
        <v>39009028_39009026</v>
      </c>
      <c r="B564" s="130">
        <v>39009028</v>
      </c>
      <c r="C564" s="142">
        <v>39009026</v>
      </c>
      <c r="D564" s="46" t="str">
        <f ca="1">VLOOKUP($C564,OFFSET(enemy_skills!$A$1,0,0,COUNTA(enemy_skills!$A:$A),MATCH(D$1,enemy_skills!$1:$1,0)-MATCH("enemy_skill_id",enemy_skills!$1:$1,0)+1),MATCH(D$1,enemy_skills!$1:$1,0)-MATCH("enemy_skill_id",enemy_skills!$1:$1,0)+1,FALSE)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4" s="46" t="str">
        <f ca="1">VLOOKUP($C564,OFFSET(enemy_skills!$A$1,0,0,COUNTA(enemy_skills!$A:$A),MATCH(E$1,enemy_skills!$1:$1,0)-MATCH("enemy_skill_id",enemy_skills!$1:$1,0)+1),MATCH(E$1,enemy_skills!$1:$1,0)-MATCH("enemy_skill_id",enemy_skills!$1:$1,0)+1,FALSE)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4" s="47">
        <v>39009154</v>
      </c>
      <c r="G564" s="48">
        <f ca="1">VLOOKUP($F564,OFFSET(enemy_skill_triggers!$A$1,0,0,COUNTA(enemy_skill_triggers!$A:$A),MATCH(G$1,enemy_skill_triggers!$1:$1,0)-MATCH($F$1,enemy_skill_triggers!$1:$1,0)+1),MATCH(G$1,enemy_skill_triggers!$1:$1,0)-MATCH($F$1,enemy_skill_triggers!$1:$1,0)+1,FALSE)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4" s="48">
        <f ca="1">VLOOKUP($F564,OFFSET(enemy_skill_triggers!$A$1,0,0,COUNTA(enemy_skill_triggers!$A:$A),MATCH(H$1,enemy_skill_triggers!$1:$1,0)-MATCH($F$1,enemy_skill_triggers!$1:$1,0)+1),MATCH(H$1,enemy_skill_triggers!$1:$1,0)-MATCH($F$1,enemy_skill_triggers!$1:$1,0)+1,FALSE)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564" s="48">
        <f ca="1">VLOOKUP($F564,OFFSET(enemy_skill_triggers!$A$1,0,0,COUNTA(enemy_skill_triggers!$A:$A),MATCH(I$1,enemy_skill_triggers!$1:$1,0)-MATCH($F$1,enemy_skill_triggers!$1:$1,0)+1),MATCH(I$1,enemy_skill_triggers!$1:$1,0)-MATCH($F$1,enemy_skill_triggers!$1:$1,0)+1,FALSE)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4" s="48" t="str">
        <f ca="1">VLOOKUP($F564,OFFSET(enemy_skill_triggers!$A$1,0,0,COUNTA(enemy_skill_triggers!$A:$A),MATCH(J$1,enemy_skill_triggers!$1:$1,0)-MATCH($F$1,enemy_skill_triggers!$1:$1,0)+1),MATCH(J$1,enemy_skill_triggers!$1:$1,0)-MATCH($F$1,enemy_skill_triggers!$1:$1,0)+1,FALSE)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4" s="48" t="str">
        <f ca="1">VLOOKUP($F564,OFFSET(enemy_skill_triggers!$A$1,0,0,COUNTA(enemy_skill_triggers!$A:$A),MATCH(K$1,enemy_skill_triggers!$1:$1,0)-MATCH($F$1,enemy_skill_triggers!$1:$1,0)+1),MATCH(K$1,enemy_skill_triggers!$1:$1,0)-MATCH($F$1,enemy_skill_triggers!$1:$1,0)+1,FALSE)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4" s="48">
        <f ca="1">VLOOKUP($F564,OFFSET(enemy_skill_triggers!$A$1,0,0,COUNTA(enemy_skill_triggers!$A:$A),MATCH(L$1,enemy_skill_triggers!$1:$1,0)-MATCH($F$1,enemy_skill_triggers!$1:$1,0)+1),MATCH(L$1,enemy_skill_triggers!$1:$1,0)-MATCH($F$1,enemy_skill_triggers!$1:$1,0)+1,FALSE)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4" s="48" t="str">
        <f ca="1">VLOOKUP($F564,OFFSET(enemy_skill_triggers!$A$1,0,0,COUNTA(enemy_skill_triggers!$A:$A),MATCH(M$1,enemy_skill_triggers!$1:$1,0)-MATCH($F$1,enemy_skill_triggers!$1:$1,0)+1),MATCH(M$1,enemy_skill_triggers!$1:$1,0)-MATCH($F$1,enemy_skill_triggers!$1:$1,0)+1,FALSE)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4" s="48">
        <f ca="1">VLOOKUP($F564,OFFSET(enemy_skill_triggers!$A$1,0,0,COUNTA(enemy_skill_triggers!$A:$A),MATCH(N$1,enemy_skill_triggers!$1:$1,0)-MATCH($F$1,enemy_skill_triggers!$1:$1,0)+1),MATCH(N$1,enemy_skill_triggers!$1:$1,0)-MATCH($F$1,enemy_skill_triggers!$1:$1,0)+1,FALSE)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564" s="48">
        <f ca="1">VLOOKUP($F564,OFFSET(enemy_skill_triggers!$A$1,0,0,COUNTA(enemy_skill_triggers!$A:$A),MATCH(O$1,enemy_skill_triggers!$1:$1,0)-MATCH($F$1,enemy_skill_triggers!$1:$1,0)+1),MATCH(O$1,enemy_skill_triggers!$1:$1,0)-MATCH($F$1,enemy_skill_triggers!$1:$1,0)+1,FALSE)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4" s="47"/>
      <c r="Q564" s="47"/>
      <c r="R564" s="47"/>
    </row>
    <row r="565" spans="1:18" ht="21" customHeight="1" x14ac:dyDescent="0.15">
      <c r="A565" s="39" t="str">
        <f t="shared" si="23"/>
        <v>39009028_39009026</v>
      </c>
      <c r="B565" s="130">
        <v>39009028</v>
      </c>
      <c r="C565" s="142">
        <v>39009026</v>
      </c>
      <c r="D565" s="46" t="str">
        <f ca="1">VLOOKUP($C565,OFFSET(enemy_skills!$A$1,0,0,COUNTA(enemy_skills!$A:$A),MATCH(D$1,enemy_skills!$1:$1,0)-MATCH("enemy_skill_id",enemy_skills!$1:$1,0)+1),MATCH(D$1,enemy_skills!$1:$1,0)-MATCH("enemy_skill_id",enemy_skills!$1:$1,0)+1,FALSE)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5" s="46" t="str">
        <f ca="1">VLOOKUP($C565,OFFSET(enemy_skills!$A$1,0,0,COUNTA(enemy_skills!$A:$A),MATCH(E$1,enemy_skills!$1:$1,0)-MATCH("enemy_skill_id",enemy_skills!$1:$1,0)+1),MATCH(E$1,enemy_skills!$1:$1,0)-MATCH("enemy_skill_id",enemy_skills!$1:$1,0)+1,FALSE)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5" s="47">
        <v>39009155</v>
      </c>
      <c r="G565" s="48">
        <f ca="1">VLOOKUP($F565,OFFSET(enemy_skill_triggers!$A$1,0,0,COUNTA(enemy_skill_triggers!$A:$A),MATCH(G$1,enemy_skill_triggers!$1:$1,0)-MATCH($F$1,enemy_skill_triggers!$1:$1,0)+1),MATCH(G$1,enemy_skill_triggers!$1:$1,0)-MATCH($F$1,enemy_skill_triggers!$1:$1,0)+1,FALSE)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5" s="48">
        <f ca="1">VLOOKUP($F565,OFFSET(enemy_skill_triggers!$A$1,0,0,COUNTA(enemy_skill_triggers!$A:$A),MATCH(H$1,enemy_skill_triggers!$1:$1,0)-MATCH($F$1,enemy_skill_triggers!$1:$1,0)+1),MATCH(H$1,enemy_skill_triggers!$1:$1,0)-MATCH($F$1,enemy_skill_triggers!$1:$1,0)+1,FALSE)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565" s="48">
        <f ca="1">VLOOKUP($F565,OFFSET(enemy_skill_triggers!$A$1,0,0,COUNTA(enemy_skill_triggers!$A:$A),MATCH(I$1,enemy_skill_triggers!$1:$1,0)-MATCH($F$1,enemy_skill_triggers!$1:$1,0)+1),MATCH(I$1,enemy_skill_triggers!$1:$1,0)-MATCH($F$1,enemy_skill_triggers!$1:$1,0)+1,FALSE)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5" s="48" t="str">
        <f ca="1">VLOOKUP($F565,OFFSET(enemy_skill_triggers!$A$1,0,0,COUNTA(enemy_skill_triggers!$A:$A),MATCH(J$1,enemy_skill_triggers!$1:$1,0)-MATCH($F$1,enemy_skill_triggers!$1:$1,0)+1),MATCH(J$1,enemy_skill_triggers!$1:$1,0)-MATCH($F$1,enemy_skill_triggers!$1:$1,0)+1,FALSE)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5" s="48" t="str">
        <f ca="1">VLOOKUP($F565,OFFSET(enemy_skill_triggers!$A$1,0,0,COUNTA(enemy_skill_triggers!$A:$A),MATCH(K$1,enemy_skill_triggers!$1:$1,0)-MATCH($F$1,enemy_skill_triggers!$1:$1,0)+1),MATCH(K$1,enemy_skill_triggers!$1:$1,0)-MATCH($F$1,enemy_skill_triggers!$1:$1,0)+1,FALSE)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5" s="48">
        <f ca="1">VLOOKUP($F565,OFFSET(enemy_skill_triggers!$A$1,0,0,COUNTA(enemy_skill_triggers!$A:$A),MATCH(L$1,enemy_skill_triggers!$1:$1,0)-MATCH($F$1,enemy_skill_triggers!$1:$1,0)+1),MATCH(L$1,enemy_skill_triggers!$1:$1,0)-MATCH($F$1,enemy_skill_triggers!$1:$1,0)+1,FALSE)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5" s="48" t="str">
        <f ca="1">VLOOKUP($F565,OFFSET(enemy_skill_triggers!$A$1,0,0,COUNTA(enemy_skill_triggers!$A:$A),MATCH(M$1,enemy_skill_triggers!$1:$1,0)-MATCH($F$1,enemy_skill_triggers!$1:$1,0)+1),MATCH(M$1,enemy_skill_triggers!$1:$1,0)-MATCH($F$1,enemy_skill_triggers!$1:$1,0)+1,FALSE)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5" s="48">
        <f ca="1">VLOOKUP($F565,OFFSET(enemy_skill_triggers!$A$1,0,0,COUNTA(enemy_skill_triggers!$A:$A),MATCH(N$1,enemy_skill_triggers!$1:$1,0)-MATCH($F$1,enemy_skill_triggers!$1:$1,0)+1),MATCH(N$1,enemy_skill_triggers!$1:$1,0)-MATCH($F$1,enemy_skill_triggers!$1:$1,0)+1,FALSE)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565" s="48">
        <f ca="1">VLOOKUP($F565,OFFSET(enemy_skill_triggers!$A$1,0,0,COUNTA(enemy_skill_triggers!$A:$A),MATCH(O$1,enemy_skill_triggers!$1:$1,0)-MATCH($F$1,enemy_skill_triggers!$1:$1,0)+1),MATCH(O$1,enemy_skill_triggers!$1:$1,0)-MATCH($F$1,enemy_skill_triggers!$1:$1,0)+1,FALSE)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5" s="47"/>
      <c r="Q565" s="47"/>
      <c r="R565" s="47"/>
    </row>
    <row r="566" spans="1:18" ht="21" customHeight="1" x14ac:dyDescent="0.15">
      <c r="A566" s="39" t="str">
        <f t="shared" si="23"/>
        <v>39009028_39009026</v>
      </c>
      <c r="B566" s="130">
        <v>39009028</v>
      </c>
      <c r="C566" s="142">
        <v>39009026</v>
      </c>
      <c r="D566" s="46" t="str">
        <f ca="1">VLOOKUP($C566,OFFSET(enemy_skills!$A$1,0,0,COUNTA(enemy_skills!$A:$A),MATCH(D$1,enemy_skills!$1:$1,0)-MATCH("enemy_skill_id",enemy_skills!$1:$1,0)+1),MATCH(D$1,enemy_skills!$1:$1,0)-MATCH("enemy_skill_id",enemy_skills!$1:$1,0)+1,FALSE)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6" s="46" t="str">
        <f ca="1">VLOOKUP($C566,OFFSET(enemy_skills!$A$1,0,0,COUNTA(enemy_skills!$A:$A),MATCH(E$1,enemy_skills!$1:$1,0)-MATCH("enemy_skill_id",enemy_skills!$1:$1,0)+1),MATCH(E$1,enemy_skills!$1:$1,0)-MATCH("enemy_skill_id",enemy_skills!$1:$1,0)+1,FALSE)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6" s="47">
        <v>39009156</v>
      </c>
      <c r="G566" s="48">
        <f ca="1">VLOOKUP($F566,OFFSET(enemy_skill_triggers!$A$1,0,0,COUNTA(enemy_skill_triggers!$A:$A),MATCH(G$1,enemy_skill_triggers!$1:$1,0)-MATCH($F$1,enemy_skill_triggers!$1:$1,0)+1),MATCH(G$1,enemy_skill_triggers!$1:$1,0)-MATCH($F$1,enemy_skill_triggers!$1:$1,0)+1,FALSE)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6" s="48">
        <f ca="1">VLOOKUP($F566,OFFSET(enemy_skill_triggers!$A$1,0,0,COUNTA(enemy_skill_triggers!$A:$A),MATCH(H$1,enemy_skill_triggers!$1:$1,0)-MATCH($F$1,enemy_skill_triggers!$1:$1,0)+1),MATCH(H$1,enemy_skill_triggers!$1:$1,0)-MATCH($F$1,enemy_skill_triggers!$1:$1,0)+1,FALSE)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66" s="48">
        <f ca="1">VLOOKUP($F566,OFFSET(enemy_skill_triggers!$A$1,0,0,COUNTA(enemy_skill_triggers!$A:$A),MATCH(I$1,enemy_skill_triggers!$1:$1,0)-MATCH($F$1,enemy_skill_triggers!$1:$1,0)+1),MATCH(I$1,enemy_skill_triggers!$1:$1,0)-MATCH($F$1,enemy_skill_triggers!$1:$1,0)+1,FALSE)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6" s="48" t="str">
        <f ca="1">VLOOKUP($F566,OFFSET(enemy_skill_triggers!$A$1,0,0,COUNTA(enemy_skill_triggers!$A:$A),MATCH(J$1,enemy_skill_triggers!$1:$1,0)-MATCH($F$1,enemy_skill_triggers!$1:$1,0)+1),MATCH(J$1,enemy_skill_triggers!$1:$1,0)-MATCH($F$1,enemy_skill_triggers!$1:$1,0)+1,FALSE)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6" s="48" t="str">
        <f ca="1">VLOOKUP($F566,OFFSET(enemy_skill_triggers!$A$1,0,0,COUNTA(enemy_skill_triggers!$A:$A),MATCH(K$1,enemy_skill_triggers!$1:$1,0)-MATCH($F$1,enemy_skill_triggers!$1:$1,0)+1),MATCH(K$1,enemy_skill_triggers!$1:$1,0)-MATCH($F$1,enemy_skill_triggers!$1:$1,0)+1,FALSE)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6" s="48">
        <f ca="1">VLOOKUP($F566,OFFSET(enemy_skill_triggers!$A$1,0,0,COUNTA(enemy_skill_triggers!$A:$A),MATCH(L$1,enemy_skill_triggers!$1:$1,0)-MATCH($F$1,enemy_skill_triggers!$1:$1,0)+1),MATCH(L$1,enemy_skill_triggers!$1:$1,0)-MATCH($F$1,enemy_skill_triggers!$1:$1,0)+1,FALSE)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6" s="48" t="str">
        <f ca="1">VLOOKUP($F566,OFFSET(enemy_skill_triggers!$A$1,0,0,COUNTA(enemy_skill_triggers!$A:$A),MATCH(M$1,enemy_skill_triggers!$1:$1,0)-MATCH($F$1,enemy_skill_triggers!$1:$1,0)+1),MATCH(M$1,enemy_skill_triggers!$1:$1,0)-MATCH($F$1,enemy_skill_triggers!$1:$1,0)+1,FALSE)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6" s="48">
        <f ca="1">VLOOKUP($F566,OFFSET(enemy_skill_triggers!$A$1,0,0,COUNTA(enemy_skill_triggers!$A:$A),MATCH(N$1,enemy_skill_triggers!$1:$1,0)-MATCH($F$1,enemy_skill_triggers!$1:$1,0)+1),MATCH(N$1,enemy_skill_triggers!$1:$1,0)-MATCH($F$1,enemy_skill_triggers!$1:$1,0)+1,FALSE)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566" s="48">
        <f ca="1">VLOOKUP($F566,OFFSET(enemy_skill_triggers!$A$1,0,0,COUNTA(enemy_skill_triggers!$A:$A),MATCH(O$1,enemy_skill_triggers!$1:$1,0)-MATCH($F$1,enemy_skill_triggers!$1:$1,0)+1),MATCH(O$1,enemy_skill_triggers!$1:$1,0)-MATCH($F$1,enemy_skill_triggers!$1:$1,0)+1,FALSE)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6" s="47"/>
      <c r="Q566" s="47"/>
      <c r="R566" s="47"/>
    </row>
    <row r="567" spans="1:18" ht="21" customHeight="1" x14ac:dyDescent="0.15">
      <c r="A567" s="39" t="str">
        <f t="shared" si="23"/>
        <v>39009028_39009026</v>
      </c>
      <c r="B567" s="130">
        <v>39009028</v>
      </c>
      <c r="C567" s="142">
        <v>39009026</v>
      </c>
      <c r="D567" s="46" t="str">
        <f ca="1">VLOOKUP($C567,OFFSET(enemy_skills!$A$1,0,0,COUNTA(enemy_skills!$A:$A),MATCH(D$1,enemy_skills!$1:$1,0)-MATCH("enemy_skill_id",enemy_skills!$1:$1,0)+1),MATCH(D$1,enemy_skills!$1:$1,0)-MATCH("enemy_skill_id",enemy_skills!$1:$1,0)+1,FALSE)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7" s="46" t="str">
        <f ca="1">VLOOKUP($C567,OFFSET(enemy_skills!$A$1,0,0,COUNTA(enemy_skills!$A:$A),MATCH(E$1,enemy_skills!$1:$1,0)-MATCH("enemy_skill_id",enemy_skills!$1:$1,0)+1),MATCH(E$1,enemy_skills!$1:$1,0)-MATCH("enemy_skill_id",enemy_skills!$1:$1,0)+1,FALSE)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7" s="47">
        <v>39009157</v>
      </c>
      <c r="G567" s="48">
        <f ca="1">VLOOKUP($F567,OFFSET(enemy_skill_triggers!$A$1,0,0,COUNTA(enemy_skill_triggers!$A:$A),MATCH(G$1,enemy_skill_triggers!$1:$1,0)-MATCH($F$1,enemy_skill_triggers!$1:$1,0)+1),MATCH(G$1,enemy_skill_triggers!$1:$1,0)-MATCH($F$1,enemy_skill_triggers!$1:$1,0)+1,FALSE)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7" s="48">
        <f ca="1">VLOOKUP($F567,OFFSET(enemy_skill_triggers!$A$1,0,0,COUNTA(enemy_skill_triggers!$A:$A),MATCH(H$1,enemy_skill_triggers!$1:$1,0)-MATCH($F$1,enemy_skill_triggers!$1:$1,0)+1),MATCH(H$1,enemy_skill_triggers!$1:$1,0)-MATCH($F$1,enemy_skill_triggers!$1:$1,0)+1,FALSE)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67" s="48">
        <f ca="1">VLOOKUP($F567,OFFSET(enemy_skill_triggers!$A$1,0,0,COUNTA(enemy_skill_triggers!$A:$A),MATCH(I$1,enemy_skill_triggers!$1:$1,0)-MATCH($F$1,enemy_skill_triggers!$1:$1,0)+1),MATCH(I$1,enemy_skill_triggers!$1:$1,0)-MATCH($F$1,enemy_skill_triggers!$1:$1,0)+1,FALSE)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7" s="48" t="str">
        <f ca="1">VLOOKUP($F567,OFFSET(enemy_skill_triggers!$A$1,0,0,COUNTA(enemy_skill_triggers!$A:$A),MATCH(J$1,enemy_skill_triggers!$1:$1,0)-MATCH($F$1,enemy_skill_triggers!$1:$1,0)+1),MATCH(J$1,enemy_skill_triggers!$1:$1,0)-MATCH($F$1,enemy_skill_triggers!$1:$1,0)+1,FALSE)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7" s="48" t="str">
        <f ca="1">VLOOKUP($F567,OFFSET(enemy_skill_triggers!$A$1,0,0,COUNTA(enemy_skill_triggers!$A:$A),MATCH(K$1,enemy_skill_triggers!$1:$1,0)-MATCH($F$1,enemy_skill_triggers!$1:$1,0)+1),MATCH(K$1,enemy_skill_triggers!$1:$1,0)-MATCH($F$1,enemy_skill_triggers!$1:$1,0)+1,FALSE)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7" s="48">
        <f ca="1">VLOOKUP($F567,OFFSET(enemy_skill_triggers!$A$1,0,0,COUNTA(enemy_skill_triggers!$A:$A),MATCH(L$1,enemy_skill_triggers!$1:$1,0)-MATCH($F$1,enemy_skill_triggers!$1:$1,0)+1),MATCH(L$1,enemy_skill_triggers!$1:$1,0)-MATCH($F$1,enemy_skill_triggers!$1:$1,0)+1,FALSE)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7" s="48" t="str">
        <f ca="1">VLOOKUP($F567,OFFSET(enemy_skill_triggers!$A$1,0,0,COUNTA(enemy_skill_triggers!$A:$A),MATCH(M$1,enemy_skill_triggers!$1:$1,0)-MATCH($F$1,enemy_skill_triggers!$1:$1,0)+1),MATCH(M$1,enemy_skill_triggers!$1:$1,0)-MATCH($F$1,enemy_skill_triggers!$1:$1,0)+1,FALSE)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7" s="48">
        <f ca="1">VLOOKUP($F567,OFFSET(enemy_skill_triggers!$A$1,0,0,COUNTA(enemy_skill_triggers!$A:$A),MATCH(N$1,enemy_skill_triggers!$1:$1,0)-MATCH($F$1,enemy_skill_triggers!$1:$1,0)+1),MATCH(N$1,enemy_skill_triggers!$1:$1,0)-MATCH($F$1,enemy_skill_triggers!$1:$1,0)+1,FALSE)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567" s="48">
        <f ca="1">VLOOKUP($F567,OFFSET(enemy_skill_triggers!$A$1,0,0,COUNTA(enemy_skill_triggers!$A:$A),MATCH(O$1,enemy_skill_triggers!$1:$1,0)-MATCH($F$1,enemy_skill_triggers!$1:$1,0)+1),MATCH(O$1,enemy_skill_triggers!$1:$1,0)-MATCH($F$1,enemy_skill_triggers!$1:$1,0)+1,FALSE)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7" s="47"/>
      <c r="Q567" s="47"/>
      <c r="R567" s="47"/>
    </row>
    <row r="568" spans="1:18" ht="21" customHeight="1" x14ac:dyDescent="0.15">
      <c r="A568" s="39" t="str">
        <f t="shared" si="23"/>
        <v>39009028_39009026</v>
      </c>
      <c r="B568" s="130">
        <v>39009028</v>
      </c>
      <c r="C568" s="142">
        <v>39009026</v>
      </c>
      <c r="D568" s="46" t="str">
        <f ca="1">VLOOKUP($C568,OFFSET(enemy_skills!$A$1,0,0,COUNTA(enemy_skills!$A:$A),MATCH(D$1,enemy_skills!$1:$1,0)-MATCH("enemy_skill_id",enemy_skills!$1:$1,0)+1),MATCH(D$1,enemy_skills!$1:$1,0)-MATCH("enemy_skill_id",enemy_skills!$1:$1,0)+1,FALSE)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8" s="46" t="str">
        <f ca="1">VLOOKUP($C568,OFFSET(enemy_skills!$A$1,0,0,COUNTA(enemy_skills!$A:$A),MATCH(E$1,enemy_skills!$1:$1,0)-MATCH("enemy_skill_id",enemy_skills!$1:$1,0)+1),MATCH(E$1,enemy_skills!$1:$1,0)-MATCH("enemy_skill_id",enemy_skills!$1:$1,0)+1,FALSE)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8" s="47">
        <v>39009158</v>
      </c>
      <c r="G568" s="48">
        <f ca="1">VLOOKUP($F568,OFFSET(enemy_skill_triggers!$A$1,0,0,COUNTA(enemy_skill_triggers!$A:$A),MATCH(G$1,enemy_skill_triggers!$1:$1,0)-MATCH($F$1,enemy_skill_triggers!$1:$1,0)+1),MATCH(G$1,enemy_skill_triggers!$1:$1,0)-MATCH($F$1,enemy_skill_triggers!$1:$1,0)+1,FALSE)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8" s="48">
        <f ca="1">VLOOKUP($F568,OFFSET(enemy_skill_triggers!$A$1,0,0,COUNTA(enemy_skill_triggers!$A:$A),MATCH(H$1,enemy_skill_triggers!$1:$1,0)-MATCH($F$1,enemy_skill_triggers!$1:$1,0)+1),MATCH(H$1,enemy_skill_triggers!$1:$1,0)-MATCH($F$1,enemy_skill_triggers!$1:$1,0)+1,FALSE)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68" s="48">
        <f ca="1">VLOOKUP($F568,OFFSET(enemy_skill_triggers!$A$1,0,0,COUNTA(enemy_skill_triggers!$A:$A),MATCH(I$1,enemy_skill_triggers!$1:$1,0)-MATCH($F$1,enemy_skill_triggers!$1:$1,0)+1),MATCH(I$1,enemy_skill_triggers!$1:$1,0)-MATCH($F$1,enemy_skill_triggers!$1:$1,0)+1,FALSE)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8" s="48" t="str">
        <f ca="1">VLOOKUP($F568,OFFSET(enemy_skill_triggers!$A$1,0,0,COUNTA(enemy_skill_triggers!$A:$A),MATCH(J$1,enemy_skill_triggers!$1:$1,0)-MATCH($F$1,enemy_skill_triggers!$1:$1,0)+1),MATCH(J$1,enemy_skill_triggers!$1:$1,0)-MATCH($F$1,enemy_skill_triggers!$1:$1,0)+1,FALSE)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8" s="48" t="str">
        <f ca="1">VLOOKUP($F568,OFFSET(enemy_skill_triggers!$A$1,0,0,COUNTA(enemy_skill_triggers!$A:$A),MATCH(K$1,enemy_skill_triggers!$1:$1,0)-MATCH($F$1,enemy_skill_triggers!$1:$1,0)+1),MATCH(K$1,enemy_skill_triggers!$1:$1,0)-MATCH($F$1,enemy_skill_triggers!$1:$1,0)+1,FALSE)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8" s="48">
        <f ca="1">VLOOKUP($F568,OFFSET(enemy_skill_triggers!$A$1,0,0,COUNTA(enemy_skill_triggers!$A:$A),MATCH(L$1,enemy_skill_triggers!$1:$1,0)-MATCH($F$1,enemy_skill_triggers!$1:$1,0)+1),MATCH(L$1,enemy_skill_triggers!$1:$1,0)-MATCH($F$1,enemy_skill_triggers!$1:$1,0)+1,FALSE)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8" s="48" t="str">
        <f ca="1">VLOOKUP($F568,OFFSET(enemy_skill_triggers!$A$1,0,0,COUNTA(enemy_skill_triggers!$A:$A),MATCH(M$1,enemy_skill_triggers!$1:$1,0)-MATCH($F$1,enemy_skill_triggers!$1:$1,0)+1),MATCH(M$1,enemy_skill_triggers!$1:$1,0)-MATCH($F$1,enemy_skill_triggers!$1:$1,0)+1,FALSE)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8" s="48">
        <f ca="1">VLOOKUP($F568,OFFSET(enemy_skill_triggers!$A$1,0,0,COUNTA(enemy_skill_triggers!$A:$A),MATCH(N$1,enemy_skill_triggers!$1:$1,0)-MATCH($F$1,enemy_skill_triggers!$1:$1,0)+1),MATCH(N$1,enemy_skill_triggers!$1:$1,0)-MATCH($F$1,enemy_skill_triggers!$1:$1,0)+1,FALSE)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568" s="48">
        <f ca="1">VLOOKUP($F568,OFFSET(enemy_skill_triggers!$A$1,0,0,COUNTA(enemy_skill_triggers!$A:$A),MATCH(O$1,enemy_skill_triggers!$1:$1,0)-MATCH($F$1,enemy_skill_triggers!$1:$1,0)+1),MATCH(O$1,enemy_skill_triggers!$1:$1,0)-MATCH($F$1,enemy_skill_triggers!$1:$1,0)+1,FALSE)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8" s="47"/>
      <c r="Q568" s="47"/>
      <c r="R568" s="47"/>
    </row>
    <row r="569" spans="1:18" ht="21" customHeight="1" x14ac:dyDescent="0.15">
      <c r="A569" s="39" t="str">
        <f t="shared" si="23"/>
        <v>39009028_39009026</v>
      </c>
      <c r="B569" s="130">
        <v>39009028</v>
      </c>
      <c r="C569" s="142">
        <v>39009026</v>
      </c>
      <c r="D569" s="46" t="str">
        <f ca="1">VLOOKUP($C569,OFFSET(enemy_skills!$A$1,0,0,COUNTA(enemy_skills!$A:$A),MATCH(D$1,enemy_skills!$1:$1,0)-MATCH("enemy_skill_id",enemy_skills!$1:$1,0)+1),MATCH(D$1,enemy_skills!$1:$1,0)-MATCH("enemy_skill_id",enemy_skills!$1:$1,0)+1,FALSE)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69" s="46" t="str">
        <f ca="1">VLOOKUP($C569,OFFSET(enemy_skills!$A$1,0,0,COUNTA(enemy_skills!$A:$A),MATCH(E$1,enemy_skills!$1:$1,0)-MATCH("enemy_skill_id",enemy_skills!$1:$1,0)+1),MATCH(E$1,enemy_skills!$1:$1,0)-MATCH("enemy_skill_id",enemy_skills!$1:$1,0)+1,FALSE)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69" s="47">
        <v>39009159</v>
      </c>
      <c r="G569" s="48">
        <f ca="1">VLOOKUP($F569,OFFSET(enemy_skill_triggers!$A$1,0,0,COUNTA(enemy_skill_triggers!$A:$A),MATCH(G$1,enemy_skill_triggers!$1:$1,0)-MATCH($F$1,enemy_skill_triggers!$1:$1,0)+1),MATCH(G$1,enemy_skill_triggers!$1:$1,0)-MATCH($F$1,enemy_skill_triggers!$1:$1,0)+1,FALSE)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9" s="48">
        <f ca="1">VLOOKUP($F569,OFFSET(enemy_skill_triggers!$A$1,0,0,COUNTA(enemy_skill_triggers!$A:$A),MATCH(H$1,enemy_skill_triggers!$1:$1,0)-MATCH($F$1,enemy_skill_triggers!$1:$1,0)+1),MATCH(H$1,enemy_skill_triggers!$1:$1,0)-MATCH($F$1,enemy_skill_triggers!$1:$1,0)+1,FALSE)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69" s="48">
        <f ca="1">VLOOKUP($F569,OFFSET(enemy_skill_triggers!$A$1,0,0,COUNTA(enemy_skill_triggers!$A:$A),MATCH(I$1,enemy_skill_triggers!$1:$1,0)-MATCH($F$1,enemy_skill_triggers!$1:$1,0)+1),MATCH(I$1,enemy_skill_triggers!$1:$1,0)-MATCH($F$1,enemy_skill_triggers!$1:$1,0)+1,FALSE)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9" s="48" t="str">
        <f ca="1">VLOOKUP($F569,OFFSET(enemy_skill_triggers!$A$1,0,0,COUNTA(enemy_skill_triggers!$A:$A),MATCH(J$1,enemy_skill_triggers!$1:$1,0)-MATCH($F$1,enemy_skill_triggers!$1:$1,0)+1),MATCH(J$1,enemy_skill_triggers!$1:$1,0)-MATCH($F$1,enemy_skill_triggers!$1:$1,0)+1,FALSE)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9" s="48" t="str">
        <f ca="1">VLOOKUP($F569,OFFSET(enemy_skill_triggers!$A$1,0,0,COUNTA(enemy_skill_triggers!$A:$A),MATCH(K$1,enemy_skill_triggers!$1:$1,0)-MATCH($F$1,enemy_skill_triggers!$1:$1,0)+1),MATCH(K$1,enemy_skill_triggers!$1:$1,0)-MATCH($F$1,enemy_skill_triggers!$1:$1,0)+1,FALSE)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9" s="48">
        <f ca="1">VLOOKUP($F569,OFFSET(enemy_skill_triggers!$A$1,0,0,COUNTA(enemy_skill_triggers!$A:$A),MATCH(L$1,enemy_skill_triggers!$1:$1,0)-MATCH($F$1,enemy_skill_triggers!$1:$1,0)+1),MATCH(L$1,enemy_skill_triggers!$1:$1,0)-MATCH($F$1,enemy_skill_triggers!$1:$1,0)+1,FALSE)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9" s="48" t="str">
        <f ca="1">VLOOKUP($F569,OFFSET(enemy_skill_triggers!$A$1,0,0,COUNTA(enemy_skill_triggers!$A:$A),MATCH(M$1,enemy_skill_triggers!$1:$1,0)-MATCH($F$1,enemy_skill_triggers!$1:$1,0)+1),MATCH(M$1,enemy_skill_triggers!$1:$1,0)-MATCH($F$1,enemy_skill_triggers!$1:$1,0)+1,FALSE)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9" s="48">
        <f ca="1">VLOOKUP($F569,OFFSET(enemy_skill_triggers!$A$1,0,0,COUNTA(enemy_skill_triggers!$A:$A),MATCH(N$1,enemy_skill_triggers!$1:$1,0)-MATCH($F$1,enemy_skill_triggers!$1:$1,0)+1),MATCH(N$1,enemy_skill_triggers!$1:$1,0)-MATCH($F$1,enemy_skill_triggers!$1:$1,0)+1,FALSE)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569" s="48">
        <f ca="1">VLOOKUP($F569,OFFSET(enemy_skill_triggers!$A$1,0,0,COUNTA(enemy_skill_triggers!$A:$A),MATCH(O$1,enemy_skill_triggers!$1:$1,0)-MATCH($F$1,enemy_skill_triggers!$1:$1,0)+1),MATCH(O$1,enemy_skill_triggers!$1:$1,0)-MATCH($F$1,enemy_skill_triggers!$1:$1,0)+1,FALSE)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9" s="47"/>
      <c r="Q569" s="47"/>
      <c r="R569" s="47"/>
    </row>
    <row r="570" spans="1:18" ht="21" customHeight="1" x14ac:dyDescent="0.15">
      <c r="A570" s="39" t="str">
        <f t="shared" ref="A570" si="26">B570&amp;"_"&amp;C570</f>
        <v>39009028_39009026</v>
      </c>
      <c r="B570" s="130">
        <v>39009028</v>
      </c>
      <c r="C570" s="142">
        <v>39009026</v>
      </c>
      <c r="D570" s="46" t="str">
        <f ca="1">VLOOKUP($C570,OFFSET(enemy_skills!$A$1,0,0,COUNTA(enemy_skills!$A:$A),MATCH(D$1,enemy_skills!$1:$1,0)-MATCH("enemy_skill_id",enemy_skills!$1:$1,0)+1),MATCH(D$1,enemy_skills!$1:$1,0)-MATCH("enemy_skill_id",enemy_skills!$1:$1,0)+1,FALSE)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570" s="46" t="str">
        <f ca="1">VLOOKUP($C570,OFFSET(enemy_skills!$A$1,0,0,COUNTA(enemy_skills!$A:$A),MATCH(E$1,enemy_skills!$1:$1,0)-MATCH("enemy_skill_id",enemy_skills!$1:$1,0)+1),MATCH(E$1,enemy_skills!$1:$1,0)-MATCH("enemy_skill_id",enemy_skills!$1:$1,0)+1,FALSE)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570" s="47">
        <v>39009160</v>
      </c>
      <c r="G570" s="48">
        <f ca="1">VLOOKUP($F570,OFFSET(enemy_skill_triggers!$A$1,0,0,COUNTA(enemy_skill_triggers!$A:$A),MATCH(G$1,enemy_skill_triggers!$1:$1,0)-MATCH($F$1,enemy_skill_triggers!$1:$1,0)+1),MATCH(G$1,enemy_skill_triggers!$1:$1,0)-MATCH($F$1,enemy_skill_triggers!$1:$1,0)+1,FALSE)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0" s="48">
        <f ca="1">VLOOKUP($F570,OFFSET(enemy_skill_triggers!$A$1,0,0,COUNTA(enemy_skill_triggers!$A:$A),MATCH(H$1,enemy_skill_triggers!$1:$1,0)-MATCH($F$1,enemy_skill_triggers!$1:$1,0)+1),MATCH(H$1,enemy_skill_triggers!$1:$1,0)-MATCH($F$1,enemy_skill_triggers!$1:$1,0)+1,FALSE)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70" s="48">
        <f ca="1">VLOOKUP($F570,OFFSET(enemy_skill_triggers!$A$1,0,0,COUNTA(enemy_skill_triggers!$A:$A),MATCH(I$1,enemy_skill_triggers!$1:$1,0)-MATCH($F$1,enemy_skill_triggers!$1:$1,0)+1),MATCH(I$1,enemy_skill_triggers!$1:$1,0)-MATCH($F$1,enemy_skill_triggers!$1:$1,0)+1,FALSE)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0" s="48" t="str">
        <f ca="1">VLOOKUP($F570,OFFSET(enemy_skill_triggers!$A$1,0,0,COUNTA(enemy_skill_triggers!$A:$A),MATCH(J$1,enemy_skill_triggers!$1:$1,0)-MATCH($F$1,enemy_skill_triggers!$1:$1,0)+1),MATCH(J$1,enemy_skill_triggers!$1:$1,0)-MATCH($F$1,enemy_skill_triggers!$1:$1,0)+1,FALSE)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0" s="48" t="str">
        <f ca="1">VLOOKUP($F570,OFFSET(enemy_skill_triggers!$A$1,0,0,COUNTA(enemy_skill_triggers!$A:$A),MATCH(K$1,enemy_skill_triggers!$1:$1,0)-MATCH($F$1,enemy_skill_triggers!$1:$1,0)+1),MATCH(K$1,enemy_skill_triggers!$1:$1,0)-MATCH($F$1,enemy_skill_triggers!$1:$1,0)+1,FALSE)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0" s="48">
        <f ca="1">VLOOKUP($F570,OFFSET(enemy_skill_triggers!$A$1,0,0,COUNTA(enemy_skill_triggers!$A:$A),MATCH(L$1,enemy_skill_triggers!$1:$1,0)-MATCH($F$1,enemy_skill_triggers!$1:$1,0)+1),MATCH(L$1,enemy_skill_triggers!$1:$1,0)-MATCH($F$1,enemy_skill_triggers!$1:$1,0)+1,FALSE)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0" s="48" t="str">
        <f ca="1">VLOOKUP($F570,OFFSET(enemy_skill_triggers!$A$1,0,0,COUNTA(enemy_skill_triggers!$A:$A),MATCH(M$1,enemy_skill_triggers!$1:$1,0)-MATCH($F$1,enemy_skill_triggers!$1:$1,0)+1),MATCH(M$1,enemy_skill_triggers!$1:$1,0)-MATCH($F$1,enemy_skill_triggers!$1:$1,0)+1,FALSE)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0" s="48">
        <f ca="1">VLOOKUP($F570,OFFSET(enemy_skill_triggers!$A$1,0,0,COUNTA(enemy_skill_triggers!$A:$A),MATCH(N$1,enemy_skill_triggers!$1:$1,0)-MATCH($F$1,enemy_skill_triggers!$1:$1,0)+1),MATCH(N$1,enemy_skill_triggers!$1:$1,0)-MATCH($F$1,enemy_skill_triggers!$1:$1,0)+1,FALSE)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570" s="48">
        <f ca="1">VLOOKUP($F570,OFFSET(enemy_skill_triggers!$A$1,0,0,COUNTA(enemy_skill_triggers!$A:$A),MATCH(O$1,enemy_skill_triggers!$1:$1,0)-MATCH($F$1,enemy_skill_triggers!$1:$1,0)+1),MATCH(O$1,enemy_skill_triggers!$1:$1,0)-MATCH($F$1,enemy_skill_triggers!$1:$1,0)+1,FALSE)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0" s="47"/>
      <c r="Q570" s="47"/>
      <c r="R570" s="47"/>
    </row>
    <row r="571" spans="1:18" ht="21" customHeight="1" x14ac:dyDescent="0.15">
      <c r="A571" s="39" t="str">
        <f t="shared" si="23"/>
        <v>39009028_39009069</v>
      </c>
      <c r="B571" s="130">
        <v>39009028</v>
      </c>
      <c r="C571" s="47">
        <v>39009069</v>
      </c>
      <c r="D571" s="46" t="str">
        <f ca="1">VLOOKUP($C571,OFFSET(enemy_skills!$A$1,0,0,COUNTA(enemy_skills!$A:$A),MATCH(D$1,enemy_skills!$1:$1,0)-MATCH("enemy_skill_id",enemy_skills!$1:$1,0)+1),MATCH(D$1,enemy_skills!$1:$1,0)-MATCH("enemy_skill_id",enemy_skills!$1:$1,0)+1,FALSE)</f>
        <v>シャイニーポラリス</v>
      </c>
      <c r="E571" s="46" t="str">
        <f ca="1">VLOOKUP($C571,OFFSET(enemy_skills!$A$1,0,0,COUNTA(enemy_skills!$A:$A),MATCH(E$1,enemy_skills!$1:$1,0)-MATCH("enemy_skill_id",enemy_skills!$1:$1,0)+1),MATCH(E$1,enemy_skills!$1:$1,0)-MATCH("enemy_skill_id",enemy_skills!$1:$1,0)+1,FALSE)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71" s="47">
        <v>39009192</v>
      </c>
      <c r="G571" s="48">
        <f ca="1">VLOOKUP($F571,OFFSET(enemy_skill_triggers!$A$1,0,0,COUNTA(enemy_skill_triggers!$A:$A),MATCH(G$1,enemy_skill_triggers!$1:$1,0)-MATCH($F$1,enemy_skill_triggers!$1:$1,0)+1),MATCH(G$1,enemy_skill_triggers!$1:$1,0)-MATCH($F$1,enemy_skill_triggers!$1:$1,0)+1,FALSE)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1" s="48">
        <f ca="1">VLOOKUP($F571,OFFSET(enemy_skill_triggers!$A$1,0,0,COUNTA(enemy_skill_triggers!$A:$A),MATCH(H$1,enemy_skill_triggers!$1:$1,0)-MATCH($F$1,enemy_skill_triggers!$1:$1,0)+1),MATCH(H$1,enemy_skill_triggers!$1:$1,0)-MATCH($F$1,enemy_skill_triggers!$1:$1,0)+1,FALSE)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571" s="48">
        <f ca="1">VLOOKUP($F571,OFFSET(enemy_skill_triggers!$A$1,0,0,COUNTA(enemy_skill_triggers!$A:$A),MATCH(I$1,enemy_skill_triggers!$1:$1,0)-MATCH($F$1,enemy_skill_triggers!$1:$1,0)+1),MATCH(I$1,enemy_skill_triggers!$1:$1,0)-MATCH($F$1,enemy_skill_triggers!$1:$1,0)+1,FALSE)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71" s="48" t="str">
        <f ca="1">VLOOKUP($F571,OFFSET(enemy_skill_triggers!$A$1,0,0,COUNTA(enemy_skill_triggers!$A:$A),MATCH(J$1,enemy_skill_triggers!$1:$1,0)-MATCH($F$1,enemy_skill_triggers!$1:$1,0)+1),MATCH(J$1,enemy_skill_triggers!$1:$1,0)-MATCH($F$1,enemy_skill_triggers!$1:$1,0)+1,FALSE)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1" s="48" t="str">
        <f ca="1">VLOOKUP($F571,OFFSET(enemy_skill_triggers!$A$1,0,0,COUNTA(enemy_skill_triggers!$A:$A),MATCH(K$1,enemy_skill_triggers!$1:$1,0)-MATCH($F$1,enemy_skill_triggers!$1:$1,0)+1),MATCH(K$1,enemy_skill_triggers!$1:$1,0)-MATCH($F$1,enemy_skill_triggers!$1:$1,0)+1,FALSE)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1" s="48" t="str">
        <f ca="1">VLOOKUP($F571,OFFSET(enemy_skill_triggers!$A$1,0,0,COUNTA(enemy_skill_triggers!$A:$A),MATCH(L$1,enemy_skill_triggers!$1:$1,0)-MATCH($F$1,enemy_skill_triggers!$1:$1,0)+1),MATCH(L$1,enemy_skill_triggers!$1:$1,0)-MATCH($F$1,enemy_skill_triggers!$1:$1,0)+1,FALSE)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1" s="48" t="str">
        <f ca="1">VLOOKUP($F571,OFFSET(enemy_skill_triggers!$A$1,0,0,COUNTA(enemy_skill_triggers!$A:$A),MATCH(M$1,enemy_skill_triggers!$1:$1,0)-MATCH($F$1,enemy_skill_triggers!$1:$1,0)+1),MATCH(M$1,enemy_skill_triggers!$1:$1,0)-MATCH($F$1,enemy_skill_triggers!$1:$1,0)+1,FALSE)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1" s="48" t="str">
        <f ca="1">VLOOKUP($F571,OFFSET(enemy_skill_triggers!$A$1,0,0,COUNTA(enemy_skill_triggers!$A:$A),MATCH(N$1,enemy_skill_triggers!$1:$1,0)-MATCH($F$1,enemy_skill_triggers!$1:$1,0)+1),MATCH(N$1,enemy_skill_triggers!$1:$1,0)-MATCH($F$1,enemy_skill_triggers!$1:$1,0)+1,FALSE)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1" s="48">
        <f ca="1">VLOOKUP($F571,OFFSET(enemy_skill_triggers!$A$1,0,0,COUNTA(enemy_skill_triggers!$A:$A),MATCH(O$1,enemy_skill_triggers!$1:$1,0)-MATCH($F$1,enemy_skill_triggers!$1:$1,0)+1),MATCH(O$1,enemy_skill_triggers!$1:$1,0)-MATCH($F$1,enemy_skill_triggers!$1:$1,0)+1,FALSE)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71" s="47"/>
      <c r="Q571" s="47"/>
      <c r="R571" s="47"/>
    </row>
    <row r="572" spans="1:18" ht="21" customHeight="1" x14ac:dyDescent="0.15">
      <c r="A572" s="39" t="str">
        <f t="shared" si="23"/>
        <v>39009028_39009070</v>
      </c>
      <c r="B572" s="130">
        <v>39009028</v>
      </c>
      <c r="C572" s="47">
        <v>39009070</v>
      </c>
      <c r="D572" s="46" t="str">
        <f ca="1">VLOOKUP($C572,OFFSET(enemy_skills!$A$1,0,0,COUNTA(enemy_skills!$A:$A),MATCH(D$1,enemy_skills!$1:$1,0)-MATCH("enemy_skill_id",enemy_skills!$1:$1,0)+1),MATCH(D$1,enemy_skills!$1:$1,0)-MATCH("enemy_skill_id",enemy_skills!$1:$1,0)+1,FALSE)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572" s="46" t="str">
        <f ca="1">VLOOKUP($C572,OFFSET(enemy_skills!$A$1,0,0,COUNTA(enemy_skills!$A:$A),MATCH(E$1,enemy_skills!$1:$1,0)-MATCH("enemy_skill_id",enemy_skills!$1:$1,0)+1),MATCH(E$1,enemy_skills!$1:$1,0)-MATCH("enemy_skill_id",enemy_skills!$1:$1,0)+1,FALSE)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572" s="47">
        <v>39009193</v>
      </c>
      <c r="G572" s="48">
        <f ca="1">VLOOKUP($F572,OFFSET(enemy_skill_triggers!$A$1,0,0,COUNTA(enemy_skill_triggers!$A:$A),MATCH(G$1,enemy_skill_triggers!$1:$1,0)-MATCH($F$1,enemy_skill_triggers!$1:$1,0)+1),MATCH(G$1,enemy_skill_triggers!$1:$1,0)-MATCH($F$1,enemy_skill_triggers!$1:$1,0)+1,FALSE)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2" s="48">
        <f ca="1">VLOOKUP($F572,OFFSET(enemy_skill_triggers!$A$1,0,0,COUNTA(enemy_skill_triggers!$A:$A),MATCH(H$1,enemy_skill_triggers!$1:$1,0)-MATCH($F$1,enemy_skill_triggers!$1:$1,0)+1),MATCH(H$1,enemy_skill_triggers!$1:$1,0)-MATCH($F$1,enemy_skill_triggers!$1:$1,0)+1,FALSE)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572" s="48">
        <f ca="1">VLOOKUP($F572,OFFSET(enemy_skill_triggers!$A$1,0,0,COUNTA(enemy_skill_triggers!$A:$A),MATCH(I$1,enemy_skill_triggers!$1:$1,0)-MATCH($F$1,enemy_skill_triggers!$1:$1,0)+1),MATCH(I$1,enemy_skill_triggers!$1:$1,0)-MATCH($F$1,enemy_skill_triggers!$1:$1,0)+1,FALSE)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72" s="48" t="str">
        <f ca="1">VLOOKUP($F572,OFFSET(enemy_skill_triggers!$A$1,0,0,COUNTA(enemy_skill_triggers!$A:$A),MATCH(J$1,enemy_skill_triggers!$1:$1,0)-MATCH($F$1,enemy_skill_triggers!$1:$1,0)+1),MATCH(J$1,enemy_skill_triggers!$1:$1,0)-MATCH($F$1,enemy_skill_triggers!$1:$1,0)+1,FALSE)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2" s="48" t="str">
        <f ca="1">VLOOKUP($F572,OFFSET(enemy_skill_triggers!$A$1,0,0,COUNTA(enemy_skill_triggers!$A:$A),MATCH(K$1,enemy_skill_triggers!$1:$1,0)-MATCH($F$1,enemy_skill_triggers!$1:$1,0)+1),MATCH(K$1,enemy_skill_triggers!$1:$1,0)-MATCH($F$1,enemy_skill_triggers!$1:$1,0)+1,FALSE)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2" s="48">
        <f ca="1">VLOOKUP($F572,OFFSET(enemy_skill_triggers!$A$1,0,0,COUNTA(enemy_skill_triggers!$A:$A),MATCH(L$1,enemy_skill_triggers!$1:$1,0)-MATCH($F$1,enemy_skill_triggers!$1:$1,0)+1),MATCH(L$1,enemy_skill_triggers!$1:$1,0)-MATCH($F$1,enemy_skill_triggers!$1:$1,0)+1,FALSE)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72" s="48" t="str">
        <f ca="1">VLOOKUP($F572,OFFSET(enemy_skill_triggers!$A$1,0,0,COUNTA(enemy_skill_triggers!$A:$A),MATCH(M$1,enemy_skill_triggers!$1:$1,0)-MATCH($F$1,enemy_skill_triggers!$1:$1,0)+1),MATCH(M$1,enemy_skill_triggers!$1:$1,0)-MATCH($F$1,enemy_skill_triggers!$1:$1,0)+1,FALSE)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2" s="48" t="str">
        <f ca="1">VLOOKUP($F572,OFFSET(enemy_skill_triggers!$A$1,0,0,COUNTA(enemy_skill_triggers!$A:$A),MATCH(N$1,enemy_skill_triggers!$1:$1,0)-MATCH($F$1,enemy_skill_triggers!$1:$1,0)+1),MATCH(N$1,enemy_skill_triggers!$1:$1,0)-MATCH($F$1,enemy_skill_triggers!$1:$1,0)+1,FALSE)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2" s="48">
        <f ca="1">VLOOKUP($F572,OFFSET(enemy_skill_triggers!$A$1,0,0,COUNTA(enemy_skill_triggers!$A:$A),MATCH(O$1,enemy_skill_triggers!$1:$1,0)-MATCH($F$1,enemy_skill_triggers!$1:$1,0)+1),MATCH(O$1,enemy_skill_triggers!$1:$1,0)-MATCH($F$1,enemy_skill_triggers!$1:$1,0)+1,FALSE)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72" s="47"/>
      <c r="Q572" s="47"/>
      <c r="R572" s="47"/>
    </row>
    <row r="573" spans="1:18" ht="21" customHeight="1" x14ac:dyDescent="0.15">
      <c r="A573" s="39" t="str">
        <f t="shared" si="23"/>
        <v>39009028_39009027</v>
      </c>
      <c r="B573" s="130">
        <v>39009028</v>
      </c>
      <c r="C573" s="142">
        <v>39009027</v>
      </c>
      <c r="D573" s="46" t="str">
        <f ca="1">VLOOKUP($C573,OFFSET(enemy_skills!$A$1,0,0,COUNTA(enemy_skills!$A:$A),MATCH(D$1,enemy_skills!$1:$1,0)-MATCH("enemy_skill_id",enemy_skills!$1:$1,0)+1),MATCH(D$1,enemy_skills!$1:$1,0)-MATCH("enemy_skill_id",enemy_skills!$1:$1,0)+1,FALSE)</f>
        <v>守護星の瞬きをどうぞ☆</v>
      </c>
      <c r="E573" s="46" t="str">
        <f ca="1">VLOOKUP($C573,OFFSET(enemy_skills!$A$1,0,0,COUNTA(enemy_skills!$A:$A),MATCH(E$1,enemy_skills!$1:$1,0)-MATCH("enemy_skill_id",enemy_skills!$1:$1,0)+1),MATCH(E$1,enemy_skills!$1:$1,0)-MATCH("enemy_skill_id",enemy_skills!$1:$1,0)+1,FALSE)</f>
        <v>ハートパネルプロテクト(最大5個)+2回連続攻撃</v>
      </c>
      <c r="F573" s="47">
        <v>39009194</v>
      </c>
      <c r="G573" s="48">
        <f ca="1">VLOOKUP($F573,OFFSET(enemy_skill_triggers!$A$1,0,0,COUNTA(enemy_skill_triggers!$A:$A),MATCH(G$1,enemy_skill_triggers!$1:$1,0)-MATCH($F$1,enemy_skill_triggers!$1:$1,0)+1),MATCH(G$1,enemy_skill_triggers!$1:$1,0)-MATCH($F$1,enemy_skill_triggers!$1:$1,0)+1,FALSE)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3" s="48">
        <f ca="1">VLOOKUP($F573,OFFSET(enemy_skill_triggers!$A$1,0,0,COUNTA(enemy_skill_triggers!$A:$A),MATCH(H$1,enemy_skill_triggers!$1:$1,0)-MATCH($F$1,enemy_skill_triggers!$1:$1,0)+1),MATCH(H$1,enemy_skill_triggers!$1:$1,0)-MATCH($F$1,enemy_skill_triggers!$1:$1,0)+1,FALSE)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573" s="48">
        <f ca="1">VLOOKUP($F573,OFFSET(enemy_skill_triggers!$A$1,0,0,COUNTA(enemy_skill_triggers!$A:$A),MATCH(I$1,enemy_skill_triggers!$1:$1,0)-MATCH($F$1,enemy_skill_triggers!$1:$1,0)+1),MATCH(I$1,enemy_skill_triggers!$1:$1,0)-MATCH($F$1,enemy_skill_triggers!$1:$1,0)+1,FALSE)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73" s="48" t="str">
        <f ca="1">VLOOKUP($F573,OFFSET(enemy_skill_triggers!$A$1,0,0,COUNTA(enemy_skill_triggers!$A:$A),MATCH(J$1,enemy_skill_triggers!$1:$1,0)-MATCH($F$1,enemy_skill_triggers!$1:$1,0)+1),MATCH(J$1,enemy_skill_triggers!$1:$1,0)-MATCH($F$1,enemy_skill_triggers!$1:$1,0)+1,FALSE)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3" s="48" t="str">
        <f ca="1">VLOOKUP($F573,OFFSET(enemy_skill_triggers!$A$1,0,0,COUNTA(enemy_skill_triggers!$A:$A),MATCH(K$1,enemy_skill_triggers!$1:$1,0)-MATCH($F$1,enemy_skill_triggers!$1:$1,0)+1),MATCH(K$1,enemy_skill_triggers!$1:$1,0)-MATCH($F$1,enemy_skill_triggers!$1:$1,0)+1,FALSE)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3" s="48">
        <f ca="1">VLOOKUP($F573,OFFSET(enemy_skill_triggers!$A$1,0,0,COUNTA(enemy_skill_triggers!$A:$A),MATCH(L$1,enemy_skill_triggers!$1:$1,0)-MATCH($F$1,enemy_skill_triggers!$1:$1,0)+1),MATCH(L$1,enemy_skill_triggers!$1:$1,0)-MATCH($F$1,enemy_skill_triggers!$1:$1,0)+1,FALSE)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573" s="48" t="str">
        <f ca="1">VLOOKUP($F573,OFFSET(enemy_skill_triggers!$A$1,0,0,COUNTA(enemy_skill_triggers!$A:$A),MATCH(M$1,enemy_skill_triggers!$1:$1,0)-MATCH($F$1,enemy_skill_triggers!$1:$1,0)+1),MATCH(M$1,enemy_skill_triggers!$1:$1,0)-MATCH($F$1,enemy_skill_triggers!$1:$1,0)+1,FALSE)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3" s="48" t="str">
        <f ca="1">VLOOKUP($F573,OFFSET(enemy_skill_triggers!$A$1,0,0,COUNTA(enemy_skill_triggers!$A:$A),MATCH(N$1,enemy_skill_triggers!$1:$1,0)-MATCH($F$1,enemy_skill_triggers!$1:$1,0)+1),MATCH(N$1,enemy_skill_triggers!$1:$1,0)-MATCH($F$1,enemy_skill_triggers!$1:$1,0)+1,FALSE)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3" s="48">
        <f ca="1">VLOOKUP($F573,OFFSET(enemy_skill_triggers!$A$1,0,0,COUNTA(enemy_skill_triggers!$A:$A),MATCH(O$1,enemy_skill_triggers!$1:$1,0)-MATCH($F$1,enemy_skill_triggers!$1:$1,0)+1),MATCH(O$1,enemy_skill_triggers!$1:$1,0)-MATCH($F$1,enemy_skill_triggers!$1:$1,0)+1,FALSE)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73" s="47"/>
      <c r="Q573" s="47"/>
      <c r="R573" s="47"/>
    </row>
    <row r="574" spans="1:18" ht="21" customHeight="1" x14ac:dyDescent="0.15">
      <c r="A574" s="39" t="str">
        <f t="shared" si="23"/>
        <v>39009028_39009028</v>
      </c>
      <c r="B574" s="130">
        <v>39009028</v>
      </c>
      <c r="C574" s="142">
        <v>39009028</v>
      </c>
      <c r="D574" s="46" t="str">
        <f ca="1">VLOOKUP($C574,OFFSET(enemy_skills!$A$1,0,0,COUNTA(enemy_skills!$A:$A),MATCH(D$1,enemy_skills!$1:$1,0)-MATCH("enemy_skill_id",enemy_skills!$1:$1,0)+1),MATCH(D$1,enemy_skills!$1:$1,0)-MATCH("enemy_skill_id",enemy_skills!$1:$1,0)+1,FALSE)</f>
        <v>きらきら流星群☆</v>
      </c>
      <c r="E574" s="46" t="str">
        <f ca="1">VLOOKUP($C574,OFFSET(enemy_skills!$A$1,0,0,COUNTA(enemy_skills!$A:$A),MATCH(E$1,enemy_skills!$1:$1,0)-MATCH("enemy_skill_id",enemy_skills!$1:$1,0)+1),MATCH(E$1,enemy_skills!$1:$1,0)-MATCH("enemy_skill_id",enemy_skills!$1:$1,0)+1,FALSE)</f>
        <v>5ターン防御力UP+4回連続攻撃</v>
      </c>
      <c r="F574" s="47">
        <v>39009195</v>
      </c>
      <c r="G574" s="48">
        <f ca="1">VLOOKUP($F574,OFFSET(enemy_skill_triggers!$A$1,0,0,COUNTA(enemy_skill_triggers!$A:$A),MATCH(G$1,enemy_skill_triggers!$1:$1,0)-MATCH($F$1,enemy_skill_triggers!$1:$1,0)+1),MATCH(G$1,enemy_skill_triggers!$1:$1,0)-MATCH($F$1,enemy_skill_triggers!$1:$1,0)+1,FALSE)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4" s="48">
        <f ca="1">VLOOKUP($F574,OFFSET(enemy_skill_triggers!$A$1,0,0,COUNTA(enemy_skill_triggers!$A:$A),MATCH(H$1,enemy_skill_triggers!$1:$1,0)-MATCH($F$1,enemy_skill_triggers!$1:$1,0)+1),MATCH(H$1,enemy_skill_triggers!$1:$1,0)-MATCH($F$1,enemy_skill_triggers!$1:$1,0)+1,FALSE)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574" s="48">
        <f ca="1">VLOOKUP($F574,OFFSET(enemy_skill_triggers!$A$1,0,0,COUNTA(enemy_skill_triggers!$A:$A),MATCH(I$1,enemy_skill_triggers!$1:$1,0)-MATCH($F$1,enemy_skill_triggers!$1:$1,0)+1),MATCH(I$1,enemy_skill_triggers!$1:$1,0)-MATCH($F$1,enemy_skill_triggers!$1:$1,0)+1,FALSE)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4" s="48">
        <f ca="1">VLOOKUP($F574,OFFSET(enemy_skill_triggers!$A$1,0,0,COUNTA(enemy_skill_triggers!$A:$A),MATCH(J$1,enemy_skill_triggers!$1:$1,0)-MATCH($F$1,enemy_skill_triggers!$1:$1,0)+1),MATCH(J$1,enemy_skill_triggers!$1:$1,0)-MATCH($F$1,enemy_skill_triggers!$1:$1,0)+1,FALSE)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4" s="48" t="str">
        <f ca="1">VLOOKUP($F574,OFFSET(enemy_skill_triggers!$A$1,0,0,COUNTA(enemy_skill_triggers!$A:$A),MATCH(K$1,enemy_skill_triggers!$1:$1,0)-MATCH($F$1,enemy_skill_triggers!$1:$1,0)+1),MATCH(K$1,enemy_skill_triggers!$1:$1,0)-MATCH($F$1,enemy_skill_triggers!$1:$1,0)+1,FALSE)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4" s="48">
        <f ca="1">VLOOKUP($F574,OFFSET(enemy_skill_triggers!$A$1,0,0,COUNTA(enemy_skill_triggers!$A:$A),MATCH(L$1,enemy_skill_triggers!$1:$1,0)-MATCH($F$1,enemy_skill_triggers!$1:$1,0)+1),MATCH(L$1,enemy_skill_triggers!$1:$1,0)-MATCH($F$1,enemy_skill_triggers!$1:$1,0)+1,FALSE)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4" s="48" t="str">
        <f ca="1">VLOOKUP($F574,OFFSET(enemy_skill_triggers!$A$1,0,0,COUNTA(enemy_skill_triggers!$A:$A),MATCH(M$1,enemy_skill_triggers!$1:$1,0)-MATCH($F$1,enemy_skill_triggers!$1:$1,0)+1),MATCH(M$1,enemy_skill_triggers!$1:$1,0)-MATCH($F$1,enemy_skill_triggers!$1:$1,0)+1,FALSE)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4" s="48" t="str">
        <f ca="1">VLOOKUP($F574,OFFSET(enemy_skill_triggers!$A$1,0,0,COUNTA(enemy_skill_triggers!$A:$A),MATCH(N$1,enemy_skill_triggers!$1:$1,0)-MATCH($F$1,enemy_skill_triggers!$1:$1,0)+1),MATCH(N$1,enemy_skill_triggers!$1:$1,0)-MATCH($F$1,enemy_skill_triggers!$1:$1,0)+1,FALSE)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4" s="48">
        <f ca="1">VLOOKUP($F574,OFFSET(enemy_skill_triggers!$A$1,0,0,COUNTA(enemy_skill_triggers!$A:$A),MATCH(O$1,enemy_skill_triggers!$1:$1,0)-MATCH($F$1,enemy_skill_triggers!$1:$1,0)+1),MATCH(O$1,enemy_skill_triggers!$1:$1,0)-MATCH($F$1,enemy_skill_triggers!$1:$1,0)+1,FALSE)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4" s="47"/>
      <c r="Q574" s="47"/>
      <c r="R574" s="47"/>
    </row>
    <row r="575" spans="1:18" ht="21" customHeight="1" x14ac:dyDescent="0.15">
      <c r="A575" s="39" t="str">
        <f t="shared" si="23"/>
        <v>39009028_39009073</v>
      </c>
      <c r="B575" s="130">
        <v>39009028</v>
      </c>
      <c r="C575" s="47">
        <v>39009073</v>
      </c>
      <c r="D575" s="46" t="str">
        <f ca="1">VLOOKUP($C575,OFFSET(enemy_skills!$A$1,0,0,COUNTA(enemy_skills!$A:$A),MATCH(D$1,enemy_skills!$1:$1,0)-MATCH("enemy_skill_id",enemy_skills!$1:$1,0)+1),MATCH(D$1,enemy_skills!$1:$1,0)-MATCH("enemy_skill_id",enemy_skills!$1:$1,0)+1,FALSE)</f>
        <v>ばいばい…_x000D_またあなたに会えますように☆</v>
      </c>
      <c r="E575" s="46" t="str">
        <f ca="1">VLOOKUP($C575,OFFSET(enemy_skills!$A$1,0,0,COUNTA(enemy_skills!$A:$A),MATCH(E$1,enemy_skills!$1:$1,0)-MATCH("enemy_skill_id",enemy_skills!$1:$1,0)+1),MATCH(E$1,enemy_skills!$1:$1,0)-MATCH("enemy_skill_id",enemy_skills!$1:$1,0)+1,FALSE)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5" s="47">
        <v>39009196</v>
      </c>
      <c r="G575" s="48">
        <f ca="1">VLOOKUP($F575,OFFSET(enemy_skill_triggers!$A$1,0,0,COUNTA(enemy_skill_triggers!$A:$A),MATCH(G$1,enemy_skill_triggers!$1:$1,0)-MATCH($F$1,enemy_skill_triggers!$1:$1,0)+1),MATCH(G$1,enemy_skill_triggers!$1:$1,0)-MATCH($F$1,enemy_skill_triggers!$1:$1,0)+1,FALSE)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5" s="48">
        <f ca="1">VLOOKUP($F575,OFFSET(enemy_skill_triggers!$A$1,0,0,COUNTA(enemy_skill_triggers!$A:$A),MATCH(H$1,enemy_skill_triggers!$1:$1,0)-MATCH($F$1,enemy_skill_triggers!$1:$1,0)+1),MATCH(H$1,enemy_skill_triggers!$1:$1,0)-MATCH($F$1,enemy_skill_triggers!$1:$1,0)+1,FALSE)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75" s="48">
        <f ca="1">VLOOKUP($F575,OFFSET(enemy_skill_triggers!$A$1,0,0,COUNTA(enemy_skill_triggers!$A:$A),MATCH(I$1,enemy_skill_triggers!$1:$1,0)-MATCH($F$1,enemy_skill_triggers!$1:$1,0)+1),MATCH(I$1,enemy_skill_triggers!$1:$1,0)-MATCH($F$1,enemy_skill_triggers!$1:$1,0)+1,FALSE)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5" s="48" t="str">
        <f ca="1">VLOOKUP($F575,OFFSET(enemy_skill_triggers!$A$1,0,0,COUNTA(enemy_skill_triggers!$A:$A),MATCH(J$1,enemy_skill_triggers!$1:$1,0)-MATCH($F$1,enemy_skill_triggers!$1:$1,0)+1),MATCH(J$1,enemy_skill_triggers!$1:$1,0)-MATCH($F$1,enemy_skill_triggers!$1:$1,0)+1,FALSE)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5" s="48" t="str">
        <f ca="1">VLOOKUP($F575,OFFSET(enemy_skill_triggers!$A$1,0,0,COUNTA(enemy_skill_triggers!$A:$A),MATCH(K$1,enemy_skill_triggers!$1:$1,0)-MATCH($F$1,enemy_skill_triggers!$1:$1,0)+1),MATCH(K$1,enemy_skill_triggers!$1:$1,0)-MATCH($F$1,enemy_skill_triggers!$1:$1,0)+1,FALSE)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5" s="48">
        <f ca="1">VLOOKUP($F575,OFFSET(enemy_skill_triggers!$A$1,0,0,COUNTA(enemy_skill_triggers!$A:$A),MATCH(L$1,enemy_skill_triggers!$1:$1,0)-MATCH($F$1,enemy_skill_triggers!$1:$1,0)+1),MATCH(L$1,enemy_skill_triggers!$1:$1,0)-MATCH($F$1,enemy_skill_triggers!$1:$1,0)+1,FALSE)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5" s="48" t="str">
        <f ca="1">VLOOKUP($F575,OFFSET(enemy_skill_triggers!$A$1,0,0,COUNTA(enemy_skill_triggers!$A:$A),MATCH(M$1,enemy_skill_triggers!$1:$1,0)-MATCH($F$1,enemy_skill_triggers!$1:$1,0)+1),MATCH(M$1,enemy_skill_triggers!$1:$1,0)-MATCH($F$1,enemy_skill_triggers!$1:$1,0)+1,FALSE)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5" s="48">
        <f ca="1">VLOOKUP($F575,OFFSET(enemy_skill_triggers!$A$1,0,0,COUNTA(enemy_skill_triggers!$A:$A),MATCH(N$1,enemy_skill_triggers!$1:$1,0)-MATCH($F$1,enemy_skill_triggers!$1:$1,0)+1),MATCH(N$1,enemy_skill_triggers!$1:$1,0)-MATCH($F$1,enemy_skill_triggers!$1:$1,0)+1,FALSE)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5" s="48">
        <f ca="1">VLOOKUP($F575,OFFSET(enemy_skill_triggers!$A$1,0,0,COUNTA(enemy_skill_triggers!$A:$A),MATCH(O$1,enemy_skill_triggers!$1:$1,0)-MATCH($F$1,enemy_skill_triggers!$1:$1,0)+1),MATCH(O$1,enemy_skill_triggers!$1:$1,0)-MATCH($F$1,enemy_skill_triggers!$1:$1,0)+1,FALSE)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5" s="47"/>
      <c r="Q575" s="47"/>
      <c r="R575" s="47"/>
    </row>
    <row r="576" spans="1:18" ht="21" customHeight="1" x14ac:dyDescent="0.15">
      <c r="A576" s="39" t="str">
        <f t="shared" si="23"/>
        <v>39009028_39009074</v>
      </c>
      <c r="B576" s="130">
        <v>39009028</v>
      </c>
      <c r="C576" s="47">
        <v>39009074</v>
      </c>
      <c r="D576" s="46" t="str">
        <f ca="1">VLOOKUP($C576,OFFSET(enemy_skills!$A$1,0,0,COUNTA(enemy_skills!$A:$A),MATCH(D$1,enemy_skills!$1:$1,0)-MATCH("enemy_skill_id",enemy_skills!$1:$1,0)+1),MATCH(D$1,enemy_skills!$1:$1,0)-MATCH("enemy_skill_id",enemy_skills!$1:$1,0)+1,FALSE)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76" s="46" t="str">
        <f ca="1">VLOOKUP($C576,OFFSET(enemy_skills!$A$1,0,0,COUNTA(enemy_skills!$A:$A),MATCH(E$1,enemy_skills!$1:$1,0)-MATCH("enemy_skill_id",enemy_skills!$1:$1,0)+1),MATCH(E$1,enemy_skills!$1:$1,0)-MATCH("enemy_skill_id",enemy_skills!$1:$1,0)+1,FALSE)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6" s="47">
        <v>39009197</v>
      </c>
      <c r="G576" s="48">
        <f ca="1">VLOOKUP($F576,OFFSET(enemy_skill_triggers!$A$1,0,0,COUNTA(enemy_skill_triggers!$A:$A),MATCH(G$1,enemy_skill_triggers!$1:$1,0)-MATCH($F$1,enemy_skill_triggers!$1:$1,0)+1),MATCH(G$1,enemy_skill_triggers!$1:$1,0)-MATCH($F$1,enemy_skill_triggers!$1:$1,0)+1,FALSE)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6" s="48">
        <f ca="1">VLOOKUP($F576,OFFSET(enemy_skill_triggers!$A$1,0,0,COUNTA(enemy_skill_triggers!$A:$A),MATCH(H$1,enemy_skill_triggers!$1:$1,0)-MATCH($F$1,enemy_skill_triggers!$1:$1,0)+1),MATCH(H$1,enemy_skill_triggers!$1:$1,0)-MATCH($F$1,enemy_skill_triggers!$1:$1,0)+1,FALSE)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576" s="48">
        <f ca="1">VLOOKUP($F576,OFFSET(enemy_skill_triggers!$A$1,0,0,COUNTA(enemy_skill_triggers!$A:$A),MATCH(I$1,enemy_skill_triggers!$1:$1,0)-MATCH($F$1,enemy_skill_triggers!$1:$1,0)+1),MATCH(I$1,enemy_skill_triggers!$1:$1,0)-MATCH($F$1,enemy_skill_triggers!$1:$1,0)+1,FALSE)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6" s="48" t="str">
        <f ca="1">VLOOKUP($F576,OFFSET(enemy_skill_triggers!$A$1,0,0,COUNTA(enemy_skill_triggers!$A:$A),MATCH(J$1,enemy_skill_triggers!$1:$1,0)-MATCH($F$1,enemy_skill_triggers!$1:$1,0)+1),MATCH(J$1,enemy_skill_triggers!$1:$1,0)-MATCH($F$1,enemy_skill_triggers!$1:$1,0)+1,FALSE)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6" s="48" t="str">
        <f ca="1">VLOOKUP($F576,OFFSET(enemy_skill_triggers!$A$1,0,0,COUNTA(enemy_skill_triggers!$A:$A),MATCH(K$1,enemy_skill_triggers!$1:$1,0)-MATCH($F$1,enemy_skill_triggers!$1:$1,0)+1),MATCH(K$1,enemy_skill_triggers!$1:$1,0)-MATCH($F$1,enemy_skill_triggers!$1:$1,0)+1,FALSE)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6" s="48">
        <f ca="1">VLOOKUP($F576,OFFSET(enemy_skill_triggers!$A$1,0,0,COUNTA(enemy_skill_triggers!$A:$A),MATCH(L$1,enemy_skill_triggers!$1:$1,0)-MATCH($F$1,enemy_skill_triggers!$1:$1,0)+1),MATCH(L$1,enemy_skill_triggers!$1:$1,0)-MATCH($F$1,enemy_skill_triggers!$1:$1,0)+1,FALSE)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6" s="48" t="str">
        <f ca="1">VLOOKUP($F576,OFFSET(enemy_skill_triggers!$A$1,0,0,COUNTA(enemy_skill_triggers!$A:$A),MATCH(M$1,enemy_skill_triggers!$1:$1,0)-MATCH($F$1,enemy_skill_triggers!$1:$1,0)+1),MATCH(M$1,enemy_skill_triggers!$1:$1,0)-MATCH($F$1,enemy_skill_triggers!$1:$1,0)+1,FALSE)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6" s="48">
        <f ca="1">VLOOKUP($F576,OFFSET(enemy_skill_triggers!$A$1,0,0,COUNTA(enemy_skill_triggers!$A:$A),MATCH(N$1,enemy_skill_triggers!$1:$1,0)-MATCH($F$1,enemy_skill_triggers!$1:$1,0)+1),MATCH(N$1,enemy_skill_triggers!$1:$1,0)-MATCH($F$1,enemy_skill_triggers!$1:$1,0)+1,FALSE)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76" s="48">
        <f ca="1">VLOOKUP($F576,OFFSET(enemy_skill_triggers!$A$1,0,0,COUNTA(enemy_skill_triggers!$A:$A),MATCH(O$1,enemy_skill_triggers!$1:$1,0)-MATCH($F$1,enemy_skill_triggers!$1:$1,0)+1),MATCH(O$1,enemy_skill_triggers!$1:$1,0)-MATCH($F$1,enemy_skill_triggers!$1:$1,0)+1,FALSE)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6" s="47"/>
      <c r="Q576" s="47"/>
      <c r="R576" s="47"/>
    </row>
    <row r="577" spans="1:18" ht="21" customHeight="1" x14ac:dyDescent="0.15">
      <c r="A577" s="39" t="str">
        <f t="shared" ref="A577:A640" si="27">B577&amp;"_"&amp;C577</f>
        <v>39009028_39009074</v>
      </c>
      <c r="B577" s="130">
        <v>39009028</v>
      </c>
      <c r="C577" s="47">
        <v>39009074</v>
      </c>
      <c r="D577" s="46" t="str">
        <f ca="1">VLOOKUP($C577,OFFSET(enemy_skills!$A$1,0,0,COUNTA(enemy_skills!$A:$A),MATCH(D$1,enemy_skills!$1:$1,0)-MATCH("enemy_skill_id",enemy_skills!$1:$1,0)+1),MATCH(D$1,enemy_skills!$1:$1,0)-MATCH("enemy_skill_id",enemy_skills!$1:$1,0)+1,FALSE)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77" s="46" t="str">
        <f ca="1">VLOOKUP($C577,OFFSET(enemy_skills!$A$1,0,0,COUNTA(enemy_skills!$A:$A),MATCH(E$1,enemy_skills!$1:$1,0)-MATCH("enemy_skill_id",enemy_skills!$1:$1,0)+1),MATCH(E$1,enemy_skills!$1:$1,0)-MATCH("enemy_skill_id",enemy_skills!$1:$1,0)+1,FALSE)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7" s="47">
        <v>39009198</v>
      </c>
      <c r="G577" s="48">
        <f ca="1">VLOOKUP($F577,OFFSET(enemy_skill_triggers!$A$1,0,0,COUNTA(enemy_skill_triggers!$A:$A),MATCH(G$1,enemy_skill_triggers!$1:$1,0)-MATCH($F$1,enemy_skill_triggers!$1:$1,0)+1),MATCH(G$1,enemy_skill_triggers!$1:$1,0)-MATCH($F$1,enemy_skill_triggers!$1:$1,0)+1,FALSE)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7" s="48">
        <f ca="1">VLOOKUP($F577,OFFSET(enemy_skill_triggers!$A$1,0,0,COUNTA(enemy_skill_triggers!$A:$A),MATCH(H$1,enemy_skill_triggers!$1:$1,0)-MATCH($F$1,enemy_skill_triggers!$1:$1,0)+1),MATCH(H$1,enemy_skill_triggers!$1:$1,0)-MATCH($F$1,enemy_skill_triggers!$1:$1,0)+1,FALSE)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577" s="48">
        <f ca="1">VLOOKUP($F577,OFFSET(enemy_skill_triggers!$A$1,0,0,COUNTA(enemy_skill_triggers!$A:$A),MATCH(I$1,enemy_skill_triggers!$1:$1,0)-MATCH($F$1,enemy_skill_triggers!$1:$1,0)+1),MATCH(I$1,enemy_skill_triggers!$1:$1,0)-MATCH($F$1,enemy_skill_triggers!$1:$1,0)+1,FALSE)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7" s="48" t="str">
        <f ca="1">VLOOKUP($F577,OFFSET(enemy_skill_triggers!$A$1,0,0,COUNTA(enemy_skill_triggers!$A:$A),MATCH(J$1,enemy_skill_triggers!$1:$1,0)-MATCH($F$1,enemy_skill_triggers!$1:$1,0)+1),MATCH(J$1,enemy_skill_triggers!$1:$1,0)-MATCH($F$1,enemy_skill_triggers!$1:$1,0)+1,FALSE)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7" s="48" t="str">
        <f ca="1">VLOOKUP($F577,OFFSET(enemy_skill_triggers!$A$1,0,0,COUNTA(enemy_skill_triggers!$A:$A),MATCH(K$1,enemy_skill_triggers!$1:$1,0)-MATCH($F$1,enemy_skill_triggers!$1:$1,0)+1),MATCH(K$1,enemy_skill_triggers!$1:$1,0)-MATCH($F$1,enemy_skill_triggers!$1:$1,0)+1,FALSE)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7" s="48">
        <f ca="1">VLOOKUP($F577,OFFSET(enemy_skill_triggers!$A$1,0,0,COUNTA(enemy_skill_triggers!$A:$A),MATCH(L$1,enemy_skill_triggers!$1:$1,0)-MATCH($F$1,enemy_skill_triggers!$1:$1,0)+1),MATCH(L$1,enemy_skill_triggers!$1:$1,0)-MATCH($F$1,enemy_skill_triggers!$1:$1,0)+1,FALSE)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7" s="48" t="str">
        <f ca="1">VLOOKUP($F577,OFFSET(enemy_skill_triggers!$A$1,0,0,COUNTA(enemy_skill_triggers!$A:$A),MATCH(M$1,enemy_skill_triggers!$1:$1,0)-MATCH($F$1,enemy_skill_triggers!$1:$1,0)+1),MATCH(M$1,enemy_skill_triggers!$1:$1,0)-MATCH($F$1,enemy_skill_triggers!$1:$1,0)+1,FALSE)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7" s="48">
        <f ca="1">VLOOKUP($F577,OFFSET(enemy_skill_triggers!$A$1,0,0,COUNTA(enemy_skill_triggers!$A:$A),MATCH(N$1,enemy_skill_triggers!$1:$1,0)-MATCH($F$1,enemy_skill_triggers!$1:$1,0)+1),MATCH(N$1,enemy_skill_triggers!$1:$1,0)-MATCH($F$1,enemy_skill_triggers!$1:$1,0)+1,FALSE)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577" s="48">
        <f ca="1">VLOOKUP($F577,OFFSET(enemy_skill_triggers!$A$1,0,0,COUNTA(enemy_skill_triggers!$A:$A),MATCH(O$1,enemy_skill_triggers!$1:$1,0)-MATCH($F$1,enemy_skill_triggers!$1:$1,0)+1),MATCH(O$1,enemy_skill_triggers!$1:$1,0)-MATCH($F$1,enemy_skill_triggers!$1:$1,0)+1,FALSE)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7" s="47"/>
      <c r="Q577" s="47"/>
      <c r="R577" s="47"/>
    </row>
    <row r="578" spans="1:18" ht="21" customHeight="1" x14ac:dyDescent="0.15">
      <c r="A578" s="39" t="str">
        <f t="shared" si="27"/>
        <v>39009028_39009074</v>
      </c>
      <c r="B578" s="130">
        <v>39009028</v>
      </c>
      <c r="C578" s="47">
        <v>39009074</v>
      </c>
      <c r="D578" s="46" t="str">
        <f ca="1">VLOOKUP($C578,OFFSET(enemy_skills!$A$1,0,0,COUNTA(enemy_skills!$A:$A),MATCH(D$1,enemy_skills!$1:$1,0)-MATCH("enemy_skill_id",enemy_skills!$1:$1,0)+1),MATCH(D$1,enemy_skills!$1:$1,0)-MATCH("enemy_skill_id",enemy_skills!$1:$1,0)+1,FALSE)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78" s="46" t="str">
        <f ca="1">VLOOKUP($C578,OFFSET(enemy_skills!$A$1,0,0,COUNTA(enemy_skills!$A:$A),MATCH(E$1,enemy_skills!$1:$1,0)-MATCH("enemy_skill_id",enemy_skills!$1:$1,0)+1),MATCH(E$1,enemy_skills!$1:$1,0)-MATCH("enemy_skill_id",enemy_skills!$1:$1,0)+1,FALSE)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8" s="47">
        <v>39009199</v>
      </c>
      <c r="G578" s="48">
        <f ca="1">VLOOKUP($F578,OFFSET(enemy_skill_triggers!$A$1,0,0,COUNTA(enemy_skill_triggers!$A:$A),MATCH(G$1,enemy_skill_triggers!$1:$1,0)-MATCH($F$1,enemy_skill_triggers!$1:$1,0)+1),MATCH(G$1,enemy_skill_triggers!$1:$1,0)-MATCH($F$1,enemy_skill_triggers!$1:$1,0)+1,FALSE)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8" s="48">
        <f ca="1">VLOOKUP($F578,OFFSET(enemy_skill_triggers!$A$1,0,0,COUNTA(enemy_skill_triggers!$A:$A),MATCH(H$1,enemy_skill_triggers!$1:$1,0)-MATCH($F$1,enemy_skill_triggers!$1:$1,0)+1),MATCH(H$1,enemy_skill_triggers!$1:$1,0)-MATCH($F$1,enemy_skill_triggers!$1:$1,0)+1,FALSE)</f>
        <v>63</v>
      </c>
      <c r="I578" s="48">
        <f ca="1">VLOOKUP($F578,OFFSET(enemy_skill_triggers!$A$1,0,0,COUNTA(enemy_skill_triggers!$A:$A),MATCH(I$1,enemy_skill_triggers!$1:$1,0)-MATCH($F$1,enemy_skill_triggers!$1:$1,0)+1),MATCH(I$1,enemy_skill_triggers!$1:$1,0)-MATCH($F$1,enemy_skill_triggers!$1:$1,0)+1,FALSE)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8" s="48" t="str">
        <f ca="1">VLOOKUP($F578,OFFSET(enemy_skill_triggers!$A$1,0,0,COUNTA(enemy_skill_triggers!$A:$A),MATCH(J$1,enemy_skill_triggers!$1:$1,0)-MATCH($F$1,enemy_skill_triggers!$1:$1,0)+1),MATCH(J$1,enemy_skill_triggers!$1:$1,0)-MATCH($F$1,enemy_skill_triggers!$1:$1,0)+1,FALSE)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8" s="48" t="str">
        <f ca="1">VLOOKUP($F578,OFFSET(enemy_skill_triggers!$A$1,0,0,COUNTA(enemy_skill_triggers!$A:$A),MATCH(K$1,enemy_skill_triggers!$1:$1,0)-MATCH($F$1,enemy_skill_triggers!$1:$1,0)+1),MATCH(K$1,enemy_skill_triggers!$1:$1,0)-MATCH($F$1,enemy_skill_triggers!$1:$1,0)+1,FALSE)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8" s="48">
        <f ca="1">VLOOKUP($F578,OFFSET(enemy_skill_triggers!$A$1,0,0,COUNTA(enemy_skill_triggers!$A:$A),MATCH(L$1,enemy_skill_triggers!$1:$1,0)-MATCH($F$1,enemy_skill_triggers!$1:$1,0)+1),MATCH(L$1,enemy_skill_triggers!$1:$1,0)-MATCH($F$1,enemy_skill_triggers!$1:$1,0)+1,FALSE)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8" s="48" t="str">
        <f ca="1">VLOOKUP($F578,OFFSET(enemy_skill_triggers!$A$1,0,0,COUNTA(enemy_skill_triggers!$A:$A),MATCH(M$1,enemy_skill_triggers!$1:$1,0)-MATCH($F$1,enemy_skill_triggers!$1:$1,0)+1),MATCH(M$1,enemy_skill_triggers!$1:$1,0)-MATCH($F$1,enemy_skill_triggers!$1:$1,0)+1,FALSE)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8" s="48">
        <f ca="1">VLOOKUP($F578,OFFSET(enemy_skill_triggers!$A$1,0,0,COUNTA(enemy_skill_triggers!$A:$A),MATCH(N$1,enemy_skill_triggers!$1:$1,0)-MATCH($F$1,enemy_skill_triggers!$1:$1,0)+1),MATCH(N$1,enemy_skill_triggers!$1:$1,0)-MATCH($F$1,enemy_skill_triggers!$1:$1,0)+1,FALSE)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578" s="48">
        <f ca="1">VLOOKUP($F578,OFFSET(enemy_skill_triggers!$A$1,0,0,COUNTA(enemy_skill_triggers!$A:$A),MATCH(O$1,enemy_skill_triggers!$1:$1,0)-MATCH($F$1,enemy_skill_triggers!$1:$1,0)+1),MATCH(O$1,enemy_skill_triggers!$1:$1,0)-MATCH($F$1,enemy_skill_triggers!$1:$1,0)+1,FALSE)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8" s="47"/>
      <c r="Q578" s="47"/>
      <c r="R578" s="47"/>
    </row>
    <row r="579" spans="1:18" ht="21" customHeight="1" x14ac:dyDescent="0.15">
      <c r="A579" s="39" t="str">
        <f t="shared" si="27"/>
        <v>39009028_39009074</v>
      </c>
      <c r="B579" s="130">
        <v>39009028</v>
      </c>
      <c r="C579" s="47">
        <v>39009074</v>
      </c>
      <c r="D579" s="46" t="str">
        <f ca="1">VLOOKUP($C579,OFFSET(enemy_skills!$A$1,0,0,COUNTA(enemy_skills!$A:$A),MATCH(D$1,enemy_skills!$1:$1,0)-MATCH("enemy_skill_id",enemy_skills!$1:$1,0)+1),MATCH(D$1,enemy_skills!$1:$1,0)-MATCH("enemy_skill_id",enemy_skills!$1:$1,0)+1,FALSE)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79" s="46" t="str">
        <f ca="1">VLOOKUP($C579,OFFSET(enemy_skills!$A$1,0,0,COUNTA(enemy_skills!$A:$A),MATCH(E$1,enemy_skills!$1:$1,0)-MATCH("enemy_skill_id",enemy_skills!$1:$1,0)+1),MATCH(E$1,enemy_skills!$1:$1,0)-MATCH("enemy_skill_id",enemy_skills!$1:$1,0)+1,FALSE)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9" s="47">
        <v>39009200</v>
      </c>
      <c r="G579" s="48">
        <f ca="1">VLOOKUP($F579,OFFSET(enemy_skill_triggers!$A$1,0,0,COUNTA(enemy_skill_triggers!$A:$A),MATCH(G$1,enemy_skill_triggers!$1:$1,0)-MATCH($F$1,enemy_skill_triggers!$1:$1,0)+1),MATCH(G$1,enemy_skill_triggers!$1:$1,0)-MATCH($F$1,enemy_skill_triggers!$1:$1,0)+1,FALSE)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9" s="48">
        <f ca="1">VLOOKUP($F579,OFFSET(enemy_skill_triggers!$A$1,0,0,COUNTA(enemy_skill_triggers!$A:$A),MATCH(H$1,enemy_skill_triggers!$1:$1,0)-MATCH($F$1,enemy_skill_triggers!$1:$1,0)+1),MATCH(H$1,enemy_skill_triggers!$1:$1,0)-MATCH($F$1,enemy_skill_triggers!$1:$1,0)+1,FALSE)</f>
        <v>64</v>
      </c>
      <c r="I579" s="48">
        <f ca="1">VLOOKUP($F579,OFFSET(enemy_skill_triggers!$A$1,0,0,COUNTA(enemy_skill_triggers!$A:$A),MATCH(I$1,enemy_skill_triggers!$1:$1,0)-MATCH($F$1,enemy_skill_triggers!$1:$1,0)+1),MATCH(I$1,enemy_skill_triggers!$1:$1,0)-MATCH($F$1,enemy_skill_triggers!$1:$1,0)+1,FALSE)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9" s="48" t="str">
        <f ca="1">VLOOKUP($F579,OFFSET(enemy_skill_triggers!$A$1,0,0,COUNTA(enemy_skill_triggers!$A:$A),MATCH(J$1,enemy_skill_triggers!$1:$1,0)-MATCH($F$1,enemy_skill_triggers!$1:$1,0)+1),MATCH(J$1,enemy_skill_triggers!$1:$1,0)-MATCH($F$1,enemy_skill_triggers!$1:$1,0)+1,FALSE)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9" s="48" t="str">
        <f ca="1">VLOOKUP($F579,OFFSET(enemy_skill_triggers!$A$1,0,0,COUNTA(enemy_skill_triggers!$A:$A),MATCH(K$1,enemy_skill_triggers!$1:$1,0)-MATCH($F$1,enemy_skill_triggers!$1:$1,0)+1),MATCH(K$1,enemy_skill_triggers!$1:$1,0)-MATCH($F$1,enemy_skill_triggers!$1:$1,0)+1,FALSE)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9" s="48">
        <f ca="1">VLOOKUP($F579,OFFSET(enemy_skill_triggers!$A$1,0,0,COUNTA(enemy_skill_triggers!$A:$A),MATCH(L$1,enemy_skill_triggers!$1:$1,0)-MATCH($F$1,enemy_skill_triggers!$1:$1,0)+1),MATCH(L$1,enemy_skill_triggers!$1:$1,0)-MATCH($F$1,enemy_skill_triggers!$1:$1,0)+1,FALSE)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9" s="48" t="str">
        <f ca="1">VLOOKUP($F579,OFFSET(enemy_skill_triggers!$A$1,0,0,COUNTA(enemy_skill_triggers!$A:$A),MATCH(M$1,enemy_skill_triggers!$1:$1,0)-MATCH($F$1,enemy_skill_triggers!$1:$1,0)+1),MATCH(M$1,enemy_skill_triggers!$1:$1,0)-MATCH($F$1,enemy_skill_triggers!$1:$1,0)+1,FALSE)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9" s="48">
        <f ca="1">VLOOKUP($F579,OFFSET(enemy_skill_triggers!$A$1,0,0,COUNTA(enemy_skill_triggers!$A:$A),MATCH(N$1,enemy_skill_triggers!$1:$1,0)-MATCH($F$1,enemy_skill_triggers!$1:$1,0)+1),MATCH(N$1,enemy_skill_triggers!$1:$1,0)-MATCH($F$1,enemy_skill_triggers!$1:$1,0)+1,FALSE)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579" s="48">
        <f ca="1">VLOOKUP($F579,OFFSET(enemy_skill_triggers!$A$1,0,0,COUNTA(enemy_skill_triggers!$A:$A),MATCH(O$1,enemy_skill_triggers!$1:$1,0)-MATCH($F$1,enemy_skill_triggers!$1:$1,0)+1),MATCH(O$1,enemy_skill_triggers!$1:$1,0)-MATCH($F$1,enemy_skill_triggers!$1:$1,0)+1,FALSE)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9" s="47"/>
      <c r="Q579" s="47"/>
      <c r="R579" s="47"/>
    </row>
    <row r="580" spans="1:18" ht="21" customHeight="1" x14ac:dyDescent="0.15">
      <c r="A580" s="39" t="str">
        <f t="shared" si="27"/>
        <v>39009028_39009074</v>
      </c>
      <c r="B580" s="130">
        <v>39009028</v>
      </c>
      <c r="C580" s="47">
        <v>39009074</v>
      </c>
      <c r="D580" s="46" t="str">
        <f ca="1">VLOOKUP($C580,OFFSET(enemy_skills!$A$1,0,0,COUNTA(enemy_skills!$A:$A),MATCH(D$1,enemy_skills!$1:$1,0)-MATCH("enemy_skill_id",enemy_skills!$1:$1,0)+1),MATCH(D$1,enemy_skills!$1:$1,0)-MATCH("enemy_skill_id",enemy_skills!$1:$1,0)+1,FALSE)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0" s="46" t="str">
        <f ca="1">VLOOKUP($C580,OFFSET(enemy_skills!$A$1,0,0,COUNTA(enemy_skills!$A:$A),MATCH(E$1,enemy_skills!$1:$1,0)-MATCH("enemy_skill_id",enemy_skills!$1:$1,0)+1),MATCH(E$1,enemy_skills!$1:$1,0)-MATCH("enemy_skill_id",enemy_skills!$1:$1,0)+1,FALSE)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0" s="47">
        <v>39009201</v>
      </c>
      <c r="G580" s="48">
        <f ca="1">VLOOKUP($F580,OFFSET(enemy_skill_triggers!$A$1,0,0,COUNTA(enemy_skill_triggers!$A:$A),MATCH(G$1,enemy_skill_triggers!$1:$1,0)-MATCH($F$1,enemy_skill_triggers!$1:$1,0)+1),MATCH(G$1,enemy_skill_triggers!$1:$1,0)-MATCH($F$1,enemy_skill_triggers!$1:$1,0)+1,FALSE)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0" s="48">
        <f ca="1">VLOOKUP($F580,OFFSET(enemy_skill_triggers!$A$1,0,0,COUNTA(enemy_skill_triggers!$A:$A),MATCH(H$1,enemy_skill_triggers!$1:$1,0)-MATCH($F$1,enemy_skill_triggers!$1:$1,0)+1),MATCH(H$1,enemy_skill_triggers!$1:$1,0)-MATCH($F$1,enemy_skill_triggers!$1:$1,0)+1,FALSE)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580" s="48">
        <f ca="1">VLOOKUP($F580,OFFSET(enemy_skill_triggers!$A$1,0,0,COUNTA(enemy_skill_triggers!$A:$A),MATCH(I$1,enemy_skill_triggers!$1:$1,0)-MATCH($F$1,enemy_skill_triggers!$1:$1,0)+1),MATCH(I$1,enemy_skill_triggers!$1:$1,0)-MATCH($F$1,enemy_skill_triggers!$1:$1,0)+1,FALSE)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0" s="48" t="str">
        <f ca="1">VLOOKUP($F580,OFFSET(enemy_skill_triggers!$A$1,0,0,COUNTA(enemy_skill_triggers!$A:$A),MATCH(J$1,enemy_skill_triggers!$1:$1,0)-MATCH($F$1,enemy_skill_triggers!$1:$1,0)+1),MATCH(J$1,enemy_skill_triggers!$1:$1,0)-MATCH($F$1,enemy_skill_triggers!$1:$1,0)+1,FALSE)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0" s="48" t="str">
        <f ca="1">VLOOKUP($F580,OFFSET(enemy_skill_triggers!$A$1,0,0,COUNTA(enemy_skill_triggers!$A:$A),MATCH(K$1,enemy_skill_triggers!$1:$1,0)-MATCH($F$1,enemy_skill_triggers!$1:$1,0)+1),MATCH(K$1,enemy_skill_triggers!$1:$1,0)-MATCH($F$1,enemy_skill_triggers!$1:$1,0)+1,FALSE)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0" s="48">
        <f ca="1">VLOOKUP($F580,OFFSET(enemy_skill_triggers!$A$1,0,0,COUNTA(enemy_skill_triggers!$A:$A),MATCH(L$1,enemy_skill_triggers!$1:$1,0)-MATCH($F$1,enemy_skill_triggers!$1:$1,0)+1),MATCH(L$1,enemy_skill_triggers!$1:$1,0)-MATCH($F$1,enemy_skill_triggers!$1:$1,0)+1,FALSE)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0" s="48" t="str">
        <f ca="1">VLOOKUP($F580,OFFSET(enemy_skill_triggers!$A$1,0,0,COUNTA(enemy_skill_triggers!$A:$A),MATCH(M$1,enemy_skill_triggers!$1:$1,0)-MATCH($F$1,enemy_skill_triggers!$1:$1,0)+1),MATCH(M$1,enemy_skill_triggers!$1:$1,0)-MATCH($F$1,enemy_skill_triggers!$1:$1,0)+1,FALSE)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0" s="48">
        <f ca="1">VLOOKUP($F580,OFFSET(enemy_skill_triggers!$A$1,0,0,COUNTA(enemy_skill_triggers!$A:$A),MATCH(N$1,enemy_skill_triggers!$1:$1,0)-MATCH($F$1,enemy_skill_triggers!$1:$1,0)+1),MATCH(N$1,enemy_skill_triggers!$1:$1,0)-MATCH($F$1,enemy_skill_triggers!$1:$1,0)+1,FALSE)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580" s="48">
        <f ca="1">VLOOKUP($F580,OFFSET(enemy_skill_triggers!$A$1,0,0,COUNTA(enemy_skill_triggers!$A:$A),MATCH(O$1,enemy_skill_triggers!$1:$1,0)-MATCH($F$1,enemy_skill_triggers!$1:$1,0)+1),MATCH(O$1,enemy_skill_triggers!$1:$1,0)-MATCH($F$1,enemy_skill_triggers!$1:$1,0)+1,FALSE)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0" s="47"/>
      <c r="Q580" s="47"/>
      <c r="R580" s="47"/>
    </row>
    <row r="581" spans="1:18" ht="21" customHeight="1" x14ac:dyDescent="0.15">
      <c r="A581" s="39" t="str">
        <f t="shared" si="27"/>
        <v>39009028_39009074</v>
      </c>
      <c r="B581" s="130">
        <v>39009028</v>
      </c>
      <c r="C581" s="47">
        <v>39009074</v>
      </c>
      <c r="D581" s="46" t="str">
        <f ca="1">VLOOKUP($C581,OFFSET(enemy_skills!$A$1,0,0,COUNTA(enemy_skills!$A:$A),MATCH(D$1,enemy_skills!$1:$1,0)-MATCH("enemy_skill_id",enemy_skills!$1:$1,0)+1),MATCH(D$1,enemy_skills!$1:$1,0)-MATCH("enemy_skill_id",enemy_skills!$1:$1,0)+1,FALSE)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1" s="46" t="str">
        <f ca="1">VLOOKUP($C581,OFFSET(enemy_skills!$A$1,0,0,COUNTA(enemy_skills!$A:$A),MATCH(E$1,enemy_skills!$1:$1,0)-MATCH("enemy_skill_id",enemy_skills!$1:$1,0)+1),MATCH(E$1,enemy_skills!$1:$1,0)-MATCH("enemy_skill_id",enemy_skills!$1:$1,0)+1,FALSE)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1" s="47">
        <v>39009202</v>
      </c>
      <c r="G581" s="48">
        <f ca="1">VLOOKUP($F581,OFFSET(enemy_skill_triggers!$A$1,0,0,COUNTA(enemy_skill_triggers!$A:$A),MATCH(G$1,enemy_skill_triggers!$1:$1,0)-MATCH($F$1,enemy_skill_triggers!$1:$1,0)+1),MATCH(G$1,enemy_skill_triggers!$1:$1,0)-MATCH($F$1,enemy_skill_triggers!$1:$1,0)+1,FALSE)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1" s="48">
        <f ca="1">VLOOKUP($F581,OFFSET(enemy_skill_triggers!$A$1,0,0,COUNTA(enemy_skill_triggers!$A:$A),MATCH(H$1,enemy_skill_triggers!$1:$1,0)-MATCH($F$1,enemy_skill_triggers!$1:$1,0)+1),MATCH(H$1,enemy_skill_triggers!$1:$1,0)-MATCH($F$1,enemy_skill_triggers!$1:$1,0)+1,FALSE)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581" s="48">
        <f ca="1">VLOOKUP($F581,OFFSET(enemy_skill_triggers!$A$1,0,0,COUNTA(enemy_skill_triggers!$A:$A),MATCH(I$1,enemy_skill_triggers!$1:$1,0)-MATCH($F$1,enemy_skill_triggers!$1:$1,0)+1),MATCH(I$1,enemy_skill_triggers!$1:$1,0)-MATCH($F$1,enemy_skill_triggers!$1:$1,0)+1,FALSE)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1" s="48" t="str">
        <f ca="1">VLOOKUP($F581,OFFSET(enemy_skill_triggers!$A$1,0,0,COUNTA(enemy_skill_triggers!$A:$A),MATCH(J$1,enemy_skill_triggers!$1:$1,0)-MATCH($F$1,enemy_skill_triggers!$1:$1,0)+1),MATCH(J$1,enemy_skill_triggers!$1:$1,0)-MATCH($F$1,enemy_skill_triggers!$1:$1,0)+1,FALSE)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1" s="48" t="str">
        <f ca="1">VLOOKUP($F581,OFFSET(enemy_skill_triggers!$A$1,0,0,COUNTA(enemy_skill_triggers!$A:$A),MATCH(K$1,enemy_skill_triggers!$1:$1,0)-MATCH($F$1,enemy_skill_triggers!$1:$1,0)+1),MATCH(K$1,enemy_skill_triggers!$1:$1,0)-MATCH($F$1,enemy_skill_triggers!$1:$1,0)+1,FALSE)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1" s="48">
        <f ca="1">VLOOKUP($F581,OFFSET(enemy_skill_triggers!$A$1,0,0,COUNTA(enemy_skill_triggers!$A:$A),MATCH(L$1,enemy_skill_triggers!$1:$1,0)-MATCH($F$1,enemy_skill_triggers!$1:$1,0)+1),MATCH(L$1,enemy_skill_triggers!$1:$1,0)-MATCH($F$1,enemy_skill_triggers!$1:$1,0)+1,FALSE)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1" s="48" t="str">
        <f ca="1">VLOOKUP($F581,OFFSET(enemy_skill_triggers!$A$1,0,0,COUNTA(enemy_skill_triggers!$A:$A),MATCH(M$1,enemy_skill_triggers!$1:$1,0)-MATCH($F$1,enemy_skill_triggers!$1:$1,0)+1),MATCH(M$1,enemy_skill_triggers!$1:$1,0)-MATCH($F$1,enemy_skill_triggers!$1:$1,0)+1,FALSE)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1" s="48">
        <f ca="1">VLOOKUP($F581,OFFSET(enemy_skill_triggers!$A$1,0,0,COUNTA(enemy_skill_triggers!$A:$A),MATCH(N$1,enemy_skill_triggers!$1:$1,0)-MATCH($F$1,enemy_skill_triggers!$1:$1,0)+1),MATCH(N$1,enemy_skill_triggers!$1:$1,0)-MATCH($F$1,enemy_skill_triggers!$1:$1,0)+1,FALSE)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81" s="48">
        <f ca="1">VLOOKUP($F581,OFFSET(enemy_skill_triggers!$A$1,0,0,COUNTA(enemy_skill_triggers!$A:$A),MATCH(O$1,enemy_skill_triggers!$1:$1,0)-MATCH($F$1,enemy_skill_triggers!$1:$1,0)+1),MATCH(O$1,enemy_skill_triggers!$1:$1,0)-MATCH($F$1,enemy_skill_triggers!$1:$1,0)+1,FALSE)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1" s="47"/>
      <c r="Q581" s="47"/>
      <c r="R581" s="47"/>
    </row>
    <row r="582" spans="1:18" ht="21" customHeight="1" x14ac:dyDescent="0.15">
      <c r="A582" s="39" t="str">
        <f t="shared" si="27"/>
        <v>39009028_39009074</v>
      </c>
      <c r="B582" s="130">
        <v>39009028</v>
      </c>
      <c r="C582" s="47">
        <v>39009074</v>
      </c>
      <c r="D582" s="46" t="str">
        <f ca="1">VLOOKUP($C582,OFFSET(enemy_skills!$A$1,0,0,COUNTA(enemy_skills!$A:$A),MATCH(D$1,enemy_skills!$1:$1,0)-MATCH("enemy_skill_id",enemy_skills!$1:$1,0)+1),MATCH(D$1,enemy_skills!$1:$1,0)-MATCH("enemy_skill_id",enemy_skills!$1:$1,0)+1,FALSE)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2" s="46" t="str">
        <f ca="1">VLOOKUP($C582,OFFSET(enemy_skills!$A$1,0,0,COUNTA(enemy_skills!$A:$A),MATCH(E$1,enemy_skills!$1:$1,0)-MATCH("enemy_skill_id",enemy_skills!$1:$1,0)+1),MATCH(E$1,enemy_skills!$1:$1,0)-MATCH("enemy_skill_id",enemy_skills!$1:$1,0)+1,FALSE)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2" s="47">
        <v>39009203</v>
      </c>
      <c r="G582" s="48">
        <f ca="1">VLOOKUP($F582,OFFSET(enemy_skill_triggers!$A$1,0,0,COUNTA(enemy_skill_triggers!$A:$A),MATCH(G$1,enemy_skill_triggers!$1:$1,0)-MATCH($F$1,enemy_skill_triggers!$1:$1,0)+1),MATCH(G$1,enemy_skill_triggers!$1:$1,0)-MATCH($F$1,enemy_skill_triggers!$1:$1,0)+1,FALSE)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2" s="48">
        <f ca="1">VLOOKUP($F582,OFFSET(enemy_skill_triggers!$A$1,0,0,COUNTA(enemy_skill_triggers!$A:$A),MATCH(H$1,enemy_skill_triggers!$1:$1,0)-MATCH($F$1,enemy_skill_triggers!$1:$1,0)+1),MATCH(H$1,enemy_skill_triggers!$1:$1,0)-MATCH($F$1,enemy_skill_triggers!$1:$1,0)+1,FALSE)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582" s="48">
        <f ca="1">VLOOKUP($F582,OFFSET(enemy_skill_triggers!$A$1,0,0,COUNTA(enemy_skill_triggers!$A:$A),MATCH(I$1,enemy_skill_triggers!$1:$1,0)-MATCH($F$1,enemy_skill_triggers!$1:$1,0)+1),MATCH(I$1,enemy_skill_triggers!$1:$1,0)-MATCH($F$1,enemy_skill_triggers!$1:$1,0)+1,FALSE)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2" s="48" t="str">
        <f ca="1">VLOOKUP($F582,OFFSET(enemy_skill_triggers!$A$1,0,0,COUNTA(enemy_skill_triggers!$A:$A),MATCH(J$1,enemy_skill_triggers!$1:$1,0)-MATCH($F$1,enemy_skill_triggers!$1:$1,0)+1),MATCH(J$1,enemy_skill_triggers!$1:$1,0)-MATCH($F$1,enemy_skill_triggers!$1:$1,0)+1,FALSE)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2" s="48" t="str">
        <f ca="1">VLOOKUP($F582,OFFSET(enemy_skill_triggers!$A$1,0,0,COUNTA(enemy_skill_triggers!$A:$A),MATCH(K$1,enemy_skill_triggers!$1:$1,0)-MATCH($F$1,enemy_skill_triggers!$1:$1,0)+1),MATCH(K$1,enemy_skill_triggers!$1:$1,0)-MATCH($F$1,enemy_skill_triggers!$1:$1,0)+1,FALSE)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2" s="48">
        <f ca="1">VLOOKUP($F582,OFFSET(enemy_skill_triggers!$A$1,0,0,COUNTA(enemy_skill_triggers!$A:$A),MATCH(L$1,enemy_skill_triggers!$1:$1,0)-MATCH($F$1,enemy_skill_triggers!$1:$1,0)+1),MATCH(L$1,enemy_skill_triggers!$1:$1,0)-MATCH($F$1,enemy_skill_triggers!$1:$1,0)+1,FALSE)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2" s="48" t="str">
        <f ca="1">VLOOKUP($F582,OFFSET(enemy_skill_triggers!$A$1,0,0,COUNTA(enemy_skill_triggers!$A:$A),MATCH(M$1,enemy_skill_triggers!$1:$1,0)-MATCH($F$1,enemy_skill_triggers!$1:$1,0)+1),MATCH(M$1,enemy_skill_triggers!$1:$1,0)-MATCH($F$1,enemy_skill_triggers!$1:$1,0)+1,FALSE)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2" s="48">
        <f ca="1">VLOOKUP($F582,OFFSET(enemy_skill_triggers!$A$1,0,0,COUNTA(enemy_skill_triggers!$A:$A),MATCH(N$1,enemy_skill_triggers!$1:$1,0)-MATCH($F$1,enemy_skill_triggers!$1:$1,0)+1),MATCH(N$1,enemy_skill_triggers!$1:$1,0)-MATCH($F$1,enemy_skill_triggers!$1:$1,0)+1,FALSE)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82" s="48">
        <f ca="1">VLOOKUP($F582,OFFSET(enemy_skill_triggers!$A$1,0,0,COUNTA(enemy_skill_triggers!$A:$A),MATCH(O$1,enemy_skill_triggers!$1:$1,0)-MATCH($F$1,enemy_skill_triggers!$1:$1,0)+1),MATCH(O$1,enemy_skill_triggers!$1:$1,0)-MATCH($F$1,enemy_skill_triggers!$1:$1,0)+1,FALSE)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2" s="47"/>
      <c r="Q582" s="47"/>
      <c r="R582" s="47"/>
    </row>
    <row r="583" spans="1:18" ht="21" customHeight="1" x14ac:dyDescent="0.15">
      <c r="A583" s="39" t="str">
        <f t="shared" si="27"/>
        <v>39009028_39009074</v>
      </c>
      <c r="B583" s="130">
        <v>39009028</v>
      </c>
      <c r="C583" s="47">
        <v>39009074</v>
      </c>
      <c r="D583" s="46" t="str">
        <f ca="1">VLOOKUP($C583,OFFSET(enemy_skills!$A$1,0,0,COUNTA(enemy_skills!$A:$A),MATCH(D$1,enemy_skills!$1:$1,0)-MATCH("enemy_skill_id",enemy_skills!$1:$1,0)+1),MATCH(D$1,enemy_skills!$1:$1,0)-MATCH("enemy_skill_id",enemy_skills!$1:$1,0)+1,FALSE)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3" s="46" t="str">
        <f ca="1">VLOOKUP($C583,OFFSET(enemy_skills!$A$1,0,0,COUNTA(enemy_skills!$A:$A),MATCH(E$1,enemy_skills!$1:$1,0)-MATCH("enemy_skill_id",enemy_skills!$1:$1,0)+1),MATCH(E$1,enemy_skills!$1:$1,0)-MATCH("enemy_skill_id",enemy_skills!$1:$1,0)+1,FALSE)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3" s="47">
        <v>39009204</v>
      </c>
      <c r="G583" s="48">
        <f ca="1">VLOOKUP($F583,OFFSET(enemy_skill_triggers!$A$1,0,0,COUNTA(enemy_skill_triggers!$A:$A),MATCH(G$1,enemy_skill_triggers!$1:$1,0)-MATCH($F$1,enemy_skill_triggers!$1:$1,0)+1),MATCH(G$1,enemy_skill_triggers!$1:$1,0)-MATCH($F$1,enemy_skill_triggers!$1:$1,0)+1,FALSE)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3" s="48">
        <f ca="1">VLOOKUP($F583,OFFSET(enemy_skill_triggers!$A$1,0,0,COUNTA(enemy_skill_triggers!$A:$A),MATCH(H$1,enemy_skill_triggers!$1:$1,0)-MATCH($F$1,enemy_skill_triggers!$1:$1,0)+1),MATCH(H$1,enemy_skill_triggers!$1:$1,0)-MATCH($F$1,enemy_skill_triggers!$1:$1,0)+1,FALSE)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583" s="48">
        <f ca="1">VLOOKUP($F583,OFFSET(enemy_skill_triggers!$A$1,0,0,COUNTA(enemy_skill_triggers!$A:$A),MATCH(I$1,enemy_skill_triggers!$1:$1,0)-MATCH($F$1,enemy_skill_triggers!$1:$1,0)+1),MATCH(I$1,enemy_skill_triggers!$1:$1,0)-MATCH($F$1,enemy_skill_triggers!$1:$1,0)+1,FALSE)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3" s="48" t="str">
        <f ca="1">VLOOKUP($F583,OFFSET(enemy_skill_triggers!$A$1,0,0,COUNTA(enemy_skill_triggers!$A:$A),MATCH(J$1,enemy_skill_triggers!$1:$1,0)-MATCH($F$1,enemy_skill_triggers!$1:$1,0)+1),MATCH(J$1,enemy_skill_triggers!$1:$1,0)-MATCH($F$1,enemy_skill_triggers!$1:$1,0)+1,FALSE)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3" s="48" t="str">
        <f ca="1">VLOOKUP($F583,OFFSET(enemy_skill_triggers!$A$1,0,0,COUNTA(enemy_skill_triggers!$A:$A),MATCH(K$1,enemy_skill_triggers!$1:$1,0)-MATCH($F$1,enemy_skill_triggers!$1:$1,0)+1),MATCH(K$1,enemy_skill_triggers!$1:$1,0)-MATCH($F$1,enemy_skill_triggers!$1:$1,0)+1,FALSE)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3" s="48">
        <f ca="1">VLOOKUP($F583,OFFSET(enemy_skill_triggers!$A$1,0,0,COUNTA(enemy_skill_triggers!$A:$A),MATCH(L$1,enemy_skill_triggers!$1:$1,0)-MATCH($F$1,enemy_skill_triggers!$1:$1,0)+1),MATCH(L$1,enemy_skill_triggers!$1:$1,0)-MATCH($F$1,enemy_skill_triggers!$1:$1,0)+1,FALSE)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3" s="48" t="str">
        <f ca="1">VLOOKUP($F583,OFFSET(enemy_skill_triggers!$A$1,0,0,COUNTA(enemy_skill_triggers!$A:$A),MATCH(M$1,enemy_skill_triggers!$1:$1,0)-MATCH($F$1,enemy_skill_triggers!$1:$1,0)+1),MATCH(M$1,enemy_skill_triggers!$1:$1,0)-MATCH($F$1,enemy_skill_triggers!$1:$1,0)+1,FALSE)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3" s="48">
        <f ca="1">VLOOKUP($F583,OFFSET(enemy_skill_triggers!$A$1,0,0,COUNTA(enemy_skill_triggers!$A:$A),MATCH(N$1,enemy_skill_triggers!$1:$1,0)-MATCH($F$1,enemy_skill_triggers!$1:$1,0)+1),MATCH(N$1,enemy_skill_triggers!$1:$1,0)-MATCH($F$1,enemy_skill_triggers!$1:$1,0)+1,FALSE)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83" s="48">
        <f ca="1">VLOOKUP($F583,OFFSET(enemy_skill_triggers!$A$1,0,0,COUNTA(enemy_skill_triggers!$A:$A),MATCH(O$1,enemy_skill_triggers!$1:$1,0)-MATCH($F$1,enemy_skill_triggers!$1:$1,0)+1),MATCH(O$1,enemy_skill_triggers!$1:$1,0)-MATCH($F$1,enemy_skill_triggers!$1:$1,0)+1,FALSE)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3" s="47"/>
      <c r="Q583" s="47"/>
      <c r="R583" s="47"/>
    </row>
    <row r="584" spans="1:18" ht="21" customHeight="1" x14ac:dyDescent="0.15">
      <c r="A584" s="39" t="str">
        <f t="shared" si="27"/>
        <v>39009028_39009074</v>
      </c>
      <c r="B584" s="130">
        <v>39009028</v>
      </c>
      <c r="C584" s="47">
        <v>39009074</v>
      </c>
      <c r="D584" s="46" t="str">
        <f ca="1">VLOOKUP($C584,OFFSET(enemy_skills!$A$1,0,0,COUNTA(enemy_skills!$A:$A),MATCH(D$1,enemy_skills!$1:$1,0)-MATCH("enemy_skill_id",enemy_skills!$1:$1,0)+1),MATCH(D$1,enemy_skills!$1:$1,0)-MATCH("enemy_skill_id",enemy_skills!$1:$1,0)+1,FALSE)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4" s="46" t="str">
        <f ca="1">VLOOKUP($C584,OFFSET(enemy_skills!$A$1,0,0,COUNTA(enemy_skills!$A:$A),MATCH(E$1,enemy_skills!$1:$1,0)-MATCH("enemy_skill_id",enemy_skills!$1:$1,0)+1),MATCH(E$1,enemy_skills!$1:$1,0)-MATCH("enemy_skill_id",enemy_skills!$1:$1,0)+1,FALSE)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4" s="47">
        <v>39009205</v>
      </c>
      <c r="G584" s="48">
        <f ca="1">VLOOKUP($F584,OFFSET(enemy_skill_triggers!$A$1,0,0,COUNTA(enemy_skill_triggers!$A:$A),MATCH(G$1,enemy_skill_triggers!$1:$1,0)-MATCH($F$1,enemy_skill_triggers!$1:$1,0)+1),MATCH(G$1,enemy_skill_triggers!$1:$1,0)-MATCH($F$1,enemy_skill_triggers!$1:$1,0)+1,FALSE)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4" s="48">
        <f ca="1">VLOOKUP($F584,OFFSET(enemy_skill_triggers!$A$1,0,0,COUNTA(enemy_skill_triggers!$A:$A),MATCH(H$1,enemy_skill_triggers!$1:$1,0)-MATCH($F$1,enemy_skill_triggers!$1:$1,0)+1),MATCH(H$1,enemy_skill_triggers!$1:$1,0)-MATCH($F$1,enemy_skill_triggers!$1:$1,0)+1,FALSE)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584" s="48">
        <f ca="1">VLOOKUP($F584,OFFSET(enemy_skill_triggers!$A$1,0,0,COUNTA(enemy_skill_triggers!$A:$A),MATCH(I$1,enemy_skill_triggers!$1:$1,0)-MATCH($F$1,enemy_skill_triggers!$1:$1,0)+1),MATCH(I$1,enemy_skill_triggers!$1:$1,0)-MATCH($F$1,enemy_skill_triggers!$1:$1,0)+1,FALSE)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4" s="48" t="str">
        <f ca="1">VLOOKUP($F584,OFFSET(enemy_skill_triggers!$A$1,0,0,COUNTA(enemy_skill_triggers!$A:$A),MATCH(J$1,enemy_skill_triggers!$1:$1,0)-MATCH($F$1,enemy_skill_triggers!$1:$1,0)+1),MATCH(J$1,enemy_skill_triggers!$1:$1,0)-MATCH($F$1,enemy_skill_triggers!$1:$1,0)+1,FALSE)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4" s="48" t="str">
        <f ca="1">VLOOKUP($F584,OFFSET(enemy_skill_triggers!$A$1,0,0,COUNTA(enemy_skill_triggers!$A:$A),MATCH(K$1,enemy_skill_triggers!$1:$1,0)-MATCH($F$1,enemy_skill_triggers!$1:$1,0)+1),MATCH(K$1,enemy_skill_triggers!$1:$1,0)-MATCH($F$1,enemy_skill_triggers!$1:$1,0)+1,FALSE)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4" s="48">
        <f ca="1">VLOOKUP($F584,OFFSET(enemy_skill_triggers!$A$1,0,0,COUNTA(enemy_skill_triggers!$A:$A),MATCH(L$1,enemy_skill_triggers!$1:$1,0)-MATCH($F$1,enemy_skill_triggers!$1:$1,0)+1),MATCH(L$1,enemy_skill_triggers!$1:$1,0)-MATCH($F$1,enemy_skill_triggers!$1:$1,0)+1,FALSE)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4" s="48" t="str">
        <f ca="1">VLOOKUP($F584,OFFSET(enemy_skill_triggers!$A$1,0,0,COUNTA(enemy_skill_triggers!$A:$A),MATCH(M$1,enemy_skill_triggers!$1:$1,0)-MATCH($F$1,enemy_skill_triggers!$1:$1,0)+1),MATCH(M$1,enemy_skill_triggers!$1:$1,0)-MATCH($F$1,enemy_skill_triggers!$1:$1,0)+1,FALSE)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4" s="48">
        <f ca="1">VLOOKUP($F584,OFFSET(enemy_skill_triggers!$A$1,0,0,COUNTA(enemy_skill_triggers!$A:$A),MATCH(N$1,enemy_skill_triggers!$1:$1,0)-MATCH($F$1,enemy_skill_triggers!$1:$1,0)+1),MATCH(N$1,enemy_skill_triggers!$1:$1,0)-MATCH($F$1,enemy_skill_triggers!$1:$1,0)+1,FALSE)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584" s="48">
        <f ca="1">VLOOKUP($F584,OFFSET(enemy_skill_triggers!$A$1,0,0,COUNTA(enemy_skill_triggers!$A:$A),MATCH(O$1,enemy_skill_triggers!$1:$1,0)-MATCH($F$1,enemy_skill_triggers!$1:$1,0)+1),MATCH(O$1,enemy_skill_triggers!$1:$1,0)-MATCH($F$1,enemy_skill_triggers!$1:$1,0)+1,FALSE)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4" s="47"/>
      <c r="Q584" s="47"/>
      <c r="R584" s="47"/>
    </row>
    <row r="585" spans="1:18" ht="21" customHeight="1" x14ac:dyDescent="0.15">
      <c r="A585" s="39" t="str">
        <f t="shared" si="27"/>
        <v>39009028_39009074</v>
      </c>
      <c r="B585" s="130">
        <v>39009028</v>
      </c>
      <c r="C585" s="47">
        <v>39009074</v>
      </c>
      <c r="D585" s="46" t="str">
        <f ca="1">VLOOKUP($C585,OFFSET(enemy_skills!$A$1,0,0,COUNTA(enemy_skills!$A:$A),MATCH(D$1,enemy_skills!$1:$1,0)-MATCH("enemy_skill_id",enemy_skills!$1:$1,0)+1),MATCH(D$1,enemy_skills!$1:$1,0)-MATCH("enemy_skill_id",enemy_skills!$1:$1,0)+1,FALSE)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5" s="46" t="str">
        <f ca="1">VLOOKUP($C585,OFFSET(enemy_skills!$A$1,0,0,COUNTA(enemy_skills!$A:$A),MATCH(E$1,enemy_skills!$1:$1,0)-MATCH("enemy_skill_id",enemy_skills!$1:$1,0)+1),MATCH(E$1,enemy_skills!$1:$1,0)-MATCH("enemy_skill_id",enemy_skills!$1:$1,0)+1,FALSE)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5" s="47">
        <v>39009206</v>
      </c>
      <c r="G585" s="48">
        <f ca="1">VLOOKUP($F585,OFFSET(enemy_skill_triggers!$A$1,0,0,COUNTA(enemy_skill_triggers!$A:$A),MATCH(G$1,enemy_skill_triggers!$1:$1,0)-MATCH($F$1,enemy_skill_triggers!$1:$1,0)+1),MATCH(G$1,enemy_skill_triggers!$1:$1,0)-MATCH($F$1,enemy_skill_triggers!$1:$1,0)+1,FALSE)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5" s="48">
        <f ca="1">VLOOKUP($F585,OFFSET(enemy_skill_triggers!$A$1,0,0,COUNTA(enemy_skill_triggers!$A:$A),MATCH(H$1,enemy_skill_triggers!$1:$1,0)-MATCH($F$1,enemy_skill_triggers!$1:$1,0)+1),MATCH(H$1,enemy_skill_triggers!$1:$1,0)-MATCH($F$1,enemy_skill_triggers!$1:$1,0)+1,FALSE)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85" s="48">
        <f ca="1">VLOOKUP($F585,OFFSET(enemy_skill_triggers!$A$1,0,0,COUNTA(enemy_skill_triggers!$A:$A),MATCH(I$1,enemy_skill_triggers!$1:$1,0)-MATCH($F$1,enemy_skill_triggers!$1:$1,0)+1),MATCH(I$1,enemy_skill_triggers!$1:$1,0)-MATCH($F$1,enemy_skill_triggers!$1:$1,0)+1,FALSE)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5" s="48" t="str">
        <f ca="1">VLOOKUP($F585,OFFSET(enemy_skill_triggers!$A$1,0,0,COUNTA(enemy_skill_triggers!$A:$A),MATCH(J$1,enemy_skill_triggers!$1:$1,0)-MATCH($F$1,enemy_skill_triggers!$1:$1,0)+1),MATCH(J$1,enemy_skill_triggers!$1:$1,0)-MATCH($F$1,enemy_skill_triggers!$1:$1,0)+1,FALSE)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5" s="48" t="str">
        <f ca="1">VLOOKUP($F585,OFFSET(enemy_skill_triggers!$A$1,0,0,COUNTA(enemy_skill_triggers!$A:$A),MATCH(K$1,enemy_skill_triggers!$1:$1,0)-MATCH($F$1,enemy_skill_triggers!$1:$1,0)+1),MATCH(K$1,enemy_skill_triggers!$1:$1,0)-MATCH($F$1,enemy_skill_triggers!$1:$1,0)+1,FALSE)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5" s="48">
        <f ca="1">VLOOKUP($F585,OFFSET(enemy_skill_triggers!$A$1,0,0,COUNTA(enemy_skill_triggers!$A:$A),MATCH(L$1,enemy_skill_triggers!$1:$1,0)-MATCH($F$1,enemy_skill_triggers!$1:$1,0)+1),MATCH(L$1,enemy_skill_triggers!$1:$1,0)-MATCH($F$1,enemy_skill_triggers!$1:$1,0)+1,FALSE)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5" s="48" t="str">
        <f ca="1">VLOOKUP($F585,OFFSET(enemy_skill_triggers!$A$1,0,0,COUNTA(enemy_skill_triggers!$A:$A),MATCH(M$1,enemy_skill_triggers!$1:$1,0)-MATCH($F$1,enemy_skill_triggers!$1:$1,0)+1),MATCH(M$1,enemy_skill_triggers!$1:$1,0)-MATCH($F$1,enemy_skill_triggers!$1:$1,0)+1,FALSE)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5" s="48">
        <f ca="1">VLOOKUP($F585,OFFSET(enemy_skill_triggers!$A$1,0,0,COUNTA(enemy_skill_triggers!$A:$A),MATCH(N$1,enemy_skill_triggers!$1:$1,0)-MATCH($F$1,enemy_skill_triggers!$1:$1,0)+1),MATCH(N$1,enemy_skill_triggers!$1:$1,0)-MATCH($F$1,enemy_skill_triggers!$1:$1,0)+1,FALSE)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85" s="48">
        <f ca="1">VLOOKUP($F585,OFFSET(enemy_skill_triggers!$A$1,0,0,COUNTA(enemy_skill_triggers!$A:$A),MATCH(O$1,enemy_skill_triggers!$1:$1,0)-MATCH($F$1,enemy_skill_triggers!$1:$1,0)+1),MATCH(O$1,enemy_skill_triggers!$1:$1,0)-MATCH($F$1,enemy_skill_triggers!$1:$1,0)+1,FALSE)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5" s="47"/>
      <c r="Q585" s="47"/>
      <c r="R585" s="47"/>
    </row>
    <row r="586" spans="1:18" ht="21" customHeight="1" x14ac:dyDescent="0.15">
      <c r="A586" s="39" t="str">
        <f t="shared" si="27"/>
        <v>39009028_39009074</v>
      </c>
      <c r="B586" s="130">
        <v>39009028</v>
      </c>
      <c r="C586" s="47">
        <v>39009074</v>
      </c>
      <c r="D586" s="46" t="str">
        <f ca="1">VLOOKUP($C586,OFFSET(enemy_skills!$A$1,0,0,COUNTA(enemy_skills!$A:$A),MATCH(D$1,enemy_skills!$1:$1,0)-MATCH("enemy_skill_id",enemy_skills!$1:$1,0)+1),MATCH(D$1,enemy_skills!$1:$1,0)-MATCH("enemy_skill_id",enemy_skills!$1:$1,0)+1,FALSE)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6" s="46" t="str">
        <f ca="1">VLOOKUP($C586,OFFSET(enemy_skills!$A$1,0,0,COUNTA(enemy_skills!$A:$A),MATCH(E$1,enemy_skills!$1:$1,0)-MATCH("enemy_skill_id",enemy_skills!$1:$1,0)+1),MATCH(E$1,enemy_skills!$1:$1,0)-MATCH("enemy_skill_id",enemy_skills!$1:$1,0)+1,FALSE)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6" s="47">
        <v>39009207</v>
      </c>
      <c r="G586" s="48">
        <f ca="1">VLOOKUP($F586,OFFSET(enemy_skill_triggers!$A$1,0,0,COUNTA(enemy_skill_triggers!$A:$A),MATCH(G$1,enemy_skill_triggers!$1:$1,0)-MATCH($F$1,enemy_skill_triggers!$1:$1,0)+1),MATCH(G$1,enemy_skill_triggers!$1:$1,0)-MATCH($F$1,enemy_skill_triggers!$1:$1,0)+1,FALSE)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6" s="48">
        <f ca="1">VLOOKUP($F586,OFFSET(enemy_skill_triggers!$A$1,0,0,COUNTA(enemy_skill_triggers!$A:$A),MATCH(H$1,enemy_skill_triggers!$1:$1,0)-MATCH($F$1,enemy_skill_triggers!$1:$1,0)+1),MATCH(H$1,enemy_skill_triggers!$1:$1,0)-MATCH($F$1,enemy_skill_triggers!$1:$1,0)+1,FALSE)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586" s="48">
        <f ca="1">VLOOKUP($F586,OFFSET(enemy_skill_triggers!$A$1,0,0,COUNTA(enemy_skill_triggers!$A:$A),MATCH(I$1,enemy_skill_triggers!$1:$1,0)-MATCH($F$1,enemy_skill_triggers!$1:$1,0)+1),MATCH(I$1,enemy_skill_triggers!$1:$1,0)-MATCH($F$1,enemy_skill_triggers!$1:$1,0)+1,FALSE)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6" s="48" t="str">
        <f ca="1">VLOOKUP($F586,OFFSET(enemy_skill_triggers!$A$1,0,0,COUNTA(enemy_skill_triggers!$A:$A),MATCH(J$1,enemy_skill_triggers!$1:$1,0)-MATCH($F$1,enemy_skill_triggers!$1:$1,0)+1),MATCH(J$1,enemy_skill_triggers!$1:$1,0)-MATCH($F$1,enemy_skill_triggers!$1:$1,0)+1,FALSE)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6" s="48" t="str">
        <f ca="1">VLOOKUP($F586,OFFSET(enemy_skill_triggers!$A$1,0,0,COUNTA(enemy_skill_triggers!$A:$A),MATCH(K$1,enemy_skill_triggers!$1:$1,0)-MATCH($F$1,enemy_skill_triggers!$1:$1,0)+1),MATCH(K$1,enemy_skill_triggers!$1:$1,0)-MATCH($F$1,enemy_skill_triggers!$1:$1,0)+1,FALSE)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6" s="48">
        <f ca="1">VLOOKUP($F586,OFFSET(enemy_skill_triggers!$A$1,0,0,COUNTA(enemy_skill_triggers!$A:$A),MATCH(L$1,enemy_skill_triggers!$1:$1,0)-MATCH($F$1,enemy_skill_triggers!$1:$1,0)+1),MATCH(L$1,enemy_skill_triggers!$1:$1,0)-MATCH($F$1,enemy_skill_triggers!$1:$1,0)+1,FALSE)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6" s="48" t="str">
        <f ca="1">VLOOKUP($F586,OFFSET(enemy_skill_triggers!$A$1,0,0,COUNTA(enemy_skill_triggers!$A:$A),MATCH(M$1,enemy_skill_triggers!$1:$1,0)-MATCH($F$1,enemy_skill_triggers!$1:$1,0)+1),MATCH(M$1,enemy_skill_triggers!$1:$1,0)-MATCH($F$1,enemy_skill_triggers!$1:$1,0)+1,FALSE)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6" s="48">
        <f ca="1">VLOOKUP($F586,OFFSET(enemy_skill_triggers!$A$1,0,0,COUNTA(enemy_skill_triggers!$A:$A),MATCH(N$1,enemy_skill_triggers!$1:$1,0)-MATCH($F$1,enemy_skill_triggers!$1:$1,0)+1),MATCH(N$1,enemy_skill_triggers!$1:$1,0)-MATCH($F$1,enemy_skill_triggers!$1:$1,0)+1,FALSE)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586" s="48">
        <f ca="1">VLOOKUP($F586,OFFSET(enemy_skill_triggers!$A$1,0,0,COUNTA(enemy_skill_triggers!$A:$A),MATCH(O$1,enemy_skill_triggers!$1:$1,0)-MATCH($F$1,enemy_skill_triggers!$1:$1,0)+1),MATCH(O$1,enemy_skill_triggers!$1:$1,0)-MATCH($F$1,enemy_skill_triggers!$1:$1,0)+1,FALSE)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6" s="47"/>
      <c r="Q586" s="47"/>
      <c r="R586" s="47"/>
    </row>
    <row r="587" spans="1:18" ht="21" customHeight="1" x14ac:dyDescent="0.15">
      <c r="A587" s="39" t="str">
        <f t="shared" si="27"/>
        <v>39009028_39009074</v>
      </c>
      <c r="B587" s="130">
        <v>39009028</v>
      </c>
      <c r="C587" s="47">
        <v>39009074</v>
      </c>
      <c r="D587" s="46" t="str">
        <f ca="1">VLOOKUP($C587,OFFSET(enemy_skills!$A$1,0,0,COUNTA(enemy_skills!$A:$A),MATCH(D$1,enemy_skills!$1:$1,0)-MATCH("enemy_skill_id",enemy_skills!$1:$1,0)+1),MATCH(D$1,enemy_skills!$1:$1,0)-MATCH("enemy_skill_id",enemy_skills!$1:$1,0)+1,FALSE)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7" s="46" t="str">
        <f ca="1">VLOOKUP($C587,OFFSET(enemy_skills!$A$1,0,0,COUNTA(enemy_skills!$A:$A),MATCH(E$1,enemy_skills!$1:$1,0)-MATCH("enemy_skill_id",enemy_skills!$1:$1,0)+1),MATCH(E$1,enemy_skills!$1:$1,0)-MATCH("enemy_skill_id",enemy_skills!$1:$1,0)+1,FALSE)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7" s="47">
        <v>39009208</v>
      </c>
      <c r="G587" s="48">
        <f ca="1">VLOOKUP($F587,OFFSET(enemy_skill_triggers!$A$1,0,0,COUNTA(enemy_skill_triggers!$A:$A),MATCH(G$1,enemy_skill_triggers!$1:$1,0)-MATCH($F$1,enemy_skill_triggers!$1:$1,0)+1),MATCH(G$1,enemy_skill_triggers!$1:$1,0)-MATCH($F$1,enemy_skill_triggers!$1:$1,0)+1,FALSE)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7" s="48">
        <f ca="1">VLOOKUP($F587,OFFSET(enemy_skill_triggers!$A$1,0,0,COUNTA(enemy_skill_triggers!$A:$A),MATCH(H$1,enemy_skill_triggers!$1:$1,0)-MATCH($F$1,enemy_skill_triggers!$1:$1,0)+1),MATCH(H$1,enemy_skill_triggers!$1:$1,0)-MATCH($F$1,enemy_skill_triggers!$1:$1,0)+1,FALSE)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587" s="48">
        <f ca="1">VLOOKUP($F587,OFFSET(enemy_skill_triggers!$A$1,0,0,COUNTA(enemy_skill_triggers!$A:$A),MATCH(I$1,enemy_skill_triggers!$1:$1,0)-MATCH($F$1,enemy_skill_triggers!$1:$1,0)+1),MATCH(I$1,enemy_skill_triggers!$1:$1,0)-MATCH($F$1,enemy_skill_triggers!$1:$1,0)+1,FALSE)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7" s="48" t="str">
        <f ca="1">VLOOKUP($F587,OFFSET(enemy_skill_triggers!$A$1,0,0,COUNTA(enemy_skill_triggers!$A:$A),MATCH(J$1,enemy_skill_triggers!$1:$1,0)-MATCH($F$1,enemy_skill_triggers!$1:$1,0)+1),MATCH(J$1,enemy_skill_triggers!$1:$1,0)-MATCH($F$1,enemy_skill_triggers!$1:$1,0)+1,FALSE)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7" s="48" t="str">
        <f ca="1">VLOOKUP($F587,OFFSET(enemy_skill_triggers!$A$1,0,0,COUNTA(enemy_skill_triggers!$A:$A),MATCH(K$1,enemy_skill_triggers!$1:$1,0)-MATCH($F$1,enemy_skill_triggers!$1:$1,0)+1),MATCH(K$1,enemy_skill_triggers!$1:$1,0)-MATCH($F$1,enemy_skill_triggers!$1:$1,0)+1,FALSE)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7" s="48">
        <f ca="1">VLOOKUP($F587,OFFSET(enemy_skill_triggers!$A$1,0,0,COUNTA(enemy_skill_triggers!$A:$A),MATCH(L$1,enemy_skill_triggers!$1:$1,0)-MATCH($F$1,enemy_skill_triggers!$1:$1,0)+1),MATCH(L$1,enemy_skill_triggers!$1:$1,0)-MATCH($F$1,enemy_skill_triggers!$1:$1,0)+1,FALSE)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7" s="48" t="str">
        <f ca="1">VLOOKUP($F587,OFFSET(enemy_skill_triggers!$A$1,0,0,COUNTA(enemy_skill_triggers!$A:$A),MATCH(M$1,enemy_skill_triggers!$1:$1,0)-MATCH($F$1,enemy_skill_triggers!$1:$1,0)+1),MATCH(M$1,enemy_skill_triggers!$1:$1,0)-MATCH($F$1,enemy_skill_triggers!$1:$1,0)+1,FALSE)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7" s="48">
        <f ca="1">VLOOKUP($F587,OFFSET(enemy_skill_triggers!$A$1,0,0,COUNTA(enemy_skill_triggers!$A:$A),MATCH(N$1,enemy_skill_triggers!$1:$1,0)-MATCH($F$1,enemy_skill_triggers!$1:$1,0)+1),MATCH(N$1,enemy_skill_triggers!$1:$1,0)-MATCH($F$1,enemy_skill_triggers!$1:$1,0)+1,FALSE)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587" s="48">
        <f ca="1">VLOOKUP($F587,OFFSET(enemy_skill_triggers!$A$1,0,0,COUNTA(enemy_skill_triggers!$A:$A),MATCH(O$1,enemy_skill_triggers!$1:$1,0)-MATCH($F$1,enemy_skill_triggers!$1:$1,0)+1),MATCH(O$1,enemy_skill_triggers!$1:$1,0)-MATCH($F$1,enemy_skill_triggers!$1:$1,0)+1,FALSE)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7" s="47"/>
      <c r="Q587" s="47"/>
      <c r="R587" s="47"/>
    </row>
    <row r="588" spans="1:18" ht="21" customHeight="1" x14ac:dyDescent="0.15">
      <c r="A588" s="39" t="str">
        <f t="shared" si="27"/>
        <v>39009028_39009074</v>
      </c>
      <c r="B588" s="130">
        <v>39009028</v>
      </c>
      <c r="C588" s="47">
        <v>39009074</v>
      </c>
      <c r="D588" s="46" t="str">
        <f ca="1">VLOOKUP($C588,OFFSET(enemy_skills!$A$1,0,0,COUNTA(enemy_skills!$A:$A),MATCH(D$1,enemy_skills!$1:$1,0)-MATCH("enemy_skill_id",enemy_skills!$1:$1,0)+1),MATCH(D$1,enemy_skills!$1:$1,0)-MATCH("enemy_skill_id",enemy_skills!$1:$1,0)+1,FALSE)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8" s="46" t="str">
        <f ca="1">VLOOKUP($C588,OFFSET(enemy_skills!$A$1,0,0,COUNTA(enemy_skills!$A:$A),MATCH(E$1,enemy_skills!$1:$1,0)-MATCH("enemy_skill_id",enemy_skills!$1:$1,0)+1),MATCH(E$1,enemy_skills!$1:$1,0)-MATCH("enemy_skill_id",enemy_skills!$1:$1,0)+1,FALSE)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8" s="47">
        <v>39009209</v>
      </c>
      <c r="G588" s="48">
        <f ca="1">VLOOKUP($F588,OFFSET(enemy_skill_triggers!$A$1,0,0,COUNTA(enemy_skill_triggers!$A:$A),MATCH(G$1,enemy_skill_triggers!$1:$1,0)-MATCH($F$1,enemy_skill_triggers!$1:$1,0)+1),MATCH(G$1,enemy_skill_triggers!$1:$1,0)-MATCH($F$1,enemy_skill_triggers!$1:$1,0)+1,FALSE)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8" s="48">
        <f ca="1">VLOOKUP($F588,OFFSET(enemy_skill_triggers!$A$1,0,0,COUNTA(enemy_skill_triggers!$A:$A),MATCH(H$1,enemy_skill_triggers!$1:$1,0)-MATCH($F$1,enemy_skill_triggers!$1:$1,0)+1),MATCH(H$1,enemy_skill_triggers!$1:$1,0)-MATCH($F$1,enemy_skill_triggers!$1:$1,0)+1,FALSE)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588" s="48">
        <f ca="1">VLOOKUP($F588,OFFSET(enemy_skill_triggers!$A$1,0,0,COUNTA(enemy_skill_triggers!$A:$A),MATCH(I$1,enemy_skill_triggers!$1:$1,0)-MATCH($F$1,enemy_skill_triggers!$1:$1,0)+1),MATCH(I$1,enemy_skill_triggers!$1:$1,0)-MATCH($F$1,enemy_skill_triggers!$1:$1,0)+1,FALSE)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8" s="48" t="str">
        <f ca="1">VLOOKUP($F588,OFFSET(enemy_skill_triggers!$A$1,0,0,COUNTA(enemy_skill_triggers!$A:$A),MATCH(J$1,enemy_skill_triggers!$1:$1,0)-MATCH($F$1,enemy_skill_triggers!$1:$1,0)+1),MATCH(J$1,enemy_skill_triggers!$1:$1,0)-MATCH($F$1,enemy_skill_triggers!$1:$1,0)+1,FALSE)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8" s="48" t="str">
        <f ca="1">VLOOKUP($F588,OFFSET(enemy_skill_triggers!$A$1,0,0,COUNTA(enemy_skill_triggers!$A:$A),MATCH(K$1,enemy_skill_triggers!$1:$1,0)-MATCH($F$1,enemy_skill_triggers!$1:$1,0)+1),MATCH(K$1,enemy_skill_triggers!$1:$1,0)-MATCH($F$1,enemy_skill_triggers!$1:$1,0)+1,FALSE)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8" s="48">
        <f ca="1">VLOOKUP($F588,OFFSET(enemy_skill_triggers!$A$1,0,0,COUNTA(enemy_skill_triggers!$A:$A),MATCH(L$1,enemy_skill_triggers!$1:$1,0)-MATCH($F$1,enemy_skill_triggers!$1:$1,0)+1),MATCH(L$1,enemy_skill_triggers!$1:$1,0)-MATCH($F$1,enemy_skill_triggers!$1:$1,0)+1,FALSE)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8" s="48" t="str">
        <f ca="1">VLOOKUP($F588,OFFSET(enemy_skill_triggers!$A$1,0,0,COUNTA(enemy_skill_triggers!$A:$A),MATCH(M$1,enemy_skill_triggers!$1:$1,0)-MATCH($F$1,enemy_skill_triggers!$1:$1,0)+1),MATCH(M$1,enemy_skill_triggers!$1:$1,0)-MATCH($F$1,enemy_skill_triggers!$1:$1,0)+1,FALSE)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8" s="48">
        <f ca="1">VLOOKUP($F588,OFFSET(enemy_skill_triggers!$A$1,0,0,COUNTA(enemy_skill_triggers!$A:$A),MATCH(N$1,enemy_skill_triggers!$1:$1,0)-MATCH($F$1,enemy_skill_triggers!$1:$1,0)+1),MATCH(N$1,enemy_skill_triggers!$1:$1,0)-MATCH($F$1,enemy_skill_triggers!$1:$1,0)+1,FALSE)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588" s="48">
        <f ca="1">VLOOKUP($F588,OFFSET(enemy_skill_triggers!$A$1,0,0,COUNTA(enemy_skill_triggers!$A:$A),MATCH(O$1,enemy_skill_triggers!$1:$1,0)-MATCH($F$1,enemy_skill_triggers!$1:$1,0)+1),MATCH(O$1,enemy_skill_triggers!$1:$1,0)-MATCH($F$1,enemy_skill_triggers!$1:$1,0)+1,FALSE)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8" s="47"/>
      <c r="Q588" s="47"/>
      <c r="R588" s="47"/>
    </row>
    <row r="589" spans="1:18" ht="21" customHeight="1" x14ac:dyDescent="0.15">
      <c r="A589" s="39" t="str">
        <f t="shared" si="27"/>
        <v>39009028_39009074</v>
      </c>
      <c r="B589" s="130">
        <v>39009028</v>
      </c>
      <c r="C589" s="47">
        <v>39009074</v>
      </c>
      <c r="D589" s="46" t="str">
        <f ca="1">VLOOKUP($C589,OFFSET(enemy_skills!$A$1,0,0,COUNTA(enemy_skills!$A:$A),MATCH(D$1,enemy_skills!$1:$1,0)-MATCH("enemy_skill_id",enemy_skills!$1:$1,0)+1),MATCH(D$1,enemy_skills!$1:$1,0)-MATCH("enemy_skill_id",enemy_skills!$1:$1,0)+1,FALSE)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89" s="46" t="str">
        <f ca="1">VLOOKUP($C589,OFFSET(enemy_skills!$A$1,0,0,COUNTA(enemy_skills!$A:$A),MATCH(E$1,enemy_skills!$1:$1,0)-MATCH("enemy_skill_id",enemy_skills!$1:$1,0)+1),MATCH(E$1,enemy_skills!$1:$1,0)-MATCH("enemy_skill_id",enemy_skills!$1:$1,0)+1,FALSE)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9" s="47">
        <v>39009210</v>
      </c>
      <c r="G589" s="48">
        <f ca="1">VLOOKUP($F589,OFFSET(enemy_skill_triggers!$A$1,0,0,COUNTA(enemy_skill_triggers!$A:$A),MATCH(G$1,enemy_skill_triggers!$1:$1,0)-MATCH($F$1,enemy_skill_triggers!$1:$1,0)+1),MATCH(G$1,enemy_skill_triggers!$1:$1,0)-MATCH($F$1,enemy_skill_triggers!$1:$1,0)+1,FALSE)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9" s="48">
        <f ca="1">VLOOKUP($F589,OFFSET(enemy_skill_triggers!$A$1,0,0,COUNTA(enemy_skill_triggers!$A:$A),MATCH(H$1,enemy_skill_triggers!$1:$1,0)-MATCH($F$1,enemy_skill_triggers!$1:$1,0)+1),MATCH(H$1,enemy_skill_triggers!$1:$1,0)-MATCH($F$1,enemy_skill_triggers!$1:$1,0)+1,FALSE)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589" s="48">
        <f ca="1">VLOOKUP($F589,OFFSET(enemy_skill_triggers!$A$1,0,0,COUNTA(enemy_skill_triggers!$A:$A),MATCH(I$1,enemy_skill_triggers!$1:$1,0)-MATCH($F$1,enemy_skill_triggers!$1:$1,0)+1),MATCH(I$1,enemy_skill_triggers!$1:$1,0)-MATCH($F$1,enemy_skill_triggers!$1:$1,0)+1,FALSE)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9" s="48" t="str">
        <f ca="1">VLOOKUP($F589,OFFSET(enemy_skill_triggers!$A$1,0,0,COUNTA(enemy_skill_triggers!$A:$A),MATCH(J$1,enemy_skill_triggers!$1:$1,0)-MATCH($F$1,enemy_skill_triggers!$1:$1,0)+1),MATCH(J$1,enemy_skill_triggers!$1:$1,0)-MATCH($F$1,enemy_skill_triggers!$1:$1,0)+1,FALSE)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9" s="48" t="str">
        <f ca="1">VLOOKUP($F589,OFFSET(enemy_skill_triggers!$A$1,0,0,COUNTA(enemy_skill_triggers!$A:$A),MATCH(K$1,enemy_skill_triggers!$1:$1,0)-MATCH($F$1,enemy_skill_triggers!$1:$1,0)+1),MATCH(K$1,enemy_skill_triggers!$1:$1,0)-MATCH($F$1,enemy_skill_triggers!$1:$1,0)+1,FALSE)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9" s="48">
        <f ca="1">VLOOKUP($F589,OFFSET(enemy_skill_triggers!$A$1,0,0,COUNTA(enemy_skill_triggers!$A:$A),MATCH(L$1,enemy_skill_triggers!$1:$1,0)-MATCH($F$1,enemy_skill_triggers!$1:$1,0)+1),MATCH(L$1,enemy_skill_triggers!$1:$1,0)-MATCH($F$1,enemy_skill_triggers!$1:$1,0)+1,FALSE)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9" s="48" t="str">
        <f ca="1">VLOOKUP($F589,OFFSET(enemy_skill_triggers!$A$1,0,0,COUNTA(enemy_skill_triggers!$A:$A),MATCH(M$1,enemy_skill_triggers!$1:$1,0)-MATCH($F$1,enemy_skill_triggers!$1:$1,0)+1),MATCH(M$1,enemy_skill_triggers!$1:$1,0)-MATCH($F$1,enemy_skill_triggers!$1:$1,0)+1,FALSE)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9" s="48">
        <f ca="1">VLOOKUP($F589,OFFSET(enemy_skill_triggers!$A$1,0,0,COUNTA(enemy_skill_triggers!$A:$A),MATCH(N$1,enemy_skill_triggers!$1:$1,0)-MATCH($F$1,enemy_skill_triggers!$1:$1,0)+1),MATCH(N$1,enemy_skill_triggers!$1:$1,0)-MATCH($F$1,enemy_skill_triggers!$1:$1,0)+1,FALSE)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89" s="48">
        <f ca="1">VLOOKUP($F589,OFFSET(enemy_skill_triggers!$A$1,0,0,COUNTA(enemy_skill_triggers!$A:$A),MATCH(O$1,enemy_skill_triggers!$1:$1,0)-MATCH($F$1,enemy_skill_triggers!$1:$1,0)+1),MATCH(O$1,enemy_skill_triggers!$1:$1,0)-MATCH($F$1,enemy_skill_triggers!$1:$1,0)+1,FALSE)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9" s="47"/>
      <c r="Q589" s="47"/>
      <c r="R589" s="47"/>
    </row>
    <row r="590" spans="1:18" ht="21" customHeight="1" x14ac:dyDescent="0.15">
      <c r="A590" s="39" t="str">
        <f t="shared" si="27"/>
        <v>39009028_39009074</v>
      </c>
      <c r="B590" s="130">
        <v>39009028</v>
      </c>
      <c r="C590" s="47">
        <v>39009074</v>
      </c>
      <c r="D590" s="46" t="str">
        <f ca="1">VLOOKUP($C590,OFFSET(enemy_skills!$A$1,0,0,COUNTA(enemy_skills!$A:$A),MATCH(D$1,enemy_skills!$1:$1,0)-MATCH("enemy_skill_id",enemy_skills!$1:$1,0)+1),MATCH(D$1,enemy_skills!$1:$1,0)-MATCH("enemy_skill_id",enemy_skills!$1:$1,0)+1,FALSE)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0" s="46" t="str">
        <f ca="1">VLOOKUP($C590,OFFSET(enemy_skills!$A$1,0,0,COUNTA(enemy_skills!$A:$A),MATCH(E$1,enemy_skills!$1:$1,0)-MATCH("enemy_skill_id",enemy_skills!$1:$1,0)+1),MATCH(E$1,enemy_skills!$1:$1,0)-MATCH("enemy_skill_id",enemy_skills!$1:$1,0)+1,FALSE)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0" s="47">
        <v>39009211</v>
      </c>
      <c r="G590" s="48">
        <f ca="1">VLOOKUP($F590,OFFSET(enemy_skill_triggers!$A$1,0,0,COUNTA(enemy_skill_triggers!$A:$A),MATCH(G$1,enemy_skill_triggers!$1:$1,0)-MATCH($F$1,enemy_skill_triggers!$1:$1,0)+1),MATCH(G$1,enemy_skill_triggers!$1:$1,0)-MATCH($F$1,enemy_skill_triggers!$1:$1,0)+1,FALSE)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0" s="48">
        <f ca="1">VLOOKUP($F590,OFFSET(enemy_skill_triggers!$A$1,0,0,COUNTA(enemy_skill_triggers!$A:$A),MATCH(H$1,enemy_skill_triggers!$1:$1,0)-MATCH($F$1,enemy_skill_triggers!$1:$1,0)+1),MATCH(H$1,enemy_skill_triggers!$1:$1,0)-MATCH($F$1,enemy_skill_triggers!$1:$1,0)+1,FALSE)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590" s="48">
        <f ca="1">VLOOKUP($F590,OFFSET(enemy_skill_triggers!$A$1,0,0,COUNTA(enemy_skill_triggers!$A:$A),MATCH(I$1,enemy_skill_triggers!$1:$1,0)-MATCH($F$1,enemy_skill_triggers!$1:$1,0)+1),MATCH(I$1,enemy_skill_triggers!$1:$1,0)-MATCH($F$1,enemy_skill_triggers!$1:$1,0)+1,FALSE)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0" s="48" t="str">
        <f ca="1">VLOOKUP($F590,OFFSET(enemy_skill_triggers!$A$1,0,0,COUNTA(enemy_skill_triggers!$A:$A),MATCH(J$1,enemy_skill_triggers!$1:$1,0)-MATCH($F$1,enemy_skill_triggers!$1:$1,0)+1),MATCH(J$1,enemy_skill_triggers!$1:$1,0)-MATCH($F$1,enemy_skill_triggers!$1:$1,0)+1,FALSE)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0" s="48" t="str">
        <f ca="1">VLOOKUP($F590,OFFSET(enemy_skill_triggers!$A$1,0,0,COUNTA(enemy_skill_triggers!$A:$A),MATCH(K$1,enemy_skill_triggers!$1:$1,0)-MATCH($F$1,enemy_skill_triggers!$1:$1,0)+1),MATCH(K$1,enemy_skill_triggers!$1:$1,0)-MATCH($F$1,enemy_skill_triggers!$1:$1,0)+1,FALSE)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0" s="48">
        <f ca="1">VLOOKUP($F590,OFFSET(enemy_skill_triggers!$A$1,0,0,COUNTA(enemy_skill_triggers!$A:$A),MATCH(L$1,enemy_skill_triggers!$1:$1,0)-MATCH($F$1,enemy_skill_triggers!$1:$1,0)+1),MATCH(L$1,enemy_skill_triggers!$1:$1,0)-MATCH($F$1,enemy_skill_triggers!$1:$1,0)+1,FALSE)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0" s="48" t="str">
        <f ca="1">VLOOKUP($F590,OFFSET(enemy_skill_triggers!$A$1,0,0,COUNTA(enemy_skill_triggers!$A:$A),MATCH(M$1,enemy_skill_triggers!$1:$1,0)-MATCH($F$1,enemy_skill_triggers!$1:$1,0)+1),MATCH(M$1,enemy_skill_triggers!$1:$1,0)-MATCH($F$1,enemy_skill_triggers!$1:$1,0)+1,FALSE)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0" s="48">
        <f ca="1">VLOOKUP($F590,OFFSET(enemy_skill_triggers!$A$1,0,0,COUNTA(enemy_skill_triggers!$A:$A),MATCH(N$1,enemy_skill_triggers!$1:$1,0)-MATCH($F$1,enemy_skill_triggers!$1:$1,0)+1),MATCH(N$1,enemy_skill_triggers!$1:$1,0)-MATCH($F$1,enemy_skill_triggers!$1:$1,0)+1,FALSE)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590" s="48">
        <f ca="1">VLOOKUP($F590,OFFSET(enemy_skill_triggers!$A$1,0,0,COUNTA(enemy_skill_triggers!$A:$A),MATCH(O$1,enemy_skill_triggers!$1:$1,0)-MATCH($F$1,enemy_skill_triggers!$1:$1,0)+1),MATCH(O$1,enemy_skill_triggers!$1:$1,0)-MATCH($F$1,enemy_skill_triggers!$1:$1,0)+1,FALSE)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0" s="47"/>
      <c r="Q590" s="47"/>
      <c r="R590" s="47"/>
    </row>
    <row r="591" spans="1:18" ht="21" customHeight="1" x14ac:dyDescent="0.15">
      <c r="A591" s="39" t="str">
        <f t="shared" si="27"/>
        <v>39009028_39009074</v>
      </c>
      <c r="B591" s="130">
        <v>39009028</v>
      </c>
      <c r="C591" s="47">
        <v>39009074</v>
      </c>
      <c r="D591" s="46" t="str">
        <f ca="1">VLOOKUP($C591,OFFSET(enemy_skills!$A$1,0,0,COUNTA(enemy_skills!$A:$A),MATCH(D$1,enemy_skills!$1:$1,0)-MATCH("enemy_skill_id",enemy_skills!$1:$1,0)+1),MATCH(D$1,enemy_skills!$1:$1,0)-MATCH("enemy_skill_id",enemy_skills!$1:$1,0)+1,FALSE)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1" s="46" t="str">
        <f ca="1">VLOOKUP($C591,OFFSET(enemy_skills!$A$1,0,0,COUNTA(enemy_skills!$A:$A),MATCH(E$1,enemy_skills!$1:$1,0)-MATCH("enemy_skill_id",enemy_skills!$1:$1,0)+1),MATCH(E$1,enemy_skills!$1:$1,0)-MATCH("enemy_skill_id",enemy_skills!$1:$1,0)+1,FALSE)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1" s="47">
        <v>39009212</v>
      </c>
      <c r="G591" s="48">
        <f ca="1">VLOOKUP($F591,OFFSET(enemy_skill_triggers!$A$1,0,0,COUNTA(enemy_skill_triggers!$A:$A),MATCH(G$1,enemy_skill_triggers!$1:$1,0)-MATCH($F$1,enemy_skill_triggers!$1:$1,0)+1),MATCH(G$1,enemy_skill_triggers!$1:$1,0)-MATCH($F$1,enemy_skill_triggers!$1:$1,0)+1,FALSE)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1" s="48">
        <f ca="1">VLOOKUP($F591,OFFSET(enemy_skill_triggers!$A$1,0,0,COUNTA(enemy_skill_triggers!$A:$A),MATCH(H$1,enemy_skill_triggers!$1:$1,0)-MATCH($F$1,enemy_skill_triggers!$1:$1,0)+1),MATCH(H$1,enemy_skill_triggers!$1:$1,0)-MATCH($F$1,enemy_skill_triggers!$1:$1,0)+1,FALSE)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591" s="48">
        <f ca="1">VLOOKUP($F591,OFFSET(enemy_skill_triggers!$A$1,0,0,COUNTA(enemy_skill_triggers!$A:$A),MATCH(I$1,enemy_skill_triggers!$1:$1,0)-MATCH($F$1,enemy_skill_triggers!$1:$1,0)+1),MATCH(I$1,enemy_skill_triggers!$1:$1,0)-MATCH($F$1,enemy_skill_triggers!$1:$1,0)+1,FALSE)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1" s="48" t="str">
        <f ca="1">VLOOKUP($F591,OFFSET(enemy_skill_triggers!$A$1,0,0,COUNTA(enemy_skill_triggers!$A:$A),MATCH(J$1,enemy_skill_triggers!$1:$1,0)-MATCH($F$1,enemy_skill_triggers!$1:$1,0)+1),MATCH(J$1,enemy_skill_triggers!$1:$1,0)-MATCH($F$1,enemy_skill_triggers!$1:$1,0)+1,FALSE)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1" s="48" t="str">
        <f ca="1">VLOOKUP($F591,OFFSET(enemy_skill_triggers!$A$1,0,0,COUNTA(enemy_skill_triggers!$A:$A),MATCH(K$1,enemy_skill_triggers!$1:$1,0)-MATCH($F$1,enemy_skill_triggers!$1:$1,0)+1),MATCH(K$1,enemy_skill_triggers!$1:$1,0)-MATCH($F$1,enemy_skill_triggers!$1:$1,0)+1,FALSE)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1" s="48">
        <f ca="1">VLOOKUP($F591,OFFSET(enemy_skill_triggers!$A$1,0,0,COUNTA(enemy_skill_triggers!$A:$A),MATCH(L$1,enemy_skill_triggers!$1:$1,0)-MATCH($F$1,enemy_skill_triggers!$1:$1,0)+1),MATCH(L$1,enemy_skill_triggers!$1:$1,0)-MATCH($F$1,enemy_skill_triggers!$1:$1,0)+1,FALSE)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1" s="48" t="str">
        <f ca="1">VLOOKUP($F591,OFFSET(enemy_skill_triggers!$A$1,0,0,COUNTA(enemy_skill_triggers!$A:$A),MATCH(M$1,enemy_skill_triggers!$1:$1,0)-MATCH($F$1,enemy_skill_triggers!$1:$1,0)+1),MATCH(M$1,enemy_skill_triggers!$1:$1,0)-MATCH($F$1,enemy_skill_triggers!$1:$1,0)+1,FALSE)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1" s="48">
        <f ca="1">VLOOKUP($F591,OFFSET(enemy_skill_triggers!$A$1,0,0,COUNTA(enemy_skill_triggers!$A:$A),MATCH(N$1,enemy_skill_triggers!$1:$1,0)-MATCH($F$1,enemy_skill_triggers!$1:$1,0)+1),MATCH(N$1,enemy_skill_triggers!$1:$1,0)-MATCH($F$1,enemy_skill_triggers!$1:$1,0)+1,FALSE)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591" s="48">
        <f ca="1">VLOOKUP($F591,OFFSET(enemy_skill_triggers!$A$1,0,0,COUNTA(enemy_skill_triggers!$A:$A),MATCH(O$1,enemy_skill_triggers!$1:$1,0)-MATCH($F$1,enemy_skill_triggers!$1:$1,0)+1),MATCH(O$1,enemy_skill_triggers!$1:$1,0)-MATCH($F$1,enemy_skill_triggers!$1:$1,0)+1,FALSE)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1" s="47"/>
      <c r="Q591" s="47"/>
      <c r="R591" s="47"/>
    </row>
    <row r="592" spans="1:18" ht="21" customHeight="1" x14ac:dyDescent="0.15">
      <c r="A592" s="39" t="str">
        <f t="shared" si="27"/>
        <v>39009028_39009074</v>
      </c>
      <c r="B592" s="130">
        <v>39009028</v>
      </c>
      <c r="C592" s="47">
        <v>39009074</v>
      </c>
      <c r="D592" s="46" t="str">
        <f ca="1">VLOOKUP($C592,OFFSET(enemy_skills!$A$1,0,0,COUNTA(enemy_skills!$A:$A),MATCH(D$1,enemy_skills!$1:$1,0)-MATCH("enemy_skill_id",enemy_skills!$1:$1,0)+1),MATCH(D$1,enemy_skills!$1:$1,0)-MATCH("enemy_skill_id",enemy_skills!$1:$1,0)+1,FALSE)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2" s="46" t="str">
        <f ca="1">VLOOKUP($C592,OFFSET(enemy_skills!$A$1,0,0,COUNTA(enemy_skills!$A:$A),MATCH(E$1,enemy_skills!$1:$1,0)-MATCH("enemy_skill_id",enemy_skills!$1:$1,0)+1),MATCH(E$1,enemy_skills!$1:$1,0)-MATCH("enemy_skill_id",enemy_skills!$1:$1,0)+1,FALSE)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2" s="47">
        <v>39009213</v>
      </c>
      <c r="G592" s="48">
        <f ca="1">VLOOKUP($F592,OFFSET(enemy_skill_triggers!$A$1,0,0,COUNTA(enemy_skill_triggers!$A:$A),MATCH(G$1,enemy_skill_triggers!$1:$1,0)-MATCH($F$1,enemy_skill_triggers!$1:$1,0)+1),MATCH(G$1,enemy_skill_triggers!$1:$1,0)-MATCH($F$1,enemy_skill_triggers!$1:$1,0)+1,FALSE)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2" s="48">
        <f ca="1">VLOOKUP($F592,OFFSET(enemy_skill_triggers!$A$1,0,0,COUNTA(enemy_skill_triggers!$A:$A),MATCH(H$1,enemy_skill_triggers!$1:$1,0)-MATCH($F$1,enemy_skill_triggers!$1:$1,0)+1),MATCH(H$1,enemy_skill_triggers!$1:$1,0)-MATCH($F$1,enemy_skill_triggers!$1:$1,0)+1,FALSE)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592" s="48">
        <f ca="1">VLOOKUP($F592,OFFSET(enemy_skill_triggers!$A$1,0,0,COUNTA(enemy_skill_triggers!$A:$A),MATCH(I$1,enemy_skill_triggers!$1:$1,0)-MATCH($F$1,enemy_skill_triggers!$1:$1,0)+1),MATCH(I$1,enemy_skill_triggers!$1:$1,0)-MATCH($F$1,enemy_skill_triggers!$1:$1,0)+1,FALSE)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2" s="48" t="str">
        <f ca="1">VLOOKUP($F592,OFFSET(enemy_skill_triggers!$A$1,0,0,COUNTA(enemy_skill_triggers!$A:$A),MATCH(J$1,enemy_skill_triggers!$1:$1,0)-MATCH($F$1,enemy_skill_triggers!$1:$1,0)+1),MATCH(J$1,enemy_skill_triggers!$1:$1,0)-MATCH($F$1,enemy_skill_triggers!$1:$1,0)+1,FALSE)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2" s="48" t="str">
        <f ca="1">VLOOKUP($F592,OFFSET(enemy_skill_triggers!$A$1,0,0,COUNTA(enemy_skill_triggers!$A:$A),MATCH(K$1,enemy_skill_triggers!$1:$1,0)-MATCH($F$1,enemy_skill_triggers!$1:$1,0)+1),MATCH(K$1,enemy_skill_triggers!$1:$1,0)-MATCH($F$1,enemy_skill_triggers!$1:$1,0)+1,FALSE)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2" s="48">
        <f ca="1">VLOOKUP($F592,OFFSET(enemy_skill_triggers!$A$1,0,0,COUNTA(enemy_skill_triggers!$A:$A),MATCH(L$1,enemy_skill_triggers!$1:$1,0)-MATCH($F$1,enemy_skill_triggers!$1:$1,0)+1),MATCH(L$1,enemy_skill_triggers!$1:$1,0)-MATCH($F$1,enemy_skill_triggers!$1:$1,0)+1,FALSE)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2" s="48" t="str">
        <f ca="1">VLOOKUP($F592,OFFSET(enemy_skill_triggers!$A$1,0,0,COUNTA(enemy_skill_triggers!$A:$A),MATCH(M$1,enemy_skill_triggers!$1:$1,0)-MATCH($F$1,enemy_skill_triggers!$1:$1,0)+1),MATCH(M$1,enemy_skill_triggers!$1:$1,0)-MATCH($F$1,enemy_skill_triggers!$1:$1,0)+1,FALSE)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2" s="48">
        <f ca="1">VLOOKUP($F592,OFFSET(enemy_skill_triggers!$A$1,0,0,COUNTA(enemy_skill_triggers!$A:$A),MATCH(N$1,enemy_skill_triggers!$1:$1,0)-MATCH($F$1,enemy_skill_triggers!$1:$1,0)+1),MATCH(N$1,enemy_skill_triggers!$1:$1,0)-MATCH($F$1,enemy_skill_triggers!$1:$1,0)+1,FALSE)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592" s="48">
        <f ca="1">VLOOKUP($F592,OFFSET(enemy_skill_triggers!$A$1,0,0,COUNTA(enemy_skill_triggers!$A:$A),MATCH(O$1,enemy_skill_triggers!$1:$1,0)-MATCH($F$1,enemy_skill_triggers!$1:$1,0)+1),MATCH(O$1,enemy_skill_triggers!$1:$1,0)-MATCH($F$1,enemy_skill_triggers!$1:$1,0)+1,FALSE)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2" s="47"/>
      <c r="Q592" s="47"/>
      <c r="R592" s="47"/>
    </row>
    <row r="593" spans="1:18" ht="21" customHeight="1" x14ac:dyDescent="0.15">
      <c r="A593" s="39" t="str">
        <f t="shared" si="27"/>
        <v>39009028_39009074</v>
      </c>
      <c r="B593" s="130">
        <v>39009028</v>
      </c>
      <c r="C593" s="47">
        <v>39009074</v>
      </c>
      <c r="D593" s="46" t="str">
        <f ca="1">VLOOKUP($C593,OFFSET(enemy_skills!$A$1,0,0,COUNTA(enemy_skills!$A:$A),MATCH(D$1,enemy_skills!$1:$1,0)-MATCH("enemy_skill_id",enemy_skills!$1:$1,0)+1),MATCH(D$1,enemy_skills!$1:$1,0)-MATCH("enemy_skill_id",enemy_skills!$1:$1,0)+1,FALSE)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3" s="46" t="str">
        <f ca="1">VLOOKUP($C593,OFFSET(enemy_skills!$A$1,0,0,COUNTA(enemy_skills!$A:$A),MATCH(E$1,enemy_skills!$1:$1,0)-MATCH("enemy_skill_id",enemy_skills!$1:$1,0)+1),MATCH(E$1,enemy_skills!$1:$1,0)-MATCH("enemy_skill_id",enemy_skills!$1:$1,0)+1,FALSE)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3" s="47">
        <v>39009214</v>
      </c>
      <c r="G593" s="48">
        <f ca="1">VLOOKUP($F593,OFFSET(enemy_skill_triggers!$A$1,0,0,COUNTA(enemy_skill_triggers!$A:$A),MATCH(G$1,enemy_skill_triggers!$1:$1,0)-MATCH($F$1,enemy_skill_triggers!$1:$1,0)+1),MATCH(G$1,enemy_skill_triggers!$1:$1,0)-MATCH($F$1,enemy_skill_triggers!$1:$1,0)+1,FALSE)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3" s="48">
        <f ca="1">VLOOKUP($F593,OFFSET(enemy_skill_triggers!$A$1,0,0,COUNTA(enemy_skill_triggers!$A:$A),MATCH(H$1,enemy_skill_triggers!$1:$1,0)-MATCH($F$1,enemy_skill_triggers!$1:$1,0)+1),MATCH(H$1,enemy_skill_triggers!$1:$1,0)-MATCH($F$1,enemy_skill_triggers!$1:$1,0)+1,FALSE)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593" s="48">
        <f ca="1">VLOOKUP($F593,OFFSET(enemy_skill_triggers!$A$1,0,0,COUNTA(enemy_skill_triggers!$A:$A),MATCH(I$1,enemy_skill_triggers!$1:$1,0)-MATCH($F$1,enemy_skill_triggers!$1:$1,0)+1),MATCH(I$1,enemy_skill_triggers!$1:$1,0)-MATCH($F$1,enemy_skill_triggers!$1:$1,0)+1,FALSE)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3" s="48" t="str">
        <f ca="1">VLOOKUP($F593,OFFSET(enemy_skill_triggers!$A$1,0,0,COUNTA(enemy_skill_triggers!$A:$A),MATCH(J$1,enemy_skill_triggers!$1:$1,0)-MATCH($F$1,enemy_skill_triggers!$1:$1,0)+1),MATCH(J$1,enemy_skill_triggers!$1:$1,0)-MATCH($F$1,enemy_skill_triggers!$1:$1,0)+1,FALSE)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3" s="48" t="str">
        <f ca="1">VLOOKUP($F593,OFFSET(enemy_skill_triggers!$A$1,0,0,COUNTA(enemy_skill_triggers!$A:$A),MATCH(K$1,enemy_skill_triggers!$1:$1,0)-MATCH($F$1,enemy_skill_triggers!$1:$1,0)+1),MATCH(K$1,enemy_skill_triggers!$1:$1,0)-MATCH($F$1,enemy_skill_triggers!$1:$1,0)+1,FALSE)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3" s="48">
        <f ca="1">VLOOKUP($F593,OFFSET(enemy_skill_triggers!$A$1,0,0,COUNTA(enemy_skill_triggers!$A:$A),MATCH(L$1,enemy_skill_triggers!$1:$1,0)-MATCH($F$1,enemy_skill_triggers!$1:$1,0)+1),MATCH(L$1,enemy_skill_triggers!$1:$1,0)-MATCH($F$1,enemy_skill_triggers!$1:$1,0)+1,FALSE)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3" s="48" t="str">
        <f ca="1">VLOOKUP($F593,OFFSET(enemy_skill_triggers!$A$1,0,0,COUNTA(enemy_skill_triggers!$A:$A),MATCH(M$1,enemy_skill_triggers!$1:$1,0)-MATCH($F$1,enemy_skill_triggers!$1:$1,0)+1),MATCH(M$1,enemy_skill_triggers!$1:$1,0)-MATCH($F$1,enemy_skill_triggers!$1:$1,0)+1,FALSE)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3" s="48">
        <f ca="1">VLOOKUP($F593,OFFSET(enemy_skill_triggers!$A$1,0,0,COUNTA(enemy_skill_triggers!$A:$A),MATCH(N$1,enemy_skill_triggers!$1:$1,0)-MATCH($F$1,enemy_skill_triggers!$1:$1,0)+1),MATCH(N$1,enemy_skill_triggers!$1:$1,0)-MATCH($F$1,enemy_skill_triggers!$1:$1,0)+1,FALSE)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593" s="48">
        <f ca="1">VLOOKUP($F593,OFFSET(enemy_skill_triggers!$A$1,0,0,COUNTA(enemy_skill_triggers!$A:$A),MATCH(O$1,enemy_skill_triggers!$1:$1,0)-MATCH($F$1,enemy_skill_triggers!$1:$1,0)+1),MATCH(O$1,enemy_skill_triggers!$1:$1,0)-MATCH($F$1,enemy_skill_triggers!$1:$1,0)+1,FALSE)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3" s="47"/>
      <c r="Q593" s="47"/>
      <c r="R593" s="47"/>
    </row>
    <row r="594" spans="1:18" ht="21" customHeight="1" x14ac:dyDescent="0.15">
      <c r="A594" s="39" t="str">
        <f t="shared" si="27"/>
        <v>39009028_39009074</v>
      </c>
      <c r="B594" s="130">
        <v>39009028</v>
      </c>
      <c r="C594" s="47">
        <v>39009074</v>
      </c>
      <c r="D594" s="46" t="str">
        <f ca="1">VLOOKUP($C594,OFFSET(enemy_skills!$A$1,0,0,COUNTA(enemy_skills!$A:$A),MATCH(D$1,enemy_skills!$1:$1,0)-MATCH("enemy_skill_id",enemy_skills!$1:$1,0)+1),MATCH(D$1,enemy_skills!$1:$1,0)-MATCH("enemy_skill_id",enemy_skills!$1:$1,0)+1,FALSE)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4" s="46" t="str">
        <f ca="1">VLOOKUP($C594,OFFSET(enemy_skills!$A$1,0,0,COUNTA(enemy_skills!$A:$A),MATCH(E$1,enemy_skills!$1:$1,0)-MATCH("enemy_skill_id",enemy_skills!$1:$1,0)+1),MATCH(E$1,enemy_skills!$1:$1,0)-MATCH("enemy_skill_id",enemy_skills!$1:$1,0)+1,FALSE)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4" s="47">
        <v>39009215</v>
      </c>
      <c r="G594" s="48">
        <f ca="1">VLOOKUP($F594,OFFSET(enemy_skill_triggers!$A$1,0,0,COUNTA(enemy_skill_triggers!$A:$A),MATCH(G$1,enemy_skill_triggers!$1:$1,0)-MATCH($F$1,enemy_skill_triggers!$1:$1,0)+1),MATCH(G$1,enemy_skill_triggers!$1:$1,0)-MATCH($F$1,enemy_skill_triggers!$1:$1,0)+1,FALSE)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4" s="48">
        <f ca="1">VLOOKUP($F594,OFFSET(enemy_skill_triggers!$A$1,0,0,COUNTA(enemy_skill_triggers!$A:$A),MATCH(H$1,enemy_skill_triggers!$1:$1,0)-MATCH($F$1,enemy_skill_triggers!$1:$1,0)+1),MATCH(H$1,enemy_skill_triggers!$1:$1,0)-MATCH($F$1,enemy_skill_triggers!$1:$1,0)+1,FALSE)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594" s="48">
        <f ca="1">VLOOKUP($F594,OFFSET(enemy_skill_triggers!$A$1,0,0,COUNTA(enemy_skill_triggers!$A:$A),MATCH(I$1,enemy_skill_triggers!$1:$1,0)-MATCH($F$1,enemy_skill_triggers!$1:$1,0)+1),MATCH(I$1,enemy_skill_triggers!$1:$1,0)-MATCH($F$1,enemy_skill_triggers!$1:$1,0)+1,FALSE)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4" s="48" t="str">
        <f ca="1">VLOOKUP($F594,OFFSET(enemy_skill_triggers!$A$1,0,0,COUNTA(enemy_skill_triggers!$A:$A),MATCH(J$1,enemy_skill_triggers!$1:$1,0)-MATCH($F$1,enemy_skill_triggers!$1:$1,0)+1),MATCH(J$1,enemy_skill_triggers!$1:$1,0)-MATCH($F$1,enemy_skill_triggers!$1:$1,0)+1,FALSE)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4" s="48" t="str">
        <f ca="1">VLOOKUP($F594,OFFSET(enemy_skill_triggers!$A$1,0,0,COUNTA(enemy_skill_triggers!$A:$A),MATCH(K$1,enemy_skill_triggers!$1:$1,0)-MATCH($F$1,enemy_skill_triggers!$1:$1,0)+1),MATCH(K$1,enemy_skill_triggers!$1:$1,0)-MATCH($F$1,enemy_skill_triggers!$1:$1,0)+1,FALSE)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4" s="48">
        <f ca="1">VLOOKUP($F594,OFFSET(enemy_skill_triggers!$A$1,0,0,COUNTA(enemy_skill_triggers!$A:$A),MATCH(L$1,enemy_skill_triggers!$1:$1,0)-MATCH($F$1,enemy_skill_triggers!$1:$1,0)+1),MATCH(L$1,enemy_skill_triggers!$1:$1,0)-MATCH($F$1,enemy_skill_triggers!$1:$1,0)+1,FALSE)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4" s="48" t="str">
        <f ca="1">VLOOKUP($F594,OFFSET(enemy_skill_triggers!$A$1,0,0,COUNTA(enemy_skill_triggers!$A:$A),MATCH(M$1,enemy_skill_triggers!$1:$1,0)-MATCH($F$1,enemy_skill_triggers!$1:$1,0)+1),MATCH(M$1,enemy_skill_triggers!$1:$1,0)-MATCH($F$1,enemy_skill_triggers!$1:$1,0)+1,FALSE)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4" s="48">
        <f ca="1">VLOOKUP($F594,OFFSET(enemy_skill_triggers!$A$1,0,0,COUNTA(enemy_skill_triggers!$A:$A),MATCH(N$1,enemy_skill_triggers!$1:$1,0)-MATCH($F$1,enemy_skill_triggers!$1:$1,0)+1),MATCH(N$1,enemy_skill_triggers!$1:$1,0)-MATCH($F$1,enemy_skill_triggers!$1:$1,0)+1,FALSE)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594" s="48">
        <f ca="1">VLOOKUP($F594,OFFSET(enemy_skill_triggers!$A$1,0,0,COUNTA(enemy_skill_triggers!$A:$A),MATCH(O$1,enemy_skill_triggers!$1:$1,0)-MATCH($F$1,enemy_skill_triggers!$1:$1,0)+1),MATCH(O$1,enemy_skill_triggers!$1:$1,0)-MATCH($F$1,enemy_skill_triggers!$1:$1,0)+1,FALSE)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4" s="47"/>
      <c r="Q594" s="47"/>
      <c r="R594" s="47"/>
    </row>
    <row r="595" spans="1:18" ht="21" customHeight="1" x14ac:dyDescent="0.15">
      <c r="A595" s="39" t="str">
        <f t="shared" si="27"/>
        <v>39009028_39009074</v>
      </c>
      <c r="B595" s="130">
        <v>39009028</v>
      </c>
      <c r="C595" s="47">
        <v>39009074</v>
      </c>
      <c r="D595" s="46" t="str">
        <f ca="1">VLOOKUP($C595,OFFSET(enemy_skills!$A$1,0,0,COUNTA(enemy_skills!$A:$A),MATCH(D$1,enemy_skills!$1:$1,0)-MATCH("enemy_skill_id",enemy_skills!$1:$1,0)+1),MATCH(D$1,enemy_skills!$1:$1,0)-MATCH("enemy_skill_id",enemy_skills!$1:$1,0)+1,FALSE)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5" s="46" t="str">
        <f ca="1">VLOOKUP($C595,OFFSET(enemy_skills!$A$1,0,0,COUNTA(enemy_skills!$A:$A),MATCH(E$1,enemy_skills!$1:$1,0)-MATCH("enemy_skill_id",enemy_skills!$1:$1,0)+1),MATCH(E$1,enemy_skills!$1:$1,0)-MATCH("enemy_skill_id",enemy_skills!$1:$1,0)+1,FALSE)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5" s="47">
        <v>39009216</v>
      </c>
      <c r="G595" s="48">
        <f ca="1">VLOOKUP($F595,OFFSET(enemy_skill_triggers!$A$1,0,0,COUNTA(enemy_skill_triggers!$A:$A),MATCH(G$1,enemy_skill_triggers!$1:$1,0)-MATCH($F$1,enemy_skill_triggers!$1:$1,0)+1),MATCH(G$1,enemy_skill_triggers!$1:$1,0)-MATCH($F$1,enemy_skill_triggers!$1:$1,0)+1,FALSE)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5" s="48">
        <f ca="1">VLOOKUP($F595,OFFSET(enemy_skill_triggers!$A$1,0,0,COUNTA(enemy_skill_triggers!$A:$A),MATCH(H$1,enemy_skill_triggers!$1:$1,0)-MATCH($F$1,enemy_skill_triggers!$1:$1,0)+1),MATCH(H$1,enemy_skill_triggers!$1:$1,0)-MATCH($F$1,enemy_skill_triggers!$1:$1,0)+1,FALSE)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95" s="48">
        <f ca="1">VLOOKUP($F595,OFFSET(enemy_skill_triggers!$A$1,0,0,COUNTA(enemy_skill_triggers!$A:$A),MATCH(I$1,enemy_skill_triggers!$1:$1,0)-MATCH($F$1,enemy_skill_triggers!$1:$1,0)+1),MATCH(I$1,enemy_skill_triggers!$1:$1,0)-MATCH($F$1,enemy_skill_triggers!$1:$1,0)+1,FALSE)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5" s="48" t="str">
        <f ca="1">VLOOKUP($F595,OFFSET(enemy_skill_triggers!$A$1,0,0,COUNTA(enemy_skill_triggers!$A:$A),MATCH(J$1,enemy_skill_triggers!$1:$1,0)-MATCH($F$1,enemy_skill_triggers!$1:$1,0)+1),MATCH(J$1,enemy_skill_triggers!$1:$1,0)-MATCH($F$1,enemy_skill_triggers!$1:$1,0)+1,FALSE)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5" s="48" t="str">
        <f ca="1">VLOOKUP($F595,OFFSET(enemy_skill_triggers!$A$1,0,0,COUNTA(enemy_skill_triggers!$A:$A),MATCH(K$1,enemy_skill_triggers!$1:$1,0)-MATCH($F$1,enemy_skill_triggers!$1:$1,0)+1),MATCH(K$1,enemy_skill_triggers!$1:$1,0)-MATCH($F$1,enemy_skill_triggers!$1:$1,0)+1,FALSE)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5" s="48">
        <f ca="1">VLOOKUP($F595,OFFSET(enemy_skill_triggers!$A$1,0,0,COUNTA(enemy_skill_triggers!$A:$A),MATCH(L$1,enemy_skill_triggers!$1:$1,0)-MATCH($F$1,enemy_skill_triggers!$1:$1,0)+1),MATCH(L$1,enemy_skill_triggers!$1:$1,0)-MATCH($F$1,enemy_skill_triggers!$1:$1,0)+1,FALSE)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5" s="48" t="str">
        <f ca="1">VLOOKUP($F595,OFFSET(enemy_skill_triggers!$A$1,0,0,COUNTA(enemy_skill_triggers!$A:$A),MATCH(M$1,enemy_skill_triggers!$1:$1,0)-MATCH($F$1,enemy_skill_triggers!$1:$1,0)+1),MATCH(M$1,enemy_skill_triggers!$1:$1,0)-MATCH($F$1,enemy_skill_triggers!$1:$1,0)+1,FALSE)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5" s="48">
        <f ca="1">VLOOKUP($F595,OFFSET(enemy_skill_triggers!$A$1,0,0,COUNTA(enemy_skill_triggers!$A:$A),MATCH(N$1,enemy_skill_triggers!$1:$1,0)-MATCH($F$1,enemy_skill_triggers!$1:$1,0)+1),MATCH(N$1,enemy_skill_triggers!$1:$1,0)-MATCH($F$1,enemy_skill_triggers!$1:$1,0)+1,FALSE)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595" s="48">
        <f ca="1">VLOOKUP($F595,OFFSET(enemy_skill_triggers!$A$1,0,0,COUNTA(enemy_skill_triggers!$A:$A),MATCH(O$1,enemy_skill_triggers!$1:$1,0)-MATCH($F$1,enemy_skill_triggers!$1:$1,0)+1),MATCH(O$1,enemy_skill_triggers!$1:$1,0)-MATCH($F$1,enemy_skill_triggers!$1:$1,0)+1,FALSE)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5" s="47"/>
      <c r="Q595" s="47"/>
      <c r="R595" s="47"/>
    </row>
    <row r="596" spans="1:18" ht="21" customHeight="1" x14ac:dyDescent="0.15">
      <c r="A596" s="39" t="str">
        <f t="shared" si="27"/>
        <v>39009028_39009074</v>
      </c>
      <c r="B596" s="130">
        <v>39009028</v>
      </c>
      <c r="C596" s="47">
        <v>39009074</v>
      </c>
      <c r="D596" s="46" t="str">
        <f ca="1">VLOOKUP($C596,OFFSET(enemy_skills!$A$1,0,0,COUNTA(enemy_skills!$A:$A),MATCH(D$1,enemy_skills!$1:$1,0)-MATCH("enemy_skill_id",enemy_skills!$1:$1,0)+1),MATCH(D$1,enemy_skills!$1:$1,0)-MATCH("enemy_skill_id",enemy_skills!$1:$1,0)+1,FALSE)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6" s="46" t="str">
        <f ca="1">VLOOKUP($C596,OFFSET(enemy_skills!$A$1,0,0,COUNTA(enemy_skills!$A:$A),MATCH(E$1,enemy_skills!$1:$1,0)-MATCH("enemy_skill_id",enemy_skills!$1:$1,0)+1),MATCH(E$1,enemy_skills!$1:$1,0)-MATCH("enemy_skill_id",enemy_skills!$1:$1,0)+1,FALSE)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6" s="47">
        <v>39009217</v>
      </c>
      <c r="G596" s="48">
        <f ca="1">VLOOKUP($F596,OFFSET(enemy_skill_triggers!$A$1,0,0,COUNTA(enemy_skill_triggers!$A:$A),MATCH(G$1,enemy_skill_triggers!$1:$1,0)-MATCH($F$1,enemy_skill_triggers!$1:$1,0)+1),MATCH(G$1,enemy_skill_triggers!$1:$1,0)-MATCH($F$1,enemy_skill_triggers!$1:$1,0)+1,FALSE)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6" s="48">
        <f ca="1">VLOOKUP($F596,OFFSET(enemy_skill_triggers!$A$1,0,0,COUNTA(enemy_skill_triggers!$A:$A),MATCH(H$1,enemy_skill_triggers!$1:$1,0)-MATCH($F$1,enemy_skill_triggers!$1:$1,0)+1),MATCH(H$1,enemy_skill_triggers!$1:$1,0)-MATCH($F$1,enemy_skill_triggers!$1:$1,0)+1,FALSE)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596" s="48">
        <f ca="1">VLOOKUP($F596,OFFSET(enemy_skill_triggers!$A$1,0,0,COUNTA(enemy_skill_triggers!$A:$A),MATCH(I$1,enemy_skill_triggers!$1:$1,0)-MATCH($F$1,enemy_skill_triggers!$1:$1,0)+1),MATCH(I$1,enemy_skill_triggers!$1:$1,0)-MATCH($F$1,enemy_skill_triggers!$1:$1,0)+1,FALSE)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6" s="48" t="str">
        <f ca="1">VLOOKUP($F596,OFFSET(enemy_skill_triggers!$A$1,0,0,COUNTA(enemy_skill_triggers!$A:$A),MATCH(J$1,enemy_skill_triggers!$1:$1,0)-MATCH($F$1,enemy_skill_triggers!$1:$1,0)+1),MATCH(J$1,enemy_skill_triggers!$1:$1,0)-MATCH($F$1,enemy_skill_triggers!$1:$1,0)+1,FALSE)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6" s="48" t="str">
        <f ca="1">VLOOKUP($F596,OFFSET(enemy_skill_triggers!$A$1,0,0,COUNTA(enemy_skill_triggers!$A:$A),MATCH(K$1,enemy_skill_triggers!$1:$1,0)-MATCH($F$1,enemy_skill_triggers!$1:$1,0)+1),MATCH(K$1,enemy_skill_triggers!$1:$1,0)-MATCH($F$1,enemy_skill_triggers!$1:$1,0)+1,FALSE)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6" s="48">
        <f ca="1">VLOOKUP($F596,OFFSET(enemy_skill_triggers!$A$1,0,0,COUNTA(enemy_skill_triggers!$A:$A),MATCH(L$1,enemy_skill_triggers!$1:$1,0)-MATCH($F$1,enemy_skill_triggers!$1:$1,0)+1),MATCH(L$1,enemy_skill_triggers!$1:$1,0)-MATCH($F$1,enemy_skill_triggers!$1:$1,0)+1,FALSE)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6" s="48" t="str">
        <f ca="1">VLOOKUP($F596,OFFSET(enemy_skill_triggers!$A$1,0,0,COUNTA(enemy_skill_triggers!$A:$A),MATCH(M$1,enemy_skill_triggers!$1:$1,0)-MATCH($F$1,enemy_skill_triggers!$1:$1,0)+1),MATCH(M$1,enemy_skill_triggers!$1:$1,0)-MATCH($F$1,enemy_skill_triggers!$1:$1,0)+1,FALSE)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6" s="48">
        <f ca="1">VLOOKUP($F596,OFFSET(enemy_skill_triggers!$A$1,0,0,COUNTA(enemy_skill_triggers!$A:$A),MATCH(N$1,enemy_skill_triggers!$1:$1,0)-MATCH($F$1,enemy_skill_triggers!$1:$1,0)+1),MATCH(N$1,enemy_skill_triggers!$1:$1,0)-MATCH($F$1,enemy_skill_triggers!$1:$1,0)+1,FALSE)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596" s="48">
        <f ca="1">VLOOKUP($F596,OFFSET(enemy_skill_triggers!$A$1,0,0,COUNTA(enemy_skill_triggers!$A:$A),MATCH(O$1,enemy_skill_triggers!$1:$1,0)-MATCH($F$1,enemy_skill_triggers!$1:$1,0)+1),MATCH(O$1,enemy_skill_triggers!$1:$1,0)-MATCH($F$1,enemy_skill_triggers!$1:$1,0)+1,FALSE)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6" s="47"/>
      <c r="Q596" s="47"/>
      <c r="R596" s="47"/>
    </row>
    <row r="597" spans="1:18" ht="21" customHeight="1" x14ac:dyDescent="0.15">
      <c r="A597" s="39" t="str">
        <f t="shared" si="27"/>
        <v>39009028_39009074</v>
      </c>
      <c r="B597" s="130">
        <v>39009028</v>
      </c>
      <c r="C597" s="47">
        <v>39009074</v>
      </c>
      <c r="D597" s="46" t="str">
        <f ca="1">VLOOKUP($C597,OFFSET(enemy_skills!$A$1,0,0,COUNTA(enemy_skills!$A:$A),MATCH(D$1,enemy_skills!$1:$1,0)-MATCH("enemy_skill_id",enemy_skills!$1:$1,0)+1),MATCH(D$1,enemy_skills!$1:$1,0)-MATCH("enemy_skill_id",enemy_skills!$1:$1,0)+1,FALSE)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7" s="46" t="str">
        <f ca="1">VLOOKUP($C597,OFFSET(enemy_skills!$A$1,0,0,COUNTA(enemy_skills!$A:$A),MATCH(E$1,enemy_skills!$1:$1,0)-MATCH("enemy_skill_id",enemy_skills!$1:$1,0)+1),MATCH(E$1,enemy_skills!$1:$1,0)-MATCH("enemy_skill_id",enemy_skills!$1:$1,0)+1,FALSE)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7" s="47">
        <v>39009218</v>
      </c>
      <c r="G597" s="48">
        <f ca="1">VLOOKUP($F597,OFFSET(enemy_skill_triggers!$A$1,0,0,COUNTA(enemy_skill_triggers!$A:$A),MATCH(G$1,enemy_skill_triggers!$1:$1,0)-MATCH($F$1,enemy_skill_triggers!$1:$1,0)+1),MATCH(G$1,enemy_skill_triggers!$1:$1,0)-MATCH($F$1,enemy_skill_triggers!$1:$1,0)+1,FALSE)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7" s="48">
        <f ca="1">VLOOKUP($F597,OFFSET(enemy_skill_triggers!$A$1,0,0,COUNTA(enemy_skill_triggers!$A:$A),MATCH(H$1,enemy_skill_triggers!$1:$1,0)-MATCH($F$1,enemy_skill_triggers!$1:$1,0)+1),MATCH(H$1,enemy_skill_triggers!$1:$1,0)-MATCH($F$1,enemy_skill_triggers!$1:$1,0)+1,FALSE)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597" s="48">
        <f ca="1">VLOOKUP($F597,OFFSET(enemy_skill_triggers!$A$1,0,0,COUNTA(enemy_skill_triggers!$A:$A),MATCH(I$1,enemy_skill_triggers!$1:$1,0)-MATCH($F$1,enemy_skill_triggers!$1:$1,0)+1),MATCH(I$1,enemy_skill_triggers!$1:$1,0)-MATCH($F$1,enemy_skill_triggers!$1:$1,0)+1,FALSE)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7" s="48" t="str">
        <f ca="1">VLOOKUP($F597,OFFSET(enemy_skill_triggers!$A$1,0,0,COUNTA(enemy_skill_triggers!$A:$A),MATCH(J$1,enemy_skill_triggers!$1:$1,0)-MATCH($F$1,enemy_skill_triggers!$1:$1,0)+1),MATCH(J$1,enemy_skill_triggers!$1:$1,0)-MATCH($F$1,enemy_skill_triggers!$1:$1,0)+1,FALSE)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7" s="48" t="str">
        <f ca="1">VLOOKUP($F597,OFFSET(enemy_skill_triggers!$A$1,0,0,COUNTA(enemy_skill_triggers!$A:$A),MATCH(K$1,enemy_skill_triggers!$1:$1,0)-MATCH($F$1,enemy_skill_triggers!$1:$1,0)+1),MATCH(K$1,enemy_skill_triggers!$1:$1,0)-MATCH($F$1,enemy_skill_triggers!$1:$1,0)+1,FALSE)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7" s="48">
        <f ca="1">VLOOKUP($F597,OFFSET(enemy_skill_triggers!$A$1,0,0,COUNTA(enemy_skill_triggers!$A:$A),MATCH(L$1,enemy_skill_triggers!$1:$1,0)-MATCH($F$1,enemy_skill_triggers!$1:$1,0)+1),MATCH(L$1,enemy_skill_triggers!$1:$1,0)-MATCH($F$1,enemy_skill_triggers!$1:$1,0)+1,FALSE)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7" s="48" t="str">
        <f ca="1">VLOOKUP($F597,OFFSET(enemy_skill_triggers!$A$1,0,0,COUNTA(enemy_skill_triggers!$A:$A),MATCH(M$1,enemy_skill_triggers!$1:$1,0)-MATCH($F$1,enemy_skill_triggers!$1:$1,0)+1),MATCH(M$1,enemy_skill_triggers!$1:$1,0)-MATCH($F$1,enemy_skill_triggers!$1:$1,0)+1,FALSE)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7" s="48">
        <f ca="1">VLOOKUP($F597,OFFSET(enemy_skill_triggers!$A$1,0,0,COUNTA(enemy_skill_triggers!$A:$A),MATCH(N$1,enemy_skill_triggers!$1:$1,0)-MATCH($F$1,enemy_skill_triggers!$1:$1,0)+1),MATCH(N$1,enemy_skill_triggers!$1:$1,0)-MATCH($F$1,enemy_skill_triggers!$1:$1,0)+1,FALSE)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597" s="48">
        <f ca="1">VLOOKUP($F597,OFFSET(enemy_skill_triggers!$A$1,0,0,COUNTA(enemy_skill_triggers!$A:$A),MATCH(O$1,enemy_skill_triggers!$1:$1,0)-MATCH($F$1,enemy_skill_triggers!$1:$1,0)+1),MATCH(O$1,enemy_skill_triggers!$1:$1,0)-MATCH($F$1,enemy_skill_triggers!$1:$1,0)+1,FALSE)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7" s="47"/>
      <c r="Q597" s="47"/>
      <c r="R597" s="47"/>
    </row>
    <row r="598" spans="1:18" ht="21" customHeight="1" x14ac:dyDescent="0.15">
      <c r="A598" s="39" t="str">
        <f t="shared" si="27"/>
        <v>39009028_39009074</v>
      </c>
      <c r="B598" s="130">
        <v>39009028</v>
      </c>
      <c r="C598" s="47">
        <v>39009074</v>
      </c>
      <c r="D598" s="46" t="str">
        <f ca="1">VLOOKUP($C598,OFFSET(enemy_skills!$A$1,0,0,COUNTA(enemy_skills!$A:$A),MATCH(D$1,enemy_skills!$1:$1,0)-MATCH("enemy_skill_id",enemy_skills!$1:$1,0)+1),MATCH(D$1,enemy_skills!$1:$1,0)-MATCH("enemy_skill_id",enemy_skills!$1:$1,0)+1,FALSE)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8" s="46" t="str">
        <f ca="1">VLOOKUP($C598,OFFSET(enemy_skills!$A$1,0,0,COUNTA(enemy_skills!$A:$A),MATCH(E$1,enemy_skills!$1:$1,0)-MATCH("enemy_skill_id",enemy_skills!$1:$1,0)+1),MATCH(E$1,enemy_skills!$1:$1,0)-MATCH("enemy_skill_id",enemy_skills!$1:$1,0)+1,FALSE)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8" s="47">
        <v>39009219</v>
      </c>
      <c r="G598" s="48">
        <f ca="1">VLOOKUP($F598,OFFSET(enemy_skill_triggers!$A$1,0,0,COUNTA(enemy_skill_triggers!$A:$A),MATCH(G$1,enemy_skill_triggers!$1:$1,0)-MATCH($F$1,enemy_skill_triggers!$1:$1,0)+1),MATCH(G$1,enemy_skill_triggers!$1:$1,0)-MATCH($F$1,enemy_skill_triggers!$1:$1,0)+1,FALSE)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8" s="48">
        <f ca="1">VLOOKUP($F598,OFFSET(enemy_skill_triggers!$A$1,0,0,COUNTA(enemy_skill_triggers!$A:$A),MATCH(H$1,enemy_skill_triggers!$1:$1,0)-MATCH($F$1,enemy_skill_triggers!$1:$1,0)+1),MATCH(H$1,enemy_skill_triggers!$1:$1,0)-MATCH($F$1,enemy_skill_triggers!$1:$1,0)+1,FALSE)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598" s="48">
        <f ca="1">VLOOKUP($F598,OFFSET(enemy_skill_triggers!$A$1,0,0,COUNTA(enemy_skill_triggers!$A:$A),MATCH(I$1,enemy_skill_triggers!$1:$1,0)-MATCH($F$1,enemy_skill_triggers!$1:$1,0)+1),MATCH(I$1,enemy_skill_triggers!$1:$1,0)-MATCH($F$1,enemy_skill_triggers!$1:$1,0)+1,FALSE)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8" s="48" t="str">
        <f ca="1">VLOOKUP($F598,OFFSET(enemy_skill_triggers!$A$1,0,0,COUNTA(enemy_skill_triggers!$A:$A),MATCH(J$1,enemy_skill_triggers!$1:$1,0)-MATCH($F$1,enemy_skill_triggers!$1:$1,0)+1),MATCH(J$1,enemy_skill_triggers!$1:$1,0)-MATCH($F$1,enemy_skill_triggers!$1:$1,0)+1,FALSE)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8" s="48" t="str">
        <f ca="1">VLOOKUP($F598,OFFSET(enemy_skill_triggers!$A$1,0,0,COUNTA(enemy_skill_triggers!$A:$A),MATCH(K$1,enemy_skill_triggers!$1:$1,0)-MATCH($F$1,enemy_skill_triggers!$1:$1,0)+1),MATCH(K$1,enemy_skill_triggers!$1:$1,0)-MATCH($F$1,enemy_skill_triggers!$1:$1,0)+1,FALSE)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8" s="48">
        <f ca="1">VLOOKUP($F598,OFFSET(enemy_skill_triggers!$A$1,0,0,COUNTA(enemy_skill_triggers!$A:$A),MATCH(L$1,enemy_skill_triggers!$1:$1,0)-MATCH($F$1,enemy_skill_triggers!$1:$1,0)+1),MATCH(L$1,enemy_skill_triggers!$1:$1,0)-MATCH($F$1,enemy_skill_triggers!$1:$1,0)+1,FALSE)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8" s="48" t="str">
        <f ca="1">VLOOKUP($F598,OFFSET(enemy_skill_triggers!$A$1,0,0,COUNTA(enemy_skill_triggers!$A:$A),MATCH(M$1,enemy_skill_triggers!$1:$1,0)-MATCH($F$1,enemy_skill_triggers!$1:$1,0)+1),MATCH(M$1,enemy_skill_triggers!$1:$1,0)-MATCH($F$1,enemy_skill_triggers!$1:$1,0)+1,FALSE)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8" s="48">
        <f ca="1">VLOOKUP($F598,OFFSET(enemy_skill_triggers!$A$1,0,0,COUNTA(enemy_skill_triggers!$A:$A),MATCH(N$1,enemy_skill_triggers!$1:$1,0)-MATCH($F$1,enemy_skill_triggers!$1:$1,0)+1),MATCH(N$1,enemy_skill_triggers!$1:$1,0)-MATCH($F$1,enemy_skill_triggers!$1:$1,0)+1,FALSE)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598" s="48">
        <f ca="1">VLOOKUP($F598,OFFSET(enemy_skill_triggers!$A$1,0,0,COUNTA(enemy_skill_triggers!$A:$A),MATCH(O$1,enemy_skill_triggers!$1:$1,0)-MATCH($F$1,enemy_skill_triggers!$1:$1,0)+1),MATCH(O$1,enemy_skill_triggers!$1:$1,0)-MATCH($F$1,enemy_skill_triggers!$1:$1,0)+1,FALSE)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8" s="47"/>
      <c r="Q598" s="47"/>
      <c r="R598" s="47"/>
    </row>
    <row r="599" spans="1:18" ht="21" customHeight="1" x14ac:dyDescent="0.15">
      <c r="A599" s="39" t="str">
        <f t="shared" si="27"/>
        <v>39009028_39009074</v>
      </c>
      <c r="B599" s="130">
        <v>39009028</v>
      </c>
      <c r="C599" s="47">
        <v>39009074</v>
      </c>
      <c r="D599" s="46" t="str">
        <f ca="1">VLOOKUP($C599,OFFSET(enemy_skills!$A$1,0,0,COUNTA(enemy_skills!$A:$A),MATCH(D$1,enemy_skills!$1:$1,0)-MATCH("enemy_skill_id",enemy_skills!$1:$1,0)+1),MATCH(D$1,enemy_skills!$1:$1,0)-MATCH("enemy_skill_id",enemy_skills!$1:$1,0)+1,FALSE)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599" s="46" t="str">
        <f ca="1">VLOOKUP($C599,OFFSET(enemy_skills!$A$1,0,0,COUNTA(enemy_skills!$A:$A),MATCH(E$1,enemy_skills!$1:$1,0)-MATCH("enemy_skill_id",enemy_skills!$1:$1,0)+1),MATCH(E$1,enemy_skills!$1:$1,0)-MATCH("enemy_skill_id",enemy_skills!$1:$1,0)+1,FALSE)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9" s="47">
        <v>39009220</v>
      </c>
      <c r="G599" s="48">
        <f ca="1">VLOOKUP($F599,OFFSET(enemy_skill_triggers!$A$1,0,0,COUNTA(enemy_skill_triggers!$A:$A),MATCH(G$1,enemy_skill_triggers!$1:$1,0)-MATCH($F$1,enemy_skill_triggers!$1:$1,0)+1),MATCH(G$1,enemy_skill_triggers!$1:$1,0)-MATCH($F$1,enemy_skill_triggers!$1:$1,0)+1,FALSE)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9" s="48">
        <f ca="1">VLOOKUP($F599,OFFSET(enemy_skill_triggers!$A$1,0,0,COUNTA(enemy_skill_triggers!$A:$A),MATCH(H$1,enemy_skill_triggers!$1:$1,0)-MATCH($F$1,enemy_skill_triggers!$1:$1,0)+1),MATCH(H$1,enemy_skill_triggers!$1:$1,0)-MATCH($F$1,enemy_skill_triggers!$1:$1,0)+1,FALSE)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599" s="48">
        <f ca="1">VLOOKUP($F599,OFFSET(enemy_skill_triggers!$A$1,0,0,COUNTA(enemy_skill_triggers!$A:$A),MATCH(I$1,enemy_skill_triggers!$1:$1,0)-MATCH($F$1,enemy_skill_triggers!$1:$1,0)+1),MATCH(I$1,enemy_skill_triggers!$1:$1,0)-MATCH($F$1,enemy_skill_triggers!$1:$1,0)+1,FALSE)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9" s="48" t="str">
        <f ca="1">VLOOKUP($F599,OFFSET(enemy_skill_triggers!$A$1,0,0,COUNTA(enemy_skill_triggers!$A:$A),MATCH(J$1,enemy_skill_triggers!$1:$1,0)-MATCH($F$1,enemy_skill_triggers!$1:$1,0)+1),MATCH(J$1,enemy_skill_triggers!$1:$1,0)-MATCH($F$1,enemy_skill_triggers!$1:$1,0)+1,FALSE)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9" s="48" t="str">
        <f ca="1">VLOOKUP($F599,OFFSET(enemy_skill_triggers!$A$1,0,0,COUNTA(enemy_skill_triggers!$A:$A),MATCH(K$1,enemy_skill_triggers!$1:$1,0)-MATCH($F$1,enemy_skill_triggers!$1:$1,0)+1),MATCH(K$1,enemy_skill_triggers!$1:$1,0)-MATCH($F$1,enemy_skill_triggers!$1:$1,0)+1,FALSE)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9" s="48">
        <f ca="1">VLOOKUP($F599,OFFSET(enemy_skill_triggers!$A$1,0,0,COUNTA(enemy_skill_triggers!$A:$A),MATCH(L$1,enemy_skill_triggers!$1:$1,0)-MATCH($F$1,enemy_skill_triggers!$1:$1,0)+1),MATCH(L$1,enemy_skill_triggers!$1:$1,0)-MATCH($F$1,enemy_skill_triggers!$1:$1,0)+1,FALSE)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9" s="48" t="str">
        <f ca="1">VLOOKUP($F599,OFFSET(enemy_skill_triggers!$A$1,0,0,COUNTA(enemy_skill_triggers!$A:$A),MATCH(M$1,enemy_skill_triggers!$1:$1,0)-MATCH($F$1,enemy_skill_triggers!$1:$1,0)+1),MATCH(M$1,enemy_skill_triggers!$1:$1,0)-MATCH($F$1,enemy_skill_triggers!$1:$1,0)+1,FALSE)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9" s="48">
        <f ca="1">VLOOKUP($F599,OFFSET(enemy_skill_triggers!$A$1,0,0,COUNTA(enemy_skill_triggers!$A:$A),MATCH(N$1,enemy_skill_triggers!$1:$1,0)-MATCH($F$1,enemy_skill_triggers!$1:$1,0)+1),MATCH(N$1,enemy_skill_triggers!$1:$1,0)-MATCH($F$1,enemy_skill_triggers!$1:$1,0)+1,FALSE)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599" s="48">
        <f ca="1">VLOOKUP($F599,OFFSET(enemy_skill_triggers!$A$1,0,0,COUNTA(enemy_skill_triggers!$A:$A),MATCH(O$1,enemy_skill_triggers!$1:$1,0)-MATCH($F$1,enemy_skill_triggers!$1:$1,0)+1),MATCH(O$1,enemy_skill_triggers!$1:$1,0)-MATCH($F$1,enemy_skill_triggers!$1:$1,0)+1,FALSE)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9" s="47"/>
      <c r="Q599" s="47"/>
      <c r="R599" s="47"/>
    </row>
    <row r="600" spans="1:18" ht="21" customHeight="1" x14ac:dyDescent="0.15">
      <c r="A600" s="39" t="str">
        <f t="shared" si="27"/>
        <v>39009028_39009074</v>
      </c>
      <c r="B600" s="130">
        <v>39009028</v>
      </c>
      <c r="C600" s="47">
        <v>39009074</v>
      </c>
      <c r="D600" s="46" t="str">
        <f ca="1">VLOOKUP($C600,OFFSET(enemy_skills!$A$1,0,0,COUNTA(enemy_skills!$A:$A),MATCH(D$1,enemy_skills!$1:$1,0)-MATCH("enemy_skill_id",enemy_skills!$1:$1,0)+1),MATCH(D$1,enemy_skills!$1:$1,0)-MATCH("enemy_skill_id",enemy_skills!$1:$1,0)+1,FALSE)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0" s="46" t="str">
        <f ca="1">VLOOKUP($C600,OFFSET(enemy_skills!$A$1,0,0,COUNTA(enemy_skills!$A:$A),MATCH(E$1,enemy_skills!$1:$1,0)-MATCH("enemy_skill_id",enemy_skills!$1:$1,0)+1),MATCH(E$1,enemy_skills!$1:$1,0)-MATCH("enemy_skill_id",enemy_skills!$1:$1,0)+1,FALSE)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0" s="47">
        <v>39009221</v>
      </c>
      <c r="G600" s="48">
        <f ca="1">VLOOKUP($F600,OFFSET(enemy_skill_triggers!$A$1,0,0,COUNTA(enemy_skill_triggers!$A:$A),MATCH(G$1,enemy_skill_triggers!$1:$1,0)-MATCH($F$1,enemy_skill_triggers!$1:$1,0)+1),MATCH(G$1,enemy_skill_triggers!$1:$1,0)-MATCH($F$1,enemy_skill_triggers!$1:$1,0)+1,FALSE)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0" s="48">
        <f ca="1">VLOOKUP($F600,OFFSET(enemy_skill_triggers!$A$1,0,0,COUNTA(enemy_skill_triggers!$A:$A),MATCH(H$1,enemy_skill_triggers!$1:$1,0)-MATCH($F$1,enemy_skill_triggers!$1:$1,0)+1),MATCH(H$1,enemy_skill_triggers!$1:$1,0)-MATCH($F$1,enemy_skill_triggers!$1:$1,0)+1,FALSE)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00" s="48">
        <f ca="1">VLOOKUP($F600,OFFSET(enemy_skill_triggers!$A$1,0,0,COUNTA(enemy_skill_triggers!$A:$A),MATCH(I$1,enemy_skill_triggers!$1:$1,0)-MATCH($F$1,enemy_skill_triggers!$1:$1,0)+1),MATCH(I$1,enemy_skill_triggers!$1:$1,0)-MATCH($F$1,enemy_skill_triggers!$1:$1,0)+1,FALSE)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0" s="48" t="str">
        <f ca="1">VLOOKUP($F600,OFFSET(enemy_skill_triggers!$A$1,0,0,COUNTA(enemy_skill_triggers!$A:$A),MATCH(J$1,enemy_skill_triggers!$1:$1,0)-MATCH($F$1,enemy_skill_triggers!$1:$1,0)+1),MATCH(J$1,enemy_skill_triggers!$1:$1,0)-MATCH($F$1,enemy_skill_triggers!$1:$1,0)+1,FALSE)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0" s="48" t="str">
        <f ca="1">VLOOKUP($F600,OFFSET(enemy_skill_triggers!$A$1,0,0,COUNTA(enemy_skill_triggers!$A:$A),MATCH(K$1,enemy_skill_triggers!$1:$1,0)-MATCH($F$1,enemy_skill_triggers!$1:$1,0)+1),MATCH(K$1,enemy_skill_triggers!$1:$1,0)-MATCH($F$1,enemy_skill_triggers!$1:$1,0)+1,FALSE)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0" s="48">
        <f ca="1">VLOOKUP($F600,OFFSET(enemy_skill_triggers!$A$1,0,0,COUNTA(enemy_skill_triggers!$A:$A),MATCH(L$1,enemy_skill_triggers!$1:$1,0)-MATCH($F$1,enemy_skill_triggers!$1:$1,0)+1),MATCH(L$1,enemy_skill_triggers!$1:$1,0)-MATCH($F$1,enemy_skill_triggers!$1:$1,0)+1,FALSE)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0" s="48" t="str">
        <f ca="1">VLOOKUP($F600,OFFSET(enemy_skill_triggers!$A$1,0,0,COUNTA(enemy_skill_triggers!$A:$A),MATCH(M$1,enemy_skill_triggers!$1:$1,0)-MATCH($F$1,enemy_skill_triggers!$1:$1,0)+1),MATCH(M$1,enemy_skill_triggers!$1:$1,0)-MATCH($F$1,enemy_skill_triggers!$1:$1,0)+1,FALSE)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0" s="48">
        <f ca="1">VLOOKUP($F600,OFFSET(enemy_skill_triggers!$A$1,0,0,COUNTA(enemy_skill_triggers!$A:$A),MATCH(N$1,enemy_skill_triggers!$1:$1,0)-MATCH($F$1,enemy_skill_triggers!$1:$1,0)+1),MATCH(N$1,enemy_skill_triggers!$1:$1,0)-MATCH($F$1,enemy_skill_triggers!$1:$1,0)+1,FALSE)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600" s="48">
        <f ca="1">VLOOKUP($F600,OFFSET(enemy_skill_triggers!$A$1,0,0,COUNTA(enemy_skill_triggers!$A:$A),MATCH(O$1,enemy_skill_triggers!$1:$1,0)-MATCH($F$1,enemy_skill_triggers!$1:$1,0)+1),MATCH(O$1,enemy_skill_triggers!$1:$1,0)-MATCH($F$1,enemy_skill_triggers!$1:$1,0)+1,FALSE)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0" s="47"/>
      <c r="Q600" s="47"/>
      <c r="R600" s="47"/>
    </row>
    <row r="601" spans="1:18" ht="21" customHeight="1" x14ac:dyDescent="0.15">
      <c r="A601" s="39" t="str">
        <f t="shared" si="27"/>
        <v>39009028_39009074</v>
      </c>
      <c r="B601" s="130">
        <v>39009028</v>
      </c>
      <c r="C601" s="47">
        <v>39009074</v>
      </c>
      <c r="D601" s="46" t="str">
        <f ca="1">VLOOKUP($C601,OFFSET(enemy_skills!$A$1,0,0,COUNTA(enemy_skills!$A:$A),MATCH(D$1,enemy_skills!$1:$1,0)-MATCH("enemy_skill_id",enemy_skills!$1:$1,0)+1),MATCH(D$1,enemy_skills!$1:$1,0)-MATCH("enemy_skill_id",enemy_skills!$1:$1,0)+1,FALSE)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1" s="46" t="str">
        <f ca="1">VLOOKUP($C601,OFFSET(enemy_skills!$A$1,0,0,COUNTA(enemy_skills!$A:$A),MATCH(E$1,enemy_skills!$1:$1,0)-MATCH("enemy_skill_id",enemy_skills!$1:$1,0)+1),MATCH(E$1,enemy_skills!$1:$1,0)-MATCH("enemy_skill_id",enemy_skills!$1:$1,0)+1,FALSE)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1" s="47">
        <v>39009222</v>
      </c>
      <c r="G601" s="48">
        <f ca="1">VLOOKUP($F601,OFFSET(enemy_skill_triggers!$A$1,0,0,COUNTA(enemy_skill_triggers!$A:$A),MATCH(G$1,enemy_skill_triggers!$1:$1,0)-MATCH($F$1,enemy_skill_triggers!$1:$1,0)+1),MATCH(G$1,enemy_skill_triggers!$1:$1,0)-MATCH($F$1,enemy_skill_triggers!$1:$1,0)+1,FALSE)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1" s="48">
        <f ca="1">VLOOKUP($F601,OFFSET(enemy_skill_triggers!$A$1,0,0,COUNTA(enemy_skill_triggers!$A:$A),MATCH(H$1,enemy_skill_triggers!$1:$1,0)-MATCH($F$1,enemy_skill_triggers!$1:$1,0)+1),MATCH(H$1,enemy_skill_triggers!$1:$1,0)-MATCH($F$1,enemy_skill_triggers!$1:$1,0)+1,FALSE)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601" s="48">
        <f ca="1">VLOOKUP($F601,OFFSET(enemy_skill_triggers!$A$1,0,0,COUNTA(enemy_skill_triggers!$A:$A),MATCH(I$1,enemy_skill_triggers!$1:$1,0)-MATCH($F$1,enemy_skill_triggers!$1:$1,0)+1),MATCH(I$1,enemy_skill_triggers!$1:$1,0)-MATCH($F$1,enemy_skill_triggers!$1:$1,0)+1,FALSE)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1" s="48" t="str">
        <f ca="1">VLOOKUP($F601,OFFSET(enemy_skill_triggers!$A$1,0,0,COUNTA(enemy_skill_triggers!$A:$A),MATCH(J$1,enemy_skill_triggers!$1:$1,0)-MATCH($F$1,enemy_skill_triggers!$1:$1,0)+1),MATCH(J$1,enemy_skill_triggers!$1:$1,0)-MATCH($F$1,enemy_skill_triggers!$1:$1,0)+1,FALSE)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1" s="48" t="str">
        <f ca="1">VLOOKUP($F601,OFFSET(enemy_skill_triggers!$A$1,0,0,COUNTA(enemy_skill_triggers!$A:$A),MATCH(K$1,enemy_skill_triggers!$1:$1,0)-MATCH($F$1,enemy_skill_triggers!$1:$1,0)+1),MATCH(K$1,enemy_skill_triggers!$1:$1,0)-MATCH($F$1,enemy_skill_triggers!$1:$1,0)+1,FALSE)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1" s="48">
        <f ca="1">VLOOKUP($F601,OFFSET(enemy_skill_triggers!$A$1,0,0,COUNTA(enemy_skill_triggers!$A:$A),MATCH(L$1,enemy_skill_triggers!$1:$1,0)-MATCH($F$1,enemy_skill_triggers!$1:$1,0)+1),MATCH(L$1,enemy_skill_triggers!$1:$1,0)-MATCH($F$1,enemy_skill_triggers!$1:$1,0)+1,FALSE)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1" s="48" t="str">
        <f ca="1">VLOOKUP($F601,OFFSET(enemy_skill_triggers!$A$1,0,0,COUNTA(enemy_skill_triggers!$A:$A),MATCH(M$1,enemy_skill_triggers!$1:$1,0)-MATCH($F$1,enemy_skill_triggers!$1:$1,0)+1),MATCH(M$1,enemy_skill_triggers!$1:$1,0)-MATCH($F$1,enemy_skill_triggers!$1:$1,0)+1,FALSE)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1" s="48">
        <f ca="1">VLOOKUP($F601,OFFSET(enemy_skill_triggers!$A$1,0,0,COUNTA(enemy_skill_triggers!$A:$A),MATCH(N$1,enemy_skill_triggers!$1:$1,0)-MATCH($F$1,enemy_skill_triggers!$1:$1,0)+1),MATCH(N$1,enemy_skill_triggers!$1:$1,0)-MATCH($F$1,enemy_skill_triggers!$1:$1,0)+1,FALSE)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01" s="48">
        <f ca="1">VLOOKUP($F601,OFFSET(enemy_skill_triggers!$A$1,0,0,COUNTA(enemy_skill_triggers!$A:$A),MATCH(O$1,enemy_skill_triggers!$1:$1,0)-MATCH($F$1,enemy_skill_triggers!$1:$1,0)+1),MATCH(O$1,enemy_skill_triggers!$1:$1,0)-MATCH($F$1,enemy_skill_triggers!$1:$1,0)+1,FALSE)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1" s="47"/>
      <c r="Q601" s="47"/>
      <c r="R601" s="47"/>
    </row>
    <row r="602" spans="1:18" ht="21" customHeight="1" x14ac:dyDescent="0.15">
      <c r="A602" s="39" t="str">
        <f t="shared" si="27"/>
        <v>39009028_39009074</v>
      </c>
      <c r="B602" s="130">
        <v>39009028</v>
      </c>
      <c r="C602" s="47">
        <v>39009074</v>
      </c>
      <c r="D602" s="46" t="str">
        <f ca="1">VLOOKUP($C602,OFFSET(enemy_skills!$A$1,0,0,COUNTA(enemy_skills!$A:$A),MATCH(D$1,enemy_skills!$1:$1,0)-MATCH("enemy_skill_id",enemy_skills!$1:$1,0)+1),MATCH(D$1,enemy_skills!$1:$1,0)-MATCH("enemy_skill_id",enemy_skills!$1:$1,0)+1,FALSE)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2" s="46" t="str">
        <f ca="1">VLOOKUP($C602,OFFSET(enemy_skills!$A$1,0,0,COUNTA(enemy_skills!$A:$A),MATCH(E$1,enemy_skills!$1:$1,0)-MATCH("enemy_skill_id",enemy_skills!$1:$1,0)+1),MATCH(E$1,enemy_skills!$1:$1,0)-MATCH("enemy_skill_id",enemy_skills!$1:$1,0)+1,FALSE)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2" s="47">
        <v>39009223</v>
      </c>
      <c r="G602" s="48">
        <f ca="1">VLOOKUP($F602,OFFSET(enemy_skill_triggers!$A$1,0,0,COUNTA(enemy_skill_triggers!$A:$A),MATCH(G$1,enemy_skill_triggers!$1:$1,0)-MATCH($F$1,enemy_skill_triggers!$1:$1,0)+1),MATCH(G$1,enemy_skill_triggers!$1:$1,0)-MATCH($F$1,enemy_skill_triggers!$1:$1,0)+1,FALSE)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2" s="48">
        <f ca="1">VLOOKUP($F602,OFFSET(enemy_skill_triggers!$A$1,0,0,COUNTA(enemy_skill_triggers!$A:$A),MATCH(H$1,enemy_skill_triggers!$1:$1,0)-MATCH($F$1,enemy_skill_triggers!$1:$1,0)+1),MATCH(H$1,enemy_skill_triggers!$1:$1,0)-MATCH($F$1,enemy_skill_triggers!$1:$1,0)+1,FALSE)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02" s="48">
        <f ca="1">VLOOKUP($F602,OFFSET(enemy_skill_triggers!$A$1,0,0,COUNTA(enemy_skill_triggers!$A:$A),MATCH(I$1,enemy_skill_triggers!$1:$1,0)-MATCH($F$1,enemy_skill_triggers!$1:$1,0)+1),MATCH(I$1,enemy_skill_triggers!$1:$1,0)-MATCH($F$1,enemy_skill_triggers!$1:$1,0)+1,FALSE)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2" s="48" t="str">
        <f ca="1">VLOOKUP($F602,OFFSET(enemy_skill_triggers!$A$1,0,0,COUNTA(enemy_skill_triggers!$A:$A),MATCH(J$1,enemy_skill_triggers!$1:$1,0)-MATCH($F$1,enemy_skill_triggers!$1:$1,0)+1),MATCH(J$1,enemy_skill_triggers!$1:$1,0)-MATCH($F$1,enemy_skill_triggers!$1:$1,0)+1,FALSE)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2" s="48" t="str">
        <f ca="1">VLOOKUP($F602,OFFSET(enemy_skill_triggers!$A$1,0,0,COUNTA(enemy_skill_triggers!$A:$A),MATCH(K$1,enemy_skill_triggers!$1:$1,0)-MATCH($F$1,enemy_skill_triggers!$1:$1,0)+1),MATCH(K$1,enemy_skill_triggers!$1:$1,0)-MATCH($F$1,enemy_skill_triggers!$1:$1,0)+1,FALSE)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2" s="48">
        <f ca="1">VLOOKUP($F602,OFFSET(enemy_skill_triggers!$A$1,0,0,COUNTA(enemy_skill_triggers!$A:$A),MATCH(L$1,enemy_skill_triggers!$1:$1,0)-MATCH($F$1,enemy_skill_triggers!$1:$1,0)+1),MATCH(L$1,enemy_skill_triggers!$1:$1,0)-MATCH($F$1,enemy_skill_triggers!$1:$1,0)+1,FALSE)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2" s="48" t="str">
        <f ca="1">VLOOKUP($F602,OFFSET(enemy_skill_triggers!$A$1,0,0,COUNTA(enemy_skill_triggers!$A:$A),MATCH(M$1,enemy_skill_triggers!$1:$1,0)-MATCH($F$1,enemy_skill_triggers!$1:$1,0)+1),MATCH(M$1,enemy_skill_triggers!$1:$1,0)-MATCH($F$1,enemy_skill_triggers!$1:$1,0)+1,FALSE)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2" s="48">
        <f ca="1">VLOOKUP($F602,OFFSET(enemy_skill_triggers!$A$1,0,0,COUNTA(enemy_skill_triggers!$A:$A),MATCH(N$1,enemy_skill_triggers!$1:$1,0)-MATCH($F$1,enemy_skill_triggers!$1:$1,0)+1),MATCH(N$1,enemy_skill_triggers!$1:$1,0)-MATCH($F$1,enemy_skill_triggers!$1:$1,0)+1,FALSE)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602" s="48">
        <f ca="1">VLOOKUP($F602,OFFSET(enemy_skill_triggers!$A$1,0,0,COUNTA(enemy_skill_triggers!$A:$A),MATCH(O$1,enemy_skill_triggers!$1:$1,0)-MATCH($F$1,enemy_skill_triggers!$1:$1,0)+1),MATCH(O$1,enemy_skill_triggers!$1:$1,0)-MATCH($F$1,enemy_skill_triggers!$1:$1,0)+1,FALSE)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2" s="47"/>
      <c r="Q602" s="47"/>
      <c r="R602" s="47"/>
    </row>
    <row r="603" spans="1:18" ht="21" customHeight="1" x14ac:dyDescent="0.15">
      <c r="A603" s="39" t="str">
        <f t="shared" si="27"/>
        <v>39009028_39009074</v>
      </c>
      <c r="B603" s="130">
        <v>39009028</v>
      </c>
      <c r="C603" s="47">
        <v>39009074</v>
      </c>
      <c r="D603" s="46" t="str">
        <f ca="1">VLOOKUP($C603,OFFSET(enemy_skills!$A$1,0,0,COUNTA(enemy_skills!$A:$A),MATCH(D$1,enemy_skills!$1:$1,0)-MATCH("enemy_skill_id",enemy_skills!$1:$1,0)+1),MATCH(D$1,enemy_skills!$1:$1,0)-MATCH("enemy_skill_id",enemy_skills!$1:$1,0)+1,FALSE)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3" s="46" t="str">
        <f ca="1">VLOOKUP($C603,OFFSET(enemy_skills!$A$1,0,0,COUNTA(enemy_skills!$A:$A),MATCH(E$1,enemy_skills!$1:$1,0)-MATCH("enemy_skill_id",enemy_skills!$1:$1,0)+1),MATCH(E$1,enemy_skills!$1:$1,0)-MATCH("enemy_skill_id",enemy_skills!$1:$1,0)+1,FALSE)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3" s="47">
        <v>39009224</v>
      </c>
      <c r="G603" s="48">
        <f ca="1">VLOOKUP($F603,OFFSET(enemy_skill_triggers!$A$1,0,0,COUNTA(enemy_skill_triggers!$A:$A),MATCH(G$1,enemy_skill_triggers!$1:$1,0)-MATCH($F$1,enemy_skill_triggers!$1:$1,0)+1),MATCH(G$1,enemy_skill_triggers!$1:$1,0)-MATCH($F$1,enemy_skill_triggers!$1:$1,0)+1,FALSE)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3" s="48">
        <f ca="1">VLOOKUP($F603,OFFSET(enemy_skill_triggers!$A$1,0,0,COUNTA(enemy_skill_triggers!$A:$A),MATCH(H$1,enemy_skill_triggers!$1:$1,0)-MATCH($F$1,enemy_skill_triggers!$1:$1,0)+1),MATCH(H$1,enemy_skill_triggers!$1:$1,0)-MATCH($F$1,enemy_skill_triggers!$1:$1,0)+1,FALSE)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603" s="48">
        <f ca="1">VLOOKUP($F603,OFFSET(enemy_skill_triggers!$A$1,0,0,COUNTA(enemy_skill_triggers!$A:$A),MATCH(I$1,enemy_skill_triggers!$1:$1,0)-MATCH($F$1,enemy_skill_triggers!$1:$1,0)+1),MATCH(I$1,enemy_skill_triggers!$1:$1,0)-MATCH($F$1,enemy_skill_triggers!$1:$1,0)+1,FALSE)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3" s="48" t="str">
        <f ca="1">VLOOKUP($F603,OFFSET(enemy_skill_triggers!$A$1,0,0,COUNTA(enemy_skill_triggers!$A:$A),MATCH(J$1,enemy_skill_triggers!$1:$1,0)-MATCH($F$1,enemy_skill_triggers!$1:$1,0)+1),MATCH(J$1,enemy_skill_triggers!$1:$1,0)-MATCH($F$1,enemy_skill_triggers!$1:$1,0)+1,FALSE)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3" s="48" t="str">
        <f ca="1">VLOOKUP($F603,OFFSET(enemy_skill_triggers!$A$1,0,0,COUNTA(enemy_skill_triggers!$A:$A),MATCH(K$1,enemy_skill_triggers!$1:$1,0)-MATCH($F$1,enemy_skill_triggers!$1:$1,0)+1),MATCH(K$1,enemy_skill_triggers!$1:$1,0)-MATCH($F$1,enemy_skill_triggers!$1:$1,0)+1,FALSE)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3" s="48">
        <f ca="1">VLOOKUP($F603,OFFSET(enemy_skill_triggers!$A$1,0,0,COUNTA(enemy_skill_triggers!$A:$A),MATCH(L$1,enemy_skill_triggers!$1:$1,0)-MATCH($F$1,enemy_skill_triggers!$1:$1,0)+1),MATCH(L$1,enemy_skill_triggers!$1:$1,0)-MATCH($F$1,enemy_skill_triggers!$1:$1,0)+1,FALSE)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3" s="48" t="str">
        <f ca="1">VLOOKUP($F603,OFFSET(enemy_skill_triggers!$A$1,0,0,COUNTA(enemy_skill_triggers!$A:$A),MATCH(M$1,enemy_skill_triggers!$1:$1,0)-MATCH($F$1,enemy_skill_triggers!$1:$1,0)+1),MATCH(M$1,enemy_skill_triggers!$1:$1,0)-MATCH($F$1,enemy_skill_triggers!$1:$1,0)+1,FALSE)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3" s="48">
        <f ca="1">VLOOKUP($F603,OFFSET(enemy_skill_triggers!$A$1,0,0,COUNTA(enemy_skill_triggers!$A:$A),MATCH(N$1,enemy_skill_triggers!$1:$1,0)-MATCH($F$1,enemy_skill_triggers!$1:$1,0)+1),MATCH(N$1,enemy_skill_triggers!$1:$1,0)-MATCH($F$1,enemy_skill_triggers!$1:$1,0)+1,FALSE)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603" s="48">
        <f ca="1">VLOOKUP($F603,OFFSET(enemy_skill_triggers!$A$1,0,0,COUNTA(enemy_skill_triggers!$A:$A),MATCH(O$1,enemy_skill_triggers!$1:$1,0)-MATCH($F$1,enemy_skill_triggers!$1:$1,0)+1),MATCH(O$1,enemy_skill_triggers!$1:$1,0)-MATCH($F$1,enemy_skill_triggers!$1:$1,0)+1,FALSE)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3" s="47"/>
      <c r="Q603" s="47"/>
      <c r="R603" s="47"/>
    </row>
    <row r="604" spans="1:18" ht="21" customHeight="1" x14ac:dyDescent="0.15">
      <c r="A604" s="39" t="str">
        <f t="shared" si="27"/>
        <v>39009028_39009074</v>
      </c>
      <c r="B604" s="130">
        <v>39009028</v>
      </c>
      <c r="C604" s="47">
        <v>39009074</v>
      </c>
      <c r="D604" s="46" t="str">
        <f ca="1">VLOOKUP($C604,OFFSET(enemy_skills!$A$1,0,0,COUNTA(enemy_skills!$A:$A),MATCH(D$1,enemy_skills!$1:$1,0)-MATCH("enemy_skill_id",enemy_skills!$1:$1,0)+1),MATCH(D$1,enemy_skills!$1:$1,0)-MATCH("enemy_skill_id",enemy_skills!$1:$1,0)+1,FALSE)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4" s="46" t="str">
        <f ca="1">VLOOKUP($C604,OFFSET(enemy_skills!$A$1,0,0,COUNTA(enemy_skills!$A:$A),MATCH(E$1,enemy_skills!$1:$1,0)-MATCH("enemy_skill_id",enemy_skills!$1:$1,0)+1),MATCH(E$1,enemy_skills!$1:$1,0)-MATCH("enemy_skill_id",enemy_skills!$1:$1,0)+1,FALSE)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4" s="47">
        <v>39009225</v>
      </c>
      <c r="G604" s="48">
        <f ca="1">VLOOKUP($F604,OFFSET(enemy_skill_triggers!$A$1,0,0,COUNTA(enemy_skill_triggers!$A:$A),MATCH(G$1,enemy_skill_triggers!$1:$1,0)-MATCH($F$1,enemy_skill_triggers!$1:$1,0)+1),MATCH(G$1,enemy_skill_triggers!$1:$1,0)-MATCH($F$1,enemy_skill_triggers!$1:$1,0)+1,FALSE)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4" s="48">
        <f ca="1">VLOOKUP($F604,OFFSET(enemy_skill_triggers!$A$1,0,0,COUNTA(enemy_skill_triggers!$A:$A),MATCH(H$1,enemy_skill_triggers!$1:$1,0)-MATCH($F$1,enemy_skill_triggers!$1:$1,0)+1),MATCH(H$1,enemy_skill_triggers!$1:$1,0)-MATCH($F$1,enemy_skill_triggers!$1:$1,0)+1,FALSE)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04" s="48">
        <f ca="1">VLOOKUP($F604,OFFSET(enemy_skill_triggers!$A$1,0,0,COUNTA(enemy_skill_triggers!$A:$A),MATCH(I$1,enemy_skill_triggers!$1:$1,0)-MATCH($F$1,enemy_skill_triggers!$1:$1,0)+1),MATCH(I$1,enemy_skill_triggers!$1:$1,0)-MATCH($F$1,enemy_skill_triggers!$1:$1,0)+1,FALSE)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4" s="48" t="str">
        <f ca="1">VLOOKUP($F604,OFFSET(enemy_skill_triggers!$A$1,0,0,COUNTA(enemy_skill_triggers!$A:$A),MATCH(J$1,enemy_skill_triggers!$1:$1,0)-MATCH($F$1,enemy_skill_triggers!$1:$1,0)+1),MATCH(J$1,enemy_skill_triggers!$1:$1,0)-MATCH($F$1,enemy_skill_triggers!$1:$1,0)+1,FALSE)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4" s="48" t="str">
        <f ca="1">VLOOKUP($F604,OFFSET(enemy_skill_triggers!$A$1,0,0,COUNTA(enemy_skill_triggers!$A:$A),MATCH(K$1,enemy_skill_triggers!$1:$1,0)-MATCH($F$1,enemy_skill_triggers!$1:$1,0)+1),MATCH(K$1,enemy_skill_triggers!$1:$1,0)-MATCH($F$1,enemy_skill_triggers!$1:$1,0)+1,FALSE)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4" s="48">
        <f ca="1">VLOOKUP($F604,OFFSET(enemy_skill_triggers!$A$1,0,0,COUNTA(enemy_skill_triggers!$A:$A),MATCH(L$1,enemy_skill_triggers!$1:$1,0)-MATCH($F$1,enemy_skill_triggers!$1:$1,0)+1),MATCH(L$1,enemy_skill_triggers!$1:$1,0)-MATCH($F$1,enemy_skill_triggers!$1:$1,0)+1,FALSE)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4" s="48" t="str">
        <f ca="1">VLOOKUP($F604,OFFSET(enemy_skill_triggers!$A$1,0,0,COUNTA(enemy_skill_triggers!$A:$A),MATCH(M$1,enemy_skill_triggers!$1:$1,0)-MATCH($F$1,enemy_skill_triggers!$1:$1,0)+1),MATCH(M$1,enemy_skill_triggers!$1:$1,0)-MATCH($F$1,enemy_skill_triggers!$1:$1,0)+1,FALSE)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4" s="48">
        <f ca="1">VLOOKUP($F604,OFFSET(enemy_skill_triggers!$A$1,0,0,COUNTA(enemy_skill_triggers!$A:$A),MATCH(N$1,enemy_skill_triggers!$1:$1,0)-MATCH($F$1,enemy_skill_triggers!$1:$1,0)+1),MATCH(N$1,enemy_skill_triggers!$1:$1,0)-MATCH($F$1,enemy_skill_triggers!$1:$1,0)+1,FALSE)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604" s="48">
        <f ca="1">VLOOKUP($F604,OFFSET(enemy_skill_triggers!$A$1,0,0,COUNTA(enemy_skill_triggers!$A:$A),MATCH(O$1,enemy_skill_triggers!$1:$1,0)-MATCH($F$1,enemy_skill_triggers!$1:$1,0)+1),MATCH(O$1,enemy_skill_triggers!$1:$1,0)-MATCH($F$1,enemy_skill_triggers!$1:$1,0)+1,FALSE)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4" s="47"/>
      <c r="Q604" s="47"/>
      <c r="R604" s="47"/>
    </row>
    <row r="605" spans="1:18" ht="21" customHeight="1" x14ac:dyDescent="0.15">
      <c r="A605" s="39" t="str">
        <f t="shared" si="27"/>
        <v>39009028_39009074</v>
      </c>
      <c r="B605" s="130">
        <v>39009028</v>
      </c>
      <c r="C605" s="47">
        <v>39009074</v>
      </c>
      <c r="D605" s="46" t="str">
        <f ca="1">VLOOKUP($C605,OFFSET(enemy_skills!$A$1,0,0,COUNTA(enemy_skills!$A:$A),MATCH(D$1,enemy_skills!$1:$1,0)-MATCH("enemy_skill_id",enemy_skills!$1:$1,0)+1),MATCH(D$1,enemy_skills!$1:$1,0)-MATCH("enemy_skill_id",enemy_skills!$1:$1,0)+1,FALSE)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5" s="46" t="str">
        <f ca="1">VLOOKUP($C605,OFFSET(enemy_skills!$A$1,0,0,COUNTA(enemy_skills!$A:$A),MATCH(E$1,enemy_skills!$1:$1,0)-MATCH("enemy_skill_id",enemy_skills!$1:$1,0)+1),MATCH(E$1,enemy_skills!$1:$1,0)-MATCH("enemy_skill_id",enemy_skills!$1:$1,0)+1,FALSE)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5" s="47">
        <v>39009226</v>
      </c>
      <c r="G605" s="48">
        <f ca="1">VLOOKUP($F605,OFFSET(enemy_skill_triggers!$A$1,0,0,COUNTA(enemy_skill_triggers!$A:$A),MATCH(G$1,enemy_skill_triggers!$1:$1,0)-MATCH($F$1,enemy_skill_triggers!$1:$1,0)+1),MATCH(G$1,enemy_skill_triggers!$1:$1,0)-MATCH($F$1,enemy_skill_triggers!$1:$1,0)+1,FALSE)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5" s="48">
        <f ca="1">VLOOKUP($F605,OFFSET(enemy_skill_triggers!$A$1,0,0,COUNTA(enemy_skill_triggers!$A:$A),MATCH(H$1,enemy_skill_triggers!$1:$1,0)-MATCH($F$1,enemy_skill_triggers!$1:$1,0)+1),MATCH(H$1,enemy_skill_triggers!$1:$1,0)-MATCH($F$1,enemy_skill_triggers!$1:$1,0)+1,FALSE)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05" s="48">
        <f ca="1">VLOOKUP($F605,OFFSET(enemy_skill_triggers!$A$1,0,0,COUNTA(enemy_skill_triggers!$A:$A),MATCH(I$1,enemy_skill_triggers!$1:$1,0)-MATCH($F$1,enemy_skill_triggers!$1:$1,0)+1),MATCH(I$1,enemy_skill_triggers!$1:$1,0)-MATCH($F$1,enemy_skill_triggers!$1:$1,0)+1,FALSE)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5" s="48" t="str">
        <f ca="1">VLOOKUP($F605,OFFSET(enemy_skill_triggers!$A$1,0,0,COUNTA(enemy_skill_triggers!$A:$A),MATCH(J$1,enemy_skill_triggers!$1:$1,0)-MATCH($F$1,enemy_skill_triggers!$1:$1,0)+1),MATCH(J$1,enemy_skill_triggers!$1:$1,0)-MATCH($F$1,enemy_skill_triggers!$1:$1,0)+1,FALSE)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5" s="48" t="str">
        <f ca="1">VLOOKUP($F605,OFFSET(enemy_skill_triggers!$A$1,0,0,COUNTA(enemy_skill_triggers!$A:$A),MATCH(K$1,enemy_skill_triggers!$1:$1,0)-MATCH($F$1,enemy_skill_triggers!$1:$1,0)+1),MATCH(K$1,enemy_skill_triggers!$1:$1,0)-MATCH($F$1,enemy_skill_triggers!$1:$1,0)+1,FALSE)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5" s="48">
        <f ca="1">VLOOKUP($F605,OFFSET(enemy_skill_triggers!$A$1,0,0,COUNTA(enemy_skill_triggers!$A:$A),MATCH(L$1,enemy_skill_triggers!$1:$1,0)-MATCH($F$1,enemy_skill_triggers!$1:$1,0)+1),MATCH(L$1,enemy_skill_triggers!$1:$1,0)-MATCH($F$1,enemy_skill_triggers!$1:$1,0)+1,FALSE)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5" s="48" t="str">
        <f ca="1">VLOOKUP($F605,OFFSET(enemy_skill_triggers!$A$1,0,0,COUNTA(enemy_skill_triggers!$A:$A),MATCH(M$1,enemy_skill_triggers!$1:$1,0)-MATCH($F$1,enemy_skill_triggers!$1:$1,0)+1),MATCH(M$1,enemy_skill_triggers!$1:$1,0)-MATCH($F$1,enemy_skill_triggers!$1:$1,0)+1,FALSE)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5" s="48">
        <f ca="1">VLOOKUP($F605,OFFSET(enemy_skill_triggers!$A$1,0,0,COUNTA(enemy_skill_triggers!$A:$A),MATCH(N$1,enemy_skill_triggers!$1:$1,0)-MATCH($F$1,enemy_skill_triggers!$1:$1,0)+1),MATCH(N$1,enemy_skill_triggers!$1:$1,0)-MATCH($F$1,enemy_skill_triggers!$1:$1,0)+1,FALSE)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605" s="48">
        <f ca="1">VLOOKUP($F605,OFFSET(enemy_skill_triggers!$A$1,0,0,COUNTA(enemy_skill_triggers!$A:$A),MATCH(O$1,enemy_skill_triggers!$1:$1,0)-MATCH($F$1,enemy_skill_triggers!$1:$1,0)+1),MATCH(O$1,enemy_skill_triggers!$1:$1,0)-MATCH($F$1,enemy_skill_triggers!$1:$1,0)+1,FALSE)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5" s="47"/>
      <c r="Q605" s="47"/>
      <c r="R605" s="47"/>
    </row>
    <row r="606" spans="1:18" ht="21" customHeight="1" x14ac:dyDescent="0.15">
      <c r="A606" s="39" t="str">
        <f t="shared" si="27"/>
        <v>39009028_39009074</v>
      </c>
      <c r="B606" s="130">
        <v>39009028</v>
      </c>
      <c r="C606" s="47">
        <v>39009074</v>
      </c>
      <c r="D606" s="46" t="str">
        <f ca="1">VLOOKUP($C606,OFFSET(enemy_skills!$A$1,0,0,COUNTA(enemy_skills!$A:$A),MATCH(D$1,enemy_skills!$1:$1,0)-MATCH("enemy_skill_id",enemy_skills!$1:$1,0)+1),MATCH(D$1,enemy_skills!$1:$1,0)-MATCH("enemy_skill_id",enemy_skills!$1:$1,0)+1,FALSE)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6" s="46" t="str">
        <f ca="1">VLOOKUP($C606,OFFSET(enemy_skills!$A$1,0,0,COUNTA(enemy_skills!$A:$A),MATCH(E$1,enemy_skills!$1:$1,0)-MATCH("enemy_skill_id",enemy_skills!$1:$1,0)+1),MATCH(E$1,enemy_skills!$1:$1,0)-MATCH("enemy_skill_id",enemy_skills!$1:$1,0)+1,FALSE)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6" s="47">
        <v>39009227</v>
      </c>
      <c r="G606" s="48">
        <f ca="1">VLOOKUP($F606,OFFSET(enemy_skill_triggers!$A$1,0,0,COUNTA(enemy_skill_triggers!$A:$A),MATCH(G$1,enemy_skill_triggers!$1:$1,0)-MATCH($F$1,enemy_skill_triggers!$1:$1,0)+1),MATCH(G$1,enemy_skill_triggers!$1:$1,0)-MATCH($F$1,enemy_skill_triggers!$1:$1,0)+1,FALSE)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6" s="48">
        <f ca="1">VLOOKUP($F606,OFFSET(enemy_skill_triggers!$A$1,0,0,COUNTA(enemy_skill_triggers!$A:$A),MATCH(H$1,enemy_skill_triggers!$1:$1,0)-MATCH($F$1,enemy_skill_triggers!$1:$1,0)+1),MATCH(H$1,enemy_skill_triggers!$1:$1,0)-MATCH($F$1,enemy_skill_triggers!$1:$1,0)+1,FALSE)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06" s="48">
        <f ca="1">VLOOKUP($F606,OFFSET(enemy_skill_triggers!$A$1,0,0,COUNTA(enemy_skill_triggers!$A:$A),MATCH(I$1,enemy_skill_triggers!$1:$1,0)-MATCH($F$1,enemy_skill_triggers!$1:$1,0)+1),MATCH(I$1,enemy_skill_triggers!$1:$1,0)-MATCH($F$1,enemy_skill_triggers!$1:$1,0)+1,FALSE)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6" s="48" t="str">
        <f ca="1">VLOOKUP($F606,OFFSET(enemy_skill_triggers!$A$1,0,0,COUNTA(enemy_skill_triggers!$A:$A),MATCH(J$1,enemy_skill_triggers!$1:$1,0)-MATCH($F$1,enemy_skill_triggers!$1:$1,0)+1),MATCH(J$1,enemy_skill_triggers!$1:$1,0)-MATCH($F$1,enemy_skill_triggers!$1:$1,0)+1,FALSE)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6" s="48" t="str">
        <f ca="1">VLOOKUP($F606,OFFSET(enemy_skill_triggers!$A$1,0,0,COUNTA(enemy_skill_triggers!$A:$A),MATCH(K$1,enemy_skill_triggers!$1:$1,0)-MATCH($F$1,enemy_skill_triggers!$1:$1,0)+1),MATCH(K$1,enemy_skill_triggers!$1:$1,0)-MATCH($F$1,enemy_skill_triggers!$1:$1,0)+1,FALSE)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6" s="48">
        <f ca="1">VLOOKUP($F606,OFFSET(enemy_skill_triggers!$A$1,0,0,COUNTA(enemy_skill_triggers!$A:$A),MATCH(L$1,enemy_skill_triggers!$1:$1,0)-MATCH($F$1,enemy_skill_triggers!$1:$1,0)+1),MATCH(L$1,enemy_skill_triggers!$1:$1,0)-MATCH($F$1,enemy_skill_triggers!$1:$1,0)+1,FALSE)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6" s="48" t="str">
        <f ca="1">VLOOKUP($F606,OFFSET(enemy_skill_triggers!$A$1,0,0,COUNTA(enemy_skill_triggers!$A:$A),MATCH(M$1,enemy_skill_triggers!$1:$1,0)-MATCH($F$1,enemy_skill_triggers!$1:$1,0)+1),MATCH(M$1,enemy_skill_triggers!$1:$1,0)-MATCH($F$1,enemy_skill_triggers!$1:$1,0)+1,FALSE)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6" s="48">
        <f ca="1">VLOOKUP($F606,OFFSET(enemy_skill_triggers!$A$1,0,0,COUNTA(enemy_skill_triggers!$A:$A),MATCH(N$1,enemy_skill_triggers!$1:$1,0)-MATCH($F$1,enemy_skill_triggers!$1:$1,0)+1),MATCH(N$1,enemy_skill_triggers!$1:$1,0)-MATCH($F$1,enemy_skill_triggers!$1:$1,0)+1,FALSE)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06" s="48">
        <f ca="1">VLOOKUP($F606,OFFSET(enemy_skill_triggers!$A$1,0,0,COUNTA(enemy_skill_triggers!$A:$A),MATCH(O$1,enemy_skill_triggers!$1:$1,0)-MATCH($F$1,enemy_skill_triggers!$1:$1,0)+1),MATCH(O$1,enemy_skill_triggers!$1:$1,0)-MATCH($F$1,enemy_skill_triggers!$1:$1,0)+1,FALSE)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6" s="47"/>
      <c r="Q606" s="47"/>
      <c r="R606" s="47"/>
    </row>
    <row r="607" spans="1:18" ht="21" customHeight="1" x14ac:dyDescent="0.15">
      <c r="A607" s="39" t="str">
        <f t="shared" si="27"/>
        <v>39009028_39009074</v>
      </c>
      <c r="B607" s="130">
        <v>39009028</v>
      </c>
      <c r="C607" s="47">
        <v>39009074</v>
      </c>
      <c r="D607" s="46" t="str">
        <f ca="1">VLOOKUP($C607,OFFSET(enemy_skills!$A$1,0,0,COUNTA(enemy_skills!$A:$A),MATCH(D$1,enemy_skills!$1:$1,0)-MATCH("enemy_skill_id",enemy_skills!$1:$1,0)+1),MATCH(D$1,enemy_skills!$1:$1,0)-MATCH("enemy_skill_id",enemy_skills!$1:$1,0)+1,FALSE)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7" s="46" t="str">
        <f ca="1">VLOOKUP($C607,OFFSET(enemy_skills!$A$1,0,0,COUNTA(enemy_skills!$A:$A),MATCH(E$1,enemy_skills!$1:$1,0)-MATCH("enemy_skill_id",enemy_skills!$1:$1,0)+1),MATCH(E$1,enemy_skills!$1:$1,0)-MATCH("enemy_skill_id",enemy_skills!$1:$1,0)+1,FALSE)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7" s="47">
        <v>39009228</v>
      </c>
      <c r="G607" s="48">
        <f ca="1">VLOOKUP($F607,OFFSET(enemy_skill_triggers!$A$1,0,0,COUNTA(enemy_skill_triggers!$A:$A),MATCH(G$1,enemy_skill_triggers!$1:$1,0)-MATCH($F$1,enemy_skill_triggers!$1:$1,0)+1),MATCH(G$1,enemy_skill_triggers!$1:$1,0)-MATCH($F$1,enemy_skill_triggers!$1:$1,0)+1,FALSE)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7" s="48">
        <f ca="1">VLOOKUP($F607,OFFSET(enemy_skill_triggers!$A$1,0,0,COUNTA(enemy_skill_triggers!$A:$A),MATCH(H$1,enemy_skill_triggers!$1:$1,0)-MATCH($F$1,enemy_skill_triggers!$1:$1,0)+1),MATCH(H$1,enemy_skill_triggers!$1:$1,0)-MATCH($F$1,enemy_skill_triggers!$1:$1,0)+1,FALSE)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607" s="48">
        <f ca="1">VLOOKUP($F607,OFFSET(enemy_skill_triggers!$A$1,0,0,COUNTA(enemy_skill_triggers!$A:$A),MATCH(I$1,enemy_skill_triggers!$1:$1,0)-MATCH($F$1,enemy_skill_triggers!$1:$1,0)+1),MATCH(I$1,enemy_skill_triggers!$1:$1,0)-MATCH($F$1,enemy_skill_triggers!$1:$1,0)+1,FALSE)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7" s="48" t="str">
        <f ca="1">VLOOKUP($F607,OFFSET(enemy_skill_triggers!$A$1,0,0,COUNTA(enemy_skill_triggers!$A:$A),MATCH(J$1,enemy_skill_triggers!$1:$1,0)-MATCH($F$1,enemy_skill_triggers!$1:$1,0)+1),MATCH(J$1,enemy_skill_triggers!$1:$1,0)-MATCH($F$1,enemy_skill_triggers!$1:$1,0)+1,FALSE)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7" s="48" t="str">
        <f ca="1">VLOOKUP($F607,OFFSET(enemy_skill_triggers!$A$1,0,0,COUNTA(enemy_skill_triggers!$A:$A),MATCH(K$1,enemy_skill_triggers!$1:$1,0)-MATCH($F$1,enemy_skill_triggers!$1:$1,0)+1),MATCH(K$1,enemy_skill_triggers!$1:$1,0)-MATCH($F$1,enemy_skill_triggers!$1:$1,0)+1,FALSE)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7" s="48">
        <f ca="1">VLOOKUP($F607,OFFSET(enemy_skill_triggers!$A$1,0,0,COUNTA(enemy_skill_triggers!$A:$A),MATCH(L$1,enemy_skill_triggers!$1:$1,0)-MATCH($F$1,enemy_skill_triggers!$1:$1,0)+1),MATCH(L$1,enemy_skill_triggers!$1:$1,0)-MATCH($F$1,enemy_skill_triggers!$1:$1,0)+1,FALSE)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7" s="48" t="str">
        <f ca="1">VLOOKUP($F607,OFFSET(enemy_skill_triggers!$A$1,0,0,COUNTA(enemy_skill_triggers!$A:$A),MATCH(M$1,enemy_skill_triggers!$1:$1,0)-MATCH($F$1,enemy_skill_triggers!$1:$1,0)+1),MATCH(M$1,enemy_skill_triggers!$1:$1,0)-MATCH($F$1,enemy_skill_triggers!$1:$1,0)+1,FALSE)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7" s="48">
        <f ca="1">VLOOKUP($F607,OFFSET(enemy_skill_triggers!$A$1,0,0,COUNTA(enemy_skill_triggers!$A:$A),MATCH(N$1,enemy_skill_triggers!$1:$1,0)-MATCH($F$1,enemy_skill_triggers!$1:$1,0)+1),MATCH(N$1,enemy_skill_triggers!$1:$1,0)-MATCH($F$1,enemy_skill_triggers!$1:$1,0)+1,FALSE)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607" s="48">
        <f ca="1">VLOOKUP($F607,OFFSET(enemy_skill_triggers!$A$1,0,0,COUNTA(enemy_skill_triggers!$A:$A),MATCH(O$1,enemy_skill_triggers!$1:$1,0)-MATCH($F$1,enemy_skill_triggers!$1:$1,0)+1),MATCH(O$1,enemy_skill_triggers!$1:$1,0)-MATCH($F$1,enemy_skill_triggers!$1:$1,0)+1,FALSE)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7" s="47"/>
      <c r="Q607" s="47"/>
      <c r="R607" s="47"/>
    </row>
    <row r="608" spans="1:18" ht="21" customHeight="1" x14ac:dyDescent="0.15">
      <c r="A608" s="39" t="str">
        <f t="shared" si="27"/>
        <v>39009028_39009074</v>
      </c>
      <c r="B608" s="130">
        <v>39009028</v>
      </c>
      <c r="C608" s="47">
        <v>39009074</v>
      </c>
      <c r="D608" s="46" t="str">
        <f ca="1">VLOOKUP($C608,OFFSET(enemy_skills!$A$1,0,0,COUNTA(enemy_skills!$A:$A),MATCH(D$1,enemy_skills!$1:$1,0)-MATCH("enemy_skill_id",enemy_skills!$1:$1,0)+1),MATCH(D$1,enemy_skills!$1:$1,0)-MATCH("enemy_skill_id",enemy_skills!$1:$1,0)+1,FALSE)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8" s="46" t="str">
        <f ca="1">VLOOKUP($C608,OFFSET(enemy_skills!$A$1,0,0,COUNTA(enemy_skills!$A:$A),MATCH(E$1,enemy_skills!$1:$1,0)-MATCH("enemy_skill_id",enemy_skills!$1:$1,0)+1),MATCH(E$1,enemy_skills!$1:$1,0)-MATCH("enemy_skill_id",enemy_skills!$1:$1,0)+1,FALSE)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8" s="47">
        <v>39009229</v>
      </c>
      <c r="G608" s="48">
        <f ca="1">VLOOKUP($F608,OFFSET(enemy_skill_triggers!$A$1,0,0,COUNTA(enemy_skill_triggers!$A:$A),MATCH(G$1,enemy_skill_triggers!$1:$1,0)-MATCH($F$1,enemy_skill_triggers!$1:$1,0)+1),MATCH(G$1,enemy_skill_triggers!$1:$1,0)-MATCH($F$1,enemy_skill_triggers!$1:$1,0)+1,FALSE)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8" s="48">
        <f ca="1">VLOOKUP($F608,OFFSET(enemy_skill_triggers!$A$1,0,0,COUNTA(enemy_skill_triggers!$A:$A),MATCH(H$1,enemy_skill_triggers!$1:$1,0)-MATCH($F$1,enemy_skill_triggers!$1:$1,0)+1),MATCH(H$1,enemy_skill_triggers!$1:$1,0)-MATCH($F$1,enemy_skill_triggers!$1:$1,0)+1,FALSE)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08" s="48">
        <f ca="1">VLOOKUP($F608,OFFSET(enemy_skill_triggers!$A$1,0,0,COUNTA(enemy_skill_triggers!$A:$A),MATCH(I$1,enemy_skill_triggers!$1:$1,0)-MATCH($F$1,enemy_skill_triggers!$1:$1,0)+1),MATCH(I$1,enemy_skill_triggers!$1:$1,0)-MATCH($F$1,enemy_skill_triggers!$1:$1,0)+1,FALSE)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8" s="48" t="str">
        <f ca="1">VLOOKUP($F608,OFFSET(enemy_skill_triggers!$A$1,0,0,COUNTA(enemy_skill_triggers!$A:$A),MATCH(J$1,enemy_skill_triggers!$1:$1,0)-MATCH($F$1,enemy_skill_triggers!$1:$1,0)+1),MATCH(J$1,enemy_skill_triggers!$1:$1,0)-MATCH($F$1,enemy_skill_triggers!$1:$1,0)+1,FALSE)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8" s="48" t="str">
        <f ca="1">VLOOKUP($F608,OFFSET(enemy_skill_triggers!$A$1,0,0,COUNTA(enemy_skill_triggers!$A:$A),MATCH(K$1,enemy_skill_triggers!$1:$1,0)-MATCH($F$1,enemy_skill_triggers!$1:$1,0)+1),MATCH(K$1,enemy_skill_triggers!$1:$1,0)-MATCH($F$1,enemy_skill_triggers!$1:$1,0)+1,FALSE)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8" s="48">
        <f ca="1">VLOOKUP($F608,OFFSET(enemy_skill_triggers!$A$1,0,0,COUNTA(enemy_skill_triggers!$A:$A),MATCH(L$1,enemy_skill_triggers!$1:$1,0)-MATCH($F$1,enemy_skill_triggers!$1:$1,0)+1),MATCH(L$1,enemy_skill_triggers!$1:$1,0)-MATCH($F$1,enemy_skill_triggers!$1:$1,0)+1,FALSE)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8" s="48" t="str">
        <f ca="1">VLOOKUP($F608,OFFSET(enemy_skill_triggers!$A$1,0,0,COUNTA(enemy_skill_triggers!$A:$A),MATCH(M$1,enemy_skill_triggers!$1:$1,0)-MATCH($F$1,enemy_skill_triggers!$1:$1,0)+1),MATCH(M$1,enemy_skill_triggers!$1:$1,0)-MATCH($F$1,enemy_skill_triggers!$1:$1,0)+1,FALSE)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8" s="48">
        <f ca="1">VLOOKUP($F608,OFFSET(enemy_skill_triggers!$A$1,0,0,COUNTA(enemy_skill_triggers!$A:$A),MATCH(N$1,enemy_skill_triggers!$1:$1,0)-MATCH($F$1,enemy_skill_triggers!$1:$1,0)+1),MATCH(N$1,enemy_skill_triggers!$1:$1,0)-MATCH($F$1,enemy_skill_triggers!$1:$1,0)+1,FALSE)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608" s="48">
        <f ca="1">VLOOKUP($F608,OFFSET(enemy_skill_triggers!$A$1,0,0,COUNTA(enemy_skill_triggers!$A:$A),MATCH(O$1,enemy_skill_triggers!$1:$1,0)-MATCH($F$1,enemy_skill_triggers!$1:$1,0)+1),MATCH(O$1,enemy_skill_triggers!$1:$1,0)-MATCH($F$1,enemy_skill_triggers!$1:$1,0)+1,FALSE)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8" s="47"/>
      <c r="Q608" s="47"/>
      <c r="R608" s="47"/>
    </row>
    <row r="609" spans="1:18" ht="21" customHeight="1" x14ac:dyDescent="0.15">
      <c r="A609" s="39" t="str">
        <f t="shared" si="27"/>
        <v>39009028_39009074</v>
      </c>
      <c r="B609" s="130">
        <v>39009028</v>
      </c>
      <c r="C609" s="47">
        <v>39009074</v>
      </c>
      <c r="D609" s="46" t="str">
        <f ca="1">VLOOKUP($C609,OFFSET(enemy_skills!$A$1,0,0,COUNTA(enemy_skills!$A:$A),MATCH(D$1,enemy_skills!$1:$1,0)-MATCH("enemy_skill_id",enemy_skills!$1:$1,0)+1),MATCH(D$1,enemy_skills!$1:$1,0)-MATCH("enemy_skill_id",enemy_skills!$1:$1,0)+1,FALSE)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09" s="46" t="str">
        <f ca="1">VLOOKUP($C609,OFFSET(enemy_skills!$A$1,0,0,COUNTA(enemy_skills!$A:$A),MATCH(E$1,enemy_skills!$1:$1,0)-MATCH("enemy_skill_id",enemy_skills!$1:$1,0)+1),MATCH(E$1,enemy_skills!$1:$1,0)-MATCH("enemy_skill_id",enemy_skills!$1:$1,0)+1,FALSE)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9" s="47">
        <v>39009230</v>
      </c>
      <c r="G609" s="48">
        <f ca="1">VLOOKUP($F609,OFFSET(enemy_skill_triggers!$A$1,0,0,COUNTA(enemy_skill_triggers!$A:$A),MATCH(G$1,enemy_skill_triggers!$1:$1,0)-MATCH($F$1,enemy_skill_triggers!$1:$1,0)+1),MATCH(G$1,enemy_skill_triggers!$1:$1,0)-MATCH($F$1,enemy_skill_triggers!$1:$1,0)+1,FALSE)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9" s="48">
        <f ca="1">VLOOKUP($F609,OFFSET(enemy_skill_triggers!$A$1,0,0,COUNTA(enemy_skill_triggers!$A:$A),MATCH(H$1,enemy_skill_triggers!$1:$1,0)-MATCH($F$1,enemy_skill_triggers!$1:$1,0)+1),MATCH(H$1,enemy_skill_triggers!$1:$1,0)-MATCH($F$1,enemy_skill_triggers!$1:$1,0)+1,FALSE)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09" s="48">
        <f ca="1">VLOOKUP($F609,OFFSET(enemy_skill_triggers!$A$1,0,0,COUNTA(enemy_skill_triggers!$A:$A),MATCH(I$1,enemy_skill_triggers!$1:$1,0)-MATCH($F$1,enemy_skill_triggers!$1:$1,0)+1),MATCH(I$1,enemy_skill_triggers!$1:$1,0)-MATCH($F$1,enemy_skill_triggers!$1:$1,0)+1,FALSE)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9" s="48" t="str">
        <f ca="1">VLOOKUP($F609,OFFSET(enemy_skill_triggers!$A$1,0,0,COUNTA(enemy_skill_triggers!$A:$A),MATCH(J$1,enemy_skill_triggers!$1:$1,0)-MATCH($F$1,enemy_skill_triggers!$1:$1,0)+1),MATCH(J$1,enemy_skill_triggers!$1:$1,0)-MATCH($F$1,enemy_skill_triggers!$1:$1,0)+1,FALSE)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9" s="48" t="str">
        <f ca="1">VLOOKUP($F609,OFFSET(enemy_skill_triggers!$A$1,0,0,COUNTA(enemy_skill_triggers!$A:$A),MATCH(K$1,enemy_skill_triggers!$1:$1,0)-MATCH($F$1,enemy_skill_triggers!$1:$1,0)+1),MATCH(K$1,enemy_skill_triggers!$1:$1,0)-MATCH($F$1,enemy_skill_triggers!$1:$1,0)+1,FALSE)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9" s="48">
        <f ca="1">VLOOKUP($F609,OFFSET(enemy_skill_triggers!$A$1,0,0,COUNTA(enemy_skill_triggers!$A:$A),MATCH(L$1,enemy_skill_triggers!$1:$1,0)-MATCH($F$1,enemy_skill_triggers!$1:$1,0)+1),MATCH(L$1,enemy_skill_triggers!$1:$1,0)-MATCH($F$1,enemy_skill_triggers!$1:$1,0)+1,FALSE)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9" s="48" t="str">
        <f ca="1">VLOOKUP($F609,OFFSET(enemy_skill_triggers!$A$1,0,0,COUNTA(enemy_skill_triggers!$A:$A),MATCH(M$1,enemy_skill_triggers!$1:$1,0)-MATCH($F$1,enemy_skill_triggers!$1:$1,0)+1),MATCH(M$1,enemy_skill_triggers!$1:$1,0)-MATCH($F$1,enemy_skill_triggers!$1:$1,0)+1,FALSE)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9" s="48">
        <f ca="1">VLOOKUP($F609,OFFSET(enemy_skill_triggers!$A$1,0,0,COUNTA(enemy_skill_triggers!$A:$A),MATCH(N$1,enemy_skill_triggers!$1:$1,0)-MATCH($F$1,enemy_skill_triggers!$1:$1,0)+1),MATCH(N$1,enemy_skill_triggers!$1:$1,0)-MATCH($F$1,enemy_skill_triggers!$1:$1,0)+1,FALSE)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609" s="48">
        <f ca="1">VLOOKUP($F609,OFFSET(enemy_skill_triggers!$A$1,0,0,COUNTA(enemy_skill_triggers!$A:$A),MATCH(O$1,enemy_skill_triggers!$1:$1,0)-MATCH($F$1,enemy_skill_triggers!$1:$1,0)+1),MATCH(O$1,enemy_skill_triggers!$1:$1,0)-MATCH($F$1,enemy_skill_triggers!$1:$1,0)+1,FALSE)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9" s="47"/>
      <c r="Q609" s="47"/>
      <c r="R609" s="47"/>
    </row>
    <row r="610" spans="1:18" ht="21" customHeight="1" x14ac:dyDescent="0.15">
      <c r="A610" s="39" t="str">
        <f t="shared" si="27"/>
        <v>39009028_39009074</v>
      </c>
      <c r="B610" s="130">
        <v>39009028</v>
      </c>
      <c r="C610" s="47">
        <v>39009074</v>
      </c>
      <c r="D610" s="46" t="str">
        <f ca="1">VLOOKUP($C610,OFFSET(enemy_skills!$A$1,0,0,COUNTA(enemy_skills!$A:$A),MATCH(D$1,enemy_skills!$1:$1,0)-MATCH("enemy_skill_id",enemy_skills!$1:$1,0)+1),MATCH(D$1,enemy_skills!$1:$1,0)-MATCH("enemy_skill_id",enemy_skills!$1:$1,0)+1,FALSE)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0" s="46" t="str">
        <f ca="1">VLOOKUP($C610,OFFSET(enemy_skills!$A$1,0,0,COUNTA(enemy_skills!$A:$A),MATCH(E$1,enemy_skills!$1:$1,0)-MATCH("enemy_skill_id",enemy_skills!$1:$1,0)+1),MATCH(E$1,enemy_skills!$1:$1,0)-MATCH("enemy_skill_id",enemy_skills!$1:$1,0)+1,FALSE)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0" s="47">
        <v>39009231</v>
      </c>
      <c r="G610" s="48">
        <f ca="1">VLOOKUP($F610,OFFSET(enemy_skill_triggers!$A$1,0,0,COUNTA(enemy_skill_triggers!$A:$A),MATCH(G$1,enemy_skill_triggers!$1:$1,0)-MATCH($F$1,enemy_skill_triggers!$1:$1,0)+1),MATCH(G$1,enemy_skill_triggers!$1:$1,0)-MATCH($F$1,enemy_skill_triggers!$1:$1,0)+1,FALSE)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0" s="48">
        <f ca="1">VLOOKUP($F610,OFFSET(enemy_skill_triggers!$A$1,0,0,COUNTA(enemy_skill_triggers!$A:$A),MATCH(H$1,enemy_skill_triggers!$1:$1,0)-MATCH($F$1,enemy_skill_triggers!$1:$1,0)+1),MATCH(H$1,enemy_skill_triggers!$1:$1,0)-MATCH($F$1,enemy_skill_triggers!$1:$1,0)+1,FALSE)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10" s="48">
        <f ca="1">VLOOKUP($F610,OFFSET(enemy_skill_triggers!$A$1,0,0,COUNTA(enemy_skill_triggers!$A:$A),MATCH(I$1,enemy_skill_triggers!$1:$1,0)-MATCH($F$1,enemy_skill_triggers!$1:$1,0)+1),MATCH(I$1,enemy_skill_triggers!$1:$1,0)-MATCH($F$1,enemy_skill_triggers!$1:$1,0)+1,FALSE)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0" s="48" t="str">
        <f ca="1">VLOOKUP($F610,OFFSET(enemy_skill_triggers!$A$1,0,0,COUNTA(enemy_skill_triggers!$A:$A),MATCH(J$1,enemy_skill_triggers!$1:$1,0)-MATCH($F$1,enemy_skill_triggers!$1:$1,0)+1),MATCH(J$1,enemy_skill_triggers!$1:$1,0)-MATCH($F$1,enemy_skill_triggers!$1:$1,0)+1,FALSE)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0" s="48" t="str">
        <f ca="1">VLOOKUP($F610,OFFSET(enemy_skill_triggers!$A$1,0,0,COUNTA(enemy_skill_triggers!$A:$A),MATCH(K$1,enemy_skill_triggers!$1:$1,0)-MATCH($F$1,enemy_skill_triggers!$1:$1,0)+1),MATCH(K$1,enemy_skill_triggers!$1:$1,0)-MATCH($F$1,enemy_skill_triggers!$1:$1,0)+1,FALSE)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0" s="48">
        <f ca="1">VLOOKUP($F610,OFFSET(enemy_skill_triggers!$A$1,0,0,COUNTA(enemy_skill_triggers!$A:$A),MATCH(L$1,enemy_skill_triggers!$1:$1,0)-MATCH($F$1,enemy_skill_triggers!$1:$1,0)+1),MATCH(L$1,enemy_skill_triggers!$1:$1,0)-MATCH($F$1,enemy_skill_triggers!$1:$1,0)+1,FALSE)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0" s="48" t="str">
        <f ca="1">VLOOKUP($F610,OFFSET(enemy_skill_triggers!$A$1,0,0,COUNTA(enemy_skill_triggers!$A:$A),MATCH(M$1,enemy_skill_triggers!$1:$1,0)-MATCH($F$1,enemy_skill_triggers!$1:$1,0)+1),MATCH(M$1,enemy_skill_triggers!$1:$1,0)-MATCH($F$1,enemy_skill_triggers!$1:$1,0)+1,FALSE)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0" s="48">
        <f ca="1">VLOOKUP($F610,OFFSET(enemy_skill_triggers!$A$1,0,0,COUNTA(enemy_skill_triggers!$A:$A),MATCH(N$1,enemy_skill_triggers!$1:$1,0)-MATCH($F$1,enemy_skill_triggers!$1:$1,0)+1),MATCH(N$1,enemy_skill_triggers!$1:$1,0)-MATCH($F$1,enemy_skill_triggers!$1:$1,0)+1,FALSE)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610" s="48">
        <f ca="1">VLOOKUP($F610,OFFSET(enemy_skill_triggers!$A$1,0,0,COUNTA(enemy_skill_triggers!$A:$A),MATCH(O$1,enemy_skill_triggers!$1:$1,0)-MATCH($F$1,enemy_skill_triggers!$1:$1,0)+1),MATCH(O$1,enemy_skill_triggers!$1:$1,0)-MATCH($F$1,enemy_skill_triggers!$1:$1,0)+1,FALSE)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0" s="47"/>
      <c r="Q610" s="47"/>
      <c r="R610" s="47"/>
    </row>
    <row r="611" spans="1:18" ht="21" customHeight="1" x14ac:dyDescent="0.15">
      <c r="A611" s="39" t="str">
        <f t="shared" si="27"/>
        <v>39009028_39009074</v>
      </c>
      <c r="B611" s="130">
        <v>39009028</v>
      </c>
      <c r="C611" s="47">
        <v>39009074</v>
      </c>
      <c r="D611" s="46" t="str">
        <f ca="1">VLOOKUP($C611,OFFSET(enemy_skills!$A$1,0,0,COUNTA(enemy_skills!$A:$A),MATCH(D$1,enemy_skills!$1:$1,0)-MATCH("enemy_skill_id",enemy_skills!$1:$1,0)+1),MATCH(D$1,enemy_skills!$1:$1,0)-MATCH("enemy_skill_id",enemy_skills!$1:$1,0)+1,FALSE)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1" s="46" t="str">
        <f ca="1">VLOOKUP($C611,OFFSET(enemy_skills!$A$1,0,0,COUNTA(enemy_skills!$A:$A),MATCH(E$1,enemy_skills!$1:$1,0)-MATCH("enemy_skill_id",enemy_skills!$1:$1,0)+1),MATCH(E$1,enemy_skills!$1:$1,0)-MATCH("enemy_skill_id",enemy_skills!$1:$1,0)+1,FALSE)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1" s="47">
        <v>39009232</v>
      </c>
      <c r="G611" s="48">
        <f ca="1">VLOOKUP($F611,OFFSET(enemy_skill_triggers!$A$1,0,0,COUNTA(enemy_skill_triggers!$A:$A),MATCH(G$1,enemy_skill_triggers!$1:$1,0)-MATCH($F$1,enemy_skill_triggers!$1:$1,0)+1),MATCH(G$1,enemy_skill_triggers!$1:$1,0)-MATCH($F$1,enemy_skill_triggers!$1:$1,0)+1,FALSE)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1" s="48">
        <f ca="1">VLOOKUP($F611,OFFSET(enemy_skill_triggers!$A$1,0,0,COUNTA(enemy_skill_triggers!$A:$A),MATCH(H$1,enemy_skill_triggers!$1:$1,0)-MATCH($F$1,enemy_skill_triggers!$1:$1,0)+1),MATCH(H$1,enemy_skill_triggers!$1:$1,0)-MATCH($F$1,enemy_skill_triggers!$1:$1,0)+1,FALSE)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11" s="48">
        <f ca="1">VLOOKUP($F611,OFFSET(enemy_skill_triggers!$A$1,0,0,COUNTA(enemy_skill_triggers!$A:$A),MATCH(I$1,enemy_skill_triggers!$1:$1,0)-MATCH($F$1,enemy_skill_triggers!$1:$1,0)+1),MATCH(I$1,enemy_skill_triggers!$1:$1,0)-MATCH($F$1,enemy_skill_triggers!$1:$1,0)+1,FALSE)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1" s="48" t="str">
        <f ca="1">VLOOKUP($F611,OFFSET(enemy_skill_triggers!$A$1,0,0,COUNTA(enemy_skill_triggers!$A:$A),MATCH(J$1,enemy_skill_triggers!$1:$1,0)-MATCH($F$1,enemy_skill_triggers!$1:$1,0)+1),MATCH(J$1,enemy_skill_triggers!$1:$1,0)-MATCH($F$1,enemy_skill_triggers!$1:$1,0)+1,FALSE)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1" s="48" t="str">
        <f ca="1">VLOOKUP($F611,OFFSET(enemy_skill_triggers!$A$1,0,0,COUNTA(enemy_skill_triggers!$A:$A),MATCH(K$1,enemy_skill_triggers!$1:$1,0)-MATCH($F$1,enemy_skill_triggers!$1:$1,0)+1),MATCH(K$1,enemy_skill_triggers!$1:$1,0)-MATCH($F$1,enemy_skill_triggers!$1:$1,0)+1,FALSE)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1" s="48">
        <f ca="1">VLOOKUP($F611,OFFSET(enemy_skill_triggers!$A$1,0,0,COUNTA(enemy_skill_triggers!$A:$A),MATCH(L$1,enemy_skill_triggers!$1:$1,0)-MATCH($F$1,enemy_skill_triggers!$1:$1,0)+1),MATCH(L$1,enemy_skill_triggers!$1:$1,0)-MATCH($F$1,enemy_skill_triggers!$1:$1,0)+1,FALSE)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1" s="48" t="str">
        <f ca="1">VLOOKUP($F611,OFFSET(enemy_skill_triggers!$A$1,0,0,COUNTA(enemy_skill_triggers!$A:$A),MATCH(M$1,enemy_skill_triggers!$1:$1,0)-MATCH($F$1,enemy_skill_triggers!$1:$1,0)+1),MATCH(M$1,enemy_skill_triggers!$1:$1,0)-MATCH($F$1,enemy_skill_triggers!$1:$1,0)+1,FALSE)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1" s="48">
        <f ca="1">VLOOKUP($F611,OFFSET(enemy_skill_triggers!$A$1,0,0,COUNTA(enemy_skill_triggers!$A:$A),MATCH(N$1,enemy_skill_triggers!$1:$1,0)-MATCH($F$1,enemy_skill_triggers!$1:$1,0)+1),MATCH(N$1,enemy_skill_triggers!$1:$1,0)-MATCH($F$1,enemy_skill_triggers!$1:$1,0)+1,FALSE)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11" s="48">
        <f ca="1">VLOOKUP($F611,OFFSET(enemy_skill_triggers!$A$1,0,0,COUNTA(enemy_skill_triggers!$A:$A),MATCH(O$1,enemy_skill_triggers!$1:$1,0)-MATCH($F$1,enemy_skill_triggers!$1:$1,0)+1),MATCH(O$1,enemy_skill_triggers!$1:$1,0)-MATCH($F$1,enemy_skill_triggers!$1:$1,0)+1,FALSE)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1" s="47"/>
      <c r="Q611" s="47"/>
      <c r="R611" s="47"/>
    </row>
    <row r="612" spans="1:18" ht="21" customHeight="1" x14ac:dyDescent="0.15">
      <c r="A612" s="39" t="str">
        <f t="shared" si="27"/>
        <v>39009028_39009074</v>
      </c>
      <c r="B612" s="130">
        <v>39009028</v>
      </c>
      <c r="C612" s="47">
        <v>39009074</v>
      </c>
      <c r="D612" s="46" t="str">
        <f ca="1">VLOOKUP($C612,OFFSET(enemy_skills!$A$1,0,0,COUNTA(enemy_skills!$A:$A),MATCH(D$1,enemy_skills!$1:$1,0)-MATCH("enemy_skill_id",enemy_skills!$1:$1,0)+1),MATCH(D$1,enemy_skills!$1:$1,0)-MATCH("enemy_skill_id",enemy_skills!$1:$1,0)+1,FALSE)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2" s="46" t="str">
        <f ca="1">VLOOKUP($C612,OFFSET(enemy_skills!$A$1,0,0,COUNTA(enemy_skills!$A:$A),MATCH(E$1,enemy_skills!$1:$1,0)-MATCH("enemy_skill_id",enemy_skills!$1:$1,0)+1),MATCH(E$1,enemy_skills!$1:$1,0)-MATCH("enemy_skill_id",enemy_skills!$1:$1,0)+1,FALSE)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2" s="47">
        <v>39009233</v>
      </c>
      <c r="G612" s="48">
        <f ca="1">VLOOKUP($F612,OFFSET(enemy_skill_triggers!$A$1,0,0,COUNTA(enemy_skill_triggers!$A:$A),MATCH(G$1,enemy_skill_triggers!$1:$1,0)-MATCH($F$1,enemy_skill_triggers!$1:$1,0)+1),MATCH(G$1,enemy_skill_triggers!$1:$1,0)-MATCH($F$1,enemy_skill_triggers!$1:$1,0)+1,FALSE)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2" s="48">
        <f ca="1">VLOOKUP($F612,OFFSET(enemy_skill_triggers!$A$1,0,0,COUNTA(enemy_skill_triggers!$A:$A),MATCH(H$1,enemy_skill_triggers!$1:$1,0)-MATCH($F$1,enemy_skill_triggers!$1:$1,0)+1),MATCH(H$1,enemy_skill_triggers!$1:$1,0)-MATCH($F$1,enemy_skill_triggers!$1:$1,0)+1,FALSE)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12" s="48">
        <f ca="1">VLOOKUP($F612,OFFSET(enemy_skill_triggers!$A$1,0,0,COUNTA(enemy_skill_triggers!$A:$A),MATCH(I$1,enemy_skill_triggers!$1:$1,0)-MATCH($F$1,enemy_skill_triggers!$1:$1,0)+1),MATCH(I$1,enemy_skill_triggers!$1:$1,0)-MATCH($F$1,enemy_skill_triggers!$1:$1,0)+1,FALSE)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2" s="48" t="str">
        <f ca="1">VLOOKUP($F612,OFFSET(enemy_skill_triggers!$A$1,0,0,COUNTA(enemy_skill_triggers!$A:$A),MATCH(J$1,enemy_skill_triggers!$1:$1,0)-MATCH($F$1,enemy_skill_triggers!$1:$1,0)+1),MATCH(J$1,enemy_skill_triggers!$1:$1,0)-MATCH($F$1,enemy_skill_triggers!$1:$1,0)+1,FALSE)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2" s="48" t="str">
        <f ca="1">VLOOKUP($F612,OFFSET(enemy_skill_triggers!$A$1,0,0,COUNTA(enemy_skill_triggers!$A:$A),MATCH(K$1,enemy_skill_triggers!$1:$1,0)-MATCH($F$1,enemy_skill_triggers!$1:$1,0)+1),MATCH(K$1,enemy_skill_triggers!$1:$1,0)-MATCH($F$1,enemy_skill_triggers!$1:$1,0)+1,FALSE)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2" s="48">
        <f ca="1">VLOOKUP($F612,OFFSET(enemy_skill_triggers!$A$1,0,0,COUNTA(enemy_skill_triggers!$A:$A),MATCH(L$1,enemy_skill_triggers!$1:$1,0)-MATCH($F$1,enemy_skill_triggers!$1:$1,0)+1),MATCH(L$1,enemy_skill_triggers!$1:$1,0)-MATCH($F$1,enemy_skill_triggers!$1:$1,0)+1,FALSE)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2" s="48" t="str">
        <f ca="1">VLOOKUP($F612,OFFSET(enemy_skill_triggers!$A$1,0,0,COUNTA(enemy_skill_triggers!$A:$A),MATCH(M$1,enemy_skill_triggers!$1:$1,0)-MATCH($F$1,enemy_skill_triggers!$1:$1,0)+1),MATCH(M$1,enemy_skill_triggers!$1:$1,0)-MATCH($F$1,enemy_skill_triggers!$1:$1,0)+1,FALSE)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2" s="48">
        <f ca="1">VLOOKUP($F612,OFFSET(enemy_skill_triggers!$A$1,0,0,COUNTA(enemy_skill_triggers!$A:$A),MATCH(N$1,enemy_skill_triggers!$1:$1,0)-MATCH($F$1,enemy_skill_triggers!$1:$1,0)+1),MATCH(N$1,enemy_skill_triggers!$1:$1,0)-MATCH($F$1,enemy_skill_triggers!$1:$1,0)+1,FALSE)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612" s="48">
        <f ca="1">VLOOKUP($F612,OFFSET(enemy_skill_triggers!$A$1,0,0,COUNTA(enemy_skill_triggers!$A:$A),MATCH(O$1,enemy_skill_triggers!$1:$1,0)-MATCH($F$1,enemy_skill_triggers!$1:$1,0)+1),MATCH(O$1,enemy_skill_triggers!$1:$1,0)-MATCH($F$1,enemy_skill_triggers!$1:$1,0)+1,FALSE)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2" s="47"/>
      <c r="Q612" s="47"/>
      <c r="R612" s="47"/>
    </row>
    <row r="613" spans="1:18" ht="21" customHeight="1" x14ac:dyDescent="0.15">
      <c r="A613" s="39" t="str">
        <f t="shared" si="27"/>
        <v>39009028_39009074</v>
      </c>
      <c r="B613" s="130">
        <v>39009028</v>
      </c>
      <c r="C613" s="47">
        <v>39009074</v>
      </c>
      <c r="D613" s="46" t="str">
        <f ca="1">VLOOKUP($C613,OFFSET(enemy_skills!$A$1,0,0,COUNTA(enemy_skills!$A:$A),MATCH(D$1,enemy_skills!$1:$1,0)-MATCH("enemy_skill_id",enemy_skills!$1:$1,0)+1),MATCH(D$1,enemy_skills!$1:$1,0)-MATCH("enemy_skill_id",enemy_skills!$1:$1,0)+1,FALSE)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3" s="46" t="str">
        <f ca="1">VLOOKUP($C613,OFFSET(enemy_skills!$A$1,0,0,COUNTA(enemy_skills!$A:$A),MATCH(E$1,enemy_skills!$1:$1,0)-MATCH("enemy_skill_id",enemy_skills!$1:$1,0)+1),MATCH(E$1,enemy_skills!$1:$1,0)-MATCH("enemy_skill_id",enemy_skills!$1:$1,0)+1,FALSE)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3" s="47">
        <v>39009234</v>
      </c>
      <c r="G613" s="48">
        <f ca="1">VLOOKUP($F613,OFFSET(enemy_skill_triggers!$A$1,0,0,COUNTA(enemy_skill_triggers!$A:$A),MATCH(G$1,enemy_skill_triggers!$1:$1,0)-MATCH($F$1,enemy_skill_triggers!$1:$1,0)+1),MATCH(G$1,enemy_skill_triggers!$1:$1,0)-MATCH($F$1,enemy_skill_triggers!$1:$1,0)+1,FALSE)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3" s="48">
        <f ca="1">VLOOKUP($F613,OFFSET(enemy_skill_triggers!$A$1,0,0,COUNTA(enemy_skill_triggers!$A:$A),MATCH(H$1,enemy_skill_triggers!$1:$1,0)-MATCH($F$1,enemy_skill_triggers!$1:$1,0)+1),MATCH(H$1,enemy_skill_triggers!$1:$1,0)-MATCH($F$1,enemy_skill_triggers!$1:$1,0)+1,FALSE)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13" s="48">
        <f ca="1">VLOOKUP($F613,OFFSET(enemy_skill_triggers!$A$1,0,0,COUNTA(enemy_skill_triggers!$A:$A),MATCH(I$1,enemy_skill_triggers!$1:$1,0)-MATCH($F$1,enemy_skill_triggers!$1:$1,0)+1),MATCH(I$1,enemy_skill_triggers!$1:$1,0)-MATCH($F$1,enemy_skill_triggers!$1:$1,0)+1,FALSE)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3" s="48" t="str">
        <f ca="1">VLOOKUP($F613,OFFSET(enemy_skill_triggers!$A$1,0,0,COUNTA(enemy_skill_triggers!$A:$A),MATCH(J$1,enemy_skill_triggers!$1:$1,0)-MATCH($F$1,enemy_skill_triggers!$1:$1,0)+1),MATCH(J$1,enemy_skill_triggers!$1:$1,0)-MATCH($F$1,enemy_skill_triggers!$1:$1,0)+1,FALSE)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3" s="48" t="str">
        <f ca="1">VLOOKUP($F613,OFFSET(enemy_skill_triggers!$A$1,0,0,COUNTA(enemy_skill_triggers!$A:$A),MATCH(K$1,enemy_skill_triggers!$1:$1,0)-MATCH($F$1,enemy_skill_triggers!$1:$1,0)+1),MATCH(K$1,enemy_skill_triggers!$1:$1,0)-MATCH($F$1,enemy_skill_triggers!$1:$1,0)+1,FALSE)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3" s="48">
        <f ca="1">VLOOKUP($F613,OFFSET(enemy_skill_triggers!$A$1,0,0,COUNTA(enemy_skill_triggers!$A:$A),MATCH(L$1,enemy_skill_triggers!$1:$1,0)-MATCH($F$1,enemy_skill_triggers!$1:$1,0)+1),MATCH(L$1,enemy_skill_triggers!$1:$1,0)-MATCH($F$1,enemy_skill_triggers!$1:$1,0)+1,FALSE)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3" s="48" t="str">
        <f ca="1">VLOOKUP($F613,OFFSET(enemy_skill_triggers!$A$1,0,0,COUNTA(enemy_skill_triggers!$A:$A),MATCH(M$1,enemy_skill_triggers!$1:$1,0)-MATCH($F$1,enemy_skill_triggers!$1:$1,0)+1),MATCH(M$1,enemy_skill_triggers!$1:$1,0)-MATCH($F$1,enemy_skill_triggers!$1:$1,0)+1,FALSE)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3" s="48">
        <f ca="1">VLOOKUP($F613,OFFSET(enemy_skill_triggers!$A$1,0,0,COUNTA(enemy_skill_triggers!$A:$A),MATCH(N$1,enemy_skill_triggers!$1:$1,0)-MATCH($F$1,enemy_skill_triggers!$1:$1,0)+1),MATCH(N$1,enemy_skill_triggers!$1:$1,0)-MATCH($F$1,enemy_skill_triggers!$1:$1,0)+1,FALSE)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613" s="48">
        <f ca="1">VLOOKUP($F613,OFFSET(enemy_skill_triggers!$A$1,0,0,COUNTA(enemy_skill_triggers!$A:$A),MATCH(O$1,enemy_skill_triggers!$1:$1,0)-MATCH($F$1,enemy_skill_triggers!$1:$1,0)+1),MATCH(O$1,enemy_skill_triggers!$1:$1,0)-MATCH($F$1,enemy_skill_triggers!$1:$1,0)+1,FALSE)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3" s="47"/>
      <c r="Q613" s="47"/>
      <c r="R613" s="47"/>
    </row>
    <row r="614" spans="1:18" ht="21" customHeight="1" x14ac:dyDescent="0.15">
      <c r="A614" s="39" t="str">
        <f t="shared" si="27"/>
        <v>39009028_39009074</v>
      </c>
      <c r="B614" s="130">
        <v>39009028</v>
      </c>
      <c r="C614" s="47">
        <v>39009074</v>
      </c>
      <c r="D614" s="46" t="str">
        <f ca="1">VLOOKUP($C614,OFFSET(enemy_skills!$A$1,0,0,COUNTA(enemy_skills!$A:$A),MATCH(D$1,enemy_skills!$1:$1,0)-MATCH("enemy_skill_id",enemy_skills!$1:$1,0)+1),MATCH(D$1,enemy_skills!$1:$1,0)-MATCH("enemy_skill_id",enemy_skills!$1:$1,0)+1,FALSE)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4" s="46" t="str">
        <f ca="1">VLOOKUP($C614,OFFSET(enemy_skills!$A$1,0,0,COUNTA(enemy_skills!$A:$A),MATCH(E$1,enemy_skills!$1:$1,0)-MATCH("enemy_skill_id",enemy_skills!$1:$1,0)+1),MATCH(E$1,enemy_skills!$1:$1,0)-MATCH("enemy_skill_id",enemy_skills!$1:$1,0)+1,FALSE)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4" s="47">
        <v>39009235</v>
      </c>
      <c r="G614" s="48">
        <f ca="1">VLOOKUP($F614,OFFSET(enemy_skill_triggers!$A$1,0,0,COUNTA(enemy_skill_triggers!$A:$A),MATCH(G$1,enemy_skill_triggers!$1:$1,0)-MATCH($F$1,enemy_skill_triggers!$1:$1,0)+1),MATCH(G$1,enemy_skill_triggers!$1:$1,0)-MATCH($F$1,enemy_skill_triggers!$1:$1,0)+1,FALSE)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4" s="48">
        <f ca="1">VLOOKUP($F614,OFFSET(enemy_skill_triggers!$A$1,0,0,COUNTA(enemy_skill_triggers!$A:$A),MATCH(H$1,enemy_skill_triggers!$1:$1,0)-MATCH($F$1,enemy_skill_triggers!$1:$1,0)+1),MATCH(H$1,enemy_skill_triggers!$1:$1,0)-MATCH($F$1,enemy_skill_triggers!$1:$1,0)+1,FALSE)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14" s="48">
        <f ca="1">VLOOKUP($F614,OFFSET(enemy_skill_triggers!$A$1,0,0,COUNTA(enemy_skill_triggers!$A:$A),MATCH(I$1,enemy_skill_triggers!$1:$1,0)-MATCH($F$1,enemy_skill_triggers!$1:$1,0)+1),MATCH(I$1,enemy_skill_triggers!$1:$1,0)-MATCH($F$1,enemy_skill_triggers!$1:$1,0)+1,FALSE)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4" s="48" t="str">
        <f ca="1">VLOOKUP($F614,OFFSET(enemy_skill_triggers!$A$1,0,0,COUNTA(enemy_skill_triggers!$A:$A),MATCH(J$1,enemy_skill_triggers!$1:$1,0)-MATCH($F$1,enemy_skill_triggers!$1:$1,0)+1),MATCH(J$1,enemy_skill_triggers!$1:$1,0)-MATCH($F$1,enemy_skill_triggers!$1:$1,0)+1,FALSE)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4" s="48" t="str">
        <f ca="1">VLOOKUP($F614,OFFSET(enemy_skill_triggers!$A$1,0,0,COUNTA(enemy_skill_triggers!$A:$A),MATCH(K$1,enemy_skill_triggers!$1:$1,0)-MATCH($F$1,enemy_skill_triggers!$1:$1,0)+1),MATCH(K$1,enemy_skill_triggers!$1:$1,0)-MATCH($F$1,enemy_skill_triggers!$1:$1,0)+1,FALSE)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4" s="48">
        <f ca="1">VLOOKUP($F614,OFFSET(enemy_skill_triggers!$A$1,0,0,COUNTA(enemy_skill_triggers!$A:$A),MATCH(L$1,enemy_skill_triggers!$1:$1,0)-MATCH($F$1,enemy_skill_triggers!$1:$1,0)+1),MATCH(L$1,enemy_skill_triggers!$1:$1,0)-MATCH($F$1,enemy_skill_triggers!$1:$1,0)+1,FALSE)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4" s="48" t="str">
        <f ca="1">VLOOKUP($F614,OFFSET(enemy_skill_triggers!$A$1,0,0,COUNTA(enemy_skill_triggers!$A:$A),MATCH(M$1,enemy_skill_triggers!$1:$1,0)-MATCH($F$1,enemy_skill_triggers!$1:$1,0)+1),MATCH(M$1,enemy_skill_triggers!$1:$1,0)-MATCH($F$1,enemy_skill_triggers!$1:$1,0)+1,FALSE)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4" s="48">
        <f ca="1">VLOOKUP($F614,OFFSET(enemy_skill_triggers!$A$1,0,0,COUNTA(enemy_skill_triggers!$A:$A),MATCH(N$1,enemy_skill_triggers!$1:$1,0)-MATCH($F$1,enemy_skill_triggers!$1:$1,0)+1),MATCH(N$1,enemy_skill_triggers!$1:$1,0)-MATCH($F$1,enemy_skill_triggers!$1:$1,0)+1,FALSE)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614" s="48">
        <f ca="1">VLOOKUP($F614,OFFSET(enemy_skill_triggers!$A$1,0,0,COUNTA(enemy_skill_triggers!$A:$A),MATCH(O$1,enemy_skill_triggers!$1:$1,0)-MATCH($F$1,enemy_skill_triggers!$1:$1,0)+1),MATCH(O$1,enemy_skill_triggers!$1:$1,0)-MATCH($F$1,enemy_skill_triggers!$1:$1,0)+1,FALSE)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4" s="47"/>
      <c r="Q614" s="47"/>
      <c r="R614" s="47"/>
    </row>
    <row r="615" spans="1:18" ht="21" customHeight="1" x14ac:dyDescent="0.15">
      <c r="A615" s="39" t="str">
        <f t="shared" si="27"/>
        <v>39009028_39009074</v>
      </c>
      <c r="B615" s="130">
        <v>39009028</v>
      </c>
      <c r="C615" s="47">
        <v>39009074</v>
      </c>
      <c r="D615" s="46" t="str">
        <f ca="1">VLOOKUP($C615,OFFSET(enemy_skills!$A$1,0,0,COUNTA(enemy_skills!$A:$A),MATCH(D$1,enemy_skills!$1:$1,0)-MATCH("enemy_skill_id",enemy_skills!$1:$1,0)+1),MATCH(D$1,enemy_skills!$1:$1,0)-MATCH("enemy_skill_id",enemy_skills!$1:$1,0)+1,FALSE)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5" s="46" t="str">
        <f ca="1">VLOOKUP($C615,OFFSET(enemy_skills!$A$1,0,0,COUNTA(enemy_skills!$A:$A),MATCH(E$1,enemy_skills!$1:$1,0)-MATCH("enemy_skill_id",enemy_skills!$1:$1,0)+1),MATCH(E$1,enemy_skills!$1:$1,0)-MATCH("enemy_skill_id",enemy_skills!$1:$1,0)+1,FALSE)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5" s="47">
        <v>39009236</v>
      </c>
      <c r="G615" s="48">
        <f ca="1">VLOOKUP($F615,OFFSET(enemy_skill_triggers!$A$1,0,0,COUNTA(enemy_skill_triggers!$A:$A),MATCH(G$1,enemy_skill_triggers!$1:$1,0)-MATCH($F$1,enemy_skill_triggers!$1:$1,0)+1),MATCH(G$1,enemy_skill_triggers!$1:$1,0)-MATCH($F$1,enemy_skill_triggers!$1:$1,0)+1,FALSE)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5" s="48">
        <f ca="1">VLOOKUP($F615,OFFSET(enemy_skill_triggers!$A$1,0,0,COUNTA(enemy_skill_triggers!$A:$A),MATCH(H$1,enemy_skill_triggers!$1:$1,0)-MATCH($F$1,enemy_skill_triggers!$1:$1,0)+1),MATCH(H$1,enemy_skill_triggers!$1:$1,0)-MATCH($F$1,enemy_skill_triggers!$1:$1,0)+1,FALSE)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5" s="48">
        <f ca="1">VLOOKUP($F615,OFFSET(enemy_skill_triggers!$A$1,0,0,COUNTA(enemy_skill_triggers!$A:$A),MATCH(I$1,enemy_skill_triggers!$1:$1,0)-MATCH($F$1,enemy_skill_triggers!$1:$1,0)+1),MATCH(I$1,enemy_skill_triggers!$1:$1,0)-MATCH($F$1,enemy_skill_triggers!$1:$1,0)+1,FALSE)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5" s="48" t="str">
        <f ca="1">VLOOKUP($F615,OFFSET(enemy_skill_triggers!$A$1,0,0,COUNTA(enemy_skill_triggers!$A:$A),MATCH(J$1,enemy_skill_triggers!$1:$1,0)-MATCH($F$1,enemy_skill_triggers!$1:$1,0)+1),MATCH(J$1,enemy_skill_triggers!$1:$1,0)-MATCH($F$1,enemy_skill_triggers!$1:$1,0)+1,FALSE)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5" s="48" t="str">
        <f ca="1">VLOOKUP($F615,OFFSET(enemy_skill_triggers!$A$1,0,0,COUNTA(enemy_skill_triggers!$A:$A),MATCH(K$1,enemy_skill_triggers!$1:$1,0)-MATCH($F$1,enemy_skill_triggers!$1:$1,0)+1),MATCH(K$1,enemy_skill_triggers!$1:$1,0)-MATCH($F$1,enemy_skill_triggers!$1:$1,0)+1,FALSE)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5" s="48">
        <f ca="1">VLOOKUP($F615,OFFSET(enemy_skill_triggers!$A$1,0,0,COUNTA(enemy_skill_triggers!$A:$A),MATCH(L$1,enemy_skill_triggers!$1:$1,0)-MATCH($F$1,enemy_skill_triggers!$1:$1,0)+1),MATCH(L$1,enemy_skill_triggers!$1:$1,0)-MATCH($F$1,enemy_skill_triggers!$1:$1,0)+1,FALSE)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5" s="48" t="str">
        <f ca="1">VLOOKUP($F615,OFFSET(enemy_skill_triggers!$A$1,0,0,COUNTA(enemy_skill_triggers!$A:$A),MATCH(M$1,enemy_skill_triggers!$1:$1,0)-MATCH($F$1,enemy_skill_triggers!$1:$1,0)+1),MATCH(M$1,enemy_skill_triggers!$1:$1,0)-MATCH($F$1,enemy_skill_triggers!$1:$1,0)+1,FALSE)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5" s="48">
        <f ca="1">VLOOKUP($F615,OFFSET(enemy_skill_triggers!$A$1,0,0,COUNTA(enemy_skill_triggers!$A:$A),MATCH(N$1,enemy_skill_triggers!$1:$1,0)-MATCH($F$1,enemy_skill_triggers!$1:$1,0)+1),MATCH(N$1,enemy_skill_triggers!$1:$1,0)-MATCH($F$1,enemy_skill_triggers!$1:$1,0)+1,FALSE)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615" s="48">
        <f ca="1">VLOOKUP($F615,OFFSET(enemy_skill_triggers!$A$1,0,0,COUNTA(enemy_skill_triggers!$A:$A),MATCH(O$1,enemy_skill_triggers!$1:$1,0)-MATCH($F$1,enemy_skill_triggers!$1:$1,0)+1),MATCH(O$1,enemy_skill_triggers!$1:$1,0)-MATCH($F$1,enemy_skill_triggers!$1:$1,0)+1,FALSE)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5" s="47"/>
      <c r="Q615" s="47"/>
      <c r="R615" s="47"/>
    </row>
    <row r="616" spans="1:18" ht="21" customHeight="1" x14ac:dyDescent="0.15">
      <c r="A616" s="39" t="str">
        <f t="shared" si="27"/>
        <v>39009028_39009074</v>
      </c>
      <c r="B616" s="130">
        <v>39009028</v>
      </c>
      <c r="C616" s="47">
        <v>39009074</v>
      </c>
      <c r="D616" s="46" t="str">
        <f ca="1">VLOOKUP($C616,OFFSET(enemy_skills!$A$1,0,0,COUNTA(enemy_skills!$A:$A),MATCH(D$1,enemy_skills!$1:$1,0)-MATCH("enemy_skill_id",enemy_skills!$1:$1,0)+1),MATCH(D$1,enemy_skills!$1:$1,0)-MATCH("enemy_skill_id",enemy_skills!$1:$1,0)+1,FALSE)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6" s="46" t="str">
        <f ca="1">VLOOKUP($C616,OFFSET(enemy_skills!$A$1,0,0,COUNTA(enemy_skills!$A:$A),MATCH(E$1,enemy_skills!$1:$1,0)-MATCH("enemy_skill_id",enemy_skills!$1:$1,0)+1),MATCH(E$1,enemy_skills!$1:$1,0)-MATCH("enemy_skill_id",enemy_skills!$1:$1,0)+1,FALSE)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6" s="47">
        <v>39009237</v>
      </c>
      <c r="G616" s="48">
        <f ca="1">VLOOKUP($F616,OFFSET(enemy_skill_triggers!$A$1,0,0,COUNTA(enemy_skill_triggers!$A:$A),MATCH(G$1,enemy_skill_triggers!$1:$1,0)-MATCH($F$1,enemy_skill_triggers!$1:$1,0)+1),MATCH(G$1,enemy_skill_triggers!$1:$1,0)-MATCH($F$1,enemy_skill_triggers!$1:$1,0)+1,FALSE)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6" s="48">
        <f ca="1">VLOOKUP($F616,OFFSET(enemy_skill_triggers!$A$1,0,0,COUNTA(enemy_skill_triggers!$A:$A),MATCH(H$1,enemy_skill_triggers!$1:$1,0)-MATCH($F$1,enemy_skill_triggers!$1:$1,0)+1),MATCH(H$1,enemy_skill_triggers!$1:$1,0)-MATCH($F$1,enemy_skill_triggers!$1:$1,0)+1,FALSE)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16" s="48">
        <f ca="1">VLOOKUP($F616,OFFSET(enemy_skill_triggers!$A$1,0,0,COUNTA(enemy_skill_triggers!$A:$A),MATCH(I$1,enemy_skill_triggers!$1:$1,0)-MATCH($F$1,enemy_skill_triggers!$1:$1,0)+1),MATCH(I$1,enemy_skill_triggers!$1:$1,0)-MATCH($F$1,enemy_skill_triggers!$1:$1,0)+1,FALSE)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6" s="48" t="str">
        <f ca="1">VLOOKUP($F616,OFFSET(enemy_skill_triggers!$A$1,0,0,COUNTA(enemy_skill_triggers!$A:$A),MATCH(J$1,enemy_skill_triggers!$1:$1,0)-MATCH($F$1,enemy_skill_triggers!$1:$1,0)+1),MATCH(J$1,enemy_skill_triggers!$1:$1,0)-MATCH($F$1,enemy_skill_triggers!$1:$1,0)+1,FALSE)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6" s="48" t="str">
        <f ca="1">VLOOKUP($F616,OFFSET(enemy_skill_triggers!$A$1,0,0,COUNTA(enemy_skill_triggers!$A:$A),MATCH(K$1,enemy_skill_triggers!$1:$1,0)-MATCH($F$1,enemy_skill_triggers!$1:$1,0)+1),MATCH(K$1,enemy_skill_triggers!$1:$1,0)-MATCH($F$1,enemy_skill_triggers!$1:$1,0)+1,FALSE)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6" s="48">
        <f ca="1">VLOOKUP($F616,OFFSET(enemy_skill_triggers!$A$1,0,0,COUNTA(enemy_skill_triggers!$A:$A),MATCH(L$1,enemy_skill_triggers!$1:$1,0)-MATCH($F$1,enemy_skill_triggers!$1:$1,0)+1),MATCH(L$1,enemy_skill_triggers!$1:$1,0)-MATCH($F$1,enemy_skill_triggers!$1:$1,0)+1,FALSE)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6" s="48" t="str">
        <f ca="1">VLOOKUP($F616,OFFSET(enemy_skill_triggers!$A$1,0,0,COUNTA(enemy_skill_triggers!$A:$A),MATCH(M$1,enemy_skill_triggers!$1:$1,0)-MATCH($F$1,enemy_skill_triggers!$1:$1,0)+1),MATCH(M$1,enemy_skill_triggers!$1:$1,0)-MATCH($F$1,enemy_skill_triggers!$1:$1,0)+1,FALSE)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6" s="48">
        <f ca="1">VLOOKUP($F616,OFFSET(enemy_skill_triggers!$A$1,0,0,COUNTA(enemy_skill_triggers!$A:$A),MATCH(N$1,enemy_skill_triggers!$1:$1,0)-MATCH($F$1,enemy_skill_triggers!$1:$1,0)+1),MATCH(N$1,enemy_skill_triggers!$1:$1,0)-MATCH($F$1,enemy_skill_triggers!$1:$1,0)+1,FALSE)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616" s="48">
        <f ca="1">VLOOKUP($F616,OFFSET(enemy_skill_triggers!$A$1,0,0,COUNTA(enemy_skill_triggers!$A:$A),MATCH(O$1,enemy_skill_triggers!$1:$1,0)-MATCH($F$1,enemy_skill_triggers!$1:$1,0)+1),MATCH(O$1,enemy_skill_triggers!$1:$1,0)-MATCH($F$1,enemy_skill_triggers!$1:$1,0)+1,FALSE)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6" s="47"/>
      <c r="Q616" s="47"/>
      <c r="R616" s="47"/>
    </row>
    <row r="617" spans="1:18" ht="21" customHeight="1" x14ac:dyDescent="0.15">
      <c r="A617" s="39" t="str">
        <f t="shared" si="27"/>
        <v>39009028_39009074</v>
      </c>
      <c r="B617" s="130">
        <v>39009028</v>
      </c>
      <c r="C617" s="47">
        <v>39009074</v>
      </c>
      <c r="D617" s="46" t="str">
        <f ca="1">VLOOKUP($C617,OFFSET(enemy_skills!$A$1,0,0,COUNTA(enemy_skills!$A:$A),MATCH(D$1,enemy_skills!$1:$1,0)-MATCH("enemy_skill_id",enemy_skills!$1:$1,0)+1),MATCH(D$1,enemy_skills!$1:$1,0)-MATCH("enemy_skill_id",enemy_skills!$1:$1,0)+1,FALSE)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7" s="46" t="str">
        <f ca="1">VLOOKUP($C617,OFFSET(enemy_skills!$A$1,0,0,COUNTA(enemy_skills!$A:$A),MATCH(E$1,enemy_skills!$1:$1,0)-MATCH("enemy_skill_id",enemy_skills!$1:$1,0)+1),MATCH(E$1,enemy_skills!$1:$1,0)-MATCH("enemy_skill_id",enemy_skills!$1:$1,0)+1,FALSE)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7" s="47">
        <v>39009238</v>
      </c>
      <c r="G617" s="48">
        <f ca="1">VLOOKUP($F617,OFFSET(enemy_skill_triggers!$A$1,0,0,COUNTA(enemy_skill_triggers!$A:$A),MATCH(G$1,enemy_skill_triggers!$1:$1,0)-MATCH($F$1,enemy_skill_triggers!$1:$1,0)+1),MATCH(G$1,enemy_skill_triggers!$1:$1,0)-MATCH($F$1,enemy_skill_triggers!$1:$1,0)+1,FALSE)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7" s="48">
        <f ca="1">VLOOKUP($F617,OFFSET(enemy_skill_triggers!$A$1,0,0,COUNTA(enemy_skill_triggers!$A:$A),MATCH(H$1,enemy_skill_triggers!$1:$1,0)-MATCH($F$1,enemy_skill_triggers!$1:$1,0)+1),MATCH(H$1,enemy_skill_triggers!$1:$1,0)-MATCH($F$1,enemy_skill_triggers!$1:$1,0)+1,FALSE)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17" s="48">
        <f ca="1">VLOOKUP($F617,OFFSET(enemy_skill_triggers!$A$1,0,0,COUNTA(enemy_skill_triggers!$A:$A),MATCH(I$1,enemy_skill_triggers!$1:$1,0)-MATCH($F$1,enemy_skill_triggers!$1:$1,0)+1),MATCH(I$1,enemy_skill_triggers!$1:$1,0)-MATCH($F$1,enemy_skill_triggers!$1:$1,0)+1,FALSE)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7" s="48" t="str">
        <f ca="1">VLOOKUP($F617,OFFSET(enemy_skill_triggers!$A$1,0,0,COUNTA(enemy_skill_triggers!$A:$A),MATCH(J$1,enemy_skill_triggers!$1:$1,0)-MATCH($F$1,enemy_skill_triggers!$1:$1,0)+1),MATCH(J$1,enemy_skill_triggers!$1:$1,0)-MATCH($F$1,enemy_skill_triggers!$1:$1,0)+1,FALSE)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7" s="48" t="str">
        <f ca="1">VLOOKUP($F617,OFFSET(enemy_skill_triggers!$A$1,0,0,COUNTA(enemy_skill_triggers!$A:$A),MATCH(K$1,enemy_skill_triggers!$1:$1,0)-MATCH($F$1,enemy_skill_triggers!$1:$1,0)+1),MATCH(K$1,enemy_skill_triggers!$1:$1,0)-MATCH($F$1,enemy_skill_triggers!$1:$1,0)+1,FALSE)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7" s="48">
        <f ca="1">VLOOKUP($F617,OFFSET(enemy_skill_triggers!$A$1,0,0,COUNTA(enemy_skill_triggers!$A:$A),MATCH(L$1,enemy_skill_triggers!$1:$1,0)-MATCH($F$1,enemy_skill_triggers!$1:$1,0)+1),MATCH(L$1,enemy_skill_triggers!$1:$1,0)-MATCH($F$1,enemy_skill_triggers!$1:$1,0)+1,FALSE)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7" s="48" t="str">
        <f ca="1">VLOOKUP($F617,OFFSET(enemy_skill_triggers!$A$1,0,0,COUNTA(enemy_skill_triggers!$A:$A),MATCH(M$1,enemy_skill_triggers!$1:$1,0)-MATCH($F$1,enemy_skill_triggers!$1:$1,0)+1),MATCH(M$1,enemy_skill_triggers!$1:$1,0)-MATCH($F$1,enemy_skill_triggers!$1:$1,0)+1,FALSE)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7" s="48">
        <f ca="1">VLOOKUP($F617,OFFSET(enemy_skill_triggers!$A$1,0,0,COUNTA(enemy_skill_triggers!$A:$A),MATCH(N$1,enemy_skill_triggers!$1:$1,0)-MATCH($F$1,enemy_skill_triggers!$1:$1,0)+1),MATCH(N$1,enemy_skill_triggers!$1:$1,0)-MATCH($F$1,enemy_skill_triggers!$1:$1,0)+1,FALSE)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617" s="48">
        <f ca="1">VLOOKUP($F617,OFFSET(enemy_skill_triggers!$A$1,0,0,COUNTA(enemy_skill_triggers!$A:$A),MATCH(O$1,enemy_skill_triggers!$1:$1,0)-MATCH($F$1,enemy_skill_triggers!$1:$1,0)+1),MATCH(O$1,enemy_skill_triggers!$1:$1,0)-MATCH($F$1,enemy_skill_triggers!$1:$1,0)+1,FALSE)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7" s="47"/>
      <c r="Q617" s="47"/>
      <c r="R617" s="47"/>
    </row>
    <row r="618" spans="1:18" ht="21" customHeight="1" x14ac:dyDescent="0.15">
      <c r="A618" s="39" t="str">
        <f t="shared" si="27"/>
        <v>39009028_39009074</v>
      </c>
      <c r="B618" s="130">
        <v>39009028</v>
      </c>
      <c r="C618" s="47">
        <v>39009074</v>
      </c>
      <c r="D618" s="46" t="str">
        <f ca="1">VLOOKUP($C618,OFFSET(enemy_skills!$A$1,0,0,COUNTA(enemy_skills!$A:$A),MATCH(D$1,enemy_skills!$1:$1,0)-MATCH("enemy_skill_id",enemy_skills!$1:$1,0)+1),MATCH(D$1,enemy_skills!$1:$1,0)-MATCH("enemy_skill_id",enemy_skills!$1:$1,0)+1,FALSE)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8" s="46" t="str">
        <f ca="1">VLOOKUP($C618,OFFSET(enemy_skills!$A$1,0,0,COUNTA(enemy_skills!$A:$A),MATCH(E$1,enemy_skills!$1:$1,0)-MATCH("enemy_skill_id",enemy_skills!$1:$1,0)+1),MATCH(E$1,enemy_skills!$1:$1,0)-MATCH("enemy_skill_id",enemy_skills!$1:$1,0)+1,FALSE)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8" s="47">
        <v>39009239</v>
      </c>
      <c r="G618" s="48">
        <f ca="1">VLOOKUP($F618,OFFSET(enemy_skill_triggers!$A$1,0,0,COUNTA(enemy_skill_triggers!$A:$A),MATCH(G$1,enemy_skill_triggers!$1:$1,0)-MATCH($F$1,enemy_skill_triggers!$1:$1,0)+1),MATCH(G$1,enemy_skill_triggers!$1:$1,0)-MATCH($F$1,enemy_skill_triggers!$1:$1,0)+1,FALSE)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8" s="48">
        <f ca="1">VLOOKUP($F618,OFFSET(enemy_skill_triggers!$A$1,0,0,COUNTA(enemy_skill_triggers!$A:$A),MATCH(H$1,enemy_skill_triggers!$1:$1,0)-MATCH($F$1,enemy_skill_triggers!$1:$1,0)+1),MATCH(H$1,enemy_skill_triggers!$1:$1,0)-MATCH($F$1,enemy_skill_triggers!$1:$1,0)+1,FALSE)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618" s="48">
        <f ca="1">VLOOKUP($F618,OFFSET(enemy_skill_triggers!$A$1,0,0,COUNTA(enemy_skill_triggers!$A:$A),MATCH(I$1,enemy_skill_triggers!$1:$1,0)-MATCH($F$1,enemy_skill_triggers!$1:$1,0)+1),MATCH(I$1,enemy_skill_triggers!$1:$1,0)-MATCH($F$1,enemy_skill_triggers!$1:$1,0)+1,FALSE)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8" s="48" t="str">
        <f ca="1">VLOOKUP($F618,OFFSET(enemy_skill_triggers!$A$1,0,0,COUNTA(enemy_skill_triggers!$A:$A),MATCH(J$1,enemy_skill_triggers!$1:$1,0)-MATCH($F$1,enemy_skill_triggers!$1:$1,0)+1),MATCH(J$1,enemy_skill_triggers!$1:$1,0)-MATCH($F$1,enemy_skill_triggers!$1:$1,0)+1,FALSE)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8" s="48" t="str">
        <f ca="1">VLOOKUP($F618,OFFSET(enemy_skill_triggers!$A$1,0,0,COUNTA(enemy_skill_triggers!$A:$A),MATCH(K$1,enemy_skill_triggers!$1:$1,0)-MATCH($F$1,enemy_skill_triggers!$1:$1,0)+1),MATCH(K$1,enemy_skill_triggers!$1:$1,0)-MATCH($F$1,enemy_skill_triggers!$1:$1,0)+1,FALSE)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8" s="48">
        <f ca="1">VLOOKUP($F618,OFFSET(enemy_skill_triggers!$A$1,0,0,COUNTA(enemy_skill_triggers!$A:$A),MATCH(L$1,enemy_skill_triggers!$1:$1,0)-MATCH($F$1,enemy_skill_triggers!$1:$1,0)+1),MATCH(L$1,enemy_skill_triggers!$1:$1,0)-MATCH($F$1,enemy_skill_triggers!$1:$1,0)+1,FALSE)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8" s="48" t="str">
        <f ca="1">VLOOKUP($F618,OFFSET(enemy_skill_triggers!$A$1,0,0,COUNTA(enemy_skill_triggers!$A:$A),MATCH(M$1,enemy_skill_triggers!$1:$1,0)-MATCH($F$1,enemy_skill_triggers!$1:$1,0)+1),MATCH(M$1,enemy_skill_triggers!$1:$1,0)-MATCH($F$1,enemy_skill_triggers!$1:$1,0)+1,FALSE)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8" s="48">
        <f ca="1">VLOOKUP($F618,OFFSET(enemy_skill_triggers!$A$1,0,0,COUNTA(enemy_skill_triggers!$A:$A),MATCH(N$1,enemy_skill_triggers!$1:$1,0)-MATCH($F$1,enemy_skill_triggers!$1:$1,0)+1),MATCH(N$1,enemy_skill_triggers!$1:$1,0)-MATCH($F$1,enemy_skill_triggers!$1:$1,0)+1,FALSE)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618" s="48">
        <f ca="1">VLOOKUP($F618,OFFSET(enemy_skill_triggers!$A$1,0,0,COUNTA(enemy_skill_triggers!$A:$A),MATCH(O$1,enemy_skill_triggers!$1:$1,0)-MATCH($F$1,enemy_skill_triggers!$1:$1,0)+1),MATCH(O$1,enemy_skill_triggers!$1:$1,0)-MATCH($F$1,enemy_skill_triggers!$1:$1,0)+1,FALSE)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8" s="47"/>
      <c r="Q618" s="47"/>
      <c r="R618" s="47"/>
    </row>
    <row r="619" spans="1:18" ht="21" customHeight="1" x14ac:dyDescent="0.15">
      <c r="A619" s="39" t="str">
        <f t="shared" si="27"/>
        <v>39009028_39009074</v>
      </c>
      <c r="B619" s="130">
        <v>39009028</v>
      </c>
      <c r="C619" s="47">
        <v>39009074</v>
      </c>
      <c r="D619" s="46" t="str">
        <f ca="1">VLOOKUP($C619,OFFSET(enemy_skills!$A$1,0,0,COUNTA(enemy_skills!$A:$A),MATCH(D$1,enemy_skills!$1:$1,0)-MATCH("enemy_skill_id",enemy_skills!$1:$1,0)+1),MATCH(D$1,enemy_skills!$1:$1,0)-MATCH("enemy_skill_id",enemy_skills!$1:$1,0)+1,FALSE)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19" s="46" t="str">
        <f ca="1">VLOOKUP($C619,OFFSET(enemy_skills!$A$1,0,0,COUNTA(enemy_skills!$A:$A),MATCH(E$1,enemy_skills!$1:$1,0)-MATCH("enemy_skill_id",enemy_skills!$1:$1,0)+1),MATCH(E$1,enemy_skills!$1:$1,0)-MATCH("enemy_skill_id",enemy_skills!$1:$1,0)+1,FALSE)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9" s="47">
        <v>39009240</v>
      </c>
      <c r="G619" s="48">
        <f ca="1">VLOOKUP($F619,OFFSET(enemy_skill_triggers!$A$1,0,0,COUNTA(enemy_skill_triggers!$A:$A),MATCH(G$1,enemy_skill_triggers!$1:$1,0)-MATCH($F$1,enemy_skill_triggers!$1:$1,0)+1),MATCH(G$1,enemy_skill_triggers!$1:$1,0)-MATCH($F$1,enemy_skill_triggers!$1:$1,0)+1,FALSE)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9" s="48">
        <f ca="1">VLOOKUP($F619,OFFSET(enemy_skill_triggers!$A$1,0,0,COUNTA(enemy_skill_triggers!$A:$A),MATCH(H$1,enemy_skill_triggers!$1:$1,0)-MATCH($F$1,enemy_skill_triggers!$1:$1,0)+1),MATCH(H$1,enemy_skill_triggers!$1:$1,0)-MATCH($F$1,enemy_skill_triggers!$1:$1,0)+1,FALSE)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19" s="48">
        <f ca="1">VLOOKUP($F619,OFFSET(enemy_skill_triggers!$A$1,0,0,COUNTA(enemy_skill_triggers!$A:$A),MATCH(I$1,enemy_skill_triggers!$1:$1,0)-MATCH($F$1,enemy_skill_triggers!$1:$1,0)+1),MATCH(I$1,enemy_skill_triggers!$1:$1,0)-MATCH($F$1,enemy_skill_triggers!$1:$1,0)+1,FALSE)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9" s="48" t="str">
        <f ca="1">VLOOKUP($F619,OFFSET(enemy_skill_triggers!$A$1,0,0,COUNTA(enemy_skill_triggers!$A:$A),MATCH(J$1,enemy_skill_triggers!$1:$1,0)-MATCH($F$1,enemy_skill_triggers!$1:$1,0)+1),MATCH(J$1,enemy_skill_triggers!$1:$1,0)-MATCH($F$1,enemy_skill_triggers!$1:$1,0)+1,FALSE)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9" s="48" t="str">
        <f ca="1">VLOOKUP($F619,OFFSET(enemy_skill_triggers!$A$1,0,0,COUNTA(enemy_skill_triggers!$A:$A),MATCH(K$1,enemy_skill_triggers!$1:$1,0)-MATCH($F$1,enemy_skill_triggers!$1:$1,0)+1),MATCH(K$1,enemy_skill_triggers!$1:$1,0)-MATCH($F$1,enemy_skill_triggers!$1:$1,0)+1,FALSE)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9" s="48">
        <f ca="1">VLOOKUP($F619,OFFSET(enemy_skill_triggers!$A$1,0,0,COUNTA(enemy_skill_triggers!$A:$A),MATCH(L$1,enemy_skill_triggers!$1:$1,0)-MATCH($F$1,enemy_skill_triggers!$1:$1,0)+1),MATCH(L$1,enemy_skill_triggers!$1:$1,0)-MATCH($F$1,enemy_skill_triggers!$1:$1,0)+1,FALSE)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9" s="48" t="str">
        <f ca="1">VLOOKUP($F619,OFFSET(enemy_skill_triggers!$A$1,0,0,COUNTA(enemy_skill_triggers!$A:$A),MATCH(M$1,enemy_skill_triggers!$1:$1,0)-MATCH($F$1,enemy_skill_triggers!$1:$1,0)+1),MATCH(M$1,enemy_skill_triggers!$1:$1,0)-MATCH($F$1,enemy_skill_triggers!$1:$1,0)+1,FALSE)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9" s="48">
        <f ca="1">VLOOKUP($F619,OFFSET(enemy_skill_triggers!$A$1,0,0,COUNTA(enemy_skill_triggers!$A:$A),MATCH(N$1,enemy_skill_triggers!$1:$1,0)-MATCH($F$1,enemy_skill_triggers!$1:$1,0)+1),MATCH(N$1,enemy_skill_triggers!$1:$1,0)-MATCH($F$1,enemy_skill_triggers!$1:$1,0)+1,FALSE)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619" s="48">
        <f ca="1">VLOOKUP($F619,OFFSET(enemy_skill_triggers!$A$1,0,0,COUNTA(enemy_skill_triggers!$A:$A),MATCH(O$1,enemy_skill_triggers!$1:$1,0)-MATCH($F$1,enemy_skill_triggers!$1:$1,0)+1),MATCH(O$1,enemy_skill_triggers!$1:$1,0)-MATCH($F$1,enemy_skill_triggers!$1:$1,0)+1,FALSE)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9" s="47"/>
      <c r="Q619" s="47"/>
      <c r="R619" s="47"/>
    </row>
    <row r="620" spans="1:18" ht="21" customHeight="1" x14ac:dyDescent="0.15">
      <c r="A620" s="39" t="str">
        <f t="shared" si="27"/>
        <v>39009028_39009074</v>
      </c>
      <c r="B620" s="130">
        <v>39009028</v>
      </c>
      <c r="C620" s="47">
        <v>39009074</v>
      </c>
      <c r="D620" s="46" t="str">
        <f ca="1">VLOOKUP($C620,OFFSET(enemy_skills!$A$1,0,0,COUNTA(enemy_skills!$A:$A),MATCH(D$1,enemy_skills!$1:$1,0)-MATCH("enemy_skill_id",enemy_skills!$1:$1,0)+1),MATCH(D$1,enemy_skills!$1:$1,0)-MATCH("enemy_skill_id",enemy_skills!$1:$1,0)+1,FALSE)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0" s="46" t="str">
        <f ca="1">VLOOKUP($C620,OFFSET(enemy_skills!$A$1,0,0,COUNTA(enemy_skills!$A:$A),MATCH(E$1,enemy_skills!$1:$1,0)-MATCH("enemy_skill_id",enemy_skills!$1:$1,0)+1),MATCH(E$1,enemy_skills!$1:$1,0)-MATCH("enemy_skill_id",enemy_skills!$1:$1,0)+1,FALSE)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0" s="47">
        <v>39009241</v>
      </c>
      <c r="G620" s="48">
        <f ca="1">VLOOKUP($F620,OFFSET(enemy_skill_triggers!$A$1,0,0,COUNTA(enemy_skill_triggers!$A:$A),MATCH(G$1,enemy_skill_triggers!$1:$1,0)-MATCH($F$1,enemy_skill_triggers!$1:$1,0)+1),MATCH(G$1,enemy_skill_triggers!$1:$1,0)-MATCH($F$1,enemy_skill_triggers!$1:$1,0)+1,FALSE)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0" s="48">
        <f ca="1">VLOOKUP($F620,OFFSET(enemy_skill_triggers!$A$1,0,0,COUNTA(enemy_skill_triggers!$A:$A),MATCH(H$1,enemy_skill_triggers!$1:$1,0)-MATCH($F$1,enemy_skill_triggers!$1:$1,0)+1),MATCH(H$1,enemy_skill_triggers!$1:$1,0)-MATCH($F$1,enemy_skill_triggers!$1:$1,0)+1,FALSE)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620" s="48">
        <f ca="1">VLOOKUP($F620,OFFSET(enemy_skill_triggers!$A$1,0,0,COUNTA(enemy_skill_triggers!$A:$A),MATCH(I$1,enemy_skill_triggers!$1:$1,0)-MATCH($F$1,enemy_skill_triggers!$1:$1,0)+1),MATCH(I$1,enemy_skill_triggers!$1:$1,0)-MATCH($F$1,enemy_skill_triggers!$1:$1,0)+1,FALSE)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0" s="48" t="str">
        <f ca="1">VLOOKUP($F620,OFFSET(enemy_skill_triggers!$A$1,0,0,COUNTA(enemy_skill_triggers!$A:$A),MATCH(J$1,enemy_skill_triggers!$1:$1,0)-MATCH($F$1,enemy_skill_triggers!$1:$1,0)+1),MATCH(J$1,enemy_skill_triggers!$1:$1,0)-MATCH($F$1,enemy_skill_triggers!$1:$1,0)+1,FALSE)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0" s="48" t="str">
        <f ca="1">VLOOKUP($F620,OFFSET(enemy_skill_triggers!$A$1,0,0,COUNTA(enemy_skill_triggers!$A:$A),MATCH(K$1,enemy_skill_triggers!$1:$1,0)-MATCH($F$1,enemy_skill_triggers!$1:$1,0)+1),MATCH(K$1,enemy_skill_triggers!$1:$1,0)-MATCH($F$1,enemy_skill_triggers!$1:$1,0)+1,FALSE)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0" s="48">
        <f ca="1">VLOOKUP($F620,OFFSET(enemy_skill_triggers!$A$1,0,0,COUNTA(enemy_skill_triggers!$A:$A),MATCH(L$1,enemy_skill_triggers!$1:$1,0)-MATCH($F$1,enemy_skill_triggers!$1:$1,0)+1),MATCH(L$1,enemy_skill_triggers!$1:$1,0)-MATCH($F$1,enemy_skill_triggers!$1:$1,0)+1,FALSE)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0" s="48" t="str">
        <f ca="1">VLOOKUP($F620,OFFSET(enemy_skill_triggers!$A$1,0,0,COUNTA(enemy_skill_triggers!$A:$A),MATCH(M$1,enemy_skill_triggers!$1:$1,0)-MATCH($F$1,enemy_skill_triggers!$1:$1,0)+1),MATCH(M$1,enemy_skill_triggers!$1:$1,0)-MATCH($F$1,enemy_skill_triggers!$1:$1,0)+1,FALSE)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0" s="48">
        <f ca="1">VLOOKUP($F620,OFFSET(enemy_skill_triggers!$A$1,0,0,COUNTA(enemy_skill_triggers!$A:$A),MATCH(N$1,enemy_skill_triggers!$1:$1,0)-MATCH($F$1,enemy_skill_triggers!$1:$1,0)+1),MATCH(N$1,enemy_skill_triggers!$1:$1,0)-MATCH($F$1,enemy_skill_triggers!$1:$1,0)+1,FALSE)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620" s="48">
        <f ca="1">VLOOKUP($F620,OFFSET(enemy_skill_triggers!$A$1,0,0,COUNTA(enemy_skill_triggers!$A:$A),MATCH(O$1,enemy_skill_triggers!$1:$1,0)-MATCH($F$1,enemy_skill_triggers!$1:$1,0)+1),MATCH(O$1,enemy_skill_triggers!$1:$1,0)-MATCH($F$1,enemy_skill_triggers!$1:$1,0)+1,FALSE)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0" s="47"/>
      <c r="Q620" s="47"/>
      <c r="R620" s="47"/>
    </row>
    <row r="621" spans="1:18" ht="21" customHeight="1" x14ac:dyDescent="0.15">
      <c r="A621" s="39" t="str">
        <f t="shared" si="27"/>
        <v>39009028_39009074</v>
      </c>
      <c r="B621" s="130">
        <v>39009028</v>
      </c>
      <c r="C621" s="47">
        <v>39009074</v>
      </c>
      <c r="D621" s="46" t="str">
        <f ca="1">VLOOKUP($C621,OFFSET(enemy_skills!$A$1,0,0,COUNTA(enemy_skills!$A:$A),MATCH(D$1,enemy_skills!$1:$1,0)-MATCH("enemy_skill_id",enemy_skills!$1:$1,0)+1),MATCH(D$1,enemy_skills!$1:$1,0)-MATCH("enemy_skill_id",enemy_skills!$1:$1,0)+1,FALSE)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1" s="46" t="str">
        <f ca="1">VLOOKUP($C621,OFFSET(enemy_skills!$A$1,0,0,COUNTA(enemy_skills!$A:$A),MATCH(E$1,enemy_skills!$1:$1,0)-MATCH("enemy_skill_id",enemy_skills!$1:$1,0)+1),MATCH(E$1,enemy_skills!$1:$1,0)-MATCH("enemy_skill_id",enemy_skills!$1:$1,0)+1,FALSE)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1" s="47">
        <v>39009242</v>
      </c>
      <c r="G621" s="48">
        <f ca="1">VLOOKUP($F621,OFFSET(enemy_skill_triggers!$A$1,0,0,COUNTA(enemy_skill_triggers!$A:$A),MATCH(G$1,enemy_skill_triggers!$1:$1,0)-MATCH($F$1,enemy_skill_triggers!$1:$1,0)+1),MATCH(G$1,enemy_skill_triggers!$1:$1,0)-MATCH($F$1,enemy_skill_triggers!$1:$1,0)+1,FALSE)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1" s="48">
        <f ca="1">VLOOKUP($F621,OFFSET(enemy_skill_triggers!$A$1,0,0,COUNTA(enemy_skill_triggers!$A:$A),MATCH(H$1,enemy_skill_triggers!$1:$1,0)-MATCH($F$1,enemy_skill_triggers!$1:$1,0)+1),MATCH(H$1,enemy_skill_triggers!$1:$1,0)-MATCH($F$1,enemy_skill_triggers!$1:$1,0)+1,FALSE)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621" s="48">
        <f ca="1">VLOOKUP($F621,OFFSET(enemy_skill_triggers!$A$1,0,0,COUNTA(enemy_skill_triggers!$A:$A),MATCH(I$1,enemy_skill_triggers!$1:$1,0)-MATCH($F$1,enemy_skill_triggers!$1:$1,0)+1),MATCH(I$1,enemy_skill_triggers!$1:$1,0)-MATCH($F$1,enemy_skill_triggers!$1:$1,0)+1,FALSE)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1" s="48" t="str">
        <f ca="1">VLOOKUP($F621,OFFSET(enemy_skill_triggers!$A$1,0,0,COUNTA(enemy_skill_triggers!$A:$A),MATCH(J$1,enemy_skill_triggers!$1:$1,0)-MATCH($F$1,enemy_skill_triggers!$1:$1,0)+1),MATCH(J$1,enemy_skill_triggers!$1:$1,0)-MATCH($F$1,enemy_skill_triggers!$1:$1,0)+1,FALSE)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1" s="48" t="str">
        <f ca="1">VLOOKUP($F621,OFFSET(enemy_skill_triggers!$A$1,0,0,COUNTA(enemy_skill_triggers!$A:$A),MATCH(K$1,enemy_skill_triggers!$1:$1,0)-MATCH($F$1,enemy_skill_triggers!$1:$1,0)+1),MATCH(K$1,enemy_skill_triggers!$1:$1,0)-MATCH($F$1,enemy_skill_triggers!$1:$1,0)+1,FALSE)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1" s="48">
        <f ca="1">VLOOKUP($F621,OFFSET(enemy_skill_triggers!$A$1,0,0,COUNTA(enemy_skill_triggers!$A:$A),MATCH(L$1,enemy_skill_triggers!$1:$1,0)-MATCH($F$1,enemy_skill_triggers!$1:$1,0)+1),MATCH(L$1,enemy_skill_triggers!$1:$1,0)-MATCH($F$1,enemy_skill_triggers!$1:$1,0)+1,FALSE)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1" s="48" t="str">
        <f ca="1">VLOOKUP($F621,OFFSET(enemy_skill_triggers!$A$1,0,0,COUNTA(enemy_skill_triggers!$A:$A),MATCH(M$1,enemy_skill_triggers!$1:$1,0)-MATCH($F$1,enemy_skill_triggers!$1:$1,0)+1),MATCH(M$1,enemy_skill_triggers!$1:$1,0)-MATCH($F$1,enemy_skill_triggers!$1:$1,0)+1,FALSE)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1" s="48">
        <f ca="1">VLOOKUP($F621,OFFSET(enemy_skill_triggers!$A$1,0,0,COUNTA(enemy_skill_triggers!$A:$A),MATCH(N$1,enemy_skill_triggers!$1:$1,0)-MATCH($F$1,enemy_skill_triggers!$1:$1,0)+1),MATCH(N$1,enemy_skill_triggers!$1:$1,0)-MATCH($F$1,enemy_skill_triggers!$1:$1,0)+1,FALSE)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621" s="48">
        <f ca="1">VLOOKUP($F621,OFFSET(enemy_skill_triggers!$A$1,0,0,COUNTA(enemy_skill_triggers!$A:$A),MATCH(O$1,enemy_skill_triggers!$1:$1,0)-MATCH($F$1,enemy_skill_triggers!$1:$1,0)+1),MATCH(O$1,enemy_skill_triggers!$1:$1,0)-MATCH($F$1,enemy_skill_triggers!$1:$1,0)+1,FALSE)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1" s="47"/>
      <c r="Q621" s="47"/>
      <c r="R621" s="47"/>
    </row>
    <row r="622" spans="1:18" ht="21" customHeight="1" x14ac:dyDescent="0.15">
      <c r="A622" s="39" t="str">
        <f t="shared" si="27"/>
        <v>39009028_39009074</v>
      </c>
      <c r="B622" s="130">
        <v>39009028</v>
      </c>
      <c r="C622" s="47">
        <v>39009074</v>
      </c>
      <c r="D622" s="46" t="str">
        <f ca="1">VLOOKUP($C622,OFFSET(enemy_skills!$A$1,0,0,COUNTA(enemy_skills!$A:$A),MATCH(D$1,enemy_skills!$1:$1,0)-MATCH("enemy_skill_id",enemy_skills!$1:$1,0)+1),MATCH(D$1,enemy_skills!$1:$1,0)-MATCH("enemy_skill_id",enemy_skills!$1:$1,0)+1,FALSE)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2" s="46" t="str">
        <f ca="1">VLOOKUP($C622,OFFSET(enemy_skills!$A$1,0,0,COUNTA(enemy_skills!$A:$A),MATCH(E$1,enemy_skills!$1:$1,0)-MATCH("enemy_skill_id",enemy_skills!$1:$1,0)+1),MATCH(E$1,enemy_skills!$1:$1,0)-MATCH("enemy_skill_id",enemy_skills!$1:$1,0)+1,FALSE)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2" s="47">
        <v>39009243</v>
      </c>
      <c r="G622" s="48">
        <f ca="1">VLOOKUP($F622,OFFSET(enemy_skill_triggers!$A$1,0,0,COUNTA(enemy_skill_triggers!$A:$A),MATCH(G$1,enemy_skill_triggers!$1:$1,0)-MATCH($F$1,enemy_skill_triggers!$1:$1,0)+1),MATCH(G$1,enemy_skill_triggers!$1:$1,0)-MATCH($F$1,enemy_skill_triggers!$1:$1,0)+1,FALSE)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2" s="48">
        <f ca="1">VLOOKUP($F622,OFFSET(enemy_skill_triggers!$A$1,0,0,COUNTA(enemy_skill_triggers!$A:$A),MATCH(H$1,enemy_skill_triggers!$1:$1,0)-MATCH($F$1,enemy_skill_triggers!$1:$1,0)+1),MATCH(H$1,enemy_skill_triggers!$1:$1,0)-MATCH($F$1,enemy_skill_triggers!$1:$1,0)+1,FALSE)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622" s="48">
        <f ca="1">VLOOKUP($F622,OFFSET(enemy_skill_triggers!$A$1,0,0,COUNTA(enemy_skill_triggers!$A:$A),MATCH(I$1,enemy_skill_triggers!$1:$1,0)-MATCH($F$1,enemy_skill_triggers!$1:$1,0)+1),MATCH(I$1,enemy_skill_triggers!$1:$1,0)-MATCH($F$1,enemy_skill_triggers!$1:$1,0)+1,FALSE)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2" s="48" t="str">
        <f ca="1">VLOOKUP($F622,OFFSET(enemy_skill_triggers!$A$1,0,0,COUNTA(enemy_skill_triggers!$A:$A),MATCH(J$1,enemy_skill_triggers!$1:$1,0)-MATCH($F$1,enemy_skill_triggers!$1:$1,0)+1),MATCH(J$1,enemy_skill_triggers!$1:$1,0)-MATCH($F$1,enemy_skill_triggers!$1:$1,0)+1,FALSE)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2" s="48" t="str">
        <f ca="1">VLOOKUP($F622,OFFSET(enemy_skill_triggers!$A$1,0,0,COUNTA(enemy_skill_triggers!$A:$A),MATCH(K$1,enemy_skill_triggers!$1:$1,0)-MATCH($F$1,enemy_skill_triggers!$1:$1,0)+1),MATCH(K$1,enemy_skill_triggers!$1:$1,0)-MATCH($F$1,enemy_skill_triggers!$1:$1,0)+1,FALSE)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2" s="48">
        <f ca="1">VLOOKUP($F622,OFFSET(enemy_skill_triggers!$A$1,0,0,COUNTA(enemy_skill_triggers!$A:$A),MATCH(L$1,enemy_skill_triggers!$1:$1,0)-MATCH($F$1,enemy_skill_triggers!$1:$1,0)+1),MATCH(L$1,enemy_skill_triggers!$1:$1,0)-MATCH($F$1,enemy_skill_triggers!$1:$1,0)+1,FALSE)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2" s="48" t="str">
        <f ca="1">VLOOKUP($F622,OFFSET(enemy_skill_triggers!$A$1,0,0,COUNTA(enemy_skill_triggers!$A:$A),MATCH(M$1,enemy_skill_triggers!$1:$1,0)-MATCH($F$1,enemy_skill_triggers!$1:$1,0)+1),MATCH(M$1,enemy_skill_triggers!$1:$1,0)-MATCH($F$1,enemy_skill_triggers!$1:$1,0)+1,FALSE)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2" s="48">
        <f ca="1">VLOOKUP($F622,OFFSET(enemy_skill_triggers!$A$1,0,0,COUNTA(enemy_skill_triggers!$A:$A),MATCH(N$1,enemy_skill_triggers!$1:$1,0)-MATCH($F$1,enemy_skill_triggers!$1:$1,0)+1),MATCH(N$1,enemy_skill_triggers!$1:$1,0)-MATCH($F$1,enemy_skill_triggers!$1:$1,0)+1,FALSE)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622" s="48">
        <f ca="1">VLOOKUP($F622,OFFSET(enemy_skill_triggers!$A$1,0,0,COUNTA(enemy_skill_triggers!$A:$A),MATCH(O$1,enemy_skill_triggers!$1:$1,0)-MATCH($F$1,enemy_skill_triggers!$1:$1,0)+1),MATCH(O$1,enemy_skill_triggers!$1:$1,0)-MATCH($F$1,enemy_skill_triggers!$1:$1,0)+1,FALSE)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2" s="47"/>
      <c r="Q622" s="47"/>
      <c r="R622" s="47"/>
    </row>
    <row r="623" spans="1:18" ht="21" customHeight="1" x14ac:dyDescent="0.15">
      <c r="A623" s="39" t="str">
        <f t="shared" si="27"/>
        <v>39009028_39009074</v>
      </c>
      <c r="B623" s="130">
        <v>39009028</v>
      </c>
      <c r="C623" s="47">
        <v>39009074</v>
      </c>
      <c r="D623" s="46" t="str">
        <f ca="1">VLOOKUP($C623,OFFSET(enemy_skills!$A$1,0,0,COUNTA(enemy_skills!$A:$A),MATCH(D$1,enemy_skills!$1:$1,0)-MATCH("enemy_skill_id",enemy_skills!$1:$1,0)+1),MATCH(D$1,enemy_skills!$1:$1,0)-MATCH("enemy_skill_id",enemy_skills!$1:$1,0)+1,FALSE)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3" s="46" t="str">
        <f ca="1">VLOOKUP($C623,OFFSET(enemy_skills!$A$1,0,0,COUNTA(enemy_skills!$A:$A),MATCH(E$1,enemy_skills!$1:$1,0)-MATCH("enemy_skill_id",enemy_skills!$1:$1,0)+1),MATCH(E$1,enemy_skills!$1:$1,0)-MATCH("enemy_skill_id",enemy_skills!$1:$1,0)+1,FALSE)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3" s="47">
        <v>39009244</v>
      </c>
      <c r="G623" s="48">
        <f ca="1">VLOOKUP($F623,OFFSET(enemy_skill_triggers!$A$1,0,0,COUNTA(enemy_skill_triggers!$A:$A),MATCH(G$1,enemy_skill_triggers!$1:$1,0)-MATCH($F$1,enemy_skill_triggers!$1:$1,0)+1),MATCH(G$1,enemy_skill_triggers!$1:$1,0)-MATCH($F$1,enemy_skill_triggers!$1:$1,0)+1,FALSE)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3" s="48">
        <f ca="1">VLOOKUP($F623,OFFSET(enemy_skill_triggers!$A$1,0,0,COUNTA(enemy_skill_triggers!$A:$A),MATCH(H$1,enemy_skill_triggers!$1:$1,0)-MATCH($F$1,enemy_skill_triggers!$1:$1,0)+1),MATCH(H$1,enemy_skill_triggers!$1:$1,0)-MATCH($F$1,enemy_skill_triggers!$1:$1,0)+1,FALSE)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623" s="48">
        <f ca="1">VLOOKUP($F623,OFFSET(enemy_skill_triggers!$A$1,0,0,COUNTA(enemy_skill_triggers!$A:$A),MATCH(I$1,enemy_skill_triggers!$1:$1,0)-MATCH($F$1,enemy_skill_triggers!$1:$1,0)+1),MATCH(I$1,enemy_skill_triggers!$1:$1,0)-MATCH($F$1,enemy_skill_triggers!$1:$1,0)+1,FALSE)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3" s="48" t="str">
        <f ca="1">VLOOKUP($F623,OFFSET(enemy_skill_triggers!$A$1,0,0,COUNTA(enemy_skill_triggers!$A:$A),MATCH(J$1,enemy_skill_triggers!$1:$1,0)-MATCH($F$1,enemy_skill_triggers!$1:$1,0)+1),MATCH(J$1,enemy_skill_triggers!$1:$1,0)-MATCH($F$1,enemy_skill_triggers!$1:$1,0)+1,FALSE)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3" s="48" t="str">
        <f ca="1">VLOOKUP($F623,OFFSET(enemy_skill_triggers!$A$1,0,0,COUNTA(enemy_skill_triggers!$A:$A),MATCH(K$1,enemy_skill_triggers!$1:$1,0)-MATCH($F$1,enemy_skill_triggers!$1:$1,0)+1),MATCH(K$1,enemy_skill_triggers!$1:$1,0)-MATCH($F$1,enemy_skill_triggers!$1:$1,0)+1,FALSE)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3" s="48">
        <f ca="1">VLOOKUP($F623,OFFSET(enemy_skill_triggers!$A$1,0,0,COUNTA(enemy_skill_triggers!$A:$A),MATCH(L$1,enemy_skill_triggers!$1:$1,0)-MATCH($F$1,enemy_skill_triggers!$1:$1,0)+1),MATCH(L$1,enemy_skill_triggers!$1:$1,0)-MATCH($F$1,enemy_skill_triggers!$1:$1,0)+1,FALSE)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3" s="48" t="str">
        <f ca="1">VLOOKUP($F623,OFFSET(enemy_skill_triggers!$A$1,0,0,COUNTA(enemy_skill_triggers!$A:$A),MATCH(M$1,enemy_skill_triggers!$1:$1,0)-MATCH($F$1,enemy_skill_triggers!$1:$1,0)+1),MATCH(M$1,enemy_skill_triggers!$1:$1,0)-MATCH($F$1,enemy_skill_triggers!$1:$1,0)+1,FALSE)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3" s="48">
        <f ca="1">VLOOKUP($F623,OFFSET(enemy_skill_triggers!$A$1,0,0,COUNTA(enemy_skill_triggers!$A:$A),MATCH(N$1,enemy_skill_triggers!$1:$1,0)-MATCH($F$1,enemy_skill_triggers!$1:$1,0)+1),MATCH(N$1,enemy_skill_triggers!$1:$1,0)-MATCH($F$1,enemy_skill_triggers!$1:$1,0)+1,FALSE)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623" s="48">
        <f ca="1">VLOOKUP($F623,OFFSET(enemy_skill_triggers!$A$1,0,0,COUNTA(enemy_skill_triggers!$A:$A),MATCH(O$1,enemy_skill_triggers!$1:$1,0)-MATCH($F$1,enemy_skill_triggers!$1:$1,0)+1),MATCH(O$1,enemy_skill_triggers!$1:$1,0)-MATCH($F$1,enemy_skill_triggers!$1:$1,0)+1,FALSE)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3" s="47"/>
      <c r="Q623" s="47"/>
      <c r="R623" s="47"/>
    </row>
    <row r="624" spans="1:18" ht="21" customHeight="1" x14ac:dyDescent="0.15">
      <c r="A624" s="39" t="str">
        <f t="shared" si="27"/>
        <v>39009028_39009074</v>
      </c>
      <c r="B624" s="130">
        <v>39009028</v>
      </c>
      <c r="C624" s="47">
        <v>39009074</v>
      </c>
      <c r="D624" s="46" t="str">
        <f ca="1">VLOOKUP($C624,OFFSET(enemy_skills!$A$1,0,0,COUNTA(enemy_skills!$A:$A),MATCH(D$1,enemy_skills!$1:$1,0)-MATCH("enemy_skill_id",enemy_skills!$1:$1,0)+1),MATCH(D$1,enemy_skills!$1:$1,0)-MATCH("enemy_skill_id",enemy_skills!$1:$1,0)+1,FALSE)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4" s="46" t="str">
        <f ca="1">VLOOKUP($C624,OFFSET(enemy_skills!$A$1,0,0,COUNTA(enemy_skills!$A:$A),MATCH(E$1,enemy_skills!$1:$1,0)-MATCH("enemy_skill_id",enemy_skills!$1:$1,0)+1),MATCH(E$1,enemy_skills!$1:$1,0)-MATCH("enemy_skill_id",enemy_skills!$1:$1,0)+1,FALSE)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4" s="47">
        <v>39009245</v>
      </c>
      <c r="G624" s="48">
        <f ca="1">VLOOKUP($F624,OFFSET(enemy_skill_triggers!$A$1,0,0,COUNTA(enemy_skill_triggers!$A:$A),MATCH(G$1,enemy_skill_triggers!$1:$1,0)-MATCH($F$1,enemy_skill_triggers!$1:$1,0)+1),MATCH(G$1,enemy_skill_triggers!$1:$1,0)-MATCH($F$1,enemy_skill_triggers!$1:$1,0)+1,FALSE)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4" s="48">
        <f ca="1">VLOOKUP($F624,OFFSET(enemy_skill_triggers!$A$1,0,0,COUNTA(enemy_skill_triggers!$A:$A),MATCH(H$1,enemy_skill_triggers!$1:$1,0)-MATCH($F$1,enemy_skill_triggers!$1:$1,0)+1),MATCH(H$1,enemy_skill_triggers!$1:$1,0)-MATCH($F$1,enemy_skill_triggers!$1:$1,0)+1,FALSE)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624" s="48">
        <f ca="1">VLOOKUP($F624,OFFSET(enemy_skill_triggers!$A$1,0,0,COUNTA(enemy_skill_triggers!$A:$A),MATCH(I$1,enemy_skill_triggers!$1:$1,0)-MATCH($F$1,enemy_skill_triggers!$1:$1,0)+1),MATCH(I$1,enemy_skill_triggers!$1:$1,0)-MATCH($F$1,enemy_skill_triggers!$1:$1,0)+1,FALSE)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4" s="48" t="str">
        <f ca="1">VLOOKUP($F624,OFFSET(enemy_skill_triggers!$A$1,0,0,COUNTA(enemy_skill_triggers!$A:$A),MATCH(J$1,enemy_skill_triggers!$1:$1,0)-MATCH($F$1,enemy_skill_triggers!$1:$1,0)+1),MATCH(J$1,enemy_skill_triggers!$1:$1,0)-MATCH($F$1,enemy_skill_triggers!$1:$1,0)+1,FALSE)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4" s="48" t="str">
        <f ca="1">VLOOKUP($F624,OFFSET(enemy_skill_triggers!$A$1,0,0,COUNTA(enemy_skill_triggers!$A:$A),MATCH(K$1,enemy_skill_triggers!$1:$1,0)-MATCH($F$1,enemy_skill_triggers!$1:$1,0)+1),MATCH(K$1,enemy_skill_triggers!$1:$1,0)-MATCH($F$1,enemy_skill_triggers!$1:$1,0)+1,FALSE)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4" s="48">
        <f ca="1">VLOOKUP($F624,OFFSET(enemy_skill_triggers!$A$1,0,0,COUNTA(enemy_skill_triggers!$A:$A),MATCH(L$1,enemy_skill_triggers!$1:$1,0)-MATCH($F$1,enemy_skill_triggers!$1:$1,0)+1),MATCH(L$1,enemy_skill_triggers!$1:$1,0)-MATCH($F$1,enemy_skill_triggers!$1:$1,0)+1,FALSE)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4" s="48" t="str">
        <f ca="1">VLOOKUP($F624,OFFSET(enemy_skill_triggers!$A$1,0,0,COUNTA(enemy_skill_triggers!$A:$A),MATCH(M$1,enemy_skill_triggers!$1:$1,0)-MATCH($F$1,enemy_skill_triggers!$1:$1,0)+1),MATCH(M$1,enemy_skill_triggers!$1:$1,0)-MATCH($F$1,enemy_skill_triggers!$1:$1,0)+1,FALSE)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4" s="48">
        <f ca="1">VLOOKUP($F624,OFFSET(enemy_skill_triggers!$A$1,0,0,COUNTA(enemy_skill_triggers!$A:$A),MATCH(N$1,enemy_skill_triggers!$1:$1,0)-MATCH($F$1,enemy_skill_triggers!$1:$1,0)+1),MATCH(N$1,enemy_skill_triggers!$1:$1,0)-MATCH($F$1,enemy_skill_triggers!$1:$1,0)+1,FALSE)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624" s="48">
        <f ca="1">VLOOKUP($F624,OFFSET(enemy_skill_triggers!$A$1,0,0,COUNTA(enemy_skill_triggers!$A:$A),MATCH(O$1,enemy_skill_triggers!$1:$1,0)-MATCH($F$1,enemy_skill_triggers!$1:$1,0)+1),MATCH(O$1,enemy_skill_triggers!$1:$1,0)-MATCH($F$1,enemy_skill_triggers!$1:$1,0)+1,FALSE)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4" s="47"/>
      <c r="Q624" s="47"/>
      <c r="R624" s="47"/>
    </row>
    <row r="625" spans="1:18" ht="21" customHeight="1" x14ac:dyDescent="0.15">
      <c r="A625" s="39" t="str">
        <f t="shared" si="27"/>
        <v>39009028_39009074</v>
      </c>
      <c r="B625" s="130">
        <v>39009028</v>
      </c>
      <c r="C625" s="47">
        <v>39009074</v>
      </c>
      <c r="D625" s="46" t="str">
        <f ca="1">VLOOKUP($C625,OFFSET(enemy_skills!$A$1,0,0,COUNTA(enemy_skills!$A:$A),MATCH(D$1,enemy_skills!$1:$1,0)-MATCH("enemy_skill_id",enemy_skills!$1:$1,0)+1),MATCH(D$1,enemy_skills!$1:$1,0)-MATCH("enemy_skill_id",enemy_skills!$1:$1,0)+1,FALSE)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5" s="46" t="str">
        <f ca="1">VLOOKUP($C625,OFFSET(enemy_skills!$A$1,0,0,COUNTA(enemy_skills!$A:$A),MATCH(E$1,enemy_skills!$1:$1,0)-MATCH("enemy_skill_id",enemy_skills!$1:$1,0)+1),MATCH(E$1,enemy_skills!$1:$1,0)-MATCH("enemy_skill_id",enemy_skills!$1:$1,0)+1,FALSE)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5" s="47">
        <v>39009246</v>
      </c>
      <c r="G625" s="48">
        <f ca="1">VLOOKUP($F625,OFFSET(enemy_skill_triggers!$A$1,0,0,COUNTA(enemy_skill_triggers!$A:$A),MATCH(G$1,enemy_skill_triggers!$1:$1,0)-MATCH($F$1,enemy_skill_triggers!$1:$1,0)+1),MATCH(G$1,enemy_skill_triggers!$1:$1,0)-MATCH($F$1,enemy_skill_triggers!$1:$1,0)+1,FALSE)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5" s="48">
        <f ca="1">VLOOKUP($F625,OFFSET(enemy_skill_triggers!$A$1,0,0,COUNTA(enemy_skill_triggers!$A:$A),MATCH(H$1,enemy_skill_triggers!$1:$1,0)-MATCH($F$1,enemy_skill_triggers!$1:$1,0)+1),MATCH(H$1,enemy_skill_triggers!$1:$1,0)-MATCH($F$1,enemy_skill_triggers!$1:$1,0)+1,FALSE)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25" s="48">
        <f ca="1">VLOOKUP($F625,OFFSET(enemy_skill_triggers!$A$1,0,0,COUNTA(enemy_skill_triggers!$A:$A),MATCH(I$1,enemy_skill_triggers!$1:$1,0)-MATCH($F$1,enemy_skill_triggers!$1:$1,0)+1),MATCH(I$1,enemy_skill_triggers!$1:$1,0)-MATCH($F$1,enemy_skill_triggers!$1:$1,0)+1,FALSE)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5" s="48" t="str">
        <f ca="1">VLOOKUP($F625,OFFSET(enemy_skill_triggers!$A$1,0,0,COUNTA(enemy_skill_triggers!$A:$A),MATCH(J$1,enemy_skill_triggers!$1:$1,0)-MATCH($F$1,enemy_skill_triggers!$1:$1,0)+1),MATCH(J$1,enemy_skill_triggers!$1:$1,0)-MATCH($F$1,enemy_skill_triggers!$1:$1,0)+1,FALSE)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5" s="48" t="str">
        <f ca="1">VLOOKUP($F625,OFFSET(enemy_skill_triggers!$A$1,0,0,COUNTA(enemy_skill_triggers!$A:$A),MATCH(K$1,enemy_skill_triggers!$1:$1,0)-MATCH($F$1,enemy_skill_triggers!$1:$1,0)+1),MATCH(K$1,enemy_skill_triggers!$1:$1,0)-MATCH($F$1,enemy_skill_triggers!$1:$1,0)+1,FALSE)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5" s="48">
        <f ca="1">VLOOKUP($F625,OFFSET(enemy_skill_triggers!$A$1,0,0,COUNTA(enemy_skill_triggers!$A:$A),MATCH(L$1,enemy_skill_triggers!$1:$1,0)-MATCH($F$1,enemy_skill_triggers!$1:$1,0)+1),MATCH(L$1,enemy_skill_triggers!$1:$1,0)-MATCH($F$1,enemy_skill_triggers!$1:$1,0)+1,FALSE)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5" s="48" t="str">
        <f ca="1">VLOOKUP($F625,OFFSET(enemy_skill_triggers!$A$1,0,0,COUNTA(enemy_skill_triggers!$A:$A),MATCH(M$1,enemy_skill_triggers!$1:$1,0)-MATCH($F$1,enemy_skill_triggers!$1:$1,0)+1),MATCH(M$1,enemy_skill_triggers!$1:$1,0)-MATCH($F$1,enemy_skill_triggers!$1:$1,0)+1,FALSE)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5" s="48">
        <f ca="1">VLOOKUP($F625,OFFSET(enemy_skill_triggers!$A$1,0,0,COUNTA(enemy_skill_triggers!$A:$A),MATCH(N$1,enemy_skill_triggers!$1:$1,0)-MATCH($F$1,enemy_skill_triggers!$1:$1,0)+1),MATCH(N$1,enemy_skill_triggers!$1:$1,0)-MATCH($F$1,enemy_skill_triggers!$1:$1,0)+1,FALSE)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625" s="48">
        <f ca="1">VLOOKUP($F625,OFFSET(enemy_skill_triggers!$A$1,0,0,COUNTA(enemy_skill_triggers!$A:$A),MATCH(O$1,enemy_skill_triggers!$1:$1,0)-MATCH($F$1,enemy_skill_triggers!$1:$1,0)+1),MATCH(O$1,enemy_skill_triggers!$1:$1,0)-MATCH($F$1,enemy_skill_triggers!$1:$1,0)+1,FALSE)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5" s="47"/>
      <c r="Q625" s="47"/>
      <c r="R625" s="47"/>
    </row>
    <row r="626" spans="1:18" ht="21" customHeight="1" x14ac:dyDescent="0.15">
      <c r="A626" s="39" t="str">
        <f t="shared" si="27"/>
        <v>39009028_39009074</v>
      </c>
      <c r="B626" s="130">
        <v>39009028</v>
      </c>
      <c r="C626" s="47">
        <v>39009074</v>
      </c>
      <c r="D626" s="46" t="str">
        <f ca="1">VLOOKUP($C626,OFFSET(enemy_skills!$A$1,0,0,COUNTA(enemy_skills!$A:$A),MATCH(D$1,enemy_skills!$1:$1,0)-MATCH("enemy_skill_id",enemy_skills!$1:$1,0)+1),MATCH(D$1,enemy_skills!$1:$1,0)-MATCH("enemy_skill_id",enemy_skills!$1:$1,0)+1,FALSE)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6" s="46" t="str">
        <f ca="1">VLOOKUP($C626,OFFSET(enemy_skills!$A$1,0,0,COUNTA(enemy_skills!$A:$A),MATCH(E$1,enemy_skills!$1:$1,0)-MATCH("enemy_skill_id",enemy_skills!$1:$1,0)+1),MATCH(E$1,enemy_skills!$1:$1,0)-MATCH("enemy_skill_id",enemy_skills!$1:$1,0)+1,FALSE)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6" s="47">
        <v>39009247</v>
      </c>
      <c r="G626" s="48">
        <f ca="1">VLOOKUP($F626,OFFSET(enemy_skill_triggers!$A$1,0,0,COUNTA(enemy_skill_triggers!$A:$A),MATCH(G$1,enemy_skill_triggers!$1:$1,0)-MATCH($F$1,enemy_skill_triggers!$1:$1,0)+1),MATCH(G$1,enemy_skill_triggers!$1:$1,0)-MATCH($F$1,enemy_skill_triggers!$1:$1,0)+1,FALSE)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6" s="48">
        <f ca="1">VLOOKUP($F626,OFFSET(enemy_skill_triggers!$A$1,0,0,COUNTA(enemy_skill_triggers!$A:$A),MATCH(H$1,enemy_skill_triggers!$1:$1,0)-MATCH($F$1,enemy_skill_triggers!$1:$1,0)+1),MATCH(H$1,enemy_skill_triggers!$1:$1,0)-MATCH($F$1,enemy_skill_triggers!$1:$1,0)+1,FALSE)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26" s="48">
        <f ca="1">VLOOKUP($F626,OFFSET(enemy_skill_triggers!$A$1,0,0,COUNTA(enemy_skill_triggers!$A:$A),MATCH(I$1,enemy_skill_triggers!$1:$1,0)-MATCH($F$1,enemy_skill_triggers!$1:$1,0)+1),MATCH(I$1,enemy_skill_triggers!$1:$1,0)-MATCH($F$1,enemy_skill_triggers!$1:$1,0)+1,FALSE)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6" s="48" t="str">
        <f ca="1">VLOOKUP($F626,OFFSET(enemy_skill_triggers!$A$1,0,0,COUNTA(enemy_skill_triggers!$A:$A),MATCH(J$1,enemy_skill_triggers!$1:$1,0)-MATCH($F$1,enemy_skill_triggers!$1:$1,0)+1),MATCH(J$1,enemy_skill_triggers!$1:$1,0)-MATCH($F$1,enemy_skill_triggers!$1:$1,0)+1,FALSE)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6" s="48" t="str">
        <f ca="1">VLOOKUP($F626,OFFSET(enemy_skill_triggers!$A$1,0,0,COUNTA(enemy_skill_triggers!$A:$A),MATCH(K$1,enemy_skill_triggers!$1:$1,0)-MATCH($F$1,enemy_skill_triggers!$1:$1,0)+1),MATCH(K$1,enemy_skill_triggers!$1:$1,0)-MATCH($F$1,enemy_skill_triggers!$1:$1,0)+1,FALSE)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6" s="48">
        <f ca="1">VLOOKUP($F626,OFFSET(enemy_skill_triggers!$A$1,0,0,COUNTA(enemy_skill_triggers!$A:$A),MATCH(L$1,enemy_skill_triggers!$1:$1,0)-MATCH($F$1,enemy_skill_triggers!$1:$1,0)+1),MATCH(L$1,enemy_skill_triggers!$1:$1,0)-MATCH($F$1,enemy_skill_triggers!$1:$1,0)+1,FALSE)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6" s="48" t="str">
        <f ca="1">VLOOKUP($F626,OFFSET(enemy_skill_triggers!$A$1,0,0,COUNTA(enemy_skill_triggers!$A:$A),MATCH(M$1,enemy_skill_triggers!$1:$1,0)-MATCH($F$1,enemy_skill_triggers!$1:$1,0)+1),MATCH(M$1,enemy_skill_triggers!$1:$1,0)-MATCH($F$1,enemy_skill_triggers!$1:$1,0)+1,FALSE)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6" s="48">
        <f ca="1">VLOOKUP($F626,OFFSET(enemy_skill_triggers!$A$1,0,0,COUNTA(enemy_skill_triggers!$A:$A),MATCH(N$1,enemy_skill_triggers!$1:$1,0)-MATCH($F$1,enemy_skill_triggers!$1:$1,0)+1),MATCH(N$1,enemy_skill_triggers!$1:$1,0)-MATCH($F$1,enemy_skill_triggers!$1:$1,0)+1,FALSE)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626" s="48">
        <f ca="1">VLOOKUP($F626,OFFSET(enemy_skill_triggers!$A$1,0,0,COUNTA(enemy_skill_triggers!$A:$A),MATCH(O$1,enemy_skill_triggers!$1:$1,0)-MATCH($F$1,enemy_skill_triggers!$1:$1,0)+1),MATCH(O$1,enemy_skill_triggers!$1:$1,0)-MATCH($F$1,enemy_skill_triggers!$1:$1,0)+1,FALSE)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6" s="47"/>
      <c r="Q626" s="47"/>
      <c r="R626" s="47"/>
    </row>
    <row r="627" spans="1:18" ht="21" customHeight="1" x14ac:dyDescent="0.15">
      <c r="A627" s="39" t="str">
        <f t="shared" si="27"/>
        <v>39009028_39009074</v>
      </c>
      <c r="B627" s="130">
        <v>39009028</v>
      </c>
      <c r="C627" s="47">
        <v>39009074</v>
      </c>
      <c r="D627" s="46" t="str">
        <f ca="1">VLOOKUP($C627,OFFSET(enemy_skills!$A$1,0,0,COUNTA(enemy_skills!$A:$A),MATCH(D$1,enemy_skills!$1:$1,0)-MATCH("enemy_skill_id",enemy_skills!$1:$1,0)+1),MATCH(D$1,enemy_skills!$1:$1,0)-MATCH("enemy_skill_id",enemy_skills!$1:$1,0)+1,FALSE)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7" s="46" t="str">
        <f ca="1">VLOOKUP($C627,OFFSET(enemy_skills!$A$1,0,0,COUNTA(enemy_skills!$A:$A),MATCH(E$1,enemy_skills!$1:$1,0)-MATCH("enemy_skill_id",enemy_skills!$1:$1,0)+1),MATCH(E$1,enemy_skills!$1:$1,0)-MATCH("enemy_skill_id",enemy_skills!$1:$1,0)+1,FALSE)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7" s="47">
        <v>39009248</v>
      </c>
      <c r="G627" s="48">
        <f ca="1">VLOOKUP($F627,OFFSET(enemy_skill_triggers!$A$1,0,0,COUNTA(enemy_skill_triggers!$A:$A),MATCH(G$1,enemy_skill_triggers!$1:$1,0)-MATCH($F$1,enemy_skill_triggers!$1:$1,0)+1),MATCH(G$1,enemy_skill_triggers!$1:$1,0)-MATCH($F$1,enemy_skill_triggers!$1:$1,0)+1,FALSE)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7" s="48">
        <f ca="1">VLOOKUP($F627,OFFSET(enemy_skill_triggers!$A$1,0,0,COUNTA(enemy_skill_triggers!$A:$A),MATCH(H$1,enemy_skill_triggers!$1:$1,0)-MATCH($F$1,enemy_skill_triggers!$1:$1,0)+1),MATCH(H$1,enemy_skill_triggers!$1:$1,0)-MATCH($F$1,enemy_skill_triggers!$1:$1,0)+1,FALSE)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627" s="48">
        <f ca="1">VLOOKUP($F627,OFFSET(enemy_skill_triggers!$A$1,0,0,COUNTA(enemy_skill_triggers!$A:$A),MATCH(I$1,enemy_skill_triggers!$1:$1,0)-MATCH($F$1,enemy_skill_triggers!$1:$1,0)+1),MATCH(I$1,enemy_skill_triggers!$1:$1,0)-MATCH($F$1,enemy_skill_triggers!$1:$1,0)+1,FALSE)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7" s="48" t="str">
        <f ca="1">VLOOKUP($F627,OFFSET(enemy_skill_triggers!$A$1,0,0,COUNTA(enemy_skill_triggers!$A:$A),MATCH(J$1,enemy_skill_triggers!$1:$1,0)-MATCH($F$1,enemy_skill_triggers!$1:$1,0)+1),MATCH(J$1,enemy_skill_triggers!$1:$1,0)-MATCH($F$1,enemy_skill_triggers!$1:$1,0)+1,FALSE)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7" s="48" t="str">
        <f ca="1">VLOOKUP($F627,OFFSET(enemy_skill_triggers!$A$1,0,0,COUNTA(enemy_skill_triggers!$A:$A),MATCH(K$1,enemy_skill_triggers!$1:$1,0)-MATCH($F$1,enemy_skill_triggers!$1:$1,0)+1),MATCH(K$1,enemy_skill_triggers!$1:$1,0)-MATCH($F$1,enemy_skill_triggers!$1:$1,0)+1,FALSE)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7" s="48">
        <f ca="1">VLOOKUP($F627,OFFSET(enemy_skill_triggers!$A$1,0,0,COUNTA(enemy_skill_triggers!$A:$A),MATCH(L$1,enemy_skill_triggers!$1:$1,0)-MATCH($F$1,enemy_skill_triggers!$1:$1,0)+1),MATCH(L$1,enemy_skill_triggers!$1:$1,0)-MATCH($F$1,enemy_skill_triggers!$1:$1,0)+1,FALSE)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7" s="48" t="str">
        <f ca="1">VLOOKUP($F627,OFFSET(enemy_skill_triggers!$A$1,0,0,COUNTA(enemy_skill_triggers!$A:$A),MATCH(M$1,enemy_skill_triggers!$1:$1,0)-MATCH($F$1,enemy_skill_triggers!$1:$1,0)+1),MATCH(M$1,enemy_skill_triggers!$1:$1,0)-MATCH($F$1,enemy_skill_triggers!$1:$1,0)+1,FALSE)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7" s="48">
        <f ca="1">VLOOKUP($F627,OFFSET(enemy_skill_triggers!$A$1,0,0,COUNTA(enemy_skill_triggers!$A:$A),MATCH(N$1,enemy_skill_triggers!$1:$1,0)-MATCH($F$1,enemy_skill_triggers!$1:$1,0)+1),MATCH(N$1,enemy_skill_triggers!$1:$1,0)-MATCH($F$1,enemy_skill_triggers!$1:$1,0)+1,FALSE)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627" s="48">
        <f ca="1">VLOOKUP($F627,OFFSET(enemy_skill_triggers!$A$1,0,0,COUNTA(enemy_skill_triggers!$A:$A),MATCH(O$1,enemy_skill_triggers!$1:$1,0)-MATCH($F$1,enemy_skill_triggers!$1:$1,0)+1),MATCH(O$1,enemy_skill_triggers!$1:$1,0)-MATCH($F$1,enemy_skill_triggers!$1:$1,0)+1,FALSE)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7" s="47"/>
      <c r="Q627" s="47"/>
      <c r="R627" s="47"/>
    </row>
    <row r="628" spans="1:18" ht="21" customHeight="1" x14ac:dyDescent="0.15">
      <c r="A628" s="39" t="str">
        <f t="shared" si="27"/>
        <v>39009028_39009074</v>
      </c>
      <c r="B628" s="130">
        <v>39009028</v>
      </c>
      <c r="C628" s="47">
        <v>39009074</v>
      </c>
      <c r="D628" s="46" t="str">
        <f ca="1">VLOOKUP($C628,OFFSET(enemy_skills!$A$1,0,0,COUNTA(enemy_skills!$A:$A),MATCH(D$1,enemy_skills!$1:$1,0)-MATCH("enemy_skill_id",enemy_skills!$1:$1,0)+1),MATCH(D$1,enemy_skills!$1:$1,0)-MATCH("enemy_skill_id",enemy_skills!$1:$1,0)+1,FALSE)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8" s="46" t="str">
        <f ca="1">VLOOKUP($C628,OFFSET(enemy_skills!$A$1,0,0,COUNTA(enemy_skills!$A:$A),MATCH(E$1,enemy_skills!$1:$1,0)-MATCH("enemy_skill_id",enemy_skills!$1:$1,0)+1),MATCH(E$1,enemy_skills!$1:$1,0)-MATCH("enemy_skill_id",enemy_skills!$1:$1,0)+1,FALSE)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8" s="47">
        <v>39009249</v>
      </c>
      <c r="G628" s="48">
        <f ca="1">VLOOKUP($F628,OFFSET(enemy_skill_triggers!$A$1,0,0,COUNTA(enemy_skill_triggers!$A:$A),MATCH(G$1,enemy_skill_triggers!$1:$1,0)-MATCH($F$1,enemy_skill_triggers!$1:$1,0)+1),MATCH(G$1,enemy_skill_triggers!$1:$1,0)-MATCH($F$1,enemy_skill_triggers!$1:$1,0)+1,FALSE)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8" s="48">
        <f ca="1">VLOOKUP($F628,OFFSET(enemy_skill_triggers!$A$1,0,0,COUNTA(enemy_skill_triggers!$A:$A),MATCH(H$1,enemy_skill_triggers!$1:$1,0)-MATCH($F$1,enemy_skill_triggers!$1:$1,0)+1),MATCH(H$1,enemy_skill_triggers!$1:$1,0)-MATCH($F$1,enemy_skill_triggers!$1:$1,0)+1,FALSE)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628" s="48">
        <f ca="1">VLOOKUP($F628,OFFSET(enemy_skill_triggers!$A$1,0,0,COUNTA(enemy_skill_triggers!$A:$A),MATCH(I$1,enemy_skill_triggers!$1:$1,0)-MATCH($F$1,enemy_skill_triggers!$1:$1,0)+1),MATCH(I$1,enemy_skill_triggers!$1:$1,0)-MATCH($F$1,enemy_skill_triggers!$1:$1,0)+1,FALSE)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8" s="48" t="str">
        <f ca="1">VLOOKUP($F628,OFFSET(enemy_skill_triggers!$A$1,0,0,COUNTA(enemy_skill_triggers!$A:$A),MATCH(J$1,enemy_skill_triggers!$1:$1,0)-MATCH($F$1,enemy_skill_triggers!$1:$1,0)+1),MATCH(J$1,enemy_skill_triggers!$1:$1,0)-MATCH($F$1,enemy_skill_triggers!$1:$1,0)+1,FALSE)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8" s="48" t="str">
        <f ca="1">VLOOKUP($F628,OFFSET(enemy_skill_triggers!$A$1,0,0,COUNTA(enemy_skill_triggers!$A:$A),MATCH(K$1,enemy_skill_triggers!$1:$1,0)-MATCH($F$1,enemy_skill_triggers!$1:$1,0)+1),MATCH(K$1,enemy_skill_triggers!$1:$1,0)-MATCH($F$1,enemy_skill_triggers!$1:$1,0)+1,FALSE)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8" s="48">
        <f ca="1">VLOOKUP($F628,OFFSET(enemy_skill_triggers!$A$1,0,0,COUNTA(enemy_skill_triggers!$A:$A),MATCH(L$1,enemy_skill_triggers!$1:$1,0)-MATCH($F$1,enemy_skill_triggers!$1:$1,0)+1),MATCH(L$1,enemy_skill_triggers!$1:$1,0)-MATCH($F$1,enemy_skill_triggers!$1:$1,0)+1,FALSE)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8" s="48" t="str">
        <f ca="1">VLOOKUP($F628,OFFSET(enemy_skill_triggers!$A$1,0,0,COUNTA(enemy_skill_triggers!$A:$A),MATCH(M$1,enemy_skill_triggers!$1:$1,0)-MATCH($F$1,enemy_skill_triggers!$1:$1,0)+1),MATCH(M$1,enemy_skill_triggers!$1:$1,0)-MATCH($F$1,enemy_skill_triggers!$1:$1,0)+1,FALSE)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8" s="48">
        <f ca="1">VLOOKUP($F628,OFFSET(enemy_skill_triggers!$A$1,0,0,COUNTA(enemy_skill_triggers!$A:$A),MATCH(N$1,enemy_skill_triggers!$1:$1,0)-MATCH($F$1,enemy_skill_triggers!$1:$1,0)+1),MATCH(N$1,enemy_skill_triggers!$1:$1,0)-MATCH($F$1,enemy_skill_triggers!$1:$1,0)+1,FALSE)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628" s="48">
        <f ca="1">VLOOKUP($F628,OFFSET(enemy_skill_triggers!$A$1,0,0,COUNTA(enemy_skill_triggers!$A:$A),MATCH(O$1,enemy_skill_triggers!$1:$1,0)-MATCH($F$1,enemy_skill_triggers!$1:$1,0)+1),MATCH(O$1,enemy_skill_triggers!$1:$1,0)-MATCH($F$1,enemy_skill_triggers!$1:$1,0)+1,FALSE)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8" s="47"/>
      <c r="Q628" s="47"/>
      <c r="R628" s="47"/>
    </row>
    <row r="629" spans="1:18" ht="21" customHeight="1" x14ac:dyDescent="0.15">
      <c r="A629" s="39" t="str">
        <f t="shared" si="27"/>
        <v>39009028_39009074</v>
      </c>
      <c r="B629" s="130">
        <v>39009028</v>
      </c>
      <c r="C629" s="47">
        <v>39009074</v>
      </c>
      <c r="D629" s="46" t="str">
        <f ca="1">VLOOKUP($C629,OFFSET(enemy_skills!$A$1,0,0,COUNTA(enemy_skills!$A:$A),MATCH(D$1,enemy_skills!$1:$1,0)-MATCH("enemy_skill_id",enemy_skills!$1:$1,0)+1),MATCH(D$1,enemy_skills!$1:$1,0)-MATCH("enemy_skill_id",enemy_skills!$1:$1,0)+1,FALSE)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629" s="46" t="str">
        <f ca="1">VLOOKUP($C629,OFFSET(enemy_skills!$A$1,0,0,COUNTA(enemy_skills!$A:$A),MATCH(E$1,enemy_skills!$1:$1,0)-MATCH("enemy_skill_id",enemy_skills!$1:$1,0)+1),MATCH(E$1,enemy_skills!$1:$1,0)-MATCH("enemy_skill_id",enemy_skills!$1:$1,0)+1,FALSE)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9" s="47">
        <v>39009250</v>
      </c>
      <c r="G629" s="48">
        <f ca="1">VLOOKUP($F629,OFFSET(enemy_skill_triggers!$A$1,0,0,COUNTA(enemy_skill_triggers!$A:$A),MATCH(G$1,enemy_skill_triggers!$1:$1,0)-MATCH($F$1,enemy_skill_triggers!$1:$1,0)+1),MATCH(G$1,enemy_skill_triggers!$1:$1,0)-MATCH($F$1,enemy_skill_triggers!$1:$1,0)+1,FALSE)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9" s="48">
        <f ca="1">VLOOKUP($F629,OFFSET(enemy_skill_triggers!$A$1,0,0,COUNTA(enemy_skill_triggers!$A:$A),MATCH(H$1,enemy_skill_triggers!$1:$1,0)-MATCH($F$1,enemy_skill_triggers!$1:$1,0)+1),MATCH(H$1,enemy_skill_triggers!$1:$1,0)-MATCH($F$1,enemy_skill_triggers!$1:$1,0)+1,FALSE)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629" s="48">
        <f ca="1">VLOOKUP($F629,OFFSET(enemy_skill_triggers!$A$1,0,0,COUNTA(enemy_skill_triggers!$A:$A),MATCH(I$1,enemy_skill_triggers!$1:$1,0)-MATCH($F$1,enemy_skill_triggers!$1:$1,0)+1),MATCH(I$1,enemy_skill_triggers!$1:$1,0)-MATCH($F$1,enemy_skill_triggers!$1:$1,0)+1,FALSE)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9" s="48" t="str">
        <f ca="1">VLOOKUP($F629,OFFSET(enemy_skill_triggers!$A$1,0,0,COUNTA(enemy_skill_triggers!$A:$A),MATCH(J$1,enemy_skill_triggers!$1:$1,0)-MATCH($F$1,enemy_skill_triggers!$1:$1,0)+1),MATCH(J$1,enemy_skill_triggers!$1:$1,0)-MATCH($F$1,enemy_skill_triggers!$1:$1,0)+1,FALSE)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9" s="48" t="str">
        <f ca="1">VLOOKUP($F629,OFFSET(enemy_skill_triggers!$A$1,0,0,COUNTA(enemy_skill_triggers!$A:$A),MATCH(K$1,enemy_skill_triggers!$1:$1,0)-MATCH($F$1,enemy_skill_triggers!$1:$1,0)+1),MATCH(K$1,enemy_skill_triggers!$1:$1,0)-MATCH($F$1,enemy_skill_triggers!$1:$1,0)+1,FALSE)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9" s="48">
        <f ca="1">VLOOKUP($F629,OFFSET(enemy_skill_triggers!$A$1,0,0,COUNTA(enemy_skill_triggers!$A:$A),MATCH(L$1,enemy_skill_triggers!$1:$1,0)-MATCH($F$1,enemy_skill_triggers!$1:$1,0)+1),MATCH(L$1,enemy_skill_triggers!$1:$1,0)-MATCH($F$1,enemy_skill_triggers!$1:$1,0)+1,FALSE)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9" s="48" t="str">
        <f ca="1">VLOOKUP($F629,OFFSET(enemy_skill_triggers!$A$1,0,0,COUNTA(enemy_skill_triggers!$A:$A),MATCH(M$1,enemy_skill_triggers!$1:$1,0)-MATCH($F$1,enemy_skill_triggers!$1:$1,0)+1),MATCH(M$1,enemy_skill_triggers!$1:$1,0)-MATCH($F$1,enemy_skill_triggers!$1:$1,0)+1,FALSE)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9" s="48">
        <f ca="1">VLOOKUP($F629,OFFSET(enemy_skill_triggers!$A$1,0,0,COUNTA(enemy_skill_triggers!$A:$A),MATCH(N$1,enemy_skill_triggers!$1:$1,0)-MATCH($F$1,enemy_skill_triggers!$1:$1,0)+1),MATCH(N$1,enemy_skill_triggers!$1:$1,0)-MATCH($F$1,enemy_skill_triggers!$1:$1,0)+1,FALSE)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629" s="48">
        <f ca="1">VLOOKUP($F629,OFFSET(enemy_skill_triggers!$A$1,0,0,COUNTA(enemy_skill_triggers!$A:$A),MATCH(O$1,enemy_skill_triggers!$1:$1,0)-MATCH($F$1,enemy_skill_triggers!$1:$1,0)+1),MATCH(O$1,enemy_skill_triggers!$1:$1,0)-MATCH($F$1,enemy_skill_triggers!$1:$1,0)+1,FALSE)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9" s="47"/>
      <c r="Q629" s="47"/>
      <c r="R629" s="47"/>
    </row>
    <row r="630" spans="1:18" ht="21" customHeight="1" x14ac:dyDescent="0.15">
      <c r="A630" s="39" t="str">
        <f t="shared" si="27"/>
        <v>39009029_39009029</v>
      </c>
      <c r="B630" s="47">
        <v>39009029</v>
      </c>
      <c r="C630" s="47">
        <v>39009029</v>
      </c>
      <c r="D630" s="46" t="str">
        <f ca="1">VLOOKUP($C630,OFFSET(enemy_skills!$A$1,0,0,COUNTA(enemy_skills!$A:$A),MATCH(D$1,enemy_skills!$1:$1,0)-MATCH("enemy_skill_id",enemy_skills!$1:$1,0)+1),MATCH(D$1,enemy_skills!$1:$1,0)-MATCH("enemy_skill_id",enemy_skills!$1:$1,0)+1,FALSE)</f>
        <v>雪まつりへようこそ♪</v>
      </c>
      <c r="E630" s="46" t="str">
        <f ca="1">VLOOKUP($C630,OFFSET(enemy_skills!$A$1,0,0,COUNTA(enemy_skills!$A:$A),MATCH(E$1,enemy_skills!$1:$1,0)-MATCH("enemy_skill_id",enemy_skills!$1:$1,0)+1),MATCH(E$1,enemy_skills!$1:$1,0)-MATCH("enemy_skill_id",enemy_skills!$1:$1,0)+1,FALSE)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630" s="47">
        <v>39009001</v>
      </c>
      <c r="G630" s="48">
        <f ca="1">VLOOKUP($F630,OFFSET(enemy_skill_triggers!$A$1,0,0,COUNTA(enemy_skill_triggers!$A:$A),MATCH(G$1,enemy_skill_triggers!$1:$1,0)-MATCH($F$1,enemy_skill_triggers!$1:$1,0)+1),MATCH(G$1,enemy_skill_triggers!$1:$1,0)-MATCH($F$1,enemy_skill_triggers!$1:$1,0)+1,FALSE)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0" s="48" t="str">
        <f ca="1">VLOOKUP($F630,OFFSET(enemy_skill_triggers!$A$1,0,0,COUNTA(enemy_skill_triggers!$A:$A),MATCH(H$1,enemy_skill_triggers!$1:$1,0)-MATCH($F$1,enemy_skill_triggers!$1:$1,0)+1),MATCH(H$1,enemy_skill_triggers!$1:$1,0)-MATCH($F$1,enemy_skill_triggers!$1:$1,0)+1,FALSE)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0" s="48">
        <f ca="1">VLOOKUP($F630,OFFSET(enemy_skill_triggers!$A$1,0,0,COUNTA(enemy_skill_triggers!$A:$A),MATCH(I$1,enemy_skill_triggers!$1:$1,0)-MATCH($F$1,enemy_skill_triggers!$1:$1,0)+1),MATCH(I$1,enemy_skill_triggers!$1:$1,0)-MATCH($F$1,enemy_skill_triggers!$1:$1,0)+1,FALSE)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0" s="48" t="str">
        <f ca="1">VLOOKUP($F630,OFFSET(enemy_skill_triggers!$A$1,0,0,COUNTA(enemy_skill_triggers!$A:$A),MATCH(J$1,enemy_skill_triggers!$1:$1,0)-MATCH($F$1,enemy_skill_triggers!$1:$1,0)+1),MATCH(J$1,enemy_skill_triggers!$1:$1,0)-MATCH($F$1,enemy_skill_triggers!$1:$1,0)+1,FALSE)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0" s="48" t="str">
        <f ca="1">VLOOKUP($F630,OFFSET(enemy_skill_triggers!$A$1,0,0,COUNTA(enemy_skill_triggers!$A:$A),MATCH(K$1,enemy_skill_triggers!$1:$1,0)-MATCH($F$1,enemy_skill_triggers!$1:$1,0)+1),MATCH(K$1,enemy_skill_triggers!$1:$1,0)-MATCH($F$1,enemy_skill_triggers!$1:$1,0)+1,FALSE)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0" s="48">
        <f ca="1">VLOOKUP($F630,OFFSET(enemy_skill_triggers!$A$1,0,0,COUNTA(enemy_skill_triggers!$A:$A),MATCH(L$1,enemy_skill_triggers!$1:$1,0)-MATCH($F$1,enemy_skill_triggers!$1:$1,0)+1),MATCH(L$1,enemy_skill_triggers!$1:$1,0)-MATCH($F$1,enemy_skill_triggers!$1:$1,0)+1,FALSE)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0" s="48" t="str">
        <f ca="1">VLOOKUP($F630,OFFSET(enemy_skill_triggers!$A$1,0,0,COUNTA(enemy_skill_triggers!$A:$A),MATCH(M$1,enemy_skill_triggers!$1:$1,0)-MATCH($F$1,enemy_skill_triggers!$1:$1,0)+1),MATCH(M$1,enemy_skill_triggers!$1:$1,0)-MATCH($F$1,enemy_skill_triggers!$1:$1,0)+1,FALSE)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0" s="48" t="str">
        <f ca="1">VLOOKUP($F630,OFFSET(enemy_skill_triggers!$A$1,0,0,COUNTA(enemy_skill_triggers!$A:$A),MATCH(N$1,enemy_skill_triggers!$1:$1,0)-MATCH($F$1,enemy_skill_triggers!$1:$1,0)+1),MATCH(N$1,enemy_skill_triggers!$1:$1,0)-MATCH($F$1,enemy_skill_triggers!$1:$1,0)+1,FALSE)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0" s="48">
        <f ca="1">VLOOKUP($F630,OFFSET(enemy_skill_triggers!$A$1,0,0,COUNTA(enemy_skill_triggers!$A:$A),MATCH(O$1,enemy_skill_triggers!$1:$1,0)-MATCH($F$1,enemy_skill_triggers!$1:$1,0)+1),MATCH(O$1,enemy_skill_triggers!$1:$1,0)-MATCH($F$1,enemy_skill_triggers!$1:$1,0)+1,FALSE)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0" s="47"/>
      <c r="Q630" s="47"/>
      <c r="R630" s="47"/>
    </row>
    <row r="631" spans="1:18" ht="21" customHeight="1" x14ac:dyDescent="0.15">
      <c r="A631" s="39" t="str">
        <f t="shared" si="27"/>
        <v>39009029_39009030</v>
      </c>
      <c r="B631" s="47">
        <v>39009029</v>
      </c>
      <c r="C631" s="47">
        <v>39009030</v>
      </c>
      <c r="D631" s="46" t="str">
        <f ca="1">VLOOKUP($C631,OFFSET(enemy_skills!$A$1,0,0,COUNTA(enemy_skills!$A:$A),MATCH(D$1,enemy_skills!$1:$1,0)-MATCH("enemy_skill_id",enemy_skills!$1:$1,0)+1),MATCH(D$1,enemy_skills!$1:$1,0)-MATCH("enemy_skill_id",enemy_skills!$1:$1,0)+1,FALSE)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631" s="46" t="str">
        <f ca="1">VLOOKUP($C631,OFFSET(enemy_skills!$A$1,0,0,COUNTA(enemy_skills!$A:$A),MATCH(E$1,enemy_skills!$1:$1,0)-MATCH("enemy_skill_id",enemy_skills!$1:$1,0)+1),MATCH(E$1,enemy_skills!$1:$1,0)-MATCH("enemy_skill_id",enemy_skills!$1:$1,0)+1,FALSE)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31" s="47">
        <v>39009002</v>
      </c>
      <c r="G631" s="48">
        <f ca="1">VLOOKUP($F631,OFFSET(enemy_skill_triggers!$A$1,0,0,COUNTA(enemy_skill_triggers!$A:$A),MATCH(G$1,enemy_skill_triggers!$1:$1,0)-MATCH($F$1,enemy_skill_triggers!$1:$1,0)+1),MATCH(G$1,enemy_skill_triggers!$1:$1,0)-MATCH($F$1,enemy_skill_triggers!$1:$1,0)+1,FALSE)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1" s="48">
        <f ca="1">VLOOKUP($F631,OFFSET(enemy_skill_triggers!$A$1,0,0,COUNTA(enemy_skill_triggers!$A:$A),MATCH(H$1,enemy_skill_triggers!$1:$1,0)-MATCH($F$1,enemy_skill_triggers!$1:$1,0)+1),MATCH(H$1,enemy_skill_triggers!$1:$1,0)-MATCH($F$1,enemy_skill_triggers!$1:$1,0)+1,FALSE)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1" s="48">
        <f ca="1">VLOOKUP($F631,OFFSET(enemy_skill_triggers!$A$1,0,0,COUNTA(enemy_skill_triggers!$A:$A),MATCH(I$1,enemy_skill_triggers!$1:$1,0)-MATCH($F$1,enemy_skill_triggers!$1:$1,0)+1),MATCH(I$1,enemy_skill_triggers!$1:$1,0)-MATCH($F$1,enemy_skill_triggers!$1:$1,0)+1,FALSE)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31" s="48" t="str">
        <f ca="1">VLOOKUP($F631,OFFSET(enemy_skill_triggers!$A$1,0,0,COUNTA(enemy_skill_triggers!$A:$A),MATCH(J$1,enemy_skill_triggers!$1:$1,0)-MATCH($F$1,enemy_skill_triggers!$1:$1,0)+1),MATCH(J$1,enemy_skill_triggers!$1:$1,0)-MATCH($F$1,enemy_skill_triggers!$1:$1,0)+1,FALSE)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1" s="48" t="str">
        <f ca="1">VLOOKUP($F631,OFFSET(enemy_skill_triggers!$A$1,0,0,COUNTA(enemy_skill_triggers!$A:$A),MATCH(K$1,enemy_skill_triggers!$1:$1,0)-MATCH($F$1,enemy_skill_triggers!$1:$1,0)+1),MATCH(K$1,enemy_skill_triggers!$1:$1,0)-MATCH($F$1,enemy_skill_triggers!$1:$1,0)+1,FALSE)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1" s="48" t="str">
        <f ca="1">VLOOKUP($F631,OFFSET(enemy_skill_triggers!$A$1,0,0,COUNTA(enemy_skill_triggers!$A:$A),MATCH(L$1,enemy_skill_triggers!$1:$1,0)-MATCH($F$1,enemy_skill_triggers!$1:$1,0)+1),MATCH(L$1,enemy_skill_triggers!$1:$1,0)-MATCH($F$1,enemy_skill_triggers!$1:$1,0)+1,FALSE)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1" s="48" t="str">
        <f ca="1">VLOOKUP($F631,OFFSET(enemy_skill_triggers!$A$1,0,0,COUNTA(enemy_skill_triggers!$A:$A),MATCH(M$1,enemy_skill_triggers!$1:$1,0)-MATCH($F$1,enemy_skill_triggers!$1:$1,0)+1),MATCH(M$1,enemy_skill_triggers!$1:$1,0)-MATCH($F$1,enemy_skill_triggers!$1:$1,0)+1,FALSE)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1" s="48" t="str">
        <f ca="1">VLOOKUP($F631,OFFSET(enemy_skill_triggers!$A$1,0,0,COUNTA(enemy_skill_triggers!$A:$A),MATCH(N$1,enemy_skill_triggers!$1:$1,0)-MATCH($F$1,enemy_skill_triggers!$1:$1,0)+1),MATCH(N$1,enemy_skill_triggers!$1:$1,0)-MATCH($F$1,enemy_skill_triggers!$1:$1,0)+1,FALSE)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1" s="48">
        <f ca="1">VLOOKUP($F631,OFFSET(enemy_skill_triggers!$A$1,0,0,COUNTA(enemy_skill_triggers!$A:$A),MATCH(O$1,enemy_skill_triggers!$1:$1,0)-MATCH($F$1,enemy_skill_triggers!$1:$1,0)+1),MATCH(O$1,enemy_skill_triggers!$1:$1,0)-MATCH($F$1,enemy_skill_triggers!$1:$1,0)+1,FALSE)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31" s="47"/>
      <c r="Q631" s="47"/>
      <c r="R631" s="47"/>
    </row>
    <row r="632" spans="1:18" ht="21" customHeight="1" x14ac:dyDescent="0.15">
      <c r="A632" s="39" t="str">
        <f t="shared" si="27"/>
        <v>39009029_39009031</v>
      </c>
      <c r="B632" s="47">
        <v>39009029</v>
      </c>
      <c r="C632" s="47">
        <v>39009031</v>
      </c>
      <c r="D632" s="46" t="str">
        <f ca="1">VLOOKUP($C632,OFFSET(enemy_skills!$A$1,0,0,COUNTA(enemy_skills!$A:$A),MATCH(D$1,enemy_skills!$1:$1,0)-MATCH("enemy_skill_id",enemy_skills!$1:$1,0)+1),MATCH(D$1,enemy_skills!$1:$1,0)-MATCH("enemy_skill_id",enemy_skills!$1:$1,0)+1,FALSE)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632" s="46" t="str">
        <f ca="1">VLOOKUP($C632,OFFSET(enemy_skills!$A$1,0,0,COUNTA(enemy_skills!$A:$A),MATCH(E$1,enemy_skills!$1:$1,0)-MATCH("enemy_skill_id",enemy_skills!$1:$1,0)+1),MATCH(E$1,enemy_skills!$1:$1,0)-MATCH("enemy_skill_id",enemy_skills!$1:$1,0)+1,FALSE)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632" s="47">
        <v>39009003</v>
      </c>
      <c r="G632" s="48">
        <f ca="1">VLOOKUP($F632,OFFSET(enemy_skill_triggers!$A$1,0,0,COUNTA(enemy_skill_triggers!$A:$A),MATCH(G$1,enemy_skill_triggers!$1:$1,0)-MATCH($F$1,enemy_skill_triggers!$1:$1,0)+1),MATCH(G$1,enemy_skill_triggers!$1:$1,0)-MATCH($F$1,enemy_skill_triggers!$1:$1,0)+1,FALSE)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2" s="48">
        <f ca="1">VLOOKUP($F632,OFFSET(enemy_skill_triggers!$A$1,0,0,COUNTA(enemy_skill_triggers!$A:$A),MATCH(H$1,enemy_skill_triggers!$1:$1,0)-MATCH($F$1,enemy_skill_triggers!$1:$1,0)+1),MATCH(H$1,enemy_skill_triggers!$1:$1,0)-MATCH($F$1,enemy_skill_triggers!$1:$1,0)+1,FALSE)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32" s="48">
        <f ca="1">VLOOKUP($F632,OFFSET(enemy_skill_triggers!$A$1,0,0,COUNTA(enemy_skill_triggers!$A:$A),MATCH(I$1,enemy_skill_triggers!$1:$1,0)-MATCH($F$1,enemy_skill_triggers!$1:$1,0)+1),MATCH(I$1,enemy_skill_triggers!$1:$1,0)-MATCH($F$1,enemy_skill_triggers!$1:$1,0)+1,FALSE)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32" s="48" t="str">
        <f ca="1">VLOOKUP($F632,OFFSET(enemy_skill_triggers!$A$1,0,0,COUNTA(enemy_skill_triggers!$A:$A),MATCH(J$1,enemy_skill_triggers!$1:$1,0)-MATCH($F$1,enemy_skill_triggers!$1:$1,0)+1),MATCH(J$1,enemy_skill_triggers!$1:$1,0)-MATCH($F$1,enemy_skill_triggers!$1:$1,0)+1,FALSE)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2" s="48" t="str">
        <f ca="1">VLOOKUP($F632,OFFSET(enemy_skill_triggers!$A$1,0,0,COUNTA(enemy_skill_triggers!$A:$A),MATCH(K$1,enemy_skill_triggers!$1:$1,0)-MATCH($F$1,enemy_skill_triggers!$1:$1,0)+1),MATCH(K$1,enemy_skill_triggers!$1:$1,0)-MATCH($F$1,enemy_skill_triggers!$1:$1,0)+1,FALSE)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2" s="48">
        <f ca="1">VLOOKUP($F632,OFFSET(enemy_skill_triggers!$A$1,0,0,COUNTA(enemy_skill_triggers!$A:$A),MATCH(L$1,enemy_skill_triggers!$1:$1,0)-MATCH($F$1,enemy_skill_triggers!$1:$1,0)+1),MATCH(L$1,enemy_skill_triggers!$1:$1,0)-MATCH($F$1,enemy_skill_triggers!$1:$1,0)+1,FALSE)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32" s="48" t="str">
        <f ca="1">VLOOKUP($F632,OFFSET(enemy_skill_triggers!$A$1,0,0,COUNTA(enemy_skill_triggers!$A:$A),MATCH(M$1,enemy_skill_triggers!$1:$1,0)-MATCH($F$1,enemy_skill_triggers!$1:$1,0)+1),MATCH(M$1,enemy_skill_triggers!$1:$1,0)-MATCH($F$1,enemy_skill_triggers!$1:$1,0)+1,FALSE)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2" s="48" t="str">
        <f ca="1">VLOOKUP($F632,OFFSET(enemy_skill_triggers!$A$1,0,0,COUNTA(enemy_skill_triggers!$A:$A),MATCH(N$1,enemy_skill_triggers!$1:$1,0)-MATCH($F$1,enemy_skill_triggers!$1:$1,0)+1),MATCH(N$1,enemy_skill_triggers!$1:$1,0)-MATCH($F$1,enemy_skill_triggers!$1:$1,0)+1,FALSE)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2" s="48">
        <f ca="1">VLOOKUP($F632,OFFSET(enemy_skill_triggers!$A$1,0,0,COUNTA(enemy_skill_triggers!$A:$A),MATCH(O$1,enemy_skill_triggers!$1:$1,0)-MATCH($F$1,enemy_skill_triggers!$1:$1,0)+1),MATCH(O$1,enemy_skill_triggers!$1:$1,0)-MATCH($F$1,enemy_skill_triggers!$1:$1,0)+1,FALSE)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32" s="47"/>
      <c r="Q632" s="47"/>
      <c r="R632" s="47"/>
    </row>
    <row r="633" spans="1:18" ht="21" customHeight="1" x14ac:dyDescent="0.15">
      <c r="A633" s="39" t="str">
        <f t="shared" si="27"/>
        <v>39009029_39009032</v>
      </c>
      <c r="B633" s="47">
        <v>39009029</v>
      </c>
      <c r="C633" s="47">
        <v>39009032</v>
      </c>
      <c r="D633" s="46" t="str">
        <f ca="1">VLOOKUP($C633,OFFSET(enemy_skills!$A$1,0,0,COUNTA(enemy_skills!$A:$A),MATCH(D$1,enemy_skills!$1:$1,0)-MATCH("enemy_skill_id",enemy_skills!$1:$1,0)+1),MATCH(D$1,enemy_skills!$1:$1,0)-MATCH("enemy_skill_id",enemy_skills!$1:$1,0)+1,FALSE)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633" s="46" t="str">
        <f ca="1">VLOOKUP($C633,OFFSET(enemy_skills!$A$1,0,0,COUNTA(enemy_skills!$A:$A),MATCH(E$1,enemy_skills!$1:$1,0)-MATCH("enemy_skill_id",enemy_skills!$1:$1,0)+1),MATCH(E$1,enemy_skills!$1:$1,0)-MATCH("enemy_skill_id",enemy_skills!$1:$1,0)+1,FALSE)</f>
        <v>自己回復+全体攻撃</v>
      </c>
      <c r="F633" s="47">
        <v>39009004</v>
      </c>
      <c r="G633" s="48">
        <f ca="1">VLOOKUP($F633,OFFSET(enemy_skill_triggers!$A$1,0,0,COUNTA(enemy_skill_triggers!$A:$A),MATCH(G$1,enemy_skill_triggers!$1:$1,0)-MATCH($F$1,enemy_skill_triggers!$1:$1,0)+1),MATCH(G$1,enemy_skill_triggers!$1:$1,0)-MATCH($F$1,enemy_skill_triggers!$1:$1,0)+1,FALSE)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3" s="48">
        <f ca="1">VLOOKUP($F633,OFFSET(enemy_skill_triggers!$A$1,0,0,COUNTA(enemy_skill_triggers!$A:$A),MATCH(H$1,enemy_skill_triggers!$1:$1,0)-MATCH($F$1,enemy_skill_triggers!$1:$1,0)+1),MATCH(H$1,enemy_skill_triggers!$1:$1,0)-MATCH($F$1,enemy_skill_triggers!$1:$1,0)+1,FALSE)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33" s="48">
        <f ca="1">VLOOKUP($F633,OFFSET(enemy_skill_triggers!$A$1,0,0,COUNTA(enemy_skill_triggers!$A:$A),MATCH(I$1,enemy_skill_triggers!$1:$1,0)-MATCH($F$1,enemy_skill_triggers!$1:$1,0)+1),MATCH(I$1,enemy_skill_triggers!$1:$1,0)-MATCH($F$1,enemy_skill_triggers!$1:$1,0)+1,FALSE)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33" s="48" t="str">
        <f ca="1">VLOOKUP($F633,OFFSET(enemy_skill_triggers!$A$1,0,0,COUNTA(enemy_skill_triggers!$A:$A),MATCH(J$1,enemy_skill_triggers!$1:$1,0)-MATCH($F$1,enemy_skill_triggers!$1:$1,0)+1),MATCH(J$1,enemy_skill_triggers!$1:$1,0)-MATCH($F$1,enemy_skill_triggers!$1:$1,0)+1,FALSE)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3" s="48" t="str">
        <f ca="1">VLOOKUP($F633,OFFSET(enemy_skill_triggers!$A$1,0,0,COUNTA(enemy_skill_triggers!$A:$A),MATCH(K$1,enemy_skill_triggers!$1:$1,0)-MATCH($F$1,enemy_skill_triggers!$1:$1,0)+1),MATCH(K$1,enemy_skill_triggers!$1:$1,0)-MATCH($F$1,enemy_skill_triggers!$1:$1,0)+1,FALSE)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3" s="48">
        <f ca="1">VLOOKUP($F633,OFFSET(enemy_skill_triggers!$A$1,0,0,COUNTA(enemy_skill_triggers!$A:$A),MATCH(L$1,enemy_skill_triggers!$1:$1,0)-MATCH($F$1,enemy_skill_triggers!$1:$1,0)+1),MATCH(L$1,enemy_skill_triggers!$1:$1,0)-MATCH($F$1,enemy_skill_triggers!$1:$1,0)+1,FALSE)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3" s="48" t="str">
        <f ca="1">VLOOKUP($F633,OFFSET(enemy_skill_triggers!$A$1,0,0,COUNTA(enemy_skill_triggers!$A:$A),MATCH(M$1,enemy_skill_triggers!$1:$1,0)-MATCH($F$1,enemy_skill_triggers!$1:$1,0)+1),MATCH(M$1,enemy_skill_triggers!$1:$1,0)-MATCH($F$1,enemy_skill_triggers!$1:$1,0)+1,FALSE)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3" s="48" t="str">
        <f ca="1">VLOOKUP($F633,OFFSET(enemy_skill_triggers!$A$1,0,0,COUNTA(enemy_skill_triggers!$A:$A),MATCH(N$1,enemy_skill_triggers!$1:$1,0)-MATCH($F$1,enemy_skill_triggers!$1:$1,0)+1),MATCH(N$1,enemy_skill_triggers!$1:$1,0)-MATCH($F$1,enemy_skill_triggers!$1:$1,0)+1,FALSE)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3" s="48">
        <f ca="1">VLOOKUP($F633,OFFSET(enemy_skill_triggers!$A$1,0,0,COUNTA(enemy_skill_triggers!$A:$A),MATCH(O$1,enemy_skill_triggers!$1:$1,0)-MATCH($F$1,enemy_skill_triggers!$1:$1,0)+1),MATCH(O$1,enemy_skill_triggers!$1:$1,0)-MATCH($F$1,enemy_skill_triggers!$1:$1,0)+1,FALSE)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33" s="47"/>
      <c r="Q633" s="47"/>
      <c r="R633" s="47"/>
    </row>
    <row r="634" spans="1:18" ht="21" customHeight="1" x14ac:dyDescent="0.15">
      <c r="A634" s="39" t="str">
        <f t="shared" si="27"/>
        <v>39009029_39009033</v>
      </c>
      <c r="B634" s="47">
        <v>39009029</v>
      </c>
      <c r="C634" s="47">
        <v>39009033</v>
      </c>
      <c r="D634" s="46" t="str">
        <f ca="1">VLOOKUP($C634,OFFSET(enemy_skills!$A$1,0,0,COUNTA(enemy_skills!$A:$A),MATCH(D$1,enemy_skills!$1:$1,0)-MATCH("enemy_skill_id",enemy_skills!$1:$1,0)+1),MATCH(D$1,enemy_skills!$1:$1,0)-MATCH("enemy_skill_id",enemy_skills!$1:$1,0)+1,FALSE)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634" s="46" t="str">
        <f ca="1">VLOOKUP($C634,OFFSET(enemy_skills!$A$1,0,0,COUNTA(enemy_skills!$A:$A),MATCH(E$1,enemy_skills!$1:$1,0)-MATCH("enemy_skill_id",enemy_skills!$1:$1,0)+1),MATCH(E$1,enemy_skills!$1:$1,0)-MATCH("enemy_skill_id",enemy_skills!$1:$1,0)+1,FALSE)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34" s="47">
        <v>39009005</v>
      </c>
      <c r="G634" s="48">
        <f ca="1">VLOOKUP($F634,OFFSET(enemy_skill_triggers!$A$1,0,0,COUNTA(enemy_skill_triggers!$A:$A),MATCH(G$1,enemy_skill_triggers!$1:$1,0)-MATCH($F$1,enemy_skill_triggers!$1:$1,0)+1),MATCH(G$1,enemy_skill_triggers!$1:$1,0)-MATCH($F$1,enemy_skill_triggers!$1:$1,0)+1,FALSE)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4" s="48">
        <f ca="1">VLOOKUP($F634,OFFSET(enemy_skill_triggers!$A$1,0,0,COUNTA(enemy_skill_triggers!$A:$A),MATCH(H$1,enemy_skill_triggers!$1:$1,0)-MATCH($F$1,enemy_skill_triggers!$1:$1,0)+1),MATCH(H$1,enemy_skill_triggers!$1:$1,0)-MATCH($F$1,enemy_skill_triggers!$1:$1,0)+1,FALSE)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34" s="48">
        <f ca="1">VLOOKUP($F634,OFFSET(enemy_skill_triggers!$A$1,0,0,COUNTA(enemy_skill_triggers!$A:$A),MATCH(I$1,enemy_skill_triggers!$1:$1,0)-MATCH($F$1,enemy_skill_triggers!$1:$1,0)+1),MATCH(I$1,enemy_skill_triggers!$1:$1,0)-MATCH($F$1,enemy_skill_triggers!$1:$1,0)+1,FALSE)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34" s="48">
        <f ca="1">VLOOKUP($F634,OFFSET(enemy_skill_triggers!$A$1,0,0,COUNTA(enemy_skill_triggers!$A:$A),MATCH(J$1,enemy_skill_triggers!$1:$1,0)-MATCH($F$1,enemy_skill_triggers!$1:$1,0)+1),MATCH(J$1,enemy_skill_triggers!$1:$1,0)-MATCH($F$1,enemy_skill_triggers!$1:$1,0)+1,FALSE)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4" s="48" t="str">
        <f ca="1">VLOOKUP($F634,OFFSET(enemy_skill_triggers!$A$1,0,0,COUNTA(enemy_skill_triggers!$A:$A),MATCH(K$1,enemy_skill_triggers!$1:$1,0)-MATCH($F$1,enemy_skill_triggers!$1:$1,0)+1),MATCH(K$1,enemy_skill_triggers!$1:$1,0)-MATCH($F$1,enemy_skill_triggers!$1:$1,0)+1,FALSE)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4" s="48">
        <f ca="1">VLOOKUP($F634,OFFSET(enemy_skill_triggers!$A$1,0,0,COUNTA(enemy_skill_triggers!$A:$A),MATCH(L$1,enemy_skill_triggers!$1:$1,0)-MATCH($F$1,enemy_skill_triggers!$1:$1,0)+1),MATCH(L$1,enemy_skill_triggers!$1:$1,0)-MATCH($F$1,enemy_skill_triggers!$1:$1,0)+1,FALSE)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4" s="48" t="str">
        <f ca="1">VLOOKUP($F634,OFFSET(enemy_skill_triggers!$A$1,0,0,COUNTA(enemy_skill_triggers!$A:$A),MATCH(M$1,enemy_skill_triggers!$1:$1,0)-MATCH($F$1,enemy_skill_triggers!$1:$1,0)+1),MATCH(M$1,enemy_skill_triggers!$1:$1,0)-MATCH($F$1,enemy_skill_triggers!$1:$1,0)+1,FALSE)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4" s="48" t="str">
        <f ca="1">VLOOKUP($F634,OFFSET(enemy_skill_triggers!$A$1,0,0,COUNTA(enemy_skill_triggers!$A:$A),MATCH(N$1,enemy_skill_triggers!$1:$1,0)-MATCH($F$1,enemy_skill_triggers!$1:$1,0)+1),MATCH(N$1,enemy_skill_triggers!$1:$1,0)-MATCH($F$1,enemy_skill_triggers!$1:$1,0)+1,FALSE)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4" s="48">
        <f ca="1">VLOOKUP($F634,OFFSET(enemy_skill_triggers!$A$1,0,0,COUNTA(enemy_skill_triggers!$A:$A),MATCH(O$1,enemy_skill_triggers!$1:$1,0)-MATCH($F$1,enemy_skill_triggers!$1:$1,0)+1),MATCH(O$1,enemy_skill_triggers!$1:$1,0)-MATCH($F$1,enemy_skill_triggers!$1:$1,0)+1,FALSE)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34" s="47"/>
      <c r="Q634" s="47"/>
      <c r="R634" s="47"/>
    </row>
    <row r="635" spans="1:18" ht="21" customHeight="1" x14ac:dyDescent="0.15">
      <c r="A635" s="39" t="str">
        <f t="shared" si="27"/>
        <v>39009029_39009034</v>
      </c>
      <c r="B635" s="47">
        <v>39009029</v>
      </c>
      <c r="C635" s="47">
        <v>39009034</v>
      </c>
      <c r="D635" s="46" t="str">
        <f ca="1">VLOOKUP($C635,OFFSET(enemy_skills!$A$1,0,0,COUNTA(enemy_skills!$A:$A),MATCH(D$1,enemy_skills!$1:$1,0)-MATCH("enemy_skill_id",enemy_skills!$1:$1,0)+1),MATCH(D$1,enemy_skills!$1:$1,0)-MATCH("enemy_skill_id",enemy_skills!$1:$1,0)+1,FALSE)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635" s="46" t="str">
        <f ca="1">VLOOKUP($C635,OFFSET(enemy_skills!$A$1,0,0,COUNTA(enemy_skills!$A:$A),MATCH(E$1,enemy_skills!$1:$1,0)-MATCH("enemy_skill_id",enemy_skills!$1:$1,0)+1),MATCH(E$1,enemy_skills!$1:$1,0)-MATCH("enemy_skill_id",enemy_skills!$1:$1,0)+1,FALSE)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635" s="47">
        <v>39009006</v>
      </c>
      <c r="G635" s="48">
        <f ca="1">VLOOKUP($F635,OFFSET(enemy_skill_triggers!$A$1,0,0,COUNTA(enemy_skill_triggers!$A:$A),MATCH(G$1,enemy_skill_triggers!$1:$1,0)-MATCH($F$1,enemy_skill_triggers!$1:$1,0)+1),MATCH(G$1,enemy_skill_triggers!$1:$1,0)-MATCH($F$1,enemy_skill_triggers!$1:$1,0)+1,FALSE)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5" s="48">
        <f ca="1">VLOOKUP($F635,OFFSET(enemy_skill_triggers!$A$1,0,0,COUNTA(enemy_skill_triggers!$A:$A),MATCH(H$1,enemy_skill_triggers!$1:$1,0)-MATCH($F$1,enemy_skill_triggers!$1:$1,0)+1),MATCH(H$1,enemy_skill_triggers!$1:$1,0)-MATCH($F$1,enemy_skill_triggers!$1:$1,0)+1,FALSE)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35" s="48">
        <f ca="1">VLOOKUP($F635,OFFSET(enemy_skill_triggers!$A$1,0,0,COUNTA(enemy_skill_triggers!$A:$A),MATCH(I$1,enemy_skill_triggers!$1:$1,0)-MATCH($F$1,enemy_skill_triggers!$1:$1,0)+1),MATCH(I$1,enemy_skill_triggers!$1:$1,0)-MATCH($F$1,enemy_skill_triggers!$1:$1,0)+1,FALSE)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35" s="48">
        <f ca="1">VLOOKUP($F635,OFFSET(enemy_skill_triggers!$A$1,0,0,COUNTA(enemy_skill_triggers!$A:$A),MATCH(J$1,enemy_skill_triggers!$1:$1,0)-MATCH($F$1,enemy_skill_triggers!$1:$1,0)+1),MATCH(J$1,enemy_skill_triggers!$1:$1,0)-MATCH($F$1,enemy_skill_triggers!$1:$1,0)+1,FALSE)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5" s="48" t="str">
        <f ca="1">VLOOKUP($F635,OFFSET(enemy_skill_triggers!$A$1,0,0,COUNTA(enemy_skill_triggers!$A:$A),MATCH(K$1,enemy_skill_triggers!$1:$1,0)-MATCH($F$1,enemy_skill_triggers!$1:$1,0)+1),MATCH(K$1,enemy_skill_triggers!$1:$1,0)-MATCH($F$1,enemy_skill_triggers!$1:$1,0)+1,FALSE)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5" s="48">
        <f ca="1">VLOOKUP($F635,OFFSET(enemy_skill_triggers!$A$1,0,0,COUNTA(enemy_skill_triggers!$A:$A),MATCH(L$1,enemy_skill_triggers!$1:$1,0)-MATCH($F$1,enemy_skill_triggers!$1:$1,0)+1),MATCH(L$1,enemy_skill_triggers!$1:$1,0)-MATCH($F$1,enemy_skill_triggers!$1:$1,0)+1,FALSE)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5" s="48" t="str">
        <f ca="1">VLOOKUP($F635,OFFSET(enemy_skill_triggers!$A$1,0,0,COUNTA(enemy_skill_triggers!$A:$A),MATCH(M$1,enemy_skill_triggers!$1:$1,0)-MATCH($F$1,enemy_skill_triggers!$1:$1,0)+1),MATCH(M$1,enemy_skill_triggers!$1:$1,0)-MATCH($F$1,enemy_skill_triggers!$1:$1,0)+1,FALSE)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5" s="48" t="str">
        <f ca="1">VLOOKUP($F635,OFFSET(enemy_skill_triggers!$A$1,0,0,COUNTA(enemy_skill_triggers!$A:$A),MATCH(N$1,enemy_skill_triggers!$1:$1,0)-MATCH($F$1,enemy_skill_triggers!$1:$1,0)+1),MATCH(N$1,enemy_skill_triggers!$1:$1,0)-MATCH($F$1,enemy_skill_triggers!$1:$1,0)+1,FALSE)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5" s="48">
        <f ca="1">VLOOKUP($F635,OFFSET(enemy_skill_triggers!$A$1,0,0,COUNTA(enemy_skill_triggers!$A:$A),MATCH(O$1,enemy_skill_triggers!$1:$1,0)-MATCH($F$1,enemy_skill_triggers!$1:$1,0)+1),MATCH(O$1,enemy_skill_triggers!$1:$1,0)-MATCH($F$1,enemy_skill_triggers!$1:$1,0)+1,FALSE)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35" s="47"/>
      <c r="Q635" s="47"/>
      <c r="R635" s="47"/>
    </row>
    <row r="636" spans="1:18" ht="21" customHeight="1" x14ac:dyDescent="0.15">
      <c r="A636" s="39" t="str">
        <f t="shared" si="27"/>
        <v>39009029_39009035</v>
      </c>
      <c r="B636" s="47">
        <v>39009029</v>
      </c>
      <c r="C636" s="47">
        <v>39009035</v>
      </c>
      <c r="D636" s="46" t="str">
        <f ca="1">VLOOKUP($C636,OFFSET(enemy_skills!$A$1,0,0,COUNTA(enemy_skills!$A:$A),MATCH(D$1,enemy_skills!$1:$1,0)-MATCH("enemy_skill_id",enemy_skills!$1:$1,0)+1),MATCH(D$1,enemy_skills!$1:$1,0)-MATCH("enemy_skill_id",enemy_skills!$1:$1,0)+1,FALSE)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636" s="46" t="str">
        <f ca="1">VLOOKUP($C636,OFFSET(enemy_skills!$A$1,0,0,COUNTA(enemy_skills!$A:$A),MATCH(E$1,enemy_skills!$1:$1,0)-MATCH("enemy_skill_id",enemy_skills!$1:$1,0)+1),MATCH(E$1,enemy_skills!$1:$1,0)-MATCH("enemy_skill_id",enemy_skills!$1:$1,0)+1,FALSE)</f>
        <v>自己回復</v>
      </c>
      <c r="F636" s="47">
        <v>39009007</v>
      </c>
      <c r="G636" s="48">
        <f ca="1">VLOOKUP($F636,OFFSET(enemy_skill_triggers!$A$1,0,0,COUNTA(enemy_skill_triggers!$A:$A),MATCH(G$1,enemy_skill_triggers!$1:$1,0)-MATCH($F$1,enemy_skill_triggers!$1:$1,0)+1),MATCH(G$1,enemy_skill_triggers!$1:$1,0)-MATCH($F$1,enemy_skill_triggers!$1:$1,0)+1,FALSE)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6" s="48">
        <f ca="1">VLOOKUP($F636,OFFSET(enemy_skill_triggers!$A$1,0,0,COUNTA(enemy_skill_triggers!$A:$A),MATCH(H$1,enemy_skill_triggers!$1:$1,0)-MATCH($F$1,enemy_skill_triggers!$1:$1,0)+1),MATCH(H$1,enemy_skill_triggers!$1:$1,0)-MATCH($F$1,enemy_skill_triggers!$1:$1,0)+1,FALSE)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36" s="48">
        <f ca="1">VLOOKUP($F636,OFFSET(enemy_skill_triggers!$A$1,0,0,COUNTA(enemy_skill_triggers!$A:$A),MATCH(I$1,enemy_skill_triggers!$1:$1,0)-MATCH($F$1,enemy_skill_triggers!$1:$1,0)+1),MATCH(I$1,enemy_skill_triggers!$1:$1,0)-MATCH($F$1,enemy_skill_triggers!$1:$1,0)+1,FALSE)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36" s="48">
        <f ca="1">VLOOKUP($F636,OFFSET(enemy_skill_triggers!$A$1,0,0,COUNTA(enemy_skill_triggers!$A:$A),MATCH(J$1,enemy_skill_triggers!$1:$1,0)-MATCH($F$1,enemy_skill_triggers!$1:$1,0)+1),MATCH(J$1,enemy_skill_triggers!$1:$1,0)-MATCH($F$1,enemy_skill_triggers!$1:$1,0)+1,FALSE)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6" s="48" t="str">
        <f ca="1">VLOOKUP($F636,OFFSET(enemy_skill_triggers!$A$1,0,0,COUNTA(enemy_skill_triggers!$A:$A),MATCH(K$1,enemy_skill_triggers!$1:$1,0)-MATCH($F$1,enemy_skill_triggers!$1:$1,0)+1),MATCH(K$1,enemy_skill_triggers!$1:$1,0)-MATCH($F$1,enemy_skill_triggers!$1:$1,0)+1,FALSE)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6" s="48">
        <f ca="1">VLOOKUP($F636,OFFSET(enemy_skill_triggers!$A$1,0,0,COUNTA(enemy_skill_triggers!$A:$A),MATCH(L$1,enemy_skill_triggers!$1:$1,0)-MATCH($F$1,enemy_skill_triggers!$1:$1,0)+1),MATCH(L$1,enemy_skill_triggers!$1:$1,0)-MATCH($F$1,enemy_skill_triggers!$1:$1,0)+1,FALSE)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6" s="48" t="str">
        <f ca="1">VLOOKUP($F636,OFFSET(enemy_skill_triggers!$A$1,0,0,COUNTA(enemy_skill_triggers!$A:$A),MATCH(M$1,enemy_skill_triggers!$1:$1,0)-MATCH($F$1,enemy_skill_triggers!$1:$1,0)+1),MATCH(M$1,enemy_skill_triggers!$1:$1,0)-MATCH($F$1,enemy_skill_triggers!$1:$1,0)+1,FALSE)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6" s="48" t="str">
        <f ca="1">VLOOKUP($F636,OFFSET(enemy_skill_triggers!$A$1,0,0,COUNTA(enemy_skill_triggers!$A:$A),MATCH(N$1,enemy_skill_triggers!$1:$1,0)-MATCH($F$1,enemy_skill_triggers!$1:$1,0)+1),MATCH(N$1,enemy_skill_triggers!$1:$1,0)-MATCH($F$1,enemy_skill_triggers!$1:$1,0)+1,FALSE)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6" s="48">
        <f ca="1">VLOOKUP($F636,OFFSET(enemy_skill_triggers!$A$1,0,0,COUNTA(enemy_skill_triggers!$A:$A),MATCH(O$1,enemy_skill_triggers!$1:$1,0)-MATCH($F$1,enemy_skill_triggers!$1:$1,0)+1),MATCH(O$1,enemy_skill_triggers!$1:$1,0)-MATCH($F$1,enemy_skill_triggers!$1:$1,0)+1,FALSE)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36" s="47"/>
      <c r="Q636" s="47"/>
      <c r="R636" s="47"/>
    </row>
    <row r="637" spans="1:18" ht="21" customHeight="1" x14ac:dyDescent="0.15">
      <c r="A637" s="39" t="str">
        <f t="shared" si="27"/>
        <v>39009029_39009036</v>
      </c>
      <c r="B637" s="47">
        <v>39009029</v>
      </c>
      <c r="C637" s="47">
        <v>39009036</v>
      </c>
      <c r="D637" s="46" t="str">
        <f ca="1">VLOOKUP($C637,OFFSET(enemy_skills!$A$1,0,0,COUNTA(enemy_skills!$A:$A),MATCH(D$1,enemy_skills!$1:$1,0)-MATCH("enemy_skill_id",enemy_skills!$1:$1,0)+1),MATCH(D$1,enemy_skills!$1:$1,0)-MATCH("enemy_skill_id",enemy_skills!$1:$1,0)+1,FALSE)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637" s="46" t="str">
        <f ca="1">VLOOKUP($C637,OFFSET(enemy_skills!$A$1,0,0,COUNTA(enemy_skills!$A:$A),MATCH(E$1,enemy_skills!$1:$1,0)-MATCH("enemy_skill_id",enemy_skills!$1:$1,0)+1),MATCH(E$1,enemy_skills!$1:$1,0)-MATCH("enemy_skill_id",enemy_skills!$1:$1,0)+1,FALSE)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637" s="47">
        <v>39009008</v>
      </c>
      <c r="G637" s="48">
        <f ca="1">VLOOKUP($F637,OFFSET(enemy_skill_triggers!$A$1,0,0,COUNTA(enemy_skill_triggers!$A:$A),MATCH(G$1,enemy_skill_triggers!$1:$1,0)-MATCH($F$1,enemy_skill_triggers!$1:$1,0)+1),MATCH(G$1,enemy_skill_triggers!$1:$1,0)-MATCH($F$1,enemy_skill_triggers!$1:$1,0)+1,FALSE)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7" s="48">
        <f ca="1">VLOOKUP($F637,OFFSET(enemy_skill_triggers!$A$1,0,0,COUNTA(enemy_skill_triggers!$A:$A),MATCH(H$1,enemy_skill_triggers!$1:$1,0)-MATCH($F$1,enemy_skill_triggers!$1:$1,0)+1),MATCH(H$1,enemy_skill_triggers!$1:$1,0)-MATCH($F$1,enemy_skill_triggers!$1:$1,0)+1,FALSE)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37" s="48">
        <f ca="1">VLOOKUP($F637,OFFSET(enemy_skill_triggers!$A$1,0,0,COUNTA(enemy_skill_triggers!$A:$A),MATCH(I$1,enemy_skill_triggers!$1:$1,0)-MATCH($F$1,enemy_skill_triggers!$1:$1,0)+1),MATCH(I$1,enemy_skill_triggers!$1:$1,0)-MATCH($F$1,enemy_skill_triggers!$1:$1,0)+1,FALSE)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37" s="48">
        <f ca="1">VLOOKUP($F637,OFFSET(enemy_skill_triggers!$A$1,0,0,COUNTA(enemy_skill_triggers!$A:$A),MATCH(J$1,enemy_skill_triggers!$1:$1,0)-MATCH($F$1,enemy_skill_triggers!$1:$1,0)+1),MATCH(J$1,enemy_skill_triggers!$1:$1,0)-MATCH($F$1,enemy_skill_triggers!$1:$1,0)+1,FALSE)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7" s="48" t="str">
        <f ca="1">VLOOKUP($F637,OFFSET(enemy_skill_triggers!$A$1,0,0,COUNTA(enemy_skill_triggers!$A:$A),MATCH(K$1,enemy_skill_triggers!$1:$1,0)-MATCH($F$1,enemy_skill_triggers!$1:$1,0)+1),MATCH(K$1,enemy_skill_triggers!$1:$1,0)-MATCH($F$1,enemy_skill_triggers!$1:$1,0)+1,FALSE)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7" s="48">
        <f ca="1">VLOOKUP($F637,OFFSET(enemy_skill_triggers!$A$1,0,0,COUNTA(enemy_skill_triggers!$A:$A),MATCH(L$1,enemy_skill_triggers!$1:$1,0)-MATCH($F$1,enemy_skill_triggers!$1:$1,0)+1),MATCH(L$1,enemy_skill_triggers!$1:$1,0)-MATCH($F$1,enemy_skill_triggers!$1:$1,0)+1,FALSE)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7" s="48" t="str">
        <f ca="1">VLOOKUP($F637,OFFSET(enemy_skill_triggers!$A$1,0,0,COUNTA(enemy_skill_triggers!$A:$A),MATCH(M$1,enemy_skill_triggers!$1:$1,0)-MATCH($F$1,enemy_skill_triggers!$1:$1,0)+1),MATCH(M$1,enemy_skill_triggers!$1:$1,0)-MATCH($F$1,enemy_skill_triggers!$1:$1,0)+1,FALSE)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7" s="48" t="str">
        <f ca="1">VLOOKUP($F637,OFFSET(enemy_skill_triggers!$A$1,0,0,COUNTA(enemy_skill_triggers!$A:$A),MATCH(N$1,enemy_skill_triggers!$1:$1,0)-MATCH($F$1,enemy_skill_triggers!$1:$1,0)+1),MATCH(N$1,enemy_skill_triggers!$1:$1,0)-MATCH($F$1,enemy_skill_triggers!$1:$1,0)+1,FALSE)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7" s="48">
        <f ca="1">VLOOKUP($F637,OFFSET(enemy_skill_triggers!$A$1,0,0,COUNTA(enemy_skill_triggers!$A:$A),MATCH(O$1,enemy_skill_triggers!$1:$1,0)-MATCH($F$1,enemy_skill_triggers!$1:$1,0)+1),MATCH(O$1,enemy_skill_triggers!$1:$1,0)-MATCH($F$1,enemy_skill_triggers!$1:$1,0)+1,FALSE)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37" s="47"/>
      <c r="Q637" s="47"/>
      <c r="R637" s="47"/>
    </row>
    <row r="638" spans="1:18" ht="21" customHeight="1" x14ac:dyDescent="0.15">
      <c r="A638" s="39" t="str">
        <f t="shared" si="27"/>
        <v>39009030_39009037</v>
      </c>
      <c r="B638" s="47">
        <v>39009030</v>
      </c>
      <c r="C638" s="127">
        <v>39009037</v>
      </c>
      <c r="D638" s="46" t="str">
        <f ca="1">VLOOKUP($C638,OFFSET(enemy_skills!$A$1,0,0,COUNTA(enemy_skills!$A:$A),MATCH(D$1,enemy_skills!$1:$1,0)-MATCH("enemy_skill_id",enemy_skills!$1:$1,0)+1),MATCH(D$1,enemy_skills!$1:$1,0)-MATCH("enemy_skill_id",enemy_skills!$1:$1,0)+1,FALSE)</f>
        <v>星の輝きのように強く♪</v>
      </c>
      <c r="E638" s="46" t="str">
        <f ca="1">VLOOKUP($C638,OFFSET(enemy_skills!$A$1,0,0,COUNTA(enemy_skills!$A:$A),MATCH(E$1,enemy_skills!$1:$1,0)-MATCH("enemy_skill_id",enemy_skills!$1:$1,0)+1),MATCH(E$1,enemy_skills!$1:$1,0)-MATCH("enemy_skill_id",enemy_skills!$1:$1,0)+1,FALSE)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38" s="127">
        <v>39009009</v>
      </c>
      <c r="G638" s="48">
        <f ca="1">VLOOKUP($F638,OFFSET(enemy_skill_triggers!$A$1,0,0,COUNTA(enemy_skill_triggers!$A:$A),MATCH(G$1,enemy_skill_triggers!$1:$1,0)-MATCH($F$1,enemy_skill_triggers!$1:$1,0)+1),MATCH(G$1,enemy_skill_triggers!$1:$1,0)-MATCH($F$1,enemy_skill_triggers!$1:$1,0)+1,FALSE)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8" s="48" t="str">
        <f ca="1">VLOOKUP($F638,OFFSET(enemy_skill_triggers!$A$1,0,0,COUNTA(enemy_skill_triggers!$A:$A),MATCH(H$1,enemy_skill_triggers!$1:$1,0)-MATCH($F$1,enemy_skill_triggers!$1:$1,0)+1),MATCH(H$1,enemy_skill_triggers!$1:$1,0)-MATCH($F$1,enemy_skill_triggers!$1:$1,0)+1,FALSE)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8" s="48">
        <f ca="1">VLOOKUP($F638,OFFSET(enemy_skill_triggers!$A$1,0,0,COUNTA(enemy_skill_triggers!$A:$A),MATCH(I$1,enemy_skill_triggers!$1:$1,0)-MATCH($F$1,enemy_skill_triggers!$1:$1,0)+1),MATCH(I$1,enemy_skill_triggers!$1:$1,0)-MATCH($F$1,enemy_skill_triggers!$1:$1,0)+1,FALSE)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8" s="48" t="str">
        <f ca="1">VLOOKUP($F638,OFFSET(enemy_skill_triggers!$A$1,0,0,COUNTA(enemy_skill_triggers!$A:$A),MATCH(J$1,enemy_skill_triggers!$1:$1,0)-MATCH($F$1,enemy_skill_triggers!$1:$1,0)+1),MATCH(J$1,enemy_skill_triggers!$1:$1,0)-MATCH($F$1,enemy_skill_triggers!$1:$1,0)+1,FALSE)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8" s="48" t="str">
        <f ca="1">VLOOKUP($F638,OFFSET(enemy_skill_triggers!$A$1,0,0,COUNTA(enemy_skill_triggers!$A:$A),MATCH(K$1,enemy_skill_triggers!$1:$1,0)-MATCH($F$1,enemy_skill_triggers!$1:$1,0)+1),MATCH(K$1,enemy_skill_triggers!$1:$1,0)-MATCH($F$1,enemy_skill_triggers!$1:$1,0)+1,FALSE)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8" s="48">
        <f ca="1">VLOOKUP($F638,OFFSET(enemy_skill_triggers!$A$1,0,0,COUNTA(enemy_skill_triggers!$A:$A),MATCH(L$1,enemy_skill_triggers!$1:$1,0)-MATCH($F$1,enemy_skill_triggers!$1:$1,0)+1),MATCH(L$1,enemy_skill_triggers!$1:$1,0)-MATCH($F$1,enemy_skill_triggers!$1:$1,0)+1,FALSE)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8" s="48" t="str">
        <f ca="1">VLOOKUP($F638,OFFSET(enemy_skill_triggers!$A$1,0,0,COUNTA(enemy_skill_triggers!$A:$A),MATCH(M$1,enemy_skill_triggers!$1:$1,0)-MATCH($F$1,enemy_skill_triggers!$1:$1,0)+1),MATCH(M$1,enemy_skill_triggers!$1:$1,0)-MATCH($F$1,enemy_skill_triggers!$1:$1,0)+1,FALSE)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8" s="48" t="str">
        <f ca="1">VLOOKUP($F638,OFFSET(enemy_skill_triggers!$A$1,0,0,COUNTA(enemy_skill_triggers!$A:$A),MATCH(N$1,enemy_skill_triggers!$1:$1,0)-MATCH($F$1,enemy_skill_triggers!$1:$1,0)+1),MATCH(N$1,enemy_skill_triggers!$1:$1,0)-MATCH($F$1,enemy_skill_triggers!$1:$1,0)+1,FALSE)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8" s="48">
        <f ca="1">VLOOKUP($F638,OFFSET(enemy_skill_triggers!$A$1,0,0,COUNTA(enemy_skill_triggers!$A:$A),MATCH(O$1,enemy_skill_triggers!$1:$1,0)-MATCH($F$1,enemy_skill_triggers!$1:$1,0)+1),MATCH(O$1,enemy_skill_triggers!$1:$1,0)-MATCH($F$1,enemy_skill_triggers!$1:$1,0)+1,FALSE)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8" s="47"/>
      <c r="Q638" s="47"/>
      <c r="R638" s="47"/>
    </row>
    <row r="639" spans="1:18" ht="21" customHeight="1" x14ac:dyDescent="0.15">
      <c r="A639" s="39" t="str">
        <f t="shared" si="27"/>
        <v>39009030_39009038</v>
      </c>
      <c r="B639" s="47">
        <v>39009030</v>
      </c>
      <c r="C639" s="127">
        <v>39009038</v>
      </c>
      <c r="D639" s="46" t="str">
        <f ca="1">VLOOKUP($C639,OFFSET(enemy_skills!$A$1,0,0,COUNTA(enemy_skills!$A:$A),MATCH(D$1,enemy_skills!$1:$1,0)-MATCH("enemy_skill_id",enemy_skills!$1:$1,0)+1),MATCH(D$1,enemy_skills!$1:$1,0)-MATCH("enemy_skill_id",enemy_skills!$1:$1,0)+1,FALSE)</f>
        <v>オリオンシュート</v>
      </c>
      <c r="E639" s="46" t="str">
        <f ca="1">VLOOKUP($C639,OFFSET(enemy_skills!$A$1,0,0,COUNTA(enemy_skills!$A:$A),MATCH(E$1,enemy_skills!$1:$1,0)-MATCH("enemy_skill_id",enemy_skills!$1:$1,0)+1),MATCH(E$1,enemy_skills!$1:$1,0)-MATCH("enemy_skill_id",enemy_skills!$1:$1,0)+1,FALSE)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39" s="127">
        <v>39009010</v>
      </c>
      <c r="G639" s="48">
        <f ca="1">VLOOKUP($F639,OFFSET(enemy_skill_triggers!$A$1,0,0,COUNTA(enemy_skill_triggers!$A:$A),MATCH(G$1,enemy_skill_triggers!$1:$1,0)-MATCH($F$1,enemy_skill_triggers!$1:$1,0)+1),MATCH(G$1,enemy_skill_triggers!$1:$1,0)-MATCH($F$1,enemy_skill_triggers!$1:$1,0)+1,FALSE)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9" s="48">
        <f ca="1">VLOOKUP($F639,OFFSET(enemy_skill_triggers!$A$1,0,0,COUNTA(enemy_skill_triggers!$A:$A),MATCH(H$1,enemy_skill_triggers!$1:$1,0)-MATCH($F$1,enemy_skill_triggers!$1:$1,0)+1),MATCH(H$1,enemy_skill_triggers!$1:$1,0)-MATCH($F$1,enemy_skill_triggers!$1:$1,0)+1,FALSE)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9" s="48">
        <f ca="1">VLOOKUP($F639,OFFSET(enemy_skill_triggers!$A$1,0,0,COUNTA(enemy_skill_triggers!$A:$A),MATCH(I$1,enemy_skill_triggers!$1:$1,0)-MATCH($F$1,enemy_skill_triggers!$1:$1,0)+1),MATCH(I$1,enemy_skill_triggers!$1:$1,0)-MATCH($F$1,enemy_skill_triggers!$1:$1,0)+1,FALSE)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39" s="48" t="str">
        <f ca="1">VLOOKUP($F639,OFFSET(enemy_skill_triggers!$A$1,0,0,COUNTA(enemy_skill_triggers!$A:$A),MATCH(J$1,enemy_skill_triggers!$1:$1,0)-MATCH($F$1,enemy_skill_triggers!$1:$1,0)+1),MATCH(J$1,enemy_skill_triggers!$1:$1,0)-MATCH($F$1,enemy_skill_triggers!$1:$1,0)+1,FALSE)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9" s="48" t="str">
        <f ca="1">VLOOKUP($F639,OFFSET(enemy_skill_triggers!$A$1,0,0,COUNTA(enemy_skill_triggers!$A:$A),MATCH(K$1,enemy_skill_triggers!$1:$1,0)-MATCH($F$1,enemy_skill_triggers!$1:$1,0)+1),MATCH(K$1,enemy_skill_triggers!$1:$1,0)-MATCH($F$1,enemy_skill_triggers!$1:$1,0)+1,FALSE)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9" s="48" t="str">
        <f ca="1">VLOOKUP($F639,OFFSET(enemy_skill_triggers!$A$1,0,0,COUNTA(enemy_skill_triggers!$A:$A),MATCH(L$1,enemy_skill_triggers!$1:$1,0)-MATCH($F$1,enemy_skill_triggers!$1:$1,0)+1),MATCH(L$1,enemy_skill_triggers!$1:$1,0)-MATCH($F$1,enemy_skill_triggers!$1:$1,0)+1,FALSE)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9" s="48" t="str">
        <f ca="1">VLOOKUP($F639,OFFSET(enemy_skill_triggers!$A$1,0,0,COUNTA(enemy_skill_triggers!$A:$A),MATCH(M$1,enemy_skill_triggers!$1:$1,0)-MATCH($F$1,enemy_skill_triggers!$1:$1,0)+1),MATCH(M$1,enemy_skill_triggers!$1:$1,0)-MATCH($F$1,enemy_skill_triggers!$1:$1,0)+1,FALSE)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9" s="48" t="str">
        <f ca="1">VLOOKUP($F639,OFFSET(enemy_skill_triggers!$A$1,0,0,COUNTA(enemy_skill_triggers!$A:$A),MATCH(N$1,enemy_skill_triggers!$1:$1,0)-MATCH($F$1,enemy_skill_triggers!$1:$1,0)+1),MATCH(N$1,enemy_skill_triggers!$1:$1,0)-MATCH($F$1,enemy_skill_triggers!$1:$1,0)+1,FALSE)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9" s="48">
        <f ca="1">VLOOKUP($F639,OFFSET(enemy_skill_triggers!$A$1,0,0,COUNTA(enemy_skill_triggers!$A:$A),MATCH(O$1,enemy_skill_triggers!$1:$1,0)-MATCH($F$1,enemy_skill_triggers!$1:$1,0)+1),MATCH(O$1,enemy_skill_triggers!$1:$1,0)-MATCH($F$1,enemy_skill_triggers!$1:$1,0)+1,FALSE)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39" s="47"/>
      <c r="Q639" s="47"/>
      <c r="R639" s="47"/>
    </row>
    <row r="640" spans="1:18" ht="21" customHeight="1" x14ac:dyDescent="0.15">
      <c r="A640" s="39" t="str">
        <f t="shared" si="27"/>
        <v>39009030_39009039</v>
      </c>
      <c r="B640" s="47">
        <v>39009030</v>
      </c>
      <c r="C640" s="127">
        <v>39009039</v>
      </c>
      <c r="D640" s="46" t="str">
        <f ca="1">VLOOKUP($C640,OFFSET(enemy_skills!$A$1,0,0,COUNTA(enemy_skills!$A:$A),MATCH(D$1,enemy_skills!$1:$1,0)-MATCH("enemy_skill_id",enemy_skills!$1:$1,0)+1),MATCH(D$1,enemy_skills!$1:$1,0)-MATCH("enemy_skill_id",enemy_skills!$1:$1,0)+1,FALSE)</f>
        <v>アストロパワー</v>
      </c>
      <c r="E640" s="46" t="str">
        <f ca="1">VLOOKUP($C640,OFFSET(enemy_skills!$A$1,0,0,COUNTA(enemy_skills!$A:$A),MATCH(E$1,enemy_skills!$1:$1,0)-MATCH("enemy_skill_id",enemy_skills!$1:$1,0)+1),MATCH(E$1,enemy_skills!$1:$1,0)-MATCH("enemy_skill_id",enemy_skills!$1:$1,0)+1,FALSE)</f>
        <v>自己回復+2回連続攻撃</v>
      </c>
      <c r="F640" s="127">
        <v>39009011</v>
      </c>
      <c r="G640" s="48">
        <f ca="1">VLOOKUP($F640,OFFSET(enemy_skill_triggers!$A$1,0,0,COUNTA(enemy_skill_triggers!$A:$A),MATCH(G$1,enemy_skill_triggers!$1:$1,0)-MATCH($F$1,enemy_skill_triggers!$1:$1,0)+1),MATCH(G$1,enemy_skill_triggers!$1:$1,0)-MATCH($F$1,enemy_skill_triggers!$1:$1,0)+1,FALSE)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0" s="48">
        <f ca="1">VLOOKUP($F640,OFFSET(enemy_skill_triggers!$A$1,0,0,COUNTA(enemy_skill_triggers!$A:$A),MATCH(H$1,enemy_skill_triggers!$1:$1,0)-MATCH($F$1,enemy_skill_triggers!$1:$1,0)+1),MATCH(H$1,enemy_skill_triggers!$1:$1,0)-MATCH($F$1,enemy_skill_triggers!$1:$1,0)+1,FALSE)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40" s="48">
        <f ca="1">VLOOKUP($F640,OFFSET(enemy_skill_triggers!$A$1,0,0,COUNTA(enemy_skill_triggers!$A:$A),MATCH(I$1,enemy_skill_triggers!$1:$1,0)-MATCH($F$1,enemy_skill_triggers!$1:$1,0)+1),MATCH(I$1,enemy_skill_triggers!$1:$1,0)-MATCH($F$1,enemy_skill_triggers!$1:$1,0)+1,FALSE)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40" s="48" t="str">
        <f ca="1">VLOOKUP($F640,OFFSET(enemy_skill_triggers!$A$1,0,0,COUNTA(enemy_skill_triggers!$A:$A),MATCH(J$1,enemy_skill_triggers!$1:$1,0)-MATCH($F$1,enemy_skill_triggers!$1:$1,0)+1),MATCH(J$1,enemy_skill_triggers!$1:$1,0)-MATCH($F$1,enemy_skill_triggers!$1:$1,0)+1,FALSE)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0" s="48" t="str">
        <f ca="1">VLOOKUP($F640,OFFSET(enemy_skill_triggers!$A$1,0,0,COUNTA(enemy_skill_triggers!$A:$A),MATCH(K$1,enemy_skill_triggers!$1:$1,0)-MATCH($F$1,enemy_skill_triggers!$1:$1,0)+1),MATCH(K$1,enemy_skill_triggers!$1:$1,0)-MATCH($F$1,enemy_skill_triggers!$1:$1,0)+1,FALSE)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0" s="48">
        <f ca="1">VLOOKUP($F640,OFFSET(enemy_skill_triggers!$A$1,0,0,COUNTA(enemy_skill_triggers!$A:$A),MATCH(L$1,enemy_skill_triggers!$1:$1,0)-MATCH($F$1,enemy_skill_triggers!$1:$1,0)+1),MATCH(L$1,enemy_skill_triggers!$1:$1,0)-MATCH($F$1,enemy_skill_triggers!$1:$1,0)+1,FALSE)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40" s="48" t="str">
        <f ca="1">VLOOKUP($F640,OFFSET(enemy_skill_triggers!$A$1,0,0,COUNTA(enemy_skill_triggers!$A:$A),MATCH(M$1,enemy_skill_triggers!$1:$1,0)-MATCH($F$1,enemy_skill_triggers!$1:$1,0)+1),MATCH(M$1,enemy_skill_triggers!$1:$1,0)-MATCH($F$1,enemy_skill_triggers!$1:$1,0)+1,FALSE)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0" s="48" t="str">
        <f ca="1">VLOOKUP($F640,OFFSET(enemy_skill_triggers!$A$1,0,0,COUNTA(enemy_skill_triggers!$A:$A),MATCH(N$1,enemy_skill_triggers!$1:$1,0)-MATCH($F$1,enemy_skill_triggers!$1:$1,0)+1),MATCH(N$1,enemy_skill_triggers!$1:$1,0)-MATCH($F$1,enemy_skill_triggers!$1:$1,0)+1,FALSE)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0" s="48">
        <f ca="1">VLOOKUP($F640,OFFSET(enemy_skill_triggers!$A$1,0,0,COUNTA(enemy_skill_triggers!$A:$A),MATCH(O$1,enemy_skill_triggers!$1:$1,0)-MATCH($F$1,enemy_skill_triggers!$1:$1,0)+1),MATCH(O$1,enemy_skill_triggers!$1:$1,0)-MATCH($F$1,enemy_skill_triggers!$1:$1,0)+1,FALSE)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40" s="47"/>
      <c r="Q640" s="47"/>
      <c r="R640" s="47"/>
    </row>
    <row r="641" spans="1:18" ht="21" customHeight="1" x14ac:dyDescent="0.15">
      <c r="A641" s="39" t="str">
        <f t="shared" ref="A641:A733" si="28">B641&amp;"_"&amp;C641</f>
        <v>39009030_39009040</v>
      </c>
      <c r="B641" s="47">
        <v>39009030</v>
      </c>
      <c r="C641" s="127">
        <v>39009040</v>
      </c>
      <c r="D641" s="46" t="str">
        <f ca="1">VLOOKUP($C641,OFFSET(enemy_skills!$A$1,0,0,COUNTA(enemy_skills!$A:$A),MATCH(D$1,enemy_skills!$1:$1,0)-MATCH("enemy_skill_id",enemy_skills!$1:$1,0)+1),MATCH(D$1,enemy_skills!$1:$1,0)-MATCH("enemy_skill_id",enemy_skills!$1:$1,0)+1,FALSE)</f>
        <v>シャイニーメテオ</v>
      </c>
      <c r="E641" s="46" t="str">
        <f ca="1">VLOOKUP($C641,OFFSET(enemy_skills!$A$1,0,0,COUNTA(enemy_skills!$A:$A),MATCH(E$1,enemy_skills!$1:$1,0)-MATCH("enemy_skill_id",enemy_skills!$1:$1,0)+1),MATCH(E$1,enemy_skills!$1:$1,0)-MATCH("enemy_skill_id",enemy_skills!$1:$1,0)+1,FALSE)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641" s="127">
        <v>39009012</v>
      </c>
      <c r="G641" s="48">
        <f ca="1">VLOOKUP($F641,OFFSET(enemy_skill_triggers!$A$1,0,0,COUNTA(enemy_skill_triggers!$A:$A),MATCH(G$1,enemy_skill_triggers!$1:$1,0)-MATCH($F$1,enemy_skill_triggers!$1:$1,0)+1),MATCH(G$1,enemy_skill_triggers!$1:$1,0)-MATCH($F$1,enemy_skill_triggers!$1:$1,0)+1,FALSE)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1" s="48">
        <f ca="1">VLOOKUP($F641,OFFSET(enemy_skill_triggers!$A$1,0,0,COUNTA(enemy_skill_triggers!$A:$A),MATCH(H$1,enemy_skill_triggers!$1:$1,0)-MATCH($F$1,enemy_skill_triggers!$1:$1,0)+1),MATCH(H$1,enemy_skill_triggers!$1:$1,0)-MATCH($F$1,enemy_skill_triggers!$1:$1,0)+1,FALSE)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41" s="48">
        <f ca="1">VLOOKUP($F641,OFFSET(enemy_skill_triggers!$A$1,0,0,COUNTA(enemy_skill_triggers!$A:$A),MATCH(I$1,enemy_skill_triggers!$1:$1,0)-MATCH($F$1,enemy_skill_triggers!$1:$1,0)+1),MATCH(I$1,enemy_skill_triggers!$1:$1,0)-MATCH($F$1,enemy_skill_triggers!$1:$1,0)+1,FALSE)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41" s="48" t="str">
        <f ca="1">VLOOKUP($F641,OFFSET(enemy_skill_triggers!$A$1,0,0,COUNTA(enemy_skill_triggers!$A:$A),MATCH(J$1,enemy_skill_triggers!$1:$1,0)-MATCH($F$1,enemy_skill_triggers!$1:$1,0)+1),MATCH(J$1,enemy_skill_triggers!$1:$1,0)-MATCH($F$1,enemy_skill_triggers!$1:$1,0)+1,FALSE)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1" s="48" t="str">
        <f ca="1">VLOOKUP($F641,OFFSET(enemy_skill_triggers!$A$1,0,0,COUNTA(enemy_skill_triggers!$A:$A),MATCH(K$1,enemy_skill_triggers!$1:$1,0)-MATCH($F$1,enemy_skill_triggers!$1:$1,0)+1),MATCH(K$1,enemy_skill_triggers!$1:$1,0)-MATCH($F$1,enemy_skill_triggers!$1:$1,0)+1,FALSE)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1" s="48">
        <f ca="1">VLOOKUP($F641,OFFSET(enemy_skill_triggers!$A$1,0,0,COUNTA(enemy_skill_triggers!$A:$A),MATCH(L$1,enemy_skill_triggers!$1:$1,0)-MATCH($F$1,enemy_skill_triggers!$1:$1,0)+1),MATCH(L$1,enemy_skill_triggers!$1:$1,0)-MATCH($F$1,enemy_skill_triggers!$1:$1,0)+1,FALSE)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1" s="48" t="str">
        <f ca="1">VLOOKUP($F641,OFFSET(enemy_skill_triggers!$A$1,0,0,COUNTA(enemy_skill_triggers!$A:$A),MATCH(M$1,enemy_skill_triggers!$1:$1,0)-MATCH($F$1,enemy_skill_triggers!$1:$1,0)+1),MATCH(M$1,enemy_skill_triggers!$1:$1,0)-MATCH($F$1,enemy_skill_triggers!$1:$1,0)+1,FALSE)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1" s="48" t="str">
        <f ca="1">VLOOKUP($F641,OFFSET(enemy_skill_triggers!$A$1,0,0,COUNTA(enemy_skill_triggers!$A:$A),MATCH(N$1,enemy_skill_triggers!$1:$1,0)-MATCH($F$1,enemy_skill_triggers!$1:$1,0)+1),MATCH(N$1,enemy_skill_triggers!$1:$1,0)-MATCH($F$1,enemy_skill_triggers!$1:$1,0)+1,FALSE)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1" s="48">
        <f ca="1">VLOOKUP($F641,OFFSET(enemy_skill_triggers!$A$1,0,0,COUNTA(enemy_skill_triggers!$A:$A),MATCH(O$1,enemy_skill_triggers!$1:$1,0)-MATCH($F$1,enemy_skill_triggers!$1:$1,0)+1),MATCH(O$1,enemy_skill_triggers!$1:$1,0)-MATCH($F$1,enemy_skill_triggers!$1:$1,0)+1,FALSE)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41" s="47"/>
      <c r="Q641" s="47"/>
      <c r="R641" s="47"/>
    </row>
    <row r="642" spans="1:18" ht="21" customHeight="1" x14ac:dyDescent="0.15">
      <c r="A642" s="39" t="str">
        <f t="shared" si="28"/>
        <v>39009030_39009041</v>
      </c>
      <c r="B642" s="47">
        <v>39009030</v>
      </c>
      <c r="C642" s="127">
        <v>39009041</v>
      </c>
      <c r="D642" s="46" t="str">
        <f ca="1">VLOOKUP($C642,OFFSET(enemy_skills!$A$1,0,0,COUNTA(enemy_skills!$A:$A),MATCH(D$1,enemy_skills!$1:$1,0)-MATCH("enemy_skill_id",enemy_skills!$1:$1,0)+1),MATCH(D$1,enemy_skills!$1:$1,0)-MATCH("enemy_skill_id",enemy_skills!$1:$1,0)+1,FALSE)</f>
        <v>こずみっくチャージ</v>
      </c>
      <c r="E642" s="46" t="str">
        <f ca="1">VLOOKUP($C642,OFFSET(enemy_skills!$A$1,0,0,COUNTA(enemy_skills!$A:$A),MATCH(E$1,enemy_skills!$1:$1,0)-MATCH("enemy_skill_id",enemy_skills!$1:$1,0)+1),MATCH(E$1,enemy_skills!$1:$1,0)-MATCH("enemy_skill_id",enemy_skills!$1:$1,0)+1,FALSE)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42" s="127">
        <v>39009013</v>
      </c>
      <c r="G642" s="48">
        <f ca="1">VLOOKUP($F642,OFFSET(enemy_skill_triggers!$A$1,0,0,COUNTA(enemy_skill_triggers!$A:$A),MATCH(G$1,enemy_skill_triggers!$1:$1,0)-MATCH($F$1,enemy_skill_triggers!$1:$1,0)+1),MATCH(G$1,enemy_skill_triggers!$1:$1,0)-MATCH($F$1,enemy_skill_triggers!$1:$1,0)+1,FALSE)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2" s="48">
        <f ca="1">VLOOKUP($F642,OFFSET(enemy_skill_triggers!$A$1,0,0,COUNTA(enemy_skill_triggers!$A:$A),MATCH(H$1,enemy_skill_triggers!$1:$1,0)-MATCH($F$1,enemy_skill_triggers!$1:$1,0)+1),MATCH(H$1,enemy_skill_triggers!$1:$1,0)-MATCH($F$1,enemy_skill_triggers!$1:$1,0)+1,FALSE)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42" s="48">
        <f ca="1">VLOOKUP($F642,OFFSET(enemy_skill_triggers!$A$1,0,0,COUNTA(enemy_skill_triggers!$A:$A),MATCH(I$1,enemy_skill_triggers!$1:$1,0)-MATCH($F$1,enemy_skill_triggers!$1:$1,0)+1),MATCH(I$1,enemy_skill_triggers!$1:$1,0)-MATCH($F$1,enemy_skill_triggers!$1:$1,0)+1,FALSE)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42" s="48">
        <f ca="1">VLOOKUP($F642,OFFSET(enemy_skill_triggers!$A$1,0,0,COUNTA(enemy_skill_triggers!$A:$A),MATCH(J$1,enemy_skill_triggers!$1:$1,0)-MATCH($F$1,enemy_skill_triggers!$1:$1,0)+1),MATCH(J$1,enemy_skill_triggers!$1:$1,0)-MATCH($F$1,enemy_skill_triggers!$1:$1,0)+1,FALSE)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2" s="48" t="str">
        <f ca="1">VLOOKUP($F642,OFFSET(enemy_skill_triggers!$A$1,0,0,COUNTA(enemy_skill_triggers!$A:$A),MATCH(K$1,enemy_skill_triggers!$1:$1,0)-MATCH($F$1,enemy_skill_triggers!$1:$1,0)+1),MATCH(K$1,enemy_skill_triggers!$1:$1,0)-MATCH($F$1,enemy_skill_triggers!$1:$1,0)+1,FALSE)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2" s="48">
        <f ca="1">VLOOKUP($F642,OFFSET(enemy_skill_triggers!$A$1,0,0,COUNTA(enemy_skill_triggers!$A:$A),MATCH(L$1,enemy_skill_triggers!$1:$1,0)-MATCH($F$1,enemy_skill_triggers!$1:$1,0)+1),MATCH(L$1,enemy_skill_triggers!$1:$1,0)-MATCH($F$1,enemy_skill_triggers!$1:$1,0)+1,FALSE)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2" s="48" t="str">
        <f ca="1">VLOOKUP($F642,OFFSET(enemy_skill_triggers!$A$1,0,0,COUNTA(enemy_skill_triggers!$A:$A),MATCH(M$1,enemy_skill_triggers!$1:$1,0)-MATCH($F$1,enemy_skill_triggers!$1:$1,0)+1),MATCH(M$1,enemy_skill_triggers!$1:$1,0)-MATCH($F$1,enemy_skill_triggers!$1:$1,0)+1,FALSE)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2" s="48" t="str">
        <f ca="1">VLOOKUP($F642,OFFSET(enemy_skill_triggers!$A$1,0,0,COUNTA(enemy_skill_triggers!$A:$A),MATCH(N$1,enemy_skill_triggers!$1:$1,0)-MATCH($F$1,enemy_skill_triggers!$1:$1,0)+1),MATCH(N$1,enemy_skill_triggers!$1:$1,0)-MATCH($F$1,enemy_skill_triggers!$1:$1,0)+1,FALSE)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2" s="48">
        <f ca="1">VLOOKUP($F642,OFFSET(enemy_skill_triggers!$A$1,0,0,COUNTA(enemy_skill_triggers!$A:$A),MATCH(O$1,enemy_skill_triggers!$1:$1,0)-MATCH($F$1,enemy_skill_triggers!$1:$1,0)+1),MATCH(O$1,enemy_skill_triggers!$1:$1,0)-MATCH($F$1,enemy_skill_triggers!$1:$1,0)+1,FALSE)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42" s="47"/>
      <c r="Q642" s="47"/>
      <c r="R642" s="47"/>
    </row>
    <row r="643" spans="1:18" ht="21" customHeight="1" x14ac:dyDescent="0.15">
      <c r="A643" s="39" t="str">
        <f t="shared" si="28"/>
        <v>39009030_39009042</v>
      </c>
      <c r="B643" s="47">
        <v>39009030</v>
      </c>
      <c r="C643" s="127">
        <v>39009042</v>
      </c>
      <c r="D643" s="46" t="str">
        <f ca="1">VLOOKUP($C643,OFFSET(enemy_skills!$A$1,0,0,COUNTA(enemy_skills!$A:$A),MATCH(D$1,enemy_skills!$1:$1,0)-MATCH("enemy_skill_id",enemy_skills!$1:$1,0)+1),MATCH(D$1,enemy_skills!$1:$1,0)-MATCH("enemy_skill_id",enemy_skills!$1:$1,0)+1,FALSE)</f>
        <v>こずみっくシールド</v>
      </c>
      <c r="E643" s="46" t="str">
        <f ca="1">VLOOKUP($C643,OFFSET(enemy_skills!$A$1,0,0,COUNTA(enemy_skills!$A:$A),MATCH(E$1,enemy_skills!$1:$1,0)-MATCH("enemy_skill_id",enemy_skills!$1:$1,0)+1),MATCH(E$1,enemy_skills!$1:$1,0)-MATCH("enemy_skill_id",enemy_skills!$1:$1,0)+1,FALSE)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643" s="127">
        <v>39009014</v>
      </c>
      <c r="G643" s="48">
        <f ca="1">VLOOKUP($F643,OFFSET(enemy_skill_triggers!$A$1,0,0,COUNTA(enemy_skill_triggers!$A:$A),MATCH(G$1,enemy_skill_triggers!$1:$1,0)-MATCH($F$1,enemy_skill_triggers!$1:$1,0)+1),MATCH(G$1,enemy_skill_triggers!$1:$1,0)-MATCH($F$1,enemy_skill_triggers!$1:$1,0)+1,FALSE)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3" s="48">
        <f ca="1">VLOOKUP($F643,OFFSET(enemy_skill_triggers!$A$1,0,0,COUNTA(enemy_skill_triggers!$A:$A),MATCH(H$1,enemy_skill_triggers!$1:$1,0)-MATCH($F$1,enemy_skill_triggers!$1:$1,0)+1),MATCH(H$1,enemy_skill_triggers!$1:$1,0)-MATCH($F$1,enemy_skill_triggers!$1:$1,0)+1,FALSE)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43" s="48">
        <f ca="1">VLOOKUP($F643,OFFSET(enemy_skill_triggers!$A$1,0,0,COUNTA(enemy_skill_triggers!$A:$A),MATCH(I$1,enemy_skill_triggers!$1:$1,0)-MATCH($F$1,enemy_skill_triggers!$1:$1,0)+1),MATCH(I$1,enemy_skill_triggers!$1:$1,0)-MATCH($F$1,enemy_skill_triggers!$1:$1,0)+1,FALSE)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43" s="48">
        <f ca="1">VLOOKUP($F643,OFFSET(enemy_skill_triggers!$A$1,0,0,COUNTA(enemy_skill_triggers!$A:$A),MATCH(J$1,enemy_skill_triggers!$1:$1,0)-MATCH($F$1,enemy_skill_triggers!$1:$1,0)+1),MATCH(J$1,enemy_skill_triggers!$1:$1,0)-MATCH($F$1,enemy_skill_triggers!$1:$1,0)+1,FALSE)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3" s="48" t="str">
        <f ca="1">VLOOKUP($F643,OFFSET(enemy_skill_triggers!$A$1,0,0,COUNTA(enemy_skill_triggers!$A:$A),MATCH(K$1,enemy_skill_triggers!$1:$1,0)-MATCH($F$1,enemy_skill_triggers!$1:$1,0)+1),MATCH(K$1,enemy_skill_triggers!$1:$1,0)-MATCH($F$1,enemy_skill_triggers!$1:$1,0)+1,FALSE)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3" s="48">
        <f ca="1">VLOOKUP($F643,OFFSET(enemy_skill_triggers!$A$1,0,0,COUNTA(enemy_skill_triggers!$A:$A),MATCH(L$1,enemy_skill_triggers!$1:$1,0)-MATCH($F$1,enemy_skill_triggers!$1:$1,0)+1),MATCH(L$1,enemy_skill_triggers!$1:$1,0)-MATCH($F$1,enemy_skill_triggers!$1:$1,0)+1,FALSE)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3" s="48" t="str">
        <f ca="1">VLOOKUP($F643,OFFSET(enemy_skill_triggers!$A$1,0,0,COUNTA(enemy_skill_triggers!$A:$A),MATCH(M$1,enemy_skill_triggers!$1:$1,0)-MATCH($F$1,enemy_skill_triggers!$1:$1,0)+1),MATCH(M$1,enemy_skill_triggers!$1:$1,0)-MATCH($F$1,enemy_skill_triggers!$1:$1,0)+1,FALSE)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3" s="48" t="str">
        <f ca="1">VLOOKUP($F643,OFFSET(enemy_skill_triggers!$A$1,0,0,COUNTA(enemy_skill_triggers!$A:$A),MATCH(N$1,enemy_skill_triggers!$1:$1,0)-MATCH($F$1,enemy_skill_triggers!$1:$1,0)+1),MATCH(N$1,enemy_skill_triggers!$1:$1,0)-MATCH($F$1,enemy_skill_triggers!$1:$1,0)+1,FALSE)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3" s="48">
        <f ca="1">VLOOKUP($F643,OFFSET(enemy_skill_triggers!$A$1,0,0,COUNTA(enemy_skill_triggers!$A:$A),MATCH(O$1,enemy_skill_triggers!$1:$1,0)-MATCH($F$1,enemy_skill_triggers!$1:$1,0)+1),MATCH(O$1,enemy_skill_triggers!$1:$1,0)-MATCH($F$1,enemy_skill_triggers!$1:$1,0)+1,FALSE)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43" s="47"/>
      <c r="Q643" s="47"/>
      <c r="R643" s="47"/>
    </row>
    <row r="644" spans="1:18" ht="21" customHeight="1" x14ac:dyDescent="0.15">
      <c r="A644" s="39" t="str">
        <f t="shared" si="28"/>
        <v>39009030_39009043</v>
      </c>
      <c r="B644" s="47">
        <v>39009030</v>
      </c>
      <c r="C644" s="127">
        <v>39009043</v>
      </c>
      <c r="D644" s="46" t="str">
        <f ca="1">VLOOKUP($C644,OFFSET(enemy_skills!$A$1,0,0,COUNTA(enemy_skills!$A:$A),MATCH(D$1,enemy_skills!$1:$1,0)-MATCH("enemy_skill_id",enemy_skills!$1:$1,0)+1),MATCH(D$1,enemy_skills!$1:$1,0)-MATCH("enemy_skill_id",enemy_skills!$1:$1,0)+1,FALSE)</f>
        <v>こずみっくメロディ</v>
      </c>
      <c r="E644" s="46" t="str">
        <f ca="1">VLOOKUP($C644,OFFSET(enemy_skills!$A$1,0,0,COUNTA(enemy_skills!$A:$A),MATCH(E$1,enemy_skills!$1:$1,0)-MATCH("enemy_skill_id",enemy_skills!$1:$1,0)+1),MATCH(E$1,enemy_skills!$1:$1,0)-MATCH("enemy_skill_id",enemy_skills!$1:$1,0)+1,FALSE)</f>
        <v>自己回復</v>
      </c>
      <c r="F644" s="127">
        <v>39009015</v>
      </c>
      <c r="G644" s="48">
        <f ca="1">VLOOKUP($F644,OFFSET(enemy_skill_triggers!$A$1,0,0,COUNTA(enemy_skill_triggers!$A:$A),MATCH(G$1,enemy_skill_triggers!$1:$1,0)-MATCH($F$1,enemy_skill_triggers!$1:$1,0)+1),MATCH(G$1,enemy_skill_triggers!$1:$1,0)-MATCH($F$1,enemy_skill_triggers!$1:$1,0)+1,FALSE)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4" s="48">
        <f ca="1">VLOOKUP($F644,OFFSET(enemy_skill_triggers!$A$1,0,0,COUNTA(enemy_skill_triggers!$A:$A),MATCH(H$1,enemy_skill_triggers!$1:$1,0)-MATCH($F$1,enemy_skill_triggers!$1:$1,0)+1),MATCH(H$1,enemy_skill_triggers!$1:$1,0)-MATCH($F$1,enemy_skill_triggers!$1:$1,0)+1,FALSE)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44" s="48">
        <f ca="1">VLOOKUP($F644,OFFSET(enemy_skill_triggers!$A$1,0,0,COUNTA(enemy_skill_triggers!$A:$A),MATCH(I$1,enemy_skill_triggers!$1:$1,0)-MATCH($F$1,enemy_skill_triggers!$1:$1,0)+1),MATCH(I$1,enemy_skill_triggers!$1:$1,0)-MATCH($F$1,enemy_skill_triggers!$1:$1,0)+1,FALSE)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44" s="48">
        <f ca="1">VLOOKUP($F644,OFFSET(enemy_skill_triggers!$A$1,0,0,COUNTA(enemy_skill_triggers!$A:$A),MATCH(J$1,enemy_skill_triggers!$1:$1,0)-MATCH($F$1,enemy_skill_triggers!$1:$1,0)+1),MATCH(J$1,enemy_skill_triggers!$1:$1,0)-MATCH($F$1,enemy_skill_triggers!$1:$1,0)+1,FALSE)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4" s="48" t="str">
        <f ca="1">VLOOKUP($F644,OFFSET(enemy_skill_triggers!$A$1,0,0,COUNTA(enemy_skill_triggers!$A:$A),MATCH(K$1,enemy_skill_triggers!$1:$1,0)-MATCH($F$1,enemy_skill_triggers!$1:$1,0)+1),MATCH(K$1,enemy_skill_triggers!$1:$1,0)-MATCH($F$1,enemy_skill_triggers!$1:$1,0)+1,FALSE)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4" s="48">
        <f ca="1">VLOOKUP($F644,OFFSET(enemy_skill_triggers!$A$1,0,0,COUNTA(enemy_skill_triggers!$A:$A),MATCH(L$1,enemy_skill_triggers!$1:$1,0)-MATCH($F$1,enemy_skill_triggers!$1:$1,0)+1),MATCH(L$1,enemy_skill_triggers!$1:$1,0)-MATCH($F$1,enemy_skill_triggers!$1:$1,0)+1,FALSE)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4" s="48" t="str">
        <f ca="1">VLOOKUP($F644,OFFSET(enemy_skill_triggers!$A$1,0,0,COUNTA(enemy_skill_triggers!$A:$A),MATCH(M$1,enemy_skill_triggers!$1:$1,0)-MATCH($F$1,enemy_skill_triggers!$1:$1,0)+1),MATCH(M$1,enemy_skill_triggers!$1:$1,0)-MATCH($F$1,enemy_skill_triggers!$1:$1,0)+1,FALSE)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4" s="48" t="str">
        <f ca="1">VLOOKUP($F644,OFFSET(enemy_skill_triggers!$A$1,0,0,COUNTA(enemy_skill_triggers!$A:$A),MATCH(N$1,enemy_skill_triggers!$1:$1,0)-MATCH($F$1,enemy_skill_triggers!$1:$1,0)+1),MATCH(N$1,enemy_skill_triggers!$1:$1,0)-MATCH($F$1,enemy_skill_triggers!$1:$1,0)+1,FALSE)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4" s="48">
        <f ca="1">VLOOKUP($F644,OFFSET(enemy_skill_triggers!$A$1,0,0,COUNTA(enemy_skill_triggers!$A:$A),MATCH(O$1,enemy_skill_triggers!$1:$1,0)-MATCH($F$1,enemy_skill_triggers!$1:$1,0)+1),MATCH(O$1,enemy_skill_triggers!$1:$1,0)-MATCH($F$1,enemy_skill_triggers!$1:$1,0)+1,FALSE)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44" s="47"/>
      <c r="Q644" s="47"/>
      <c r="R644" s="47"/>
    </row>
    <row r="645" spans="1:18" ht="21" customHeight="1" x14ac:dyDescent="0.15">
      <c r="A645" s="39" t="str">
        <f t="shared" si="28"/>
        <v>39009030_39009044</v>
      </c>
      <c r="B645" s="47">
        <v>39009030</v>
      </c>
      <c r="C645" s="127">
        <v>39009044</v>
      </c>
      <c r="D645" s="46" t="str">
        <f ca="1">VLOOKUP($C645,OFFSET(enemy_skills!$A$1,0,0,COUNTA(enemy_skills!$A:$A),MATCH(D$1,enemy_skills!$1:$1,0)-MATCH("enemy_skill_id",enemy_skills!$1:$1,0)+1),MATCH(D$1,enemy_skills!$1:$1,0)-MATCH("enemy_skill_id",enemy_skills!$1:$1,0)+1,FALSE)</f>
        <v>こずみっくアクセル</v>
      </c>
      <c r="E645" s="46" t="str">
        <f ca="1">VLOOKUP($C645,OFFSET(enemy_skills!$A$1,0,0,COUNTA(enemy_skills!$A:$A),MATCH(E$1,enemy_skills!$1:$1,0)-MATCH("enemy_skill_id",enemy_skills!$1:$1,0)+1),MATCH(E$1,enemy_skills!$1:$1,0)-MATCH("enemy_skill_id",enemy_skills!$1:$1,0)+1,FALSE)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645" s="127">
        <v>39009016</v>
      </c>
      <c r="G645" s="48">
        <f ca="1">VLOOKUP($F645,OFFSET(enemy_skill_triggers!$A$1,0,0,COUNTA(enemy_skill_triggers!$A:$A),MATCH(G$1,enemy_skill_triggers!$1:$1,0)-MATCH($F$1,enemy_skill_triggers!$1:$1,0)+1),MATCH(G$1,enemy_skill_triggers!$1:$1,0)-MATCH($F$1,enemy_skill_triggers!$1:$1,0)+1,FALSE)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5" s="48">
        <f ca="1">VLOOKUP($F645,OFFSET(enemy_skill_triggers!$A$1,0,0,COUNTA(enemy_skill_triggers!$A:$A),MATCH(H$1,enemy_skill_triggers!$1:$1,0)-MATCH($F$1,enemy_skill_triggers!$1:$1,0)+1),MATCH(H$1,enemy_skill_triggers!$1:$1,0)-MATCH($F$1,enemy_skill_triggers!$1:$1,0)+1,FALSE)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45" s="48">
        <f ca="1">VLOOKUP($F645,OFFSET(enemy_skill_triggers!$A$1,0,0,COUNTA(enemy_skill_triggers!$A:$A),MATCH(I$1,enemy_skill_triggers!$1:$1,0)-MATCH($F$1,enemy_skill_triggers!$1:$1,0)+1),MATCH(I$1,enemy_skill_triggers!$1:$1,0)-MATCH($F$1,enemy_skill_triggers!$1:$1,0)+1,FALSE)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45" s="48">
        <f ca="1">VLOOKUP($F645,OFFSET(enemy_skill_triggers!$A$1,0,0,COUNTA(enemy_skill_triggers!$A:$A),MATCH(J$1,enemy_skill_triggers!$1:$1,0)-MATCH($F$1,enemy_skill_triggers!$1:$1,0)+1),MATCH(J$1,enemy_skill_triggers!$1:$1,0)-MATCH($F$1,enemy_skill_triggers!$1:$1,0)+1,FALSE)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5" s="48" t="str">
        <f ca="1">VLOOKUP($F645,OFFSET(enemy_skill_triggers!$A$1,0,0,COUNTA(enemy_skill_triggers!$A:$A),MATCH(K$1,enemy_skill_triggers!$1:$1,0)-MATCH($F$1,enemy_skill_triggers!$1:$1,0)+1),MATCH(K$1,enemy_skill_triggers!$1:$1,0)-MATCH($F$1,enemy_skill_triggers!$1:$1,0)+1,FALSE)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5" s="48">
        <f ca="1">VLOOKUP($F645,OFFSET(enemy_skill_triggers!$A$1,0,0,COUNTA(enemy_skill_triggers!$A:$A),MATCH(L$1,enemy_skill_triggers!$1:$1,0)-MATCH($F$1,enemy_skill_triggers!$1:$1,0)+1),MATCH(L$1,enemy_skill_triggers!$1:$1,0)-MATCH($F$1,enemy_skill_triggers!$1:$1,0)+1,FALSE)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5" s="48" t="str">
        <f ca="1">VLOOKUP($F645,OFFSET(enemy_skill_triggers!$A$1,0,0,COUNTA(enemy_skill_triggers!$A:$A),MATCH(M$1,enemy_skill_triggers!$1:$1,0)-MATCH($F$1,enemy_skill_triggers!$1:$1,0)+1),MATCH(M$1,enemy_skill_triggers!$1:$1,0)-MATCH($F$1,enemy_skill_triggers!$1:$1,0)+1,FALSE)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5" s="48" t="str">
        <f ca="1">VLOOKUP($F645,OFFSET(enemy_skill_triggers!$A$1,0,0,COUNTA(enemy_skill_triggers!$A:$A),MATCH(N$1,enemy_skill_triggers!$1:$1,0)-MATCH($F$1,enemy_skill_triggers!$1:$1,0)+1),MATCH(N$1,enemy_skill_triggers!$1:$1,0)-MATCH($F$1,enemy_skill_triggers!$1:$1,0)+1,FALSE)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5" s="48">
        <f ca="1">VLOOKUP($F645,OFFSET(enemy_skill_triggers!$A$1,0,0,COUNTA(enemy_skill_triggers!$A:$A),MATCH(O$1,enemy_skill_triggers!$1:$1,0)-MATCH($F$1,enemy_skill_triggers!$1:$1,0)+1),MATCH(O$1,enemy_skill_triggers!$1:$1,0)-MATCH($F$1,enemy_skill_triggers!$1:$1,0)+1,FALSE)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45" s="47"/>
      <c r="Q645" s="47"/>
      <c r="R645" s="47"/>
    </row>
    <row r="646" spans="1:18" ht="21" customHeight="1" x14ac:dyDescent="0.15">
      <c r="A646" s="39" t="str">
        <f t="shared" si="28"/>
        <v>39009031_39009045</v>
      </c>
      <c r="B646" s="47">
        <v>39009031</v>
      </c>
      <c r="C646" s="128">
        <v>39009045</v>
      </c>
      <c r="D646" s="46" t="str">
        <f ca="1">VLOOKUP($C646,OFFSET(enemy_skills!$A$1,0,0,COUNTA(enemy_skills!$A:$A),MATCH(D$1,enemy_skills!$1:$1,0)-MATCH("enemy_skill_id",enemy_skills!$1:$1,0)+1),MATCH(D$1,enemy_skills!$1:$1,0)-MATCH("enemy_skill_id",enemy_skills!$1:$1,0)+1,FALSE)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646" s="46" t="str">
        <f ca="1">VLOOKUP($C646,OFFSET(enemy_skills!$A$1,0,0,COUNTA(enemy_skills!$A:$A),MATCH(E$1,enemy_skills!$1:$1,0)-MATCH("enemy_skill_id",enemy_skills!$1:$1,0)+1),MATCH(E$1,enemy_skills!$1:$1,0)-MATCH("enemy_skill_id",enemy_skills!$1:$1,0)+1,FALSE)</f>
        <v>3ターン回復効果付与</v>
      </c>
      <c r="F646" s="128">
        <v>39009017</v>
      </c>
      <c r="G646" s="48">
        <f ca="1">VLOOKUP($F646,OFFSET(enemy_skill_triggers!$A$1,0,0,COUNTA(enemy_skill_triggers!$A:$A),MATCH(G$1,enemy_skill_triggers!$1:$1,0)-MATCH($F$1,enemy_skill_triggers!$1:$1,0)+1),MATCH(G$1,enemy_skill_triggers!$1:$1,0)-MATCH($F$1,enemy_skill_triggers!$1:$1,0)+1,FALSE)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6" s="48" t="str">
        <f ca="1">VLOOKUP($F646,OFFSET(enemy_skill_triggers!$A$1,0,0,COUNTA(enemy_skill_triggers!$A:$A),MATCH(H$1,enemy_skill_triggers!$1:$1,0)-MATCH($F$1,enemy_skill_triggers!$1:$1,0)+1),MATCH(H$1,enemy_skill_triggers!$1:$1,0)-MATCH($F$1,enemy_skill_triggers!$1:$1,0)+1,FALSE)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6" s="48">
        <f ca="1">VLOOKUP($F646,OFFSET(enemy_skill_triggers!$A$1,0,0,COUNTA(enemy_skill_triggers!$A:$A),MATCH(I$1,enemy_skill_triggers!$1:$1,0)-MATCH($F$1,enemy_skill_triggers!$1:$1,0)+1),MATCH(I$1,enemy_skill_triggers!$1:$1,0)-MATCH($F$1,enemy_skill_triggers!$1:$1,0)+1,FALSE)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6" s="48" t="str">
        <f ca="1">VLOOKUP($F646,OFFSET(enemy_skill_triggers!$A$1,0,0,COUNTA(enemy_skill_triggers!$A:$A),MATCH(J$1,enemy_skill_triggers!$1:$1,0)-MATCH($F$1,enemy_skill_triggers!$1:$1,0)+1),MATCH(J$1,enemy_skill_triggers!$1:$1,0)-MATCH($F$1,enemy_skill_triggers!$1:$1,0)+1,FALSE)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6" s="48" t="str">
        <f ca="1">VLOOKUP($F646,OFFSET(enemy_skill_triggers!$A$1,0,0,COUNTA(enemy_skill_triggers!$A:$A),MATCH(K$1,enemy_skill_triggers!$1:$1,0)-MATCH($F$1,enemy_skill_triggers!$1:$1,0)+1),MATCH(K$1,enemy_skill_triggers!$1:$1,0)-MATCH($F$1,enemy_skill_triggers!$1:$1,0)+1,FALSE)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6" s="48">
        <f ca="1">VLOOKUP($F646,OFFSET(enemy_skill_triggers!$A$1,0,0,COUNTA(enemy_skill_triggers!$A:$A),MATCH(L$1,enemy_skill_triggers!$1:$1,0)-MATCH($F$1,enemy_skill_triggers!$1:$1,0)+1),MATCH(L$1,enemy_skill_triggers!$1:$1,0)-MATCH($F$1,enemy_skill_triggers!$1:$1,0)+1,FALSE)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6" s="48" t="str">
        <f ca="1">VLOOKUP($F646,OFFSET(enemy_skill_triggers!$A$1,0,0,COUNTA(enemy_skill_triggers!$A:$A),MATCH(M$1,enemy_skill_triggers!$1:$1,0)-MATCH($F$1,enemy_skill_triggers!$1:$1,0)+1),MATCH(M$1,enemy_skill_triggers!$1:$1,0)-MATCH($F$1,enemy_skill_triggers!$1:$1,0)+1,FALSE)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6" s="48" t="str">
        <f ca="1">VLOOKUP($F646,OFFSET(enemy_skill_triggers!$A$1,0,0,COUNTA(enemy_skill_triggers!$A:$A),MATCH(N$1,enemy_skill_triggers!$1:$1,0)-MATCH($F$1,enemy_skill_triggers!$1:$1,0)+1),MATCH(N$1,enemy_skill_triggers!$1:$1,0)-MATCH($F$1,enemy_skill_triggers!$1:$1,0)+1,FALSE)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6" s="48">
        <f ca="1">VLOOKUP($F646,OFFSET(enemy_skill_triggers!$A$1,0,0,COUNTA(enemy_skill_triggers!$A:$A),MATCH(O$1,enemy_skill_triggers!$1:$1,0)-MATCH($F$1,enemy_skill_triggers!$1:$1,0)+1),MATCH(O$1,enemy_skill_triggers!$1:$1,0)-MATCH($F$1,enemy_skill_triggers!$1:$1,0)+1,FALSE)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6" s="47"/>
      <c r="Q646" s="47"/>
      <c r="R646" s="47"/>
    </row>
    <row r="647" spans="1:18" ht="21" customHeight="1" x14ac:dyDescent="0.15">
      <c r="A647" s="39" t="str">
        <f t="shared" si="28"/>
        <v>39009032_39009046</v>
      </c>
      <c r="B647" s="47">
        <v>39009032</v>
      </c>
      <c r="C647" s="129">
        <v>39009046</v>
      </c>
      <c r="D647" s="46" t="str">
        <f ca="1">VLOOKUP($C647,OFFSET(enemy_skills!$A$1,0,0,COUNTA(enemy_skills!$A:$A),MATCH(D$1,enemy_skills!$1:$1,0)-MATCH("enemy_skill_id",enemy_skills!$1:$1,0)+1),MATCH(D$1,enemy_skills!$1:$1,0)-MATCH("enemy_skill_id",enemy_skills!$1:$1,0)+1,FALSE)</f>
        <v>こんにちわ♪</v>
      </c>
      <c r="E647" s="46" t="str">
        <f ca="1">VLOOKUP($C647,OFFSET(enemy_skills!$A$1,0,0,COUNTA(enemy_skills!$A:$A),MATCH(E$1,enemy_skills!$1:$1,0)-MATCH("enemy_skill_id",enemy_skills!$1:$1,0)+1),MATCH(E$1,enemy_skills!$1:$1,0)-MATCH("enemy_skill_id",enemy_skills!$1:$1,0)+1,FALSE)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47" s="129">
        <v>39009018</v>
      </c>
      <c r="G647" s="48">
        <f ca="1">VLOOKUP($F647,OFFSET(enemy_skill_triggers!$A$1,0,0,COUNTA(enemy_skill_triggers!$A:$A),MATCH(G$1,enemy_skill_triggers!$1:$1,0)-MATCH($F$1,enemy_skill_triggers!$1:$1,0)+1),MATCH(G$1,enemy_skill_triggers!$1:$1,0)-MATCH($F$1,enemy_skill_triggers!$1:$1,0)+1,FALSE)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7" s="48" t="str">
        <f ca="1">VLOOKUP($F647,OFFSET(enemy_skill_triggers!$A$1,0,0,COUNTA(enemy_skill_triggers!$A:$A),MATCH(H$1,enemy_skill_triggers!$1:$1,0)-MATCH($F$1,enemy_skill_triggers!$1:$1,0)+1),MATCH(H$1,enemy_skill_triggers!$1:$1,0)-MATCH($F$1,enemy_skill_triggers!$1:$1,0)+1,FALSE)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7" s="48">
        <f ca="1">VLOOKUP($F647,OFFSET(enemy_skill_triggers!$A$1,0,0,COUNTA(enemy_skill_triggers!$A:$A),MATCH(I$1,enemy_skill_triggers!$1:$1,0)-MATCH($F$1,enemy_skill_triggers!$1:$1,0)+1),MATCH(I$1,enemy_skill_triggers!$1:$1,0)-MATCH($F$1,enemy_skill_triggers!$1:$1,0)+1,FALSE)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7" s="48" t="str">
        <f ca="1">VLOOKUP($F647,OFFSET(enemy_skill_triggers!$A$1,0,0,COUNTA(enemy_skill_triggers!$A:$A),MATCH(J$1,enemy_skill_triggers!$1:$1,0)-MATCH($F$1,enemy_skill_triggers!$1:$1,0)+1),MATCH(J$1,enemy_skill_triggers!$1:$1,0)-MATCH($F$1,enemy_skill_triggers!$1:$1,0)+1,FALSE)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7" s="48" t="str">
        <f ca="1">VLOOKUP($F647,OFFSET(enemy_skill_triggers!$A$1,0,0,COUNTA(enemy_skill_triggers!$A:$A),MATCH(K$1,enemy_skill_triggers!$1:$1,0)-MATCH($F$1,enemy_skill_triggers!$1:$1,0)+1),MATCH(K$1,enemy_skill_triggers!$1:$1,0)-MATCH($F$1,enemy_skill_triggers!$1:$1,0)+1,FALSE)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7" s="48">
        <f ca="1">VLOOKUP($F647,OFFSET(enemy_skill_triggers!$A$1,0,0,COUNTA(enemy_skill_triggers!$A:$A),MATCH(L$1,enemy_skill_triggers!$1:$1,0)-MATCH($F$1,enemy_skill_triggers!$1:$1,0)+1),MATCH(L$1,enemy_skill_triggers!$1:$1,0)-MATCH($F$1,enemy_skill_triggers!$1:$1,0)+1,FALSE)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7" s="48" t="str">
        <f ca="1">VLOOKUP($F647,OFFSET(enemy_skill_triggers!$A$1,0,0,COUNTA(enemy_skill_triggers!$A:$A),MATCH(M$1,enemy_skill_triggers!$1:$1,0)-MATCH($F$1,enemy_skill_triggers!$1:$1,0)+1),MATCH(M$1,enemy_skill_triggers!$1:$1,0)-MATCH($F$1,enemy_skill_triggers!$1:$1,0)+1,FALSE)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7" s="48" t="str">
        <f ca="1">VLOOKUP($F647,OFFSET(enemy_skill_triggers!$A$1,0,0,COUNTA(enemy_skill_triggers!$A:$A),MATCH(N$1,enemy_skill_triggers!$1:$1,0)-MATCH($F$1,enemy_skill_triggers!$1:$1,0)+1),MATCH(N$1,enemy_skill_triggers!$1:$1,0)-MATCH($F$1,enemy_skill_triggers!$1:$1,0)+1,FALSE)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7" s="48">
        <f ca="1">VLOOKUP($F647,OFFSET(enemy_skill_triggers!$A$1,0,0,COUNTA(enemy_skill_triggers!$A:$A),MATCH(O$1,enemy_skill_triggers!$1:$1,0)-MATCH($F$1,enemy_skill_triggers!$1:$1,0)+1),MATCH(O$1,enemy_skill_triggers!$1:$1,0)-MATCH($F$1,enemy_skill_triggers!$1:$1,0)+1,FALSE)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7" s="47"/>
      <c r="Q647" s="47"/>
      <c r="R647" s="47"/>
    </row>
    <row r="648" spans="1:18" ht="21" customHeight="1" x14ac:dyDescent="0.15">
      <c r="A648" s="39" t="str">
        <f t="shared" si="28"/>
        <v>39009033_39009047</v>
      </c>
      <c r="B648" s="47">
        <v>39009033</v>
      </c>
      <c r="C648" s="131">
        <v>39009047</v>
      </c>
      <c r="D648" s="46" t="str">
        <f ca="1">VLOOKUP($C648,OFFSET(enemy_skills!$A$1,0,0,COUNTA(enemy_skills!$A:$A),MATCH(D$1,enemy_skills!$1:$1,0)-MATCH("enemy_skill_id",enemy_skills!$1:$1,0)+1),MATCH(D$1,enemy_skills!$1:$1,0)-MATCH("enemy_skill_id",enemy_skills!$1:$1,0)+1,FALSE)</f>
        <v>パワフルな願い星をどうぞ☆</v>
      </c>
      <c r="E648" s="46" t="str">
        <f ca="1">VLOOKUP($C648,OFFSET(enemy_skills!$A$1,0,0,COUNTA(enemy_skills!$A:$A),MATCH(E$1,enemy_skills!$1:$1,0)-MATCH("enemy_skill_id",enemy_skills!$1:$1,0)+1),MATCH(E$1,enemy_skills!$1:$1,0)-MATCH("enemy_skill_id",enemy_skills!$1:$1,0)+1,FALSE)</f>
        <v>緑パネルを緑のダメージパネルに8個変換</v>
      </c>
      <c r="F648" s="131">
        <v>39009019</v>
      </c>
      <c r="G648" s="48">
        <f ca="1">VLOOKUP($F648,OFFSET(enemy_skill_triggers!$A$1,0,0,COUNTA(enemy_skill_triggers!$A:$A),MATCH(G$1,enemy_skill_triggers!$1:$1,0)-MATCH($F$1,enemy_skill_triggers!$1:$1,0)+1),MATCH(G$1,enemy_skill_triggers!$1:$1,0)-MATCH($F$1,enemy_skill_triggers!$1:$1,0)+1,FALSE)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8" s="48">
        <f ca="1">VLOOKUP($F648,OFFSET(enemy_skill_triggers!$A$1,0,0,COUNTA(enemy_skill_triggers!$A:$A),MATCH(H$1,enemy_skill_triggers!$1:$1,0)-MATCH($F$1,enemy_skill_triggers!$1:$1,0)+1),MATCH(H$1,enemy_skill_triggers!$1:$1,0)-MATCH($F$1,enemy_skill_triggers!$1:$1,0)+1,FALSE)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8" s="48">
        <f ca="1">VLOOKUP($F648,OFFSET(enemy_skill_triggers!$A$1,0,0,COUNTA(enemy_skill_triggers!$A:$A),MATCH(I$1,enemy_skill_triggers!$1:$1,0)-MATCH($F$1,enemy_skill_triggers!$1:$1,0)+1),MATCH(I$1,enemy_skill_triggers!$1:$1,0)-MATCH($F$1,enemy_skill_triggers!$1:$1,0)+1,FALSE)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8" s="48" t="str">
        <f ca="1">VLOOKUP($F648,OFFSET(enemy_skill_triggers!$A$1,0,0,COUNTA(enemy_skill_triggers!$A:$A),MATCH(J$1,enemy_skill_triggers!$1:$1,0)-MATCH($F$1,enemy_skill_triggers!$1:$1,0)+1),MATCH(J$1,enemy_skill_triggers!$1:$1,0)-MATCH($F$1,enemy_skill_triggers!$1:$1,0)+1,FALSE)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8" s="48" t="str">
        <f ca="1">VLOOKUP($F648,OFFSET(enemy_skill_triggers!$A$1,0,0,COUNTA(enemy_skill_triggers!$A:$A),MATCH(K$1,enemy_skill_triggers!$1:$1,0)-MATCH($F$1,enemy_skill_triggers!$1:$1,0)+1),MATCH(K$1,enemy_skill_triggers!$1:$1,0)-MATCH($F$1,enemy_skill_triggers!$1:$1,0)+1,FALSE)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8" s="48">
        <f ca="1">VLOOKUP($F648,OFFSET(enemy_skill_triggers!$A$1,0,0,COUNTA(enemy_skill_triggers!$A:$A),MATCH(L$1,enemy_skill_triggers!$1:$1,0)-MATCH($F$1,enemy_skill_triggers!$1:$1,0)+1),MATCH(L$1,enemy_skill_triggers!$1:$1,0)-MATCH($F$1,enemy_skill_triggers!$1:$1,0)+1,FALSE)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8" s="48" t="str">
        <f ca="1">VLOOKUP($F648,OFFSET(enemy_skill_triggers!$A$1,0,0,COUNTA(enemy_skill_triggers!$A:$A),MATCH(M$1,enemy_skill_triggers!$1:$1,0)-MATCH($F$1,enemy_skill_triggers!$1:$1,0)+1),MATCH(M$1,enemy_skill_triggers!$1:$1,0)-MATCH($F$1,enemy_skill_triggers!$1:$1,0)+1,FALSE)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8" s="48" t="str">
        <f ca="1">VLOOKUP($F648,OFFSET(enemy_skill_triggers!$A$1,0,0,COUNTA(enemy_skill_triggers!$A:$A),MATCH(N$1,enemy_skill_triggers!$1:$1,0)-MATCH($F$1,enemy_skill_triggers!$1:$1,0)+1),MATCH(N$1,enemy_skill_triggers!$1:$1,0)-MATCH($F$1,enemy_skill_triggers!$1:$1,0)+1,FALSE)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8" s="48">
        <f ca="1">VLOOKUP($F648,OFFSET(enemy_skill_triggers!$A$1,0,0,COUNTA(enemy_skill_triggers!$A:$A),MATCH(O$1,enemy_skill_triggers!$1:$1,0)-MATCH($F$1,enemy_skill_triggers!$1:$1,0)+1),MATCH(O$1,enemy_skill_triggers!$1:$1,0)-MATCH($F$1,enemy_skill_triggers!$1:$1,0)+1,FALSE)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8" s="47"/>
      <c r="Q648" s="47"/>
      <c r="R648" s="47"/>
    </row>
    <row r="649" spans="1:18" ht="21" customHeight="1" x14ac:dyDescent="0.15">
      <c r="A649" s="39" t="str">
        <f t="shared" si="28"/>
        <v>39009033_39009050</v>
      </c>
      <c r="B649" s="47">
        <v>39009033</v>
      </c>
      <c r="C649" s="131">
        <v>39009050</v>
      </c>
      <c r="D649" s="46" t="str">
        <f ca="1">VLOOKUP($C649,OFFSET(enemy_skills!$A$1,0,0,COUNTA(enemy_skills!$A:$A),MATCH(D$1,enemy_skills!$1:$1,0)-MATCH("enemy_skill_id",enemy_skills!$1:$1,0)+1),MATCH(D$1,enemy_skills!$1:$1,0)-MATCH("enemy_skill_id",enemy_skills!$1:$1,0)+1,FALSE)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649" s="46" t="str">
        <f ca="1">VLOOKUP($C649,OFFSET(enemy_skills!$A$1,0,0,COUNTA(enemy_skills!$A:$A),MATCH(E$1,enemy_skills!$1:$1,0)-MATCH("enemy_skill_id",enemy_skills!$1:$1,0)+1),MATCH(E$1,enemy_skills!$1:$1,0)-MATCH("enemy_skill_id",enemy_skills!$1:$1,0)+1,FALSE)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49" s="131">
        <v>39009020</v>
      </c>
      <c r="G649" s="48">
        <f ca="1">VLOOKUP($F649,OFFSET(enemy_skill_triggers!$A$1,0,0,COUNTA(enemy_skill_triggers!$A:$A),MATCH(G$1,enemy_skill_triggers!$1:$1,0)-MATCH($F$1,enemy_skill_triggers!$1:$1,0)+1),MATCH(G$1,enemy_skill_triggers!$1:$1,0)-MATCH($F$1,enemy_skill_triggers!$1:$1,0)+1,FALSE)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9" s="48">
        <f ca="1">VLOOKUP($F649,OFFSET(enemy_skill_triggers!$A$1,0,0,COUNTA(enemy_skill_triggers!$A:$A),MATCH(H$1,enemy_skill_triggers!$1:$1,0)-MATCH($F$1,enemy_skill_triggers!$1:$1,0)+1),MATCH(H$1,enemy_skill_triggers!$1:$1,0)-MATCH($F$1,enemy_skill_triggers!$1:$1,0)+1,FALSE)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649" s="48">
        <f ca="1">VLOOKUP($F649,OFFSET(enemy_skill_triggers!$A$1,0,0,COUNTA(enemy_skill_triggers!$A:$A),MATCH(I$1,enemy_skill_triggers!$1:$1,0)-MATCH($F$1,enemy_skill_triggers!$1:$1,0)+1),MATCH(I$1,enemy_skill_triggers!$1:$1,0)-MATCH($F$1,enemy_skill_triggers!$1:$1,0)+1,FALSE)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9" s="48" t="str">
        <f ca="1">VLOOKUP($F649,OFFSET(enemy_skill_triggers!$A$1,0,0,COUNTA(enemy_skill_triggers!$A:$A),MATCH(J$1,enemy_skill_triggers!$1:$1,0)-MATCH($F$1,enemy_skill_triggers!$1:$1,0)+1),MATCH(J$1,enemy_skill_triggers!$1:$1,0)-MATCH($F$1,enemy_skill_triggers!$1:$1,0)+1,FALSE)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9" s="48" t="str">
        <f ca="1">VLOOKUP($F649,OFFSET(enemy_skill_triggers!$A$1,0,0,COUNTA(enemy_skill_triggers!$A:$A),MATCH(K$1,enemy_skill_triggers!$1:$1,0)-MATCH($F$1,enemy_skill_triggers!$1:$1,0)+1),MATCH(K$1,enemy_skill_triggers!$1:$1,0)-MATCH($F$1,enemy_skill_triggers!$1:$1,0)+1,FALSE)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9" s="48">
        <f ca="1">VLOOKUP($F649,OFFSET(enemy_skill_triggers!$A$1,0,0,COUNTA(enemy_skill_triggers!$A:$A),MATCH(L$1,enemy_skill_triggers!$1:$1,0)-MATCH($F$1,enemy_skill_triggers!$1:$1,0)+1),MATCH(L$1,enemy_skill_triggers!$1:$1,0)-MATCH($F$1,enemy_skill_triggers!$1:$1,0)+1,FALSE)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9" s="48" t="str">
        <f ca="1">VLOOKUP($F649,OFFSET(enemy_skill_triggers!$A$1,0,0,COUNTA(enemy_skill_triggers!$A:$A),MATCH(M$1,enemy_skill_triggers!$1:$1,0)-MATCH($F$1,enemy_skill_triggers!$1:$1,0)+1),MATCH(M$1,enemy_skill_triggers!$1:$1,0)-MATCH($F$1,enemy_skill_triggers!$1:$1,0)+1,FALSE)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9" s="48">
        <f ca="1">VLOOKUP($F649,OFFSET(enemy_skill_triggers!$A$1,0,0,COUNTA(enemy_skill_triggers!$A:$A),MATCH(N$1,enemy_skill_triggers!$1:$1,0)-MATCH($F$1,enemy_skill_triggers!$1:$1,0)+1),MATCH(N$1,enemy_skill_triggers!$1:$1,0)-MATCH($F$1,enemy_skill_triggers!$1:$1,0)+1,FALSE)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649" s="48">
        <f ca="1">VLOOKUP($F649,OFFSET(enemy_skill_triggers!$A$1,0,0,COUNTA(enemy_skill_triggers!$A:$A),MATCH(O$1,enemy_skill_triggers!$1:$1,0)-MATCH($F$1,enemy_skill_triggers!$1:$1,0)+1),MATCH(O$1,enemy_skill_triggers!$1:$1,0)-MATCH($F$1,enemy_skill_triggers!$1:$1,0)+1,FALSE)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9" s="47"/>
      <c r="Q649" s="47"/>
      <c r="R649" s="47"/>
    </row>
    <row r="650" spans="1:18" ht="21" customHeight="1" x14ac:dyDescent="0.15">
      <c r="A650" s="39" t="str">
        <f t="shared" si="28"/>
        <v>39009033_39009051</v>
      </c>
      <c r="B650" s="47">
        <v>39009033</v>
      </c>
      <c r="C650" s="131">
        <v>39009051</v>
      </c>
      <c r="D650" s="46" t="str">
        <f ca="1">VLOOKUP($C650,OFFSET(enemy_skills!$A$1,0,0,COUNTA(enemy_skills!$A:$A),MATCH(D$1,enemy_skills!$1:$1,0)-MATCH("enemy_skill_id",enemy_skills!$1:$1,0)+1),MATCH(D$1,enemy_skills!$1:$1,0)-MATCH("enemy_skill_id",enemy_skills!$1:$1,0)+1,FALSE)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650" s="46" t="str">
        <f ca="1">VLOOKUP($C650,OFFSET(enemy_skills!$A$1,0,0,COUNTA(enemy_skills!$A:$A),MATCH(E$1,enemy_skills!$1:$1,0)-MATCH("enemy_skill_id",enemy_skills!$1:$1,0)+1),MATCH(E$1,enemy_skills!$1:$1,0)-MATCH("enemy_skill_id",enemy_skills!$1:$1,0)+1,FALSE)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0" s="131">
        <v>39009021</v>
      </c>
      <c r="G650" s="48">
        <f ca="1">VLOOKUP($F650,OFFSET(enemy_skill_triggers!$A$1,0,0,COUNTA(enemy_skill_triggers!$A:$A),MATCH(G$1,enemy_skill_triggers!$1:$1,0)-MATCH($F$1,enemy_skill_triggers!$1:$1,0)+1),MATCH(G$1,enemy_skill_triggers!$1:$1,0)-MATCH($F$1,enemy_skill_triggers!$1:$1,0)+1,FALSE)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0" s="48">
        <f ca="1">VLOOKUP($F650,OFFSET(enemy_skill_triggers!$A$1,0,0,COUNTA(enemy_skill_triggers!$A:$A),MATCH(H$1,enemy_skill_triggers!$1:$1,0)-MATCH($F$1,enemy_skill_triggers!$1:$1,0)+1),MATCH(H$1,enemy_skill_triggers!$1:$1,0)-MATCH($F$1,enemy_skill_triggers!$1:$1,0)+1,FALSE)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650" s="48">
        <f ca="1">VLOOKUP($F650,OFFSET(enemy_skill_triggers!$A$1,0,0,COUNTA(enemy_skill_triggers!$A:$A),MATCH(I$1,enemy_skill_triggers!$1:$1,0)-MATCH($F$1,enemy_skill_triggers!$1:$1,0)+1),MATCH(I$1,enemy_skill_triggers!$1:$1,0)-MATCH($F$1,enemy_skill_triggers!$1:$1,0)+1,FALSE)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0" s="48" t="str">
        <f ca="1">VLOOKUP($F650,OFFSET(enemy_skill_triggers!$A$1,0,0,COUNTA(enemy_skill_triggers!$A:$A),MATCH(J$1,enemy_skill_triggers!$1:$1,0)-MATCH($F$1,enemy_skill_triggers!$1:$1,0)+1),MATCH(J$1,enemy_skill_triggers!$1:$1,0)-MATCH($F$1,enemy_skill_triggers!$1:$1,0)+1,FALSE)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0" s="48" t="str">
        <f ca="1">VLOOKUP($F650,OFFSET(enemy_skill_triggers!$A$1,0,0,COUNTA(enemy_skill_triggers!$A:$A),MATCH(K$1,enemy_skill_triggers!$1:$1,0)-MATCH($F$1,enemy_skill_triggers!$1:$1,0)+1),MATCH(K$1,enemy_skill_triggers!$1:$1,0)-MATCH($F$1,enemy_skill_triggers!$1:$1,0)+1,FALSE)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0" s="48">
        <f ca="1">VLOOKUP($F650,OFFSET(enemy_skill_triggers!$A$1,0,0,COUNTA(enemy_skill_triggers!$A:$A),MATCH(L$1,enemy_skill_triggers!$1:$1,0)-MATCH($F$1,enemy_skill_triggers!$1:$1,0)+1),MATCH(L$1,enemy_skill_triggers!$1:$1,0)-MATCH($F$1,enemy_skill_triggers!$1:$1,0)+1,FALSE)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0" s="48" t="str">
        <f ca="1">VLOOKUP($F650,OFFSET(enemy_skill_triggers!$A$1,0,0,COUNTA(enemy_skill_triggers!$A:$A),MATCH(M$1,enemy_skill_triggers!$1:$1,0)-MATCH($F$1,enemy_skill_triggers!$1:$1,0)+1),MATCH(M$1,enemy_skill_triggers!$1:$1,0)-MATCH($F$1,enemy_skill_triggers!$1:$1,0)+1,FALSE)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0" s="48">
        <f ca="1">VLOOKUP($F650,OFFSET(enemy_skill_triggers!$A$1,0,0,COUNTA(enemy_skill_triggers!$A:$A),MATCH(N$1,enemy_skill_triggers!$1:$1,0)-MATCH($F$1,enemy_skill_triggers!$1:$1,0)+1),MATCH(N$1,enemy_skill_triggers!$1:$1,0)-MATCH($F$1,enemy_skill_triggers!$1:$1,0)+1,FALSE)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50" s="48">
        <f ca="1">VLOOKUP($F650,OFFSET(enemy_skill_triggers!$A$1,0,0,COUNTA(enemy_skill_triggers!$A:$A),MATCH(O$1,enemy_skill_triggers!$1:$1,0)-MATCH($F$1,enemy_skill_triggers!$1:$1,0)+1),MATCH(O$1,enemy_skill_triggers!$1:$1,0)-MATCH($F$1,enemy_skill_triggers!$1:$1,0)+1,FALSE)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0" s="47"/>
      <c r="Q650" s="47"/>
      <c r="R650" s="47"/>
    </row>
    <row r="651" spans="1:18" ht="21" customHeight="1" x14ac:dyDescent="0.15">
      <c r="A651" s="39" t="str">
        <f t="shared" si="28"/>
        <v>39009033_39009052</v>
      </c>
      <c r="B651" s="47">
        <v>39009033</v>
      </c>
      <c r="C651" s="131">
        <v>39009052</v>
      </c>
      <c r="D651" s="46" t="str">
        <f ca="1">VLOOKUP($C651,OFFSET(enemy_skills!$A$1,0,0,COUNTA(enemy_skills!$A:$A),MATCH(D$1,enemy_skills!$1:$1,0)-MATCH("enemy_skill_id",enemy_skills!$1:$1,0)+1),MATCH(D$1,enemy_skills!$1:$1,0)-MATCH("enemy_skill_id",enemy_skills!$1:$1,0)+1,FALSE)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651" s="46" t="str">
        <f ca="1">VLOOKUP($C651,OFFSET(enemy_skills!$A$1,0,0,COUNTA(enemy_skills!$A:$A),MATCH(E$1,enemy_skills!$1:$1,0)-MATCH("enemy_skill_id",enemy_skills!$1:$1,0)+1),MATCH(E$1,enemy_skills!$1:$1,0)-MATCH("enemy_skill_id",enemy_skills!$1:$1,0)+1,FALSE)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1" s="131">
        <v>39009022</v>
      </c>
      <c r="G651" s="48">
        <f ca="1">VLOOKUP($F651,OFFSET(enemy_skill_triggers!$A$1,0,0,COUNTA(enemy_skill_triggers!$A:$A),MATCH(G$1,enemy_skill_triggers!$1:$1,0)-MATCH($F$1,enemy_skill_triggers!$1:$1,0)+1),MATCH(G$1,enemy_skill_triggers!$1:$1,0)-MATCH($F$1,enemy_skill_triggers!$1:$1,0)+1,FALSE)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1" s="48">
        <f ca="1">VLOOKUP($F651,OFFSET(enemy_skill_triggers!$A$1,0,0,COUNTA(enemy_skill_triggers!$A:$A),MATCH(H$1,enemy_skill_triggers!$1:$1,0)-MATCH($F$1,enemy_skill_triggers!$1:$1,0)+1),MATCH(H$1,enemy_skill_triggers!$1:$1,0)-MATCH($F$1,enemy_skill_triggers!$1:$1,0)+1,FALSE)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651" s="48">
        <f ca="1">VLOOKUP($F651,OFFSET(enemy_skill_triggers!$A$1,0,0,COUNTA(enemy_skill_triggers!$A:$A),MATCH(I$1,enemy_skill_triggers!$1:$1,0)-MATCH($F$1,enemy_skill_triggers!$1:$1,0)+1),MATCH(I$1,enemy_skill_triggers!$1:$1,0)-MATCH($F$1,enemy_skill_triggers!$1:$1,0)+1,FALSE)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1" s="48" t="str">
        <f ca="1">VLOOKUP($F651,OFFSET(enemy_skill_triggers!$A$1,0,0,COUNTA(enemy_skill_triggers!$A:$A),MATCH(J$1,enemy_skill_triggers!$1:$1,0)-MATCH($F$1,enemy_skill_triggers!$1:$1,0)+1),MATCH(J$1,enemy_skill_triggers!$1:$1,0)-MATCH($F$1,enemy_skill_triggers!$1:$1,0)+1,FALSE)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1" s="48" t="str">
        <f ca="1">VLOOKUP($F651,OFFSET(enemy_skill_triggers!$A$1,0,0,COUNTA(enemy_skill_triggers!$A:$A),MATCH(K$1,enemy_skill_triggers!$1:$1,0)-MATCH($F$1,enemy_skill_triggers!$1:$1,0)+1),MATCH(K$1,enemy_skill_triggers!$1:$1,0)-MATCH($F$1,enemy_skill_triggers!$1:$1,0)+1,FALSE)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1" s="48">
        <f ca="1">VLOOKUP($F651,OFFSET(enemy_skill_triggers!$A$1,0,0,COUNTA(enemy_skill_triggers!$A:$A),MATCH(L$1,enemy_skill_triggers!$1:$1,0)-MATCH($F$1,enemy_skill_triggers!$1:$1,0)+1),MATCH(L$1,enemy_skill_triggers!$1:$1,0)-MATCH($F$1,enemy_skill_triggers!$1:$1,0)+1,FALSE)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1" s="48" t="str">
        <f ca="1">VLOOKUP($F651,OFFSET(enemy_skill_triggers!$A$1,0,0,COUNTA(enemy_skill_triggers!$A:$A),MATCH(M$1,enemy_skill_triggers!$1:$1,0)-MATCH($F$1,enemy_skill_triggers!$1:$1,0)+1),MATCH(M$1,enemy_skill_triggers!$1:$1,0)-MATCH($F$1,enemy_skill_triggers!$1:$1,0)+1,FALSE)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1" s="48">
        <f ca="1">VLOOKUP($F651,OFFSET(enemy_skill_triggers!$A$1,0,0,COUNTA(enemy_skill_triggers!$A:$A),MATCH(N$1,enemy_skill_triggers!$1:$1,0)-MATCH($F$1,enemy_skill_triggers!$1:$1,0)+1),MATCH(N$1,enemy_skill_triggers!$1:$1,0)-MATCH($F$1,enemy_skill_triggers!$1:$1,0)+1,FALSE)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51" s="48">
        <f ca="1">VLOOKUP($F651,OFFSET(enemy_skill_triggers!$A$1,0,0,COUNTA(enemy_skill_triggers!$A:$A),MATCH(O$1,enemy_skill_triggers!$1:$1,0)-MATCH($F$1,enemy_skill_triggers!$1:$1,0)+1),MATCH(O$1,enemy_skill_triggers!$1:$1,0)-MATCH($F$1,enemy_skill_triggers!$1:$1,0)+1,FALSE)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1" s="47"/>
      <c r="Q651" s="47"/>
      <c r="R651" s="47"/>
    </row>
    <row r="652" spans="1:18" ht="21" customHeight="1" x14ac:dyDescent="0.15">
      <c r="A652" s="39" t="str">
        <f t="shared" si="28"/>
        <v>39009033_39009056</v>
      </c>
      <c r="B652" s="47">
        <v>39009033</v>
      </c>
      <c r="C652" s="131">
        <v>39009056</v>
      </c>
      <c r="D652" s="46" t="str">
        <f ca="1">VLOOKUP($C652,OFFSET(enemy_skills!$A$1,0,0,COUNTA(enemy_skills!$A:$A),MATCH(D$1,enemy_skills!$1:$1,0)-MATCH("enemy_skill_id",enemy_skills!$1:$1,0)+1),MATCH(D$1,enemy_skills!$1:$1,0)-MATCH("enemy_skill_id",enemy_skills!$1:$1,0)+1,FALSE)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652" s="46" t="str">
        <f ca="1">VLOOKUP($C652,OFFSET(enemy_skills!$A$1,0,0,COUNTA(enemy_skills!$A:$A),MATCH(E$1,enemy_skills!$1:$1,0)-MATCH("enemy_skill_id",enemy_skills!$1:$1,0)+1),MATCH(E$1,enemy_skills!$1:$1,0)-MATCH("enemy_skill_id",enemy_skills!$1:$1,0)+1,FALSE)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2" s="131">
        <v>39009023</v>
      </c>
      <c r="G652" s="48">
        <f ca="1">VLOOKUP($F652,OFFSET(enemy_skill_triggers!$A$1,0,0,COUNTA(enemy_skill_triggers!$A:$A),MATCH(G$1,enemy_skill_triggers!$1:$1,0)-MATCH($F$1,enemy_skill_triggers!$1:$1,0)+1),MATCH(G$1,enemy_skill_triggers!$1:$1,0)-MATCH($F$1,enemy_skill_triggers!$1:$1,0)+1,FALSE)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2" s="48">
        <f ca="1">VLOOKUP($F652,OFFSET(enemy_skill_triggers!$A$1,0,0,COUNTA(enemy_skill_triggers!$A:$A),MATCH(H$1,enemy_skill_triggers!$1:$1,0)-MATCH($F$1,enemy_skill_triggers!$1:$1,0)+1),MATCH(H$1,enemy_skill_triggers!$1:$1,0)-MATCH($F$1,enemy_skill_triggers!$1:$1,0)+1,FALSE)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652" s="48">
        <f ca="1">VLOOKUP($F652,OFFSET(enemy_skill_triggers!$A$1,0,0,COUNTA(enemy_skill_triggers!$A:$A),MATCH(I$1,enemy_skill_triggers!$1:$1,0)-MATCH($F$1,enemy_skill_triggers!$1:$1,0)+1),MATCH(I$1,enemy_skill_triggers!$1:$1,0)-MATCH($F$1,enemy_skill_triggers!$1:$1,0)+1,FALSE)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2" s="48" t="str">
        <f ca="1">VLOOKUP($F652,OFFSET(enemy_skill_triggers!$A$1,0,0,COUNTA(enemy_skill_triggers!$A:$A),MATCH(J$1,enemy_skill_triggers!$1:$1,0)-MATCH($F$1,enemy_skill_triggers!$1:$1,0)+1),MATCH(J$1,enemy_skill_triggers!$1:$1,0)-MATCH($F$1,enemy_skill_triggers!$1:$1,0)+1,FALSE)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2" s="48" t="str">
        <f ca="1">VLOOKUP($F652,OFFSET(enemy_skill_triggers!$A$1,0,0,COUNTA(enemy_skill_triggers!$A:$A),MATCH(K$1,enemy_skill_triggers!$1:$1,0)-MATCH($F$1,enemy_skill_triggers!$1:$1,0)+1),MATCH(K$1,enemy_skill_triggers!$1:$1,0)-MATCH($F$1,enemy_skill_triggers!$1:$1,0)+1,FALSE)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2" s="48">
        <f ca="1">VLOOKUP($F652,OFFSET(enemy_skill_triggers!$A$1,0,0,COUNTA(enemy_skill_triggers!$A:$A),MATCH(L$1,enemy_skill_triggers!$1:$1,0)-MATCH($F$1,enemy_skill_triggers!$1:$1,0)+1),MATCH(L$1,enemy_skill_triggers!$1:$1,0)-MATCH($F$1,enemy_skill_triggers!$1:$1,0)+1,FALSE)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2" s="48" t="str">
        <f ca="1">VLOOKUP($F652,OFFSET(enemy_skill_triggers!$A$1,0,0,COUNTA(enemy_skill_triggers!$A:$A),MATCH(M$1,enemy_skill_triggers!$1:$1,0)-MATCH($F$1,enemy_skill_triggers!$1:$1,0)+1),MATCH(M$1,enemy_skill_triggers!$1:$1,0)-MATCH($F$1,enemy_skill_triggers!$1:$1,0)+1,FALSE)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2" s="48">
        <f ca="1">VLOOKUP($F652,OFFSET(enemy_skill_triggers!$A$1,0,0,COUNTA(enemy_skill_triggers!$A:$A),MATCH(N$1,enemy_skill_triggers!$1:$1,0)-MATCH($F$1,enemy_skill_triggers!$1:$1,0)+1),MATCH(N$1,enemy_skill_triggers!$1:$1,0)-MATCH($F$1,enemy_skill_triggers!$1:$1,0)+1,FALSE)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652" s="48">
        <f ca="1">VLOOKUP($F652,OFFSET(enemy_skill_triggers!$A$1,0,0,COUNTA(enemy_skill_triggers!$A:$A),MATCH(O$1,enemy_skill_triggers!$1:$1,0)-MATCH($F$1,enemy_skill_triggers!$1:$1,0)+1),MATCH(O$1,enemy_skill_triggers!$1:$1,0)-MATCH($F$1,enemy_skill_triggers!$1:$1,0)+1,FALSE)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2" s="47"/>
      <c r="Q652" s="47"/>
      <c r="R652" s="47"/>
    </row>
    <row r="653" spans="1:18" ht="21" customHeight="1" x14ac:dyDescent="0.15">
      <c r="A653" s="39" t="str">
        <f t="shared" si="28"/>
        <v>39009033_39009056</v>
      </c>
      <c r="B653" s="47">
        <v>39009033</v>
      </c>
      <c r="C653" s="131">
        <v>39009056</v>
      </c>
      <c r="D653" s="46" t="str">
        <f ca="1">VLOOKUP($C653,OFFSET(enemy_skills!$A$1,0,0,COUNTA(enemy_skills!$A:$A),MATCH(D$1,enemy_skills!$1:$1,0)-MATCH("enemy_skill_id",enemy_skills!$1:$1,0)+1),MATCH(D$1,enemy_skills!$1:$1,0)-MATCH("enemy_skill_id",enemy_skills!$1:$1,0)+1,FALSE)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653" s="46" t="str">
        <f ca="1">VLOOKUP($C653,OFFSET(enemy_skills!$A$1,0,0,COUNTA(enemy_skills!$A:$A),MATCH(E$1,enemy_skills!$1:$1,0)-MATCH("enemy_skill_id",enemy_skills!$1:$1,0)+1),MATCH(E$1,enemy_skills!$1:$1,0)-MATCH("enemy_skill_id",enemy_skills!$1:$1,0)+1,FALSE)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3" s="131">
        <v>39009024</v>
      </c>
      <c r="G653" s="48">
        <f ca="1">VLOOKUP($F653,OFFSET(enemy_skill_triggers!$A$1,0,0,COUNTA(enemy_skill_triggers!$A:$A),MATCH(G$1,enemy_skill_triggers!$1:$1,0)-MATCH($F$1,enemy_skill_triggers!$1:$1,0)+1),MATCH(G$1,enemy_skill_triggers!$1:$1,0)-MATCH($F$1,enemy_skill_triggers!$1:$1,0)+1,FALSE)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3" s="48">
        <f ca="1">VLOOKUP($F653,OFFSET(enemy_skill_triggers!$A$1,0,0,COUNTA(enemy_skill_triggers!$A:$A),MATCH(H$1,enemy_skill_triggers!$1:$1,0)-MATCH($F$1,enemy_skill_triggers!$1:$1,0)+1),MATCH(H$1,enemy_skill_triggers!$1:$1,0)-MATCH($F$1,enemy_skill_triggers!$1:$1,0)+1,FALSE)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53" s="48">
        <f ca="1">VLOOKUP($F653,OFFSET(enemy_skill_triggers!$A$1,0,0,COUNTA(enemy_skill_triggers!$A:$A),MATCH(I$1,enemy_skill_triggers!$1:$1,0)-MATCH($F$1,enemy_skill_triggers!$1:$1,0)+1),MATCH(I$1,enemy_skill_triggers!$1:$1,0)-MATCH($F$1,enemy_skill_triggers!$1:$1,0)+1,FALSE)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3" s="48" t="str">
        <f ca="1">VLOOKUP($F653,OFFSET(enemy_skill_triggers!$A$1,0,0,COUNTA(enemy_skill_triggers!$A:$A),MATCH(J$1,enemy_skill_triggers!$1:$1,0)-MATCH($F$1,enemy_skill_triggers!$1:$1,0)+1),MATCH(J$1,enemy_skill_triggers!$1:$1,0)-MATCH($F$1,enemy_skill_triggers!$1:$1,0)+1,FALSE)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3" s="48" t="str">
        <f ca="1">VLOOKUP($F653,OFFSET(enemy_skill_triggers!$A$1,0,0,COUNTA(enemy_skill_triggers!$A:$A),MATCH(K$1,enemy_skill_triggers!$1:$1,0)-MATCH($F$1,enemy_skill_triggers!$1:$1,0)+1),MATCH(K$1,enemy_skill_triggers!$1:$1,0)-MATCH($F$1,enemy_skill_triggers!$1:$1,0)+1,FALSE)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3" s="48">
        <f ca="1">VLOOKUP($F653,OFFSET(enemy_skill_triggers!$A$1,0,0,COUNTA(enemy_skill_triggers!$A:$A),MATCH(L$1,enemy_skill_triggers!$1:$1,0)-MATCH($F$1,enemy_skill_triggers!$1:$1,0)+1),MATCH(L$1,enemy_skill_triggers!$1:$1,0)-MATCH($F$1,enemy_skill_triggers!$1:$1,0)+1,FALSE)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3" s="48" t="str">
        <f ca="1">VLOOKUP($F653,OFFSET(enemy_skill_triggers!$A$1,0,0,COUNTA(enemy_skill_triggers!$A:$A),MATCH(M$1,enemy_skill_triggers!$1:$1,0)-MATCH($F$1,enemy_skill_triggers!$1:$1,0)+1),MATCH(M$1,enemy_skill_triggers!$1:$1,0)-MATCH($F$1,enemy_skill_triggers!$1:$1,0)+1,FALSE)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3" s="48">
        <f ca="1">VLOOKUP($F653,OFFSET(enemy_skill_triggers!$A$1,0,0,COUNTA(enemy_skill_triggers!$A:$A),MATCH(N$1,enemy_skill_triggers!$1:$1,0)-MATCH($F$1,enemy_skill_triggers!$1:$1,0)+1),MATCH(N$1,enemy_skill_triggers!$1:$1,0)-MATCH($F$1,enemy_skill_triggers!$1:$1,0)+1,FALSE)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653" s="48">
        <f ca="1">VLOOKUP($F653,OFFSET(enemy_skill_triggers!$A$1,0,0,COUNTA(enemy_skill_triggers!$A:$A),MATCH(O$1,enemy_skill_triggers!$1:$1,0)-MATCH($F$1,enemy_skill_triggers!$1:$1,0)+1),MATCH(O$1,enemy_skill_triggers!$1:$1,0)-MATCH($F$1,enemy_skill_triggers!$1:$1,0)+1,FALSE)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3" s="47"/>
      <c r="Q653" s="47"/>
      <c r="R653" s="47"/>
    </row>
    <row r="654" spans="1:18" ht="21" customHeight="1" x14ac:dyDescent="0.15">
      <c r="A654" s="39" t="str">
        <f t="shared" si="28"/>
        <v>39009033_39009051</v>
      </c>
      <c r="B654" s="47">
        <v>39009033</v>
      </c>
      <c r="C654" s="131">
        <v>39009051</v>
      </c>
      <c r="D654" s="46" t="str">
        <f ca="1">VLOOKUP($C654,OFFSET(enemy_skills!$A$1,0,0,COUNTA(enemy_skills!$A:$A),MATCH(D$1,enemy_skills!$1:$1,0)-MATCH("enemy_skill_id",enemy_skills!$1:$1,0)+1),MATCH(D$1,enemy_skills!$1:$1,0)-MATCH("enemy_skill_id",enemy_skills!$1:$1,0)+1,FALSE)</f>
        <v>リンちゃん、一緒に星座つくろっ☆</v>
      </c>
      <c r="E654" s="46" t="str">
        <f ca="1">VLOOKUP($C654,OFFSET(enemy_skills!$A$1,0,0,COUNTA(enemy_skills!$A:$A),MATCH(E$1,enemy_skills!$1:$1,0)-MATCH("enemy_skill_id",enemy_skills!$1:$1,0)+1),MATCH(E$1,enemy_skills!$1:$1,0)-MATCH("enemy_skill_id",enemy_skills!$1:$1,0)+1,FALSE)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4" s="131">
        <v>39009025</v>
      </c>
      <c r="G654" s="48">
        <f ca="1">VLOOKUP($F654,OFFSET(enemy_skill_triggers!$A$1,0,0,COUNTA(enemy_skill_triggers!$A:$A),MATCH(G$1,enemy_skill_triggers!$1:$1,0)-MATCH($F$1,enemy_skill_triggers!$1:$1,0)+1),MATCH(G$1,enemy_skill_triggers!$1:$1,0)-MATCH($F$1,enemy_skill_triggers!$1:$1,0)+1,FALSE)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4" s="48">
        <f ca="1">VLOOKUP($F654,OFFSET(enemy_skill_triggers!$A$1,0,0,COUNTA(enemy_skill_triggers!$A:$A),MATCH(H$1,enemy_skill_triggers!$1:$1,0)-MATCH($F$1,enemy_skill_triggers!$1:$1,0)+1),MATCH(H$1,enemy_skill_triggers!$1:$1,0)-MATCH($F$1,enemy_skill_triggers!$1:$1,0)+1,FALSE)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654" s="48">
        <f ca="1">VLOOKUP($F654,OFFSET(enemy_skill_triggers!$A$1,0,0,COUNTA(enemy_skill_triggers!$A:$A),MATCH(I$1,enemy_skill_triggers!$1:$1,0)-MATCH($F$1,enemy_skill_triggers!$1:$1,0)+1),MATCH(I$1,enemy_skill_triggers!$1:$1,0)-MATCH($F$1,enemy_skill_triggers!$1:$1,0)+1,FALSE)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4" s="48" t="str">
        <f ca="1">VLOOKUP($F654,OFFSET(enemy_skill_triggers!$A$1,0,0,COUNTA(enemy_skill_triggers!$A:$A),MATCH(J$1,enemy_skill_triggers!$1:$1,0)-MATCH($F$1,enemy_skill_triggers!$1:$1,0)+1),MATCH(J$1,enemy_skill_triggers!$1:$1,0)-MATCH($F$1,enemy_skill_triggers!$1:$1,0)+1,FALSE)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4" s="48" t="str">
        <f ca="1">VLOOKUP($F654,OFFSET(enemy_skill_triggers!$A$1,0,0,COUNTA(enemy_skill_triggers!$A:$A),MATCH(K$1,enemy_skill_triggers!$1:$1,0)-MATCH($F$1,enemy_skill_triggers!$1:$1,0)+1),MATCH(K$1,enemy_skill_triggers!$1:$1,0)-MATCH($F$1,enemy_skill_triggers!$1:$1,0)+1,FALSE)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4" s="48">
        <f ca="1">VLOOKUP($F654,OFFSET(enemy_skill_triggers!$A$1,0,0,COUNTA(enemy_skill_triggers!$A:$A),MATCH(L$1,enemy_skill_triggers!$1:$1,0)-MATCH($F$1,enemy_skill_triggers!$1:$1,0)+1),MATCH(L$1,enemy_skill_triggers!$1:$1,0)-MATCH($F$1,enemy_skill_triggers!$1:$1,0)+1,FALSE)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4" s="48" t="str">
        <f ca="1">VLOOKUP($F654,OFFSET(enemy_skill_triggers!$A$1,0,0,COUNTA(enemy_skill_triggers!$A:$A),MATCH(M$1,enemy_skill_triggers!$1:$1,0)-MATCH($F$1,enemy_skill_triggers!$1:$1,0)+1),MATCH(M$1,enemy_skill_triggers!$1:$1,0)-MATCH($F$1,enemy_skill_triggers!$1:$1,0)+1,FALSE)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4" s="48">
        <f ca="1">VLOOKUP($F654,OFFSET(enemy_skill_triggers!$A$1,0,0,COUNTA(enemy_skill_triggers!$A:$A),MATCH(N$1,enemy_skill_triggers!$1:$1,0)-MATCH($F$1,enemy_skill_triggers!$1:$1,0)+1),MATCH(N$1,enemy_skill_triggers!$1:$1,0)-MATCH($F$1,enemy_skill_triggers!$1:$1,0)+1,FALSE)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654" s="48">
        <f ca="1">VLOOKUP($F654,OFFSET(enemy_skill_triggers!$A$1,0,0,COUNTA(enemy_skill_triggers!$A:$A),MATCH(O$1,enemy_skill_triggers!$1:$1,0)-MATCH($F$1,enemy_skill_triggers!$1:$1,0)+1),MATCH(O$1,enemy_skill_triggers!$1:$1,0)-MATCH($F$1,enemy_skill_triggers!$1:$1,0)+1,FALSE)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4" s="47"/>
      <c r="Q654" s="47"/>
      <c r="R654" s="47"/>
    </row>
    <row r="655" spans="1:18" ht="21" customHeight="1" x14ac:dyDescent="0.15">
      <c r="A655" s="39" t="str">
        <f t="shared" si="28"/>
        <v>39009033_39009052</v>
      </c>
      <c r="B655" s="47">
        <v>39009033</v>
      </c>
      <c r="C655" s="131">
        <v>39009052</v>
      </c>
      <c r="D655" s="46" t="str">
        <f ca="1">VLOOKUP($C655,OFFSET(enemy_skills!$A$1,0,0,COUNTA(enemy_skills!$A:$A),MATCH(D$1,enemy_skills!$1:$1,0)-MATCH("enemy_skill_id",enemy_skills!$1:$1,0)+1),MATCH(D$1,enemy_skills!$1:$1,0)-MATCH("enemy_skill_id",enemy_skills!$1:$1,0)+1,FALSE)</f>
        <v>レンくん、一緒に流れ星さがそっ☆</v>
      </c>
      <c r="E655" s="46" t="str">
        <f ca="1">VLOOKUP($C655,OFFSET(enemy_skills!$A$1,0,0,COUNTA(enemy_skills!$A:$A),MATCH(E$1,enemy_skills!$1:$1,0)-MATCH("enemy_skill_id",enemy_skills!$1:$1,0)+1),MATCH(E$1,enemy_skills!$1:$1,0)-MATCH("enemy_skill_id",enemy_skills!$1:$1,0)+1,FALSE)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5" s="131">
        <v>39009026</v>
      </c>
      <c r="G655" s="48">
        <f ca="1">VLOOKUP($F655,OFFSET(enemy_skill_triggers!$A$1,0,0,COUNTA(enemy_skill_triggers!$A:$A),MATCH(G$1,enemy_skill_triggers!$1:$1,0)-MATCH($F$1,enemy_skill_triggers!$1:$1,0)+1),MATCH(G$1,enemy_skill_triggers!$1:$1,0)-MATCH($F$1,enemy_skill_triggers!$1:$1,0)+1,FALSE)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5" s="48">
        <f ca="1">VLOOKUP($F655,OFFSET(enemy_skill_triggers!$A$1,0,0,COUNTA(enemy_skill_triggers!$A:$A),MATCH(H$1,enemy_skill_triggers!$1:$1,0)-MATCH($F$1,enemy_skill_triggers!$1:$1,0)+1),MATCH(H$1,enemy_skill_triggers!$1:$1,0)-MATCH($F$1,enemy_skill_triggers!$1:$1,0)+1,FALSE)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655" s="48">
        <f ca="1">VLOOKUP($F655,OFFSET(enemy_skill_triggers!$A$1,0,0,COUNTA(enemy_skill_triggers!$A:$A),MATCH(I$1,enemy_skill_triggers!$1:$1,0)-MATCH($F$1,enemy_skill_triggers!$1:$1,0)+1),MATCH(I$1,enemy_skill_triggers!$1:$1,0)-MATCH($F$1,enemy_skill_triggers!$1:$1,0)+1,FALSE)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5" s="48" t="str">
        <f ca="1">VLOOKUP($F655,OFFSET(enemy_skill_triggers!$A$1,0,0,COUNTA(enemy_skill_triggers!$A:$A),MATCH(J$1,enemy_skill_triggers!$1:$1,0)-MATCH($F$1,enemy_skill_triggers!$1:$1,0)+1),MATCH(J$1,enemy_skill_triggers!$1:$1,0)-MATCH($F$1,enemy_skill_triggers!$1:$1,0)+1,FALSE)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5" s="48" t="str">
        <f ca="1">VLOOKUP($F655,OFFSET(enemy_skill_triggers!$A$1,0,0,COUNTA(enemy_skill_triggers!$A:$A),MATCH(K$1,enemy_skill_triggers!$1:$1,0)-MATCH($F$1,enemy_skill_triggers!$1:$1,0)+1),MATCH(K$1,enemy_skill_triggers!$1:$1,0)-MATCH($F$1,enemy_skill_triggers!$1:$1,0)+1,FALSE)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5" s="48">
        <f ca="1">VLOOKUP($F655,OFFSET(enemy_skill_triggers!$A$1,0,0,COUNTA(enemy_skill_triggers!$A:$A),MATCH(L$1,enemy_skill_triggers!$1:$1,0)-MATCH($F$1,enemy_skill_triggers!$1:$1,0)+1),MATCH(L$1,enemy_skill_triggers!$1:$1,0)-MATCH($F$1,enemy_skill_triggers!$1:$1,0)+1,FALSE)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5" s="48" t="str">
        <f ca="1">VLOOKUP($F655,OFFSET(enemy_skill_triggers!$A$1,0,0,COUNTA(enemy_skill_triggers!$A:$A),MATCH(M$1,enemy_skill_triggers!$1:$1,0)-MATCH($F$1,enemy_skill_triggers!$1:$1,0)+1),MATCH(M$1,enemy_skill_triggers!$1:$1,0)-MATCH($F$1,enemy_skill_triggers!$1:$1,0)+1,FALSE)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5" s="48">
        <f ca="1">VLOOKUP($F655,OFFSET(enemy_skill_triggers!$A$1,0,0,COUNTA(enemy_skill_triggers!$A:$A),MATCH(N$1,enemy_skill_triggers!$1:$1,0)-MATCH($F$1,enemy_skill_triggers!$1:$1,0)+1),MATCH(N$1,enemy_skill_triggers!$1:$1,0)-MATCH($F$1,enemy_skill_triggers!$1:$1,0)+1,FALSE)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655" s="48">
        <f ca="1">VLOOKUP($F655,OFFSET(enemy_skill_triggers!$A$1,0,0,COUNTA(enemy_skill_triggers!$A:$A),MATCH(O$1,enemy_skill_triggers!$1:$1,0)-MATCH($F$1,enemy_skill_triggers!$1:$1,0)+1),MATCH(O$1,enemy_skill_triggers!$1:$1,0)-MATCH($F$1,enemy_skill_triggers!$1:$1,0)+1,FALSE)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5" s="47"/>
      <c r="Q655" s="47"/>
      <c r="R655" s="47"/>
    </row>
    <row r="656" spans="1:18" ht="21" customHeight="1" x14ac:dyDescent="0.15">
      <c r="A656" s="39" t="str">
        <f t="shared" si="28"/>
        <v>39009033_39009049</v>
      </c>
      <c r="B656" s="47">
        <v>39009033</v>
      </c>
      <c r="C656" s="131">
        <v>39009049</v>
      </c>
      <c r="D656" s="46" t="str">
        <f ca="1">VLOOKUP($C656,OFFSET(enemy_skills!$A$1,0,0,COUNTA(enemy_skills!$A:$A),MATCH(D$1,enemy_skills!$1:$1,0)-MATCH("enemy_skill_id",enemy_skills!$1:$1,0)+1),MATCH(D$1,enemy_skills!$1:$1,0)-MATCH("enemy_skill_id",enemy_skills!$1:$1,0)+1,FALSE)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656" s="46" t="str">
        <f ca="1">VLOOKUP($C656,OFFSET(enemy_skills!$A$1,0,0,COUNTA(enemy_skills!$A:$A),MATCH(E$1,enemy_skills!$1:$1,0)-MATCH("enemy_skill_id",enemy_skills!$1:$1,0)+1),MATCH(E$1,enemy_skills!$1:$1,0)-MATCH("enemy_skill_id",enemy_skills!$1:$1,0)+1,FALSE)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6" s="131">
        <v>39009027</v>
      </c>
      <c r="G656" s="48">
        <f ca="1">VLOOKUP($F656,OFFSET(enemy_skill_triggers!$A$1,0,0,COUNTA(enemy_skill_triggers!$A:$A),MATCH(G$1,enemy_skill_triggers!$1:$1,0)-MATCH($F$1,enemy_skill_triggers!$1:$1,0)+1),MATCH(G$1,enemy_skill_triggers!$1:$1,0)-MATCH($F$1,enemy_skill_triggers!$1:$1,0)+1,FALSE)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6" s="48">
        <f ca="1">VLOOKUP($F656,OFFSET(enemy_skill_triggers!$A$1,0,0,COUNTA(enemy_skill_triggers!$A:$A),MATCH(H$1,enemy_skill_triggers!$1:$1,0)-MATCH($F$1,enemy_skill_triggers!$1:$1,0)+1),MATCH(H$1,enemy_skill_triggers!$1:$1,0)-MATCH($F$1,enemy_skill_triggers!$1:$1,0)+1,FALSE)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656" s="48">
        <f ca="1">VLOOKUP($F656,OFFSET(enemy_skill_triggers!$A$1,0,0,COUNTA(enemy_skill_triggers!$A:$A),MATCH(I$1,enemy_skill_triggers!$1:$1,0)-MATCH($F$1,enemy_skill_triggers!$1:$1,0)+1),MATCH(I$1,enemy_skill_triggers!$1:$1,0)-MATCH($F$1,enemy_skill_triggers!$1:$1,0)+1,FALSE)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6" s="48" t="str">
        <f ca="1">VLOOKUP($F656,OFFSET(enemy_skill_triggers!$A$1,0,0,COUNTA(enemy_skill_triggers!$A:$A),MATCH(J$1,enemy_skill_triggers!$1:$1,0)-MATCH($F$1,enemy_skill_triggers!$1:$1,0)+1),MATCH(J$1,enemy_skill_triggers!$1:$1,0)-MATCH($F$1,enemy_skill_triggers!$1:$1,0)+1,FALSE)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6" s="48" t="str">
        <f ca="1">VLOOKUP($F656,OFFSET(enemy_skill_triggers!$A$1,0,0,COUNTA(enemy_skill_triggers!$A:$A),MATCH(K$1,enemy_skill_triggers!$1:$1,0)-MATCH($F$1,enemy_skill_triggers!$1:$1,0)+1),MATCH(K$1,enemy_skill_triggers!$1:$1,0)-MATCH($F$1,enemy_skill_triggers!$1:$1,0)+1,FALSE)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6" s="48">
        <f ca="1">VLOOKUP($F656,OFFSET(enemy_skill_triggers!$A$1,0,0,COUNTA(enemy_skill_triggers!$A:$A),MATCH(L$1,enemy_skill_triggers!$1:$1,0)-MATCH($F$1,enemy_skill_triggers!$1:$1,0)+1),MATCH(L$1,enemy_skill_triggers!$1:$1,0)-MATCH($F$1,enemy_skill_triggers!$1:$1,0)+1,FALSE)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6" s="48" t="str">
        <f ca="1">VLOOKUP($F656,OFFSET(enemy_skill_triggers!$A$1,0,0,COUNTA(enemy_skill_triggers!$A:$A),MATCH(M$1,enemy_skill_triggers!$1:$1,0)-MATCH($F$1,enemy_skill_triggers!$1:$1,0)+1),MATCH(M$1,enemy_skill_triggers!$1:$1,0)-MATCH($F$1,enemy_skill_triggers!$1:$1,0)+1,FALSE)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6" s="48">
        <f ca="1">VLOOKUP($F656,OFFSET(enemy_skill_triggers!$A$1,0,0,COUNTA(enemy_skill_triggers!$A:$A),MATCH(N$1,enemy_skill_triggers!$1:$1,0)-MATCH($F$1,enemy_skill_triggers!$1:$1,0)+1),MATCH(N$1,enemy_skill_triggers!$1:$1,0)-MATCH($F$1,enemy_skill_triggers!$1:$1,0)+1,FALSE)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56" s="48">
        <f ca="1">VLOOKUP($F656,OFFSET(enemy_skill_triggers!$A$1,0,0,COUNTA(enemy_skill_triggers!$A:$A),MATCH(O$1,enemy_skill_triggers!$1:$1,0)-MATCH($F$1,enemy_skill_triggers!$1:$1,0)+1),MATCH(O$1,enemy_skill_triggers!$1:$1,0)-MATCH($F$1,enemy_skill_triggers!$1:$1,0)+1,FALSE)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6" s="47"/>
      <c r="Q656" s="47"/>
      <c r="R656" s="47"/>
    </row>
    <row r="657" spans="1:18" ht="21" customHeight="1" x14ac:dyDescent="0.15">
      <c r="A657" s="39" t="str">
        <f t="shared" si="28"/>
        <v>39009033_39009049</v>
      </c>
      <c r="B657" s="47">
        <v>39009033</v>
      </c>
      <c r="C657" s="131">
        <v>39009049</v>
      </c>
      <c r="D657" s="46" t="str">
        <f ca="1">VLOOKUP($C657,OFFSET(enemy_skills!$A$1,0,0,COUNTA(enemy_skills!$A:$A),MATCH(D$1,enemy_skills!$1:$1,0)-MATCH("enemy_skill_id",enemy_skills!$1:$1,0)+1),MATCH(D$1,enemy_skills!$1:$1,0)-MATCH("enemy_skill_id",enemy_skills!$1:$1,0)+1,FALSE)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657" s="46" t="str">
        <f ca="1">VLOOKUP($C657,OFFSET(enemy_skills!$A$1,0,0,COUNTA(enemy_skills!$A:$A),MATCH(E$1,enemy_skills!$1:$1,0)-MATCH("enemy_skill_id",enemy_skills!$1:$1,0)+1),MATCH(E$1,enemy_skills!$1:$1,0)-MATCH("enemy_skill_id",enemy_skills!$1:$1,0)+1,FALSE)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7" s="131">
        <v>39009028</v>
      </c>
      <c r="G657" s="48">
        <f ca="1">VLOOKUP($F657,OFFSET(enemy_skill_triggers!$A$1,0,0,COUNTA(enemy_skill_triggers!$A:$A),MATCH(G$1,enemy_skill_triggers!$1:$1,0)-MATCH($F$1,enemy_skill_triggers!$1:$1,0)+1),MATCH(G$1,enemy_skill_triggers!$1:$1,0)-MATCH($F$1,enemy_skill_triggers!$1:$1,0)+1,FALSE)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7" s="48">
        <f ca="1">VLOOKUP($F657,OFFSET(enemy_skill_triggers!$A$1,0,0,COUNTA(enemy_skill_triggers!$A:$A),MATCH(H$1,enemy_skill_triggers!$1:$1,0)-MATCH($F$1,enemy_skill_triggers!$1:$1,0)+1),MATCH(H$1,enemy_skill_triggers!$1:$1,0)-MATCH($F$1,enemy_skill_triggers!$1:$1,0)+1,FALSE)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657" s="48">
        <f ca="1">VLOOKUP($F657,OFFSET(enemy_skill_triggers!$A$1,0,0,COUNTA(enemy_skill_triggers!$A:$A),MATCH(I$1,enemy_skill_triggers!$1:$1,0)-MATCH($F$1,enemy_skill_triggers!$1:$1,0)+1),MATCH(I$1,enemy_skill_triggers!$1:$1,0)-MATCH($F$1,enemy_skill_triggers!$1:$1,0)+1,FALSE)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7" s="48" t="str">
        <f ca="1">VLOOKUP($F657,OFFSET(enemy_skill_triggers!$A$1,0,0,COUNTA(enemy_skill_triggers!$A:$A),MATCH(J$1,enemy_skill_triggers!$1:$1,0)-MATCH($F$1,enemy_skill_triggers!$1:$1,0)+1),MATCH(J$1,enemy_skill_triggers!$1:$1,0)-MATCH($F$1,enemy_skill_triggers!$1:$1,0)+1,FALSE)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7" s="48" t="str">
        <f ca="1">VLOOKUP($F657,OFFSET(enemy_skill_triggers!$A$1,0,0,COUNTA(enemy_skill_triggers!$A:$A),MATCH(K$1,enemy_skill_triggers!$1:$1,0)-MATCH($F$1,enemy_skill_triggers!$1:$1,0)+1),MATCH(K$1,enemy_skill_triggers!$1:$1,0)-MATCH($F$1,enemy_skill_triggers!$1:$1,0)+1,FALSE)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7" s="48">
        <f ca="1">VLOOKUP($F657,OFFSET(enemy_skill_triggers!$A$1,0,0,COUNTA(enemy_skill_triggers!$A:$A),MATCH(L$1,enemy_skill_triggers!$1:$1,0)-MATCH($F$1,enemy_skill_triggers!$1:$1,0)+1),MATCH(L$1,enemy_skill_triggers!$1:$1,0)-MATCH($F$1,enemy_skill_triggers!$1:$1,0)+1,FALSE)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7" s="48" t="str">
        <f ca="1">VLOOKUP($F657,OFFSET(enemy_skill_triggers!$A$1,0,0,COUNTA(enemy_skill_triggers!$A:$A),MATCH(M$1,enemy_skill_triggers!$1:$1,0)-MATCH($F$1,enemy_skill_triggers!$1:$1,0)+1),MATCH(M$1,enemy_skill_triggers!$1:$1,0)-MATCH($F$1,enemy_skill_triggers!$1:$1,0)+1,FALSE)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7" s="48">
        <f ca="1">VLOOKUP($F657,OFFSET(enemy_skill_triggers!$A$1,0,0,COUNTA(enemy_skill_triggers!$A:$A),MATCH(N$1,enemy_skill_triggers!$1:$1,0)-MATCH($F$1,enemy_skill_triggers!$1:$1,0)+1),MATCH(N$1,enemy_skill_triggers!$1:$1,0)-MATCH($F$1,enemy_skill_triggers!$1:$1,0)+1,FALSE)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657" s="48">
        <f ca="1">VLOOKUP($F657,OFFSET(enemy_skill_triggers!$A$1,0,0,COUNTA(enemy_skill_triggers!$A:$A),MATCH(O$1,enemy_skill_triggers!$1:$1,0)-MATCH($F$1,enemy_skill_triggers!$1:$1,0)+1),MATCH(O$1,enemy_skill_triggers!$1:$1,0)-MATCH($F$1,enemy_skill_triggers!$1:$1,0)+1,FALSE)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7" s="47"/>
      <c r="Q657" s="47"/>
      <c r="R657" s="47"/>
    </row>
    <row r="658" spans="1:18" ht="21" customHeight="1" x14ac:dyDescent="0.15">
      <c r="A658" s="39" t="str">
        <f t="shared" si="28"/>
        <v>39009033_39009050</v>
      </c>
      <c r="B658" s="47">
        <v>39009033</v>
      </c>
      <c r="C658" s="131">
        <v>39009050</v>
      </c>
      <c r="D658" s="46" t="str">
        <f ca="1">VLOOKUP($C658,OFFSET(enemy_skills!$A$1,0,0,COUNTA(enemy_skills!$A:$A),MATCH(D$1,enemy_skills!$1:$1,0)-MATCH("enemy_skill_id",enemy_skills!$1:$1,0)+1),MATCH(D$1,enemy_skills!$1:$1,0)-MATCH("enemy_skill_id",enemy_skills!$1:$1,0)+1,FALSE)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658" s="46" t="str">
        <f ca="1">VLOOKUP($C658,OFFSET(enemy_skills!$A$1,0,0,COUNTA(enemy_skills!$A:$A),MATCH(E$1,enemy_skills!$1:$1,0)-MATCH("enemy_skill_id",enemy_skills!$1:$1,0)+1),MATCH(E$1,enemy_skills!$1:$1,0)-MATCH("enemy_skill_id",enemy_skills!$1:$1,0)+1,FALSE)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8" s="131">
        <v>39009029</v>
      </c>
      <c r="G658" s="48">
        <f ca="1">VLOOKUP($F658,OFFSET(enemy_skill_triggers!$A$1,0,0,COUNTA(enemy_skill_triggers!$A:$A),MATCH(G$1,enemy_skill_triggers!$1:$1,0)-MATCH($F$1,enemy_skill_triggers!$1:$1,0)+1),MATCH(G$1,enemy_skill_triggers!$1:$1,0)-MATCH($F$1,enemy_skill_triggers!$1:$1,0)+1,FALSE)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8" s="48">
        <f ca="1">VLOOKUP($F658,OFFSET(enemy_skill_triggers!$A$1,0,0,COUNTA(enemy_skill_triggers!$A:$A),MATCH(H$1,enemy_skill_triggers!$1:$1,0)-MATCH($F$1,enemy_skill_triggers!$1:$1,0)+1),MATCH(H$1,enemy_skill_triggers!$1:$1,0)-MATCH($F$1,enemy_skill_triggers!$1:$1,0)+1,FALSE)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658" s="48">
        <f ca="1">VLOOKUP($F658,OFFSET(enemy_skill_triggers!$A$1,0,0,COUNTA(enemy_skill_triggers!$A:$A),MATCH(I$1,enemy_skill_triggers!$1:$1,0)-MATCH($F$1,enemy_skill_triggers!$1:$1,0)+1),MATCH(I$1,enemy_skill_triggers!$1:$1,0)-MATCH($F$1,enemy_skill_triggers!$1:$1,0)+1,FALSE)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8" s="48" t="str">
        <f ca="1">VLOOKUP($F658,OFFSET(enemy_skill_triggers!$A$1,0,0,COUNTA(enemy_skill_triggers!$A:$A),MATCH(J$1,enemy_skill_triggers!$1:$1,0)-MATCH($F$1,enemy_skill_triggers!$1:$1,0)+1),MATCH(J$1,enemy_skill_triggers!$1:$1,0)-MATCH($F$1,enemy_skill_triggers!$1:$1,0)+1,FALSE)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8" s="48" t="str">
        <f ca="1">VLOOKUP($F658,OFFSET(enemy_skill_triggers!$A$1,0,0,COUNTA(enemy_skill_triggers!$A:$A),MATCH(K$1,enemy_skill_triggers!$1:$1,0)-MATCH($F$1,enemy_skill_triggers!$1:$1,0)+1),MATCH(K$1,enemy_skill_triggers!$1:$1,0)-MATCH($F$1,enemy_skill_triggers!$1:$1,0)+1,FALSE)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8" s="48">
        <f ca="1">VLOOKUP($F658,OFFSET(enemy_skill_triggers!$A$1,0,0,COUNTA(enemy_skill_triggers!$A:$A),MATCH(L$1,enemy_skill_triggers!$1:$1,0)-MATCH($F$1,enemy_skill_triggers!$1:$1,0)+1),MATCH(L$1,enemy_skill_triggers!$1:$1,0)-MATCH($F$1,enemy_skill_triggers!$1:$1,0)+1,FALSE)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8" s="48" t="str">
        <f ca="1">VLOOKUP($F658,OFFSET(enemy_skill_triggers!$A$1,0,0,COUNTA(enemy_skill_triggers!$A:$A),MATCH(M$1,enemy_skill_triggers!$1:$1,0)-MATCH($F$1,enemy_skill_triggers!$1:$1,0)+1),MATCH(M$1,enemy_skill_triggers!$1:$1,0)-MATCH($F$1,enemy_skill_triggers!$1:$1,0)+1,FALSE)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8" s="48">
        <f ca="1">VLOOKUP($F658,OFFSET(enemy_skill_triggers!$A$1,0,0,COUNTA(enemy_skill_triggers!$A:$A),MATCH(N$1,enemy_skill_triggers!$1:$1,0)-MATCH($F$1,enemy_skill_triggers!$1:$1,0)+1),MATCH(N$1,enemy_skill_triggers!$1:$1,0)-MATCH($F$1,enemy_skill_triggers!$1:$1,0)+1,FALSE)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58" s="48">
        <f ca="1">VLOOKUP($F658,OFFSET(enemy_skill_triggers!$A$1,0,0,COUNTA(enemy_skill_triggers!$A:$A),MATCH(O$1,enemy_skill_triggers!$1:$1,0)-MATCH($F$1,enemy_skill_triggers!$1:$1,0)+1),MATCH(O$1,enemy_skill_triggers!$1:$1,0)-MATCH($F$1,enemy_skill_triggers!$1:$1,0)+1,FALSE)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8" s="47"/>
      <c r="Q658" s="47"/>
      <c r="R658" s="47"/>
    </row>
    <row r="659" spans="1:18" ht="21" customHeight="1" x14ac:dyDescent="0.15">
      <c r="A659" s="39" t="str">
        <f t="shared" si="28"/>
        <v>39009033_39009050</v>
      </c>
      <c r="B659" s="47">
        <v>39009033</v>
      </c>
      <c r="C659" s="131">
        <v>39009050</v>
      </c>
      <c r="D659" s="46" t="str">
        <f ca="1">VLOOKUP($C659,OFFSET(enemy_skills!$A$1,0,0,COUNTA(enemy_skills!$A:$A),MATCH(D$1,enemy_skills!$1:$1,0)-MATCH("enemy_skill_id",enemy_skills!$1:$1,0)+1),MATCH(D$1,enemy_skills!$1:$1,0)-MATCH("enemy_skill_id",enemy_skills!$1:$1,0)+1,FALSE)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659" s="46" t="str">
        <f ca="1">VLOOKUP($C659,OFFSET(enemy_skills!$A$1,0,0,COUNTA(enemy_skills!$A:$A),MATCH(E$1,enemy_skills!$1:$1,0)-MATCH("enemy_skill_id",enemy_skills!$1:$1,0)+1),MATCH(E$1,enemy_skills!$1:$1,0)-MATCH("enemy_skill_id",enemy_skills!$1:$1,0)+1,FALSE)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9" s="131">
        <v>39009030</v>
      </c>
      <c r="G659" s="48">
        <f ca="1">VLOOKUP($F659,OFFSET(enemy_skill_triggers!$A$1,0,0,COUNTA(enemy_skill_triggers!$A:$A),MATCH(G$1,enemy_skill_triggers!$1:$1,0)-MATCH($F$1,enemy_skill_triggers!$1:$1,0)+1),MATCH(G$1,enemy_skill_triggers!$1:$1,0)-MATCH($F$1,enemy_skill_triggers!$1:$1,0)+1,FALSE)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9" s="48">
        <f ca="1">VLOOKUP($F659,OFFSET(enemy_skill_triggers!$A$1,0,0,COUNTA(enemy_skill_triggers!$A:$A),MATCH(H$1,enemy_skill_triggers!$1:$1,0)-MATCH($F$1,enemy_skill_triggers!$1:$1,0)+1),MATCH(H$1,enemy_skill_triggers!$1:$1,0)-MATCH($F$1,enemy_skill_triggers!$1:$1,0)+1,FALSE)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659" s="48">
        <f ca="1">VLOOKUP($F659,OFFSET(enemy_skill_triggers!$A$1,0,0,COUNTA(enemy_skill_triggers!$A:$A),MATCH(I$1,enemy_skill_triggers!$1:$1,0)-MATCH($F$1,enemy_skill_triggers!$1:$1,0)+1),MATCH(I$1,enemy_skill_triggers!$1:$1,0)-MATCH($F$1,enemy_skill_triggers!$1:$1,0)+1,FALSE)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9" s="48" t="str">
        <f ca="1">VLOOKUP($F659,OFFSET(enemy_skill_triggers!$A$1,0,0,COUNTA(enemy_skill_triggers!$A:$A),MATCH(J$1,enemy_skill_triggers!$1:$1,0)-MATCH($F$1,enemy_skill_triggers!$1:$1,0)+1),MATCH(J$1,enemy_skill_triggers!$1:$1,0)-MATCH($F$1,enemy_skill_triggers!$1:$1,0)+1,FALSE)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9" s="48" t="str">
        <f ca="1">VLOOKUP($F659,OFFSET(enemy_skill_triggers!$A$1,0,0,COUNTA(enemy_skill_triggers!$A:$A),MATCH(K$1,enemy_skill_triggers!$1:$1,0)-MATCH($F$1,enemy_skill_triggers!$1:$1,0)+1),MATCH(K$1,enemy_skill_triggers!$1:$1,0)-MATCH($F$1,enemy_skill_triggers!$1:$1,0)+1,FALSE)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9" s="48">
        <f ca="1">VLOOKUP($F659,OFFSET(enemy_skill_triggers!$A$1,0,0,COUNTA(enemy_skill_triggers!$A:$A),MATCH(L$1,enemy_skill_triggers!$1:$1,0)-MATCH($F$1,enemy_skill_triggers!$1:$1,0)+1),MATCH(L$1,enemy_skill_triggers!$1:$1,0)-MATCH($F$1,enemy_skill_triggers!$1:$1,0)+1,FALSE)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9" s="48" t="str">
        <f ca="1">VLOOKUP($F659,OFFSET(enemy_skill_triggers!$A$1,0,0,COUNTA(enemy_skill_triggers!$A:$A),MATCH(M$1,enemy_skill_triggers!$1:$1,0)-MATCH($F$1,enemy_skill_triggers!$1:$1,0)+1),MATCH(M$1,enemy_skill_triggers!$1:$1,0)-MATCH($F$1,enemy_skill_triggers!$1:$1,0)+1,FALSE)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9" s="48">
        <f ca="1">VLOOKUP($F659,OFFSET(enemy_skill_triggers!$A$1,0,0,COUNTA(enemy_skill_triggers!$A:$A),MATCH(N$1,enemy_skill_triggers!$1:$1,0)-MATCH($F$1,enemy_skill_triggers!$1:$1,0)+1),MATCH(N$1,enemy_skill_triggers!$1:$1,0)-MATCH($F$1,enemy_skill_triggers!$1:$1,0)+1,FALSE)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59" s="48">
        <f ca="1">VLOOKUP($F659,OFFSET(enemy_skill_triggers!$A$1,0,0,COUNTA(enemy_skill_triggers!$A:$A),MATCH(O$1,enemy_skill_triggers!$1:$1,0)-MATCH($F$1,enemy_skill_triggers!$1:$1,0)+1),MATCH(O$1,enemy_skill_triggers!$1:$1,0)-MATCH($F$1,enemy_skill_triggers!$1:$1,0)+1,FALSE)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9" s="47"/>
      <c r="Q659" s="47"/>
      <c r="R659" s="47"/>
    </row>
    <row r="660" spans="1:18" ht="21" customHeight="1" x14ac:dyDescent="0.15">
      <c r="A660" s="39" t="str">
        <f t="shared" si="28"/>
        <v>39009033_39009055</v>
      </c>
      <c r="B660" s="47">
        <v>39009033</v>
      </c>
      <c r="C660" s="131">
        <v>39009055</v>
      </c>
      <c r="D660" s="46" t="str">
        <f ca="1">VLOOKUP($C660,OFFSET(enemy_skills!$A$1,0,0,COUNTA(enemy_skills!$A:$A),MATCH(D$1,enemy_skills!$1:$1,0)-MATCH("enemy_skill_id",enemy_skills!$1:$1,0)+1),MATCH(D$1,enemy_skills!$1:$1,0)-MATCH("enemy_skill_id",enemy_skills!$1:$1,0)+1,FALSE)</f>
        <v>KAITOさーん！_x000D_アイスの星座つくろっ☆</v>
      </c>
      <c r="E660" s="46" t="str">
        <f ca="1">VLOOKUP($C660,OFFSET(enemy_skills!$A$1,0,0,COUNTA(enemy_skills!$A:$A),MATCH(E$1,enemy_skills!$1:$1,0)-MATCH("enemy_skill_id",enemy_skills!$1:$1,0)+1),MATCH(E$1,enemy_skills!$1:$1,0)-MATCH("enemy_skill_id",enemy_skills!$1:$1,0)+1,FALSE)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0" s="131">
        <v>39009031</v>
      </c>
      <c r="G660" s="48">
        <f ca="1">VLOOKUP($F660,OFFSET(enemy_skill_triggers!$A$1,0,0,COUNTA(enemy_skill_triggers!$A:$A),MATCH(G$1,enemy_skill_triggers!$1:$1,0)-MATCH($F$1,enemy_skill_triggers!$1:$1,0)+1),MATCH(G$1,enemy_skill_triggers!$1:$1,0)-MATCH($F$1,enemy_skill_triggers!$1:$1,0)+1,FALSE)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0" s="48">
        <f ca="1">VLOOKUP($F660,OFFSET(enemy_skill_triggers!$A$1,0,0,COUNTA(enemy_skill_triggers!$A:$A),MATCH(H$1,enemy_skill_triggers!$1:$1,0)-MATCH($F$1,enemy_skill_triggers!$1:$1,0)+1),MATCH(H$1,enemy_skill_triggers!$1:$1,0)-MATCH($F$1,enemy_skill_triggers!$1:$1,0)+1,FALSE)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660" s="48">
        <f ca="1">VLOOKUP($F660,OFFSET(enemy_skill_triggers!$A$1,0,0,COUNTA(enemy_skill_triggers!$A:$A),MATCH(I$1,enemy_skill_triggers!$1:$1,0)-MATCH($F$1,enemy_skill_triggers!$1:$1,0)+1),MATCH(I$1,enemy_skill_triggers!$1:$1,0)-MATCH($F$1,enemy_skill_triggers!$1:$1,0)+1,FALSE)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0" s="48" t="str">
        <f ca="1">VLOOKUP($F660,OFFSET(enemy_skill_triggers!$A$1,0,0,COUNTA(enemy_skill_triggers!$A:$A),MATCH(J$1,enemy_skill_triggers!$1:$1,0)-MATCH($F$1,enemy_skill_triggers!$1:$1,0)+1),MATCH(J$1,enemy_skill_triggers!$1:$1,0)-MATCH($F$1,enemy_skill_triggers!$1:$1,0)+1,FALSE)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0" s="48" t="str">
        <f ca="1">VLOOKUP($F660,OFFSET(enemy_skill_triggers!$A$1,0,0,COUNTA(enemy_skill_triggers!$A:$A),MATCH(K$1,enemy_skill_triggers!$1:$1,0)-MATCH($F$1,enemy_skill_triggers!$1:$1,0)+1),MATCH(K$1,enemy_skill_triggers!$1:$1,0)-MATCH($F$1,enemy_skill_triggers!$1:$1,0)+1,FALSE)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0" s="48">
        <f ca="1">VLOOKUP($F660,OFFSET(enemy_skill_triggers!$A$1,0,0,COUNTA(enemy_skill_triggers!$A:$A),MATCH(L$1,enemy_skill_triggers!$1:$1,0)-MATCH($F$1,enemy_skill_triggers!$1:$1,0)+1),MATCH(L$1,enemy_skill_triggers!$1:$1,0)-MATCH($F$1,enemy_skill_triggers!$1:$1,0)+1,FALSE)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0" s="48" t="str">
        <f ca="1">VLOOKUP($F660,OFFSET(enemy_skill_triggers!$A$1,0,0,COUNTA(enemy_skill_triggers!$A:$A),MATCH(M$1,enemy_skill_triggers!$1:$1,0)-MATCH($F$1,enemy_skill_triggers!$1:$1,0)+1),MATCH(M$1,enemy_skill_triggers!$1:$1,0)-MATCH($F$1,enemy_skill_triggers!$1:$1,0)+1,FALSE)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0" s="48">
        <f ca="1">VLOOKUP($F660,OFFSET(enemy_skill_triggers!$A$1,0,0,COUNTA(enemy_skill_triggers!$A:$A),MATCH(N$1,enemy_skill_triggers!$1:$1,0)-MATCH($F$1,enemy_skill_triggers!$1:$1,0)+1),MATCH(N$1,enemy_skill_triggers!$1:$1,0)-MATCH($F$1,enemy_skill_triggers!$1:$1,0)+1,FALSE)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660" s="48">
        <f ca="1">VLOOKUP($F660,OFFSET(enemy_skill_triggers!$A$1,0,0,COUNTA(enemy_skill_triggers!$A:$A),MATCH(O$1,enemy_skill_triggers!$1:$1,0)-MATCH($F$1,enemy_skill_triggers!$1:$1,0)+1),MATCH(O$1,enemy_skill_triggers!$1:$1,0)-MATCH($F$1,enemy_skill_triggers!$1:$1,0)+1,FALSE)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0" s="47"/>
      <c r="Q660" s="47"/>
      <c r="R660" s="47"/>
    </row>
    <row r="661" spans="1:18" ht="21" customHeight="1" x14ac:dyDescent="0.15">
      <c r="A661" s="39" t="str">
        <f t="shared" si="28"/>
        <v>39009033_39009049</v>
      </c>
      <c r="B661" s="47">
        <v>39009033</v>
      </c>
      <c r="C661" s="131">
        <v>39009049</v>
      </c>
      <c r="D661" s="46" t="str">
        <f ca="1">VLOOKUP($C661,OFFSET(enemy_skills!$A$1,0,0,COUNTA(enemy_skills!$A:$A),MATCH(D$1,enemy_skills!$1:$1,0)-MATCH("enemy_skill_id",enemy_skills!$1:$1,0)+1),MATCH(D$1,enemy_skills!$1:$1,0)-MATCH("enemy_skill_id",enemy_skills!$1:$1,0)+1,FALSE)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661" s="46" t="str">
        <f ca="1">VLOOKUP($C661,OFFSET(enemy_skills!$A$1,0,0,COUNTA(enemy_skills!$A:$A),MATCH(E$1,enemy_skills!$1:$1,0)-MATCH("enemy_skill_id",enemy_skills!$1:$1,0)+1),MATCH(E$1,enemy_skills!$1:$1,0)-MATCH("enemy_skill_id",enemy_skills!$1:$1,0)+1,FALSE)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1" s="131">
        <v>39009032</v>
      </c>
      <c r="G661" s="48">
        <f ca="1">VLOOKUP($F661,OFFSET(enemy_skill_triggers!$A$1,0,0,COUNTA(enemy_skill_triggers!$A:$A),MATCH(G$1,enemy_skill_triggers!$1:$1,0)-MATCH($F$1,enemy_skill_triggers!$1:$1,0)+1),MATCH(G$1,enemy_skill_triggers!$1:$1,0)-MATCH($F$1,enemy_skill_triggers!$1:$1,0)+1,FALSE)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1" s="48">
        <f ca="1">VLOOKUP($F661,OFFSET(enemy_skill_triggers!$A$1,0,0,COUNTA(enemy_skill_triggers!$A:$A),MATCH(H$1,enemy_skill_triggers!$1:$1,0)-MATCH($F$1,enemy_skill_triggers!$1:$1,0)+1),MATCH(H$1,enemy_skill_triggers!$1:$1,0)-MATCH($F$1,enemy_skill_triggers!$1:$1,0)+1,FALSE)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61" s="48">
        <f ca="1">VLOOKUP($F661,OFFSET(enemy_skill_triggers!$A$1,0,0,COUNTA(enemy_skill_triggers!$A:$A),MATCH(I$1,enemy_skill_triggers!$1:$1,0)-MATCH($F$1,enemy_skill_triggers!$1:$1,0)+1),MATCH(I$1,enemy_skill_triggers!$1:$1,0)-MATCH($F$1,enemy_skill_triggers!$1:$1,0)+1,FALSE)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1" s="48" t="str">
        <f ca="1">VLOOKUP($F661,OFFSET(enemy_skill_triggers!$A$1,0,0,COUNTA(enemy_skill_triggers!$A:$A),MATCH(J$1,enemy_skill_triggers!$1:$1,0)-MATCH($F$1,enemy_skill_triggers!$1:$1,0)+1),MATCH(J$1,enemy_skill_triggers!$1:$1,0)-MATCH($F$1,enemy_skill_triggers!$1:$1,0)+1,FALSE)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1" s="48" t="str">
        <f ca="1">VLOOKUP($F661,OFFSET(enemy_skill_triggers!$A$1,0,0,COUNTA(enemy_skill_triggers!$A:$A),MATCH(K$1,enemy_skill_triggers!$1:$1,0)-MATCH($F$1,enemy_skill_triggers!$1:$1,0)+1),MATCH(K$1,enemy_skill_triggers!$1:$1,0)-MATCH($F$1,enemy_skill_triggers!$1:$1,0)+1,FALSE)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1" s="48">
        <f ca="1">VLOOKUP($F661,OFFSET(enemy_skill_triggers!$A$1,0,0,COUNTA(enemy_skill_triggers!$A:$A),MATCH(L$1,enemy_skill_triggers!$1:$1,0)-MATCH($F$1,enemy_skill_triggers!$1:$1,0)+1),MATCH(L$1,enemy_skill_triggers!$1:$1,0)-MATCH($F$1,enemy_skill_triggers!$1:$1,0)+1,FALSE)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1" s="48" t="str">
        <f ca="1">VLOOKUP($F661,OFFSET(enemy_skill_triggers!$A$1,0,0,COUNTA(enemy_skill_triggers!$A:$A),MATCH(M$1,enemy_skill_triggers!$1:$1,0)-MATCH($F$1,enemy_skill_triggers!$1:$1,0)+1),MATCH(M$1,enemy_skill_triggers!$1:$1,0)-MATCH($F$1,enemy_skill_triggers!$1:$1,0)+1,FALSE)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1" s="48">
        <f ca="1">VLOOKUP($F661,OFFSET(enemy_skill_triggers!$A$1,0,0,COUNTA(enemy_skill_triggers!$A:$A),MATCH(N$1,enemy_skill_triggers!$1:$1,0)-MATCH($F$1,enemy_skill_triggers!$1:$1,0)+1),MATCH(N$1,enemy_skill_triggers!$1:$1,0)-MATCH($F$1,enemy_skill_triggers!$1:$1,0)+1,FALSE)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661" s="48">
        <f ca="1">VLOOKUP($F661,OFFSET(enemy_skill_triggers!$A$1,0,0,COUNTA(enemy_skill_triggers!$A:$A),MATCH(O$1,enemy_skill_triggers!$1:$1,0)-MATCH($F$1,enemy_skill_triggers!$1:$1,0)+1),MATCH(O$1,enemy_skill_triggers!$1:$1,0)-MATCH($F$1,enemy_skill_triggers!$1:$1,0)+1,FALSE)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1" s="47"/>
      <c r="Q661" s="47"/>
      <c r="R661" s="47"/>
    </row>
    <row r="662" spans="1:18" ht="21" customHeight="1" x14ac:dyDescent="0.15">
      <c r="A662" s="39" t="str">
        <f t="shared" si="28"/>
        <v>39009033_39009049</v>
      </c>
      <c r="B662" s="47">
        <v>39009033</v>
      </c>
      <c r="C662" s="131">
        <v>39009049</v>
      </c>
      <c r="D662" s="46" t="str">
        <f ca="1">VLOOKUP($C662,OFFSET(enemy_skills!$A$1,0,0,COUNTA(enemy_skills!$A:$A),MATCH(D$1,enemy_skills!$1:$1,0)-MATCH("enemy_skill_id",enemy_skills!$1:$1,0)+1),MATCH(D$1,enemy_skills!$1:$1,0)-MATCH("enemy_skill_id",enemy_skills!$1:$1,0)+1,FALSE)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662" s="46" t="str">
        <f ca="1">VLOOKUP($C662,OFFSET(enemy_skills!$A$1,0,0,COUNTA(enemy_skills!$A:$A),MATCH(E$1,enemy_skills!$1:$1,0)-MATCH("enemy_skill_id",enemy_skills!$1:$1,0)+1),MATCH(E$1,enemy_skills!$1:$1,0)-MATCH("enemy_skill_id",enemy_skills!$1:$1,0)+1,FALSE)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2" s="131">
        <v>39009033</v>
      </c>
      <c r="G662" s="48">
        <f ca="1">VLOOKUP($F662,OFFSET(enemy_skill_triggers!$A$1,0,0,COUNTA(enemy_skill_triggers!$A:$A),MATCH(G$1,enemy_skill_triggers!$1:$1,0)-MATCH($F$1,enemy_skill_triggers!$1:$1,0)+1),MATCH(G$1,enemy_skill_triggers!$1:$1,0)-MATCH($F$1,enemy_skill_triggers!$1:$1,0)+1,FALSE)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2" s="48">
        <f ca="1">VLOOKUP($F662,OFFSET(enemy_skill_triggers!$A$1,0,0,COUNTA(enemy_skill_triggers!$A:$A),MATCH(H$1,enemy_skill_triggers!$1:$1,0)-MATCH($F$1,enemy_skill_triggers!$1:$1,0)+1),MATCH(H$1,enemy_skill_triggers!$1:$1,0)-MATCH($F$1,enemy_skill_triggers!$1:$1,0)+1,FALSE)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62" s="48">
        <f ca="1">VLOOKUP($F662,OFFSET(enemy_skill_triggers!$A$1,0,0,COUNTA(enemy_skill_triggers!$A:$A),MATCH(I$1,enemy_skill_triggers!$1:$1,0)-MATCH($F$1,enemy_skill_triggers!$1:$1,0)+1),MATCH(I$1,enemy_skill_triggers!$1:$1,0)-MATCH($F$1,enemy_skill_triggers!$1:$1,0)+1,FALSE)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2" s="48" t="str">
        <f ca="1">VLOOKUP($F662,OFFSET(enemy_skill_triggers!$A$1,0,0,COUNTA(enemy_skill_triggers!$A:$A),MATCH(J$1,enemy_skill_triggers!$1:$1,0)-MATCH($F$1,enemy_skill_triggers!$1:$1,0)+1),MATCH(J$1,enemy_skill_triggers!$1:$1,0)-MATCH($F$1,enemy_skill_triggers!$1:$1,0)+1,FALSE)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2" s="48" t="str">
        <f ca="1">VLOOKUP($F662,OFFSET(enemy_skill_triggers!$A$1,0,0,COUNTA(enemy_skill_triggers!$A:$A),MATCH(K$1,enemy_skill_triggers!$1:$1,0)-MATCH($F$1,enemy_skill_triggers!$1:$1,0)+1),MATCH(K$1,enemy_skill_triggers!$1:$1,0)-MATCH($F$1,enemy_skill_triggers!$1:$1,0)+1,FALSE)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2" s="48">
        <f ca="1">VLOOKUP($F662,OFFSET(enemy_skill_triggers!$A$1,0,0,COUNTA(enemy_skill_triggers!$A:$A),MATCH(L$1,enemy_skill_triggers!$1:$1,0)-MATCH($F$1,enemy_skill_triggers!$1:$1,0)+1),MATCH(L$1,enemy_skill_triggers!$1:$1,0)-MATCH($F$1,enemy_skill_triggers!$1:$1,0)+1,FALSE)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2" s="48" t="str">
        <f ca="1">VLOOKUP($F662,OFFSET(enemy_skill_triggers!$A$1,0,0,COUNTA(enemy_skill_triggers!$A:$A),MATCH(M$1,enemy_skill_triggers!$1:$1,0)-MATCH($F$1,enemy_skill_triggers!$1:$1,0)+1),MATCH(M$1,enemy_skill_triggers!$1:$1,0)-MATCH($F$1,enemy_skill_triggers!$1:$1,0)+1,FALSE)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2" s="48">
        <f ca="1">VLOOKUP($F662,OFFSET(enemy_skill_triggers!$A$1,0,0,COUNTA(enemy_skill_triggers!$A:$A),MATCH(N$1,enemy_skill_triggers!$1:$1,0)-MATCH($F$1,enemy_skill_triggers!$1:$1,0)+1),MATCH(N$1,enemy_skill_triggers!$1:$1,0)-MATCH($F$1,enemy_skill_triggers!$1:$1,0)+1,FALSE)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662" s="48">
        <f ca="1">VLOOKUP($F662,OFFSET(enemy_skill_triggers!$A$1,0,0,COUNTA(enemy_skill_triggers!$A:$A),MATCH(O$1,enemy_skill_triggers!$1:$1,0)-MATCH($F$1,enemy_skill_triggers!$1:$1,0)+1),MATCH(O$1,enemy_skill_triggers!$1:$1,0)-MATCH($F$1,enemy_skill_triggers!$1:$1,0)+1,FALSE)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2" s="47"/>
      <c r="Q662" s="47"/>
      <c r="R662" s="47"/>
    </row>
    <row r="663" spans="1:18" ht="21" customHeight="1" x14ac:dyDescent="0.15">
      <c r="A663" s="39" t="str">
        <f t="shared" si="28"/>
        <v>39009033_39009048</v>
      </c>
      <c r="B663" s="47">
        <v>39009033</v>
      </c>
      <c r="C663" s="131">
        <v>39009048</v>
      </c>
      <c r="D663" s="46" t="str">
        <f ca="1">VLOOKUP($C663,OFFSET(enemy_skills!$A$1,0,0,COUNTA(enemy_skills!$A:$A),MATCH(D$1,enemy_skills!$1:$1,0)-MATCH("enemy_skill_id",enemy_skills!$1:$1,0)+1),MATCH(D$1,enemy_skills!$1:$1,0)-MATCH("enemy_skill_id",enemy_skills!$1:$1,0)+1,FALSE)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663" s="46" t="str">
        <f ca="1">VLOOKUP($C663,OFFSET(enemy_skills!$A$1,0,0,COUNTA(enemy_skills!$A:$A),MATCH(E$1,enemy_skills!$1:$1,0)-MATCH("enemy_skill_id",enemy_skills!$1:$1,0)+1),MATCH(E$1,enemy_skills!$1:$1,0)-MATCH("enemy_skill_id",enemy_skills!$1:$1,0)+1,FALSE)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3" s="131">
        <v>39009034</v>
      </c>
      <c r="G663" s="48">
        <f ca="1">VLOOKUP($F663,OFFSET(enemy_skill_triggers!$A$1,0,0,COUNTA(enemy_skill_triggers!$A:$A),MATCH(G$1,enemy_skill_triggers!$1:$1,0)-MATCH($F$1,enemy_skill_triggers!$1:$1,0)+1),MATCH(G$1,enemy_skill_triggers!$1:$1,0)-MATCH($F$1,enemy_skill_triggers!$1:$1,0)+1,FALSE)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3" s="48">
        <f ca="1">VLOOKUP($F663,OFFSET(enemy_skill_triggers!$A$1,0,0,COUNTA(enemy_skill_triggers!$A:$A),MATCH(H$1,enemy_skill_triggers!$1:$1,0)-MATCH($F$1,enemy_skill_triggers!$1:$1,0)+1),MATCH(H$1,enemy_skill_triggers!$1:$1,0)-MATCH($F$1,enemy_skill_triggers!$1:$1,0)+1,FALSE)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63" s="48">
        <f ca="1">VLOOKUP($F663,OFFSET(enemy_skill_triggers!$A$1,0,0,COUNTA(enemy_skill_triggers!$A:$A),MATCH(I$1,enemy_skill_triggers!$1:$1,0)-MATCH($F$1,enemy_skill_triggers!$1:$1,0)+1),MATCH(I$1,enemy_skill_triggers!$1:$1,0)-MATCH($F$1,enemy_skill_triggers!$1:$1,0)+1,FALSE)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3" s="48" t="str">
        <f ca="1">VLOOKUP($F663,OFFSET(enemy_skill_triggers!$A$1,0,0,COUNTA(enemy_skill_triggers!$A:$A),MATCH(J$1,enemy_skill_triggers!$1:$1,0)-MATCH($F$1,enemy_skill_triggers!$1:$1,0)+1),MATCH(J$1,enemy_skill_triggers!$1:$1,0)-MATCH($F$1,enemy_skill_triggers!$1:$1,0)+1,FALSE)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3" s="48" t="str">
        <f ca="1">VLOOKUP($F663,OFFSET(enemy_skill_triggers!$A$1,0,0,COUNTA(enemy_skill_triggers!$A:$A),MATCH(K$1,enemy_skill_triggers!$1:$1,0)-MATCH($F$1,enemy_skill_triggers!$1:$1,0)+1),MATCH(K$1,enemy_skill_triggers!$1:$1,0)-MATCH($F$1,enemy_skill_triggers!$1:$1,0)+1,FALSE)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3" s="48">
        <f ca="1">VLOOKUP($F663,OFFSET(enemy_skill_triggers!$A$1,0,0,COUNTA(enemy_skill_triggers!$A:$A),MATCH(L$1,enemy_skill_triggers!$1:$1,0)-MATCH($F$1,enemy_skill_triggers!$1:$1,0)+1),MATCH(L$1,enemy_skill_triggers!$1:$1,0)-MATCH($F$1,enemy_skill_triggers!$1:$1,0)+1,FALSE)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3" s="48" t="str">
        <f ca="1">VLOOKUP($F663,OFFSET(enemy_skill_triggers!$A$1,0,0,COUNTA(enemy_skill_triggers!$A:$A),MATCH(M$1,enemy_skill_triggers!$1:$1,0)-MATCH($F$1,enemy_skill_triggers!$1:$1,0)+1),MATCH(M$1,enemy_skill_triggers!$1:$1,0)-MATCH($F$1,enemy_skill_triggers!$1:$1,0)+1,FALSE)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3" s="48">
        <f ca="1">VLOOKUP($F663,OFFSET(enemy_skill_triggers!$A$1,0,0,COUNTA(enemy_skill_triggers!$A:$A),MATCH(N$1,enemy_skill_triggers!$1:$1,0)-MATCH($F$1,enemy_skill_triggers!$1:$1,0)+1),MATCH(N$1,enemy_skill_triggers!$1:$1,0)-MATCH($F$1,enemy_skill_triggers!$1:$1,0)+1,FALSE)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663" s="48">
        <f ca="1">VLOOKUP($F663,OFFSET(enemy_skill_triggers!$A$1,0,0,COUNTA(enemy_skill_triggers!$A:$A),MATCH(O$1,enemy_skill_triggers!$1:$1,0)-MATCH($F$1,enemy_skill_triggers!$1:$1,0)+1),MATCH(O$1,enemy_skill_triggers!$1:$1,0)-MATCH($F$1,enemy_skill_triggers!$1:$1,0)+1,FALSE)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3" s="47"/>
      <c r="Q663" s="47"/>
      <c r="R663" s="47"/>
    </row>
    <row r="664" spans="1:18" ht="21" customHeight="1" x14ac:dyDescent="0.15">
      <c r="A664" s="39" t="str">
        <f t="shared" si="28"/>
        <v>39009033_39009048</v>
      </c>
      <c r="B664" s="47">
        <v>39009033</v>
      </c>
      <c r="C664" s="131">
        <v>39009048</v>
      </c>
      <c r="D664" s="46" t="str">
        <f ca="1">VLOOKUP($C664,OFFSET(enemy_skills!$A$1,0,0,COUNTA(enemy_skills!$A:$A),MATCH(D$1,enemy_skills!$1:$1,0)-MATCH("enemy_skill_id",enemy_skills!$1:$1,0)+1),MATCH(D$1,enemy_skills!$1:$1,0)-MATCH("enemy_skill_id",enemy_skills!$1:$1,0)+1,FALSE)</f>
        <v>ユキネちゃん、いらっしゃい☆</v>
      </c>
      <c r="E664" s="46" t="str">
        <f ca="1">VLOOKUP($C664,OFFSET(enemy_skills!$A$1,0,0,COUNTA(enemy_skills!$A:$A),MATCH(E$1,enemy_skills!$1:$1,0)-MATCH("enemy_skill_id",enemy_skills!$1:$1,0)+1),MATCH(E$1,enemy_skills!$1:$1,0)-MATCH("enemy_skill_id",enemy_skills!$1:$1,0)+1,FALSE)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4" s="131">
        <v>39009035</v>
      </c>
      <c r="G664" s="48">
        <f ca="1">VLOOKUP($F664,OFFSET(enemy_skill_triggers!$A$1,0,0,COUNTA(enemy_skill_triggers!$A:$A),MATCH(G$1,enemy_skill_triggers!$1:$1,0)-MATCH($F$1,enemy_skill_triggers!$1:$1,0)+1),MATCH(G$1,enemy_skill_triggers!$1:$1,0)-MATCH($F$1,enemy_skill_triggers!$1:$1,0)+1,FALSE)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4" s="48">
        <f ca="1">VLOOKUP($F664,OFFSET(enemy_skill_triggers!$A$1,0,0,COUNTA(enemy_skill_triggers!$A:$A),MATCH(H$1,enemy_skill_triggers!$1:$1,0)-MATCH($F$1,enemy_skill_triggers!$1:$1,0)+1),MATCH(H$1,enemy_skill_triggers!$1:$1,0)-MATCH($F$1,enemy_skill_triggers!$1:$1,0)+1,FALSE)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64" s="48">
        <f ca="1">VLOOKUP($F664,OFFSET(enemy_skill_triggers!$A$1,0,0,COUNTA(enemy_skill_triggers!$A:$A),MATCH(I$1,enemy_skill_triggers!$1:$1,0)-MATCH($F$1,enemy_skill_triggers!$1:$1,0)+1),MATCH(I$1,enemy_skill_triggers!$1:$1,0)-MATCH($F$1,enemy_skill_triggers!$1:$1,0)+1,FALSE)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4" s="48" t="str">
        <f ca="1">VLOOKUP($F664,OFFSET(enemy_skill_triggers!$A$1,0,0,COUNTA(enemy_skill_triggers!$A:$A),MATCH(J$1,enemy_skill_triggers!$1:$1,0)-MATCH($F$1,enemy_skill_triggers!$1:$1,0)+1),MATCH(J$1,enemy_skill_triggers!$1:$1,0)-MATCH($F$1,enemy_skill_triggers!$1:$1,0)+1,FALSE)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4" s="48" t="str">
        <f ca="1">VLOOKUP($F664,OFFSET(enemy_skill_triggers!$A$1,0,0,COUNTA(enemy_skill_triggers!$A:$A),MATCH(K$1,enemy_skill_triggers!$1:$1,0)-MATCH($F$1,enemy_skill_triggers!$1:$1,0)+1),MATCH(K$1,enemy_skill_triggers!$1:$1,0)-MATCH($F$1,enemy_skill_triggers!$1:$1,0)+1,FALSE)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4" s="48">
        <f ca="1">VLOOKUP($F664,OFFSET(enemy_skill_triggers!$A$1,0,0,COUNTA(enemy_skill_triggers!$A:$A),MATCH(L$1,enemy_skill_triggers!$1:$1,0)-MATCH($F$1,enemy_skill_triggers!$1:$1,0)+1),MATCH(L$1,enemy_skill_triggers!$1:$1,0)-MATCH($F$1,enemy_skill_triggers!$1:$1,0)+1,FALSE)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4" s="48" t="str">
        <f ca="1">VLOOKUP($F664,OFFSET(enemy_skill_triggers!$A$1,0,0,COUNTA(enemy_skill_triggers!$A:$A),MATCH(M$1,enemy_skill_triggers!$1:$1,0)-MATCH($F$1,enemy_skill_triggers!$1:$1,0)+1),MATCH(M$1,enemy_skill_triggers!$1:$1,0)-MATCH($F$1,enemy_skill_triggers!$1:$1,0)+1,FALSE)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4" s="48">
        <f ca="1">VLOOKUP($F664,OFFSET(enemy_skill_triggers!$A$1,0,0,COUNTA(enemy_skill_triggers!$A:$A),MATCH(N$1,enemy_skill_triggers!$1:$1,0)-MATCH($F$1,enemy_skill_triggers!$1:$1,0)+1),MATCH(N$1,enemy_skill_triggers!$1:$1,0)-MATCH($F$1,enemy_skill_triggers!$1:$1,0)+1,FALSE)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664" s="48">
        <f ca="1">VLOOKUP($F664,OFFSET(enemy_skill_triggers!$A$1,0,0,COUNTA(enemy_skill_triggers!$A:$A),MATCH(O$1,enemy_skill_triggers!$1:$1,0)-MATCH($F$1,enemy_skill_triggers!$1:$1,0)+1),MATCH(O$1,enemy_skill_triggers!$1:$1,0)-MATCH($F$1,enemy_skill_triggers!$1:$1,0)+1,FALSE)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4" s="47"/>
      <c r="Q664" s="47"/>
      <c r="R664" s="47"/>
    </row>
    <row r="665" spans="1:18" ht="21" customHeight="1" x14ac:dyDescent="0.15">
      <c r="A665" s="39" t="str">
        <f t="shared" si="28"/>
        <v>39009033_39009049</v>
      </c>
      <c r="B665" s="47">
        <v>39009033</v>
      </c>
      <c r="C665" s="131">
        <v>39009049</v>
      </c>
      <c r="D665" s="46" t="str">
        <f ca="1">VLOOKUP($C665,OFFSET(enemy_skills!$A$1,0,0,COUNTA(enemy_skills!$A:$A),MATCH(D$1,enemy_skills!$1:$1,0)-MATCH("enemy_skill_id",enemy_skills!$1:$1,0)+1),MATCH(D$1,enemy_skills!$1:$1,0)-MATCH("enemy_skill_id",enemy_skills!$1:$1,0)+1,FALSE)</f>
        <v>雪ミクちゃんだぁ♪_x000D_会えて嬉しいな☆</v>
      </c>
      <c r="E665" s="46" t="str">
        <f ca="1">VLOOKUP($C665,OFFSET(enemy_skills!$A$1,0,0,COUNTA(enemy_skills!$A:$A),MATCH(E$1,enemy_skills!$1:$1,0)-MATCH("enemy_skill_id",enemy_skills!$1:$1,0)+1),MATCH(E$1,enemy_skills!$1:$1,0)-MATCH("enemy_skill_id",enemy_skills!$1:$1,0)+1,FALSE)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5" s="131">
        <v>39009036</v>
      </c>
      <c r="G665" s="48">
        <f ca="1">VLOOKUP($F665,OFFSET(enemy_skill_triggers!$A$1,0,0,COUNTA(enemy_skill_triggers!$A:$A),MATCH(G$1,enemy_skill_triggers!$1:$1,0)-MATCH($F$1,enemy_skill_triggers!$1:$1,0)+1),MATCH(G$1,enemy_skill_triggers!$1:$1,0)-MATCH($F$1,enemy_skill_triggers!$1:$1,0)+1,FALSE)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5" s="48">
        <f ca="1">VLOOKUP($F665,OFFSET(enemy_skill_triggers!$A$1,0,0,COUNTA(enemy_skill_triggers!$A:$A),MATCH(H$1,enemy_skill_triggers!$1:$1,0)-MATCH($F$1,enemy_skill_triggers!$1:$1,0)+1),MATCH(H$1,enemy_skill_triggers!$1:$1,0)-MATCH($F$1,enemy_skill_triggers!$1:$1,0)+1,FALSE)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65" s="48">
        <f ca="1">VLOOKUP($F665,OFFSET(enemy_skill_triggers!$A$1,0,0,COUNTA(enemy_skill_triggers!$A:$A),MATCH(I$1,enemy_skill_triggers!$1:$1,0)-MATCH($F$1,enemy_skill_triggers!$1:$1,0)+1),MATCH(I$1,enemy_skill_triggers!$1:$1,0)-MATCH($F$1,enemy_skill_triggers!$1:$1,0)+1,FALSE)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5" s="48" t="str">
        <f ca="1">VLOOKUP($F665,OFFSET(enemy_skill_triggers!$A$1,0,0,COUNTA(enemy_skill_triggers!$A:$A),MATCH(J$1,enemy_skill_triggers!$1:$1,0)-MATCH($F$1,enemy_skill_triggers!$1:$1,0)+1),MATCH(J$1,enemy_skill_triggers!$1:$1,0)-MATCH($F$1,enemy_skill_triggers!$1:$1,0)+1,FALSE)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5" s="48" t="str">
        <f ca="1">VLOOKUP($F665,OFFSET(enemy_skill_triggers!$A$1,0,0,COUNTA(enemy_skill_triggers!$A:$A),MATCH(K$1,enemy_skill_triggers!$1:$1,0)-MATCH($F$1,enemy_skill_triggers!$1:$1,0)+1),MATCH(K$1,enemy_skill_triggers!$1:$1,0)-MATCH($F$1,enemy_skill_triggers!$1:$1,0)+1,FALSE)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5" s="48">
        <f ca="1">VLOOKUP($F665,OFFSET(enemy_skill_triggers!$A$1,0,0,COUNTA(enemy_skill_triggers!$A:$A),MATCH(L$1,enemy_skill_triggers!$1:$1,0)-MATCH($F$1,enemy_skill_triggers!$1:$1,0)+1),MATCH(L$1,enemy_skill_triggers!$1:$1,0)-MATCH($F$1,enemy_skill_triggers!$1:$1,0)+1,FALSE)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5" s="48" t="str">
        <f ca="1">VLOOKUP($F665,OFFSET(enemy_skill_triggers!$A$1,0,0,COUNTA(enemy_skill_triggers!$A:$A),MATCH(M$1,enemy_skill_triggers!$1:$1,0)-MATCH($F$1,enemy_skill_triggers!$1:$1,0)+1),MATCH(M$1,enemy_skill_triggers!$1:$1,0)-MATCH($F$1,enemy_skill_triggers!$1:$1,0)+1,FALSE)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5" s="48">
        <f ca="1">VLOOKUP($F665,OFFSET(enemy_skill_triggers!$A$1,0,0,COUNTA(enemy_skill_triggers!$A:$A),MATCH(N$1,enemy_skill_triggers!$1:$1,0)-MATCH($F$1,enemy_skill_triggers!$1:$1,0)+1),MATCH(N$1,enemy_skill_triggers!$1:$1,0)-MATCH($F$1,enemy_skill_triggers!$1:$1,0)+1,FALSE)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665" s="48">
        <f ca="1">VLOOKUP($F665,OFFSET(enemy_skill_triggers!$A$1,0,0,COUNTA(enemy_skill_triggers!$A:$A),MATCH(O$1,enemy_skill_triggers!$1:$1,0)-MATCH($F$1,enemy_skill_triggers!$1:$1,0)+1),MATCH(O$1,enemy_skill_triggers!$1:$1,0)-MATCH($F$1,enemy_skill_triggers!$1:$1,0)+1,FALSE)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5" s="47"/>
      <c r="Q665" s="47"/>
      <c r="R665" s="47"/>
    </row>
    <row r="666" spans="1:18" ht="21" customHeight="1" x14ac:dyDescent="0.15">
      <c r="A666" s="39" t="str">
        <f t="shared" si="28"/>
        <v>39009033_39009056</v>
      </c>
      <c r="B666" s="47">
        <v>39009033</v>
      </c>
      <c r="C666" s="131">
        <v>39009056</v>
      </c>
      <c r="D666" s="46" t="str">
        <f ca="1">VLOOKUP($C666,OFFSET(enemy_skills!$A$1,0,0,COUNTA(enemy_skills!$A:$A),MATCH(D$1,enemy_skills!$1:$1,0)-MATCH("enemy_skill_id",enemy_skills!$1:$1,0)+1),MATCH(D$1,enemy_skills!$1:$1,0)-MATCH("enemy_skill_id",enemy_skills!$1:$1,0)+1,FALSE)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666" s="46" t="str">
        <f ca="1">VLOOKUP($C666,OFFSET(enemy_skills!$A$1,0,0,COUNTA(enemy_skills!$A:$A),MATCH(E$1,enemy_skills!$1:$1,0)-MATCH("enemy_skill_id",enemy_skills!$1:$1,0)+1),MATCH(E$1,enemy_skills!$1:$1,0)-MATCH("enemy_skill_id",enemy_skills!$1:$1,0)+1,FALSE)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6" s="131">
        <v>39009037</v>
      </c>
      <c r="G666" s="48">
        <f ca="1">VLOOKUP($F666,OFFSET(enemy_skill_triggers!$A$1,0,0,COUNTA(enemy_skill_triggers!$A:$A),MATCH(G$1,enemy_skill_triggers!$1:$1,0)-MATCH($F$1,enemy_skill_triggers!$1:$1,0)+1),MATCH(G$1,enemy_skill_triggers!$1:$1,0)-MATCH($F$1,enemy_skill_triggers!$1:$1,0)+1,FALSE)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6" s="48">
        <f ca="1">VLOOKUP($F666,OFFSET(enemy_skill_triggers!$A$1,0,0,COUNTA(enemy_skill_triggers!$A:$A),MATCH(H$1,enemy_skill_triggers!$1:$1,0)-MATCH($F$1,enemy_skill_triggers!$1:$1,0)+1),MATCH(H$1,enemy_skill_triggers!$1:$1,0)-MATCH($F$1,enemy_skill_triggers!$1:$1,0)+1,FALSE)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66" s="48">
        <f ca="1">VLOOKUP($F666,OFFSET(enemy_skill_triggers!$A$1,0,0,COUNTA(enemy_skill_triggers!$A:$A),MATCH(I$1,enemy_skill_triggers!$1:$1,0)-MATCH($F$1,enemy_skill_triggers!$1:$1,0)+1),MATCH(I$1,enemy_skill_triggers!$1:$1,0)-MATCH($F$1,enemy_skill_triggers!$1:$1,0)+1,FALSE)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6" s="48" t="str">
        <f ca="1">VLOOKUP($F666,OFFSET(enemy_skill_triggers!$A$1,0,0,COUNTA(enemy_skill_triggers!$A:$A),MATCH(J$1,enemy_skill_triggers!$1:$1,0)-MATCH($F$1,enemy_skill_triggers!$1:$1,0)+1),MATCH(J$1,enemy_skill_triggers!$1:$1,0)-MATCH($F$1,enemy_skill_triggers!$1:$1,0)+1,FALSE)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6" s="48" t="str">
        <f ca="1">VLOOKUP($F666,OFFSET(enemy_skill_triggers!$A$1,0,0,COUNTA(enemy_skill_triggers!$A:$A),MATCH(K$1,enemy_skill_triggers!$1:$1,0)-MATCH($F$1,enemy_skill_triggers!$1:$1,0)+1),MATCH(K$1,enemy_skill_triggers!$1:$1,0)-MATCH($F$1,enemy_skill_triggers!$1:$1,0)+1,FALSE)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6" s="48">
        <f ca="1">VLOOKUP($F666,OFFSET(enemy_skill_triggers!$A$1,0,0,COUNTA(enemy_skill_triggers!$A:$A),MATCH(L$1,enemy_skill_triggers!$1:$1,0)-MATCH($F$1,enemy_skill_triggers!$1:$1,0)+1),MATCH(L$1,enemy_skill_triggers!$1:$1,0)-MATCH($F$1,enemy_skill_triggers!$1:$1,0)+1,FALSE)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6" s="48" t="str">
        <f ca="1">VLOOKUP($F666,OFFSET(enemy_skill_triggers!$A$1,0,0,COUNTA(enemy_skill_triggers!$A:$A),MATCH(M$1,enemy_skill_triggers!$1:$1,0)-MATCH($F$1,enemy_skill_triggers!$1:$1,0)+1),MATCH(M$1,enemy_skill_triggers!$1:$1,0)-MATCH($F$1,enemy_skill_triggers!$1:$1,0)+1,FALSE)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6" s="48">
        <f ca="1">VLOOKUP($F666,OFFSET(enemy_skill_triggers!$A$1,0,0,COUNTA(enemy_skill_triggers!$A:$A),MATCH(N$1,enemy_skill_triggers!$1:$1,0)-MATCH($F$1,enemy_skill_triggers!$1:$1,0)+1),MATCH(N$1,enemy_skill_triggers!$1:$1,0)-MATCH($F$1,enemy_skill_triggers!$1:$1,0)+1,FALSE)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666" s="48">
        <f ca="1">VLOOKUP($F666,OFFSET(enemy_skill_triggers!$A$1,0,0,COUNTA(enemy_skill_triggers!$A:$A),MATCH(O$1,enemy_skill_triggers!$1:$1,0)-MATCH($F$1,enemy_skill_triggers!$1:$1,0)+1),MATCH(O$1,enemy_skill_triggers!$1:$1,0)-MATCH($F$1,enemy_skill_triggers!$1:$1,0)+1,FALSE)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6" s="47"/>
      <c r="Q666" s="47"/>
      <c r="R666" s="47"/>
    </row>
    <row r="667" spans="1:18" ht="21" customHeight="1" x14ac:dyDescent="0.15">
      <c r="A667" s="39" t="str">
        <f t="shared" si="28"/>
        <v>39009033_39009056</v>
      </c>
      <c r="B667" s="47">
        <v>39009033</v>
      </c>
      <c r="C667" s="131">
        <v>39009056</v>
      </c>
      <c r="D667" s="46" t="str">
        <f ca="1">VLOOKUP($C667,OFFSET(enemy_skills!$A$1,0,0,COUNTA(enemy_skills!$A:$A),MATCH(D$1,enemy_skills!$1:$1,0)-MATCH("enemy_skill_id",enemy_skills!$1:$1,0)+1),MATCH(D$1,enemy_skills!$1:$1,0)-MATCH("enemy_skill_id",enemy_skills!$1:$1,0)+1,FALSE)</f>
        <v>かわいい衣装だぁ♪_x000D_楽しんでいってね☆</v>
      </c>
      <c r="E667" s="46" t="str">
        <f ca="1">VLOOKUP($C667,OFFSET(enemy_skills!$A$1,0,0,COUNTA(enemy_skills!$A:$A),MATCH(E$1,enemy_skills!$1:$1,0)-MATCH("enemy_skill_id",enemy_skills!$1:$1,0)+1),MATCH(E$1,enemy_skills!$1:$1,0)-MATCH("enemy_skill_id",enemy_skills!$1:$1,0)+1,FALSE)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7" s="131">
        <v>39009038</v>
      </c>
      <c r="G667" s="48">
        <f ca="1">VLOOKUP($F667,OFFSET(enemy_skill_triggers!$A$1,0,0,COUNTA(enemy_skill_triggers!$A:$A),MATCH(G$1,enemy_skill_triggers!$1:$1,0)-MATCH($F$1,enemy_skill_triggers!$1:$1,0)+1),MATCH(G$1,enemy_skill_triggers!$1:$1,0)-MATCH($F$1,enemy_skill_triggers!$1:$1,0)+1,FALSE)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7" s="48">
        <f ca="1">VLOOKUP($F667,OFFSET(enemy_skill_triggers!$A$1,0,0,COUNTA(enemy_skill_triggers!$A:$A),MATCH(H$1,enemy_skill_triggers!$1:$1,0)-MATCH($F$1,enemy_skill_triggers!$1:$1,0)+1),MATCH(H$1,enemy_skill_triggers!$1:$1,0)-MATCH($F$1,enemy_skill_triggers!$1:$1,0)+1,FALSE)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67" s="48">
        <f ca="1">VLOOKUP($F667,OFFSET(enemy_skill_triggers!$A$1,0,0,COUNTA(enemy_skill_triggers!$A:$A),MATCH(I$1,enemy_skill_triggers!$1:$1,0)-MATCH($F$1,enemy_skill_triggers!$1:$1,0)+1),MATCH(I$1,enemy_skill_triggers!$1:$1,0)-MATCH($F$1,enemy_skill_triggers!$1:$1,0)+1,FALSE)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7" s="48" t="str">
        <f ca="1">VLOOKUP($F667,OFFSET(enemy_skill_triggers!$A$1,0,0,COUNTA(enemy_skill_triggers!$A:$A),MATCH(J$1,enemy_skill_triggers!$1:$1,0)-MATCH($F$1,enemy_skill_triggers!$1:$1,0)+1),MATCH(J$1,enemy_skill_triggers!$1:$1,0)-MATCH($F$1,enemy_skill_triggers!$1:$1,0)+1,FALSE)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7" s="48" t="str">
        <f ca="1">VLOOKUP($F667,OFFSET(enemy_skill_triggers!$A$1,0,0,COUNTA(enemy_skill_triggers!$A:$A),MATCH(K$1,enemy_skill_triggers!$1:$1,0)-MATCH($F$1,enemy_skill_triggers!$1:$1,0)+1),MATCH(K$1,enemy_skill_triggers!$1:$1,0)-MATCH($F$1,enemy_skill_triggers!$1:$1,0)+1,FALSE)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7" s="48">
        <f ca="1">VLOOKUP($F667,OFFSET(enemy_skill_triggers!$A$1,0,0,COUNTA(enemy_skill_triggers!$A:$A),MATCH(L$1,enemy_skill_triggers!$1:$1,0)-MATCH($F$1,enemy_skill_triggers!$1:$1,0)+1),MATCH(L$1,enemy_skill_triggers!$1:$1,0)-MATCH($F$1,enemy_skill_triggers!$1:$1,0)+1,FALSE)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7" s="48" t="str">
        <f ca="1">VLOOKUP($F667,OFFSET(enemy_skill_triggers!$A$1,0,0,COUNTA(enemy_skill_triggers!$A:$A),MATCH(M$1,enemy_skill_triggers!$1:$1,0)-MATCH($F$1,enemy_skill_triggers!$1:$1,0)+1),MATCH(M$1,enemy_skill_triggers!$1:$1,0)-MATCH($F$1,enemy_skill_triggers!$1:$1,0)+1,FALSE)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7" s="48">
        <f ca="1">VLOOKUP($F667,OFFSET(enemy_skill_triggers!$A$1,0,0,COUNTA(enemy_skill_triggers!$A:$A),MATCH(N$1,enemy_skill_triggers!$1:$1,0)-MATCH($F$1,enemy_skill_triggers!$1:$1,0)+1),MATCH(N$1,enemy_skill_triggers!$1:$1,0)-MATCH($F$1,enemy_skill_triggers!$1:$1,0)+1,FALSE)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667" s="48">
        <f ca="1">VLOOKUP($F667,OFFSET(enemy_skill_triggers!$A$1,0,0,COUNTA(enemy_skill_triggers!$A:$A),MATCH(O$1,enemy_skill_triggers!$1:$1,0)-MATCH($F$1,enemy_skill_triggers!$1:$1,0)+1),MATCH(O$1,enemy_skill_triggers!$1:$1,0)-MATCH($F$1,enemy_skill_triggers!$1:$1,0)+1,FALSE)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7" s="47"/>
      <c r="Q667" s="47"/>
      <c r="R667" s="47"/>
    </row>
    <row r="668" spans="1:18" ht="21" customHeight="1" x14ac:dyDescent="0.15">
      <c r="A668" s="39" t="str">
        <f t="shared" si="28"/>
        <v>39009033_39009050</v>
      </c>
      <c r="B668" s="47">
        <v>39009033</v>
      </c>
      <c r="C668" s="131">
        <v>39009050</v>
      </c>
      <c r="D668" s="46" t="str">
        <f ca="1">VLOOKUP($C668,OFFSET(enemy_skills!$A$1,0,0,COUNTA(enemy_skills!$A:$A),MATCH(D$1,enemy_skills!$1:$1,0)-MATCH("enemy_skill_id",enemy_skills!$1:$1,0)+1),MATCH(D$1,enemy_skills!$1:$1,0)-MATCH("enemy_skill_id",enemy_skills!$1:$1,0)+1,FALSE)</f>
        <v>ミクちゃん♪_x000D_一緒に天体観測しよっ☆</v>
      </c>
      <c r="E668" s="46" t="str">
        <f ca="1">VLOOKUP($C668,OFFSET(enemy_skills!$A$1,0,0,COUNTA(enemy_skills!$A:$A),MATCH(E$1,enemy_skills!$1:$1,0)-MATCH("enemy_skill_id",enemy_skills!$1:$1,0)+1),MATCH(E$1,enemy_skills!$1:$1,0)-MATCH("enemy_skill_id",enemy_skills!$1:$1,0)+1,FALSE)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8" s="131">
        <v>39009039</v>
      </c>
      <c r="G668" s="48">
        <f ca="1">VLOOKUP($F668,OFFSET(enemy_skill_triggers!$A$1,0,0,COUNTA(enemy_skill_triggers!$A:$A),MATCH(G$1,enemy_skill_triggers!$1:$1,0)-MATCH($F$1,enemy_skill_triggers!$1:$1,0)+1),MATCH(G$1,enemy_skill_triggers!$1:$1,0)-MATCH($F$1,enemy_skill_triggers!$1:$1,0)+1,FALSE)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8" s="48">
        <f ca="1">VLOOKUP($F668,OFFSET(enemy_skill_triggers!$A$1,0,0,COUNTA(enemy_skill_triggers!$A:$A),MATCH(H$1,enemy_skill_triggers!$1:$1,0)-MATCH($F$1,enemy_skill_triggers!$1:$1,0)+1),MATCH(H$1,enemy_skill_triggers!$1:$1,0)-MATCH($F$1,enemy_skill_triggers!$1:$1,0)+1,FALSE)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68" s="48">
        <f ca="1">VLOOKUP($F668,OFFSET(enemy_skill_triggers!$A$1,0,0,COUNTA(enemy_skill_triggers!$A:$A),MATCH(I$1,enemy_skill_triggers!$1:$1,0)-MATCH($F$1,enemy_skill_triggers!$1:$1,0)+1),MATCH(I$1,enemy_skill_triggers!$1:$1,0)-MATCH($F$1,enemy_skill_triggers!$1:$1,0)+1,FALSE)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8" s="48" t="str">
        <f ca="1">VLOOKUP($F668,OFFSET(enemy_skill_triggers!$A$1,0,0,COUNTA(enemy_skill_triggers!$A:$A),MATCH(J$1,enemy_skill_triggers!$1:$1,0)-MATCH($F$1,enemy_skill_triggers!$1:$1,0)+1),MATCH(J$1,enemy_skill_triggers!$1:$1,0)-MATCH($F$1,enemy_skill_triggers!$1:$1,0)+1,FALSE)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8" s="48" t="str">
        <f ca="1">VLOOKUP($F668,OFFSET(enemy_skill_triggers!$A$1,0,0,COUNTA(enemy_skill_triggers!$A:$A),MATCH(K$1,enemy_skill_triggers!$1:$1,0)-MATCH($F$1,enemy_skill_triggers!$1:$1,0)+1),MATCH(K$1,enemy_skill_triggers!$1:$1,0)-MATCH($F$1,enemy_skill_triggers!$1:$1,0)+1,FALSE)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8" s="48">
        <f ca="1">VLOOKUP($F668,OFFSET(enemy_skill_triggers!$A$1,0,0,COUNTA(enemy_skill_triggers!$A:$A),MATCH(L$1,enemy_skill_triggers!$1:$1,0)-MATCH($F$1,enemy_skill_triggers!$1:$1,0)+1),MATCH(L$1,enemy_skill_triggers!$1:$1,0)-MATCH($F$1,enemy_skill_triggers!$1:$1,0)+1,FALSE)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8" s="48" t="str">
        <f ca="1">VLOOKUP($F668,OFFSET(enemy_skill_triggers!$A$1,0,0,COUNTA(enemy_skill_triggers!$A:$A),MATCH(M$1,enemy_skill_triggers!$1:$1,0)-MATCH($F$1,enemy_skill_triggers!$1:$1,0)+1),MATCH(M$1,enemy_skill_triggers!$1:$1,0)-MATCH($F$1,enemy_skill_triggers!$1:$1,0)+1,FALSE)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8" s="48">
        <f ca="1">VLOOKUP($F668,OFFSET(enemy_skill_triggers!$A$1,0,0,COUNTA(enemy_skill_triggers!$A:$A),MATCH(N$1,enemy_skill_triggers!$1:$1,0)-MATCH($F$1,enemy_skill_triggers!$1:$1,0)+1),MATCH(N$1,enemy_skill_triggers!$1:$1,0)-MATCH($F$1,enemy_skill_triggers!$1:$1,0)+1,FALSE)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668" s="48">
        <f ca="1">VLOOKUP($F668,OFFSET(enemy_skill_triggers!$A$1,0,0,COUNTA(enemy_skill_triggers!$A:$A),MATCH(O$1,enemy_skill_triggers!$1:$1,0)-MATCH($F$1,enemy_skill_triggers!$1:$1,0)+1),MATCH(O$1,enemy_skill_triggers!$1:$1,0)-MATCH($F$1,enemy_skill_triggers!$1:$1,0)+1,FALSE)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8" s="47"/>
      <c r="Q668" s="47"/>
      <c r="R668" s="47"/>
    </row>
    <row r="669" spans="1:18" ht="21" customHeight="1" x14ac:dyDescent="0.15">
      <c r="A669" s="39" t="str">
        <f t="shared" si="28"/>
        <v>39009033_39009053</v>
      </c>
      <c r="B669" s="47">
        <v>39009033</v>
      </c>
      <c r="C669" s="131">
        <v>39009053</v>
      </c>
      <c r="D669" s="46" t="str">
        <f ca="1">VLOOKUP($C669,OFFSET(enemy_skills!$A$1,0,0,COUNTA(enemy_skills!$A:$A),MATCH(D$1,enemy_skills!$1:$1,0)-MATCH("enemy_skill_id",enemy_skills!$1:$1,0)+1),MATCH(D$1,enemy_skills!$1:$1,0)-MATCH("enemy_skill_id",enemy_skills!$1:$1,0)+1,FALSE)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669" s="46" t="str">
        <f ca="1">VLOOKUP($C669,OFFSET(enemy_skills!$A$1,0,0,COUNTA(enemy_skills!$A:$A),MATCH(E$1,enemy_skills!$1:$1,0)-MATCH("enemy_skill_id",enemy_skills!$1:$1,0)+1),MATCH(E$1,enemy_skills!$1:$1,0)-MATCH("enemy_skill_id",enemy_skills!$1:$1,0)+1,FALSE)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9" s="131">
        <v>39009040</v>
      </c>
      <c r="G669" s="48">
        <f ca="1">VLOOKUP($F669,OFFSET(enemy_skill_triggers!$A$1,0,0,COUNTA(enemy_skill_triggers!$A:$A),MATCH(G$1,enemy_skill_triggers!$1:$1,0)-MATCH($F$1,enemy_skill_triggers!$1:$1,0)+1),MATCH(G$1,enemy_skill_triggers!$1:$1,0)-MATCH($F$1,enemy_skill_triggers!$1:$1,0)+1,FALSE)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9" s="48">
        <f ca="1">VLOOKUP($F669,OFFSET(enemy_skill_triggers!$A$1,0,0,COUNTA(enemy_skill_triggers!$A:$A),MATCH(H$1,enemy_skill_triggers!$1:$1,0)-MATCH($F$1,enemy_skill_triggers!$1:$1,0)+1),MATCH(H$1,enemy_skill_triggers!$1:$1,0)-MATCH($F$1,enemy_skill_triggers!$1:$1,0)+1,FALSE)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69" s="48">
        <f ca="1">VLOOKUP($F669,OFFSET(enemy_skill_triggers!$A$1,0,0,COUNTA(enemy_skill_triggers!$A:$A),MATCH(I$1,enemy_skill_triggers!$1:$1,0)-MATCH($F$1,enemy_skill_triggers!$1:$1,0)+1),MATCH(I$1,enemy_skill_triggers!$1:$1,0)-MATCH($F$1,enemy_skill_triggers!$1:$1,0)+1,FALSE)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9" s="48" t="str">
        <f ca="1">VLOOKUP($F669,OFFSET(enemy_skill_triggers!$A$1,0,0,COUNTA(enemy_skill_triggers!$A:$A),MATCH(J$1,enemy_skill_triggers!$1:$1,0)-MATCH($F$1,enemy_skill_triggers!$1:$1,0)+1),MATCH(J$1,enemy_skill_triggers!$1:$1,0)-MATCH($F$1,enemy_skill_triggers!$1:$1,0)+1,FALSE)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9" s="48" t="str">
        <f ca="1">VLOOKUP($F669,OFFSET(enemy_skill_triggers!$A$1,0,0,COUNTA(enemy_skill_triggers!$A:$A),MATCH(K$1,enemy_skill_triggers!$1:$1,0)-MATCH($F$1,enemy_skill_triggers!$1:$1,0)+1),MATCH(K$1,enemy_skill_triggers!$1:$1,0)-MATCH($F$1,enemy_skill_triggers!$1:$1,0)+1,FALSE)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9" s="48">
        <f ca="1">VLOOKUP($F669,OFFSET(enemy_skill_triggers!$A$1,0,0,COUNTA(enemy_skill_triggers!$A:$A),MATCH(L$1,enemy_skill_triggers!$1:$1,0)-MATCH($F$1,enemy_skill_triggers!$1:$1,0)+1),MATCH(L$1,enemy_skill_triggers!$1:$1,0)-MATCH($F$1,enemy_skill_triggers!$1:$1,0)+1,FALSE)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9" s="48" t="str">
        <f ca="1">VLOOKUP($F669,OFFSET(enemy_skill_triggers!$A$1,0,0,COUNTA(enemy_skill_triggers!$A:$A),MATCH(M$1,enemy_skill_triggers!$1:$1,0)-MATCH($F$1,enemy_skill_triggers!$1:$1,0)+1),MATCH(M$1,enemy_skill_triggers!$1:$1,0)-MATCH($F$1,enemy_skill_triggers!$1:$1,0)+1,FALSE)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9" s="48">
        <f ca="1">VLOOKUP($F669,OFFSET(enemy_skill_triggers!$A$1,0,0,COUNTA(enemy_skill_triggers!$A:$A),MATCH(N$1,enemy_skill_triggers!$1:$1,0)-MATCH($F$1,enemy_skill_triggers!$1:$1,0)+1),MATCH(N$1,enemy_skill_triggers!$1:$1,0)-MATCH($F$1,enemy_skill_triggers!$1:$1,0)+1,FALSE)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69" s="48">
        <f ca="1">VLOOKUP($F669,OFFSET(enemy_skill_triggers!$A$1,0,0,COUNTA(enemy_skill_triggers!$A:$A),MATCH(O$1,enemy_skill_triggers!$1:$1,0)-MATCH($F$1,enemy_skill_triggers!$1:$1,0)+1),MATCH(O$1,enemy_skill_triggers!$1:$1,0)-MATCH($F$1,enemy_skill_triggers!$1:$1,0)+1,FALSE)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9" s="47"/>
      <c r="Q669" s="47"/>
      <c r="R669" s="47"/>
    </row>
    <row r="670" spans="1:18" ht="21" customHeight="1" x14ac:dyDescent="0.15">
      <c r="A670" s="39" t="str">
        <f t="shared" si="28"/>
        <v>39009033_39009054</v>
      </c>
      <c r="B670" s="47">
        <v>39009033</v>
      </c>
      <c r="C670" s="131">
        <v>39009054</v>
      </c>
      <c r="D670" s="46" t="str">
        <f ca="1">VLOOKUP($C670,OFFSET(enemy_skills!$A$1,0,0,COUNTA(enemy_skills!$A:$A),MATCH(D$1,enemy_skills!$1:$1,0)-MATCH("enemy_skill_id",enemy_skills!$1:$1,0)+1),MATCH(D$1,enemy_skills!$1:$1,0)-MATCH("enemy_skill_id",enemy_skills!$1:$1,0)+1,FALSE)</f>
        <v>MEIKOさん、素敵な夜にしようねっ☆</v>
      </c>
      <c r="E670" s="46" t="str">
        <f ca="1">VLOOKUP($C670,OFFSET(enemy_skills!$A$1,0,0,COUNTA(enemy_skills!$A:$A),MATCH(E$1,enemy_skills!$1:$1,0)-MATCH("enemy_skill_id",enemy_skills!$1:$1,0)+1),MATCH(E$1,enemy_skills!$1:$1,0)-MATCH("enemy_skill_id",enemy_skills!$1:$1,0)+1,FALSE)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0" s="131">
        <v>39009041</v>
      </c>
      <c r="G670" s="48">
        <f ca="1">VLOOKUP($F670,OFFSET(enemy_skill_triggers!$A$1,0,0,COUNTA(enemy_skill_triggers!$A:$A),MATCH(G$1,enemy_skill_triggers!$1:$1,0)-MATCH($F$1,enemy_skill_triggers!$1:$1,0)+1),MATCH(G$1,enemy_skill_triggers!$1:$1,0)-MATCH($F$1,enemy_skill_triggers!$1:$1,0)+1,FALSE)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0" s="48">
        <f ca="1">VLOOKUP($F670,OFFSET(enemy_skill_triggers!$A$1,0,0,COUNTA(enemy_skill_triggers!$A:$A),MATCH(H$1,enemy_skill_triggers!$1:$1,0)-MATCH($F$1,enemy_skill_triggers!$1:$1,0)+1),MATCH(H$1,enemy_skill_triggers!$1:$1,0)-MATCH($F$1,enemy_skill_triggers!$1:$1,0)+1,FALSE)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70" s="48">
        <f ca="1">VLOOKUP($F670,OFFSET(enemy_skill_triggers!$A$1,0,0,COUNTA(enemy_skill_triggers!$A:$A),MATCH(I$1,enemy_skill_triggers!$1:$1,0)-MATCH($F$1,enemy_skill_triggers!$1:$1,0)+1),MATCH(I$1,enemy_skill_triggers!$1:$1,0)-MATCH($F$1,enemy_skill_triggers!$1:$1,0)+1,FALSE)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0" s="48" t="str">
        <f ca="1">VLOOKUP($F670,OFFSET(enemy_skill_triggers!$A$1,0,0,COUNTA(enemy_skill_triggers!$A:$A),MATCH(J$1,enemy_skill_triggers!$1:$1,0)-MATCH($F$1,enemy_skill_triggers!$1:$1,0)+1),MATCH(J$1,enemy_skill_triggers!$1:$1,0)-MATCH($F$1,enemy_skill_triggers!$1:$1,0)+1,FALSE)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0" s="48" t="str">
        <f ca="1">VLOOKUP($F670,OFFSET(enemy_skill_triggers!$A$1,0,0,COUNTA(enemy_skill_triggers!$A:$A),MATCH(K$1,enemy_skill_triggers!$1:$1,0)-MATCH($F$1,enemy_skill_triggers!$1:$1,0)+1),MATCH(K$1,enemy_skill_triggers!$1:$1,0)-MATCH($F$1,enemy_skill_triggers!$1:$1,0)+1,FALSE)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0" s="48">
        <f ca="1">VLOOKUP($F670,OFFSET(enemy_skill_triggers!$A$1,0,0,COUNTA(enemy_skill_triggers!$A:$A),MATCH(L$1,enemy_skill_triggers!$1:$1,0)-MATCH($F$1,enemy_skill_triggers!$1:$1,0)+1),MATCH(L$1,enemy_skill_triggers!$1:$1,0)-MATCH($F$1,enemy_skill_triggers!$1:$1,0)+1,FALSE)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0" s="48" t="str">
        <f ca="1">VLOOKUP($F670,OFFSET(enemy_skill_triggers!$A$1,0,0,COUNTA(enemy_skill_triggers!$A:$A),MATCH(M$1,enemy_skill_triggers!$1:$1,0)-MATCH($F$1,enemy_skill_triggers!$1:$1,0)+1),MATCH(M$1,enemy_skill_triggers!$1:$1,0)-MATCH($F$1,enemy_skill_triggers!$1:$1,0)+1,FALSE)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0" s="48">
        <f ca="1">VLOOKUP($F670,OFFSET(enemy_skill_triggers!$A$1,0,0,COUNTA(enemy_skill_triggers!$A:$A),MATCH(N$1,enemy_skill_triggers!$1:$1,0)-MATCH($F$1,enemy_skill_triggers!$1:$1,0)+1),MATCH(N$1,enemy_skill_triggers!$1:$1,0)-MATCH($F$1,enemy_skill_triggers!$1:$1,0)+1,FALSE)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670" s="48">
        <f ca="1">VLOOKUP($F670,OFFSET(enemy_skill_triggers!$A$1,0,0,COUNTA(enemy_skill_triggers!$A:$A),MATCH(O$1,enemy_skill_triggers!$1:$1,0)-MATCH($F$1,enemy_skill_triggers!$1:$1,0)+1),MATCH(O$1,enemy_skill_triggers!$1:$1,0)-MATCH($F$1,enemy_skill_triggers!$1:$1,0)+1,FALSE)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0" s="47"/>
      <c r="Q670" s="47"/>
      <c r="R670" s="47"/>
    </row>
    <row r="671" spans="1:18" ht="21" customHeight="1" x14ac:dyDescent="0.15">
      <c r="A671" s="39" t="str">
        <f t="shared" ref="A671" si="29">B671&amp;"_"&amp;C671</f>
        <v>39009033_39009053</v>
      </c>
      <c r="B671" s="47">
        <v>39009033</v>
      </c>
      <c r="C671" s="131">
        <v>39009053</v>
      </c>
      <c r="D671" s="46" t="str">
        <f ca="1">VLOOKUP($C671,OFFSET(enemy_skills!$A$1,0,0,COUNTA(enemy_skills!$A:$A),MATCH(D$1,enemy_skills!$1:$1,0)-MATCH("enemy_skill_id",enemy_skills!$1:$1,0)+1),MATCH(D$1,enemy_skills!$1:$1,0)-MATCH("enemy_skill_id",enemy_skills!$1:$1,0)+1,FALSE)</f>
        <v>ルカさん♪_x000D_一緒に願い星さがそっ☆</v>
      </c>
      <c r="E671" s="46" t="str">
        <f ca="1">VLOOKUP($C671,OFFSET(enemy_skills!$A$1,0,0,COUNTA(enemy_skills!$A:$A),MATCH(E$1,enemy_skills!$1:$1,0)-MATCH("enemy_skill_id",enemy_skills!$1:$1,0)+1),MATCH(E$1,enemy_skills!$1:$1,0)-MATCH("enemy_skill_id",enemy_skills!$1:$1,0)+1,FALSE)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1" s="131">
        <v>39009042</v>
      </c>
      <c r="G671" s="48">
        <f ca="1">VLOOKUP($F671,OFFSET(enemy_skill_triggers!$A$1,0,0,COUNTA(enemy_skill_triggers!$A:$A),MATCH(G$1,enemy_skill_triggers!$1:$1,0)-MATCH($F$1,enemy_skill_triggers!$1:$1,0)+1),MATCH(G$1,enemy_skill_triggers!$1:$1,0)-MATCH($F$1,enemy_skill_triggers!$1:$1,0)+1,FALSE)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1" s="48">
        <f ca="1">VLOOKUP($F671,OFFSET(enemy_skill_triggers!$A$1,0,0,COUNTA(enemy_skill_triggers!$A:$A),MATCH(H$1,enemy_skill_triggers!$1:$1,0)-MATCH($F$1,enemy_skill_triggers!$1:$1,0)+1),MATCH(H$1,enemy_skill_triggers!$1:$1,0)-MATCH($F$1,enemy_skill_triggers!$1:$1,0)+1,FALSE)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1" s="48">
        <f ca="1">VLOOKUP($F671,OFFSET(enemy_skill_triggers!$A$1,0,0,COUNTA(enemy_skill_triggers!$A:$A),MATCH(I$1,enemy_skill_triggers!$1:$1,0)-MATCH($F$1,enemy_skill_triggers!$1:$1,0)+1),MATCH(I$1,enemy_skill_triggers!$1:$1,0)-MATCH($F$1,enemy_skill_triggers!$1:$1,0)+1,FALSE)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1" s="48" t="str">
        <f ca="1">VLOOKUP($F671,OFFSET(enemy_skill_triggers!$A$1,0,0,COUNTA(enemy_skill_triggers!$A:$A),MATCH(J$1,enemy_skill_triggers!$1:$1,0)-MATCH($F$1,enemy_skill_triggers!$1:$1,0)+1),MATCH(J$1,enemy_skill_triggers!$1:$1,0)-MATCH($F$1,enemy_skill_triggers!$1:$1,0)+1,FALSE)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1" s="48" t="str">
        <f ca="1">VLOOKUP($F671,OFFSET(enemy_skill_triggers!$A$1,0,0,COUNTA(enemy_skill_triggers!$A:$A),MATCH(K$1,enemy_skill_triggers!$1:$1,0)-MATCH($F$1,enemy_skill_triggers!$1:$1,0)+1),MATCH(K$1,enemy_skill_triggers!$1:$1,0)-MATCH($F$1,enemy_skill_triggers!$1:$1,0)+1,FALSE)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1" s="48">
        <f ca="1">VLOOKUP($F671,OFFSET(enemy_skill_triggers!$A$1,0,0,COUNTA(enemy_skill_triggers!$A:$A),MATCH(L$1,enemy_skill_triggers!$1:$1,0)-MATCH($F$1,enemy_skill_triggers!$1:$1,0)+1),MATCH(L$1,enemy_skill_triggers!$1:$1,0)-MATCH($F$1,enemy_skill_triggers!$1:$1,0)+1,FALSE)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1" s="48" t="str">
        <f ca="1">VLOOKUP($F671,OFFSET(enemy_skill_triggers!$A$1,0,0,COUNTA(enemy_skill_triggers!$A:$A),MATCH(M$1,enemy_skill_triggers!$1:$1,0)-MATCH($F$1,enemy_skill_triggers!$1:$1,0)+1),MATCH(M$1,enemy_skill_triggers!$1:$1,0)-MATCH($F$1,enemy_skill_triggers!$1:$1,0)+1,FALSE)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1" s="48">
        <f ca="1">VLOOKUP($F671,OFFSET(enemy_skill_triggers!$A$1,0,0,COUNTA(enemy_skill_triggers!$A:$A),MATCH(N$1,enemy_skill_triggers!$1:$1,0)-MATCH($F$1,enemy_skill_triggers!$1:$1,0)+1),MATCH(N$1,enemy_skill_triggers!$1:$1,0)-MATCH($F$1,enemy_skill_triggers!$1:$1,0)+1,FALSE)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671" s="48">
        <f ca="1">VLOOKUP($F671,OFFSET(enemy_skill_triggers!$A$1,0,0,COUNTA(enemy_skill_triggers!$A:$A),MATCH(O$1,enemy_skill_triggers!$1:$1,0)-MATCH($F$1,enemy_skill_triggers!$1:$1,0)+1),MATCH(O$1,enemy_skill_triggers!$1:$1,0)-MATCH($F$1,enemy_skill_triggers!$1:$1,0)+1,FALSE)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1" s="47"/>
      <c r="Q671" s="47"/>
      <c r="R671" s="47"/>
    </row>
    <row r="672" spans="1:18" ht="21" customHeight="1" x14ac:dyDescent="0.15">
      <c r="A672" s="39" t="str">
        <f t="shared" si="28"/>
        <v>39009033_39009057</v>
      </c>
      <c r="B672" s="47">
        <v>39009033</v>
      </c>
      <c r="C672" s="131">
        <v>39009057</v>
      </c>
      <c r="D672" s="46" t="str">
        <f ca="1">VLOOKUP($C672,OFFSET(enemy_skills!$A$1,0,0,COUNTA(enemy_skills!$A:$A),MATCH(D$1,enemy_skills!$1:$1,0)-MATCH("enemy_skill_id",enemy_skills!$1:$1,0)+1),MATCH(D$1,enemy_skills!$1:$1,0)-MATCH("enemy_skill_id",enemy_skills!$1:$1,0)+1,FALSE)</f>
        <v>神秘的な光芒を見て…☆</v>
      </c>
      <c r="E672" s="46" t="str">
        <f ca="1">VLOOKUP($C672,OFFSET(enemy_skills!$A$1,0,0,COUNTA(enemy_skills!$A:$A),MATCH(E$1,enemy_skills!$1:$1,0)-MATCH("enemy_skill_id",enemy_skills!$1:$1,0)+1),MATCH(E$1,enemy_skills!$1:$1,0)-MATCH("enemy_skill_id",enemy_skills!$1:$1,0)+1,FALSE)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672" s="131">
        <v>39009074</v>
      </c>
      <c r="G672" s="48">
        <f ca="1">VLOOKUP($F672,OFFSET(enemy_skill_triggers!$A$1,0,0,COUNTA(enemy_skill_triggers!$A:$A),MATCH(G$1,enemy_skill_triggers!$1:$1,0)-MATCH($F$1,enemy_skill_triggers!$1:$1,0)+1),MATCH(G$1,enemy_skill_triggers!$1:$1,0)-MATCH($F$1,enemy_skill_triggers!$1:$1,0)+1,FALSE)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2" s="48">
        <f ca="1">VLOOKUP($F672,OFFSET(enemy_skill_triggers!$A$1,0,0,COUNTA(enemy_skill_triggers!$A:$A),MATCH(H$1,enemy_skill_triggers!$1:$1,0)-MATCH($F$1,enemy_skill_triggers!$1:$1,0)+1),MATCH(H$1,enemy_skill_triggers!$1:$1,0)-MATCH($F$1,enemy_skill_triggers!$1:$1,0)+1,FALSE)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672" s="48">
        <f ca="1">VLOOKUP($F672,OFFSET(enemy_skill_triggers!$A$1,0,0,COUNTA(enemy_skill_triggers!$A:$A),MATCH(I$1,enemy_skill_triggers!$1:$1,0)-MATCH($F$1,enemy_skill_triggers!$1:$1,0)+1),MATCH(I$1,enemy_skill_triggers!$1:$1,0)-MATCH($F$1,enemy_skill_triggers!$1:$1,0)+1,FALSE)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72" s="48" t="str">
        <f ca="1">VLOOKUP($F672,OFFSET(enemy_skill_triggers!$A$1,0,0,COUNTA(enemy_skill_triggers!$A:$A),MATCH(J$1,enemy_skill_triggers!$1:$1,0)-MATCH($F$1,enemy_skill_triggers!$1:$1,0)+1),MATCH(J$1,enemy_skill_triggers!$1:$1,0)-MATCH($F$1,enemy_skill_triggers!$1:$1,0)+1,FALSE)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2" s="48" t="str">
        <f ca="1">VLOOKUP($F672,OFFSET(enemy_skill_triggers!$A$1,0,0,COUNTA(enemy_skill_triggers!$A:$A),MATCH(K$1,enemy_skill_triggers!$1:$1,0)-MATCH($F$1,enemy_skill_triggers!$1:$1,0)+1),MATCH(K$1,enemy_skill_triggers!$1:$1,0)-MATCH($F$1,enemy_skill_triggers!$1:$1,0)+1,FALSE)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2" s="48">
        <f ca="1">VLOOKUP($F672,OFFSET(enemy_skill_triggers!$A$1,0,0,COUNTA(enemy_skill_triggers!$A:$A),MATCH(L$1,enemy_skill_triggers!$1:$1,0)-MATCH($F$1,enemy_skill_triggers!$1:$1,0)+1),MATCH(L$1,enemy_skill_triggers!$1:$1,0)-MATCH($F$1,enemy_skill_triggers!$1:$1,0)+1,FALSE)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2" s="48" t="str">
        <f ca="1">VLOOKUP($F672,OFFSET(enemy_skill_triggers!$A$1,0,0,COUNTA(enemy_skill_triggers!$A:$A),MATCH(M$1,enemy_skill_triggers!$1:$1,0)-MATCH($F$1,enemy_skill_triggers!$1:$1,0)+1),MATCH(M$1,enemy_skill_triggers!$1:$1,0)-MATCH($F$1,enemy_skill_triggers!$1:$1,0)+1,FALSE)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2" s="48" t="str">
        <f ca="1">VLOOKUP($F672,OFFSET(enemy_skill_triggers!$A$1,0,0,COUNTA(enemy_skill_triggers!$A:$A),MATCH(N$1,enemy_skill_triggers!$1:$1,0)-MATCH($F$1,enemy_skill_triggers!$1:$1,0)+1),MATCH(N$1,enemy_skill_triggers!$1:$1,0)-MATCH($F$1,enemy_skill_triggers!$1:$1,0)+1,FALSE)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2" s="48">
        <f ca="1">VLOOKUP($F672,OFFSET(enemy_skill_triggers!$A$1,0,0,COUNTA(enemy_skill_triggers!$A:$A),MATCH(O$1,enemy_skill_triggers!$1:$1,0)-MATCH($F$1,enemy_skill_triggers!$1:$1,0)+1),MATCH(O$1,enemy_skill_triggers!$1:$1,0)-MATCH($F$1,enemy_skill_triggers!$1:$1,0)+1,FALSE)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72" s="47"/>
      <c r="Q672" s="47"/>
      <c r="R672" s="47"/>
    </row>
    <row r="673" spans="1:18" ht="21" customHeight="1" x14ac:dyDescent="0.15">
      <c r="A673" s="39" t="str">
        <f t="shared" si="28"/>
        <v>39009033_39009058</v>
      </c>
      <c r="B673" s="47">
        <v>39009033</v>
      </c>
      <c r="C673" s="131">
        <v>39009058</v>
      </c>
      <c r="D673" s="46" t="str">
        <f ca="1">VLOOKUP($C673,OFFSET(enemy_skills!$A$1,0,0,COUNTA(enemy_skills!$A:$A),MATCH(D$1,enemy_skills!$1:$1,0)-MATCH("enemy_skill_id",enemy_skills!$1:$1,0)+1),MATCH(D$1,enemy_skills!$1:$1,0)-MATCH("enemy_skill_id",enemy_skills!$1:$1,0)+1,FALSE)</f>
        <v>メテオシャワー</v>
      </c>
      <c r="E673" s="46" t="str">
        <f ca="1">VLOOKUP($C673,OFFSET(enemy_skills!$A$1,0,0,COUNTA(enemy_skills!$A:$A),MATCH(E$1,enemy_skills!$1:$1,0)-MATCH("enemy_skill_id",enemy_skills!$1:$1,0)+1),MATCH(E$1,enemy_skills!$1:$1,0)-MATCH("enemy_skill_id",enemy_skills!$1:$1,0)+1,FALSE)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73" s="131">
        <v>39009075</v>
      </c>
      <c r="G673" s="48">
        <f ca="1">VLOOKUP($F673,OFFSET(enemy_skill_triggers!$A$1,0,0,COUNTA(enemy_skill_triggers!$A:$A),MATCH(G$1,enemy_skill_triggers!$1:$1,0)-MATCH($F$1,enemy_skill_triggers!$1:$1,0)+1),MATCH(G$1,enemy_skill_triggers!$1:$1,0)-MATCH($F$1,enemy_skill_triggers!$1:$1,0)+1,FALSE)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3" s="48">
        <f ca="1">VLOOKUP($F673,OFFSET(enemy_skill_triggers!$A$1,0,0,COUNTA(enemy_skill_triggers!$A:$A),MATCH(H$1,enemy_skill_triggers!$1:$1,0)-MATCH($F$1,enemy_skill_triggers!$1:$1,0)+1),MATCH(H$1,enemy_skill_triggers!$1:$1,0)-MATCH($F$1,enemy_skill_triggers!$1:$1,0)+1,FALSE)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673" s="48">
        <f ca="1">VLOOKUP($F673,OFFSET(enemy_skill_triggers!$A$1,0,0,COUNTA(enemy_skill_triggers!$A:$A),MATCH(I$1,enemy_skill_triggers!$1:$1,0)-MATCH($F$1,enemy_skill_triggers!$1:$1,0)+1),MATCH(I$1,enemy_skill_triggers!$1:$1,0)-MATCH($F$1,enemy_skill_triggers!$1:$1,0)+1,FALSE)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73" s="48" t="str">
        <f ca="1">VLOOKUP($F673,OFFSET(enemy_skill_triggers!$A$1,0,0,COUNTA(enemy_skill_triggers!$A:$A),MATCH(J$1,enemy_skill_triggers!$1:$1,0)-MATCH($F$1,enemy_skill_triggers!$1:$1,0)+1),MATCH(J$1,enemy_skill_triggers!$1:$1,0)-MATCH($F$1,enemy_skill_triggers!$1:$1,0)+1,FALSE)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3" s="48" t="str">
        <f ca="1">VLOOKUP($F673,OFFSET(enemy_skill_triggers!$A$1,0,0,COUNTA(enemy_skill_triggers!$A:$A),MATCH(K$1,enemy_skill_triggers!$1:$1,0)-MATCH($F$1,enemy_skill_triggers!$1:$1,0)+1),MATCH(K$1,enemy_skill_triggers!$1:$1,0)-MATCH($F$1,enemy_skill_triggers!$1:$1,0)+1,FALSE)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3" s="48" t="str">
        <f ca="1">VLOOKUP($F673,OFFSET(enemy_skill_triggers!$A$1,0,0,COUNTA(enemy_skill_triggers!$A:$A),MATCH(L$1,enemy_skill_triggers!$1:$1,0)-MATCH($F$1,enemy_skill_triggers!$1:$1,0)+1),MATCH(L$1,enemy_skill_triggers!$1:$1,0)-MATCH($F$1,enemy_skill_triggers!$1:$1,0)+1,FALSE)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3" s="48" t="str">
        <f ca="1">VLOOKUP($F673,OFFSET(enemy_skill_triggers!$A$1,0,0,COUNTA(enemy_skill_triggers!$A:$A),MATCH(M$1,enemy_skill_triggers!$1:$1,0)-MATCH($F$1,enemy_skill_triggers!$1:$1,0)+1),MATCH(M$1,enemy_skill_triggers!$1:$1,0)-MATCH($F$1,enemy_skill_triggers!$1:$1,0)+1,FALSE)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3" s="48" t="str">
        <f ca="1">VLOOKUP($F673,OFFSET(enemy_skill_triggers!$A$1,0,0,COUNTA(enemy_skill_triggers!$A:$A),MATCH(N$1,enemy_skill_triggers!$1:$1,0)-MATCH($F$1,enemy_skill_triggers!$1:$1,0)+1),MATCH(N$1,enemy_skill_triggers!$1:$1,0)-MATCH($F$1,enemy_skill_triggers!$1:$1,0)+1,FALSE)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3" s="48">
        <f ca="1">VLOOKUP($F673,OFFSET(enemy_skill_triggers!$A$1,0,0,COUNTA(enemy_skill_triggers!$A:$A),MATCH(O$1,enemy_skill_triggers!$1:$1,0)-MATCH($F$1,enemy_skill_triggers!$1:$1,0)+1),MATCH(O$1,enemy_skill_triggers!$1:$1,0)-MATCH($F$1,enemy_skill_triggers!$1:$1,0)+1,FALSE)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73" s="47"/>
      <c r="Q673" s="47"/>
      <c r="R673" s="47"/>
    </row>
    <row r="674" spans="1:18" ht="21" customHeight="1" x14ac:dyDescent="0.15">
      <c r="A674" s="39" t="str">
        <f t="shared" si="28"/>
        <v>39009033_39009059</v>
      </c>
      <c r="B674" s="47">
        <v>39009033</v>
      </c>
      <c r="C674" s="131">
        <v>39009059</v>
      </c>
      <c r="D674" s="46" t="str">
        <f ca="1">VLOOKUP($C674,OFFSET(enemy_skills!$A$1,0,0,COUNTA(enemy_skills!$A:$A),MATCH(D$1,enemy_skills!$1:$1,0)-MATCH("enemy_skill_id",enemy_skills!$1:$1,0)+1),MATCH(D$1,enemy_skills!$1:$1,0)-MATCH("enemy_skill_id",enemy_skills!$1:$1,0)+1,FALSE)</f>
        <v>ツインスターシュート</v>
      </c>
      <c r="E674" s="46" t="str">
        <f ca="1">VLOOKUP($C674,OFFSET(enemy_skills!$A$1,0,0,COUNTA(enemy_skills!$A:$A),MATCH(E$1,enemy_skills!$1:$1,0)-MATCH("enemy_skill_id",enemy_skills!$1:$1,0)+1),MATCH(E$1,enemy_skills!$1:$1,0)-MATCH("enemy_skill_id",enemy_skills!$1:$1,0)+1,FALSE)</f>
        <v>3ターン攻撃力UP+2回連続攻撃</v>
      </c>
      <c r="F674" s="131">
        <v>39009076</v>
      </c>
      <c r="G674" s="48">
        <f ca="1">VLOOKUP($F674,OFFSET(enemy_skill_triggers!$A$1,0,0,COUNTA(enemy_skill_triggers!$A:$A),MATCH(G$1,enemy_skill_triggers!$1:$1,0)-MATCH($F$1,enemy_skill_triggers!$1:$1,0)+1),MATCH(G$1,enemy_skill_triggers!$1:$1,0)-MATCH($F$1,enemy_skill_triggers!$1:$1,0)+1,FALSE)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4" s="48">
        <f ca="1">VLOOKUP($F674,OFFSET(enemy_skill_triggers!$A$1,0,0,COUNTA(enemy_skill_triggers!$A:$A),MATCH(H$1,enemy_skill_triggers!$1:$1,0)-MATCH($F$1,enemy_skill_triggers!$1:$1,0)+1),MATCH(H$1,enemy_skill_triggers!$1:$1,0)-MATCH($F$1,enemy_skill_triggers!$1:$1,0)+1,FALSE)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674" s="48">
        <f ca="1">VLOOKUP($F674,OFFSET(enemy_skill_triggers!$A$1,0,0,COUNTA(enemy_skill_triggers!$A:$A),MATCH(I$1,enemy_skill_triggers!$1:$1,0)-MATCH($F$1,enemy_skill_triggers!$1:$1,0)+1),MATCH(I$1,enemy_skill_triggers!$1:$1,0)-MATCH($F$1,enemy_skill_triggers!$1:$1,0)+1,FALSE)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4" s="48">
        <f ca="1">VLOOKUP($F674,OFFSET(enemy_skill_triggers!$A$1,0,0,COUNTA(enemy_skill_triggers!$A:$A),MATCH(J$1,enemy_skill_triggers!$1:$1,0)-MATCH($F$1,enemy_skill_triggers!$1:$1,0)+1),MATCH(J$1,enemy_skill_triggers!$1:$1,0)-MATCH($F$1,enemy_skill_triggers!$1:$1,0)+1,FALSE)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4" s="48" t="str">
        <f ca="1">VLOOKUP($F674,OFFSET(enemy_skill_triggers!$A$1,0,0,COUNTA(enemy_skill_triggers!$A:$A),MATCH(K$1,enemy_skill_triggers!$1:$1,0)-MATCH($F$1,enemy_skill_triggers!$1:$1,0)+1),MATCH(K$1,enemy_skill_triggers!$1:$1,0)-MATCH($F$1,enemy_skill_triggers!$1:$1,0)+1,FALSE)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4" s="48">
        <f ca="1">VLOOKUP($F674,OFFSET(enemy_skill_triggers!$A$1,0,0,COUNTA(enemy_skill_triggers!$A:$A),MATCH(L$1,enemy_skill_triggers!$1:$1,0)-MATCH($F$1,enemy_skill_triggers!$1:$1,0)+1),MATCH(L$1,enemy_skill_triggers!$1:$1,0)-MATCH($F$1,enemy_skill_triggers!$1:$1,0)+1,FALSE)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4" s="48" t="str">
        <f ca="1">VLOOKUP($F674,OFFSET(enemy_skill_triggers!$A$1,0,0,COUNTA(enemy_skill_triggers!$A:$A),MATCH(M$1,enemy_skill_triggers!$1:$1,0)-MATCH($F$1,enemy_skill_triggers!$1:$1,0)+1),MATCH(M$1,enemy_skill_triggers!$1:$1,0)-MATCH($F$1,enemy_skill_triggers!$1:$1,0)+1,FALSE)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4" s="48" t="str">
        <f ca="1">VLOOKUP($F674,OFFSET(enemy_skill_triggers!$A$1,0,0,COUNTA(enemy_skill_triggers!$A:$A),MATCH(N$1,enemy_skill_triggers!$1:$1,0)-MATCH($F$1,enemy_skill_triggers!$1:$1,0)+1),MATCH(N$1,enemy_skill_triggers!$1:$1,0)-MATCH($F$1,enemy_skill_triggers!$1:$1,0)+1,FALSE)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4" s="48">
        <f ca="1">VLOOKUP($F674,OFFSET(enemy_skill_triggers!$A$1,0,0,COUNTA(enemy_skill_triggers!$A:$A),MATCH(O$1,enemy_skill_triggers!$1:$1,0)-MATCH($F$1,enemy_skill_triggers!$1:$1,0)+1),MATCH(O$1,enemy_skill_triggers!$1:$1,0)-MATCH($F$1,enemy_skill_triggers!$1:$1,0)+1,FALSE)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4" s="47"/>
      <c r="Q674" s="47"/>
      <c r="R674" s="47"/>
    </row>
    <row r="675" spans="1:18" ht="21" customHeight="1" x14ac:dyDescent="0.15">
      <c r="A675" s="39" t="str">
        <f t="shared" si="28"/>
        <v>39009034_39009060</v>
      </c>
      <c r="B675" s="47">
        <v>39009034</v>
      </c>
      <c r="C675" s="132">
        <v>39009060</v>
      </c>
      <c r="D675" s="46" t="str">
        <f ca="1">VLOOKUP($C675,OFFSET(enemy_skills!$A$1,0,0,COUNTA(enemy_skills!$A:$A),MATCH(D$1,enemy_skills!$1:$1,0)-MATCH("enemy_skill_id",enemy_skills!$1:$1,0)+1),MATCH(D$1,enemy_skills!$1:$1,0)-MATCH("enemy_skill_id",enemy_skills!$1:$1,0)+1,FALSE)</f>
        <v>お星様にお願いしよっ♪</v>
      </c>
      <c r="E675" s="46" t="str">
        <f ca="1">VLOOKUP($C675,OFFSET(enemy_skills!$A$1,0,0,COUNTA(enemy_skills!$A:$A),MATCH(E$1,enemy_skills!$1:$1,0)-MATCH("enemy_skill_id",enemy_skills!$1:$1,0)+1),MATCH(E$1,enemy_skills!$1:$1,0)-MATCH("enemy_skill_id",enemy_skills!$1:$1,0)+1,FALSE)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5" s="132">
        <v>39009077</v>
      </c>
      <c r="G675" s="48">
        <f ca="1">VLOOKUP($F675,OFFSET(enemy_skill_triggers!$A$1,0,0,COUNTA(enemy_skill_triggers!$A:$A),MATCH(G$1,enemy_skill_triggers!$1:$1,0)-MATCH($F$1,enemy_skill_triggers!$1:$1,0)+1),MATCH(G$1,enemy_skill_triggers!$1:$1,0)-MATCH($F$1,enemy_skill_triggers!$1:$1,0)+1,FALSE)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5" s="48">
        <f ca="1">VLOOKUP($F675,OFFSET(enemy_skill_triggers!$A$1,0,0,COUNTA(enemy_skill_triggers!$A:$A),MATCH(H$1,enemy_skill_triggers!$1:$1,0)-MATCH($F$1,enemy_skill_triggers!$1:$1,0)+1),MATCH(H$1,enemy_skill_triggers!$1:$1,0)-MATCH($F$1,enemy_skill_triggers!$1:$1,0)+1,FALSE)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75" s="48">
        <f ca="1">VLOOKUP($F675,OFFSET(enemy_skill_triggers!$A$1,0,0,COUNTA(enemy_skill_triggers!$A:$A),MATCH(I$1,enemy_skill_triggers!$1:$1,0)-MATCH($F$1,enemy_skill_triggers!$1:$1,0)+1),MATCH(I$1,enemy_skill_triggers!$1:$1,0)-MATCH($F$1,enemy_skill_triggers!$1:$1,0)+1,FALSE)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5" s="48" t="str">
        <f ca="1">VLOOKUP($F675,OFFSET(enemy_skill_triggers!$A$1,0,0,COUNTA(enemy_skill_triggers!$A:$A),MATCH(J$1,enemy_skill_triggers!$1:$1,0)-MATCH($F$1,enemy_skill_triggers!$1:$1,0)+1),MATCH(J$1,enemy_skill_triggers!$1:$1,0)-MATCH($F$1,enemy_skill_triggers!$1:$1,0)+1,FALSE)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5" s="48" t="str">
        <f ca="1">VLOOKUP($F675,OFFSET(enemy_skill_triggers!$A$1,0,0,COUNTA(enemy_skill_triggers!$A:$A),MATCH(K$1,enemy_skill_triggers!$1:$1,0)-MATCH($F$1,enemy_skill_triggers!$1:$1,0)+1),MATCH(K$1,enemy_skill_triggers!$1:$1,0)-MATCH($F$1,enemy_skill_triggers!$1:$1,0)+1,FALSE)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5" s="48">
        <f ca="1">VLOOKUP($F675,OFFSET(enemy_skill_triggers!$A$1,0,0,COUNTA(enemy_skill_triggers!$A:$A),MATCH(L$1,enemy_skill_triggers!$1:$1,0)-MATCH($F$1,enemy_skill_triggers!$1:$1,0)+1),MATCH(L$1,enemy_skill_triggers!$1:$1,0)-MATCH($F$1,enemy_skill_triggers!$1:$1,0)+1,FALSE)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5" s="48" t="str">
        <f ca="1">VLOOKUP($F675,OFFSET(enemy_skill_triggers!$A$1,0,0,COUNTA(enemy_skill_triggers!$A:$A),MATCH(M$1,enemy_skill_triggers!$1:$1,0)-MATCH($F$1,enemy_skill_triggers!$1:$1,0)+1),MATCH(M$1,enemy_skill_triggers!$1:$1,0)-MATCH($F$1,enemy_skill_triggers!$1:$1,0)+1,FALSE)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5" s="48" t="str">
        <f ca="1">VLOOKUP($F675,OFFSET(enemy_skill_triggers!$A$1,0,0,COUNTA(enemy_skill_triggers!$A:$A),MATCH(N$1,enemy_skill_triggers!$1:$1,0)-MATCH($F$1,enemy_skill_triggers!$1:$1,0)+1),MATCH(N$1,enemy_skill_triggers!$1:$1,0)-MATCH($F$1,enemy_skill_triggers!$1:$1,0)+1,FALSE)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5" s="48">
        <f ca="1">VLOOKUP($F675,OFFSET(enemy_skill_triggers!$A$1,0,0,COUNTA(enemy_skill_triggers!$A:$A),MATCH(O$1,enemy_skill_triggers!$1:$1,0)-MATCH($F$1,enemy_skill_triggers!$1:$1,0)+1),MATCH(O$1,enemy_skill_triggers!$1:$1,0)-MATCH($F$1,enemy_skill_triggers!$1:$1,0)+1,FALSE)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5" s="47"/>
      <c r="Q675" s="47"/>
      <c r="R675" s="47"/>
    </row>
    <row r="676" spans="1:18" ht="21" customHeight="1" x14ac:dyDescent="0.15">
      <c r="A676" s="39" t="str">
        <f t="shared" si="28"/>
        <v>39009034_39009061</v>
      </c>
      <c r="B676" s="47">
        <v>39009034</v>
      </c>
      <c r="C676" s="132">
        <v>39009061</v>
      </c>
      <c r="D676" s="46" t="str">
        <f ca="1">VLOOKUP($C676,OFFSET(enemy_skills!$A$1,0,0,COUNTA(enemy_skills!$A:$A),MATCH(D$1,enemy_skills!$1:$1,0)-MATCH("enemy_skill_id",enemy_skills!$1:$1,0)+1),MATCH(D$1,enemy_skills!$1:$1,0)-MATCH("enemy_skill_id",enemy_skills!$1:$1,0)+1,FALSE)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76" s="46" t="str">
        <f ca="1">VLOOKUP($C676,OFFSET(enemy_skills!$A$1,0,0,COUNTA(enemy_skills!$A:$A),MATCH(E$1,enemy_skills!$1:$1,0)-MATCH("enemy_skill_id",enemy_skills!$1:$1,0)+1),MATCH(E$1,enemy_skills!$1:$1,0)-MATCH("enemy_skill_id",enemy_skills!$1:$1,0)+1,FALSE)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76" s="132">
        <v>39009078</v>
      </c>
      <c r="G676" s="48">
        <f ca="1">VLOOKUP($F676,OFFSET(enemy_skill_triggers!$A$1,0,0,COUNTA(enemy_skill_triggers!$A:$A),MATCH(G$1,enemy_skill_triggers!$1:$1,0)-MATCH($F$1,enemy_skill_triggers!$1:$1,0)+1),MATCH(G$1,enemy_skill_triggers!$1:$1,0)-MATCH($F$1,enemy_skill_triggers!$1:$1,0)+1,FALSE)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6" s="48">
        <f ca="1">VLOOKUP($F676,OFFSET(enemy_skill_triggers!$A$1,0,0,COUNTA(enemy_skill_triggers!$A:$A),MATCH(H$1,enemy_skill_triggers!$1:$1,0)-MATCH($F$1,enemy_skill_triggers!$1:$1,0)+1),MATCH(H$1,enemy_skill_triggers!$1:$1,0)-MATCH($F$1,enemy_skill_triggers!$1:$1,0)+1,FALSE)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676" s="48">
        <f ca="1">VLOOKUP($F676,OFFSET(enemy_skill_triggers!$A$1,0,0,COUNTA(enemy_skill_triggers!$A:$A),MATCH(I$1,enemy_skill_triggers!$1:$1,0)-MATCH($F$1,enemy_skill_triggers!$1:$1,0)+1),MATCH(I$1,enemy_skill_triggers!$1:$1,0)-MATCH($F$1,enemy_skill_triggers!$1:$1,0)+1,FALSE)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6" s="48" t="str">
        <f ca="1">VLOOKUP($F676,OFFSET(enemy_skill_triggers!$A$1,0,0,COUNTA(enemy_skill_triggers!$A:$A),MATCH(J$1,enemy_skill_triggers!$1:$1,0)-MATCH($F$1,enemy_skill_triggers!$1:$1,0)+1),MATCH(J$1,enemy_skill_triggers!$1:$1,0)-MATCH($F$1,enemy_skill_triggers!$1:$1,0)+1,FALSE)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6" s="48" t="str">
        <f ca="1">VLOOKUP($F676,OFFSET(enemy_skill_triggers!$A$1,0,0,COUNTA(enemy_skill_triggers!$A:$A),MATCH(K$1,enemy_skill_triggers!$1:$1,0)-MATCH($F$1,enemy_skill_triggers!$1:$1,0)+1),MATCH(K$1,enemy_skill_triggers!$1:$1,0)-MATCH($F$1,enemy_skill_triggers!$1:$1,0)+1,FALSE)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6" s="48">
        <f ca="1">VLOOKUP($F676,OFFSET(enemy_skill_triggers!$A$1,0,0,COUNTA(enemy_skill_triggers!$A:$A),MATCH(L$1,enemy_skill_triggers!$1:$1,0)-MATCH($F$1,enemy_skill_triggers!$1:$1,0)+1),MATCH(L$1,enemy_skill_triggers!$1:$1,0)-MATCH($F$1,enemy_skill_triggers!$1:$1,0)+1,FALSE)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6" s="48" t="str">
        <f ca="1">VLOOKUP($F676,OFFSET(enemy_skill_triggers!$A$1,0,0,COUNTA(enemy_skill_triggers!$A:$A),MATCH(M$1,enemy_skill_triggers!$1:$1,0)-MATCH($F$1,enemy_skill_triggers!$1:$1,0)+1),MATCH(M$1,enemy_skill_triggers!$1:$1,0)-MATCH($F$1,enemy_skill_triggers!$1:$1,0)+1,FALSE)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6" s="48">
        <f ca="1">VLOOKUP($F676,OFFSET(enemy_skill_triggers!$A$1,0,0,COUNTA(enemy_skill_triggers!$A:$A),MATCH(N$1,enemy_skill_triggers!$1:$1,0)-MATCH($F$1,enemy_skill_triggers!$1:$1,0)+1),MATCH(N$1,enemy_skill_triggers!$1:$1,0)-MATCH($F$1,enemy_skill_triggers!$1:$1,0)+1,FALSE)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676" s="48">
        <f ca="1">VLOOKUP($F676,OFFSET(enemy_skill_triggers!$A$1,0,0,COUNTA(enemy_skill_triggers!$A:$A),MATCH(O$1,enemy_skill_triggers!$1:$1,0)-MATCH($F$1,enemy_skill_triggers!$1:$1,0)+1),MATCH(O$1,enemy_skill_triggers!$1:$1,0)-MATCH($F$1,enemy_skill_triggers!$1:$1,0)+1,FALSE)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6" s="47"/>
      <c r="Q676" s="47"/>
      <c r="R676" s="47"/>
    </row>
    <row r="677" spans="1:18" ht="21" customHeight="1" x14ac:dyDescent="0.15">
      <c r="A677" s="39" t="str">
        <f t="shared" si="28"/>
        <v>39009034_39009061</v>
      </c>
      <c r="B677" s="47">
        <v>39009034</v>
      </c>
      <c r="C677" s="132">
        <v>39009061</v>
      </c>
      <c r="D677" s="46" t="str">
        <f ca="1">VLOOKUP($C677,OFFSET(enemy_skills!$A$1,0,0,COUNTA(enemy_skills!$A:$A),MATCH(D$1,enemy_skills!$1:$1,0)-MATCH("enemy_skill_id",enemy_skills!$1:$1,0)+1),MATCH(D$1,enemy_skills!$1:$1,0)-MATCH("enemy_skill_id",enemy_skills!$1:$1,0)+1,FALSE)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77" s="46" t="str">
        <f ca="1">VLOOKUP($C677,OFFSET(enemy_skills!$A$1,0,0,COUNTA(enemy_skills!$A:$A),MATCH(E$1,enemy_skills!$1:$1,0)-MATCH("enemy_skill_id",enemy_skills!$1:$1,0)+1),MATCH(E$1,enemy_skills!$1:$1,0)-MATCH("enemy_skill_id",enemy_skills!$1:$1,0)+1,FALSE)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77" s="132">
        <v>39009079</v>
      </c>
      <c r="G677" s="48">
        <f ca="1">VLOOKUP($F677,OFFSET(enemy_skill_triggers!$A$1,0,0,COUNTA(enemy_skill_triggers!$A:$A),MATCH(G$1,enemy_skill_triggers!$1:$1,0)-MATCH($F$1,enemy_skill_triggers!$1:$1,0)+1),MATCH(G$1,enemy_skill_triggers!$1:$1,0)-MATCH($F$1,enemy_skill_triggers!$1:$1,0)+1,FALSE)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7" s="48">
        <f ca="1">VLOOKUP($F677,OFFSET(enemy_skill_triggers!$A$1,0,0,COUNTA(enemy_skill_triggers!$A:$A),MATCH(H$1,enemy_skill_triggers!$1:$1,0)-MATCH($F$1,enemy_skill_triggers!$1:$1,0)+1),MATCH(H$1,enemy_skill_triggers!$1:$1,0)-MATCH($F$1,enemy_skill_triggers!$1:$1,0)+1,FALSE)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677" s="48">
        <f ca="1">VLOOKUP($F677,OFFSET(enemy_skill_triggers!$A$1,0,0,COUNTA(enemy_skill_triggers!$A:$A),MATCH(I$1,enemy_skill_triggers!$1:$1,0)-MATCH($F$1,enemy_skill_triggers!$1:$1,0)+1),MATCH(I$1,enemy_skill_triggers!$1:$1,0)-MATCH($F$1,enemy_skill_triggers!$1:$1,0)+1,FALSE)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7" s="48" t="str">
        <f ca="1">VLOOKUP($F677,OFFSET(enemy_skill_triggers!$A$1,0,0,COUNTA(enemy_skill_triggers!$A:$A),MATCH(J$1,enemy_skill_triggers!$1:$1,0)-MATCH($F$1,enemy_skill_triggers!$1:$1,0)+1),MATCH(J$1,enemy_skill_triggers!$1:$1,0)-MATCH($F$1,enemy_skill_triggers!$1:$1,0)+1,FALSE)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7" s="48" t="str">
        <f ca="1">VLOOKUP($F677,OFFSET(enemy_skill_triggers!$A$1,0,0,COUNTA(enemy_skill_triggers!$A:$A),MATCH(K$1,enemy_skill_triggers!$1:$1,0)-MATCH($F$1,enemy_skill_triggers!$1:$1,0)+1),MATCH(K$1,enemy_skill_triggers!$1:$1,0)-MATCH($F$1,enemy_skill_triggers!$1:$1,0)+1,FALSE)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7" s="48">
        <f ca="1">VLOOKUP($F677,OFFSET(enemy_skill_triggers!$A$1,0,0,COUNTA(enemy_skill_triggers!$A:$A),MATCH(L$1,enemy_skill_triggers!$1:$1,0)-MATCH($F$1,enemy_skill_triggers!$1:$1,0)+1),MATCH(L$1,enemy_skill_triggers!$1:$1,0)-MATCH($F$1,enemy_skill_triggers!$1:$1,0)+1,FALSE)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7" s="48" t="str">
        <f ca="1">VLOOKUP($F677,OFFSET(enemy_skill_triggers!$A$1,0,0,COUNTA(enemy_skill_triggers!$A:$A),MATCH(M$1,enemy_skill_triggers!$1:$1,0)-MATCH($F$1,enemy_skill_triggers!$1:$1,0)+1),MATCH(M$1,enemy_skill_triggers!$1:$1,0)-MATCH($F$1,enemy_skill_triggers!$1:$1,0)+1,FALSE)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7" s="48">
        <f ca="1">VLOOKUP($F677,OFFSET(enemy_skill_triggers!$A$1,0,0,COUNTA(enemy_skill_triggers!$A:$A),MATCH(N$1,enemy_skill_triggers!$1:$1,0)-MATCH($F$1,enemy_skill_triggers!$1:$1,0)+1),MATCH(N$1,enemy_skill_triggers!$1:$1,0)-MATCH($F$1,enemy_skill_triggers!$1:$1,0)+1,FALSE)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77" s="48">
        <f ca="1">VLOOKUP($F677,OFFSET(enemy_skill_triggers!$A$1,0,0,COUNTA(enemy_skill_triggers!$A:$A),MATCH(O$1,enemy_skill_triggers!$1:$1,0)-MATCH($F$1,enemy_skill_triggers!$1:$1,0)+1),MATCH(O$1,enemy_skill_triggers!$1:$1,0)-MATCH($F$1,enemy_skill_triggers!$1:$1,0)+1,FALSE)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7" s="47"/>
      <c r="Q677" s="47"/>
      <c r="R677" s="47"/>
    </row>
    <row r="678" spans="1:18" ht="21" customHeight="1" x14ac:dyDescent="0.15">
      <c r="A678" s="39" t="str">
        <f t="shared" si="28"/>
        <v>39009034_39009061</v>
      </c>
      <c r="B678" s="47">
        <v>39009034</v>
      </c>
      <c r="C678" s="132">
        <v>39009061</v>
      </c>
      <c r="D678" s="46" t="str">
        <f ca="1">VLOOKUP($C678,OFFSET(enemy_skills!$A$1,0,0,COUNTA(enemy_skills!$A:$A),MATCH(D$1,enemy_skills!$1:$1,0)-MATCH("enemy_skill_id",enemy_skills!$1:$1,0)+1),MATCH(D$1,enemy_skills!$1:$1,0)-MATCH("enemy_skill_id",enemy_skills!$1:$1,0)+1,FALSE)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78" s="46" t="str">
        <f ca="1">VLOOKUP($C678,OFFSET(enemy_skills!$A$1,0,0,COUNTA(enemy_skills!$A:$A),MATCH(E$1,enemy_skills!$1:$1,0)-MATCH("enemy_skill_id",enemy_skills!$1:$1,0)+1),MATCH(E$1,enemy_skills!$1:$1,0)-MATCH("enemy_skill_id",enemy_skills!$1:$1,0)+1,FALSE)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78" s="132">
        <v>39009080</v>
      </c>
      <c r="G678" s="48">
        <f ca="1">VLOOKUP($F678,OFFSET(enemy_skill_triggers!$A$1,0,0,COUNTA(enemy_skill_triggers!$A:$A),MATCH(G$1,enemy_skill_triggers!$1:$1,0)-MATCH($F$1,enemy_skill_triggers!$1:$1,0)+1),MATCH(G$1,enemy_skill_triggers!$1:$1,0)-MATCH($F$1,enemy_skill_triggers!$1:$1,0)+1,FALSE)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8" s="48">
        <f ca="1">VLOOKUP($F678,OFFSET(enemy_skill_triggers!$A$1,0,0,COUNTA(enemy_skill_triggers!$A:$A),MATCH(H$1,enemy_skill_triggers!$1:$1,0)-MATCH($F$1,enemy_skill_triggers!$1:$1,0)+1),MATCH(H$1,enemy_skill_triggers!$1:$1,0)-MATCH($F$1,enemy_skill_triggers!$1:$1,0)+1,FALSE)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678" s="48">
        <f ca="1">VLOOKUP($F678,OFFSET(enemy_skill_triggers!$A$1,0,0,COUNTA(enemy_skill_triggers!$A:$A),MATCH(I$1,enemy_skill_triggers!$1:$1,0)-MATCH($F$1,enemy_skill_triggers!$1:$1,0)+1),MATCH(I$1,enemy_skill_triggers!$1:$1,0)-MATCH($F$1,enemy_skill_triggers!$1:$1,0)+1,FALSE)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8" s="48" t="str">
        <f ca="1">VLOOKUP($F678,OFFSET(enemy_skill_triggers!$A$1,0,0,COUNTA(enemy_skill_triggers!$A:$A),MATCH(J$1,enemy_skill_triggers!$1:$1,0)-MATCH($F$1,enemy_skill_triggers!$1:$1,0)+1),MATCH(J$1,enemy_skill_triggers!$1:$1,0)-MATCH($F$1,enemy_skill_triggers!$1:$1,0)+1,FALSE)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8" s="48" t="str">
        <f ca="1">VLOOKUP($F678,OFFSET(enemy_skill_triggers!$A$1,0,0,COUNTA(enemy_skill_triggers!$A:$A),MATCH(K$1,enemy_skill_triggers!$1:$1,0)-MATCH($F$1,enemy_skill_triggers!$1:$1,0)+1),MATCH(K$1,enemy_skill_triggers!$1:$1,0)-MATCH($F$1,enemy_skill_triggers!$1:$1,0)+1,FALSE)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8" s="48">
        <f ca="1">VLOOKUP($F678,OFFSET(enemy_skill_triggers!$A$1,0,0,COUNTA(enemy_skill_triggers!$A:$A),MATCH(L$1,enemy_skill_triggers!$1:$1,0)-MATCH($F$1,enemy_skill_triggers!$1:$1,0)+1),MATCH(L$1,enemy_skill_triggers!$1:$1,0)-MATCH($F$1,enemy_skill_triggers!$1:$1,0)+1,FALSE)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8" s="48" t="str">
        <f ca="1">VLOOKUP($F678,OFFSET(enemy_skill_triggers!$A$1,0,0,COUNTA(enemy_skill_triggers!$A:$A),MATCH(M$1,enemy_skill_triggers!$1:$1,0)-MATCH($F$1,enemy_skill_triggers!$1:$1,0)+1),MATCH(M$1,enemy_skill_triggers!$1:$1,0)-MATCH($F$1,enemy_skill_triggers!$1:$1,0)+1,FALSE)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8" s="48">
        <f ca="1">VLOOKUP($F678,OFFSET(enemy_skill_triggers!$A$1,0,0,COUNTA(enemy_skill_triggers!$A:$A),MATCH(N$1,enemy_skill_triggers!$1:$1,0)-MATCH($F$1,enemy_skill_triggers!$1:$1,0)+1),MATCH(N$1,enemy_skill_triggers!$1:$1,0)-MATCH($F$1,enemy_skill_triggers!$1:$1,0)+1,FALSE)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78" s="48">
        <f ca="1">VLOOKUP($F678,OFFSET(enemy_skill_triggers!$A$1,0,0,COUNTA(enemy_skill_triggers!$A:$A),MATCH(O$1,enemy_skill_triggers!$1:$1,0)-MATCH($F$1,enemy_skill_triggers!$1:$1,0)+1),MATCH(O$1,enemy_skill_triggers!$1:$1,0)-MATCH($F$1,enemy_skill_triggers!$1:$1,0)+1,FALSE)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8" s="47"/>
      <c r="Q678" s="47"/>
      <c r="R678" s="47"/>
    </row>
    <row r="679" spans="1:18" ht="21" customHeight="1" x14ac:dyDescent="0.15">
      <c r="A679" s="39" t="str">
        <f t="shared" si="28"/>
        <v>39009034_39009061</v>
      </c>
      <c r="B679" s="47">
        <v>39009034</v>
      </c>
      <c r="C679" s="132">
        <v>39009061</v>
      </c>
      <c r="D679" s="46" t="str">
        <f ca="1">VLOOKUP($C679,OFFSET(enemy_skills!$A$1,0,0,COUNTA(enemy_skills!$A:$A),MATCH(D$1,enemy_skills!$1:$1,0)-MATCH("enemy_skill_id",enemy_skills!$1:$1,0)+1),MATCH(D$1,enemy_skills!$1:$1,0)-MATCH("enemy_skill_id",enemy_skills!$1:$1,0)+1,FALSE)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79" s="46" t="str">
        <f ca="1">VLOOKUP($C679,OFFSET(enemy_skills!$A$1,0,0,COUNTA(enemy_skills!$A:$A),MATCH(E$1,enemy_skills!$1:$1,0)-MATCH("enemy_skill_id",enemy_skills!$1:$1,0)+1),MATCH(E$1,enemy_skills!$1:$1,0)-MATCH("enemy_skill_id",enemy_skills!$1:$1,0)+1,FALSE)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79" s="132">
        <v>39009081</v>
      </c>
      <c r="G679" s="48">
        <f ca="1">VLOOKUP($F679,OFFSET(enemy_skill_triggers!$A$1,0,0,COUNTA(enemy_skill_triggers!$A:$A),MATCH(G$1,enemy_skill_triggers!$1:$1,0)-MATCH($F$1,enemy_skill_triggers!$1:$1,0)+1),MATCH(G$1,enemy_skill_triggers!$1:$1,0)-MATCH($F$1,enemy_skill_triggers!$1:$1,0)+1,FALSE)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9" s="48">
        <f ca="1">VLOOKUP($F679,OFFSET(enemy_skill_triggers!$A$1,0,0,COUNTA(enemy_skill_triggers!$A:$A),MATCH(H$1,enemy_skill_triggers!$1:$1,0)-MATCH($F$1,enemy_skill_triggers!$1:$1,0)+1),MATCH(H$1,enemy_skill_triggers!$1:$1,0)-MATCH($F$1,enemy_skill_triggers!$1:$1,0)+1,FALSE)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679" s="48">
        <f ca="1">VLOOKUP($F679,OFFSET(enemy_skill_triggers!$A$1,0,0,COUNTA(enemy_skill_triggers!$A:$A),MATCH(I$1,enemy_skill_triggers!$1:$1,0)-MATCH($F$1,enemy_skill_triggers!$1:$1,0)+1),MATCH(I$1,enemy_skill_triggers!$1:$1,0)-MATCH($F$1,enemy_skill_triggers!$1:$1,0)+1,FALSE)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9" s="48" t="str">
        <f ca="1">VLOOKUP($F679,OFFSET(enemy_skill_triggers!$A$1,0,0,COUNTA(enemy_skill_triggers!$A:$A),MATCH(J$1,enemy_skill_triggers!$1:$1,0)-MATCH($F$1,enemy_skill_triggers!$1:$1,0)+1),MATCH(J$1,enemy_skill_triggers!$1:$1,0)-MATCH($F$1,enemy_skill_triggers!$1:$1,0)+1,FALSE)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9" s="48" t="str">
        <f ca="1">VLOOKUP($F679,OFFSET(enemy_skill_triggers!$A$1,0,0,COUNTA(enemy_skill_triggers!$A:$A),MATCH(K$1,enemy_skill_triggers!$1:$1,0)-MATCH($F$1,enemy_skill_triggers!$1:$1,0)+1),MATCH(K$1,enemy_skill_triggers!$1:$1,0)-MATCH($F$1,enemy_skill_triggers!$1:$1,0)+1,FALSE)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9" s="48">
        <f ca="1">VLOOKUP($F679,OFFSET(enemy_skill_triggers!$A$1,0,0,COUNTA(enemy_skill_triggers!$A:$A),MATCH(L$1,enemy_skill_triggers!$1:$1,0)-MATCH($F$1,enemy_skill_triggers!$1:$1,0)+1),MATCH(L$1,enemy_skill_triggers!$1:$1,0)-MATCH($F$1,enemy_skill_triggers!$1:$1,0)+1,FALSE)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9" s="48" t="str">
        <f ca="1">VLOOKUP($F679,OFFSET(enemy_skill_triggers!$A$1,0,0,COUNTA(enemy_skill_triggers!$A:$A),MATCH(M$1,enemy_skill_triggers!$1:$1,0)-MATCH($F$1,enemy_skill_triggers!$1:$1,0)+1),MATCH(M$1,enemy_skill_triggers!$1:$1,0)-MATCH($F$1,enemy_skill_triggers!$1:$1,0)+1,FALSE)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9" s="48">
        <f ca="1">VLOOKUP($F679,OFFSET(enemy_skill_triggers!$A$1,0,0,COUNTA(enemy_skill_triggers!$A:$A),MATCH(N$1,enemy_skill_triggers!$1:$1,0)-MATCH($F$1,enemy_skill_triggers!$1:$1,0)+1),MATCH(N$1,enemy_skill_triggers!$1:$1,0)-MATCH($F$1,enemy_skill_triggers!$1:$1,0)+1,FALSE)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679" s="48">
        <f ca="1">VLOOKUP($F679,OFFSET(enemy_skill_triggers!$A$1,0,0,COUNTA(enemy_skill_triggers!$A:$A),MATCH(O$1,enemy_skill_triggers!$1:$1,0)-MATCH($F$1,enemy_skill_triggers!$1:$1,0)+1),MATCH(O$1,enemy_skill_triggers!$1:$1,0)-MATCH($F$1,enemy_skill_triggers!$1:$1,0)+1,FALSE)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9" s="47"/>
      <c r="Q679" s="47"/>
      <c r="R679" s="47"/>
    </row>
    <row r="680" spans="1:18" ht="21" customHeight="1" x14ac:dyDescent="0.15">
      <c r="A680" s="39" t="str">
        <f t="shared" si="28"/>
        <v>39009034_39009061</v>
      </c>
      <c r="B680" s="47">
        <v>39009034</v>
      </c>
      <c r="C680" s="132">
        <v>39009061</v>
      </c>
      <c r="D680" s="46" t="str">
        <f ca="1">VLOOKUP($C680,OFFSET(enemy_skills!$A$1,0,0,COUNTA(enemy_skills!$A:$A),MATCH(D$1,enemy_skills!$1:$1,0)-MATCH("enemy_skill_id",enemy_skills!$1:$1,0)+1),MATCH(D$1,enemy_skills!$1:$1,0)-MATCH("enemy_skill_id",enemy_skills!$1:$1,0)+1,FALSE)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0" s="46" t="str">
        <f ca="1">VLOOKUP($C680,OFFSET(enemy_skills!$A$1,0,0,COUNTA(enemy_skills!$A:$A),MATCH(E$1,enemy_skills!$1:$1,0)-MATCH("enemy_skill_id",enemy_skills!$1:$1,0)+1),MATCH(E$1,enemy_skills!$1:$1,0)-MATCH("enemy_skill_id",enemy_skills!$1:$1,0)+1,FALSE)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0" s="132">
        <v>39009082</v>
      </c>
      <c r="G680" s="48">
        <f ca="1">VLOOKUP($F680,OFFSET(enemy_skill_triggers!$A$1,0,0,COUNTA(enemy_skill_triggers!$A:$A),MATCH(G$1,enemy_skill_triggers!$1:$1,0)-MATCH($F$1,enemy_skill_triggers!$1:$1,0)+1),MATCH(G$1,enemy_skill_triggers!$1:$1,0)-MATCH($F$1,enemy_skill_triggers!$1:$1,0)+1,FALSE)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0" s="48">
        <f ca="1">VLOOKUP($F680,OFFSET(enemy_skill_triggers!$A$1,0,0,COUNTA(enemy_skill_triggers!$A:$A),MATCH(H$1,enemy_skill_triggers!$1:$1,0)-MATCH($F$1,enemy_skill_triggers!$1:$1,0)+1),MATCH(H$1,enemy_skill_triggers!$1:$1,0)-MATCH($F$1,enemy_skill_triggers!$1:$1,0)+1,FALSE)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80" s="48">
        <f ca="1">VLOOKUP($F680,OFFSET(enemy_skill_triggers!$A$1,0,0,COUNTA(enemy_skill_triggers!$A:$A),MATCH(I$1,enemy_skill_triggers!$1:$1,0)-MATCH($F$1,enemy_skill_triggers!$1:$1,0)+1),MATCH(I$1,enemy_skill_triggers!$1:$1,0)-MATCH($F$1,enemy_skill_triggers!$1:$1,0)+1,FALSE)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0" s="48" t="str">
        <f ca="1">VLOOKUP($F680,OFFSET(enemy_skill_triggers!$A$1,0,0,COUNTA(enemy_skill_triggers!$A:$A),MATCH(J$1,enemy_skill_triggers!$1:$1,0)-MATCH($F$1,enemy_skill_triggers!$1:$1,0)+1),MATCH(J$1,enemy_skill_triggers!$1:$1,0)-MATCH($F$1,enemy_skill_triggers!$1:$1,0)+1,FALSE)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0" s="48" t="str">
        <f ca="1">VLOOKUP($F680,OFFSET(enemy_skill_triggers!$A$1,0,0,COUNTA(enemy_skill_triggers!$A:$A),MATCH(K$1,enemy_skill_triggers!$1:$1,0)-MATCH($F$1,enemy_skill_triggers!$1:$1,0)+1),MATCH(K$1,enemy_skill_triggers!$1:$1,0)-MATCH($F$1,enemy_skill_triggers!$1:$1,0)+1,FALSE)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0" s="48">
        <f ca="1">VLOOKUP($F680,OFFSET(enemy_skill_triggers!$A$1,0,0,COUNTA(enemy_skill_triggers!$A:$A),MATCH(L$1,enemy_skill_triggers!$1:$1,0)-MATCH($F$1,enemy_skill_triggers!$1:$1,0)+1),MATCH(L$1,enemy_skill_triggers!$1:$1,0)-MATCH($F$1,enemy_skill_triggers!$1:$1,0)+1,FALSE)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0" s="48" t="str">
        <f ca="1">VLOOKUP($F680,OFFSET(enemy_skill_triggers!$A$1,0,0,COUNTA(enemy_skill_triggers!$A:$A),MATCH(M$1,enemy_skill_triggers!$1:$1,0)-MATCH($F$1,enemy_skill_triggers!$1:$1,0)+1),MATCH(M$1,enemy_skill_triggers!$1:$1,0)-MATCH($F$1,enemy_skill_triggers!$1:$1,0)+1,FALSE)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0" s="48">
        <f ca="1">VLOOKUP($F680,OFFSET(enemy_skill_triggers!$A$1,0,0,COUNTA(enemy_skill_triggers!$A:$A),MATCH(N$1,enemy_skill_triggers!$1:$1,0)-MATCH($F$1,enemy_skill_triggers!$1:$1,0)+1),MATCH(N$1,enemy_skill_triggers!$1:$1,0)-MATCH($F$1,enemy_skill_triggers!$1:$1,0)+1,FALSE)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680" s="48">
        <f ca="1">VLOOKUP($F680,OFFSET(enemy_skill_triggers!$A$1,0,0,COUNTA(enemy_skill_triggers!$A:$A),MATCH(O$1,enemy_skill_triggers!$1:$1,0)-MATCH($F$1,enemy_skill_triggers!$1:$1,0)+1),MATCH(O$1,enemy_skill_triggers!$1:$1,0)-MATCH($F$1,enemy_skill_triggers!$1:$1,0)+1,FALSE)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0" s="47"/>
      <c r="Q680" s="47"/>
      <c r="R680" s="47"/>
    </row>
    <row r="681" spans="1:18" ht="21" customHeight="1" x14ac:dyDescent="0.15">
      <c r="A681" s="39" t="str">
        <f t="shared" si="28"/>
        <v>39009034_39009061</v>
      </c>
      <c r="B681" s="47">
        <v>39009034</v>
      </c>
      <c r="C681" s="132">
        <v>39009061</v>
      </c>
      <c r="D681" s="46" t="str">
        <f ca="1">VLOOKUP($C681,OFFSET(enemy_skills!$A$1,0,0,COUNTA(enemy_skills!$A:$A),MATCH(D$1,enemy_skills!$1:$1,0)-MATCH("enemy_skill_id",enemy_skills!$1:$1,0)+1),MATCH(D$1,enemy_skills!$1:$1,0)-MATCH("enemy_skill_id",enemy_skills!$1:$1,0)+1,FALSE)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1" s="46" t="str">
        <f ca="1">VLOOKUP($C681,OFFSET(enemy_skills!$A$1,0,0,COUNTA(enemy_skills!$A:$A),MATCH(E$1,enemy_skills!$1:$1,0)-MATCH("enemy_skill_id",enemy_skills!$1:$1,0)+1),MATCH(E$1,enemy_skills!$1:$1,0)-MATCH("enemy_skill_id",enemy_skills!$1:$1,0)+1,FALSE)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1" s="132">
        <v>39009083</v>
      </c>
      <c r="G681" s="48">
        <f ca="1">VLOOKUP($F681,OFFSET(enemy_skill_triggers!$A$1,0,0,COUNTA(enemy_skill_triggers!$A:$A),MATCH(G$1,enemy_skill_triggers!$1:$1,0)-MATCH($F$1,enemy_skill_triggers!$1:$1,0)+1),MATCH(G$1,enemy_skill_triggers!$1:$1,0)-MATCH($F$1,enemy_skill_triggers!$1:$1,0)+1,FALSE)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1" s="48">
        <f ca="1">VLOOKUP($F681,OFFSET(enemy_skill_triggers!$A$1,0,0,COUNTA(enemy_skill_triggers!$A:$A),MATCH(H$1,enemy_skill_triggers!$1:$1,0)-MATCH($F$1,enemy_skill_triggers!$1:$1,0)+1),MATCH(H$1,enemy_skill_triggers!$1:$1,0)-MATCH($F$1,enemy_skill_triggers!$1:$1,0)+1,FALSE)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681" s="48">
        <f ca="1">VLOOKUP($F681,OFFSET(enemy_skill_triggers!$A$1,0,0,COUNTA(enemy_skill_triggers!$A:$A),MATCH(I$1,enemy_skill_triggers!$1:$1,0)-MATCH($F$1,enemy_skill_triggers!$1:$1,0)+1),MATCH(I$1,enemy_skill_triggers!$1:$1,0)-MATCH($F$1,enemy_skill_triggers!$1:$1,0)+1,FALSE)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1" s="48" t="str">
        <f ca="1">VLOOKUP($F681,OFFSET(enemy_skill_triggers!$A$1,0,0,COUNTA(enemy_skill_triggers!$A:$A),MATCH(J$1,enemy_skill_triggers!$1:$1,0)-MATCH($F$1,enemy_skill_triggers!$1:$1,0)+1),MATCH(J$1,enemy_skill_triggers!$1:$1,0)-MATCH($F$1,enemy_skill_triggers!$1:$1,0)+1,FALSE)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1" s="48" t="str">
        <f ca="1">VLOOKUP($F681,OFFSET(enemy_skill_triggers!$A$1,0,0,COUNTA(enemy_skill_triggers!$A:$A),MATCH(K$1,enemy_skill_triggers!$1:$1,0)-MATCH($F$1,enemy_skill_triggers!$1:$1,0)+1),MATCH(K$1,enemy_skill_triggers!$1:$1,0)-MATCH($F$1,enemy_skill_triggers!$1:$1,0)+1,FALSE)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1" s="48">
        <f ca="1">VLOOKUP($F681,OFFSET(enemy_skill_triggers!$A$1,0,0,COUNTA(enemy_skill_triggers!$A:$A),MATCH(L$1,enemy_skill_triggers!$1:$1,0)-MATCH($F$1,enemy_skill_triggers!$1:$1,0)+1),MATCH(L$1,enemy_skill_triggers!$1:$1,0)-MATCH($F$1,enemy_skill_triggers!$1:$1,0)+1,FALSE)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1" s="48" t="str">
        <f ca="1">VLOOKUP($F681,OFFSET(enemy_skill_triggers!$A$1,0,0,COUNTA(enemy_skill_triggers!$A:$A),MATCH(M$1,enemy_skill_triggers!$1:$1,0)-MATCH($F$1,enemy_skill_triggers!$1:$1,0)+1),MATCH(M$1,enemy_skill_triggers!$1:$1,0)-MATCH($F$1,enemy_skill_triggers!$1:$1,0)+1,FALSE)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1" s="48">
        <f ca="1">VLOOKUP($F681,OFFSET(enemy_skill_triggers!$A$1,0,0,COUNTA(enemy_skill_triggers!$A:$A),MATCH(N$1,enemy_skill_triggers!$1:$1,0)-MATCH($F$1,enemy_skill_triggers!$1:$1,0)+1),MATCH(N$1,enemy_skill_triggers!$1:$1,0)-MATCH($F$1,enemy_skill_triggers!$1:$1,0)+1,FALSE)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681" s="48">
        <f ca="1">VLOOKUP($F681,OFFSET(enemy_skill_triggers!$A$1,0,0,COUNTA(enemy_skill_triggers!$A:$A),MATCH(O$1,enemy_skill_triggers!$1:$1,0)-MATCH($F$1,enemy_skill_triggers!$1:$1,0)+1),MATCH(O$1,enemy_skill_triggers!$1:$1,0)-MATCH($F$1,enemy_skill_triggers!$1:$1,0)+1,FALSE)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1" s="47"/>
      <c r="Q681" s="47"/>
      <c r="R681" s="47"/>
    </row>
    <row r="682" spans="1:18" ht="21" customHeight="1" x14ac:dyDescent="0.15">
      <c r="A682" s="39" t="str">
        <f t="shared" si="28"/>
        <v>39009034_39009061</v>
      </c>
      <c r="B682" s="47">
        <v>39009034</v>
      </c>
      <c r="C682" s="132">
        <v>39009061</v>
      </c>
      <c r="D682" s="46" t="str">
        <f ca="1">VLOOKUP($C682,OFFSET(enemy_skills!$A$1,0,0,COUNTA(enemy_skills!$A:$A),MATCH(D$1,enemy_skills!$1:$1,0)-MATCH("enemy_skill_id",enemy_skills!$1:$1,0)+1),MATCH(D$1,enemy_skills!$1:$1,0)-MATCH("enemy_skill_id",enemy_skills!$1:$1,0)+1,FALSE)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2" s="46" t="str">
        <f ca="1">VLOOKUP($C682,OFFSET(enemy_skills!$A$1,0,0,COUNTA(enemy_skills!$A:$A),MATCH(E$1,enemy_skills!$1:$1,0)-MATCH("enemy_skill_id",enemy_skills!$1:$1,0)+1),MATCH(E$1,enemy_skills!$1:$1,0)-MATCH("enemy_skill_id",enemy_skills!$1:$1,0)+1,FALSE)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2" s="132">
        <v>39009084</v>
      </c>
      <c r="G682" s="48">
        <f ca="1">VLOOKUP($F682,OFFSET(enemy_skill_triggers!$A$1,0,0,COUNTA(enemy_skill_triggers!$A:$A),MATCH(G$1,enemy_skill_triggers!$1:$1,0)-MATCH($F$1,enemy_skill_triggers!$1:$1,0)+1),MATCH(G$1,enemy_skill_triggers!$1:$1,0)-MATCH($F$1,enemy_skill_triggers!$1:$1,0)+1,FALSE)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2" s="48">
        <f ca="1">VLOOKUP($F682,OFFSET(enemy_skill_triggers!$A$1,0,0,COUNTA(enemy_skill_triggers!$A:$A),MATCH(H$1,enemy_skill_triggers!$1:$1,0)-MATCH($F$1,enemy_skill_triggers!$1:$1,0)+1),MATCH(H$1,enemy_skill_triggers!$1:$1,0)-MATCH($F$1,enemy_skill_triggers!$1:$1,0)+1,FALSE)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682" s="48">
        <f ca="1">VLOOKUP($F682,OFFSET(enemy_skill_triggers!$A$1,0,0,COUNTA(enemy_skill_triggers!$A:$A),MATCH(I$1,enemy_skill_triggers!$1:$1,0)-MATCH($F$1,enemy_skill_triggers!$1:$1,0)+1),MATCH(I$1,enemy_skill_triggers!$1:$1,0)-MATCH($F$1,enemy_skill_triggers!$1:$1,0)+1,FALSE)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2" s="48" t="str">
        <f ca="1">VLOOKUP($F682,OFFSET(enemy_skill_triggers!$A$1,0,0,COUNTA(enemy_skill_triggers!$A:$A),MATCH(J$1,enemy_skill_triggers!$1:$1,0)-MATCH($F$1,enemy_skill_triggers!$1:$1,0)+1),MATCH(J$1,enemy_skill_triggers!$1:$1,0)-MATCH($F$1,enemy_skill_triggers!$1:$1,0)+1,FALSE)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2" s="48" t="str">
        <f ca="1">VLOOKUP($F682,OFFSET(enemy_skill_triggers!$A$1,0,0,COUNTA(enemy_skill_triggers!$A:$A),MATCH(K$1,enemy_skill_triggers!$1:$1,0)-MATCH($F$1,enemy_skill_triggers!$1:$1,0)+1),MATCH(K$1,enemy_skill_triggers!$1:$1,0)-MATCH($F$1,enemy_skill_triggers!$1:$1,0)+1,FALSE)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2" s="48">
        <f ca="1">VLOOKUP($F682,OFFSET(enemy_skill_triggers!$A$1,0,0,COUNTA(enemy_skill_triggers!$A:$A),MATCH(L$1,enemy_skill_triggers!$1:$1,0)-MATCH($F$1,enemy_skill_triggers!$1:$1,0)+1),MATCH(L$1,enemy_skill_triggers!$1:$1,0)-MATCH($F$1,enemy_skill_triggers!$1:$1,0)+1,FALSE)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2" s="48" t="str">
        <f ca="1">VLOOKUP($F682,OFFSET(enemy_skill_triggers!$A$1,0,0,COUNTA(enemy_skill_triggers!$A:$A),MATCH(M$1,enemy_skill_triggers!$1:$1,0)-MATCH($F$1,enemy_skill_triggers!$1:$1,0)+1),MATCH(M$1,enemy_skill_triggers!$1:$1,0)-MATCH($F$1,enemy_skill_triggers!$1:$1,0)+1,FALSE)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2" s="48">
        <f ca="1">VLOOKUP($F682,OFFSET(enemy_skill_triggers!$A$1,0,0,COUNTA(enemy_skill_triggers!$A:$A),MATCH(N$1,enemy_skill_triggers!$1:$1,0)-MATCH($F$1,enemy_skill_triggers!$1:$1,0)+1),MATCH(N$1,enemy_skill_triggers!$1:$1,0)-MATCH($F$1,enemy_skill_triggers!$1:$1,0)+1,FALSE)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682" s="48">
        <f ca="1">VLOOKUP($F682,OFFSET(enemy_skill_triggers!$A$1,0,0,COUNTA(enemy_skill_triggers!$A:$A),MATCH(O$1,enemy_skill_triggers!$1:$1,0)-MATCH($F$1,enemy_skill_triggers!$1:$1,0)+1),MATCH(O$1,enemy_skill_triggers!$1:$1,0)-MATCH($F$1,enemy_skill_triggers!$1:$1,0)+1,FALSE)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2" s="47"/>
      <c r="Q682" s="47"/>
      <c r="R682" s="47"/>
    </row>
    <row r="683" spans="1:18" ht="21" customHeight="1" x14ac:dyDescent="0.15">
      <c r="A683" s="39" t="str">
        <f t="shared" si="28"/>
        <v>39009034_39009061</v>
      </c>
      <c r="B683" s="47">
        <v>39009034</v>
      </c>
      <c r="C683" s="132">
        <v>39009061</v>
      </c>
      <c r="D683" s="46" t="str">
        <f ca="1">VLOOKUP($C683,OFFSET(enemy_skills!$A$1,0,0,COUNTA(enemy_skills!$A:$A),MATCH(D$1,enemy_skills!$1:$1,0)-MATCH("enemy_skill_id",enemy_skills!$1:$1,0)+1),MATCH(D$1,enemy_skills!$1:$1,0)-MATCH("enemy_skill_id",enemy_skills!$1:$1,0)+1,FALSE)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3" s="46" t="str">
        <f ca="1">VLOOKUP($C683,OFFSET(enemy_skills!$A$1,0,0,COUNTA(enemy_skills!$A:$A),MATCH(E$1,enemy_skills!$1:$1,0)-MATCH("enemy_skill_id",enemy_skills!$1:$1,0)+1),MATCH(E$1,enemy_skills!$1:$1,0)-MATCH("enemy_skill_id",enemy_skills!$1:$1,0)+1,FALSE)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3" s="132">
        <v>39009085</v>
      </c>
      <c r="G683" s="48">
        <f ca="1">VLOOKUP($F683,OFFSET(enemy_skill_triggers!$A$1,0,0,COUNTA(enemy_skill_triggers!$A:$A),MATCH(G$1,enemy_skill_triggers!$1:$1,0)-MATCH($F$1,enemy_skill_triggers!$1:$1,0)+1),MATCH(G$1,enemy_skill_triggers!$1:$1,0)-MATCH($F$1,enemy_skill_triggers!$1:$1,0)+1,FALSE)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3" s="48">
        <f ca="1">VLOOKUP($F683,OFFSET(enemy_skill_triggers!$A$1,0,0,COUNTA(enemy_skill_triggers!$A:$A),MATCH(H$1,enemy_skill_triggers!$1:$1,0)-MATCH($F$1,enemy_skill_triggers!$1:$1,0)+1),MATCH(H$1,enemy_skill_triggers!$1:$1,0)-MATCH($F$1,enemy_skill_triggers!$1:$1,0)+1,FALSE)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683" s="48">
        <f ca="1">VLOOKUP($F683,OFFSET(enemy_skill_triggers!$A$1,0,0,COUNTA(enemy_skill_triggers!$A:$A),MATCH(I$1,enemy_skill_triggers!$1:$1,0)-MATCH($F$1,enemy_skill_triggers!$1:$1,0)+1),MATCH(I$1,enemy_skill_triggers!$1:$1,0)-MATCH($F$1,enemy_skill_triggers!$1:$1,0)+1,FALSE)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3" s="48" t="str">
        <f ca="1">VLOOKUP($F683,OFFSET(enemy_skill_triggers!$A$1,0,0,COUNTA(enemy_skill_triggers!$A:$A),MATCH(J$1,enemy_skill_triggers!$1:$1,0)-MATCH($F$1,enemy_skill_triggers!$1:$1,0)+1),MATCH(J$1,enemy_skill_triggers!$1:$1,0)-MATCH($F$1,enemy_skill_triggers!$1:$1,0)+1,FALSE)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3" s="48" t="str">
        <f ca="1">VLOOKUP($F683,OFFSET(enemy_skill_triggers!$A$1,0,0,COUNTA(enemy_skill_triggers!$A:$A),MATCH(K$1,enemy_skill_triggers!$1:$1,0)-MATCH($F$1,enemy_skill_triggers!$1:$1,0)+1),MATCH(K$1,enemy_skill_triggers!$1:$1,0)-MATCH($F$1,enemy_skill_triggers!$1:$1,0)+1,FALSE)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3" s="48">
        <f ca="1">VLOOKUP($F683,OFFSET(enemy_skill_triggers!$A$1,0,0,COUNTA(enemy_skill_triggers!$A:$A),MATCH(L$1,enemy_skill_triggers!$1:$1,0)-MATCH($F$1,enemy_skill_triggers!$1:$1,0)+1),MATCH(L$1,enemy_skill_triggers!$1:$1,0)-MATCH($F$1,enemy_skill_triggers!$1:$1,0)+1,FALSE)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3" s="48" t="str">
        <f ca="1">VLOOKUP($F683,OFFSET(enemy_skill_triggers!$A$1,0,0,COUNTA(enemy_skill_triggers!$A:$A),MATCH(M$1,enemy_skill_triggers!$1:$1,0)-MATCH($F$1,enemy_skill_triggers!$1:$1,0)+1),MATCH(M$1,enemy_skill_triggers!$1:$1,0)-MATCH($F$1,enemy_skill_triggers!$1:$1,0)+1,FALSE)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3" s="48">
        <f ca="1">VLOOKUP($F683,OFFSET(enemy_skill_triggers!$A$1,0,0,COUNTA(enemy_skill_triggers!$A:$A),MATCH(N$1,enemy_skill_triggers!$1:$1,0)-MATCH($F$1,enemy_skill_triggers!$1:$1,0)+1),MATCH(N$1,enemy_skill_triggers!$1:$1,0)-MATCH($F$1,enemy_skill_triggers!$1:$1,0)+1,FALSE)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83" s="48">
        <f ca="1">VLOOKUP($F683,OFFSET(enemy_skill_triggers!$A$1,0,0,COUNTA(enemy_skill_triggers!$A:$A),MATCH(O$1,enemy_skill_triggers!$1:$1,0)-MATCH($F$1,enemy_skill_triggers!$1:$1,0)+1),MATCH(O$1,enemy_skill_triggers!$1:$1,0)-MATCH($F$1,enemy_skill_triggers!$1:$1,0)+1,FALSE)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3" s="47"/>
      <c r="Q683" s="47"/>
      <c r="R683" s="47"/>
    </row>
    <row r="684" spans="1:18" ht="21" customHeight="1" x14ac:dyDescent="0.15">
      <c r="A684" s="39" t="str">
        <f t="shared" si="28"/>
        <v>39009034_39009061</v>
      </c>
      <c r="B684" s="47">
        <v>39009034</v>
      </c>
      <c r="C684" s="132">
        <v>39009061</v>
      </c>
      <c r="D684" s="46" t="str">
        <f ca="1">VLOOKUP($C684,OFFSET(enemy_skills!$A$1,0,0,COUNTA(enemy_skills!$A:$A),MATCH(D$1,enemy_skills!$1:$1,0)-MATCH("enemy_skill_id",enemy_skills!$1:$1,0)+1),MATCH(D$1,enemy_skills!$1:$1,0)-MATCH("enemy_skill_id",enemy_skills!$1:$1,0)+1,FALSE)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4" s="46" t="str">
        <f ca="1">VLOOKUP($C684,OFFSET(enemy_skills!$A$1,0,0,COUNTA(enemy_skills!$A:$A),MATCH(E$1,enemy_skills!$1:$1,0)-MATCH("enemy_skill_id",enemy_skills!$1:$1,0)+1),MATCH(E$1,enemy_skills!$1:$1,0)-MATCH("enemy_skill_id",enemy_skills!$1:$1,0)+1,FALSE)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4" s="132">
        <v>39009086</v>
      </c>
      <c r="G684" s="48">
        <f ca="1">VLOOKUP($F684,OFFSET(enemy_skill_triggers!$A$1,0,0,COUNTA(enemy_skill_triggers!$A:$A),MATCH(G$1,enemy_skill_triggers!$1:$1,0)-MATCH($F$1,enemy_skill_triggers!$1:$1,0)+1),MATCH(G$1,enemy_skill_triggers!$1:$1,0)-MATCH($F$1,enemy_skill_triggers!$1:$1,0)+1,FALSE)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4" s="48">
        <f ca="1">VLOOKUP($F684,OFFSET(enemy_skill_triggers!$A$1,0,0,COUNTA(enemy_skill_triggers!$A:$A),MATCH(H$1,enemy_skill_triggers!$1:$1,0)-MATCH($F$1,enemy_skill_triggers!$1:$1,0)+1),MATCH(H$1,enemy_skill_triggers!$1:$1,0)-MATCH($F$1,enemy_skill_triggers!$1:$1,0)+1,FALSE)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684" s="48">
        <f ca="1">VLOOKUP($F684,OFFSET(enemy_skill_triggers!$A$1,0,0,COUNTA(enemy_skill_triggers!$A:$A),MATCH(I$1,enemy_skill_triggers!$1:$1,0)-MATCH($F$1,enemy_skill_triggers!$1:$1,0)+1),MATCH(I$1,enemy_skill_triggers!$1:$1,0)-MATCH($F$1,enemy_skill_triggers!$1:$1,0)+1,FALSE)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4" s="48" t="str">
        <f ca="1">VLOOKUP($F684,OFFSET(enemy_skill_triggers!$A$1,0,0,COUNTA(enemy_skill_triggers!$A:$A),MATCH(J$1,enemy_skill_triggers!$1:$1,0)-MATCH($F$1,enemy_skill_triggers!$1:$1,0)+1),MATCH(J$1,enemy_skill_triggers!$1:$1,0)-MATCH($F$1,enemy_skill_triggers!$1:$1,0)+1,FALSE)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4" s="48" t="str">
        <f ca="1">VLOOKUP($F684,OFFSET(enemy_skill_triggers!$A$1,0,0,COUNTA(enemy_skill_triggers!$A:$A),MATCH(K$1,enemy_skill_triggers!$1:$1,0)-MATCH($F$1,enemy_skill_triggers!$1:$1,0)+1),MATCH(K$1,enemy_skill_triggers!$1:$1,0)-MATCH($F$1,enemy_skill_triggers!$1:$1,0)+1,FALSE)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4" s="48">
        <f ca="1">VLOOKUP($F684,OFFSET(enemy_skill_triggers!$A$1,0,0,COUNTA(enemy_skill_triggers!$A:$A),MATCH(L$1,enemy_skill_triggers!$1:$1,0)-MATCH($F$1,enemy_skill_triggers!$1:$1,0)+1),MATCH(L$1,enemy_skill_triggers!$1:$1,0)-MATCH($F$1,enemy_skill_triggers!$1:$1,0)+1,FALSE)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4" s="48" t="str">
        <f ca="1">VLOOKUP($F684,OFFSET(enemy_skill_triggers!$A$1,0,0,COUNTA(enemy_skill_triggers!$A:$A),MATCH(M$1,enemy_skill_triggers!$1:$1,0)-MATCH($F$1,enemy_skill_triggers!$1:$1,0)+1),MATCH(M$1,enemy_skill_triggers!$1:$1,0)-MATCH($F$1,enemy_skill_triggers!$1:$1,0)+1,FALSE)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4" s="48">
        <f ca="1">VLOOKUP($F684,OFFSET(enemy_skill_triggers!$A$1,0,0,COUNTA(enemy_skill_triggers!$A:$A),MATCH(N$1,enemy_skill_triggers!$1:$1,0)-MATCH($F$1,enemy_skill_triggers!$1:$1,0)+1),MATCH(N$1,enemy_skill_triggers!$1:$1,0)-MATCH($F$1,enemy_skill_triggers!$1:$1,0)+1,FALSE)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684" s="48">
        <f ca="1">VLOOKUP($F684,OFFSET(enemy_skill_triggers!$A$1,0,0,COUNTA(enemy_skill_triggers!$A:$A),MATCH(O$1,enemy_skill_triggers!$1:$1,0)-MATCH($F$1,enemy_skill_triggers!$1:$1,0)+1),MATCH(O$1,enemy_skill_triggers!$1:$1,0)-MATCH($F$1,enemy_skill_triggers!$1:$1,0)+1,FALSE)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4" s="47"/>
      <c r="Q684" s="47"/>
      <c r="R684" s="47"/>
    </row>
    <row r="685" spans="1:18" ht="21" customHeight="1" x14ac:dyDescent="0.15">
      <c r="A685" s="39" t="str">
        <f t="shared" si="28"/>
        <v>39009034_39009061</v>
      </c>
      <c r="B685" s="47">
        <v>39009034</v>
      </c>
      <c r="C685" s="132">
        <v>39009061</v>
      </c>
      <c r="D685" s="46" t="str">
        <f ca="1">VLOOKUP($C685,OFFSET(enemy_skills!$A$1,0,0,COUNTA(enemy_skills!$A:$A),MATCH(D$1,enemy_skills!$1:$1,0)-MATCH("enemy_skill_id",enemy_skills!$1:$1,0)+1),MATCH(D$1,enemy_skills!$1:$1,0)-MATCH("enemy_skill_id",enemy_skills!$1:$1,0)+1,FALSE)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5" s="46" t="str">
        <f ca="1">VLOOKUP($C685,OFFSET(enemy_skills!$A$1,0,0,COUNTA(enemy_skills!$A:$A),MATCH(E$1,enemy_skills!$1:$1,0)-MATCH("enemy_skill_id",enemy_skills!$1:$1,0)+1),MATCH(E$1,enemy_skills!$1:$1,0)-MATCH("enemy_skill_id",enemy_skills!$1:$1,0)+1,FALSE)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5" s="132">
        <v>39009087</v>
      </c>
      <c r="G685" s="48">
        <f ca="1">VLOOKUP($F685,OFFSET(enemy_skill_triggers!$A$1,0,0,COUNTA(enemy_skill_triggers!$A:$A),MATCH(G$1,enemy_skill_triggers!$1:$1,0)-MATCH($F$1,enemy_skill_triggers!$1:$1,0)+1),MATCH(G$1,enemy_skill_triggers!$1:$1,0)-MATCH($F$1,enemy_skill_triggers!$1:$1,0)+1,FALSE)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5" s="48">
        <f ca="1">VLOOKUP($F685,OFFSET(enemy_skill_triggers!$A$1,0,0,COUNTA(enemy_skill_triggers!$A:$A),MATCH(H$1,enemy_skill_triggers!$1:$1,0)-MATCH($F$1,enemy_skill_triggers!$1:$1,0)+1),MATCH(H$1,enemy_skill_triggers!$1:$1,0)-MATCH($F$1,enemy_skill_triggers!$1:$1,0)+1,FALSE)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685" s="48">
        <f ca="1">VLOOKUP($F685,OFFSET(enemy_skill_triggers!$A$1,0,0,COUNTA(enemy_skill_triggers!$A:$A),MATCH(I$1,enemy_skill_triggers!$1:$1,0)-MATCH($F$1,enemy_skill_triggers!$1:$1,0)+1),MATCH(I$1,enemy_skill_triggers!$1:$1,0)-MATCH($F$1,enemy_skill_triggers!$1:$1,0)+1,FALSE)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5" s="48" t="str">
        <f ca="1">VLOOKUP($F685,OFFSET(enemy_skill_triggers!$A$1,0,0,COUNTA(enemy_skill_triggers!$A:$A),MATCH(J$1,enemy_skill_triggers!$1:$1,0)-MATCH($F$1,enemy_skill_triggers!$1:$1,0)+1),MATCH(J$1,enemy_skill_triggers!$1:$1,0)-MATCH($F$1,enemy_skill_triggers!$1:$1,0)+1,FALSE)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5" s="48" t="str">
        <f ca="1">VLOOKUP($F685,OFFSET(enemy_skill_triggers!$A$1,0,0,COUNTA(enemy_skill_triggers!$A:$A),MATCH(K$1,enemy_skill_triggers!$1:$1,0)-MATCH($F$1,enemy_skill_triggers!$1:$1,0)+1),MATCH(K$1,enemy_skill_triggers!$1:$1,0)-MATCH($F$1,enemy_skill_triggers!$1:$1,0)+1,FALSE)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5" s="48">
        <f ca="1">VLOOKUP($F685,OFFSET(enemy_skill_triggers!$A$1,0,0,COUNTA(enemy_skill_triggers!$A:$A),MATCH(L$1,enemy_skill_triggers!$1:$1,0)-MATCH($F$1,enemy_skill_triggers!$1:$1,0)+1),MATCH(L$1,enemy_skill_triggers!$1:$1,0)-MATCH($F$1,enemy_skill_triggers!$1:$1,0)+1,FALSE)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5" s="48" t="str">
        <f ca="1">VLOOKUP($F685,OFFSET(enemy_skill_triggers!$A$1,0,0,COUNTA(enemy_skill_triggers!$A:$A),MATCH(M$1,enemy_skill_triggers!$1:$1,0)-MATCH($F$1,enemy_skill_triggers!$1:$1,0)+1),MATCH(M$1,enemy_skill_triggers!$1:$1,0)-MATCH($F$1,enemy_skill_triggers!$1:$1,0)+1,FALSE)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5" s="48">
        <f ca="1">VLOOKUP($F685,OFFSET(enemy_skill_triggers!$A$1,0,0,COUNTA(enemy_skill_triggers!$A:$A),MATCH(N$1,enemy_skill_triggers!$1:$1,0)-MATCH($F$1,enemy_skill_triggers!$1:$1,0)+1),MATCH(N$1,enemy_skill_triggers!$1:$1,0)-MATCH($F$1,enemy_skill_triggers!$1:$1,0)+1,FALSE)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85" s="48">
        <f ca="1">VLOOKUP($F685,OFFSET(enemy_skill_triggers!$A$1,0,0,COUNTA(enemy_skill_triggers!$A:$A),MATCH(O$1,enemy_skill_triggers!$1:$1,0)-MATCH($F$1,enemy_skill_triggers!$1:$1,0)+1),MATCH(O$1,enemy_skill_triggers!$1:$1,0)-MATCH($F$1,enemy_skill_triggers!$1:$1,0)+1,FALSE)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5" s="47"/>
      <c r="Q685" s="47"/>
      <c r="R685" s="47"/>
    </row>
    <row r="686" spans="1:18" ht="21" customHeight="1" x14ac:dyDescent="0.15">
      <c r="A686" s="39" t="str">
        <f t="shared" si="28"/>
        <v>39009034_39009061</v>
      </c>
      <c r="B686" s="47">
        <v>39009034</v>
      </c>
      <c r="C686" s="132">
        <v>39009061</v>
      </c>
      <c r="D686" s="46" t="str">
        <f ca="1">VLOOKUP($C686,OFFSET(enemy_skills!$A$1,0,0,COUNTA(enemy_skills!$A:$A),MATCH(D$1,enemy_skills!$1:$1,0)-MATCH("enemy_skill_id",enemy_skills!$1:$1,0)+1),MATCH(D$1,enemy_skills!$1:$1,0)-MATCH("enemy_skill_id",enemy_skills!$1:$1,0)+1,FALSE)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6" s="46" t="str">
        <f ca="1">VLOOKUP($C686,OFFSET(enemy_skills!$A$1,0,0,COUNTA(enemy_skills!$A:$A),MATCH(E$1,enemy_skills!$1:$1,0)-MATCH("enemy_skill_id",enemy_skills!$1:$1,0)+1),MATCH(E$1,enemy_skills!$1:$1,0)-MATCH("enemy_skill_id",enemy_skills!$1:$1,0)+1,FALSE)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6" s="132">
        <v>39009088</v>
      </c>
      <c r="G686" s="48">
        <f ca="1">VLOOKUP($F686,OFFSET(enemy_skill_triggers!$A$1,0,0,COUNTA(enemy_skill_triggers!$A:$A),MATCH(G$1,enemy_skill_triggers!$1:$1,0)-MATCH($F$1,enemy_skill_triggers!$1:$1,0)+1),MATCH(G$1,enemy_skill_triggers!$1:$1,0)-MATCH($F$1,enemy_skill_triggers!$1:$1,0)+1,FALSE)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6" s="48">
        <f ca="1">VLOOKUP($F686,OFFSET(enemy_skill_triggers!$A$1,0,0,COUNTA(enemy_skill_triggers!$A:$A),MATCH(H$1,enemy_skill_triggers!$1:$1,0)-MATCH($F$1,enemy_skill_triggers!$1:$1,0)+1),MATCH(H$1,enemy_skill_triggers!$1:$1,0)-MATCH($F$1,enemy_skill_triggers!$1:$1,0)+1,FALSE)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686" s="48">
        <f ca="1">VLOOKUP($F686,OFFSET(enemy_skill_triggers!$A$1,0,0,COUNTA(enemy_skill_triggers!$A:$A),MATCH(I$1,enemy_skill_triggers!$1:$1,0)-MATCH($F$1,enemy_skill_triggers!$1:$1,0)+1),MATCH(I$1,enemy_skill_triggers!$1:$1,0)-MATCH($F$1,enemy_skill_triggers!$1:$1,0)+1,FALSE)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6" s="48" t="str">
        <f ca="1">VLOOKUP($F686,OFFSET(enemy_skill_triggers!$A$1,0,0,COUNTA(enemy_skill_triggers!$A:$A),MATCH(J$1,enemy_skill_triggers!$1:$1,0)-MATCH($F$1,enemy_skill_triggers!$1:$1,0)+1),MATCH(J$1,enemy_skill_triggers!$1:$1,0)-MATCH($F$1,enemy_skill_triggers!$1:$1,0)+1,FALSE)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6" s="48" t="str">
        <f ca="1">VLOOKUP($F686,OFFSET(enemy_skill_triggers!$A$1,0,0,COUNTA(enemy_skill_triggers!$A:$A),MATCH(K$1,enemy_skill_triggers!$1:$1,0)-MATCH($F$1,enemy_skill_triggers!$1:$1,0)+1),MATCH(K$1,enemy_skill_triggers!$1:$1,0)-MATCH($F$1,enemy_skill_triggers!$1:$1,0)+1,FALSE)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6" s="48">
        <f ca="1">VLOOKUP($F686,OFFSET(enemy_skill_triggers!$A$1,0,0,COUNTA(enemy_skill_triggers!$A:$A),MATCH(L$1,enemy_skill_triggers!$1:$1,0)-MATCH($F$1,enemy_skill_triggers!$1:$1,0)+1),MATCH(L$1,enemy_skill_triggers!$1:$1,0)-MATCH($F$1,enemy_skill_triggers!$1:$1,0)+1,FALSE)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6" s="48" t="str">
        <f ca="1">VLOOKUP($F686,OFFSET(enemy_skill_triggers!$A$1,0,0,COUNTA(enemy_skill_triggers!$A:$A),MATCH(M$1,enemy_skill_triggers!$1:$1,0)-MATCH($F$1,enemy_skill_triggers!$1:$1,0)+1),MATCH(M$1,enemy_skill_triggers!$1:$1,0)-MATCH($F$1,enemy_skill_triggers!$1:$1,0)+1,FALSE)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6" s="48">
        <f ca="1">VLOOKUP($F686,OFFSET(enemy_skill_triggers!$A$1,0,0,COUNTA(enemy_skill_triggers!$A:$A),MATCH(N$1,enemy_skill_triggers!$1:$1,0)-MATCH($F$1,enemy_skill_triggers!$1:$1,0)+1),MATCH(N$1,enemy_skill_triggers!$1:$1,0)-MATCH($F$1,enemy_skill_triggers!$1:$1,0)+1,FALSE)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86" s="48">
        <f ca="1">VLOOKUP($F686,OFFSET(enemy_skill_triggers!$A$1,0,0,COUNTA(enemy_skill_triggers!$A:$A),MATCH(O$1,enemy_skill_triggers!$1:$1,0)-MATCH($F$1,enemy_skill_triggers!$1:$1,0)+1),MATCH(O$1,enemy_skill_triggers!$1:$1,0)-MATCH($F$1,enemy_skill_triggers!$1:$1,0)+1,FALSE)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6" s="47"/>
      <c r="Q686" s="47"/>
      <c r="R686" s="47"/>
    </row>
    <row r="687" spans="1:18" ht="21" customHeight="1" x14ac:dyDescent="0.15">
      <c r="A687" s="39" t="str">
        <f t="shared" si="28"/>
        <v>39009034_39009061</v>
      </c>
      <c r="B687" s="47">
        <v>39009034</v>
      </c>
      <c r="C687" s="132">
        <v>39009061</v>
      </c>
      <c r="D687" s="46" t="str">
        <f ca="1">VLOOKUP($C687,OFFSET(enemy_skills!$A$1,0,0,COUNTA(enemy_skills!$A:$A),MATCH(D$1,enemy_skills!$1:$1,0)-MATCH("enemy_skill_id",enemy_skills!$1:$1,0)+1),MATCH(D$1,enemy_skills!$1:$1,0)-MATCH("enemy_skill_id",enemy_skills!$1:$1,0)+1,FALSE)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7" s="46" t="str">
        <f ca="1">VLOOKUP($C687,OFFSET(enemy_skills!$A$1,0,0,COUNTA(enemy_skills!$A:$A),MATCH(E$1,enemy_skills!$1:$1,0)-MATCH("enemy_skill_id",enemy_skills!$1:$1,0)+1),MATCH(E$1,enemy_skills!$1:$1,0)-MATCH("enemy_skill_id",enemy_skills!$1:$1,0)+1,FALSE)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7" s="132">
        <v>39009089</v>
      </c>
      <c r="G687" s="48">
        <f ca="1">VLOOKUP($F687,OFFSET(enemy_skill_triggers!$A$1,0,0,COUNTA(enemy_skill_triggers!$A:$A),MATCH(G$1,enemy_skill_triggers!$1:$1,0)-MATCH($F$1,enemy_skill_triggers!$1:$1,0)+1),MATCH(G$1,enemy_skill_triggers!$1:$1,0)-MATCH($F$1,enemy_skill_triggers!$1:$1,0)+1,FALSE)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7" s="48">
        <f ca="1">VLOOKUP($F687,OFFSET(enemy_skill_triggers!$A$1,0,0,COUNTA(enemy_skill_triggers!$A:$A),MATCH(H$1,enemy_skill_triggers!$1:$1,0)-MATCH($F$1,enemy_skill_triggers!$1:$1,0)+1),MATCH(H$1,enemy_skill_triggers!$1:$1,0)-MATCH($F$1,enemy_skill_triggers!$1:$1,0)+1,FALSE)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687" s="48">
        <f ca="1">VLOOKUP($F687,OFFSET(enemy_skill_triggers!$A$1,0,0,COUNTA(enemy_skill_triggers!$A:$A),MATCH(I$1,enemy_skill_triggers!$1:$1,0)-MATCH($F$1,enemy_skill_triggers!$1:$1,0)+1),MATCH(I$1,enemy_skill_triggers!$1:$1,0)-MATCH($F$1,enemy_skill_triggers!$1:$1,0)+1,FALSE)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7" s="48" t="str">
        <f ca="1">VLOOKUP($F687,OFFSET(enemy_skill_triggers!$A$1,0,0,COUNTA(enemy_skill_triggers!$A:$A),MATCH(J$1,enemy_skill_triggers!$1:$1,0)-MATCH($F$1,enemy_skill_triggers!$1:$1,0)+1),MATCH(J$1,enemy_skill_triggers!$1:$1,0)-MATCH($F$1,enemy_skill_triggers!$1:$1,0)+1,FALSE)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7" s="48" t="str">
        <f ca="1">VLOOKUP($F687,OFFSET(enemy_skill_triggers!$A$1,0,0,COUNTA(enemy_skill_triggers!$A:$A),MATCH(K$1,enemy_skill_triggers!$1:$1,0)-MATCH($F$1,enemy_skill_triggers!$1:$1,0)+1),MATCH(K$1,enemy_skill_triggers!$1:$1,0)-MATCH($F$1,enemy_skill_triggers!$1:$1,0)+1,FALSE)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7" s="48">
        <f ca="1">VLOOKUP($F687,OFFSET(enemy_skill_triggers!$A$1,0,0,COUNTA(enemy_skill_triggers!$A:$A),MATCH(L$1,enemy_skill_triggers!$1:$1,0)-MATCH($F$1,enemy_skill_triggers!$1:$1,0)+1),MATCH(L$1,enemy_skill_triggers!$1:$1,0)-MATCH($F$1,enemy_skill_triggers!$1:$1,0)+1,FALSE)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7" s="48" t="str">
        <f ca="1">VLOOKUP($F687,OFFSET(enemy_skill_triggers!$A$1,0,0,COUNTA(enemy_skill_triggers!$A:$A),MATCH(M$1,enemy_skill_triggers!$1:$1,0)-MATCH($F$1,enemy_skill_triggers!$1:$1,0)+1),MATCH(M$1,enemy_skill_triggers!$1:$1,0)-MATCH($F$1,enemy_skill_triggers!$1:$1,0)+1,FALSE)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7" s="48">
        <f ca="1">VLOOKUP($F687,OFFSET(enemy_skill_triggers!$A$1,0,0,COUNTA(enemy_skill_triggers!$A:$A),MATCH(N$1,enemy_skill_triggers!$1:$1,0)-MATCH($F$1,enemy_skill_triggers!$1:$1,0)+1),MATCH(N$1,enemy_skill_triggers!$1:$1,0)-MATCH($F$1,enemy_skill_triggers!$1:$1,0)+1,FALSE)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687" s="48">
        <f ca="1">VLOOKUP($F687,OFFSET(enemy_skill_triggers!$A$1,0,0,COUNTA(enemy_skill_triggers!$A:$A),MATCH(O$1,enemy_skill_triggers!$1:$1,0)-MATCH($F$1,enemy_skill_triggers!$1:$1,0)+1),MATCH(O$1,enemy_skill_triggers!$1:$1,0)-MATCH($F$1,enemy_skill_triggers!$1:$1,0)+1,FALSE)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7" s="47"/>
      <c r="Q687" s="47"/>
      <c r="R687" s="47"/>
    </row>
    <row r="688" spans="1:18" ht="21" customHeight="1" x14ac:dyDescent="0.15">
      <c r="A688" s="39" t="str">
        <f t="shared" si="28"/>
        <v>39009034_39009061</v>
      </c>
      <c r="B688" s="47">
        <v>39009034</v>
      </c>
      <c r="C688" s="132">
        <v>39009061</v>
      </c>
      <c r="D688" s="46" t="str">
        <f ca="1">VLOOKUP($C688,OFFSET(enemy_skills!$A$1,0,0,COUNTA(enemy_skills!$A:$A),MATCH(D$1,enemy_skills!$1:$1,0)-MATCH("enemy_skill_id",enemy_skills!$1:$1,0)+1),MATCH(D$1,enemy_skills!$1:$1,0)-MATCH("enemy_skill_id",enemy_skills!$1:$1,0)+1,FALSE)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8" s="46" t="str">
        <f ca="1">VLOOKUP($C688,OFFSET(enemy_skills!$A$1,0,0,COUNTA(enemy_skills!$A:$A),MATCH(E$1,enemy_skills!$1:$1,0)-MATCH("enemy_skill_id",enemy_skills!$1:$1,0)+1),MATCH(E$1,enemy_skills!$1:$1,0)-MATCH("enemy_skill_id",enemy_skills!$1:$1,0)+1,FALSE)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8" s="132">
        <v>39009090</v>
      </c>
      <c r="G688" s="48">
        <f ca="1">VLOOKUP($F688,OFFSET(enemy_skill_triggers!$A$1,0,0,COUNTA(enemy_skill_triggers!$A:$A),MATCH(G$1,enemy_skill_triggers!$1:$1,0)-MATCH($F$1,enemy_skill_triggers!$1:$1,0)+1),MATCH(G$1,enemy_skill_triggers!$1:$1,0)-MATCH($F$1,enemy_skill_triggers!$1:$1,0)+1,FALSE)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8" s="48">
        <f ca="1">VLOOKUP($F688,OFFSET(enemy_skill_triggers!$A$1,0,0,COUNTA(enemy_skill_triggers!$A:$A),MATCH(H$1,enemy_skill_triggers!$1:$1,0)-MATCH($F$1,enemy_skill_triggers!$1:$1,0)+1),MATCH(H$1,enemy_skill_triggers!$1:$1,0)-MATCH($F$1,enemy_skill_triggers!$1:$1,0)+1,FALSE)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688" s="48">
        <f ca="1">VLOOKUP($F688,OFFSET(enemy_skill_triggers!$A$1,0,0,COUNTA(enemy_skill_triggers!$A:$A),MATCH(I$1,enemy_skill_triggers!$1:$1,0)-MATCH($F$1,enemy_skill_triggers!$1:$1,0)+1),MATCH(I$1,enemy_skill_triggers!$1:$1,0)-MATCH($F$1,enemy_skill_triggers!$1:$1,0)+1,FALSE)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8" s="48" t="str">
        <f ca="1">VLOOKUP($F688,OFFSET(enemy_skill_triggers!$A$1,0,0,COUNTA(enemy_skill_triggers!$A:$A),MATCH(J$1,enemy_skill_triggers!$1:$1,0)-MATCH($F$1,enemy_skill_triggers!$1:$1,0)+1),MATCH(J$1,enemy_skill_triggers!$1:$1,0)-MATCH($F$1,enemy_skill_triggers!$1:$1,0)+1,FALSE)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8" s="48" t="str">
        <f ca="1">VLOOKUP($F688,OFFSET(enemy_skill_triggers!$A$1,0,0,COUNTA(enemy_skill_triggers!$A:$A),MATCH(K$1,enemy_skill_triggers!$1:$1,0)-MATCH($F$1,enemy_skill_triggers!$1:$1,0)+1),MATCH(K$1,enemy_skill_triggers!$1:$1,0)-MATCH($F$1,enemy_skill_triggers!$1:$1,0)+1,FALSE)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8" s="48">
        <f ca="1">VLOOKUP($F688,OFFSET(enemy_skill_triggers!$A$1,0,0,COUNTA(enemy_skill_triggers!$A:$A),MATCH(L$1,enemy_skill_triggers!$1:$1,0)-MATCH($F$1,enemy_skill_triggers!$1:$1,0)+1),MATCH(L$1,enemy_skill_triggers!$1:$1,0)-MATCH($F$1,enemy_skill_triggers!$1:$1,0)+1,FALSE)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8" s="48" t="str">
        <f ca="1">VLOOKUP($F688,OFFSET(enemy_skill_triggers!$A$1,0,0,COUNTA(enemy_skill_triggers!$A:$A),MATCH(M$1,enemy_skill_triggers!$1:$1,0)-MATCH($F$1,enemy_skill_triggers!$1:$1,0)+1),MATCH(M$1,enemy_skill_triggers!$1:$1,0)-MATCH($F$1,enemy_skill_triggers!$1:$1,0)+1,FALSE)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8" s="48">
        <f ca="1">VLOOKUP($F688,OFFSET(enemy_skill_triggers!$A$1,0,0,COUNTA(enemy_skill_triggers!$A:$A),MATCH(N$1,enemy_skill_triggers!$1:$1,0)-MATCH($F$1,enemy_skill_triggers!$1:$1,0)+1),MATCH(N$1,enemy_skill_triggers!$1:$1,0)-MATCH($F$1,enemy_skill_triggers!$1:$1,0)+1,FALSE)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688" s="48">
        <f ca="1">VLOOKUP($F688,OFFSET(enemy_skill_triggers!$A$1,0,0,COUNTA(enemy_skill_triggers!$A:$A),MATCH(O$1,enemy_skill_triggers!$1:$1,0)-MATCH($F$1,enemy_skill_triggers!$1:$1,0)+1),MATCH(O$1,enemy_skill_triggers!$1:$1,0)-MATCH($F$1,enemy_skill_triggers!$1:$1,0)+1,FALSE)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8" s="47"/>
      <c r="Q688" s="47"/>
      <c r="R688" s="47"/>
    </row>
    <row r="689" spans="1:18" ht="21" customHeight="1" x14ac:dyDescent="0.15">
      <c r="A689" s="39" t="str">
        <f t="shared" si="28"/>
        <v>39009034_39009061</v>
      </c>
      <c r="B689" s="47">
        <v>39009034</v>
      </c>
      <c r="C689" s="132">
        <v>39009061</v>
      </c>
      <c r="D689" s="46" t="str">
        <f ca="1">VLOOKUP($C689,OFFSET(enemy_skills!$A$1,0,0,COUNTA(enemy_skills!$A:$A),MATCH(D$1,enemy_skills!$1:$1,0)-MATCH("enemy_skill_id",enemy_skills!$1:$1,0)+1),MATCH(D$1,enemy_skills!$1:$1,0)-MATCH("enemy_skill_id",enemy_skills!$1:$1,0)+1,FALSE)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89" s="46" t="str">
        <f ca="1">VLOOKUP($C689,OFFSET(enemy_skills!$A$1,0,0,COUNTA(enemy_skills!$A:$A),MATCH(E$1,enemy_skills!$1:$1,0)-MATCH("enemy_skill_id",enemy_skills!$1:$1,0)+1),MATCH(E$1,enemy_skills!$1:$1,0)-MATCH("enemy_skill_id",enemy_skills!$1:$1,0)+1,FALSE)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89" s="132">
        <v>39009091</v>
      </c>
      <c r="G689" s="48">
        <f ca="1">VLOOKUP($F689,OFFSET(enemy_skill_triggers!$A$1,0,0,COUNTA(enemy_skill_triggers!$A:$A),MATCH(G$1,enemy_skill_triggers!$1:$1,0)-MATCH($F$1,enemy_skill_triggers!$1:$1,0)+1),MATCH(G$1,enemy_skill_triggers!$1:$1,0)-MATCH($F$1,enemy_skill_triggers!$1:$1,0)+1,FALSE)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9" s="48">
        <f ca="1">VLOOKUP($F689,OFFSET(enemy_skill_triggers!$A$1,0,0,COUNTA(enemy_skill_triggers!$A:$A),MATCH(H$1,enemy_skill_triggers!$1:$1,0)-MATCH($F$1,enemy_skill_triggers!$1:$1,0)+1),MATCH(H$1,enemy_skill_triggers!$1:$1,0)-MATCH($F$1,enemy_skill_triggers!$1:$1,0)+1,FALSE)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689" s="48">
        <f ca="1">VLOOKUP($F689,OFFSET(enemy_skill_triggers!$A$1,0,0,COUNTA(enemy_skill_triggers!$A:$A),MATCH(I$1,enemy_skill_triggers!$1:$1,0)-MATCH($F$1,enemy_skill_triggers!$1:$1,0)+1),MATCH(I$1,enemy_skill_triggers!$1:$1,0)-MATCH($F$1,enemy_skill_triggers!$1:$1,0)+1,FALSE)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9" s="48" t="str">
        <f ca="1">VLOOKUP($F689,OFFSET(enemy_skill_triggers!$A$1,0,0,COUNTA(enemy_skill_triggers!$A:$A),MATCH(J$1,enemy_skill_triggers!$1:$1,0)-MATCH($F$1,enemy_skill_triggers!$1:$1,0)+1),MATCH(J$1,enemy_skill_triggers!$1:$1,0)-MATCH($F$1,enemy_skill_triggers!$1:$1,0)+1,FALSE)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9" s="48" t="str">
        <f ca="1">VLOOKUP($F689,OFFSET(enemy_skill_triggers!$A$1,0,0,COUNTA(enemy_skill_triggers!$A:$A),MATCH(K$1,enemy_skill_triggers!$1:$1,0)-MATCH($F$1,enemy_skill_triggers!$1:$1,0)+1),MATCH(K$1,enemy_skill_triggers!$1:$1,0)-MATCH($F$1,enemy_skill_triggers!$1:$1,0)+1,FALSE)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9" s="48">
        <f ca="1">VLOOKUP($F689,OFFSET(enemy_skill_triggers!$A$1,0,0,COUNTA(enemy_skill_triggers!$A:$A),MATCH(L$1,enemy_skill_triggers!$1:$1,0)-MATCH($F$1,enemy_skill_triggers!$1:$1,0)+1),MATCH(L$1,enemy_skill_triggers!$1:$1,0)-MATCH($F$1,enemy_skill_triggers!$1:$1,0)+1,FALSE)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9" s="48" t="str">
        <f ca="1">VLOOKUP($F689,OFFSET(enemy_skill_triggers!$A$1,0,0,COUNTA(enemy_skill_triggers!$A:$A),MATCH(M$1,enemy_skill_triggers!$1:$1,0)-MATCH($F$1,enemy_skill_triggers!$1:$1,0)+1),MATCH(M$1,enemy_skill_triggers!$1:$1,0)-MATCH($F$1,enemy_skill_triggers!$1:$1,0)+1,FALSE)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9" s="48">
        <f ca="1">VLOOKUP($F689,OFFSET(enemy_skill_triggers!$A$1,0,0,COUNTA(enemy_skill_triggers!$A:$A),MATCH(N$1,enemy_skill_triggers!$1:$1,0)-MATCH($F$1,enemy_skill_triggers!$1:$1,0)+1),MATCH(N$1,enemy_skill_triggers!$1:$1,0)-MATCH($F$1,enemy_skill_triggers!$1:$1,0)+1,FALSE)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689" s="48">
        <f ca="1">VLOOKUP($F689,OFFSET(enemy_skill_triggers!$A$1,0,0,COUNTA(enemy_skill_triggers!$A:$A),MATCH(O$1,enemy_skill_triggers!$1:$1,0)-MATCH($F$1,enemy_skill_triggers!$1:$1,0)+1),MATCH(O$1,enemy_skill_triggers!$1:$1,0)-MATCH($F$1,enemy_skill_triggers!$1:$1,0)+1,FALSE)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9" s="47"/>
      <c r="Q689" s="47"/>
      <c r="R689" s="47"/>
    </row>
    <row r="690" spans="1:18" ht="21" customHeight="1" x14ac:dyDescent="0.15">
      <c r="A690" s="39" t="str">
        <f t="shared" si="28"/>
        <v>39009034_39009061</v>
      </c>
      <c r="B690" s="47">
        <v>39009034</v>
      </c>
      <c r="C690" s="132">
        <v>39009061</v>
      </c>
      <c r="D690" s="46" t="str">
        <f ca="1">VLOOKUP($C690,OFFSET(enemy_skills!$A$1,0,0,COUNTA(enemy_skills!$A:$A),MATCH(D$1,enemy_skills!$1:$1,0)-MATCH("enemy_skill_id",enemy_skills!$1:$1,0)+1),MATCH(D$1,enemy_skills!$1:$1,0)-MATCH("enemy_skill_id",enemy_skills!$1:$1,0)+1,FALSE)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0" s="46" t="str">
        <f ca="1">VLOOKUP($C690,OFFSET(enemy_skills!$A$1,0,0,COUNTA(enemy_skills!$A:$A),MATCH(E$1,enemy_skills!$1:$1,0)-MATCH("enemy_skill_id",enemy_skills!$1:$1,0)+1),MATCH(E$1,enemy_skills!$1:$1,0)-MATCH("enemy_skill_id",enemy_skills!$1:$1,0)+1,FALSE)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0" s="132">
        <v>39009092</v>
      </c>
      <c r="G690" s="48">
        <f ca="1">VLOOKUP($F690,OFFSET(enemy_skill_triggers!$A$1,0,0,COUNTA(enemy_skill_triggers!$A:$A),MATCH(G$1,enemy_skill_triggers!$1:$1,0)-MATCH($F$1,enemy_skill_triggers!$1:$1,0)+1),MATCH(G$1,enemy_skill_triggers!$1:$1,0)-MATCH($F$1,enemy_skill_triggers!$1:$1,0)+1,FALSE)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0" s="48">
        <f ca="1">VLOOKUP($F690,OFFSET(enemy_skill_triggers!$A$1,0,0,COUNTA(enemy_skill_triggers!$A:$A),MATCH(H$1,enemy_skill_triggers!$1:$1,0)-MATCH($F$1,enemy_skill_triggers!$1:$1,0)+1),MATCH(H$1,enemy_skill_triggers!$1:$1,0)-MATCH($F$1,enemy_skill_triggers!$1:$1,0)+1,FALSE)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90" s="48">
        <f ca="1">VLOOKUP($F690,OFFSET(enemy_skill_triggers!$A$1,0,0,COUNTA(enemy_skill_triggers!$A:$A),MATCH(I$1,enemy_skill_triggers!$1:$1,0)-MATCH($F$1,enemy_skill_triggers!$1:$1,0)+1),MATCH(I$1,enemy_skill_triggers!$1:$1,0)-MATCH($F$1,enemy_skill_triggers!$1:$1,0)+1,FALSE)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0" s="48" t="str">
        <f ca="1">VLOOKUP($F690,OFFSET(enemy_skill_triggers!$A$1,0,0,COUNTA(enemy_skill_triggers!$A:$A),MATCH(J$1,enemy_skill_triggers!$1:$1,0)-MATCH($F$1,enemy_skill_triggers!$1:$1,0)+1),MATCH(J$1,enemy_skill_triggers!$1:$1,0)-MATCH($F$1,enemy_skill_triggers!$1:$1,0)+1,FALSE)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0" s="48" t="str">
        <f ca="1">VLOOKUP($F690,OFFSET(enemy_skill_triggers!$A$1,0,0,COUNTA(enemy_skill_triggers!$A:$A),MATCH(K$1,enemy_skill_triggers!$1:$1,0)-MATCH($F$1,enemy_skill_triggers!$1:$1,0)+1),MATCH(K$1,enemy_skill_triggers!$1:$1,0)-MATCH($F$1,enemy_skill_triggers!$1:$1,0)+1,FALSE)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0" s="48">
        <f ca="1">VLOOKUP($F690,OFFSET(enemy_skill_triggers!$A$1,0,0,COUNTA(enemy_skill_triggers!$A:$A),MATCH(L$1,enemy_skill_triggers!$1:$1,0)-MATCH($F$1,enemy_skill_triggers!$1:$1,0)+1),MATCH(L$1,enemy_skill_triggers!$1:$1,0)-MATCH($F$1,enemy_skill_triggers!$1:$1,0)+1,FALSE)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0" s="48" t="str">
        <f ca="1">VLOOKUP($F690,OFFSET(enemy_skill_triggers!$A$1,0,0,COUNTA(enemy_skill_triggers!$A:$A),MATCH(M$1,enemy_skill_triggers!$1:$1,0)-MATCH($F$1,enemy_skill_triggers!$1:$1,0)+1),MATCH(M$1,enemy_skill_triggers!$1:$1,0)-MATCH($F$1,enemy_skill_triggers!$1:$1,0)+1,FALSE)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0" s="48">
        <f ca="1">VLOOKUP($F690,OFFSET(enemy_skill_triggers!$A$1,0,0,COUNTA(enemy_skill_triggers!$A:$A),MATCH(N$1,enemy_skill_triggers!$1:$1,0)-MATCH($F$1,enemy_skill_triggers!$1:$1,0)+1),MATCH(N$1,enemy_skill_triggers!$1:$1,0)-MATCH($F$1,enemy_skill_triggers!$1:$1,0)+1,FALSE)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690" s="48">
        <f ca="1">VLOOKUP($F690,OFFSET(enemy_skill_triggers!$A$1,0,0,COUNTA(enemy_skill_triggers!$A:$A),MATCH(O$1,enemy_skill_triggers!$1:$1,0)-MATCH($F$1,enemy_skill_triggers!$1:$1,0)+1),MATCH(O$1,enemy_skill_triggers!$1:$1,0)-MATCH($F$1,enemy_skill_triggers!$1:$1,0)+1,FALSE)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0" s="47"/>
      <c r="Q690" s="47"/>
      <c r="R690" s="47"/>
    </row>
    <row r="691" spans="1:18" ht="21" customHeight="1" x14ac:dyDescent="0.15">
      <c r="A691" s="39" t="str">
        <f t="shared" si="28"/>
        <v>39009034_39009061</v>
      </c>
      <c r="B691" s="47">
        <v>39009034</v>
      </c>
      <c r="C691" s="132">
        <v>39009061</v>
      </c>
      <c r="D691" s="46" t="str">
        <f ca="1">VLOOKUP($C691,OFFSET(enemy_skills!$A$1,0,0,COUNTA(enemy_skills!$A:$A),MATCH(D$1,enemy_skills!$1:$1,0)-MATCH("enemy_skill_id",enemy_skills!$1:$1,0)+1),MATCH(D$1,enemy_skills!$1:$1,0)-MATCH("enemy_skill_id",enemy_skills!$1:$1,0)+1,FALSE)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1" s="46" t="str">
        <f ca="1">VLOOKUP($C691,OFFSET(enemy_skills!$A$1,0,0,COUNTA(enemy_skills!$A:$A),MATCH(E$1,enemy_skills!$1:$1,0)-MATCH("enemy_skill_id",enemy_skills!$1:$1,0)+1),MATCH(E$1,enemy_skills!$1:$1,0)-MATCH("enemy_skill_id",enemy_skills!$1:$1,0)+1,FALSE)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1" s="132">
        <v>39009093</v>
      </c>
      <c r="G691" s="48">
        <f ca="1">VLOOKUP($F691,OFFSET(enemy_skill_triggers!$A$1,0,0,COUNTA(enemy_skill_triggers!$A:$A),MATCH(G$1,enemy_skill_triggers!$1:$1,0)-MATCH($F$1,enemy_skill_triggers!$1:$1,0)+1),MATCH(G$1,enemy_skill_triggers!$1:$1,0)-MATCH($F$1,enemy_skill_triggers!$1:$1,0)+1,FALSE)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1" s="48">
        <f ca="1">VLOOKUP($F691,OFFSET(enemy_skill_triggers!$A$1,0,0,COUNTA(enemy_skill_triggers!$A:$A),MATCH(H$1,enemy_skill_triggers!$1:$1,0)-MATCH($F$1,enemy_skill_triggers!$1:$1,0)+1),MATCH(H$1,enemy_skill_triggers!$1:$1,0)-MATCH($F$1,enemy_skill_triggers!$1:$1,0)+1,FALSE)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691" s="48">
        <f ca="1">VLOOKUP($F691,OFFSET(enemy_skill_triggers!$A$1,0,0,COUNTA(enemy_skill_triggers!$A:$A),MATCH(I$1,enemy_skill_triggers!$1:$1,0)-MATCH($F$1,enemy_skill_triggers!$1:$1,0)+1),MATCH(I$1,enemy_skill_triggers!$1:$1,0)-MATCH($F$1,enemy_skill_triggers!$1:$1,0)+1,FALSE)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1" s="48" t="str">
        <f ca="1">VLOOKUP($F691,OFFSET(enemy_skill_triggers!$A$1,0,0,COUNTA(enemy_skill_triggers!$A:$A),MATCH(J$1,enemy_skill_triggers!$1:$1,0)-MATCH($F$1,enemy_skill_triggers!$1:$1,0)+1),MATCH(J$1,enemy_skill_triggers!$1:$1,0)-MATCH($F$1,enemy_skill_triggers!$1:$1,0)+1,FALSE)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1" s="48" t="str">
        <f ca="1">VLOOKUP($F691,OFFSET(enemy_skill_triggers!$A$1,0,0,COUNTA(enemy_skill_triggers!$A:$A),MATCH(K$1,enemy_skill_triggers!$1:$1,0)-MATCH($F$1,enemy_skill_triggers!$1:$1,0)+1),MATCH(K$1,enemy_skill_triggers!$1:$1,0)-MATCH($F$1,enemy_skill_triggers!$1:$1,0)+1,FALSE)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1" s="48">
        <f ca="1">VLOOKUP($F691,OFFSET(enemy_skill_triggers!$A$1,0,0,COUNTA(enemy_skill_triggers!$A:$A),MATCH(L$1,enemy_skill_triggers!$1:$1,0)-MATCH($F$1,enemy_skill_triggers!$1:$1,0)+1),MATCH(L$1,enemy_skill_triggers!$1:$1,0)-MATCH($F$1,enemy_skill_triggers!$1:$1,0)+1,FALSE)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1" s="48" t="str">
        <f ca="1">VLOOKUP($F691,OFFSET(enemy_skill_triggers!$A$1,0,0,COUNTA(enemy_skill_triggers!$A:$A),MATCH(M$1,enemy_skill_triggers!$1:$1,0)-MATCH($F$1,enemy_skill_triggers!$1:$1,0)+1),MATCH(M$1,enemy_skill_triggers!$1:$1,0)-MATCH($F$1,enemy_skill_triggers!$1:$1,0)+1,FALSE)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1" s="48">
        <f ca="1">VLOOKUP($F691,OFFSET(enemy_skill_triggers!$A$1,0,0,COUNTA(enemy_skill_triggers!$A:$A),MATCH(N$1,enemy_skill_triggers!$1:$1,0)-MATCH($F$1,enemy_skill_triggers!$1:$1,0)+1),MATCH(N$1,enemy_skill_triggers!$1:$1,0)-MATCH($F$1,enemy_skill_triggers!$1:$1,0)+1,FALSE)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691" s="48">
        <f ca="1">VLOOKUP($F691,OFFSET(enemy_skill_triggers!$A$1,0,0,COUNTA(enemy_skill_triggers!$A:$A),MATCH(O$1,enemy_skill_triggers!$1:$1,0)-MATCH($F$1,enemy_skill_triggers!$1:$1,0)+1),MATCH(O$1,enemy_skill_triggers!$1:$1,0)-MATCH($F$1,enemy_skill_triggers!$1:$1,0)+1,FALSE)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1" s="47"/>
      <c r="Q691" s="47"/>
      <c r="R691" s="47"/>
    </row>
    <row r="692" spans="1:18" ht="21" customHeight="1" x14ac:dyDescent="0.15">
      <c r="A692" s="39" t="str">
        <f t="shared" si="28"/>
        <v>39009034_39009061</v>
      </c>
      <c r="B692" s="47">
        <v>39009034</v>
      </c>
      <c r="C692" s="132">
        <v>39009061</v>
      </c>
      <c r="D692" s="46" t="str">
        <f ca="1">VLOOKUP($C692,OFFSET(enemy_skills!$A$1,0,0,COUNTA(enemy_skills!$A:$A),MATCH(D$1,enemy_skills!$1:$1,0)-MATCH("enemy_skill_id",enemy_skills!$1:$1,0)+1),MATCH(D$1,enemy_skills!$1:$1,0)-MATCH("enemy_skill_id",enemy_skills!$1:$1,0)+1,FALSE)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2" s="46" t="str">
        <f ca="1">VLOOKUP($C692,OFFSET(enemy_skills!$A$1,0,0,COUNTA(enemy_skills!$A:$A),MATCH(E$1,enemy_skills!$1:$1,0)-MATCH("enemy_skill_id",enemy_skills!$1:$1,0)+1),MATCH(E$1,enemy_skills!$1:$1,0)-MATCH("enemy_skill_id",enemy_skills!$1:$1,0)+1,FALSE)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2" s="132">
        <v>39009094</v>
      </c>
      <c r="G692" s="48">
        <f ca="1">VLOOKUP($F692,OFFSET(enemy_skill_triggers!$A$1,0,0,COUNTA(enemy_skill_triggers!$A:$A),MATCH(G$1,enemy_skill_triggers!$1:$1,0)-MATCH($F$1,enemy_skill_triggers!$1:$1,0)+1),MATCH(G$1,enemy_skill_triggers!$1:$1,0)-MATCH($F$1,enemy_skill_triggers!$1:$1,0)+1,FALSE)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2" s="48">
        <f ca="1">VLOOKUP($F692,OFFSET(enemy_skill_triggers!$A$1,0,0,COUNTA(enemy_skill_triggers!$A:$A),MATCH(H$1,enemy_skill_triggers!$1:$1,0)-MATCH($F$1,enemy_skill_triggers!$1:$1,0)+1),MATCH(H$1,enemy_skill_triggers!$1:$1,0)-MATCH($F$1,enemy_skill_triggers!$1:$1,0)+1,FALSE)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692" s="48">
        <f ca="1">VLOOKUP($F692,OFFSET(enemy_skill_triggers!$A$1,0,0,COUNTA(enemy_skill_triggers!$A:$A),MATCH(I$1,enemy_skill_triggers!$1:$1,0)-MATCH($F$1,enemy_skill_triggers!$1:$1,0)+1),MATCH(I$1,enemy_skill_triggers!$1:$1,0)-MATCH($F$1,enemy_skill_triggers!$1:$1,0)+1,FALSE)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2" s="48" t="str">
        <f ca="1">VLOOKUP($F692,OFFSET(enemy_skill_triggers!$A$1,0,0,COUNTA(enemy_skill_triggers!$A:$A),MATCH(J$1,enemy_skill_triggers!$1:$1,0)-MATCH($F$1,enemy_skill_triggers!$1:$1,0)+1),MATCH(J$1,enemy_skill_triggers!$1:$1,0)-MATCH($F$1,enemy_skill_triggers!$1:$1,0)+1,FALSE)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2" s="48" t="str">
        <f ca="1">VLOOKUP($F692,OFFSET(enemy_skill_triggers!$A$1,0,0,COUNTA(enemy_skill_triggers!$A:$A),MATCH(K$1,enemy_skill_triggers!$1:$1,0)-MATCH($F$1,enemy_skill_triggers!$1:$1,0)+1),MATCH(K$1,enemy_skill_triggers!$1:$1,0)-MATCH($F$1,enemy_skill_triggers!$1:$1,0)+1,FALSE)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2" s="48">
        <f ca="1">VLOOKUP($F692,OFFSET(enemy_skill_triggers!$A$1,0,0,COUNTA(enemy_skill_triggers!$A:$A),MATCH(L$1,enemy_skill_triggers!$1:$1,0)-MATCH($F$1,enemy_skill_triggers!$1:$1,0)+1),MATCH(L$1,enemy_skill_triggers!$1:$1,0)-MATCH($F$1,enemy_skill_triggers!$1:$1,0)+1,FALSE)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2" s="48" t="str">
        <f ca="1">VLOOKUP($F692,OFFSET(enemy_skill_triggers!$A$1,0,0,COUNTA(enemy_skill_triggers!$A:$A),MATCH(M$1,enemy_skill_triggers!$1:$1,0)-MATCH($F$1,enemy_skill_triggers!$1:$1,0)+1),MATCH(M$1,enemy_skill_triggers!$1:$1,0)-MATCH($F$1,enemy_skill_triggers!$1:$1,0)+1,FALSE)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2" s="48">
        <f ca="1">VLOOKUP($F692,OFFSET(enemy_skill_triggers!$A$1,0,0,COUNTA(enemy_skill_triggers!$A:$A),MATCH(N$1,enemy_skill_triggers!$1:$1,0)-MATCH($F$1,enemy_skill_triggers!$1:$1,0)+1),MATCH(N$1,enemy_skill_triggers!$1:$1,0)-MATCH($F$1,enemy_skill_triggers!$1:$1,0)+1,FALSE)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692" s="48">
        <f ca="1">VLOOKUP($F692,OFFSET(enemy_skill_triggers!$A$1,0,0,COUNTA(enemy_skill_triggers!$A:$A),MATCH(O$1,enemy_skill_triggers!$1:$1,0)-MATCH($F$1,enemy_skill_triggers!$1:$1,0)+1),MATCH(O$1,enemy_skill_triggers!$1:$1,0)-MATCH($F$1,enemy_skill_triggers!$1:$1,0)+1,FALSE)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2" s="47"/>
      <c r="Q692" s="47"/>
      <c r="R692" s="47"/>
    </row>
    <row r="693" spans="1:18" ht="21" customHeight="1" x14ac:dyDescent="0.15">
      <c r="A693" s="39" t="str">
        <f t="shared" si="28"/>
        <v>39009034_39009061</v>
      </c>
      <c r="B693" s="47">
        <v>39009034</v>
      </c>
      <c r="C693" s="132">
        <v>39009061</v>
      </c>
      <c r="D693" s="46" t="str">
        <f ca="1">VLOOKUP($C693,OFFSET(enemy_skills!$A$1,0,0,COUNTA(enemy_skills!$A:$A),MATCH(D$1,enemy_skills!$1:$1,0)-MATCH("enemy_skill_id",enemy_skills!$1:$1,0)+1),MATCH(D$1,enemy_skills!$1:$1,0)-MATCH("enemy_skill_id",enemy_skills!$1:$1,0)+1,FALSE)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3" s="46" t="str">
        <f ca="1">VLOOKUP($C693,OFFSET(enemy_skills!$A$1,0,0,COUNTA(enemy_skills!$A:$A),MATCH(E$1,enemy_skills!$1:$1,0)-MATCH("enemy_skill_id",enemy_skills!$1:$1,0)+1),MATCH(E$1,enemy_skills!$1:$1,0)-MATCH("enemy_skill_id",enemy_skills!$1:$1,0)+1,FALSE)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3" s="132">
        <v>39009095</v>
      </c>
      <c r="G693" s="48">
        <f ca="1">VLOOKUP($F693,OFFSET(enemy_skill_triggers!$A$1,0,0,COUNTA(enemy_skill_triggers!$A:$A),MATCH(G$1,enemy_skill_triggers!$1:$1,0)-MATCH($F$1,enemy_skill_triggers!$1:$1,0)+1),MATCH(G$1,enemy_skill_triggers!$1:$1,0)-MATCH($F$1,enemy_skill_triggers!$1:$1,0)+1,FALSE)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3" s="48">
        <f ca="1">VLOOKUP($F693,OFFSET(enemy_skill_triggers!$A$1,0,0,COUNTA(enemy_skill_triggers!$A:$A),MATCH(H$1,enemy_skill_triggers!$1:$1,0)-MATCH($F$1,enemy_skill_triggers!$1:$1,0)+1),MATCH(H$1,enemy_skill_triggers!$1:$1,0)-MATCH($F$1,enemy_skill_triggers!$1:$1,0)+1,FALSE)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693" s="48">
        <f ca="1">VLOOKUP($F693,OFFSET(enemy_skill_triggers!$A$1,0,0,COUNTA(enemy_skill_triggers!$A:$A),MATCH(I$1,enemy_skill_triggers!$1:$1,0)-MATCH($F$1,enemy_skill_triggers!$1:$1,0)+1),MATCH(I$1,enemy_skill_triggers!$1:$1,0)-MATCH($F$1,enemy_skill_triggers!$1:$1,0)+1,FALSE)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3" s="48" t="str">
        <f ca="1">VLOOKUP($F693,OFFSET(enemy_skill_triggers!$A$1,0,0,COUNTA(enemy_skill_triggers!$A:$A),MATCH(J$1,enemy_skill_triggers!$1:$1,0)-MATCH($F$1,enemy_skill_triggers!$1:$1,0)+1),MATCH(J$1,enemy_skill_triggers!$1:$1,0)-MATCH($F$1,enemy_skill_triggers!$1:$1,0)+1,FALSE)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3" s="48" t="str">
        <f ca="1">VLOOKUP($F693,OFFSET(enemy_skill_triggers!$A$1,0,0,COUNTA(enemy_skill_triggers!$A:$A),MATCH(K$1,enemy_skill_triggers!$1:$1,0)-MATCH($F$1,enemy_skill_triggers!$1:$1,0)+1),MATCH(K$1,enemy_skill_triggers!$1:$1,0)-MATCH($F$1,enemy_skill_triggers!$1:$1,0)+1,FALSE)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3" s="48">
        <f ca="1">VLOOKUP($F693,OFFSET(enemy_skill_triggers!$A$1,0,0,COUNTA(enemy_skill_triggers!$A:$A),MATCH(L$1,enemy_skill_triggers!$1:$1,0)-MATCH($F$1,enemy_skill_triggers!$1:$1,0)+1),MATCH(L$1,enemy_skill_triggers!$1:$1,0)-MATCH($F$1,enemy_skill_triggers!$1:$1,0)+1,FALSE)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3" s="48" t="str">
        <f ca="1">VLOOKUP($F693,OFFSET(enemy_skill_triggers!$A$1,0,0,COUNTA(enemy_skill_triggers!$A:$A),MATCH(M$1,enemy_skill_triggers!$1:$1,0)-MATCH($F$1,enemy_skill_triggers!$1:$1,0)+1),MATCH(M$1,enemy_skill_triggers!$1:$1,0)-MATCH($F$1,enemy_skill_triggers!$1:$1,0)+1,FALSE)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3" s="48">
        <f ca="1">VLOOKUP($F693,OFFSET(enemy_skill_triggers!$A$1,0,0,COUNTA(enemy_skill_triggers!$A:$A),MATCH(N$1,enemy_skill_triggers!$1:$1,0)-MATCH($F$1,enemy_skill_triggers!$1:$1,0)+1),MATCH(N$1,enemy_skill_triggers!$1:$1,0)-MATCH($F$1,enemy_skill_triggers!$1:$1,0)+1,FALSE)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693" s="48">
        <f ca="1">VLOOKUP($F693,OFFSET(enemy_skill_triggers!$A$1,0,0,COUNTA(enemy_skill_triggers!$A:$A),MATCH(O$1,enemy_skill_triggers!$1:$1,0)-MATCH($F$1,enemy_skill_triggers!$1:$1,0)+1),MATCH(O$1,enemy_skill_triggers!$1:$1,0)-MATCH($F$1,enemy_skill_triggers!$1:$1,0)+1,FALSE)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3" s="47"/>
      <c r="Q693" s="47"/>
      <c r="R693" s="47"/>
    </row>
    <row r="694" spans="1:18" ht="21" customHeight="1" x14ac:dyDescent="0.15">
      <c r="A694" s="39" t="str">
        <f t="shared" si="28"/>
        <v>39009034_39009061</v>
      </c>
      <c r="B694" s="47">
        <v>39009034</v>
      </c>
      <c r="C694" s="132">
        <v>39009061</v>
      </c>
      <c r="D694" s="46" t="str">
        <f ca="1">VLOOKUP($C694,OFFSET(enemy_skills!$A$1,0,0,COUNTA(enemy_skills!$A:$A),MATCH(D$1,enemy_skills!$1:$1,0)-MATCH("enemy_skill_id",enemy_skills!$1:$1,0)+1),MATCH(D$1,enemy_skills!$1:$1,0)-MATCH("enemy_skill_id",enemy_skills!$1:$1,0)+1,FALSE)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4" s="46" t="str">
        <f ca="1">VLOOKUP($C694,OFFSET(enemy_skills!$A$1,0,0,COUNTA(enemy_skills!$A:$A),MATCH(E$1,enemy_skills!$1:$1,0)-MATCH("enemy_skill_id",enemy_skills!$1:$1,0)+1),MATCH(E$1,enemy_skills!$1:$1,0)-MATCH("enemy_skill_id",enemy_skills!$1:$1,0)+1,FALSE)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4" s="132">
        <v>39009096</v>
      </c>
      <c r="G694" s="48">
        <f ca="1">VLOOKUP($F694,OFFSET(enemy_skill_triggers!$A$1,0,0,COUNTA(enemy_skill_triggers!$A:$A),MATCH(G$1,enemy_skill_triggers!$1:$1,0)-MATCH($F$1,enemy_skill_triggers!$1:$1,0)+1),MATCH(G$1,enemy_skill_triggers!$1:$1,0)-MATCH($F$1,enemy_skill_triggers!$1:$1,0)+1,FALSE)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4" s="48">
        <f ca="1">VLOOKUP($F694,OFFSET(enemy_skill_triggers!$A$1,0,0,COUNTA(enemy_skill_triggers!$A:$A),MATCH(H$1,enemy_skill_triggers!$1:$1,0)-MATCH($F$1,enemy_skill_triggers!$1:$1,0)+1),MATCH(H$1,enemy_skill_triggers!$1:$1,0)-MATCH($F$1,enemy_skill_triggers!$1:$1,0)+1,FALSE)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694" s="48">
        <f ca="1">VLOOKUP($F694,OFFSET(enemy_skill_triggers!$A$1,0,0,COUNTA(enemy_skill_triggers!$A:$A),MATCH(I$1,enemy_skill_triggers!$1:$1,0)-MATCH($F$1,enemy_skill_triggers!$1:$1,0)+1),MATCH(I$1,enemy_skill_triggers!$1:$1,0)-MATCH($F$1,enemy_skill_triggers!$1:$1,0)+1,FALSE)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4" s="48" t="str">
        <f ca="1">VLOOKUP($F694,OFFSET(enemy_skill_triggers!$A$1,0,0,COUNTA(enemy_skill_triggers!$A:$A),MATCH(J$1,enemy_skill_triggers!$1:$1,0)-MATCH($F$1,enemy_skill_triggers!$1:$1,0)+1),MATCH(J$1,enemy_skill_triggers!$1:$1,0)-MATCH($F$1,enemy_skill_triggers!$1:$1,0)+1,FALSE)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4" s="48" t="str">
        <f ca="1">VLOOKUP($F694,OFFSET(enemy_skill_triggers!$A$1,0,0,COUNTA(enemy_skill_triggers!$A:$A),MATCH(K$1,enemy_skill_triggers!$1:$1,0)-MATCH($F$1,enemy_skill_triggers!$1:$1,0)+1),MATCH(K$1,enemy_skill_triggers!$1:$1,0)-MATCH($F$1,enemy_skill_triggers!$1:$1,0)+1,FALSE)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4" s="48">
        <f ca="1">VLOOKUP($F694,OFFSET(enemy_skill_triggers!$A$1,0,0,COUNTA(enemy_skill_triggers!$A:$A),MATCH(L$1,enemy_skill_triggers!$1:$1,0)-MATCH($F$1,enemy_skill_triggers!$1:$1,0)+1),MATCH(L$1,enemy_skill_triggers!$1:$1,0)-MATCH($F$1,enemy_skill_triggers!$1:$1,0)+1,FALSE)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4" s="48" t="str">
        <f ca="1">VLOOKUP($F694,OFFSET(enemy_skill_triggers!$A$1,0,0,COUNTA(enemy_skill_triggers!$A:$A),MATCH(M$1,enemy_skill_triggers!$1:$1,0)-MATCH($F$1,enemy_skill_triggers!$1:$1,0)+1),MATCH(M$1,enemy_skill_triggers!$1:$1,0)-MATCH($F$1,enemy_skill_triggers!$1:$1,0)+1,FALSE)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4" s="48">
        <f ca="1">VLOOKUP($F694,OFFSET(enemy_skill_triggers!$A$1,0,0,COUNTA(enemy_skill_triggers!$A:$A),MATCH(N$1,enemy_skill_triggers!$1:$1,0)-MATCH($F$1,enemy_skill_triggers!$1:$1,0)+1),MATCH(N$1,enemy_skill_triggers!$1:$1,0)-MATCH($F$1,enemy_skill_triggers!$1:$1,0)+1,FALSE)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694" s="48">
        <f ca="1">VLOOKUP($F694,OFFSET(enemy_skill_triggers!$A$1,0,0,COUNTA(enemy_skill_triggers!$A:$A),MATCH(O$1,enemy_skill_triggers!$1:$1,0)-MATCH($F$1,enemy_skill_triggers!$1:$1,0)+1),MATCH(O$1,enemy_skill_triggers!$1:$1,0)-MATCH($F$1,enemy_skill_triggers!$1:$1,0)+1,FALSE)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4" s="47"/>
      <c r="Q694" s="47"/>
      <c r="R694" s="47"/>
    </row>
    <row r="695" spans="1:18" ht="21" customHeight="1" x14ac:dyDescent="0.15">
      <c r="A695" s="39" t="str">
        <f t="shared" si="28"/>
        <v>39009034_39009061</v>
      </c>
      <c r="B695" s="47">
        <v>39009034</v>
      </c>
      <c r="C695" s="132">
        <v>39009061</v>
      </c>
      <c r="D695" s="46" t="str">
        <f ca="1">VLOOKUP($C695,OFFSET(enemy_skills!$A$1,0,0,COUNTA(enemy_skills!$A:$A),MATCH(D$1,enemy_skills!$1:$1,0)-MATCH("enemy_skill_id",enemy_skills!$1:$1,0)+1),MATCH(D$1,enemy_skills!$1:$1,0)-MATCH("enemy_skill_id",enemy_skills!$1:$1,0)+1,FALSE)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5" s="46" t="str">
        <f ca="1">VLOOKUP($C695,OFFSET(enemy_skills!$A$1,0,0,COUNTA(enemy_skills!$A:$A),MATCH(E$1,enemy_skills!$1:$1,0)-MATCH("enemy_skill_id",enemy_skills!$1:$1,0)+1),MATCH(E$1,enemy_skills!$1:$1,0)-MATCH("enemy_skill_id",enemy_skills!$1:$1,0)+1,FALSE)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5" s="132">
        <v>39009097</v>
      </c>
      <c r="G695" s="48">
        <f ca="1">VLOOKUP($F695,OFFSET(enemy_skill_triggers!$A$1,0,0,COUNTA(enemy_skill_triggers!$A:$A),MATCH(G$1,enemy_skill_triggers!$1:$1,0)-MATCH($F$1,enemy_skill_triggers!$1:$1,0)+1),MATCH(G$1,enemy_skill_triggers!$1:$1,0)-MATCH($F$1,enemy_skill_triggers!$1:$1,0)+1,FALSE)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5" s="48">
        <f ca="1">VLOOKUP($F695,OFFSET(enemy_skill_triggers!$A$1,0,0,COUNTA(enemy_skill_triggers!$A:$A),MATCH(H$1,enemy_skill_triggers!$1:$1,0)-MATCH($F$1,enemy_skill_triggers!$1:$1,0)+1),MATCH(H$1,enemy_skill_triggers!$1:$1,0)-MATCH($F$1,enemy_skill_triggers!$1:$1,0)+1,FALSE)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95" s="48">
        <f ca="1">VLOOKUP($F695,OFFSET(enemy_skill_triggers!$A$1,0,0,COUNTA(enemy_skill_triggers!$A:$A),MATCH(I$1,enemy_skill_triggers!$1:$1,0)-MATCH($F$1,enemy_skill_triggers!$1:$1,0)+1),MATCH(I$1,enemy_skill_triggers!$1:$1,0)-MATCH($F$1,enemy_skill_triggers!$1:$1,0)+1,FALSE)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5" s="48" t="str">
        <f ca="1">VLOOKUP($F695,OFFSET(enemy_skill_triggers!$A$1,0,0,COUNTA(enemy_skill_triggers!$A:$A),MATCH(J$1,enemy_skill_triggers!$1:$1,0)-MATCH($F$1,enemy_skill_triggers!$1:$1,0)+1),MATCH(J$1,enemy_skill_triggers!$1:$1,0)-MATCH($F$1,enemy_skill_triggers!$1:$1,0)+1,FALSE)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5" s="48" t="str">
        <f ca="1">VLOOKUP($F695,OFFSET(enemy_skill_triggers!$A$1,0,0,COUNTA(enemy_skill_triggers!$A:$A),MATCH(K$1,enemy_skill_triggers!$1:$1,0)-MATCH($F$1,enemy_skill_triggers!$1:$1,0)+1),MATCH(K$1,enemy_skill_triggers!$1:$1,0)-MATCH($F$1,enemy_skill_triggers!$1:$1,0)+1,FALSE)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5" s="48">
        <f ca="1">VLOOKUP($F695,OFFSET(enemy_skill_triggers!$A$1,0,0,COUNTA(enemy_skill_triggers!$A:$A),MATCH(L$1,enemy_skill_triggers!$1:$1,0)-MATCH($F$1,enemy_skill_triggers!$1:$1,0)+1),MATCH(L$1,enemy_skill_triggers!$1:$1,0)-MATCH($F$1,enemy_skill_triggers!$1:$1,0)+1,FALSE)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5" s="48" t="str">
        <f ca="1">VLOOKUP($F695,OFFSET(enemy_skill_triggers!$A$1,0,0,COUNTA(enemy_skill_triggers!$A:$A),MATCH(M$1,enemy_skill_triggers!$1:$1,0)-MATCH($F$1,enemy_skill_triggers!$1:$1,0)+1),MATCH(M$1,enemy_skill_triggers!$1:$1,0)-MATCH($F$1,enemy_skill_triggers!$1:$1,0)+1,FALSE)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5" s="48">
        <f ca="1">VLOOKUP($F695,OFFSET(enemy_skill_triggers!$A$1,0,0,COUNTA(enemy_skill_triggers!$A:$A),MATCH(N$1,enemy_skill_triggers!$1:$1,0)-MATCH($F$1,enemy_skill_triggers!$1:$1,0)+1),MATCH(N$1,enemy_skill_triggers!$1:$1,0)-MATCH($F$1,enemy_skill_triggers!$1:$1,0)+1,FALSE)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695" s="48">
        <f ca="1">VLOOKUP($F695,OFFSET(enemy_skill_triggers!$A$1,0,0,COUNTA(enemy_skill_triggers!$A:$A),MATCH(O$1,enemy_skill_triggers!$1:$1,0)-MATCH($F$1,enemy_skill_triggers!$1:$1,0)+1),MATCH(O$1,enemy_skill_triggers!$1:$1,0)-MATCH($F$1,enemy_skill_triggers!$1:$1,0)+1,FALSE)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5" s="47"/>
      <c r="Q695" s="47"/>
      <c r="R695" s="47"/>
    </row>
    <row r="696" spans="1:18" ht="21" customHeight="1" x14ac:dyDescent="0.15">
      <c r="A696" s="39" t="str">
        <f t="shared" si="28"/>
        <v>39009034_39009061</v>
      </c>
      <c r="B696" s="47">
        <v>39009034</v>
      </c>
      <c r="C696" s="132">
        <v>39009061</v>
      </c>
      <c r="D696" s="46" t="str">
        <f ca="1">VLOOKUP($C696,OFFSET(enemy_skills!$A$1,0,0,COUNTA(enemy_skills!$A:$A),MATCH(D$1,enemy_skills!$1:$1,0)-MATCH("enemy_skill_id",enemy_skills!$1:$1,0)+1),MATCH(D$1,enemy_skills!$1:$1,0)-MATCH("enemy_skill_id",enemy_skills!$1:$1,0)+1,FALSE)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6" s="46" t="str">
        <f ca="1">VLOOKUP($C696,OFFSET(enemy_skills!$A$1,0,0,COUNTA(enemy_skills!$A:$A),MATCH(E$1,enemy_skills!$1:$1,0)-MATCH("enemy_skill_id",enemy_skills!$1:$1,0)+1),MATCH(E$1,enemy_skills!$1:$1,0)-MATCH("enemy_skill_id",enemy_skills!$1:$1,0)+1,FALSE)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6" s="132">
        <v>39009098</v>
      </c>
      <c r="G696" s="48">
        <f ca="1">VLOOKUP($F696,OFFSET(enemy_skill_triggers!$A$1,0,0,COUNTA(enemy_skill_triggers!$A:$A),MATCH(G$1,enemy_skill_triggers!$1:$1,0)-MATCH($F$1,enemy_skill_triggers!$1:$1,0)+1),MATCH(G$1,enemy_skill_triggers!$1:$1,0)-MATCH($F$1,enemy_skill_triggers!$1:$1,0)+1,FALSE)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6" s="48">
        <f ca="1">VLOOKUP($F696,OFFSET(enemy_skill_triggers!$A$1,0,0,COUNTA(enemy_skill_triggers!$A:$A),MATCH(H$1,enemy_skill_triggers!$1:$1,0)-MATCH($F$1,enemy_skill_triggers!$1:$1,0)+1),MATCH(H$1,enemy_skill_triggers!$1:$1,0)-MATCH($F$1,enemy_skill_triggers!$1:$1,0)+1,FALSE)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96" s="48">
        <f ca="1">VLOOKUP($F696,OFFSET(enemy_skill_triggers!$A$1,0,0,COUNTA(enemy_skill_triggers!$A:$A),MATCH(I$1,enemy_skill_triggers!$1:$1,0)-MATCH($F$1,enemy_skill_triggers!$1:$1,0)+1),MATCH(I$1,enemy_skill_triggers!$1:$1,0)-MATCH($F$1,enemy_skill_triggers!$1:$1,0)+1,FALSE)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6" s="48" t="str">
        <f ca="1">VLOOKUP($F696,OFFSET(enemy_skill_triggers!$A$1,0,0,COUNTA(enemy_skill_triggers!$A:$A),MATCH(J$1,enemy_skill_triggers!$1:$1,0)-MATCH($F$1,enemy_skill_triggers!$1:$1,0)+1),MATCH(J$1,enemy_skill_triggers!$1:$1,0)-MATCH($F$1,enemy_skill_triggers!$1:$1,0)+1,FALSE)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6" s="48" t="str">
        <f ca="1">VLOOKUP($F696,OFFSET(enemy_skill_triggers!$A$1,0,0,COUNTA(enemy_skill_triggers!$A:$A),MATCH(K$1,enemy_skill_triggers!$1:$1,0)-MATCH($F$1,enemy_skill_triggers!$1:$1,0)+1),MATCH(K$1,enemy_skill_triggers!$1:$1,0)-MATCH($F$1,enemy_skill_triggers!$1:$1,0)+1,FALSE)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6" s="48">
        <f ca="1">VLOOKUP($F696,OFFSET(enemy_skill_triggers!$A$1,0,0,COUNTA(enemy_skill_triggers!$A:$A),MATCH(L$1,enemy_skill_triggers!$1:$1,0)-MATCH($F$1,enemy_skill_triggers!$1:$1,0)+1),MATCH(L$1,enemy_skill_triggers!$1:$1,0)-MATCH($F$1,enemy_skill_triggers!$1:$1,0)+1,FALSE)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6" s="48" t="str">
        <f ca="1">VLOOKUP($F696,OFFSET(enemy_skill_triggers!$A$1,0,0,COUNTA(enemy_skill_triggers!$A:$A),MATCH(M$1,enemy_skill_triggers!$1:$1,0)-MATCH($F$1,enemy_skill_triggers!$1:$1,0)+1),MATCH(M$1,enemy_skill_triggers!$1:$1,0)-MATCH($F$1,enemy_skill_triggers!$1:$1,0)+1,FALSE)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6" s="48">
        <f ca="1">VLOOKUP($F696,OFFSET(enemy_skill_triggers!$A$1,0,0,COUNTA(enemy_skill_triggers!$A:$A),MATCH(N$1,enemy_skill_triggers!$1:$1,0)-MATCH($F$1,enemy_skill_triggers!$1:$1,0)+1),MATCH(N$1,enemy_skill_triggers!$1:$1,0)-MATCH($F$1,enemy_skill_triggers!$1:$1,0)+1,FALSE)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96" s="48">
        <f ca="1">VLOOKUP($F696,OFFSET(enemy_skill_triggers!$A$1,0,0,COUNTA(enemy_skill_triggers!$A:$A),MATCH(O$1,enemy_skill_triggers!$1:$1,0)-MATCH($F$1,enemy_skill_triggers!$1:$1,0)+1),MATCH(O$1,enemy_skill_triggers!$1:$1,0)-MATCH($F$1,enemy_skill_triggers!$1:$1,0)+1,FALSE)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6" s="47"/>
      <c r="Q696" s="47"/>
      <c r="R696" s="47"/>
    </row>
    <row r="697" spans="1:18" ht="21" customHeight="1" x14ac:dyDescent="0.15">
      <c r="A697" s="39" t="str">
        <f t="shared" si="28"/>
        <v>39009034_39009061</v>
      </c>
      <c r="B697" s="47">
        <v>39009034</v>
      </c>
      <c r="C697" s="132">
        <v>39009061</v>
      </c>
      <c r="D697" s="46" t="str">
        <f ca="1">VLOOKUP($C697,OFFSET(enemy_skills!$A$1,0,0,COUNTA(enemy_skills!$A:$A),MATCH(D$1,enemy_skills!$1:$1,0)-MATCH("enemy_skill_id",enemy_skills!$1:$1,0)+1),MATCH(D$1,enemy_skills!$1:$1,0)-MATCH("enemy_skill_id",enemy_skills!$1:$1,0)+1,FALSE)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7" s="46" t="str">
        <f ca="1">VLOOKUP($C697,OFFSET(enemy_skills!$A$1,0,0,COUNTA(enemy_skills!$A:$A),MATCH(E$1,enemy_skills!$1:$1,0)-MATCH("enemy_skill_id",enemy_skills!$1:$1,0)+1),MATCH(E$1,enemy_skills!$1:$1,0)-MATCH("enemy_skill_id",enemy_skills!$1:$1,0)+1,FALSE)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7" s="132">
        <v>39009099</v>
      </c>
      <c r="G697" s="48">
        <f ca="1">VLOOKUP($F697,OFFSET(enemy_skill_triggers!$A$1,0,0,COUNTA(enemy_skill_triggers!$A:$A),MATCH(G$1,enemy_skill_triggers!$1:$1,0)-MATCH($F$1,enemy_skill_triggers!$1:$1,0)+1),MATCH(G$1,enemy_skill_triggers!$1:$1,0)-MATCH($F$1,enemy_skill_triggers!$1:$1,0)+1,FALSE)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7" s="48">
        <f ca="1">VLOOKUP($F697,OFFSET(enemy_skill_triggers!$A$1,0,0,COUNTA(enemy_skill_triggers!$A:$A),MATCH(H$1,enemy_skill_triggers!$1:$1,0)-MATCH($F$1,enemy_skill_triggers!$1:$1,0)+1),MATCH(H$1,enemy_skill_triggers!$1:$1,0)-MATCH($F$1,enemy_skill_triggers!$1:$1,0)+1,FALSE)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97" s="48">
        <f ca="1">VLOOKUP($F697,OFFSET(enemy_skill_triggers!$A$1,0,0,COUNTA(enemy_skill_triggers!$A:$A),MATCH(I$1,enemy_skill_triggers!$1:$1,0)-MATCH($F$1,enemy_skill_triggers!$1:$1,0)+1),MATCH(I$1,enemy_skill_triggers!$1:$1,0)-MATCH($F$1,enemy_skill_triggers!$1:$1,0)+1,FALSE)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7" s="48" t="str">
        <f ca="1">VLOOKUP($F697,OFFSET(enemy_skill_triggers!$A$1,0,0,COUNTA(enemy_skill_triggers!$A:$A),MATCH(J$1,enemy_skill_triggers!$1:$1,0)-MATCH($F$1,enemy_skill_triggers!$1:$1,0)+1),MATCH(J$1,enemy_skill_triggers!$1:$1,0)-MATCH($F$1,enemy_skill_triggers!$1:$1,0)+1,FALSE)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7" s="48" t="str">
        <f ca="1">VLOOKUP($F697,OFFSET(enemy_skill_triggers!$A$1,0,0,COUNTA(enemy_skill_triggers!$A:$A),MATCH(K$1,enemy_skill_triggers!$1:$1,0)-MATCH($F$1,enemy_skill_triggers!$1:$1,0)+1),MATCH(K$1,enemy_skill_triggers!$1:$1,0)-MATCH($F$1,enemy_skill_triggers!$1:$1,0)+1,FALSE)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7" s="48">
        <f ca="1">VLOOKUP($F697,OFFSET(enemy_skill_triggers!$A$1,0,0,COUNTA(enemy_skill_triggers!$A:$A),MATCH(L$1,enemy_skill_triggers!$1:$1,0)-MATCH($F$1,enemy_skill_triggers!$1:$1,0)+1),MATCH(L$1,enemy_skill_triggers!$1:$1,0)-MATCH($F$1,enemy_skill_triggers!$1:$1,0)+1,FALSE)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7" s="48" t="str">
        <f ca="1">VLOOKUP($F697,OFFSET(enemy_skill_triggers!$A$1,0,0,COUNTA(enemy_skill_triggers!$A:$A),MATCH(M$1,enemy_skill_triggers!$1:$1,0)-MATCH($F$1,enemy_skill_triggers!$1:$1,0)+1),MATCH(M$1,enemy_skill_triggers!$1:$1,0)-MATCH($F$1,enemy_skill_triggers!$1:$1,0)+1,FALSE)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7" s="48">
        <f ca="1">VLOOKUP($F697,OFFSET(enemy_skill_triggers!$A$1,0,0,COUNTA(enemy_skill_triggers!$A:$A),MATCH(N$1,enemy_skill_triggers!$1:$1,0)-MATCH($F$1,enemy_skill_triggers!$1:$1,0)+1),MATCH(N$1,enemy_skill_triggers!$1:$1,0)-MATCH($F$1,enemy_skill_triggers!$1:$1,0)+1,FALSE)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697" s="48">
        <f ca="1">VLOOKUP($F697,OFFSET(enemy_skill_triggers!$A$1,0,0,COUNTA(enemy_skill_triggers!$A:$A),MATCH(O$1,enemy_skill_triggers!$1:$1,0)-MATCH($F$1,enemy_skill_triggers!$1:$1,0)+1),MATCH(O$1,enemy_skill_triggers!$1:$1,0)-MATCH($F$1,enemy_skill_triggers!$1:$1,0)+1,FALSE)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7" s="47"/>
      <c r="Q697" s="47"/>
      <c r="R697" s="47"/>
    </row>
    <row r="698" spans="1:18" ht="21" customHeight="1" x14ac:dyDescent="0.15">
      <c r="A698" s="39" t="str">
        <f t="shared" ref="A698" si="30">B698&amp;"_"&amp;C698</f>
        <v>39009034_39009061</v>
      </c>
      <c r="B698" s="47">
        <v>39009034</v>
      </c>
      <c r="C698" s="132">
        <v>39009061</v>
      </c>
      <c r="D698" s="46" t="str">
        <f ca="1">VLOOKUP($C698,OFFSET(enemy_skills!$A$1,0,0,COUNTA(enemy_skills!$A:$A),MATCH(D$1,enemy_skills!$1:$1,0)-MATCH("enemy_skill_id",enemy_skills!$1:$1,0)+1),MATCH(D$1,enemy_skills!$1:$1,0)-MATCH("enemy_skill_id",enemy_skills!$1:$1,0)+1,FALSE)</f>
        <v>きらきら流星群をどうぞ☆</v>
      </c>
      <c r="E698" s="46" t="str">
        <f ca="1">VLOOKUP($C698,OFFSET(enemy_skills!$A$1,0,0,COUNTA(enemy_skills!$A:$A),MATCH(E$1,enemy_skills!$1:$1,0)-MATCH("enemy_skill_id",enemy_skills!$1:$1,0)+1),MATCH(E$1,enemy_skills!$1:$1,0)-MATCH("enemy_skill_id",enemy_skills!$1:$1,0)+1,FALSE)</f>
        <v>1ターン全ユニットの攻撃力UP+_x000D_ハートパネルドロップ率UP</v>
      </c>
      <c r="F698" s="132">
        <v>39009100</v>
      </c>
      <c r="G698" s="48">
        <f ca="1">VLOOKUP($F698,OFFSET(enemy_skill_triggers!$A$1,0,0,COUNTA(enemy_skill_triggers!$A:$A),MATCH(G$1,enemy_skill_triggers!$1:$1,0)-MATCH($F$1,enemy_skill_triggers!$1:$1,0)+1),MATCH(G$1,enemy_skill_triggers!$1:$1,0)-MATCH($F$1,enemy_skill_triggers!$1:$1,0)+1,FALSE)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8" s="48">
        <f ca="1">VLOOKUP($F698,OFFSET(enemy_skill_triggers!$A$1,0,0,COUNTA(enemy_skill_triggers!$A:$A),MATCH(H$1,enemy_skill_triggers!$1:$1,0)-MATCH($F$1,enemy_skill_triggers!$1:$1,0)+1),MATCH(H$1,enemy_skill_triggers!$1:$1,0)-MATCH($F$1,enemy_skill_triggers!$1:$1,0)+1,FALSE)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98" s="48">
        <f ca="1">VLOOKUP($F698,OFFSET(enemy_skill_triggers!$A$1,0,0,COUNTA(enemy_skill_triggers!$A:$A),MATCH(I$1,enemy_skill_triggers!$1:$1,0)-MATCH($F$1,enemy_skill_triggers!$1:$1,0)+1),MATCH(I$1,enemy_skill_triggers!$1:$1,0)-MATCH($F$1,enemy_skill_triggers!$1:$1,0)+1,FALSE)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8" s="48" t="str">
        <f ca="1">VLOOKUP($F698,OFFSET(enemy_skill_triggers!$A$1,0,0,COUNTA(enemy_skill_triggers!$A:$A),MATCH(J$1,enemy_skill_triggers!$1:$1,0)-MATCH($F$1,enemy_skill_triggers!$1:$1,0)+1),MATCH(J$1,enemy_skill_triggers!$1:$1,0)-MATCH($F$1,enemy_skill_triggers!$1:$1,0)+1,FALSE)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8" s="48" t="str">
        <f ca="1">VLOOKUP($F698,OFFSET(enemy_skill_triggers!$A$1,0,0,COUNTA(enemy_skill_triggers!$A:$A),MATCH(K$1,enemy_skill_triggers!$1:$1,0)-MATCH($F$1,enemy_skill_triggers!$1:$1,0)+1),MATCH(K$1,enemy_skill_triggers!$1:$1,0)-MATCH($F$1,enemy_skill_triggers!$1:$1,0)+1,FALSE)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8" s="48">
        <f ca="1">VLOOKUP($F698,OFFSET(enemy_skill_triggers!$A$1,0,0,COUNTA(enemy_skill_triggers!$A:$A),MATCH(L$1,enemy_skill_triggers!$1:$1,0)-MATCH($F$1,enemy_skill_triggers!$1:$1,0)+1),MATCH(L$1,enemy_skill_triggers!$1:$1,0)-MATCH($F$1,enemy_skill_triggers!$1:$1,0)+1,FALSE)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8" s="48" t="str">
        <f ca="1">VLOOKUP($F698,OFFSET(enemy_skill_triggers!$A$1,0,0,COUNTA(enemy_skill_triggers!$A:$A),MATCH(M$1,enemy_skill_triggers!$1:$1,0)-MATCH($F$1,enemy_skill_triggers!$1:$1,0)+1),MATCH(M$1,enemy_skill_triggers!$1:$1,0)-MATCH($F$1,enemy_skill_triggers!$1:$1,0)+1,FALSE)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8" s="48">
        <f ca="1">VLOOKUP($F698,OFFSET(enemy_skill_triggers!$A$1,0,0,COUNTA(enemy_skill_triggers!$A:$A),MATCH(N$1,enemy_skill_triggers!$1:$1,0)-MATCH($F$1,enemy_skill_triggers!$1:$1,0)+1),MATCH(N$1,enemy_skill_triggers!$1:$1,0)-MATCH($F$1,enemy_skill_triggers!$1:$1,0)+1,FALSE)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698" s="48">
        <f ca="1">VLOOKUP($F698,OFFSET(enemy_skill_triggers!$A$1,0,0,COUNTA(enemy_skill_triggers!$A:$A),MATCH(O$1,enemy_skill_triggers!$1:$1,0)-MATCH($F$1,enemy_skill_triggers!$1:$1,0)+1),MATCH(O$1,enemy_skill_triggers!$1:$1,0)-MATCH($F$1,enemy_skill_triggers!$1:$1,0)+1,FALSE)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8" s="47"/>
      <c r="Q698" s="47"/>
      <c r="R698" s="47"/>
    </row>
    <row r="699" spans="1:18" ht="21" customHeight="1" x14ac:dyDescent="0.15">
      <c r="A699" s="39" t="str">
        <f t="shared" si="28"/>
        <v>39009034_39009062</v>
      </c>
      <c r="B699" s="47">
        <v>39009034</v>
      </c>
      <c r="C699" s="132">
        <v>39009062</v>
      </c>
      <c r="D699" s="46" t="str">
        <f ca="1">VLOOKUP($C699,OFFSET(enemy_skills!$A$1,0,0,COUNTA(enemy_skills!$A:$A),MATCH(D$1,enemy_skills!$1:$1,0)-MATCH("enemy_skill_id",enemy_skills!$1:$1,0)+1),MATCH(D$1,enemy_skills!$1:$1,0)-MATCH("enemy_skill_id",enemy_skills!$1:$1,0)+1,FALSE)</f>
        <v>スターダスト・ファンタジア</v>
      </c>
      <c r="E699" s="46" t="str">
        <f ca="1">VLOOKUP($C699,OFFSET(enemy_skills!$A$1,0,0,COUNTA(enemy_skills!$A:$A),MATCH(E$1,enemy_skills!$1:$1,0)-MATCH("enemy_skill_id",enemy_skills!$1:$1,0)+1),MATCH(E$1,enemy_skills!$1:$1,0)-MATCH("enemy_skill_id",enemy_skills!$1:$1,0)+1,FALSE)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699" s="132">
        <v>39009132</v>
      </c>
      <c r="G699" s="48">
        <f ca="1">VLOOKUP($F699,OFFSET(enemy_skill_triggers!$A$1,0,0,COUNTA(enemy_skill_triggers!$A:$A),MATCH(G$1,enemy_skill_triggers!$1:$1,0)-MATCH($F$1,enemy_skill_triggers!$1:$1,0)+1),MATCH(G$1,enemy_skill_triggers!$1:$1,0)-MATCH($F$1,enemy_skill_triggers!$1:$1,0)+1,FALSE)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9" s="48">
        <f ca="1">VLOOKUP($F699,OFFSET(enemy_skill_triggers!$A$1,0,0,COUNTA(enemy_skill_triggers!$A:$A),MATCH(H$1,enemy_skill_triggers!$1:$1,0)-MATCH($F$1,enemy_skill_triggers!$1:$1,0)+1),MATCH(H$1,enemy_skill_triggers!$1:$1,0)-MATCH($F$1,enemy_skill_triggers!$1:$1,0)+1,FALSE)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699" s="48">
        <f ca="1">VLOOKUP($F699,OFFSET(enemy_skill_triggers!$A$1,0,0,COUNTA(enemy_skill_triggers!$A:$A),MATCH(I$1,enemy_skill_triggers!$1:$1,0)-MATCH($F$1,enemy_skill_triggers!$1:$1,0)+1),MATCH(I$1,enemy_skill_triggers!$1:$1,0)-MATCH($F$1,enemy_skill_triggers!$1:$1,0)+1,FALSE)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9" s="48" t="str">
        <f ca="1">VLOOKUP($F699,OFFSET(enemy_skill_triggers!$A$1,0,0,COUNTA(enemy_skill_triggers!$A:$A),MATCH(J$1,enemy_skill_triggers!$1:$1,0)-MATCH($F$1,enemy_skill_triggers!$1:$1,0)+1),MATCH(J$1,enemy_skill_triggers!$1:$1,0)-MATCH($F$1,enemy_skill_triggers!$1:$1,0)+1,FALSE)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9" s="48">
        <f ca="1">VLOOKUP($F699,OFFSET(enemy_skill_triggers!$A$1,0,0,COUNTA(enemy_skill_triggers!$A:$A),MATCH(K$1,enemy_skill_triggers!$1:$1,0)-MATCH($F$1,enemy_skill_triggers!$1:$1,0)+1),MATCH(K$1,enemy_skill_triggers!$1:$1,0)-MATCH($F$1,enemy_skill_triggers!$1:$1,0)+1,FALSE)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699" s="48" t="str">
        <f ca="1">VLOOKUP($F699,OFFSET(enemy_skill_triggers!$A$1,0,0,COUNTA(enemy_skill_triggers!$A:$A),MATCH(L$1,enemy_skill_triggers!$1:$1,0)-MATCH($F$1,enemy_skill_triggers!$1:$1,0)+1),MATCH(L$1,enemy_skill_triggers!$1:$1,0)-MATCH($F$1,enemy_skill_triggers!$1:$1,0)+1,FALSE)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9" s="48" t="str">
        <f ca="1">VLOOKUP($F699,OFFSET(enemy_skill_triggers!$A$1,0,0,COUNTA(enemy_skill_triggers!$A:$A),MATCH(M$1,enemy_skill_triggers!$1:$1,0)-MATCH($F$1,enemy_skill_triggers!$1:$1,0)+1),MATCH(M$1,enemy_skill_triggers!$1:$1,0)-MATCH($F$1,enemy_skill_triggers!$1:$1,0)+1,FALSE)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9" s="48" t="str">
        <f ca="1">VLOOKUP($F699,OFFSET(enemy_skill_triggers!$A$1,0,0,COUNTA(enemy_skill_triggers!$A:$A),MATCH(N$1,enemy_skill_triggers!$1:$1,0)-MATCH($F$1,enemy_skill_triggers!$1:$1,0)+1),MATCH(N$1,enemy_skill_triggers!$1:$1,0)-MATCH($F$1,enemy_skill_triggers!$1:$1,0)+1,FALSE)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9" s="48">
        <f ca="1">VLOOKUP($F699,OFFSET(enemy_skill_triggers!$A$1,0,0,COUNTA(enemy_skill_triggers!$A:$A),MATCH(O$1,enemy_skill_triggers!$1:$1,0)-MATCH($F$1,enemy_skill_triggers!$1:$1,0)+1),MATCH(O$1,enemy_skill_triggers!$1:$1,0)-MATCH($F$1,enemy_skill_triggers!$1:$1,0)+1,FALSE)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9" s="47"/>
      <c r="Q699" s="47"/>
      <c r="R699" s="47"/>
    </row>
    <row r="700" spans="1:18" ht="21" customHeight="1" x14ac:dyDescent="0.15">
      <c r="A700" s="39" t="str">
        <f t="shared" si="28"/>
        <v>39009034_39009063</v>
      </c>
      <c r="B700" s="47">
        <v>39009034</v>
      </c>
      <c r="C700" s="132">
        <v>39009063</v>
      </c>
      <c r="D700" s="46" t="str">
        <f ca="1">VLOOKUP($C700,OFFSET(enemy_skills!$A$1,0,0,COUNTA(enemy_skills!$A:$A),MATCH(D$1,enemy_skills!$1:$1,0)-MATCH("enemy_skill_id",enemy_skills!$1:$1,0)+1),MATCH(D$1,enemy_skills!$1:$1,0)-MATCH("enemy_skill_id",enemy_skills!$1:$1,0)+1,FALSE)</f>
        <v>スターライト・ファンタジア</v>
      </c>
      <c r="E700" s="46" t="str">
        <f ca="1">VLOOKUP($C700,OFFSET(enemy_skills!$A$1,0,0,COUNTA(enemy_skills!$A:$A),MATCH(E$1,enemy_skills!$1:$1,0)-MATCH("enemy_skill_id",enemy_skills!$1:$1,0)+1),MATCH(E$1,enemy_skills!$1:$1,0)-MATCH("enemy_skill_id",enemy_skills!$1:$1,0)+1,FALSE)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00" s="132">
        <v>39009133</v>
      </c>
      <c r="G700" s="48">
        <f ca="1">VLOOKUP($F700,OFFSET(enemy_skill_triggers!$A$1,0,0,COUNTA(enemy_skill_triggers!$A:$A),MATCH(G$1,enemy_skill_triggers!$1:$1,0)-MATCH($F$1,enemy_skill_triggers!$1:$1,0)+1),MATCH(G$1,enemy_skill_triggers!$1:$1,0)-MATCH($F$1,enemy_skill_triggers!$1:$1,0)+1,FALSE)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0" s="48">
        <f ca="1">VLOOKUP($F700,OFFSET(enemy_skill_triggers!$A$1,0,0,COUNTA(enemy_skill_triggers!$A:$A),MATCH(H$1,enemy_skill_triggers!$1:$1,0)-MATCH($F$1,enemy_skill_triggers!$1:$1,0)+1),MATCH(H$1,enemy_skill_triggers!$1:$1,0)-MATCH($F$1,enemy_skill_triggers!$1:$1,0)+1,FALSE)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700" s="48">
        <f ca="1">VLOOKUP($F700,OFFSET(enemy_skill_triggers!$A$1,0,0,COUNTA(enemy_skill_triggers!$A:$A),MATCH(I$1,enemy_skill_triggers!$1:$1,0)-MATCH($F$1,enemy_skill_triggers!$1:$1,0)+1),MATCH(I$1,enemy_skill_triggers!$1:$1,0)-MATCH($F$1,enemy_skill_triggers!$1:$1,0)+1,FALSE)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0" s="48">
        <f ca="1">VLOOKUP($F700,OFFSET(enemy_skill_triggers!$A$1,0,0,COUNTA(enemy_skill_triggers!$A:$A),MATCH(J$1,enemy_skill_triggers!$1:$1,0)-MATCH($F$1,enemy_skill_triggers!$1:$1,0)+1),MATCH(J$1,enemy_skill_triggers!$1:$1,0)-MATCH($F$1,enemy_skill_triggers!$1:$1,0)+1,FALSE)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00" s="48">
        <f ca="1">VLOOKUP($F700,OFFSET(enemy_skill_triggers!$A$1,0,0,COUNTA(enemy_skill_triggers!$A:$A),MATCH(K$1,enemy_skill_triggers!$1:$1,0)-MATCH($F$1,enemy_skill_triggers!$1:$1,0)+1),MATCH(K$1,enemy_skill_triggers!$1:$1,0)-MATCH($F$1,enemy_skill_triggers!$1:$1,0)+1,FALSE)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00" s="48" t="str">
        <f ca="1">VLOOKUP($F700,OFFSET(enemy_skill_triggers!$A$1,0,0,COUNTA(enemy_skill_triggers!$A:$A),MATCH(L$1,enemy_skill_triggers!$1:$1,0)-MATCH($F$1,enemy_skill_triggers!$1:$1,0)+1),MATCH(L$1,enemy_skill_triggers!$1:$1,0)-MATCH($F$1,enemy_skill_triggers!$1:$1,0)+1,FALSE)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0" s="48" t="str">
        <f ca="1">VLOOKUP($F700,OFFSET(enemy_skill_triggers!$A$1,0,0,COUNTA(enemy_skill_triggers!$A:$A),MATCH(M$1,enemy_skill_triggers!$1:$1,0)-MATCH($F$1,enemy_skill_triggers!$1:$1,0)+1),MATCH(M$1,enemy_skill_triggers!$1:$1,0)-MATCH($F$1,enemy_skill_triggers!$1:$1,0)+1,FALSE)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0" s="48" t="str">
        <f ca="1">VLOOKUP($F700,OFFSET(enemy_skill_triggers!$A$1,0,0,COUNTA(enemy_skill_triggers!$A:$A),MATCH(N$1,enemy_skill_triggers!$1:$1,0)-MATCH($F$1,enemy_skill_triggers!$1:$1,0)+1),MATCH(N$1,enemy_skill_triggers!$1:$1,0)-MATCH($F$1,enemy_skill_triggers!$1:$1,0)+1,FALSE)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0" s="48">
        <f ca="1">VLOOKUP($F700,OFFSET(enemy_skill_triggers!$A$1,0,0,COUNTA(enemy_skill_triggers!$A:$A),MATCH(O$1,enemy_skill_triggers!$1:$1,0)-MATCH($F$1,enemy_skill_triggers!$1:$1,0)+1),MATCH(O$1,enemy_skill_triggers!$1:$1,0)-MATCH($F$1,enemy_skill_triggers!$1:$1,0)+1,FALSE)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0" s="47"/>
      <c r="Q700" s="47"/>
      <c r="R700" s="47"/>
    </row>
    <row r="701" spans="1:18" ht="21" customHeight="1" x14ac:dyDescent="0.15">
      <c r="A701" s="39" t="str">
        <f t="shared" si="28"/>
        <v>39009034_39009064</v>
      </c>
      <c r="B701" s="47">
        <v>39009034</v>
      </c>
      <c r="C701" s="132">
        <v>39009064</v>
      </c>
      <c r="D701" s="46" t="str">
        <f ca="1">VLOOKUP($C701,OFFSET(enemy_skills!$A$1,0,0,COUNTA(enemy_skills!$A:$A),MATCH(D$1,enemy_skills!$1:$1,0)-MATCH("enemy_skill_id",enemy_skills!$1:$1,0)+1),MATCH(D$1,enemy_skills!$1:$1,0)-MATCH("enemy_skill_id",enemy_skills!$1:$1,0)+1,FALSE)</f>
        <v>ハーフムーン・ファンタジア</v>
      </c>
      <c r="E701" s="46" t="str">
        <f ca="1">VLOOKUP($C701,OFFSET(enemy_skills!$A$1,0,0,COUNTA(enemy_skills!$A:$A),MATCH(E$1,enemy_skills!$1:$1,0)-MATCH("enemy_skill_id",enemy_skills!$1:$1,0)+1),MATCH(E$1,enemy_skills!$1:$1,0)-MATCH("enemy_skill_id",enemy_skills!$1:$1,0)+1,FALSE)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01" s="132">
        <v>39009134</v>
      </c>
      <c r="G701" s="48">
        <f ca="1">VLOOKUP($F701,OFFSET(enemy_skill_triggers!$A$1,0,0,COUNTA(enemy_skill_triggers!$A:$A),MATCH(G$1,enemy_skill_triggers!$1:$1,0)-MATCH($F$1,enemy_skill_triggers!$1:$1,0)+1),MATCH(G$1,enemy_skill_triggers!$1:$1,0)-MATCH($F$1,enemy_skill_triggers!$1:$1,0)+1,FALSE)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1" s="48">
        <f ca="1">VLOOKUP($F701,OFFSET(enemy_skill_triggers!$A$1,0,0,COUNTA(enemy_skill_triggers!$A:$A),MATCH(H$1,enemy_skill_triggers!$1:$1,0)-MATCH($F$1,enemy_skill_triggers!$1:$1,0)+1),MATCH(H$1,enemy_skill_triggers!$1:$1,0)-MATCH($F$1,enemy_skill_triggers!$1:$1,0)+1,FALSE)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701" s="48">
        <f ca="1">VLOOKUP($F701,OFFSET(enemy_skill_triggers!$A$1,0,0,COUNTA(enemy_skill_triggers!$A:$A),MATCH(I$1,enemy_skill_triggers!$1:$1,0)-MATCH($F$1,enemy_skill_triggers!$1:$1,0)+1),MATCH(I$1,enemy_skill_triggers!$1:$1,0)-MATCH($F$1,enemy_skill_triggers!$1:$1,0)+1,FALSE)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1" s="48">
        <f ca="1">VLOOKUP($F701,OFFSET(enemy_skill_triggers!$A$1,0,0,COUNTA(enemy_skill_triggers!$A:$A),MATCH(J$1,enemy_skill_triggers!$1:$1,0)-MATCH($F$1,enemy_skill_triggers!$1:$1,0)+1),MATCH(J$1,enemy_skill_triggers!$1:$1,0)-MATCH($F$1,enemy_skill_triggers!$1:$1,0)+1,FALSE)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01" s="48">
        <f ca="1">VLOOKUP($F701,OFFSET(enemy_skill_triggers!$A$1,0,0,COUNTA(enemy_skill_triggers!$A:$A),MATCH(K$1,enemy_skill_triggers!$1:$1,0)-MATCH($F$1,enemy_skill_triggers!$1:$1,0)+1),MATCH(K$1,enemy_skill_triggers!$1:$1,0)-MATCH($F$1,enemy_skill_triggers!$1:$1,0)+1,FALSE)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701" s="48" t="str">
        <f ca="1">VLOOKUP($F701,OFFSET(enemy_skill_triggers!$A$1,0,0,COUNTA(enemy_skill_triggers!$A:$A),MATCH(L$1,enemy_skill_triggers!$1:$1,0)-MATCH($F$1,enemy_skill_triggers!$1:$1,0)+1),MATCH(L$1,enemy_skill_triggers!$1:$1,0)-MATCH($F$1,enemy_skill_triggers!$1:$1,0)+1,FALSE)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1" s="48" t="str">
        <f ca="1">VLOOKUP($F701,OFFSET(enemy_skill_triggers!$A$1,0,0,COUNTA(enemy_skill_triggers!$A:$A),MATCH(M$1,enemy_skill_triggers!$1:$1,0)-MATCH($F$1,enemy_skill_triggers!$1:$1,0)+1),MATCH(M$1,enemy_skill_triggers!$1:$1,0)-MATCH($F$1,enemy_skill_triggers!$1:$1,0)+1,FALSE)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1" s="48" t="str">
        <f ca="1">VLOOKUP($F701,OFFSET(enemy_skill_triggers!$A$1,0,0,COUNTA(enemy_skill_triggers!$A:$A),MATCH(N$1,enemy_skill_triggers!$1:$1,0)-MATCH($F$1,enemy_skill_triggers!$1:$1,0)+1),MATCH(N$1,enemy_skill_triggers!$1:$1,0)-MATCH($F$1,enemy_skill_triggers!$1:$1,0)+1,FALSE)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1" s="48">
        <f ca="1">VLOOKUP($F701,OFFSET(enemy_skill_triggers!$A$1,0,0,COUNTA(enemy_skill_triggers!$A:$A),MATCH(O$1,enemy_skill_triggers!$1:$1,0)-MATCH($F$1,enemy_skill_triggers!$1:$1,0)+1),MATCH(O$1,enemy_skill_triggers!$1:$1,0)-MATCH($F$1,enemy_skill_triggers!$1:$1,0)+1,FALSE)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1" s="47"/>
      <c r="Q701" s="47"/>
      <c r="R701" s="47"/>
    </row>
    <row r="702" spans="1:18" ht="21" customHeight="1" x14ac:dyDescent="0.15">
      <c r="A702" s="39" t="str">
        <f t="shared" si="28"/>
        <v>39009034_39009065</v>
      </c>
      <c r="B702" s="47">
        <v>39009034</v>
      </c>
      <c r="C702" s="132">
        <v>39009065</v>
      </c>
      <c r="D702" s="46" t="str">
        <f ca="1">VLOOKUP($C702,OFFSET(enemy_skills!$A$1,0,0,COUNTA(enemy_skills!$A:$A),MATCH(D$1,enemy_skills!$1:$1,0)-MATCH("enemy_skill_id",enemy_skills!$1:$1,0)+1),MATCH(D$1,enemy_skills!$1:$1,0)-MATCH("enemy_skill_id",enemy_skills!$1:$1,0)+1,FALSE)</f>
        <v>フルムーン・ファンタジア</v>
      </c>
      <c r="E702" s="46" t="str">
        <f ca="1">VLOOKUP($C702,OFFSET(enemy_skills!$A$1,0,0,COUNTA(enemy_skills!$A:$A),MATCH(E$1,enemy_skills!$1:$1,0)-MATCH("enemy_skill_id",enemy_skills!$1:$1,0)+1),MATCH(E$1,enemy_skills!$1:$1,0)-MATCH("enemy_skill_id",enemy_skills!$1:$1,0)+1,FALSE)</f>
        <v>クリティカル！+_x000D_残りHPが少ないほど威力UP</v>
      </c>
      <c r="F702" s="132">
        <v>39009135</v>
      </c>
      <c r="G702" s="48">
        <f ca="1">VLOOKUP($F702,OFFSET(enemy_skill_triggers!$A$1,0,0,COUNTA(enemy_skill_triggers!$A:$A),MATCH(G$1,enemy_skill_triggers!$1:$1,0)-MATCH($F$1,enemy_skill_triggers!$1:$1,0)+1),MATCH(G$1,enemy_skill_triggers!$1:$1,0)-MATCH($F$1,enemy_skill_triggers!$1:$1,0)+1,FALSE)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2" s="48">
        <f ca="1">VLOOKUP($F702,OFFSET(enemy_skill_triggers!$A$1,0,0,COUNTA(enemy_skill_triggers!$A:$A),MATCH(H$1,enemy_skill_triggers!$1:$1,0)-MATCH($F$1,enemy_skill_triggers!$1:$1,0)+1),MATCH(H$1,enemy_skill_triggers!$1:$1,0)-MATCH($F$1,enemy_skill_triggers!$1:$1,0)+1,FALSE)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702" s="48">
        <f ca="1">VLOOKUP($F702,OFFSET(enemy_skill_triggers!$A$1,0,0,COUNTA(enemy_skill_triggers!$A:$A),MATCH(I$1,enemy_skill_triggers!$1:$1,0)-MATCH($F$1,enemy_skill_triggers!$1:$1,0)+1),MATCH(I$1,enemy_skill_triggers!$1:$1,0)-MATCH($F$1,enemy_skill_triggers!$1:$1,0)+1,FALSE)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2" s="48">
        <f ca="1">VLOOKUP($F702,OFFSET(enemy_skill_triggers!$A$1,0,0,COUNTA(enemy_skill_triggers!$A:$A),MATCH(J$1,enemy_skill_triggers!$1:$1,0)-MATCH($F$1,enemy_skill_triggers!$1:$1,0)+1),MATCH(J$1,enemy_skill_triggers!$1:$1,0)-MATCH($F$1,enemy_skill_triggers!$1:$1,0)+1,FALSE)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02" s="48" t="str">
        <f ca="1">VLOOKUP($F702,OFFSET(enemy_skill_triggers!$A$1,0,0,COUNTA(enemy_skill_triggers!$A:$A),MATCH(K$1,enemy_skill_triggers!$1:$1,0)-MATCH($F$1,enemy_skill_triggers!$1:$1,0)+1),MATCH(K$1,enemy_skill_triggers!$1:$1,0)-MATCH($F$1,enemy_skill_triggers!$1:$1,0)+1,FALSE)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2" s="48" t="str">
        <f ca="1">VLOOKUP($F702,OFFSET(enemy_skill_triggers!$A$1,0,0,COUNTA(enemy_skill_triggers!$A:$A),MATCH(L$1,enemy_skill_triggers!$1:$1,0)-MATCH($F$1,enemy_skill_triggers!$1:$1,0)+1),MATCH(L$1,enemy_skill_triggers!$1:$1,0)-MATCH($F$1,enemy_skill_triggers!$1:$1,0)+1,FALSE)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2" s="48" t="str">
        <f ca="1">VLOOKUP($F702,OFFSET(enemy_skill_triggers!$A$1,0,0,COUNTA(enemy_skill_triggers!$A:$A),MATCH(M$1,enemy_skill_triggers!$1:$1,0)-MATCH($F$1,enemy_skill_triggers!$1:$1,0)+1),MATCH(M$1,enemy_skill_triggers!$1:$1,0)-MATCH($F$1,enemy_skill_triggers!$1:$1,0)+1,FALSE)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2" s="48" t="str">
        <f ca="1">VLOOKUP($F702,OFFSET(enemy_skill_triggers!$A$1,0,0,COUNTA(enemy_skill_triggers!$A:$A),MATCH(N$1,enemy_skill_triggers!$1:$1,0)-MATCH($F$1,enemy_skill_triggers!$1:$1,0)+1),MATCH(N$1,enemy_skill_triggers!$1:$1,0)-MATCH($F$1,enemy_skill_triggers!$1:$1,0)+1,FALSE)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2" s="48">
        <f ca="1">VLOOKUP($F702,OFFSET(enemy_skill_triggers!$A$1,0,0,COUNTA(enemy_skill_triggers!$A:$A),MATCH(O$1,enemy_skill_triggers!$1:$1,0)-MATCH($F$1,enemy_skill_triggers!$1:$1,0)+1),MATCH(O$1,enemy_skill_triggers!$1:$1,0)-MATCH($F$1,enemy_skill_triggers!$1:$1,0)+1,FALSE)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2" s="47"/>
      <c r="Q702" s="47"/>
      <c r="R702" s="47"/>
    </row>
    <row r="703" spans="1:18" ht="21" customHeight="1" x14ac:dyDescent="0.15">
      <c r="A703" s="39" t="str">
        <f t="shared" si="28"/>
        <v>39009034_39009066</v>
      </c>
      <c r="B703" s="47">
        <v>39009034</v>
      </c>
      <c r="C703" s="132">
        <v>39009066</v>
      </c>
      <c r="D703" s="46" t="str">
        <f ca="1">VLOOKUP($C703,OFFSET(enemy_skills!$A$1,0,0,COUNTA(enemy_skills!$A:$A),MATCH(D$1,enemy_skills!$1:$1,0)-MATCH("enemy_skill_id",enemy_skills!$1:$1,0)+1),MATCH(D$1,enemy_skills!$1:$1,0)-MATCH("enemy_skill_id",enemy_skills!$1:$1,0)+1,FALSE)</f>
        <v>ゆっくり楽しもうね♪</v>
      </c>
      <c r="E703" s="46" t="str">
        <f ca="1">VLOOKUP($C703,OFFSET(enemy_skills!$A$1,0,0,COUNTA(enemy_skills!$A:$A),MATCH(E$1,enemy_skills!$1:$1,0)-MATCH("enemy_skill_id",enemy_skills!$1:$1,0)+1),MATCH(E$1,enemy_skills!$1:$1,0)-MATCH("enemy_skill_id",enemy_skills!$1:$1,0)+1,FALSE)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3ターン全ユニットの回復力50%DOWN+_x000D_ハートパネルドロップ率DOWN</v>
      </c>
      <c r="F703" s="132">
        <v>39009136</v>
      </c>
      <c r="G703" s="48">
        <f ca="1">VLOOKUP($F703,OFFSET(enemy_skill_triggers!$A$1,0,0,COUNTA(enemy_skill_triggers!$A:$A),MATCH(G$1,enemy_skill_triggers!$1:$1,0)-MATCH($F$1,enemy_skill_triggers!$1:$1,0)+1),MATCH(G$1,enemy_skill_triggers!$1:$1,0)-MATCH($F$1,enemy_skill_triggers!$1:$1,0)+1,FALSE)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3" s="48">
        <f ca="1">VLOOKUP($F703,OFFSET(enemy_skill_triggers!$A$1,0,0,COUNTA(enemy_skill_triggers!$A:$A),MATCH(H$1,enemy_skill_triggers!$1:$1,0)-MATCH($F$1,enemy_skill_triggers!$1:$1,0)+1),MATCH(H$1,enemy_skill_triggers!$1:$1,0)-MATCH($F$1,enemy_skill_triggers!$1:$1,0)+1,FALSE)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03" s="48">
        <f ca="1">VLOOKUP($F703,OFFSET(enemy_skill_triggers!$A$1,0,0,COUNTA(enemy_skill_triggers!$A:$A),MATCH(I$1,enemy_skill_triggers!$1:$1,0)-MATCH($F$1,enemy_skill_triggers!$1:$1,0)+1),MATCH(I$1,enemy_skill_triggers!$1:$1,0)-MATCH($F$1,enemy_skill_triggers!$1:$1,0)+1,FALSE)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3" s="48">
        <f ca="1">VLOOKUP($F703,OFFSET(enemy_skill_triggers!$A$1,0,0,COUNTA(enemy_skill_triggers!$A:$A),MATCH(J$1,enemy_skill_triggers!$1:$1,0)-MATCH($F$1,enemy_skill_triggers!$1:$1,0)+1),MATCH(J$1,enemy_skill_triggers!$1:$1,0)-MATCH($F$1,enemy_skill_triggers!$1:$1,0)+1,FALSE)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03" s="48" t="str">
        <f ca="1">VLOOKUP($F703,OFFSET(enemy_skill_triggers!$A$1,0,0,COUNTA(enemy_skill_triggers!$A:$A),MATCH(K$1,enemy_skill_triggers!$1:$1,0)-MATCH($F$1,enemy_skill_triggers!$1:$1,0)+1),MATCH(K$1,enemy_skill_triggers!$1:$1,0)-MATCH($F$1,enemy_skill_triggers!$1:$1,0)+1,FALSE)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3" s="48">
        <f ca="1">VLOOKUP($F703,OFFSET(enemy_skill_triggers!$A$1,0,0,COUNTA(enemy_skill_triggers!$A:$A),MATCH(L$1,enemy_skill_triggers!$1:$1,0)-MATCH($F$1,enemy_skill_triggers!$1:$1,0)+1),MATCH(L$1,enemy_skill_triggers!$1:$1,0)-MATCH($F$1,enemy_skill_triggers!$1:$1,0)+1,FALSE)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3" s="48" t="str">
        <f ca="1">VLOOKUP($F703,OFFSET(enemy_skill_triggers!$A$1,0,0,COUNTA(enemy_skill_triggers!$A:$A),MATCH(M$1,enemy_skill_triggers!$1:$1,0)-MATCH($F$1,enemy_skill_triggers!$1:$1,0)+1),MATCH(M$1,enemy_skill_triggers!$1:$1,0)-MATCH($F$1,enemy_skill_triggers!$1:$1,0)+1,FALSE)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3" s="48" t="str">
        <f ca="1">VLOOKUP($F703,OFFSET(enemy_skill_triggers!$A$1,0,0,COUNTA(enemy_skill_triggers!$A:$A),MATCH(N$1,enemy_skill_triggers!$1:$1,0)-MATCH($F$1,enemy_skill_triggers!$1:$1,0)+1),MATCH(N$1,enemy_skill_triggers!$1:$1,0)-MATCH($F$1,enemy_skill_triggers!$1:$1,0)+1,FALSE)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3" s="48">
        <f ca="1">VLOOKUP($F703,OFFSET(enemy_skill_triggers!$A$1,0,0,COUNTA(enemy_skill_triggers!$A:$A),MATCH(O$1,enemy_skill_triggers!$1:$1,0)-MATCH($F$1,enemy_skill_triggers!$1:$1,0)+1),MATCH(O$1,enemy_skill_triggers!$1:$1,0)-MATCH($F$1,enemy_skill_triggers!$1:$1,0)+1,FALSE)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3" s="47"/>
      <c r="Q703" s="47"/>
      <c r="R703" s="47"/>
    </row>
    <row r="704" spans="1:18" ht="21" customHeight="1" x14ac:dyDescent="0.15">
      <c r="A704" s="39" t="str">
        <f t="shared" si="28"/>
        <v>39009035_39009067</v>
      </c>
      <c r="B704" s="47">
        <v>39009035</v>
      </c>
      <c r="C704" s="47">
        <v>39009067</v>
      </c>
      <c r="D704" s="46" t="str">
        <f ca="1">VLOOKUP($C704,OFFSET(enemy_skills!$A$1,0,0,COUNTA(enemy_skills!$A:$A),MATCH(D$1,enemy_skills!$1:$1,0)-MATCH("enemy_skill_id",enemy_skills!$1:$1,0)+1),MATCH(D$1,enemy_skills!$1:$1,0)-MATCH("enemy_skill_id",enemy_skills!$1:$1,0)+1,FALSE)</f>
        <v>もうすぐ夜が明けるよ…♪</v>
      </c>
      <c r="E704" s="46" t="str">
        <f ca="1">VLOOKUP($C704,OFFSET(enemy_skills!$A$1,0,0,COUNTA(enemy_skills!$A:$A),MATCH(E$1,enemy_skills!$1:$1,0)-MATCH("enemy_skill_id",enemy_skills!$1:$1,0)+1),MATCH(E$1,enemy_skills!$1:$1,0)-MATCH("enemy_skill_id",enemy_skills!$1:$1,0)+1,FALSE)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04" s="47">
        <v>39009137</v>
      </c>
      <c r="G704" s="48">
        <f ca="1">VLOOKUP($F704,OFFSET(enemy_skill_triggers!$A$1,0,0,COUNTA(enemy_skill_triggers!$A:$A),MATCH(G$1,enemy_skill_triggers!$1:$1,0)-MATCH($F$1,enemy_skill_triggers!$1:$1,0)+1),MATCH(G$1,enemy_skill_triggers!$1:$1,0)-MATCH($F$1,enemy_skill_triggers!$1:$1,0)+1,FALSE)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4" s="48">
        <f ca="1">VLOOKUP($F704,OFFSET(enemy_skill_triggers!$A$1,0,0,COUNTA(enemy_skill_triggers!$A:$A),MATCH(H$1,enemy_skill_triggers!$1:$1,0)-MATCH($F$1,enemy_skill_triggers!$1:$1,0)+1),MATCH(H$1,enemy_skill_triggers!$1:$1,0)-MATCH($F$1,enemy_skill_triggers!$1:$1,0)+1,FALSE)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4" s="48">
        <f ca="1">VLOOKUP($F704,OFFSET(enemy_skill_triggers!$A$1,0,0,COUNTA(enemy_skill_triggers!$A:$A),MATCH(I$1,enemy_skill_triggers!$1:$1,0)-MATCH($F$1,enemy_skill_triggers!$1:$1,0)+1),MATCH(I$1,enemy_skill_triggers!$1:$1,0)-MATCH($F$1,enemy_skill_triggers!$1:$1,0)+1,FALSE)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4" s="48" t="str">
        <f ca="1">VLOOKUP($F704,OFFSET(enemy_skill_triggers!$A$1,0,0,COUNTA(enemy_skill_triggers!$A:$A),MATCH(J$1,enemy_skill_triggers!$1:$1,0)-MATCH($F$1,enemy_skill_triggers!$1:$1,0)+1),MATCH(J$1,enemy_skill_triggers!$1:$1,0)-MATCH($F$1,enemy_skill_triggers!$1:$1,0)+1,FALSE)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4" s="48" t="str">
        <f ca="1">VLOOKUP($F704,OFFSET(enemy_skill_triggers!$A$1,0,0,COUNTA(enemy_skill_triggers!$A:$A),MATCH(K$1,enemy_skill_triggers!$1:$1,0)-MATCH($F$1,enemy_skill_triggers!$1:$1,0)+1),MATCH(K$1,enemy_skill_triggers!$1:$1,0)-MATCH($F$1,enemy_skill_triggers!$1:$1,0)+1,FALSE)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4" s="48">
        <f ca="1">VLOOKUP($F704,OFFSET(enemy_skill_triggers!$A$1,0,0,COUNTA(enemy_skill_triggers!$A:$A),MATCH(L$1,enemy_skill_triggers!$1:$1,0)-MATCH($F$1,enemy_skill_triggers!$1:$1,0)+1),MATCH(L$1,enemy_skill_triggers!$1:$1,0)-MATCH($F$1,enemy_skill_triggers!$1:$1,0)+1,FALSE)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4" s="48" t="str">
        <f ca="1">VLOOKUP($F704,OFFSET(enemy_skill_triggers!$A$1,0,0,COUNTA(enemy_skill_triggers!$A:$A),MATCH(M$1,enemy_skill_triggers!$1:$1,0)-MATCH($F$1,enemy_skill_triggers!$1:$1,0)+1),MATCH(M$1,enemy_skill_triggers!$1:$1,0)-MATCH($F$1,enemy_skill_triggers!$1:$1,0)+1,FALSE)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4" s="48" t="str">
        <f ca="1">VLOOKUP($F704,OFFSET(enemy_skill_triggers!$A$1,0,0,COUNTA(enemy_skill_triggers!$A:$A),MATCH(N$1,enemy_skill_triggers!$1:$1,0)-MATCH($F$1,enemy_skill_triggers!$1:$1,0)+1),MATCH(N$1,enemy_skill_triggers!$1:$1,0)-MATCH($F$1,enemy_skill_triggers!$1:$1,0)+1,FALSE)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4" s="48">
        <f ca="1">VLOOKUP($F704,OFFSET(enemy_skill_triggers!$A$1,0,0,COUNTA(enemy_skill_triggers!$A:$A),MATCH(O$1,enemy_skill_triggers!$1:$1,0)-MATCH($F$1,enemy_skill_triggers!$1:$1,0)+1),MATCH(O$1,enemy_skill_triggers!$1:$1,0)-MATCH($F$1,enemy_skill_triggers!$1:$1,0)+1,FALSE)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4" s="47"/>
      <c r="Q704" s="47"/>
      <c r="R704" s="47"/>
    </row>
    <row r="705" spans="1:18" ht="21" customHeight="1" x14ac:dyDescent="0.15">
      <c r="A705" s="39" t="str">
        <f t="shared" si="28"/>
        <v>39009035_39009068</v>
      </c>
      <c r="B705" s="47">
        <v>39009035</v>
      </c>
      <c r="C705" s="47">
        <v>39009068</v>
      </c>
      <c r="D705" s="46" t="str">
        <f ca="1">VLOOKUP($C705,OFFSET(enemy_skills!$A$1,0,0,COUNTA(enemy_skills!$A:$A),MATCH(D$1,enemy_skills!$1:$1,0)-MATCH("enemy_skill_id",enemy_skills!$1:$1,0)+1),MATCH(D$1,enemy_skills!$1:$1,0)-MATCH("enemy_skill_id",enemy_skills!$1:$1,0)+1,FALSE)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05" s="46" t="str">
        <f ca="1">VLOOKUP($C705,OFFSET(enemy_skills!$A$1,0,0,COUNTA(enemy_skills!$A:$A),MATCH(E$1,enemy_skills!$1:$1,0)-MATCH("enemy_skill_id",enemy_skills!$1:$1,0)+1),MATCH(E$1,enemy_skills!$1:$1,0)-MATCH("enemy_skill_id",enemy_skills!$1:$1,0)+1,FALSE)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05" s="47">
        <v>39009138</v>
      </c>
      <c r="G705" s="48">
        <f ca="1">VLOOKUP($F705,OFFSET(enemy_skill_triggers!$A$1,0,0,COUNTA(enemy_skill_triggers!$A:$A),MATCH(G$1,enemy_skill_triggers!$1:$1,0)-MATCH($F$1,enemy_skill_triggers!$1:$1,0)+1),MATCH(G$1,enemy_skill_triggers!$1:$1,0)-MATCH($F$1,enemy_skill_triggers!$1:$1,0)+1,FALSE)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5" s="48">
        <f ca="1">VLOOKUP($F705,OFFSET(enemy_skill_triggers!$A$1,0,0,COUNTA(enemy_skill_triggers!$A:$A),MATCH(H$1,enemy_skill_triggers!$1:$1,0)-MATCH($F$1,enemy_skill_triggers!$1:$1,0)+1),MATCH(H$1,enemy_skill_triggers!$1:$1,0)-MATCH($F$1,enemy_skill_triggers!$1:$1,0)+1,FALSE)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705" s="48">
        <f ca="1">VLOOKUP($F705,OFFSET(enemy_skill_triggers!$A$1,0,0,COUNTA(enemy_skill_triggers!$A:$A),MATCH(I$1,enemy_skill_triggers!$1:$1,0)-MATCH($F$1,enemy_skill_triggers!$1:$1,0)+1),MATCH(I$1,enemy_skill_triggers!$1:$1,0)-MATCH($F$1,enemy_skill_triggers!$1:$1,0)+1,FALSE)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5" s="48" t="str">
        <f ca="1">VLOOKUP($F705,OFFSET(enemy_skill_triggers!$A$1,0,0,COUNTA(enemy_skill_triggers!$A:$A),MATCH(J$1,enemy_skill_triggers!$1:$1,0)-MATCH($F$1,enemy_skill_triggers!$1:$1,0)+1),MATCH(J$1,enemy_skill_triggers!$1:$1,0)-MATCH($F$1,enemy_skill_triggers!$1:$1,0)+1,FALSE)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5" s="48" t="str">
        <f ca="1">VLOOKUP($F705,OFFSET(enemy_skill_triggers!$A$1,0,0,COUNTA(enemy_skill_triggers!$A:$A),MATCH(K$1,enemy_skill_triggers!$1:$1,0)-MATCH($F$1,enemy_skill_triggers!$1:$1,0)+1),MATCH(K$1,enemy_skill_triggers!$1:$1,0)-MATCH($F$1,enemy_skill_triggers!$1:$1,0)+1,FALSE)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5" s="48">
        <f ca="1">VLOOKUP($F705,OFFSET(enemy_skill_triggers!$A$1,0,0,COUNTA(enemy_skill_triggers!$A:$A),MATCH(L$1,enemy_skill_triggers!$1:$1,0)-MATCH($F$1,enemy_skill_triggers!$1:$1,0)+1),MATCH(L$1,enemy_skill_triggers!$1:$1,0)-MATCH($F$1,enemy_skill_triggers!$1:$1,0)+1,FALSE)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5" s="48" t="str">
        <f ca="1">VLOOKUP($F705,OFFSET(enemy_skill_triggers!$A$1,0,0,COUNTA(enemy_skill_triggers!$A:$A),MATCH(M$1,enemy_skill_triggers!$1:$1,0)-MATCH($F$1,enemy_skill_triggers!$1:$1,0)+1),MATCH(M$1,enemy_skill_triggers!$1:$1,0)-MATCH($F$1,enemy_skill_triggers!$1:$1,0)+1,FALSE)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5" s="48">
        <f ca="1">VLOOKUP($F705,OFFSET(enemy_skill_triggers!$A$1,0,0,COUNTA(enemy_skill_triggers!$A:$A),MATCH(N$1,enemy_skill_triggers!$1:$1,0)-MATCH($F$1,enemy_skill_triggers!$1:$1,0)+1),MATCH(N$1,enemy_skill_triggers!$1:$1,0)-MATCH($F$1,enemy_skill_triggers!$1:$1,0)+1,FALSE)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705" s="48">
        <f ca="1">VLOOKUP($F705,OFFSET(enemy_skill_triggers!$A$1,0,0,COUNTA(enemy_skill_triggers!$A:$A),MATCH(O$1,enemy_skill_triggers!$1:$1,0)-MATCH($F$1,enemy_skill_triggers!$1:$1,0)+1),MATCH(O$1,enemy_skill_triggers!$1:$1,0)-MATCH($F$1,enemy_skill_triggers!$1:$1,0)+1,FALSE)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5" s="47"/>
      <c r="Q705" s="47"/>
      <c r="R705" s="47"/>
    </row>
    <row r="706" spans="1:18" ht="21" customHeight="1" x14ac:dyDescent="0.15">
      <c r="A706" s="39" t="str">
        <f t="shared" si="28"/>
        <v>39009035_39009068</v>
      </c>
      <c r="B706" s="47">
        <v>39009035</v>
      </c>
      <c r="C706" s="47">
        <v>39009068</v>
      </c>
      <c r="D706" s="46" t="str">
        <f ca="1">VLOOKUP($C706,OFFSET(enemy_skills!$A$1,0,0,COUNTA(enemy_skills!$A:$A),MATCH(D$1,enemy_skills!$1:$1,0)-MATCH("enemy_skill_id",enemy_skills!$1:$1,0)+1),MATCH(D$1,enemy_skills!$1:$1,0)-MATCH("enemy_skill_id",enemy_skills!$1:$1,0)+1,FALSE)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06" s="46" t="str">
        <f ca="1">VLOOKUP($C706,OFFSET(enemy_skills!$A$1,0,0,COUNTA(enemy_skills!$A:$A),MATCH(E$1,enemy_skills!$1:$1,0)-MATCH("enemy_skill_id",enemy_skills!$1:$1,0)+1),MATCH(E$1,enemy_skills!$1:$1,0)-MATCH("enemy_skill_id",enemy_skills!$1:$1,0)+1,FALSE)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06" s="47">
        <v>39009139</v>
      </c>
      <c r="G706" s="48">
        <f ca="1">VLOOKUP($F706,OFFSET(enemy_skill_triggers!$A$1,0,0,COUNTA(enemy_skill_triggers!$A:$A),MATCH(G$1,enemy_skill_triggers!$1:$1,0)-MATCH($F$1,enemy_skill_triggers!$1:$1,0)+1),MATCH(G$1,enemy_skill_triggers!$1:$1,0)-MATCH($F$1,enemy_skill_triggers!$1:$1,0)+1,FALSE)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6" s="48">
        <f ca="1">VLOOKUP($F706,OFFSET(enemy_skill_triggers!$A$1,0,0,COUNTA(enemy_skill_triggers!$A:$A),MATCH(H$1,enemy_skill_triggers!$1:$1,0)-MATCH($F$1,enemy_skill_triggers!$1:$1,0)+1),MATCH(H$1,enemy_skill_triggers!$1:$1,0)-MATCH($F$1,enemy_skill_triggers!$1:$1,0)+1,FALSE)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706" s="48">
        <f ca="1">VLOOKUP($F706,OFFSET(enemy_skill_triggers!$A$1,0,0,COUNTA(enemy_skill_triggers!$A:$A),MATCH(I$1,enemy_skill_triggers!$1:$1,0)-MATCH($F$1,enemy_skill_triggers!$1:$1,0)+1),MATCH(I$1,enemy_skill_triggers!$1:$1,0)-MATCH($F$1,enemy_skill_triggers!$1:$1,0)+1,FALSE)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6" s="48" t="str">
        <f ca="1">VLOOKUP($F706,OFFSET(enemy_skill_triggers!$A$1,0,0,COUNTA(enemy_skill_triggers!$A:$A),MATCH(J$1,enemy_skill_triggers!$1:$1,0)-MATCH($F$1,enemy_skill_triggers!$1:$1,0)+1),MATCH(J$1,enemy_skill_triggers!$1:$1,0)-MATCH($F$1,enemy_skill_triggers!$1:$1,0)+1,FALSE)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6" s="48" t="str">
        <f ca="1">VLOOKUP($F706,OFFSET(enemy_skill_triggers!$A$1,0,0,COUNTA(enemy_skill_triggers!$A:$A),MATCH(K$1,enemy_skill_triggers!$1:$1,0)-MATCH($F$1,enemy_skill_triggers!$1:$1,0)+1),MATCH(K$1,enemy_skill_triggers!$1:$1,0)-MATCH($F$1,enemy_skill_triggers!$1:$1,0)+1,FALSE)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6" s="48">
        <f ca="1">VLOOKUP($F706,OFFSET(enemy_skill_triggers!$A$1,0,0,COUNTA(enemy_skill_triggers!$A:$A),MATCH(L$1,enemy_skill_triggers!$1:$1,0)-MATCH($F$1,enemy_skill_triggers!$1:$1,0)+1),MATCH(L$1,enemy_skill_triggers!$1:$1,0)-MATCH($F$1,enemy_skill_triggers!$1:$1,0)+1,FALSE)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6" s="48" t="str">
        <f ca="1">VLOOKUP($F706,OFFSET(enemy_skill_triggers!$A$1,0,0,COUNTA(enemy_skill_triggers!$A:$A),MATCH(M$1,enemy_skill_triggers!$1:$1,0)-MATCH($F$1,enemy_skill_triggers!$1:$1,0)+1),MATCH(M$1,enemy_skill_triggers!$1:$1,0)-MATCH($F$1,enemy_skill_triggers!$1:$1,0)+1,FALSE)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6" s="48">
        <f ca="1">VLOOKUP($F706,OFFSET(enemy_skill_triggers!$A$1,0,0,COUNTA(enemy_skill_triggers!$A:$A),MATCH(N$1,enemy_skill_triggers!$1:$1,0)-MATCH($F$1,enemy_skill_triggers!$1:$1,0)+1),MATCH(N$1,enemy_skill_triggers!$1:$1,0)-MATCH($F$1,enemy_skill_triggers!$1:$1,0)+1,FALSE)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706" s="48">
        <f ca="1">VLOOKUP($F706,OFFSET(enemy_skill_triggers!$A$1,0,0,COUNTA(enemy_skill_triggers!$A:$A),MATCH(O$1,enemy_skill_triggers!$1:$1,0)-MATCH($F$1,enemy_skill_triggers!$1:$1,0)+1),MATCH(O$1,enemy_skill_triggers!$1:$1,0)-MATCH($F$1,enemy_skill_triggers!$1:$1,0)+1,FALSE)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6" s="47"/>
      <c r="Q706" s="47"/>
      <c r="R706" s="47"/>
    </row>
    <row r="707" spans="1:18" ht="21" customHeight="1" x14ac:dyDescent="0.15">
      <c r="A707" s="39" t="str">
        <f t="shared" si="28"/>
        <v>39009035_39009068</v>
      </c>
      <c r="B707" s="47">
        <v>39009035</v>
      </c>
      <c r="C707" s="47">
        <v>39009068</v>
      </c>
      <c r="D707" s="46" t="str">
        <f ca="1">VLOOKUP($C707,OFFSET(enemy_skills!$A$1,0,0,COUNTA(enemy_skills!$A:$A),MATCH(D$1,enemy_skills!$1:$1,0)-MATCH("enemy_skill_id",enemy_skills!$1:$1,0)+1),MATCH(D$1,enemy_skills!$1:$1,0)-MATCH("enemy_skill_id",enemy_skills!$1:$1,0)+1,FALSE)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07" s="46" t="str">
        <f ca="1">VLOOKUP($C707,OFFSET(enemy_skills!$A$1,0,0,COUNTA(enemy_skills!$A:$A),MATCH(E$1,enemy_skills!$1:$1,0)-MATCH("enemy_skill_id",enemy_skills!$1:$1,0)+1),MATCH(E$1,enemy_skills!$1:$1,0)-MATCH("enemy_skill_id",enemy_skills!$1:$1,0)+1,FALSE)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07" s="47">
        <v>39009140</v>
      </c>
      <c r="G707" s="48">
        <f ca="1">VLOOKUP($F707,OFFSET(enemy_skill_triggers!$A$1,0,0,COUNTA(enemy_skill_triggers!$A:$A),MATCH(G$1,enemy_skill_triggers!$1:$1,0)-MATCH($F$1,enemy_skill_triggers!$1:$1,0)+1),MATCH(G$1,enemy_skill_triggers!$1:$1,0)-MATCH($F$1,enemy_skill_triggers!$1:$1,0)+1,FALSE)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7" s="48">
        <f ca="1">VLOOKUP($F707,OFFSET(enemy_skill_triggers!$A$1,0,0,COUNTA(enemy_skill_triggers!$A:$A),MATCH(H$1,enemy_skill_triggers!$1:$1,0)-MATCH($F$1,enemy_skill_triggers!$1:$1,0)+1),MATCH(H$1,enemy_skill_triggers!$1:$1,0)-MATCH($F$1,enemy_skill_triggers!$1:$1,0)+1,FALSE)</f>
        <v>22</v>
      </c>
      <c r="I707" s="48">
        <f ca="1">VLOOKUP($F707,OFFSET(enemy_skill_triggers!$A$1,0,0,COUNTA(enemy_skill_triggers!$A:$A),MATCH(I$1,enemy_skill_triggers!$1:$1,0)-MATCH($F$1,enemy_skill_triggers!$1:$1,0)+1),MATCH(I$1,enemy_skill_triggers!$1:$1,0)-MATCH($F$1,enemy_skill_triggers!$1:$1,0)+1,FALSE)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7" s="48" t="str">
        <f ca="1">VLOOKUP($F707,OFFSET(enemy_skill_triggers!$A$1,0,0,COUNTA(enemy_skill_triggers!$A:$A),MATCH(J$1,enemy_skill_triggers!$1:$1,0)-MATCH($F$1,enemy_skill_triggers!$1:$1,0)+1),MATCH(J$1,enemy_skill_triggers!$1:$1,0)-MATCH($F$1,enemy_skill_triggers!$1:$1,0)+1,FALSE)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7" s="48" t="str">
        <f ca="1">VLOOKUP($F707,OFFSET(enemy_skill_triggers!$A$1,0,0,COUNTA(enemy_skill_triggers!$A:$A),MATCH(K$1,enemy_skill_triggers!$1:$1,0)-MATCH($F$1,enemy_skill_triggers!$1:$1,0)+1),MATCH(K$1,enemy_skill_triggers!$1:$1,0)-MATCH($F$1,enemy_skill_triggers!$1:$1,0)+1,FALSE)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7" s="48">
        <f ca="1">VLOOKUP($F707,OFFSET(enemy_skill_triggers!$A$1,0,0,COUNTA(enemy_skill_triggers!$A:$A),MATCH(L$1,enemy_skill_triggers!$1:$1,0)-MATCH($F$1,enemy_skill_triggers!$1:$1,0)+1),MATCH(L$1,enemy_skill_triggers!$1:$1,0)-MATCH($F$1,enemy_skill_triggers!$1:$1,0)+1,FALSE)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7" s="48" t="str">
        <f ca="1">VLOOKUP($F707,OFFSET(enemy_skill_triggers!$A$1,0,0,COUNTA(enemy_skill_triggers!$A:$A),MATCH(M$1,enemy_skill_triggers!$1:$1,0)-MATCH($F$1,enemy_skill_triggers!$1:$1,0)+1),MATCH(M$1,enemy_skill_triggers!$1:$1,0)-MATCH($F$1,enemy_skill_triggers!$1:$1,0)+1,FALSE)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7" s="48">
        <f ca="1">VLOOKUP($F707,OFFSET(enemy_skill_triggers!$A$1,0,0,COUNTA(enemy_skill_triggers!$A:$A),MATCH(N$1,enemy_skill_triggers!$1:$1,0)-MATCH($F$1,enemy_skill_triggers!$1:$1,0)+1),MATCH(N$1,enemy_skill_triggers!$1:$1,0)-MATCH($F$1,enemy_skill_triggers!$1:$1,0)+1,FALSE)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707" s="48">
        <f ca="1">VLOOKUP($F707,OFFSET(enemy_skill_triggers!$A$1,0,0,COUNTA(enemy_skill_triggers!$A:$A),MATCH(O$1,enemy_skill_triggers!$1:$1,0)-MATCH($F$1,enemy_skill_triggers!$1:$1,0)+1),MATCH(O$1,enemy_skill_triggers!$1:$1,0)-MATCH($F$1,enemy_skill_triggers!$1:$1,0)+1,FALSE)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7" s="47"/>
      <c r="Q707" s="47"/>
      <c r="R707" s="47"/>
    </row>
    <row r="708" spans="1:18" ht="21" customHeight="1" x14ac:dyDescent="0.15">
      <c r="A708" s="39" t="str">
        <f t="shared" si="28"/>
        <v>39009035_39009068</v>
      </c>
      <c r="B708" s="47">
        <v>39009035</v>
      </c>
      <c r="C708" s="47">
        <v>39009068</v>
      </c>
      <c r="D708" s="46" t="str">
        <f ca="1">VLOOKUP($C708,OFFSET(enemy_skills!$A$1,0,0,COUNTA(enemy_skills!$A:$A),MATCH(D$1,enemy_skills!$1:$1,0)-MATCH("enemy_skill_id",enemy_skills!$1:$1,0)+1),MATCH(D$1,enemy_skills!$1:$1,0)-MATCH("enemy_skill_id",enemy_skills!$1:$1,0)+1,FALSE)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08" s="46" t="str">
        <f ca="1">VLOOKUP($C708,OFFSET(enemy_skills!$A$1,0,0,COUNTA(enemy_skills!$A:$A),MATCH(E$1,enemy_skills!$1:$1,0)-MATCH("enemy_skill_id",enemy_skills!$1:$1,0)+1),MATCH(E$1,enemy_skills!$1:$1,0)-MATCH("enemy_skill_id",enemy_skills!$1:$1,0)+1,FALSE)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08" s="47">
        <v>39009141</v>
      </c>
      <c r="G708" s="48">
        <f ca="1">VLOOKUP($F708,OFFSET(enemy_skill_triggers!$A$1,0,0,COUNTA(enemy_skill_triggers!$A:$A),MATCH(G$1,enemy_skill_triggers!$1:$1,0)-MATCH($F$1,enemy_skill_triggers!$1:$1,0)+1),MATCH(G$1,enemy_skill_triggers!$1:$1,0)-MATCH($F$1,enemy_skill_triggers!$1:$1,0)+1,FALSE)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8" s="48">
        <f ca="1">VLOOKUP($F708,OFFSET(enemy_skill_triggers!$A$1,0,0,COUNTA(enemy_skill_triggers!$A:$A),MATCH(H$1,enemy_skill_triggers!$1:$1,0)-MATCH($F$1,enemy_skill_triggers!$1:$1,0)+1),MATCH(H$1,enemy_skill_triggers!$1:$1,0)-MATCH($F$1,enemy_skill_triggers!$1:$1,0)+1,FALSE)</f>
        <v>21</v>
      </c>
      <c r="I708" s="48">
        <f ca="1">VLOOKUP($F708,OFFSET(enemy_skill_triggers!$A$1,0,0,COUNTA(enemy_skill_triggers!$A:$A),MATCH(I$1,enemy_skill_triggers!$1:$1,0)-MATCH($F$1,enemy_skill_triggers!$1:$1,0)+1),MATCH(I$1,enemy_skill_triggers!$1:$1,0)-MATCH($F$1,enemy_skill_triggers!$1:$1,0)+1,FALSE)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8" s="48" t="str">
        <f ca="1">VLOOKUP($F708,OFFSET(enemy_skill_triggers!$A$1,0,0,COUNTA(enemy_skill_triggers!$A:$A),MATCH(J$1,enemy_skill_triggers!$1:$1,0)-MATCH($F$1,enemy_skill_triggers!$1:$1,0)+1),MATCH(J$1,enemy_skill_triggers!$1:$1,0)-MATCH($F$1,enemy_skill_triggers!$1:$1,0)+1,FALSE)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8" s="48" t="str">
        <f ca="1">VLOOKUP($F708,OFFSET(enemy_skill_triggers!$A$1,0,0,COUNTA(enemy_skill_triggers!$A:$A),MATCH(K$1,enemy_skill_triggers!$1:$1,0)-MATCH($F$1,enemy_skill_triggers!$1:$1,0)+1),MATCH(K$1,enemy_skill_triggers!$1:$1,0)-MATCH($F$1,enemy_skill_triggers!$1:$1,0)+1,FALSE)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8" s="48">
        <f ca="1">VLOOKUP($F708,OFFSET(enemy_skill_triggers!$A$1,0,0,COUNTA(enemy_skill_triggers!$A:$A),MATCH(L$1,enemy_skill_triggers!$1:$1,0)-MATCH($F$1,enemy_skill_triggers!$1:$1,0)+1),MATCH(L$1,enemy_skill_triggers!$1:$1,0)-MATCH($F$1,enemy_skill_triggers!$1:$1,0)+1,FALSE)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8" s="48" t="str">
        <f ca="1">VLOOKUP($F708,OFFSET(enemy_skill_triggers!$A$1,0,0,COUNTA(enemy_skill_triggers!$A:$A),MATCH(M$1,enemy_skill_triggers!$1:$1,0)-MATCH($F$1,enemy_skill_triggers!$1:$1,0)+1),MATCH(M$1,enemy_skill_triggers!$1:$1,0)-MATCH($F$1,enemy_skill_triggers!$1:$1,0)+1,FALSE)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8" s="48">
        <f ca="1">VLOOKUP($F708,OFFSET(enemy_skill_triggers!$A$1,0,0,COUNTA(enemy_skill_triggers!$A:$A),MATCH(N$1,enemy_skill_triggers!$1:$1,0)-MATCH($F$1,enemy_skill_triggers!$1:$1,0)+1),MATCH(N$1,enemy_skill_triggers!$1:$1,0)-MATCH($F$1,enemy_skill_triggers!$1:$1,0)+1,FALSE)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708" s="48">
        <f ca="1">VLOOKUP($F708,OFFSET(enemy_skill_triggers!$A$1,0,0,COUNTA(enemy_skill_triggers!$A:$A),MATCH(O$1,enemy_skill_triggers!$1:$1,0)-MATCH($F$1,enemy_skill_triggers!$1:$1,0)+1),MATCH(O$1,enemy_skill_triggers!$1:$1,0)-MATCH($F$1,enemy_skill_triggers!$1:$1,0)+1,FALSE)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8" s="47"/>
      <c r="Q708" s="47"/>
      <c r="R708" s="47"/>
    </row>
    <row r="709" spans="1:18" ht="21" customHeight="1" x14ac:dyDescent="0.15">
      <c r="A709" s="39" t="str">
        <f t="shared" si="28"/>
        <v>39009035_39009068</v>
      </c>
      <c r="B709" s="47">
        <v>39009035</v>
      </c>
      <c r="C709" s="47">
        <v>39009068</v>
      </c>
      <c r="D709" s="46" t="str">
        <f ca="1">VLOOKUP($C709,OFFSET(enemy_skills!$A$1,0,0,COUNTA(enemy_skills!$A:$A),MATCH(D$1,enemy_skills!$1:$1,0)-MATCH("enemy_skill_id",enemy_skills!$1:$1,0)+1),MATCH(D$1,enemy_skills!$1:$1,0)-MATCH("enemy_skill_id",enemy_skills!$1:$1,0)+1,FALSE)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09" s="46" t="str">
        <f ca="1">VLOOKUP($C709,OFFSET(enemy_skills!$A$1,0,0,COUNTA(enemy_skills!$A:$A),MATCH(E$1,enemy_skills!$1:$1,0)-MATCH("enemy_skill_id",enemy_skills!$1:$1,0)+1),MATCH(E$1,enemy_skills!$1:$1,0)-MATCH("enemy_skill_id",enemy_skills!$1:$1,0)+1,FALSE)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09" s="47">
        <v>39009142</v>
      </c>
      <c r="G709" s="48">
        <f ca="1">VLOOKUP($F709,OFFSET(enemy_skill_triggers!$A$1,0,0,COUNTA(enemy_skill_triggers!$A:$A),MATCH(G$1,enemy_skill_triggers!$1:$1,0)-MATCH($F$1,enemy_skill_triggers!$1:$1,0)+1),MATCH(G$1,enemy_skill_triggers!$1:$1,0)-MATCH($F$1,enemy_skill_triggers!$1:$1,0)+1,FALSE)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9" s="48">
        <f ca="1">VLOOKUP($F709,OFFSET(enemy_skill_triggers!$A$1,0,0,COUNTA(enemy_skill_triggers!$A:$A),MATCH(H$1,enemy_skill_triggers!$1:$1,0)-MATCH($F$1,enemy_skill_triggers!$1:$1,0)+1),MATCH(H$1,enemy_skill_triggers!$1:$1,0)-MATCH($F$1,enemy_skill_triggers!$1:$1,0)+1,FALSE)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09" s="48">
        <f ca="1">VLOOKUP($F709,OFFSET(enemy_skill_triggers!$A$1,0,0,COUNTA(enemy_skill_triggers!$A:$A),MATCH(I$1,enemy_skill_triggers!$1:$1,0)-MATCH($F$1,enemy_skill_triggers!$1:$1,0)+1),MATCH(I$1,enemy_skill_triggers!$1:$1,0)-MATCH($F$1,enemy_skill_triggers!$1:$1,0)+1,FALSE)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9" s="48" t="str">
        <f ca="1">VLOOKUP($F709,OFFSET(enemy_skill_triggers!$A$1,0,0,COUNTA(enemy_skill_triggers!$A:$A),MATCH(J$1,enemy_skill_triggers!$1:$1,0)-MATCH($F$1,enemy_skill_triggers!$1:$1,0)+1),MATCH(J$1,enemy_skill_triggers!$1:$1,0)-MATCH($F$1,enemy_skill_triggers!$1:$1,0)+1,FALSE)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9" s="48" t="str">
        <f ca="1">VLOOKUP($F709,OFFSET(enemy_skill_triggers!$A$1,0,0,COUNTA(enemy_skill_triggers!$A:$A),MATCH(K$1,enemy_skill_triggers!$1:$1,0)-MATCH($F$1,enemy_skill_triggers!$1:$1,0)+1),MATCH(K$1,enemy_skill_triggers!$1:$1,0)-MATCH($F$1,enemy_skill_triggers!$1:$1,0)+1,FALSE)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9" s="48">
        <f ca="1">VLOOKUP($F709,OFFSET(enemy_skill_triggers!$A$1,0,0,COUNTA(enemy_skill_triggers!$A:$A),MATCH(L$1,enemy_skill_triggers!$1:$1,0)-MATCH($F$1,enemy_skill_triggers!$1:$1,0)+1),MATCH(L$1,enemy_skill_triggers!$1:$1,0)-MATCH($F$1,enemy_skill_triggers!$1:$1,0)+1,FALSE)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9" s="48" t="str">
        <f ca="1">VLOOKUP($F709,OFFSET(enemy_skill_triggers!$A$1,0,0,COUNTA(enemy_skill_triggers!$A:$A),MATCH(M$1,enemy_skill_triggers!$1:$1,0)-MATCH($F$1,enemy_skill_triggers!$1:$1,0)+1),MATCH(M$1,enemy_skill_triggers!$1:$1,0)-MATCH($F$1,enemy_skill_triggers!$1:$1,0)+1,FALSE)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9" s="48">
        <f ca="1">VLOOKUP($F709,OFFSET(enemy_skill_triggers!$A$1,0,0,COUNTA(enemy_skill_triggers!$A:$A),MATCH(N$1,enemy_skill_triggers!$1:$1,0)-MATCH($F$1,enemy_skill_triggers!$1:$1,0)+1),MATCH(N$1,enemy_skill_triggers!$1:$1,0)-MATCH($F$1,enemy_skill_triggers!$1:$1,0)+1,FALSE)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709" s="48">
        <f ca="1">VLOOKUP($F709,OFFSET(enemy_skill_triggers!$A$1,0,0,COUNTA(enemy_skill_triggers!$A:$A),MATCH(O$1,enemy_skill_triggers!$1:$1,0)-MATCH($F$1,enemy_skill_triggers!$1:$1,0)+1),MATCH(O$1,enemy_skill_triggers!$1:$1,0)-MATCH($F$1,enemy_skill_triggers!$1:$1,0)+1,FALSE)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9" s="47"/>
      <c r="Q709" s="47"/>
      <c r="R709" s="47"/>
    </row>
    <row r="710" spans="1:18" ht="21" customHeight="1" x14ac:dyDescent="0.15">
      <c r="A710" s="39" t="str">
        <f t="shared" si="28"/>
        <v>39009035_39009068</v>
      </c>
      <c r="B710" s="47">
        <v>39009035</v>
      </c>
      <c r="C710" s="47">
        <v>39009068</v>
      </c>
      <c r="D710" s="46" t="str">
        <f ca="1">VLOOKUP($C710,OFFSET(enemy_skills!$A$1,0,0,COUNTA(enemy_skills!$A:$A),MATCH(D$1,enemy_skills!$1:$1,0)-MATCH("enemy_skill_id",enemy_skills!$1:$1,0)+1),MATCH(D$1,enemy_skills!$1:$1,0)-MATCH("enemy_skill_id",enemy_skills!$1:$1,0)+1,FALSE)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0" s="46" t="str">
        <f ca="1">VLOOKUP($C710,OFFSET(enemy_skills!$A$1,0,0,COUNTA(enemy_skills!$A:$A),MATCH(E$1,enemy_skills!$1:$1,0)-MATCH("enemy_skill_id",enemy_skills!$1:$1,0)+1),MATCH(E$1,enemy_skills!$1:$1,0)-MATCH("enemy_skill_id",enemy_skills!$1:$1,0)+1,FALSE)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0" s="47">
        <v>39009143</v>
      </c>
      <c r="G710" s="48">
        <f ca="1">VLOOKUP($F710,OFFSET(enemy_skill_triggers!$A$1,0,0,COUNTA(enemy_skill_triggers!$A:$A),MATCH(G$1,enemy_skill_triggers!$1:$1,0)-MATCH($F$1,enemy_skill_triggers!$1:$1,0)+1),MATCH(G$1,enemy_skill_triggers!$1:$1,0)-MATCH($F$1,enemy_skill_triggers!$1:$1,0)+1,FALSE)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0" s="48">
        <f ca="1">VLOOKUP($F710,OFFSET(enemy_skill_triggers!$A$1,0,0,COUNTA(enemy_skill_triggers!$A:$A),MATCH(H$1,enemy_skill_triggers!$1:$1,0)-MATCH($F$1,enemy_skill_triggers!$1:$1,0)+1),MATCH(H$1,enemy_skill_triggers!$1:$1,0)-MATCH($F$1,enemy_skill_triggers!$1:$1,0)+1,FALSE)</f>
        <v>19</v>
      </c>
      <c r="I710" s="48">
        <f ca="1">VLOOKUP($F710,OFFSET(enemy_skill_triggers!$A$1,0,0,COUNTA(enemy_skill_triggers!$A:$A),MATCH(I$1,enemy_skill_triggers!$1:$1,0)-MATCH($F$1,enemy_skill_triggers!$1:$1,0)+1),MATCH(I$1,enemy_skill_triggers!$1:$1,0)-MATCH($F$1,enemy_skill_triggers!$1:$1,0)+1,FALSE)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0" s="48" t="str">
        <f ca="1">VLOOKUP($F710,OFFSET(enemy_skill_triggers!$A$1,0,0,COUNTA(enemy_skill_triggers!$A:$A),MATCH(J$1,enemy_skill_triggers!$1:$1,0)-MATCH($F$1,enemy_skill_triggers!$1:$1,0)+1),MATCH(J$1,enemy_skill_triggers!$1:$1,0)-MATCH($F$1,enemy_skill_triggers!$1:$1,0)+1,FALSE)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0" s="48" t="str">
        <f ca="1">VLOOKUP($F710,OFFSET(enemy_skill_triggers!$A$1,0,0,COUNTA(enemy_skill_triggers!$A:$A),MATCH(K$1,enemy_skill_triggers!$1:$1,0)-MATCH($F$1,enemy_skill_triggers!$1:$1,0)+1),MATCH(K$1,enemy_skill_triggers!$1:$1,0)-MATCH($F$1,enemy_skill_triggers!$1:$1,0)+1,FALSE)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0" s="48">
        <f ca="1">VLOOKUP($F710,OFFSET(enemy_skill_triggers!$A$1,0,0,COUNTA(enemy_skill_triggers!$A:$A),MATCH(L$1,enemy_skill_triggers!$1:$1,0)-MATCH($F$1,enemy_skill_triggers!$1:$1,0)+1),MATCH(L$1,enemy_skill_triggers!$1:$1,0)-MATCH($F$1,enemy_skill_triggers!$1:$1,0)+1,FALSE)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0" s="48" t="str">
        <f ca="1">VLOOKUP($F710,OFFSET(enemy_skill_triggers!$A$1,0,0,COUNTA(enemy_skill_triggers!$A:$A),MATCH(M$1,enemy_skill_triggers!$1:$1,0)-MATCH($F$1,enemy_skill_triggers!$1:$1,0)+1),MATCH(M$1,enemy_skill_triggers!$1:$1,0)-MATCH($F$1,enemy_skill_triggers!$1:$1,0)+1,FALSE)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0" s="48">
        <f ca="1">VLOOKUP($F710,OFFSET(enemy_skill_triggers!$A$1,0,0,COUNTA(enemy_skill_triggers!$A:$A),MATCH(N$1,enemy_skill_triggers!$1:$1,0)-MATCH($F$1,enemy_skill_triggers!$1:$1,0)+1),MATCH(N$1,enemy_skill_triggers!$1:$1,0)-MATCH($F$1,enemy_skill_triggers!$1:$1,0)+1,FALSE)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710" s="48">
        <f ca="1">VLOOKUP($F710,OFFSET(enemy_skill_triggers!$A$1,0,0,COUNTA(enemy_skill_triggers!$A:$A),MATCH(O$1,enemy_skill_triggers!$1:$1,0)-MATCH($F$1,enemy_skill_triggers!$1:$1,0)+1),MATCH(O$1,enemy_skill_triggers!$1:$1,0)-MATCH($F$1,enemy_skill_triggers!$1:$1,0)+1,FALSE)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0" s="47"/>
      <c r="Q710" s="47"/>
      <c r="R710" s="47"/>
    </row>
    <row r="711" spans="1:18" ht="21" customHeight="1" x14ac:dyDescent="0.15">
      <c r="A711" s="39" t="str">
        <f t="shared" si="28"/>
        <v>39009035_39009068</v>
      </c>
      <c r="B711" s="47">
        <v>39009035</v>
      </c>
      <c r="C711" s="47">
        <v>39009068</v>
      </c>
      <c r="D711" s="46" t="str">
        <f ca="1">VLOOKUP($C711,OFFSET(enemy_skills!$A$1,0,0,COUNTA(enemy_skills!$A:$A),MATCH(D$1,enemy_skills!$1:$1,0)-MATCH("enemy_skill_id",enemy_skills!$1:$1,0)+1),MATCH(D$1,enemy_skills!$1:$1,0)-MATCH("enemy_skill_id",enemy_skills!$1:$1,0)+1,FALSE)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1" s="46" t="str">
        <f ca="1">VLOOKUP($C711,OFFSET(enemy_skills!$A$1,0,0,COUNTA(enemy_skills!$A:$A),MATCH(E$1,enemy_skills!$1:$1,0)-MATCH("enemy_skill_id",enemy_skills!$1:$1,0)+1),MATCH(E$1,enemy_skills!$1:$1,0)-MATCH("enemy_skill_id",enemy_skills!$1:$1,0)+1,FALSE)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1" s="47">
        <v>39009144</v>
      </c>
      <c r="G711" s="48">
        <f ca="1">VLOOKUP($F711,OFFSET(enemy_skill_triggers!$A$1,0,0,COUNTA(enemy_skill_triggers!$A:$A),MATCH(G$1,enemy_skill_triggers!$1:$1,0)-MATCH($F$1,enemy_skill_triggers!$1:$1,0)+1),MATCH(G$1,enemy_skill_triggers!$1:$1,0)-MATCH($F$1,enemy_skill_triggers!$1:$1,0)+1,FALSE)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1" s="48">
        <f ca="1">VLOOKUP($F711,OFFSET(enemy_skill_triggers!$A$1,0,0,COUNTA(enemy_skill_triggers!$A:$A),MATCH(H$1,enemy_skill_triggers!$1:$1,0)-MATCH($F$1,enemy_skill_triggers!$1:$1,0)+1),MATCH(H$1,enemy_skill_triggers!$1:$1,0)-MATCH($F$1,enemy_skill_triggers!$1:$1,0)+1,FALSE)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711" s="48">
        <f ca="1">VLOOKUP($F711,OFFSET(enemy_skill_triggers!$A$1,0,0,COUNTA(enemy_skill_triggers!$A:$A),MATCH(I$1,enemy_skill_triggers!$1:$1,0)-MATCH($F$1,enemy_skill_triggers!$1:$1,0)+1),MATCH(I$1,enemy_skill_triggers!$1:$1,0)-MATCH($F$1,enemy_skill_triggers!$1:$1,0)+1,FALSE)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1" s="48" t="str">
        <f ca="1">VLOOKUP($F711,OFFSET(enemy_skill_triggers!$A$1,0,0,COUNTA(enemy_skill_triggers!$A:$A),MATCH(J$1,enemy_skill_triggers!$1:$1,0)-MATCH($F$1,enemy_skill_triggers!$1:$1,0)+1),MATCH(J$1,enemy_skill_triggers!$1:$1,0)-MATCH($F$1,enemy_skill_triggers!$1:$1,0)+1,FALSE)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1" s="48" t="str">
        <f ca="1">VLOOKUP($F711,OFFSET(enemy_skill_triggers!$A$1,0,0,COUNTA(enemy_skill_triggers!$A:$A),MATCH(K$1,enemy_skill_triggers!$1:$1,0)-MATCH($F$1,enemy_skill_triggers!$1:$1,0)+1),MATCH(K$1,enemy_skill_triggers!$1:$1,0)-MATCH($F$1,enemy_skill_triggers!$1:$1,0)+1,FALSE)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1" s="48">
        <f ca="1">VLOOKUP($F711,OFFSET(enemy_skill_triggers!$A$1,0,0,COUNTA(enemy_skill_triggers!$A:$A),MATCH(L$1,enemy_skill_triggers!$1:$1,0)-MATCH($F$1,enemy_skill_triggers!$1:$1,0)+1),MATCH(L$1,enemy_skill_triggers!$1:$1,0)-MATCH($F$1,enemy_skill_triggers!$1:$1,0)+1,FALSE)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1" s="48" t="str">
        <f ca="1">VLOOKUP($F711,OFFSET(enemy_skill_triggers!$A$1,0,0,COUNTA(enemy_skill_triggers!$A:$A),MATCH(M$1,enemy_skill_triggers!$1:$1,0)-MATCH($F$1,enemy_skill_triggers!$1:$1,0)+1),MATCH(M$1,enemy_skill_triggers!$1:$1,0)-MATCH($F$1,enemy_skill_triggers!$1:$1,0)+1,FALSE)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1" s="48">
        <f ca="1">VLOOKUP($F711,OFFSET(enemy_skill_triggers!$A$1,0,0,COUNTA(enemy_skill_triggers!$A:$A),MATCH(N$1,enemy_skill_triggers!$1:$1,0)-MATCH($F$1,enemy_skill_triggers!$1:$1,0)+1),MATCH(N$1,enemy_skill_triggers!$1:$1,0)-MATCH($F$1,enemy_skill_triggers!$1:$1,0)+1,FALSE)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711" s="48">
        <f ca="1">VLOOKUP($F711,OFFSET(enemy_skill_triggers!$A$1,0,0,COUNTA(enemy_skill_triggers!$A:$A),MATCH(O$1,enemy_skill_triggers!$1:$1,0)-MATCH($F$1,enemy_skill_triggers!$1:$1,0)+1),MATCH(O$1,enemy_skill_triggers!$1:$1,0)-MATCH($F$1,enemy_skill_triggers!$1:$1,0)+1,FALSE)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1" s="47"/>
      <c r="Q711" s="47"/>
      <c r="R711" s="47"/>
    </row>
    <row r="712" spans="1:18" ht="21" customHeight="1" x14ac:dyDescent="0.15">
      <c r="A712" s="39" t="str">
        <f t="shared" si="28"/>
        <v>39009035_39009068</v>
      </c>
      <c r="B712" s="47">
        <v>39009035</v>
      </c>
      <c r="C712" s="47">
        <v>39009068</v>
      </c>
      <c r="D712" s="46" t="str">
        <f ca="1">VLOOKUP($C712,OFFSET(enemy_skills!$A$1,0,0,COUNTA(enemy_skills!$A:$A),MATCH(D$1,enemy_skills!$1:$1,0)-MATCH("enemy_skill_id",enemy_skills!$1:$1,0)+1),MATCH(D$1,enemy_skills!$1:$1,0)-MATCH("enemy_skill_id",enemy_skills!$1:$1,0)+1,FALSE)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2" s="46" t="str">
        <f ca="1">VLOOKUP($C712,OFFSET(enemy_skills!$A$1,0,0,COUNTA(enemy_skills!$A:$A),MATCH(E$1,enemy_skills!$1:$1,0)-MATCH("enemy_skill_id",enemy_skills!$1:$1,0)+1),MATCH(E$1,enemy_skills!$1:$1,0)-MATCH("enemy_skill_id",enemy_skills!$1:$1,0)+1,FALSE)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2" s="47">
        <v>39009145</v>
      </c>
      <c r="G712" s="48">
        <f ca="1">VLOOKUP($F712,OFFSET(enemy_skill_triggers!$A$1,0,0,COUNTA(enemy_skill_triggers!$A:$A),MATCH(G$1,enemy_skill_triggers!$1:$1,0)-MATCH($F$1,enemy_skill_triggers!$1:$1,0)+1),MATCH(G$1,enemy_skill_triggers!$1:$1,0)-MATCH($F$1,enemy_skill_triggers!$1:$1,0)+1,FALSE)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2" s="48">
        <f ca="1">VLOOKUP($F712,OFFSET(enemy_skill_triggers!$A$1,0,0,COUNTA(enemy_skill_triggers!$A:$A),MATCH(H$1,enemy_skill_triggers!$1:$1,0)-MATCH($F$1,enemy_skill_triggers!$1:$1,0)+1),MATCH(H$1,enemy_skill_triggers!$1:$1,0)-MATCH($F$1,enemy_skill_triggers!$1:$1,0)+1,FALSE)</f>
        <v>17</v>
      </c>
      <c r="I712" s="48">
        <f ca="1">VLOOKUP($F712,OFFSET(enemy_skill_triggers!$A$1,0,0,COUNTA(enemy_skill_triggers!$A:$A),MATCH(I$1,enemy_skill_triggers!$1:$1,0)-MATCH($F$1,enemy_skill_triggers!$1:$1,0)+1),MATCH(I$1,enemy_skill_triggers!$1:$1,0)-MATCH($F$1,enemy_skill_triggers!$1:$1,0)+1,FALSE)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2" s="48" t="str">
        <f ca="1">VLOOKUP($F712,OFFSET(enemy_skill_triggers!$A$1,0,0,COUNTA(enemy_skill_triggers!$A:$A),MATCH(J$1,enemy_skill_triggers!$1:$1,0)-MATCH($F$1,enemy_skill_triggers!$1:$1,0)+1),MATCH(J$1,enemy_skill_triggers!$1:$1,0)-MATCH($F$1,enemy_skill_triggers!$1:$1,0)+1,FALSE)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2" s="48" t="str">
        <f ca="1">VLOOKUP($F712,OFFSET(enemy_skill_triggers!$A$1,0,0,COUNTA(enemy_skill_triggers!$A:$A),MATCH(K$1,enemy_skill_triggers!$1:$1,0)-MATCH($F$1,enemy_skill_triggers!$1:$1,0)+1),MATCH(K$1,enemy_skill_triggers!$1:$1,0)-MATCH($F$1,enemy_skill_triggers!$1:$1,0)+1,FALSE)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2" s="48">
        <f ca="1">VLOOKUP($F712,OFFSET(enemy_skill_triggers!$A$1,0,0,COUNTA(enemy_skill_triggers!$A:$A),MATCH(L$1,enemy_skill_triggers!$1:$1,0)-MATCH($F$1,enemy_skill_triggers!$1:$1,0)+1),MATCH(L$1,enemy_skill_triggers!$1:$1,0)-MATCH($F$1,enemy_skill_triggers!$1:$1,0)+1,FALSE)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2" s="48" t="str">
        <f ca="1">VLOOKUP($F712,OFFSET(enemy_skill_triggers!$A$1,0,0,COUNTA(enemy_skill_triggers!$A:$A),MATCH(M$1,enemy_skill_triggers!$1:$1,0)-MATCH($F$1,enemy_skill_triggers!$1:$1,0)+1),MATCH(M$1,enemy_skill_triggers!$1:$1,0)-MATCH($F$1,enemy_skill_triggers!$1:$1,0)+1,FALSE)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2" s="48">
        <f ca="1">VLOOKUP($F712,OFFSET(enemy_skill_triggers!$A$1,0,0,COUNTA(enemy_skill_triggers!$A:$A),MATCH(N$1,enemy_skill_triggers!$1:$1,0)-MATCH($F$1,enemy_skill_triggers!$1:$1,0)+1),MATCH(N$1,enemy_skill_triggers!$1:$1,0)-MATCH($F$1,enemy_skill_triggers!$1:$1,0)+1,FALSE)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712" s="48">
        <f ca="1">VLOOKUP($F712,OFFSET(enemy_skill_triggers!$A$1,0,0,COUNTA(enemy_skill_triggers!$A:$A),MATCH(O$1,enemy_skill_triggers!$1:$1,0)-MATCH($F$1,enemy_skill_triggers!$1:$1,0)+1),MATCH(O$1,enemy_skill_triggers!$1:$1,0)-MATCH($F$1,enemy_skill_triggers!$1:$1,0)+1,FALSE)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2" s="47"/>
      <c r="Q712" s="47"/>
      <c r="R712" s="47"/>
    </row>
    <row r="713" spans="1:18" ht="21" customHeight="1" x14ac:dyDescent="0.15">
      <c r="A713" s="39" t="str">
        <f t="shared" si="28"/>
        <v>39009035_39009068</v>
      </c>
      <c r="B713" s="47">
        <v>39009035</v>
      </c>
      <c r="C713" s="47">
        <v>39009068</v>
      </c>
      <c r="D713" s="46" t="str">
        <f ca="1">VLOOKUP($C713,OFFSET(enemy_skills!$A$1,0,0,COUNTA(enemy_skills!$A:$A),MATCH(D$1,enemy_skills!$1:$1,0)-MATCH("enemy_skill_id",enemy_skills!$1:$1,0)+1),MATCH(D$1,enemy_skills!$1:$1,0)-MATCH("enemy_skill_id",enemy_skills!$1:$1,0)+1,FALSE)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3" s="46" t="str">
        <f ca="1">VLOOKUP($C713,OFFSET(enemy_skills!$A$1,0,0,COUNTA(enemy_skills!$A:$A),MATCH(E$1,enemy_skills!$1:$1,0)-MATCH("enemy_skill_id",enemy_skills!$1:$1,0)+1),MATCH(E$1,enemy_skills!$1:$1,0)-MATCH("enemy_skill_id",enemy_skills!$1:$1,0)+1,FALSE)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3" s="47">
        <v>39009146</v>
      </c>
      <c r="G713" s="48">
        <f ca="1">VLOOKUP($F713,OFFSET(enemy_skill_triggers!$A$1,0,0,COUNTA(enemy_skill_triggers!$A:$A),MATCH(G$1,enemy_skill_triggers!$1:$1,0)-MATCH($F$1,enemy_skill_triggers!$1:$1,0)+1),MATCH(G$1,enemy_skill_triggers!$1:$1,0)-MATCH($F$1,enemy_skill_triggers!$1:$1,0)+1,FALSE)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3" s="48">
        <f ca="1">VLOOKUP($F713,OFFSET(enemy_skill_triggers!$A$1,0,0,COUNTA(enemy_skill_triggers!$A:$A),MATCH(H$1,enemy_skill_triggers!$1:$1,0)-MATCH($F$1,enemy_skill_triggers!$1:$1,0)+1),MATCH(H$1,enemy_skill_triggers!$1:$1,0)-MATCH($F$1,enemy_skill_triggers!$1:$1,0)+1,FALSE)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713" s="48">
        <f ca="1">VLOOKUP($F713,OFFSET(enemy_skill_triggers!$A$1,0,0,COUNTA(enemy_skill_triggers!$A:$A),MATCH(I$1,enemy_skill_triggers!$1:$1,0)-MATCH($F$1,enemy_skill_triggers!$1:$1,0)+1),MATCH(I$1,enemy_skill_triggers!$1:$1,0)-MATCH($F$1,enemy_skill_triggers!$1:$1,0)+1,FALSE)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3" s="48" t="str">
        <f ca="1">VLOOKUP($F713,OFFSET(enemy_skill_triggers!$A$1,0,0,COUNTA(enemy_skill_triggers!$A:$A),MATCH(J$1,enemy_skill_triggers!$1:$1,0)-MATCH($F$1,enemy_skill_triggers!$1:$1,0)+1),MATCH(J$1,enemy_skill_triggers!$1:$1,0)-MATCH($F$1,enemy_skill_triggers!$1:$1,0)+1,FALSE)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3" s="48" t="str">
        <f ca="1">VLOOKUP($F713,OFFSET(enemy_skill_triggers!$A$1,0,0,COUNTA(enemy_skill_triggers!$A:$A),MATCH(K$1,enemy_skill_triggers!$1:$1,0)-MATCH($F$1,enemy_skill_triggers!$1:$1,0)+1),MATCH(K$1,enemy_skill_triggers!$1:$1,0)-MATCH($F$1,enemy_skill_triggers!$1:$1,0)+1,FALSE)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3" s="48">
        <f ca="1">VLOOKUP($F713,OFFSET(enemy_skill_triggers!$A$1,0,0,COUNTA(enemy_skill_triggers!$A:$A),MATCH(L$1,enemy_skill_triggers!$1:$1,0)-MATCH($F$1,enemy_skill_triggers!$1:$1,0)+1),MATCH(L$1,enemy_skill_triggers!$1:$1,0)-MATCH($F$1,enemy_skill_triggers!$1:$1,0)+1,FALSE)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3" s="48" t="str">
        <f ca="1">VLOOKUP($F713,OFFSET(enemy_skill_triggers!$A$1,0,0,COUNTA(enemy_skill_triggers!$A:$A),MATCH(M$1,enemy_skill_triggers!$1:$1,0)-MATCH($F$1,enemy_skill_triggers!$1:$1,0)+1),MATCH(M$1,enemy_skill_triggers!$1:$1,0)-MATCH($F$1,enemy_skill_triggers!$1:$1,0)+1,FALSE)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3" s="48">
        <f ca="1">VLOOKUP($F713,OFFSET(enemy_skill_triggers!$A$1,0,0,COUNTA(enemy_skill_triggers!$A:$A),MATCH(N$1,enemy_skill_triggers!$1:$1,0)-MATCH($F$1,enemy_skill_triggers!$1:$1,0)+1),MATCH(N$1,enemy_skill_triggers!$1:$1,0)-MATCH($F$1,enemy_skill_triggers!$1:$1,0)+1,FALSE)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713" s="48">
        <f ca="1">VLOOKUP($F713,OFFSET(enemy_skill_triggers!$A$1,0,0,COUNTA(enemy_skill_triggers!$A:$A),MATCH(O$1,enemy_skill_triggers!$1:$1,0)-MATCH($F$1,enemy_skill_triggers!$1:$1,0)+1),MATCH(O$1,enemy_skill_triggers!$1:$1,0)-MATCH($F$1,enemy_skill_triggers!$1:$1,0)+1,FALSE)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3" s="47"/>
      <c r="Q713" s="47"/>
      <c r="R713" s="47"/>
    </row>
    <row r="714" spans="1:18" ht="21" customHeight="1" x14ac:dyDescent="0.15">
      <c r="A714" s="39" t="str">
        <f t="shared" si="28"/>
        <v>39009035_39009068</v>
      </c>
      <c r="B714" s="47">
        <v>39009035</v>
      </c>
      <c r="C714" s="47">
        <v>39009068</v>
      </c>
      <c r="D714" s="46" t="str">
        <f ca="1">VLOOKUP($C714,OFFSET(enemy_skills!$A$1,0,0,COUNTA(enemy_skills!$A:$A),MATCH(D$1,enemy_skills!$1:$1,0)-MATCH("enemy_skill_id",enemy_skills!$1:$1,0)+1),MATCH(D$1,enemy_skills!$1:$1,0)-MATCH("enemy_skill_id",enemy_skills!$1:$1,0)+1,FALSE)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4" s="46" t="str">
        <f ca="1">VLOOKUP($C714,OFFSET(enemy_skills!$A$1,0,0,COUNTA(enemy_skills!$A:$A),MATCH(E$1,enemy_skills!$1:$1,0)-MATCH("enemy_skill_id",enemy_skills!$1:$1,0)+1),MATCH(E$1,enemy_skills!$1:$1,0)-MATCH("enemy_skill_id",enemy_skills!$1:$1,0)+1,FALSE)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4" s="47">
        <v>39009147</v>
      </c>
      <c r="G714" s="48">
        <f ca="1">VLOOKUP($F714,OFFSET(enemy_skill_triggers!$A$1,0,0,COUNTA(enemy_skill_triggers!$A:$A),MATCH(G$1,enemy_skill_triggers!$1:$1,0)-MATCH($F$1,enemy_skill_triggers!$1:$1,0)+1),MATCH(G$1,enemy_skill_triggers!$1:$1,0)-MATCH($F$1,enemy_skill_triggers!$1:$1,0)+1,FALSE)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4" s="48">
        <f ca="1">VLOOKUP($F714,OFFSET(enemy_skill_triggers!$A$1,0,0,COUNTA(enemy_skill_triggers!$A:$A),MATCH(H$1,enemy_skill_triggers!$1:$1,0)-MATCH($F$1,enemy_skill_triggers!$1:$1,0)+1),MATCH(H$1,enemy_skill_triggers!$1:$1,0)-MATCH($F$1,enemy_skill_triggers!$1:$1,0)+1,FALSE)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714" s="48">
        <f ca="1">VLOOKUP($F714,OFFSET(enemy_skill_triggers!$A$1,0,0,COUNTA(enemy_skill_triggers!$A:$A),MATCH(I$1,enemy_skill_triggers!$1:$1,0)-MATCH($F$1,enemy_skill_triggers!$1:$1,0)+1),MATCH(I$1,enemy_skill_triggers!$1:$1,0)-MATCH($F$1,enemy_skill_triggers!$1:$1,0)+1,FALSE)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4" s="48" t="str">
        <f ca="1">VLOOKUP($F714,OFFSET(enemy_skill_triggers!$A$1,0,0,COUNTA(enemy_skill_triggers!$A:$A),MATCH(J$1,enemy_skill_triggers!$1:$1,0)-MATCH($F$1,enemy_skill_triggers!$1:$1,0)+1),MATCH(J$1,enemy_skill_triggers!$1:$1,0)-MATCH($F$1,enemy_skill_triggers!$1:$1,0)+1,FALSE)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4" s="48" t="str">
        <f ca="1">VLOOKUP($F714,OFFSET(enemy_skill_triggers!$A$1,0,0,COUNTA(enemy_skill_triggers!$A:$A),MATCH(K$1,enemy_skill_triggers!$1:$1,0)-MATCH($F$1,enemy_skill_triggers!$1:$1,0)+1),MATCH(K$1,enemy_skill_triggers!$1:$1,0)-MATCH($F$1,enemy_skill_triggers!$1:$1,0)+1,FALSE)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4" s="48">
        <f ca="1">VLOOKUP($F714,OFFSET(enemy_skill_triggers!$A$1,0,0,COUNTA(enemy_skill_triggers!$A:$A),MATCH(L$1,enemy_skill_triggers!$1:$1,0)-MATCH($F$1,enemy_skill_triggers!$1:$1,0)+1),MATCH(L$1,enemy_skill_triggers!$1:$1,0)-MATCH($F$1,enemy_skill_triggers!$1:$1,0)+1,FALSE)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4" s="48" t="str">
        <f ca="1">VLOOKUP($F714,OFFSET(enemy_skill_triggers!$A$1,0,0,COUNTA(enemy_skill_triggers!$A:$A),MATCH(M$1,enemy_skill_triggers!$1:$1,0)-MATCH($F$1,enemy_skill_triggers!$1:$1,0)+1),MATCH(M$1,enemy_skill_triggers!$1:$1,0)-MATCH($F$1,enemy_skill_triggers!$1:$1,0)+1,FALSE)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4" s="48">
        <f ca="1">VLOOKUP($F714,OFFSET(enemy_skill_triggers!$A$1,0,0,COUNTA(enemy_skill_triggers!$A:$A),MATCH(N$1,enemy_skill_triggers!$1:$1,0)-MATCH($F$1,enemy_skill_triggers!$1:$1,0)+1),MATCH(N$1,enemy_skill_triggers!$1:$1,0)-MATCH($F$1,enemy_skill_triggers!$1:$1,0)+1,FALSE)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714" s="48">
        <f ca="1">VLOOKUP($F714,OFFSET(enemy_skill_triggers!$A$1,0,0,COUNTA(enemy_skill_triggers!$A:$A),MATCH(O$1,enemy_skill_triggers!$1:$1,0)-MATCH($F$1,enemy_skill_triggers!$1:$1,0)+1),MATCH(O$1,enemy_skill_triggers!$1:$1,0)-MATCH($F$1,enemy_skill_triggers!$1:$1,0)+1,FALSE)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4" s="47"/>
      <c r="Q714" s="47"/>
      <c r="R714" s="47"/>
    </row>
    <row r="715" spans="1:18" ht="21" customHeight="1" x14ac:dyDescent="0.15">
      <c r="A715" s="39" t="str">
        <f t="shared" si="28"/>
        <v>39009035_39009068</v>
      </c>
      <c r="B715" s="47">
        <v>39009035</v>
      </c>
      <c r="C715" s="47">
        <v>39009068</v>
      </c>
      <c r="D715" s="46" t="str">
        <f ca="1">VLOOKUP($C715,OFFSET(enemy_skills!$A$1,0,0,COUNTA(enemy_skills!$A:$A),MATCH(D$1,enemy_skills!$1:$1,0)-MATCH("enemy_skill_id",enemy_skills!$1:$1,0)+1),MATCH(D$1,enemy_skills!$1:$1,0)-MATCH("enemy_skill_id",enemy_skills!$1:$1,0)+1,FALSE)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5" s="46" t="str">
        <f ca="1">VLOOKUP($C715,OFFSET(enemy_skills!$A$1,0,0,COUNTA(enemy_skills!$A:$A),MATCH(E$1,enemy_skills!$1:$1,0)-MATCH("enemy_skill_id",enemy_skills!$1:$1,0)+1),MATCH(E$1,enemy_skills!$1:$1,0)-MATCH("enemy_skill_id",enemy_skills!$1:$1,0)+1,FALSE)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5" s="47">
        <v>39009148</v>
      </c>
      <c r="G715" s="48">
        <f ca="1">VLOOKUP($F715,OFFSET(enemy_skill_triggers!$A$1,0,0,COUNTA(enemy_skill_triggers!$A:$A),MATCH(G$1,enemy_skill_triggers!$1:$1,0)-MATCH($F$1,enemy_skill_triggers!$1:$1,0)+1),MATCH(G$1,enemy_skill_triggers!$1:$1,0)-MATCH($F$1,enemy_skill_triggers!$1:$1,0)+1,FALSE)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5" s="48">
        <f ca="1">VLOOKUP($F715,OFFSET(enemy_skill_triggers!$A$1,0,0,COUNTA(enemy_skill_triggers!$A:$A),MATCH(H$1,enemy_skill_triggers!$1:$1,0)-MATCH($F$1,enemy_skill_triggers!$1:$1,0)+1),MATCH(H$1,enemy_skill_triggers!$1:$1,0)-MATCH($F$1,enemy_skill_triggers!$1:$1,0)+1,FALSE)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715" s="48">
        <f ca="1">VLOOKUP($F715,OFFSET(enemy_skill_triggers!$A$1,0,0,COUNTA(enemy_skill_triggers!$A:$A),MATCH(I$1,enemy_skill_triggers!$1:$1,0)-MATCH($F$1,enemy_skill_triggers!$1:$1,0)+1),MATCH(I$1,enemy_skill_triggers!$1:$1,0)-MATCH($F$1,enemy_skill_triggers!$1:$1,0)+1,FALSE)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5" s="48" t="str">
        <f ca="1">VLOOKUP($F715,OFFSET(enemy_skill_triggers!$A$1,0,0,COUNTA(enemy_skill_triggers!$A:$A),MATCH(J$1,enemy_skill_triggers!$1:$1,0)-MATCH($F$1,enemy_skill_triggers!$1:$1,0)+1),MATCH(J$1,enemy_skill_triggers!$1:$1,0)-MATCH($F$1,enemy_skill_triggers!$1:$1,0)+1,FALSE)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5" s="48" t="str">
        <f ca="1">VLOOKUP($F715,OFFSET(enemy_skill_triggers!$A$1,0,0,COUNTA(enemy_skill_triggers!$A:$A),MATCH(K$1,enemy_skill_triggers!$1:$1,0)-MATCH($F$1,enemy_skill_triggers!$1:$1,0)+1),MATCH(K$1,enemy_skill_triggers!$1:$1,0)-MATCH($F$1,enemy_skill_triggers!$1:$1,0)+1,FALSE)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5" s="48">
        <f ca="1">VLOOKUP($F715,OFFSET(enemy_skill_triggers!$A$1,0,0,COUNTA(enemy_skill_triggers!$A:$A),MATCH(L$1,enemy_skill_triggers!$1:$1,0)-MATCH($F$1,enemy_skill_triggers!$1:$1,0)+1),MATCH(L$1,enemy_skill_triggers!$1:$1,0)-MATCH($F$1,enemy_skill_triggers!$1:$1,0)+1,FALSE)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5" s="48" t="str">
        <f ca="1">VLOOKUP($F715,OFFSET(enemy_skill_triggers!$A$1,0,0,COUNTA(enemy_skill_triggers!$A:$A),MATCH(M$1,enemy_skill_triggers!$1:$1,0)-MATCH($F$1,enemy_skill_triggers!$1:$1,0)+1),MATCH(M$1,enemy_skill_triggers!$1:$1,0)-MATCH($F$1,enemy_skill_triggers!$1:$1,0)+1,FALSE)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5" s="48">
        <f ca="1">VLOOKUP($F715,OFFSET(enemy_skill_triggers!$A$1,0,0,COUNTA(enemy_skill_triggers!$A:$A),MATCH(N$1,enemy_skill_triggers!$1:$1,0)-MATCH($F$1,enemy_skill_triggers!$1:$1,0)+1),MATCH(N$1,enemy_skill_triggers!$1:$1,0)-MATCH($F$1,enemy_skill_triggers!$1:$1,0)+1,FALSE)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715" s="48">
        <f ca="1">VLOOKUP($F715,OFFSET(enemy_skill_triggers!$A$1,0,0,COUNTA(enemy_skill_triggers!$A:$A),MATCH(O$1,enemy_skill_triggers!$1:$1,0)-MATCH($F$1,enemy_skill_triggers!$1:$1,0)+1),MATCH(O$1,enemy_skill_triggers!$1:$1,0)-MATCH($F$1,enemy_skill_triggers!$1:$1,0)+1,FALSE)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5" s="47"/>
      <c r="Q715" s="47"/>
      <c r="R715" s="47"/>
    </row>
    <row r="716" spans="1:18" ht="21" customHeight="1" x14ac:dyDescent="0.15">
      <c r="A716" s="39" t="str">
        <f t="shared" si="28"/>
        <v>39009035_39009068</v>
      </c>
      <c r="B716" s="47">
        <v>39009035</v>
      </c>
      <c r="C716" s="47">
        <v>39009068</v>
      </c>
      <c r="D716" s="46" t="str">
        <f ca="1">VLOOKUP($C716,OFFSET(enemy_skills!$A$1,0,0,COUNTA(enemy_skills!$A:$A),MATCH(D$1,enemy_skills!$1:$1,0)-MATCH("enemy_skill_id",enemy_skills!$1:$1,0)+1),MATCH(D$1,enemy_skills!$1:$1,0)-MATCH("enemy_skill_id",enemy_skills!$1:$1,0)+1,FALSE)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6" s="46" t="str">
        <f ca="1">VLOOKUP($C716,OFFSET(enemy_skills!$A$1,0,0,COUNTA(enemy_skills!$A:$A),MATCH(E$1,enemy_skills!$1:$1,0)-MATCH("enemy_skill_id",enemy_skills!$1:$1,0)+1),MATCH(E$1,enemy_skills!$1:$1,0)-MATCH("enemy_skill_id",enemy_skills!$1:$1,0)+1,FALSE)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6" s="47">
        <v>39009149</v>
      </c>
      <c r="G716" s="48">
        <f ca="1">VLOOKUP($F716,OFFSET(enemy_skill_triggers!$A$1,0,0,COUNTA(enemy_skill_triggers!$A:$A),MATCH(G$1,enemy_skill_triggers!$1:$1,0)-MATCH($F$1,enemy_skill_triggers!$1:$1,0)+1),MATCH(G$1,enemy_skill_triggers!$1:$1,0)-MATCH($F$1,enemy_skill_triggers!$1:$1,0)+1,FALSE)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6" s="48">
        <f ca="1">VLOOKUP($F716,OFFSET(enemy_skill_triggers!$A$1,0,0,COUNTA(enemy_skill_triggers!$A:$A),MATCH(H$1,enemy_skill_triggers!$1:$1,0)-MATCH($F$1,enemy_skill_triggers!$1:$1,0)+1),MATCH(H$1,enemy_skill_triggers!$1:$1,0)-MATCH($F$1,enemy_skill_triggers!$1:$1,0)+1,FALSE)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716" s="48">
        <f ca="1">VLOOKUP($F716,OFFSET(enemy_skill_triggers!$A$1,0,0,COUNTA(enemy_skill_triggers!$A:$A),MATCH(I$1,enemy_skill_triggers!$1:$1,0)-MATCH($F$1,enemy_skill_triggers!$1:$1,0)+1),MATCH(I$1,enemy_skill_triggers!$1:$1,0)-MATCH($F$1,enemy_skill_triggers!$1:$1,0)+1,FALSE)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6" s="48" t="str">
        <f ca="1">VLOOKUP($F716,OFFSET(enemy_skill_triggers!$A$1,0,0,COUNTA(enemy_skill_triggers!$A:$A),MATCH(J$1,enemy_skill_triggers!$1:$1,0)-MATCH($F$1,enemy_skill_triggers!$1:$1,0)+1),MATCH(J$1,enemy_skill_triggers!$1:$1,0)-MATCH($F$1,enemy_skill_triggers!$1:$1,0)+1,FALSE)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6" s="48" t="str">
        <f ca="1">VLOOKUP($F716,OFFSET(enemy_skill_triggers!$A$1,0,0,COUNTA(enemy_skill_triggers!$A:$A),MATCH(K$1,enemy_skill_triggers!$1:$1,0)-MATCH($F$1,enemy_skill_triggers!$1:$1,0)+1),MATCH(K$1,enemy_skill_triggers!$1:$1,0)-MATCH($F$1,enemy_skill_triggers!$1:$1,0)+1,FALSE)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6" s="48">
        <f ca="1">VLOOKUP($F716,OFFSET(enemy_skill_triggers!$A$1,0,0,COUNTA(enemy_skill_triggers!$A:$A),MATCH(L$1,enemy_skill_triggers!$1:$1,0)-MATCH($F$1,enemy_skill_triggers!$1:$1,0)+1),MATCH(L$1,enemy_skill_triggers!$1:$1,0)-MATCH($F$1,enemy_skill_triggers!$1:$1,0)+1,FALSE)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6" s="48" t="str">
        <f ca="1">VLOOKUP($F716,OFFSET(enemy_skill_triggers!$A$1,0,0,COUNTA(enemy_skill_triggers!$A:$A),MATCH(M$1,enemy_skill_triggers!$1:$1,0)-MATCH($F$1,enemy_skill_triggers!$1:$1,0)+1),MATCH(M$1,enemy_skill_triggers!$1:$1,0)-MATCH($F$1,enemy_skill_triggers!$1:$1,0)+1,FALSE)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6" s="48">
        <f ca="1">VLOOKUP($F716,OFFSET(enemy_skill_triggers!$A$1,0,0,COUNTA(enemy_skill_triggers!$A:$A),MATCH(N$1,enemy_skill_triggers!$1:$1,0)-MATCH($F$1,enemy_skill_triggers!$1:$1,0)+1),MATCH(N$1,enemy_skill_triggers!$1:$1,0)-MATCH($F$1,enemy_skill_triggers!$1:$1,0)+1,FALSE)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16" s="48">
        <f ca="1">VLOOKUP($F716,OFFSET(enemy_skill_triggers!$A$1,0,0,COUNTA(enemy_skill_triggers!$A:$A),MATCH(O$1,enemy_skill_triggers!$1:$1,0)-MATCH($F$1,enemy_skill_triggers!$1:$1,0)+1),MATCH(O$1,enemy_skill_triggers!$1:$1,0)-MATCH($F$1,enemy_skill_triggers!$1:$1,0)+1,FALSE)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6" s="47"/>
      <c r="Q716" s="47"/>
      <c r="R716" s="47"/>
    </row>
    <row r="717" spans="1:18" ht="21" customHeight="1" x14ac:dyDescent="0.15">
      <c r="A717" s="39" t="str">
        <f t="shared" si="28"/>
        <v>39009035_39009068</v>
      </c>
      <c r="B717" s="47">
        <v>39009035</v>
      </c>
      <c r="C717" s="47">
        <v>39009068</v>
      </c>
      <c r="D717" s="46" t="str">
        <f ca="1">VLOOKUP($C717,OFFSET(enemy_skills!$A$1,0,0,COUNTA(enemy_skills!$A:$A),MATCH(D$1,enemy_skills!$1:$1,0)-MATCH("enemy_skill_id",enemy_skills!$1:$1,0)+1),MATCH(D$1,enemy_skills!$1:$1,0)-MATCH("enemy_skill_id",enemy_skills!$1:$1,0)+1,FALSE)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7" s="46" t="str">
        <f ca="1">VLOOKUP($C717,OFFSET(enemy_skills!$A$1,0,0,COUNTA(enemy_skills!$A:$A),MATCH(E$1,enemy_skills!$1:$1,0)-MATCH("enemy_skill_id",enemy_skills!$1:$1,0)+1),MATCH(E$1,enemy_skills!$1:$1,0)-MATCH("enemy_skill_id",enemy_skills!$1:$1,0)+1,FALSE)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7" s="47">
        <v>39009150</v>
      </c>
      <c r="G717" s="48">
        <f ca="1">VLOOKUP($F717,OFFSET(enemy_skill_triggers!$A$1,0,0,COUNTA(enemy_skill_triggers!$A:$A),MATCH(G$1,enemy_skill_triggers!$1:$1,0)-MATCH($F$1,enemy_skill_triggers!$1:$1,0)+1),MATCH(G$1,enemy_skill_triggers!$1:$1,0)-MATCH($F$1,enemy_skill_triggers!$1:$1,0)+1,FALSE)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7" s="48">
        <f ca="1">VLOOKUP($F717,OFFSET(enemy_skill_triggers!$A$1,0,0,COUNTA(enemy_skill_triggers!$A:$A),MATCH(H$1,enemy_skill_triggers!$1:$1,0)-MATCH($F$1,enemy_skill_triggers!$1:$1,0)+1),MATCH(H$1,enemy_skill_triggers!$1:$1,0)-MATCH($F$1,enemy_skill_triggers!$1:$1,0)+1,FALSE)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717" s="48">
        <f ca="1">VLOOKUP($F717,OFFSET(enemy_skill_triggers!$A$1,0,0,COUNTA(enemy_skill_triggers!$A:$A),MATCH(I$1,enemy_skill_triggers!$1:$1,0)-MATCH($F$1,enemy_skill_triggers!$1:$1,0)+1),MATCH(I$1,enemy_skill_triggers!$1:$1,0)-MATCH($F$1,enemy_skill_triggers!$1:$1,0)+1,FALSE)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7" s="48" t="str">
        <f ca="1">VLOOKUP($F717,OFFSET(enemy_skill_triggers!$A$1,0,0,COUNTA(enemy_skill_triggers!$A:$A),MATCH(J$1,enemy_skill_triggers!$1:$1,0)-MATCH($F$1,enemy_skill_triggers!$1:$1,0)+1),MATCH(J$1,enemy_skill_triggers!$1:$1,0)-MATCH($F$1,enemy_skill_triggers!$1:$1,0)+1,FALSE)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7" s="48" t="str">
        <f ca="1">VLOOKUP($F717,OFFSET(enemy_skill_triggers!$A$1,0,0,COUNTA(enemy_skill_triggers!$A:$A),MATCH(K$1,enemy_skill_triggers!$1:$1,0)-MATCH($F$1,enemy_skill_triggers!$1:$1,0)+1),MATCH(K$1,enemy_skill_triggers!$1:$1,0)-MATCH($F$1,enemy_skill_triggers!$1:$1,0)+1,FALSE)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7" s="48">
        <f ca="1">VLOOKUP($F717,OFFSET(enemy_skill_triggers!$A$1,0,0,COUNTA(enemy_skill_triggers!$A:$A),MATCH(L$1,enemy_skill_triggers!$1:$1,0)-MATCH($F$1,enemy_skill_triggers!$1:$1,0)+1),MATCH(L$1,enemy_skill_triggers!$1:$1,0)-MATCH($F$1,enemy_skill_triggers!$1:$1,0)+1,FALSE)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7" s="48" t="str">
        <f ca="1">VLOOKUP($F717,OFFSET(enemy_skill_triggers!$A$1,0,0,COUNTA(enemy_skill_triggers!$A:$A),MATCH(M$1,enemy_skill_triggers!$1:$1,0)-MATCH($F$1,enemy_skill_triggers!$1:$1,0)+1),MATCH(M$1,enemy_skill_triggers!$1:$1,0)-MATCH($F$1,enemy_skill_triggers!$1:$1,0)+1,FALSE)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7" s="48">
        <f ca="1">VLOOKUP($F717,OFFSET(enemy_skill_triggers!$A$1,0,0,COUNTA(enemy_skill_triggers!$A:$A),MATCH(N$1,enemy_skill_triggers!$1:$1,0)-MATCH($F$1,enemy_skill_triggers!$1:$1,0)+1),MATCH(N$1,enemy_skill_triggers!$1:$1,0)-MATCH($F$1,enemy_skill_triggers!$1:$1,0)+1,FALSE)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17" s="48">
        <f ca="1">VLOOKUP($F717,OFFSET(enemy_skill_triggers!$A$1,0,0,COUNTA(enemy_skill_triggers!$A:$A),MATCH(O$1,enemy_skill_triggers!$1:$1,0)-MATCH($F$1,enemy_skill_triggers!$1:$1,0)+1),MATCH(O$1,enemy_skill_triggers!$1:$1,0)-MATCH($F$1,enemy_skill_triggers!$1:$1,0)+1,FALSE)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7" s="47"/>
      <c r="Q717" s="47"/>
      <c r="R717" s="47"/>
    </row>
    <row r="718" spans="1:18" ht="21" customHeight="1" x14ac:dyDescent="0.15">
      <c r="A718" s="39" t="str">
        <f t="shared" si="28"/>
        <v>39009035_39009068</v>
      </c>
      <c r="B718" s="47">
        <v>39009035</v>
      </c>
      <c r="C718" s="47">
        <v>39009068</v>
      </c>
      <c r="D718" s="46" t="str">
        <f ca="1">VLOOKUP($C718,OFFSET(enemy_skills!$A$1,0,0,COUNTA(enemy_skills!$A:$A),MATCH(D$1,enemy_skills!$1:$1,0)-MATCH("enemy_skill_id",enemy_skills!$1:$1,0)+1),MATCH(D$1,enemy_skills!$1:$1,0)-MATCH("enemy_skill_id",enemy_skills!$1:$1,0)+1,FALSE)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8" s="46" t="str">
        <f ca="1">VLOOKUP($C718,OFFSET(enemy_skills!$A$1,0,0,COUNTA(enemy_skills!$A:$A),MATCH(E$1,enemy_skills!$1:$1,0)-MATCH("enemy_skill_id",enemy_skills!$1:$1,0)+1),MATCH(E$1,enemy_skills!$1:$1,0)-MATCH("enemy_skill_id",enemy_skills!$1:$1,0)+1,FALSE)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8" s="47">
        <v>39009151</v>
      </c>
      <c r="G718" s="48">
        <f ca="1">VLOOKUP($F718,OFFSET(enemy_skill_triggers!$A$1,0,0,COUNTA(enemy_skill_triggers!$A:$A),MATCH(G$1,enemy_skill_triggers!$1:$1,0)-MATCH($F$1,enemy_skill_triggers!$1:$1,0)+1),MATCH(G$1,enemy_skill_triggers!$1:$1,0)-MATCH($F$1,enemy_skill_triggers!$1:$1,0)+1,FALSE)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8" s="48">
        <f ca="1">VLOOKUP($F718,OFFSET(enemy_skill_triggers!$A$1,0,0,COUNTA(enemy_skill_triggers!$A:$A),MATCH(H$1,enemy_skill_triggers!$1:$1,0)-MATCH($F$1,enemy_skill_triggers!$1:$1,0)+1),MATCH(H$1,enemy_skill_triggers!$1:$1,0)-MATCH($F$1,enemy_skill_triggers!$1:$1,0)+1,FALSE)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718" s="48">
        <f ca="1">VLOOKUP($F718,OFFSET(enemy_skill_triggers!$A$1,0,0,COUNTA(enemy_skill_triggers!$A:$A),MATCH(I$1,enemy_skill_triggers!$1:$1,0)-MATCH($F$1,enemy_skill_triggers!$1:$1,0)+1),MATCH(I$1,enemy_skill_triggers!$1:$1,0)-MATCH($F$1,enemy_skill_triggers!$1:$1,0)+1,FALSE)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8" s="48" t="str">
        <f ca="1">VLOOKUP($F718,OFFSET(enemy_skill_triggers!$A$1,0,0,COUNTA(enemy_skill_triggers!$A:$A),MATCH(J$1,enemy_skill_triggers!$1:$1,0)-MATCH($F$1,enemy_skill_triggers!$1:$1,0)+1),MATCH(J$1,enemy_skill_triggers!$1:$1,0)-MATCH($F$1,enemy_skill_triggers!$1:$1,0)+1,FALSE)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8" s="48" t="str">
        <f ca="1">VLOOKUP($F718,OFFSET(enemy_skill_triggers!$A$1,0,0,COUNTA(enemy_skill_triggers!$A:$A),MATCH(K$1,enemy_skill_triggers!$1:$1,0)-MATCH($F$1,enemy_skill_triggers!$1:$1,0)+1),MATCH(K$1,enemy_skill_triggers!$1:$1,0)-MATCH($F$1,enemy_skill_triggers!$1:$1,0)+1,FALSE)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8" s="48">
        <f ca="1">VLOOKUP($F718,OFFSET(enemy_skill_triggers!$A$1,0,0,COUNTA(enemy_skill_triggers!$A:$A),MATCH(L$1,enemy_skill_triggers!$1:$1,0)-MATCH($F$1,enemy_skill_triggers!$1:$1,0)+1),MATCH(L$1,enemy_skill_triggers!$1:$1,0)-MATCH($F$1,enemy_skill_triggers!$1:$1,0)+1,FALSE)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8" s="48" t="str">
        <f ca="1">VLOOKUP($F718,OFFSET(enemy_skill_triggers!$A$1,0,0,COUNTA(enemy_skill_triggers!$A:$A),MATCH(M$1,enemy_skill_triggers!$1:$1,0)-MATCH($F$1,enemy_skill_triggers!$1:$1,0)+1),MATCH(M$1,enemy_skill_triggers!$1:$1,0)-MATCH($F$1,enemy_skill_triggers!$1:$1,0)+1,FALSE)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8" s="48">
        <f ca="1">VLOOKUP($F718,OFFSET(enemy_skill_triggers!$A$1,0,0,COUNTA(enemy_skill_triggers!$A:$A),MATCH(N$1,enemy_skill_triggers!$1:$1,0)-MATCH($F$1,enemy_skill_triggers!$1:$1,0)+1),MATCH(N$1,enemy_skill_triggers!$1:$1,0)-MATCH($F$1,enemy_skill_triggers!$1:$1,0)+1,FALSE)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18" s="48">
        <f ca="1">VLOOKUP($F718,OFFSET(enemy_skill_triggers!$A$1,0,0,COUNTA(enemy_skill_triggers!$A:$A),MATCH(O$1,enemy_skill_triggers!$1:$1,0)-MATCH($F$1,enemy_skill_triggers!$1:$1,0)+1),MATCH(O$1,enemy_skill_triggers!$1:$1,0)-MATCH($F$1,enemy_skill_triggers!$1:$1,0)+1,FALSE)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8" s="47"/>
      <c r="Q718" s="47"/>
      <c r="R718" s="47"/>
    </row>
    <row r="719" spans="1:18" ht="21" customHeight="1" x14ac:dyDescent="0.15">
      <c r="A719" s="39" t="str">
        <f t="shared" si="28"/>
        <v>39009035_39009068</v>
      </c>
      <c r="B719" s="47">
        <v>39009035</v>
      </c>
      <c r="C719" s="47">
        <v>39009068</v>
      </c>
      <c r="D719" s="46" t="str">
        <f ca="1">VLOOKUP($C719,OFFSET(enemy_skills!$A$1,0,0,COUNTA(enemy_skills!$A:$A),MATCH(D$1,enemy_skills!$1:$1,0)-MATCH("enemy_skill_id",enemy_skills!$1:$1,0)+1),MATCH(D$1,enemy_skills!$1:$1,0)-MATCH("enemy_skill_id",enemy_skills!$1:$1,0)+1,FALSE)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19" s="46" t="str">
        <f ca="1">VLOOKUP($C719,OFFSET(enemy_skills!$A$1,0,0,COUNTA(enemy_skills!$A:$A),MATCH(E$1,enemy_skills!$1:$1,0)-MATCH("enemy_skill_id",enemy_skills!$1:$1,0)+1),MATCH(E$1,enemy_skills!$1:$1,0)-MATCH("enemy_skill_id",enemy_skills!$1:$1,0)+1,FALSE)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19" s="47">
        <v>39009152</v>
      </c>
      <c r="G719" s="48">
        <f ca="1">VLOOKUP($F719,OFFSET(enemy_skill_triggers!$A$1,0,0,COUNTA(enemy_skill_triggers!$A:$A),MATCH(G$1,enemy_skill_triggers!$1:$1,0)-MATCH($F$1,enemy_skill_triggers!$1:$1,0)+1),MATCH(G$1,enemy_skill_triggers!$1:$1,0)-MATCH($F$1,enemy_skill_triggers!$1:$1,0)+1,FALSE)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9" s="48">
        <f ca="1">VLOOKUP($F719,OFFSET(enemy_skill_triggers!$A$1,0,0,COUNTA(enemy_skill_triggers!$A:$A),MATCH(H$1,enemy_skill_triggers!$1:$1,0)-MATCH($F$1,enemy_skill_triggers!$1:$1,0)+1),MATCH(H$1,enemy_skill_triggers!$1:$1,0)-MATCH($F$1,enemy_skill_triggers!$1:$1,0)+1,FALSE)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19" s="48">
        <f ca="1">VLOOKUP($F719,OFFSET(enemy_skill_triggers!$A$1,0,0,COUNTA(enemy_skill_triggers!$A:$A),MATCH(I$1,enemy_skill_triggers!$1:$1,0)-MATCH($F$1,enemy_skill_triggers!$1:$1,0)+1),MATCH(I$1,enemy_skill_triggers!$1:$1,0)-MATCH($F$1,enemy_skill_triggers!$1:$1,0)+1,FALSE)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9" s="48" t="str">
        <f ca="1">VLOOKUP($F719,OFFSET(enemy_skill_triggers!$A$1,0,0,COUNTA(enemy_skill_triggers!$A:$A),MATCH(J$1,enemy_skill_triggers!$1:$1,0)-MATCH($F$1,enemy_skill_triggers!$1:$1,0)+1),MATCH(J$1,enemy_skill_triggers!$1:$1,0)-MATCH($F$1,enemy_skill_triggers!$1:$1,0)+1,FALSE)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9" s="48" t="str">
        <f ca="1">VLOOKUP($F719,OFFSET(enemy_skill_triggers!$A$1,0,0,COUNTA(enemy_skill_triggers!$A:$A),MATCH(K$1,enemy_skill_triggers!$1:$1,0)-MATCH($F$1,enemy_skill_triggers!$1:$1,0)+1),MATCH(K$1,enemy_skill_triggers!$1:$1,0)-MATCH($F$1,enemy_skill_triggers!$1:$1,0)+1,FALSE)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9" s="48">
        <f ca="1">VLOOKUP($F719,OFFSET(enemy_skill_triggers!$A$1,0,0,COUNTA(enemy_skill_triggers!$A:$A),MATCH(L$1,enemy_skill_triggers!$1:$1,0)-MATCH($F$1,enemy_skill_triggers!$1:$1,0)+1),MATCH(L$1,enemy_skill_triggers!$1:$1,0)-MATCH($F$1,enemy_skill_triggers!$1:$1,0)+1,FALSE)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9" s="48" t="str">
        <f ca="1">VLOOKUP($F719,OFFSET(enemy_skill_triggers!$A$1,0,0,COUNTA(enemy_skill_triggers!$A:$A),MATCH(M$1,enemy_skill_triggers!$1:$1,0)-MATCH($F$1,enemy_skill_triggers!$1:$1,0)+1),MATCH(M$1,enemy_skill_triggers!$1:$1,0)-MATCH($F$1,enemy_skill_triggers!$1:$1,0)+1,FALSE)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9" s="48">
        <f ca="1">VLOOKUP($F719,OFFSET(enemy_skill_triggers!$A$1,0,0,COUNTA(enemy_skill_triggers!$A:$A),MATCH(N$1,enemy_skill_triggers!$1:$1,0)-MATCH($F$1,enemy_skill_triggers!$1:$1,0)+1),MATCH(N$1,enemy_skill_triggers!$1:$1,0)-MATCH($F$1,enemy_skill_triggers!$1:$1,0)+1,FALSE)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19" s="48">
        <f ca="1">VLOOKUP($F719,OFFSET(enemy_skill_triggers!$A$1,0,0,COUNTA(enemy_skill_triggers!$A:$A),MATCH(O$1,enemy_skill_triggers!$1:$1,0)-MATCH($F$1,enemy_skill_triggers!$1:$1,0)+1),MATCH(O$1,enemy_skill_triggers!$1:$1,0)-MATCH($F$1,enemy_skill_triggers!$1:$1,0)+1,FALSE)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9" s="47"/>
      <c r="Q719" s="47"/>
      <c r="R719" s="47"/>
    </row>
    <row r="720" spans="1:18" ht="21" customHeight="1" x14ac:dyDescent="0.15">
      <c r="A720" s="39" t="str">
        <f t="shared" si="28"/>
        <v>39009035_39009068</v>
      </c>
      <c r="B720" s="47">
        <v>39009035</v>
      </c>
      <c r="C720" s="47">
        <v>39009068</v>
      </c>
      <c r="D720" s="46" t="str">
        <f ca="1">VLOOKUP($C720,OFFSET(enemy_skills!$A$1,0,0,COUNTA(enemy_skills!$A:$A),MATCH(D$1,enemy_skills!$1:$1,0)-MATCH("enemy_skill_id",enemy_skills!$1:$1,0)+1),MATCH(D$1,enemy_skills!$1:$1,0)-MATCH("enemy_skill_id",enemy_skills!$1:$1,0)+1,FALSE)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0" s="46" t="str">
        <f ca="1">VLOOKUP($C720,OFFSET(enemy_skills!$A$1,0,0,COUNTA(enemy_skills!$A:$A),MATCH(E$1,enemy_skills!$1:$1,0)-MATCH("enemy_skill_id",enemy_skills!$1:$1,0)+1),MATCH(E$1,enemy_skills!$1:$1,0)-MATCH("enemy_skill_id",enemy_skills!$1:$1,0)+1,FALSE)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0" s="47">
        <v>39009153</v>
      </c>
      <c r="G720" s="48">
        <f ca="1">VLOOKUP($F720,OFFSET(enemy_skill_triggers!$A$1,0,0,COUNTA(enemy_skill_triggers!$A:$A),MATCH(G$1,enemy_skill_triggers!$1:$1,0)-MATCH($F$1,enemy_skill_triggers!$1:$1,0)+1),MATCH(G$1,enemy_skill_triggers!$1:$1,0)-MATCH($F$1,enemy_skill_triggers!$1:$1,0)+1,FALSE)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0" s="48">
        <f ca="1">VLOOKUP($F720,OFFSET(enemy_skill_triggers!$A$1,0,0,COUNTA(enemy_skill_triggers!$A:$A),MATCH(H$1,enemy_skill_triggers!$1:$1,0)-MATCH($F$1,enemy_skill_triggers!$1:$1,0)+1),MATCH(H$1,enemy_skill_triggers!$1:$1,0)-MATCH($F$1,enemy_skill_triggers!$1:$1,0)+1,FALSE)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720" s="48">
        <f ca="1">VLOOKUP($F720,OFFSET(enemy_skill_triggers!$A$1,0,0,COUNTA(enemy_skill_triggers!$A:$A),MATCH(I$1,enemy_skill_triggers!$1:$1,0)-MATCH($F$1,enemy_skill_triggers!$1:$1,0)+1),MATCH(I$1,enemy_skill_triggers!$1:$1,0)-MATCH($F$1,enemy_skill_triggers!$1:$1,0)+1,FALSE)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0" s="48" t="str">
        <f ca="1">VLOOKUP($F720,OFFSET(enemy_skill_triggers!$A$1,0,0,COUNTA(enemy_skill_triggers!$A:$A),MATCH(J$1,enemy_skill_triggers!$1:$1,0)-MATCH($F$1,enemy_skill_triggers!$1:$1,0)+1),MATCH(J$1,enemy_skill_triggers!$1:$1,0)-MATCH($F$1,enemy_skill_triggers!$1:$1,0)+1,FALSE)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0" s="48" t="str">
        <f ca="1">VLOOKUP($F720,OFFSET(enemy_skill_triggers!$A$1,0,0,COUNTA(enemy_skill_triggers!$A:$A),MATCH(K$1,enemy_skill_triggers!$1:$1,0)-MATCH($F$1,enemy_skill_triggers!$1:$1,0)+1),MATCH(K$1,enemy_skill_triggers!$1:$1,0)-MATCH($F$1,enemy_skill_triggers!$1:$1,0)+1,FALSE)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0" s="48">
        <f ca="1">VLOOKUP($F720,OFFSET(enemy_skill_triggers!$A$1,0,0,COUNTA(enemy_skill_triggers!$A:$A),MATCH(L$1,enemy_skill_triggers!$1:$1,0)-MATCH($F$1,enemy_skill_triggers!$1:$1,0)+1),MATCH(L$1,enemy_skill_triggers!$1:$1,0)-MATCH($F$1,enemy_skill_triggers!$1:$1,0)+1,FALSE)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0" s="48" t="str">
        <f ca="1">VLOOKUP($F720,OFFSET(enemy_skill_triggers!$A$1,0,0,COUNTA(enemy_skill_triggers!$A:$A),MATCH(M$1,enemy_skill_triggers!$1:$1,0)-MATCH($F$1,enemy_skill_triggers!$1:$1,0)+1),MATCH(M$1,enemy_skill_triggers!$1:$1,0)-MATCH($F$1,enemy_skill_triggers!$1:$1,0)+1,FALSE)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0" s="48">
        <f ca="1">VLOOKUP($F720,OFFSET(enemy_skill_triggers!$A$1,0,0,COUNTA(enemy_skill_triggers!$A:$A),MATCH(N$1,enemy_skill_triggers!$1:$1,0)-MATCH($F$1,enemy_skill_triggers!$1:$1,0)+1),MATCH(N$1,enemy_skill_triggers!$1:$1,0)-MATCH($F$1,enemy_skill_triggers!$1:$1,0)+1,FALSE)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720" s="48">
        <f ca="1">VLOOKUP($F720,OFFSET(enemy_skill_triggers!$A$1,0,0,COUNTA(enemy_skill_triggers!$A:$A),MATCH(O$1,enemy_skill_triggers!$1:$1,0)-MATCH($F$1,enemy_skill_triggers!$1:$1,0)+1),MATCH(O$1,enemy_skill_triggers!$1:$1,0)-MATCH($F$1,enemy_skill_triggers!$1:$1,0)+1,FALSE)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0" s="47"/>
      <c r="Q720" s="47"/>
      <c r="R720" s="47"/>
    </row>
    <row r="721" spans="1:18" ht="21" customHeight="1" x14ac:dyDescent="0.15">
      <c r="A721" s="39" t="str">
        <f t="shared" si="28"/>
        <v>39009035_39009068</v>
      </c>
      <c r="B721" s="47">
        <v>39009035</v>
      </c>
      <c r="C721" s="47">
        <v>39009068</v>
      </c>
      <c r="D721" s="46" t="str">
        <f ca="1">VLOOKUP($C721,OFFSET(enemy_skills!$A$1,0,0,COUNTA(enemy_skills!$A:$A),MATCH(D$1,enemy_skills!$1:$1,0)-MATCH("enemy_skill_id",enemy_skills!$1:$1,0)+1),MATCH(D$1,enemy_skills!$1:$1,0)-MATCH("enemy_skill_id",enemy_skills!$1:$1,0)+1,FALSE)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1" s="46" t="str">
        <f ca="1">VLOOKUP($C721,OFFSET(enemy_skills!$A$1,0,0,COUNTA(enemy_skills!$A:$A),MATCH(E$1,enemy_skills!$1:$1,0)-MATCH("enemy_skill_id",enemy_skills!$1:$1,0)+1),MATCH(E$1,enemy_skills!$1:$1,0)-MATCH("enemy_skill_id",enemy_skills!$1:$1,0)+1,FALSE)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1" s="47">
        <v>39009154</v>
      </c>
      <c r="G721" s="48">
        <f ca="1">VLOOKUP($F721,OFFSET(enemy_skill_triggers!$A$1,0,0,COUNTA(enemy_skill_triggers!$A:$A),MATCH(G$1,enemy_skill_triggers!$1:$1,0)-MATCH($F$1,enemy_skill_triggers!$1:$1,0)+1),MATCH(G$1,enemy_skill_triggers!$1:$1,0)-MATCH($F$1,enemy_skill_triggers!$1:$1,0)+1,FALSE)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1" s="48">
        <f ca="1">VLOOKUP($F721,OFFSET(enemy_skill_triggers!$A$1,0,0,COUNTA(enemy_skill_triggers!$A:$A),MATCH(H$1,enemy_skill_triggers!$1:$1,0)-MATCH($F$1,enemy_skill_triggers!$1:$1,0)+1),MATCH(H$1,enemy_skill_triggers!$1:$1,0)-MATCH($F$1,enemy_skill_triggers!$1:$1,0)+1,FALSE)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721" s="48">
        <f ca="1">VLOOKUP($F721,OFFSET(enemy_skill_triggers!$A$1,0,0,COUNTA(enemy_skill_triggers!$A:$A),MATCH(I$1,enemy_skill_triggers!$1:$1,0)-MATCH($F$1,enemy_skill_triggers!$1:$1,0)+1),MATCH(I$1,enemy_skill_triggers!$1:$1,0)-MATCH($F$1,enemy_skill_triggers!$1:$1,0)+1,FALSE)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1" s="48" t="str">
        <f ca="1">VLOOKUP($F721,OFFSET(enemy_skill_triggers!$A$1,0,0,COUNTA(enemy_skill_triggers!$A:$A),MATCH(J$1,enemy_skill_triggers!$1:$1,0)-MATCH($F$1,enemy_skill_triggers!$1:$1,0)+1),MATCH(J$1,enemy_skill_triggers!$1:$1,0)-MATCH($F$1,enemy_skill_triggers!$1:$1,0)+1,FALSE)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1" s="48" t="str">
        <f ca="1">VLOOKUP($F721,OFFSET(enemy_skill_triggers!$A$1,0,0,COUNTA(enemy_skill_triggers!$A:$A),MATCH(K$1,enemy_skill_triggers!$1:$1,0)-MATCH($F$1,enemy_skill_triggers!$1:$1,0)+1),MATCH(K$1,enemy_skill_triggers!$1:$1,0)-MATCH($F$1,enemy_skill_triggers!$1:$1,0)+1,FALSE)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1" s="48">
        <f ca="1">VLOOKUP($F721,OFFSET(enemy_skill_triggers!$A$1,0,0,COUNTA(enemy_skill_triggers!$A:$A),MATCH(L$1,enemy_skill_triggers!$1:$1,0)-MATCH($F$1,enemy_skill_triggers!$1:$1,0)+1),MATCH(L$1,enemy_skill_triggers!$1:$1,0)-MATCH($F$1,enemy_skill_triggers!$1:$1,0)+1,FALSE)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1" s="48" t="str">
        <f ca="1">VLOOKUP($F721,OFFSET(enemy_skill_triggers!$A$1,0,0,COUNTA(enemy_skill_triggers!$A:$A),MATCH(M$1,enemy_skill_triggers!$1:$1,0)-MATCH($F$1,enemy_skill_triggers!$1:$1,0)+1),MATCH(M$1,enemy_skill_triggers!$1:$1,0)-MATCH($F$1,enemy_skill_triggers!$1:$1,0)+1,FALSE)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1" s="48">
        <f ca="1">VLOOKUP($F721,OFFSET(enemy_skill_triggers!$A$1,0,0,COUNTA(enemy_skill_triggers!$A:$A),MATCH(N$1,enemy_skill_triggers!$1:$1,0)-MATCH($F$1,enemy_skill_triggers!$1:$1,0)+1),MATCH(N$1,enemy_skill_triggers!$1:$1,0)-MATCH($F$1,enemy_skill_triggers!$1:$1,0)+1,FALSE)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721" s="48">
        <f ca="1">VLOOKUP($F721,OFFSET(enemy_skill_triggers!$A$1,0,0,COUNTA(enemy_skill_triggers!$A:$A),MATCH(O$1,enemy_skill_triggers!$1:$1,0)-MATCH($F$1,enemy_skill_triggers!$1:$1,0)+1),MATCH(O$1,enemy_skill_triggers!$1:$1,0)-MATCH($F$1,enemy_skill_triggers!$1:$1,0)+1,FALSE)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1" s="47"/>
      <c r="Q721" s="47"/>
      <c r="R721" s="47"/>
    </row>
    <row r="722" spans="1:18" ht="21" customHeight="1" x14ac:dyDescent="0.15">
      <c r="A722" s="39" t="str">
        <f t="shared" si="28"/>
        <v>39009035_39009068</v>
      </c>
      <c r="B722" s="47">
        <v>39009035</v>
      </c>
      <c r="C722" s="47">
        <v>39009068</v>
      </c>
      <c r="D722" s="46" t="str">
        <f ca="1">VLOOKUP($C722,OFFSET(enemy_skills!$A$1,0,0,COUNTA(enemy_skills!$A:$A),MATCH(D$1,enemy_skills!$1:$1,0)-MATCH("enemy_skill_id",enemy_skills!$1:$1,0)+1),MATCH(D$1,enemy_skills!$1:$1,0)-MATCH("enemy_skill_id",enemy_skills!$1:$1,0)+1,FALSE)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2" s="46" t="str">
        <f ca="1">VLOOKUP($C722,OFFSET(enemy_skills!$A$1,0,0,COUNTA(enemy_skills!$A:$A),MATCH(E$1,enemy_skills!$1:$1,0)-MATCH("enemy_skill_id",enemy_skills!$1:$1,0)+1),MATCH(E$1,enemy_skills!$1:$1,0)-MATCH("enemy_skill_id",enemy_skills!$1:$1,0)+1,FALSE)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2" s="47">
        <v>39009155</v>
      </c>
      <c r="G722" s="48">
        <f ca="1">VLOOKUP($F722,OFFSET(enemy_skill_triggers!$A$1,0,0,COUNTA(enemy_skill_triggers!$A:$A),MATCH(G$1,enemy_skill_triggers!$1:$1,0)-MATCH($F$1,enemy_skill_triggers!$1:$1,0)+1),MATCH(G$1,enemy_skill_triggers!$1:$1,0)-MATCH($F$1,enemy_skill_triggers!$1:$1,0)+1,FALSE)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2" s="48">
        <f ca="1">VLOOKUP($F722,OFFSET(enemy_skill_triggers!$A$1,0,0,COUNTA(enemy_skill_triggers!$A:$A),MATCH(H$1,enemy_skill_triggers!$1:$1,0)-MATCH($F$1,enemy_skill_triggers!$1:$1,0)+1),MATCH(H$1,enemy_skill_triggers!$1:$1,0)-MATCH($F$1,enemy_skill_triggers!$1:$1,0)+1,FALSE)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722" s="48">
        <f ca="1">VLOOKUP($F722,OFFSET(enemy_skill_triggers!$A$1,0,0,COUNTA(enemy_skill_triggers!$A:$A),MATCH(I$1,enemy_skill_triggers!$1:$1,0)-MATCH($F$1,enemy_skill_triggers!$1:$1,0)+1),MATCH(I$1,enemy_skill_triggers!$1:$1,0)-MATCH($F$1,enemy_skill_triggers!$1:$1,0)+1,FALSE)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2" s="48" t="str">
        <f ca="1">VLOOKUP($F722,OFFSET(enemy_skill_triggers!$A$1,0,0,COUNTA(enemy_skill_triggers!$A:$A),MATCH(J$1,enemy_skill_triggers!$1:$1,0)-MATCH($F$1,enemy_skill_triggers!$1:$1,0)+1),MATCH(J$1,enemy_skill_triggers!$1:$1,0)-MATCH($F$1,enemy_skill_triggers!$1:$1,0)+1,FALSE)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2" s="48" t="str">
        <f ca="1">VLOOKUP($F722,OFFSET(enemy_skill_triggers!$A$1,0,0,COUNTA(enemy_skill_triggers!$A:$A),MATCH(K$1,enemy_skill_triggers!$1:$1,0)-MATCH($F$1,enemy_skill_triggers!$1:$1,0)+1),MATCH(K$1,enemy_skill_triggers!$1:$1,0)-MATCH($F$1,enemy_skill_triggers!$1:$1,0)+1,FALSE)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2" s="48">
        <f ca="1">VLOOKUP($F722,OFFSET(enemy_skill_triggers!$A$1,0,0,COUNTA(enemy_skill_triggers!$A:$A),MATCH(L$1,enemy_skill_triggers!$1:$1,0)-MATCH($F$1,enemy_skill_triggers!$1:$1,0)+1),MATCH(L$1,enemy_skill_triggers!$1:$1,0)-MATCH($F$1,enemy_skill_triggers!$1:$1,0)+1,FALSE)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2" s="48" t="str">
        <f ca="1">VLOOKUP($F722,OFFSET(enemy_skill_triggers!$A$1,0,0,COUNTA(enemy_skill_triggers!$A:$A),MATCH(M$1,enemy_skill_triggers!$1:$1,0)-MATCH($F$1,enemy_skill_triggers!$1:$1,0)+1),MATCH(M$1,enemy_skill_triggers!$1:$1,0)-MATCH($F$1,enemy_skill_triggers!$1:$1,0)+1,FALSE)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2" s="48">
        <f ca="1">VLOOKUP($F722,OFFSET(enemy_skill_triggers!$A$1,0,0,COUNTA(enemy_skill_triggers!$A:$A),MATCH(N$1,enemy_skill_triggers!$1:$1,0)-MATCH($F$1,enemy_skill_triggers!$1:$1,0)+1),MATCH(N$1,enemy_skill_triggers!$1:$1,0)-MATCH($F$1,enemy_skill_triggers!$1:$1,0)+1,FALSE)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722" s="48">
        <f ca="1">VLOOKUP($F722,OFFSET(enemy_skill_triggers!$A$1,0,0,COUNTA(enemy_skill_triggers!$A:$A),MATCH(O$1,enemy_skill_triggers!$1:$1,0)-MATCH($F$1,enemy_skill_triggers!$1:$1,0)+1),MATCH(O$1,enemy_skill_triggers!$1:$1,0)-MATCH($F$1,enemy_skill_triggers!$1:$1,0)+1,FALSE)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2" s="47"/>
      <c r="Q722" s="47"/>
      <c r="R722" s="47"/>
    </row>
    <row r="723" spans="1:18" ht="21" customHeight="1" x14ac:dyDescent="0.15">
      <c r="A723" s="39" t="str">
        <f t="shared" si="28"/>
        <v>39009035_39009068</v>
      </c>
      <c r="B723" s="47">
        <v>39009035</v>
      </c>
      <c r="C723" s="47">
        <v>39009068</v>
      </c>
      <c r="D723" s="46" t="str">
        <f ca="1">VLOOKUP($C723,OFFSET(enemy_skills!$A$1,0,0,COUNTA(enemy_skills!$A:$A),MATCH(D$1,enemy_skills!$1:$1,0)-MATCH("enemy_skill_id",enemy_skills!$1:$1,0)+1),MATCH(D$1,enemy_skills!$1:$1,0)-MATCH("enemy_skill_id",enemy_skills!$1:$1,0)+1,FALSE)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3" s="46" t="str">
        <f ca="1">VLOOKUP($C723,OFFSET(enemy_skills!$A$1,0,0,COUNTA(enemy_skills!$A:$A),MATCH(E$1,enemy_skills!$1:$1,0)-MATCH("enemy_skill_id",enemy_skills!$1:$1,0)+1),MATCH(E$1,enemy_skills!$1:$1,0)-MATCH("enemy_skill_id",enemy_skills!$1:$1,0)+1,FALSE)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3" s="47">
        <v>39009156</v>
      </c>
      <c r="G723" s="48">
        <f ca="1">VLOOKUP($F723,OFFSET(enemy_skill_triggers!$A$1,0,0,COUNTA(enemy_skill_triggers!$A:$A),MATCH(G$1,enemy_skill_triggers!$1:$1,0)-MATCH($F$1,enemy_skill_triggers!$1:$1,0)+1),MATCH(G$1,enemy_skill_triggers!$1:$1,0)-MATCH($F$1,enemy_skill_triggers!$1:$1,0)+1,FALSE)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3" s="48">
        <f ca="1">VLOOKUP($F723,OFFSET(enemy_skill_triggers!$A$1,0,0,COUNTA(enemy_skill_triggers!$A:$A),MATCH(H$1,enemy_skill_triggers!$1:$1,0)-MATCH($F$1,enemy_skill_triggers!$1:$1,0)+1),MATCH(H$1,enemy_skill_triggers!$1:$1,0)-MATCH($F$1,enemy_skill_triggers!$1:$1,0)+1,FALSE)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723" s="48">
        <f ca="1">VLOOKUP($F723,OFFSET(enemy_skill_triggers!$A$1,0,0,COUNTA(enemy_skill_triggers!$A:$A),MATCH(I$1,enemy_skill_triggers!$1:$1,0)-MATCH($F$1,enemy_skill_triggers!$1:$1,0)+1),MATCH(I$1,enemy_skill_triggers!$1:$1,0)-MATCH($F$1,enemy_skill_triggers!$1:$1,0)+1,FALSE)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3" s="48" t="str">
        <f ca="1">VLOOKUP($F723,OFFSET(enemy_skill_triggers!$A$1,0,0,COUNTA(enemy_skill_triggers!$A:$A),MATCH(J$1,enemy_skill_triggers!$1:$1,0)-MATCH($F$1,enemy_skill_triggers!$1:$1,0)+1),MATCH(J$1,enemy_skill_triggers!$1:$1,0)-MATCH($F$1,enemy_skill_triggers!$1:$1,0)+1,FALSE)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3" s="48" t="str">
        <f ca="1">VLOOKUP($F723,OFFSET(enemy_skill_triggers!$A$1,0,0,COUNTA(enemy_skill_triggers!$A:$A),MATCH(K$1,enemy_skill_triggers!$1:$1,0)-MATCH($F$1,enemy_skill_triggers!$1:$1,0)+1),MATCH(K$1,enemy_skill_triggers!$1:$1,0)-MATCH($F$1,enemy_skill_triggers!$1:$1,0)+1,FALSE)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3" s="48">
        <f ca="1">VLOOKUP($F723,OFFSET(enemy_skill_triggers!$A$1,0,0,COUNTA(enemy_skill_triggers!$A:$A),MATCH(L$1,enemy_skill_triggers!$1:$1,0)-MATCH($F$1,enemy_skill_triggers!$1:$1,0)+1),MATCH(L$1,enemy_skill_triggers!$1:$1,0)-MATCH($F$1,enemy_skill_triggers!$1:$1,0)+1,FALSE)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3" s="48" t="str">
        <f ca="1">VLOOKUP($F723,OFFSET(enemy_skill_triggers!$A$1,0,0,COUNTA(enemy_skill_triggers!$A:$A),MATCH(M$1,enemy_skill_triggers!$1:$1,0)-MATCH($F$1,enemy_skill_triggers!$1:$1,0)+1),MATCH(M$1,enemy_skill_triggers!$1:$1,0)-MATCH($F$1,enemy_skill_triggers!$1:$1,0)+1,FALSE)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3" s="48">
        <f ca="1">VLOOKUP($F723,OFFSET(enemy_skill_triggers!$A$1,0,0,COUNTA(enemy_skill_triggers!$A:$A),MATCH(N$1,enemy_skill_triggers!$1:$1,0)-MATCH($F$1,enemy_skill_triggers!$1:$1,0)+1),MATCH(N$1,enemy_skill_triggers!$1:$1,0)-MATCH($F$1,enemy_skill_triggers!$1:$1,0)+1,FALSE)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723" s="48">
        <f ca="1">VLOOKUP($F723,OFFSET(enemy_skill_triggers!$A$1,0,0,COUNTA(enemy_skill_triggers!$A:$A),MATCH(O$1,enemy_skill_triggers!$1:$1,0)-MATCH($F$1,enemy_skill_triggers!$1:$1,0)+1),MATCH(O$1,enemy_skill_triggers!$1:$1,0)-MATCH($F$1,enemy_skill_triggers!$1:$1,0)+1,FALSE)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3" s="47"/>
      <c r="Q723" s="47"/>
      <c r="R723" s="47"/>
    </row>
    <row r="724" spans="1:18" ht="21" customHeight="1" x14ac:dyDescent="0.15">
      <c r="A724" s="39" t="str">
        <f t="shared" si="28"/>
        <v>39009035_39009068</v>
      </c>
      <c r="B724" s="47">
        <v>39009035</v>
      </c>
      <c r="C724" s="47">
        <v>39009068</v>
      </c>
      <c r="D724" s="46" t="str">
        <f ca="1">VLOOKUP($C724,OFFSET(enemy_skills!$A$1,0,0,COUNTA(enemy_skills!$A:$A),MATCH(D$1,enemy_skills!$1:$1,0)-MATCH("enemy_skill_id",enemy_skills!$1:$1,0)+1),MATCH(D$1,enemy_skills!$1:$1,0)-MATCH("enemy_skill_id",enemy_skills!$1:$1,0)+1,FALSE)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4" s="46" t="str">
        <f ca="1">VLOOKUP($C724,OFFSET(enemy_skills!$A$1,0,0,COUNTA(enemy_skills!$A:$A),MATCH(E$1,enemy_skills!$1:$1,0)-MATCH("enemy_skill_id",enemy_skills!$1:$1,0)+1),MATCH(E$1,enemy_skills!$1:$1,0)-MATCH("enemy_skill_id",enemy_skills!$1:$1,0)+1,FALSE)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4" s="47">
        <v>39009157</v>
      </c>
      <c r="G724" s="48">
        <f ca="1">VLOOKUP($F724,OFFSET(enemy_skill_triggers!$A$1,0,0,COUNTA(enemy_skill_triggers!$A:$A),MATCH(G$1,enemy_skill_triggers!$1:$1,0)-MATCH($F$1,enemy_skill_triggers!$1:$1,0)+1),MATCH(G$1,enemy_skill_triggers!$1:$1,0)-MATCH($F$1,enemy_skill_triggers!$1:$1,0)+1,FALSE)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4" s="48">
        <f ca="1">VLOOKUP($F724,OFFSET(enemy_skill_triggers!$A$1,0,0,COUNTA(enemy_skill_triggers!$A:$A),MATCH(H$1,enemy_skill_triggers!$1:$1,0)-MATCH($F$1,enemy_skill_triggers!$1:$1,0)+1),MATCH(H$1,enemy_skill_triggers!$1:$1,0)-MATCH($F$1,enemy_skill_triggers!$1:$1,0)+1,FALSE)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24" s="48">
        <f ca="1">VLOOKUP($F724,OFFSET(enemy_skill_triggers!$A$1,0,0,COUNTA(enemy_skill_triggers!$A:$A),MATCH(I$1,enemy_skill_triggers!$1:$1,0)-MATCH($F$1,enemy_skill_triggers!$1:$1,0)+1),MATCH(I$1,enemy_skill_triggers!$1:$1,0)-MATCH($F$1,enemy_skill_triggers!$1:$1,0)+1,FALSE)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4" s="48" t="str">
        <f ca="1">VLOOKUP($F724,OFFSET(enemy_skill_triggers!$A$1,0,0,COUNTA(enemy_skill_triggers!$A:$A),MATCH(J$1,enemy_skill_triggers!$1:$1,0)-MATCH($F$1,enemy_skill_triggers!$1:$1,0)+1),MATCH(J$1,enemy_skill_triggers!$1:$1,0)-MATCH($F$1,enemy_skill_triggers!$1:$1,0)+1,FALSE)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4" s="48" t="str">
        <f ca="1">VLOOKUP($F724,OFFSET(enemy_skill_triggers!$A$1,0,0,COUNTA(enemy_skill_triggers!$A:$A),MATCH(K$1,enemy_skill_triggers!$1:$1,0)-MATCH($F$1,enemy_skill_triggers!$1:$1,0)+1),MATCH(K$1,enemy_skill_triggers!$1:$1,0)-MATCH($F$1,enemy_skill_triggers!$1:$1,0)+1,FALSE)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4" s="48">
        <f ca="1">VLOOKUP($F724,OFFSET(enemy_skill_triggers!$A$1,0,0,COUNTA(enemy_skill_triggers!$A:$A),MATCH(L$1,enemy_skill_triggers!$1:$1,0)-MATCH($F$1,enemy_skill_triggers!$1:$1,0)+1),MATCH(L$1,enemy_skill_triggers!$1:$1,0)-MATCH($F$1,enemy_skill_triggers!$1:$1,0)+1,FALSE)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4" s="48" t="str">
        <f ca="1">VLOOKUP($F724,OFFSET(enemy_skill_triggers!$A$1,0,0,COUNTA(enemy_skill_triggers!$A:$A),MATCH(M$1,enemy_skill_triggers!$1:$1,0)-MATCH($F$1,enemy_skill_triggers!$1:$1,0)+1),MATCH(M$1,enemy_skill_triggers!$1:$1,0)-MATCH($F$1,enemy_skill_triggers!$1:$1,0)+1,FALSE)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4" s="48">
        <f ca="1">VLOOKUP($F724,OFFSET(enemy_skill_triggers!$A$1,0,0,COUNTA(enemy_skill_triggers!$A:$A),MATCH(N$1,enemy_skill_triggers!$1:$1,0)-MATCH($F$1,enemy_skill_triggers!$1:$1,0)+1),MATCH(N$1,enemy_skill_triggers!$1:$1,0)-MATCH($F$1,enemy_skill_triggers!$1:$1,0)+1,FALSE)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724" s="48">
        <f ca="1">VLOOKUP($F724,OFFSET(enemy_skill_triggers!$A$1,0,0,COUNTA(enemy_skill_triggers!$A:$A),MATCH(O$1,enemy_skill_triggers!$1:$1,0)-MATCH($F$1,enemy_skill_triggers!$1:$1,0)+1),MATCH(O$1,enemy_skill_triggers!$1:$1,0)-MATCH($F$1,enemy_skill_triggers!$1:$1,0)+1,FALSE)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4" s="47"/>
      <c r="Q724" s="47"/>
      <c r="R724" s="47"/>
    </row>
    <row r="725" spans="1:18" ht="21" customHeight="1" x14ac:dyDescent="0.15">
      <c r="A725" s="39" t="str">
        <f t="shared" si="28"/>
        <v>39009035_39009068</v>
      </c>
      <c r="B725" s="47">
        <v>39009035</v>
      </c>
      <c r="C725" s="47">
        <v>39009068</v>
      </c>
      <c r="D725" s="46" t="str">
        <f ca="1">VLOOKUP($C725,OFFSET(enemy_skills!$A$1,0,0,COUNTA(enemy_skills!$A:$A),MATCH(D$1,enemy_skills!$1:$1,0)-MATCH("enemy_skill_id",enemy_skills!$1:$1,0)+1),MATCH(D$1,enemy_skills!$1:$1,0)-MATCH("enemy_skill_id",enemy_skills!$1:$1,0)+1,FALSE)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5" s="46" t="str">
        <f ca="1">VLOOKUP($C725,OFFSET(enemy_skills!$A$1,0,0,COUNTA(enemy_skills!$A:$A),MATCH(E$1,enemy_skills!$1:$1,0)-MATCH("enemy_skill_id",enemy_skills!$1:$1,0)+1),MATCH(E$1,enemy_skills!$1:$1,0)-MATCH("enemy_skill_id",enemy_skills!$1:$1,0)+1,FALSE)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5" s="47">
        <v>39009158</v>
      </c>
      <c r="G725" s="48">
        <f ca="1">VLOOKUP($F725,OFFSET(enemy_skill_triggers!$A$1,0,0,COUNTA(enemy_skill_triggers!$A:$A),MATCH(G$1,enemy_skill_triggers!$1:$1,0)-MATCH($F$1,enemy_skill_triggers!$1:$1,0)+1),MATCH(G$1,enemy_skill_triggers!$1:$1,0)-MATCH($F$1,enemy_skill_triggers!$1:$1,0)+1,FALSE)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5" s="48">
        <f ca="1">VLOOKUP($F725,OFFSET(enemy_skill_triggers!$A$1,0,0,COUNTA(enemy_skill_triggers!$A:$A),MATCH(H$1,enemy_skill_triggers!$1:$1,0)-MATCH($F$1,enemy_skill_triggers!$1:$1,0)+1),MATCH(H$1,enemy_skill_triggers!$1:$1,0)-MATCH($F$1,enemy_skill_triggers!$1:$1,0)+1,FALSE)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25" s="48">
        <f ca="1">VLOOKUP($F725,OFFSET(enemy_skill_triggers!$A$1,0,0,COUNTA(enemy_skill_triggers!$A:$A),MATCH(I$1,enemy_skill_triggers!$1:$1,0)-MATCH($F$1,enemy_skill_triggers!$1:$1,0)+1),MATCH(I$1,enemy_skill_triggers!$1:$1,0)-MATCH($F$1,enemy_skill_triggers!$1:$1,0)+1,FALSE)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5" s="48" t="str">
        <f ca="1">VLOOKUP($F725,OFFSET(enemy_skill_triggers!$A$1,0,0,COUNTA(enemy_skill_triggers!$A:$A),MATCH(J$1,enemy_skill_triggers!$1:$1,0)-MATCH($F$1,enemy_skill_triggers!$1:$1,0)+1),MATCH(J$1,enemy_skill_triggers!$1:$1,0)-MATCH($F$1,enemy_skill_triggers!$1:$1,0)+1,FALSE)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5" s="48" t="str">
        <f ca="1">VLOOKUP($F725,OFFSET(enemy_skill_triggers!$A$1,0,0,COUNTA(enemy_skill_triggers!$A:$A),MATCH(K$1,enemy_skill_triggers!$1:$1,0)-MATCH($F$1,enemy_skill_triggers!$1:$1,0)+1),MATCH(K$1,enemy_skill_triggers!$1:$1,0)-MATCH($F$1,enemy_skill_triggers!$1:$1,0)+1,FALSE)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5" s="48">
        <f ca="1">VLOOKUP($F725,OFFSET(enemy_skill_triggers!$A$1,0,0,COUNTA(enemy_skill_triggers!$A:$A),MATCH(L$1,enemy_skill_triggers!$1:$1,0)-MATCH($F$1,enemy_skill_triggers!$1:$1,0)+1),MATCH(L$1,enemy_skill_triggers!$1:$1,0)-MATCH($F$1,enemy_skill_triggers!$1:$1,0)+1,FALSE)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5" s="48" t="str">
        <f ca="1">VLOOKUP($F725,OFFSET(enemy_skill_triggers!$A$1,0,0,COUNTA(enemy_skill_triggers!$A:$A),MATCH(M$1,enemy_skill_triggers!$1:$1,0)-MATCH($F$1,enemy_skill_triggers!$1:$1,0)+1),MATCH(M$1,enemy_skill_triggers!$1:$1,0)-MATCH($F$1,enemy_skill_triggers!$1:$1,0)+1,FALSE)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5" s="48">
        <f ca="1">VLOOKUP($F725,OFFSET(enemy_skill_triggers!$A$1,0,0,COUNTA(enemy_skill_triggers!$A:$A),MATCH(N$1,enemy_skill_triggers!$1:$1,0)-MATCH($F$1,enemy_skill_triggers!$1:$1,0)+1),MATCH(N$1,enemy_skill_triggers!$1:$1,0)-MATCH($F$1,enemy_skill_triggers!$1:$1,0)+1,FALSE)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725" s="48">
        <f ca="1">VLOOKUP($F725,OFFSET(enemy_skill_triggers!$A$1,0,0,COUNTA(enemy_skill_triggers!$A:$A),MATCH(O$1,enemy_skill_triggers!$1:$1,0)-MATCH($F$1,enemy_skill_triggers!$1:$1,0)+1),MATCH(O$1,enemy_skill_triggers!$1:$1,0)-MATCH($F$1,enemy_skill_triggers!$1:$1,0)+1,FALSE)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5" s="47"/>
      <c r="Q725" s="47"/>
      <c r="R725" s="47"/>
    </row>
    <row r="726" spans="1:18" ht="21" customHeight="1" x14ac:dyDescent="0.15">
      <c r="A726" s="39" t="str">
        <f t="shared" si="28"/>
        <v>39009035_39009068</v>
      </c>
      <c r="B726" s="47">
        <v>39009035</v>
      </c>
      <c r="C726" s="47">
        <v>39009068</v>
      </c>
      <c r="D726" s="46" t="str">
        <f ca="1">VLOOKUP($C726,OFFSET(enemy_skills!$A$1,0,0,COUNTA(enemy_skills!$A:$A),MATCH(D$1,enemy_skills!$1:$1,0)-MATCH("enemy_skill_id",enemy_skills!$1:$1,0)+1),MATCH(D$1,enemy_skills!$1:$1,0)-MATCH("enemy_skill_id",enemy_skills!$1:$1,0)+1,FALSE)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6" s="46" t="str">
        <f ca="1">VLOOKUP($C726,OFFSET(enemy_skills!$A$1,0,0,COUNTA(enemy_skills!$A:$A),MATCH(E$1,enemy_skills!$1:$1,0)-MATCH("enemy_skill_id",enemy_skills!$1:$1,0)+1),MATCH(E$1,enemy_skills!$1:$1,0)-MATCH("enemy_skill_id",enemy_skills!$1:$1,0)+1,FALSE)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6" s="47">
        <v>39009159</v>
      </c>
      <c r="G726" s="48">
        <f ca="1">VLOOKUP($F726,OFFSET(enemy_skill_triggers!$A$1,0,0,COUNTA(enemy_skill_triggers!$A:$A),MATCH(G$1,enemy_skill_triggers!$1:$1,0)-MATCH($F$1,enemy_skill_triggers!$1:$1,0)+1),MATCH(G$1,enemy_skill_triggers!$1:$1,0)-MATCH($F$1,enemy_skill_triggers!$1:$1,0)+1,FALSE)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6" s="48">
        <f ca="1">VLOOKUP($F726,OFFSET(enemy_skill_triggers!$A$1,0,0,COUNTA(enemy_skill_triggers!$A:$A),MATCH(H$1,enemy_skill_triggers!$1:$1,0)-MATCH($F$1,enemy_skill_triggers!$1:$1,0)+1),MATCH(H$1,enemy_skill_triggers!$1:$1,0)-MATCH($F$1,enemy_skill_triggers!$1:$1,0)+1,FALSE)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26" s="48">
        <f ca="1">VLOOKUP($F726,OFFSET(enemy_skill_triggers!$A$1,0,0,COUNTA(enemy_skill_triggers!$A:$A),MATCH(I$1,enemy_skill_triggers!$1:$1,0)-MATCH($F$1,enemy_skill_triggers!$1:$1,0)+1),MATCH(I$1,enemy_skill_triggers!$1:$1,0)-MATCH($F$1,enemy_skill_triggers!$1:$1,0)+1,FALSE)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6" s="48" t="str">
        <f ca="1">VLOOKUP($F726,OFFSET(enemy_skill_triggers!$A$1,0,0,COUNTA(enemy_skill_triggers!$A:$A),MATCH(J$1,enemy_skill_triggers!$1:$1,0)-MATCH($F$1,enemy_skill_triggers!$1:$1,0)+1),MATCH(J$1,enemy_skill_triggers!$1:$1,0)-MATCH($F$1,enemy_skill_triggers!$1:$1,0)+1,FALSE)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6" s="48" t="str">
        <f ca="1">VLOOKUP($F726,OFFSET(enemy_skill_triggers!$A$1,0,0,COUNTA(enemy_skill_triggers!$A:$A),MATCH(K$1,enemy_skill_triggers!$1:$1,0)-MATCH($F$1,enemy_skill_triggers!$1:$1,0)+1),MATCH(K$1,enemy_skill_triggers!$1:$1,0)-MATCH($F$1,enemy_skill_triggers!$1:$1,0)+1,FALSE)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6" s="48">
        <f ca="1">VLOOKUP($F726,OFFSET(enemy_skill_triggers!$A$1,0,0,COUNTA(enemy_skill_triggers!$A:$A),MATCH(L$1,enemy_skill_triggers!$1:$1,0)-MATCH($F$1,enemy_skill_triggers!$1:$1,0)+1),MATCH(L$1,enemy_skill_triggers!$1:$1,0)-MATCH($F$1,enemy_skill_triggers!$1:$1,0)+1,FALSE)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6" s="48" t="str">
        <f ca="1">VLOOKUP($F726,OFFSET(enemy_skill_triggers!$A$1,0,0,COUNTA(enemy_skill_triggers!$A:$A),MATCH(M$1,enemy_skill_triggers!$1:$1,0)-MATCH($F$1,enemy_skill_triggers!$1:$1,0)+1),MATCH(M$1,enemy_skill_triggers!$1:$1,0)-MATCH($F$1,enemy_skill_triggers!$1:$1,0)+1,FALSE)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6" s="48">
        <f ca="1">VLOOKUP($F726,OFFSET(enemy_skill_triggers!$A$1,0,0,COUNTA(enemy_skill_triggers!$A:$A),MATCH(N$1,enemy_skill_triggers!$1:$1,0)-MATCH($F$1,enemy_skill_triggers!$1:$1,0)+1),MATCH(N$1,enemy_skill_triggers!$1:$1,0)-MATCH($F$1,enemy_skill_triggers!$1:$1,0)+1,FALSE)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26" s="48">
        <f ca="1">VLOOKUP($F726,OFFSET(enemy_skill_triggers!$A$1,0,0,COUNTA(enemy_skill_triggers!$A:$A),MATCH(O$1,enemy_skill_triggers!$1:$1,0)-MATCH($F$1,enemy_skill_triggers!$1:$1,0)+1),MATCH(O$1,enemy_skill_triggers!$1:$1,0)-MATCH($F$1,enemy_skill_triggers!$1:$1,0)+1,FALSE)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6" s="47"/>
      <c r="Q726" s="47"/>
      <c r="R726" s="47"/>
    </row>
    <row r="727" spans="1:18" ht="21" customHeight="1" x14ac:dyDescent="0.15">
      <c r="A727" s="39" t="str">
        <f t="shared" ref="A727" si="31">B727&amp;"_"&amp;C727</f>
        <v>39009035_39009068</v>
      </c>
      <c r="B727" s="47">
        <v>39009035</v>
      </c>
      <c r="C727" s="47">
        <v>39009068</v>
      </c>
      <c r="D727" s="46" t="str">
        <f ca="1">VLOOKUP($C727,OFFSET(enemy_skills!$A$1,0,0,COUNTA(enemy_skills!$A:$A),MATCH(D$1,enemy_skills!$1:$1,0)-MATCH("enemy_skill_id",enemy_skills!$1:$1,0)+1),MATCH(D$1,enemy_skills!$1:$1,0)-MATCH("enemy_skill_id",enemy_skills!$1:$1,0)+1,FALSE)</f>
        <v>星の加護がありますように…☆</v>
      </c>
      <c r="E727" s="46" t="str">
        <f ca="1">VLOOKUP($C727,OFFSET(enemy_skills!$A$1,0,0,COUNTA(enemy_skills!$A:$A),MATCH(E$1,enemy_skills!$1:$1,0)-MATCH("enemy_skill_id",enemy_skills!$1:$1,0)+1),MATCH(E$1,enemy_skills!$1:$1,0)-MATCH("enemy_skill_id",enemy_skills!$1:$1,0)+1,FALSE)</f>
        <v>状態異常耐性+1ターン全ユニットの防御力UP+_x000D_ハートパネルドロップ率UP</v>
      </c>
      <c r="F727" s="47">
        <v>39009160</v>
      </c>
      <c r="G727" s="48">
        <f ca="1">VLOOKUP($F727,OFFSET(enemy_skill_triggers!$A$1,0,0,COUNTA(enemy_skill_triggers!$A:$A),MATCH(G$1,enemy_skill_triggers!$1:$1,0)-MATCH($F$1,enemy_skill_triggers!$1:$1,0)+1),MATCH(G$1,enemy_skill_triggers!$1:$1,0)-MATCH($F$1,enemy_skill_triggers!$1:$1,0)+1,FALSE)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7" s="48">
        <f ca="1">VLOOKUP($F727,OFFSET(enemy_skill_triggers!$A$1,0,0,COUNTA(enemy_skill_triggers!$A:$A),MATCH(H$1,enemy_skill_triggers!$1:$1,0)-MATCH($F$1,enemy_skill_triggers!$1:$1,0)+1),MATCH(H$1,enemy_skill_triggers!$1:$1,0)-MATCH($F$1,enemy_skill_triggers!$1:$1,0)+1,FALSE)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27" s="48">
        <f ca="1">VLOOKUP($F727,OFFSET(enemy_skill_triggers!$A$1,0,0,COUNTA(enemy_skill_triggers!$A:$A),MATCH(I$1,enemy_skill_triggers!$1:$1,0)-MATCH($F$1,enemy_skill_triggers!$1:$1,0)+1),MATCH(I$1,enemy_skill_triggers!$1:$1,0)-MATCH($F$1,enemy_skill_triggers!$1:$1,0)+1,FALSE)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7" s="48" t="str">
        <f ca="1">VLOOKUP($F727,OFFSET(enemy_skill_triggers!$A$1,0,0,COUNTA(enemy_skill_triggers!$A:$A),MATCH(J$1,enemy_skill_triggers!$1:$1,0)-MATCH($F$1,enemy_skill_triggers!$1:$1,0)+1),MATCH(J$1,enemy_skill_triggers!$1:$1,0)-MATCH($F$1,enemy_skill_triggers!$1:$1,0)+1,FALSE)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7" s="48" t="str">
        <f ca="1">VLOOKUP($F727,OFFSET(enemy_skill_triggers!$A$1,0,0,COUNTA(enemy_skill_triggers!$A:$A),MATCH(K$1,enemy_skill_triggers!$1:$1,0)-MATCH($F$1,enemy_skill_triggers!$1:$1,0)+1),MATCH(K$1,enemy_skill_triggers!$1:$1,0)-MATCH($F$1,enemy_skill_triggers!$1:$1,0)+1,FALSE)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7" s="48">
        <f ca="1">VLOOKUP($F727,OFFSET(enemy_skill_triggers!$A$1,0,0,COUNTA(enemy_skill_triggers!$A:$A),MATCH(L$1,enemy_skill_triggers!$1:$1,0)-MATCH($F$1,enemy_skill_triggers!$1:$1,0)+1),MATCH(L$1,enemy_skill_triggers!$1:$1,0)-MATCH($F$1,enemy_skill_triggers!$1:$1,0)+1,FALSE)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7" s="48" t="str">
        <f ca="1">VLOOKUP($F727,OFFSET(enemy_skill_triggers!$A$1,0,0,COUNTA(enemy_skill_triggers!$A:$A),MATCH(M$1,enemy_skill_triggers!$1:$1,0)-MATCH($F$1,enemy_skill_triggers!$1:$1,0)+1),MATCH(M$1,enemy_skill_triggers!$1:$1,0)-MATCH($F$1,enemy_skill_triggers!$1:$1,0)+1,FALSE)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7" s="48">
        <f ca="1">VLOOKUP($F727,OFFSET(enemy_skill_triggers!$A$1,0,0,COUNTA(enemy_skill_triggers!$A:$A),MATCH(N$1,enemy_skill_triggers!$1:$1,0)-MATCH($F$1,enemy_skill_triggers!$1:$1,0)+1),MATCH(N$1,enemy_skill_triggers!$1:$1,0)-MATCH($F$1,enemy_skill_triggers!$1:$1,0)+1,FALSE)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727" s="48">
        <f ca="1">VLOOKUP($F727,OFFSET(enemy_skill_triggers!$A$1,0,0,COUNTA(enemy_skill_triggers!$A:$A),MATCH(O$1,enemy_skill_triggers!$1:$1,0)-MATCH($F$1,enemy_skill_triggers!$1:$1,0)+1),MATCH(O$1,enemy_skill_triggers!$1:$1,0)-MATCH($F$1,enemy_skill_triggers!$1:$1,0)+1,FALSE)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7" s="47"/>
      <c r="Q727" s="47"/>
      <c r="R727" s="47"/>
    </row>
    <row r="728" spans="1:18" ht="21" customHeight="1" x14ac:dyDescent="0.15">
      <c r="A728" s="39" t="str">
        <f t="shared" si="28"/>
        <v>39009035_39009069</v>
      </c>
      <c r="B728" s="47">
        <v>39009035</v>
      </c>
      <c r="C728" s="47">
        <v>39009069</v>
      </c>
      <c r="D728" s="46" t="str">
        <f ca="1">VLOOKUP($C728,OFFSET(enemy_skills!$A$1,0,0,COUNTA(enemy_skills!$A:$A),MATCH(D$1,enemy_skills!$1:$1,0)-MATCH("enemy_skill_id",enemy_skills!$1:$1,0)+1),MATCH(D$1,enemy_skills!$1:$1,0)-MATCH("enemy_skill_id",enemy_skills!$1:$1,0)+1,FALSE)</f>
        <v>シャイニーポラリス</v>
      </c>
      <c r="E728" s="46" t="str">
        <f ca="1">VLOOKUP($C728,OFFSET(enemy_skills!$A$1,0,0,COUNTA(enemy_skills!$A:$A),MATCH(E$1,enemy_skills!$1:$1,0)-MATCH("enemy_skill_id",enemy_skills!$1:$1,0)+1),MATCH(E$1,enemy_skills!$1:$1,0)-MATCH("enemy_skill_id",enemy_skills!$1:$1,0)+1,FALSE)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28" s="47">
        <v>39009192</v>
      </c>
      <c r="G728" s="48">
        <f ca="1">VLOOKUP($F728,OFFSET(enemy_skill_triggers!$A$1,0,0,COUNTA(enemy_skill_triggers!$A:$A),MATCH(G$1,enemy_skill_triggers!$1:$1,0)-MATCH($F$1,enemy_skill_triggers!$1:$1,0)+1),MATCH(G$1,enemy_skill_triggers!$1:$1,0)-MATCH($F$1,enemy_skill_triggers!$1:$1,0)+1,FALSE)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8" s="48">
        <f ca="1">VLOOKUP($F728,OFFSET(enemy_skill_triggers!$A$1,0,0,COUNTA(enemy_skill_triggers!$A:$A),MATCH(H$1,enemy_skill_triggers!$1:$1,0)-MATCH($F$1,enemy_skill_triggers!$1:$1,0)+1),MATCH(H$1,enemy_skill_triggers!$1:$1,0)-MATCH($F$1,enemy_skill_triggers!$1:$1,0)+1,FALSE)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728" s="48">
        <f ca="1">VLOOKUP($F728,OFFSET(enemy_skill_triggers!$A$1,0,0,COUNTA(enemy_skill_triggers!$A:$A),MATCH(I$1,enemy_skill_triggers!$1:$1,0)-MATCH($F$1,enemy_skill_triggers!$1:$1,0)+1),MATCH(I$1,enemy_skill_triggers!$1:$1,0)-MATCH($F$1,enemy_skill_triggers!$1:$1,0)+1,FALSE)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8" s="48" t="str">
        <f ca="1">VLOOKUP($F728,OFFSET(enemy_skill_triggers!$A$1,0,0,COUNTA(enemy_skill_triggers!$A:$A),MATCH(J$1,enemy_skill_triggers!$1:$1,0)-MATCH($F$1,enemy_skill_triggers!$1:$1,0)+1),MATCH(J$1,enemy_skill_triggers!$1:$1,0)-MATCH($F$1,enemy_skill_triggers!$1:$1,0)+1,FALSE)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8" s="48" t="str">
        <f ca="1">VLOOKUP($F728,OFFSET(enemy_skill_triggers!$A$1,0,0,COUNTA(enemy_skill_triggers!$A:$A),MATCH(K$1,enemy_skill_triggers!$1:$1,0)-MATCH($F$1,enemy_skill_triggers!$1:$1,0)+1),MATCH(K$1,enemy_skill_triggers!$1:$1,0)-MATCH($F$1,enemy_skill_triggers!$1:$1,0)+1,FALSE)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8" s="48" t="str">
        <f ca="1">VLOOKUP($F728,OFFSET(enemy_skill_triggers!$A$1,0,0,COUNTA(enemy_skill_triggers!$A:$A),MATCH(L$1,enemy_skill_triggers!$1:$1,0)-MATCH($F$1,enemy_skill_triggers!$1:$1,0)+1),MATCH(L$1,enemy_skill_triggers!$1:$1,0)-MATCH($F$1,enemy_skill_triggers!$1:$1,0)+1,FALSE)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8" s="48" t="str">
        <f ca="1">VLOOKUP($F728,OFFSET(enemy_skill_triggers!$A$1,0,0,COUNTA(enemy_skill_triggers!$A:$A),MATCH(M$1,enemy_skill_triggers!$1:$1,0)-MATCH($F$1,enemy_skill_triggers!$1:$1,0)+1),MATCH(M$1,enemy_skill_triggers!$1:$1,0)-MATCH($F$1,enemy_skill_triggers!$1:$1,0)+1,FALSE)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8" s="48" t="str">
        <f ca="1">VLOOKUP($F728,OFFSET(enemy_skill_triggers!$A$1,0,0,COUNTA(enemy_skill_triggers!$A:$A),MATCH(N$1,enemy_skill_triggers!$1:$1,0)-MATCH($F$1,enemy_skill_triggers!$1:$1,0)+1),MATCH(N$1,enemy_skill_triggers!$1:$1,0)-MATCH($F$1,enemy_skill_triggers!$1:$1,0)+1,FALSE)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8" s="48">
        <f ca="1">VLOOKUP($F728,OFFSET(enemy_skill_triggers!$A$1,0,0,COUNTA(enemy_skill_triggers!$A:$A),MATCH(O$1,enemy_skill_triggers!$1:$1,0)-MATCH($F$1,enemy_skill_triggers!$1:$1,0)+1),MATCH(O$1,enemy_skill_triggers!$1:$1,0)-MATCH($F$1,enemy_skill_triggers!$1:$1,0)+1,FALSE)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8" s="47"/>
      <c r="Q728" s="47"/>
      <c r="R728" s="47"/>
    </row>
    <row r="729" spans="1:18" ht="21" customHeight="1" x14ac:dyDescent="0.15">
      <c r="A729" s="39" t="str">
        <f t="shared" si="28"/>
        <v>39009035_39009070</v>
      </c>
      <c r="B729" s="47">
        <v>39009035</v>
      </c>
      <c r="C729" s="47">
        <v>39009070</v>
      </c>
      <c r="D729" s="46" t="str">
        <f ca="1">VLOOKUP($C729,OFFSET(enemy_skills!$A$1,0,0,COUNTA(enemy_skills!$A:$A),MATCH(D$1,enemy_skills!$1:$1,0)-MATCH("enemy_skill_id",enemy_skills!$1:$1,0)+1),MATCH(D$1,enemy_skills!$1:$1,0)-MATCH("enemy_skill_id",enemy_skills!$1:$1,0)+1,FALSE)</f>
        <v>トゥインクルノーツ</v>
      </c>
      <c r="E729" s="46" t="str">
        <f ca="1">VLOOKUP($C729,OFFSET(enemy_skills!$A$1,0,0,COUNTA(enemy_skills!$A:$A),MATCH(E$1,enemy_skills!$1:$1,0)-MATCH("enemy_skill_id",enemy_skills!$1:$1,0)+1),MATCH(E$1,enemy_skills!$1:$1,0)-MATCH("enemy_skill_id",enemy_skills!$1:$1,0)+1,FALSE)</f>
        <v>種族を複数持つユニットに大ダメージの全体攻撃</v>
      </c>
      <c r="F729" s="47">
        <v>39009193</v>
      </c>
      <c r="G729" s="48">
        <f ca="1">VLOOKUP($F729,OFFSET(enemy_skill_triggers!$A$1,0,0,COUNTA(enemy_skill_triggers!$A:$A),MATCH(G$1,enemy_skill_triggers!$1:$1,0)-MATCH($F$1,enemy_skill_triggers!$1:$1,0)+1),MATCH(G$1,enemy_skill_triggers!$1:$1,0)-MATCH($F$1,enemy_skill_triggers!$1:$1,0)+1,FALSE)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9" s="48">
        <f ca="1">VLOOKUP($F729,OFFSET(enemy_skill_triggers!$A$1,0,0,COUNTA(enemy_skill_triggers!$A:$A),MATCH(H$1,enemy_skill_triggers!$1:$1,0)-MATCH($F$1,enemy_skill_triggers!$1:$1,0)+1),MATCH(H$1,enemy_skill_triggers!$1:$1,0)-MATCH($F$1,enemy_skill_triggers!$1:$1,0)+1,FALSE)</f>
        <v>57</v>
      </c>
      <c r="I729" s="48">
        <f ca="1">VLOOKUP($F729,OFFSET(enemy_skill_triggers!$A$1,0,0,COUNTA(enemy_skill_triggers!$A:$A),MATCH(I$1,enemy_skill_triggers!$1:$1,0)-MATCH($F$1,enemy_skill_triggers!$1:$1,0)+1),MATCH(I$1,enemy_skill_triggers!$1:$1,0)-MATCH($F$1,enemy_skill_triggers!$1:$1,0)+1,FALSE)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9" s="48" t="str">
        <f ca="1">VLOOKUP($F729,OFFSET(enemy_skill_triggers!$A$1,0,0,COUNTA(enemy_skill_triggers!$A:$A),MATCH(J$1,enemy_skill_triggers!$1:$1,0)-MATCH($F$1,enemy_skill_triggers!$1:$1,0)+1),MATCH(J$1,enemy_skill_triggers!$1:$1,0)-MATCH($F$1,enemy_skill_triggers!$1:$1,0)+1,FALSE)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9" s="48" t="str">
        <f ca="1">VLOOKUP($F729,OFFSET(enemy_skill_triggers!$A$1,0,0,COUNTA(enemy_skill_triggers!$A:$A),MATCH(K$1,enemy_skill_triggers!$1:$1,0)-MATCH($F$1,enemy_skill_triggers!$1:$1,0)+1),MATCH(K$1,enemy_skill_triggers!$1:$1,0)-MATCH($F$1,enemy_skill_triggers!$1:$1,0)+1,FALSE)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9" s="48">
        <f ca="1">VLOOKUP($F729,OFFSET(enemy_skill_triggers!$A$1,0,0,COUNTA(enemy_skill_triggers!$A:$A),MATCH(L$1,enemy_skill_triggers!$1:$1,0)-MATCH($F$1,enemy_skill_triggers!$1:$1,0)+1),MATCH(L$1,enemy_skill_triggers!$1:$1,0)-MATCH($F$1,enemy_skill_triggers!$1:$1,0)+1,FALSE)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29" s="48" t="str">
        <f ca="1">VLOOKUP($F729,OFFSET(enemy_skill_triggers!$A$1,0,0,COUNTA(enemy_skill_triggers!$A:$A),MATCH(M$1,enemy_skill_triggers!$1:$1,0)-MATCH($F$1,enemy_skill_triggers!$1:$1,0)+1),MATCH(M$1,enemy_skill_triggers!$1:$1,0)-MATCH($F$1,enemy_skill_triggers!$1:$1,0)+1,FALSE)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9" s="48" t="str">
        <f ca="1">VLOOKUP($F729,OFFSET(enemy_skill_triggers!$A$1,0,0,COUNTA(enemy_skill_triggers!$A:$A),MATCH(N$1,enemy_skill_triggers!$1:$1,0)-MATCH($F$1,enemy_skill_triggers!$1:$1,0)+1),MATCH(N$1,enemy_skill_triggers!$1:$1,0)-MATCH($F$1,enemy_skill_triggers!$1:$1,0)+1,FALSE)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9" s="48">
        <f ca="1">VLOOKUP($F729,OFFSET(enemy_skill_triggers!$A$1,0,0,COUNTA(enemy_skill_triggers!$A:$A),MATCH(O$1,enemy_skill_triggers!$1:$1,0)-MATCH($F$1,enemy_skill_triggers!$1:$1,0)+1),MATCH(O$1,enemy_skill_triggers!$1:$1,0)-MATCH($F$1,enemy_skill_triggers!$1:$1,0)+1,FALSE)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9" s="47"/>
      <c r="Q729" s="47"/>
      <c r="R729" s="47"/>
    </row>
    <row r="730" spans="1:18" ht="21" customHeight="1" x14ac:dyDescent="0.15">
      <c r="A730" s="39" t="str">
        <f t="shared" si="28"/>
        <v>39009035_39009071</v>
      </c>
      <c r="B730" s="47">
        <v>39009035</v>
      </c>
      <c r="C730" s="47">
        <v>39009071</v>
      </c>
      <c r="D730" s="46" t="str">
        <f ca="1">VLOOKUP($C730,OFFSET(enemy_skills!$A$1,0,0,COUNTA(enemy_skills!$A:$A),MATCH(D$1,enemy_skills!$1:$1,0)-MATCH("enemy_skill_id",enemy_skills!$1:$1,0)+1),MATCH(D$1,enemy_skills!$1:$1,0)-MATCH("enemy_skill_id",enemy_skills!$1:$1,0)+1,FALSE)</f>
        <v>守護星の瞬きをどうぞ☆</v>
      </c>
      <c r="E730" s="46" t="str">
        <f ca="1">VLOOKUP($C730,OFFSET(enemy_skills!$A$1,0,0,COUNTA(enemy_skills!$A:$A),MATCH(E$1,enemy_skills!$1:$1,0)-MATCH("enemy_skill_id",enemy_skills!$1:$1,0)+1),MATCH(E$1,enemy_skills!$1:$1,0)-MATCH("enemy_skill_id",enemy_skills!$1:$1,0)+1,FALSE)</f>
        <v>ハートパネルプロテクト(最大5個)+2回連続攻撃</v>
      </c>
      <c r="F730" s="47">
        <v>39009194</v>
      </c>
      <c r="G730" s="48">
        <f ca="1">VLOOKUP($F730,OFFSET(enemy_skill_triggers!$A$1,0,0,COUNTA(enemy_skill_triggers!$A:$A),MATCH(G$1,enemy_skill_triggers!$1:$1,0)-MATCH($F$1,enemy_skill_triggers!$1:$1,0)+1),MATCH(G$1,enemy_skill_triggers!$1:$1,0)-MATCH($F$1,enemy_skill_triggers!$1:$1,0)+1,FALSE)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0" s="48">
        <f ca="1">VLOOKUP($F730,OFFSET(enemy_skill_triggers!$A$1,0,0,COUNTA(enemy_skill_triggers!$A:$A),MATCH(H$1,enemy_skill_triggers!$1:$1,0)-MATCH($F$1,enemy_skill_triggers!$1:$1,0)+1),MATCH(H$1,enemy_skill_triggers!$1:$1,0)-MATCH($F$1,enemy_skill_triggers!$1:$1,0)+1,FALSE)</f>
        <v>58</v>
      </c>
      <c r="I730" s="48">
        <f ca="1">VLOOKUP($F730,OFFSET(enemy_skill_triggers!$A$1,0,0,COUNTA(enemy_skill_triggers!$A:$A),MATCH(I$1,enemy_skill_triggers!$1:$1,0)-MATCH($F$1,enemy_skill_triggers!$1:$1,0)+1),MATCH(I$1,enemy_skill_triggers!$1:$1,0)-MATCH($F$1,enemy_skill_triggers!$1:$1,0)+1,FALSE)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30" s="48" t="str">
        <f ca="1">VLOOKUP($F730,OFFSET(enemy_skill_triggers!$A$1,0,0,COUNTA(enemy_skill_triggers!$A:$A),MATCH(J$1,enemy_skill_triggers!$1:$1,0)-MATCH($F$1,enemy_skill_triggers!$1:$1,0)+1),MATCH(J$1,enemy_skill_triggers!$1:$1,0)-MATCH($F$1,enemy_skill_triggers!$1:$1,0)+1,FALSE)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0" s="48" t="str">
        <f ca="1">VLOOKUP($F730,OFFSET(enemy_skill_triggers!$A$1,0,0,COUNTA(enemy_skill_triggers!$A:$A),MATCH(K$1,enemy_skill_triggers!$1:$1,0)-MATCH($F$1,enemy_skill_triggers!$1:$1,0)+1),MATCH(K$1,enemy_skill_triggers!$1:$1,0)-MATCH($F$1,enemy_skill_triggers!$1:$1,0)+1,FALSE)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0" s="48">
        <f ca="1">VLOOKUP($F730,OFFSET(enemy_skill_triggers!$A$1,0,0,COUNTA(enemy_skill_triggers!$A:$A),MATCH(L$1,enemy_skill_triggers!$1:$1,0)-MATCH($F$1,enemy_skill_triggers!$1:$1,0)+1),MATCH(L$1,enemy_skill_triggers!$1:$1,0)-MATCH($F$1,enemy_skill_triggers!$1:$1,0)+1,FALSE)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30" s="48" t="str">
        <f ca="1">VLOOKUP($F730,OFFSET(enemy_skill_triggers!$A$1,0,0,COUNTA(enemy_skill_triggers!$A:$A),MATCH(M$1,enemy_skill_triggers!$1:$1,0)-MATCH($F$1,enemy_skill_triggers!$1:$1,0)+1),MATCH(M$1,enemy_skill_triggers!$1:$1,0)-MATCH($F$1,enemy_skill_triggers!$1:$1,0)+1,FALSE)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0" s="48" t="str">
        <f ca="1">VLOOKUP($F730,OFFSET(enemy_skill_triggers!$A$1,0,0,COUNTA(enemy_skill_triggers!$A:$A),MATCH(N$1,enemy_skill_triggers!$1:$1,0)-MATCH($F$1,enemy_skill_triggers!$1:$1,0)+1),MATCH(N$1,enemy_skill_triggers!$1:$1,0)-MATCH($F$1,enemy_skill_triggers!$1:$1,0)+1,FALSE)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0" s="48">
        <f ca="1">VLOOKUP($F730,OFFSET(enemy_skill_triggers!$A$1,0,0,COUNTA(enemy_skill_triggers!$A:$A),MATCH(O$1,enemy_skill_triggers!$1:$1,0)-MATCH($F$1,enemy_skill_triggers!$1:$1,0)+1),MATCH(O$1,enemy_skill_triggers!$1:$1,0)-MATCH($F$1,enemy_skill_triggers!$1:$1,0)+1,FALSE)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30" s="47"/>
      <c r="Q730" s="47"/>
      <c r="R730" s="47"/>
    </row>
    <row r="731" spans="1:18" ht="21" customHeight="1" x14ac:dyDescent="0.15">
      <c r="A731" s="39" t="str">
        <f t="shared" si="28"/>
        <v>39009035_39009072</v>
      </c>
      <c r="B731" s="47">
        <v>39009035</v>
      </c>
      <c r="C731" s="47">
        <v>39009072</v>
      </c>
      <c r="D731" s="46" t="str">
        <f ca="1">VLOOKUP($C731,OFFSET(enemy_skills!$A$1,0,0,COUNTA(enemy_skills!$A:$A),MATCH(D$1,enemy_skills!$1:$1,0)-MATCH("enemy_skill_id",enemy_skills!$1:$1,0)+1),MATCH(D$1,enemy_skills!$1:$1,0)-MATCH("enemy_skill_id",enemy_skills!$1:$1,0)+1,FALSE)</f>
        <v>きらきら流星群☆</v>
      </c>
      <c r="E731" s="46" t="str">
        <f ca="1">VLOOKUP($C731,OFFSET(enemy_skills!$A$1,0,0,COUNTA(enemy_skills!$A:$A),MATCH(E$1,enemy_skills!$1:$1,0)-MATCH("enemy_skill_id",enemy_skills!$1:$1,0)+1),MATCH(E$1,enemy_skills!$1:$1,0)-MATCH("enemy_skill_id",enemy_skills!$1:$1,0)+1,FALSE)</f>
        <v>5ターン防御力UP+4回連続攻撃</v>
      </c>
      <c r="F731" s="47">
        <v>39009195</v>
      </c>
      <c r="G731" s="48">
        <f ca="1">VLOOKUP($F731,OFFSET(enemy_skill_triggers!$A$1,0,0,COUNTA(enemy_skill_triggers!$A:$A),MATCH(G$1,enemy_skill_triggers!$1:$1,0)-MATCH($F$1,enemy_skill_triggers!$1:$1,0)+1),MATCH(G$1,enemy_skill_triggers!$1:$1,0)-MATCH($F$1,enemy_skill_triggers!$1:$1,0)+1,FALSE)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1" s="48">
        <f ca="1">VLOOKUP($F731,OFFSET(enemy_skill_triggers!$A$1,0,0,COUNTA(enemy_skill_triggers!$A:$A),MATCH(H$1,enemy_skill_triggers!$1:$1,0)-MATCH($F$1,enemy_skill_triggers!$1:$1,0)+1),MATCH(H$1,enemy_skill_triggers!$1:$1,0)-MATCH($F$1,enemy_skill_triggers!$1:$1,0)+1,FALSE)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731" s="48">
        <f ca="1">VLOOKUP($F731,OFFSET(enemy_skill_triggers!$A$1,0,0,COUNTA(enemy_skill_triggers!$A:$A),MATCH(I$1,enemy_skill_triggers!$1:$1,0)-MATCH($F$1,enemy_skill_triggers!$1:$1,0)+1),MATCH(I$1,enemy_skill_triggers!$1:$1,0)-MATCH($F$1,enemy_skill_triggers!$1:$1,0)+1,FALSE)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1" s="48">
        <f ca="1">VLOOKUP($F731,OFFSET(enemy_skill_triggers!$A$1,0,0,COUNTA(enemy_skill_triggers!$A:$A),MATCH(J$1,enemy_skill_triggers!$1:$1,0)-MATCH($F$1,enemy_skill_triggers!$1:$1,0)+1),MATCH(J$1,enemy_skill_triggers!$1:$1,0)-MATCH($F$1,enemy_skill_triggers!$1:$1,0)+1,FALSE)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31" s="48" t="str">
        <f ca="1">VLOOKUP($F731,OFFSET(enemy_skill_triggers!$A$1,0,0,COUNTA(enemy_skill_triggers!$A:$A),MATCH(K$1,enemy_skill_triggers!$1:$1,0)-MATCH($F$1,enemy_skill_triggers!$1:$1,0)+1),MATCH(K$1,enemy_skill_triggers!$1:$1,0)-MATCH($F$1,enemy_skill_triggers!$1:$1,0)+1,FALSE)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1" s="48">
        <f ca="1">VLOOKUP($F731,OFFSET(enemy_skill_triggers!$A$1,0,0,COUNTA(enemy_skill_triggers!$A:$A),MATCH(L$1,enemy_skill_triggers!$1:$1,0)-MATCH($F$1,enemy_skill_triggers!$1:$1,0)+1),MATCH(L$1,enemy_skill_triggers!$1:$1,0)-MATCH($F$1,enemy_skill_triggers!$1:$1,0)+1,FALSE)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1" s="48" t="str">
        <f ca="1">VLOOKUP($F731,OFFSET(enemy_skill_triggers!$A$1,0,0,COUNTA(enemy_skill_triggers!$A:$A),MATCH(M$1,enemy_skill_triggers!$1:$1,0)-MATCH($F$1,enemy_skill_triggers!$1:$1,0)+1),MATCH(M$1,enemy_skill_triggers!$1:$1,0)-MATCH($F$1,enemy_skill_triggers!$1:$1,0)+1,FALSE)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1" s="48" t="str">
        <f ca="1">VLOOKUP($F731,OFFSET(enemy_skill_triggers!$A$1,0,0,COUNTA(enemy_skill_triggers!$A:$A),MATCH(N$1,enemy_skill_triggers!$1:$1,0)-MATCH($F$1,enemy_skill_triggers!$1:$1,0)+1),MATCH(N$1,enemy_skill_triggers!$1:$1,0)-MATCH($F$1,enemy_skill_triggers!$1:$1,0)+1,FALSE)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1" s="48">
        <f ca="1">VLOOKUP($F731,OFFSET(enemy_skill_triggers!$A$1,0,0,COUNTA(enemy_skill_triggers!$A:$A),MATCH(O$1,enemy_skill_triggers!$1:$1,0)-MATCH($F$1,enemy_skill_triggers!$1:$1,0)+1),MATCH(O$1,enemy_skill_triggers!$1:$1,0)-MATCH($F$1,enemy_skill_triggers!$1:$1,0)+1,FALSE)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1" s="47"/>
      <c r="Q731" s="47"/>
      <c r="R731" s="47"/>
    </row>
    <row r="732" spans="1:18" ht="21" customHeight="1" x14ac:dyDescent="0.15">
      <c r="A732" s="39" t="str">
        <f t="shared" si="28"/>
        <v>39009035_39009073</v>
      </c>
      <c r="B732" s="47">
        <v>39009035</v>
      </c>
      <c r="C732" s="47">
        <v>39009073</v>
      </c>
      <c r="D732" s="46" t="str">
        <f ca="1">VLOOKUP($C732,OFFSET(enemy_skills!$A$1,0,0,COUNTA(enemy_skills!$A:$A),MATCH(D$1,enemy_skills!$1:$1,0)-MATCH("enemy_skill_id",enemy_skills!$1:$1,0)+1),MATCH(D$1,enemy_skills!$1:$1,0)-MATCH("enemy_skill_id",enemy_skills!$1:$1,0)+1,FALSE)</f>
        <v>ばいばい…_x000D_またあなたに会えますように☆</v>
      </c>
      <c r="E732" s="46" t="str">
        <f ca="1">VLOOKUP($C732,OFFSET(enemy_skills!$A$1,0,0,COUNTA(enemy_skills!$A:$A),MATCH(E$1,enemy_skills!$1:$1,0)-MATCH("enemy_skill_id",enemy_skills!$1:$1,0)+1),MATCH(E$1,enemy_skills!$1:$1,0)-MATCH("enemy_skill_id",enemy_skills!$1:$1,0)+1,FALSE)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2" s="47">
        <v>39009196</v>
      </c>
      <c r="G732" s="48">
        <f ca="1">VLOOKUP($F732,OFFSET(enemy_skill_triggers!$A$1,0,0,COUNTA(enemy_skill_triggers!$A:$A),MATCH(G$1,enemy_skill_triggers!$1:$1,0)-MATCH($F$1,enemy_skill_triggers!$1:$1,0)+1),MATCH(G$1,enemy_skill_triggers!$1:$1,0)-MATCH($F$1,enemy_skill_triggers!$1:$1,0)+1,FALSE)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2" s="48">
        <f ca="1">VLOOKUP($F732,OFFSET(enemy_skill_triggers!$A$1,0,0,COUNTA(enemy_skill_triggers!$A:$A),MATCH(H$1,enemy_skill_triggers!$1:$1,0)-MATCH($F$1,enemy_skill_triggers!$1:$1,0)+1),MATCH(H$1,enemy_skill_triggers!$1:$1,0)-MATCH($F$1,enemy_skill_triggers!$1:$1,0)+1,FALSE)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32" s="48">
        <f ca="1">VLOOKUP($F732,OFFSET(enemy_skill_triggers!$A$1,0,0,COUNTA(enemy_skill_triggers!$A:$A),MATCH(I$1,enemy_skill_triggers!$1:$1,0)-MATCH($F$1,enemy_skill_triggers!$1:$1,0)+1),MATCH(I$1,enemy_skill_triggers!$1:$1,0)-MATCH($F$1,enemy_skill_triggers!$1:$1,0)+1,FALSE)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2" s="48" t="str">
        <f ca="1">VLOOKUP($F732,OFFSET(enemy_skill_triggers!$A$1,0,0,COUNTA(enemy_skill_triggers!$A:$A),MATCH(J$1,enemy_skill_triggers!$1:$1,0)-MATCH($F$1,enemy_skill_triggers!$1:$1,0)+1),MATCH(J$1,enemy_skill_triggers!$1:$1,0)-MATCH($F$1,enemy_skill_triggers!$1:$1,0)+1,FALSE)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2" s="48" t="str">
        <f ca="1">VLOOKUP($F732,OFFSET(enemy_skill_triggers!$A$1,0,0,COUNTA(enemy_skill_triggers!$A:$A),MATCH(K$1,enemy_skill_triggers!$1:$1,0)-MATCH($F$1,enemy_skill_triggers!$1:$1,0)+1),MATCH(K$1,enemy_skill_triggers!$1:$1,0)-MATCH($F$1,enemy_skill_triggers!$1:$1,0)+1,FALSE)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2" s="48">
        <f ca="1">VLOOKUP($F732,OFFSET(enemy_skill_triggers!$A$1,0,0,COUNTA(enemy_skill_triggers!$A:$A),MATCH(L$1,enemy_skill_triggers!$1:$1,0)-MATCH($F$1,enemy_skill_triggers!$1:$1,0)+1),MATCH(L$1,enemy_skill_triggers!$1:$1,0)-MATCH($F$1,enemy_skill_triggers!$1:$1,0)+1,FALSE)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2" s="48" t="str">
        <f ca="1">VLOOKUP($F732,OFFSET(enemy_skill_triggers!$A$1,0,0,COUNTA(enemy_skill_triggers!$A:$A),MATCH(M$1,enemy_skill_triggers!$1:$1,0)-MATCH($F$1,enemy_skill_triggers!$1:$1,0)+1),MATCH(M$1,enemy_skill_triggers!$1:$1,0)-MATCH($F$1,enemy_skill_triggers!$1:$1,0)+1,FALSE)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2" s="48">
        <f ca="1">VLOOKUP($F732,OFFSET(enemy_skill_triggers!$A$1,0,0,COUNTA(enemy_skill_triggers!$A:$A),MATCH(N$1,enemy_skill_triggers!$1:$1,0)-MATCH($F$1,enemy_skill_triggers!$1:$1,0)+1),MATCH(N$1,enemy_skill_triggers!$1:$1,0)-MATCH($F$1,enemy_skill_triggers!$1:$1,0)+1,FALSE)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32" s="48">
        <f ca="1">VLOOKUP($F732,OFFSET(enemy_skill_triggers!$A$1,0,0,COUNTA(enemy_skill_triggers!$A:$A),MATCH(O$1,enemy_skill_triggers!$1:$1,0)-MATCH($F$1,enemy_skill_triggers!$1:$1,0)+1),MATCH(O$1,enemy_skill_triggers!$1:$1,0)-MATCH($F$1,enemy_skill_triggers!$1:$1,0)+1,FALSE)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2" s="47"/>
      <c r="Q732" s="47"/>
      <c r="R732" s="47"/>
    </row>
    <row r="733" spans="1:18" ht="21" customHeight="1" x14ac:dyDescent="0.15">
      <c r="A733" s="39" t="str">
        <f t="shared" si="28"/>
        <v>39009035_39009074</v>
      </c>
      <c r="B733" s="47">
        <v>39009035</v>
      </c>
      <c r="C733" s="47">
        <v>39009074</v>
      </c>
      <c r="D733" s="46" t="str">
        <f ca="1">VLOOKUP($C733,OFFSET(enemy_skills!$A$1,0,0,COUNTA(enemy_skills!$A:$A),MATCH(D$1,enemy_skills!$1:$1,0)-MATCH("enemy_skill_id",enemy_skills!$1:$1,0)+1),MATCH(D$1,enemy_skills!$1:$1,0)-MATCH("enemy_skill_id",enemy_skills!$1:$1,0)+1,FALSE)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3" s="46" t="str">
        <f ca="1">VLOOKUP($C733,OFFSET(enemy_skills!$A$1,0,0,COUNTA(enemy_skills!$A:$A),MATCH(E$1,enemy_skills!$1:$1,0)-MATCH("enemy_skill_id",enemy_skills!$1:$1,0)+1),MATCH(E$1,enemy_skills!$1:$1,0)-MATCH("enemy_skill_id",enemy_skills!$1:$1,0)+1,FALSE)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3" s="47">
        <v>39009197</v>
      </c>
      <c r="G733" s="48">
        <f ca="1">VLOOKUP($F733,OFFSET(enemy_skill_triggers!$A$1,0,0,COUNTA(enemy_skill_triggers!$A:$A),MATCH(G$1,enemy_skill_triggers!$1:$1,0)-MATCH($F$1,enemy_skill_triggers!$1:$1,0)+1),MATCH(G$1,enemy_skill_triggers!$1:$1,0)-MATCH($F$1,enemy_skill_triggers!$1:$1,0)+1,FALSE)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3" s="48">
        <f ca="1">VLOOKUP($F733,OFFSET(enemy_skill_triggers!$A$1,0,0,COUNTA(enemy_skill_triggers!$A:$A),MATCH(H$1,enemy_skill_triggers!$1:$1,0)-MATCH($F$1,enemy_skill_triggers!$1:$1,0)+1),MATCH(H$1,enemy_skill_triggers!$1:$1,0)-MATCH($F$1,enemy_skill_triggers!$1:$1,0)+1,FALSE)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733" s="48">
        <f ca="1">VLOOKUP($F733,OFFSET(enemy_skill_triggers!$A$1,0,0,COUNTA(enemy_skill_triggers!$A:$A),MATCH(I$1,enemy_skill_triggers!$1:$1,0)-MATCH($F$1,enemy_skill_triggers!$1:$1,0)+1),MATCH(I$1,enemy_skill_triggers!$1:$1,0)-MATCH($F$1,enemy_skill_triggers!$1:$1,0)+1,FALSE)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3" s="48" t="str">
        <f ca="1">VLOOKUP($F733,OFFSET(enemy_skill_triggers!$A$1,0,0,COUNTA(enemy_skill_triggers!$A:$A),MATCH(J$1,enemy_skill_triggers!$1:$1,0)-MATCH($F$1,enemy_skill_triggers!$1:$1,0)+1),MATCH(J$1,enemy_skill_triggers!$1:$1,0)-MATCH($F$1,enemy_skill_triggers!$1:$1,0)+1,FALSE)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3" s="48" t="str">
        <f ca="1">VLOOKUP($F733,OFFSET(enemy_skill_triggers!$A$1,0,0,COUNTA(enemy_skill_triggers!$A:$A),MATCH(K$1,enemy_skill_triggers!$1:$1,0)-MATCH($F$1,enemy_skill_triggers!$1:$1,0)+1),MATCH(K$1,enemy_skill_triggers!$1:$1,0)-MATCH($F$1,enemy_skill_triggers!$1:$1,0)+1,FALSE)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3" s="48">
        <f ca="1">VLOOKUP($F733,OFFSET(enemy_skill_triggers!$A$1,0,0,COUNTA(enemy_skill_triggers!$A:$A),MATCH(L$1,enemy_skill_triggers!$1:$1,0)-MATCH($F$1,enemy_skill_triggers!$1:$1,0)+1),MATCH(L$1,enemy_skill_triggers!$1:$1,0)-MATCH($F$1,enemy_skill_triggers!$1:$1,0)+1,FALSE)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3" s="48" t="str">
        <f ca="1">VLOOKUP($F733,OFFSET(enemy_skill_triggers!$A$1,0,0,COUNTA(enemy_skill_triggers!$A:$A),MATCH(M$1,enemy_skill_triggers!$1:$1,0)-MATCH($F$1,enemy_skill_triggers!$1:$1,0)+1),MATCH(M$1,enemy_skill_triggers!$1:$1,0)-MATCH($F$1,enemy_skill_triggers!$1:$1,0)+1,FALSE)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3" s="48">
        <f ca="1">VLOOKUP($F733,OFFSET(enemy_skill_triggers!$A$1,0,0,COUNTA(enemy_skill_triggers!$A:$A),MATCH(N$1,enemy_skill_triggers!$1:$1,0)-MATCH($F$1,enemy_skill_triggers!$1:$1,0)+1),MATCH(N$1,enemy_skill_triggers!$1:$1,0)-MATCH($F$1,enemy_skill_triggers!$1:$1,0)+1,FALSE)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33" s="48">
        <f ca="1">VLOOKUP($F733,OFFSET(enemy_skill_triggers!$A$1,0,0,COUNTA(enemy_skill_triggers!$A:$A),MATCH(O$1,enemy_skill_triggers!$1:$1,0)-MATCH($F$1,enemy_skill_triggers!$1:$1,0)+1),MATCH(O$1,enemy_skill_triggers!$1:$1,0)-MATCH($F$1,enemy_skill_triggers!$1:$1,0)+1,FALSE)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3" s="47"/>
      <c r="Q733" s="47"/>
      <c r="R733" s="47"/>
    </row>
    <row r="734" spans="1:18" ht="21" customHeight="1" x14ac:dyDescent="0.15">
      <c r="A734" s="39" t="str">
        <f t="shared" ref="A734:A786" si="32">B734&amp;"_"&amp;C734</f>
        <v>39009035_39009074</v>
      </c>
      <c r="B734" s="47">
        <v>39009035</v>
      </c>
      <c r="C734" s="47">
        <v>39009074</v>
      </c>
      <c r="D734" s="46" t="str">
        <f ca="1">VLOOKUP($C734,OFFSET(enemy_skills!$A$1,0,0,COUNTA(enemy_skills!$A:$A),MATCH(D$1,enemy_skills!$1:$1,0)-MATCH("enemy_skill_id",enemy_skills!$1:$1,0)+1),MATCH(D$1,enemy_skills!$1:$1,0)-MATCH("enemy_skill_id",enemy_skills!$1:$1,0)+1,FALSE)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4" s="46" t="str">
        <f ca="1">VLOOKUP($C734,OFFSET(enemy_skills!$A$1,0,0,COUNTA(enemy_skills!$A:$A),MATCH(E$1,enemy_skills!$1:$1,0)-MATCH("enemy_skill_id",enemy_skills!$1:$1,0)+1),MATCH(E$1,enemy_skills!$1:$1,0)-MATCH("enemy_skill_id",enemy_skills!$1:$1,0)+1,FALSE)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4" s="47">
        <v>39009198</v>
      </c>
      <c r="G734" s="48">
        <f ca="1">VLOOKUP($F734,OFFSET(enemy_skill_triggers!$A$1,0,0,COUNTA(enemy_skill_triggers!$A:$A),MATCH(G$1,enemy_skill_triggers!$1:$1,0)-MATCH($F$1,enemy_skill_triggers!$1:$1,0)+1),MATCH(G$1,enemy_skill_triggers!$1:$1,0)-MATCH($F$1,enemy_skill_triggers!$1:$1,0)+1,FALSE)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4" s="48">
        <f ca="1">VLOOKUP($F734,OFFSET(enemy_skill_triggers!$A$1,0,0,COUNTA(enemy_skill_triggers!$A:$A),MATCH(H$1,enemy_skill_triggers!$1:$1,0)-MATCH($F$1,enemy_skill_triggers!$1:$1,0)+1),MATCH(H$1,enemy_skill_triggers!$1:$1,0)-MATCH($F$1,enemy_skill_triggers!$1:$1,0)+1,FALSE)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734" s="48">
        <f ca="1">VLOOKUP($F734,OFFSET(enemy_skill_triggers!$A$1,0,0,COUNTA(enemy_skill_triggers!$A:$A),MATCH(I$1,enemy_skill_triggers!$1:$1,0)-MATCH($F$1,enemy_skill_triggers!$1:$1,0)+1),MATCH(I$1,enemy_skill_triggers!$1:$1,0)-MATCH($F$1,enemy_skill_triggers!$1:$1,0)+1,FALSE)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4" s="48" t="str">
        <f ca="1">VLOOKUP($F734,OFFSET(enemy_skill_triggers!$A$1,0,0,COUNTA(enemy_skill_triggers!$A:$A),MATCH(J$1,enemy_skill_triggers!$1:$1,0)-MATCH($F$1,enemy_skill_triggers!$1:$1,0)+1),MATCH(J$1,enemy_skill_triggers!$1:$1,0)-MATCH($F$1,enemy_skill_triggers!$1:$1,0)+1,FALSE)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4" s="48" t="str">
        <f ca="1">VLOOKUP($F734,OFFSET(enemy_skill_triggers!$A$1,0,0,COUNTA(enemy_skill_triggers!$A:$A),MATCH(K$1,enemy_skill_triggers!$1:$1,0)-MATCH($F$1,enemy_skill_triggers!$1:$1,0)+1),MATCH(K$1,enemy_skill_triggers!$1:$1,0)-MATCH($F$1,enemy_skill_triggers!$1:$1,0)+1,FALSE)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4" s="48">
        <f ca="1">VLOOKUP($F734,OFFSET(enemy_skill_triggers!$A$1,0,0,COUNTA(enemy_skill_triggers!$A:$A),MATCH(L$1,enemy_skill_triggers!$1:$1,0)-MATCH($F$1,enemy_skill_triggers!$1:$1,0)+1),MATCH(L$1,enemy_skill_triggers!$1:$1,0)-MATCH($F$1,enemy_skill_triggers!$1:$1,0)+1,FALSE)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4" s="48" t="str">
        <f ca="1">VLOOKUP($F734,OFFSET(enemy_skill_triggers!$A$1,0,0,COUNTA(enemy_skill_triggers!$A:$A),MATCH(M$1,enemy_skill_triggers!$1:$1,0)-MATCH($F$1,enemy_skill_triggers!$1:$1,0)+1),MATCH(M$1,enemy_skill_triggers!$1:$1,0)-MATCH($F$1,enemy_skill_triggers!$1:$1,0)+1,FALSE)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4" s="48">
        <f ca="1">VLOOKUP($F734,OFFSET(enemy_skill_triggers!$A$1,0,0,COUNTA(enemy_skill_triggers!$A:$A),MATCH(N$1,enemy_skill_triggers!$1:$1,0)-MATCH($F$1,enemy_skill_triggers!$1:$1,0)+1),MATCH(N$1,enemy_skill_triggers!$1:$1,0)-MATCH($F$1,enemy_skill_triggers!$1:$1,0)+1,FALSE)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734" s="48">
        <f ca="1">VLOOKUP($F734,OFFSET(enemy_skill_triggers!$A$1,0,0,COUNTA(enemy_skill_triggers!$A:$A),MATCH(O$1,enemy_skill_triggers!$1:$1,0)-MATCH($F$1,enemy_skill_triggers!$1:$1,0)+1),MATCH(O$1,enemy_skill_triggers!$1:$1,0)-MATCH($F$1,enemy_skill_triggers!$1:$1,0)+1,FALSE)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4" s="47"/>
      <c r="Q734" s="47"/>
      <c r="R734" s="47"/>
    </row>
    <row r="735" spans="1:18" ht="21" customHeight="1" x14ac:dyDescent="0.15">
      <c r="A735" s="39" t="str">
        <f t="shared" si="32"/>
        <v>39009035_39009074</v>
      </c>
      <c r="B735" s="47">
        <v>39009035</v>
      </c>
      <c r="C735" s="47">
        <v>39009074</v>
      </c>
      <c r="D735" s="46" t="str">
        <f ca="1">VLOOKUP($C735,OFFSET(enemy_skills!$A$1,0,0,COUNTA(enemy_skills!$A:$A),MATCH(D$1,enemy_skills!$1:$1,0)-MATCH("enemy_skill_id",enemy_skills!$1:$1,0)+1),MATCH(D$1,enemy_skills!$1:$1,0)-MATCH("enemy_skill_id",enemy_skills!$1:$1,0)+1,FALSE)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5" s="46" t="str">
        <f ca="1">VLOOKUP($C735,OFFSET(enemy_skills!$A$1,0,0,COUNTA(enemy_skills!$A:$A),MATCH(E$1,enemy_skills!$1:$1,0)-MATCH("enemy_skill_id",enemy_skills!$1:$1,0)+1),MATCH(E$1,enemy_skills!$1:$1,0)-MATCH("enemy_skill_id",enemy_skills!$1:$1,0)+1,FALSE)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5" s="47">
        <v>39009199</v>
      </c>
      <c r="G735" s="48">
        <f ca="1">VLOOKUP($F735,OFFSET(enemy_skill_triggers!$A$1,0,0,COUNTA(enemy_skill_triggers!$A:$A),MATCH(G$1,enemy_skill_triggers!$1:$1,0)-MATCH($F$1,enemy_skill_triggers!$1:$1,0)+1),MATCH(G$1,enemy_skill_triggers!$1:$1,0)-MATCH($F$1,enemy_skill_triggers!$1:$1,0)+1,FALSE)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5" s="48">
        <f ca="1">VLOOKUP($F735,OFFSET(enemy_skill_triggers!$A$1,0,0,COUNTA(enemy_skill_triggers!$A:$A),MATCH(H$1,enemy_skill_triggers!$1:$1,0)-MATCH($F$1,enemy_skill_triggers!$1:$1,0)+1),MATCH(H$1,enemy_skill_triggers!$1:$1,0)-MATCH($F$1,enemy_skill_triggers!$1:$1,0)+1,FALSE)</f>
        <v>63</v>
      </c>
      <c r="I735" s="48">
        <f ca="1">VLOOKUP($F735,OFFSET(enemy_skill_triggers!$A$1,0,0,COUNTA(enemy_skill_triggers!$A:$A),MATCH(I$1,enemy_skill_triggers!$1:$1,0)-MATCH($F$1,enemy_skill_triggers!$1:$1,0)+1),MATCH(I$1,enemy_skill_triggers!$1:$1,0)-MATCH($F$1,enemy_skill_triggers!$1:$1,0)+1,FALSE)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5" s="48" t="str">
        <f ca="1">VLOOKUP($F735,OFFSET(enemy_skill_triggers!$A$1,0,0,COUNTA(enemy_skill_triggers!$A:$A),MATCH(J$1,enemy_skill_triggers!$1:$1,0)-MATCH($F$1,enemy_skill_triggers!$1:$1,0)+1),MATCH(J$1,enemy_skill_triggers!$1:$1,0)-MATCH($F$1,enemy_skill_triggers!$1:$1,0)+1,FALSE)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5" s="48" t="str">
        <f ca="1">VLOOKUP($F735,OFFSET(enemy_skill_triggers!$A$1,0,0,COUNTA(enemy_skill_triggers!$A:$A),MATCH(K$1,enemy_skill_triggers!$1:$1,0)-MATCH($F$1,enemy_skill_triggers!$1:$1,0)+1),MATCH(K$1,enemy_skill_triggers!$1:$1,0)-MATCH($F$1,enemy_skill_triggers!$1:$1,0)+1,FALSE)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5" s="48">
        <f ca="1">VLOOKUP($F735,OFFSET(enemy_skill_triggers!$A$1,0,0,COUNTA(enemy_skill_triggers!$A:$A),MATCH(L$1,enemy_skill_triggers!$1:$1,0)-MATCH($F$1,enemy_skill_triggers!$1:$1,0)+1),MATCH(L$1,enemy_skill_triggers!$1:$1,0)-MATCH($F$1,enemy_skill_triggers!$1:$1,0)+1,FALSE)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5" s="48" t="str">
        <f ca="1">VLOOKUP($F735,OFFSET(enemy_skill_triggers!$A$1,0,0,COUNTA(enemy_skill_triggers!$A:$A),MATCH(M$1,enemy_skill_triggers!$1:$1,0)-MATCH($F$1,enemy_skill_triggers!$1:$1,0)+1),MATCH(M$1,enemy_skill_triggers!$1:$1,0)-MATCH($F$1,enemy_skill_triggers!$1:$1,0)+1,FALSE)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5" s="48">
        <f ca="1">VLOOKUP($F735,OFFSET(enemy_skill_triggers!$A$1,0,0,COUNTA(enemy_skill_triggers!$A:$A),MATCH(N$1,enemy_skill_triggers!$1:$1,0)-MATCH($F$1,enemy_skill_triggers!$1:$1,0)+1),MATCH(N$1,enemy_skill_triggers!$1:$1,0)-MATCH($F$1,enemy_skill_triggers!$1:$1,0)+1,FALSE)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735" s="48">
        <f ca="1">VLOOKUP($F735,OFFSET(enemy_skill_triggers!$A$1,0,0,COUNTA(enemy_skill_triggers!$A:$A),MATCH(O$1,enemy_skill_triggers!$1:$1,0)-MATCH($F$1,enemy_skill_triggers!$1:$1,0)+1),MATCH(O$1,enemy_skill_triggers!$1:$1,0)-MATCH($F$1,enemy_skill_triggers!$1:$1,0)+1,FALSE)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5" s="47"/>
      <c r="Q735" s="47"/>
      <c r="R735" s="47"/>
    </row>
    <row r="736" spans="1:18" ht="21" customHeight="1" x14ac:dyDescent="0.15">
      <c r="A736" s="39" t="str">
        <f t="shared" si="32"/>
        <v>39009035_39009074</v>
      </c>
      <c r="B736" s="47">
        <v>39009035</v>
      </c>
      <c r="C736" s="47">
        <v>39009074</v>
      </c>
      <c r="D736" s="46" t="str">
        <f ca="1">VLOOKUP($C736,OFFSET(enemy_skills!$A$1,0,0,COUNTA(enemy_skills!$A:$A),MATCH(D$1,enemy_skills!$1:$1,0)-MATCH("enemy_skill_id",enemy_skills!$1:$1,0)+1),MATCH(D$1,enemy_skills!$1:$1,0)-MATCH("enemy_skill_id",enemy_skills!$1:$1,0)+1,FALSE)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6" s="46" t="str">
        <f ca="1">VLOOKUP($C736,OFFSET(enemy_skills!$A$1,0,0,COUNTA(enemy_skills!$A:$A),MATCH(E$1,enemy_skills!$1:$1,0)-MATCH("enemy_skill_id",enemy_skills!$1:$1,0)+1),MATCH(E$1,enemy_skills!$1:$1,0)-MATCH("enemy_skill_id",enemy_skills!$1:$1,0)+1,FALSE)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6" s="47">
        <v>39009200</v>
      </c>
      <c r="G736" s="48">
        <f ca="1">VLOOKUP($F736,OFFSET(enemy_skill_triggers!$A$1,0,0,COUNTA(enemy_skill_triggers!$A:$A),MATCH(G$1,enemy_skill_triggers!$1:$1,0)-MATCH($F$1,enemy_skill_triggers!$1:$1,0)+1),MATCH(G$1,enemy_skill_triggers!$1:$1,0)-MATCH($F$1,enemy_skill_triggers!$1:$1,0)+1,FALSE)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6" s="48">
        <f ca="1">VLOOKUP($F736,OFFSET(enemy_skill_triggers!$A$1,0,0,COUNTA(enemy_skill_triggers!$A:$A),MATCH(H$1,enemy_skill_triggers!$1:$1,0)-MATCH($F$1,enemy_skill_triggers!$1:$1,0)+1),MATCH(H$1,enemy_skill_triggers!$1:$1,0)-MATCH($F$1,enemy_skill_triggers!$1:$1,0)+1,FALSE)</f>
        <v>64</v>
      </c>
      <c r="I736" s="48">
        <f ca="1">VLOOKUP($F736,OFFSET(enemy_skill_triggers!$A$1,0,0,COUNTA(enemy_skill_triggers!$A:$A),MATCH(I$1,enemy_skill_triggers!$1:$1,0)-MATCH($F$1,enemy_skill_triggers!$1:$1,0)+1),MATCH(I$1,enemy_skill_triggers!$1:$1,0)-MATCH($F$1,enemy_skill_triggers!$1:$1,0)+1,FALSE)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6" s="48" t="str">
        <f ca="1">VLOOKUP($F736,OFFSET(enemy_skill_triggers!$A$1,0,0,COUNTA(enemy_skill_triggers!$A:$A),MATCH(J$1,enemy_skill_triggers!$1:$1,0)-MATCH($F$1,enemy_skill_triggers!$1:$1,0)+1),MATCH(J$1,enemy_skill_triggers!$1:$1,0)-MATCH($F$1,enemy_skill_triggers!$1:$1,0)+1,FALSE)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6" s="48" t="str">
        <f ca="1">VLOOKUP($F736,OFFSET(enemy_skill_triggers!$A$1,0,0,COUNTA(enemy_skill_triggers!$A:$A),MATCH(K$1,enemy_skill_triggers!$1:$1,0)-MATCH($F$1,enemy_skill_triggers!$1:$1,0)+1),MATCH(K$1,enemy_skill_triggers!$1:$1,0)-MATCH($F$1,enemy_skill_triggers!$1:$1,0)+1,FALSE)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6" s="48">
        <f ca="1">VLOOKUP($F736,OFFSET(enemy_skill_triggers!$A$1,0,0,COUNTA(enemy_skill_triggers!$A:$A),MATCH(L$1,enemy_skill_triggers!$1:$1,0)-MATCH($F$1,enemy_skill_triggers!$1:$1,0)+1),MATCH(L$1,enemy_skill_triggers!$1:$1,0)-MATCH($F$1,enemy_skill_triggers!$1:$1,0)+1,FALSE)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6" s="48" t="str">
        <f ca="1">VLOOKUP($F736,OFFSET(enemy_skill_triggers!$A$1,0,0,COUNTA(enemy_skill_triggers!$A:$A),MATCH(M$1,enemy_skill_triggers!$1:$1,0)-MATCH($F$1,enemy_skill_triggers!$1:$1,0)+1),MATCH(M$1,enemy_skill_triggers!$1:$1,0)-MATCH($F$1,enemy_skill_triggers!$1:$1,0)+1,FALSE)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6" s="48">
        <f ca="1">VLOOKUP($F736,OFFSET(enemy_skill_triggers!$A$1,0,0,COUNTA(enemy_skill_triggers!$A:$A),MATCH(N$1,enemy_skill_triggers!$1:$1,0)-MATCH($F$1,enemy_skill_triggers!$1:$1,0)+1),MATCH(N$1,enemy_skill_triggers!$1:$1,0)-MATCH($F$1,enemy_skill_triggers!$1:$1,0)+1,FALSE)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736" s="48">
        <f ca="1">VLOOKUP($F736,OFFSET(enemy_skill_triggers!$A$1,0,0,COUNTA(enemy_skill_triggers!$A:$A),MATCH(O$1,enemy_skill_triggers!$1:$1,0)-MATCH($F$1,enemy_skill_triggers!$1:$1,0)+1),MATCH(O$1,enemy_skill_triggers!$1:$1,0)-MATCH($F$1,enemy_skill_triggers!$1:$1,0)+1,FALSE)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6" s="47"/>
      <c r="Q736" s="47"/>
      <c r="R736" s="47"/>
    </row>
    <row r="737" spans="1:18" ht="21" customHeight="1" x14ac:dyDescent="0.15">
      <c r="A737" s="39" t="str">
        <f t="shared" si="32"/>
        <v>39009035_39009074</v>
      </c>
      <c r="B737" s="47">
        <v>39009035</v>
      </c>
      <c r="C737" s="47">
        <v>39009074</v>
      </c>
      <c r="D737" s="46" t="str">
        <f ca="1">VLOOKUP($C737,OFFSET(enemy_skills!$A$1,0,0,COUNTA(enemy_skills!$A:$A),MATCH(D$1,enemy_skills!$1:$1,0)-MATCH("enemy_skill_id",enemy_skills!$1:$1,0)+1),MATCH(D$1,enemy_skills!$1:$1,0)-MATCH("enemy_skill_id",enemy_skills!$1:$1,0)+1,FALSE)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7" s="46" t="str">
        <f ca="1">VLOOKUP($C737,OFFSET(enemy_skills!$A$1,0,0,COUNTA(enemy_skills!$A:$A),MATCH(E$1,enemy_skills!$1:$1,0)-MATCH("enemy_skill_id",enemy_skills!$1:$1,0)+1),MATCH(E$1,enemy_skills!$1:$1,0)-MATCH("enemy_skill_id",enemy_skills!$1:$1,0)+1,FALSE)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7" s="47">
        <v>39009201</v>
      </c>
      <c r="G737" s="48">
        <f ca="1">VLOOKUP($F737,OFFSET(enemy_skill_triggers!$A$1,0,0,COUNTA(enemy_skill_triggers!$A:$A),MATCH(G$1,enemy_skill_triggers!$1:$1,0)-MATCH($F$1,enemy_skill_triggers!$1:$1,0)+1),MATCH(G$1,enemy_skill_triggers!$1:$1,0)-MATCH($F$1,enemy_skill_triggers!$1:$1,0)+1,FALSE)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7" s="48">
        <f ca="1">VLOOKUP($F737,OFFSET(enemy_skill_triggers!$A$1,0,0,COUNTA(enemy_skill_triggers!$A:$A),MATCH(H$1,enemy_skill_triggers!$1:$1,0)-MATCH($F$1,enemy_skill_triggers!$1:$1,0)+1),MATCH(H$1,enemy_skill_triggers!$1:$1,0)-MATCH($F$1,enemy_skill_triggers!$1:$1,0)+1,FALSE)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737" s="48">
        <f ca="1">VLOOKUP($F737,OFFSET(enemy_skill_triggers!$A$1,0,0,COUNTA(enemy_skill_triggers!$A:$A),MATCH(I$1,enemy_skill_triggers!$1:$1,0)-MATCH($F$1,enemy_skill_triggers!$1:$1,0)+1),MATCH(I$1,enemy_skill_triggers!$1:$1,0)-MATCH($F$1,enemy_skill_triggers!$1:$1,0)+1,FALSE)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7" s="48" t="str">
        <f ca="1">VLOOKUP($F737,OFFSET(enemy_skill_triggers!$A$1,0,0,COUNTA(enemy_skill_triggers!$A:$A),MATCH(J$1,enemy_skill_triggers!$1:$1,0)-MATCH($F$1,enemy_skill_triggers!$1:$1,0)+1),MATCH(J$1,enemy_skill_triggers!$1:$1,0)-MATCH($F$1,enemy_skill_triggers!$1:$1,0)+1,FALSE)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7" s="48" t="str">
        <f ca="1">VLOOKUP($F737,OFFSET(enemy_skill_triggers!$A$1,0,0,COUNTA(enemy_skill_triggers!$A:$A),MATCH(K$1,enemy_skill_triggers!$1:$1,0)-MATCH($F$1,enemy_skill_triggers!$1:$1,0)+1),MATCH(K$1,enemy_skill_triggers!$1:$1,0)-MATCH($F$1,enemy_skill_triggers!$1:$1,0)+1,FALSE)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7" s="48">
        <f ca="1">VLOOKUP($F737,OFFSET(enemy_skill_triggers!$A$1,0,0,COUNTA(enemy_skill_triggers!$A:$A),MATCH(L$1,enemy_skill_triggers!$1:$1,0)-MATCH($F$1,enemy_skill_triggers!$1:$1,0)+1),MATCH(L$1,enemy_skill_triggers!$1:$1,0)-MATCH($F$1,enemy_skill_triggers!$1:$1,0)+1,FALSE)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7" s="48" t="str">
        <f ca="1">VLOOKUP($F737,OFFSET(enemy_skill_triggers!$A$1,0,0,COUNTA(enemy_skill_triggers!$A:$A),MATCH(M$1,enemy_skill_triggers!$1:$1,0)-MATCH($F$1,enemy_skill_triggers!$1:$1,0)+1),MATCH(M$1,enemy_skill_triggers!$1:$1,0)-MATCH($F$1,enemy_skill_triggers!$1:$1,0)+1,FALSE)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7" s="48">
        <f ca="1">VLOOKUP($F737,OFFSET(enemy_skill_triggers!$A$1,0,0,COUNTA(enemy_skill_triggers!$A:$A),MATCH(N$1,enemy_skill_triggers!$1:$1,0)-MATCH($F$1,enemy_skill_triggers!$1:$1,0)+1),MATCH(N$1,enemy_skill_triggers!$1:$1,0)-MATCH($F$1,enemy_skill_triggers!$1:$1,0)+1,FALSE)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737" s="48">
        <f ca="1">VLOOKUP($F737,OFFSET(enemy_skill_triggers!$A$1,0,0,COUNTA(enemy_skill_triggers!$A:$A),MATCH(O$1,enemy_skill_triggers!$1:$1,0)-MATCH($F$1,enemy_skill_triggers!$1:$1,0)+1),MATCH(O$1,enemy_skill_triggers!$1:$1,0)-MATCH($F$1,enemy_skill_triggers!$1:$1,0)+1,FALSE)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7" s="47"/>
      <c r="Q737" s="47"/>
      <c r="R737" s="47"/>
    </row>
    <row r="738" spans="1:18" ht="21" customHeight="1" x14ac:dyDescent="0.15">
      <c r="A738" s="39" t="str">
        <f t="shared" si="32"/>
        <v>39009035_39009074</v>
      </c>
      <c r="B738" s="47">
        <v>39009035</v>
      </c>
      <c r="C738" s="47">
        <v>39009074</v>
      </c>
      <c r="D738" s="46" t="str">
        <f ca="1">VLOOKUP($C738,OFFSET(enemy_skills!$A$1,0,0,COUNTA(enemy_skills!$A:$A),MATCH(D$1,enemy_skills!$1:$1,0)-MATCH("enemy_skill_id",enemy_skills!$1:$1,0)+1),MATCH(D$1,enemy_skills!$1:$1,0)-MATCH("enemy_skill_id",enemy_skills!$1:$1,0)+1,FALSE)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8" s="46" t="str">
        <f ca="1">VLOOKUP($C738,OFFSET(enemy_skills!$A$1,0,0,COUNTA(enemy_skills!$A:$A),MATCH(E$1,enemy_skills!$1:$1,0)-MATCH("enemy_skill_id",enemy_skills!$1:$1,0)+1),MATCH(E$1,enemy_skills!$1:$1,0)-MATCH("enemy_skill_id",enemy_skills!$1:$1,0)+1,FALSE)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8" s="47">
        <v>39009202</v>
      </c>
      <c r="G738" s="48">
        <f ca="1">VLOOKUP($F738,OFFSET(enemy_skill_triggers!$A$1,0,0,COUNTA(enemy_skill_triggers!$A:$A),MATCH(G$1,enemy_skill_triggers!$1:$1,0)-MATCH($F$1,enemy_skill_triggers!$1:$1,0)+1),MATCH(G$1,enemy_skill_triggers!$1:$1,0)-MATCH($F$1,enemy_skill_triggers!$1:$1,0)+1,FALSE)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8" s="48">
        <f ca="1">VLOOKUP($F738,OFFSET(enemy_skill_triggers!$A$1,0,0,COUNTA(enemy_skill_triggers!$A:$A),MATCH(H$1,enemy_skill_triggers!$1:$1,0)-MATCH($F$1,enemy_skill_triggers!$1:$1,0)+1),MATCH(H$1,enemy_skill_triggers!$1:$1,0)-MATCH($F$1,enemy_skill_triggers!$1:$1,0)+1,FALSE)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738" s="48">
        <f ca="1">VLOOKUP($F738,OFFSET(enemy_skill_triggers!$A$1,0,0,COUNTA(enemy_skill_triggers!$A:$A),MATCH(I$1,enemy_skill_triggers!$1:$1,0)-MATCH($F$1,enemy_skill_triggers!$1:$1,0)+1),MATCH(I$1,enemy_skill_triggers!$1:$1,0)-MATCH($F$1,enemy_skill_triggers!$1:$1,0)+1,FALSE)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8" s="48" t="str">
        <f ca="1">VLOOKUP($F738,OFFSET(enemy_skill_triggers!$A$1,0,0,COUNTA(enemy_skill_triggers!$A:$A),MATCH(J$1,enemy_skill_triggers!$1:$1,0)-MATCH($F$1,enemy_skill_triggers!$1:$1,0)+1),MATCH(J$1,enemy_skill_triggers!$1:$1,0)-MATCH($F$1,enemy_skill_triggers!$1:$1,0)+1,FALSE)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8" s="48" t="str">
        <f ca="1">VLOOKUP($F738,OFFSET(enemy_skill_triggers!$A$1,0,0,COUNTA(enemy_skill_triggers!$A:$A),MATCH(K$1,enemy_skill_triggers!$1:$1,0)-MATCH($F$1,enemy_skill_triggers!$1:$1,0)+1),MATCH(K$1,enemy_skill_triggers!$1:$1,0)-MATCH($F$1,enemy_skill_triggers!$1:$1,0)+1,FALSE)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8" s="48">
        <f ca="1">VLOOKUP($F738,OFFSET(enemy_skill_triggers!$A$1,0,0,COUNTA(enemy_skill_triggers!$A:$A),MATCH(L$1,enemy_skill_triggers!$1:$1,0)-MATCH($F$1,enemy_skill_triggers!$1:$1,0)+1),MATCH(L$1,enemy_skill_triggers!$1:$1,0)-MATCH($F$1,enemy_skill_triggers!$1:$1,0)+1,FALSE)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8" s="48" t="str">
        <f ca="1">VLOOKUP($F738,OFFSET(enemy_skill_triggers!$A$1,0,0,COUNTA(enemy_skill_triggers!$A:$A),MATCH(M$1,enemy_skill_triggers!$1:$1,0)-MATCH($F$1,enemy_skill_triggers!$1:$1,0)+1),MATCH(M$1,enemy_skill_triggers!$1:$1,0)-MATCH($F$1,enemy_skill_triggers!$1:$1,0)+1,FALSE)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8" s="48">
        <f ca="1">VLOOKUP($F738,OFFSET(enemy_skill_triggers!$A$1,0,0,COUNTA(enemy_skill_triggers!$A:$A),MATCH(N$1,enemy_skill_triggers!$1:$1,0)-MATCH($F$1,enemy_skill_triggers!$1:$1,0)+1),MATCH(N$1,enemy_skill_triggers!$1:$1,0)-MATCH($F$1,enemy_skill_triggers!$1:$1,0)+1,FALSE)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738" s="48">
        <f ca="1">VLOOKUP($F738,OFFSET(enemy_skill_triggers!$A$1,0,0,COUNTA(enemy_skill_triggers!$A:$A),MATCH(O$1,enemy_skill_triggers!$1:$1,0)-MATCH($F$1,enemy_skill_triggers!$1:$1,0)+1),MATCH(O$1,enemy_skill_triggers!$1:$1,0)-MATCH($F$1,enemy_skill_triggers!$1:$1,0)+1,FALSE)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8" s="47"/>
      <c r="Q738" s="47"/>
      <c r="R738" s="47"/>
    </row>
    <row r="739" spans="1:18" ht="21" customHeight="1" x14ac:dyDescent="0.15">
      <c r="A739" s="39" t="str">
        <f t="shared" si="32"/>
        <v>39009035_39009074</v>
      </c>
      <c r="B739" s="47">
        <v>39009035</v>
      </c>
      <c r="C739" s="47">
        <v>39009074</v>
      </c>
      <c r="D739" s="46" t="str">
        <f ca="1">VLOOKUP($C739,OFFSET(enemy_skills!$A$1,0,0,COUNTA(enemy_skills!$A:$A),MATCH(D$1,enemy_skills!$1:$1,0)-MATCH("enemy_skill_id",enemy_skills!$1:$1,0)+1),MATCH(D$1,enemy_skills!$1:$1,0)-MATCH("enemy_skill_id",enemy_skills!$1:$1,0)+1,FALSE)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39" s="46" t="str">
        <f ca="1">VLOOKUP($C739,OFFSET(enemy_skills!$A$1,0,0,COUNTA(enemy_skills!$A:$A),MATCH(E$1,enemy_skills!$1:$1,0)-MATCH("enemy_skill_id",enemy_skills!$1:$1,0)+1),MATCH(E$1,enemy_skills!$1:$1,0)-MATCH("enemy_skill_id",enemy_skills!$1:$1,0)+1,FALSE)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9" s="47">
        <v>39009203</v>
      </c>
      <c r="G739" s="48">
        <f ca="1">VLOOKUP($F739,OFFSET(enemy_skill_triggers!$A$1,0,0,COUNTA(enemy_skill_triggers!$A:$A),MATCH(G$1,enemy_skill_triggers!$1:$1,0)-MATCH($F$1,enemy_skill_triggers!$1:$1,0)+1),MATCH(G$1,enemy_skill_triggers!$1:$1,0)-MATCH($F$1,enemy_skill_triggers!$1:$1,0)+1,FALSE)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9" s="48">
        <f ca="1">VLOOKUP($F739,OFFSET(enemy_skill_triggers!$A$1,0,0,COUNTA(enemy_skill_triggers!$A:$A),MATCH(H$1,enemy_skill_triggers!$1:$1,0)-MATCH($F$1,enemy_skill_triggers!$1:$1,0)+1),MATCH(H$1,enemy_skill_triggers!$1:$1,0)-MATCH($F$1,enemy_skill_triggers!$1:$1,0)+1,FALSE)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739" s="48">
        <f ca="1">VLOOKUP($F739,OFFSET(enemy_skill_triggers!$A$1,0,0,COUNTA(enemy_skill_triggers!$A:$A),MATCH(I$1,enemy_skill_triggers!$1:$1,0)-MATCH($F$1,enemy_skill_triggers!$1:$1,0)+1),MATCH(I$1,enemy_skill_triggers!$1:$1,0)-MATCH($F$1,enemy_skill_triggers!$1:$1,0)+1,FALSE)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9" s="48" t="str">
        <f ca="1">VLOOKUP($F739,OFFSET(enemy_skill_triggers!$A$1,0,0,COUNTA(enemy_skill_triggers!$A:$A),MATCH(J$1,enemy_skill_triggers!$1:$1,0)-MATCH($F$1,enemy_skill_triggers!$1:$1,0)+1),MATCH(J$1,enemy_skill_triggers!$1:$1,0)-MATCH($F$1,enemy_skill_triggers!$1:$1,0)+1,FALSE)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9" s="48" t="str">
        <f ca="1">VLOOKUP($F739,OFFSET(enemy_skill_triggers!$A$1,0,0,COUNTA(enemy_skill_triggers!$A:$A),MATCH(K$1,enemy_skill_triggers!$1:$1,0)-MATCH($F$1,enemy_skill_triggers!$1:$1,0)+1),MATCH(K$1,enemy_skill_triggers!$1:$1,0)-MATCH($F$1,enemy_skill_triggers!$1:$1,0)+1,FALSE)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9" s="48">
        <f ca="1">VLOOKUP($F739,OFFSET(enemy_skill_triggers!$A$1,0,0,COUNTA(enemy_skill_triggers!$A:$A),MATCH(L$1,enemy_skill_triggers!$1:$1,0)-MATCH($F$1,enemy_skill_triggers!$1:$1,0)+1),MATCH(L$1,enemy_skill_triggers!$1:$1,0)-MATCH($F$1,enemy_skill_triggers!$1:$1,0)+1,FALSE)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9" s="48" t="str">
        <f ca="1">VLOOKUP($F739,OFFSET(enemy_skill_triggers!$A$1,0,0,COUNTA(enemy_skill_triggers!$A:$A),MATCH(M$1,enemy_skill_triggers!$1:$1,0)-MATCH($F$1,enemy_skill_triggers!$1:$1,0)+1),MATCH(M$1,enemy_skill_triggers!$1:$1,0)-MATCH($F$1,enemy_skill_triggers!$1:$1,0)+1,FALSE)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9" s="48">
        <f ca="1">VLOOKUP($F739,OFFSET(enemy_skill_triggers!$A$1,0,0,COUNTA(enemy_skill_triggers!$A:$A),MATCH(N$1,enemy_skill_triggers!$1:$1,0)-MATCH($F$1,enemy_skill_triggers!$1:$1,0)+1),MATCH(N$1,enemy_skill_triggers!$1:$1,0)-MATCH($F$1,enemy_skill_triggers!$1:$1,0)+1,FALSE)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739" s="48">
        <f ca="1">VLOOKUP($F739,OFFSET(enemy_skill_triggers!$A$1,0,0,COUNTA(enemy_skill_triggers!$A:$A),MATCH(O$1,enemy_skill_triggers!$1:$1,0)-MATCH($F$1,enemy_skill_triggers!$1:$1,0)+1),MATCH(O$1,enemy_skill_triggers!$1:$1,0)-MATCH($F$1,enemy_skill_triggers!$1:$1,0)+1,FALSE)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9" s="47"/>
      <c r="Q739" s="47"/>
      <c r="R739" s="47"/>
    </row>
    <row r="740" spans="1:18" ht="21" customHeight="1" x14ac:dyDescent="0.15">
      <c r="A740" s="39" t="str">
        <f t="shared" si="32"/>
        <v>39009035_39009074</v>
      </c>
      <c r="B740" s="47">
        <v>39009035</v>
      </c>
      <c r="C740" s="47">
        <v>39009074</v>
      </c>
      <c r="D740" s="46" t="str">
        <f ca="1">VLOOKUP($C740,OFFSET(enemy_skills!$A$1,0,0,COUNTA(enemy_skills!$A:$A),MATCH(D$1,enemy_skills!$1:$1,0)-MATCH("enemy_skill_id",enemy_skills!$1:$1,0)+1),MATCH(D$1,enemy_skills!$1:$1,0)-MATCH("enemy_skill_id",enemy_skills!$1:$1,0)+1,FALSE)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0" s="46" t="str">
        <f ca="1">VLOOKUP($C740,OFFSET(enemy_skills!$A$1,0,0,COUNTA(enemy_skills!$A:$A),MATCH(E$1,enemy_skills!$1:$1,0)-MATCH("enemy_skill_id",enemy_skills!$1:$1,0)+1),MATCH(E$1,enemy_skills!$1:$1,0)-MATCH("enemy_skill_id",enemy_skills!$1:$1,0)+1,FALSE)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0" s="47">
        <v>39009204</v>
      </c>
      <c r="G740" s="48">
        <f ca="1">VLOOKUP($F740,OFFSET(enemy_skill_triggers!$A$1,0,0,COUNTA(enemy_skill_triggers!$A:$A),MATCH(G$1,enemy_skill_triggers!$1:$1,0)-MATCH($F$1,enemy_skill_triggers!$1:$1,0)+1),MATCH(G$1,enemy_skill_triggers!$1:$1,0)-MATCH($F$1,enemy_skill_triggers!$1:$1,0)+1,FALSE)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0" s="48">
        <f ca="1">VLOOKUP($F740,OFFSET(enemy_skill_triggers!$A$1,0,0,COUNTA(enemy_skill_triggers!$A:$A),MATCH(H$1,enemy_skill_triggers!$1:$1,0)-MATCH($F$1,enemy_skill_triggers!$1:$1,0)+1),MATCH(H$1,enemy_skill_triggers!$1:$1,0)-MATCH($F$1,enemy_skill_triggers!$1:$1,0)+1,FALSE)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740" s="48">
        <f ca="1">VLOOKUP($F740,OFFSET(enemy_skill_triggers!$A$1,0,0,COUNTA(enemy_skill_triggers!$A:$A),MATCH(I$1,enemy_skill_triggers!$1:$1,0)-MATCH($F$1,enemy_skill_triggers!$1:$1,0)+1),MATCH(I$1,enemy_skill_triggers!$1:$1,0)-MATCH($F$1,enemy_skill_triggers!$1:$1,0)+1,FALSE)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0" s="48" t="str">
        <f ca="1">VLOOKUP($F740,OFFSET(enemy_skill_triggers!$A$1,0,0,COUNTA(enemy_skill_triggers!$A:$A),MATCH(J$1,enemy_skill_triggers!$1:$1,0)-MATCH($F$1,enemy_skill_triggers!$1:$1,0)+1),MATCH(J$1,enemy_skill_triggers!$1:$1,0)-MATCH($F$1,enemy_skill_triggers!$1:$1,0)+1,FALSE)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0" s="48" t="str">
        <f ca="1">VLOOKUP($F740,OFFSET(enemy_skill_triggers!$A$1,0,0,COUNTA(enemy_skill_triggers!$A:$A),MATCH(K$1,enemy_skill_triggers!$1:$1,0)-MATCH($F$1,enemy_skill_triggers!$1:$1,0)+1),MATCH(K$1,enemy_skill_triggers!$1:$1,0)-MATCH($F$1,enemy_skill_triggers!$1:$1,0)+1,FALSE)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0" s="48">
        <f ca="1">VLOOKUP($F740,OFFSET(enemy_skill_triggers!$A$1,0,0,COUNTA(enemy_skill_triggers!$A:$A),MATCH(L$1,enemy_skill_triggers!$1:$1,0)-MATCH($F$1,enemy_skill_triggers!$1:$1,0)+1),MATCH(L$1,enemy_skill_triggers!$1:$1,0)-MATCH($F$1,enemy_skill_triggers!$1:$1,0)+1,FALSE)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0" s="48" t="str">
        <f ca="1">VLOOKUP($F740,OFFSET(enemy_skill_triggers!$A$1,0,0,COUNTA(enemy_skill_triggers!$A:$A),MATCH(M$1,enemy_skill_triggers!$1:$1,0)-MATCH($F$1,enemy_skill_triggers!$1:$1,0)+1),MATCH(M$1,enemy_skill_triggers!$1:$1,0)-MATCH($F$1,enemy_skill_triggers!$1:$1,0)+1,FALSE)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0" s="48">
        <f ca="1">VLOOKUP($F740,OFFSET(enemy_skill_triggers!$A$1,0,0,COUNTA(enemy_skill_triggers!$A:$A),MATCH(N$1,enemy_skill_triggers!$1:$1,0)-MATCH($F$1,enemy_skill_triggers!$1:$1,0)+1),MATCH(N$1,enemy_skill_triggers!$1:$1,0)-MATCH($F$1,enemy_skill_triggers!$1:$1,0)+1,FALSE)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40" s="48">
        <f ca="1">VLOOKUP($F740,OFFSET(enemy_skill_triggers!$A$1,0,0,COUNTA(enemy_skill_triggers!$A:$A),MATCH(O$1,enemy_skill_triggers!$1:$1,0)-MATCH($F$1,enemy_skill_triggers!$1:$1,0)+1),MATCH(O$1,enemy_skill_triggers!$1:$1,0)-MATCH($F$1,enemy_skill_triggers!$1:$1,0)+1,FALSE)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0" s="47"/>
      <c r="Q740" s="47"/>
      <c r="R740" s="47"/>
    </row>
    <row r="741" spans="1:18" ht="21" customHeight="1" x14ac:dyDescent="0.15">
      <c r="A741" s="39" t="str">
        <f t="shared" si="32"/>
        <v>39009035_39009074</v>
      </c>
      <c r="B741" s="47">
        <v>39009035</v>
      </c>
      <c r="C741" s="47">
        <v>39009074</v>
      </c>
      <c r="D741" s="46" t="str">
        <f ca="1">VLOOKUP($C741,OFFSET(enemy_skills!$A$1,0,0,COUNTA(enemy_skills!$A:$A),MATCH(D$1,enemy_skills!$1:$1,0)-MATCH("enemy_skill_id",enemy_skills!$1:$1,0)+1),MATCH(D$1,enemy_skills!$1:$1,0)-MATCH("enemy_skill_id",enemy_skills!$1:$1,0)+1,FALSE)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1" s="46" t="str">
        <f ca="1">VLOOKUP($C741,OFFSET(enemy_skills!$A$1,0,0,COUNTA(enemy_skills!$A:$A),MATCH(E$1,enemy_skills!$1:$1,0)-MATCH("enemy_skill_id",enemy_skills!$1:$1,0)+1),MATCH(E$1,enemy_skills!$1:$1,0)-MATCH("enemy_skill_id",enemy_skills!$1:$1,0)+1,FALSE)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1" s="47">
        <v>39009205</v>
      </c>
      <c r="G741" s="48">
        <f ca="1">VLOOKUP($F741,OFFSET(enemy_skill_triggers!$A$1,0,0,COUNTA(enemy_skill_triggers!$A:$A),MATCH(G$1,enemy_skill_triggers!$1:$1,0)-MATCH($F$1,enemy_skill_triggers!$1:$1,0)+1),MATCH(G$1,enemy_skill_triggers!$1:$1,0)-MATCH($F$1,enemy_skill_triggers!$1:$1,0)+1,FALSE)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1" s="48">
        <f ca="1">VLOOKUP($F741,OFFSET(enemy_skill_triggers!$A$1,0,0,COUNTA(enemy_skill_triggers!$A:$A),MATCH(H$1,enemy_skill_triggers!$1:$1,0)-MATCH($F$1,enemy_skill_triggers!$1:$1,0)+1),MATCH(H$1,enemy_skill_triggers!$1:$1,0)-MATCH($F$1,enemy_skill_triggers!$1:$1,0)+1,FALSE)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741" s="48">
        <f ca="1">VLOOKUP($F741,OFFSET(enemy_skill_triggers!$A$1,0,0,COUNTA(enemy_skill_triggers!$A:$A),MATCH(I$1,enemy_skill_triggers!$1:$1,0)-MATCH($F$1,enemy_skill_triggers!$1:$1,0)+1),MATCH(I$1,enemy_skill_triggers!$1:$1,0)-MATCH($F$1,enemy_skill_triggers!$1:$1,0)+1,FALSE)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1" s="48" t="str">
        <f ca="1">VLOOKUP($F741,OFFSET(enemy_skill_triggers!$A$1,0,0,COUNTA(enemy_skill_triggers!$A:$A),MATCH(J$1,enemy_skill_triggers!$1:$1,0)-MATCH($F$1,enemy_skill_triggers!$1:$1,0)+1),MATCH(J$1,enemy_skill_triggers!$1:$1,0)-MATCH($F$1,enemy_skill_triggers!$1:$1,0)+1,FALSE)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1" s="48" t="str">
        <f ca="1">VLOOKUP($F741,OFFSET(enemy_skill_triggers!$A$1,0,0,COUNTA(enemy_skill_triggers!$A:$A),MATCH(K$1,enemy_skill_triggers!$1:$1,0)-MATCH($F$1,enemy_skill_triggers!$1:$1,0)+1),MATCH(K$1,enemy_skill_triggers!$1:$1,0)-MATCH($F$1,enemy_skill_triggers!$1:$1,0)+1,FALSE)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1" s="48">
        <f ca="1">VLOOKUP($F741,OFFSET(enemy_skill_triggers!$A$1,0,0,COUNTA(enemy_skill_triggers!$A:$A),MATCH(L$1,enemy_skill_triggers!$1:$1,0)-MATCH($F$1,enemy_skill_triggers!$1:$1,0)+1),MATCH(L$1,enemy_skill_triggers!$1:$1,0)-MATCH($F$1,enemy_skill_triggers!$1:$1,0)+1,FALSE)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1" s="48" t="str">
        <f ca="1">VLOOKUP($F741,OFFSET(enemy_skill_triggers!$A$1,0,0,COUNTA(enemy_skill_triggers!$A:$A),MATCH(M$1,enemy_skill_triggers!$1:$1,0)-MATCH($F$1,enemy_skill_triggers!$1:$1,0)+1),MATCH(M$1,enemy_skill_triggers!$1:$1,0)-MATCH($F$1,enemy_skill_triggers!$1:$1,0)+1,FALSE)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1" s="48">
        <f ca="1">VLOOKUP($F741,OFFSET(enemy_skill_triggers!$A$1,0,0,COUNTA(enemy_skill_triggers!$A:$A),MATCH(N$1,enemy_skill_triggers!$1:$1,0)-MATCH($F$1,enemy_skill_triggers!$1:$1,0)+1),MATCH(N$1,enemy_skill_triggers!$1:$1,0)-MATCH($F$1,enemy_skill_triggers!$1:$1,0)+1,FALSE)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41" s="48">
        <f ca="1">VLOOKUP($F741,OFFSET(enemy_skill_triggers!$A$1,0,0,COUNTA(enemy_skill_triggers!$A:$A),MATCH(O$1,enemy_skill_triggers!$1:$1,0)-MATCH($F$1,enemy_skill_triggers!$1:$1,0)+1),MATCH(O$1,enemy_skill_triggers!$1:$1,0)-MATCH($F$1,enemy_skill_triggers!$1:$1,0)+1,FALSE)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1" s="47"/>
      <c r="Q741" s="47"/>
      <c r="R741" s="47"/>
    </row>
    <row r="742" spans="1:18" ht="21" customHeight="1" x14ac:dyDescent="0.15">
      <c r="A742" s="39" t="str">
        <f t="shared" si="32"/>
        <v>39009035_39009074</v>
      </c>
      <c r="B742" s="47">
        <v>39009035</v>
      </c>
      <c r="C742" s="47">
        <v>39009074</v>
      </c>
      <c r="D742" s="46" t="str">
        <f ca="1">VLOOKUP($C742,OFFSET(enemy_skills!$A$1,0,0,COUNTA(enemy_skills!$A:$A),MATCH(D$1,enemy_skills!$1:$1,0)-MATCH("enemy_skill_id",enemy_skills!$1:$1,0)+1),MATCH(D$1,enemy_skills!$1:$1,0)-MATCH("enemy_skill_id",enemy_skills!$1:$1,0)+1,FALSE)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2" s="46" t="str">
        <f ca="1">VLOOKUP($C742,OFFSET(enemy_skills!$A$1,0,0,COUNTA(enemy_skills!$A:$A),MATCH(E$1,enemy_skills!$1:$1,0)-MATCH("enemy_skill_id",enemy_skills!$1:$1,0)+1),MATCH(E$1,enemy_skills!$1:$1,0)-MATCH("enemy_skill_id",enemy_skills!$1:$1,0)+1,FALSE)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2" s="47">
        <v>39009206</v>
      </c>
      <c r="G742" s="48">
        <f ca="1">VLOOKUP($F742,OFFSET(enemy_skill_triggers!$A$1,0,0,COUNTA(enemy_skill_triggers!$A:$A),MATCH(G$1,enemy_skill_triggers!$1:$1,0)-MATCH($F$1,enemy_skill_triggers!$1:$1,0)+1),MATCH(G$1,enemy_skill_triggers!$1:$1,0)-MATCH($F$1,enemy_skill_triggers!$1:$1,0)+1,FALSE)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2" s="48">
        <f ca="1">VLOOKUP($F742,OFFSET(enemy_skill_triggers!$A$1,0,0,COUNTA(enemy_skill_triggers!$A:$A),MATCH(H$1,enemy_skill_triggers!$1:$1,0)-MATCH($F$1,enemy_skill_triggers!$1:$1,0)+1),MATCH(H$1,enemy_skill_triggers!$1:$1,0)-MATCH($F$1,enemy_skill_triggers!$1:$1,0)+1,FALSE)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42" s="48">
        <f ca="1">VLOOKUP($F742,OFFSET(enemy_skill_triggers!$A$1,0,0,COUNTA(enemy_skill_triggers!$A:$A),MATCH(I$1,enemy_skill_triggers!$1:$1,0)-MATCH($F$1,enemy_skill_triggers!$1:$1,0)+1),MATCH(I$1,enemy_skill_triggers!$1:$1,0)-MATCH($F$1,enemy_skill_triggers!$1:$1,0)+1,FALSE)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2" s="48" t="str">
        <f ca="1">VLOOKUP($F742,OFFSET(enemy_skill_triggers!$A$1,0,0,COUNTA(enemy_skill_triggers!$A:$A),MATCH(J$1,enemy_skill_triggers!$1:$1,0)-MATCH($F$1,enemy_skill_triggers!$1:$1,0)+1),MATCH(J$1,enemy_skill_triggers!$1:$1,0)-MATCH($F$1,enemy_skill_triggers!$1:$1,0)+1,FALSE)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2" s="48" t="str">
        <f ca="1">VLOOKUP($F742,OFFSET(enemy_skill_triggers!$A$1,0,0,COUNTA(enemy_skill_triggers!$A:$A),MATCH(K$1,enemy_skill_triggers!$1:$1,0)-MATCH($F$1,enemy_skill_triggers!$1:$1,0)+1),MATCH(K$1,enemy_skill_triggers!$1:$1,0)-MATCH($F$1,enemy_skill_triggers!$1:$1,0)+1,FALSE)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2" s="48">
        <f ca="1">VLOOKUP($F742,OFFSET(enemy_skill_triggers!$A$1,0,0,COUNTA(enemy_skill_triggers!$A:$A),MATCH(L$1,enemy_skill_triggers!$1:$1,0)-MATCH($F$1,enemy_skill_triggers!$1:$1,0)+1),MATCH(L$1,enemy_skill_triggers!$1:$1,0)-MATCH($F$1,enemy_skill_triggers!$1:$1,0)+1,FALSE)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2" s="48" t="str">
        <f ca="1">VLOOKUP($F742,OFFSET(enemy_skill_triggers!$A$1,0,0,COUNTA(enemy_skill_triggers!$A:$A),MATCH(M$1,enemy_skill_triggers!$1:$1,0)-MATCH($F$1,enemy_skill_triggers!$1:$1,0)+1),MATCH(M$1,enemy_skill_triggers!$1:$1,0)-MATCH($F$1,enemy_skill_triggers!$1:$1,0)+1,FALSE)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2" s="48">
        <f ca="1">VLOOKUP($F742,OFFSET(enemy_skill_triggers!$A$1,0,0,COUNTA(enemy_skill_triggers!$A:$A),MATCH(N$1,enemy_skill_triggers!$1:$1,0)-MATCH($F$1,enemy_skill_triggers!$1:$1,0)+1),MATCH(N$1,enemy_skill_triggers!$1:$1,0)-MATCH($F$1,enemy_skill_triggers!$1:$1,0)+1,FALSE)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42" s="48">
        <f ca="1">VLOOKUP($F742,OFFSET(enemy_skill_triggers!$A$1,0,0,COUNTA(enemy_skill_triggers!$A:$A),MATCH(O$1,enemy_skill_triggers!$1:$1,0)-MATCH($F$1,enemy_skill_triggers!$1:$1,0)+1),MATCH(O$1,enemy_skill_triggers!$1:$1,0)-MATCH($F$1,enemy_skill_triggers!$1:$1,0)+1,FALSE)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2" s="47"/>
      <c r="Q742" s="47"/>
      <c r="R742" s="47"/>
    </row>
    <row r="743" spans="1:18" ht="21" customHeight="1" x14ac:dyDescent="0.15">
      <c r="A743" s="39" t="str">
        <f t="shared" si="32"/>
        <v>39009035_39009074</v>
      </c>
      <c r="B743" s="47">
        <v>39009035</v>
      </c>
      <c r="C743" s="47">
        <v>39009074</v>
      </c>
      <c r="D743" s="46" t="str">
        <f ca="1">VLOOKUP($C743,OFFSET(enemy_skills!$A$1,0,0,COUNTA(enemy_skills!$A:$A),MATCH(D$1,enemy_skills!$1:$1,0)-MATCH("enemy_skill_id",enemy_skills!$1:$1,0)+1),MATCH(D$1,enemy_skills!$1:$1,0)-MATCH("enemy_skill_id",enemy_skills!$1:$1,0)+1,FALSE)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3" s="46" t="str">
        <f ca="1">VLOOKUP($C743,OFFSET(enemy_skills!$A$1,0,0,COUNTA(enemy_skills!$A:$A),MATCH(E$1,enemy_skills!$1:$1,0)-MATCH("enemy_skill_id",enemy_skills!$1:$1,0)+1),MATCH(E$1,enemy_skills!$1:$1,0)-MATCH("enemy_skill_id",enemy_skills!$1:$1,0)+1,FALSE)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3" s="47">
        <v>39009207</v>
      </c>
      <c r="G743" s="48">
        <f ca="1">VLOOKUP($F743,OFFSET(enemy_skill_triggers!$A$1,0,0,COUNTA(enemy_skill_triggers!$A:$A),MATCH(G$1,enemy_skill_triggers!$1:$1,0)-MATCH($F$1,enemy_skill_triggers!$1:$1,0)+1),MATCH(G$1,enemy_skill_triggers!$1:$1,0)-MATCH($F$1,enemy_skill_triggers!$1:$1,0)+1,FALSE)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3" s="48">
        <f ca="1">VLOOKUP($F743,OFFSET(enemy_skill_triggers!$A$1,0,0,COUNTA(enemy_skill_triggers!$A:$A),MATCH(H$1,enemy_skill_triggers!$1:$1,0)-MATCH($F$1,enemy_skill_triggers!$1:$1,0)+1),MATCH(H$1,enemy_skill_triggers!$1:$1,0)-MATCH($F$1,enemy_skill_triggers!$1:$1,0)+1,FALSE)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743" s="48">
        <f ca="1">VLOOKUP($F743,OFFSET(enemy_skill_triggers!$A$1,0,0,COUNTA(enemy_skill_triggers!$A:$A),MATCH(I$1,enemy_skill_triggers!$1:$1,0)-MATCH($F$1,enemy_skill_triggers!$1:$1,0)+1),MATCH(I$1,enemy_skill_triggers!$1:$1,0)-MATCH($F$1,enemy_skill_triggers!$1:$1,0)+1,FALSE)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3" s="48" t="str">
        <f ca="1">VLOOKUP($F743,OFFSET(enemy_skill_triggers!$A$1,0,0,COUNTA(enemy_skill_triggers!$A:$A),MATCH(J$1,enemy_skill_triggers!$1:$1,0)-MATCH($F$1,enemy_skill_triggers!$1:$1,0)+1),MATCH(J$1,enemy_skill_triggers!$1:$1,0)-MATCH($F$1,enemy_skill_triggers!$1:$1,0)+1,FALSE)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3" s="48" t="str">
        <f ca="1">VLOOKUP($F743,OFFSET(enemy_skill_triggers!$A$1,0,0,COUNTA(enemy_skill_triggers!$A:$A),MATCH(K$1,enemy_skill_triggers!$1:$1,0)-MATCH($F$1,enemy_skill_triggers!$1:$1,0)+1),MATCH(K$1,enemy_skill_triggers!$1:$1,0)-MATCH($F$1,enemy_skill_triggers!$1:$1,0)+1,FALSE)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3" s="48">
        <f ca="1">VLOOKUP($F743,OFFSET(enemy_skill_triggers!$A$1,0,0,COUNTA(enemy_skill_triggers!$A:$A),MATCH(L$1,enemy_skill_triggers!$1:$1,0)-MATCH($F$1,enemy_skill_triggers!$1:$1,0)+1),MATCH(L$1,enemy_skill_triggers!$1:$1,0)-MATCH($F$1,enemy_skill_triggers!$1:$1,0)+1,FALSE)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3" s="48" t="str">
        <f ca="1">VLOOKUP($F743,OFFSET(enemy_skill_triggers!$A$1,0,0,COUNTA(enemy_skill_triggers!$A:$A),MATCH(M$1,enemy_skill_triggers!$1:$1,0)-MATCH($F$1,enemy_skill_triggers!$1:$1,0)+1),MATCH(M$1,enemy_skill_triggers!$1:$1,0)-MATCH($F$1,enemy_skill_triggers!$1:$1,0)+1,FALSE)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3" s="48">
        <f ca="1">VLOOKUP($F743,OFFSET(enemy_skill_triggers!$A$1,0,0,COUNTA(enemy_skill_triggers!$A:$A),MATCH(N$1,enemy_skill_triggers!$1:$1,0)-MATCH($F$1,enemy_skill_triggers!$1:$1,0)+1),MATCH(N$1,enemy_skill_triggers!$1:$1,0)-MATCH($F$1,enemy_skill_triggers!$1:$1,0)+1,FALSE)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43" s="48">
        <f ca="1">VLOOKUP($F743,OFFSET(enemy_skill_triggers!$A$1,0,0,COUNTA(enemy_skill_triggers!$A:$A),MATCH(O$1,enemy_skill_triggers!$1:$1,0)-MATCH($F$1,enemy_skill_triggers!$1:$1,0)+1),MATCH(O$1,enemy_skill_triggers!$1:$1,0)-MATCH($F$1,enemy_skill_triggers!$1:$1,0)+1,FALSE)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3" s="47"/>
      <c r="Q743" s="47"/>
      <c r="R743" s="47"/>
    </row>
    <row r="744" spans="1:18" ht="21" customHeight="1" x14ac:dyDescent="0.15">
      <c r="A744" s="39" t="str">
        <f t="shared" si="32"/>
        <v>39009035_39009074</v>
      </c>
      <c r="B744" s="47">
        <v>39009035</v>
      </c>
      <c r="C744" s="47">
        <v>39009074</v>
      </c>
      <c r="D744" s="46" t="str">
        <f ca="1">VLOOKUP($C744,OFFSET(enemy_skills!$A$1,0,0,COUNTA(enemy_skills!$A:$A),MATCH(D$1,enemy_skills!$1:$1,0)-MATCH("enemy_skill_id",enemy_skills!$1:$1,0)+1),MATCH(D$1,enemy_skills!$1:$1,0)-MATCH("enemy_skill_id",enemy_skills!$1:$1,0)+1,FALSE)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4" s="46" t="str">
        <f ca="1">VLOOKUP($C744,OFFSET(enemy_skills!$A$1,0,0,COUNTA(enemy_skills!$A:$A),MATCH(E$1,enemy_skills!$1:$1,0)-MATCH("enemy_skill_id",enemy_skills!$1:$1,0)+1),MATCH(E$1,enemy_skills!$1:$1,0)-MATCH("enemy_skill_id",enemy_skills!$1:$1,0)+1,FALSE)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4" s="47">
        <v>39009208</v>
      </c>
      <c r="G744" s="48">
        <f ca="1">VLOOKUP($F744,OFFSET(enemy_skill_triggers!$A$1,0,0,COUNTA(enemy_skill_triggers!$A:$A),MATCH(G$1,enemy_skill_triggers!$1:$1,0)-MATCH($F$1,enemy_skill_triggers!$1:$1,0)+1),MATCH(G$1,enemy_skill_triggers!$1:$1,0)-MATCH($F$1,enemy_skill_triggers!$1:$1,0)+1,FALSE)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4" s="48">
        <f ca="1">VLOOKUP($F744,OFFSET(enemy_skill_triggers!$A$1,0,0,COUNTA(enemy_skill_triggers!$A:$A),MATCH(H$1,enemy_skill_triggers!$1:$1,0)-MATCH($F$1,enemy_skill_triggers!$1:$1,0)+1),MATCH(H$1,enemy_skill_triggers!$1:$1,0)-MATCH($F$1,enemy_skill_triggers!$1:$1,0)+1,FALSE)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744" s="48">
        <f ca="1">VLOOKUP($F744,OFFSET(enemy_skill_triggers!$A$1,0,0,COUNTA(enemy_skill_triggers!$A:$A),MATCH(I$1,enemy_skill_triggers!$1:$1,0)-MATCH($F$1,enemy_skill_triggers!$1:$1,0)+1),MATCH(I$1,enemy_skill_triggers!$1:$1,0)-MATCH($F$1,enemy_skill_triggers!$1:$1,0)+1,FALSE)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4" s="48" t="str">
        <f ca="1">VLOOKUP($F744,OFFSET(enemy_skill_triggers!$A$1,0,0,COUNTA(enemy_skill_triggers!$A:$A),MATCH(J$1,enemy_skill_triggers!$1:$1,0)-MATCH($F$1,enemy_skill_triggers!$1:$1,0)+1),MATCH(J$1,enemy_skill_triggers!$1:$1,0)-MATCH($F$1,enemy_skill_triggers!$1:$1,0)+1,FALSE)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4" s="48" t="str">
        <f ca="1">VLOOKUP($F744,OFFSET(enemy_skill_triggers!$A$1,0,0,COUNTA(enemy_skill_triggers!$A:$A),MATCH(K$1,enemy_skill_triggers!$1:$1,0)-MATCH($F$1,enemy_skill_triggers!$1:$1,0)+1),MATCH(K$1,enemy_skill_triggers!$1:$1,0)-MATCH($F$1,enemy_skill_triggers!$1:$1,0)+1,FALSE)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4" s="48">
        <f ca="1">VLOOKUP($F744,OFFSET(enemy_skill_triggers!$A$1,0,0,COUNTA(enemy_skill_triggers!$A:$A),MATCH(L$1,enemy_skill_triggers!$1:$1,0)-MATCH($F$1,enemy_skill_triggers!$1:$1,0)+1),MATCH(L$1,enemy_skill_triggers!$1:$1,0)-MATCH($F$1,enemy_skill_triggers!$1:$1,0)+1,FALSE)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4" s="48" t="str">
        <f ca="1">VLOOKUP($F744,OFFSET(enemy_skill_triggers!$A$1,0,0,COUNTA(enemy_skill_triggers!$A:$A),MATCH(M$1,enemy_skill_triggers!$1:$1,0)-MATCH($F$1,enemy_skill_triggers!$1:$1,0)+1),MATCH(M$1,enemy_skill_triggers!$1:$1,0)-MATCH($F$1,enemy_skill_triggers!$1:$1,0)+1,FALSE)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4" s="48">
        <f ca="1">VLOOKUP($F744,OFFSET(enemy_skill_triggers!$A$1,0,0,COUNTA(enemy_skill_triggers!$A:$A),MATCH(N$1,enemy_skill_triggers!$1:$1,0)-MATCH($F$1,enemy_skill_triggers!$1:$1,0)+1),MATCH(N$1,enemy_skill_triggers!$1:$1,0)-MATCH($F$1,enemy_skill_triggers!$1:$1,0)+1,FALSE)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744" s="48">
        <f ca="1">VLOOKUP($F744,OFFSET(enemy_skill_triggers!$A$1,0,0,COUNTA(enemy_skill_triggers!$A:$A),MATCH(O$1,enemy_skill_triggers!$1:$1,0)-MATCH($F$1,enemy_skill_triggers!$1:$1,0)+1),MATCH(O$1,enemy_skill_triggers!$1:$1,0)-MATCH($F$1,enemy_skill_triggers!$1:$1,0)+1,FALSE)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4" s="47"/>
      <c r="Q744" s="47"/>
      <c r="R744" s="47"/>
    </row>
    <row r="745" spans="1:18" ht="21" customHeight="1" x14ac:dyDescent="0.15">
      <c r="A745" s="39" t="str">
        <f t="shared" si="32"/>
        <v>39009035_39009074</v>
      </c>
      <c r="B745" s="47">
        <v>39009035</v>
      </c>
      <c r="C745" s="47">
        <v>39009074</v>
      </c>
      <c r="D745" s="46" t="str">
        <f ca="1">VLOOKUP($C745,OFFSET(enemy_skills!$A$1,0,0,COUNTA(enemy_skills!$A:$A),MATCH(D$1,enemy_skills!$1:$1,0)-MATCH("enemy_skill_id",enemy_skills!$1:$1,0)+1),MATCH(D$1,enemy_skills!$1:$1,0)-MATCH("enemy_skill_id",enemy_skills!$1:$1,0)+1,FALSE)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5" s="46" t="str">
        <f ca="1">VLOOKUP($C745,OFFSET(enemy_skills!$A$1,0,0,COUNTA(enemy_skills!$A:$A),MATCH(E$1,enemy_skills!$1:$1,0)-MATCH("enemy_skill_id",enemy_skills!$1:$1,0)+1),MATCH(E$1,enemy_skills!$1:$1,0)-MATCH("enemy_skill_id",enemy_skills!$1:$1,0)+1,FALSE)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5" s="47">
        <v>39009209</v>
      </c>
      <c r="G745" s="48">
        <f ca="1">VLOOKUP($F745,OFFSET(enemy_skill_triggers!$A$1,0,0,COUNTA(enemy_skill_triggers!$A:$A),MATCH(G$1,enemy_skill_triggers!$1:$1,0)-MATCH($F$1,enemy_skill_triggers!$1:$1,0)+1),MATCH(G$1,enemy_skill_triggers!$1:$1,0)-MATCH($F$1,enemy_skill_triggers!$1:$1,0)+1,FALSE)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5" s="48">
        <f ca="1">VLOOKUP($F745,OFFSET(enemy_skill_triggers!$A$1,0,0,COUNTA(enemy_skill_triggers!$A:$A),MATCH(H$1,enemy_skill_triggers!$1:$1,0)-MATCH($F$1,enemy_skill_triggers!$1:$1,0)+1),MATCH(H$1,enemy_skill_triggers!$1:$1,0)-MATCH($F$1,enemy_skill_triggers!$1:$1,0)+1,FALSE)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745" s="48">
        <f ca="1">VLOOKUP($F745,OFFSET(enemy_skill_triggers!$A$1,0,0,COUNTA(enemy_skill_triggers!$A:$A),MATCH(I$1,enemy_skill_triggers!$1:$1,0)-MATCH($F$1,enemy_skill_triggers!$1:$1,0)+1),MATCH(I$1,enemy_skill_triggers!$1:$1,0)-MATCH($F$1,enemy_skill_triggers!$1:$1,0)+1,FALSE)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5" s="48" t="str">
        <f ca="1">VLOOKUP($F745,OFFSET(enemy_skill_triggers!$A$1,0,0,COUNTA(enemy_skill_triggers!$A:$A),MATCH(J$1,enemy_skill_triggers!$1:$1,0)-MATCH($F$1,enemy_skill_triggers!$1:$1,0)+1),MATCH(J$1,enemy_skill_triggers!$1:$1,0)-MATCH($F$1,enemy_skill_triggers!$1:$1,0)+1,FALSE)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5" s="48" t="str">
        <f ca="1">VLOOKUP($F745,OFFSET(enemy_skill_triggers!$A$1,0,0,COUNTA(enemy_skill_triggers!$A:$A),MATCH(K$1,enemy_skill_triggers!$1:$1,0)-MATCH($F$1,enemy_skill_triggers!$1:$1,0)+1),MATCH(K$1,enemy_skill_triggers!$1:$1,0)-MATCH($F$1,enemy_skill_triggers!$1:$1,0)+1,FALSE)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5" s="48">
        <f ca="1">VLOOKUP($F745,OFFSET(enemy_skill_triggers!$A$1,0,0,COUNTA(enemy_skill_triggers!$A:$A),MATCH(L$1,enemy_skill_triggers!$1:$1,0)-MATCH($F$1,enemy_skill_triggers!$1:$1,0)+1),MATCH(L$1,enemy_skill_triggers!$1:$1,0)-MATCH($F$1,enemy_skill_triggers!$1:$1,0)+1,FALSE)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5" s="48" t="str">
        <f ca="1">VLOOKUP($F745,OFFSET(enemy_skill_triggers!$A$1,0,0,COUNTA(enemy_skill_triggers!$A:$A),MATCH(M$1,enemy_skill_triggers!$1:$1,0)-MATCH($F$1,enemy_skill_triggers!$1:$1,0)+1),MATCH(M$1,enemy_skill_triggers!$1:$1,0)-MATCH($F$1,enemy_skill_triggers!$1:$1,0)+1,FALSE)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5" s="48">
        <f ca="1">VLOOKUP($F745,OFFSET(enemy_skill_triggers!$A$1,0,0,COUNTA(enemy_skill_triggers!$A:$A),MATCH(N$1,enemy_skill_triggers!$1:$1,0)-MATCH($F$1,enemy_skill_triggers!$1:$1,0)+1),MATCH(N$1,enemy_skill_triggers!$1:$1,0)-MATCH($F$1,enemy_skill_triggers!$1:$1,0)+1,FALSE)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745" s="48">
        <f ca="1">VLOOKUP($F745,OFFSET(enemy_skill_triggers!$A$1,0,0,COUNTA(enemy_skill_triggers!$A:$A),MATCH(O$1,enemy_skill_triggers!$1:$1,0)-MATCH($F$1,enemy_skill_triggers!$1:$1,0)+1),MATCH(O$1,enemy_skill_triggers!$1:$1,0)-MATCH($F$1,enemy_skill_triggers!$1:$1,0)+1,FALSE)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5" s="47"/>
      <c r="Q745" s="47"/>
      <c r="R745" s="47"/>
    </row>
    <row r="746" spans="1:18" ht="21" customHeight="1" x14ac:dyDescent="0.15">
      <c r="A746" s="39" t="str">
        <f t="shared" si="32"/>
        <v>39009035_39009074</v>
      </c>
      <c r="B746" s="47">
        <v>39009035</v>
      </c>
      <c r="C746" s="47">
        <v>39009074</v>
      </c>
      <c r="D746" s="46" t="str">
        <f ca="1">VLOOKUP($C746,OFFSET(enemy_skills!$A$1,0,0,COUNTA(enemy_skills!$A:$A),MATCH(D$1,enemy_skills!$1:$1,0)-MATCH("enemy_skill_id",enemy_skills!$1:$1,0)+1),MATCH(D$1,enemy_skills!$1:$1,0)-MATCH("enemy_skill_id",enemy_skills!$1:$1,0)+1,FALSE)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6" s="46" t="str">
        <f ca="1">VLOOKUP($C746,OFFSET(enemy_skills!$A$1,0,0,COUNTA(enemy_skills!$A:$A),MATCH(E$1,enemy_skills!$1:$1,0)-MATCH("enemy_skill_id",enemy_skills!$1:$1,0)+1),MATCH(E$1,enemy_skills!$1:$1,0)-MATCH("enemy_skill_id",enemy_skills!$1:$1,0)+1,FALSE)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6" s="47">
        <v>39009210</v>
      </c>
      <c r="G746" s="48">
        <f ca="1">VLOOKUP($F746,OFFSET(enemy_skill_triggers!$A$1,0,0,COUNTA(enemy_skill_triggers!$A:$A),MATCH(G$1,enemy_skill_triggers!$1:$1,0)-MATCH($F$1,enemy_skill_triggers!$1:$1,0)+1),MATCH(G$1,enemy_skill_triggers!$1:$1,0)-MATCH($F$1,enemy_skill_triggers!$1:$1,0)+1,FALSE)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6" s="48">
        <f ca="1">VLOOKUP($F746,OFFSET(enemy_skill_triggers!$A$1,0,0,COUNTA(enemy_skill_triggers!$A:$A),MATCH(H$1,enemy_skill_triggers!$1:$1,0)-MATCH($F$1,enemy_skill_triggers!$1:$1,0)+1),MATCH(H$1,enemy_skill_triggers!$1:$1,0)-MATCH($F$1,enemy_skill_triggers!$1:$1,0)+1,FALSE)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746" s="48">
        <f ca="1">VLOOKUP($F746,OFFSET(enemy_skill_triggers!$A$1,0,0,COUNTA(enemy_skill_triggers!$A:$A),MATCH(I$1,enemy_skill_triggers!$1:$1,0)-MATCH($F$1,enemy_skill_triggers!$1:$1,0)+1),MATCH(I$1,enemy_skill_triggers!$1:$1,0)-MATCH($F$1,enemy_skill_triggers!$1:$1,0)+1,FALSE)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6" s="48" t="str">
        <f ca="1">VLOOKUP($F746,OFFSET(enemy_skill_triggers!$A$1,0,0,COUNTA(enemy_skill_triggers!$A:$A),MATCH(J$1,enemy_skill_triggers!$1:$1,0)-MATCH($F$1,enemy_skill_triggers!$1:$1,0)+1),MATCH(J$1,enemy_skill_triggers!$1:$1,0)-MATCH($F$1,enemy_skill_triggers!$1:$1,0)+1,FALSE)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6" s="48" t="str">
        <f ca="1">VLOOKUP($F746,OFFSET(enemy_skill_triggers!$A$1,0,0,COUNTA(enemy_skill_triggers!$A:$A),MATCH(K$1,enemy_skill_triggers!$1:$1,0)-MATCH($F$1,enemy_skill_triggers!$1:$1,0)+1),MATCH(K$1,enemy_skill_triggers!$1:$1,0)-MATCH($F$1,enemy_skill_triggers!$1:$1,0)+1,FALSE)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6" s="48">
        <f ca="1">VLOOKUP($F746,OFFSET(enemy_skill_triggers!$A$1,0,0,COUNTA(enemy_skill_triggers!$A:$A),MATCH(L$1,enemy_skill_triggers!$1:$1,0)-MATCH($F$1,enemy_skill_triggers!$1:$1,0)+1),MATCH(L$1,enemy_skill_triggers!$1:$1,0)-MATCH($F$1,enemy_skill_triggers!$1:$1,0)+1,FALSE)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6" s="48" t="str">
        <f ca="1">VLOOKUP($F746,OFFSET(enemy_skill_triggers!$A$1,0,0,COUNTA(enemy_skill_triggers!$A:$A),MATCH(M$1,enemy_skill_triggers!$1:$1,0)-MATCH($F$1,enemy_skill_triggers!$1:$1,0)+1),MATCH(M$1,enemy_skill_triggers!$1:$1,0)-MATCH($F$1,enemy_skill_triggers!$1:$1,0)+1,FALSE)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6" s="48">
        <f ca="1">VLOOKUP($F746,OFFSET(enemy_skill_triggers!$A$1,0,0,COUNTA(enemy_skill_triggers!$A:$A),MATCH(N$1,enemy_skill_triggers!$1:$1,0)-MATCH($F$1,enemy_skill_triggers!$1:$1,0)+1),MATCH(N$1,enemy_skill_triggers!$1:$1,0)-MATCH($F$1,enemy_skill_triggers!$1:$1,0)+1,FALSE)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746" s="48">
        <f ca="1">VLOOKUP($F746,OFFSET(enemy_skill_triggers!$A$1,0,0,COUNTA(enemy_skill_triggers!$A:$A),MATCH(O$1,enemy_skill_triggers!$1:$1,0)-MATCH($F$1,enemy_skill_triggers!$1:$1,0)+1),MATCH(O$1,enemy_skill_triggers!$1:$1,0)-MATCH($F$1,enemy_skill_triggers!$1:$1,0)+1,FALSE)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6" s="47"/>
      <c r="Q746" s="47"/>
      <c r="R746" s="47"/>
    </row>
    <row r="747" spans="1:18" ht="21" customHeight="1" x14ac:dyDescent="0.15">
      <c r="A747" s="39" t="str">
        <f t="shared" si="32"/>
        <v>39009035_39009074</v>
      </c>
      <c r="B747" s="47">
        <v>39009035</v>
      </c>
      <c r="C747" s="47">
        <v>39009074</v>
      </c>
      <c r="D747" s="46" t="str">
        <f ca="1">VLOOKUP($C747,OFFSET(enemy_skills!$A$1,0,0,COUNTA(enemy_skills!$A:$A),MATCH(D$1,enemy_skills!$1:$1,0)-MATCH("enemy_skill_id",enemy_skills!$1:$1,0)+1),MATCH(D$1,enemy_skills!$1:$1,0)-MATCH("enemy_skill_id",enemy_skills!$1:$1,0)+1,FALSE)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7" s="46" t="str">
        <f ca="1">VLOOKUP($C747,OFFSET(enemy_skills!$A$1,0,0,COUNTA(enemy_skills!$A:$A),MATCH(E$1,enemy_skills!$1:$1,0)-MATCH("enemy_skill_id",enemy_skills!$1:$1,0)+1),MATCH(E$1,enemy_skills!$1:$1,0)-MATCH("enemy_skill_id",enemy_skills!$1:$1,0)+1,FALSE)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7" s="47">
        <v>39009211</v>
      </c>
      <c r="G747" s="48">
        <f ca="1">VLOOKUP($F747,OFFSET(enemy_skill_triggers!$A$1,0,0,COUNTA(enemy_skill_triggers!$A:$A),MATCH(G$1,enemy_skill_triggers!$1:$1,0)-MATCH($F$1,enemy_skill_triggers!$1:$1,0)+1),MATCH(G$1,enemy_skill_triggers!$1:$1,0)-MATCH($F$1,enemy_skill_triggers!$1:$1,0)+1,FALSE)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7" s="48">
        <f ca="1">VLOOKUP($F747,OFFSET(enemy_skill_triggers!$A$1,0,0,COUNTA(enemy_skill_triggers!$A:$A),MATCH(H$1,enemy_skill_triggers!$1:$1,0)-MATCH($F$1,enemy_skill_triggers!$1:$1,0)+1),MATCH(H$1,enemy_skill_triggers!$1:$1,0)-MATCH($F$1,enemy_skill_triggers!$1:$1,0)+1,FALSE)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747" s="48">
        <f ca="1">VLOOKUP($F747,OFFSET(enemy_skill_triggers!$A$1,0,0,COUNTA(enemy_skill_triggers!$A:$A),MATCH(I$1,enemy_skill_triggers!$1:$1,0)-MATCH($F$1,enemy_skill_triggers!$1:$1,0)+1),MATCH(I$1,enemy_skill_triggers!$1:$1,0)-MATCH($F$1,enemy_skill_triggers!$1:$1,0)+1,FALSE)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7" s="48" t="str">
        <f ca="1">VLOOKUP($F747,OFFSET(enemy_skill_triggers!$A$1,0,0,COUNTA(enemy_skill_triggers!$A:$A),MATCH(J$1,enemy_skill_triggers!$1:$1,0)-MATCH($F$1,enemy_skill_triggers!$1:$1,0)+1),MATCH(J$1,enemy_skill_triggers!$1:$1,0)-MATCH($F$1,enemy_skill_triggers!$1:$1,0)+1,FALSE)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7" s="48" t="str">
        <f ca="1">VLOOKUP($F747,OFFSET(enemy_skill_triggers!$A$1,0,0,COUNTA(enemy_skill_triggers!$A:$A),MATCH(K$1,enemy_skill_triggers!$1:$1,0)-MATCH($F$1,enemy_skill_triggers!$1:$1,0)+1),MATCH(K$1,enemy_skill_triggers!$1:$1,0)-MATCH($F$1,enemy_skill_triggers!$1:$1,0)+1,FALSE)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7" s="48">
        <f ca="1">VLOOKUP($F747,OFFSET(enemy_skill_triggers!$A$1,0,0,COUNTA(enemy_skill_triggers!$A:$A),MATCH(L$1,enemy_skill_triggers!$1:$1,0)-MATCH($F$1,enemy_skill_triggers!$1:$1,0)+1),MATCH(L$1,enemy_skill_triggers!$1:$1,0)-MATCH($F$1,enemy_skill_triggers!$1:$1,0)+1,FALSE)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7" s="48" t="str">
        <f ca="1">VLOOKUP($F747,OFFSET(enemy_skill_triggers!$A$1,0,0,COUNTA(enemy_skill_triggers!$A:$A),MATCH(M$1,enemy_skill_triggers!$1:$1,0)-MATCH($F$1,enemy_skill_triggers!$1:$1,0)+1),MATCH(M$1,enemy_skill_triggers!$1:$1,0)-MATCH($F$1,enemy_skill_triggers!$1:$1,0)+1,FALSE)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7" s="48">
        <f ca="1">VLOOKUP($F747,OFFSET(enemy_skill_triggers!$A$1,0,0,COUNTA(enemy_skill_triggers!$A:$A),MATCH(N$1,enemy_skill_triggers!$1:$1,0)-MATCH($F$1,enemy_skill_triggers!$1:$1,0)+1),MATCH(N$1,enemy_skill_triggers!$1:$1,0)-MATCH($F$1,enemy_skill_triggers!$1:$1,0)+1,FALSE)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747" s="48">
        <f ca="1">VLOOKUP($F747,OFFSET(enemy_skill_triggers!$A$1,0,0,COUNTA(enemy_skill_triggers!$A:$A),MATCH(O$1,enemy_skill_triggers!$1:$1,0)-MATCH($F$1,enemy_skill_triggers!$1:$1,0)+1),MATCH(O$1,enemy_skill_triggers!$1:$1,0)-MATCH($F$1,enemy_skill_triggers!$1:$1,0)+1,FALSE)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7" s="47"/>
      <c r="Q747" s="47"/>
      <c r="R747" s="47"/>
    </row>
    <row r="748" spans="1:18" ht="21" customHeight="1" x14ac:dyDescent="0.15">
      <c r="A748" s="39" t="str">
        <f t="shared" si="32"/>
        <v>39009035_39009074</v>
      </c>
      <c r="B748" s="47">
        <v>39009035</v>
      </c>
      <c r="C748" s="47">
        <v>39009074</v>
      </c>
      <c r="D748" s="46" t="str">
        <f ca="1">VLOOKUP($C748,OFFSET(enemy_skills!$A$1,0,0,COUNTA(enemy_skills!$A:$A),MATCH(D$1,enemy_skills!$1:$1,0)-MATCH("enemy_skill_id",enemy_skills!$1:$1,0)+1),MATCH(D$1,enemy_skills!$1:$1,0)-MATCH("enemy_skill_id",enemy_skills!$1:$1,0)+1,FALSE)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8" s="46" t="str">
        <f ca="1">VLOOKUP($C748,OFFSET(enemy_skills!$A$1,0,0,COUNTA(enemy_skills!$A:$A),MATCH(E$1,enemy_skills!$1:$1,0)-MATCH("enemy_skill_id",enemy_skills!$1:$1,0)+1),MATCH(E$1,enemy_skills!$1:$1,0)-MATCH("enemy_skill_id",enemy_skills!$1:$1,0)+1,FALSE)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8" s="47">
        <v>39009212</v>
      </c>
      <c r="G748" s="48">
        <f ca="1">VLOOKUP($F748,OFFSET(enemy_skill_triggers!$A$1,0,0,COUNTA(enemy_skill_triggers!$A:$A),MATCH(G$1,enemy_skill_triggers!$1:$1,0)-MATCH($F$1,enemy_skill_triggers!$1:$1,0)+1),MATCH(G$1,enemy_skill_triggers!$1:$1,0)-MATCH($F$1,enemy_skill_triggers!$1:$1,0)+1,FALSE)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8" s="48">
        <f ca="1">VLOOKUP($F748,OFFSET(enemy_skill_triggers!$A$1,0,0,COUNTA(enemy_skill_triggers!$A:$A),MATCH(H$1,enemy_skill_triggers!$1:$1,0)-MATCH($F$1,enemy_skill_triggers!$1:$1,0)+1),MATCH(H$1,enemy_skill_triggers!$1:$1,0)-MATCH($F$1,enemy_skill_triggers!$1:$1,0)+1,FALSE)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748" s="48">
        <f ca="1">VLOOKUP($F748,OFFSET(enemy_skill_triggers!$A$1,0,0,COUNTA(enemy_skill_triggers!$A:$A),MATCH(I$1,enemy_skill_triggers!$1:$1,0)-MATCH($F$1,enemy_skill_triggers!$1:$1,0)+1),MATCH(I$1,enemy_skill_triggers!$1:$1,0)-MATCH($F$1,enemy_skill_triggers!$1:$1,0)+1,FALSE)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8" s="48" t="str">
        <f ca="1">VLOOKUP($F748,OFFSET(enemy_skill_triggers!$A$1,0,0,COUNTA(enemy_skill_triggers!$A:$A),MATCH(J$1,enemy_skill_triggers!$1:$1,0)-MATCH($F$1,enemy_skill_triggers!$1:$1,0)+1),MATCH(J$1,enemy_skill_triggers!$1:$1,0)-MATCH($F$1,enemy_skill_triggers!$1:$1,0)+1,FALSE)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8" s="48" t="str">
        <f ca="1">VLOOKUP($F748,OFFSET(enemy_skill_triggers!$A$1,0,0,COUNTA(enemy_skill_triggers!$A:$A),MATCH(K$1,enemy_skill_triggers!$1:$1,0)-MATCH($F$1,enemy_skill_triggers!$1:$1,0)+1),MATCH(K$1,enemy_skill_triggers!$1:$1,0)-MATCH($F$1,enemy_skill_triggers!$1:$1,0)+1,FALSE)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8" s="48">
        <f ca="1">VLOOKUP($F748,OFFSET(enemy_skill_triggers!$A$1,0,0,COUNTA(enemy_skill_triggers!$A:$A),MATCH(L$1,enemy_skill_triggers!$1:$1,0)-MATCH($F$1,enemy_skill_triggers!$1:$1,0)+1),MATCH(L$1,enemy_skill_triggers!$1:$1,0)-MATCH($F$1,enemy_skill_triggers!$1:$1,0)+1,FALSE)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8" s="48" t="str">
        <f ca="1">VLOOKUP($F748,OFFSET(enemy_skill_triggers!$A$1,0,0,COUNTA(enemy_skill_triggers!$A:$A),MATCH(M$1,enemy_skill_triggers!$1:$1,0)-MATCH($F$1,enemy_skill_triggers!$1:$1,0)+1),MATCH(M$1,enemy_skill_triggers!$1:$1,0)-MATCH($F$1,enemy_skill_triggers!$1:$1,0)+1,FALSE)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8" s="48">
        <f ca="1">VLOOKUP($F748,OFFSET(enemy_skill_triggers!$A$1,0,0,COUNTA(enemy_skill_triggers!$A:$A),MATCH(N$1,enemy_skill_triggers!$1:$1,0)-MATCH($F$1,enemy_skill_triggers!$1:$1,0)+1),MATCH(N$1,enemy_skill_triggers!$1:$1,0)-MATCH($F$1,enemy_skill_triggers!$1:$1,0)+1,FALSE)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748" s="48">
        <f ca="1">VLOOKUP($F748,OFFSET(enemy_skill_triggers!$A$1,0,0,COUNTA(enemy_skill_triggers!$A:$A),MATCH(O$1,enemy_skill_triggers!$1:$1,0)-MATCH($F$1,enemy_skill_triggers!$1:$1,0)+1),MATCH(O$1,enemy_skill_triggers!$1:$1,0)-MATCH($F$1,enemy_skill_triggers!$1:$1,0)+1,FALSE)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8" s="47"/>
      <c r="Q748" s="47"/>
      <c r="R748" s="47"/>
    </row>
    <row r="749" spans="1:18" ht="21" customHeight="1" x14ac:dyDescent="0.15">
      <c r="A749" s="39" t="str">
        <f t="shared" si="32"/>
        <v>39009035_39009074</v>
      </c>
      <c r="B749" s="47">
        <v>39009035</v>
      </c>
      <c r="C749" s="47">
        <v>39009074</v>
      </c>
      <c r="D749" s="46" t="str">
        <f ca="1">VLOOKUP($C749,OFFSET(enemy_skills!$A$1,0,0,COUNTA(enemy_skills!$A:$A),MATCH(D$1,enemy_skills!$1:$1,0)-MATCH("enemy_skill_id",enemy_skills!$1:$1,0)+1),MATCH(D$1,enemy_skills!$1:$1,0)-MATCH("enemy_skill_id",enemy_skills!$1:$1,0)+1,FALSE)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49" s="46" t="str">
        <f ca="1">VLOOKUP($C749,OFFSET(enemy_skills!$A$1,0,0,COUNTA(enemy_skills!$A:$A),MATCH(E$1,enemy_skills!$1:$1,0)-MATCH("enemy_skill_id",enemy_skills!$1:$1,0)+1),MATCH(E$1,enemy_skills!$1:$1,0)-MATCH("enemy_skill_id",enemy_skills!$1:$1,0)+1,FALSE)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9" s="47">
        <v>39009213</v>
      </c>
      <c r="G749" s="48">
        <f ca="1">VLOOKUP($F749,OFFSET(enemy_skill_triggers!$A$1,0,0,COUNTA(enemy_skill_triggers!$A:$A),MATCH(G$1,enemy_skill_triggers!$1:$1,0)-MATCH($F$1,enemy_skill_triggers!$1:$1,0)+1),MATCH(G$1,enemy_skill_triggers!$1:$1,0)-MATCH($F$1,enemy_skill_triggers!$1:$1,0)+1,FALSE)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9" s="48">
        <f ca="1">VLOOKUP($F749,OFFSET(enemy_skill_triggers!$A$1,0,0,COUNTA(enemy_skill_triggers!$A:$A),MATCH(H$1,enemy_skill_triggers!$1:$1,0)-MATCH($F$1,enemy_skill_triggers!$1:$1,0)+1),MATCH(H$1,enemy_skill_triggers!$1:$1,0)-MATCH($F$1,enemy_skill_triggers!$1:$1,0)+1,FALSE)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749" s="48">
        <f ca="1">VLOOKUP($F749,OFFSET(enemy_skill_triggers!$A$1,0,0,COUNTA(enemy_skill_triggers!$A:$A),MATCH(I$1,enemy_skill_triggers!$1:$1,0)-MATCH($F$1,enemy_skill_triggers!$1:$1,0)+1),MATCH(I$1,enemy_skill_triggers!$1:$1,0)-MATCH($F$1,enemy_skill_triggers!$1:$1,0)+1,FALSE)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9" s="48" t="str">
        <f ca="1">VLOOKUP($F749,OFFSET(enemy_skill_triggers!$A$1,0,0,COUNTA(enemy_skill_triggers!$A:$A),MATCH(J$1,enemy_skill_triggers!$1:$1,0)-MATCH($F$1,enemy_skill_triggers!$1:$1,0)+1),MATCH(J$1,enemy_skill_triggers!$1:$1,0)-MATCH($F$1,enemy_skill_triggers!$1:$1,0)+1,FALSE)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9" s="48" t="str">
        <f ca="1">VLOOKUP($F749,OFFSET(enemy_skill_triggers!$A$1,0,0,COUNTA(enemy_skill_triggers!$A:$A),MATCH(K$1,enemy_skill_triggers!$1:$1,0)-MATCH($F$1,enemy_skill_triggers!$1:$1,0)+1),MATCH(K$1,enemy_skill_triggers!$1:$1,0)-MATCH($F$1,enemy_skill_triggers!$1:$1,0)+1,FALSE)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9" s="48">
        <f ca="1">VLOOKUP($F749,OFFSET(enemy_skill_triggers!$A$1,0,0,COUNTA(enemy_skill_triggers!$A:$A),MATCH(L$1,enemy_skill_triggers!$1:$1,0)-MATCH($F$1,enemy_skill_triggers!$1:$1,0)+1),MATCH(L$1,enemy_skill_triggers!$1:$1,0)-MATCH($F$1,enemy_skill_triggers!$1:$1,0)+1,FALSE)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9" s="48" t="str">
        <f ca="1">VLOOKUP($F749,OFFSET(enemy_skill_triggers!$A$1,0,0,COUNTA(enemy_skill_triggers!$A:$A),MATCH(M$1,enemy_skill_triggers!$1:$1,0)-MATCH($F$1,enemy_skill_triggers!$1:$1,0)+1),MATCH(M$1,enemy_skill_triggers!$1:$1,0)-MATCH($F$1,enemy_skill_triggers!$1:$1,0)+1,FALSE)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9" s="48">
        <f ca="1">VLOOKUP($F749,OFFSET(enemy_skill_triggers!$A$1,0,0,COUNTA(enemy_skill_triggers!$A:$A),MATCH(N$1,enemy_skill_triggers!$1:$1,0)-MATCH($F$1,enemy_skill_triggers!$1:$1,0)+1),MATCH(N$1,enemy_skill_triggers!$1:$1,0)-MATCH($F$1,enemy_skill_triggers!$1:$1,0)+1,FALSE)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749" s="48">
        <f ca="1">VLOOKUP($F749,OFFSET(enemy_skill_triggers!$A$1,0,0,COUNTA(enemy_skill_triggers!$A:$A),MATCH(O$1,enemy_skill_triggers!$1:$1,0)-MATCH($F$1,enemy_skill_triggers!$1:$1,0)+1),MATCH(O$1,enemy_skill_triggers!$1:$1,0)-MATCH($F$1,enemy_skill_triggers!$1:$1,0)+1,FALSE)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9" s="47"/>
      <c r="Q749" s="47"/>
      <c r="R749" s="47"/>
    </row>
    <row r="750" spans="1:18" ht="21" customHeight="1" x14ac:dyDescent="0.15">
      <c r="A750" s="39" t="str">
        <f t="shared" si="32"/>
        <v>39009035_39009074</v>
      </c>
      <c r="B750" s="47">
        <v>39009035</v>
      </c>
      <c r="C750" s="47">
        <v>39009074</v>
      </c>
      <c r="D750" s="46" t="str">
        <f ca="1">VLOOKUP($C750,OFFSET(enemy_skills!$A$1,0,0,COUNTA(enemy_skills!$A:$A),MATCH(D$1,enemy_skills!$1:$1,0)-MATCH("enemy_skill_id",enemy_skills!$1:$1,0)+1),MATCH(D$1,enemy_skills!$1:$1,0)-MATCH("enemy_skill_id",enemy_skills!$1:$1,0)+1,FALSE)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0" s="46" t="str">
        <f ca="1">VLOOKUP($C750,OFFSET(enemy_skills!$A$1,0,0,COUNTA(enemy_skills!$A:$A),MATCH(E$1,enemy_skills!$1:$1,0)-MATCH("enemy_skill_id",enemy_skills!$1:$1,0)+1),MATCH(E$1,enemy_skills!$1:$1,0)-MATCH("enemy_skill_id",enemy_skills!$1:$1,0)+1,FALSE)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0" s="47">
        <v>39009214</v>
      </c>
      <c r="G750" s="48">
        <f ca="1">VLOOKUP($F750,OFFSET(enemy_skill_triggers!$A$1,0,0,COUNTA(enemy_skill_triggers!$A:$A),MATCH(G$1,enemy_skill_triggers!$1:$1,0)-MATCH($F$1,enemy_skill_triggers!$1:$1,0)+1),MATCH(G$1,enemy_skill_triggers!$1:$1,0)-MATCH($F$1,enemy_skill_triggers!$1:$1,0)+1,FALSE)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0" s="48">
        <f ca="1">VLOOKUP($F750,OFFSET(enemy_skill_triggers!$A$1,0,0,COUNTA(enemy_skill_triggers!$A:$A),MATCH(H$1,enemy_skill_triggers!$1:$1,0)-MATCH($F$1,enemy_skill_triggers!$1:$1,0)+1),MATCH(H$1,enemy_skill_triggers!$1:$1,0)-MATCH($F$1,enemy_skill_triggers!$1:$1,0)+1,FALSE)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750" s="48">
        <f ca="1">VLOOKUP($F750,OFFSET(enemy_skill_triggers!$A$1,0,0,COUNTA(enemy_skill_triggers!$A:$A),MATCH(I$1,enemy_skill_triggers!$1:$1,0)-MATCH($F$1,enemy_skill_triggers!$1:$1,0)+1),MATCH(I$1,enemy_skill_triggers!$1:$1,0)-MATCH($F$1,enemy_skill_triggers!$1:$1,0)+1,FALSE)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0" s="48" t="str">
        <f ca="1">VLOOKUP($F750,OFFSET(enemy_skill_triggers!$A$1,0,0,COUNTA(enemy_skill_triggers!$A:$A),MATCH(J$1,enemy_skill_triggers!$1:$1,0)-MATCH($F$1,enemy_skill_triggers!$1:$1,0)+1),MATCH(J$1,enemy_skill_triggers!$1:$1,0)-MATCH($F$1,enemy_skill_triggers!$1:$1,0)+1,FALSE)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0" s="48" t="str">
        <f ca="1">VLOOKUP($F750,OFFSET(enemy_skill_triggers!$A$1,0,0,COUNTA(enemy_skill_triggers!$A:$A),MATCH(K$1,enemy_skill_triggers!$1:$1,0)-MATCH($F$1,enemy_skill_triggers!$1:$1,0)+1),MATCH(K$1,enemy_skill_triggers!$1:$1,0)-MATCH($F$1,enemy_skill_triggers!$1:$1,0)+1,FALSE)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0" s="48">
        <f ca="1">VLOOKUP($F750,OFFSET(enemy_skill_triggers!$A$1,0,0,COUNTA(enemy_skill_triggers!$A:$A),MATCH(L$1,enemy_skill_triggers!$1:$1,0)-MATCH($F$1,enemy_skill_triggers!$1:$1,0)+1),MATCH(L$1,enemy_skill_triggers!$1:$1,0)-MATCH($F$1,enemy_skill_triggers!$1:$1,0)+1,FALSE)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0" s="48" t="str">
        <f ca="1">VLOOKUP($F750,OFFSET(enemy_skill_triggers!$A$1,0,0,COUNTA(enemy_skill_triggers!$A:$A),MATCH(M$1,enemy_skill_triggers!$1:$1,0)-MATCH($F$1,enemy_skill_triggers!$1:$1,0)+1),MATCH(M$1,enemy_skill_triggers!$1:$1,0)-MATCH($F$1,enemy_skill_triggers!$1:$1,0)+1,FALSE)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0" s="48">
        <f ca="1">VLOOKUP($F750,OFFSET(enemy_skill_triggers!$A$1,0,0,COUNTA(enemy_skill_triggers!$A:$A),MATCH(N$1,enemy_skill_triggers!$1:$1,0)-MATCH($F$1,enemy_skill_triggers!$1:$1,0)+1),MATCH(N$1,enemy_skill_triggers!$1:$1,0)-MATCH($F$1,enemy_skill_triggers!$1:$1,0)+1,FALSE)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750" s="48">
        <f ca="1">VLOOKUP($F750,OFFSET(enemy_skill_triggers!$A$1,0,0,COUNTA(enemy_skill_triggers!$A:$A),MATCH(O$1,enemy_skill_triggers!$1:$1,0)-MATCH($F$1,enemy_skill_triggers!$1:$1,0)+1),MATCH(O$1,enemy_skill_triggers!$1:$1,0)-MATCH($F$1,enemy_skill_triggers!$1:$1,0)+1,FALSE)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0" s="47"/>
      <c r="Q750" s="47"/>
      <c r="R750" s="47"/>
    </row>
    <row r="751" spans="1:18" ht="21" customHeight="1" x14ac:dyDescent="0.15">
      <c r="A751" s="39" t="str">
        <f t="shared" si="32"/>
        <v>39009035_39009074</v>
      </c>
      <c r="B751" s="47">
        <v>39009035</v>
      </c>
      <c r="C751" s="47">
        <v>39009074</v>
      </c>
      <c r="D751" s="46" t="str">
        <f ca="1">VLOOKUP($C751,OFFSET(enemy_skills!$A$1,0,0,COUNTA(enemy_skills!$A:$A),MATCH(D$1,enemy_skills!$1:$1,0)-MATCH("enemy_skill_id",enemy_skills!$1:$1,0)+1),MATCH(D$1,enemy_skills!$1:$1,0)-MATCH("enemy_skill_id",enemy_skills!$1:$1,0)+1,FALSE)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1" s="46" t="str">
        <f ca="1">VLOOKUP($C751,OFFSET(enemy_skills!$A$1,0,0,COUNTA(enemy_skills!$A:$A),MATCH(E$1,enemy_skills!$1:$1,0)-MATCH("enemy_skill_id",enemy_skills!$1:$1,0)+1),MATCH(E$1,enemy_skills!$1:$1,0)-MATCH("enemy_skill_id",enemy_skills!$1:$1,0)+1,FALSE)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1" s="47">
        <v>39009215</v>
      </c>
      <c r="G751" s="48">
        <f ca="1">VLOOKUP($F751,OFFSET(enemy_skill_triggers!$A$1,0,0,COUNTA(enemy_skill_triggers!$A:$A),MATCH(G$1,enemy_skill_triggers!$1:$1,0)-MATCH($F$1,enemy_skill_triggers!$1:$1,0)+1),MATCH(G$1,enemy_skill_triggers!$1:$1,0)-MATCH($F$1,enemy_skill_triggers!$1:$1,0)+1,FALSE)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1" s="48">
        <f ca="1">VLOOKUP($F751,OFFSET(enemy_skill_triggers!$A$1,0,0,COUNTA(enemy_skill_triggers!$A:$A),MATCH(H$1,enemy_skill_triggers!$1:$1,0)-MATCH($F$1,enemy_skill_triggers!$1:$1,0)+1),MATCH(H$1,enemy_skill_triggers!$1:$1,0)-MATCH($F$1,enemy_skill_triggers!$1:$1,0)+1,FALSE)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751" s="48">
        <f ca="1">VLOOKUP($F751,OFFSET(enemy_skill_triggers!$A$1,0,0,COUNTA(enemy_skill_triggers!$A:$A),MATCH(I$1,enemy_skill_triggers!$1:$1,0)-MATCH($F$1,enemy_skill_triggers!$1:$1,0)+1),MATCH(I$1,enemy_skill_triggers!$1:$1,0)-MATCH($F$1,enemy_skill_triggers!$1:$1,0)+1,FALSE)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1" s="48" t="str">
        <f ca="1">VLOOKUP($F751,OFFSET(enemy_skill_triggers!$A$1,0,0,COUNTA(enemy_skill_triggers!$A:$A),MATCH(J$1,enemy_skill_triggers!$1:$1,0)-MATCH($F$1,enemy_skill_triggers!$1:$1,0)+1),MATCH(J$1,enemy_skill_triggers!$1:$1,0)-MATCH($F$1,enemy_skill_triggers!$1:$1,0)+1,FALSE)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1" s="48" t="str">
        <f ca="1">VLOOKUP($F751,OFFSET(enemy_skill_triggers!$A$1,0,0,COUNTA(enemy_skill_triggers!$A:$A),MATCH(K$1,enemy_skill_triggers!$1:$1,0)-MATCH($F$1,enemy_skill_triggers!$1:$1,0)+1),MATCH(K$1,enemy_skill_triggers!$1:$1,0)-MATCH($F$1,enemy_skill_triggers!$1:$1,0)+1,FALSE)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1" s="48">
        <f ca="1">VLOOKUP($F751,OFFSET(enemy_skill_triggers!$A$1,0,0,COUNTA(enemy_skill_triggers!$A:$A),MATCH(L$1,enemy_skill_triggers!$1:$1,0)-MATCH($F$1,enemy_skill_triggers!$1:$1,0)+1),MATCH(L$1,enemy_skill_triggers!$1:$1,0)-MATCH($F$1,enemy_skill_triggers!$1:$1,0)+1,FALSE)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1" s="48" t="str">
        <f ca="1">VLOOKUP($F751,OFFSET(enemy_skill_triggers!$A$1,0,0,COUNTA(enemy_skill_triggers!$A:$A),MATCH(M$1,enemy_skill_triggers!$1:$1,0)-MATCH($F$1,enemy_skill_triggers!$1:$1,0)+1),MATCH(M$1,enemy_skill_triggers!$1:$1,0)-MATCH($F$1,enemy_skill_triggers!$1:$1,0)+1,FALSE)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1" s="48">
        <f ca="1">VLOOKUP($F751,OFFSET(enemy_skill_triggers!$A$1,0,0,COUNTA(enemy_skill_triggers!$A:$A),MATCH(N$1,enemy_skill_triggers!$1:$1,0)-MATCH($F$1,enemy_skill_triggers!$1:$1,0)+1),MATCH(N$1,enemy_skill_triggers!$1:$1,0)-MATCH($F$1,enemy_skill_triggers!$1:$1,0)+1,FALSE)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751" s="48">
        <f ca="1">VLOOKUP($F751,OFFSET(enemy_skill_triggers!$A$1,0,0,COUNTA(enemy_skill_triggers!$A:$A),MATCH(O$1,enemy_skill_triggers!$1:$1,0)-MATCH($F$1,enemy_skill_triggers!$1:$1,0)+1),MATCH(O$1,enemy_skill_triggers!$1:$1,0)-MATCH($F$1,enemy_skill_triggers!$1:$1,0)+1,FALSE)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1" s="47"/>
      <c r="Q751" s="47"/>
      <c r="R751" s="47"/>
    </row>
    <row r="752" spans="1:18" ht="21" customHeight="1" x14ac:dyDescent="0.15">
      <c r="A752" s="39" t="str">
        <f t="shared" si="32"/>
        <v>39009035_39009074</v>
      </c>
      <c r="B752" s="47">
        <v>39009035</v>
      </c>
      <c r="C752" s="47">
        <v>39009074</v>
      </c>
      <c r="D752" s="46" t="str">
        <f ca="1">VLOOKUP($C752,OFFSET(enemy_skills!$A$1,0,0,COUNTA(enemy_skills!$A:$A),MATCH(D$1,enemy_skills!$1:$1,0)-MATCH("enemy_skill_id",enemy_skills!$1:$1,0)+1),MATCH(D$1,enemy_skills!$1:$1,0)-MATCH("enemy_skill_id",enemy_skills!$1:$1,0)+1,FALSE)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2" s="46" t="str">
        <f ca="1">VLOOKUP($C752,OFFSET(enemy_skills!$A$1,0,0,COUNTA(enemy_skills!$A:$A),MATCH(E$1,enemy_skills!$1:$1,0)-MATCH("enemy_skill_id",enemy_skills!$1:$1,0)+1),MATCH(E$1,enemy_skills!$1:$1,0)-MATCH("enemy_skill_id",enemy_skills!$1:$1,0)+1,FALSE)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2" s="47">
        <v>39009216</v>
      </c>
      <c r="G752" s="48">
        <f ca="1">VLOOKUP($F752,OFFSET(enemy_skill_triggers!$A$1,0,0,COUNTA(enemy_skill_triggers!$A:$A),MATCH(G$1,enemy_skill_triggers!$1:$1,0)-MATCH($F$1,enemy_skill_triggers!$1:$1,0)+1),MATCH(G$1,enemy_skill_triggers!$1:$1,0)-MATCH($F$1,enemy_skill_triggers!$1:$1,0)+1,FALSE)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2" s="48">
        <f ca="1">VLOOKUP($F752,OFFSET(enemy_skill_triggers!$A$1,0,0,COUNTA(enemy_skill_triggers!$A:$A),MATCH(H$1,enemy_skill_triggers!$1:$1,0)-MATCH($F$1,enemy_skill_triggers!$1:$1,0)+1),MATCH(H$1,enemy_skill_triggers!$1:$1,0)-MATCH($F$1,enemy_skill_triggers!$1:$1,0)+1,FALSE)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52" s="48">
        <f ca="1">VLOOKUP($F752,OFFSET(enemy_skill_triggers!$A$1,0,0,COUNTA(enemy_skill_triggers!$A:$A),MATCH(I$1,enemy_skill_triggers!$1:$1,0)-MATCH($F$1,enemy_skill_triggers!$1:$1,0)+1),MATCH(I$1,enemy_skill_triggers!$1:$1,0)-MATCH($F$1,enemy_skill_triggers!$1:$1,0)+1,FALSE)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2" s="48" t="str">
        <f ca="1">VLOOKUP($F752,OFFSET(enemy_skill_triggers!$A$1,0,0,COUNTA(enemy_skill_triggers!$A:$A),MATCH(J$1,enemy_skill_triggers!$1:$1,0)-MATCH($F$1,enemy_skill_triggers!$1:$1,0)+1),MATCH(J$1,enemy_skill_triggers!$1:$1,0)-MATCH($F$1,enemy_skill_triggers!$1:$1,0)+1,FALSE)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2" s="48" t="str">
        <f ca="1">VLOOKUP($F752,OFFSET(enemy_skill_triggers!$A$1,0,0,COUNTA(enemy_skill_triggers!$A:$A),MATCH(K$1,enemy_skill_triggers!$1:$1,0)-MATCH($F$1,enemy_skill_triggers!$1:$1,0)+1),MATCH(K$1,enemy_skill_triggers!$1:$1,0)-MATCH($F$1,enemy_skill_triggers!$1:$1,0)+1,FALSE)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2" s="48">
        <f ca="1">VLOOKUP($F752,OFFSET(enemy_skill_triggers!$A$1,0,0,COUNTA(enemy_skill_triggers!$A:$A),MATCH(L$1,enemy_skill_triggers!$1:$1,0)-MATCH($F$1,enemy_skill_triggers!$1:$1,0)+1),MATCH(L$1,enemy_skill_triggers!$1:$1,0)-MATCH($F$1,enemy_skill_triggers!$1:$1,0)+1,FALSE)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2" s="48" t="str">
        <f ca="1">VLOOKUP($F752,OFFSET(enemy_skill_triggers!$A$1,0,0,COUNTA(enemy_skill_triggers!$A:$A),MATCH(M$1,enemy_skill_triggers!$1:$1,0)-MATCH($F$1,enemy_skill_triggers!$1:$1,0)+1),MATCH(M$1,enemy_skill_triggers!$1:$1,0)-MATCH($F$1,enemy_skill_triggers!$1:$1,0)+1,FALSE)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2" s="48">
        <f ca="1">VLOOKUP($F752,OFFSET(enemy_skill_triggers!$A$1,0,0,COUNTA(enemy_skill_triggers!$A:$A),MATCH(N$1,enemy_skill_triggers!$1:$1,0)-MATCH($F$1,enemy_skill_triggers!$1:$1,0)+1),MATCH(N$1,enemy_skill_triggers!$1:$1,0)-MATCH($F$1,enemy_skill_triggers!$1:$1,0)+1,FALSE)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752" s="48">
        <f ca="1">VLOOKUP($F752,OFFSET(enemy_skill_triggers!$A$1,0,0,COUNTA(enemy_skill_triggers!$A:$A),MATCH(O$1,enemy_skill_triggers!$1:$1,0)-MATCH($F$1,enemy_skill_triggers!$1:$1,0)+1),MATCH(O$1,enemy_skill_triggers!$1:$1,0)-MATCH($F$1,enemy_skill_triggers!$1:$1,0)+1,FALSE)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2" s="47"/>
      <c r="Q752" s="47"/>
      <c r="R752" s="47"/>
    </row>
    <row r="753" spans="1:18" ht="21" customHeight="1" x14ac:dyDescent="0.15">
      <c r="A753" s="39" t="str">
        <f t="shared" si="32"/>
        <v>39009035_39009074</v>
      </c>
      <c r="B753" s="47">
        <v>39009035</v>
      </c>
      <c r="C753" s="47">
        <v>39009074</v>
      </c>
      <c r="D753" s="46" t="str">
        <f ca="1">VLOOKUP($C753,OFFSET(enemy_skills!$A$1,0,0,COUNTA(enemy_skills!$A:$A),MATCH(D$1,enemy_skills!$1:$1,0)-MATCH("enemy_skill_id",enemy_skills!$1:$1,0)+1),MATCH(D$1,enemy_skills!$1:$1,0)-MATCH("enemy_skill_id",enemy_skills!$1:$1,0)+1,FALSE)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3" s="46" t="str">
        <f ca="1">VLOOKUP($C753,OFFSET(enemy_skills!$A$1,0,0,COUNTA(enemy_skills!$A:$A),MATCH(E$1,enemy_skills!$1:$1,0)-MATCH("enemy_skill_id",enemy_skills!$1:$1,0)+1),MATCH(E$1,enemy_skills!$1:$1,0)-MATCH("enemy_skill_id",enemy_skills!$1:$1,0)+1,FALSE)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3" s="47">
        <v>39009217</v>
      </c>
      <c r="G753" s="48">
        <f ca="1">VLOOKUP($F753,OFFSET(enemy_skill_triggers!$A$1,0,0,COUNTA(enemy_skill_triggers!$A:$A),MATCH(G$1,enemy_skill_triggers!$1:$1,0)-MATCH($F$1,enemy_skill_triggers!$1:$1,0)+1),MATCH(G$1,enemy_skill_triggers!$1:$1,0)-MATCH($F$1,enemy_skill_triggers!$1:$1,0)+1,FALSE)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3" s="48">
        <f ca="1">VLOOKUP($F753,OFFSET(enemy_skill_triggers!$A$1,0,0,COUNTA(enemy_skill_triggers!$A:$A),MATCH(H$1,enemy_skill_triggers!$1:$1,0)-MATCH($F$1,enemy_skill_triggers!$1:$1,0)+1),MATCH(H$1,enemy_skill_triggers!$1:$1,0)-MATCH($F$1,enemy_skill_triggers!$1:$1,0)+1,FALSE)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753" s="48">
        <f ca="1">VLOOKUP($F753,OFFSET(enemy_skill_triggers!$A$1,0,0,COUNTA(enemy_skill_triggers!$A:$A),MATCH(I$1,enemy_skill_triggers!$1:$1,0)-MATCH($F$1,enemy_skill_triggers!$1:$1,0)+1),MATCH(I$1,enemy_skill_triggers!$1:$1,0)-MATCH($F$1,enemy_skill_triggers!$1:$1,0)+1,FALSE)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3" s="48" t="str">
        <f ca="1">VLOOKUP($F753,OFFSET(enemy_skill_triggers!$A$1,0,0,COUNTA(enemy_skill_triggers!$A:$A),MATCH(J$1,enemy_skill_triggers!$1:$1,0)-MATCH($F$1,enemy_skill_triggers!$1:$1,0)+1),MATCH(J$1,enemy_skill_triggers!$1:$1,0)-MATCH($F$1,enemy_skill_triggers!$1:$1,0)+1,FALSE)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3" s="48" t="str">
        <f ca="1">VLOOKUP($F753,OFFSET(enemy_skill_triggers!$A$1,0,0,COUNTA(enemy_skill_triggers!$A:$A),MATCH(K$1,enemy_skill_triggers!$1:$1,0)-MATCH($F$1,enemy_skill_triggers!$1:$1,0)+1),MATCH(K$1,enemy_skill_triggers!$1:$1,0)-MATCH($F$1,enemy_skill_triggers!$1:$1,0)+1,FALSE)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3" s="48">
        <f ca="1">VLOOKUP($F753,OFFSET(enemy_skill_triggers!$A$1,0,0,COUNTA(enemy_skill_triggers!$A:$A),MATCH(L$1,enemy_skill_triggers!$1:$1,0)-MATCH($F$1,enemy_skill_triggers!$1:$1,0)+1),MATCH(L$1,enemy_skill_triggers!$1:$1,0)-MATCH($F$1,enemy_skill_triggers!$1:$1,0)+1,FALSE)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3" s="48" t="str">
        <f ca="1">VLOOKUP($F753,OFFSET(enemy_skill_triggers!$A$1,0,0,COUNTA(enemy_skill_triggers!$A:$A),MATCH(M$1,enemy_skill_triggers!$1:$1,0)-MATCH($F$1,enemy_skill_triggers!$1:$1,0)+1),MATCH(M$1,enemy_skill_triggers!$1:$1,0)-MATCH($F$1,enemy_skill_triggers!$1:$1,0)+1,FALSE)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3" s="48">
        <f ca="1">VLOOKUP($F753,OFFSET(enemy_skill_triggers!$A$1,0,0,COUNTA(enemy_skill_triggers!$A:$A),MATCH(N$1,enemy_skill_triggers!$1:$1,0)-MATCH($F$1,enemy_skill_triggers!$1:$1,0)+1),MATCH(N$1,enemy_skill_triggers!$1:$1,0)-MATCH($F$1,enemy_skill_triggers!$1:$1,0)+1,FALSE)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753" s="48">
        <f ca="1">VLOOKUP($F753,OFFSET(enemy_skill_triggers!$A$1,0,0,COUNTA(enemy_skill_triggers!$A:$A),MATCH(O$1,enemy_skill_triggers!$1:$1,0)-MATCH($F$1,enemy_skill_triggers!$1:$1,0)+1),MATCH(O$1,enemy_skill_triggers!$1:$1,0)-MATCH($F$1,enemy_skill_triggers!$1:$1,0)+1,FALSE)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3" s="47"/>
      <c r="Q753" s="47"/>
      <c r="R753" s="47"/>
    </row>
    <row r="754" spans="1:18" ht="21" customHeight="1" x14ac:dyDescent="0.15">
      <c r="A754" s="39" t="str">
        <f t="shared" si="32"/>
        <v>39009035_39009074</v>
      </c>
      <c r="B754" s="47">
        <v>39009035</v>
      </c>
      <c r="C754" s="47">
        <v>39009074</v>
      </c>
      <c r="D754" s="46" t="str">
        <f ca="1">VLOOKUP($C754,OFFSET(enemy_skills!$A$1,0,0,COUNTA(enemy_skills!$A:$A),MATCH(D$1,enemy_skills!$1:$1,0)-MATCH("enemy_skill_id",enemy_skills!$1:$1,0)+1),MATCH(D$1,enemy_skills!$1:$1,0)-MATCH("enemy_skill_id",enemy_skills!$1:$1,0)+1,FALSE)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4" s="46" t="str">
        <f ca="1">VLOOKUP($C754,OFFSET(enemy_skills!$A$1,0,0,COUNTA(enemy_skills!$A:$A),MATCH(E$1,enemy_skills!$1:$1,0)-MATCH("enemy_skill_id",enemy_skills!$1:$1,0)+1),MATCH(E$1,enemy_skills!$1:$1,0)-MATCH("enemy_skill_id",enemy_skills!$1:$1,0)+1,FALSE)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4" s="47">
        <v>39009218</v>
      </c>
      <c r="G754" s="48">
        <f ca="1">VLOOKUP($F754,OFFSET(enemy_skill_triggers!$A$1,0,0,COUNTA(enemy_skill_triggers!$A:$A),MATCH(G$1,enemy_skill_triggers!$1:$1,0)-MATCH($F$1,enemy_skill_triggers!$1:$1,0)+1),MATCH(G$1,enemy_skill_triggers!$1:$1,0)-MATCH($F$1,enemy_skill_triggers!$1:$1,0)+1,FALSE)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4" s="48">
        <f ca="1">VLOOKUP($F754,OFFSET(enemy_skill_triggers!$A$1,0,0,COUNTA(enemy_skill_triggers!$A:$A),MATCH(H$1,enemy_skill_triggers!$1:$1,0)-MATCH($F$1,enemy_skill_triggers!$1:$1,0)+1),MATCH(H$1,enemy_skill_triggers!$1:$1,0)-MATCH($F$1,enemy_skill_triggers!$1:$1,0)+1,FALSE)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754" s="48">
        <f ca="1">VLOOKUP($F754,OFFSET(enemy_skill_triggers!$A$1,0,0,COUNTA(enemy_skill_triggers!$A:$A),MATCH(I$1,enemy_skill_triggers!$1:$1,0)-MATCH($F$1,enemy_skill_triggers!$1:$1,0)+1),MATCH(I$1,enemy_skill_triggers!$1:$1,0)-MATCH($F$1,enemy_skill_triggers!$1:$1,0)+1,FALSE)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4" s="48" t="str">
        <f ca="1">VLOOKUP($F754,OFFSET(enemy_skill_triggers!$A$1,0,0,COUNTA(enemy_skill_triggers!$A:$A),MATCH(J$1,enemy_skill_triggers!$1:$1,0)-MATCH($F$1,enemy_skill_triggers!$1:$1,0)+1),MATCH(J$1,enemy_skill_triggers!$1:$1,0)-MATCH($F$1,enemy_skill_triggers!$1:$1,0)+1,FALSE)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4" s="48" t="str">
        <f ca="1">VLOOKUP($F754,OFFSET(enemy_skill_triggers!$A$1,0,0,COUNTA(enemy_skill_triggers!$A:$A),MATCH(K$1,enemy_skill_triggers!$1:$1,0)-MATCH($F$1,enemy_skill_triggers!$1:$1,0)+1),MATCH(K$1,enemy_skill_triggers!$1:$1,0)-MATCH($F$1,enemy_skill_triggers!$1:$1,0)+1,FALSE)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4" s="48">
        <f ca="1">VLOOKUP($F754,OFFSET(enemy_skill_triggers!$A$1,0,0,COUNTA(enemy_skill_triggers!$A:$A),MATCH(L$1,enemy_skill_triggers!$1:$1,0)-MATCH($F$1,enemy_skill_triggers!$1:$1,0)+1),MATCH(L$1,enemy_skill_triggers!$1:$1,0)-MATCH($F$1,enemy_skill_triggers!$1:$1,0)+1,FALSE)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4" s="48" t="str">
        <f ca="1">VLOOKUP($F754,OFFSET(enemy_skill_triggers!$A$1,0,0,COUNTA(enemy_skill_triggers!$A:$A),MATCH(M$1,enemy_skill_triggers!$1:$1,0)-MATCH($F$1,enemy_skill_triggers!$1:$1,0)+1),MATCH(M$1,enemy_skill_triggers!$1:$1,0)-MATCH($F$1,enemy_skill_triggers!$1:$1,0)+1,FALSE)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4" s="48">
        <f ca="1">VLOOKUP($F754,OFFSET(enemy_skill_triggers!$A$1,0,0,COUNTA(enemy_skill_triggers!$A:$A),MATCH(N$1,enemy_skill_triggers!$1:$1,0)-MATCH($F$1,enemy_skill_triggers!$1:$1,0)+1),MATCH(N$1,enemy_skill_triggers!$1:$1,0)-MATCH($F$1,enemy_skill_triggers!$1:$1,0)+1,FALSE)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754" s="48">
        <f ca="1">VLOOKUP($F754,OFFSET(enemy_skill_triggers!$A$1,0,0,COUNTA(enemy_skill_triggers!$A:$A),MATCH(O$1,enemy_skill_triggers!$1:$1,0)-MATCH($F$1,enemy_skill_triggers!$1:$1,0)+1),MATCH(O$1,enemy_skill_triggers!$1:$1,0)-MATCH($F$1,enemy_skill_triggers!$1:$1,0)+1,FALSE)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4" s="47"/>
      <c r="Q754" s="47"/>
      <c r="R754" s="47"/>
    </row>
    <row r="755" spans="1:18" ht="21" customHeight="1" x14ac:dyDescent="0.15">
      <c r="A755" s="39" t="str">
        <f t="shared" si="32"/>
        <v>39009035_39009074</v>
      </c>
      <c r="B755" s="47">
        <v>39009035</v>
      </c>
      <c r="C755" s="47">
        <v>39009074</v>
      </c>
      <c r="D755" s="46" t="str">
        <f ca="1">VLOOKUP($C755,OFFSET(enemy_skills!$A$1,0,0,COUNTA(enemy_skills!$A:$A),MATCH(D$1,enemy_skills!$1:$1,0)-MATCH("enemy_skill_id",enemy_skills!$1:$1,0)+1),MATCH(D$1,enemy_skills!$1:$1,0)-MATCH("enemy_skill_id",enemy_skills!$1:$1,0)+1,FALSE)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5" s="46" t="str">
        <f ca="1">VLOOKUP($C755,OFFSET(enemy_skills!$A$1,0,0,COUNTA(enemy_skills!$A:$A),MATCH(E$1,enemy_skills!$1:$1,0)-MATCH("enemy_skill_id",enemy_skills!$1:$1,0)+1),MATCH(E$1,enemy_skills!$1:$1,0)-MATCH("enemy_skill_id",enemy_skills!$1:$1,0)+1,FALSE)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5" s="47">
        <v>39009219</v>
      </c>
      <c r="G755" s="48">
        <f ca="1">VLOOKUP($F755,OFFSET(enemy_skill_triggers!$A$1,0,0,COUNTA(enemy_skill_triggers!$A:$A),MATCH(G$1,enemy_skill_triggers!$1:$1,0)-MATCH($F$1,enemy_skill_triggers!$1:$1,0)+1),MATCH(G$1,enemy_skill_triggers!$1:$1,0)-MATCH($F$1,enemy_skill_triggers!$1:$1,0)+1,FALSE)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5" s="48">
        <f ca="1">VLOOKUP($F755,OFFSET(enemy_skill_triggers!$A$1,0,0,COUNTA(enemy_skill_triggers!$A:$A),MATCH(H$1,enemy_skill_triggers!$1:$1,0)-MATCH($F$1,enemy_skill_triggers!$1:$1,0)+1),MATCH(H$1,enemy_skill_triggers!$1:$1,0)-MATCH($F$1,enemy_skill_triggers!$1:$1,0)+1,FALSE)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755" s="48">
        <f ca="1">VLOOKUP($F755,OFFSET(enemy_skill_triggers!$A$1,0,0,COUNTA(enemy_skill_triggers!$A:$A),MATCH(I$1,enemy_skill_triggers!$1:$1,0)-MATCH($F$1,enemy_skill_triggers!$1:$1,0)+1),MATCH(I$1,enemy_skill_triggers!$1:$1,0)-MATCH($F$1,enemy_skill_triggers!$1:$1,0)+1,FALSE)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5" s="48" t="str">
        <f ca="1">VLOOKUP($F755,OFFSET(enemy_skill_triggers!$A$1,0,0,COUNTA(enemy_skill_triggers!$A:$A),MATCH(J$1,enemy_skill_triggers!$1:$1,0)-MATCH($F$1,enemy_skill_triggers!$1:$1,0)+1),MATCH(J$1,enemy_skill_triggers!$1:$1,0)-MATCH($F$1,enemy_skill_triggers!$1:$1,0)+1,FALSE)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5" s="48" t="str">
        <f ca="1">VLOOKUP($F755,OFFSET(enemy_skill_triggers!$A$1,0,0,COUNTA(enemy_skill_triggers!$A:$A),MATCH(K$1,enemy_skill_triggers!$1:$1,0)-MATCH($F$1,enemy_skill_triggers!$1:$1,0)+1),MATCH(K$1,enemy_skill_triggers!$1:$1,0)-MATCH($F$1,enemy_skill_triggers!$1:$1,0)+1,FALSE)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5" s="48">
        <f ca="1">VLOOKUP($F755,OFFSET(enemy_skill_triggers!$A$1,0,0,COUNTA(enemy_skill_triggers!$A:$A),MATCH(L$1,enemy_skill_triggers!$1:$1,0)-MATCH($F$1,enemy_skill_triggers!$1:$1,0)+1),MATCH(L$1,enemy_skill_triggers!$1:$1,0)-MATCH($F$1,enemy_skill_triggers!$1:$1,0)+1,FALSE)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5" s="48" t="str">
        <f ca="1">VLOOKUP($F755,OFFSET(enemy_skill_triggers!$A$1,0,0,COUNTA(enemy_skill_triggers!$A:$A),MATCH(M$1,enemy_skill_triggers!$1:$1,0)-MATCH($F$1,enemy_skill_triggers!$1:$1,0)+1),MATCH(M$1,enemy_skill_triggers!$1:$1,0)-MATCH($F$1,enemy_skill_triggers!$1:$1,0)+1,FALSE)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5" s="48">
        <f ca="1">VLOOKUP($F755,OFFSET(enemy_skill_triggers!$A$1,0,0,COUNTA(enemy_skill_triggers!$A:$A),MATCH(N$1,enemy_skill_triggers!$1:$1,0)-MATCH($F$1,enemy_skill_triggers!$1:$1,0)+1),MATCH(N$1,enemy_skill_triggers!$1:$1,0)-MATCH($F$1,enemy_skill_triggers!$1:$1,0)+1,FALSE)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755" s="48">
        <f ca="1">VLOOKUP($F755,OFFSET(enemy_skill_triggers!$A$1,0,0,COUNTA(enemy_skill_triggers!$A:$A),MATCH(O$1,enemy_skill_triggers!$1:$1,0)-MATCH($F$1,enemy_skill_triggers!$1:$1,0)+1),MATCH(O$1,enemy_skill_triggers!$1:$1,0)-MATCH($F$1,enemy_skill_triggers!$1:$1,0)+1,FALSE)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5" s="47"/>
      <c r="Q755" s="47"/>
      <c r="R755" s="47"/>
    </row>
    <row r="756" spans="1:18" ht="21" customHeight="1" x14ac:dyDescent="0.15">
      <c r="A756" s="39" t="str">
        <f t="shared" si="32"/>
        <v>39009035_39009074</v>
      </c>
      <c r="B756" s="47">
        <v>39009035</v>
      </c>
      <c r="C756" s="47">
        <v>39009074</v>
      </c>
      <c r="D756" s="46" t="str">
        <f ca="1">VLOOKUP($C756,OFFSET(enemy_skills!$A$1,0,0,COUNTA(enemy_skills!$A:$A),MATCH(D$1,enemy_skills!$1:$1,0)-MATCH("enemy_skill_id",enemy_skills!$1:$1,0)+1),MATCH(D$1,enemy_skills!$1:$1,0)-MATCH("enemy_skill_id",enemy_skills!$1:$1,0)+1,FALSE)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6" s="46" t="str">
        <f ca="1">VLOOKUP($C756,OFFSET(enemy_skills!$A$1,0,0,COUNTA(enemy_skills!$A:$A),MATCH(E$1,enemy_skills!$1:$1,0)-MATCH("enemy_skill_id",enemy_skills!$1:$1,0)+1),MATCH(E$1,enemy_skills!$1:$1,0)-MATCH("enemy_skill_id",enemy_skills!$1:$1,0)+1,FALSE)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6" s="47">
        <v>39009220</v>
      </c>
      <c r="G756" s="48">
        <f ca="1">VLOOKUP($F756,OFFSET(enemy_skill_triggers!$A$1,0,0,COUNTA(enemy_skill_triggers!$A:$A),MATCH(G$1,enemy_skill_triggers!$1:$1,0)-MATCH($F$1,enemy_skill_triggers!$1:$1,0)+1),MATCH(G$1,enemy_skill_triggers!$1:$1,0)-MATCH($F$1,enemy_skill_triggers!$1:$1,0)+1,FALSE)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6" s="48">
        <f ca="1">VLOOKUP($F756,OFFSET(enemy_skill_triggers!$A$1,0,0,COUNTA(enemy_skill_triggers!$A:$A),MATCH(H$1,enemy_skill_triggers!$1:$1,0)-MATCH($F$1,enemy_skill_triggers!$1:$1,0)+1),MATCH(H$1,enemy_skill_triggers!$1:$1,0)-MATCH($F$1,enemy_skill_triggers!$1:$1,0)+1,FALSE)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756" s="48">
        <f ca="1">VLOOKUP($F756,OFFSET(enemy_skill_triggers!$A$1,0,0,COUNTA(enemy_skill_triggers!$A:$A),MATCH(I$1,enemy_skill_triggers!$1:$1,0)-MATCH($F$1,enemy_skill_triggers!$1:$1,0)+1),MATCH(I$1,enemy_skill_triggers!$1:$1,0)-MATCH($F$1,enemy_skill_triggers!$1:$1,0)+1,FALSE)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6" s="48" t="str">
        <f ca="1">VLOOKUP($F756,OFFSET(enemy_skill_triggers!$A$1,0,0,COUNTA(enemy_skill_triggers!$A:$A),MATCH(J$1,enemy_skill_triggers!$1:$1,0)-MATCH($F$1,enemy_skill_triggers!$1:$1,0)+1),MATCH(J$1,enemy_skill_triggers!$1:$1,0)-MATCH($F$1,enemy_skill_triggers!$1:$1,0)+1,FALSE)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6" s="48" t="str">
        <f ca="1">VLOOKUP($F756,OFFSET(enemy_skill_triggers!$A$1,0,0,COUNTA(enemy_skill_triggers!$A:$A),MATCH(K$1,enemy_skill_triggers!$1:$1,0)-MATCH($F$1,enemy_skill_triggers!$1:$1,0)+1),MATCH(K$1,enemy_skill_triggers!$1:$1,0)-MATCH($F$1,enemy_skill_triggers!$1:$1,0)+1,FALSE)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6" s="48">
        <f ca="1">VLOOKUP($F756,OFFSET(enemy_skill_triggers!$A$1,0,0,COUNTA(enemy_skill_triggers!$A:$A),MATCH(L$1,enemy_skill_triggers!$1:$1,0)-MATCH($F$1,enemy_skill_triggers!$1:$1,0)+1),MATCH(L$1,enemy_skill_triggers!$1:$1,0)-MATCH($F$1,enemy_skill_triggers!$1:$1,0)+1,FALSE)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6" s="48" t="str">
        <f ca="1">VLOOKUP($F756,OFFSET(enemy_skill_triggers!$A$1,0,0,COUNTA(enemy_skill_triggers!$A:$A),MATCH(M$1,enemy_skill_triggers!$1:$1,0)-MATCH($F$1,enemy_skill_triggers!$1:$1,0)+1),MATCH(M$1,enemy_skill_triggers!$1:$1,0)-MATCH($F$1,enemy_skill_triggers!$1:$1,0)+1,FALSE)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6" s="48">
        <f ca="1">VLOOKUP($F756,OFFSET(enemy_skill_triggers!$A$1,0,0,COUNTA(enemy_skill_triggers!$A:$A),MATCH(N$1,enemy_skill_triggers!$1:$1,0)-MATCH($F$1,enemy_skill_triggers!$1:$1,0)+1),MATCH(N$1,enemy_skill_triggers!$1:$1,0)-MATCH($F$1,enemy_skill_triggers!$1:$1,0)+1,FALSE)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756" s="48">
        <f ca="1">VLOOKUP($F756,OFFSET(enemy_skill_triggers!$A$1,0,0,COUNTA(enemy_skill_triggers!$A:$A),MATCH(O$1,enemy_skill_triggers!$1:$1,0)-MATCH($F$1,enemy_skill_triggers!$1:$1,0)+1),MATCH(O$1,enemy_skill_triggers!$1:$1,0)-MATCH($F$1,enemy_skill_triggers!$1:$1,0)+1,FALSE)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6" s="47"/>
      <c r="Q756" s="47"/>
      <c r="R756" s="47"/>
    </row>
    <row r="757" spans="1:18" ht="21" customHeight="1" x14ac:dyDescent="0.15">
      <c r="A757" s="39" t="str">
        <f t="shared" si="32"/>
        <v>39009035_39009074</v>
      </c>
      <c r="B757" s="47">
        <v>39009035</v>
      </c>
      <c r="C757" s="47">
        <v>39009074</v>
      </c>
      <c r="D757" s="46" t="str">
        <f ca="1">VLOOKUP($C757,OFFSET(enemy_skills!$A$1,0,0,COUNTA(enemy_skills!$A:$A),MATCH(D$1,enemy_skills!$1:$1,0)-MATCH("enemy_skill_id",enemy_skills!$1:$1,0)+1),MATCH(D$1,enemy_skills!$1:$1,0)-MATCH("enemy_skill_id",enemy_skills!$1:$1,0)+1,FALSE)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7" s="46" t="str">
        <f ca="1">VLOOKUP($C757,OFFSET(enemy_skills!$A$1,0,0,COUNTA(enemy_skills!$A:$A),MATCH(E$1,enemy_skills!$1:$1,0)-MATCH("enemy_skill_id",enemy_skills!$1:$1,0)+1),MATCH(E$1,enemy_skills!$1:$1,0)-MATCH("enemy_skill_id",enemy_skills!$1:$1,0)+1,FALSE)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7" s="47">
        <v>39009221</v>
      </c>
      <c r="G757" s="48">
        <f ca="1">VLOOKUP($F757,OFFSET(enemy_skill_triggers!$A$1,0,0,COUNTA(enemy_skill_triggers!$A:$A),MATCH(G$1,enemy_skill_triggers!$1:$1,0)-MATCH($F$1,enemy_skill_triggers!$1:$1,0)+1),MATCH(G$1,enemy_skill_triggers!$1:$1,0)-MATCH($F$1,enemy_skill_triggers!$1:$1,0)+1,FALSE)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7" s="48">
        <f ca="1">VLOOKUP($F757,OFFSET(enemy_skill_triggers!$A$1,0,0,COUNTA(enemy_skill_triggers!$A:$A),MATCH(H$1,enemy_skill_triggers!$1:$1,0)-MATCH($F$1,enemy_skill_triggers!$1:$1,0)+1),MATCH(H$1,enemy_skill_triggers!$1:$1,0)-MATCH($F$1,enemy_skill_triggers!$1:$1,0)+1,FALSE)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757" s="48">
        <f ca="1">VLOOKUP($F757,OFFSET(enemy_skill_triggers!$A$1,0,0,COUNTA(enemy_skill_triggers!$A:$A),MATCH(I$1,enemy_skill_triggers!$1:$1,0)-MATCH($F$1,enemy_skill_triggers!$1:$1,0)+1),MATCH(I$1,enemy_skill_triggers!$1:$1,0)-MATCH($F$1,enemy_skill_triggers!$1:$1,0)+1,FALSE)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7" s="48" t="str">
        <f ca="1">VLOOKUP($F757,OFFSET(enemy_skill_triggers!$A$1,0,0,COUNTA(enemy_skill_triggers!$A:$A),MATCH(J$1,enemy_skill_triggers!$1:$1,0)-MATCH($F$1,enemy_skill_triggers!$1:$1,0)+1),MATCH(J$1,enemy_skill_triggers!$1:$1,0)-MATCH($F$1,enemy_skill_triggers!$1:$1,0)+1,FALSE)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7" s="48" t="str">
        <f ca="1">VLOOKUP($F757,OFFSET(enemy_skill_triggers!$A$1,0,0,COUNTA(enemy_skill_triggers!$A:$A),MATCH(K$1,enemy_skill_triggers!$1:$1,0)-MATCH($F$1,enemy_skill_triggers!$1:$1,0)+1),MATCH(K$1,enemy_skill_triggers!$1:$1,0)-MATCH($F$1,enemy_skill_triggers!$1:$1,0)+1,FALSE)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7" s="48">
        <f ca="1">VLOOKUP($F757,OFFSET(enemy_skill_triggers!$A$1,0,0,COUNTA(enemy_skill_triggers!$A:$A),MATCH(L$1,enemy_skill_triggers!$1:$1,0)-MATCH($F$1,enemy_skill_triggers!$1:$1,0)+1),MATCH(L$1,enemy_skill_triggers!$1:$1,0)-MATCH($F$1,enemy_skill_triggers!$1:$1,0)+1,FALSE)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7" s="48" t="str">
        <f ca="1">VLOOKUP($F757,OFFSET(enemy_skill_triggers!$A$1,0,0,COUNTA(enemy_skill_triggers!$A:$A),MATCH(M$1,enemy_skill_triggers!$1:$1,0)-MATCH($F$1,enemy_skill_triggers!$1:$1,0)+1),MATCH(M$1,enemy_skill_triggers!$1:$1,0)-MATCH($F$1,enemy_skill_triggers!$1:$1,0)+1,FALSE)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7" s="48">
        <f ca="1">VLOOKUP($F757,OFFSET(enemy_skill_triggers!$A$1,0,0,COUNTA(enemy_skill_triggers!$A:$A),MATCH(N$1,enemy_skill_triggers!$1:$1,0)-MATCH($F$1,enemy_skill_triggers!$1:$1,0)+1),MATCH(N$1,enemy_skill_triggers!$1:$1,0)-MATCH($F$1,enemy_skill_triggers!$1:$1,0)+1,FALSE)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757" s="48">
        <f ca="1">VLOOKUP($F757,OFFSET(enemy_skill_triggers!$A$1,0,0,COUNTA(enemy_skill_triggers!$A:$A),MATCH(O$1,enemy_skill_triggers!$1:$1,0)-MATCH($F$1,enemy_skill_triggers!$1:$1,0)+1),MATCH(O$1,enemy_skill_triggers!$1:$1,0)-MATCH($F$1,enemy_skill_triggers!$1:$1,0)+1,FALSE)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7" s="47"/>
      <c r="Q757" s="47"/>
      <c r="R757" s="47"/>
    </row>
    <row r="758" spans="1:18" ht="21" customHeight="1" x14ac:dyDescent="0.15">
      <c r="A758" s="39" t="str">
        <f t="shared" si="32"/>
        <v>39009035_39009074</v>
      </c>
      <c r="B758" s="47">
        <v>39009035</v>
      </c>
      <c r="C758" s="47">
        <v>39009074</v>
      </c>
      <c r="D758" s="46" t="str">
        <f ca="1">VLOOKUP($C758,OFFSET(enemy_skills!$A$1,0,0,COUNTA(enemy_skills!$A:$A),MATCH(D$1,enemy_skills!$1:$1,0)-MATCH("enemy_skill_id",enemy_skills!$1:$1,0)+1),MATCH(D$1,enemy_skills!$1:$1,0)-MATCH("enemy_skill_id",enemy_skills!$1:$1,0)+1,FALSE)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8" s="46" t="str">
        <f ca="1">VLOOKUP($C758,OFFSET(enemy_skills!$A$1,0,0,COUNTA(enemy_skills!$A:$A),MATCH(E$1,enemy_skills!$1:$1,0)-MATCH("enemy_skill_id",enemy_skills!$1:$1,0)+1),MATCH(E$1,enemy_skills!$1:$1,0)-MATCH("enemy_skill_id",enemy_skills!$1:$1,0)+1,FALSE)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8" s="47">
        <v>39009222</v>
      </c>
      <c r="G758" s="48">
        <f ca="1">VLOOKUP($F758,OFFSET(enemy_skill_triggers!$A$1,0,0,COUNTA(enemy_skill_triggers!$A:$A),MATCH(G$1,enemy_skill_triggers!$1:$1,0)-MATCH($F$1,enemy_skill_triggers!$1:$1,0)+1),MATCH(G$1,enemy_skill_triggers!$1:$1,0)-MATCH($F$1,enemy_skill_triggers!$1:$1,0)+1,FALSE)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8" s="48">
        <f ca="1">VLOOKUP($F758,OFFSET(enemy_skill_triggers!$A$1,0,0,COUNTA(enemy_skill_triggers!$A:$A),MATCH(H$1,enemy_skill_triggers!$1:$1,0)-MATCH($F$1,enemy_skill_triggers!$1:$1,0)+1),MATCH(H$1,enemy_skill_triggers!$1:$1,0)-MATCH($F$1,enemy_skill_triggers!$1:$1,0)+1,FALSE)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758" s="48">
        <f ca="1">VLOOKUP($F758,OFFSET(enemy_skill_triggers!$A$1,0,0,COUNTA(enemy_skill_triggers!$A:$A),MATCH(I$1,enemy_skill_triggers!$1:$1,0)-MATCH($F$1,enemy_skill_triggers!$1:$1,0)+1),MATCH(I$1,enemy_skill_triggers!$1:$1,0)-MATCH($F$1,enemy_skill_triggers!$1:$1,0)+1,FALSE)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8" s="48" t="str">
        <f ca="1">VLOOKUP($F758,OFFSET(enemy_skill_triggers!$A$1,0,0,COUNTA(enemy_skill_triggers!$A:$A),MATCH(J$1,enemy_skill_triggers!$1:$1,0)-MATCH($F$1,enemy_skill_triggers!$1:$1,0)+1),MATCH(J$1,enemy_skill_triggers!$1:$1,0)-MATCH($F$1,enemy_skill_triggers!$1:$1,0)+1,FALSE)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8" s="48" t="str">
        <f ca="1">VLOOKUP($F758,OFFSET(enemy_skill_triggers!$A$1,0,0,COUNTA(enemy_skill_triggers!$A:$A),MATCH(K$1,enemy_skill_triggers!$1:$1,0)-MATCH($F$1,enemy_skill_triggers!$1:$1,0)+1),MATCH(K$1,enemy_skill_triggers!$1:$1,0)-MATCH($F$1,enemy_skill_triggers!$1:$1,0)+1,FALSE)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8" s="48">
        <f ca="1">VLOOKUP($F758,OFFSET(enemy_skill_triggers!$A$1,0,0,COUNTA(enemy_skill_triggers!$A:$A),MATCH(L$1,enemy_skill_triggers!$1:$1,0)-MATCH($F$1,enemy_skill_triggers!$1:$1,0)+1),MATCH(L$1,enemy_skill_triggers!$1:$1,0)-MATCH($F$1,enemy_skill_triggers!$1:$1,0)+1,FALSE)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8" s="48" t="str">
        <f ca="1">VLOOKUP($F758,OFFSET(enemy_skill_triggers!$A$1,0,0,COUNTA(enemy_skill_triggers!$A:$A),MATCH(M$1,enemy_skill_triggers!$1:$1,0)-MATCH($F$1,enemy_skill_triggers!$1:$1,0)+1),MATCH(M$1,enemy_skill_triggers!$1:$1,0)-MATCH($F$1,enemy_skill_triggers!$1:$1,0)+1,FALSE)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8" s="48">
        <f ca="1">VLOOKUP($F758,OFFSET(enemy_skill_triggers!$A$1,0,0,COUNTA(enemy_skill_triggers!$A:$A),MATCH(N$1,enemy_skill_triggers!$1:$1,0)-MATCH($F$1,enemy_skill_triggers!$1:$1,0)+1),MATCH(N$1,enemy_skill_triggers!$1:$1,0)-MATCH($F$1,enemy_skill_triggers!$1:$1,0)+1,FALSE)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758" s="48">
        <f ca="1">VLOOKUP($F758,OFFSET(enemy_skill_triggers!$A$1,0,0,COUNTA(enemy_skill_triggers!$A:$A),MATCH(O$1,enemy_skill_triggers!$1:$1,0)-MATCH($F$1,enemy_skill_triggers!$1:$1,0)+1),MATCH(O$1,enemy_skill_triggers!$1:$1,0)-MATCH($F$1,enemy_skill_triggers!$1:$1,0)+1,FALSE)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8" s="47"/>
      <c r="Q758" s="47"/>
      <c r="R758" s="47"/>
    </row>
    <row r="759" spans="1:18" ht="21" customHeight="1" x14ac:dyDescent="0.15">
      <c r="A759" s="39" t="str">
        <f t="shared" si="32"/>
        <v>39009035_39009074</v>
      </c>
      <c r="B759" s="47">
        <v>39009035</v>
      </c>
      <c r="C759" s="47">
        <v>39009074</v>
      </c>
      <c r="D759" s="46" t="str">
        <f ca="1">VLOOKUP($C759,OFFSET(enemy_skills!$A$1,0,0,COUNTA(enemy_skills!$A:$A),MATCH(D$1,enemy_skills!$1:$1,0)-MATCH("enemy_skill_id",enemy_skills!$1:$1,0)+1),MATCH(D$1,enemy_skills!$1:$1,0)-MATCH("enemy_skill_id",enemy_skills!$1:$1,0)+1,FALSE)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59" s="46" t="str">
        <f ca="1">VLOOKUP($C759,OFFSET(enemy_skills!$A$1,0,0,COUNTA(enemy_skills!$A:$A),MATCH(E$1,enemy_skills!$1:$1,0)-MATCH("enemy_skill_id",enemy_skills!$1:$1,0)+1),MATCH(E$1,enemy_skills!$1:$1,0)-MATCH("enemy_skill_id",enemy_skills!$1:$1,0)+1,FALSE)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9" s="47">
        <v>39009223</v>
      </c>
      <c r="G759" s="48">
        <f ca="1">VLOOKUP($F759,OFFSET(enemy_skill_triggers!$A$1,0,0,COUNTA(enemy_skill_triggers!$A:$A),MATCH(G$1,enemy_skill_triggers!$1:$1,0)-MATCH($F$1,enemy_skill_triggers!$1:$1,0)+1),MATCH(G$1,enemy_skill_triggers!$1:$1,0)-MATCH($F$1,enemy_skill_triggers!$1:$1,0)+1,FALSE)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9" s="48">
        <f ca="1">VLOOKUP($F759,OFFSET(enemy_skill_triggers!$A$1,0,0,COUNTA(enemy_skill_triggers!$A:$A),MATCH(H$1,enemy_skill_triggers!$1:$1,0)-MATCH($F$1,enemy_skill_triggers!$1:$1,0)+1),MATCH(H$1,enemy_skill_triggers!$1:$1,0)-MATCH($F$1,enemy_skill_triggers!$1:$1,0)+1,FALSE)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759" s="48">
        <f ca="1">VLOOKUP($F759,OFFSET(enemy_skill_triggers!$A$1,0,0,COUNTA(enemy_skill_triggers!$A:$A),MATCH(I$1,enemy_skill_triggers!$1:$1,0)-MATCH($F$1,enemy_skill_triggers!$1:$1,0)+1),MATCH(I$1,enemy_skill_triggers!$1:$1,0)-MATCH($F$1,enemy_skill_triggers!$1:$1,0)+1,FALSE)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9" s="48" t="str">
        <f ca="1">VLOOKUP($F759,OFFSET(enemy_skill_triggers!$A$1,0,0,COUNTA(enemy_skill_triggers!$A:$A),MATCH(J$1,enemy_skill_triggers!$1:$1,0)-MATCH($F$1,enemy_skill_triggers!$1:$1,0)+1),MATCH(J$1,enemy_skill_triggers!$1:$1,0)-MATCH($F$1,enemy_skill_triggers!$1:$1,0)+1,FALSE)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9" s="48" t="str">
        <f ca="1">VLOOKUP($F759,OFFSET(enemy_skill_triggers!$A$1,0,0,COUNTA(enemy_skill_triggers!$A:$A),MATCH(K$1,enemy_skill_triggers!$1:$1,0)-MATCH($F$1,enemy_skill_triggers!$1:$1,0)+1),MATCH(K$1,enemy_skill_triggers!$1:$1,0)-MATCH($F$1,enemy_skill_triggers!$1:$1,0)+1,FALSE)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9" s="48">
        <f ca="1">VLOOKUP($F759,OFFSET(enemy_skill_triggers!$A$1,0,0,COUNTA(enemy_skill_triggers!$A:$A),MATCH(L$1,enemy_skill_triggers!$1:$1,0)-MATCH($F$1,enemy_skill_triggers!$1:$1,0)+1),MATCH(L$1,enemy_skill_triggers!$1:$1,0)-MATCH($F$1,enemy_skill_triggers!$1:$1,0)+1,FALSE)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9" s="48" t="str">
        <f ca="1">VLOOKUP($F759,OFFSET(enemy_skill_triggers!$A$1,0,0,COUNTA(enemy_skill_triggers!$A:$A),MATCH(M$1,enemy_skill_triggers!$1:$1,0)-MATCH($F$1,enemy_skill_triggers!$1:$1,0)+1),MATCH(M$1,enemy_skill_triggers!$1:$1,0)-MATCH($F$1,enemy_skill_triggers!$1:$1,0)+1,FALSE)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9" s="48">
        <f ca="1">VLOOKUP($F759,OFFSET(enemy_skill_triggers!$A$1,0,0,COUNTA(enemy_skill_triggers!$A:$A),MATCH(N$1,enemy_skill_triggers!$1:$1,0)-MATCH($F$1,enemy_skill_triggers!$1:$1,0)+1),MATCH(N$1,enemy_skill_triggers!$1:$1,0)-MATCH($F$1,enemy_skill_triggers!$1:$1,0)+1,FALSE)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759" s="48">
        <f ca="1">VLOOKUP($F759,OFFSET(enemy_skill_triggers!$A$1,0,0,COUNTA(enemy_skill_triggers!$A:$A),MATCH(O$1,enemy_skill_triggers!$1:$1,0)-MATCH($F$1,enemy_skill_triggers!$1:$1,0)+1),MATCH(O$1,enemy_skill_triggers!$1:$1,0)-MATCH($F$1,enemy_skill_triggers!$1:$1,0)+1,FALSE)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9" s="47"/>
      <c r="Q759" s="47"/>
      <c r="R759" s="47"/>
    </row>
    <row r="760" spans="1:18" ht="21" customHeight="1" x14ac:dyDescent="0.15">
      <c r="A760" s="39" t="str">
        <f t="shared" si="32"/>
        <v>39009035_39009074</v>
      </c>
      <c r="B760" s="47">
        <v>39009035</v>
      </c>
      <c r="C760" s="47">
        <v>39009074</v>
      </c>
      <c r="D760" s="46" t="str">
        <f ca="1">VLOOKUP($C760,OFFSET(enemy_skills!$A$1,0,0,COUNTA(enemy_skills!$A:$A),MATCH(D$1,enemy_skills!$1:$1,0)-MATCH("enemy_skill_id",enemy_skills!$1:$1,0)+1),MATCH(D$1,enemy_skills!$1:$1,0)-MATCH("enemy_skill_id",enemy_skills!$1:$1,0)+1,FALSE)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0" s="46" t="str">
        <f ca="1">VLOOKUP($C760,OFFSET(enemy_skills!$A$1,0,0,COUNTA(enemy_skills!$A:$A),MATCH(E$1,enemy_skills!$1:$1,0)-MATCH("enemy_skill_id",enemy_skills!$1:$1,0)+1),MATCH(E$1,enemy_skills!$1:$1,0)-MATCH("enemy_skill_id",enemy_skills!$1:$1,0)+1,FALSE)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0" s="47">
        <v>39009224</v>
      </c>
      <c r="G760" s="48">
        <f ca="1">VLOOKUP($F760,OFFSET(enemy_skill_triggers!$A$1,0,0,COUNTA(enemy_skill_triggers!$A:$A),MATCH(G$1,enemy_skill_triggers!$1:$1,0)-MATCH($F$1,enemy_skill_triggers!$1:$1,0)+1),MATCH(G$1,enemy_skill_triggers!$1:$1,0)-MATCH($F$1,enemy_skill_triggers!$1:$1,0)+1,FALSE)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0" s="48">
        <f ca="1">VLOOKUP($F760,OFFSET(enemy_skill_triggers!$A$1,0,0,COUNTA(enemy_skill_triggers!$A:$A),MATCH(H$1,enemy_skill_triggers!$1:$1,0)-MATCH($F$1,enemy_skill_triggers!$1:$1,0)+1),MATCH(H$1,enemy_skill_triggers!$1:$1,0)-MATCH($F$1,enemy_skill_triggers!$1:$1,0)+1,FALSE)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760" s="48">
        <f ca="1">VLOOKUP($F760,OFFSET(enemy_skill_triggers!$A$1,0,0,COUNTA(enemy_skill_triggers!$A:$A),MATCH(I$1,enemy_skill_triggers!$1:$1,0)-MATCH($F$1,enemy_skill_triggers!$1:$1,0)+1),MATCH(I$1,enemy_skill_triggers!$1:$1,0)-MATCH($F$1,enemy_skill_triggers!$1:$1,0)+1,FALSE)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0" s="48" t="str">
        <f ca="1">VLOOKUP($F760,OFFSET(enemy_skill_triggers!$A$1,0,0,COUNTA(enemy_skill_triggers!$A:$A),MATCH(J$1,enemy_skill_triggers!$1:$1,0)-MATCH($F$1,enemy_skill_triggers!$1:$1,0)+1),MATCH(J$1,enemy_skill_triggers!$1:$1,0)-MATCH($F$1,enemy_skill_triggers!$1:$1,0)+1,FALSE)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0" s="48" t="str">
        <f ca="1">VLOOKUP($F760,OFFSET(enemy_skill_triggers!$A$1,0,0,COUNTA(enemy_skill_triggers!$A:$A),MATCH(K$1,enemy_skill_triggers!$1:$1,0)-MATCH($F$1,enemy_skill_triggers!$1:$1,0)+1),MATCH(K$1,enemy_skill_triggers!$1:$1,0)-MATCH($F$1,enemy_skill_triggers!$1:$1,0)+1,FALSE)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0" s="48">
        <f ca="1">VLOOKUP($F760,OFFSET(enemy_skill_triggers!$A$1,0,0,COUNTA(enemy_skill_triggers!$A:$A),MATCH(L$1,enemy_skill_triggers!$1:$1,0)-MATCH($F$1,enemy_skill_triggers!$1:$1,0)+1),MATCH(L$1,enemy_skill_triggers!$1:$1,0)-MATCH($F$1,enemy_skill_triggers!$1:$1,0)+1,FALSE)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0" s="48" t="str">
        <f ca="1">VLOOKUP($F760,OFFSET(enemy_skill_triggers!$A$1,0,0,COUNTA(enemy_skill_triggers!$A:$A),MATCH(M$1,enemy_skill_triggers!$1:$1,0)-MATCH($F$1,enemy_skill_triggers!$1:$1,0)+1),MATCH(M$1,enemy_skill_triggers!$1:$1,0)-MATCH($F$1,enemy_skill_triggers!$1:$1,0)+1,FALSE)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0" s="48">
        <f ca="1">VLOOKUP($F760,OFFSET(enemy_skill_triggers!$A$1,0,0,COUNTA(enemy_skill_triggers!$A:$A),MATCH(N$1,enemy_skill_triggers!$1:$1,0)-MATCH($F$1,enemy_skill_triggers!$1:$1,0)+1),MATCH(N$1,enemy_skill_triggers!$1:$1,0)-MATCH($F$1,enemy_skill_triggers!$1:$1,0)+1,FALSE)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760" s="48">
        <f ca="1">VLOOKUP($F760,OFFSET(enemy_skill_triggers!$A$1,0,0,COUNTA(enemy_skill_triggers!$A:$A),MATCH(O$1,enemy_skill_triggers!$1:$1,0)-MATCH($F$1,enemy_skill_triggers!$1:$1,0)+1),MATCH(O$1,enemy_skill_triggers!$1:$1,0)-MATCH($F$1,enemy_skill_triggers!$1:$1,0)+1,FALSE)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0" s="47"/>
      <c r="Q760" s="47"/>
      <c r="R760" s="47"/>
    </row>
    <row r="761" spans="1:18" ht="21" customHeight="1" x14ac:dyDescent="0.15">
      <c r="A761" s="39" t="str">
        <f t="shared" si="32"/>
        <v>39009035_39009074</v>
      </c>
      <c r="B761" s="47">
        <v>39009035</v>
      </c>
      <c r="C761" s="47">
        <v>39009074</v>
      </c>
      <c r="D761" s="46" t="str">
        <f ca="1">VLOOKUP($C761,OFFSET(enemy_skills!$A$1,0,0,COUNTA(enemy_skills!$A:$A),MATCH(D$1,enemy_skills!$1:$1,0)-MATCH("enemy_skill_id",enemy_skills!$1:$1,0)+1),MATCH(D$1,enemy_skills!$1:$1,0)-MATCH("enemy_skill_id",enemy_skills!$1:$1,0)+1,FALSE)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1" s="46" t="str">
        <f ca="1">VLOOKUP($C761,OFFSET(enemy_skills!$A$1,0,0,COUNTA(enemy_skills!$A:$A),MATCH(E$1,enemy_skills!$1:$1,0)-MATCH("enemy_skill_id",enemy_skills!$1:$1,0)+1),MATCH(E$1,enemy_skills!$1:$1,0)-MATCH("enemy_skill_id",enemy_skills!$1:$1,0)+1,FALSE)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1" s="47">
        <v>39009225</v>
      </c>
      <c r="G761" s="48">
        <f ca="1">VLOOKUP($F761,OFFSET(enemy_skill_triggers!$A$1,0,0,COUNTA(enemy_skill_triggers!$A:$A),MATCH(G$1,enemy_skill_triggers!$1:$1,0)-MATCH($F$1,enemy_skill_triggers!$1:$1,0)+1),MATCH(G$1,enemy_skill_triggers!$1:$1,0)-MATCH($F$1,enemy_skill_triggers!$1:$1,0)+1,FALSE)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1" s="48">
        <f ca="1">VLOOKUP($F761,OFFSET(enemy_skill_triggers!$A$1,0,0,COUNTA(enemy_skill_triggers!$A:$A),MATCH(H$1,enemy_skill_triggers!$1:$1,0)-MATCH($F$1,enemy_skill_triggers!$1:$1,0)+1),MATCH(H$1,enemy_skill_triggers!$1:$1,0)-MATCH($F$1,enemy_skill_triggers!$1:$1,0)+1,FALSE)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761" s="48">
        <f ca="1">VLOOKUP($F761,OFFSET(enemy_skill_triggers!$A$1,0,0,COUNTA(enemy_skill_triggers!$A:$A),MATCH(I$1,enemy_skill_triggers!$1:$1,0)-MATCH($F$1,enemy_skill_triggers!$1:$1,0)+1),MATCH(I$1,enemy_skill_triggers!$1:$1,0)-MATCH($F$1,enemy_skill_triggers!$1:$1,0)+1,FALSE)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1" s="48" t="str">
        <f ca="1">VLOOKUP($F761,OFFSET(enemy_skill_triggers!$A$1,0,0,COUNTA(enemy_skill_triggers!$A:$A),MATCH(J$1,enemy_skill_triggers!$1:$1,0)-MATCH($F$1,enemy_skill_triggers!$1:$1,0)+1),MATCH(J$1,enemy_skill_triggers!$1:$1,0)-MATCH($F$1,enemy_skill_triggers!$1:$1,0)+1,FALSE)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1" s="48" t="str">
        <f ca="1">VLOOKUP($F761,OFFSET(enemy_skill_triggers!$A$1,0,0,COUNTA(enemy_skill_triggers!$A:$A),MATCH(K$1,enemy_skill_triggers!$1:$1,0)-MATCH($F$1,enemy_skill_triggers!$1:$1,0)+1),MATCH(K$1,enemy_skill_triggers!$1:$1,0)-MATCH($F$1,enemy_skill_triggers!$1:$1,0)+1,FALSE)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1" s="48">
        <f ca="1">VLOOKUP($F761,OFFSET(enemy_skill_triggers!$A$1,0,0,COUNTA(enemy_skill_triggers!$A:$A),MATCH(L$1,enemy_skill_triggers!$1:$1,0)-MATCH($F$1,enemy_skill_triggers!$1:$1,0)+1),MATCH(L$1,enemy_skill_triggers!$1:$1,0)-MATCH($F$1,enemy_skill_triggers!$1:$1,0)+1,FALSE)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1" s="48" t="str">
        <f ca="1">VLOOKUP($F761,OFFSET(enemy_skill_triggers!$A$1,0,0,COUNTA(enemy_skill_triggers!$A:$A),MATCH(M$1,enemy_skill_triggers!$1:$1,0)-MATCH($F$1,enemy_skill_triggers!$1:$1,0)+1),MATCH(M$1,enemy_skill_triggers!$1:$1,0)-MATCH($F$1,enemy_skill_triggers!$1:$1,0)+1,FALSE)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1" s="48">
        <f ca="1">VLOOKUP($F761,OFFSET(enemy_skill_triggers!$A$1,0,0,COUNTA(enemy_skill_triggers!$A:$A),MATCH(N$1,enemy_skill_triggers!$1:$1,0)-MATCH($F$1,enemy_skill_triggers!$1:$1,0)+1),MATCH(N$1,enemy_skill_triggers!$1:$1,0)-MATCH($F$1,enemy_skill_triggers!$1:$1,0)+1,FALSE)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761" s="48">
        <f ca="1">VLOOKUP($F761,OFFSET(enemy_skill_triggers!$A$1,0,0,COUNTA(enemy_skill_triggers!$A:$A),MATCH(O$1,enemy_skill_triggers!$1:$1,0)-MATCH($F$1,enemy_skill_triggers!$1:$1,0)+1),MATCH(O$1,enemy_skill_triggers!$1:$1,0)-MATCH($F$1,enemy_skill_triggers!$1:$1,0)+1,FALSE)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1" s="47"/>
      <c r="Q761" s="47"/>
      <c r="R761" s="47"/>
    </row>
    <row r="762" spans="1:18" ht="21" customHeight="1" x14ac:dyDescent="0.15">
      <c r="A762" s="39" t="str">
        <f t="shared" si="32"/>
        <v>39009035_39009074</v>
      </c>
      <c r="B762" s="47">
        <v>39009035</v>
      </c>
      <c r="C762" s="47">
        <v>39009074</v>
      </c>
      <c r="D762" s="46" t="str">
        <f ca="1">VLOOKUP($C762,OFFSET(enemy_skills!$A$1,0,0,COUNTA(enemy_skills!$A:$A),MATCH(D$1,enemy_skills!$1:$1,0)-MATCH("enemy_skill_id",enemy_skills!$1:$1,0)+1),MATCH(D$1,enemy_skills!$1:$1,0)-MATCH("enemy_skill_id",enemy_skills!$1:$1,0)+1,FALSE)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2" s="46" t="str">
        <f ca="1">VLOOKUP($C762,OFFSET(enemy_skills!$A$1,0,0,COUNTA(enemy_skills!$A:$A),MATCH(E$1,enemy_skills!$1:$1,0)-MATCH("enemy_skill_id",enemy_skills!$1:$1,0)+1),MATCH(E$1,enemy_skills!$1:$1,0)-MATCH("enemy_skill_id",enemy_skills!$1:$1,0)+1,FALSE)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2" s="47">
        <v>39009226</v>
      </c>
      <c r="G762" s="48">
        <f ca="1">VLOOKUP($F762,OFFSET(enemy_skill_triggers!$A$1,0,0,COUNTA(enemy_skill_triggers!$A:$A),MATCH(G$1,enemy_skill_triggers!$1:$1,0)-MATCH($F$1,enemy_skill_triggers!$1:$1,0)+1),MATCH(G$1,enemy_skill_triggers!$1:$1,0)-MATCH($F$1,enemy_skill_triggers!$1:$1,0)+1,FALSE)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2" s="48">
        <f ca="1">VLOOKUP($F762,OFFSET(enemy_skill_triggers!$A$1,0,0,COUNTA(enemy_skill_triggers!$A:$A),MATCH(H$1,enemy_skill_triggers!$1:$1,0)-MATCH($F$1,enemy_skill_triggers!$1:$1,0)+1),MATCH(H$1,enemy_skill_triggers!$1:$1,0)-MATCH($F$1,enemy_skill_triggers!$1:$1,0)+1,FALSE)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62" s="48">
        <f ca="1">VLOOKUP($F762,OFFSET(enemy_skill_triggers!$A$1,0,0,COUNTA(enemy_skill_triggers!$A:$A),MATCH(I$1,enemy_skill_triggers!$1:$1,0)-MATCH($F$1,enemy_skill_triggers!$1:$1,0)+1),MATCH(I$1,enemy_skill_triggers!$1:$1,0)-MATCH($F$1,enemy_skill_triggers!$1:$1,0)+1,FALSE)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2" s="48" t="str">
        <f ca="1">VLOOKUP($F762,OFFSET(enemy_skill_triggers!$A$1,0,0,COUNTA(enemy_skill_triggers!$A:$A),MATCH(J$1,enemy_skill_triggers!$1:$1,0)-MATCH($F$1,enemy_skill_triggers!$1:$1,0)+1),MATCH(J$1,enemy_skill_triggers!$1:$1,0)-MATCH($F$1,enemy_skill_triggers!$1:$1,0)+1,FALSE)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2" s="48" t="str">
        <f ca="1">VLOOKUP($F762,OFFSET(enemy_skill_triggers!$A$1,0,0,COUNTA(enemy_skill_triggers!$A:$A),MATCH(K$1,enemy_skill_triggers!$1:$1,0)-MATCH($F$1,enemy_skill_triggers!$1:$1,0)+1),MATCH(K$1,enemy_skill_triggers!$1:$1,0)-MATCH($F$1,enemy_skill_triggers!$1:$1,0)+1,FALSE)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2" s="48">
        <f ca="1">VLOOKUP($F762,OFFSET(enemy_skill_triggers!$A$1,0,0,COUNTA(enemy_skill_triggers!$A:$A),MATCH(L$1,enemy_skill_triggers!$1:$1,0)-MATCH($F$1,enemy_skill_triggers!$1:$1,0)+1),MATCH(L$1,enemy_skill_triggers!$1:$1,0)-MATCH($F$1,enemy_skill_triggers!$1:$1,0)+1,FALSE)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2" s="48" t="str">
        <f ca="1">VLOOKUP($F762,OFFSET(enemy_skill_triggers!$A$1,0,0,COUNTA(enemy_skill_triggers!$A:$A),MATCH(M$1,enemy_skill_triggers!$1:$1,0)-MATCH($F$1,enemy_skill_triggers!$1:$1,0)+1),MATCH(M$1,enemy_skill_triggers!$1:$1,0)-MATCH($F$1,enemy_skill_triggers!$1:$1,0)+1,FALSE)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2" s="48">
        <f ca="1">VLOOKUP($F762,OFFSET(enemy_skill_triggers!$A$1,0,0,COUNTA(enemy_skill_triggers!$A:$A),MATCH(N$1,enemy_skill_triggers!$1:$1,0)-MATCH($F$1,enemy_skill_triggers!$1:$1,0)+1),MATCH(N$1,enemy_skill_triggers!$1:$1,0)-MATCH($F$1,enemy_skill_triggers!$1:$1,0)+1,FALSE)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762" s="48">
        <f ca="1">VLOOKUP($F762,OFFSET(enemy_skill_triggers!$A$1,0,0,COUNTA(enemy_skill_triggers!$A:$A),MATCH(O$1,enemy_skill_triggers!$1:$1,0)-MATCH($F$1,enemy_skill_triggers!$1:$1,0)+1),MATCH(O$1,enemy_skill_triggers!$1:$1,0)-MATCH($F$1,enemy_skill_triggers!$1:$1,0)+1,FALSE)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2" s="47"/>
      <c r="Q762" s="47"/>
      <c r="R762" s="47"/>
    </row>
    <row r="763" spans="1:18" ht="21" customHeight="1" x14ac:dyDescent="0.15">
      <c r="A763" s="39" t="str">
        <f t="shared" si="32"/>
        <v>39009035_39009074</v>
      </c>
      <c r="B763" s="47">
        <v>39009035</v>
      </c>
      <c r="C763" s="47">
        <v>39009074</v>
      </c>
      <c r="D763" s="46" t="str">
        <f ca="1">VLOOKUP($C763,OFFSET(enemy_skills!$A$1,0,0,COUNTA(enemy_skills!$A:$A),MATCH(D$1,enemy_skills!$1:$1,0)-MATCH("enemy_skill_id",enemy_skills!$1:$1,0)+1),MATCH(D$1,enemy_skills!$1:$1,0)-MATCH("enemy_skill_id",enemy_skills!$1:$1,0)+1,FALSE)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3" s="46" t="str">
        <f ca="1">VLOOKUP($C763,OFFSET(enemy_skills!$A$1,0,0,COUNTA(enemy_skills!$A:$A),MATCH(E$1,enemy_skills!$1:$1,0)-MATCH("enemy_skill_id",enemy_skills!$1:$1,0)+1),MATCH(E$1,enemy_skills!$1:$1,0)-MATCH("enemy_skill_id",enemy_skills!$1:$1,0)+1,FALSE)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3" s="47">
        <v>39009227</v>
      </c>
      <c r="G763" s="48">
        <f ca="1">VLOOKUP($F763,OFFSET(enemy_skill_triggers!$A$1,0,0,COUNTA(enemy_skill_triggers!$A:$A),MATCH(G$1,enemy_skill_triggers!$1:$1,0)-MATCH($F$1,enemy_skill_triggers!$1:$1,0)+1),MATCH(G$1,enemy_skill_triggers!$1:$1,0)-MATCH($F$1,enemy_skill_triggers!$1:$1,0)+1,FALSE)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3" s="48">
        <f ca="1">VLOOKUP($F763,OFFSET(enemy_skill_triggers!$A$1,0,0,COUNTA(enemy_skill_triggers!$A:$A),MATCH(H$1,enemy_skill_triggers!$1:$1,0)-MATCH($F$1,enemy_skill_triggers!$1:$1,0)+1),MATCH(H$1,enemy_skill_triggers!$1:$1,0)-MATCH($F$1,enemy_skill_triggers!$1:$1,0)+1,FALSE)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763" s="48">
        <f ca="1">VLOOKUP($F763,OFFSET(enemy_skill_triggers!$A$1,0,0,COUNTA(enemy_skill_triggers!$A:$A),MATCH(I$1,enemy_skill_triggers!$1:$1,0)-MATCH($F$1,enemy_skill_triggers!$1:$1,0)+1),MATCH(I$1,enemy_skill_triggers!$1:$1,0)-MATCH($F$1,enemy_skill_triggers!$1:$1,0)+1,FALSE)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3" s="48" t="str">
        <f ca="1">VLOOKUP($F763,OFFSET(enemy_skill_triggers!$A$1,0,0,COUNTA(enemy_skill_triggers!$A:$A),MATCH(J$1,enemy_skill_triggers!$1:$1,0)-MATCH($F$1,enemy_skill_triggers!$1:$1,0)+1),MATCH(J$1,enemy_skill_triggers!$1:$1,0)-MATCH($F$1,enemy_skill_triggers!$1:$1,0)+1,FALSE)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3" s="48" t="str">
        <f ca="1">VLOOKUP($F763,OFFSET(enemy_skill_triggers!$A$1,0,0,COUNTA(enemy_skill_triggers!$A:$A),MATCH(K$1,enemy_skill_triggers!$1:$1,0)-MATCH($F$1,enemy_skill_triggers!$1:$1,0)+1),MATCH(K$1,enemy_skill_triggers!$1:$1,0)-MATCH($F$1,enemy_skill_triggers!$1:$1,0)+1,FALSE)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3" s="48">
        <f ca="1">VLOOKUP($F763,OFFSET(enemy_skill_triggers!$A$1,0,0,COUNTA(enemy_skill_triggers!$A:$A),MATCH(L$1,enemy_skill_triggers!$1:$1,0)-MATCH($F$1,enemy_skill_triggers!$1:$1,0)+1),MATCH(L$1,enemy_skill_triggers!$1:$1,0)-MATCH($F$1,enemy_skill_triggers!$1:$1,0)+1,FALSE)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3" s="48" t="str">
        <f ca="1">VLOOKUP($F763,OFFSET(enemy_skill_triggers!$A$1,0,0,COUNTA(enemy_skill_triggers!$A:$A),MATCH(M$1,enemy_skill_triggers!$1:$1,0)-MATCH($F$1,enemy_skill_triggers!$1:$1,0)+1),MATCH(M$1,enemy_skill_triggers!$1:$1,0)-MATCH($F$1,enemy_skill_triggers!$1:$1,0)+1,FALSE)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3" s="48">
        <f ca="1">VLOOKUP($F763,OFFSET(enemy_skill_triggers!$A$1,0,0,COUNTA(enemy_skill_triggers!$A:$A),MATCH(N$1,enemy_skill_triggers!$1:$1,0)-MATCH($F$1,enemy_skill_triggers!$1:$1,0)+1),MATCH(N$1,enemy_skill_triggers!$1:$1,0)-MATCH($F$1,enemy_skill_triggers!$1:$1,0)+1,FALSE)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763" s="48">
        <f ca="1">VLOOKUP($F763,OFFSET(enemy_skill_triggers!$A$1,0,0,COUNTA(enemy_skill_triggers!$A:$A),MATCH(O$1,enemy_skill_triggers!$1:$1,0)-MATCH($F$1,enemy_skill_triggers!$1:$1,0)+1),MATCH(O$1,enemy_skill_triggers!$1:$1,0)-MATCH($F$1,enemy_skill_triggers!$1:$1,0)+1,FALSE)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3" s="47"/>
      <c r="Q763" s="47"/>
      <c r="R763" s="47"/>
    </row>
    <row r="764" spans="1:18" ht="21" customHeight="1" x14ac:dyDescent="0.15">
      <c r="A764" s="39" t="str">
        <f t="shared" si="32"/>
        <v>39009035_39009074</v>
      </c>
      <c r="B764" s="47">
        <v>39009035</v>
      </c>
      <c r="C764" s="47">
        <v>39009074</v>
      </c>
      <c r="D764" s="46" t="str">
        <f ca="1">VLOOKUP($C764,OFFSET(enemy_skills!$A$1,0,0,COUNTA(enemy_skills!$A:$A),MATCH(D$1,enemy_skills!$1:$1,0)-MATCH("enemy_skill_id",enemy_skills!$1:$1,0)+1),MATCH(D$1,enemy_skills!$1:$1,0)-MATCH("enemy_skill_id",enemy_skills!$1:$1,0)+1,FALSE)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4" s="46" t="str">
        <f ca="1">VLOOKUP($C764,OFFSET(enemy_skills!$A$1,0,0,COUNTA(enemy_skills!$A:$A),MATCH(E$1,enemy_skills!$1:$1,0)-MATCH("enemy_skill_id",enemy_skills!$1:$1,0)+1),MATCH(E$1,enemy_skills!$1:$1,0)-MATCH("enemy_skill_id",enemy_skills!$1:$1,0)+1,FALSE)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4" s="47">
        <v>39009228</v>
      </c>
      <c r="G764" s="48">
        <f ca="1">VLOOKUP($F764,OFFSET(enemy_skill_triggers!$A$1,0,0,COUNTA(enemy_skill_triggers!$A:$A),MATCH(G$1,enemy_skill_triggers!$1:$1,0)-MATCH($F$1,enemy_skill_triggers!$1:$1,0)+1),MATCH(G$1,enemy_skill_triggers!$1:$1,0)-MATCH($F$1,enemy_skill_triggers!$1:$1,0)+1,FALSE)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4" s="48">
        <f ca="1">VLOOKUP($F764,OFFSET(enemy_skill_triggers!$A$1,0,0,COUNTA(enemy_skill_triggers!$A:$A),MATCH(H$1,enemy_skill_triggers!$1:$1,0)-MATCH($F$1,enemy_skill_triggers!$1:$1,0)+1),MATCH(H$1,enemy_skill_triggers!$1:$1,0)-MATCH($F$1,enemy_skill_triggers!$1:$1,0)+1,FALSE)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764" s="48">
        <f ca="1">VLOOKUP($F764,OFFSET(enemy_skill_triggers!$A$1,0,0,COUNTA(enemy_skill_triggers!$A:$A),MATCH(I$1,enemy_skill_triggers!$1:$1,0)-MATCH($F$1,enemy_skill_triggers!$1:$1,0)+1),MATCH(I$1,enemy_skill_triggers!$1:$1,0)-MATCH($F$1,enemy_skill_triggers!$1:$1,0)+1,FALSE)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4" s="48" t="str">
        <f ca="1">VLOOKUP($F764,OFFSET(enemy_skill_triggers!$A$1,0,0,COUNTA(enemy_skill_triggers!$A:$A),MATCH(J$1,enemy_skill_triggers!$1:$1,0)-MATCH($F$1,enemy_skill_triggers!$1:$1,0)+1),MATCH(J$1,enemy_skill_triggers!$1:$1,0)-MATCH($F$1,enemy_skill_triggers!$1:$1,0)+1,FALSE)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4" s="48" t="str">
        <f ca="1">VLOOKUP($F764,OFFSET(enemy_skill_triggers!$A$1,0,0,COUNTA(enemy_skill_triggers!$A:$A),MATCH(K$1,enemy_skill_triggers!$1:$1,0)-MATCH($F$1,enemy_skill_triggers!$1:$1,0)+1),MATCH(K$1,enemy_skill_triggers!$1:$1,0)-MATCH($F$1,enemy_skill_triggers!$1:$1,0)+1,FALSE)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4" s="48">
        <f ca="1">VLOOKUP($F764,OFFSET(enemy_skill_triggers!$A$1,0,0,COUNTA(enemy_skill_triggers!$A:$A),MATCH(L$1,enemy_skill_triggers!$1:$1,0)-MATCH($F$1,enemy_skill_triggers!$1:$1,0)+1),MATCH(L$1,enemy_skill_triggers!$1:$1,0)-MATCH($F$1,enemy_skill_triggers!$1:$1,0)+1,FALSE)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4" s="48" t="str">
        <f ca="1">VLOOKUP($F764,OFFSET(enemy_skill_triggers!$A$1,0,0,COUNTA(enemy_skill_triggers!$A:$A),MATCH(M$1,enemy_skill_triggers!$1:$1,0)-MATCH($F$1,enemy_skill_triggers!$1:$1,0)+1),MATCH(M$1,enemy_skill_triggers!$1:$1,0)-MATCH($F$1,enemy_skill_triggers!$1:$1,0)+1,FALSE)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4" s="48">
        <f ca="1">VLOOKUP($F764,OFFSET(enemy_skill_triggers!$A$1,0,0,COUNTA(enemy_skill_triggers!$A:$A),MATCH(N$1,enemy_skill_triggers!$1:$1,0)-MATCH($F$1,enemy_skill_triggers!$1:$1,0)+1),MATCH(N$1,enemy_skill_triggers!$1:$1,0)-MATCH($F$1,enemy_skill_triggers!$1:$1,0)+1,FALSE)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764" s="48">
        <f ca="1">VLOOKUP($F764,OFFSET(enemy_skill_triggers!$A$1,0,0,COUNTA(enemy_skill_triggers!$A:$A),MATCH(O$1,enemy_skill_triggers!$1:$1,0)-MATCH($F$1,enemy_skill_triggers!$1:$1,0)+1),MATCH(O$1,enemy_skill_triggers!$1:$1,0)-MATCH($F$1,enemy_skill_triggers!$1:$1,0)+1,FALSE)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4" s="47"/>
      <c r="Q764" s="47"/>
      <c r="R764" s="47"/>
    </row>
    <row r="765" spans="1:18" ht="21" customHeight="1" x14ac:dyDescent="0.15">
      <c r="A765" s="39" t="str">
        <f t="shared" si="32"/>
        <v>39009035_39009074</v>
      </c>
      <c r="B765" s="47">
        <v>39009035</v>
      </c>
      <c r="C765" s="47">
        <v>39009074</v>
      </c>
      <c r="D765" s="46" t="str">
        <f ca="1">VLOOKUP($C765,OFFSET(enemy_skills!$A$1,0,0,COUNTA(enemy_skills!$A:$A),MATCH(D$1,enemy_skills!$1:$1,0)-MATCH("enemy_skill_id",enemy_skills!$1:$1,0)+1),MATCH(D$1,enemy_skills!$1:$1,0)-MATCH("enemy_skill_id",enemy_skills!$1:$1,0)+1,FALSE)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5" s="46" t="str">
        <f ca="1">VLOOKUP($C765,OFFSET(enemy_skills!$A$1,0,0,COUNTA(enemy_skills!$A:$A),MATCH(E$1,enemy_skills!$1:$1,0)-MATCH("enemy_skill_id",enemy_skills!$1:$1,0)+1),MATCH(E$1,enemy_skills!$1:$1,0)-MATCH("enemy_skill_id",enemy_skills!$1:$1,0)+1,FALSE)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5" s="47">
        <v>39009229</v>
      </c>
      <c r="G765" s="48">
        <f ca="1">VLOOKUP($F765,OFFSET(enemy_skill_triggers!$A$1,0,0,COUNTA(enemy_skill_triggers!$A:$A),MATCH(G$1,enemy_skill_triggers!$1:$1,0)-MATCH($F$1,enemy_skill_triggers!$1:$1,0)+1),MATCH(G$1,enemy_skill_triggers!$1:$1,0)-MATCH($F$1,enemy_skill_triggers!$1:$1,0)+1,FALSE)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5" s="48">
        <f ca="1">VLOOKUP($F765,OFFSET(enemy_skill_triggers!$A$1,0,0,COUNTA(enemy_skill_triggers!$A:$A),MATCH(H$1,enemy_skill_triggers!$1:$1,0)-MATCH($F$1,enemy_skill_triggers!$1:$1,0)+1),MATCH(H$1,enemy_skill_triggers!$1:$1,0)-MATCH($F$1,enemy_skill_triggers!$1:$1,0)+1,FALSE)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65" s="48">
        <f ca="1">VLOOKUP($F765,OFFSET(enemy_skill_triggers!$A$1,0,0,COUNTA(enemy_skill_triggers!$A:$A),MATCH(I$1,enemy_skill_triggers!$1:$1,0)-MATCH($F$1,enemy_skill_triggers!$1:$1,0)+1),MATCH(I$1,enemy_skill_triggers!$1:$1,0)-MATCH($F$1,enemy_skill_triggers!$1:$1,0)+1,FALSE)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5" s="48" t="str">
        <f ca="1">VLOOKUP($F765,OFFSET(enemy_skill_triggers!$A$1,0,0,COUNTA(enemy_skill_triggers!$A:$A),MATCH(J$1,enemy_skill_triggers!$1:$1,0)-MATCH($F$1,enemy_skill_triggers!$1:$1,0)+1),MATCH(J$1,enemy_skill_triggers!$1:$1,0)-MATCH($F$1,enemy_skill_triggers!$1:$1,0)+1,FALSE)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5" s="48" t="str">
        <f ca="1">VLOOKUP($F765,OFFSET(enemy_skill_triggers!$A$1,0,0,COUNTA(enemy_skill_triggers!$A:$A),MATCH(K$1,enemy_skill_triggers!$1:$1,0)-MATCH($F$1,enemy_skill_triggers!$1:$1,0)+1),MATCH(K$1,enemy_skill_triggers!$1:$1,0)-MATCH($F$1,enemy_skill_triggers!$1:$1,0)+1,FALSE)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5" s="48">
        <f ca="1">VLOOKUP($F765,OFFSET(enemy_skill_triggers!$A$1,0,0,COUNTA(enemy_skill_triggers!$A:$A),MATCH(L$1,enemy_skill_triggers!$1:$1,0)-MATCH($F$1,enemy_skill_triggers!$1:$1,0)+1),MATCH(L$1,enemy_skill_triggers!$1:$1,0)-MATCH($F$1,enemy_skill_triggers!$1:$1,0)+1,FALSE)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5" s="48" t="str">
        <f ca="1">VLOOKUP($F765,OFFSET(enemy_skill_triggers!$A$1,0,0,COUNTA(enemy_skill_triggers!$A:$A),MATCH(M$1,enemy_skill_triggers!$1:$1,0)-MATCH($F$1,enemy_skill_triggers!$1:$1,0)+1),MATCH(M$1,enemy_skill_triggers!$1:$1,0)-MATCH($F$1,enemy_skill_triggers!$1:$1,0)+1,FALSE)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5" s="48">
        <f ca="1">VLOOKUP($F765,OFFSET(enemy_skill_triggers!$A$1,0,0,COUNTA(enemy_skill_triggers!$A:$A),MATCH(N$1,enemy_skill_triggers!$1:$1,0)-MATCH($F$1,enemy_skill_triggers!$1:$1,0)+1),MATCH(N$1,enemy_skill_triggers!$1:$1,0)-MATCH($F$1,enemy_skill_triggers!$1:$1,0)+1,FALSE)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765" s="48">
        <f ca="1">VLOOKUP($F765,OFFSET(enemy_skill_triggers!$A$1,0,0,COUNTA(enemy_skill_triggers!$A:$A),MATCH(O$1,enemy_skill_triggers!$1:$1,0)-MATCH($F$1,enemy_skill_triggers!$1:$1,0)+1),MATCH(O$1,enemy_skill_triggers!$1:$1,0)-MATCH($F$1,enemy_skill_triggers!$1:$1,0)+1,FALSE)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5" s="47"/>
      <c r="Q765" s="47"/>
      <c r="R765" s="47"/>
    </row>
    <row r="766" spans="1:18" ht="21" customHeight="1" x14ac:dyDescent="0.15">
      <c r="A766" s="39" t="str">
        <f t="shared" si="32"/>
        <v>39009035_39009074</v>
      </c>
      <c r="B766" s="47">
        <v>39009035</v>
      </c>
      <c r="C766" s="47">
        <v>39009074</v>
      </c>
      <c r="D766" s="46" t="str">
        <f ca="1">VLOOKUP($C766,OFFSET(enemy_skills!$A$1,0,0,COUNTA(enemy_skills!$A:$A),MATCH(D$1,enemy_skills!$1:$1,0)-MATCH("enemy_skill_id",enemy_skills!$1:$1,0)+1),MATCH(D$1,enemy_skills!$1:$1,0)-MATCH("enemy_skill_id",enemy_skills!$1:$1,0)+1,FALSE)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6" s="46" t="str">
        <f ca="1">VLOOKUP($C766,OFFSET(enemy_skills!$A$1,0,0,COUNTA(enemy_skills!$A:$A),MATCH(E$1,enemy_skills!$1:$1,0)-MATCH("enemy_skill_id",enemy_skills!$1:$1,0)+1),MATCH(E$1,enemy_skills!$1:$1,0)-MATCH("enemy_skill_id",enemy_skills!$1:$1,0)+1,FALSE)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6" s="47">
        <v>39009230</v>
      </c>
      <c r="G766" s="48">
        <f ca="1">VLOOKUP($F766,OFFSET(enemy_skill_triggers!$A$1,0,0,COUNTA(enemy_skill_triggers!$A:$A),MATCH(G$1,enemy_skill_triggers!$1:$1,0)-MATCH($F$1,enemy_skill_triggers!$1:$1,0)+1),MATCH(G$1,enemy_skill_triggers!$1:$1,0)-MATCH($F$1,enemy_skill_triggers!$1:$1,0)+1,FALSE)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6" s="48">
        <f ca="1">VLOOKUP($F766,OFFSET(enemy_skill_triggers!$A$1,0,0,COUNTA(enemy_skill_triggers!$A:$A),MATCH(H$1,enemy_skill_triggers!$1:$1,0)-MATCH($F$1,enemy_skill_triggers!$1:$1,0)+1),MATCH(H$1,enemy_skill_triggers!$1:$1,0)-MATCH($F$1,enemy_skill_triggers!$1:$1,0)+1,FALSE)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66" s="48">
        <f ca="1">VLOOKUP($F766,OFFSET(enemy_skill_triggers!$A$1,0,0,COUNTA(enemy_skill_triggers!$A:$A),MATCH(I$1,enemy_skill_triggers!$1:$1,0)-MATCH($F$1,enemy_skill_triggers!$1:$1,0)+1),MATCH(I$1,enemy_skill_triggers!$1:$1,0)-MATCH($F$1,enemy_skill_triggers!$1:$1,0)+1,FALSE)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6" s="48" t="str">
        <f ca="1">VLOOKUP($F766,OFFSET(enemy_skill_triggers!$A$1,0,0,COUNTA(enemy_skill_triggers!$A:$A),MATCH(J$1,enemy_skill_triggers!$1:$1,0)-MATCH($F$1,enemy_skill_triggers!$1:$1,0)+1),MATCH(J$1,enemy_skill_triggers!$1:$1,0)-MATCH($F$1,enemy_skill_triggers!$1:$1,0)+1,FALSE)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6" s="48" t="str">
        <f ca="1">VLOOKUP($F766,OFFSET(enemy_skill_triggers!$A$1,0,0,COUNTA(enemy_skill_triggers!$A:$A),MATCH(K$1,enemy_skill_triggers!$1:$1,0)-MATCH($F$1,enemy_skill_triggers!$1:$1,0)+1),MATCH(K$1,enemy_skill_triggers!$1:$1,0)-MATCH($F$1,enemy_skill_triggers!$1:$1,0)+1,FALSE)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6" s="48">
        <f ca="1">VLOOKUP($F766,OFFSET(enemy_skill_triggers!$A$1,0,0,COUNTA(enemy_skill_triggers!$A:$A),MATCH(L$1,enemy_skill_triggers!$1:$1,0)-MATCH($F$1,enemy_skill_triggers!$1:$1,0)+1),MATCH(L$1,enemy_skill_triggers!$1:$1,0)-MATCH($F$1,enemy_skill_triggers!$1:$1,0)+1,FALSE)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6" s="48" t="str">
        <f ca="1">VLOOKUP($F766,OFFSET(enemy_skill_triggers!$A$1,0,0,COUNTA(enemy_skill_triggers!$A:$A),MATCH(M$1,enemy_skill_triggers!$1:$1,0)-MATCH($F$1,enemy_skill_triggers!$1:$1,0)+1),MATCH(M$1,enemy_skill_triggers!$1:$1,0)-MATCH($F$1,enemy_skill_triggers!$1:$1,0)+1,FALSE)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6" s="48">
        <f ca="1">VLOOKUP($F766,OFFSET(enemy_skill_triggers!$A$1,0,0,COUNTA(enemy_skill_triggers!$A:$A),MATCH(N$1,enemy_skill_triggers!$1:$1,0)-MATCH($F$1,enemy_skill_triggers!$1:$1,0)+1),MATCH(N$1,enemy_skill_triggers!$1:$1,0)-MATCH($F$1,enemy_skill_triggers!$1:$1,0)+1,FALSE)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766" s="48">
        <f ca="1">VLOOKUP($F766,OFFSET(enemy_skill_triggers!$A$1,0,0,COUNTA(enemy_skill_triggers!$A:$A),MATCH(O$1,enemy_skill_triggers!$1:$1,0)-MATCH($F$1,enemy_skill_triggers!$1:$1,0)+1),MATCH(O$1,enemy_skill_triggers!$1:$1,0)-MATCH($F$1,enemy_skill_triggers!$1:$1,0)+1,FALSE)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6" s="47"/>
      <c r="Q766" s="47"/>
      <c r="R766" s="47"/>
    </row>
    <row r="767" spans="1:18" ht="21" customHeight="1" x14ac:dyDescent="0.15">
      <c r="A767" s="39" t="str">
        <f t="shared" si="32"/>
        <v>39009035_39009074</v>
      </c>
      <c r="B767" s="47">
        <v>39009035</v>
      </c>
      <c r="C767" s="47">
        <v>39009074</v>
      </c>
      <c r="D767" s="46" t="str">
        <f ca="1">VLOOKUP($C767,OFFSET(enemy_skills!$A$1,0,0,COUNTA(enemy_skills!$A:$A),MATCH(D$1,enemy_skills!$1:$1,0)-MATCH("enemy_skill_id",enemy_skills!$1:$1,0)+1),MATCH(D$1,enemy_skills!$1:$1,0)-MATCH("enemy_skill_id",enemy_skills!$1:$1,0)+1,FALSE)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7" s="46" t="str">
        <f ca="1">VLOOKUP($C767,OFFSET(enemy_skills!$A$1,0,0,COUNTA(enemy_skills!$A:$A),MATCH(E$1,enemy_skills!$1:$1,0)-MATCH("enemy_skill_id",enemy_skills!$1:$1,0)+1),MATCH(E$1,enemy_skills!$1:$1,0)-MATCH("enemy_skill_id",enemy_skills!$1:$1,0)+1,FALSE)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7" s="47">
        <v>39009231</v>
      </c>
      <c r="G767" s="48">
        <f ca="1">VLOOKUP($F767,OFFSET(enemy_skill_triggers!$A$1,0,0,COUNTA(enemy_skill_triggers!$A:$A),MATCH(G$1,enemy_skill_triggers!$1:$1,0)-MATCH($F$1,enemy_skill_triggers!$1:$1,0)+1),MATCH(G$1,enemy_skill_triggers!$1:$1,0)-MATCH($F$1,enemy_skill_triggers!$1:$1,0)+1,FALSE)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7" s="48">
        <f ca="1">VLOOKUP($F767,OFFSET(enemy_skill_triggers!$A$1,0,0,COUNTA(enemy_skill_triggers!$A:$A),MATCH(H$1,enemy_skill_triggers!$1:$1,0)-MATCH($F$1,enemy_skill_triggers!$1:$1,0)+1),MATCH(H$1,enemy_skill_triggers!$1:$1,0)-MATCH($F$1,enemy_skill_triggers!$1:$1,0)+1,FALSE)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67" s="48">
        <f ca="1">VLOOKUP($F767,OFFSET(enemy_skill_triggers!$A$1,0,0,COUNTA(enemy_skill_triggers!$A:$A),MATCH(I$1,enemy_skill_triggers!$1:$1,0)-MATCH($F$1,enemy_skill_triggers!$1:$1,0)+1),MATCH(I$1,enemy_skill_triggers!$1:$1,0)-MATCH($F$1,enemy_skill_triggers!$1:$1,0)+1,FALSE)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7" s="48" t="str">
        <f ca="1">VLOOKUP($F767,OFFSET(enemy_skill_triggers!$A$1,0,0,COUNTA(enemy_skill_triggers!$A:$A),MATCH(J$1,enemy_skill_triggers!$1:$1,0)-MATCH($F$1,enemy_skill_triggers!$1:$1,0)+1),MATCH(J$1,enemy_skill_triggers!$1:$1,0)-MATCH($F$1,enemy_skill_triggers!$1:$1,0)+1,FALSE)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7" s="48" t="str">
        <f ca="1">VLOOKUP($F767,OFFSET(enemy_skill_triggers!$A$1,0,0,COUNTA(enemy_skill_triggers!$A:$A),MATCH(K$1,enemy_skill_triggers!$1:$1,0)-MATCH($F$1,enemy_skill_triggers!$1:$1,0)+1),MATCH(K$1,enemy_skill_triggers!$1:$1,0)-MATCH($F$1,enemy_skill_triggers!$1:$1,0)+1,FALSE)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7" s="48">
        <f ca="1">VLOOKUP($F767,OFFSET(enemy_skill_triggers!$A$1,0,0,COUNTA(enemy_skill_triggers!$A:$A),MATCH(L$1,enemy_skill_triggers!$1:$1,0)-MATCH($F$1,enemy_skill_triggers!$1:$1,0)+1),MATCH(L$1,enemy_skill_triggers!$1:$1,0)-MATCH($F$1,enemy_skill_triggers!$1:$1,0)+1,FALSE)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7" s="48" t="str">
        <f ca="1">VLOOKUP($F767,OFFSET(enemy_skill_triggers!$A$1,0,0,COUNTA(enemy_skill_triggers!$A:$A),MATCH(M$1,enemy_skill_triggers!$1:$1,0)-MATCH($F$1,enemy_skill_triggers!$1:$1,0)+1),MATCH(M$1,enemy_skill_triggers!$1:$1,0)-MATCH($F$1,enemy_skill_triggers!$1:$1,0)+1,FALSE)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7" s="48">
        <f ca="1">VLOOKUP($F767,OFFSET(enemy_skill_triggers!$A$1,0,0,COUNTA(enemy_skill_triggers!$A:$A),MATCH(N$1,enemy_skill_triggers!$1:$1,0)-MATCH($F$1,enemy_skill_triggers!$1:$1,0)+1),MATCH(N$1,enemy_skill_triggers!$1:$1,0)-MATCH($F$1,enemy_skill_triggers!$1:$1,0)+1,FALSE)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767" s="48">
        <f ca="1">VLOOKUP($F767,OFFSET(enemy_skill_triggers!$A$1,0,0,COUNTA(enemy_skill_triggers!$A:$A),MATCH(O$1,enemy_skill_triggers!$1:$1,0)-MATCH($F$1,enemy_skill_triggers!$1:$1,0)+1),MATCH(O$1,enemy_skill_triggers!$1:$1,0)-MATCH($F$1,enemy_skill_triggers!$1:$1,0)+1,FALSE)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7" s="47"/>
      <c r="Q767" s="47"/>
      <c r="R767" s="47"/>
    </row>
    <row r="768" spans="1:18" ht="21" customHeight="1" x14ac:dyDescent="0.15">
      <c r="A768" s="39" t="str">
        <f t="shared" si="32"/>
        <v>39009035_39009074</v>
      </c>
      <c r="B768" s="47">
        <v>39009035</v>
      </c>
      <c r="C768" s="47">
        <v>39009074</v>
      </c>
      <c r="D768" s="46" t="str">
        <f ca="1">VLOOKUP($C768,OFFSET(enemy_skills!$A$1,0,0,COUNTA(enemy_skills!$A:$A),MATCH(D$1,enemy_skills!$1:$1,0)-MATCH("enemy_skill_id",enemy_skills!$1:$1,0)+1),MATCH(D$1,enemy_skills!$1:$1,0)-MATCH("enemy_skill_id",enemy_skills!$1:$1,0)+1,FALSE)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8" s="46" t="str">
        <f ca="1">VLOOKUP($C768,OFFSET(enemy_skills!$A$1,0,0,COUNTA(enemy_skills!$A:$A),MATCH(E$1,enemy_skills!$1:$1,0)-MATCH("enemy_skill_id",enemy_skills!$1:$1,0)+1),MATCH(E$1,enemy_skills!$1:$1,0)-MATCH("enemy_skill_id",enemy_skills!$1:$1,0)+1,FALSE)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8" s="47">
        <v>39009232</v>
      </c>
      <c r="G768" s="48">
        <f ca="1">VLOOKUP($F768,OFFSET(enemy_skill_triggers!$A$1,0,0,COUNTA(enemy_skill_triggers!$A:$A),MATCH(G$1,enemy_skill_triggers!$1:$1,0)-MATCH($F$1,enemy_skill_triggers!$1:$1,0)+1),MATCH(G$1,enemy_skill_triggers!$1:$1,0)-MATCH($F$1,enemy_skill_triggers!$1:$1,0)+1,FALSE)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8" s="48">
        <f ca="1">VLOOKUP($F768,OFFSET(enemy_skill_triggers!$A$1,0,0,COUNTA(enemy_skill_triggers!$A:$A),MATCH(H$1,enemy_skill_triggers!$1:$1,0)-MATCH($F$1,enemy_skill_triggers!$1:$1,0)+1),MATCH(H$1,enemy_skill_triggers!$1:$1,0)-MATCH($F$1,enemy_skill_triggers!$1:$1,0)+1,FALSE)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68" s="48">
        <f ca="1">VLOOKUP($F768,OFFSET(enemy_skill_triggers!$A$1,0,0,COUNTA(enemy_skill_triggers!$A:$A),MATCH(I$1,enemy_skill_triggers!$1:$1,0)-MATCH($F$1,enemy_skill_triggers!$1:$1,0)+1),MATCH(I$1,enemy_skill_triggers!$1:$1,0)-MATCH($F$1,enemy_skill_triggers!$1:$1,0)+1,FALSE)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8" s="48" t="str">
        <f ca="1">VLOOKUP($F768,OFFSET(enemy_skill_triggers!$A$1,0,0,COUNTA(enemy_skill_triggers!$A:$A),MATCH(J$1,enemy_skill_triggers!$1:$1,0)-MATCH($F$1,enemy_skill_triggers!$1:$1,0)+1),MATCH(J$1,enemy_skill_triggers!$1:$1,0)-MATCH($F$1,enemy_skill_triggers!$1:$1,0)+1,FALSE)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8" s="48" t="str">
        <f ca="1">VLOOKUP($F768,OFFSET(enemy_skill_triggers!$A$1,0,0,COUNTA(enemy_skill_triggers!$A:$A),MATCH(K$1,enemy_skill_triggers!$1:$1,0)-MATCH($F$1,enemy_skill_triggers!$1:$1,0)+1),MATCH(K$1,enemy_skill_triggers!$1:$1,0)-MATCH($F$1,enemy_skill_triggers!$1:$1,0)+1,FALSE)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8" s="48">
        <f ca="1">VLOOKUP($F768,OFFSET(enemy_skill_triggers!$A$1,0,0,COUNTA(enemy_skill_triggers!$A:$A),MATCH(L$1,enemy_skill_triggers!$1:$1,0)-MATCH($F$1,enemy_skill_triggers!$1:$1,0)+1),MATCH(L$1,enemy_skill_triggers!$1:$1,0)-MATCH($F$1,enemy_skill_triggers!$1:$1,0)+1,FALSE)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8" s="48" t="str">
        <f ca="1">VLOOKUP($F768,OFFSET(enemy_skill_triggers!$A$1,0,0,COUNTA(enemy_skill_triggers!$A:$A),MATCH(M$1,enemy_skill_triggers!$1:$1,0)-MATCH($F$1,enemy_skill_triggers!$1:$1,0)+1),MATCH(M$1,enemy_skill_triggers!$1:$1,0)-MATCH($F$1,enemy_skill_triggers!$1:$1,0)+1,FALSE)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8" s="48">
        <f ca="1">VLOOKUP($F768,OFFSET(enemy_skill_triggers!$A$1,0,0,COUNTA(enemy_skill_triggers!$A:$A),MATCH(N$1,enemy_skill_triggers!$1:$1,0)-MATCH($F$1,enemy_skill_triggers!$1:$1,0)+1),MATCH(N$1,enemy_skill_triggers!$1:$1,0)-MATCH($F$1,enemy_skill_triggers!$1:$1,0)+1,FALSE)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768" s="48">
        <f ca="1">VLOOKUP($F768,OFFSET(enemy_skill_triggers!$A$1,0,0,COUNTA(enemy_skill_triggers!$A:$A),MATCH(O$1,enemy_skill_triggers!$1:$1,0)-MATCH($F$1,enemy_skill_triggers!$1:$1,0)+1),MATCH(O$1,enemy_skill_triggers!$1:$1,0)-MATCH($F$1,enemy_skill_triggers!$1:$1,0)+1,FALSE)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8" s="47"/>
      <c r="Q768" s="47"/>
      <c r="R768" s="47"/>
    </row>
    <row r="769" spans="1:18" ht="21" customHeight="1" x14ac:dyDescent="0.15">
      <c r="A769" s="39" t="str">
        <f t="shared" si="32"/>
        <v>39009035_39009074</v>
      </c>
      <c r="B769" s="47">
        <v>39009035</v>
      </c>
      <c r="C769" s="47">
        <v>39009074</v>
      </c>
      <c r="D769" s="46" t="str">
        <f ca="1">VLOOKUP($C769,OFFSET(enemy_skills!$A$1,0,0,COUNTA(enemy_skills!$A:$A),MATCH(D$1,enemy_skills!$1:$1,0)-MATCH("enemy_skill_id",enemy_skills!$1:$1,0)+1),MATCH(D$1,enemy_skills!$1:$1,0)-MATCH("enemy_skill_id",enemy_skills!$1:$1,0)+1,FALSE)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69" s="46" t="str">
        <f ca="1">VLOOKUP($C769,OFFSET(enemy_skills!$A$1,0,0,COUNTA(enemy_skills!$A:$A),MATCH(E$1,enemy_skills!$1:$1,0)-MATCH("enemy_skill_id",enemy_skills!$1:$1,0)+1),MATCH(E$1,enemy_skills!$1:$1,0)-MATCH("enemy_skill_id",enemy_skills!$1:$1,0)+1,FALSE)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9" s="47">
        <v>39009233</v>
      </c>
      <c r="G769" s="48">
        <f ca="1">VLOOKUP($F769,OFFSET(enemy_skill_triggers!$A$1,0,0,COUNTA(enemy_skill_triggers!$A:$A),MATCH(G$1,enemy_skill_triggers!$1:$1,0)-MATCH($F$1,enemy_skill_triggers!$1:$1,0)+1),MATCH(G$1,enemy_skill_triggers!$1:$1,0)-MATCH($F$1,enemy_skill_triggers!$1:$1,0)+1,FALSE)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9" s="48">
        <f ca="1">VLOOKUP($F769,OFFSET(enemy_skill_triggers!$A$1,0,0,COUNTA(enemy_skill_triggers!$A:$A),MATCH(H$1,enemy_skill_triggers!$1:$1,0)-MATCH($F$1,enemy_skill_triggers!$1:$1,0)+1),MATCH(H$1,enemy_skill_triggers!$1:$1,0)-MATCH($F$1,enemy_skill_triggers!$1:$1,0)+1,FALSE)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69" s="48">
        <f ca="1">VLOOKUP($F769,OFFSET(enemy_skill_triggers!$A$1,0,0,COUNTA(enemy_skill_triggers!$A:$A),MATCH(I$1,enemy_skill_triggers!$1:$1,0)-MATCH($F$1,enemy_skill_triggers!$1:$1,0)+1),MATCH(I$1,enemy_skill_triggers!$1:$1,0)-MATCH($F$1,enemy_skill_triggers!$1:$1,0)+1,FALSE)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9" s="48" t="str">
        <f ca="1">VLOOKUP($F769,OFFSET(enemy_skill_triggers!$A$1,0,0,COUNTA(enemy_skill_triggers!$A:$A),MATCH(J$1,enemy_skill_triggers!$1:$1,0)-MATCH($F$1,enemy_skill_triggers!$1:$1,0)+1),MATCH(J$1,enemy_skill_triggers!$1:$1,0)-MATCH($F$1,enemy_skill_triggers!$1:$1,0)+1,FALSE)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9" s="48" t="str">
        <f ca="1">VLOOKUP($F769,OFFSET(enemy_skill_triggers!$A$1,0,0,COUNTA(enemy_skill_triggers!$A:$A),MATCH(K$1,enemy_skill_triggers!$1:$1,0)-MATCH($F$1,enemy_skill_triggers!$1:$1,0)+1),MATCH(K$1,enemy_skill_triggers!$1:$1,0)-MATCH($F$1,enemy_skill_triggers!$1:$1,0)+1,FALSE)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9" s="48">
        <f ca="1">VLOOKUP($F769,OFFSET(enemy_skill_triggers!$A$1,0,0,COUNTA(enemy_skill_triggers!$A:$A),MATCH(L$1,enemy_skill_triggers!$1:$1,0)-MATCH($F$1,enemy_skill_triggers!$1:$1,0)+1),MATCH(L$1,enemy_skill_triggers!$1:$1,0)-MATCH($F$1,enemy_skill_triggers!$1:$1,0)+1,FALSE)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9" s="48" t="str">
        <f ca="1">VLOOKUP($F769,OFFSET(enemy_skill_triggers!$A$1,0,0,COUNTA(enemy_skill_triggers!$A:$A),MATCH(M$1,enemy_skill_triggers!$1:$1,0)-MATCH($F$1,enemy_skill_triggers!$1:$1,0)+1),MATCH(M$1,enemy_skill_triggers!$1:$1,0)-MATCH($F$1,enemy_skill_triggers!$1:$1,0)+1,FALSE)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9" s="48">
        <f ca="1">VLOOKUP($F769,OFFSET(enemy_skill_triggers!$A$1,0,0,COUNTA(enemy_skill_triggers!$A:$A),MATCH(N$1,enemy_skill_triggers!$1:$1,0)-MATCH($F$1,enemy_skill_triggers!$1:$1,0)+1),MATCH(N$1,enemy_skill_triggers!$1:$1,0)-MATCH($F$1,enemy_skill_triggers!$1:$1,0)+1,FALSE)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769" s="48">
        <f ca="1">VLOOKUP($F769,OFFSET(enemy_skill_triggers!$A$1,0,0,COUNTA(enemy_skill_triggers!$A:$A),MATCH(O$1,enemy_skill_triggers!$1:$1,0)-MATCH($F$1,enemy_skill_triggers!$1:$1,0)+1),MATCH(O$1,enemy_skill_triggers!$1:$1,0)-MATCH($F$1,enemy_skill_triggers!$1:$1,0)+1,FALSE)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9" s="47"/>
      <c r="Q769" s="47"/>
      <c r="R769" s="47"/>
    </row>
    <row r="770" spans="1:18" ht="21" customHeight="1" x14ac:dyDescent="0.15">
      <c r="A770" s="39" t="str">
        <f t="shared" si="32"/>
        <v>39009035_39009074</v>
      </c>
      <c r="B770" s="47">
        <v>39009035</v>
      </c>
      <c r="C770" s="47">
        <v>39009074</v>
      </c>
      <c r="D770" s="46" t="str">
        <f ca="1">VLOOKUP($C770,OFFSET(enemy_skills!$A$1,0,0,COUNTA(enemy_skills!$A:$A),MATCH(D$1,enemy_skills!$1:$1,0)-MATCH("enemy_skill_id",enemy_skills!$1:$1,0)+1),MATCH(D$1,enemy_skills!$1:$1,0)-MATCH("enemy_skill_id",enemy_skills!$1:$1,0)+1,FALSE)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0" s="46" t="str">
        <f ca="1">VLOOKUP($C770,OFFSET(enemy_skills!$A$1,0,0,COUNTA(enemy_skills!$A:$A),MATCH(E$1,enemy_skills!$1:$1,0)-MATCH("enemy_skill_id",enemy_skills!$1:$1,0)+1),MATCH(E$1,enemy_skills!$1:$1,0)-MATCH("enemy_skill_id",enemy_skills!$1:$1,0)+1,FALSE)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0" s="47">
        <v>39009234</v>
      </c>
      <c r="G770" s="48">
        <f ca="1">VLOOKUP($F770,OFFSET(enemy_skill_triggers!$A$1,0,0,COUNTA(enemy_skill_triggers!$A:$A),MATCH(G$1,enemy_skill_triggers!$1:$1,0)-MATCH($F$1,enemy_skill_triggers!$1:$1,0)+1),MATCH(G$1,enemy_skill_triggers!$1:$1,0)-MATCH($F$1,enemy_skill_triggers!$1:$1,0)+1,FALSE)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0" s="48">
        <f ca="1">VLOOKUP($F770,OFFSET(enemy_skill_triggers!$A$1,0,0,COUNTA(enemy_skill_triggers!$A:$A),MATCH(H$1,enemy_skill_triggers!$1:$1,0)-MATCH($F$1,enemy_skill_triggers!$1:$1,0)+1),MATCH(H$1,enemy_skill_triggers!$1:$1,0)-MATCH($F$1,enemy_skill_triggers!$1:$1,0)+1,FALSE)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70" s="48">
        <f ca="1">VLOOKUP($F770,OFFSET(enemy_skill_triggers!$A$1,0,0,COUNTA(enemy_skill_triggers!$A:$A),MATCH(I$1,enemy_skill_triggers!$1:$1,0)-MATCH($F$1,enemy_skill_triggers!$1:$1,0)+1),MATCH(I$1,enemy_skill_triggers!$1:$1,0)-MATCH($F$1,enemy_skill_triggers!$1:$1,0)+1,FALSE)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0" s="48" t="str">
        <f ca="1">VLOOKUP($F770,OFFSET(enemy_skill_triggers!$A$1,0,0,COUNTA(enemy_skill_triggers!$A:$A),MATCH(J$1,enemy_skill_triggers!$1:$1,0)-MATCH($F$1,enemy_skill_triggers!$1:$1,0)+1),MATCH(J$1,enemy_skill_triggers!$1:$1,0)-MATCH($F$1,enemy_skill_triggers!$1:$1,0)+1,FALSE)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0" s="48" t="str">
        <f ca="1">VLOOKUP($F770,OFFSET(enemy_skill_triggers!$A$1,0,0,COUNTA(enemy_skill_triggers!$A:$A),MATCH(K$1,enemy_skill_triggers!$1:$1,0)-MATCH($F$1,enemy_skill_triggers!$1:$1,0)+1),MATCH(K$1,enemy_skill_triggers!$1:$1,0)-MATCH($F$1,enemy_skill_triggers!$1:$1,0)+1,FALSE)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0" s="48">
        <f ca="1">VLOOKUP($F770,OFFSET(enemy_skill_triggers!$A$1,0,0,COUNTA(enemy_skill_triggers!$A:$A),MATCH(L$1,enemy_skill_triggers!$1:$1,0)-MATCH($F$1,enemy_skill_triggers!$1:$1,0)+1),MATCH(L$1,enemy_skill_triggers!$1:$1,0)-MATCH($F$1,enemy_skill_triggers!$1:$1,0)+1,FALSE)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0" s="48" t="str">
        <f ca="1">VLOOKUP($F770,OFFSET(enemy_skill_triggers!$A$1,0,0,COUNTA(enemy_skill_triggers!$A:$A),MATCH(M$1,enemy_skill_triggers!$1:$1,0)-MATCH($F$1,enemy_skill_triggers!$1:$1,0)+1),MATCH(M$1,enemy_skill_triggers!$1:$1,0)-MATCH($F$1,enemy_skill_triggers!$1:$1,0)+1,FALSE)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0" s="48">
        <f ca="1">VLOOKUP($F770,OFFSET(enemy_skill_triggers!$A$1,0,0,COUNTA(enemy_skill_triggers!$A:$A),MATCH(N$1,enemy_skill_triggers!$1:$1,0)-MATCH($F$1,enemy_skill_triggers!$1:$1,0)+1),MATCH(N$1,enemy_skill_triggers!$1:$1,0)-MATCH($F$1,enemy_skill_triggers!$1:$1,0)+1,FALSE)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770" s="48">
        <f ca="1">VLOOKUP($F770,OFFSET(enemy_skill_triggers!$A$1,0,0,COUNTA(enemy_skill_triggers!$A:$A),MATCH(O$1,enemy_skill_triggers!$1:$1,0)-MATCH($F$1,enemy_skill_triggers!$1:$1,0)+1),MATCH(O$1,enemy_skill_triggers!$1:$1,0)-MATCH($F$1,enemy_skill_triggers!$1:$1,0)+1,FALSE)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0" s="47"/>
      <c r="Q770" s="47"/>
      <c r="R770" s="47"/>
    </row>
    <row r="771" spans="1:18" ht="21" customHeight="1" x14ac:dyDescent="0.15">
      <c r="A771" s="39" t="str">
        <f t="shared" si="32"/>
        <v>39009035_39009074</v>
      </c>
      <c r="B771" s="47">
        <v>39009035</v>
      </c>
      <c r="C771" s="47">
        <v>39009074</v>
      </c>
      <c r="D771" s="46" t="str">
        <f ca="1">VLOOKUP($C771,OFFSET(enemy_skills!$A$1,0,0,COUNTA(enemy_skills!$A:$A),MATCH(D$1,enemy_skills!$1:$1,0)-MATCH("enemy_skill_id",enemy_skills!$1:$1,0)+1),MATCH(D$1,enemy_skills!$1:$1,0)-MATCH("enemy_skill_id",enemy_skills!$1:$1,0)+1,FALSE)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1" s="46" t="str">
        <f ca="1">VLOOKUP($C771,OFFSET(enemy_skills!$A$1,0,0,COUNTA(enemy_skills!$A:$A),MATCH(E$1,enemy_skills!$1:$1,0)-MATCH("enemy_skill_id",enemy_skills!$1:$1,0)+1),MATCH(E$1,enemy_skills!$1:$1,0)-MATCH("enemy_skill_id",enemy_skills!$1:$1,0)+1,FALSE)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1" s="47">
        <v>39009235</v>
      </c>
      <c r="G771" s="48">
        <f ca="1">VLOOKUP($F771,OFFSET(enemy_skill_triggers!$A$1,0,0,COUNTA(enemy_skill_triggers!$A:$A),MATCH(G$1,enemy_skill_triggers!$1:$1,0)-MATCH($F$1,enemy_skill_triggers!$1:$1,0)+1),MATCH(G$1,enemy_skill_triggers!$1:$1,0)-MATCH($F$1,enemy_skill_triggers!$1:$1,0)+1,FALSE)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1" s="48">
        <f ca="1">VLOOKUP($F771,OFFSET(enemy_skill_triggers!$A$1,0,0,COUNTA(enemy_skill_triggers!$A:$A),MATCH(H$1,enemy_skill_triggers!$1:$1,0)-MATCH($F$1,enemy_skill_triggers!$1:$1,0)+1),MATCH(H$1,enemy_skill_triggers!$1:$1,0)-MATCH($F$1,enemy_skill_triggers!$1:$1,0)+1,FALSE)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71" s="48">
        <f ca="1">VLOOKUP($F771,OFFSET(enemy_skill_triggers!$A$1,0,0,COUNTA(enemy_skill_triggers!$A:$A),MATCH(I$1,enemy_skill_triggers!$1:$1,0)-MATCH($F$1,enemy_skill_triggers!$1:$1,0)+1),MATCH(I$1,enemy_skill_triggers!$1:$1,0)-MATCH($F$1,enemy_skill_triggers!$1:$1,0)+1,FALSE)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1" s="48" t="str">
        <f ca="1">VLOOKUP($F771,OFFSET(enemy_skill_triggers!$A$1,0,0,COUNTA(enemy_skill_triggers!$A:$A),MATCH(J$1,enemy_skill_triggers!$1:$1,0)-MATCH($F$1,enemy_skill_triggers!$1:$1,0)+1),MATCH(J$1,enemy_skill_triggers!$1:$1,0)-MATCH($F$1,enemy_skill_triggers!$1:$1,0)+1,FALSE)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1" s="48" t="str">
        <f ca="1">VLOOKUP($F771,OFFSET(enemy_skill_triggers!$A$1,0,0,COUNTA(enemy_skill_triggers!$A:$A),MATCH(K$1,enemy_skill_triggers!$1:$1,0)-MATCH($F$1,enemy_skill_triggers!$1:$1,0)+1),MATCH(K$1,enemy_skill_triggers!$1:$1,0)-MATCH($F$1,enemy_skill_triggers!$1:$1,0)+1,FALSE)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1" s="48">
        <f ca="1">VLOOKUP($F771,OFFSET(enemy_skill_triggers!$A$1,0,0,COUNTA(enemy_skill_triggers!$A:$A),MATCH(L$1,enemy_skill_triggers!$1:$1,0)-MATCH($F$1,enemy_skill_triggers!$1:$1,0)+1),MATCH(L$1,enemy_skill_triggers!$1:$1,0)-MATCH($F$1,enemy_skill_triggers!$1:$1,0)+1,FALSE)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1" s="48" t="str">
        <f ca="1">VLOOKUP($F771,OFFSET(enemy_skill_triggers!$A$1,0,0,COUNTA(enemy_skill_triggers!$A:$A),MATCH(M$1,enemy_skill_triggers!$1:$1,0)-MATCH($F$1,enemy_skill_triggers!$1:$1,0)+1),MATCH(M$1,enemy_skill_triggers!$1:$1,0)-MATCH($F$1,enemy_skill_triggers!$1:$1,0)+1,FALSE)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1" s="48">
        <f ca="1">VLOOKUP($F771,OFFSET(enemy_skill_triggers!$A$1,0,0,COUNTA(enemy_skill_triggers!$A:$A),MATCH(N$1,enemy_skill_triggers!$1:$1,0)-MATCH($F$1,enemy_skill_triggers!$1:$1,0)+1),MATCH(N$1,enemy_skill_triggers!$1:$1,0)-MATCH($F$1,enemy_skill_triggers!$1:$1,0)+1,FALSE)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771" s="48">
        <f ca="1">VLOOKUP($F771,OFFSET(enemy_skill_triggers!$A$1,0,0,COUNTA(enemy_skill_triggers!$A:$A),MATCH(O$1,enemy_skill_triggers!$1:$1,0)-MATCH($F$1,enemy_skill_triggers!$1:$1,0)+1),MATCH(O$1,enemy_skill_triggers!$1:$1,0)-MATCH($F$1,enemy_skill_triggers!$1:$1,0)+1,FALSE)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1" s="47"/>
      <c r="Q771" s="47"/>
      <c r="R771" s="47"/>
    </row>
    <row r="772" spans="1:18" ht="21" customHeight="1" x14ac:dyDescent="0.15">
      <c r="A772" s="39" t="str">
        <f t="shared" si="32"/>
        <v>39009035_39009074</v>
      </c>
      <c r="B772" s="47">
        <v>39009035</v>
      </c>
      <c r="C772" s="47">
        <v>39009074</v>
      </c>
      <c r="D772" s="46" t="str">
        <f ca="1">VLOOKUP($C772,OFFSET(enemy_skills!$A$1,0,0,COUNTA(enemy_skills!$A:$A),MATCH(D$1,enemy_skills!$1:$1,0)-MATCH("enemy_skill_id",enemy_skills!$1:$1,0)+1),MATCH(D$1,enemy_skills!$1:$1,0)-MATCH("enemy_skill_id",enemy_skills!$1:$1,0)+1,FALSE)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2" s="46" t="str">
        <f ca="1">VLOOKUP($C772,OFFSET(enemy_skills!$A$1,0,0,COUNTA(enemy_skills!$A:$A),MATCH(E$1,enemy_skills!$1:$1,0)-MATCH("enemy_skill_id",enemy_skills!$1:$1,0)+1),MATCH(E$1,enemy_skills!$1:$1,0)-MATCH("enemy_skill_id",enemy_skills!$1:$1,0)+1,FALSE)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2" s="47">
        <v>39009236</v>
      </c>
      <c r="G772" s="48">
        <f ca="1">VLOOKUP($F772,OFFSET(enemy_skill_triggers!$A$1,0,0,COUNTA(enemy_skill_triggers!$A:$A),MATCH(G$1,enemy_skill_triggers!$1:$1,0)-MATCH($F$1,enemy_skill_triggers!$1:$1,0)+1),MATCH(G$1,enemy_skill_triggers!$1:$1,0)-MATCH($F$1,enemy_skill_triggers!$1:$1,0)+1,FALSE)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2" s="48">
        <f ca="1">VLOOKUP($F772,OFFSET(enemy_skill_triggers!$A$1,0,0,COUNTA(enemy_skill_triggers!$A:$A),MATCH(H$1,enemy_skill_triggers!$1:$1,0)-MATCH($F$1,enemy_skill_triggers!$1:$1,0)+1),MATCH(H$1,enemy_skill_triggers!$1:$1,0)-MATCH($F$1,enemy_skill_triggers!$1:$1,0)+1,FALSE)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2" s="48">
        <f ca="1">VLOOKUP($F772,OFFSET(enemy_skill_triggers!$A$1,0,0,COUNTA(enemy_skill_triggers!$A:$A),MATCH(I$1,enemy_skill_triggers!$1:$1,0)-MATCH($F$1,enemy_skill_triggers!$1:$1,0)+1),MATCH(I$1,enemy_skill_triggers!$1:$1,0)-MATCH($F$1,enemy_skill_triggers!$1:$1,0)+1,FALSE)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2" s="48" t="str">
        <f ca="1">VLOOKUP($F772,OFFSET(enemy_skill_triggers!$A$1,0,0,COUNTA(enemy_skill_triggers!$A:$A),MATCH(J$1,enemy_skill_triggers!$1:$1,0)-MATCH($F$1,enemy_skill_triggers!$1:$1,0)+1),MATCH(J$1,enemy_skill_triggers!$1:$1,0)-MATCH($F$1,enemy_skill_triggers!$1:$1,0)+1,FALSE)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2" s="48" t="str">
        <f ca="1">VLOOKUP($F772,OFFSET(enemy_skill_triggers!$A$1,0,0,COUNTA(enemy_skill_triggers!$A:$A),MATCH(K$1,enemy_skill_triggers!$1:$1,0)-MATCH($F$1,enemy_skill_triggers!$1:$1,0)+1),MATCH(K$1,enemy_skill_triggers!$1:$1,0)-MATCH($F$1,enemy_skill_triggers!$1:$1,0)+1,FALSE)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2" s="48">
        <f ca="1">VLOOKUP($F772,OFFSET(enemy_skill_triggers!$A$1,0,0,COUNTA(enemy_skill_triggers!$A:$A),MATCH(L$1,enemy_skill_triggers!$1:$1,0)-MATCH($F$1,enemy_skill_triggers!$1:$1,0)+1),MATCH(L$1,enemy_skill_triggers!$1:$1,0)-MATCH($F$1,enemy_skill_triggers!$1:$1,0)+1,FALSE)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2" s="48" t="str">
        <f ca="1">VLOOKUP($F772,OFFSET(enemy_skill_triggers!$A$1,0,0,COUNTA(enemy_skill_triggers!$A:$A),MATCH(M$1,enemy_skill_triggers!$1:$1,0)-MATCH($F$1,enemy_skill_triggers!$1:$1,0)+1),MATCH(M$1,enemy_skill_triggers!$1:$1,0)-MATCH($F$1,enemy_skill_triggers!$1:$1,0)+1,FALSE)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2" s="48">
        <f ca="1">VLOOKUP($F772,OFFSET(enemy_skill_triggers!$A$1,0,0,COUNTA(enemy_skill_triggers!$A:$A),MATCH(N$1,enemy_skill_triggers!$1:$1,0)-MATCH($F$1,enemy_skill_triggers!$1:$1,0)+1),MATCH(N$1,enemy_skill_triggers!$1:$1,0)-MATCH($F$1,enemy_skill_triggers!$1:$1,0)+1,FALSE)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772" s="48">
        <f ca="1">VLOOKUP($F772,OFFSET(enemy_skill_triggers!$A$1,0,0,COUNTA(enemy_skill_triggers!$A:$A),MATCH(O$1,enemy_skill_triggers!$1:$1,0)-MATCH($F$1,enemy_skill_triggers!$1:$1,0)+1),MATCH(O$1,enemy_skill_triggers!$1:$1,0)-MATCH($F$1,enemy_skill_triggers!$1:$1,0)+1,FALSE)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2" s="47"/>
      <c r="Q772" s="47"/>
      <c r="R772" s="47"/>
    </row>
    <row r="773" spans="1:18" ht="21" customHeight="1" x14ac:dyDescent="0.15">
      <c r="A773" s="39" t="str">
        <f t="shared" si="32"/>
        <v>39009035_39009074</v>
      </c>
      <c r="B773" s="47">
        <v>39009035</v>
      </c>
      <c r="C773" s="47">
        <v>39009074</v>
      </c>
      <c r="D773" s="46" t="str">
        <f ca="1">VLOOKUP($C773,OFFSET(enemy_skills!$A$1,0,0,COUNTA(enemy_skills!$A:$A),MATCH(D$1,enemy_skills!$1:$1,0)-MATCH("enemy_skill_id",enemy_skills!$1:$1,0)+1),MATCH(D$1,enemy_skills!$1:$1,0)-MATCH("enemy_skill_id",enemy_skills!$1:$1,0)+1,FALSE)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3" s="46" t="str">
        <f ca="1">VLOOKUP($C773,OFFSET(enemy_skills!$A$1,0,0,COUNTA(enemy_skills!$A:$A),MATCH(E$1,enemy_skills!$1:$1,0)-MATCH("enemy_skill_id",enemy_skills!$1:$1,0)+1),MATCH(E$1,enemy_skills!$1:$1,0)-MATCH("enemy_skill_id",enemy_skills!$1:$1,0)+1,FALSE)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3" s="47">
        <v>39009237</v>
      </c>
      <c r="G773" s="48">
        <f ca="1">VLOOKUP($F773,OFFSET(enemy_skill_triggers!$A$1,0,0,COUNTA(enemy_skill_triggers!$A:$A),MATCH(G$1,enemy_skill_triggers!$1:$1,0)-MATCH($F$1,enemy_skill_triggers!$1:$1,0)+1),MATCH(G$1,enemy_skill_triggers!$1:$1,0)-MATCH($F$1,enemy_skill_triggers!$1:$1,0)+1,FALSE)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3" s="48">
        <f ca="1">VLOOKUP($F773,OFFSET(enemy_skill_triggers!$A$1,0,0,COUNTA(enemy_skill_triggers!$A:$A),MATCH(H$1,enemy_skill_triggers!$1:$1,0)-MATCH($F$1,enemy_skill_triggers!$1:$1,0)+1),MATCH(H$1,enemy_skill_triggers!$1:$1,0)-MATCH($F$1,enemy_skill_triggers!$1:$1,0)+1,FALSE)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73" s="48">
        <f ca="1">VLOOKUP($F773,OFFSET(enemy_skill_triggers!$A$1,0,0,COUNTA(enemy_skill_triggers!$A:$A),MATCH(I$1,enemy_skill_triggers!$1:$1,0)-MATCH($F$1,enemy_skill_triggers!$1:$1,0)+1),MATCH(I$1,enemy_skill_triggers!$1:$1,0)-MATCH($F$1,enemy_skill_triggers!$1:$1,0)+1,FALSE)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3" s="48" t="str">
        <f ca="1">VLOOKUP($F773,OFFSET(enemy_skill_triggers!$A$1,0,0,COUNTA(enemy_skill_triggers!$A:$A),MATCH(J$1,enemy_skill_triggers!$1:$1,0)-MATCH($F$1,enemy_skill_triggers!$1:$1,0)+1),MATCH(J$1,enemy_skill_triggers!$1:$1,0)-MATCH($F$1,enemy_skill_triggers!$1:$1,0)+1,FALSE)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3" s="48" t="str">
        <f ca="1">VLOOKUP($F773,OFFSET(enemy_skill_triggers!$A$1,0,0,COUNTA(enemy_skill_triggers!$A:$A),MATCH(K$1,enemy_skill_triggers!$1:$1,0)-MATCH($F$1,enemy_skill_triggers!$1:$1,0)+1),MATCH(K$1,enemy_skill_triggers!$1:$1,0)-MATCH($F$1,enemy_skill_triggers!$1:$1,0)+1,FALSE)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3" s="48">
        <f ca="1">VLOOKUP($F773,OFFSET(enemy_skill_triggers!$A$1,0,0,COUNTA(enemy_skill_triggers!$A:$A),MATCH(L$1,enemy_skill_triggers!$1:$1,0)-MATCH($F$1,enemy_skill_triggers!$1:$1,0)+1),MATCH(L$1,enemy_skill_triggers!$1:$1,0)-MATCH($F$1,enemy_skill_triggers!$1:$1,0)+1,FALSE)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3" s="48" t="str">
        <f ca="1">VLOOKUP($F773,OFFSET(enemy_skill_triggers!$A$1,0,0,COUNTA(enemy_skill_triggers!$A:$A),MATCH(M$1,enemy_skill_triggers!$1:$1,0)-MATCH($F$1,enemy_skill_triggers!$1:$1,0)+1),MATCH(M$1,enemy_skill_triggers!$1:$1,0)-MATCH($F$1,enemy_skill_triggers!$1:$1,0)+1,FALSE)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3" s="48">
        <f ca="1">VLOOKUP($F773,OFFSET(enemy_skill_triggers!$A$1,0,0,COUNTA(enemy_skill_triggers!$A:$A),MATCH(N$1,enemy_skill_triggers!$1:$1,0)-MATCH($F$1,enemy_skill_triggers!$1:$1,0)+1),MATCH(N$1,enemy_skill_triggers!$1:$1,0)-MATCH($F$1,enemy_skill_triggers!$1:$1,0)+1,FALSE)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73" s="48">
        <f ca="1">VLOOKUP($F773,OFFSET(enemy_skill_triggers!$A$1,0,0,COUNTA(enemy_skill_triggers!$A:$A),MATCH(O$1,enemy_skill_triggers!$1:$1,0)-MATCH($F$1,enemy_skill_triggers!$1:$1,0)+1),MATCH(O$1,enemy_skill_triggers!$1:$1,0)-MATCH($F$1,enemy_skill_triggers!$1:$1,0)+1,FALSE)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3" s="47"/>
      <c r="Q773" s="47"/>
      <c r="R773" s="47"/>
    </row>
    <row r="774" spans="1:18" ht="21" customHeight="1" x14ac:dyDescent="0.15">
      <c r="A774" s="39" t="str">
        <f t="shared" si="32"/>
        <v>39009035_39009074</v>
      </c>
      <c r="B774" s="47">
        <v>39009035</v>
      </c>
      <c r="C774" s="47">
        <v>39009074</v>
      </c>
      <c r="D774" s="46" t="str">
        <f ca="1">VLOOKUP($C774,OFFSET(enemy_skills!$A$1,0,0,COUNTA(enemy_skills!$A:$A),MATCH(D$1,enemy_skills!$1:$1,0)-MATCH("enemy_skill_id",enemy_skills!$1:$1,0)+1),MATCH(D$1,enemy_skills!$1:$1,0)-MATCH("enemy_skill_id",enemy_skills!$1:$1,0)+1,FALSE)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4" s="46" t="str">
        <f ca="1">VLOOKUP($C774,OFFSET(enemy_skills!$A$1,0,0,COUNTA(enemy_skills!$A:$A),MATCH(E$1,enemy_skills!$1:$1,0)-MATCH("enemy_skill_id",enemy_skills!$1:$1,0)+1),MATCH(E$1,enemy_skills!$1:$1,0)-MATCH("enemy_skill_id",enemy_skills!$1:$1,0)+1,FALSE)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4" s="47">
        <v>39009238</v>
      </c>
      <c r="G774" s="48">
        <f ca="1">VLOOKUP($F774,OFFSET(enemy_skill_triggers!$A$1,0,0,COUNTA(enemy_skill_triggers!$A:$A),MATCH(G$1,enemy_skill_triggers!$1:$1,0)-MATCH($F$1,enemy_skill_triggers!$1:$1,0)+1),MATCH(G$1,enemy_skill_triggers!$1:$1,0)-MATCH($F$1,enemy_skill_triggers!$1:$1,0)+1,FALSE)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4" s="48">
        <f ca="1">VLOOKUP($F774,OFFSET(enemy_skill_triggers!$A$1,0,0,COUNTA(enemy_skill_triggers!$A:$A),MATCH(H$1,enemy_skill_triggers!$1:$1,0)-MATCH($F$1,enemy_skill_triggers!$1:$1,0)+1),MATCH(H$1,enemy_skill_triggers!$1:$1,0)-MATCH($F$1,enemy_skill_triggers!$1:$1,0)+1,FALSE)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74" s="48">
        <f ca="1">VLOOKUP($F774,OFFSET(enemy_skill_triggers!$A$1,0,0,COUNTA(enemy_skill_triggers!$A:$A),MATCH(I$1,enemy_skill_triggers!$1:$1,0)-MATCH($F$1,enemy_skill_triggers!$1:$1,0)+1),MATCH(I$1,enemy_skill_triggers!$1:$1,0)-MATCH($F$1,enemy_skill_triggers!$1:$1,0)+1,FALSE)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4" s="48" t="str">
        <f ca="1">VLOOKUP($F774,OFFSET(enemy_skill_triggers!$A$1,0,0,COUNTA(enemy_skill_triggers!$A:$A),MATCH(J$1,enemy_skill_triggers!$1:$1,0)-MATCH($F$1,enemy_skill_triggers!$1:$1,0)+1),MATCH(J$1,enemy_skill_triggers!$1:$1,0)-MATCH($F$1,enemy_skill_triggers!$1:$1,0)+1,FALSE)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4" s="48" t="str">
        <f ca="1">VLOOKUP($F774,OFFSET(enemy_skill_triggers!$A$1,0,0,COUNTA(enemy_skill_triggers!$A:$A),MATCH(K$1,enemy_skill_triggers!$1:$1,0)-MATCH($F$1,enemy_skill_triggers!$1:$1,0)+1),MATCH(K$1,enemy_skill_triggers!$1:$1,0)-MATCH($F$1,enemy_skill_triggers!$1:$1,0)+1,FALSE)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4" s="48">
        <f ca="1">VLOOKUP($F774,OFFSET(enemy_skill_triggers!$A$1,0,0,COUNTA(enemy_skill_triggers!$A:$A),MATCH(L$1,enemy_skill_triggers!$1:$1,0)-MATCH($F$1,enemy_skill_triggers!$1:$1,0)+1),MATCH(L$1,enemy_skill_triggers!$1:$1,0)-MATCH($F$1,enemy_skill_triggers!$1:$1,0)+1,FALSE)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4" s="48" t="str">
        <f ca="1">VLOOKUP($F774,OFFSET(enemy_skill_triggers!$A$1,0,0,COUNTA(enemy_skill_triggers!$A:$A),MATCH(M$1,enemy_skill_triggers!$1:$1,0)-MATCH($F$1,enemy_skill_triggers!$1:$1,0)+1),MATCH(M$1,enemy_skill_triggers!$1:$1,0)-MATCH($F$1,enemy_skill_triggers!$1:$1,0)+1,FALSE)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4" s="48">
        <f ca="1">VLOOKUP($F774,OFFSET(enemy_skill_triggers!$A$1,0,0,COUNTA(enemy_skill_triggers!$A:$A),MATCH(N$1,enemy_skill_triggers!$1:$1,0)-MATCH($F$1,enemy_skill_triggers!$1:$1,0)+1),MATCH(N$1,enemy_skill_triggers!$1:$1,0)-MATCH($F$1,enemy_skill_triggers!$1:$1,0)+1,FALSE)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774" s="48">
        <f ca="1">VLOOKUP($F774,OFFSET(enemy_skill_triggers!$A$1,0,0,COUNTA(enemy_skill_triggers!$A:$A),MATCH(O$1,enemy_skill_triggers!$1:$1,0)-MATCH($F$1,enemy_skill_triggers!$1:$1,0)+1),MATCH(O$1,enemy_skill_triggers!$1:$1,0)-MATCH($F$1,enemy_skill_triggers!$1:$1,0)+1,FALSE)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4" s="47"/>
      <c r="Q774" s="47"/>
      <c r="R774" s="47"/>
    </row>
    <row r="775" spans="1:18" ht="21" customHeight="1" x14ac:dyDescent="0.15">
      <c r="A775" s="39" t="str">
        <f t="shared" si="32"/>
        <v>39009035_39009074</v>
      </c>
      <c r="B775" s="47">
        <v>39009035</v>
      </c>
      <c r="C775" s="47">
        <v>39009074</v>
      </c>
      <c r="D775" s="46" t="str">
        <f ca="1">VLOOKUP($C775,OFFSET(enemy_skills!$A$1,0,0,COUNTA(enemy_skills!$A:$A),MATCH(D$1,enemy_skills!$1:$1,0)-MATCH("enemy_skill_id",enemy_skills!$1:$1,0)+1),MATCH(D$1,enemy_skills!$1:$1,0)-MATCH("enemy_skill_id",enemy_skills!$1:$1,0)+1,FALSE)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5" s="46" t="str">
        <f ca="1">VLOOKUP($C775,OFFSET(enemy_skills!$A$1,0,0,COUNTA(enemy_skills!$A:$A),MATCH(E$1,enemy_skills!$1:$1,0)-MATCH("enemy_skill_id",enemy_skills!$1:$1,0)+1),MATCH(E$1,enemy_skills!$1:$1,0)-MATCH("enemy_skill_id",enemy_skills!$1:$1,0)+1,FALSE)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5" s="47">
        <v>39009239</v>
      </c>
      <c r="G775" s="48">
        <f ca="1">VLOOKUP($F775,OFFSET(enemy_skill_triggers!$A$1,0,0,COUNTA(enemy_skill_triggers!$A:$A),MATCH(G$1,enemy_skill_triggers!$1:$1,0)-MATCH($F$1,enemy_skill_triggers!$1:$1,0)+1),MATCH(G$1,enemy_skill_triggers!$1:$1,0)-MATCH($F$1,enemy_skill_triggers!$1:$1,0)+1,FALSE)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5" s="48">
        <f ca="1">VLOOKUP($F775,OFFSET(enemy_skill_triggers!$A$1,0,0,COUNTA(enemy_skill_triggers!$A:$A),MATCH(H$1,enemy_skill_triggers!$1:$1,0)-MATCH($F$1,enemy_skill_triggers!$1:$1,0)+1),MATCH(H$1,enemy_skill_triggers!$1:$1,0)-MATCH($F$1,enemy_skill_triggers!$1:$1,0)+1,FALSE)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775" s="48">
        <f ca="1">VLOOKUP($F775,OFFSET(enemy_skill_triggers!$A$1,0,0,COUNTA(enemy_skill_triggers!$A:$A),MATCH(I$1,enemy_skill_triggers!$1:$1,0)-MATCH($F$1,enemy_skill_triggers!$1:$1,0)+1),MATCH(I$1,enemy_skill_triggers!$1:$1,0)-MATCH($F$1,enemy_skill_triggers!$1:$1,0)+1,FALSE)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5" s="48" t="str">
        <f ca="1">VLOOKUP($F775,OFFSET(enemy_skill_triggers!$A$1,0,0,COUNTA(enemy_skill_triggers!$A:$A),MATCH(J$1,enemy_skill_triggers!$1:$1,0)-MATCH($F$1,enemy_skill_triggers!$1:$1,0)+1),MATCH(J$1,enemy_skill_triggers!$1:$1,0)-MATCH($F$1,enemy_skill_triggers!$1:$1,0)+1,FALSE)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5" s="48" t="str">
        <f ca="1">VLOOKUP($F775,OFFSET(enemy_skill_triggers!$A$1,0,0,COUNTA(enemy_skill_triggers!$A:$A),MATCH(K$1,enemy_skill_triggers!$1:$1,0)-MATCH($F$1,enemy_skill_triggers!$1:$1,0)+1),MATCH(K$1,enemy_skill_triggers!$1:$1,0)-MATCH($F$1,enemy_skill_triggers!$1:$1,0)+1,FALSE)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5" s="48">
        <f ca="1">VLOOKUP($F775,OFFSET(enemy_skill_triggers!$A$1,0,0,COUNTA(enemy_skill_triggers!$A:$A),MATCH(L$1,enemy_skill_triggers!$1:$1,0)-MATCH($F$1,enemy_skill_triggers!$1:$1,0)+1),MATCH(L$1,enemy_skill_triggers!$1:$1,0)-MATCH($F$1,enemy_skill_triggers!$1:$1,0)+1,FALSE)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5" s="48" t="str">
        <f ca="1">VLOOKUP($F775,OFFSET(enemy_skill_triggers!$A$1,0,0,COUNTA(enemy_skill_triggers!$A:$A),MATCH(M$1,enemy_skill_triggers!$1:$1,0)-MATCH($F$1,enemy_skill_triggers!$1:$1,0)+1),MATCH(M$1,enemy_skill_triggers!$1:$1,0)-MATCH($F$1,enemy_skill_triggers!$1:$1,0)+1,FALSE)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5" s="48">
        <f ca="1">VLOOKUP($F775,OFFSET(enemy_skill_triggers!$A$1,0,0,COUNTA(enemy_skill_triggers!$A:$A),MATCH(N$1,enemy_skill_triggers!$1:$1,0)-MATCH($F$1,enemy_skill_triggers!$1:$1,0)+1),MATCH(N$1,enemy_skill_triggers!$1:$1,0)-MATCH($F$1,enemy_skill_triggers!$1:$1,0)+1,FALSE)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775" s="48">
        <f ca="1">VLOOKUP($F775,OFFSET(enemy_skill_triggers!$A$1,0,0,COUNTA(enemy_skill_triggers!$A:$A),MATCH(O$1,enemy_skill_triggers!$1:$1,0)-MATCH($F$1,enemy_skill_triggers!$1:$1,0)+1),MATCH(O$1,enemy_skill_triggers!$1:$1,0)-MATCH($F$1,enemy_skill_triggers!$1:$1,0)+1,FALSE)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5" s="47"/>
      <c r="Q775" s="47"/>
      <c r="R775" s="47"/>
    </row>
    <row r="776" spans="1:18" ht="21" customHeight="1" x14ac:dyDescent="0.15">
      <c r="A776" s="39" t="str">
        <f t="shared" si="32"/>
        <v>39009035_39009074</v>
      </c>
      <c r="B776" s="47">
        <v>39009035</v>
      </c>
      <c r="C776" s="47">
        <v>39009074</v>
      </c>
      <c r="D776" s="46" t="str">
        <f ca="1">VLOOKUP($C776,OFFSET(enemy_skills!$A$1,0,0,COUNTA(enemy_skills!$A:$A),MATCH(D$1,enemy_skills!$1:$1,0)-MATCH("enemy_skill_id",enemy_skills!$1:$1,0)+1),MATCH(D$1,enemy_skills!$1:$1,0)-MATCH("enemy_skill_id",enemy_skills!$1:$1,0)+1,FALSE)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6" s="46" t="str">
        <f ca="1">VLOOKUP($C776,OFFSET(enemy_skills!$A$1,0,0,COUNTA(enemy_skills!$A:$A),MATCH(E$1,enemy_skills!$1:$1,0)-MATCH("enemy_skill_id",enemy_skills!$1:$1,0)+1),MATCH(E$1,enemy_skills!$1:$1,0)-MATCH("enemy_skill_id",enemy_skills!$1:$1,0)+1,FALSE)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6" s="47">
        <v>39009240</v>
      </c>
      <c r="G776" s="48">
        <f ca="1">VLOOKUP($F776,OFFSET(enemy_skill_triggers!$A$1,0,0,COUNTA(enemy_skill_triggers!$A:$A),MATCH(G$1,enemy_skill_triggers!$1:$1,0)-MATCH($F$1,enemy_skill_triggers!$1:$1,0)+1),MATCH(G$1,enemy_skill_triggers!$1:$1,0)-MATCH($F$1,enemy_skill_triggers!$1:$1,0)+1,FALSE)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6" s="48">
        <f ca="1">VLOOKUP($F776,OFFSET(enemy_skill_triggers!$A$1,0,0,COUNTA(enemy_skill_triggers!$A:$A),MATCH(H$1,enemy_skill_triggers!$1:$1,0)-MATCH($F$1,enemy_skill_triggers!$1:$1,0)+1),MATCH(H$1,enemy_skill_triggers!$1:$1,0)-MATCH($F$1,enemy_skill_triggers!$1:$1,0)+1,FALSE)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776" s="48">
        <f ca="1">VLOOKUP($F776,OFFSET(enemy_skill_triggers!$A$1,0,0,COUNTA(enemy_skill_triggers!$A:$A),MATCH(I$1,enemy_skill_triggers!$1:$1,0)-MATCH($F$1,enemy_skill_triggers!$1:$1,0)+1),MATCH(I$1,enemy_skill_triggers!$1:$1,0)-MATCH($F$1,enemy_skill_triggers!$1:$1,0)+1,FALSE)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6" s="48" t="str">
        <f ca="1">VLOOKUP($F776,OFFSET(enemy_skill_triggers!$A$1,0,0,COUNTA(enemy_skill_triggers!$A:$A),MATCH(J$1,enemy_skill_triggers!$1:$1,0)-MATCH($F$1,enemy_skill_triggers!$1:$1,0)+1),MATCH(J$1,enemy_skill_triggers!$1:$1,0)-MATCH($F$1,enemy_skill_triggers!$1:$1,0)+1,FALSE)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6" s="48" t="str">
        <f ca="1">VLOOKUP($F776,OFFSET(enemy_skill_triggers!$A$1,0,0,COUNTA(enemy_skill_triggers!$A:$A),MATCH(K$1,enemy_skill_triggers!$1:$1,0)-MATCH($F$1,enemy_skill_triggers!$1:$1,0)+1),MATCH(K$1,enemy_skill_triggers!$1:$1,0)-MATCH($F$1,enemy_skill_triggers!$1:$1,0)+1,FALSE)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6" s="48">
        <f ca="1">VLOOKUP($F776,OFFSET(enemy_skill_triggers!$A$1,0,0,COUNTA(enemy_skill_triggers!$A:$A),MATCH(L$1,enemy_skill_triggers!$1:$1,0)-MATCH($F$1,enemy_skill_triggers!$1:$1,0)+1),MATCH(L$1,enemy_skill_triggers!$1:$1,0)-MATCH($F$1,enemy_skill_triggers!$1:$1,0)+1,FALSE)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6" s="48" t="str">
        <f ca="1">VLOOKUP($F776,OFFSET(enemy_skill_triggers!$A$1,0,0,COUNTA(enemy_skill_triggers!$A:$A),MATCH(M$1,enemy_skill_triggers!$1:$1,0)-MATCH($F$1,enemy_skill_triggers!$1:$1,0)+1),MATCH(M$1,enemy_skill_triggers!$1:$1,0)-MATCH($F$1,enemy_skill_triggers!$1:$1,0)+1,FALSE)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6" s="48">
        <f ca="1">VLOOKUP($F776,OFFSET(enemy_skill_triggers!$A$1,0,0,COUNTA(enemy_skill_triggers!$A:$A),MATCH(N$1,enemy_skill_triggers!$1:$1,0)-MATCH($F$1,enemy_skill_triggers!$1:$1,0)+1),MATCH(N$1,enemy_skill_triggers!$1:$1,0)-MATCH($F$1,enemy_skill_triggers!$1:$1,0)+1,FALSE)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76" s="48">
        <f ca="1">VLOOKUP($F776,OFFSET(enemy_skill_triggers!$A$1,0,0,COUNTA(enemy_skill_triggers!$A:$A),MATCH(O$1,enemy_skill_triggers!$1:$1,0)-MATCH($F$1,enemy_skill_triggers!$1:$1,0)+1),MATCH(O$1,enemy_skill_triggers!$1:$1,0)-MATCH($F$1,enemy_skill_triggers!$1:$1,0)+1,FALSE)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6" s="47"/>
      <c r="Q776" s="47"/>
      <c r="R776" s="47"/>
    </row>
    <row r="777" spans="1:18" ht="21" customHeight="1" x14ac:dyDescent="0.15">
      <c r="A777" s="39" t="str">
        <f t="shared" si="32"/>
        <v>39009035_39009074</v>
      </c>
      <c r="B777" s="47">
        <v>39009035</v>
      </c>
      <c r="C777" s="47">
        <v>39009074</v>
      </c>
      <c r="D777" s="46" t="str">
        <f ca="1">VLOOKUP($C777,OFFSET(enemy_skills!$A$1,0,0,COUNTA(enemy_skills!$A:$A),MATCH(D$1,enemy_skills!$1:$1,0)-MATCH("enemy_skill_id",enemy_skills!$1:$1,0)+1),MATCH(D$1,enemy_skills!$1:$1,0)-MATCH("enemy_skill_id",enemy_skills!$1:$1,0)+1,FALSE)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7" s="46" t="str">
        <f ca="1">VLOOKUP($C777,OFFSET(enemy_skills!$A$1,0,0,COUNTA(enemy_skills!$A:$A),MATCH(E$1,enemy_skills!$1:$1,0)-MATCH("enemy_skill_id",enemy_skills!$1:$1,0)+1),MATCH(E$1,enemy_skills!$1:$1,0)-MATCH("enemy_skill_id",enemy_skills!$1:$1,0)+1,FALSE)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7" s="47">
        <v>39009241</v>
      </c>
      <c r="G777" s="48">
        <f ca="1">VLOOKUP($F777,OFFSET(enemy_skill_triggers!$A$1,0,0,COUNTA(enemy_skill_triggers!$A:$A),MATCH(G$1,enemy_skill_triggers!$1:$1,0)-MATCH($F$1,enemy_skill_triggers!$1:$1,0)+1),MATCH(G$1,enemy_skill_triggers!$1:$1,0)-MATCH($F$1,enemy_skill_triggers!$1:$1,0)+1,FALSE)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7" s="48">
        <f ca="1">VLOOKUP($F777,OFFSET(enemy_skill_triggers!$A$1,0,0,COUNTA(enemy_skill_triggers!$A:$A),MATCH(H$1,enemy_skill_triggers!$1:$1,0)-MATCH($F$1,enemy_skill_triggers!$1:$1,0)+1),MATCH(H$1,enemy_skill_triggers!$1:$1,0)-MATCH($F$1,enemy_skill_triggers!$1:$1,0)+1,FALSE)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77" s="48">
        <f ca="1">VLOOKUP($F777,OFFSET(enemy_skill_triggers!$A$1,0,0,COUNTA(enemy_skill_triggers!$A:$A),MATCH(I$1,enemy_skill_triggers!$1:$1,0)-MATCH($F$1,enemy_skill_triggers!$1:$1,0)+1),MATCH(I$1,enemy_skill_triggers!$1:$1,0)-MATCH($F$1,enemy_skill_triggers!$1:$1,0)+1,FALSE)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7" s="48" t="str">
        <f ca="1">VLOOKUP($F777,OFFSET(enemy_skill_triggers!$A$1,0,0,COUNTA(enemy_skill_triggers!$A:$A),MATCH(J$1,enemy_skill_triggers!$1:$1,0)-MATCH($F$1,enemy_skill_triggers!$1:$1,0)+1),MATCH(J$1,enemy_skill_triggers!$1:$1,0)-MATCH($F$1,enemy_skill_triggers!$1:$1,0)+1,FALSE)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7" s="48" t="str">
        <f ca="1">VLOOKUP($F777,OFFSET(enemy_skill_triggers!$A$1,0,0,COUNTA(enemy_skill_triggers!$A:$A),MATCH(K$1,enemy_skill_triggers!$1:$1,0)-MATCH($F$1,enemy_skill_triggers!$1:$1,0)+1),MATCH(K$1,enemy_skill_triggers!$1:$1,0)-MATCH($F$1,enemy_skill_triggers!$1:$1,0)+1,FALSE)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7" s="48">
        <f ca="1">VLOOKUP($F777,OFFSET(enemy_skill_triggers!$A$1,0,0,COUNTA(enemy_skill_triggers!$A:$A),MATCH(L$1,enemy_skill_triggers!$1:$1,0)-MATCH($F$1,enemy_skill_triggers!$1:$1,0)+1),MATCH(L$1,enemy_skill_triggers!$1:$1,0)-MATCH($F$1,enemy_skill_triggers!$1:$1,0)+1,FALSE)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7" s="48" t="str">
        <f ca="1">VLOOKUP($F777,OFFSET(enemy_skill_triggers!$A$1,0,0,COUNTA(enemy_skill_triggers!$A:$A),MATCH(M$1,enemy_skill_triggers!$1:$1,0)-MATCH($F$1,enemy_skill_triggers!$1:$1,0)+1),MATCH(M$1,enemy_skill_triggers!$1:$1,0)-MATCH($F$1,enemy_skill_triggers!$1:$1,0)+1,FALSE)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7" s="48">
        <f ca="1">VLOOKUP($F777,OFFSET(enemy_skill_triggers!$A$1,0,0,COUNTA(enemy_skill_triggers!$A:$A),MATCH(N$1,enemy_skill_triggers!$1:$1,0)-MATCH($F$1,enemy_skill_triggers!$1:$1,0)+1),MATCH(N$1,enemy_skill_triggers!$1:$1,0)-MATCH($F$1,enemy_skill_triggers!$1:$1,0)+1,FALSE)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777" s="48">
        <f ca="1">VLOOKUP($F777,OFFSET(enemy_skill_triggers!$A$1,0,0,COUNTA(enemy_skill_triggers!$A:$A),MATCH(O$1,enemy_skill_triggers!$1:$1,0)-MATCH($F$1,enemy_skill_triggers!$1:$1,0)+1),MATCH(O$1,enemy_skill_triggers!$1:$1,0)-MATCH($F$1,enemy_skill_triggers!$1:$1,0)+1,FALSE)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7" s="47"/>
      <c r="Q777" s="47"/>
      <c r="R777" s="47"/>
    </row>
    <row r="778" spans="1:18" ht="21" customHeight="1" x14ac:dyDescent="0.15">
      <c r="A778" s="39" t="str">
        <f t="shared" si="32"/>
        <v>39009035_39009074</v>
      </c>
      <c r="B778" s="47">
        <v>39009035</v>
      </c>
      <c r="C778" s="47">
        <v>39009074</v>
      </c>
      <c r="D778" s="46" t="str">
        <f ca="1">VLOOKUP($C778,OFFSET(enemy_skills!$A$1,0,0,COUNTA(enemy_skills!$A:$A),MATCH(D$1,enemy_skills!$1:$1,0)-MATCH("enemy_skill_id",enemy_skills!$1:$1,0)+1),MATCH(D$1,enemy_skills!$1:$1,0)-MATCH("enemy_skill_id",enemy_skills!$1:$1,0)+1,FALSE)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8" s="46" t="str">
        <f ca="1">VLOOKUP($C778,OFFSET(enemy_skills!$A$1,0,0,COUNTA(enemy_skills!$A:$A),MATCH(E$1,enemy_skills!$1:$1,0)-MATCH("enemy_skill_id",enemy_skills!$1:$1,0)+1),MATCH(E$1,enemy_skills!$1:$1,0)-MATCH("enemy_skill_id",enemy_skills!$1:$1,0)+1,FALSE)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8" s="47">
        <v>39009242</v>
      </c>
      <c r="G778" s="48">
        <f ca="1">VLOOKUP($F778,OFFSET(enemy_skill_triggers!$A$1,0,0,COUNTA(enemy_skill_triggers!$A:$A),MATCH(G$1,enemy_skill_triggers!$1:$1,0)-MATCH($F$1,enemy_skill_triggers!$1:$1,0)+1),MATCH(G$1,enemy_skill_triggers!$1:$1,0)-MATCH($F$1,enemy_skill_triggers!$1:$1,0)+1,FALSE)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8" s="48">
        <f ca="1">VLOOKUP($F778,OFFSET(enemy_skill_triggers!$A$1,0,0,COUNTA(enemy_skill_triggers!$A:$A),MATCH(H$1,enemy_skill_triggers!$1:$1,0)-MATCH($F$1,enemy_skill_triggers!$1:$1,0)+1),MATCH(H$1,enemy_skill_triggers!$1:$1,0)-MATCH($F$1,enemy_skill_triggers!$1:$1,0)+1,FALSE)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778" s="48">
        <f ca="1">VLOOKUP($F778,OFFSET(enemy_skill_triggers!$A$1,0,0,COUNTA(enemy_skill_triggers!$A:$A),MATCH(I$1,enemy_skill_triggers!$1:$1,0)-MATCH($F$1,enemy_skill_triggers!$1:$1,0)+1),MATCH(I$1,enemy_skill_triggers!$1:$1,0)-MATCH($F$1,enemy_skill_triggers!$1:$1,0)+1,FALSE)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8" s="48" t="str">
        <f ca="1">VLOOKUP($F778,OFFSET(enemy_skill_triggers!$A$1,0,0,COUNTA(enemy_skill_triggers!$A:$A),MATCH(J$1,enemy_skill_triggers!$1:$1,0)-MATCH($F$1,enemy_skill_triggers!$1:$1,0)+1),MATCH(J$1,enemy_skill_triggers!$1:$1,0)-MATCH($F$1,enemy_skill_triggers!$1:$1,0)+1,FALSE)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8" s="48" t="str">
        <f ca="1">VLOOKUP($F778,OFFSET(enemy_skill_triggers!$A$1,0,0,COUNTA(enemy_skill_triggers!$A:$A),MATCH(K$1,enemy_skill_triggers!$1:$1,0)-MATCH($F$1,enemy_skill_triggers!$1:$1,0)+1),MATCH(K$1,enemy_skill_triggers!$1:$1,0)-MATCH($F$1,enemy_skill_triggers!$1:$1,0)+1,FALSE)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8" s="48">
        <f ca="1">VLOOKUP($F778,OFFSET(enemy_skill_triggers!$A$1,0,0,COUNTA(enemy_skill_triggers!$A:$A),MATCH(L$1,enemy_skill_triggers!$1:$1,0)-MATCH($F$1,enemy_skill_triggers!$1:$1,0)+1),MATCH(L$1,enemy_skill_triggers!$1:$1,0)-MATCH($F$1,enemy_skill_triggers!$1:$1,0)+1,FALSE)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8" s="48" t="str">
        <f ca="1">VLOOKUP($F778,OFFSET(enemy_skill_triggers!$A$1,0,0,COUNTA(enemy_skill_triggers!$A:$A),MATCH(M$1,enemy_skill_triggers!$1:$1,0)-MATCH($F$1,enemy_skill_triggers!$1:$1,0)+1),MATCH(M$1,enemy_skill_triggers!$1:$1,0)-MATCH($F$1,enemy_skill_triggers!$1:$1,0)+1,FALSE)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8" s="48">
        <f ca="1">VLOOKUP($F778,OFFSET(enemy_skill_triggers!$A$1,0,0,COUNTA(enemy_skill_triggers!$A:$A),MATCH(N$1,enemy_skill_triggers!$1:$1,0)-MATCH($F$1,enemy_skill_triggers!$1:$1,0)+1),MATCH(N$1,enemy_skill_triggers!$1:$1,0)-MATCH($F$1,enemy_skill_triggers!$1:$1,0)+1,FALSE)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778" s="48">
        <f ca="1">VLOOKUP($F778,OFFSET(enemy_skill_triggers!$A$1,0,0,COUNTA(enemy_skill_triggers!$A:$A),MATCH(O$1,enemy_skill_triggers!$1:$1,0)-MATCH($F$1,enemy_skill_triggers!$1:$1,0)+1),MATCH(O$1,enemy_skill_triggers!$1:$1,0)-MATCH($F$1,enemy_skill_triggers!$1:$1,0)+1,FALSE)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8" s="47"/>
      <c r="Q778" s="47"/>
      <c r="R778" s="47"/>
    </row>
    <row r="779" spans="1:18" ht="21" customHeight="1" x14ac:dyDescent="0.15">
      <c r="A779" s="39" t="str">
        <f t="shared" si="32"/>
        <v>39009035_39009074</v>
      </c>
      <c r="B779" s="47">
        <v>39009035</v>
      </c>
      <c r="C779" s="47">
        <v>39009074</v>
      </c>
      <c r="D779" s="46" t="str">
        <f ca="1">VLOOKUP($C779,OFFSET(enemy_skills!$A$1,0,0,COUNTA(enemy_skills!$A:$A),MATCH(D$1,enemy_skills!$1:$1,0)-MATCH("enemy_skill_id",enemy_skills!$1:$1,0)+1),MATCH(D$1,enemy_skills!$1:$1,0)-MATCH("enemy_skill_id",enemy_skills!$1:$1,0)+1,FALSE)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79" s="46" t="str">
        <f ca="1">VLOOKUP($C779,OFFSET(enemy_skills!$A$1,0,0,COUNTA(enemy_skills!$A:$A),MATCH(E$1,enemy_skills!$1:$1,0)-MATCH("enemy_skill_id",enemy_skills!$1:$1,0)+1),MATCH(E$1,enemy_skills!$1:$1,0)-MATCH("enemy_skill_id",enemy_skills!$1:$1,0)+1,FALSE)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9" s="47">
        <v>39009243</v>
      </c>
      <c r="G779" s="48">
        <f ca="1">VLOOKUP($F779,OFFSET(enemy_skill_triggers!$A$1,0,0,COUNTA(enemy_skill_triggers!$A:$A),MATCH(G$1,enemy_skill_triggers!$1:$1,0)-MATCH($F$1,enemy_skill_triggers!$1:$1,0)+1),MATCH(G$1,enemy_skill_triggers!$1:$1,0)-MATCH($F$1,enemy_skill_triggers!$1:$1,0)+1,FALSE)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9" s="48">
        <f ca="1">VLOOKUP($F779,OFFSET(enemy_skill_triggers!$A$1,0,0,COUNTA(enemy_skill_triggers!$A:$A),MATCH(H$1,enemy_skill_triggers!$1:$1,0)-MATCH($F$1,enemy_skill_triggers!$1:$1,0)+1),MATCH(H$1,enemy_skill_triggers!$1:$1,0)-MATCH($F$1,enemy_skill_triggers!$1:$1,0)+1,FALSE)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779" s="48">
        <f ca="1">VLOOKUP($F779,OFFSET(enemy_skill_triggers!$A$1,0,0,COUNTA(enemy_skill_triggers!$A:$A),MATCH(I$1,enemy_skill_triggers!$1:$1,0)-MATCH($F$1,enemy_skill_triggers!$1:$1,0)+1),MATCH(I$1,enemy_skill_triggers!$1:$1,0)-MATCH($F$1,enemy_skill_triggers!$1:$1,0)+1,FALSE)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9" s="48" t="str">
        <f ca="1">VLOOKUP($F779,OFFSET(enemy_skill_triggers!$A$1,0,0,COUNTA(enemy_skill_triggers!$A:$A),MATCH(J$1,enemy_skill_triggers!$1:$1,0)-MATCH($F$1,enemy_skill_triggers!$1:$1,0)+1),MATCH(J$1,enemy_skill_triggers!$1:$1,0)-MATCH($F$1,enemy_skill_triggers!$1:$1,0)+1,FALSE)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9" s="48" t="str">
        <f ca="1">VLOOKUP($F779,OFFSET(enemy_skill_triggers!$A$1,0,0,COUNTA(enemy_skill_triggers!$A:$A),MATCH(K$1,enemy_skill_triggers!$1:$1,0)-MATCH($F$1,enemy_skill_triggers!$1:$1,0)+1),MATCH(K$1,enemy_skill_triggers!$1:$1,0)-MATCH($F$1,enemy_skill_triggers!$1:$1,0)+1,FALSE)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9" s="48">
        <f ca="1">VLOOKUP($F779,OFFSET(enemy_skill_triggers!$A$1,0,0,COUNTA(enemy_skill_triggers!$A:$A),MATCH(L$1,enemy_skill_triggers!$1:$1,0)-MATCH($F$1,enemy_skill_triggers!$1:$1,0)+1),MATCH(L$1,enemy_skill_triggers!$1:$1,0)-MATCH($F$1,enemy_skill_triggers!$1:$1,0)+1,FALSE)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9" s="48" t="str">
        <f ca="1">VLOOKUP($F779,OFFSET(enemy_skill_triggers!$A$1,0,0,COUNTA(enemy_skill_triggers!$A:$A),MATCH(M$1,enemy_skill_triggers!$1:$1,0)-MATCH($F$1,enemy_skill_triggers!$1:$1,0)+1),MATCH(M$1,enemy_skill_triggers!$1:$1,0)-MATCH($F$1,enemy_skill_triggers!$1:$1,0)+1,FALSE)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9" s="48">
        <f ca="1">VLOOKUP($F779,OFFSET(enemy_skill_triggers!$A$1,0,0,COUNTA(enemy_skill_triggers!$A:$A),MATCH(N$1,enemy_skill_triggers!$1:$1,0)-MATCH($F$1,enemy_skill_triggers!$1:$1,0)+1),MATCH(N$1,enemy_skill_triggers!$1:$1,0)-MATCH($F$1,enemy_skill_triggers!$1:$1,0)+1,FALSE)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779" s="48">
        <f ca="1">VLOOKUP($F779,OFFSET(enemy_skill_triggers!$A$1,0,0,COUNTA(enemy_skill_triggers!$A:$A),MATCH(O$1,enemy_skill_triggers!$1:$1,0)-MATCH($F$1,enemy_skill_triggers!$1:$1,0)+1),MATCH(O$1,enemy_skill_triggers!$1:$1,0)-MATCH($F$1,enemy_skill_triggers!$1:$1,0)+1,FALSE)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9" s="47"/>
      <c r="Q779" s="47"/>
      <c r="R779" s="47"/>
    </row>
    <row r="780" spans="1:18" ht="21" customHeight="1" x14ac:dyDescent="0.15">
      <c r="A780" s="39" t="str">
        <f t="shared" si="32"/>
        <v>39009035_39009074</v>
      </c>
      <c r="B780" s="47">
        <v>39009035</v>
      </c>
      <c r="C780" s="47">
        <v>39009074</v>
      </c>
      <c r="D780" s="46" t="str">
        <f ca="1">VLOOKUP($C780,OFFSET(enemy_skills!$A$1,0,0,COUNTA(enemy_skills!$A:$A),MATCH(D$1,enemy_skills!$1:$1,0)-MATCH("enemy_skill_id",enemy_skills!$1:$1,0)+1),MATCH(D$1,enemy_skills!$1:$1,0)-MATCH("enemy_skill_id",enemy_skills!$1:$1,0)+1,FALSE)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0" s="46" t="str">
        <f ca="1">VLOOKUP($C780,OFFSET(enemy_skills!$A$1,0,0,COUNTA(enemy_skills!$A:$A),MATCH(E$1,enemy_skills!$1:$1,0)-MATCH("enemy_skill_id",enemy_skills!$1:$1,0)+1),MATCH(E$1,enemy_skills!$1:$1,0)-MATCH("enemy_skill_id",enemy_skills!$1:$1,0)+1,FALSE)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0" s="47">
        <v>39009244</v>
      </c>
      <c r="G780" s="48">
        <f ca="1">VLOOKUP($F780,OFFSET(enemy_skill_triggers!$A$1,0,0,COUNTA(enemy_skill_triggers!$A:$A),MATCH(G$1,enemy_skill_triggers!$1:$1,0)-MATCH($F$1,enemy_skill_triggers!$1:$1,0)+1),MATCH(G$1,enemy_skill_triggers!$1:$1,0)-MATCH($F$1,enemy_skill_triggers!$1:$1,0)+1,FALSE)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0" s="48">
        <f ca="1">VLOOKUP($F780,OFFSET(enemy_skill_triggers!$A$1,0,0,COUNTA(enemy_skill_triggers!$A:$A),MATCH(H$1,enemy_skill_triggers!$1:$1,0)-MATCH($F$1,enemy_skill_triggers!$1:$1,0)+1),MATCH(H$1,enemy_skill_triggers!$1:$1,0)-MATCH($F$1,enemy_skill_triggers!$1:$1,0)+1,FALSE)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780" s="48">
        <f ca="1">VLOOKUP($F780,OFFSET(enemy_skill_triggers!$A$1,0,0,COUNTA(enemy_skill_triggers!$A:$A),MATCH(I$1,enemy_skill_triggers!$1:$1,0)-MATCH($F$1,enemy_skill_triggers!$1:$1,0)+1),MATCH(I$1,enemy_skill_triggers!$1:$1,0)-MATCH($F$1,enemy_skill_triggers!$1:$1,0)+1,FALSE)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0" s="48" t="str">
        <f ca="1">VLOOKUP($F780,OFFSET(enemy_skill_triggers!$A$1,0,0,COUNTA(enemy_skill_triggers!$A:$A),MATCH(J$1,enemy_skill_triggers!$1:$1,0)-MATCH($F$1,enemy_skill_triggers!$1:$1,0)+1),MATCH(J$1,enemy_skill_triggers!$1:$1,0)-MATCH($F$1,enemy_skill_triggers!$1:$1,0)+1,FALSE)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0" s="48" t="str">
        <f ca="1">VLOOKUP($F780,OFFSET(enemy_skill_triggers!$A$1,0,0,COUNTA(enemy_skill_triggers!$A:$A),MATCH(K$1,enemy_skill_triggers!$1:$1,0)-MATCH($F$1,enemy_skill_triggers!$1:$1,0)+1),MATCH(K$1,enemy_skill_triggers!$1:$1,0)-MATCH($F$1,enemy_skill_triggers!$1:$1,0)+1,FALSE)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0" s="48">
        <f ca="1">VLOOKUP($F780,OFFSET(enemy_skill_triggers!$A$1,0,0,COUNTA(enemy_skill_triggers!$A:$A),MATCH(L$1,enemy_skill_triggers!$1:$1,0)-MATCH($F$1,enemy_skill_triggers!$1:$1,0)+1),MATCH(L$1,enemy_skill_triggers!$1:$1,0)-MATCH($F$1,enemy_skill_triggers!$1:$1,0)+1,FALSE)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0" s="48" t="str">
        <f ca="1">VLOOKUP($F780,OFFSET(enemy_skill_triggers!$A$1,0,0,COUNTA(enemy_skill_triggers!$A:$A),MATCH(M$1,enemy_skill_triggers!$1:$1,0)-MATCH($F$1,enemy_skill_triggers!$1:$1,0)+1),MATCH(M$1,enemy_skill_triggers!$1:$1,0)-MATCH($F$1,enemy_skill_triggers!$1:$1,0)+1,FALSE)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0" s="48">
        <f ca="1">VLOOKUP($F780,OFFSET(enemy_skill_triggers!$A$1,0,0,COUNTA(enemy_skill_triggers!$A:$A),MATCH(N$1,enemy_skill_triggers!$1:$1,0)-MATCH($F$1,enemy_skill_triggers!$1:$1,0)+1),MATCH(N$1,enemy_skill_triggers!$1:$1,0)-MATCH($F$1,enemy_skill_triggers!$1:$1,0)+1,FALSE)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780" s="48">
        <f ca="1">VLOOKUP($F780,OFFSET(enemy_skill_triggers!$A$1,0,0,COUNTA(enemy_skill_triggers!$A:$A),MATCH(O$1,enemy_skill_triggers!$1:$1,0)-MATCH($F$1,enemy_skill_triggers!$1:$1,0)+1),MATCH(O$1,enemy_skill_triggers!$1:$1,0)-MATCH($F$1,enemy_skill_triggers!$1:$1,0)+1,FALSE)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0" s="47"/>
      <c r="Q780" s="47"/>
      <c r="R780" s="47"/>
    </row>
    <row r="781" spans="1:18" ht="21" customHeight="1" x14ac:dyDescent="0.15">
      <c r="A781" s="39" t="str">
        <f t="shared" si="32"/>
        <v>39009035_39009074</v>
      </c>
      <c r="B781" s="47">
        <v>39009035</v>
      </c>
      <c r="C781" s="47">
        <v>39009074</v>
      </c>
      <c r="D781" s="46" t="str">
        <f ca="1">VLOOKUP($C781,OFFSET(enemy_skills!$A$1,0,0,COUNTA(enemy_skills!$A:$A),MATCH(D$1,enemy_skills!$1:$1,0)-MATCH("enemy_skill_id",enemy_skills!$1:$1,0)+1),MATCH(D$1,enemy_skills!$1:$1,0)-MATCH("enemy_skill_id",enemy_skills!$1:$1,0)+1,FALSE)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1" s="46" t="str">
        <f ca="1">VLOOKUP($C781,OFFSET(enemy_skills!$A$1,0,0,COUNTA(enemy_skills!$A:$A),MATCH(E$1,enemy_skills!$1:$1,0)-MATCH("enemy_skill_id",enemy_skills!$1:$1,0)+1),MATCH(E$1,enemy_skills!$1:$1,0)-MATCH("enemy_skill_id",enemy_skills!$1:$1,0)+1,FALSE)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1" s="47">
        <v>39009245</v>
      </c>
      <c r="G781" s="48">
        <f ca="1">VLOOKUP($F781,OFFSET(enemy_skill_triggers!$A$1,0,0,COUNTA(enemy_skill_triggers!$A:$A),MATCH(G$1,enemy_skill_triggers!$1:$1,0)-MATCH($F$1,enemy_skill_triggers!$1:$1,0)+1),MATCH(G$1,enemy_skill_triggers!$1:$1,0)-MATCH($F$1,enemy_skill_triggers!$1:$1,0)+1,FALSE)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1" s="48">
        <f ca="1">VLOOKUP($F781,OFFSET(enemy_skill_triggers!$A$1,0,0,COUNTA(enemy_skill_triggers!$A:$A),MATCH(H$1,enemy_skill_triggers!$1:$1,0)-MATCH($F$1,enemy_skill_triggers!$1:$1,0)+1),MATCH(H$1,enemy_skill_triggers!$1:$1,0)-MATCH($F$1,enemy_skill_triggers!$1:$1,0)+1,FALSE)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781" s="48">
        <f ca="1">VLOOKUP($F781,OFFSET(enemy_skill_triggers!$A$1,0,0,COUNTA(enemy_skill_triggers!$A:$A),MATCH(I$1,enemy_skill_triggers!$1:$1,0)-MATCH($F$1,enemy_skill_triggers!$1:$1,0)+1),MATCH(I$1,enemy_skill_triggers!$1:$1,0)-MATCH($F$1,enemy_skill_triggers!$1:$1,0)+1,FALSE)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1" s="48" t="str">
        <f ca="1">VLOOKUP($F781,OFFSET(enemy_skill_triggers!$A$1,0,0,COUNTA(enemy_skill_triggers!$A:$A),MATCH(J$1,enemy_skill_triggers!$1:$1,0)-MATCH($F$1,enemy_skill_triggers!$1:$1,0)+1),MATCH(J$1,enemy_skill_triggers!$1:$1,0)-MATCH($F$1,enemy_skill_triggers!$1:$1,0)+1,FALSE)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1" s="48" t="str">
        <f ca="1">VLOOKUP($F781,OFFSET(enemy_skill_triggers!$A$1,0,0,COUNTA(enemy_skill_triggers!$A:$A),MATCH(K$1,enemy_skill_triggers!$1:$1,0)-MATCH($F$1,enemy_skill_triggers!$1:$1,0)+1),MATCH(K$1,enemy_skill_triggers!$1:$1,0)-MATCH($F$1,enemy_skill_triggers!$1:$1,0)+1,FALSE)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1" s="48">
        <f ca="1">VLOOKUP($F781,OFFSET(enemy_skill_triggers!$A$1,0,0,COUNTA(enemy_skill_triggers!$A:$A),MATCH(L$1,enemy_skill_triggers!$1:$1,0)-MATCH($F$1,enemy_skill_triggers!$1:$1,0)+1),MATCH(L$1,enemy_skill_triggers!$1:$1,0)-MATCH($F$1,enemy_skill_triggers!$1:$1,0)+1,FALSE)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1" s="48" t="str">
        <f ca="1">VLOOKUP($F781,OFFSET(enemy_skill_triggers!$A$1,0,0,COUNTA(enemy_skill_triggers!$A:$A),MATCH(M$1,enemy_skill_triggers!$1:$1,0)-MATCH($F$1,enemy_skill_triggers!$1:$1,0)+1),MATCH(M$1,enemy_skill_triggers!$1:$1,0)-MATCH($F$1,enemy_skill_triggers!$1:$1,0)+1,FALSE)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1" s="48">
        <f ca="1">VLOOKUP($F781,OFFSET(enemy_skill_triggers!$A$1,0,0,COUNTA(enemy_skill_triggers!$A:$A),MATCH(N$1,enemy_skill_triggers!$1:$1,0)-MATCH($F$1,enemy_skill_triggers!$1:$1,0)+1),MATCH(N$1,enemy_skill_triggers!$1:$1,0)-MATCH($F$1,enemy_skill_triggers!$1:$1,0)+1,FALSE)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781" s="48">
        <f ca="1">VLOOKUP($F781,OFFSET(enemy_skill_triggers!$A$1,0,0,COUNTA(enemy_skill_triggers!$A:$A),MATCH(O$1,enemy_skill_triggers!$1:$1,0)-MATCH($F$1,enemy_skill_triggers!$1:$1,0)+1),MATCH(O$1,enemy_skill_triggers!$1:$1,0)-MATCH($F$1,enemy_skill_triggers!$1:$1,0)+1,FALSE)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1" s="47"/>
      <c r="Q781" s="47"/>
      <c r="R781" s="47"/>
    </row>
    <row r="782" spans="1:18" ht="21" customHeight="1" x14ac:dyDescent="0.15">
      <c r="A782" s="39" t="str">
        <f t="shared" si="32"/>
        <v>39009035_39009074</v>
      </c>
      <c r="B782" s="47">
        <v>39009035</v>
      </c>
      <c r="C782" s="47">
        <v>39009074</v>
      </c>
      <c r="D782" s="46" t="str">
        <f ca="1">VLOOKUP($C782,OFFSET(enemy_skills!$A$1,0,0,COUNTA(enemy_skills!$A:$A),MATCH(D$1,enemy_skills!$1:$1,0)-MATCH("enemy_skill_id",enemy_skills!$1:$1,0)+1),MATCH(D$1,enemy_skills!$1:$1,0)-MATCH("enemy_skill_id",enemy_skills!$1:$1,0)+1,FALSE)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2" s="46" t="str">
        <f ca="1">VLOOKUP($C782,OFFSET(enemy_skills!$A$1,0,0,COUNTA(enemy_skills!$A:$A),MATCH(E$1,enemy_skills!$1:$1,0)-MATCH("enemy_skill_id",enemy_skills!$1:$1,0)+1),MATCH(E$1,enemy_skills!$1:$1,0)-MATCH("enemy_skill_id",enemy_skills!$1:$1,0)+1,FALSE)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2" s="47">
        <v>39009246</v>
      </c>
      <c r="G782" s="48">
        <f ca="1">VLOOKUP($F782,OFFSET(enemy_skill_triggers!$A$1,0,0,COUNTA(enemy_skill_triggers!$A:$A),MATCH(G$1,enemy_skill_triggers!$1:$1,0)-MATCH($F$1,enemy_skill_triggers!$1:$1,0)+1),MATCH(G$1,enemy_skill_triggers!$1:$1,0)-MATCH($F$1,enemy_skill_triggers!$1:$1,0)+1,FALSE)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2" s="48">
        <f ca="1">VLOOKUP($F782,OFFSET(enemy_skill_triggers!$A$1,0,0,COUNTA(enemy_skill_triggers!$A:$A),MATCH(H$1,enemy_skill_triggers!$1:$1,0)-MATCH($F$1,enemy_skill_triggers!$1:$1,0)+1),MATCH(H$1,enemy_skill_triggers!$1:$1,0)-MATCH($F$1,enemy_skill_triggers!$1:$1,0)+1,FALSE)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82" s="48">
        <f ca="1">VLOOKUP($F782,OFFSET(enemy_skill_triggers!$A$1,0,0,COUNTA(enemy_skill_triggers!$A:$A),MATCH(I$1,enemy_skill_triggers!$1:$1,0)-MATCH($F$1,enemy_skill_triggers!$1:$1,0)+1),MATCH(I$1,enemy_skill_triggers!$1:$1,0)-MATCH($F$1,enemy_skill_triggers!$1:$1,0)+1,FALSE)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2" s="48" t="str">
        <f ca="1">VLOOKUP($F782,OFFSET(enemy_skill_triggers!$A$1,0,0,COUNTA(enemy_skill_triggers!$A:$A),MATCH(J$1,enemy_skill_triggers!$1:$1,0)-MATCH($F$1,enemy_skill_triggers!$1:$1,0)+1),MATCH(J$1,enemy_skill_triggers!$1:$1,0)-MATCH($F$1,enemy_skill_triggers!$1:$1,0)+1,FALSE)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2" s="48" t="str">
        <f ca="1">VLOOKUP($F782,OFFSET(enemy_skill_triggers!$A$1,0,0,COUNTA(enemy_skill_triggers!$A:$A),MATCH(K$1,enemy_skill_triggers!$1:$1,0)-MATCH($F$1,enemy_skill_triggers!$1:$1,0)+1),MATCH(K$1,enemy_skill_triggers!$1:$1,0)-MATCH($F$1,enemy_skill_triggers!$1:$1,0)+1,FALSE)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2" s="48">
        <f ca="1">VLOOKUP($F782,OFFSET(enemy_skill_triggers!$A$1,0,0,COUNTA(enemy_skill_triggers!$A:$A),MATCH(L$1,enemy_skill_triggers!$1:$1,0)-MATCH($F$1,enemy_skill_triggers!$1:$1,0)+1),MATCH(L$1,enemy_skill_triggers!$1:$1,0)-MATCH($F$1,enemy_skill_triggers!$1:$1,0)+1,FALSE)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2" s="48" t="str">
        <f ca="1">VLOOKUP($F782,OFFSET(enemy_skill_triggers!$A$1,0,0,COUNTA(enemy_skill_triggers!$A:$A),MATCH(M$1,enemy_skill_triggers!$1:$1,0)-MATCH($F$1,enemy_skill_triggers!$1:$1,0)+1),MATCH(M$1,enemy_skill_triggers!$1:$1,0)-MATCH($F$1,enemy_skill_triggers!$1:$1,0)+1,FALSE)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2" s="48">
        <f ca="1">VLOOKUP($F782,OFFSET(enemy_skill_triggers!$A$1,0,0,COUNTA(enemy_skill_triggers!$A:$A),MATCH(N$1,enemy_skill_triggers!$1:$1,0)-MATCH($F$1,enemy_skill_triggers!$1:$1,0)+1),MATCH(N$1,enemy_skill_triggers!$1:$1,0)-MATCH($F$1,enemy_skill_triggers!$1:$1,0)+1,FALSE)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782" s="48">
        <f ca="1">VLOOKUP($F782,OFFSET(enemy_skill_triggers!$A$1,0,0,COUNTA(enemy_skill_triggers!$A:$A),MATCH(O$1,enemy_skill_triggers!$1:$1,0)-MATCH($F$1,enemy_skill_triggers!$1:$1,0)+1),MATCH(O$1,enemy_skill_triggers!$1:$1,0)-MATCH($F$1,enemy_skill_triggers!$1:$1,0)+1,FALSE)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2" s="47"/>
      <c r="Q782" s="47"/>
      <c r="R782" s="47"/>
    </row>
    <row r="783" spans="1:18" ht="21" customHeight="1" x14ac:dyDescent="0.15">
      <c r="A783" s="39" t="str">
        <f t="shared" si="32"/>
        <v>39009035_39009074</v>
      </c>
      <c r="B783" s="47">
        <v>39009035</v>
      </c>
      <c r="C783" s="47">
        <v>39009074</v>
      </c>
      <c r="D783" s="46" t="str">
        <f ca="1">VLOOKUP($C783,OFFSET(enemy_skills!$A$1,0,0,COUNTA(enemy_skills!$A:$A),MATCH(D$1,enemy_skills!$1:$1,0)-MATCH("enemy_skill_id",enemy_skills!$1:$1,0)+1),MATCH(D$1,enemy_skills!$1:$1,0)-MATCH("enemy_skill_id",enemy_skills!$1:$1,0)+1,FALSE)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3" s="46" t="str">
        <f ca="1">VLOOKUP($C783,OFFSET(enemy_skills!$A$1,0,0,COUNTA(enemy_skills!$A:$A),MATCH(E$1,enemy_skills!$1:$1,0)-MATCH("enemy_skill_id",enemy_skills!$1:$1,0)+1),MATCH(E$1,enemy_skills!$1:$1,0)-MATCH("enemy_skill_id",enemy_skills!$1:$1,0)+1,FALSE)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3" s="47">
        <v>39009247</v>
      </c>
      <c r="G783" s="48">
        <f ca="1">VLOOKUP($F783,OFFSET(enemy_skill_triggers!$A$1,0,0,COUNTA(enemy_skill_triggers!$A:$A),MATCH(G$1,enemy_skill_triggers!$1:$1,0)-MATCH($F$1,enemy_skill_triggers!$1:$1,0)+1),MATCH(G$1,enemy_skill_triggers!$1:$1,0)-MATCH($F$1,enemy_skill_triggers!$1:$1,0)+1,FALSE)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3" s="48">
        <f ca="1">VLOOKUP($F783,OFFSET(enemy_skill_triggers!$A$1,0,0,COUNTA(enemy_skill_triggers!$A:$A),MATCH(H$1,enemy_skill_triggers!$1:$1,0)-MATCH($F$1,enemy_skill_triggers!$1:$1,0)+1),MATCH(H$1,enemy_skill_triggers!$1:$1,0)-MATCH($F$1,enemy_skill_triggers!$1:$1,0)+1,FALSE)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783" s="48">
        <f ca="1">VLOOKUP($F783,OFFSET(enemy_skill_triggers!$A$1,0,0,COUNTA(enemy_skill_triggers!$A:$A),MATCH(I$1,enemy_skill_triggers!$1:$1,0)-MATCH($F$1,enemy_skill_triggers!$1:$1,0)+1),MATCH(I$1,enemy_skill_triggers!$1:$1,0)-MATCH($F$1,enemy_skill_triggers!$1:$1,0)+1,FALSE)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3" s="48" t="str">
        <f ca="1">VLOOKUP($F783,OFFSET(enemy_skill_triggers!$A$1,0,0,COUNTA(enemy_skill_triggers!$A:$A),MATCH(J$1,enemy_skill_triggers!$1:$1,0)-MATCH($F$1,enemy_skill_triggers!$1:$1,0)+1),MATCH(J$1,enemy_skill_triggers!$1:$1,0)-MATCH($F$1,enemy_skill_triggers!$1:$1,0)+1,FALSE)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3" s="48" t="str">
        <f ca="1">VLOOKUP($F783,OFFSET(enemy_skill_triggers!$A$1,0,0,COUNTA(enemy_skill_triggers!$A:$A),MATCH(K$1,enemy_skill_triggers!$1:$1,0)-MATCH($F$1,enemy_skill_triggers!$1:$1,0)+1),MATCH(K$1,enemy_skill_triggers!$1:$1,0)-MATCH($F$1,enemy_skill_triggers!$1:$1,0)+1,FALSE)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3" s="48">
        <f ca="1">VLOOKUP($F783,OFFSET(enemy_skill_triggers!$A$1,0,0,COUNTA(enemy_skill_triggers!$A:$A),MATCH(L$1,enemy_skill_triggers!$1:$1,0)-MATCH($F$1,enemy_skill_triggers!$1:$1,0)+1),MATCH(L$1,enemy_skill_triggers!$1:$1,0)-MATCH($F$1,enemy_skill_triggers!$1:$1,0)+1,FALSE)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3" s="48" t="str">
        <f ca="1">VLOOKUP($F783,OFFSET(enemy_skill_triggers!$A$1,0,0,COUNTA(enemy_skill_triggers!$A:$A),MATCH(M$1,enemy_skill_triggers!$1:$1,0)-MATCH($F$1,enemy_skill_triggers!$1:$1,0)+1),MATCH(M$1,enemy_skill_triggers!$1:$1,0)-MATCH($F$1,enemy_skill_triggers!$1:$1,0)+1,FALSE)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3" s="48">
        <f ca="1">VLOOKUP($F783,OFFSET(enemy_skill_triggers!$A$1,0,0,COUNTA(enemy_skill_triggers!$A:$A),MATCH(N$1,enemy_skill_triggers!$1:$1,0)-MATCH($F$1,enemy_skill_triggers!$1:$1,0)+1),MATCH(N$1,enemy_skill_triggers!$1:$1,0)-MATCH($F$1,enemy_skill_triggers!$1:$1,0)+1,FALSE)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783" s="48">
        <f ca="1">VLOOKUP($F783,OFFSET(enemy_skill_triggers!$A$1,0,0,COUNTA(enemy_skill_triggers!$A:$A),MATCH(O$1,enemy_skill_triggers!$1:$1,0)-MATCH($F$1,enemy_skill_triggers!$1:$1,0)+1),MATCH(O$1,enemy_skill_triggers!$1:$1,0)-MATCH($F$1,enemy_skill_triggers!$1:$1,0)+1,FALSE)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3" s="47"/>
      <c r="Q783" s="47"/>
      <c r="R783" s="47"/>
    </row>
    <row r="784" spans="1:18" ht="21" customHeight="1" x14ac:dyDescent="0.15">
      <c r="A784" s="39" t="str">
        <f t="shared" si="32"/>
        <v>39009035_39009074</v>
      </c>
      <c r="B784" s="47">
        <v>39009035</v>
      </c>
      <c r="C784" s="47">
        <v>39009074</v>
      </c>
      <c r="D784" s="46" t="str">
        <f ca="1">VLOOKUP($C784,OFFSET(enemy_skills!$A$1,0,0,COUNTA(enemy_skills!$A:$A),MATCH(D$1,enemy_skills!$1:$1,0)-MATCH("enemy_skill_id",enemy_skills!$1:$1,0)+1),MATCH(D$1,enemy_skills!$1:$1,0)-MATCH("enemy_skill_id",enemy_skills!$1:$1,0)+1,FALSE)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4" s="46" t="str">
        <f ca="1">VLOOKUP($C784,OFFSET(enemy_skills!$A$1,0,0,COUNTA(enemy_skills!$A:$A),MATCH(E$1,enemy_skills!$1:$1,0)-MATCH("enemy_skill_id",enemy_skills!$1:$1,0)+1),MATCH(E$1,enemy_skills!$1:$1,0)-MATCH("enemy_skill_id",enemy_skills!$1:$1,0)+1,FALSE)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4" s="47">
        <v>39009248</v>
      </c>
      <c r="G784" s="48">
        <f ca="1">VLOOKUP($F784,OFFSET(enemy_skill_triggers!$A$1,0,0,COUNTA(enemy_skill_triggers!$A:$A),MATCH(G$1,enemy_skill_triggers!$1:$1,0)-MATCH($F$1,enemy_skill_triggers!$1:$1,0)+1),MATCH(G$1,enemy_skill_triggers!$1:$1,0)-MATCH($F$1,enemy_skill_triggers!$1:$1,0)+1,FALSE)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4" s="48">
        <f ca="1">VLOOKUP($F784,OFFSET(enemy_skill_triggers!$A$1,0,0,COUNTA(enemy_skill_triggers!$A:$A),MATCH(H$1,enemy_skill_triggers!$1:$1,0)-MATCH($F$1,enemy_skill_triggers!$1:$1,0)+1),MATCH(H$1,enemy_skill_triggers!$1:$1,0)-MATCH($F$1,enemy_skill_triggers!$1:$1,0)+1,FALSE)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784" s="48">
        <f ca="1">VLOOKUP($F784,OFFSET(enemy_skill_triggers!$A$1,0,0,COUNTA(enemy_skill_triggers!$A:$A),MATCH(I$1,enemy_skill_triggers!$1:$1,0)-MATCH($F$1,enemy_skill_triggers!$1:$1,0)+1),MATCH(I$1,enemy_skill_triggers!$1:$1,0)-MATCH($F$1,enemy_skill_triggers!$1:$1,0)+1,FALSE)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4" s="48" t="str">
        <f ca="1">VLOOKUP($F784,OFFSET(enemy_skill_triggers!$A$1,0,0,COUNTA(enemy_skill_triggers!$A:$A),MATCH(J$1,enemy_skill_triggers!$1:$1,0)-MATCH($F$1,enemy_skill_triggers!$1:$1,0)+1),MATCH(J$1,enemy_skill_triggers!$1:$1,0)-MATCH($F$1,enemy_skill_triggers!$1:$1,0)+1,FALSE)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4" s="48" t="str">
        <f ca="1">VLOOKUP($F784,OFFSET(enemy_skill_triggers!$A$1,0,0,COUNTA(enemy_skill_triggers!$A:$A),MATCH(K$1,enemy_skill_triggers!$1:$1,0)-MATCH($F$1,enemy_skill_triggers!$1:$1,0)+1),MATCH(K$1,enemy_skill_triggers!$1:$1,0)-MATCH($F$1,enemy_skill_triggers!$1:$1,0)+1,FALSE)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4" s="48">
        <f ca="1">VLOOKUP($F784,OFFSET(enemy_skill_triggers!$A$1,0,0,COUNTA(enemy_skill_triggers!$A:$A),MATCH(L$1,enemy_skill_triggers!$1:$1,0)-MATCH($F$1,enemy_skill_triggers!$1:$1,0)+1),MATCH(L$1,enemy_skill_triggers!$1:$1,0)-MATCH($F$1,enemy_skill_triggers!$1:$1,0)+1,FALSE)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4" s="48" t="str">
        <f ca="1">VLOOKUP($F784,OFFSET(enemy_skill_triggers!$A$1,0,0,COUNTA(enemy_skill_triggers!$A:$A),MATCH(M$1,enemy_skill_triggers!$1:$1,0)-MATCH($F$1,enemy_skill_triggers!$1:$1,0)+1),MATCH(M$1,enemy_skill_triggers!$1:$1,0)-MATCH($F$1,enemy_skill_triggers!$1:$1,0)+1,FALSE)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4" s="48">
        <f ca="1">VLOOKUP($F784,OFFSET(enemy_skill_triggers!$A$1,0,0,COUNTA(enemy_skill_triggers!$A:$A),MATCH(N$1,enemy_skill_triggers!$1:$1,0)-MATCH($F$1,enemy_skill_triggers!$1:$1,0)+1),MATCH(N$1,enemy_skill_triggers!$1:$1,0)-MATCH($F$1,enemy_skill_triggers!$1:$1,0)+1,FALSE)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784" s="48">
        <f ca="1">VLOOKUP($F784,OFFSET(enemy_skill_triggers!$A$1,0,0,COUNTA(enemy_skill_triggers!$A:$A),MATCH(O$1,enemy_skill_triggers!$1:$1,0)-MATCH($F$1,enemy_skill_triggers!$1:$1,0)+1),MATCH(O$1,enemy_skill_triggers!$1:$1,0)-MATCH($F$1,enemy_skill_triggers!$1:$1,0)+1,FALSE)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4" s="47"/>
      <c r="Q784" s="47"/>
      <c r="R784" s="47"/>
    </row>
    <row r="785" spans="1:18" ht="21" customHeight="1" x14ac:dyDescent="0.15">
      <c r="A785" s="39" t="str">
        <f t="shared" si="32"/>
        <v>39009035_39009074</v>
      </c>
      <c r="B785" s="47">
        <v>39009035</v>
      </c>
      <c r="C785" s="47">
        <v>39009074</v>
      </c>
      <c r="D785" s="46" t="str">
        <f ca="1">VLOOKUP($C785,OFFSET(enemy_skills!$A$1,0,0,COUNTA(enemy_skills!$A:$A),MATCH(D$1,enemy_skills!$1:$1,0)-MATCH("enemy_skill_id",enemy_skills!$1:$1,0)+1),MATCH(D$1,enemy_skills!$1:$1,0)-MATCH("enemy_skill_id",enemy_skills!$1:$1,0)+1,FALSE)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5" s="46" t="str">
        <f ca="1">VLOOKUP($C785,OFFSET(enemy_skills!$A$1,0,0,COUNTA(enemy_skills!$A:$A),MATCH(E$1,enemy_skills!$1:$1,0)-MATCH("enemy_skill_id",enemy_skills!$1:$1,0)+1),MATCH(E$1,enemy_skills!$1:$1,0)-MATCH("enemy_skill_id",enemy_skills!$1:$1,0)+1,FALSE)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5" s="47">
        <v>39009249</v>
      </c>
      <c r="G785" s="48">
        <f ca="1">VLOOKUP($F785,OFFSET(enemy_skill_triggers!$A$1,0,0,COUNTA(enemy_skill_triggers!$A:$A),MATCH(G$1,enemy_skill_triggers!$1:$1,0)-MATCH($F$1,enemy_skill_triggers!$1:$1,0)+1),MATCH(G$1,enemy_skill_triggers!$1:$1,0)-MATCH($F$1,enemy_skill_triggers!$1:$1,0)+1,FALSE)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5" s="48">
        <f ca="1">VLOOKUP($F785,OFFSET(enemy_skill_triggers!$A$1,0,0,COUNTA(enemy_skill_triggers!$A:$A),MATCH(H$1,enemy_skill_triggers!$1:$1,0)-MATCH($F$1,enemy_skill_triggers!$1:$1,0)+1),MATCH(H$1,enemy_skill_triggers!$1:$1,0)-MATCH($F$1,enemy_skill_triggers!$1:$1,0)+1,FALSE)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785" s="48">
        <f ca="1">VLOOKUP($F785,OFFSET(enemy_skill_triggers!$A$1,0,0,COUNTA(enemy_skill_triggers!$A:$A),MATCH(I$1,enemy_skill_triggers!$1:$1,0)-MATCH($F$1,enemy_skill_triggers!$1:$1,0)+1),MATCH(I$1,enemy_skill_triggers!$1:$1,0)-MATCH($F$1,enemy_skill_triggers!$1:$1,0)+1,FALSE)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5" s="48" t="str">
        <f ca="1">VLOOKUP($F785,OFFSET(enemy_skill_triggers!$A$1,0,0,COUNTA(enemy_skill_triggers!$A:$A),MATCH(J$1,enemy_skill_triggers!$1:$1,0)-MATCH($F$1,enemy_skill_triggers!$1:$1,0)+1),MATCH(J$1,enemy_skill_triggers!$1:$1,0)-MATCH($F$1,enemy_skill_triggers!$1:$1,0)+1,FALSE)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5" s="48" t="str">
        <f ca="1">VLOOKUP($F785,OFFSET(enemy_skill_triggers!$A$1,0,0,COUNTA(enemy_skill_triggers!$A:$A),MATCH(K$1,enemy_skill_triggers!$1:$1,0)-MATCH($F$1,enemy_skill_triggers!$1:$1,0)+1),MATCH(K$1,enemy_skill_triggers!$1:$1,0)-MATCH($F$1,enemy_skill_triggers!$1:$1,0)+1,FALSE)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5" s="48">
        <f ca="1">VLOOKUP($F785,OFFSET(enemy_skill_triggers!$A$1,0,0,COUNTA(enemy_skill_triggers!$A:$A),MATCH(L$1,enemy_skill_triggers!$1:$1,0)-MATCH($F$1,enemy_skill_triggers!$1:$1,0)+1),MATCH(L$1,enemy_skill_triggers!$1:$1,0)-MATCH($F$1,enemy_skill_triggers!$1:$1,0)+1,FALSE)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5" s="48" t="str">
        <f ca="1">VLOOKUP($F785,OFFSET(enemy_skill_triggers!$A$1,0,0,COUNTA(enemy_skill_triggers!$A:$A),MATCH(M$1,enemy_skill_triggers!$1:$1,0)-MATCH($F$1,enemy_skill_triggers!$1:$1,0)+1),MATCH(M$1,enemy_skill_triggers!$1:$1,0)-MATCH($F$1,enemy_skill_triggers!$1:$1,0)+1,FALSE)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5" s="48">
        <f ca="1">VLOOKUP($F785,OFFSET(enemy_skill_triggers!$A$1,0,0,COUNTA(enemy_skill_triggers!$A:$A),MATCH(N$1,enemy_skill_triggers!$1:$1,0)-MATCH($F$1,enemy_skill_triggers!$1:$1,0)+1),MATCH(N$1,enemy_skill_triggers!$1:$1,0)-MATCH($F$1,enemy_skill_triggers!$1:$1,0)+1,FALSE)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785" s="48">
        <f ca="1">VLOOKUP($F785,OFFSET(enemy_skill_triggers!$A$1,0,0,COUNTA(enemy_skill_triggers!$A:$A),MATCH(O$1,enemy_skill_triggers!$1:$1,0)-MATCH($F$1,enemy_skill_triggers!$1:$1,0)+1),MATCH(O$1,enemy_skill_triggers!$1:$1,0)-MATCH($F$1,enemy_skill_triggers!$1:$1,0)+1,FALSE)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5" s="47"/>
      <c r="Q785" s="47"/>
      <c r="R785" s="47"/>
    </row>
    <row r="786" spans="1:18" ht="21" customHeight="1" x14ac:dyDescent="0.15">
      <c r="A786" s="39" t="str">
        <f t="shared" si="32"/>
        <v>39009035_39009074</v>
      </c>
      <c r="B786" s="47">
        <v>39009035</v>
      </c>
      <c r="C786" s="47">
        <v>39009074</v>
      </c>
      <c r="D786" s="46" t="str">
        <f ca="1">VLOOKUP($C786,OFFSET(enemy_skills!$A$1,0,0,COUNTA(enemy_skills!$A:$A),MATCH(D$1,enemy_skills!$1:$1,0)-MATCH("enemy_skill_id",enemy_skills!$1:$1,0)+1),MATCH(D$1,enemy_skills!$1:$1,0)-MATCH("enemy_skill_id",enemy_skills!$1:$1,0)+1,FALSE)</f>
        <v>みんな来てくれてありがとう☆_x000D_またね♪</v>
      </c>
      <c r="E786" s="46" t="str">
        <f ca="1">VLOOKUP($C786,OFFSET(enemy_skills!$A$1,0,0,COUNTA(enemy_skills!$A:$A),MATCH(E$1,enemy_skills!$1:$1,0)-MATCH("enemy_skill_id",enemy_skills!$1:$1,0)+1),MATCH(E$1,enemy_skills!$1:$1,0)-MATCH("enemy_skill_id",enemy_skills!$1:$1,0)+1,FALSE)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6" s="47">
        <v>39009250</v>
      </c>
      <c r="G786" s="48">
        <f ca="1">VLOOKUP($F786,OFFSET(enemy_skill_triggers!$A$1,0,0,COUNTA(enemy_skill_triggers!$A:$A),MATCH(G$1,enemy_skill_triggers!$1:$1,0)-MATCH($F$1,enemy_skill_triggers!$1:$1,0)+1),MATCH(G$1,enemy_skill_triggers!$1:$1,0)-MATCH($F$1,enemy_skill_triggers!$1:$1,0)+1,FALSE)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6" s="48">
        <f ca="1">VLOOKUP($F786,OFFSET(enemy_skill_triggers!$A$1,0,0,COUNTA(enemy_skill_triggers!$A:$A),MATCH(H$1,enemy_skill_triggers!$1:$1,0)-MATCH($F$1,enemy_skill_triggers!$1:$1,0)+1),MATCH(H$1,enemy_skill_triggers!$1:$1,0)-MATCH($F$1,enemy_skill_triggers!$1:$1,0)+1,FALSE)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786" s="48">
        <f ca="1">VLOOKUP($F786,OFFSET(enemy_skill_triggers!$A$1,0,0,COUNTA(enemy_skill_triggers!$A:$A),MATCH(I$1,enemy_skill_triggers!$1:$1,0)-MATCH($F$1,enemy_skill_triggers!$1:$1,0)+1),MATCH(I$1,enemy_skill_triggers!$1:$1,0)-MATCH($F$1,enemy_skill_triggers!$1:$1,0)+1,FALSE)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6" s="48" t="str">
        <f ca="1">VLOOKUP($F786,OFFSET(enemy_skill_triggers!$A$1,0,0,COUNTA(enemy_skill_triggers!$A:$A),MATCH(J$1,enemy_skill_triggers!$1:$1,0)-MATCH($F$1,enemy_skill_triggers!$1:$1,0)+1),MATCH(J$1,enemy_skill_triggers!$1:$1,0)-MATCH($F$1,enemy_skill_triggers!$1:$1,0)+1,FALSE)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6" s="48" t="str">
        <f ca="1">VLOOKUP($F786,OFFSET(enemy_skill_triggers!$A$1,0,0,COUNTA(enemy_skill_triggers!$A:$A),MATCH(K$1,enemy_skill_triggers!$1:$1,0)-MATCH($F$1,enemy_skill_triggers!$1:$1,0)+1),MATCH(K$1,enemy_skill_triggers!$1:$1,0)-MATCH($F$1,enemy_skill_triggers!$1:$1,0)+1,FALSE)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6" s="48">
        <f ca="1">VLOOKUP($F786,OFFSET(enemy_skill_triggers!$A$1,0,0,COUNTA(enemy_skill_triggers!$A:$A),MATCH(L$1,enemy_skill_triggers!$1:$1,0)-MATCH($F$1,enemy_skill_triggers!$1:$1,0)+1),MATCH(L$1,enemy_skill_triggers!$1:$1,0)-MATCH($F$1,enemy_skill_triggers!$1:$1,0)+1,FALSE)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6" s="48" t="str">
        <f ca="1">VLOOKUP($F786,OFFSET(enemy_skill_triggers!$A$1,0,0,COUNTA(enemy_skill_triggers!$A:$A),MATCH(M$1,enemy_skill_triggers!$1:$1,0)-MATCH($F$1,enemy_skill_triggers!$1:$1,0)+1),MATCH(M$1,enemy_skill_triggers!$1:$1,0)-MATCH($F$1,enemy_skill_triggers!$1:$1,0)+1,FALSE)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6" s="48">
        <f ca="1">VLOOKUP($F786,OFFSET(enemy_skill_triggers!$A$1,0,0,COUNTA(enemy_skill_triggers!$A:$A),MATCH(N$1,enemy_skill_triggers!$1:$1,0)-MATCH($F$1,enemy_skill_triggers!$1:$1,0)+1),MATCH(N$1,enemy_skill_triggers!$1:$1,0)-MATCH($F$1,enemy_skill_triggers!$1:$1,0)+1,FALSE)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786" s="48">
        <f ca="1">VLOOKUP($F786,OFFSET(enemy_skill_triggers!$A$1,0,0,COUNTA(enemy_skill_triggers!$A:$A),MATCH(O$1,enemy_skill_triggers!$1:$1,0)-MATCH($F$1,enemy_skill_triggers!$1:$1,0)+1),MATCH(O$1,enemy_skill_triggers!$1:$1,0)-MATCH($F$1,enemy_skill_triggers!$1:$1,0)+1,FALSE)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6" s="47"/>
      <c r="Q786" s="47"/>
      <c r="R786" s="47"/>
    </row>
  </sheetData>
  <autoFilter ref="A1:R786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75"/>
  <sheetViews>
    <sheetView showGridLines="0" tabSelected="1" workbookViewId="0">
      <pane ySplit="1" topLeftCell="A24" activePane="bottomLeft" state="frozenSplit"/>
      <selection pane="bottomLeft" activeCell="C32" sqref="C32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109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29" width="30.83203125" style="49" customWidth="1"/>
    <col min="30" max="16384" width="12.83203125" style="49"/>
  </cols>
  <sheetData>
    <row r="1" spans="1:29" ht="40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  <c r="AC1" s="41" t="s">
        <v>368</v>
      </c>
    </row>
    <row r="2" spans="1:29" ht="40" customHeight="1" x14ac:dyDescent="0.15">
      <c r="A2" s="127">
        <v>39009001</v>
      </c>
      <c r="B2" s="47" t="s">
        <v>430</v>
      </c>
      <c r="C2" s="50">
        <v>3</v>
      </c>
      <c r="D2" s="50" t="s">
        <v>128</v>
      </c>
      <c r="E2" s="51" t="s">
        <v>293</v>
      </c>
      <c r="F2" s="51" t="s">
        <v>294</v>
      </c>
      <c r="G2" s="64" t="s">
        <v>319</v>
      </c>
      <c r="H2" s="64">
        <v>9</v>
      </c>
      <c r="I2" s="64">
        <v>18</v>
      </c>
      <c r="J2" s="64">
        <v>27</v>
      </c>
      <c r="K2" s="64">
        <v>33</v>
      </c>
      <c r="L2" s="64" t="s">
        <v>320</v>
      </c>
      <c r="M2" s="64" t="s">
        <v>321</v>
      </c>
      <c r="N2" s="48" t="s">
        <v>321</v>
      </c>
      <c r="O2" s="64">
        <v>9</v>
      </c>
      <c r="P2" s="64">
        <v>22</v>
      </c>
      <c r="Q2" s="64">
        <v>31</v>
      </c>
      <c r="R2" s="64">
        <v>40</v>
      </c>
      <c r="S2" s="64" t="s">
        <v>322</v>
      </c>
      <c r="T2" s="48" t="s">
        <v>323</v>
      </c>
      <c r="U2" s="64" t="e">
        <v>#VALUE!</v>
      </c>
      <c r="V2" s="64">
        <v>4</v>
      </c>
      <c r="W2" s="64" t="e">
        <v>#VALUE!</v>
      </c>
      <c r="X2" s="64" t="e">
        <v>#VALUE!</v>
      </c>
      <c r="Y2" s="64" t="s">
        <v>324</v>
      </c>
      <c r="Z2" s="50"/>
      <c r="AA2" s="52"/>
      <c r="AB2" s="50"/>
      <c r="AC2" s="154" t="s">
        <v>403</v>
      </c>
    </row>
    <row r="3" spans="1:29" ht="40" customHeight="1" x14ac:dyDescent="0.15">
      <c r="A3" s="127">
        <v>39009002</v>
      </c>
      <c r="B3" s="47" t="s">
        <v>431</v>
      </c>
      <c r="C3" s="50">
        <v>3</v>
      </c>
      <c r="D3" s="50" t="s">
        <v>128</v>
      </c>
      <c r="E3" s="51" t="s">
        <v>348</v>
      </c>
      <c r="F3" s="51" t="s">
        <v>258</v>
      </c>
      <c r="G3" s="64" t="s">
        <v>325</v>
      </c>
      <c r="H3" s="64">
        <v>9</v>
      </c>
      <c r="I3" s="64">
        <v>22</v>
      </c>
      <c r="J3" s="64">
        <v>31</v>
      </c>
      <c r="K3" s="64">
        <v>40</v>
      </c>
      <c r="L3" s="64" t="s">
        <v>322</v>
      </c>
      <c r="M3" s="64" t="s">
        <v>323</v>
      </c>
      <c r="N3" s="48" t="s">
        <v>323</v>
      </c>
      <c r="O3" s="64" t="e">
        <v>#VALUE!</v>
      </c>
      <c r="P3" s="64">
        <v>4</v>
      </c>
      <c r="Q3" s="64" t="e">
        <v>#VALUE!</v>
      </c>
      <c r="R3" s="64" t="e">
        <v>#VALUE!</v>
      </c>
      <c r="S3" s="64" t="s">
        <v>324</v>
      </c>
      <c r="T3" s="48" t="s">
        <v>323</v>
      </c>
      <c r="U3" s="64" t="e">
        <v>#VALUE!</v>
      </c>
      <c r="V3" s="64">
        <v>4</v>
      </c>
      <c r="W3" s="64" t="e">
        <v>#VALUE!</v>
      </c>
      <c r="X3" s="64" t="e">
        <v>#VALUE!</v>
      </c>
      <c r="Y3" s="64" t="s">
        <v>324</v>
      </c>
      <c r="Z3" s="50"/>
      <c r="AA3" s="52"/>
      <c r="AB3" s="50"/>
      <c r="AC3" s="154" t="s">
        <v>404</v>
      </c>
    </row>
    <row r="4" spans="1:29" ht="40" customHeight="1" x14ac:dyDescent="0.15">
      <c r="A4" s="127">
        <v>39009003</v>
      </c>
      <c r="B4" s="47" t="s">
        <v>431</v>
      </c>
      <c r="C4" s="133">
        <v>3</v>
      </c>
      <c r="D4" s="133" t="s">
        <v>128</v>
      </c>
      <c r="E4" s="134" t="s">
        <v>280</v>
      </c>
      <c r="F4" s="51" t="s">
        <v>259</v>
      </c>
      <c r="G4" s="64" t="s">
        <v>325</v>
      </c>
      <c r="H4" s="64">
        <v>9</v>
      </c>
      <c r="I4" s="64">
        <v>22</v>
      </c>
      <c r="J4" s="64">
        <v>31</v>
      </c>
      <c r="K4" s="64">
        <v>40</v>
      </c>
      <c r="L4" s="64" t="s">
        <v>322</v>
      </c>
      <c r="M4" s="64" t="s">
        <v>323</v>
      </c>
      <c r="N4" s="48" t="s">
        <v>323</v>
      </c>
      <c r="O4" s="64" t="e">
        <v>#VALUE!</v>
      </c>
      <c r="P4" s="64">
        <v>4</v>
      </c>
      <c r="Q4" s="64" t="e">
        <v>#VALUE!</v>
      </c>
      <c r="R4" s="64" t="e">
        <v>#VALUE!</v>
      </c>
      <c r="S4" s="64" t="s">
        <v>324</v>
      </c>
      <c r="T4" s="48" t="s">
        <v>323</v>
      </c>
      <c r="U4" s="64" t="e">
        <v>#VALUE!</v>
      </c>
      <c r="V4" s="64">
        <v>4</v>
      </c>
      <c r="W4" s="64" t="e">
        <v>#VALUE!</v>
      </c>
      <c r="X4" s="64" t="e">
        <v>#VALUE!</v>
      </c>
      <c r="Y4" s="64" t="s">
        <v>324</v>
      </c>
      <c r="Z4" s="50"/>
      <c r="AA4" s="52"/>
      <c r="AB4" s="50"/>
      <c r="AC4" s="155" t="s">
        <v>405</v>
      </c>
    </row>
    <row r="5" spans="1:29" ht="40" customHeight="1" x14ac:dyDescent="0.15">
      <c r="A5" s="127">
        <v>39009004</v>
      </c>
      <c r="B5" s="47" t="s">
        <v>432</v>
      </c>
      <c r="C5" s="139">
        <v>3</v>
      </c>
      <c r="D5" s="139" t="s">
        <v>128</v>
      </c>
      <c r="E5" s="140" t="s">
        <v>298</v>
      </c>
      <c r="F5" s="145" t="s">
        <v>342</v>
      </c>
      <c r="G5" s="64" t="s">
        <v>319</v>
      </c>
      <c r="H5" s="64">
        <v>9</v>
      </c>
      <c r="I5" s="64">
        <v>18</v>
      </c>
      <c r="J5" s="64">
        <v>27</v>
      </c>
      <c r="K5" s="64">
        <v>33</v>
      </c>
      <c r="L5" s="64" t="s">
        <v>320</v>
      </c>
      <c r="M5" s="64" t="s">
        <v>326</v>
      </c>
      <c r="N5" s="48" t="s">
        <v>326</v>
      </c>
      <c r="O5" s="64">
        <v>9</v>
      </c>
      <c r="P5" s="64">
        <v>27</v>
      </c>
      <c r="Q5" s="64">
        <v>54</v>
      </c>
      <c r="R5" s="64">
        <v>45</v>
      </c>
      <c r="S5" s="64" t="s">
        <v>324</v>
      </c>
      <c r="T5" s="48" t="s">
        <v>323</v>
      </c>
      <c r="U5" s="64" t="e">
        <v>#VALUE!</v>
      </c>
      <c r="V5" s="64">
        <v>4</v>
      </c>
      <c r="W5" s="64" t="e">
        <v>#VALUE!</v>
      </c>
      <c r="X5" s="64" t="e">
        <v>#VALUE!</v>
      </c>
      <c r="Y5" s="64" t="s">
        <v>324</v>
      </c>
      <c r="Z5" s="50"/>
      <c r="AA5" s="52"/>
      <c r="AB5" s="50"/>
      <c r="AC5" s="156" t="s">
        <v>369</v>
      </c>
    </row>
    <row r="6" spans="1:29" ht="40" customHeight="1" x14ac:dyDescent="0.15">
      <c r="A6" s="127">
        <v>39009005</v>
      </c>
      <c r="B6" s="47" t="s">
        <v>433</v>
      </c>
      <c r="C6" s="50">
        <v>3</v>
      </c>
      <c r="D6" s="50" t="s">
        <v>128</v>
      </c>
      <c r="E6" s="51" t="s">
        <v>308</v>
      </c>
      <c r="F6" s="51" t="s">
        <v>389</v>
      </c>
      <c r="G6" s="64" t="s">
        <v>327</v>
      </c>
      <c r="H6" s="64">
        <v>9</v>
      </c>
      <c r="I6" s="64">
        <v>22</v>
      </c>
      <c r="J6" s="64" t="e">
        <v>#VALUE!</v>
      </c>
      <c r="K6" s="64">
        <v>30</v>
      </c>
      <c r="L6" s="64" t="s">
        <v>324</v>
      </c>
      <c r="M6" s="64" t="s">
        <v>328</v>
      </c>
      <c r="N6" s="48" t="s">
        <v>329</v>
      </c>
      <c r="O6" s="64">
        <v>9</v>
      </c>
      <c r="P6" s="64">
        <v>18</v>
      </c>
      <c r="Q6" s="64">
        <v>27</v>
      </c>
      <c r="R6" s="64">
        <v>33</v>
      </c>
      <c r="S6" s="64" t="s">
        <v>320</v>
      </c>
      <c r="T6" s="48" t="s">
        <v>330</v>
      </c>
      <c r="U6" s="64">
        <v>9</v>
      </c>
      <c r="V6" s="64">
        <v>18</v>
      </c>
      <c r="W6" s="64">
        <v>27</v>
      </c>
      <c r="X6" s="64">
        <v>33</v>
      </c>
      <c r="Y6" s="64" t="s">
        <v>331</v>
      </c>
      <c r="Z6" s="50"/>
      <c r="AA6" s="52"/>
      <c r="AB6" s="50"/>
      <c r="AC6" s="154" t="s">
        <v>370</v>
      </c>
    </row>
    <row r="7" spans="1:29" ht="40" customHeight="1" x14ac:dyDescent="0.15">
      <c r="A7" s="127">
        <v>39009006</v>
      </c>
      <c r="B7" s="47" t="s">
        <v>434</v>
      </c>
      <c r="C7" s="50">
        <v>3</v>
      </c>
      <c r="D7" s="50" t="s">
        <v>128</v>
      </c>
      <c r="E7" s="51" t="s">
        <v>309</v>
      </c>
      <c r="F7" s="145" t="s">
        <v>341</v>
      </c>
      <c r="G7" s="64" t="s">
        <v>332</v>
      </c>
      <c r="H7" s="64">
        <v>9</v>
      </c>
      <c r="I7" s="64">
        <v>22</v>
      </c>
      <c r="J7" s="64" t="e">
        <v>#VALUE!</v>
      </c>
      <c r="K7" s="64">
        <v>30</v>
      </c>
      <c r="L7" s="64" t="s">
        <v>324</v>
      </c>
      <c r="M7" s="64" t="s">
        <v>333</v>
      </c>
      <c r="N7" s="48" t="s">
        <v>334</v>
      </c>
      <c r="O7" s="64">
        <v>9</v>
      </c>
      <c r="P7" s="64">
        <v>21</v>
      </c>
      <c r="Q7" s="64">
        <v>30</v>
      </c>
      <c r="R7" s="64">
        <v>41</v>
      </c>
      <c r="S7" s="64" t="s">
        <v>335</v>
      </c>
      <c r="T7" s="48" t="s">
        <v>336</v>
      </c>
      <c r="U7" s="64">
        <v>9</v>
      </c>
      <c r="V7" s="64">
        <v>13</v>
      </c>
      <c r="W7" s="64" t="e">
        <v>#VALUE!</v>
      </c>
      <c r="X7" s="64">
        <v>22</v>
      </c>
      <c r="Y7" s="64" t="s">
        <v>337</v>
      </c>
      <c r="Z7" s="50"/>
      <c r="AA7" s="52"/>
      <c r="AB7" s="50"/>
      <c r="AC7" s="154" t="s">
        <v>371</v>
      </c>
    </row>
    <row r="8" spans="1:29" ht="40" customHeight="1" x14ac:dyDescent="0.15">
      <c r="A8" s="127">
        <v>39009007</v>
      </c>
      <c r="B8" s="47" t="s">
        <v>435</v>
      </c>
      <c r="C8" s="50">
        <v>3</v>
      </c>
      <c r="D8" s="50" t="s">
        <v>128</v>
      </c>
      <c r="E8" s="51" t="s">
        <v>349</v>
      </c>
      <c r="F8" s="51" t="s">
        <v>272</v>
      </c>
      <c r="G8" s="64" t="s">
        <v>338</v>
      </c>
      <c r="H8" s="64">
        <v>9</v>
      </c>
      <c r="I8" s="64">
        <v>22</v>
      </c>
      <c r="J8" s="64">
        <v>31</v>
      </c>
      <c r="K8" s="64">
        <v>40</v>
      </c>
      <c r="L8" s="64" t="s">
        <v>322</v>
      </c>
      <c r="M8" s="64" t="s">
        <v>339</v>
      </c>
      <c r="N8" s="48" t="s">
        <v>339</v>
      </c>
      <c r="O8" s="64">
        <v>9</v>
      </c>
      <c r="P8" s="64">
        <v>13</v>
      </c>
      <c r="Q8" s="64" t="e">
        <v>#VALUE!</v>
      </c>
      <c r="R8" s="64">
        <v>22</v>
      </c>
      <c r="S8" s="64" t="s">
        <v>337</v>
      </c>
      <c r="T8" s="48" t="s">
        <v>323</v>
      </c>
      <c r="U8" s="64" t="e">
        <v>#VALUE!</v>
      </c>
      <c r="V8" s="64">
        <v>4</v>
      </c>
      <c r="W8" s="64" t="e">
        <v>#VALUE!</v>
      </c>
      <c r="X8" s="64" t="e">
        <v>#VALUE!</v>
      </c>
      <c r="Y8" s="64" t="s">
        <v>324</v>
      </c>
      <c r="Z8" s="50"/>
      <c r="AA8" s="52"/>
      <c r="AB8" s="50"/>
      <c r="AC8" s="154" t="s">
        <v>406</v>
      </c>
    </row>
    <row r="9" spans="1:29" ht="40" customHeight="1" x14ac:dyDescent="0.15">
      <c r="A9" s="128">
        <v>39009008</v>
      </c>
      <c r="B9" s="47" t="s">
        <v>436</v>
      </c>
      <c r="C9" s="50">
        <v>3</v>
      </c>
      <c r="D9" s="50" t="s">
        <v>128</v>
      </c>
      <c r="E9" s="51" t="s">
        <v>293</v>
      </c>
      <c r="F9" s="51" t="s">
        <v>294</v>
      </c>
      <c r="G9" s="64" t="s">
        <v>319</v>
      </c>
      <c r="H9" s="64">
        <v>9</v>
      </c>
      <c r="I9" s="64">
        <v>18</v>
      </c>
      <c r="J9" s="64">
        <v>27</v>
      </c>
      <c r="K9" s="64">
        <v>33</v>
      </c>
      <c r="L9" s="64" t="s">
        <v>320</v>
      </c>
      <c r="M9" s="64" t="s">
        <v>321</v>
      </c>
      <c r="N9" s="48" t="s">
        <v>321</v>
      </c>
      <c r="O9" s="64">
        <v>9</v>
      </c>
      <c r="P9" s="64">
        <v>22</v>
      </c>
      <c r="Q9" s="64">
        <v>31</v>
      </c>
      <c r="R9" s="64">
        <v>40</v>
      </c>
      <c r="S9" s="64" t="s">
        <v>322</v>
      </c>
      <c r="T9" s="48" t="s">
        <v>323</v>
      </c>
      <c r="U9" s="64" t="e">
        <v>#VALUE!</v>
      </c>
      <c r="V9" s="64">
        <v>4</v>
      </c>
      <c r="W9" s="64" t="e">
        <v>#VALUE!</v>
      </c>
      <c r="X9" s="64" t="e">
        <v>#VALUE!</v>
      </c>
      <c r="Y9" s="64" t="s">
        <v>324</v>
      </c>
      <c r="Z9" s="50"/>
      <c r="AA9" s="52"/>
      <c r="AB9" s="50"/>
      <c r="AC9" s="154" t="s">
        <v>407</v>
      </c>
    </row>
    <row r="10" spans="1:29" ht="40" customHeight="1" x14ac:dyDescent="0.15">
      <c r="A10" s="128">
        <v>39009009</v>
      </c>
      <c r="B10" s="47" t="s">
        <v>437</v>
      </c>
      <c r="C10" s="50">
        <v>3</v>
      </c>
      <c r="D10" s="50" t="s">
        <v>128</v>
      </c>
      <c r="E10" s="51" t="s">
        <v>280</v>
      </c>
      <c r="F10" s="51" t="s">
        <v>258</v>
      </c>
      <c r="G10" s="64" t="s">
        <v>325</v>
      </c>
      <c r="H10" s="64">
        <v>9</v>
      </c>
      <c r="I10" s="64">
        <v>22</v>
      </c>
      <c r="J10" s="64">
        <v>31</v>
      </c>
      <c r="K10" s="64">
        <v>40</v>
      </c>
      <c r="L10" s="64" t="s">
        <v>322</v>
      </c>
      <c r="M10" s="64" t="s">
        <v>323</v>
      </c>
      <c r="N10" s="48" t="s">
        <v>323</v>
      </c>
      <c r="O10" s="64" t="e">
        <v>#VALUE!</v>
      </c>
      <c r="P10" s="64">
        <v>4</v>
      </c>
      <c r="Q10" s="64" t="e">
        <v>#VALUE!</v>
      </c>
      <c r="R10" s="64" t="e">
        <v>#VALUE!</v>
      </c>
      <c r="S10" s="64" t="s">
        <v>324</v>
      </c>
      <c r="T10" s="48" t="s">
        <v>323</v>
      </c>
      <c r="U10" s="64" t="e">
        <v>#VALUE!</v>
      </c>
      <c r="V10" s="64">
        <v>4</v>
      </c>
      <c r="W10" s="64" t="e">
        <v>#VALUE!</v>
      </c>
      <c r="X10" s="64" t="e">
        <v>#VALUE!</v>
      </c>
      <c r="Y10" s="64" t="s">
        <v>324</v>
      </c>
      <c r="Z10" s="50"/>
      <c r="AA10" s="52"/>
      <c r="AB10" s="50"/>
      <c r="AC10" s="154" t="s">
        <v>408</v>
      </c>
    </row>
    <row r="11" spans="1:29" ht="40" customHeight="1" x14ac:dyDescent="0.15">
      <c r="A11" s="128">
        <v>39009010</v>
      </c>
      <c r="B11" s="47" t="s">
        <v>437</v>
      </c>
      <c r="C11" s="133">
        <v>3</v>
      </c>
      <c r="D11" s="133" t="s">
        <v>128</v>
      </c>
      <c r="E11" s="134" t="s">
        <v>280</v>
      </c>
      <c r="F11" s="51" t="s">
        <v>259</v>
      </c>
      <c r="G11" s="64" t="s">
        <v>325</v>
      </c>
      <c r="H11" s="64">
        <v>9</v>
      </c>
      <c r="I11" s="64">
        <v>22</v>
      </c>
      <c r="J11" s="64">
        <v>31</v>
      </c>
      <c r="K11" s="64">
        <v>40</v>
      </c>
      <c r="L11" s="64" t="s">
        <v>322</v>
      </c>
      <c r="M11" s="64" t="s">
        <v>323</v>
      </c>
      <c r="N11" s="48" t="s">
        <v>323</v>
      </c>
      <c r="O11" s="64" t="e">
        <v>#VALUE!</v>
      </c>
      <c r="P11" s="64">
        <v>4</v>
      </c>
      <c r="Q11" s="64" t="e">
        <v>#VALUE!</v>
      </c>
      <c r="R11" s="64" t="e">
        <v>#VALUE!</v>
      </c>
      <c r="S11" s="64" t="s">
        <v>324</v>
      </c>
      <c r="T11" s="48" t="s">
        <v>323</v>
      </c>
      <c r="U11" s="64" t="e">
        <v>#VALUE!</v>
      </c>
      <c r="V11" s="64">
        <v>4</v>
      </c>
      <c r="W11" s="64" t="e">
        <v>#VALUE!</v>
      </c>
      <c r="X11" s="64" t="e">
        <v>#VALUE!</v>
      </c>
      <c r="Y11" s="64" t="s">
        <v>324</v>
      </c>
      <c r="Z11" s="50"/>
      <c r="AA11" s="52"/>
      <c r="AB11" s="50"/>
      <c r="AC11" s="155" t="s">
        <v>408</v>
      </c>
    </row>
    <row r="12" spans="1:29" ht="40" customHeight="1" x14ac:dyDescent="0.15">
      <c r="A12" s="128">
        <v>39009011</v>
      </c>
      <c r="B12" s="47" t="s">
        <v>432</v>
      </c>
      <c r="C12" s="139">
        <v>3</v>
      </c>
      <c r="D12" s="139" t="s">
        <v>128</v>
      </c>
      <c r="E12" s="140" t="s">
        <v>298</v>
      </c>
      <c r="F12" s="145" t="s">
        <v>342</v>
      </c>
      <c r="G12" s="64" t="s">
        <v>319</v>
      </c>
      <c r="H12" s="64">
        <v>9</v>
      </c>
      <c r="I12" s="64">
        <v>18</v>
      </c>
      <c r="J12" s="64">
        <v>27</v>
      </c>
      <c r="K12" s="64">
        <v>33</v>
      </c>
      <c r="L12" s="64" t="s">
        <v>320</v>
      </c>
      <c r="M12" s="64" t="s">
        <v>326</v>
      </c>
      <c r="N12" s="48" t="s">
        <v>326</v>
      </c>
      <c r="O12" s="64">
        <v>9</v>
      </c>
      <c r="P12" s="64">
        <v>27</v>
      </c>
      <c r="Q12" s="64">
        <v>54</v>
      </c>
      <c r="R12" s="64">
        <v>45</v>
      </c>
      <c r="S12" s="64" t="s">
        <v>324</v>
      </c>
      <c r="T12" s="48" t="s">
        <v>323</v>
      </c>
      <c r="U12" s="64" t="e">
        <v>#VALUE!</v>
      </c>
      <c r="V12" s="64">
        <v>4</v>
      </c>
      <c r="W12" s="64" t="e">
        <v>#VALUE!</v>
      </c>
      <c r="X12" s="64" t="e">
        <v>#VALUE!</v>
      </c>
      <c r="Y12" s="64" t="s">
        <v>324</v>
      </c>
      <c r="Z12" s="50"/>
      <c r="AA12" s="52"/>
      <c r="AB12" s="50"/>
      <c r="AC12" s="156" t="s">
        <v>369</v>
      </c>
    </row>
    <row r="13" spans="1:29" ht="40" customHeight="1" x14ac:dyDescent="0.15">
      <c r="A13" s="128">
        <v>39009012</v>
      </c>
      <c r="B13" s="47" t="s">
        <v>438</v>
      </c>
      <c r="C13" s="50">
        <v>3</v>
      </c>
      <c r="D13" s="50" t="s">
        <v>128</v>
      </c>
      <c r="E13" s="51" t="s">
        <v>308</v>
      </c>
      <c r="F13" s="51" t="s">
        <v>390</v>
      </c>
      <c r="G13" s="64" t="s">
        <v>327</v>
      </c>
      <c r="H13" s="64">
        <v>9</v>
      </c>
      <c r="I13" s="64">
        <v>22</v>
      </c>
      <c r="J13" s="64" t="e">
        <v>#VALUE!</v>
      </c>
      <c r="K13" s="64">
        <v>30</v>
      </c>
      <c r="L13" s="64" t="s">
        <v>324</v>
      </c>
      <c r="M13" s="64" t="s">
        <v>328</v>
      </c>
      <c r="N13" s="48" t="s">
        <v>329</v>
      </c>
      <c r="O13" s="64">
        <v>9</v>
      </c>
      <c r="P13" s="64">
        <v>18</v>
      </c>
      <c r="Q13" s="64">
        <v>27</v>
      </c>
      <c r="R13" s="64">
        <v>33</v>
      </c>
      <c r="S13" s="64" t="s">
        <v>320</v>
      </c>
      <c r="T13" s="48" t="s">
        <v>330</v>
      </c>
      <c r="U13" s="64">
        <v>9</v>
      </c>
      <c r="V13" s="64">
        <v>18</v>
      </c>
      <c r="W13" s="64">
        <v>27</v>
      </c>
      <c r="X13" s="64">
        <v>33</v>
      </c>
      <c r="Y13" s="64" t="s">
        <v>331</v>
      </c>
      <c r="Z13" s="50"/>
      <c r="AA13" s="52"/>
      <c r="AB13" s="50"/>
      <c r="AC13" s="154" t="s">
        <v>372</v>
      </c>
    </row>
    <row r="14" spans="1:29" ht="40" customHeight="1" x14ac:dyDescent="0.15">
      <c r="A14" s="128">
        <v>39009013</v>
      </c>
      <c r="B14" s="47" t="s">
        <v>434</v>
      </c>
      <c r="C14" s="50">
        <v>3</v>
      </c>
      <c r="D14" s="50" t="s">
        <v>128</v>
      </c>
      <c r="E14" s="51" t="s">
        <v>309</v>
      </c>
      <c r="F14" s="145" t="s">
        <v>341</v>
      </c>
      <c r="G14" s="64" t="s">
        <v>332</v>
      </c>
      <c r="H14" s="64">
        <v>9</v>
      </c>
      <c r="I14" s="64">
        <v>22</v>
      </c>
      <c r="J14" s="64" t="e">
        <v>#VALUE!</v>
      </c>
      <c r="K14" s="64">
        <v>30</v>
      </c>
      <c r="L14" s="64" t="s">
        <v>324</v>
      </c>
      <c r="M14" s="64" t="s">
        <v>333</v>
      </c>
      <c r="N14" s="48" t="s">
        <v>334</v>
      </c>
      <c r="O14" s="64">
        <v>9</v>
      </c>
      <c r="P14" s="64">
        <v>21</v>
      </c>
      <c r="Q14" s="64">
        <v>30</v>
      </c>
      <c r="R14" s="64">
        <v>41</v>
      </c>
      <c r="S14" s="64" t="s">
        <v>335</v>
      </c>
      <c r="T14" s="48" t="s">
        <v>336</v>
      </c>
      <c r="U14" s="64">
        <v>9</v>
      </c>
      <c r="V14" s="64">
        <v>13</v>
      </c>
      <c r="W14" s="64" t="e">
        <v>#VALUE!</v>
      </c>
      <c r="X14" s="64">
        <v>22</v>
      </c>
      <c r="Y14" s="64" t="s">
        <v>337</v>
      </c>
      <c r="Z14" s="50"/>
      <c r="AA14" s="52"/>
      <c r="AB14" s="50"/>
      <c r="AC14" s="154" t="s">
        <v>371</v>
      </c>
    </row>
    <row r="15" spans="1:29" ht="40" customHeight="1" x14ac:dyDescent="0.15">
      <c r="A15" s="128">
        <v>39009014</v>
      </c>
      <c r="B15" s="47" t="s">
        <v>439</v>
      </c>
      <c r="C15" s="50">
        <v>3</v>
      </c>
      <c r="D15" s="50" t="s">
        <v>128</v>
      </c>
      <c r="E15" s="51" t="s">
        <v>284</v>
      </c>
      <c r="F15" s="51" t="s">
        <v>272</v>
      </c>
      <c r="G15" s="64" t="s">
        <v>338</v>
      </c>
      <c r="H15" s="64">
        <v>9</v>
      </c>
      <c r="I15" s="64">
        <v>22</v>
      </c>
      <c r="J15" s="64">
        <v>31</v>
      </c>
      <c r="K15" s="64">
        <v>40</v>
      </c>
      <c r="L15" s="64" t="s">
        <v>322</v>
      </c>
      <c r="M15" s="64" t="s">
        <v>339</v>
      </c>
      <c r="N15" s="48" t="s">
        <v>339</v>
      </c>
      <c r="O15" s="64">
        <v>9</v>
      </c>
      <c r="P15" s="64">
        <v>13</v>
      </c>
      <c r="Q15" s="64" t="e">
        <v>#VALUE!</v>
      </c>
      <c r="R15" s="64">
        <v>22</v>
      </c>
      <c r="S15" s="64" t="s">
        <v>337</v>
      </c>
      <c r="T15" s="48" t="s">
        <v>323</v>
      </c>
      <c r="U15" s="64" t="e">
        <v>#VALUE!</v>
      </c>
      <c r="V15" s="64">
        <v>4</v>
      </c>
      <c r="W15" s="64" t="e">
        <v>#VALUE!</v>
      </c>
      <c r="X15" s="64" t="e">
        <v>#VALUE!</v>
      </c>
      <c r="Y15" s="64" t="s">
        <v>324</v>
      </c>
      <c r="Z15" s="50"/>
      <c r="AA15" s="52"/>
      <c r="AB15" s="50"/>
      <c r="AC15" s="154" t="s">
        <v>409</v>
      </c>
    </row>
    <row r="16" spans="1:29" ht="40" customHeight="1" x14ac:dyDescent="0.15">
      <c r="A16" s="129">
        <v>39009015</v>
      </c>
      <c r="B16" s="47" t="s">
        <v>440</v>
      </c>
      <c r="C16" s="50">
        <v>3</v>
      </c>
      <c r="D16" s="50" t="s">
        <v>128</v>
      </c>
      <c r="E16" s="51" t="s">
        <v>293</v>
      </c>
      <c r="F16" s="51" t="s">
        <v>294</v>
      </c>
      <c r="G16" s="64" t="s">
        <v>319</v>
      </c>
      <c r="H16" s="64">
        <v>9</v>
      </c>
      <c r="I16" s="64">
        <v>18</v>
      </c>
      <c r="J16" s="64">
        <v>27</v>
      </c>
      <c r="K16" s="64">
        <v>33</v>
      </c>
      <c r="L16" s="64" t="s">
        <v>320</v>
      </c>
      <c r="M16" s="64" t="s">
        <v>321</v>
      </c>
      <c r="N16" s="48" t="s">
        <v>321</v>
      </c>
      <c r="O16" s="64">
        <v>9</v>
      </c>
      <c r="P16" s="64">
        <v>22</v>
      </c>
      <c r="Q16" s="64">
        <v>31</v>
      </c>
      <c r="R16" s="64">
        <v>40</v>
      </c>
      <c r="S16" s="64" t="s">
        <v>322</v>
      </c>
      <c r="T16" s="48" t="s">
        <v>323</v>
      </c>
      <c r="U16" s="64" t="e">
        <v>#VALUE!</v>
      </c>
      <c r="V16" s="64">
        <v>4</v>
      </c>
      <c r="W16" s="64" t="e">
        <v>#VALUE!</v>
      </c>
      <c r="X16" s="64" t="e">
        <v>#VALUE!</v>
      </c>
      <c r="Y16" s="64" t="s">
        <v>324</v>
      </c>
      <c r="Z16" s="50"/>
      <c r="AA16" s="52"/>
      <c r="AB16" s="50"/>
      <c r="AC16" s="154" t="s">
        <v>410</v>
      </c>
    </row>
    <row r="17" spans="1:29" ht="40" customHeight="1" x14ac:dyDescent="0.15">
      <c r="A17" s="129">
        <v>39009016</v>
      </c>
      <c r="B17" s="47" t="s">
        <v>441</v>
      </c>
      <c r="C17" s="50">
        <v>3</v>
      </c>
      <c r="D17" s="50" t="s">
        <v>128</v>
      </c>
      <c r="E17" s="51" t="s">
        <v>280</v>
      </c>
      <c r="F17" s="51" t="s">
        <v>258</v>
      </c>
      <c r="G17" s="64" t="s">
        <v>325</v>
      </c>
      <c r="H17" s="64">
        <v>9</v>
      </c>
      <c r="I17" s="64">
        <v>22</v>
      </c>
      <c r="J17" s="64">
        <v>31</v>
      </c>
      <c r="K17" s="64">
        <v>40</v>
      </c>
      <c r="L17" s="64" t="s">
        <v>322</v>
      </c>
      <c r="M17" s="64" t="s">
        <v>323</v>
      </c>
      <c r="N17" s="48" t="s">
        <v>323</v>
      </c>
      <c r="O17" s="64" t="e">
        <v>#VALUE!</v>
      </c>
      <c r="P17" s="64">
        <v>4</v>
      </c>
      <c r="Q17" s="64" t="e">
        <v>#VALUE!</v>
      </c>
      <c r="R17" s="64" t="e">
        <v>#VALUE!</v>
      </c>
      <c r="S17" s="64" t="s">
        <v>324</v>
      </c>
      <c r="T17" s="48" t="s">
        <v>323</v>
      </c>
      <c r="U17" s="64" t="e">
        <v>#VALUE!</v>
      </c>
      <c r="V17" s="64">
        <v>4</v>
      </c>
      <c r="W17" s="64" t="e">
        <v>#VALUE!</v>
      </c>
      <c r="X17" s="64" t="e">
        <v>#VALUE!</v>
      </c>
      <c r="Y17" s="64" t="s">
        <v>324</v>
      </c>
      <c r="Z17" s="50"/>
      <c r="AA17" s="52"/>
      <c r="AB17" s="50"/>
      <c r="AC17" s="154" t="s">
        <v>411</v>
      </c>
    </row>
    <row r="18" spans="1:29" ht="40" customHeight="1" x14ac:dyDescent="0.15">
      <c r="A18" s="129">
        <v>39009017</v>
      </c>
      <c r="B18" s="47" t="s">
        <v>441</v>
      </c>
      <c r="C18" s="133">
        <v>3</v>
      </c>
      <c r="D18" s="133" t="s">
        <v>128</v>
      </c>
      <c r="E18" s="134" t="s">
        <v>280</v>
      </c>
      <c r="F18" s="51" t="s">
        <v>259</v>
      </c>
      <c r="G18" s="64" t="s">
        <v>325</v>
      </c>
      <c r="H18" s="64">
        <v>9</v>
      </c>
      <c r="I18" s="64">
        <v>22</v>
      </c>
      <c r="J18" s="64">
        <v>31</v>
      </c>
      <c r="K18" s="64">
        <v>40</v>
      </c>
      <c r="L18" s="64" t="s">
        <v>322</v>
      </c>
      <c r="M18" s="64" t="s">
        <v>323</v>
      </c>
      <c r="N18" s="48" t="s">
        <v>323</v>
      </c>
      <c r="O18" s="64" t="e">
        <v>#VALUE!</v>
      </c>
      <c r="P18" s="64">
        <v>4</v>
      </c>
      <c r="Q18" s="64" t="e">
        <v>#VALUE!</v>
      </c>
      <c r="R18" s="64" t="e">
        <v>#VALUE!</v>
      </c>
      <c r="S18" s="64" t="s">
        <v>324</v>
      </c>
      <c r="T18" s="48" t="s">
        <v>323</v>
      </c>
      <c r="U18" s="64" t="e">
        <v>#VALUE!</v>
      </c>
      <c r="V18" s="64">
        <v>4</v>
      </c>
      <c r="W18" s="64" t="e">
        <v>#VALUE!</v>
      </c>
      <c r="X18" s="64" t="e">
        <v>#VALUE!</v>
      </c>
      <c r="Y18" s="64" t="s">
        <v>324</v>
      </c>
      <c r="Z18" s="50"/>
      <c r="AA18" s="52"/>
      <c r="AB18" s="50"/>
      <c r="AC18" s="155" t="s">
        <v>411</v>
      </c>
    </row>
    <row r="19" spans="1:29" ht="40" customHeight="1" x14ac:dyDescent="0.15">
      <c r="A19" s="129">
        <v>39009018</v>
      </c>
      <c r="B19" s="47" t="s">
        <v>432</v>
      </c>
      <c r="C19" s="139">
        <v>3</v>
      </c>
      <c r="D19" s="139" t="s">
        <v>128</v>
      </c>
      <c r="E19" s="140" t="s">
        <v>298</v>
      </c>
      <c r="F19" s="145" t="s">
        <v>342</v>
      </c>
      <c r="G19" s="64" t="s">
        <v>319</v>
      </c>
      <c r="H19" s="64">
        <v>9</v>
      </c>
      <c r="I19" s="64">
        <v>18</v>
      </c>
      <c r="J19" s="64">
        <v>27</v>
      </c>
      <c r="K19" s="64">
        <v>33</v>
      </c>
      <c r="L19" s="64" t="s">
        <v>320</v>
      </c>
      <c r="M19" s="64" t="s">
        <v>326</v>
      </c>
      <c r="N19" s="48" t="s">
        <v>326</v>
      </c>
      <c r="O19" s="64">
        <v>9</v>
      </c>
      <c r="P19" s="64">
        <v>27</v>
      </c>
      <c r="Q19" s="64">
        <v>54</v>
      </c>
      <c r="R19" s="64">
        <v>45</v>
      </c>
      <c r="S19" s="64" t="s">
        <v>324</v>
      </c>
      <c r="T19" s="48" t="s">
        <v>323</v>
      </c>
      <c r="U19" s="64" t="e">
        <v>#VALUE!</v>
      </c>
      <c r="V19" s="64">
        <v>4</v>
      </c>
      <c r="W19" s="64" t="e">
        <v>#VALUE!</v>
      </c>
      <c r="X19" s="64" t="e">
        <v>#VALUE!</v>
      </c>
      <c r="Y19" s="64" t="s">
        <v>324</v>
      </c>
      <c r="Z19" s="50"/>
      <c r="AA19" s="52"/>
      <c r="AB19" s="50"/>
      <c r="AC19" s="156" t="s">
        <v>369</v>
      </c>
    </row>
    <row r="20" spans="1:29" ht="40" customHeight="1" x14ac:dyDescent="0.15">
      <c r="A20" s="129">
        <v>39009019</v>
      </c>
      <c r="B20" s="47" t="s">
        <v>442</v>
      </c>
      <c r="C20" s="50">
        <v>3</v>
      </c>
      <c r="D20" s="50" t="s">
        <v>128</v>
      </c>
      <c r="E20" s="51" t="s">
        <v>308</v>
      </c>
      <c r="F20" s="51" t="s">
        <v>390</v>
      </c>
      <c r="G20" s="64" t="s">
        <v>327</v>
      </c>
      <c r="H20" s="64">
        <v>9</v>
      </c>
      <c r="I20" s="64">
        <v>22</v>
      </c>
      <c r="J20" s="64" t="e">
        <v>#VALUE!</v>
      </c>
      <c r="K20" s="64">
        <v>30</v>
      </c>
      <c r="L20" s="64" t="s">
        <v>324</v>
      </c>
      <c r="M20" s="64" t="s">
        <v>328</v>
      </c>
      <c r="N20" s="48" t="s">
        <v>329</v>
      </c>
      <c r="O20" s="64">
        <v>9</v>
      </c>
      <c r="P20" s="64">
        <v>18</v>
      </c>
      <c r="Q20" s="64">
        <v>27</v>
      </c>
      <c r="R20" s="64">
        <v>33</v>
      </c>
      <c r="S20" s="64" t="s">
        <v>320</v>
      </c>
      <c r="T20" s="48" t="s">
        <v>330</v>
      </c>
      <c r="U20" s="64">
        <v>9</v>
      </c>
      <c r="V20" s="64">
        <v>18</v>
      </c>
      <c r="W20" s="64">
        <v>27</v>
      </c>
      <c r="X20" s="64">
        <v>33</v>
      </c>
      <c r="Y20" s="64" t="s">
        <v>331</v>
      </c>
      <c r="Z20" s="50"/>
      <c r="AA20" s="52"/>
      <c r="AB20" s="50"/>
      <c r="AC20" s="154" t="s">
        <v>373</v>
      </c>
    </row>
    <row r="21" spans="1:29" ht="40" customHeight="1" x14ac:dyDescent="0.15">
      <c r="A21" s="129">
        <v>39009020</v>
      </c>
      <c r="B21" s="47" t="s">
        <v>434</v>
      </c>
      <c r="C21" s="50">
        <v>3</v>
      </c>
      <c r="D21" s="50" t="s">
        <v>128</v>
      </c>
      <c r="E21" s="51" t="s">
        <v>309</v>
      </c>
      <c r="F21" s="145" t="s">
        <v>341</v>
      </c>
      <c r="G21" s="64" t="s">
        <v>332</v>
      </c>
      <c r="H21" s="64">
        <v>9</v>
      </c>
      <c r="I21" s="64">
        <v>22</v>
      </c>
      <c r="J21" s="64" t="e">
        <v>#VALUE!</v>
      </c>
      <c r="K21" s="64">
        <v>30</v>
      </c>
      <c r="L21" s="64" t="s">
        <v>324</v>
      </c>
      <c r="M21" s="64" t="s">
        <v>333</v>
      </c>
      <c r="N21" s="48" t="s">
        <v>334</v>
      </c>
      <c r="O21" s="64">
        <v>9</v>
      </c>
      <c r="P21" s="64">
        <v>21</v>
      </c>
      <c r="Q21" s="64">
        <v>30</v>
      </c>
      <c r="R21" s="64">
        <v>41</v>
      </c>
      <c r="S21" s="64" t="s">
        <v>335</v>
      </c>
      <c r="T21" s="48" t="s">
        <v>336</v>
      </c>
      <c r="U21" s="64">
        <v>9</v>
      </c>
      <c r="V21" s="64">
        <v>13</v>
      </c>
      <c r="W21" s="64" t="e">
        <v>#VALUE!</v>
      </c>
      <c r="X21" s="64">
        <v>22</v>
      </c>
      <c r="Y21" s="64" t="s">
        <v>337</v>
      </c>
      <c r="Z21" s="50"/>
      <c r="AA21" s="52"/>
      <c r="AB21" s="50"/>
      <c r="AC21" s="154" t="s">
        <v>371</v>
      </c>
    </row>
    <row r="22" spans="1:29" ht="40" customHeight="1" x14ac:dyDescent="0.15">
      <c r="A22" s="129">
        <v>39009021</v>
      </c>
      <c r="B22" s="47" t="s">
        <v>443</v>
      </c>
      <c r="C22" s="50">
        <v>3</v>
      </c>
      <c r="D22" s="50" t="s">
        <v>128</v>
      </c>
      <c r="E22" s="51" t="s">
        <v>284</v>
      </c>
      <c r="F22" s="51" t="s">
        <v>272</v>
      </c>
      <c r="G22" s="64" t="s">
        <v>338</v>
      </c>
      <c r="H22" s="64">
        <v>9</v>
      </c>
      <c r="I22" s="64">
        <v>22</v>
      </c>
      <c r="J22" s="64">
        <v>31</v>
      </c>
      <c r="K22" s="64">
        <v>40</v>
      </c>
      <c r="L22" s="64" t="s">
        <v>322</v>
      </c>
      <c r="M22" s="64" t="s">
        <v>339</v>
      </c>
      <c r="N22" s="48" t="s">
        <v>339</v>
      </c>
      <c r="O22" s="64">
        <v>9</v>
      </c>
      <c r="P22" s="64">
        <v>13</v>
      </c>
      <c r="Q22" s="64" t="e">
        <v>#VALUE!</v>
      </c>
      <c r="R22" s="64">
        <v>22</v>
      </c>
      <c r="S22" s="64" t="s">
        <v>337</v>
      </c>
      <c r="T22" s="48" t="s">
        <v>323</v>
      </c>
      <c r="U22" s="64" t="e">
        <v>#VALUE!</v>
      </c>
      <c r="V22" s="64">
        <v>4</v>
      </c>
      <c r="W22" s="64" t="e">
        <v>#VALUE!</v>
      </c>
      <c r="X22" s="64" t="e">
        <v>#VALUE!</v>
      </c>
      <c r="Y22" s="64" t="s">
        <v>324</v>
      </c>
      <c r="Z22" s="50"/>
      <c r="AA22" s="52"/>
      <c r="AB22" s="50"/>
      <c r="AC22" s="154" t="s">
        <v>412</v>
      </c>
    </row>
    <row r="23" spans="1:29" ht="40" customHeight="1" x14ac:dyDescent="0.15">
      <c r="A23" s="130">
        <v>39009022</v>
      </c>
      <c r="B23" s="47" t="s">
        <v>444</v>
      </c>
      <c r="C23" s="50">
        <v>3</v>
      </c>
      <c r="D23" s="50" t="s">
        <v>128</v>
      </c>
      <c r="E23" s="51" t="s">
        <v>293</v>
      </c>
      <c r="F23" s="51" t="s">
        <v>294</v>
      </c>
      <c r="G23" s="64" t="s">
        <v>319</v>
      </c>
      <c r="H23" s="64">
        <v>9</v>
      </c>
      <c r="I23" s="64">
        <v>18</v>
      </c>
      <c r="J23" s="64">
        <v>27</v>
      </c>
      <c r="K23" s="64">
        <v>33</v>
      </c>
      <c r="L23" s="64" t="s">
        <v>320</v>
      </c>
      <c r="M23" s="64" t="s">
        <v>321</v>
      </c>
      <c r="N23" s="48" t="s">
        <v>321</v>
      </c>
      <c r="O23" s="64">
        <v>9</v>
      </c>
      <c r="P23" s="64">
        <v>22</v>
      </c>
      <c r="Q23" s="64">
        <v>31</v>
      </c>
      <c r="R23" s="64">
        <v>40</v>
      </c>
      <c r="S23" s="64" t="s">
        <v>322</v>
      </c>
      <c r="T23" s="48" t="s">
        <v>323</v>
      </c>
      <c r="U23" s="64" t="e">
        <v>#VALUE!</v>
      </c>
      <c r="V23" s="64">
        <v>4</v>
      </c>
      <c r="W23" s="64" t="e">
        <v>#VALUE!</v>
      </c>
      <c r="X23" s="64" t="e">
        <v>#VALUE!</v>
      </c>
      <c r="Y23" s="64" t="s">
        <v>324</v>
      </c>
      <c r="Z23" s="50"/>
      <c r="AA23" s="52"/>
      <c r="AB23" s="50"/>
      <c r="AC23" s="154" t="s">
        <v>413</v>
      </c>
    </row>
    <row r="24" spans="1:29" ht="40" customHeight="1" x14ac:dyDescent="0.15">
      <c r="A24" s="130">
        <v>39009023</v>
      </c>
      <c r="B24" s="47" t="s">
        <v>445</v>
      </c>
      <c r="C24" s="50">
        <v>3</v>
      </c>
      <c r="D24" s="50" t="s">
        <v>128</v>
      </c>
      <c r="E24" s="51" t="s">
        <v>280</v>
      </c>
      <c r="F24" s="51" t="s">
        <v>258</v>
      </c>
      <c r="G24" s="64" t="s">
        <v>325</v>
      </c>
      <c r="H24" s="64">
        <v>9</v>
      </c>
      <c r="I24" s="64">
        <v>22</v>
      </c>
      <c r="J24" s="64">
        <v>31</v>
      </c>
      <c r="K24" s="64">
        <v>40</v>
      </c>
      <c r="L24" s="64" t="s">
        <v>322</v>
      </c>
      <c r="M24" s="64" t="s">
        <v>323</v>
      </c>
      <c r="N24" s="48" t="s">
        <v>323</v>
      </c>
      <c r="O24" s="64" t="e">
        <v>#VALUE!</v>
      </c>
      <c r="P24" s="64">
        <v>4</v>
      </c>
      <c r="Q24" s="64" t="e">
        <v>#VALUE!</v>
      </c>
      <c r="R24" s="64" t="e">
        <v>#VALUE!</v>
      </c>
      <c r="S24" s="64" t="s">
        <v>324</v>
      </c>
      <c r="T24" s="48" t="s">
        <v>323</v>
      </c>
      <c r="U24" s="64" t="e">
        <v>#VALUE!</v>
      </c>
      <c r="V24" s="64">
        <v>4</v>
      </c>
      <c r="W24" s="64" t="e">
        <v>#VALUE!</v>
      </c>
      <c r="X24" s="64" t="e">
        <v>#VALUE!</v>
      </c>
      <c r="Y24" s="64" t="s">
        <v>324</v>
      </c>
      <c r="Z24" s="50"/>
      <c r="AA24" s="52"/>
      <c r="AB24" s="50"/>
      <c r="AC24" s="154" t="s">
        <v>414</v>
      </c>
    </row>
    <row r="25" spans="1:29" ht="40" customHeight="1" x14ac:dyDescent="0.15">
      <c r="A25" s="130">
        <v>39009024</v>
      </c>
      <c r="B25" s="47" t="s">
        <v>445</v>
      </c>
      <c r="C25" s="133">
        <v>3</v>
      </c>
      <c r="D25" s="133" t="s">
        <v>128</v>
      </c>
      <c r="E25" s="134" t="s">
        <v>280</v>
      </c>
      <c r="F25" s="51" t="s">
        <v>259</v>
      </c>
      <c r="G25" s="64" t="s">
        <v>325</v>
      </c>
      <c r="H25" s="64">
        <v>9</v>
      </c>
      <c r="I25" s="64">
        <v>22</v>
      </c>
      <c r="J25" s="64">
        <v>31</v>
      </c>
      <c r="K25" s="64">
        <v>40</v>
      </c>
      <c r="L25" s="64" t="s">
        <v>322</v>
      </c>
      <c r="M25" s="64" t="s">
        <v>323</v>
      </c>
      <c r="N25" s="48" t="s">
        <v>323</v>
      </c>
      <c r="O25" s="64" t="e">
        <v>#VALUE!</v>
      </c>
      <c r="P25" s="64">
        <v>4</v>
      </c>
      <c r="Q25" s="64" t="e">
        <v>#VALUE!</v>
      </c>
      <c r="R25" s="64" t="e">
        <v>#VALUE!</v>
      </c>
      <c r="S25" s="64" t="s">
        <v>324</v>
      </c>
      <c r="T25" s="48" t="s">
        <v>323</v>
      </c>
      <c r="U25" s="64" t="e">
        <v>#VALUE!</v>
      </c>
      <c r="V25" s="64">
        <v>4</v>
      </c>
      <c r="W25" s="64" t="e">
        <v>#VALUE!</v>
      </c>
      <c r="X25" s="64" t="e">
        <v>#VALUE!</v>
      </c>
      <c r="Y25" s="64" t="s">
        <v>324</v>
      </c>
      <c r="Z25" s="50"/>
      <c r="AA25" s="52"/>
      <c r="AB25" s="50"/>
      <c r="AC25" s="155" t="s">
        <v>414</v>
      </c>
    </row>
    <row r="26" spans="1:29" ht="40" customHeight="1" x14ac:dyDescent="0.15">
      <c r="A26" s="130">
        <v>39009025</v>
      </c>
      <c r="B26" s="47" t="s">
        <v>446</v>
      </c>
      <c r="C26" s="139">
        <v>3</v>
      </c>
      <c r="D26" s="139" t="s">
        <v>128</v>
      </c>
      <c r="E26" s="140" t="s">
        <v>298</v>
      </c>
      <c r="F26" s="145" t="s">
        <v>340</v>
      </c>
      <c r="G26" s="64" t="s">
        <v>319</v>
      </c>
      <c r="H26" s="64">
        <v>9</v>
      </c>
      <c r="I26" s="64">
        <v>18</v>
      </c>
      <c r="J26" s="64">
        <v>27</v>
      </c>
      <c r="K26" s="64">
        <v>33</v>
      </c>
      <c r="L26" s="64" t="s">
        <v>320</v>
      </c>
      <c r="M26" s="64" t="s">
        <v>326</v>
      </c>
      <c r="N26" s="48" t="s">
        <v>326</v>
      </c>
      <c r="O26" s="64">
        <v>9</v>
      </c>
      <c r="P26" s="64">
        <v>27</v>
      </c>
      <c r="Q26" s="64">
        <v>54</v>
      </c>
      <c r="R26" s="64">
        <v>45</v>
      </c>
      <c r="S26" s="64" t="s">
        <v>324</v>
      </c>
      <c r="T26" s="48" t="s">
        <v>323</v>
      </c>
      <c r="U26" s="64" t="e">
        <v>#VALUE!</v>
      </c>
      <c r="V26" s="64">
        <v>4</v>
      </c>
      <c r="W26" s="64" t="e">
        <v>#VALUE!</v>
      </c>
      <c r="X26" s="64" t="e">
        <v>#VALUE!</v>
      </c>
      <c r="Y26" s="64" t="s">
        <v>324</v>
      </c>
      <c r="Z26" s="50"/>
      <c r="AA26" s="52"/>
      <c r="AB26" s="50"/>
      <c r="AC26" s="156" t="s">
        <v>374</v>
      </c>
    </row>
    <row r="27" spans="1:29" ht="40" customHeight="1" x14ac:dyDescent="0.15">
      <c r="A27" s="130">
        <v>39009026</v>
      </c>
      <c r="B27" s="47" t="s">
        <v>447</v>
      </c>
      <c r="C27" s="50">
        <v>3</v>
      </c>
      <c r="D27" s="50" t="s">
        <v>128</v>
      </c>
      <c r="E27" s="51" t="s">
        <v>308</v>
      </c>
      <c r="F27" s="51" t="s">
        <v>390</v>
      </c>
      <c r="G27" s="64" t="s">
        <v>327</v>
      </c>
      <c r="H27" s="64">
        <v>9</v>
      </c>
      <c r="I27" s="64">
        <v>22</v>
      </c>
      <c r="J27" s="64" t="e">
        <v>#VALUE!</v>
      </c>
      <c r="K27" s="64">
        <v>30</v>
      </c>
      <c r="L27" s="64" t="s">
        <v>324</v>
      </c>
      <c r="M27" s="64" t="s">
        <v>328</v>
      </c>
      <c r="N27" s="48" t="s">
        <v>329</v>
      </c>
      <c r="O27" s="64">
        <v>9</v>
      </c>
      <c r="P27" s="64">
        <v>18</v>
      </c>
      <c r="Q27" s="64">
        <v>27</v>
      </c>
      <c r="R27" s="64">
        <v>33</v>
      </c>
      <c r="S27" s="64" t="s">
        <v>320</v>
      </c>
      <c r="T27" s="48" t="s">
        <v>330</v>
      </c>
      <c r="U27" s="64">
        <v>9</v>
      </c>
      <c r="V27" s="64">
        <v>18</v>
      </c>
      <c r="W27" s="64">
        <v>27</v>
      </c>
      <c r="X27" s="64">
        <v>33</v>
      </c>
      <c r="Y27" s="64" t="s">
        <v>331</v>
      </c>
      <c r="Z27" s="50"/>
      <c r="AA27" s="52"/>
      <c r="AB27" s="50"/>
      <c r="AC27" s="154" t="s">
        <v>375</v>
      </c>
    </row>
    <row r="28" spans="1:29" ht="40" customHeight="1" x14ac:dyDescent="0.15">
      <c r="A28" s="130">
        <v>39009027</v>
      </c>
      <c r="B28" s="47" t="s">
        <v>448</v>
      </c>
      <c r="C28" s="50">
        <v>3</v>
      </c>
      <c r="D28" s="50" t="s">
        <v>128</v>
      </c>
      <c r="E28" s="51" t="s">
        <v>309</v>
      </c>
      <c r="F28" s="51" t="s">
        <v>271</v>
      </c>
      <c r="G28" s="64" t="s">
        <v>332</v>
      </c>
      <c r="H28" s="64">
        <v>9</v>
      </c>
      <c r="I28" s="64">
        <v>22</v>
      </c>
      <c r="J28" s="64" t="e">
        <v>#VALUE!</v>
      </c>
      <c r="K28" s="64">
        <v>30</v>
      </c>
      <c r="L28" s="64" t="s">
        <v>324</v>
      </c>
      <c r="M28" s="64" t="s">
        <v>333</v>
      </c>
      <c r="N28" s="48" t="s">
        <v>334</v>
      </c>
      <c r="O28" s="64">
        <v>9</v>
      </c>
      <c r="P28" s="64">
        <v>21</v>
      </c>
      <c r="Q28" s="64">
        <v>30</v>
      </c>
      <c r="R28" s="64">
        <v>41</v>
      </c>
      <c r="S28" s="64" t="s">
        <v>335</v>
      </c>
      <c r="T28" s="48" t="s">
        <v>336</v>
      </c>
      <c r="U28" s="64">
        <v>9</v>
      </c>
      <c r="V28" s="64">
        <v>13</v>
      </c>
      <c r="W28" s="64" t="e">
        <v>#VALUE!</v>
      </c>
      <c r="X28" s="64">
        <v>22</v>
      </c>
      <c r="Y28" s="64" t="s">
        <v>337</v>
      </c>
      <c r="Z28" s="50"/>
      <c r="AA28" s="52"/>
      <c r="AB28" s="50"/>
      <c r="AC28" s="154" t="s">
        <v>376</v>
      </c>
    </row>
    <row r="29" spans="1:29" ht="40" customHeight="1" x14ac:dyDescent="0.15">
      <c r="A29" s="130">
        <v>39009028</v>
      </c>
      <c r="B29" s="47" t="s">
        <v>449</v>
      </c>
      <c r="C29" s="50">
        <v>3</v>
      </c>
      <c r="D29" s="50" t="s">
        <v>128</v>
      </c>
      <c r="E29" s="51" t="s">
        <v>284</v>
      </c>
      <c r="F29" s="51" t="s">
        <v>272</v>
      </c>
      <c r="G29" s="64" t="s">
        <v>338</v>
      </c>
      <c r="H29" s="64">
        <v>9</v>
      </c>
      <c r="I29" s="64">
        <v>22</v>
      </c>
      <c r="J29" s="64">
        <v>31</v>
      </c>
      <c r="K29" s="64">
        <v>40</v>
      </c>
      <c r="L29" s="64" t="s">
        <v>322</v>
      </c>
      <c r="M29" s="64" t="s">
        <v>339</v>
      </c>
      <c r="N29" s="48" t="s">
        <v>339</v>
      </c>
      <c r="O29" s="64">
        <v>9</v>
      </c>
      <c r="P29" s="64">
        <v>13</v>
      </c>
      <c r="Q29" s="64" t="e">
        <v>#VALUE!</v>
      </c>
      <c r="R29" s="64">
        <v>22</v>
      </c>
      <c r="S29" s="64" t="s">
        <v>337</v>
      </c>
      <c r="T29" s="48" t="s">
        <v>323</v>
      </c>
      <c r="U29" s="64" t="e">
        <v>#VALUE!</v>
      </c>
      <c r="V29" s="64">
        <v>4</v>
      </c>
      <c r="W29" s="64" t="e">
        <v>#VALUE!</v>
      </c>
      <c r="X29" s="64" t="e">
        <v>#VALUE!</v>
      </c>
      <c r="Y29" s="64" t="s">
        <v>324</v>
      </c>
      <c r="Z29" s="50"/>
      <c r="AA29" s="52"/>
      <c r="AB29" s="50"/>
      <c r="AC29" s="154" t="s">
        <v>415</v>
      </c>
    </row>
    <row r="30" spans="1:29" ht="40" customHeight="1" x14ac:dyDescent="0.15">
      <c r="A30" s="47">
        <v>39009029</v>
      </c>
      <c r="B30" s="47" t="s">
        <v>488</v>
      </c>
      <c r="C30" s="50">
        <v>3</v>
      </c>
      <c r="D30" s="50" t="s">
        <v>128</v>
      </c>
      <c r="E30" s="51" t="s">
        <v>293</v>
      </c>
      <c r="F30" s="51" t="s">
        <v>294</v>
      </c>
      <c r="G30" s="64" t="str">
        <f t="shared" ref="G30:G75" si="0">IFERROR(LEFT(B30,FIND("],",B30)),B30)</f>
        <v>[effect:enemy_message, val1:1.2, val2:1.2]</v>
      </c>
      <c r="H30" s="64">
        <f t="shared" ref="H30:H75" si="1">FIND("effect:",G30)+7</f>
        <v>9</v>
      </c>
      <c r="I30" s="64">
        <f t="shared" ref="I30:I75" si="2">IFERROR(FIND(",",G30),LEN(G30))</f>
        <v>22</v>
      </c>
      <c r="J30" s="64" t="e">
        <f t="shared" ref="J30:J75" si="3">FIND("target:",G30)+7</f>
        <v>#VALUE!</v>
      </c>
      <c r="K30" s="64">
        <f t="shared" ref="K30:K75" si="4">FIND(",",G30,I30+1)</f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:M75" si="5">IFERROR(RIGHT(B30,LEN(B30)-FIND("],",B30)-1),"none")</f>
        <v>[effect:fix_speed, target:myself, turn:2],[effect:enhance_enemy, target:myself, turn:3, status:defense, val:1080, calc:add, animation:enemy_enhance_defense]</v>
      </c>
      <c r="N30" s="48" t="str">
        <f t="shared" ref="N30:N65" si="6">IFERROR(LEFT(M30,FIND("],",M30)+S40),M30)</f>
        <v>[effect:fix_speed, target:myself, turn:2],[effect:enhance_enemy, target:myself, turn:3, status:defense, val:1080, calc:add, animation:enemy_enhance_defense]</v>
      </c>
      <c r="O30" s="64">
        <f t="shared" ref="O30:O75" si="7">FIND("effect:",N30)+7</f>
        <v>9</v>
      </c>
      <c r="P30" s="64">
        <f t="shared" ref="P30:P75" si="8">IFERROR(FIND(",",N30),LEN(N30))</f>
        <v>18</v>
      </c>
      <c r="Q30" s="64">
        <f t="shared" ref="Q30:Q75" si="9">FIND("target:",N30)+7</f>
        <v>27</v>
      </c>
      <c r="R30" s="64">
        <f t="shared" ref="R30:R75" si="10">FIND(",",N30,P30+1)</f>
        <v>33</v>
      </c>
      <c r="S30" s="64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ref="T30:T75" si="11">IFERROR(RIGHT(M30,LEN(M30)-FIND("],",M30)-1),"none")</f>
        <v>[effect:enhance_enemy, target:myself, turn:3, status:defense, val:1080, calc:add, animation:enemy_enhance_defense]</v>
      </c>
      <c r="U30" s="64">
        <f t="shared" ref="U30:U75" si="12">FIND("effect:",T30)+7</f>
        <v>9</v>
      </c>
      <c r="V30" s="64">
        <f t="shared" ref="V30:V75" si="13">IFERROR(FIND(",",T30),LEN(T30))</f>
        <v>22</v>
      </c>
      <c r="W30" s="64">
        <f t="shared" ref="W30:W75" si="14">FIND("target:",T30)+7</f>
        <v>31</v>
      </c>
      <c r="X30" s="64">
        <f t="shared" ref="X30:X75" si="15">FIND(",",T30,V30+1)</f>
        <v>37</v>
      </c>
      <c r="Y30" s="64" t="str">
        <f>IFERROR(VLOOKUP(MID(T30,W30,X30-W30),[5]skilldef!$C:$D,2,FALSE),"-") &amp; " / " &amp; IFERROR(VLOOKUP(MID(T30,U30,V30-U30),[5]skilldef!$A:$B,2,FALSE),"-")</f>
        <v>自分自身に / ステータス強化</v>
      </c>
      <c r="Z30" s="50"/>
      <c r="AA30" s="52"/>
      <c r="AB30" s="50"/>
      <c r="AC30" s="154" t="s">
        <v>489</v>
      </c>
    </row>
    <row r="31" spans="1:29" ht="40" customHeight="1" x14ac:dyDescent="0.15">
      <c r="A31" s="47">
        <v>39009030</v>
      </c>
      <c r="B31" s="47" t="s">
        <v>450</v>
      </c>
      <c r="C31" s="50">
        <v>3</v>
      </c>
      <c r="D31" s="50" t="s">
        <v>128</v>
      </c>
      <c r="E31" s="51" t="s">
        <v>277</v>
      </c>
      <c r="F31" s="51" t="s">
        <v>260</v>
      </c>
      <c r="G31" s="64" t="str">
        <f t="shared" si="0"/>
        <v>[effect:enemy_message, val1:1.2, val2:1.2]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5"/>
        <v>[effect:rush, count:3, val:0.44]</v>
      </c>
      <c r="N31" s="48" t="str">
        <f t="shared" si="6"/>
        <v>[effect:rush, count:3, val:0.44]</v>
      </c>
      <c r="O31" s="64">
        <f t="shared" si="7"/>
        <v>9</v>
      </c>
      <c r="P31" s="64">
        <f t="shared" si="8"/>
        <v>13</v>
      </c>
      <c r="Q31" s="64" t="e">
        <f t="shared" si="9"/>
        <v>#VALUE!</v>
      </c>
      <c r="R31" s="64">
        <f t="shared" si="10"/>
        <v>22</v>
      </c>
      <c r="S31" s="64" t="str">
        <f>IFERROR(VLOOKUP(MID(N31,Q31,R31-Q31),[5]skilldef!$C:$D,2,FALSE),"-") &amp; " / " &amp; IFERROR(VLOOKUP(MID(N31,O31,P31-O31),[5]skilldef!$A:$B,2,FALSE),"-")</f>
        <v>- / 連続攻撃</v>
      </c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  <c r="AC31" s="157" t="s">
        <v>252</v>
      </c>
    </row>
    <row r="32" spans="1:29" ht="40" customHeight="1" x14ac:dyDescent="0.15">
      <c r="A32" s="47">
        <v>39009031</v>
      </c>
      <c r="B32" s="47" t="s">
        <v>491</v>
      </c>
      <c r="C32" s="50">
        <v>3</v>
      </c>
      <c r="D32" s="50" t="s">
        <v>128</v>
      </c>
      <c r="E32" s="51" t="s">
        <v>350</v>
      </c>
      <c r="F32" s="51" t="s">
        <v>286</v>
      </c>
      <c r="G32" s="64" t="str">
        <f t="shared" si="0"/>
        <v>[effect:enemy_message, val1:1.2, val2:2.2]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[effect:damage_anti_tribe, target:unit_all, tribe:none, val1:0.18, val2:1.3]</v>
      </c>
      <c r="N32" s="48" t="str">
        <f t="shared" si="6"/>
        <v>[effect:damage_anti_tribe, target:unit_all, tribe:none, val1:0.18, val2:1.3]</v>
      </c>
      <c r="O32" s="64">
        <f t="shared" si="7"/>
        <v>9</v>
      </c>
      <c r="P32" s="64">
        <f t="shared" si="8"/>
        <v>26</v>
      </c>
      <c r="Q32" s="64">
        <f t="shared" si="9"/>
        <v>35</v>
      </c>
      <c r="R32" s="64">
        <f t="shared" si="10"/>
        <v>43</v>
      </c>
      <c r="S32" s="64" t="str">
        <f>IFERROR(VLOOKUP(MID(N32,Q32,R32-Q32),[5]skilldef!$C:$D,2,FALSE),"-") &amp; " / " &amp; IFERROR(VLOOKUP(MID(N32,O32,P32-O32),[5]skilldef!$A:$B,2,FALSE),"-")</f>
        <v>味方全体に / 種族キラー</v>
      </c>
      <c r="T32" s="48" t="str">
        <f t="shared" si="11"/>
        <v>none</v>
      </c>
      <c r="U32" s="64" t="e">
        <f t="shared" si="12"/>
        <v>#VALUE!</v>
      </c>
      <c r="V32" s="64">
        <f t="shared" si="13"/>
        <v>4</v>
      </c>
      <c r="W32" s="64" t="e">
        <f t="shared" si="14"/>
        <v>#VALUE!</v>
      </c>
      <c r="X32" s="64" t="e">
        <f t="shared" si="15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  <c r="AC32" s="157" t="s">
        <v>492</v>
      </c>
    </row>
    <row r="33" spans="1:29" ht="40" customHeight="1" x14ac:dyDescent="0.15">
      <c r="A33" s="47">
        <v>39009032</v>
      </c>
      <c r="B33" s="47" t="s">
        <v>451</v>
      </c>
      <c r="C33" s="50">
        <v>3</v>
      </c>
      <c r="D33" s="50" t="s">
        <v>128</v>
      </c>
      <c r="E33" s="51" t="s">
        <v>278</v>
      </c>
      <c r="F33" s="51" t="s">
        <v>261</v>
      </c>
      <c r="G33" s="64" t="str">
        <f t="shared" si="0"/>
        <v>[effect:enemy_message, val1:1.2, val2:1.2]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si="5"/>
        <v>[effect:heal, target:myself, val:0.2, animation:enemy_heal],[effect:spread, val:0.25]</v>
      </c>
      <c r="N33" s="48" t="str">
        <f t="shared" si="6"/>
        <v>[effect:heal, target:myself, val:0.2, animation:enemy_heal],[effect:spread, val:0.25]</v>
      </c>
      <c r="O33" s="64">
        <f t="shared" si="7"/>
        <v>9</v>
      </c>
      <c r="P33" s="64">
        <f t="shared" si="8"/>
        <v>13</v>
      </c>
      <c r="Q33" s="64">
        <f t="shared" si="9"/>
        <v>22</v>
      </c>
      <c r="R33" s="64">
        <f t="shared" si="10"/>
        <v>28</v>
      </c>
      <c r="S33" s="64" t="str">
        <f>IFERROR(VLOOKUP(MID(N33,Q33,R33-Q33),[5]skilldef!$C:$D,2,FALSE),"-") &amp; " / " &amp; IFERROR(VLOOKUP(MID(N33,O33,P33-O33),[5]skilldef!$A:$B,2,FALSE),"-")</f>
        <v>自分自身に / 回復</v>
      </c>
      <c r="T33" s="48" t="str">
        <f t="shared" si="11"/>
        <v>[effect:spread, val:0.25]</v>
      </c>
      <c r="U33" s="64">
        <f t="shared" si="12"/>
        <v>9</v>
      </c>
      <c r="V33" s="64">
        <f t="shared" si="13"/>
        <v>15</v>
      </c>
      <c r="W33" s="64" t="e">
        <f t="shared" si="14"/>
        <v>#VALUE!</v>
      </c>
      <c r="X33" s="64" t="e">
        <f t="shared" si="15"/>
        <v>#VALUE!</v>
      </c>
      <c r="Y33" s="64" t="str">
        <f>IFERROR(VLOOKUP(MID(T33,W33,X33-W33),[5]skilldef!$C:$D,2,FALSE),"-") &amp; " / " &amp; IFERROR(VLOOKUP(MID(T33,U33,V33-U33),[5]skilldef!$A:$B,2,FALSE),"-")</f>
        <v>- / 全体攻撃</v>
      </c>
      <c r="Z33" s="50"/>
      <c r="AA33" s="52"/>
      <c r="AB33" s="50"/>
      <c r="AC33" s="157" t="s">
        <v>394</v>
      </c>
    </row>
    <row r="34" spans="1:29" ht="40" customHeight="1" x14ac:dyDescent="0.15">
      <c r="A34" s="47">
        <v>39009033</v>
      </c>
      <c r="B34" s="47" t="s">
        <v>452</v>
      </c>
      <c r="C34" s="50">
        <v>3</v>
      </c>
      <c r="D34" s="50" t="s">
        <v>128</v>
      </c>
      <c r="E34" s="51" t="s">
        <v>295</v>
      </c>
      <c r="F34" s="51" t="s">
        <v>262</v>
      </c>
      <c r="G34" s="64" t="str">
        <f t="shared" si="0"/>
        <v>[effect:enemy_message, val1:1.2, val2:1.2]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si="5"/>
        <v>[effect:enhance_enemy, target:myself, turn:3, status:attack, val:0.3, calc:mul, animation:enemy_enhance_attack]</v>
      </c>
      <c r="N34" s="48" t="str">
        <f t="shared" ref="N34:N35" si="16">IFERROR(LEFT(M34,FIND("],",M34)+S45),M34)</f>
        <v>[effect:enhance_enemy, target:myself, turn:3, status:attack, val:0.3, calc:mul, animation:enemy_enhance_attack]</v>
      </c>
      <c r="O34" s="64">
        <f t="shared" si="7"/>
        <v>9</v>
      </c>
      <c r="P34" s="64">
        <f t="shared" si="8"/>
        <v>22</v>
      </c>
      <c r="Q34" s="64">
        <f t="shared" si="9"/>
        <v>31</v>
      </c>
      <c r="R34" s="64">
        <f t="shared" si="10"/>
        <v>37</v>
      </c>
      <c r="S34" s="64" t="str">
        <f>IFERROR(VLOOKUP(MID(N34,Q34,R34-Q34),[5]skilldef!$C:$D,2,FALSE),"-") &amp; " / " &amp; IFERROR(VLOOKUP(MID(N34,O34,P34-O34),[5]skilldef!$A:$B,2,FALSE),"-")</f>
        <v>自分自身に / ステータス強化</v>
      </c>
      <c r="T34" s="48" t="str">
        <f t="shared" si="11"/>
        <v>none</v>
      </c>
      <c r="U34" s="64" t="e">
        <f t="shared" si="12"/>
        <v>#VALUE!</v>
      </c>
      <c r="V34" s="64">
        <f t="shared" si="13"/>
        <v>4</v>
      </c>
      <c r="W34" s="64" t="e">
        <f t="shared" si="14"/>
        <v>#VALUE!</v>
      </c>
      <c r="X34" s="64" t="e">
        <f t="shared" si="15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  <c r="AC34" s="157" t="s">
        <v>396</v>
      </c>
    </row>
    <row r="35" spans="1:29" ht="40" customHeight="1" x14ac:dyDescent="0.15">
      <c r="A35" s="47">
        <v>39009034</v>
      </c>
      <c r="B35" s="47" t="s">
        <v>453</v>
      </c>
      <c r="C35" s="50">
        <v>3</v>
      </c>
      <c r="D35" s="50" t="s">
        <v>128</v>
      </c>
      <c r="E35" s="51" t="s">
        <v>348</v>
      </c>
      <c r="F35" s="51" t="s">
        <v>258</v>
      </c>
      <c r="G35" s="64" t="str">
        <f t="shared" si="0"/>
        <v>[effect:enemy_message, val1:1.2, val2:1.2]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[effect:enhance_enemy, target:myself, turn:3, status:defense, val:1440, calc:add, animation:enemy_enhance_defense]</v>
      </c>
      <c r="N35" s="48" t="str">
        <f t="shared" si="16"/>
        <v>[effect:enhance_enemy, target:myself, turn:3, status:defense, val:1440, calc:add, animation:enemy_enhance_defense]</v>
      </c>
      <c r="O35" s="64">
        <f t="shared" si="7"/>
        <v>9</v>
      </c>
      <c r="P35" s="64">
        <f t="shared" si="8"/>
        <v>22</v>
      </c>
      <c r="Q35" s="64">
        <f t="shared" si="9"/>
        <v>31</v>
      </c>
      <c r="R35" s="64">
        <f t="shared" si="10"/>
        <v>37</v>
      </c>
      <c r="S35" s="64" t="str">
        <f>IFERROR(VLOOKUP(MID(N35,Q35,R35-Q35),[5]skilldef!$C:$D,2,FALSE),"-") &amp; " / " &amp; IFERROR(VLOOKUP(MID(N35,O35,P35-O35),[5]skilldef!$A:$B,2,FALSE),"-")</f>
        <v>自分自身に / ステータス強化</v>
      </c>
      <c r="T35" s="48" t="str">
        <f t="shared" si="11"/>
        <v>none</v>
      </c>
      <c r="U35" s="64" t="e">
        <f t="shared" si="12"/>
        <v>#VALUE!</v>
      </c>
      <c r="V35" s="64">
        <f t="shared" si="13"/>
        <v>4</v>
      </c>
      <c r="W35" s="64" t="e">
        <f t="shared" si="14"/>
        <v>#VALUE!</v>
      </c>
      <c r="X35" s="64" t="e">
        <f t="shared" si="15"/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  <c r="AC35" s="154" t="s">
        <v>398</v>
      </c>
    </row>
    <row r="36" spans="1:29" ht="40" customHeight="1" x14ac:dyDescent="0.15">
      <c r="A36" s="47">
        <v>39009035</v>
      </c>
      <c r="B36" s="47" t="s">
        <v>454</v>
      </c>
      <c r="C36" s="50">
        <v>3</v>
      </c>
      <c r="D36" s="50" t="s">
        <v>128</v>
      </c>
      <c r="E36" s="51" t="s">
        <v>351</v>
      </c>
      <c r="F36" s="51" t="s">
        <v>263</v>
      </c>
      <c r="G36" s="64" t="str">
        <f t="shared" si="0"/>
        <v>[effect:enemy_message, val1:1.2, val2:1.2]</v>
      </c>
      <c r="H36" s="64">
        <f t="shared" si="1"/>
        <v>9</v>
      </c>
      <c r="I36" s="64">
        <f t="shared" si="2"/>
        <v>22</v>
      </c>
      <c r="J36" s="64" t="e">
        <f t="shared" si="3"/>
        <v>#VALUE!</v>
      </c>
      <c r="K36" s="64">
        <f t="shared" si="4"/>
        <v>32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5"/>
        <v>[effect:heal, target:myself, val:0.3, animation:enemy_heal]</v>
      </c>
      <c r="N36" s="48" t="str">
        <f>IFERROR(LEFT(M36,FIND("],",M36)+S47),M36)</f>
        <v>[effect:heal, target:myself, val:0.3, animation:enemy_heal]</v>
      </c>
      <c r="O36" s="64">
        <f t="shared" si="7"/>
        <v>9</v>
      </c>
      <c r="P36" s="64">
        <f t="shared" si="8"/>
        <v>13</v>
      </c>
      <c r="Q36" s="64">
        <f t="shared" si="9"/>
        <v>22</v>
      </c>
      <c r="R36" s="64">
        <f t="shared" si="10"/>
        <v>28</v>
      </c>
      <c r="S36" s="64" t="str">
        <f>IFERROR(VLOOKUP(MID(N36,Q36,R36-Q36),[5]skilldef!$C:$D,2,FALSE),"-") &amp; " / " &amp; IFERROR(VLOOKUP(MID(N36,O36,P36-O36),[5]skilldef!$A:$B,2,FALSE),"-")</f>
        <v>自分自身に / 回復</v>
      </c>
      <c r="T36" s="48" t="str">
        <f t="shared" si="11"/>
        <v>none</v>
      </c>
      <c r="U36" s="64" t="e">
        <f t="shared" si="12"/>
        <v>#VALUE!</v>
      </c>
      <c r="V36" s="64">
        <f t="shared" si="13"/>
        <v>4</v>
      </c>
      <c r="W36" s="64" t="e">
        <f t="shared" si="14"/>
        <v>#VALUE!</v>
      </c>
      <c r="X36" s="64" t="e">
        <f t="shared" si="15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  <c r="AC36" s="157" t="s">
        <v>402</v>
      </c>
    </row>
    <row r="37" spans="1:29" ht="40" customHeight="1" x14ac:dyDescent="0.15">
      <c r="A37" s="47">
        <v>39009036</v>
      </c>
      <c r="B37" s="47" t="s">
        <v>455</v>
      </c>
      <c r="C37" s="50">
        <v>3</v>
      </c>
      <c r="D37" s="50" t="s">
        <v>128</v>
      </c>
      <c r="E37" s="51" t="s">
        <v>352</v>
      </c>
      <c r="F37" s="51" t="s">
        <v>264</v>
      </c>
      <c r="G37" s="64" t="str">
        <f t="shared" si="0"/>
        <v>[effect:enemy_message, val1:1.2, val2:1.2]</v>
      </c>
      <c r="H37" s="64">
        <f t="shared" si="1"/>
        <v>9</v>
      </c>
      <c r="I37" s="64">
        <f t="shared" si="2"/>
        <v>22</v>
      </c>
      <c r="J37" s="64" t="e">
        <f t="shared" si="3"/>
        <v>#VALUE!</v>
      </c>
      <c r="K37" s="64">
        <f t="shared" si="4"/>
        <v>32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5"/>
        <v>[effect:freq_turn, target:myself, turn:3, val:1, animation:enemy_freq_turn]</v>
      </c>
      <c r="N37" s="48" t="str">
        <f>IFERROR(LEFT(M37,FIND("],",M37)+S48),M37)</f>
        <v>[effect:freq_turn, target:myself, turn:3, val:1, animation:enemy_freq_turn]</v>
      </c>
      <c r="O37" s="64">
        <f t="shared" si="7"/>
        <v>9</v>
      </c>
      <c r="P37" s="64">
        <f t="shared" si="8"/>
        <v>18</v>
      </c>
      <c r="Q37" s="64">
        <f t="shared" si="9"/>
        <v>27</v>
      </c>
      <c r="R37" s="64">
        <f t="shared" si="10"/>
        <v>33</v>
      </c>
      <c r="S37" s="64" t="str">
        <f>IFERROR(VLOOKUP(MID(N37,Q37,R37-Q37),[5]skilldef!$C:$D,2,FALSE),"-") &amp; " / " &amp; IFERROR(VLOOKUP(MID(N37,O37,P37-O37),[5]skilldef!$A:$B,2,FALSE),"-")</f>
        <v>自分自身に / 攻撃頻度がUP</v>
      </c>
      <c r="T37" s="48" t="str">
        <f t="shared" si="11"/>
        <v>none</v>
      </c>
      <c r="U37" s="64" t="e">
        <f t="shared" si="12"/>
        <v>#VALUE!</v>
      </c>
      <c r="V37" s="64">
        <f t="shared" si="13"/>
        <v>4</v>
      </c>
      <c r="W37" s="64" t="e">
        <f t="shared" si="14"/>
        <v>#VALUE!</v>
      </c>
      <c r="X37" s="64" t="e">
        <f t="shared" si="15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  <c r="AC37" s="157" t="s">
        <v>400</v>
      </c>
    </row>
    <row r="38" spans="1:29" ht="40" customHeight="1" x14ac:dyDescent="0.15">
      <c r="A38" s="47">
        <v>39009037</v>
      </c>
      <c r="B38" s="47" t="s">
        <v>456</v>
      </c>
      <c r="C38" s="133">
        <v>3</v>
      </c>
      <c r="D38" s="133" t="s">
        <v>128</v>
      </c>
      <c r="E38" s="134" t="s">
        <v>296</v>
      </c>
      <c r="F38" s="51" t="s">
        <v>262</v>
      </c>
      <c r="G38" s="64" t="str">
        <f t="shared" si="0"/>
        <v>[effect:enemy_message, val1:1.2, val2:1.2]</v>
      </c>
      <c r="H38" s="64">
        <f t="shared" si="1"/>
        <v>9</v>
      </c>
      <c r="I38" s="64">
        <f t="shared" si="2"/>
        <v>22</v>
      </c>
      <c r="J38" s="64" t="e">
        <f t="shared" si="3"/>
        <v>#VALUE!</v>
      </c>
      <c r="K38" s="64">
        <f t="shared" si="4"/>
        <v>32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5"/>
        <v>[effect:fix_speed, target:myself, turn:2],[effect:enhance_enemy, target:myself, turn:3, status:attack, val:0.1, calc:mul, animation:enemy_enhance_attack]</v>
      </c>
      <c r="N38" s="48" t="str">
        <f>IFERROR(LEFT(M38,FIND("],",M38)+S49),M38)</f>
        <v>[effect:fix_speed, target:myself, turn:2],[effect:enhance_enemy, target:myself, turn:3, status:attack, val:0.1, calc:mul, animation:enemy_enhance_attack]</v>
      </c>
      <c r="O38" s="64">
        <f t="shared" si="7"/>
        <v>9</v>
      </c>
      <c r="P38" s="64">
        <f t="shared" si="8"/>
        <v>18</v>
      </c>
      <c r="Q38" s="64">
        <f t="shared" si="9"/>
        <v>27</v>
      </c>
      <c r="R38" s="64">
        <f t="shared" si="10"/>
        <v>33</v>
      </c>
      <c r="S38" s="64" t="str">
        <f>IFERROR(VLOOKUP(MID(N38,Q38,R38-Q38),[5]skilldef!$C:$D,2,FALSE),"-") &amp; " / " &amp; IFERROR(VLOOKUP(MID(N38,O38,P38-O38),[5]skilldef!$A:$B,2,FALSE),"-")</f>
        <v>自分自身に / 行動値設定</v>
      </c>
      <c r="T38" s="48" t="str">
        <f t="shared" si="11"/>
        <v>[effect:enhance_enemy, target:myself, turn:3, status:attack, val:0.1, calc:mul, animation:enemy_enhance_attack]</v>
      </c>
      <c r="U38" s="64">
        <f t="shared" si="12"/>
        <v>9</v>
      </c>
      <c r="V38" s="64">
        <f t="shared" si="13"/>
        <v>22</v>
      </c>
      <c r="W38" s="64">
        <f t="shared" si="14"/>
        <v>31</v>
      </c>
      <c r="X38" s="64">
        <f t="shared" si="15"/>
        <v>37</v>
      </c>
      <c r="Y38" s="64" t="str">
        <f>IFERROR(VLOOKUP(MID(T38,W38,X38-W38),[5]skilldef!$C:$D,2,FALSE),"-") &amp; " / " &amp; IFERROR(VLOOKUP(MID(T38,U38,V38-U38),[5]skilldef!$A:$B,2,FALSE),"-")</f>
        <v>自分自身に / ステータス強化</v>
      </c>
      <c r="Z38" s="50"/>
      <c r="AA38" s="52"/>
      <c r="AB38" s="50"/>
      <c r="AC38" s="158" t="s">
        <v>416</v>
      </c>
    </row>
    <row r="39" spans="1:29" ht="40" customHeight="1" x14ac:dyDescent="0.15">
      <c r="A39" s="47">
        <v>39009038</v>
      </c>
      <c r="B39" s="47" t="s">
        <v>450</v>
      </c>
      <c r="C39" s="133">
        <v>3</v>
      </c>
      <c r="D39" s="133" t="s">
        <v>128</v>
      </c>
      <c r="E39" s="134" t="s">
        <v>353</v>
      </c>
      <c r="F39" s="51" t="s">
        <v>260</v>
      </c>
      <c r="G39" s="64" t="str">
        <f t="shared" si="0"/>
        <v>[effect:enemy_message, val1:1.2, val2:1.2]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[effect:rush, count:3, val:0.44]</v>
      </c>
      <c r="N39" s="48" t="str">
        <f t="shared" ref="N39:N44" si="17">IFERROR(LEFT(M39,FIND("],",M39)+S58),M39)</f>
        <v>[effect:rush, count:3, val:0.44]</v>
      </c>
      <c r="O39" s="64">
        <f t="shared" si="7"/>
        <v>9</v>
      </c>
      <c r="P39" s="64">
        <f t="shared" si="8"/>
        <v>13</v>
      </c>
      <c r="Q39" s="64" t="e">
        <f t="shared" si="9"/>
        <v>#VALUE!</v>
      </c>
      <c r="R39" s="64">
        <f t="shared" si="10"/>
        <v>22</v>
      </c>
      <c r="S39" s="64" t="str">
        <f>IFERROR(VLOOKUP(MID(N39,Q39,R39-Q39),[5]skilldef!$C:$D,2,FALSE),"-") &amp; " / " &amp; IFERROR(VLOOKUP(MID(N39,O39,P39-O39),[5]skilldef!$A:$B,2,FALSE),"-")</f>
        <v>- / 連続攻撃</v>
      </c>
      <c r="T39" s="48" t="str">
        <f t="shared" si="11"/>
        <v>none</v>
      </c>
      <c r="U39" s="64" t="e">
        <f t="shared" si="12"/>
        <v>#VALUE!</v>
      </c>
      <c r="V39" s="64">
        <f t="shared" si="13"/>
        <v>4</v>
      </c>
      <c r="W39" s="64" t="e">
        <f t="shared" si="14"/>
        <v>#VALUE!</v>
      </c>
      <c r="X39" s="64" t="e">
        <f t="shared" si="15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  <c r="AC39" s="158" t="s">
        <v>252</v>
      </c>
    </row>
    <row r="40" spans="1:29" ht="40" customHeight="1" x14ac:dyDescent="0.15">
      <c r="A40" s="47">
        <v>39009039</v>
      </c>
      <c r="B40" s="47" t="s">
        <v>457</v>
      </c>
      <c r="C40" s="133">
        <v>3</v>
      </c>
      <c r="D40" s="133" t="s">
        <v>128</v>
      </c>
      <c r="E40" s="134" t="s">
        <v>278</v>
      </c>
      <c r="F40" s="51" t="s">
        <v>265</v>
      </c>
      <c r="G40" s="64" t="str">
        <f t="shared" si="0"/>
        <v>[effect:enemy_message, val1:1.2, val2:1.2]</v>
      </c>
      <c r="H40" s="64">
        <f t="shared" si="1"/>
        <v>9</v>
      </c>
      <c r="I40" s="64">
        <f t="shared" si="2"/>
        <v>22</v>
      </c>
      <c r="J40" s="64" t="e">
        <f t="shared" si="3"/>
        <v>#VALUE!</v>
      </c>
      <c r="K40" s="64">
        <f t="shared" si="4"/>
        <v>32</v>
      </c>
      <c r="L40" s="64" t="str">
        <f>IFERROR(VLOOKUP(MID(G40,J40,K40-J40),[5]skilldef!$C:$D,2,FALSE),"-") &amp; " / " &amp; IFERROR(VLOOKUP(MID(G40,H40,I40-H40),[5]skilldef!$A:$B,2,FALSE),"-")</f>
        <v>- / -</v>
      </c>
      <c r="M40" s="64" t="str">
        <f t="shared" si="5"/>
        <v>[effect:heal, target:myself, val:0.2, animation:enemy_heal],[effect:rush, count:2, val:0.35]</v>
      </c>
      <c r="N40" s="48" t="str">
        <f t="shared" si="17"/>
        <v>[effect:heal, target:myself, val:0.2, animation:enemy_heal],[effect:rush, count:2, val:0.35]</v>
      </c>
      <c r="O40" s="64">
        <f t="shared" si="7"/>
        <v>9</v>
      </c>
      <c r="P40" s="64">
        <f t="shared" si="8"/>
        <v>13</v>
      </c>
      <c r="Q40" s="64">
        <f t="shared" si="9"/>
        <v>22</v>
      </c>
      <c r="R40" s="64">
        <f t="shared" si="10"/>
        <v>28</v>
      </c>
      <c r="S40" s="64" t="str">
        <f>IFERROR(VLOOKUP(MID(N40,Q40,R40-Q40),[5]skilldef!$C:$D,2,FALSE),"-") &amp; " / " &amp; IFERROR(VLOOKUP(MID(N40,O40,P40-O40),[5]skilldef!$A:$B,2,FALSE),"-")</f>
        <v>自分自身に / 回復</v>
      </c>
      <c r="T40" s="48" t="str">
        <f t="shared" si="11"/>
        <v>[effect:rush, count:2, val:0.35]</v>
      </c>
      <c r="U40" s="64">
        <f t="shared" si="12"/>
        <v>9</v>
      </c>
      <c r="V40" s="64">
        <f t="shared" si="13"/>
        <v>13</v>
      </c>
      <c r="W40" s="64" t="e">
        <f t="shared" si="14"/>
        <v>#VALUE!</v>
      </c>
      <c r="X40" s="64">
        <f t="shared" si="15"/>
        <v>22</v>
      </c>
      <c r="Y40" s="64" t="str">
        <f>IFERROR(VLOOKUP(MID(T40,W40,X40-W40),[5]skilldef!$C:$D,2,FALSE),"-") &amp; " / " &amp; IFERROR(VLOOKUP(MID(T40,U40,V40-U40),[5]skilldef!$A:$B,2,FALSE),"-")</f>
        <v>- / 連続攻撃</v>
      </c>
      <c r="Z40" s="50"/>
      <c r="AA40" s="52"/>
      <c r="AB40" s="50"/>
      <c r="AC40" s="158" t="s">
        <v>417</v>
      </c>
    </row>
    <row r="41" spans="1:29" ht="40" customHeight="1" x14ac:dyDescent="0.15">
      <c r="A41" s="47">
        <v>39009040</v>
      </c>
      <c r="B41" s="47" t="s">
        <v>458</v>
      </c>
      <c r="C41" s="133">
        <v>3</v>
      </c>
      <c r="D41" s="133" t="s">
        <v>128</v>
      </c>
      <c r="E41" s="134" t="s">
        <v>354</v>
      </c>
      <c r="F41" s="51" t="s">
        <v>297</v>
      </c>
      <c r="G41" s="64" t="str">
        <f t="shared" si="0"/>
        <v>[effect:enemy_message, val1:1.2, val2:1.3]</v>
      </c>
      <c r="H41" s="64">
        <f t="shared" si="1"/>
        <v>9</v>
      </c>
      <c r="I41" s="64">
        <f t="shared" si="2"/>
        <v>22</v>
      </c>
      <c r="J41" s="64" t="e">
        <f t="shared" si="3"/>
        <v>#VALUE!</v>
      </c>
      <c r="K41" s="64">
        <f t="shared" si="4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5"/>
        <v>[effect:damage_gravity, val:0.3, animation:fevergauge_down]</v>
      </c>
      <c r="N41" s="48" t="str">
        <f t="shared" si="17"/>
        <v>[effect:damage_gravity, val:0.3, animation:fevergauge_down]</v>
      </c>
      <c r="O41" s="64">
        <f t="shared" si="7"/>
        <v>9</v>
      </c>
      <c r="P41" s="64">
        <f t="shared" si="8"/>
        <v>23</v>
      </c>
      <c r="Q41" s="64" t="e">
        <f t="shared" si="9"/>
        <v>#VALUE!</v>
      </c>
      <c r="R41" s="64">
        <f t="shared" si="10"/>
        <v>32</v>
      </c>
      <c r="S41" s="64" t="str">
        <f>IFERROR(VLOOKUP(MID(N41,Q41,R41-Q41),[5]skilldef!$C:$D,2,FALSE),"-") &amp; " / " &amp; IFERROR(VLOOKUP(MID(N41,O41,P41-O41),[5]skilldef!$A:$B,2,FALSE),"-")</f>
        <v>- / 割合ダメージ</v>
      </c>
      <c r="T41" s="48" t="str">
        <f t="shared" si="11"/>
        <v>none</v>
      </c>
      <c r="U41" s="64" t="e">
        <f t="shared" si="12"/>
        <v>#VALUE!</v>
      </c>
      <c r="V41" s="64">
        <f t="shared" si="13"/>
        <v>4</v>
      </c>
      <c r="W41" s="64" t="e">
        <f t="shared" si="14"/>
        <v>#VALUE!</v>
      </c>
      <c r="X41" s="64" t="e">
        <f t="shared" si="15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  <c r="AC41" s="158" t="s">
        <v>253</v>
      </c>
    </row>
    <row r="42" spans="1:29" ht="40" customHeight="1" x14ac:dyDescent="0.15">
      <c r="A42" s="47">
        <v>39009041</v>
      </c>
      <c r="B42" s="47" t="s">
        <v>452</v>
      </c>
      <c r="C42" s="133">
        <v>3</v>
      </c>
      <c r="D42" s="133" t="s">
        <v>128</v>
      </c>
      <c r="E42" s="134" t="s">
        <v>279</v>
      </c>
      <c r="F42" s="51" t="s">
        <v>262</v>
      </c>
      <c r="G42" s="64" t="str">
        <f t="shared" si="0"/>
        <v>[effect:enemy_message, val1:1.2, val2:1.2]</v>
      </c>
      <c r="H42" s="64">
        <f t="shared" si="1"/>
        <v>9</v>
      </c>
      <c r="I42" s="64">
        <f t="shared" si="2"/>
        <v>22</v>
      </c>
      <c r="J42" s="64" t="e">
        <f t="shared" si="3"/>
        <v>#VALUE!</v>
      </c>
      <c r="K42" s="64">
        <f t="shared" si="4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5"/>
        <v>[effect:enhance_enemy, target:myself, turn:3, status:attack, val:0.3, calc:mul, animation:enemy_enhance_attack]</v>
      </c>
      <c r="N42" s="48" t="str">
        <f t="shared" si="17"/>
        <v>[effect:enhance_enemy, target:myself, turn:3, status:attack, val:0.3, calc:mul, animation:enemy_enhance_attack]</v>
      </c>
      <c r="O42" s="64">
        <f t="shared" si="7"/>
        <v>9</v>
      </c>
      <c r="P42" s="64">
        <f t="shared" si="8"/>
        <v>22</v>
      </c>
      <c r="Q42" s="64">
        <f t="shared" si="9"/>
        <v>31</v>
      </c>
      <c r="R42" s="64">
        <f t="shared" si="10"/>
        <v>37</v>
      </c>
      <c r="S42" s="64" t="str">
        <f>IFERROR(VLOOKUP(MID(N42,Q42,R42-Q42),[5]skilldef!$C:$D,2,FALSE),"-") &amp; " / " &amp; IFERROR(VLOOKUP(MID(N42,O42,P42-O42),[5]skilldef!$A:$B,2,FALSE),"-")</f>
        <v>自分自身に / ステータス強化</v>
      </c>
      <c r="T42" s="48" t="str">
        <f t="shared" si="11"/>
        <v>none</v>
      </c>
      <c r="U42" s="64" t="e">
        <f t="shared" si="12"/>
        <v>#VALUE!</v>
      </c>
      <c r="V42" s="64">
        <f t="shared" si="13"/>
        <v>4</v>
      </c>
      <c r="W42" s="64" t="e">
        <f t="shared" si="14"/>
        <v>#VALUE!</v>
      </c>
      <c r="X42" s="64" t="e">
        <f t="shared" si="15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  <c r="AC42" s="158" t="s">
        <v>395</v>
      </c>
    </row>
    <row r="43" spans="1:29" ht="40" customHeight="1" x14ac:dyDescent="0.15">
      <c r="A43" s="47">
        <v>39009042</v>
      </c>
      <c r="B43" s="47" t="s">
        <v>453</v>
      </c>
      <c r="C43" s="133">
        <v>3</v>
      </c>
      <c r="D43" s="133" t="s">
        <v>128</v>
      </c>
      <c r="E43" s="134" t="s">
        <v>280</v>
      </c>
      <c r="F43" s="51" t="s">
        <v>259</v>
      </c>
      <c r="G43" s="64" t="str">
        <f t="shared" si="0"/>
        <v>[effect:enemy_message, val1:1.2, val2:1.2]</v>
      </c>
      <c r="H43" s="64">
        <f t="shared" si="1"/>
        <v>9</v>
      </c>
      <c r="I43" s="64">
        <f t="shared" si="2"/>
        <v>22</v>
      </c>
      <c r="J43" s="64" t="e">
        <f t="shared" si="3"/>
        <v>#VALUE!</v>
      </c>
      <c r="K43" s="64">
        <f t="shared" si="4"/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5"/>
        <v>[effect:enhance_enemy, target:myself, turn:3, status:defense, val:1440, calc:add, animation:enemy_enhance_defense]</v>
      </c>
      <c r="N43" s="48" t="str">
        <f t="shared" si="17"/>
        <v>[effect:enhance_enemy, target:myself, turn:3, status:defense, val:1440, calc:add, animation:enemy_enhance_defense]</v>
      </c>
      <c r="O43" s="64">
        <f t="shared" si="7"/>
        <v>9</v>
      </c>
      <c r="P43" s="64">
        <f t="shared" si="8"/>
        <v>22</v>
      </c>
      <c r="Q43" s="64">
        <f t="shared" si="9"/>
        <v>31</v>
      </c>
      <c r="R43" s="64">
        <f t="shared" si="10"/>
        <v>37</v>
      </c>
      <c r="S43" s="64" t="str">
        <f>IFERROR(VLOOKUP(MID(N43,Q43,R43-Q43),[5]skilldef!$C:$D,2,FALSE),"-") &amp; " / " &amp; IFERROR(VLOOKUP(MID(N43,O43,P43-O43),[5]skilldef!$A:$B,2,FALSE),"-")</f>
        <v>自分自身に / ステータス強化</v>
      </c>
      <c r="T43" s="48" t="str">
        <f t="shared" si="11"/>
        <v>none</v>
      </c>
      <c r="U43" s="64" t="e">
        <f t="shared" si="12"/>
        <v>#VALUE!</v>
      </c>
      <c r="V43" s="64">
        <f t="shared" si="13"/>
        <v>4</v>
      </c>
      <c r="W43" s="64" t="e">
        <f t="shared" si="14"/>
        <v>#VALUE!</v>
      </c>
      <c r="X43" s="64" t="e">
        <f t="shared" si="15"/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  <c r="AC43" s="155" t="s">
        <v>397</v>
      </c>
    </row>
    <row r="44" spans="1:29" ht="40" customHeight="1" x14ac:dyDescent="0.15">
      <c r="A44" s="47">
        <v>39009043</v>
      </c>
      <c r="B44" s="47" t="s">
        <v>454</v>
      </c>
      <c r="C44" s="133">
        <v>3</v>
      </c>
      <c r="D44" s="133" t="s">
        <v>128</v>
      </c>
      <c r="E44" s="134" t="s">
        <v>281</v>
      </c>
      <c r="F44" s="51" t="s">
        <v>263</v>
      </c>
      <c r="G44" s="64" t="str">
        <f t="shared" ref="G44" si="18">IFERROR(LEFT(B44,FIND("],",B44)),B44)</f>
        <v>[effect:enemy_message, val1:1.2, val2:1.2]</v>
      </c>
      <c r="H44" s="64">
        <f t="shared" si="1"/>
        <v>9</v>
      </c>
      <c r="I44" s="64">
        <f t="shared" ref="I44" si="19">IFERROR(FIND(",",G44),LEN(G44))</f>
        <v>22</v>
      </c>
      <c r="J44" s="64" t="e">
        <f t="shared" ref="J44" si="20">FIND("target:",G44)+7</f>
        <v>#VALUE!</v>
      </c>
      <c r="K44" s="64">
        <f t="shared" ref="K44" si="21">FIND(",",G44,I44+1)</f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ref="M44" si="22">IFERROR(RIGHT(B44,LEN(B44)-FIND("],",B44)-1),"none")</f>
        <v>[effect:heal, target:myself, val:0.3, animation:enemy_heal]</v>
      </c>
      <c r="N44" s="48" t="str">
        <f t="shared" si="17"/>
        <v>[effect:heal, target:myself, val:0.3, animation:enemy_heal]</v>
      </c>
      <c r="O44" s="64">
        <f t="shared" si="7"/>
        <v>9</v>
      </c>
      <c r="P44" s="64">
        <f t="shared" ref="P44" si="23">IFERROR(FIND(",",N44),LEN(N44))</f>
        <v>13</v>
      </c>
      <c r="Q44" s="64">
        <f t="shared" ref="Q44" si="24">FIND("target:",N44)+7</f>
        <v>22</v>
      </c>
      <c r="R44" s="64">
        <f t="shared" ref="R44" si="25">FIND(",",N44,P44+1)</f>
        <v>28</v>
      </c>
      <c r="S44" s="64" t="str">
        <f>IFERROR(VLOOKUP(MID(N44,Q44,R44-Q44),[5]skilldef!$C:$D,2,FALSE),"-") &amp; " / " &amp; IFERROR(VLOOKUP(MID(N44,O44,P44-O44),[5]skilldef!$A:$B,2,FALSE),"-")</f>
        <v>自分自身に / 回復</v>
      </c>
      <c r="T44" s="48" t="str">
        <f t="shared" ref="T44" si="26">IFERROR(RIGHT(M44,LEN(M44)-FIND("],",M44)-1),"none")</f>
        <v>none</v>
      </c>
      <c r="U44" s="64" t="e">
        <f t="shared" si="12"/>
        <v>#VALUE!</v>
      </c>
      <c r="V44" s="64">
        <f t="shared" ref="V44" si="27">IFERROR(FIND(",",T44),LEN(T44))</f>
        <v>4</v>
      </c>
      <c r="W44" s="64" t="e">
        <f t="shared" ref="W44" si="28">FIND("target:",T44)+7</f>
        <v>#VALUE!</v>
      </c>
      <c r="X44" s="64" t="e">
        <f t="shared" ref="X44" si="29">FIND(",",T44,V44+1)</f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  <c r="AC44" s="158" t="s">
        <v>401</v>
      </c>
    </row>
    <row r="45" spans="1:29" ht="40" customHeight="1" x14ac:dyDescent="0.15">
      <c r="A45" s="47">
        <v>39009044</v>
      </c>
      <c r="B45" s="47" t="s">
        <v>455</v>
      </c>
      <c r="C45" s="133">
        <v>3</v>
      </c>
      <c r="D45" s="133" t="s">
        <v>128</v>
      </c>
      <c r="E45" s="134" t="s">
        <v>282</v>
      </c>
      <c r="F45" s="51" t="s">
        <v>264</v>
      </c>
      <c r="G45" s="64" t="str">
        <f t="shared" si="0"/>
        <v>[effect:enemy_message, val1:1.2, val2:1.2]</v>
      </c>
      <c r="H45" s="64">
        <f t="shared" si="1"/>
        <v>9</v>
      </c>
      <c r="I45" s="64">
        <f t="shared" si="2"/>
        <v>22</v>
      </c>
      <c r="J45" s="64" t="e">
        <f t="shared" si="3"/>
        <v>#VALUE!</v>
      </c>
      <c r="K45" s="64">
        <f t="shared" si="4"/>
        <v>32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5"/>
        <v>[effect:freq_turn, target:myself, turn:3, val:1, animation:enemy_freq_turn]</v>
      </c>
      <c r="N45" s="48" t="str">
        <f>IFERROR(LEFT(M45,FIND("],",M45)+S63),M45)</f>
        <v>[effect:freq_turn, target:myself, turn:3, val:1, animation:enemy_freq_turn]</v>
      </c>
      <c r="O45" s="64">
        <f t="shared" si="7"/>
        <v>9</v>
      </c>
      <c r="P45" s="64">
        <f t="shared" si="8"/>
        <v>18</v>
      </c>
      <c r="Q45" s="64">
        <f t="shared" si="9"/>
        <v>27</v>
      </c>
      <c r="R45" s="64">
        <f t="shared" si="10"/>
        <v>33</v>
      </c>
      <c r="S45" s="64" t="str">
        <f>IFERROR(VLOOKUP(MID(N45,Q45,R45-Q45),[5]skilldef!$C:$D,2,FALSE),"-") &amp; " / " &amp; IFERROR(VLOOKUP(MID(N45,O45,P45-O45),[5]skilldef!$A:$B,2,FALSE),"-")</f>
        <v>自分自身に / 攻撃頻度がUP</v>
      </c>
      <c r="T45" s="48" t="str">
        <f t="shared" si="11"/>
        <v>none</v>
      </c>
      <c r="U45" s="64" t="e">
        <f t="shared" si="12"/>
        <v>#VALUE!</v>
      </c>
      <c r="V45" s="64">
        <f t="shared" si="13"/>
        <v>4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  <c r="AC45" s="158" t="s">
        <v>399</v>
      </c>
    </row>
    <row r="46" spans="1:29" ht="40" customHeight="1" x14ac:dyDescent="0.15">
      <c r="A46" s="47">
        <v>39009045</v>
      </c>
      <c r="B46" s="47" t="s">
        <v>459</v>
      </c>
      <c r="C46" s="135">
        <v>3</v>
      </c>
      <c r="D46" s="135" t="s">
        <v>128</v>
      </c>
      <c r="E46" s="136" t="s">
        <v>283</v>
      </c>
      <c r="F46" s="51" t="s">
        <v>312</v>
      </c>
      <c r="G46" s="64" t="str">
        <f t="shared" si="0"/>
        <v>[effect:enemy_message, val1:1.2, val2:1.2]</v>
      </c>
      <c r="H46" s="64">
        <f t="shared" si="1"/>
        <v>9</v>
      </c>
      <c r="I46" s="64">
        <f t="shared" si="2"/>
        <v>22</v>
      </c>
      <c r="J46" s="64" t="e">
        <f t="shared" si="3"/>
        <v>#VALUE!</v>
      </c>
      <c r="K46" s="64">
        <f t="shared" si="4"/>
        <v>32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 t="shared" si="5"/>
        <v>[effect:fix_speed, target:myself, turn:2],[effect:regenerate, turn:3, val:0.1, type:hp_ratio, animation:heal01],[effect:suicide, target:myself, val:1, dead_type:escape]</v>
      </c>
      <c r="N46" s="48" t="str">
        <f>IFERROR(LEFT(M46,FIND("],",M46)+S64),M46)</f>
        <v>[effect:fix_speed, target:myself, turn:2],[effect:regenerate, turn:3, val:0.1, type:hp_ratio, animation:heal01],[effect:suicide, target:myself, val:1, dead_type:escape]</v>
      </c>
      <c r="O46" s="64">
        <f t="shared" si="7"/>
        <v>9</v>
      </c>
      <c r="P46" s="64">
        <f t="shared" si="8"/>
        <v>18</v>
      </c>
      <c r="Q46" s="64">
        <f t="shared" si="9"/>
        <v>27</v>
      </c>
      <c r="R46" s="64">
        <f t="shared" si="10"/>
        <v>33</v>
      </c>
      <c r="S46" s="64" t="str">
        <f>IFERROR(VLOOKUP(MID(N46,Q46,R46-Q46),[5]skilldef!$C:$D,2,FALSE),"-") &amp; " / " &amp; IFERROR(VLOOKUP(MID(N46,O46,P46-O46),[5]skilldef!$A:$B,2,FALSE),"-")</f>
        <v>自分自身に / 行動値設定</v>
      </c>
      <c r="T46" s="48" t="str">
        <f t="shared" si="11"/>
        <v>[effect:regenerate, turn:3, val:0.1, type:hp_ratio, animation:heal01],[effect:suicide, target:myself, val:1, dead_type:escape]</v>
      </c>
      <c r="U46" s="64">
        <f t="shared" si="12"/>
        <v>9</v>
      </c>
      <c r="V46" s="64">
        <f t="shared" si="13"/>
        <v>19</v>
      </c>
      <c r="W46" s="64">
        <f t="shared" si="14"/>
        <v>95</v>
      </c>
      <c r="X46" s="64">
        <f t="shared" si="15"/>
        <v>27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  <c r="AC46" s="159" t="s">
        <v>313</v>
      </c>
    </row>
    <row r="47" spans="1:29" ht="40" customHeight="1" x14ac:dyDescent="0.15">
      <c r="A47" s="47">
        <v>39009046</v>
      </c>
      <c r="B47" s="47" t="s">
        <v>460</v>
      </c>
      <c r="C47" s="137">
        <v>3</v>
      </c>
      <c r="D47" s="137" t="s">
        <v>128</v>
      </c>
      <c r="E47" s="138" t="s">
        <v>311</v>
      </c>
      <c r="F47" s="126" t="s">
        <v>388</v>
      </c>
      <c r="G47" s="64" t="str">
        <f t="shared" si="0"/>
        <v>[effect:enemy_message, val1:1.2, val2:0.0]</v>
      </c>
      <c r="H47" s="64">
        <f t="shared" si="1"/>
        <v>9</v>
      </c>
      <c r="I47" s="64">
        <f t="shared" si="2"/>
        <v>22</v>
      </c>
      <c r="J47" s="64" t="e">
        <f t="shared" si="3"/>
        <v>#VALUE!</v>
      </c>
      <c r="K47" s="64">
        <f t="shared" si="4"/>
        <v>32</v>
      </c>
      <c r="L47" s="64" t="str">
        <f>IFERROR(VLOOKUP(MID(G47,J47,K47-J47),[5]skilldef!$C:$D,2,FALSE),"-") &amp; " / " &amp; IFERROR(VLOOKUP(MID(G47,H47,I47-H47),[5]skilldef!$A:$B,2,FALSE),"-")</f>
        <v>- / -</v>
      </c>
      <c r="M47" s="64" t="str">
        <f t="shared" si="5"/>
        <v>[effect:fix_speed, target:myself, turn:2]</v>
      </c>
      <c r="N47" s="48" t="str">
        <f>IFERROR(LEFT(M47,FIND("],",M47)+#REF!),M47)</f>
        <v>[effect:fix_speed, target:myself, turn:2]</v>
      </c>
      <c r="O47" s="64">
        <f t="shared" si="7"/>
        <v>9</v>
      </c>
      <c r="P47" s="64">
        <f t="shared" si="8"/>
        <v>18</v>
      </c>
      <c r="Q47" s="64">
        <f t="shared" si="9"/>
        <v>27</v>
      </c>
      <c r="R47" s="64">
        <f t="shared" si="10"/>
        <v>33</v>
      </c>
      <c r="S47" s="64" t="str">
        <f>IFERROR(VLOOKUP(MID(N47,Q47,R47-Q47),[5]skilldef!$C:$D,2,FALSE),"-") &amp; " / " &amp; IFERROR(VLOOKUP(MID(N47,O47,P47-O47),[5]skilldef!$A:$B,2,FALSE),"-")</f>
        <v>自分自身に / 行動値設定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  <c r="AC47" s="160" t="s">
        <v>377</v>
      </c>
    </row>
    <row r="48" spans="1:29" ht="40" customHeight="1" x14ac:dyDescent="0.15">
      <c r="A48" s="47">
        <v>39009047</v>
      </c>
      <c r="B48" s="47" t="s">
        <v>461</v>
      </c>
      <c r="C48" s="139">
        <v>3</v>
      </c>
      <c r="D48" s="139" t="s">
        <v>128</v>
      </c>
      <c r="E48" s="140" t="s">
        <v>298</v>
      </c>
      <c r="F48" s="51" t="s">
        <v>266</v>
      </c>
      <c r="G48" s="64" t="str">
        <f t="shared" si="0"/>
        <v>[effect:enemy_message, val1:1.3, val2:1.9]</v>
      </c>
      <c r="H48" s="64">
        <f t="shared" si="1"/>
        <v>9</v>
      </c>
      <c r="I48" s="64">
        <f t="shared" si="2"/>
        <v>22</v>
      </c>
      <c r="J48" s="64" t="e">
        <f t="shared" si="3"/>
        <v>#VALUE!</v>
      </c>
      <c r="K48" s="64">
        <f t="shared" si="4"/>
        <v>32</v>
      </c>
      <c r="L48" s="64" t="str">
        <f>IFERROR(VLOOKUP(MID(G48,J48,K48-J48),[5]skilldef!$C:$D,2,FALSE),"-") &amp; " / " &amp; IFERROR(VLOOKUP(MID(G48,H48,I48-H48),[5]skilldef!$A:$B,2,FALSE),"-")</f>
        <v>- / -</v>
      </c>
      <c r="M48" s="64" t="str">
        <f t="shared" si="5"/>
        <v>[effect:fix_speed, target:myself, turn:2],[effect:force_change_block, new_block:damage, target:block_green, ignore01:crash, ignore02:crack_bomb, ignore03:time_bomb, ignore04:jammer, ignore05:damage, color:block_green, count:8, val:0.038, animation:change_block]</v>
      </c>
      <c r="N48" s="48" t="str">
        <f>IFERROR(LEFT(M48,FIND("],",M48)+S65),M48)</f>
        <v>[effect:fix_speed, target:myself, turn:2],[effect:force_change_block, new_block:damage, target:block_green, ignore01:crash, ignore02:crack_bomb, ignore03:time_bomb, ignore04:jammer, ignore05:damage, color:block_green, count:8, val:0.038, animation:change_block]</v>
      </c>
      <c r="O48" s="64">
        <f t="shared" si="7"/>
        <v>9</v>
      </c>
      <c r="P48" s="64">
        <f t="shared" si="8"/>
        <v>18</v>
      </c>
      <c r="Q48" s="64">
        <f t="shared" si="9"/>
        <v>27</v>
      </c>
      <c r="R48" s="64">
        <f t="shared" si="10"/>
        <v>33</v>
      </c>
      <c r="S48" s="64" t="str">
        <f>IFERROR(VLOOKUP(MID(N48,Q48,R48-Q48),[5]skilldef!$C:$D,2,FALSE),"-") &amp; " / " &amp; IFERROR(VLOOKUP(MID(N48,O48,P48-O48),[5]skilldef!$A:$B,2,FALSE),"-")</f>
        <v>自分自身に / 行動値設定</v>
      </c>
      <c r="T48" s="48" t="str">
        <f t="shared" si="11"/>
        <v>[effect:force_change_block, new_block:damage, target:block_green, ignore01:crash, ignore02:crack_bomb, ignore03:time_bomb, ignore04:jammer, ignore05:damage, color:block_green, count:8, val:0.038, animation:change_block]</v>
      </c>
      <c r="U48" s="64">
        <f t="shared" si="12"/>
        <v>9</v>
      </c>
      <c r="V48" s="64">
        <f t="shared" si="13"/>
        <v>27</v>
      </c>
      <c r="W48" s="64">
        <f t="shared" si="14"/>
        <v>54</v>
      </c>
      <c r="X48" s="64">
        <f t="shared" si="15"/>
        <v>45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  <c r="AC48" s="156" t="s">
        <v>378</v>
      </c>
    </row>
    <row r="49" spans="1:29" ht="40" customHeight="1" x14ac:dyDescent="0.15">
      <c r="A49" s="47">
        <v>39009048</v>
      </c>
      <c r="B49" s="47" t="s">
        <v>462</v>
      </c>
      <c r="C49" s="139">
        <v>3</v>
      </c>
      <c r="D49" s="139" t="s">
        <v>128</v>
      </c>
      <c r="E49" s="140" t="s">
        <v>355</v>
      </c>
      <c r="F49" s="126" t="s">
        <v>388</v>
      </c>
      <c r="G49" s="64" t="str">
        <f t="shared" si="0"/>
        <v>[effect:enemy_message, val1:1.4, val2:0.0]</v>
      </c>
      <c r="H49" s="64">
        <f t="shared" si="1"/>
        <v>9</v>
      </c>
      <c r="I49" s="64">
        <f t="shared" si="2"/>
        <v>22</v>
      </c>
      <c r="J49" s="64" t="e">
        <f t="shared" si="3"/>
        <v>#VALUE!</v>
      </c>
      <c r="K49" s="64">
        <f t="shared" si="4"/>
        <v>32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si="5"/>
        <v>[effect:fix_speed, target:myself, turn:2]</v>
      </c>
      <c r="N49" s="48" t="str">
        <f>IFERROR(LEFT(M49,FIND("],",M49)+S66),M49)</f>
        <v>[effect:fix_speed, target:myself, turn:2]</v>
      </c>
      <c r="O49" s="64">
        <f t="shared" si="7"/>
        <v>9</v>
      </c>
      <c r="P49" s="64">
        <f t="shared" si="8"/>
        <v>18</v>
      </c>
      <c r="Q49" s="64">
        <f t="shared" si="9"/>
        <v>27</v>
      </c>
      <c r="R49" s="64">
        <f t="shared" si="10"/>
        <v>33</v>
      </c>
      <c r="S49" s="64" t="str">
        <f>IFERROR(VLOOKUP(MID(N49,Q49,R49-Q49),[5]skilldef!$C:$D,2,FALSE),"-") &amp; " / " &amp; IFERROR(VLOOKUP(MID(N49,O49,P49-O49),[5]skilldef!$A:$B,2,FALSE),"-")</f>
        <v>自分自身に / 行動値設定</v>
      </c>
      <c r="T49" s="48" t="str">
        <f t="shared" si="11"/>
        <v>none</v>
      </c>
      <c r="U49" s="64" t="e">
        <f t="shared" si="12"/>
        <v>#VALUE!</v>
      </c>
      <c r="V49" s="64">
        <f t="shared" si="13"/>
        <v>4</v>
      </c>
      <c r="W49" s="64" t="e">
        <f t="shared" si="14"/>
        <v>#VALUE!</v>
      </c>
      <c r="X49" s="64" t="e">
        <f t="shared" si="15"/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  <c r="AC49" s="161" t="s">
        <v>377</v>
      </c>
    </row>
    <row r="50" spans="1:29" ht="40" customHeight="1" x14ac:dyDescent="0.15">
      <c r="A50" s="47">
        <v>39009049</v>
      </c>
      <c r="B50" s="47" t="s">
        <v>463</v>
      </c>
      <c r="C50" s="139">
        <v>3</v>
      </c>
      <c r="D50" s="139" t="s">
        <v>128</v>
      </c>
      <c r="E50" s="140" t="s">
        <v>287</v>
      </c>
      <c r="F50" s="126" t="s">
        <v>388</v>
      </c>
      <c r="G50" s="64" t="str">
        <f t="shared" si="0"/>
        <v>[effect:enemy_message, val1:1.8, val2:0.0]</v>
      </c>
      <c r="H50" s="64">
        <f t="shared" si="1"/>
        <v>9</v>
      </c>
      <c r="I50" s="64">
        <f t="shared" si="2"/>
        <v>22</v>
      </c>
      <c r="J50" s="64" t="e">
        <f t="shared" si="3"/>
        <v>#VALUE!</v>
      </c>
      <c r="K50" s="64">
        <f t="shared" si="4"/>
        <v>32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5"/>
        <v>[effect:fix_speed, target:myself, turn:2]</v>
      </c>
      <c r="N50" s="48" t="str">
        <f>IFERROR(LEFT(M50,FIND("],",M50)+S66),M50)</f>
        <v>[effect:fix_speed, target:myself, turn:2]</v>
      </c>
      <c r="O50" s="64">
        <f t="shared" si="7"/>
        <v>9</v>
      </c>
      <c r="P50" s="64">
        <f t="shared" si="8"/>
        <v>18</v>
      </c>
      <c r="Q50" s="64">
        <f t="shared" si="9"/>
        <v>27</v>
      </c>
      <c r="R50" s="64">
        <f t="shared" si="10"/>
        <v>33</v>
      </c>
      <c r="S50" s="64" t="str">
        <f>IFERROR(VLOOKUP(MID(N50,Q50,R50-Q50),[5]skilldef!$C:$D,2,FALSE),"-") &amp; " / " &amp; IFERROR(VLOOKUP(MID(N50,O50,P50-O50),[5]skilldef!$A:$B,2,FALSE),"-")</f>
        <v>自分自身に / 行動値設定</v>
      </c>
      <c r="T50" s="48" t="str">
        <f t="shared" si="11"/>
        <v>none</v>
      </c>
      <c r="U50" s="64" t="e">
        <f t="shared" si="12"/>
        <v>#VALUE!</v>
      </c>
      <c r="V50" s="64">
        <f t="shared" si="13"/>
        <v>4</v>
      </c>
      <c r="W50" s="64" t="e">
        <f t="shared" si="14"/>
        <v>#VALUE!</v>
      </c>
      <c r="X50" s="64" t="e">
        <f t="shared" si="15"/>
        <v>#VALUE!</v>
      </c>
      <c r="Y50" s="64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  <c r="AC50" s="161" t="s">
        <v>377</v>
      </c>
    </row>
    <row r="51" spans="1:29" ht="40" customHeight="1" x14ac:dyDescent="0.15">
      <c r="A51" s="47">
        <v>39009050</v>
      </c>
      <c r="B51" s="47" t="s">
        <v>463</v>
      </c>
      <c r="C51" s="139">
        <v>3</v>
      </c>
      <c r="D51" s="139" t="s">
        <v>128</v>
      </c>
      <c r="E51" s="140" t="s">
        <v>288</v>
      </c>
      <c r="F51" s="126" t="s">
        <v>388</v>
      </c>
      <c r="G51" s="64" t="str">
        <f t="shared" ref="G51" si="30">IFERROR(LEFT(B51,FIND("],",B51)),B51)</f>
        <v>[effect:enemy_message, val1:1.8, val2:0.0]</v>
      </c>
      <c r="H51" s="64">
        <f t="shared" ref="H51" si="31">FIND("effect:",G51)+7</f>
        <v>9</v>
      </c>
      <c r="I51" s="64">
        <f t="shared" ref="I51" si="32">IFERROR(FIND(",",G51),LEN(G51))</f>
        <v>22</v>
      </c>
      <c r="J51" s="64" t="e">
        <f t="shared" ref="J51" si="33">FIND("target:",G51)+7</f>
        <v>#VALUE!</v>
      </c>
      <c r="K51" s="64">
        <f t="shared" ref="K51" si="34">FIND(",",G51,I51+1)</f>
        <v>32</v>
      </c>
      <c r="L51" s="64" t="str">
        <f>IFERROR(VLOOKUP(MID(G51,J51,K51-J51),[5]skilldef!$C:$D,2,FALSE),"-") &amp; " / " &amp; IFERROR(VLOOKUP(MID(G51,H51,I51-H51),[5]skilldef!$A:$B,2,FALSE),"-")</f>
        <v>- / -</v>
      </c>
      <c r="M51" s="64" t="str">
        <f t="shared" ref="M51" si="35">IFERROR(RIGHT(B51,LEN(B51)-FIND("],",B51)-1),"none")</f>
        <v>[effect:fix_speed, target:myself, turn:2]</v>
      </c>
      <c r="N51" s="48" t="str">
        <f t="shared" ref="N51:N53" si="36">IFERROR(LEFT(M51,FIND("],",M51)+S62),M51)</f>
        <v>[effect:fix_speed, target:myself, turn:2]</v>
      </c>
      <c r="O51" s="64">
        <f t="shared" ref="O51" si="37">FIND("effect:",N51)+7</f>
        <v>9</v>
      </c>
      <c r="P51" s="64">
        <f t="shared" ref="P51" si="38">IFERROR(FIND(",",N51),LEN(N51))</f>
        <v>18</v>
      </c>
      <c r="Q51" s="64">
        <f t="shared" ref="Q51" si="39">FIND("target:",N51)+7</f>
        <v>27</v>
      </c>
      <c r="R51" s="64">
        <f t="shared" ref="R51" si="40">FIND(",",N51,P51+1)</f>
        <v>33</v>
      </c>
      <c r="S51" s="64" t="str">
        <f>IFERROR(VLOOKUP(MID(N51,Q51,R51-Q51),[5]skilldef!$C:$D,2,FALSE),"-") &amp; " / " &amp; IFERROR(VLOOKUP(MID(N51,O51,P51-O51),[5]skilldef!$A:$B,2,FALSE),"-")</f>
        <v>自分自身に / 行動値設定</v>
      </c>
      <c r="T51" s="48" t="str">
        <f t="shared" ref="T51" si="41">IFERROR(RIGHT(M51,LEN(M51)-FIND("],",M51)-1),"none")</f>
        <v>none</v>
      </c>
      <c r="U51" s="64" t="e">
        <f t="shared" ref="U51" si="42">FIND("effect:",T51)+7</f>
        <v>#VALUE!</v>
      </c>
      <c r="V51" s="64">
        <f t="shared" ref="V51" si="43">IFERROR(FIND(",",T51),LEN(T51))</f>
        <v>4</v>
      </c>
      <c r="W51" s="64" t="e">
        <f t="shared" ref="W51" si="44">FIND("target:",T51)+7</f>
        <v>#VALUE!</v>
      </c>
      <c r="X51" s="64" t="e">
        <f t="shared" ref="X51" si="45">FIND(",",T51,V51+1)</f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  <c r="AC51" s="161" t="s">
        <v>377</v>
      </c>
    </row>
    <row r="52" spans="1:29" ht="40" customHeight="1" x14ac:dyDescent="0.15">
      <c r="A52" s="47">
        <v>39009051</v>
      </c>
      <c r="B52" s="47" t="s">
        <v>464</v>
      </c>
      <c r="C52" s="139">
        <v>3</v>
      </c>
      <c r="D52" s="139" t="s">
        <v>128</v>
      </c>
      <c r="E52" s="140" t="s">
        <v>356</v>
      </c>
      <c r="F52" s="126" t="s">
        <v>388</v>
      </c>
      <c r="G52" s="64" t="str">
        <f t="shared" si="0"/>
        <v>[effect:enemy_message, val1:1.6, val2:0.0]</v>
      </c>
      <c r="H52" s="64">
        <f t="shared" si="1"/>
        <v>9</v>
      </c>
      <c r="I52" s="64">
        <f t="shared" si="2"/>
        <v>22</v>
      </c>
      <c r="J52" s="64" t="e">
        <f t="shared" si="3"/>
        <v>#VALUE!</v>
      </c>
      <c r="K52" s="64">
        <f t="shared" si="4"/>
        <v>32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si="5"/>
        <v>[effect:fix_speed, target:myself, turn:2]</v>
      </c>
      <c r="N52" s="48" t="str">
        <f t="shared" si="36"/>
        <v>[effect:fix_speed, target:myself, turn:2]</v>
      </c>
      <c r="O52" s="64">
        <f t="shared" si="7"/>
        <v>9</v>
      </c>
      <c r="P52" s="64">
        <f t="shared" si="8"/>
        <v>18</v>
      </c>
      <c r="Q52" s="64">
        <f t="shared" si="9"/>
        <v>27</v>
      </c>
      <c r="R52" s="64">
        <f t="shared" si="10"/>
        <v>33</v>
      </c>
      <c r="S52" s="64" t="str">
        <f>IFERROR(VLOOKUP(MID(N52,Q52,R52-Q52),[5]skilldef!$C:$D,2,FALSE),"-") &amp; " / " &amp; IFERROR(VLOOKUP(MID(N52,O52,P52-O52),[5]skilldef!$A:$B,2,FALSE),"-")</f>
        <v>自分自身に / 行動値設定</v>
      </c>
      <c r="T52" s="48" t="str">
        <f t="shared" si="11"/>
        <v>none</v>
      </c>
      <c r="U52" s="64" t="e">
        <f t="shared" si="12"/>
        <v>#VALUE!</v>
      </c>
      <c r="V52" s="64">
        <f t="shared" si="13"/>
        <v>4</v>
      </c>
      <c r="W52" s="64" t="e">
        <f t="shared" si="14"/>
        <v>#VALUE!</v>
      </c>
      <c r="X52" s="64" t="e">
        <f t="shared" si="15"/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  <c r="AC52" s="161" t="s">
        <v>377</v>
      </c>
    </row>
    <row r="53" spans="1:29" ht="40" customHeight="1" x14ac:dyDescent="0.15">
      <c r="A53" s="47">
        <v>39009052</v>
      </c>
      <c r="B53" s="47" t="s">
        <v>464</v>
      </c>
      <c r="C53" s="139">
        <v>3</v>
      </c>
      <c r="D53" s="139" t="s">
        <v>128</v>
      </c>
      <c r="E53" s="140" t="s">
        <v>357</v>
      </c>
      <c r="F53" s="126" t="s">
        <v>388</v>
      </c>
      <c r="G53" s="64" t="str">
        <f t="shared" ref="G53" si="46">IFERROR(LEFT(B53,FIND("],",B53)),B53)</f>
        <v>[effect:enemy_message, val1:1.6, val2:0.0]</v>
      </c>
      <c r="H53" s="64">
        <f t="shared" ref="H53" si="47">FIND("effect:",G53)+7</f>
        <v>9</v>
      </c>
      <c r="I53" s="64">
        <f t="shared" ref="I53" si="48">IFERROR(FIND(",",G53),LEN(G53))</f>
        <v>22</v>
      </c>
      <c r="J53" s="64" t="e">
        <f t="shared" ref="J53" si="49">FIND("target:",G53)+7</f>
        <v>#VALUE!</v>
      </c>
      <c r="K53" s="64">
        <f t="shared" ref="K53" si="50">FIND(",",G53,I53+1)</f>
        <v>32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ref="M53" si="51">IFERROR(RIGHT(B53,LEN(B53)-FIND("],",B53)-1),"none")</f>
        <v>[effect:fix_speed, target:myself, turn:2]</v>
      </c>
      <c r="N53" s="48" t="str">
        <f t="shared" si="36"/>
        <v>[effect:fix_speed, target:myself, turn:2]</v>
      </c>
      <c r="O53" s="64">
        <f t="shared" ref="O53" si="52">FIND("effect:",N53)+7</f>
        <v>9</v>
      </c>
      <c r="P53" s="64">
        <f t="shared" ref="P53" si="53">IFERROR(FIND(",",N53),LEN(N53))</f>
        <v>18</v>
      </c>
      <c r="Q53" s="64">
        <f t="shared" ref="Q53" si="54">FIND("target:",N53)+7</f>
        <v>27</v>
      </c>
      <c r="R53" s="64">
        <f t="shared" ref="R53" si="55">FIND(",",N53,P53+1)</f>
        <v>33</v>
      </c>
      <c r="S53" s="64" t="str">
        <f>IFERROR(VLOOKUP(MID(N53,Q53,R53-Q53),[5]skilldef!$C:$D,2,FALSE),"-") &amp; " / " &amp; IFERROR(VLOOKUP(MID(N53,O53,P53-O53),[5]skilldef!$A:$B,2,FALSE),"-")</f>
        <v>自分自身に / 行動値設定</v>
      </c>
      <c r="T53" s="48" t="str">
        <f t="shared" ref="T53" si="56">IFERROR(RIGHT(M53,LEN(M53)-FIND("],",M53)-1),"none")</f>
        <v>none</v>
      </c>
      <c r="U53" s="64" t="e">
        <f t="shared" ref="U53" si="57">FIND("effect:",T53)+7</f>
        <v>#VALUE!</v>
      </c>
      <c r="V53" s="64">
        <f t="shared" ref="V53" si="58">IFERROR(FIND(",",T53),LEN(T53))</f>
        <v>4</v>
      </c>
      <c r="W53" s="64" t="e">
        <f t="shared" ref="W53" si="59">FIND("target:",T53)+7</f>
        <v>#VALUE!</v>
      </c>
      <c r="X53" s="64" t="e">
        <f t="shared" ref="X53" si="60">FIND(",",T53,V53+1)</f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  <c r="AC53" s="161" t="s">
        <v>377</v>
      </c>
    </row>
    <row r="54" spans="1:29" ht="40" customHeight="1" x14ac:dyDescent="0.15">
      <c r="A54" s="47">
        <v>39009053</v>
      </c>
      <c r="B54" s="47" t="s">
        <v>465</v>
      </c>
      <c r="C54" s="139">
        <v>3</v>
      </c>
      <c r="D54" s="139" t="s">
        <v>128</v>
      </c>
      <c r="E54" s="140" t="s">
        <v>289</v>
      </c>
      <c r="F54" s="126" t="s">
        <v>388</v>
      </c>
      <c r="G54" s="64" t="str">
        <f t="shared" si="0"/>
        <v>[effect:enemy_message, val1:1.7, val2:0.0]</v>
      </c>
      <c r="H54" s="64">
        <f t="shared" si="1"/>
        <v>9</v>
      </c>
      <c r="I54" s="64">
        <f t="shared" si="2"/>
        <v>22</v>
      </c>
      <c r="J54" s="64" t="e">
        <f t="shared" si="3"/>
        <v>#VALUE!</v>
      </c>
      <c r="K54" s="64">
        <f t="shared" si="4"/>
        <v>32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si="5"/>
        <v>[effect:fix_speed, target:myself, turn:2]</v>
      </c>
      <c r="N54" s="48" t="str">
        <f>IFERROR(LEFT(M54,FIND("],",M54)+#REF!),M54)</f>
        <v>[effect:fix_speed, target:myself, turn:2]</v>
      </c>
      <c r="O54" s="64">
        <f t="shared" si="7"/>
        <v>9</v>
      </c>
      <c r="P54" s="64">
        <f t="shared" si="8"/>
        <v>18</v>
      </c>
      <c r="Q54" s="64">
        <f t="shared" si="9"/>
        <v>27</v>
      </c>
      <c r="R54" s="64">
        <f t="shared" si="10"/>
        <v>33</v>
      </c>
      <c r="S54" s="64" t="str">
        <f>IFERROR(VLOOKUP(MID(N54,Q54,R54-Q54),[5]skilldef!$C:$D,2,FALSE),"-") &amp; " / " &amp; IFERROR(VLOOKUP(MID(N54,O54,P54-O54),[5]skilldef!$A:$B,2,FALSE),"-")</f>
        <v>自分自身に / 行動値設定</v>
      </c>
      <c r="T54" s="48" t="str">
        <f t="shared" si="11"/>
        <v>none</v>
      </c>
      <c r="U54" s="64" t="e">
        <f t="shared" si="12"/>
        <v>#VALUE!</v>
      </c>
      <c r="V54" s="64">
        <f t="shared" si="13"/>
        <v>4</v>
      </c>
      <c r="W54" s="64" t="e">
        <f t="shared" si="14"/>
        <v>#VALUE!</v>
      </c>
      <c r="X54" s="64" t="e">
        <f t="shared" si="15"/>
        <v>#VALUE!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  <c r="AC54" s="161" t="s">
        <v>377</v>
      </c>
    </row>
    <row r="55" spans="1:29" ht="40" customHeight="1" x14ac:dyDescent="0.15">
      <c r="A55" s="47">
        <v>39009054</v>
      </c>
      <c r="B55" s="47" t="s">
        <v>466</v>
      </c>
      <c r="C55" s="139">
        <v>3</v>
      </c>
      <c r="D55" s="139" t="s">
        <v>128</v>
      </c>
      <c r="E55" s="140" t="s">
        <v>358</v>
      </c>
      <c r="F55" s="126" t="s">
        <v>388</v>
      </c>
      <c r="G55" s="64" t="str">
        <f t="shared" ref="G55" si="61">IFERROR(LEFT(B55,FIND("],",B55)),B55)</f>
        <v>[effect:enemy_message, val1:1.9, val2:0.0]</v>
      </c>
      <c r="H55" s="64">
        <f t="shared" ref="H55" si="62">FIND("effect:",G55)+7</f>
        <v>9</v>
      </c>
      <c r="I55" s="64">
        <f t="shared" ref="I55" si="63">IFERROR(FIND(",",G55),LEN(G55))</f>
        <v>22</v>
      </c>
      <c r="J55" s="64" t="e">
        <f t="shared" ref="J55" si="64">FIND("target:",G55)+7</f>
        <v>#VALUE!</v>
      </c>
      <c r="K55" s="64">
        <f t="shared" ref="K55" si="65">FIND(",",G55,I55+1)</f>
        <v>32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 t="shared" ref="M55" si="66">IFERROR(RIGHT(B55,LEN(B55)-FIND("],",B55)-1),"none")</f>
        <v>[effect:fix_speed, target:myself, turn:2]</v>
      </c>
      <c r="N55" s="48" t="str">
        <f>IFERROR(LEFT(M55,FIND("],",M55)+S65),M55)</f>
        <v>[effect:fix_speed, target:myself, turn:2]</v>
      </c>
      <c r="O55" s="64">
        <f t="shared" ref="O55" si="67">FIND("effect:",N55)+7</f>
        <v>9</v>
      </c>
      <c r="P55" s="64">
        <f t="shared" ref="P55" si="68">IFERROR(FIND(",",N55),LEN(N55))</f>
        <v>18</v>
      </c>
      <c r="Q55" s="64">
        <f t="shared" ref="Q55" si="69">FIND("target:",N55)+7</f>
        <v>27</v>
      </c>
      <c r="R55" s="64">
        <f t="shared" ref="R55" si="70">FIND(",",N55,P55+1)</f>
        <v>33</v>
      </c>
      <c r="S55" s="64" t="str">
        <f>IFERROR(VLOOKUP(MID(N55,Q55,R55-Q55),[5]skilldef!$C:$D,2,FALSE),"-") &amp; " / " &amp; IFERROR(VLOOKUP(MID(N55,O55,P55-O55),[5]skilldef!$A:$B,2,FALSE),"-")</f>
        <v>自分自身に / 行動値設定</v>
      </c>
      <c r="T55" s="48" t="str">
        <f t="shared" ref="T55" si="71">IFERROR(RIGHT(M55,LEN(M55)-FIND("],",M55)-1),"none")</f>
        <v>none</v>
      </c>
      <c r="U55" s="64" t="e">
        <f t="shared" ref="U55" si="72">FIND("effect:",T55)+7</f>
        <v>#VALUE!</v>
      </c>
      <c r="V55" s="64">
        <f t="shared" ref="V55" si="73">IFERROR(FIND(",",T55),LEN(T55))</f>
        <v>4</v>
      </c>
      <c r="W55" s="64" t="e">
        <f t="shared" ref="W55" si="74">FIND("target:",T55)+7</f>
        <v>#VALUE!</v>
      </c>
      <c r="X55" s="64" t="e">
        <f t="shared" ref="X55" si="75">FIND(",",T55,V55+1)</f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  <c r="AC55" s="161" t="s">
        <v>377</v>
      </c>
    </row>
    <row r="56" spans="1:29" ht="40" customHeight="1" x14ac:dyDescent="0.15">
      <c r="A56" s="47">
        <v>39009055</v>
      </c>
      <c r="B56" s="47" t="s">
        <v>467</v>
      </c>
      <c r="C56" s="139">
        <v>3</v>
      </c>
      <c r="D56" s="139" t="s">
        <v>128</v>
      </c>
      <c r="E56" s="140" t="s">
        <v>290</v>
      </c>
      <c r="F56" s="126" t="s">
        <v>388</v>
      </c>
      <c r="G56" s="64" t="str">
        <f t="shared" si="0"/>
        <v>[effect:enemy_message, val1:2.1, val2:0.0]</v>
      </c>
      <c r="H56" s="64">
        <f t="shared" si="1"/>
        <v>9</v>
      </c>
      <c r="I56" s="64">
        <f t="shared" si="2"/>
        <v>22</v>
      </c>
      <c r="J56" s="64" t="e">
        <f t="shared" si="3"/>
        <v>#VALUE!</v>
      </c>
      <c r="K56" s="64">
        <f t="shared" si="4"/>
        <v>32</v>
      </c>
      <c r="L56" s="64" t="str">
        <f>IFERROR(VLOOKUP(MID(G56,J56,K56-J56),[5]skilldef!$C:$D,2,FALSE),"-") &amp; " / " &amp; IFERROR(VLOOKUP(MID(G56,H56,I56-H56),[5]skilldef!$A:$B,2,FALSE),"-")</f>
        <v>- / -</v>
      </c>
      <c r="M56" s="64" t="str">
        <f t="shared" si="5"/>
        <v>[effect:fix_speed, target:myself, turn:2]</v>
      </c>
      <c r="N56" s="48" t="str">
        <f>IFERROR(LEFT(M56,FIND("],",M56)+S66),M56)</f>
        <v>[effect:fix_speed, target:myself, turn:2]</v>
      </c>
      <c r="O56" s="64">
        <f t="shared" si="7"/>
        <v>9</v>
      </c>
      <c r="P56" s="64">
        <f t="shared" si="8"/>
        <v>18</v>
      </c>
      <c r="Q56" s="64">
        <f t="shared" si="9"/>
        <v>27</v>
      </c>
      <c r="R56" s="64">
        <f t="shared" si="10"/>
        <v>33</v>
      </c>
      <c r="S56" s="64" t="str">
        <f>IFERROR(VLOOKUP(MID(N56,Q56,R56-Q56),[5]skilldef!$C:$D,2,FALSE),"-") &amp; " / " &amp; IFERROR(VLOOKUP(MID(N56,O56,P56-O56),[5]skilldef!$A:$B,2,FALSE),"-")</f>
        <v>自分自身に / 行動値設定</v>
      </c>
      <c r="T56" s="48" t="str">
        <f t="shared" si="11"/>
        <v>none</v>
      </c>
      <c r="U56" s="64" t="e">
        <f t="shared" si="12"/>
        <v>#VALUE!</v>
      </c>
      <c r="V56" s="64">
        <f t="shared" si="13"/>
        <v>4</v>
      </c>
      <c r="W56" s="64" t="e">
        <f t="shared" si="14"/>
        <v>#VALUE!</v>
      </c>
      <c r="X56" s="64" t="e">
        <f t="shared" si="15"/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  <c r="AC56" s="161" t="s">
        <v>377</v>
      </c>
    </row>
    <row r="57" spans="1:29" ht="40" customHeight="1" x14ac:dyDescent="0.15">
      <c r="A57" s="47">
        <v>39009056</v>
      </c>
      <c r="B57" s="47" t="s">
        <v>466</v>
      </c>
      <c r="C57" s="139">
        <v>3</v>
      </c>
      <c r="D57" s="139" t="s">
        <v>128</v>
      </c>
      <c r="E57" s="140" t="s">
        <v>291</v>
      </c>
      <c r="F57" s="126" t="s">
        <v>388</v>
      </c>
      <c r="G57" s="64" t="str">
        <f t="shared" ref="G57" si="76">IFERROR(LEFT(B57,FIND("],",B57)),B57)</f>
        <v>[effect:enemy_message, val1:1.9, val2:0.0]</v>
      </c>
      <c r="H57" s="64">
        <f t="shared" ref="H57" si="77">FIND("effect:",G57)+7</f>
        <v>9</v>
      </c>
      <c r="I57" s="64">
        <f t="shared" ref="I57" si="78">IFERROR(FIND(",",G57),LEN(G57))</f>
        <v>22</v>
      </c>
      <c r="J57" s="64" t="e">
        <f t="shared" ref="J57" si="79">FIND("target:",G57)+7</f>
        <v>#VALUE!</v>
      </c>
      <c r="K57" s="64">
        <f t="shared" ref="K57" si="80">FIND(",",G57,I57+1)</f>
        <v>32</v>
      </c>
      <c r="L57" s="64" t="str">
        <f>IFERROR(VLOOKUP(MID(G57,J57,K57-J57),[5]skilldef!$C:$D,2,FALSE),"-") &amp; " / " &amp; IFERROR(VLOOKUP(MID(G57,H57,I57-H57),[5]skilldef!$A:$B,2,FALSE),"-")</f>
        <v>- / -</v>
      </c>
      <c r="M57" s="64" t="str">
        <f t="shared" ref="M57" si="81">IFERROR(RIGHT(B57,LEN(B57)-FIND("],",B57)-1),"none")</f>
        <v>[effect:fix_speed, target:myself, turn:2]</v>
      </c>
      <c r="N57" s="48" t="str">
        <f>IFERROR(LEFT(M57,FIND("],",M57)+S67),M57)</f>
        <v>[effect:fix_speed, target:myself, turn:2]</v>
      </c>
      <c r="O57" s="64">
        <f t="shared" ref="O57" si="82">FIND("effect:",N57)+7</f>
        <v>9</v>
      </c>
      <c r="P57" s="64">
        <f t="shared" ref="P57" si="83">IFERROR(FIND(",",N57),LEN(N57))</f>
        <v>18</v>
      </c>
      <c r="Q57" s="64">
        <f t="shared" ref="Q57" si="84">FIND("target:",N57)+7</f>
        <v>27</v>
      </c>
      <c r="R57" s="64">
        <f t="shared" ref="R57" si="85">FIND(",",N57,P57+1)</f>
        <v>33</v>
      </c>
      <c r="S57" s="64" t="str">
        <f>IFERROR(VLOOKUP(MID(N57,Q57,R57-Q57),[5]skilldef!$C:$D,2,FALSE),"-") &amp; " / " &amp; IFERROR(VLOOKUP(MID(N57,O57,P57-O57),[5]skilldef!$A:$B,2,FALSE),"-")</f>
        <v>自分自身に / 行動値設定</v>
      </c>
      <c r="T57" s="48" t="str">
        <f t="shared" ref="T57" si="86">IFERROR(RIGHT(M57,LEN(M57)-FIND("],",M57)-1),"none")</f>
        <v>none</v>
      </c>
      <c r="U57" s="64" t="e">
        <f t="shared" ref="U57" si="87">FIND("effect:",T57)+7</f>
        <v>#VALUE!</v>
      </c>
      <c r="V57" s="64">
        <f t="shared" ref="V57" si="88">IFERROR(FIND(",",T57),LEN(T57))</f>
        <v>4</v>
      </c>
      <c r="W57" s="64" t="e">
        <f t="shared" ref="W57" si="89">FIND("target:",T57)+7</f>
        <v>#VALUE!</v>
      </c>
      <c r="X57" s="64" t="e">
        <f t="shared" ref="X57" si="90">FIND(",",T57,V57+1)</f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  <c r="AC57" s="161" t="s">
        <v>377</v>
      </c>
    </row>
    <row r="58" spans="1:29" ht="40" customHeight="1" x14ac:dyDescent="0.15">
      <c r="A58" s="47">
        <v>39009057</v>
      </c>
      <c r="B58" s="47" t="s">
        <v>468</v>
      </c>
      <c r="C58" s="139">
        <v>3</v>
      </c>
      <c r="D58" s="139" t="s">
        <v>128</v>
      </c>
      <c r="E58" s="140" t="s">
        <v>299</v>
      </c>
      <c r="F58" s="51" t="s">
        <v>391</v>
      </c>
      <c r="G58" s="64" t="str">
        <f t="shared" si="0"/>
        <v>[effect:enemy_message, val1:1.2, val2:2.0]</v>
      </c>
      <c r="H58" s="64">
        <f t="shared" si="1"/>
        <v>9</v>
      </c>
      <c r="I58" s="64">
        <f t="shared" si="2"/>
        <v>22</v>
      </c>
      <c r="J58" s="64" t="e">
        <f t="shared" si="3"/>
        <v>#VALUE!</v>
      </c>
      <c r="K58" s="64">
        <f t="shared" si="4"/>
        <v>32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si="5"/>
        <v>[effect:degrade_unit, target:unit_all, turn:3, status:heal, val:0.5, calc:mul, animation:degrade_unit_all_heal]</v>
      </c>
      <c r="N58" s="48" t="str">
        <f t="shared" ref="N58:N64" si="91">IFERROR(LEFT(M58,FIND("],",M58)+S67),M58)</f>
        <v>[effect:degrade_unit, target:unit_all, turn:3, status:heal, val:0.5, calc:mul, animation:degrade_unit_all_heal]</v>
      </c>
      <c r="O58" s="64">
        <f t="shared" si="7"/>
        <v>9</v>
      </c>
      <c r="P58" s="64">
        <f t="shared" si="8"/>
        <v>21</v>
      </c>
      <c r="Q58" s="64">
        <f t="shared" si="9"/>
        <v>30</v>
      </c>
      <c r="R58" s="64">
        <f t="shared" si="10"/>
        <v>38</v>
      </c>
      <c r="S58" s="64" t="str">
        <f>IFERROR(VLOOKUP(MID(N58,Q58,R58-Q58),[5]skilldef!$C:$D,2,FALSE),"-") &amp; " / " &amp; IFERROR(VLOOKUP(MID(N58,O58,P58-O58),[5]skilldef!$A:$B,2,FALSE),"-")</f>
        <v>味方全体に / ステータスDOWN</v>
      </c>
      <c r="T58" s="48" t="str">
        <f t="shared" si="11"/>
        <v>none</v>
      </c>
      <c r="U58" s="64" t="e">
        <f t="shared" si="12"/>
        <v>#VALUE!</v>
      </c>
      <c r="V58" s="64">
        <f t="shared" si="13"/>
        <v>4</v>
      </c>
      <c r="W58" s="64" t="e">
        <f t="shared" si="14"/>
        <v>#VALUE!</v>
      </c>
      <c r="X58" s="64" t="e">
        <f t="shared" si="15"/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  <c r="AC58" s="161" t="s">
        <v>379</v>
      </c>
    </row>
    <row r="59" spans="1:29" ht="40" customHeight="1" x14ac:dyDescent="0.15">
      <c r="A59" s="47">
        <v>39009058</v>
      </c>
      <c r="B59" s="47" t="s">
        <v>469</v>
      </c>
      <c r="C59" s="139">
        <v>3</v>
      </c>
      <c r="D59" s="139" t="s">
        <v>128</v>
      </c>
      <c r="E59" s="140" t="s">
        <v>359</v>
      </c>
      <c r="F59" s="51" t="s">
        <v>267</v>
      </c>
      <c r="G59" s="64" t="str">
        <f t="shared" si="0"/>
        <v>[effect:enemy_message, val1:1.2, val2:1.2]</v>
      </c>
      <c r="H59" s="64">
        <f t="shared" si="1"/>
        <v>9</v>
      </c>
      <c r="I59" s="64">
        <f t="shared" si="2"/>
        <v>22</v>
      </c>
      <c r="J59" s="64" t="e">
        <f t="shared" si="3"/>
        <v>#VALUE!</v>
      </c>
      <c r="K59" s="64">
        <f t="shared" si="4"/>
        <v>32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5"/>
        <v>[effect:spread, val:0.33]</v>
      </c>
      <c r="N59" s="48" t="str">
        <f t="shared" si="91"/>
        <v>[effect:spread, val:0.33]</v>
      </c>
      <c r="O59" s="64">
        <f t="shared" si="7"/>
        <v>9</v>
      </c>
      <c r="P59" s="64">
        <f t="shared" si="8"/>
        <v>15</v>
      </c>
      <c r="Q59" s="64" t="e">
        <f t="shared" si="9"/>
        <v>#VALUE!</v>
      </c>
      <c r="R59" s="64" t="e">
        <f t="shared" si="10"/>
        <v>#VALUE!</v>
      </c>
      <c r="S59" s="64" t="str">
        <f>IFERROR(VLOOKUP(MID(N59,Q59,R59-Q59),[5]skilldef!$C:$D,2,FALSE),"-") &amp; " / " &amp; IFERROR(VLOOKUP(MID(N59,O59,P59-O59),[5]skilldef!$A:$B,2,FALSE),"-")</f>
        <v>- / 全体攻撃</v>
      </c>
      <c r="T59" s="48" t="str">
        <f t="shared" si="11"/>
        <v>none</v>
      </c>
      <c r="U59" s="64" t="e">
        <f t="shared" si="12"/>
        <v>#VALUE!</v>
      </c>
      <c r="V59" s="64">
        <f t="shared" si="13"/>
        <v>4</v>
      </c>
      <c r="W59" s="64" t="e">
        <f t="shared" si="14"/>
        <v>#VALUE!</v>
      </c>
      <c r="X59" s="64" t="e">
        <f t="shared" si="15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  <c r="AC59" s="161" t="s">
        <v>254</v>
      </c>
    </row>
    <row r="60" spans="1:29" ht="40" customHeight="1" x14ac:dyDescent="0.15">
      <c r="A60" s="47">
        <v>39009059</v>
      </c>
      <c r="B60" s="47" t="s">
        <v>470</v>
      </c>
      <c r="C60" s="139">
        <v>3</v>
      </c>
      <c r="D60" s="139" t="s">
        <v>128</v>
      </c>
      <c r="E60" s="140" t="s">
        <v>300</v>
      </c>
      <c r="F60" s="51" t="s">
        <v>268</v>
      </c>
      <c r="G60" s="64" t="str">
        <f t="shared" si="0"/>
        <v>[effect:enemy_message, val1:1.2, val2:1.6]</v>
      </c>
      <c r="H60" s="64">
        <f t="shared" si="1"/>
        <v>9</v>
      </c>
      <c r="I60" s="64">
        <f t="shared" si="2"/>
        <v>22</v>
      </c>
      <c r="J60" s="64" t="e">
        <f t="shared" si="3"/>
        <v>#VALUE!</v>
      </c>
      <c r="K60" s="64">
        <f t="shared" si="4"/>
        <v>32</v>
      </c>
      <c r="L60" s="64" t="str">
        <f>IFERROR(VLOOKUP(MID(G60,J60,K60-J60),[5]skilldef!$C:$D,2,FALSE),"-") &amp; " / " &amp; IFERROR(VLOOKUP(MID(G60,H60,I60-H60),[5]skilldef!$A:$B,2,FALSE),"-")</f>
        <v>- / -</v>
      </c>
      <c r="M60" s="64" t="str">
        <f t="shared" si="5"/>
        <v>[effect:enhance_enemy, target:myself, turn:3, status:attack, val:0.3, calc:mul, animation:enemy_enhance_attack],[effect:rush, count:2, val:0.35]</v>
      </c>
      <c r="N60" s="48" t="str">
        <f t="shared" si="91"/>
        <v>[effect:enhance_enemy, target:myself, turn:3, status:attack, val:0.3, calc:mul, animation:enemy_enhance_attack],[effect:rush, count:2, val:0.35]</v>
      </c>
      <c r="O60" s="64">
        <f t="shared" si="7"/>
        <v>9</v>
      </c>
      <c r="P60" s="64">
        <f t="shared" si="8"/>
        <v>22</v>
      </c>
      <c r="Q60" s="64">
        <f t="shared" si="9"/>
        <v>31</v>
      </c>
      <c r="R60" s="64">
        <f t="shared" si="10"/>
        <v>37</v>
      </c>
      <c r="S60" s="64" t="str">
        <f>IFERROR(VLOOKUP(MID(N60,Q60,R60-Q60),[5]skilldef!$C:$D,2,FALSE),"-") &amp; " / " &amp; IFERROR(VLOOKUP(MID(N60,O60,P60-O60),[5]skilldef!$A:$B,2,FALSE),"-")</f>
        <v>自分自身に / ステータス強化</v>
      </c>
      <c r="T60" s="48" t="str">
        <f t="shared" si="11"/>
        <v>[effect:rush, count:2, val:0.35]</v>
      </c>
      <c r="U60" s="64">
        <f t="shared" si="12"/>
        <v>9</v>
      </c>
      <c r="V60" s="64">
        <f t="shared" si="13"/>
        <v>13</v>
      </c>
      <c r="W60" s="64" t="e">
        <f t="shared" si="14"/>
        <v>#VALUE!</v>
      </c>
      <c r="X60" s="64">
        <f t="shared" si="15"/>
        <v>22</v>
      </c>
      <c r="Y60" s="64" t="str">
        <f>IFERROR(VLOOKUP(MID(T60,W60,X60-W60),[5]skilldef!$C:$D,2,FALSE),"-") &amp; " / " &amp; IFERROR(VLOOKUP(MID(T60,U60,V60-U60),[5]skilldef!$A:$B,2,FALSE),"-")</f>
        <v>- / 連続攻撃</v>
      </c>
      <c r="Z60" s="50"/>
      <c r="AA60" s="52"/>
      <c r="AB60" s="50"/>
      <c r="AC60" s="161" t="s">
        <v>418</v>
      </c>
    </row>
    <row r="61" spans="1:29" ht="40" customHeight="1" x14ac:dyDescent="0.15">
      <c r="A61" s="47">
        <v>39009060</v>
      </c>
      <c r="B61" s="47" t="s">
        <v>460</v>
      </c>
      <c r="C61" s="50">
        <v>3</v>
      </c>
      <c r="D61" s="50" t="s">
        <v>128</v>
      </c>
      <c r="E61" s="51" t="s">
        <v>301</v>
      </c>
      <c r="F61" s="126" t="s">
        <v>388</v>
      </c>
      <c r="G61" s="64" t="str">
        <f t="shared" si="0"/>
        <v>[effect:enemy_message, val1:1.2, val2:0.0]</v>
      </c>
      <c r="H61" s="64">
        <f t="shared" si="1"/>
        <v>9</v>
      </c>
      <c r="I61" s="64">
        <f t="shared" si="2"/>
        <v>22</v>
      </c>
      <c r="J61" s="64" t="e">
        <f t="shared" si="3"/>
        <v>#VALUE!</v>
      </c>
      <c r="K61" s="64">
        <f t="shared" si="4"/>
        <v>32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5"/>
        <v>[effect:fix_speed, target:myself, turn:2]</v>
      </c>
      <c r="N61" s="48" t="str">
        <f t="shared" si="91"/>
        <v>[effect:fix_speed, target:myself, turn:2]</v>
      </c>
      <c r="O61" s="64">
        <f t="shared" si="7"/>
        <v>9</v>
      </c>
      <c r="P61" s="64">
        <f t="shared" si="8"/>
        <v>18</v>
      </c>
      <c r="Q61" s="64">
        <f t="shared" si="9"/>
        <v>27</v>
      </c>
      <c r="R61" s="64">
        <f t="shared" si="10"/>
        <v>33</v>
      </c>
      <c r="S61" s="64" t="str">
        <f>IFERROR(VLOOKUP(MID(N61,Q61,R61-Q61),[5]skilldef!$C:$D,2,FALSE),"-") &amp; " / " &amp; IFERROR(VLOOKUP(MID(N61,O61,P61-O61),[5]skilldef!$A:$B,2,FALSE),"-")</f>
        <v>自分自身に / 行動値設定</v>
      </c>
      <c r="T61" s="48" t="str">
        <f t="shared" si="11"/>
        <v>none</v>
      </c>
      <c r="U61" s="64" t="e">
        <f t="shared" si="12"/>
        <v>#VALUE!</v>
      </c>
      <c r="V61" s="64">
        <f t="shared" si="13"/>
        <v>4</v>
      </c>
      <c r="W61" s="64" t="e">
        <f t="shared" si="14"/>
        <v>#VALUE!</v>
      </c>
      <c r="X61" s="64" t="e">
        <f t="shared" si="15"/>
        <v>#VALUE!</v>
      </c>
      <c r="Y61" s="64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  <c r="AC61" s="157" t="s">
        <v>377</v>
      </c>
    </row>
    <row r="62" spans="1:29" ht="40" customHeight="1" x14ac:dyDescent="0.15">
      <c r="A62" s="47">
        <v>39009061</v>
      </c>
      <c r="B62" s="47" t="s">
        <v>471</v>
      </c>
      <c r="C62" s="50">
        <v>3</v>
      </c>
      <c r="D62" s="50" t="s">
        <v>128</v>
      </c>
      <c r="E62" s="51" t="s">
        <v>302</v>
      </c>
      <c r="F62" s="51" t="s">
        <v>392</v>
      </c>
      <c r="G62" s="64" t="str">
        <f t="shared" si="0"/>
        <v>[effect:enemy_message, val1:1.2, val2:3.0]</v>
      </c>
      <c r="H62" s="64">
        <f t="shared" si="1"/>
        <v>9</v>
      </c>
      <c r="I62" s="64">
        <f t="shared" si="2"/>
        <v>22</v>
      </c>
      <c r="J62" s="64" t="e">
        <f t="shared" si="3"/>
        <v>#VALUE!</v>
      </c>
      <c r="K62" s="64">
        <f t="shared" si="4"/>
        <v>32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si="5"/>
        <v>[effect:fix_speed, target:myself, turn:2],[effect:enhance_unit, target:unit_all, turn:1, status:attack, val:0.3, calc:mul],[effect:change_panel_ratio, turn:1, block_type:heal, val:0.6, animation:block_incidence04]</v>
      </c>
      <c r="N62" s="48" t="str">
        <f t="shared" si="91"/>
        <v>[effect:fix_speed, target:myself, turn:2],[effect:enhance_unit, target:unit_all, turn:1, status:attack, val:0.3, calc:mul],[effect:change_panel_ratio, turn:1, block_type:heal, val:0.6, animation:block_incidence04]</v>
      </c>
      <c r="O62" s="64">
        <f t="shared" si="7"/>
        <v>9</v>
      </c>
      <c r="P62" s="64">
        <f t="shared" si="8"/>
        <v>18</v>
      </c>
      <c r="Q62" s="64">
        <f t="shared" si="9"/>
        <v>27</v>
      </c>
      <c r="R62" s="64">
        <f t="shared" si="10"/>
        <v>33</v>
      </c>
      <c r="S62" s="64" t="str">
        <f>IFERROR(VLOOKUP(MID(N62,Q62,R62-Q62),[5]skilldef!$C:$D,2,FALSE),"-") &amp; " / " &amp; IFERROR(VLOOKUP(MID(N62,O62,P62-O62),[5]skilldef!$A:$B,2,FALSE),"-")</f>
        <v>自分自身に / 行動値設定</v>
      </c>
      <c r="T62" s="48" t="str">
        <f t="shared" si="11"/>
        <v>[effect:enhance_unit, target:unit_all, turn:1, status:attack, val:0.3, calc:mul],[effect:change_panel_ratio, turn:1, block_type:heal, val:0.6, animation:block_incidence04]</v>
      </c>
      <c r="U62" s="64">
        <f t="shared" si="12"/>
        <v>9</v>
      </c>
      <c r="V62" s="64">
        <f t="shared" si="13"/>
        <v>21</v>
      </c>
      <c r="W62" s="64">
        <f t="shared" si="14"/>
        <v>30</v>
      </c>
      <c r="X62" s="64">
        <f t="shared" si="15"/>
        <v>38</v>
      </c>
      <c r="Y62" s="64" t="str">
        <f>IFERROR(VLOOKUP(MID(T62,W62,X62-W62),[5]skilldef!$C:$D,2,FALSE),"-") &amp; " / " &amp; IFERROR(VLOOKUP(MID(T62,U62,V62-U62),[5]skilldef!$A:$B,2,FALSE),"-")</f>
        <v>味方全体に / -</v>
      </c>
      <c r="Z62" s="50"/>
      <c r="AA62" s="52"/>
      <c r="AB62" s="50"/>
      <c r="AC62" s="157" t="s">
        <v>380</v>
      </c>
    </row>
    <row r="63" spans="1:29" ht="40" customHeight="1" x14ac:dyDescent="0.15">
      <c r="A63" s="47">
        <v>39009062</v>
      </c>
      <c r="B63" s="47" t="s">
        <v>472</v>
      </c>
      <c r="C63" s="50">
        <v>3</v>
      </c>
      <c r="D63" s="50" t="s">
        <v>128</v>
      </c>
      <c r="E63" s="51" t="s">
        <v>304</v>
      </c>
      <c r="F63" s="51" t="s">
        <v>303</v>
      </c>
      <c r="G63" s="64" t="str">
        <f t="shared" si="0"/>
        <v>[effect:enemy_message, val1:1.3, val2:2.3]</v>
      </c>
      <c r="H63" s="64">
        <f t="shared" si="1"/>
        <v>9</v>
      </c>
      <c r="I63" s="64">
        <f t="shared" si="2"/>
        <v>22</v>
      </c>
      <c r="J63" s="64" t="e">
        <f t="shared" si="3"/>
        <v>#VALUE!</v>
      </c>
      <c r="K63" s="64">
        <f t="shared" si="4"/>
        <v>32</v>
      </c>
      <c r="L63" s="64" t="str">
        <f>IFERROR(VLOOKUP(MID(G63,J63,K63-J63),[5]skilldef!$C:$D,2,FALSE),"-") &amp; " / " &amp; IFERROR(VLOOKUP(MID(G63,H63,I63-H63),[5]skilldef!$A:$B,2,FALSE),"-")</f>
        <v>- / -</v>
      </c>
      <c r="M63" s="64" t="str">
        <f t="shared" si="5"/>
        <v>[effect:critical, val:1.2, animation:enemy_critical]</v>
      </c>
      <c r="N63" s="48" t="str">
        <f t="shared" si="91"/>
        <v>[effect:critical, val:1.2, animation:enemy_critical]</v>
      </c>
      <c r="O63" s="64">
        <f t="shared" si="7"/>
        <v>9</v>
      </c>
      <c r="P63" s="64">
        <f t="shared" si="8"/>
        <v>17</v>
      </c>
      <c r="Q63" s="64" t="e">
        <f t="shared" si="9"/>
        <v>#VALUE!</v>
      </c>
      <c r="R63" s="64">
        <f t="shared" si="10"/>
        <v>26</v>
      </c>
      <c r="S63" s="64" t="str">
        <f>IFERROR(VLOOKUP(MID(N63,Q63,R63-Q63),[5]skilldef!$C:$D,2,FALSE),"-") &amp; " / " &amp; IFERROR(VLOOKUP(MID(N63,O63,P63-O63),[5]skilldef!$A:$B,2,FALSE),"-")</f>
        <v>- / 大攻撃</v>
      </c>
      <c r="T63" s="48" t="str">
        <f t="shared" si="11"/>
        <v>none</v>
      </c>
      <c r="U63" s="64" t="e">
        <f t="shared" si="12"/>
        <v>#VALUE!</v>
      </c>
      <c r="V63" s="64">
        <f t="shared" si="13"/>
        <v>4</v>
      </c>
      <c r="W63" s="64" t="e">
        <f t="shared" si="14"/>
        <v>#VALUE!</v>
      </c>
      <c r="X63" s="64" t="e">
        <f t="shared" si="15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  <c r="AC63" s="157" t="s">
        <v>381</v>
      </c>
    </row>
    <row r="64" spans="1:29" ht="40" customHeight="1" x14ac:dyDescent="0.15">
      <c r="A64" s="47">
        <v>39009063</v>
      </c>
      <c r="B64" s="47" t="s">
        <v>473</v>
      </c>
      <c r="C64" s="50">
        <v>3</v>
      </c>
      <c r="D64" s="50" t="s">
        <v>128</v>
      </c>
      <c r="E64" s="51" t="s">
        <v>305</v>
      </c>
      <c r="F64" s="51" t="s">
        <v>285</v>
      </c>
      <c r="G64" s="64" t="str">
        <f t="shared" si="0"/>
        <v>[effect:enemy_message, val1:1.3, val2:2.3]</v>
      </c>
      <c r="H64" s="64">
        <f t="shared" si="1"/>
        <v>9</v>
      </c>
      <c r="I64" s="64">
        <f t="shared" si="2"/>
        <v>22</v>
      </c>
      <c r="J64" s="64" t="e">
        <f t="shared" si="3"/>
        <v>#VALUE!</v>
      </c>
      <c r="K64" s="64">
        <f t="shared" si="4"/>
        <v>32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si="5"/>
        <v>[effect:critical, val:1.4, animation:enemy_critical]</v>
      </c>
      <c r="N64" s="48" t="str">
        <f t="shared" si="91"/>
        <v>[effect:critical, val:1.4, animation:enemy_critical]</v>
      </c>
      <c r="O64" s="64">
        <f t="shared" si="7"/>
        <v>9</v>
      </c>
      <c r="P64" s="64">
        <f t="shared" si="8"/>
        <v>17</v>
      </c>
      <c r="Q64" s="64" t="e">
        <f t="shared" si="9"/>
        <v>#VALUE!</v>
      </c>
      <c r="R64" s="64">
        <f t="shared" si="10"/>
        <v>26</v>
      </c>
      <c r="S64" s="64" t="str">
        <f>IFERROR(VLOOKUP(MID(N64,Q64,R64-Q64),[5]skilldef!$C:$D,2,FALSE),"-") &amp; " / " &amp; IFERROR(VLOOKUP(MID(N64,O64,P64-O64),[5]skilldef!$A:$B,2,FALSE),"-")</f>
        <v>- / 大攻撃</v>
      </c>
      <c r="T64" s="48" t="str">
        <f t="shared" si="11"/>
        <v>none</v>
      </c>
      <c r="U64" s="64" t="e">
        <f t="shared" si="12"/>
        <v>#VALUE!</v>
      </c>
      <c r="V64" s="64">
        <f t="shared" si="13"/>
        <v>4</v>
      </c>
      <c r="W64" s="64" t="e">
        <f t="shared" si="14"/>
        <v>#VALUE!</v>
      </c>
      <c r="X64" s="64" t="e">
        <f t="shared" si="15"/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  <c r="AC64" s="157" t="s">
        <v>382</v>
      </c>
    </row>
    <row r="65" spans="1:29" ht="40" customHeight="1" x14ac:dyDescent="0.15">
      <c r="A65" s="47">
        <v>39009064</v>
      </c>
      <c r="B65" s="47" t="s">
        <v>474</v>
      </c>
      <c r="C65" s="50">
        <v>3</v>
      </c>
      <c r="D65" s="50" t="s">
        <v>128</v>
      </c>
      <c r="E65" s="51" t="s">
        <v>306</v>
      </c>
      <c r="F65" s="51" t="s">
        <v>285</v>
      </c>
      <c r="G65" s="64" t="str">
        <f t="shared" si="0"/>
        <v>[effect:enemy_message, val1:1.3, val2:2.3]</v>
      </c>
      <c r="H65" s="64">
        <f t="shared" si="1"/>
        <v>9</v>
      </c>
      <c r="I65" s="64">
        <f t="shared" si="2"/>
        <v>22</v>
      </c>
      <c r="J65" s="64" t="e">
        <f t="shared" si="3"/>
        <v>#VALUE!</v>
      </c>
      <c r="K65" s="64">
        <f t="shared" si="4"/>
        <v>32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5"/>
        <v>[effect:critical, val:1.6, animation:enemy_critical]</v>
      </c>
      <c r="N65" s="48" t="str">
        <f t="shared" si="6"/>
        <v>[effect:critical, val:1.6, animation:enemy_critical]</v>
      </c>
      <c r="O65" s="64">
        <f t="shared" si="7"/>
        <v>9</v>
      </c>
      <c r="P65" s="64">
        <f t="shared" si="8"/>
        <v>17</v>
      </c>
      <c r="Q65" s="64" t="e">
        <f t="shared" si="9"/>
        <v>#VALUE!</v>
      </c>
      <c r="R65" s="64">
        <f t="shared" si="10"/>
        <v>26</v>
      </c>
      <c r="S65" s="64" t="str">
        <f>IFERROR(VLOOKUP(MID(N65,Q65,R65-Q65),[5]skilldef!$C:$D,2,FALSE),"-") &amp; " / " &amp; IFERROR(VLOOKUP(MID(N65,O65,P65-O65),[5]skilldef!$A:$B,2,FALSE),"-")</f>
        <v>- / 大攻撃</v>
      </c>
      <c r="T65" s="48" t="str">
        <f t="shared" si="11"/>
        <v>none</v>
      </c>
      <c r="U65" s="64" t="e">
        <f t="shared" si="12"/>
        <v>#VALUE!</v>
      </c>
      <c r="V65" s="64">
        <f t="shared" si="13"/>
        <v>4</v>
      </c>
      <c r="W65" s="64" t="e">
        <f t="shared" si="14"/>
        <v>#VALUE!</v>
      </c>
      <c r="X65" s="64" t="e">
        <f t="shared" si="15"/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  <c r="AC65" s="157" t="s">
        <v>383</v>
      </c>
    </row>
    <row r="66" spans="1:29" ht="40" customHeight="1" x14ac:dyDescent="0.15">
      <c r="A66" s="47">
        <v>39009065</v>
      </c>
      <c r="B66" s="47" t="s">
        <v>475</v>
      </c>
      <c r="C66" s="50">
        <v>3</v>
      </c>
      <c r="D66" s="50" t="s">
        <v>128</v>
      </c>
      <c r="E66" s="51" t="s">
        <v>360</v>
      </c>
      <c r="F66" s="51" t="s">
        <v>285</v>
      </c>
      <c r="G66" s="64" t="str">
        <f t="shared" si="0"/>
        <v>[effect:enemy_message, val1:1.2, val2:2.3]</v>
      </c>
      <c r="H66" s="64">
        <f t="shared" si="1"/>
        <v>9</v>
      </c>
      <c r="I66" s="64">
        <f t="shared" si="2"/>
        <v>22</v>
      </c>
      <c r="J66" s="64" t="e">
        <f t="shared" si="3"/>
        <v>#VALUE!</v>
      </c>
      <c r="K66" s="64">
        <f t="shared" si="4"/>
        <v>32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5"/>
        <v>[effect:critical, val:1.8, animation:enemy_critical]</v>
      </c>
      <c r="N66" s="48" t="str">
        <f>IFERROR(LEFT(M66,FIND("],",M66)+#REF!),M66)</f>
        <v>[effect:critical, val:1.8, animation:enemy_critical]</v>
      </c>
      <c r="O66" s="64">
        <f t="shared" si="7"/>
        <v>9</v>
      </c>
      <c r="P66" s="64">
        <f t="shared" si="8"/>
        <v>17</v>
      </c>
      <c r="Q66" s="64" t="e">
        <f t="shared" si="9"/>
        <v>#VALUE!</v>
      </c>
      <c r="R66" s="64">
        <f t="shared" si="10"/>
        <v>26</v>
      </c>
      <c r="S66" s="64" t="str">
        <f>IFERROR(VLOOKUP(MID(N66,Q66,R66-Q66),[5]skilldef!$C:$D,2,FALSE),"-") &amp; " / " &amp; IFERROR(VLOOKUP(MID(N66,O66,P66-O66),[5]skilldef!$A:$B,2,FALSE),"-")</f>
        <v>- / 大攻撃</v>
      </c>
      <c r="T66" s="48" t="str">
        <f t="shared" si="11"/>
        <v>none</v>
      </c>
      <c r="U66" s="64" t="e">
        <f t="shared" si="12"/>
        <v>#VALUE!</v>
      </c>
      <c r="V66" s="64">
        <f t="shared" si="13"/>
        <v>4</v>
      </c>
      <c r="W66" s="64" t="e">
        <f t="shared" si="14"/>
        <v>#VALUE!</v>
      </c>
      <c r="X66" s="64" t="e">
        <f t="shared" si="15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  <c r="AC66" s="157" t="s">
        <v>384</v>
      </c>
    </row>
    <row r="67" spans="1:29" ht="40" customHeight="1" x14ac:dyDescent="0.15">
      <c r="A67" s="47">
        <v>39009066</v>
      </c>
      <c r="B67" s="47" t="s">
        <v>476</v>
      </c>
      <c r="C67" s="50">
        <v>3</v>
      </c>
      <c r="D67" s="50" t="s">
        <v>128</v>
      </c>
      <c r="E67" s="51" t="s">
        <v>361</v>
      </c>
      <c r="F67" s="51" t="s">
        <v>393</v>
      </c>
      <c r="G67" s="64" t="str">
        <f t="shared" si="0"/>
        <v>[effect:enemy_message, val1:1.2, val2:3.7]</v>
      </c>
      <c r="H67" s="64">
        <f t="shared" si="1"/>
        <v>9</v>
      </c>
      <c r="I67" s="64">
        <f t="shared" si="2"/>
        <v>22</v>
      </c>
      <c r="J67" s="64" t="e">
        <f t="shared" si="3"/>
        <v>#VALUE!</v>
      </c>
      <c r="K67" s="64">
        <f t="shared" si="4"/>
        <v>32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si="5"/>
        <v>[effect:change_panel_ratio, turn:3, block_type:heal, val:0.05],[effect:degrade_unit, target:unit_all, turn:3, status:heal, val:0.5, calc:mul, animation:degrade_unit_all_heal]</v>
      </c>
      <c r="N67" s="48" t="str">
        <f>IFERROR(LEFT(M67,FIND("],",M67)+#REF!),M67)</f>
        <v>[effect:change_panel_ratio, turn:3, block_type:heal, val:0.05],[effect:degrade_unit, target:unit_all, turn:3, status:heal, val:0.5, calc:mul, animation:degrade_unit_all_heal]</v>
      </c>
      <c r="O67" s="64">
        <f t="shared" si="7"/>
        <v>9</v>
      </c>
      <c r="P67" s="64">
        <f t="shared" si="8"/>
        <v>27</v>
      </c>
      <c r="Q67" s="64">
        <f t="shared" si="9"/>
        <v>93</v>
      </c>
      <c r="R67" s="64">
        <f t="shared" si="10"/>
        <v>35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si="11"/>
        <v>[effect:degrade_unit, target:unit_all, turn:3, status:heal, val:0.5, calc:mul, animation:degrade_unit_all_heal]</v>
      </c>
      <c r="U67" s="64">
        <f t="shared" si="12"/>
        <v>9</v>
      </c>
      <c r="V67" s="64">
        <f t="shared" si="13"/>
        <v>21</v>
      </c>
      <c r="W67" s="64">
        <f t="shared" si="14"/>
        <v>30</v>
      </c>
      <c r="X67" s="64">
        <f t="shared" si="15"/>
        <v>38</v>
      </c>
      <c r="Y67" s="64" t="str">
        <f>IFERROR(VLOOKUP(MID(T67,W67,X67-W67),[5]skilldef!$C:$D,2,FALSE),"-") &amp; " / " &amp; IFERROR(VLOOKUP(MID(T67,U67,V67-U67),[5]skilldef!$A:$B,2,FALSE),"-")</f>
        <v>味方全体に / ステータスDOWN</v>
      </c>
      <c r="Z67" s="50"/>
      <c r="AA67" s="52"/>
      <c r="AB67" s="50"/>
      <c r="AC67" s="157" t="s">
        <v>385</v>
      </c>
    </row>
    <row r="68" spans="1:29" ht="40" customHeight="1" x14ac:dyDescent="0.15">
      <c r="A68" s="47">
        <v>39009067</v>
      </c>
      <c r="B68" s="47" t="s">
        <v>477</v>
      </c>
      <c r="C68" s="50">
        <v>3</v>
      </c>
      <c r="D68" s="50" t="s">
        <v>128</v>
      </c>
      <c r="E68" s="51" t="s">
        <v>307</v>
      </c>
      <c r="F68" s="51" t="s">
        <v>270</v>
      </c>
      <c r="G68" s="64" t="str">
        <f t="shared" si="0"/>
        <v>[effect:enemy_message, val1:1.2, val2:1.2]</v>
      </c>
      <c r="H68" s="64">
        <f t="shared" si="1"/>
        <v>9</v>
      </c>
      <c r="I68" s="64">
        <f t="shared" si="2"/>
        <v>22</v>
      </c>
      <c r="J68" s="64" t="e">
        <f t="shared" si="3"/>
        <v>#VALUE!</v>
      </c>
      <c r="K68" s="64">
        <f t="shared" si="4"/>
        <v>32</v>
      </c>
      <c r="L68" s="64" t="str">
        <f>IFERROR(VLOOKUP(MID(G68,J68,K68-J68),[5]skilldef!$C:$D,2,FALSE),"-") &amp; " / " &amp; IFERROR(VLOOKUP(MID(G68,H68,I68-H68),[5]skilldef!$A:$B,2,FALSE),"-")</f>
        <v>- / -</v>
      </c>
      <c r="M68" s="64" t="str">
        <f t="shared" si="5"/>
        <v>[effect:fix_speed, target:myself, turn:1],[effect:tolerance, target:myself, turn:-1, count:-1, tolerance_effect:all, animation:enemy_tolerance]</v>
      </c>
      <c r="N68" s="48" t="str">
        <f>IFERROR(LEFT(M68,FIND("],",M68)+#REF!),M68)</f>
        <v>[effect:fix_speed, target:myself, turn:1],[effect:tolerance, target:myself, turn:-1, count:-1, tolerance_effect:all, animation:enemy_tolerance]</v>
      </c>
      <c r="O68" s="64">
        <f t="shared" si="7"/>
        <v>9</v>
      </c>
      <c r="P68" s="64">
        <f t="shared" si="8"/>
        <v>18</v>
      </c>
      <c r="Q68" s="64">
        <f t="shared" si="9"/>
        <v>27</v>
      </c>
      <c r="R68" s="64">
        <f t="shared" si="10"/>
        <v>33</v>
      </c>
      <c r="S68" s="64" t="str">
        <f>IFERROR(VLOOKUP(MID(N68,Q68,R68-Q68),[5]skilldef!$C:$D,2,FALSE),"-") &amp; " / " &amp; IFERROR(VLOOKUP(MID(N68,O68,P68-O68),[5]skilldef!$A:$B,2,FALSE),"-")</f>
        <v>自分自身に / 行動値設定</v>
      </c>
      <c r="T68" s="48" t="str">
        <f t="shared" si="11"/>
        <v>[effect:tolerance, target:myself, turn:-1, count:-1, tolerance_effect:all, animation:enemy_tolerance]</v>
      </c>
      <c r="U68" s="64">
        <f t="shared" si="12"/>
        <v>9</v>
      </c>
      <c r="V68" s="64">
        <f t="shared" si="13"/>
        <v>18</v>
      </c>
      <c r="W68" s="64">
        <f t="shared" si="14"/>
        <v>27</v>
      </c>
      <c r="X68" s="64">
        <f t="shared" si="15"/>
        <v>33</v>
      </c>
      <c r="Y68" s="64" t="str">
        <f>IFERROR(VLOOKUP(MID(T68,W68,X68-W68),[5]skilldef!$C:$D,2,FALSE),"-") &amp; " / " &amp; IFERROR(VLOOKUP(MID(T68,U68,V68-U68),[5]skilldef!$A:$B,2,FALSE),"-")</f>
        <v>自分自身に / 状態異常耐性</v>
      </c>
      <c r="Z68" s="50"/>
      <c r="AA68" s="52"/>
      <c r="AB68" s="50"/>
      <c r="AC68" s="157" t="s">
        <v>386</v>
      </c>
    </row>
    <row r="69" spans="1:29" ht="40" customHeight="1" x14ac:dyDescent="0.15">
      <c r="A69" s="47">
        <v>39009068</v>
      </c>
      <c r="B69" s="47" t="s">
        <v>478</v>
      </c>
      <c r="C69" s="50">
        <v>3</v>
      </c>
      <c r="D69" s="50" t="s">
        <v>128</v>
      </c>
      <c r="E69" s="51" t="s">
        <v>308</v>
      </c>
      <c r="F69" s="51" t="s">
        <v>390</v>
      </c>
      <c r="G69" s="64" t="str">
        <f t="shared" si="0"/>
        <v>[effect:enemy_message, val1:1.4, val2:3.7]</v>
      </c>
      <c r="H69" s="64">
        <f t="shared" si="1"/>
        <v>9</v>
      </c>
      <c r="I69" s="64">
        <f t="shared" si="2"/>
        <v>22</v>
      </c>
      <c r="J69" s="64" t="e">
        <f t="shared" si="3"/>
        <v>#VALUE!</v>
      </c>
      <c r="K69" s="64">
        <f t="shared" si="4"/>
        <v>32</v>
      </c>
      <c r="L69" s="64" t="str">
        <f>IFERROR(VLOOKUP(MID(G69,J69,K69-J69),[5]skilldef!$C:$D,2,FALSE),"-") &amp; " / " &amp; IFERROR(VLOOKUP(MID(G69,H69,I69-H69),[5]skilldef!$A:$B,2,FALSE),"-")</f>
        <v>- / -</v>
      </c>
      <c r="M69" s="64" t="str">
        <f t="shared" si="5"/>
        <v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val:1440, calc:add]</v>
      </c>
      <c r="N69" s="48" t="str">
        <f>IFERROR(LEFT(M69,FIND("],",M69)+#REF!),M69)</f>
        <v>[effect:fix_speed, target:myself, turn:1],[effect:tolerance, target:myself, turn:-1, count:-1, tolerance_effect:all, animation:enemy_tolerance],[effect:change_panel_ratio, turn:1, block_type:heal, val:0.6, animation:block_incidence04],[effect:enhance_unit, target:unit_all, turn:1, status:defense, val:1440, calc:add]</v>
      </c>
      <c r="O69" s="64">
        <f t="shared" si="7"/>
        <v>9</v>
      </c>
      <c r="P69" s="64">
        <f t="shared" si="8"/>
        <v>18</v>
      </c>
      <c r="Q69" s="64">
        <f t="shared" si="9"/>
        <v>27</v>
      </c>
      <c r="R69" s="64">
        <f t="shared" si="10"/>
        <v>33</v>
      </c>
      <c r="S69" s="64" t="str">
        <f>IFERROR(VLOOKUP(MID(N69,Q69,R69-Q69),[5]skilldef!$C:$D,2,FALSE),"-") &amp; " / " &amp; IFERROR(VLOOKUP(MID(N69,O69,P69-O69),[5]skilldef!$A:$B,2,FALSE),"-")</f>
        <v>自分自身に / 行動値設定</v>
      </c>
      <c r="T69" s="48" t="str">
        <f t="shared" si="11"/>
        <v>[effect:tolerance, target:myself, turn:-1, count:-1, tolerance_effect:all, animation:enemy_tolerance],[effect:change_panel_ratio, turn:1, block_type:heal, val:0.6, animation:block_incidence04],[effect:enhance_unit, target:unit_all, turn:1, status:defense, val:1440, calc:add]</v>
      </c>
      <c r="U69" s="64">
        <f t="shared" si="12"/>
        <v>9</v>
      </c>
      <c r="V69" s="64">
        <f t="shared" si="13"/>
        <v>18</v>
      </c>
      <c r="W69" s="64">
        <f t="shared" si="14"/>
        <v>27</v>
      </c>
      <c r="X69" s="64">
        <f t="shared" si="15"/>
        <v>33</v>
      </c>
      <c r="Y69" s="64" t="str">
        <f>IFERROR(VLOOKUP(MID(T69,W69,X69-W69),[5]skilldef!$C:$D,2,FALSE),"-") &amp; " / " &amp; IFERROR(VLOOKUP(MID(T69,U69,V69-U69),[5]skilldef!$A:$B,2,FALSE),"-")</f>
        <v>自分自身に / 状態異常耐性</v>
      </c>
      <c r="Z69" s="50"/>
      <c r="AA69" s="52"/>
      <c r="AB69" s="50"/>
      <c r="AC69" s="154" t="s">
        <v>387</v>
      </c>
    </row>
    <row r="70" spans="1:29" ht="40" customHeight="1" x14ac:dyDescent="0.15">
      <c r="A70" s="47">
        <v>39009069</v>
      </c>
      <c r="B70" s="47" t="s">
        <v>479</v>
      </c>
      <c r="C70" s="50">
        <v>3</v>
      </c>
      <c r="D70" s="50" t="s">
        <v>128</v>
      </c>
      <c r="E70" s="51" t="s">
        <v>362</v>
      </c>
      <c r="F70" s="51" t="s">
        <v>269</v>
      </c>
      <c r="G70" s="64" t="str">
        <f t="shared" si="0"/>
        <v>[effect:enemy_message, val1:1.2, val2:1.2]</v>
      </c>
      <c r="H70" s="64">
        <f t="shared" si="1"/>
        <v>9</v>
      </c>
      <c r="I70" s="64">
        <f t="shared" si="2"/>
        <v>22</v>
      </c>
      <c r="J70" s="64" t="e">
        <f t="shared" si="3"/>
        <v>#VALUE!</v>
      </c>
      <c r="K70" s="64">
        <f t="shared" si="4"/>
        <v>32</v>
      </c>
      <c r="L70" s="64" t="str">
        <f>IFERROR(VLOOKUP(MID(G70,J70,K70-J70),[5]skilldef!$C:$D,2,FALSE),"-") &amp; " / " &amp; IFERROR(VLOOKUP(MID(G70,H70,I70-H70),[5]skilldef!$A:$B,2,FALSE),"-")</f>
        <v>- / -</v>
      </c>
      <c r="M70" s="64" t="str">
        <f t="shared" si="5"/>
        <v>[effect:critical, val:1.3, animation:enemy_critical]</v>
      </c>
      <c r="N70" s="48" t="str">
        <f>IFERROR(LEFT(M70,FIND("],",M70)+#REF!),M70)</f>
        <v>[effect:critical, val:1.3, animation:enemy_critical]</v>
      </c>
      <c r="O70" s="64">
        <f t="shared" si="7"/>
        <v>9</v>
      </c>
      <c r="P70" s="64">
        <f t="shared" si="8"/>
        <v>17</v>
      </c>
      <c r="Q70" s="64" t="e">
        <f t="shared" si="9"/>
        <v>#VALUE!</v>
      </c>
      <c r="R70" s="64">
        <f t="shared" si="10"/>
        <v>26</v>
      </c>
      <c r="S70" s="64" t="str">
        <f>IFERROR(VLOOKUP(MID(N70,Q70,R70-Q70),[5]skilldef!$C:$D,2,FALSE),"-") &amp; " / " &amp; IFERROR(VLOOKUP(MID(N70,O70,P70-O70),[5]skilldef!$A:$B,2,FALSE),"-")</f>
        <v>- / 大攻撃</v>
      </c>
      <c r="T70" s="48" t="str">
        <f t="shared" si="11"/>
        <v>none</v>
      </c>
      <c r="U70" s="64" t="e">
        <f t="shared" si="12"/>
        <v>#VALUE!</v>
      </c>
      <c r="V70" s="64">
        <f t="shared" si="13"/>
        <v>4</v>
      </c>
      <c r="W70" s="64" t="e">
        <f t="shared" si="14"/>
        <v>#VALUE!</v>
      </c>
      <c r="X70" s="64" t="e">
        <f t="shared" si="15"/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  <c r="AC70" s="157" t="s">
        <v>255</v>
      </c>
    </row>
    <row r="71" spans="1:29" ht="40" customHeight="1" x14ac:dyDescent="0.15">
      <c r="A71" s="47">
        <v>39009070</v>
      </c>
      <c r="B71" s="47" t="s">
        <v>487</v>
      </c>
      <c r="C71" s="50">
        <v>3</v>
      </c>
      <c r="D71" s="50" t="s">
        <v>128</v>
      </c>
      <c r="E71" s="51" t="s">
        <v>350</v>
      </c>
      <c r="F71" s="51" t="s">
        <v>286</v>
      </c>
      <c r="G71" s="64" t="str">
        <f t="shared" si="0"/>
        <v>[effect:enemy_message, val1:1.2, val2:2.2]</v>
      </c>
      <c r="H71" s="64">
        <f t="shared" si="1"/>
        <v>9</v>
      </c>
      <c r="I71" s="64">
        <f t="shared" si="2"/>
        <v>22</v>
      </c>
      <c r="J71" s="64" t="e">
        <f t="shared" si="3"/>
        <v>#VALUE!</v>
      </c>
      <c r="K71" s="64">
        <f t="shared" si="4"/>
        <v>32</v>
      </c>
      <c r="L71" s="64" t="str">
        <f>IFERROR(VLOOKUP(MID(G71,J71,K71-J71),[5]skilldef!$C:$D,2,FALSE),"-") &amp; " / " &amp; IFERROR(VLOOKUP(MID(G71,H71,I71-H71),[5]skilldef!$A:$B,2,FALSE),"-")</f>
        <v>- / -</v>
      </c>
      <c r="M71" s="64" t="str">
        <f t="shared" si="5"/>
        <v>[effect:damage_anti_tribe, target:unit_all, tribe:none, val1:0.18, val2:1.3]</v>
      </c>
      <c r="N71" s="48" t="str">
        <f>IFERROR(LEFT(M71,FIND("],",M71)+#REF!),M71)</f>
        <v>[effect:damage_anti_tribe, target:unit_all, tribe:none, val1:0.18, val2:1.3]</v>
      </c>
      <c r="O71" s="64">
        <f t="shared" si="7"/>
        <v>9</v>
      </c>
      <c r="P71" s="64">
        <f t="shared" si="8"/>
        <v>26</v>
      </c>
      <c r="Q71" s="64">
        <f t="shared" si="9"/>
        <v>35</v>
      </c>
      <c r="R71" s="64">
        <f t="shared" si="10"/>
        <v>43</v>
      </c>
      <c r="S71" s="64" t="str">
        <f>IFERROR(VLOOKUP(MID(N71,Q71,R71-Q71),[5]skilldef!$C:$D,2,FALSE),"-") &amp; " / " &amp; IFERROR(VLOOKUP(MID(N71,O71,P71-O71),[5]skilldef!$A:$B,2,FALSE),"-")</f>
        <v>味方全体に / 種族キラー</v>
      </c>
      <c r="T71" s="48" t="str">
        <f t="shared" si="11"/>
        <v>none</v>
      </c>
      <c r="U71" s="64" t="e">
        <f t="shared" si="12"/>
        <v>#VALUE!</v>
      </c>
      <c r="V71" s="64">
        <f t="shared" si="13"/>
        <v>4</v>
      </c>
      <c r="W71" s="64" t="e">
        <f t="shared" si="14"/>
        <v>#VALUE!</v>
      </c>
      <c r="X71" s="64" t="e">
        <f t="shared" si="15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  <c r="AC71" s="157" t="s">
        <v>490</v>
      </c>
    </row>
    <row r="72" spans="1:29" ht="40" customHeight="1" x14ac:dyDescent="0.15">
      <c r="A72" s="47">
        <v>39009071</v>
      </c>
      <c r="B72" s="47" t="s">
        <v>448</v>
      </c>
      <c r="C72" s="50">
        <v>3</v>
      </c>
      <c r="D72" s="50" t="s">
        <v>128</v>
      </c>
      <c r="E72" s="51" t="s">
        <v>309</v>
      </c>
      <c r="F72" s="51" t="s">
        <v>271</v>
      </c>
      <c r="G72" s="64" t="str">
        <f t="shared" si="0"/>
        <v>[effect:enemy_message, val1:1.2, val2:2.4]</v>
      </c>
      <c r="H72" s="64">
        <f t="shared" si="1"/>
        <v>9</v>
      </c>
      <c r="I72" s="64">
        <f t="shared" si="2"/>
        <v>22</v>
      </c>
      <c r="J72" s="64" t="e">
        <f t="shared" si="3"/>
        <v>#VALUE!</v>
      </c>
      <c r="K72" s="64">
        <f t="shared" si="4"/>
        <v>32</v>
      </c>
      <c r="L72" s="64" t="str">
        <f>IFERROR(VLOOKUP(MID(G72,J72,K72-J72),[5]skilldef!$C:$D,2,FALSE),"-") &amp; " / " &amp; IFERROR(VLOOKUP(MID(G72,H72,I72-H72),[5]skilldef!$A:$B,2,FALSE),"-")</f>
        <v>- / -</v>
      </c>
      <c r="M72" s="64" t="str">
        <f t="shared" si="5"/>
        <v>[effect:panel_freeze, target:block_heart, count:5],[effect:rush, count:2, val:0.25]</v>
      </c>
      <c r="N72" s="48" t="str">
        <f>IFERROR(LEFT(M72,FIND("],",M72)+#REF!),M72)</f>
        <v>[effect:panel_freeze, target:block_heart, count:5],[effect:rush, count:2, val:0.25]</v>
      </c>
      <c r="O72" s="64">
        <f t="shared" si="7"/>
        <v>9</v>
      </c>
      <c r="P72" s="64">
        <f t="shared" si="8"/>
        <v>21</v>
      </c>
      <c r="Q72" s="64">
        <f t="shared" si="9"/>
        <v>30</v>
      </c>
      <c r="R72" s="64">
        <f t="shared" si="10"/>
        <v>41</v>
      </c>
      <c r="S72" s="64" t="str">
        <f>IFERROR(VLOOKUP(MID(N72,Q72,R72-Q72),[5]skilldef!$C:$D,2,FALSE),"-") &amp; " / " &amp; IFERROR(VLOOKUP(MID(N72,O72,P72-O72),[5]skilldef!$A:$B,2,FALSE),"-")</f>
        <v>ハートパネルを / -</v>
      </c>
      <c r="T72" s="48" t="str">
        <f t="shared" si="11"/>
        <v>[effect:rush, count:2, val:0.25]</v>
      </c>
      <c r="U72" s="64">
        <f t="shared" si="12"/>
        <v>9</v>
      </c>
      <c r="V72" s="64">
        <f t="shared" si="13"/>
        <v>13</v>
      </c>
      <c r="W72" s="64" t="e">
        <f t="shared" si="14"/>
        <v>#VALUE!</v>
      </c>
      <c r="X72" s="64">
        <f t="shared" si="15"/>
        <v>22</v>
      </c>
      <c r="Y72" s="64" t="str">
        <f>IFERROR(VLOOKUP(MID(T72,W72,X72-W72),[5]skilldef!$C:$D,2,FALSE),"-") &amp; " / " &amp; IFERROR(VLOOKUP(MID(T72,U72,V72-U72),[5]skilldef!$A:$B,2,FALSE),"-")</f>
        <v>- / 連続攻撃</v>
      </c>
      <c r="Z72" s="50"/>
      <c r="AA72" s="52"/>
      <c r="AB72" s="50"/>
      <c r="AC72" s="154" t="s">
        <v>376</v>
      </c>
    </row>
    <row r="73" spans="1:29" ht="40" customHeight="1" x14ac:dyDescent="0.15">
      <c r="A73" s="47">
        <v>39009072</v>
      </c>
      <c r="B73" s="47" t="s">
        <v>480</v>
      </c>
      <c r="C73" s="50">
        <v>3</v>
      </c>
      <c r="D73" s="50" t="s">
        <v>128</v>
      </c>
      <c r="E73" s="51" t="s">
        <v>349</v>
      </c>
      <c r="F73" s="51" t="s">
        <v>272</v>
      </c>
      <c r="G73" s="64" t="str">
        <f t="shared" si="0"/>
        <v>[effect:enemy_message, val1:1.2, val2:1.6]</v>
      </c>
      <c r="H73" s="64">
        <f t="shared" si="1"/>
        <v>9</v>
      </c>
      <c r="I73" s="64">
        <f t="shared" si="2"/>
        <v>22</v>
      </c>
      <c r="J73" s="64" t="e">
        <f t="shared" si="3"/>
        <v>#VALUE!</v>
      </c>
      <c r="K73" s="64">
        <f t="shared" si="4"/>
        <v>32</v>
      </c>
      <c r="L73" s="64" t="str">
        <f>IFERROR(VLOOKUP(MID(G73,J73,K73-J73),[5]skilldef!$C:$D,2,FALSE),"-") &amp; " / " &amp; IFERROR(VLOOKUP(MID(G73,H73,I73-H73),[5]skilldef!$A:$B,2,FALSE),"-")</f>
        <v>- / -</v>
      </c>
      <c r="M73" s="64" t="str">
        <f t="shared" si="5"/>
        <v>[effect:enhance_enemy, target:myself, turn:5, status:defense, val:1080, calc:add, animation:enemy_enhance_defense],[effect:rush, count:4, val:0.33]</v>
      </c>
      <c r="N73" s="48" t="str">
        <f>IFERROR(LEFT(M73,FIND("],",M73)+#REF!),M73)</f>
        <v>[effect:enhance_enemy, target:myself, turn:5, status:defense, val:1080, calc:add, animation:enemy_enhance_defense],[effect:rush, count:4, val:0.33]</v>
      </c>
      <c r="O73" s="64">
        <f t="shared" si="7"/>
        <v>9</v>
      </c>
      <c r="P73" s="64">
        <f t="shared" si="8"/>
        <v>22</v>
      </c>
      <c r="Q73" s="64">
        <f t="shared" si="9"/>
        <v>31</v>
      </c>
      <c r="R73" s="64">
        <f t="shared" si="10"/>
        <v>37</v>
      </c>
      <c r="S73" s="64" t="str">
        <f>IFERROR(VLOOKUP(MID(N73,Q73,R73-Q73),[5]skilldef!$C:$D,2,FALSE),"-") &amp; " / " &amp; IFERROR(VLOOKUP(MID(N73,O73,P73-O73),[5]skilldef!$A:$B,2,FALSE),"-")</f>
        <v>自分自身に / ステータス強化</v>
      </c>
      <c r="T73" s="48" t="str">
        <f t="shared" si="11"/>
        <v>[effect:rush, count:4, val:0.33]</v>
      </c>
      <c r="U73" s="64">
        <f t="shared" si="12"/>
        <v>9</v>
      </c>
      <c r="V73" s="64">
        <f t="shared" si="13"/>
        <v>13</v>
      </c>
      <c r="W73" s="64" t="e">
        <f t="shared" si="14"/>
        <v>#VALUE!</v>
      </c>
      <c r="X73" s="64">
        <f t="shared" si="15"/>
        <v>22</v>
      </c>
      <c r="Y73" s="64" t="str">
        <f>IFERROR(VLOOKUP(MID(T73,W73,X73-W73),[5]skilldef!$C:$D,2,FALSE),"-") &amp; " / " &amp; IFERROR(VLOOKUP(MID(T73,U73,V73-U73),[5]skilldef!$A:$B,2,FALSE),"-")</f>
        <v>- / 連続攻撃</v>
      </c>
      <c r="Z73" s="50"/>
      <c r="AA73" s="52"/>
      <c r="AB73" s="50"/>
      <c r="AC73" s="154" t="s">
        <v>419</v>
      </c>
    </row>
    <row r="74" spans="1:29" ht="40" customHeight="1" x14ac:dyDescent="0.15">
      <c r="A74" s="47">
        <v>39009073</v>
      </c>
      <c r="B74" s="47" t="s">
        <v>481</v>
      </c>
      <c r="C74" s="50">
        <v>3</v>
      </c>
      <c r="D74" s="50" t="s">
        <v>128</v>
      </c>
      <c r="E74" s="51" t="s">
        <v>310</v>
      </c>
      <c r="F74" s="126" t="s">
        <v>388</v>
      </c>
      <c r="G74" s="64" t="str">
        <f t="shared" si="0"/>
        <v>[effect:enemy_message, val1:2.0, val2:0.0]</v>
      </c>
      <c r="H74" s="64">
        <f t="shared" si="1"/>
        <v>9</v>
      </c>
      <c r="I74" s="64">
        <f t="shared" si="2"/>
        <v>22</v>
      </c>
      <c r="J74" s="64" t="e">
        <f t="shared" si="3"/>
        <v>#VALUE!</v>
      </c>
      <c r="K74" s="64">
        <f t="shared" si="4"/>
        <v>32</v>
      </c>
      <c r="L74" s="64" t="str">
        <f>IFERROR(VLOOKUP(MID(G74,J74,K74-J74),[5]skilldef!$C:$D,2,FALSE),"-") &amp; " / " &amp; IFERROR(VLOOKUP(MID(G74,H74,I74-H74),[5]skilldef!$A:$B,2,FALSE),"-")</f>
        <v>- / -</v>
      </c>
      <c r="M74" s="64" t="str">
        <f t="shared" si="5"/>
        <v>none</v>
      </c>
      <c r="N74" s="48" t="str">
        <f>IFERROR(LEFT(M74,FIND("],",M74)+#REF!),M74)</f>
        <v>none</v>
      </c>
      <c r="O74" s="64" t="e">
        <f t="shared" si="7"/>
        <v>#VALUE!</v>
      </c>
      <c r="P74" s="64">
        <f t="shared" si="8"/>
        <v>4</v>
      </c>
      <c r="Q74" s="64" t="e">
        <f t="shared" si="9"/>
        <v>#VALUE!</v>
      </c>
      <c r="R74" s="64" t="e">
        <f t="shared" si="10"/>
        <v>#VALUE!</v>
      </c>
      <c r="S74" s="64" t="str">
        <f>IFERROR(VLOOKUP(MID(N74,Q74,R74-Q74),[5]skilldef!$C:$D,2,FALSE),"-") &amp; " / " &amp; IFERROR(VLOOKUP(MID(N74,O74,P74-O74),[5]skilldef!$A:$B,2,FALSE),"-")</f>
        <v>- / -</v>
      </c>
      <c r="T74" s="48" t="str">
        <f t="shared" si="11"/>
        <v>none</v>
      </c>
      <c r="U74" s="64" t="e">
        <f t="shared" si="12"/>
        <v>#VALUE!</v>
      </c>
      <c r="V74" s="64">
        <f t="shared" si="13"/>
        <v>4</v>
      </c>
      <c r="W74" s="64" t="e">
        <f t="shared" si="14"/>
        <v>#VALUE!</v>
      </c>
      <c r="X74" s="64" t="e">
        <f t="shared" si="15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  <c r="AC74" s="157"/>
    </row>
    <row r="75" spans="1:29" ht="40" customHeight="1" x14ac:dyDescent="0.15">
      <c r="A75" s="47">
        <v>39009074</v>
      </c>
      <c r="B75" s="47" t="s">
        <v>482</v>
      </c>
      <c r="C75" s="50">
        <v>3</v>
      </c>
      <c r="D75" s="50" t="s">
        <v>128</v>
      </c>
      <c r="E75" s="51" t="s">
        <v>292</v>
      </c>
      <c r="F75" s="126" t="s">
        <v>388</v>
      </c>
      <c r="G75" s="64" t="str">
        <f t="shared" si="0"/>
        <v>[effect:enemy_message, val1:1.9, val2:0.0]</v>
      </c>
      <c r="H75" s="64">
        <f t="shared" si="1"/>
        <v>9</v>
      </c>
      <c r="I75" s="64">
        <f t="shared" si="2"/>
        <v>22</v>
      </c>
      <c r="J75" s="64" t="e">
        <f t="shared" si="3"/>
        <v>#VALUE!</v>
      </c>
      <c r="K75" s="64">
        <f t="shared" si="4"/>
        <v>32</v>
      </c>
      <c r="L75" s="64" t="str">
        <f>IFERROR(VLOOKUP(MID(G75,J75,K75-J75),[5]skilldef!$C:$D,2,FALSE),"-") &amp; " / " &amp; IFERROR(VLOOKUP(MID(G75,H75,I75-H75),[5]skilldef!$A:$B,2,FALSE),"-")</f>
        <v>- / -</v>
      </c>
      <c r="M75" s="64" t="str">
        <f t="shared" si="5"/>
        <v>none</v>
      </c>
      <c r="N75" s="48" t="str">
        <f>IFERROR(LEFT(M75,FIND("],",M75)+#REF!),M75)</f>
        <v>none</v>
      </c>
      <c r="O75" s="64" t="e">
        <f t="shared" si="7"/>
        <v>#VALUE!</v>
      </c>
      <c r="P75" s="64">
        <f t="shared" si="8"/>
        <v>4</v>
      </c>
      <c r="Q75" s="64" t="e">
        <f t="shared" si="9"/>
        <v>#VALUE!</v>
      </c>
      <c r="R75" s="64" t="e">
        <f t="shared" si="10"/>
        <v>#VALUE!</v>
      </c>
      <c r="S75" s="64" t="str">
        <f>IFERROR(VLOOKUP(MID(N75,Q75,R75-Q75),[5]skilldef!$C:$D,2,FALSE),"-") &amp; " / " &amp; IFERROR(VLOOKUP(MID(N75,O75,P75-O75),[5]skilldef!$A:$B,2,FALSE),"-")</f>
        <v>- / -</v>
      </c>
      <c r="T75" s="48" t="str">
        <f t="shared" si="11"/>
        <v>none</v>
      </c>
      <c r="U75" s="64" t="e">
        <f t="shared" si="12"/>
        <v>#VALUE!</v>
      </c>
      <c r="V75" s="64">
        <f t="shared" si="13"/>
        <v>4</v>
      </c>
      <c r="W75" s="64" t="e">
        <f t="shared" si="14"/>
        <v>#VALUE!</v>
      </c>
      <c r="X75" s="64" t="e">
        <f t="shared" si="15"/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  <c r="AC75" s="15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58"/>
  <sheetViews>
    <sheetView showGridLines="0" zoomScale="75" zoomScaleNormal="75" zoomScalePageLayoutView="75" workbookViewId="0">
      <pane ySplit="1" topLeftCell="A2" activePane="bottomLeft" state="frozenSplit"/>
      <selection pane="bottomLeft" activeCell="C4" sqref="C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483</v>
      </c>
      <c r="J1" s="42" t="s">
        <v>75</v>
      </c>
      <c r="K1" s="54" t="s">
        <v>88</v>
      </c>
    </row>
    <row r="2" spans="1:11" ht="21" customHeight="1" x14ac:dyDescent="0.15">
      <c r="A2" s="47">
        <v>39009001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89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39009002</v>
      </c>
      <c r="B3" s="47">
        <v>0</v>
      </c>
      <c r="C3" s="47">
        <v>1</v>
      </c>
      <c r="D3" s="47">
        <v>50</v>
      </c>
      <c r="E3" s="47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ref="J3:J73" si="1">D3</f>
        <v>50</v>
      </c>
    </row>
    <row r="4" spans="1:11" ht="21" customHeight="1" x14ac:dyDescent="0.15">
      <c r="A4" s="47">
        <v>39009003</v>
      </c>
      <c r="B4" s="47">
        <v>0</v>
      </c>
      <c r="C4" s="47">
        <v>2</v>
      </c>
      <c r="D4" s="47">
        <v>50</v>
      </c>
      <c r="E4" s="47" t="s">
        <v>89</v>
      </c>
      <c r="F4" s="47" t="s">
        <v>89</v>
      </c>
      <c r="G4" s="47">
        <v>2</v>
      </c>
      <c r="H4" s="47" t="s">
        <v>89</v>
      </c>
      <c r="I4" s="47" t="s">
        <v>89</v>
      </c>
      <c r="J4" s="48">
        <f t="shared" si="1"/>
        <v>50</v>
      </c>
    </row>
    <row r="5" spans="1:11" ht="21" customHeight="1" x14ac:dyDescent="0.15">
      <c r="A5" s="47">
        <v>39009004</v>
      </c>
      <c r="B5" s="47">
        <v>0</v>
      </c>
      <c r="C5" s="47">
        <v>3</v>
      </c>
      <c r="D5" s="47">
        <v>30</v>
      </c>
      <c r="E5" s="47" t="s">
        <v>89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1"/>
        <v>30</v>
      </c>
    </row>
    <row r="6" spans="1:11" ht="21" customHeight="1" x14ac:dyDescent="0.15">
      <c r="A6" s="47">
        <v>39009005</v>
      </c>
      <c r="B6" s="47">
        <v>0</v>
      </c>
      <c r="C6" s="47">
        <v>4</v>
      </c>
      <c r="D6" s="47">
        <v>30</v>
      </c>
      <c r="E6" s="47">
        <v>50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si="1"/>
        <v>30</v>
      </c>
    </row>
    <row r="7" spans="1:11" ht="21" customHeight="1" x14ac:dyDescent="0.15">
      <c r="A7" s="47">
        <v>39009006</v>
      </c>
      <c r="B7" s="47">
        <v>0</v>
      </c>
      <c r="C7" s="47">
        <v>5</v>
      </c>
      <c r="D7" s="47">
        <v>30</v>
      </c>
      <c r="E7" s="47">
        <v>50</v>
      </c>
      <c r="F7" s="47" t="s">
        <v>89</v>
      </c>
      <c r="G7" s="47">
        <v>1</v>
      </c>
      <c r="H7" s="47" t="s">
        <v>89</v>
      </c>
      <c r="I7" s="47" t="s">
        <v>89</v>
      </c>
      <c r="J7" s="48">
        <f t="shared" si="1"/>
        <v>30</v>
      </c>
    </row>
    <row r="8" spans="1:11" ht="21" customHeight="1" x14ac:dyDescent="0.15">
      <c r="A8" s="47">
        <v>39009007</v>
      </c>
      <c r="B8" s="47">
        <v>0</v>
      </c>
      <c r="C8" s="47">
        <v>6</v>
      </c>
      <c r="D8" s="47">
        <v>30</v>
      </c>
      <c r="E8" s="47">
        <v>50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1"/>
        <v>30</v>
      </c>
    </row>
    <row r="9" spans="1:11" ht="21" customHeight="1" x14ac:dyDescent="0.15">
      <c r="A9" s="47">
        <v>39009008</v>
      </c>
      <c r="B9" s="47">
        <v>0</v>
      </c>
      <c r="C9" s="47">
        <v>7</v>
      </c>
      <c r="D9" s="47">
        <v>30</v>
      </c>
      <c r="E9" s="47">
        <v>50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1"/>
        <v>30</v>
      </c>
    </row>
    <row r="10" spans="1:11" ht="21" customHeight="1" x14ac:dyDescent="0.15">
      <c r="A10" s="127">
        <v>39009009</v>
      </c>
      <c r="B10" s="127">
        <v>1</v>
      </c>
      <c r="C10" s="127" t="s">
        <v>89</v>
      </c>
      <c r="D10" s="127">
        <v>100</v>
      </c>
      <c r="E10" s="127" t="s">
        <v>89</v>
      </c>
      <c r="F10" s="127" t="s">
        <v>89</v>
      </c>
      <c r="G10" s="127">
        <v>1</v>
      </c>
      <c r="H10" s="127" t="s">
        <v>89</v>
      </c>
      <c r="I10" s="127" t="s">
        <v>89</v>
      </c>
      <c r="J10" s="48">
        <f t="shared" si="1"/>
        <v>100</v>
      </c>
    </row>
    <row r="11" spans="1:11" ht="21" customHeight="1" x14ac:dyDescent="0.15">
      <c r="A11" s="127">
        <v>39009010</v>
      </c>
      <c r="B11" s="127">
        <v>0</v>
      </c>
      <c r="C11" s="127">
        <v>1</v>
      </c>
      <c r="D11" s="127">
        <v>50</v>
      </c>
      <c r="E11" s="127" t="s">
        <v>89</v>
      </c>
      <c r="F11" s="127" t="s">
        <v>89</v>
      </c>
      <c r="G11" s="127" t="s">
        <v>89</v>
      </c>
      <c r="H11" s="127" t="s">
        <v>89</v>
      </c>
      <c r="I11" s="127" t="s">
        <v>89</v>
      </c>
      <c r="J11" s="48">
        <f t="shared" si="1"/>
        <v>50</v>
      </c>
    </row>
    <row r="12" spans="1:11" ht="21" customHeight="1" x14ac:dyDescent="0.15">
      <c r="A12" s="127">
        <v>39009011</v>
      </c>
      <c r="B12" s="127">
        <v>0</v>
      </c>
      <c r="C12" s="127">
        <v>2</v>
      </c>
      <c r="D12" s="127">
        <v>50</v>
      </c>
      <c r="E12" s="127" t="s">
        <v>89</v>
      </c>
      <c r="F12" s="127" t="s">
        <v>89</v>
      </c>
      <c r="G12" s="127">
        <v>2</v>
      </c>
      <c r="H12" s="127" t="s">
        <v>89</v>
      </c>
      <c r="I12" s="127" t="s">
        <v>89</v>
      </c>
      <c r="J12" s="48">
        <f t="shared" si="1"/>
        <v>50</v>
      </c>
    </row>
    <row r="13" spans="1:11" ht="21" customHeight="1" x14ac:dyDescent="0.15">
      <c r="A13" s="127">
        <v>39009012</v>
      </c>
      <c r="B13" s="127">
        <v>0</v>
      </c>
      <c r="C13" s="127">
        <v>3</v>
      </c>
      <c r="D13" s="127">
        <v>70</v>
      </c>
      <c r="E13" s="127" t="s">
        <v>89</v>
      </c>
      <c r="F13" s="127" t="s">
        <v>89</v>
      </c>
      <c r="G13" s="127">
        <v>1</v>
      </c>
      <c r="H13" s="127" t="s">
        <v>89</v>
      </c>
      <c r="I13" s="127" t="s">
        <v>89</v>
      </c>
      <c r="J13" s="48">
        <f t="shared" si="1"/>
        <v>70</v>
      </c>
    </row>
    <row r="14" spans="1:11" ht="21" customHeight="1" x14ac:dyDescent="0.15">
      <c r="A14" s="127">
        <v>39009013</v>
      </c>
      <c r="B14" s="127">
        <v>0</v>
      </c>
      <c r="C14" s="127">
        <v>4</v>
      </c>
      <c r="D14" s="127">
        <v>30</v>
      </c>
      <c r="E14" s="127">
        <v>50</v>
      </c>
      <c r="F14" s="127" t="s">
        <v>89</v>
      </c>
      <c r="G14" s="127">
        <v>1</v>
      </c>
      <c r="H14" s="127" t="s">
        <v>89</v>
      </c>
      <c r="I14" s="127" t="s">
        <v>89</v>
      </c>
      <c r="J14" s="48">
        <f t="shared" si="1"/>
        <v>30</v>
      </c>
    </row>
    <row r="15" spans="1:11" ht="21" customHeight="1" x14ac:dyDescent="0.15">
      <c r="A15" s="127">
        <v>39009014</v>
      </c>
      <c r="B15" s="127">
        <v>0</v>
      </c>
      <c r="C15" s="127">
        <v>5</v>
      </c>
      <c r="D15" s="127">
        <v>30</v>
      </c>
      <c r="E15" s="127">
        <v>50</v>
      </c>
      <c r="F15" s="127" t="s">
        <v>89</v>
      </c>
      <c r="G15" s="127">
        <v>1</v>
      </c>
      <c r="H15" s="127" t="s">
        <v>89</v>
      </c>
      <c r="I15" s="127" t="s">
        <v>89</v>
      </c>
      <c r="J15" s="48">
        <f t="shared" si="1"/>
        <v>30</v>
      </c>
    </row>
    <row r="16" spans="1:11" ht="21" customHeight="1" x14ac:dyDescent="0.15">
      <c r="A16" s="127">
        <v>39009015</v>
      </c>
      <c r="B16" s="127">
        <v>0</v>
      </c>
      <c r="C16" s="127">
        <v>6</v>
      </c>
      <c r="D16" s="127">
        <v>30</v>
      </c>
      <c r="E16" s="127">
        <v>50</v>
      </c>
      <c r="F16" s="127" t="s">
        <v>89</v>
      </c>
      <c r="G16" s="127">
        <v>1</v>
      </c>
      <c r="H16" s="127" t="s">
        <v>89</v>
      </c>
      <c r="I16" s="127" t="s">
        <v>89</v>
      </c>
      <c r="J16" s="48">
        <f t="shared" si="1"/>
        <v>30</v>
      </c>
    </row>
    <row r="17" spans="1:13" ht="21" customHeight="1" x14ac:dyDescent="0.15">
      <c r="A17" s="127">
        <v>39009016</v>
      </c>
      <c r="B17" s="127">
        <v>0</v>
      </c>
      <c r="C17" s="127">
        <v>7</v>
      </c>
      <c r="D17" s="127">
        <v>30</v>
      </c>
      <c r="E17" s="127">
        <v>50</v>
      </c>
      <c r="F17" s="127" t="s">
        <v>89</v>
      </c>
      <c r="G17" s="127">
        <v>1</v>
      </c>
      <c r="H17" s="127" t="s">
        <v>89</v>
      </c>
      <c r="I17" s="127" t="s">
        <v>89</v>
      </c>
      <c r="J17" s="48">
        <f t="shared" si="1"/>
        <v>30</v>
      </c>
    </row>
    <row r="18" spans="1:13" ht="21" customHeight="1" x14ac:dyDescent="0.15">
      <c r="A18" s="128">
        <v>39009017</v>
      </c>
      <c r="B18" s="128">
        <v>1</v>
      </c>
      <c r="C18" s="128" t="s">
        <v>89</v>
      </c>
      <c r="D18" s="128">
        <v>100</v>
      </c>
      <c r="E18" s="128" t="s">
        <v>89</v>
      </c>
      <c r="F18" s="128" t="s">
        <v>89</v>
      </c>
      <c r="G18" s="128">
        <v>1</v>
      </c>
      <c r="H18" s="128" t="s">
        <v>89</v>
      </c>
      <c r="I18" s="128" t="s">
        <v>89</v>
      </c>
      <c r="J18" s="48">
        <f t="shared" si="1"/>
        <v>100</v>
      </c>
    </row>
    <row r="19" spans="1:13" ht="21" customHeight="1" x14ac:dyDescent="0.15">
      <c r="A19" s="129">
        <v>39009018</v>
      </c>
      <c r="B19" s="129">
        <v>1</v>
      </c>
      <c r="C19" s="129" t="s">
        <v>89</v>
      </c>
      <c r="D19" s="129">
        <v>100</v>
      </c>
      <c r="E19" s="129" t="s">
        <v>89</v>
      </c>
      <c r="F19" s="129" t="s">
        <v>89</v>
      </c>
      <c r="G19" s="129">
        <v>1</v>
      </c>
      <c r="H19" s="129" t="s">
        <v>89</v>
      </c>
      <c r="I19" s="129" t="s">
        <v>89</v>
      </c>
      <c r="J19" s="48">
        <f t="shared" si="1"/>
        <v>100</v>
      </c>
    </row>
    <row r="20" spans="1:13" ht="21" customHeight="1" x14ac:dyDescent="0.15">
      <c r="A20" s="131">
        <v>39009019</v>
      </c>
      <c r="B20" s="131">
        <v>1</v>
      </c>
      <c r="C20" s="131">
        <v>1</v>
      </c>
      <c r="D20" s="131">
        <v>100</v>
      </c>
      <c r="E20" s="131" t="s">
        <v>89</v>
      </c>
      <c r="F20" s="131" t="s">
        <v>89</v>
      </c>
      <c r="G20" s="131">
        <v>1</v>
      </c>
      <c r="H20" s="131" t="s">
        <v>89</v>
      </c>
      <c r="I20" s="131" t="s">
        <v>89</v>
      </c>
      <c r="J20" s="48">
        <f t="shared" si="1"/>
        <v>100</v>
      </c>
    </row>
    <row r="21" spans="1:13" ht="21" customHeight="1" x14ac:dyDescent="0.15">
      <c r="A21" s="131">
        <v>39009020</v>
      </c>
      <c r="B21" s="131">
        <v>1</v>
      </c>
      <c r="C21" s="131">
        <v>24</v>
      </c>
      <c r="D21" s="131">
        <v>100</v>
      </c>
      <c r="E21" s="131" t="s">
        <v>53</v>
      </c>
      <c r="F21" s="131" t="s">
        <v>53</v>
      </c>
      <c r="G21" s="131">
        <v>1</v>
      </c>
      <c r="H21" s="131" t="s">
        <v>53</v>
      </c>
      <c r="I21" s="167">
        <v>527</v>
      </c>
      <c r="J21" s="48">
        <f t="shared" ref="J21:J27" si="2">D21</f>
        <v>100</v>
      </c>
      <c r="L21" s="168"/>
    </row>
    <row r="22" spans="1:13" ht="21" customHeight="1" x14ac:dyDescent="0.15">
      <c r="A22" s="131">
        <v>39009021</v>
      </c>
      <c r="B22" s="131">
        <v>1</v>
      </c>
      <c r="C22" s="131">
        <v>23</v>
      </c>
      <c r="D22" s="131">
        <v>100</v>
      </c>
      <c r="E22" s="131" t="s">
        <v>53</v>
      </c>
      <c r="F22" s="131" t="s">
        <v>53</v>
      </c>
      <c r="G22" s="131">
        <v>1</v>
      </c>
      <c r="H22" s="131" t="s">
        <v>53</v>
      </c>
      <c r="I22" s="167">
        <v>543</v>
      </c>
      <c r="J22" s="48">
        <f t="shared" si="2"/>
        <v>100</v>
      </c>
    </row>
    <row r="23" spans="1:13" ht="21" customHeight="1" x14ac:dyDescent="0.15">
      <c r="A23" s="131">
        <v>39009022</v>
      </c>
      <c r="B23" s="131">
        <v>1</v>
      </c>
      <c r="C23" s="131">
        <v>22</v>
      </c>
      <c r="D23" s="131">
        <v>100</v>
      </c>
      <c r="E23" s="131" t="s">
        <v>53</v>
      </c>
      <c r="F23" s="131" t="s">
        <v>53</v>
      </c>
      <c r="G23" s="131">
        <v>1</v>
      </c>
      <c r="H23" s="131" t="s">
        <v>53</v>
      </c>
      <c r="I23" s="167">
        <v>545</v>
      </c>
      <c r="J23" s="48">
        <f t="shared" si="2"/>
        <v>100</v>
      </c>
    </row>
    <row r="24" spans="1:13" ht="21" customHeight="1" x14ac:dyDescent="0.15">
      <c r="A24" s="131">
        <v>39009023</v>
      </c>
      <c r="B24" s="131">
        <v>1</v>
      </c>
      <c r="C24" s="131">
        <v>21</v>
      </c>
      <c r="D24" s="131">
        <v>100</v>
      </c>
      <c r="E24" s="131" t="s">
        <v>53</v>
      </c>
      <c r="F24" s="131" t="s">
        <v>53</v>
      </c>
      <c r="G24" s="131">
        <v>1</v>
      </c>
      <c r="H24" s="131" t="s">
        <v>53</v>
      </c>
      <c r="I24" s="167">
        <v>1302</v>
      </c>
      <c r="J24" s="48">
        <f t="shared" si="2"/>
        <v>100</v>
      </c>
    </row>
    <row r="25" spans="1:13" ht="21" customHeight="1" x14ac:dyDescent="0.15">
      <c r="A25" s="131">
        <v>39009024</v>
      </c>
      <c r="B25" s="131">
        <v>1</v>
      </c>
      <c r="C25" s="131">
        <v>20</v>
      </c>
      <c r="D25" s="131">
        <v>100</v>
      </c>
      <c r="E25" s="131" t="s">
        <v>53</v>
      </c>
      <c r="F25" s="131" t="s">
        <v>53</v>
      </c>
      <c r="G25" s="131">
        <v>1</v>
      </c>
      <c r="H25" s="131" t="s">
        <v>53</v>
      </c>
      <c r="I25" s="167">
        <v>1306</v>
      </c>
      <c r="J25" s="48">
        <f t="shared" si="2"/>
        <v>100</v>
      </c>
    </row>
    <row r="26" spans="1:13" ht="21" customHeight="1" x14ac:dyDescent="0.15">
      <c r="A26" s="131">
        <v>39009025</v>
      </c>
      <c r="B26" s="131">
        <v>1</v>
      </c>
      <c r="C26" s="131">
        <v>19</v>
      </c>
      <c r="D26" s="131">
        <v>100</v>
      </c>
      <c r="E26" s="131" t="s">
        <v>53</v>
      </c>
      <c r="F26" s="131" t="s">
        <v>53</v>
      </c>
      <c r="G26" s="131">
        <v>1</v>
      </c>
      <c r="H26" s="131" t="s">
        <v>53</v>
      </c>
      <c r="I26" s="167">
        <v>1318</v>
      </c>
      <c r="J26" s="48">
        <f t="shared" si="2"/>
        <v>100</v>
      </c>
    </row>
    <row r="27" spans="1:13" ht="21" customHeight="1" x14ac:dyDescent="0.15">
      <c r="A27" s="131">
        <v>39009026</v>
      </c>
      <c r="B27" s="131">
        <v>1</v>
      </c>
      <c r="C27" s="131">
        <v>18</v>
      </c>
      <c r="D27" s="131">
        <v>100</v>
      </c>
      <c r="E27" s="131" t="s">
        <v>53</v>
      </c>
      <c r="F27" s="131" t="s">
        <v>53</v>
      </c>
      <c r="G27" s="131">
        <v>1</v>
      </c>
      <c r="H27" s="131" t="s">
        <v>53</v>
      </c>
      <c r="I27" s="167">
        <v>1320</v>
      </c>
      <c r="J27" s="48">
        <f t="shared" si="2"/>
        <v>100</v>
      </c>
    </row>
    <row r="28" spans="1:13" ht="21" customHeight="1" x14ac:dyDescent="0.15">
      <c r="A28" s="131">
        <v>39009027</v>
      </c>
      <c r="B28" s="131">
        <v>1</v>
      </c>
      <c r="C28" s="131">
        <v>17</v>
      </c>
      <c r="D28" s="131">
        <v>100</v>
      </c>
      <c r="E28" s="131" t="s">
        <v>53</v>
      </c>
      <c r="F28" s="131" t="s">
        <v>53</v>
      </c>
      <c r="G28" s="131">
        <v>1</v>
      </c>
      <c r="H28" s="131" t="s">
        <v>53</v>
      </c>
      <c r="I28" s="167">
        <v>525</v>
      </c>
      <c r="J28" s="48">
        <f t="shared" si="1"/>
        <v>100</v>
      </c>
      <c r="M28" s="168"/>
    </row>
    <row r="29" spans="1:13" ht="21" customHeight="1" x14ac:dyDescent="0.15">
      <c r="A29" s="131">
        <v>39009028</v>
      </c>
      <c r="B29" s="131">
        <v>1</v>
      </c>
      <c r="C29" s="131">
        <v>16</v>
      </c>
      <c r="D29" s="131">
        <v>100</v>
      </c>
      <c r="E29" s="131" t="s">
        <v>53</v>
      </c>
      <c r="F29" s="131" t="s">
        <v>53</v>
      </c>
      <c r="G29" s="131">
        <v>1</v>
      </c>
      <c r="H29" s="131" t="s">
        <v>53</v>
      </c>
      <c r="I29" s="167">
        <v>526</v>
      </c>
      <c r="J29" s="48">
        <f t="shared" si="1"/>
        <v>100</v>
      </c>
    </row>
    <row r="30" spans="1:13" ht="21" customHeight="1" x14ac:dyDescent="0.15">
      <c r="A30" s="131">
        <v>39009029</v>
      </c>
      <c r="B30" s="131">
        <v>1</v>
      </c>
      <c r="C30" s="131">
        <v>15</v>
      </c>
      <c r="D30" s="131">
        <v>100</v>
      </c>
      <c r="E30" s="131" t="s">
        <v>53</v>
      </c>
      <c r="F30" s="131" t="s">
        <v>53</v>
      </c>
      <c r="G30" s="131">
        <v>1</v>
      </c>
      <c r="H30" s="131" t="s">
        <v>53</v>
      </c>
      <c r="I30" s="167">
        <v>539</v>
      </c>
      <c r="J30" s="48">
        <f t="shared" si="1"/>
        <v>100</v>
      </c>
    </row>
    <row r="31" spans="1:13" ht="21" customHeight="1" x14ac:dyDescent="0.15">
      <c r="A31" s="131">
        <v>39009030</v>
      </c>
      <c r="B31" s="131">
        <v>1</v>
      </c>
      <c r="C31" s="131">
        <v>14</v>
      </c>
      <c r="D31" s="131">
        <v>100</v>
      </c>
      <c r="E31" s="131" t="s">
        <v>53</v>
      </c>
      <c r="F31" s="131" t="s">
        <v>53</v>
      </c>
      <c r="G31" s="131">
        <v>1</v>
      </c>
      <c r="H31" s="131" t="s">
        <v>53</v>
      </c>
      <c r="I31" s="167">
        <v>541</v>
      </c>
      <c r="J31" s="48">
        <f t="shared" si="1"/>
        <v>100</v>
      </c>
    </row>
    <row r="32" spans="1:13" ht="21" customHeight="1" x14ac:dyDescent="0.15">
      <c r="A32" s="131">
        <v>39009031</v>
      </c>
      <c r="B32" s="131">
        <v>1</v>
      </c>
      <c r="C32" s="131">
        <v>13</v>
      </c>
      <c r="D32" s="131">
        <v>100</v>
      </c>
      <c r="E32" s="131" t="s">
        <v>53</v>
      </c>
      <c r="F32" s="131" t="s">
        <v>53</v>
      </c>
      <c r="G32" s="131">
        <v>1</v>
      </c>
      <c r="H32" s="131" t="s">
        <v>53</v>
      </c>
      <c r="I32" s="167">
        <v>551</v>
      </c>
      <c r="J32" s="48">
        <f t="shared" ref="J32:J33" si="3">D32</f>
        <v>100</v>
      </c>
    </row>
    <row r="33" spans="1:12" ht="21" customHeight="1" x14ac:dyDescent="0.15">
      <c r="A33" s="131">
        <v>39009032</v>
      </c>
      <c r="B33" s="131">
        <v>1</v>
      </c>
      <c r="C33" s="131">
        <v>12</v>
      </c>
      <c r="D33" s="131">
        <v>100</v>
      </c>
      <c r="E33" s="131" t="s">
        <v>53</v>
      </c>
      <c r="F33" s="131" t="s">
        <v>53</v>
      </c>
      <c r="G33" s="131">
        <v>1</v>
      </c>
      <c r="H33" s="131" t="s">
        <v>53</v>
      </c>
      <c r="I33" s="167">
        <v>553</v>
      </c>
      <c r="J33" s="48">
        <f t="shared" si="3"/>
        <v>100</v>
      </c>
    </row>
    <row r="34" spans="1:12" ht="21" customHeight="1" x14ac:dyDescent="0.15">
      <c r="A34" s="131">
        <v>39009033</v>
      </c>
      <c r="B34" s="131">
        <v>1</v>
      </c>
      <c r="C34" s="131">
        <v>11</v>
      </c>
      <c r="D34" s="131">
        <v>100</v>
      </c>
      <c r="E34" s="131" t="s">
        <v>53</v>
      </c>
      <c r="F34" s="131" t="s">
        <v>53</v>
      </c>
      <c r="G34" s="131">
        <v>1</v>
      </c>
      <c r="H34" s="131" t="s">
        <v>53</v>
      </c>
      <c r="I34" s="167">
        <v>555</v>
      </c>
      <c r="J34" s="48">
        <f t="shared" ref="J34:J38" si="4">D34</f>
        <v>100</v>
      </c>
    </row>
    <row r="35" spans="1:12" ht="21" customHeight="1" x14ac:dyDescent="0.15">
      <c r="A35" s="131">
        <v>39009034</v>
      </c>
      <c r="B35" s="131">
        <v>1</v>
      </c>
      <c r="C35" s="131">
        <v>10</v>
      </c>
      <c r="D35" s="131">
        <v>100</v>
      </c>
      <c r="E35" s="131" t="s">
        <v>53</v>
      </c>
      <c r="F35" s="131" t="s">
        <v>53</v>
      </c>
      <c r="G35" s="131">
        <v>1</v>
      </c>
      <c r="H35" s="131" t="s">
        <v>53</v>
      </c>
      <c r="I35" s="167">
        <v>557</v>
      </c>
      <c r="J35" s="48">
        <f t="shared" ref="J35" si="5">D35</f>
        <v>100</v>
      </c>
    </row>
    <row r="36" spans="1:12" ht="21" customHeight="1" x14ac:dyDescent="0.15">
      <c r="A36" s="131">
        <v>39009035</v>
      </c>
      <c r="B36" s="131">
        <v>1</v>
      </c>
      <c r="C36" s="131">
        <v>9</v>
      </c>
      <c r="D36" s="131">
        <v>100</v>
      </c>
      <c r="E36" s="131" t="s">
        <v>53</v>
      </c>
      <c r="F36" s="131" t="s">
        <v>53</v>
      </c>
      <c r="G36" s="131">
        <v>1</v>
      </c>
      <c r="H36" s="131" t="s">
        <v>53</v>
      </c>
      <c r="I36" s="167">
        <v>1295</v>
      </c>
      <c r="J36" s="48">
        <f t="shared" si="4"/>
        <v>100</v>
      </c>
    </row>
    <row r="37" spans="1:12" ht="21" customHeight="1" x14ac:dyDescent="0.15">
      <c r="A37" s="131">
        <v>39009036</v>
      </c>
      <c r="B37" s="131">
        <v>1</v>
      </c>
      <c r="C37" s="131">
        <v>8</v>
      </c>
      <c r="D37" s="131">
        <v>100</v>
      </c>
      <c r="E37" s="131" t="s">
        <v>53</v>
      </c>
      <c r="F37" s="131" t="s">
        <v>53</v>
      </c>
      <c r="G37" s="131">
        <v>1</v>
      </c>
      <c r="H37" s="131" t="s">
        <v>53</v>
      </c>
      <c r="I37" s="167">
        <v>1297</v>
      </c>
      <c r="J37" s="48">
        <f t="shared" ref="J37" si="6">D37</f>
        <v>100</v>
      </c>
    </row>
    <row r="38" spans="1:12" ht="21" customHeight="1" x14ac:dyDescent="0.15">
      <c r="A38" s="131">
        <v>39009037</v>
      </c>
      <c r="B38" s="131">
        <v>1</v>
      </c>
      <c r="C38" s="131">
        <v>7</v>
      </c>
      <c r="D38" s="131">
        <v>100</v>
      </c>
      <c r="E38" s="131" t="s">
        <v>53</v>
      </c>
      <c r="F38" s="131" t="s">
        <v>53</v>
      </c>
      <c r="G38" s="131">
        <v>1</v>
      </c>
      <c r="H38" s="131" t="s">
        <v>53</v>
      </c>
      <c r="I38" s="167">
        <v>1300</v>
      </c>
      <c r="J38" s="48">
        <f t="shared" si="4"/>
        <v>100</v>
      </c>
    </row>
    <row r="39" spans="1:12" ht="21" customHeight="1" x14ac:dyDescent="0.15">
      <c r="A39" s="131">
        <v>39009038</v>
      </c>
      <c r="B39" s="131">
        <v>1</v>
      </c>
      <c r="C39" s="131">
        <v>6</v>
      </c>
      <c r="D39" s="131">
        <v>100</v>
      </c>
      <c r="E39" s="131" t="s">
        <v>53</v>
      </c>
      <c r="F39" s="131" t="s">
        <v>53</v>
      </c>
      <c r="G39" s="131">
        <v>1</v>
      </c>
      <c r="H39" s="131" t="s">
        <v>53</v>
      </c>
      <c r="I39" s="167">
        <v>1304</v>
      </c>
      <c r="J39" s="48">
        <f t="shared" ref="J39" si="7">D39</f>
        <v>100</v>
      </c>
    </row>
    <row r="40" spans="1:12" ht="21" customHeight="1" x14ac:dyDescent="0.15">
      <c r="A40" s="131">
        <v>39009039</v>
      </c>
      <c r="B40" s="131">
        <v>1</v>
      </c>
      <c r="C40" s="131">
        <v>5</v>
      </c>
      <c r="D40" s="131">
        <v>100</v>
      </c>
      <c r="E40" s="131" t="s">
        <v>53</v>
      </c>
      <c r="F40" s="131" t="s">
        <v>53</v>
      </c>
      <c r="G40" s="131">
        <v>1</v>
      </c>
      <c r="H40" s="131" t="s">
        <v>53</v>
      </c>
      <c r="I40" s="167">
        <v>1316</v>
      </c>
      <c r="J40" s="48">
        <f t="shared" ref="J40:J41" si="8">D40</f>
        <v>100</v>
      </c>
    </row>
    <row r="41" spans="1:12" ht="21" customHeight="1" x14ac:dyDescent="0.15">
      <c r="A41" s="131">
        <v>39009040</v>
      </c>
      <c r="B41" s="131">
        <v>1</v>
      </c>
      <c r="C41" s="131">
        <v>4</v>
      </c>
      <c r="D41" s="131">
        <v>100</v>
      </c>
      <c r="E41" s="131" t="s">
        <v>53</v>
      </c>
      <c r="F41" s="131" t="s">
        <v>53</v>
      </c>
      <c r="G41" s="131">
        <v>1</v>
      </c>
      <c r="H41" s="131" t="s">
        <v>53</v>
      </c>
      <c r="I41" s="167">
        <v>547</v>
      </c>
      <c r="J41" s="48">
        <f t="shared" si="8"/>
        <v>100</v>
      </c>
    </row>
    <row r="42" spans="1:12" ht="21" customHeight="1" x14ac:dyDescent="0.15">
      <c r="A42" s="131">
        <v>39009041</v>
      </c>
      <c r="B42" s="131">
        <v>1</v>
      </c>
      <c r="C42" s="131">
        <v>3</v>
      </c>
      <c r="D42" s="131">
        <v>100</v>
      </c>
      <c r="E42" s="131" t="s">
        <v>53</v>
      </c>
      <c r="F42" s="131" t="s">
        <v>53</v>
      </c>
      <c r="G42" s="131">
        <v>1</v>
      </c>
      <c r="H42" s="131" t="s">
        <v>53</v>
      </c>
      <c r="I42" s="167">
        <v>549</v>
      </c>
      <c r="J42" s="48">
        <f t="shared" ref="J42:J43" si="9">D42</f>
        <v>100</v>
      </c>
    </row>
    <row r="43" spans="1:12" ht="21" customHeight="1" x14ac:dyDescent="0.15">
      <c r="A43" s="131">
        <v>39009042</v>
      </c>
      <c r="B43" s="131">
        <v>1</v>
      </c>
      <c r="C43" s="131">
        <v>2</v>
      </c>
      <c r="D43" s="131">
        <v>100</v>
      </c>
      <c r="E43" s="131" t="s">
        <v>53</v>
      </c>
      <c r="F43" s="131" t="s">
        <v>53</v>
      </c>
      <c r="G43" s="131">
        <v>1</v>
      </c>
      <c r="H43" s="131" t="s">
        <v>53</v>
      </c>
      <c r="I43" s="167">
        <v>1322</v>
      </c>
      <c r="J43" s="48">
        <f t="shared" si="9"/>
        <v>100</v>
      </c>
    </row>
    <row r="44" spans="1:12" ht="21" customHeight="1" x14ac:dyDescent="0.15">
      <c r="A44" s="131">
        <v>39009074</v>
      </c>
      <c r="B44" s="131">
        <v>0</v>
      </c>
      <c r="C44" s="131">
        <v>56</v>
      </c>
      <c r="D44" s="131">
        <v>50</v>
      </c>
      <c r="E44" s="131" t="s">
        <v>89</v>
      </c>
      <c r="F44" s="131" t="s">
        <v>89</v>
      </c>
      <c r="G44" s="131">
        <v>1</v>
      </c>
      <c r="H44" s="131" t="s">
        <v>89</v>
      </c>
      <c r="I44" s="131" t="s">
        <v>89</v>
      </c>
      <c r="J44" s="48">
        <f t="shared" si="1"/>
        <v>50</v>
      </c>
    </row>
    <row r="45" spans="1:12" ht="21" customHeight="1" x14ac:dyDescent="0.15">
      <c r="A45" s="131">
        <v>39009075</v>
      </c>
      <c r="B45" s="131">
        <v>0</v>
      </c>
      <c r="C45" s="131">
        <v>57</v>
      </c>
      <c r="D45" s="131">
        <v>50</v>
      </c>
      <c r="E45" s="131" t="s">
        <v>89</v>
      </c>
      <c r="F45" s="131" t="s">
        <v>89</v>
      </c>
      <c r="G45" s="131" t="s">
        <v>89</v>
      </c>
      <c r="H45" s="131" t="s">
        <v>89</v>
      </c>
      <c r="I45" s="131" t="s">
        <v>89</v>
      </c>
      <c r="J45" s="48">
        <f t="shared" si="1"/>
        <v>50</v>
      </c>
    </row>
    <row r="46" spans="1:12" ht="21" customHeight="1" x14ac:dyDescent="0.15">
      <c r="A46" s="131">
        <v>39009076</v>
      </c>
      <c r="B46" s="131">
        <v>0</v>
      </c>
      <c r="C46" s="131">
        <v>58</v>
      </c>
      <c r="D46" s="131">
        <v>100</v>
      </c>
      <c r="E46" s="131">
        <v>50</v>
      </c>
      <c r="F46" s="131" t="s">
        <v>89</v>
      </c>
      <c r="G46" s="131">
        <v>1</v>
      </c>
      <c r="H46" s="131" t="s">
        <v>89</v>
      </c>
      <c r="I46" s="131" t="s">
        <v>89</v>
      </c>
      <c r="J46" s="48">
        <f t="shared" si="1"/>
        <v>100</v>
      </c>
    </row>
    <row r="47" spans="1:12" ht="21" customHeight="1" x14ac:dyDescent="0.15">
      <c r="A47" s="131">
        <v>39009077</v>
      </c>
      <c r="B47" s="131">
        <v>1</v>
      </c>
      <c r="C47" s="131">
        <v>1</v>
      </c>
      <c r="D47" s="131">
        <v>100</v>
      </c>
      <c r="E47" s="131" t="s">
        <v>89</v>
      </c>
      <c r="F47" s="131" t="s">
        <v>89</v>
      </c>
      <c r="G47" s="131">
        <v>1</v>
      </c>
      <c r="H47" s="131" t="s">
        <v>89</v>
      </c>
      <c r="I47" s="131" t="s">
        <v>89</v>
      </c>
      <c r="J47" s="48">
        <f t="shared" si="1"/>
        <v>100</v>
      </c>
    </row>
    <row r="48" spans="1:12" ht="21" customHeight="1" x14ac:dyDescent="0.15">
      <c r="A48" s="131">
        <v>39009078</v>
      </c>
      <c r="B48" s="131">
        <v>1</v>
      </c>
      <c r="C48" s="131">
        <v>24</v>
      </c>
      <c r="D48" s="131">
        <v>100</v>
      </c>
      <c r="E48" s="131" t="s">
        <v>89</v>
      </c>
      <c r="F48" s="131" t="s">
        <v>89</v>
      </c>
      <c r="G48" s="131">
        <v>1</v>
      </c>
      <c r="H48" s="131" t="s">
        <v>89</v>
      </c>
      <c r="I48" s="167">
        <v>527</v>
      </c>
      <c r="J48" s="48">
        <f t="shared" si="1"/>
        <v>100</v>
      </c>
      <c r="L48" s="168"/>
    </row>
    <row r="49" spans="1:10" ht="21" customHeight="1" x14ac:dyDescent="0.15">
      <c r="A49" s="131">
        <v>39009079</v>
      </c>
      <c r="B49" s="131">
        <v>1</v>
      </c>
      <c r="C49" s="131">
        <v>23</v>
      </c>
      <c r="D49" s="131">
        <v>100</v>
      </c>
      <c r="E49" s="131" t="s">
        <v>53</v>
      </c>
      <c r="F49" s="131" t="s">
        <v>53</v>
      </c>
      <c r="G49" s="131">
        <v>1</v>
      </c>
      <c r="H49" s="131" t="s">
        <v>53</v>
      </c>
      <c r="I49" s="167">
        <v>543</v>
      </c>
      <c r="J49" s="48">
        <f t="shared" si="1"/>
        <v>100</v>
      </c>
    </row>
    <row r="50" spans="1:10" ht="21" customHeight="1" x14ac:dyDescent="0.15">
      <c r="A50" s="131">
        <v>39009080</v>
      </c>
      <c r="B50" s="131">
        <v>1</v>
      </c>
      <c r="C50" s="131">
        <v>22</v>
      </c>
      <c r="D50" s="131">
        <v>100</v>
      </c>
      <c r="E50" s="131" t="s">
        <v>53</v>
      </c>
      <c r="F50" s="131" t="s">
        <v>53</v>
      </c>
      <c r="G50" s="131">
        <v>1</v>
      </c>
      <c r="H50" s="131" t="s">
        <v>53</v>
      </c>
      <c r="I50" s="167">
        <v>545</v>
      </c>
      <c r="J50" s="48">
        <f t="shared" si="1"/>
        <v>100</v>
      </c>
    </row>
    <row r="51" spans="1:10" ht="21" customHeight="1" x14ac:dyDescent="0.15">
      <c r="A51" s="131">
        <v>39009081</v>
      </c>
      <c r="B51" s="131">
        <v>1</v>
      </c>
      <c r="C51" s="131">
        <v>21</v>
      </c>
      <c r="D51" s="131">
        <v>100</v>
      </c>
      <c r="E51" s="131" t="s">
        <v>53</v>
      </c>
      <c r="F51" s="131" t="s">
        <v>53</v>
      </c>
      <c r="G51" s="131">
        <v>1</v>
      </c>
      <c r="H51" s="131" t="s">
        <v>53</v>
      </c>
      <c r="I51" s="167">
        <v>1302</v>
      </c>
      <c r="J51" s="48">
        <f t="shared" si="1"/>
        <v>100</v>
      </c>
    </row>
    <row r="52" spans="1:10" ht="21" customHeight="1" x14ac:dyDescent="0.15">
      <c r="A52" s="131">
        <v>39009082</v>
      </c>
      <c r="B52" s="131">
        <v>1</v>
      </c>
      <c r="C52" s="131">
        <v>20</v>
      </c>
      <c r="D52" s="131">
        <v>100</v>
      </c>
      <c r="E52" s="131" t="s">
        <v>53</v>
      </c>
      <c r="F52" s="131" t="s">
        <v>53</v>
      </c>
      <c r="G52" s="131">
        <v>1</v>
      </c>
      <c r="H52" s="131" t="s">
        <v>53</v>
      </c>
      <c r="I52" s="167">
        <v>1306</v>
      </c>
      <c r="J52" s="48">
        <f t="shared" si="1"/>
        <v>100</v>
      </c>
    </row>
    <row r="53" spans="1:10" ht="21" customHeight="1" x14ac:dyDescent="0.15">
      <c r="A53" s="131">
        <v>39009083</v>
      </c>
      <c r="B53" s="131">
        <v>1</v>
      </c>
      <c r="C53" s="131">
        <v>19</v>
      </c>
      <c r="D53" s="131">
        <v>100</v>
      </c>
      <c r="E53" s="131" t="s">
        <v>53</v>
      </c>
      <c r="F53" s="131" t="s">
        <v>53</v>
      </c>
      <c r="G53" s="131">
        <v>1</v>
      </c>
      <c r="H53" s="131" t="s">
        <v>53</v>
      </c>
      <c r="I53" s="167">
        <v>1318</v>
      </c>
      <c r="J53" s="48">
        <f t="shared" si="1"/>
        <v>100</v>
      </c>
    </row>
    <row r="54" spans="1:10" ht="21" customHeight="1" x14ac:dyDescent="0.15">
      <c r="A54" s="131">
        <v>39009084</v>
      </c>
      <c r="B54" s="131">
        <v>1</v>
      </c>
      <c r="C54" s="131">
        <v>18</v>
      </c>
      <c r="D54" s="131">
        <v>100</v>
      </c>
      <c r="E54" s="131" t="s">
        <v>53</v>
      </c>
      <c r="F54" s="131" t="s">
        <v>53</v>
      </c>
      <c r="G54" s="131">
        <v>1</v>
      </c>
      <c r="H54" s="131" t="s">
        <v>53</v>
      </c>
      <c r="I54" s="167">
        <v>1320</v>
      </c>
      <c r="J54" s="48">
        <f t="shared" si="1"/>
        <v>100</v>
      </c>
    </row>
    <row r="55" spans="1:10" ht="21" customHeight="1" x14ac:dyDescent="0.15">
      <c r="A55" s="131">
        <v>39009085</v>
      </c>
      <c r="B55" s="131">
        <v>1</v>
      </c>
      <c r="C55" s="131">
        <v>17</v>
      </c>
      <c r="D55" s="131">
        <v>100</v>
      </c>
      <c r="E55" s="131" t="s">
        <v>53</v>
      </c>
      <c r="F55" s="131" t="s">
        <v>53</v>
      </c>
      <c r="G55" s="131">
        <v>1</v>
      </c>
      <c r="H55" s="131" t="s">
        <v>53</v>
      </c>
      <c r="I55" s="167">
        <v>525</v>
      </c>
      <c r="J55" s="48">
        <f t="shared" si="1"/>
        <v>100</v>
      </c>
    </row>
    <row r="56" spans="1:10" ht="21" customHeight="1" x14ac:dyDescent="0.15">
      <c r="A56" s="131">
        <v>39009086</v>
      </c>
      <c r="B56" s="131">
        <v>1</v>
      </c>
      <c r="C56" s="131">
        <v>16</v>
      </c>
      <c r="D56" s="131">
        <v>100</v>
      </c>
      <c r="E56" s="131" t="s">
        <v>53</v>
      </c>
      <c r="F56" s="131" t="s">
        <v>53</v>
      </c>
      <c r="G56" s="131">
        <v>1</v>
      </c>
      <c r="H56" s="131" t="s">
        <v>53</v>
      </c>
      <c r="I56" s="167">
        <v>526</v>
      </c>
      <c r="J56" s="48">
        <f t="shared" si="1"/>
        <v>100</v>
      </c>
    </row>
    <row r="57" spans="1:10" ht="21" customHeight="1" x14ac:dyDescent="0.15">
      <c r="A57" s="131">
        <v>39009087</v>
      </c>
      <c r="B57" s="131">
        <v>1</v>
      </c>
      <c r="C57" s="131">
        <v>15</v>
      </c>
      <c r="D57" s="131">
        <v>100</v>
      </c>
      <c r="E57" s="131" t="s">
        <v>53</v>
      </c>
      <c r="F57" s="131" t="s">
        <v>53</v>
      </c>
      <c r="G57" s="131">
        <v>1</v>
      </c>
      <c r="H57" s="131" t="s">
        <v>53</v>
      </c>
      <c r="I57" s="167">
        <v>539</v>
      </c>
      <c r="J57" s="48">
        <f t="shared" si="1"/>
        <v>100</v>
      </c>
    </row>
    <row r="58" spans="1:10" ht="21" customHeight="1" x14ac:dyDescent="0.15">
      <c r="A58" s="131">
        <v>39009088</v>
      </c>
      <c r="B58" s="131">
        <v>1</v>
      </c>
      <c r="C58" s="131">
        <v>14</v>
      </c>
      <c r="D58" s="131">
        <v>100</v>
      </c>
      <c r="E58" s="131" t="s">
        <v>53</v>
      </c>
      <c r="F58" s="131" t="s">
        <v>53</v>
      </c>
      <c r="G58" s="131">
        <v>1</v>
      </c>
      <c r="H58" s="131" t="s">
        <v>53</v>
      </c>
      <c r="I58" s="167">
        <v>541</v>
      </c>
      <c r="J58" s="48">
        <f t="shared" si="1"/>
        <v>100</v>
      </c>
    </row>
    <row r="59" spans="1:10" ht="21" customHeight="1" x14ac:dyDescent="0.15">
      <c r="A59" s="131">
        <v>39009089</v>
      </c>
      <c r="B59" s="131">
        <v>1</v>
      </c>
      <c r="C59" s="131">
        <v>13</v>
      </c>
      <c r="D59" s="131">
        <v>100</v>
      </c>
      <c r="E59" s="131" t="s">
        <v>53</v>
      </c>
      <c r="F59" s="131" t="s">
        <v>53</v>
      </c>
      <c r="G59" s="131">
        <v>1</v>
      </c>
      <c r="H59" s="131" t="s">
        <v>53</v>
      </c>
      <c r="I59" s="167">
        <v>551</v>
      </c>
      <c r="J59" s="48">
        <f t="shared" si="1"/>
        <v>100</v>
      </c>
    </row>
    <row r="60" spans="1:10" ht="21" customHeight="1" x14ac:dyDescent="0.15">
      <c r="A60" s="131">
        <v>39009090</v>
      </c>
      <c r="B60" s="131">
        <v>1</v>
      </c>
      <c r="C60" s="131">
        <v>12</v>
      </c>
      <c r="D60" s="131">
        <v>100</v>
      </c>
      <c r="E60" s="131" t="s">
        <v>53</v>
      </c>
      <c r="F60" s="131" t="s">
        <v>53</v>
      </c>
      <c r="G60" s="131">
        <v>1</v>
      </c>
      <c r="H60" s="131" t="s">
        <v>53</v>
      </c>
      <c r="I60" s="167">
        <v>553</v>
      </c>
      <c r="J60" s="48">
        <f t="shared" ref="J60:J70" si="10">D60</f>
        <v>100</v>
      </c>
    </row>
    <row r="61" spans="1:10" ht="21" customHeight="1" x14ac:dyDescent="0.15">
      <c r="A61" s="131">
        <v>39009091</v>
      </c>
      <c r="B61" s="131">
        <v>1</v>
      </c>
      <c r="C61" s="131">
        <v>11</v>
      </c>
      <c r="D61" s="131">
        <v>100</v>
      </c>
      <c r="E61" s="131" t="s">
        <v>53</v>
      </c>
      <c r="F61" s="131" t="s">
        <v>53</v>
      </c>
      <c r="G61" s="131">
        <v>1</v>
      </c>
      <c r="H61" s="131" t="s">
        <v>53</v>
      </c>
      <c r="I61" s="167">
        <v>555</v>
      </c>
      <c r="J61" s="48">
        <f t="shared" si="10"/>
        <v>100</v>
      </c>
    </row>
    <row r="62" spans="1:10" ht="21" customHeight="1" x14ac:dyDescent="0.15">
      <c r="A62" s="131">
        <v>39009092</v>
      </c>
      <c r="B62" s="131">
        <v>1</v>
      </c>
      <c r="C62" s="131">
        <v>10</v>
      </c>
      <c r="D62" s="131">
        <v>100</v>
      </c>
      <c r="E62" s="131" t="s">
        <v>53</v>
      </c>
      <c r="F62" s="131" t="s">
        <v>53</v>
      </c>
      <c r="G62" s="131">
        <v>1</v>
      </c>
      <c r="H62" s="131" t="s">
        <v>53</v>
      </c>
      <c r="I62" s="167">
        <v>557</v>
      </c>
      <c r="J62" s="48">
        <f t="shared" si="10"/>
        <v>100</v>
      </c>
    </row>
    <row r="63" spans="1:10" ht="21" customHeight="1" x14ac:dyDescent="0.15">
      <c r="A63" s="131">
        <v>39009093</v>
      </c>
      <c r="B63" s="131">
        <v>1</v>
      </c>
      <c r="C63" s="131">
        <v>9</v>
      </c>
      <c r="D63" s="131">
        <v>100</v>
      </c>
      <c r="E63" s="131" t="s">
        <v>53</v>
      </c>
      <c r="F63" s="131" t="s">
        <v>53</v>
      </c>
      <c r="G63" s="131">
        <v>1</v>
      </c>
      <c r="H63" s="131" t="s">
        <v>53</v>
      </c>
      <c r="I63" s="167">
        <v>1295</v>
      </c>
      <c r="J63" s="48">
        <f t="shared" si="10"/>
        <v>100</v>
      </c>
    </row>
    <row r="64" spans="1:10" ht="21" customHeight="1" x14ac:dyDescent="0.15">
      <c r="A64" s="131">
        <v>39009094</v>
      </c>
      <c r="B64" s="131">
        <v>1</v>
      </c>
      <c r="C64" s="131">
        <v>8</v>
      </c>
      <c r="D64" s="131">
        <v>100</v>
      </c>
      <c r="E64" s="131" t="s">
        <v>53</v>
      </c>
      <c r="F64" s="131" t="s">
        <v>53</v>
      </c>
      <c r="G64" s="131">
        <v>1</v>
      </c>
      <c r="H64" s="131" t="s">
        <v>53</v>
      </c>
      <c r="I64" s="167">
        <v>1297</v>
      </c>
      <c r="J64" s="48">
        <f t="shared" ref="J64" si="11">D64</f>
        <v>100</v>
      </c>
    </row>
    <row r="65" spans="1:12" ht="21" customHeight="1" x14ac:dyDescent="0.15">
      <c r="A65" s="131">
        <v>39009095</v>
      </c>
      <c r="B65" s="131">
        <v>1</v>
      </c>
      <c r="C65" s="131">
        <v>7</v>
      </c>
      <c r="D65" s="131">
        <v>100</v>
      </c>
      <c r="E65" s="131" t="s">
        <v>53</v>
      </c>
      <c r="F65" s="131" t="s">
        <v>53</v>
      </c>
      <c r="G65" s="131">
        <v>1</v>
      </c>
      <c r="H65" s="131" t="s">
        <v>53</v>
      </c>
      <c r="I65" s="167">
        <v>1300</v>
      </c>
      <c r="J65" s="48">
        <f t="shared" si="10"/>
        <v>100</v>
      </c>
    </row>
    <row r="66" spans="1:12" ht="21" customHeight="1" x14ac:dyDescent="0.15">
      <c r="A66" s="131">
        <v>39009096</v>
      </c>
      <c r="B66" s="131">
        <v>1</v>
      </c>
      <c r="C66" s="131">
        <v>6</v>
      </c>
      <c r="D66" s="131">
        <v>100</v>
      </c>
      <c r="E66" s="131" t="s">
        <v>53</v>
      </c>
      <c r="F66" s="131" t="s">
        <v>53</v>
      </c>
      <c r="G66" s="131">
        <v>1</v>
      </c>
      <c r="H66" s="131" t="s">
        <v>53</v>
      </c>
      <c r="I66" s="167">
        <v>1304</v>
      </c>
      <c r="J66" s="48">
        <f t="shared" si="10"/>
        <v>100</v>
      </c>
    </row>
    <row r="67" spans="1:12" ht="21" customHeight="1" x14ac:dyDescent="0.15">
      <c r="A67" s="131">
        <v>39009097</v>
      </c>
      <c r="B67" s="131">
        <v>1</v>
      </c>
      <c r="C67" s="131">
        <v>5</v>
      </c>
      <c r="D67" s="131">
        <v>100</v>
      </c>
      <c r="E67" s="131" t="s">
        <v>53</v>
      </c>
      <c r="F67" s="131" t="s">
        <v>53</v>
      </c>
      <c r="G67" s="131">
        <v>1</v>
      </c>
      <c r="H67" s="131" t="s">
        <v>53</v>
      </c>
      <c r="I67" s="167">
        <v>1316</v>
      </c>
      <c r="J67" s="48">
        <f t="shared" si="10"/>
        <v>100</v>
      </c>
    </row>
    <row r="68" spans="1:12" ht="21" customHeight="1" x14ac:dyDescent="0.15">
      <c r="A68" s="131">
        <v>39009098</v>
      </c>
      <c r="B68" s="131">
        <v>1</v>
      </c>
      <c r="C68" s="131">
        <v>4</v>
      </c>
      <c r="D68" s="131">
        <v>100</v>
      </c>
      <c r="E68" s="131" t="s">
        <v>53</v>
      </c>
      <c r="F68" s="131" t="s">
        <v>53</v>
      </c>
      <c r="G68" s="131">
        <v>1</v>
      </c>
      <c r="H68" s="131" t="s">
        <v>53</v>
      </c>
      <c r="I68" s="167">
        <v>547</v>
      </c>
      <c r="J68" s="48">
        <f t="shared" si="10"/>
        <v>100</v>
      </c>
    </row>
    <row r="69" spans="1:12" ht="21" customHeight="1" x14ac:dyDescent="0.15">
      <c r="A69" s="131">
        <v>39009099</v>
      </c>
      <c r="B69" s="131">
        <v>1</v>
      </c>
      <c r="C69" s="131">
        <v>3</v>
      </c>
      <c r="D69" s="131">
        <v>100</v>
      </c>
      <c r="E69" s="131" t="s">
        <v>53</v>
      </c>
      <c r="F69" s="131" t="s">
        <v>53</v>
      </c>
      <c r="G69" s="131">
        <v>1</v>
      </c>
      <c r="H69" s="131" t="s">
        <v>53</v>
      </c>
      <c r="I69" s="167">
        <v>549</v>
      </c>
      <c r="J69" s="48">
        <f t="shared" si="10"/>
        <v>100</v>
      </c>
    </row>
    <row r="70" spans="1:12" ht="21" customHeight="1" x14ac:dyDescent="0.15">
      <c r="A70" s="131">
        <v>39009100</v>
      </c>
      <c r="B70" s="131">
        <v>1</v>
      </c>
      <c r="C70" s="131">
        <v>2</v>
      </c>
      <c r="D70" s="131">
        <v>100</v>
      </c>
      <c r="E70" s="131" t="s">
        <v>53</v>
      </c>
      <c r="F70" s="131" t="s">
        <v>53</v>
      </c>
      <c r="G70" s="131">
        <v>1</v>
      </c>
      <c r="H70" s="131" t="s">
        <v>53</v>
      </c>
      <c r="I70" s="167">
        <v>1322</v>
      </c>
      <c r="J70" s="48">
        <f t="shared" si="10"/>
        <v>100</v>
      </c>
    </row>
    <row r="71" spans="1:12" ht="21" customHeight="1" x14ac:dyDescent="0.15">
      <c r="A71" s="131">
        <v>39009132</v>
      </c>
      <c r="B71" s="131">
        <v>0</v>
      </c>
      <c r="C71" s="131">
        <v>56</v>
      </c>
      <c r="D71" s="131">
        <v>100</v>
      </c>
      <c r="E71" s="131" t="s">
        <v>89</v>
      </c>
      <c r="F71" s="131">
        <v>75</v>
      </c>
      <c r="G71" s="131" t="s">
        <v>89</v>
      </c>
      <c r="H71" s="131" t="s">
        <v>89</v>
      </c>
      <c r="I71" s="131" t="s">
        <v>89</v>
      </c>
      <c r="J71" s="48">
        <f t="shared" si="1"/>
        <v>100</v>
      </c>
    </row>
    <row r="72" spans="1:12" ht="21" customHeight="1" x14ac:dyDescent="0.15">
      <c r="A72" s="131">
        <v>39009133</v>
      </c>
      <c r="B72" s="131">
        <v>0</v>
      </c>
      <c r="C72" s="131">
        <v>57</v>
      </c>
      <c r="D72" s="131">
        <v>100</v>
      </c>
      <c r="E72" s="131">
        <v>75</v>
      </c>
      <c r="F72" s="131">
        <v>50</v>
      </c>
      <c r="G72" s="131" t="s">
        <v>89</v>
      </c>
      <c r="H72" s="131" t="s">
        <v>89</v>
      </c>
      <c r="I72" s="131" t="s">
        <v>89</v>
      </c>
      <c r="J72" s="48">
        <f t="shared" si="1"/>
        <v>100</v>
      </c>
    </row>
    <row r="73" spans="1:12" ht="21" customHeight="1" x14ac:dyDescent="0.15">
      <c r="A73" s="131">
        <v>39009134</v>
      </c>
      <c r="B73" s="131">
        <v>0</v>
      </c>
      <c r="C73" s="131">
        <v>58</v>
      </c>
      <c r="D73" s="131">
        <v>100</v>
      </c>
      <c r="E73" s="131">
        <v>50</v>
      </c>
      <c r="F73" s="131">
        <v>25</v>
      </c>
      <c r="G73" s="131" t="s">
        <v>89</v>
      </c>
      <c r="H73" s="131" t="s">
        <v>89</v>
      </c>
      <c r="I73" s="131" t="s">
        <v>89</v>
      </c>
      <c r="J73" s="48">
        <f t="shared" si="1"/>
        <v>100</v>
      </c>
    </row>
    <row r="74" spans="1:12" ht="21" customHeight="1" x14ac:dyDescent="0.15">
      <c r="A74" s="131">
        <v>39009135</v>
      </c>
      <c r="B74" s="131">
        <v>0</v>
      </c>
      <c r="C74" s="131">
        <v>59</v>
      </c>
      <c r="D74" s="131">
        <v>100</v>
      </c>
      <c r="E74" s="131">
        <v>25</v>
      </c>
      <c r="F74" s="131" t="s">
        <v>89</v>
      </c>
      <c r="G74" s="131" t="s">
        <v>89</v>
      </c>
      <c r="H74" s="131" t="s">
        <v>89</v>
      </c>
      <c r="I74" s="131" t="s">
        <v>89</v>
      </c>
      <c r="J74" s="48">
        <f t="shared" ref="J74:J104" si="12">D74</f>
        <v>100</v>
      </c>
    </row>
    <row r="75" spans="1:12" ht="21" customHeight="1" x14ac:dyDescent="0.15">
      <c r="A75" s="131">
        <v>39009136</v>
      </c>
      <c r="B75" s="131">
        <v>0</v>
      </c>
      <c r="C75" s="131">
        <v>60</v>
      </c>
      <c r="D75" s="131">
        <v>100</v>
      </c>
      <c r="E75" s="131">
        <v>50</v>
      </c>
      <c r="F75" s="131" t="s">
        <v>89</v>
      </c>
      <c r="G75" s="131">
        <v>1</v>
      </c>
      <c r="H75" s="131" t="s">
        <v>89</v>
      </c>
      <c r="I75" s="131" t="s">
        <v>89</v>
      </c>
      <c r="J75" s="48">
        <f t="shared" si="12"/>
        <v>100</v>
      </c>
    </row>
    <row r="76" spans="1:12" ht="21" customHeight="1" x14ac:dyDescent="0.15">
      <c r="A76" s="47">
        <v>39009137</v>
      </c>
      <c r="B76" s="47">
        <v>1</v>
      </c>
      <c r="C76" s="47">
        <v>1</v>
      </c>
      <c r="D76" s="47">
        <v>100</v>
      </c>
      <c r="E76" s="47" t="s">
        <v>89</v>
      </c>
      <c r="F76" s="47" t="s">
        <v>89</v>
      </c>
      <c r="G76" s="47">
        <v>1</v>
      </c>
      <c r="H76" s="47" t="s">
        <v>89</v>
      </c>
      <c r="I76" s="47" t="s">
        <v>89</v>
      </c>
      <c r="J76" s="48">
        <f t="shared" si="12"/>
        <v>100</v>
      </c>
    </row>
    <row r="77" spans="1:12" ht="21" customHeight="1" x14ac:dyDescent="0.15">
      <c r="A77" s="47">
        <v>39009138</v>
      </c>
      <c r="B77" s="47">
        <v>1</v>
      </c>
      <c r="C77" s="47">
        <v>24</v>
      </c>
      <c r="D77" s="47">
        <v>100</v>
      </c>
      <c r="E77" s="47" t="s">
        <v>89</v>
      </c>
      <c r="F77" s="47" t="s">
        <v>89</v>
      </c>
      <c r="G77" s="47">
        <v>1</v>
      </c>
      <c r="H77" s="47" t="s">
        <v>89</v>
      </c>
      <c r="I77" s="167">
        <v>527</v>
      </c>
      <c r="J77" s="48">
        <f t="shared" si="12"/>
        <v>100</v>
      </c>
      <c r="L77" s="168"/>
    </row>
    <row r="78" spans="1:12" ht="21" customHeight="1" x14ac:dyDescent="0.15">
      <c r="A78" s="47">
        <v>39009139</v>
      </c>
      <c r="B78" s="47">
        <v>1</v>
      </c>
      <c r="C78" s="47">
        <v>23</v>
      </c>
      <c r="D78" s="47">
        <v>100</v>
      </c>
      <c r="E78" s="47" t="s">
        <v>53</v>
      </c>
      <c r="F78" s="47" t="s">
        <v>53</v>
      </c>
      <c r="G78" s="47">
        <v>1</v>
      </c>
      <c r="H78" s="47" t="s">
        <v>53</v>
      </c>
      <c r="I78" s="167">
        <v>543</v>
      </c>
      <c r="J78" s="48">
        <f t="shared" si="12"/>
        <v>100</v>
      </c>
    </row>
    <row r="79" spans="1:12" ht="21" customHeight="1" x14ac:dyDescent="0.15">
      <c r="A79" s="47">
        <v>39009140</v>
      </c>
      <c r="B79" s="47">
        <v>1</v>
      </c>
      <c r="C79" s="47">
        <v>22</v>
      </c>
      <c r="D79" s="47">
        <v>100</v>
      </c>
      <c r="E79" s="47" t="s">
        <v>53</v>
      </c>
      <c r="F79" s="47" t="s">
        <v>53</v>
      </c>
      <c r="G79" s="47">
        <v>1</v>
      </c>
      <c r="H79" s="47" t="s">
        <v>53</v>
      </c>
      <c r="I79" s="167">
        <v>545</v>
      </c>
      <c r="J79" s="48">
        <f t="shared" si="12"/>
        <v>100</v>
      </c>
    </row>
    <row r="80" spans="1:12" ht="21" customHeight="1" x14ac:dyDescent="0.15">
      <c r="A80" s="47">
        <v>39009141</v>
      </c>
      <c r="B80" s="47">
        <v>1</v>
      </c>
      <c r="C80" s="47">
        <v>21</v>
      </c>
      <c r="D80" s="47">
        <v>100</v>
      </c>
      <c r="E80" s="47" t="s">
        <v>53</v>
      </c>
      <c r="F80" s="47" t="s">
        <v>53</v>
      </c>
      <c r="G80" s="47">
        <v>1</v>
      </c>
      <c r="H80" s="47" t="s">
        <v>53</v>
      </c>
      <c r="I80" s="167">
        <v>1302</v>
      </c>
      <c r="J80" s="48">
        <f t="shared" si="12"/>
        <v>100</v>
      </c>
    </row>
    <row r="81" spans="1:10" ht="21" customHeight="1" x14ac:dyDescent="0.15">
      <c r="A81" s="47">
        <v>39009142</v>
      </c>
      <c r="B81" s="47">
        <v>1</v>
      </c>
      <c r="C81" s="47">
        <v>20</v>
      </c>
      <c r="D81" s="47">
        <v>100</v>
      </c>
      <c r="E81" s="47" t="s">
        <v>53</v>
      </c>
      <c r="F81" s="47" t="s">
        <v>53</v>
      </c>
      <c r="G81" s="47">
        <v>1</v>
      </c>
      <c r="H81" s="47" t="s">
        <v>53</v>
      </c>
      <c r="I81" s="167">
        <v>1306</v>
      </c>
      <c r="J81" s="48">
        <f t="shared" si="12"/>
        <v>100</v>
      </c>
    </row>
    <row r="82" spans="1:10" ht="21" customHeight="1" x14ac:dyDescent="0.15">
      <c r="A82" s="47">
        <v>39009143</v>
      </c>
      <c r="B82" s="47">
        <v>1</v>
      </c>
      <c r="C82" s="47">
        <v>19</v>
      </c>
      <c r="D82" s="47">
        <v>100</v>
      </c>
      <c r="E82" s="47" t="s">
        <v>53</v>
      </c>
      <c r="F82" s="47" t="s">
        <v>53</v>
      </c>
      <c r="G82" s="47">
        <v>1</v>
      </c>
      <c r="H82" s="47" t="s">
        <v>53</v>
      </c>
      <c r="I82" s="167">
        <v>1318</v>
      </c>
      <c r="J82" s="48">
        <f t="shared" si="12"/>
        <v>100</v>
      </c>
    </row>
    <row r="83" spans="1:10" ht="21" customHeight="1" x14ac:dyDescent="0.15">
      <c r="A83" s="47">
        <v>39009144</v>
      </c>
      <c r="B83" s="47">
        <v>1</v>
      </c>
      <c r="C83" s="47">
        <v>18</v>
      </c>
      <c r="D83" s="47">
        <v>100</v>
      </c>
      <c r="E83" s="47" t="s">
        <v>53</v>
      </c>
      <c r="F83" s="47" t="s">
        <v>53</v>
      </c>
      <c r="G83" s="47">
        <v>1</v>
      </c>
      <c r="H83" s="47" t="s">
        <v>53</v>
      </c>
      <c r="I83" s="167">
        <v>1320</v>
      </c>
      <c r="J83" s="48">
        <f t="shared" si="12"/>
        <v>100</v>
      </c>
    </row>
    <row r="84" spans="1:10" ht="21" customHeight="1" x14ac:dyDescent="0.15">
      <c r="A84" s="47">
        <v>39009145</v>
      </c>
      <c r="B84" s="47">
        <v>1</v>
      </c>
      <c r="C84" s="47">
        <v>17</v>
      </c>
      <c r="D84" s="47">
        <v>100</v>
      </c>
      <c r="E84" s="47" t="s">
        <v>53</v>
      </c>
      <c r="F84" s="47" t="s">
        <v>53</v>
      </c>
      <c r="G84" s="47">
        <v>1</v>
      </c>
      <c r="H84" s="47" t="s">
        <v>53</v>
      </c>
      <c r="I84" s="167">
        <v>525</v>
      </c>
      <c r="J84" s="48">
        <f t="shared" si="12"/>
        <v>100</v>
      </c>
    </row>
    <row r="85" spans="1:10" ht="21" customHeight="1" x14ac:dyDescent="0.15">
      <c r="A85" s="47">
        <v>39009146</v>
      </c>
      <c r="B85" s="47">
        <v>1</v>
      </c>
      <c r="C85" s="47">
        <v>16</v>
      </c>
      <c r="D85" s="47">
        <v>100</v>
      </c>
      <c r="E85" s="47" t="s">
        <v>53</v>
      </c>
      <c r="F85" s="47" t="s">
        <v>53</v>
      </c>
      <c r="G85" s="47">
        <v>1</v>
      </c>
      <c r="H85" s="47" t="s">
        <v>53</v>
      </c>
      <c r="I85" s="167">
        <v>526</v>
      </c>
      <c r="J85" s="48">
        <f t="shared" si="12"/>
        <v>100</v>
      </c>
    </row>
    <row r="86" spans="1:10" ht="21" customHeight="1" x14ac:dyDescent="0.15">
      <c r="A86" s="47">
        <v>39009147</v>
      </c>
      <c r="B86" s="47">
        <v>1</v>
      </c>
      <c r="C86" s="47">
        <v>15</v>
      </c>
      <c r="D86" s="47">
        <v>100</v>
      </c>
      <c r="E86" s="47" t="s">
        <v>53</v>
      </c>
      <c r="F86" s="47" t="s">
        <v>53</v>
      </c>
      <c r="G86" s="47">
        <v>1</v>
      </c>
      <c r="H86" s="47" t="s">
        <v>53</v>
      </c>
      <c r="I86" s="167">
        <v>539</v>
      </c>
      <c r="J86" s="48">
        <f t="shared" si="12"/>
        <v>100</v>
      </c>
    </row>
    <row r="87" spans="1:10" ht="21" customHeight="1" x14ac:dyDescent="0.15">
      <c r="A87" s="47">
        <v>39009148</v>
      </c>
      <c r="B87" s="47">
        <v>1</v>
      </c>
      <c r="C87" s="47">
        <v>14</v>
      </c>
      <c r="D87" s="47">
        <v>100</v>
      </c>
      <c r="E87" s="47" t="s">
        <v>53</v>
      </c>
      <c r="F87" s="47" t="s">
        <v>53</v>
      </c>
      <c r="G87" s="47">
        <v>1</v>
      </c>
      <c r="H87" s="47" t="s">
        <v>53</v>
      </c>
      <c r="I87" s="167">
        <v>541</v>
      </c>
      <c r="J87" s="48">
        <f t="shared" si="12"/>
        <v>100</v>
      </c>
    </row>
    <row r="88" spans="1:10" ht="21" customHeight="1" x14ac:dyDescent="0.15">
      <c r="A88" s="47">
        <v>39009149</v>
      </c>
      <c r="B88" s="47">
        <v>1</v>
      </c>
      <c r="C88" s="47">
        <v>13</v>
      </c>
      <c r="D88" s="47">
        <v>100</v>
      </c>
      <c r="E88" s="47" t="s">
        <v>53</v>
      </c>
      <c r="F88" s="47" t="s">
        <v>53</v>
      </c>
      <c r="G88" s="47">
        <v>1</v>
      </c>
      <c r="H88" s="47" t="s">
        <v>53</v>
      </c>
      <c r="I88" s="167">
        <v>551</v>
      </c>
      <c r="J88" s="48">
        <f t="shared" si="12"/>
        <v>100</v>
      </c>
    </row>
    <row r="89" spans="1:10" ht="21" customHeight="1" x14ac:dyDescent="0.15">
      <c r="A89" s="47">
        <v>39009150</v>
      </c>
      <c r="B89" s="47">
        <v>1</v>
      </c>
      <c r="C89" s="47">
        <v>12</v>
      </c>
      <c r="D89" s="47">
        <v>100</v>
      </c>
      <c r="E89" s="47" t="s">
        <v>53</v>
      </c>
      <c r="F89" s="47" t="s">
        <v>53</v>
      </c>
      <c r="G89" s="47">
        <v>1</v>
      </c>
      <c r="H89" s="47" t="s">
        <v>53</v>
      </c>
      <c r="I89" s="167">
        <v>553</v>
      </c>
      <c r="J89" s="48">
        <f t="shared" si="12"/>
        <v>100</v>
      </c>
    </row>
    <row r="90" spans="1:10" ht="21" customHeight="1" x14ac:dyDescent="0.15">
      <c r="A90" s="47">
        <v>39009151</v>
      </c>
      <c r="B90" s="47">
        <v>1</v>
      </c>
      <c r="C90" s="47">
        <v>11</v>
      </c>
      <c r="D90" s="47">
        <v>100</v>
      </c>
      <c r="E90" s="47" t="s">
        <v>53</v>
      </c>
      <c r="F90" s="47" t="s">
        <v>53</v>
      </c>
      <c r="G90" s="47">
        <v>1</v>
      </c>
      <c r="H90" s="47" t="s">
        <v>53</v>
      </c>
      <c r="I90" s="167">
        <v>555</v>
      </c>
      <c r="J90" s="48">
        <f t="shared" si="12"/>
        <v>100</v>
      </c>
    </row>
    <row r="91" spans="1:10" ht="21" customHeight="1" x14ac:dyDescent="0.15">
      <c r="A91" s="47">
        <v>39009152</v>
      </c>
      <c r="B91" s="47">
        <v>1</v>
      </c>
      <c r="C91" s="47">
        <v>10</v>
      </c>
      <c r="D91" s="47">
        <v>100</v>
      </c>
      <c r="E91" s="47" t="s">
        <v>53</v>
      </c>
      <c r="F91" s="47" t="s">
        <v>53</v>
      </c>
      <c r="G91" s="47">
        <v>1</v>
      </c>
      <c r="H91" s="47" t="s">
        <v>53</v>
      </c>
      <c r="I91" s="167">
        <v>557</v>
      </c>
      <c r="J91" s="48">
        <f t="shared" si="12"/>
        <v>100</v>
      </c>
    </row>
    <row r="92" spans="1:10" ht="21" customHeight="1" x14ac:dyDescent="0.15">
      <c r="A92" s="47">
        <v>39009153</v>
      </c>
      <c r="B92" s="47">
        <v>1</v>
      </c>
      <c r="C92" s="47">
        <v>9</v>
      </c>
      <c r="D92" s="47">
        <v>100</v>
      </c>
      <c r="E92" s="47" t="s">
        <v>53</v>
      </c>
      <c r="F92" s="47" t="s">
        <v>53</v>
      </c>
      <c r="G92" s="47">
        <v>1</v>
      </c>
      <c r="H92" s="47" t="s">
        <v>53</v>
      </c>
      <c r="I92" s="167">
        <v>1295</v>
      </c>
      <c r="J92" s="48">
        <f t="shared" si="12"/>
        <v>100</v>
      </c>
    </row>
    <row r="93" spans="1:10" ht="21" customHeight="1" x14ac:dyDescent="0.15">
      <c r="A93" s="47">
        <v>39009154</v>
      </c>
      <c r="B93" s="47">
        <v>1</v>
      </c>
      <c r="C93" s="47">
        <v>8</v>
      </c>
      <c r="D93" s="47">
        <v>100</v>
      </c>
      <c r="E93" s="47" t="s">
        <v>53</v>
      </c>
      <c r="F93" s="47" t="s">
        <v>53</v>
      </c>
      <c r="G93" s="47">
        <v>1</v>
      </c>
      <c r="H93" s="47" t="s">
        <v>53</v>
      </c>
      <c r="I93" s="167">
        <v>1297</v>
      </c>
      <c r="J93" s="48">
        <f t="shared" ref="J93" si="13">D93</f>
        <v>100</v>
      </c>
    </row>
    <row r="94" spans="1:10" ht="21" customHeight="1" x14ac:dyDescent="0.15">
      <c r="A94" s="47">
        <v>39009155</v>
      </c>
      <c r="B94" s="47">
        <v>1</v>
      </c>
      <c r="C94" s="47">
        <v>7</v>
      </c>
      <c r="D94" s="47">
        <v>100</v>
      </c>
      <c r="E94" s="47" t="s">
        <v>53</v>
      </c>
      <c r="F94" s="47" t="s">
        <v>53</v>
      </c>
      <c r="G94" s="47">
        <v>1</v>
      </c>
      <c r="H94" s="47" t="s">
        <v>53</v>
      </c>
      <c r="I94" s="167">
        <v>1300</v>
      </c>
      <c r="J94" s="48">
        <f t="shared" si="12"/>
        <v>100</v>
      </c>
    </row>
    <row r="95" spans="1:10" ht="21" customHeight="1" x14ac:dyDescent="0.15">
      <c r="A95" s="47">
        <v>39009156</v>
      </c>
      <c r="B95" s="47">
        <v>1</v>
      </c>
      <c r="C95" s="47">
        <v>6</v>
      </c>
      <c r="D95" s="47">
        <v>100</v>
      </c>
      <c r="E95" s="47" t="s">
        <v>53</v>
      </c>
      <c r="F95" s="47" t="s">
        <v>53</v>
      </c>
      <c r="G95" s="47">
        <v>1</v>
      </c>
      <c r="H95" s="47" t="s">
        <v>53</v>
      </c>
      <c r="I95" s="167">
        <v>1304</v>
      </c>
      <c r="J95" s="48">
        <f t="shared" si="12"/>
        <v>100</v>
      </c>
    </row>
    <row r="96" spans="1:10" ht="21" customHeight="1" x14ac:dyDescent="0.15">
      <c r="A96" s="47">
        <v>39009157</v>
      </c>
      <c r="B96" s="47">
        <v>1</v>
      </c>
      <c r="C96" s="47">
        <v>5</v>
      </c>
      <c r="D96" s="47">
        <v>100</v>
      </c>
      <c r="E96" s="47" t="s">
        <v>53</v>
      </c>
      <c r="F96" s="47" t="s">
        <v>53</v>
      </c>
      <c r="G96" s="47">
        <v>1</v>
      </c>
      <c r="H96" s="47" t="s">
        <v>53</v>
      </c>
      <c r="I96" s="167">
        <v>1316</v>
      </c>
      <c r="J96" s="48">
        <f t="shared" si="12"/>
        <v>100</v>
      </c>
    </row>
    <row r="97" spans="1:10" ht="21" customHeight="1" x14ac:dyDescent="0.15">
      <c r="A97" s="47">
        <v>39009158</v>
      </c>
      <c r="B97" s="47">
        <v>1</v>
      </c>
      <c r="C97" s="47">
        <v>4</v>
      </c>
      <c r="D97" s="47">
        <v>100</v>
      </c>
      <c r="E97" s="47" t="s">
        <v>53</v>
      </c>
      <c r="F97" s="47" t="s">
        <v>53</v>
      </c>
      <c r="G97" s="47">
        <v>1</v>
      </c>
      <c r="H97" s="47" t="s">
        <v>53</v>
      </c>
      <c r="I97" s="167">
        <v>547</v>
      </c>
      <c r="J97" s="48">
        <f t="shared" si="12"/>
        <v>100</v>
      </c>
    </row>
    <row r="98" spans="1:10" ht="21" customHeight="1" x14ac:dyDescent="0.15">
      <c r="A98" s="47">
        <v>39009159</v>
      </c>
      <c r="B98" s="47">
        <v>1</v>
      </c>
      <c r="C98" s="47">
        <v>3</v>
      </c>
      <c r="D98" s="47">
        <v>100</v>
      </c>
      <c r="E98" s="47" t="s">
        <v>53</v>
      </c>
      <c r="F98" s="47" t="s">
        <v>53</v>
      </c>
      <c r="G98" s="47">
        <v>1</v>
      </c>
      <c r="H98" s="47" t="s">
        <v>53</v>
      </c>
      <c r="I98" s="167">
        <v>549</v>
      </c>
      <c r="J98" s="48">
        <f t="shared" si="12"/>
        <v>100</v>
      </c>
    </row>
    <row r="99" spans="1:10" ht="21" customHeight="1" x14ac:dyDescent="0.15">
      <c r="A99" s="47">
        <v>39009160</v>
      </c>
      <c r="B99" s="47">
        <v>1</v>
      </c>
      <c r="C99" s="47">
        <v>2</v>
      </c>
      <c r="D99" s="47">
        <v>100</v>
      </c>
      <c r="E99" s="47" t="s">
        <v>53</v>
      </c>
      <c r="F99" s="47" t="s">
        <v>53</v>
      </c>
      <c r="G99" s="47">
        <v>1</v>
      </c>
      <c r="H99" s="47" t="s">
        <v>53</v>
      </c>
      <c r="I99" s="167">
        <v>1322</v>
      </c>
      <c r="J99" s="48">
        <f t="shared" si="12"/>
        <v>100</v>
      </c>
    </row>
    <row r="100" spans="1:10" ht="21" customHeight="1" x14ac:dyDescent="0.15">
      <c r="A100" s="47">
        <v>39009192</v>
      </c>
      <c r="B100" s="47">
        <v>0</v>
      </c>
      <c r="C100" s="47">
        <v>56</v>
      </c>
      <c r="D100" s="47">
        <v>50</v>
      </c>
      <c r="E100" s="47" t="s">
        <v>89</v>
      </c>
      <c r="F100" s="47" t="s">
        <v>89</v>
      </c>
      <c r="G100" s="47" t="s">
        <v>89</v>
      </c>
      <c r="H100" s="47" t="s">
        <v>89</v>
      </c>
      <c r="I100" s="47" t="s">
        <v>89</v>
      </c>
      <c r="J100" s="48">
        <f t="shared" si="12"/>
        <v>50</v>
      </c>
    </row>
    <row r="101" spans="1:10" ht="21" customHeight="1" x14ac:dyDescent="0.15">
      <c r="A101" s="47">
        <v>39009193</v>
      </c>
      <c r="B101" s="47">
        <v>0</v>
      </c>
      <c r="C101" s="47">
        <v>57</v>
      </c>
      <c r="D101" s="47">
        <v>50</v>
      </c>
      <c r="E101" s="47" t="s">
        <v>89</v>
      </c>
      <c r="F101" s="47" t="s">
        <v>89</v>
      </c>
      <c r="G101" s="47">
        <v>2</v>
      </c>
      <c r="H101" s="47" t="s">
        <v>89</v>
      </c>
      <c r="I101" s="47" t="s">
        <v>89</v>
      </c>
      <c r="J101" s="48">
        <f t="shared" si="12"/>
        <v>50</v>
      </c>
    </row>
    <row r="102" spans="1:10" ht="21" customHeight="1" x14ac:dyDescent="0.15">
      <c r="A102" s="47">
        <v>39009194</v>
      </c>
      <c r="B102" s="47">
        <v>0</v>
      </c>
      <c r="C102" s="47">
        <v>58</v>
      </c>
      <c r="D102" s="47">
        <v>30</v>
      </c>
      <c r="E102" s="47" t="s">
        <v>89</v>
      </c>
      <c r="F102" s="47" t="s">
        <v>89</v>
      </c>
      <c r="G102" s="47">
        <v>3</v>
      </c>
      <c r="H102" s="47" t="s">
        <v>89</v>
      </c>
      <c r="I102" s="47" t="s">
        <v>89</v>
      </c>
      <c r="J102" s="48">
        <f t="shared" si="12"/>
        <v>30</v>
      </c>
    </row>
    <row r="103" spans="1:10" ht="21" customHeight="1" x14ac:dyDescent="0.15">
      <c r="A103" s="47">
        <v>39009195</v>
      </c>
      <c r="B103" s="47">
        <v>0</v>
      </c>
      <c r="C103" s="47">
        <v>59</v>
      </c>
      <c r="D103" s="47">
        <v>100</v>
      </c>
      <c r="E103" s="47">
        <v>50</v>
      </c>
      <c r="F103" s="47" t="s">
        <v>89</v>
      </c>
      <c r="G103" s="47">
        <v>1</v>
      </c>
      <c r="H103" s="47" t="s">
        <v>89</v>
      </c>
      <c r="I103" s="47" t="s">
        <v>89</v>
      </c>
      <c r="J103" s="48">
        <f t="shared" si="12"/>
        <v>100</v>
      </c>
    </row>
    <row r="104" spans="1:10" ht="21" customHeight="1" x14ac:dyDescent="0.15">
      <c r="A104" s="47">
        <v>39009196</v>
      </c>
      <c r="B104" s="47">
        <v>0</v>
      </c>
      <c r="C104" s="47">
        <v>60</v>
      </c>
      <c r="D104" s="47">
        <v>100</v>
      </c>
      <c r="E104" s="47" t="s">
        <v>89</v>
      </c>
      <c r="F104" s="47" t="s">
        <v>89</v>
      </c>
      <c r="G104" s="47">
        <v>0</v>
      </c>
      <c r="H104" s="47" t="s">
        <v>89</v>
      </c>
      <c r="I104" s="47">
        <v>0</v>
      </c>
      <c r="J104" s="48">
        <f t="shared" si="12"/>
        <v>100</v>
      </c>
    </row>
    <row r="105" spans="1:10" ht="21" customHeight="1" x14ac:dyDescent="0.15">
      <c r="A105" s="47">
        <v>39009197</v>
      </c>
      <c r="B105" s="47">
        <v>0</v>
      </c>
      <c r="C105" s="47">
        <v>61</v>
      </c>
      <c r="D105" s="47">
        <v>100</v>
      </c>
      <c r="E105" s="47" t="s">
        <v>53</v>
      </c>
      <c r="F105" s="47" t="s">
        <v>53</v>
      </c>
      <c r="G105" s="47">
        <v>0</v>
      </c>
      <c r="H105" s="47" t="s">
        <v>53</v>
      </c>
      <c r="I105" s="47">
        <v>557</v>
      </c>
      <c r="J105" s="48">
        <f t="shared" ref="J105:J158" si="14">D105</f>
        <v>100</v>
      </c>
    </row>
    <row r="106" spans="1:10" ht="21" customHeight="1" x14ac:dyDescent="0.15">
      <c r="A106" s="47">
        <v>39009198</v>
      </c>
      <c r="B106" s="47">
        <v>0</v>
      </c>
      <c r="C106" s="47">
        <v>62</v>
      </c>
      <c r="D106" s="47">
        <v>100</v>
      </c>
      <c r="E106" s="47" t="s">
        <v>53</v>
      </c>
      <c r="F106" s="47" t="s">
        <v>53</v>
      </c>
      <c r="G106" s="47">
        <v>0</v>
      </c>
      <c r="H106" s="47" t="s">
        <v>53</v>
      </c>
      <c r="I106" s="47">
        <v>558</v>
      </c>
      <c r="J106" s="48">
        <f t="shared" si="14"/>
        <v>100</v>
      </c>
    </row>
    <row r="107" spans="1:10" ht="21" customHeight="1" x14ac:dyDescent="0.15">
      <c r="A107" s="47">
        <v>39009199</v>
      </c>
      <c r="B107" s="47">
        <v>0</v>
      </c>
      <c r="C107" s="47">
        <v>63</v>
      </c>
      <c r="D107" s="47">
        <v>100</v>
      </c>
      <c r="E107" s="47" t="s">
        <v>53</v>
      </c>
      <c r="F107" s="47" t="s">
        <v>53</v>
      </c>
      <c r="G107" s="47">
        <v>0</v>
      </c>
      <c r="H107" s="47" t="s">
        <v>53</v>
      </c>
      <c r="I107" s="47">
        <v>559</v>
      </c>
      <c r="J107" s="48">
        <f t="shared" si="14"/>
        <v>100</v>
      </c>
    </row>
    <row r="108" spans="1:10" ht="21" customHeight="1" x14ac:dyDescent="0.15">
      <c r="A108" s="47">
        <v>39009200</v>
      </c>
      <c r="B108" s="47">
        <v>0</v>
      </c>
      <c r="C108" s="47">
        <v>64</v>
      </c>
      <c r="D108" s="47">
        <v>100</v>
      </c>
      <c r="E108" s="47" t="s">
        <v>53</v>
      </c>
      <c r="F108" s="47" t="s">
        <v>53</v>
      </c>
      <c r="G108" s="47">
        <v>0</v>
      </c>
      <c r="H108" s="47" t="s">
        <v>53</v>
      </c>
      <c r="I108" s="47">
        <v>1295</v>
      </c>
      <c r="J108" s="48">
        <f t="shared" si="14"/>
        <v>100</v>
      </c>
    </row>
    <row r="109" spans="1:10" ht="21" customHeight="1" x14ac:dyDescent="0.15">
      <c r="A109" s="47">
        <v>39009201</v>
      </c>
      <c r="B109" s="47">
        <v>0</v>
      </c>
      <c r="C109" s="47">
        <v>65</v>
      </c>
      <c r="D109" s="47">
        <v>100</v>
      </c>
      <c r="E109" s="47" t="s">
        <v>53</v>
      </c>
      <c r="F109" s="47" t="s">
        <v>53</v>
      </c>
      <c r="G109" s="47">
        <v>0</v>
      </c>
      <c r="H109" s="47" t="s">
        <v>53</v>
      </c>
      <c r="I109" s="47">
        <v>1296</v>
      </c>
      <c r="J109" s="48">
        <f t="shared" si="14"/>
        <v>100</v>
      </c>
    </row>
    <row r="110" spans="1:10" ht="21" customHeight="1" x14ac:dyDescent="0.15">
      <c r="A110" s="47">
        <v>39009202</v>
      </c>
      <c r="B110" s="47">
        <v>0</v>
      </c>
      <c r="C110" s="47">
        <v>66</v>
      </c>
      <c r="D110" s="47">
        <v>100</v>
      </c>
      <c r="E110" s="47" t="s">
        <v>53</v>
      </c>
      <c r="F110" s="47" t="s">
        <v>53</v>
      </c>
      <c r="G110" s="47">
        <v>0</v>
      </c>
      <c r="H110" s="47" t="s">
        <v>53</v>
      </c>
      <c r="I110" s="47">
        <v>525</v>
      </c>
      <c r="J110" s="48">
        <f t="shared" si="14"/>
        <v>100</v>
      </c>
    </row>
    <row r="111" spans="1:10" ht="21" customHeight="1" x14ac:dyDescent="0.15">
      <c r="A111" s="47">
        <v>39009203</v>
      </c>
      <c r="B111" s="47">
        <v>0</v>
      </c>
      <c r="C111" s="47">
        <v>67</v>
      </c>
      <c r="D111" s="47">
        <v>100</v>
      </c>
      <c r="E111" s="47" t="s">
        <v>53</v>
      </c>
      <c r="F111" s="47" t="s">
        <v>53</v>
      </c>
      <c r="G111" s="47">
        <v>0</v>
      </c>
      <c r="H111" s="47" t="s">
        <v>53</v>
      </c>
      <c r="I111" s="47">
        <v>526</v>
      </c>
      <c r="J111" s="48">
        <f t="shared" si="14"/>
        <v>100</v>
      </c>
    </row>
    <row r="112" spans="1:10" ht="21" customHeight="1" x14ac:dyDescent="0.15">
      <c r="A112" s="47">
        <v>39009204</v>
      </c>
      <c r="B112" s="47">
        <v>0</v>
      </c>
      <c r="C112" s="47">
        <v>68</v>
      </c>
      <c r="D112" s="47">
        <v>100</v>
      </c>
      <c r="E112" s="47" t="s">
        <v>53</v>
      </c>
      <c r="F112" s="47" t="s">
        <v>53</v>
      </c>
      <c r="G112" s="47">
        <v>0</v>
      </c>
      <c r="H112" s="47" t="s">
        <v>53</v>
      </c>
      <c r="I112" s="47">
        <v>553</v>
      </c>
      <c r="J112" s="48">
        <f t="shared" si="14"/>
        <v>100</v>
      </c>
    </row>
    <row r="113" spans="1:10" ht="21" customHeight="1" x14ac:dyDescent="0.15">
      <c r="A113" s="47">
        <v>39009205</v>
      </c>
      <c r="B113" s="47">
        <v>0</v>
      </c>
      <c r="C113" s="47">
        <v>69</v>
      </c>
      <c r="D113" s="47">
        <v>100</v>
      </c>
      <c r="E113" s="47" t="s">
        <v>53</v>
      </c>
      <c r="F113" s="47" t="s">
        <v>53</v>
      </c>
      <c r="G113" s="47">
        <v>0</v>
      </c>
      <c r="H113" s="47" t="s">
        <v>53</v>
      </c>
      <c r="I113" s="47">
        <v>554</v>
      </c>
      <c r="J113" s="48">
        <f t="shared" si="14"/>
        <v>100</v>
      </c>
    </row>
    <row r="114" spans="1:10" ht="21" customHeight="1" x14ac:dyDescent="0.15">
      <c r="A114" s="47">
        <v>39009206</v>
      </c>
      <c r="B114" s="47">
        <v>0</v>
      </c>
      <c r="C114" s="47">
        <v>70</v>
      </c>
      <c r="D114" s="47">
        <v>100</v>
      </c>
      <c r="E114" s="47" t="s">
        <v>53</v>
      </c>
      <c r="F114" s="47" t="s">
        <v>53</v>
      </c>
      <c r="G114" s="47">
        <v>0</v>
      </c>
      <c r="H114" s="47" t="s">
        <v>53</v>
      </c>
      <c r="I114" s="47">
        <v>555</v>
      </c>
      <c r="J114" s="48">
        <f t="shared" si="14"/>
        <v>100</v>
      </c>
    </row>
    <row r="115" spans="1:10" ht="21" customHeight="1" x14ac:dyDescent="0.15">
      <c r="A115" s="47">
        <v>39009207</v>
      </c>
      <c r="B115" s="47">
        <v>0</v>
      </c>
      <c r="C115" s="47">
        <v>71</v>
      </c>
      <c r="D115" s="47">
        <v>100</v>
      </c>
      <c r="E115" s="47" t="s">
        <v>53</v>
      </c>
      <c r="F115" s="47" t="s">
        <v>53</v>
      </c>
      <c r="G115" s="47">
        <v>0</v>
      </c>
      <c r="H115" s="47" t="s">
        <v>53</v>
      </c>
      <c r="I115" s="47">
        <v>556</v>
      </c>
      <c r="J115" s="48">
        <f t="shared" si="14"/>
        <v>100</v>
      </c>
    </row>
    <row r="116" spans="1:10" ht="21" customHeight="1" x14ac:dyDescent="0.15">
      <c r="A116" s="47">
        <v>39009208</v>
      </c>
      <c r="B116" s="47">
        <v>0</v>
      </c>
      <c r="C116" s="47">
        <v>72</v>
      </c>
      <c r="D116" s="47">
        <v>100</v>
      </c>
      <c r="E116" s="47" t="s">
        <v>53</v>
      </c>
      <c r="F116" s="47" t="s">
        <v>53</v>
      </c>
      <c r="G116" s="47">
        <v>0</v>
      </c>
      <c r="H116" s="47" t="s">
        <v>53</v>
      </c>
      <c r="I116" s="47">
        <v>1297</v>
      </c>
      <c r="J116" s="48">
        <f t="shared" si="14"/>
        <v>100</v>
      </c>
    </row>
    <row r="117" spans="1:10" ht="21" customHeight="1" x14ac:dyDescent="0.15">
      <c r="A117" s="47">
        <v>39009209</v>
      </c>
      <c r="B117" s="47">
        <v>0</v>
      </c>
      <c r="C117" s="47">
        <v>73</v>
      </c>
      <c r="D117" s="47">
        <v>100</v>
      </c>
      <c r="E117" s="47" t="s">
        <v>53</v>
      </c>
      <c r="F117" s="47" t="s">
        <v>53</v>
      </c>
      <c r="G117" s="47">
        <v>0</v>
      </c>
      <c r="H117" s="47" t="s">
        <v>53</v>
      </c>
      <c r="I117" s="47">
        <v>1298</v>
      </c>
      <c r="J117" s="48">
        <f t="shared" si="14"/>
        <v>100</v>
      </c>
    </row>
    <row r="118" spans="1:10" ht="21" customHeight="1" x14ac:dyDescent="0.15">
      <c r="A118" s="47">
        <v>39009210</v>
      </c>
      <c r="B118" s="47">
        <v>0</v>
      </c>
      <c r="C118" s="47">
        <v>74</v>
      </c>
      <c r="D118" s="47">
        <v>100</v>
      </c>
      <c r="E118" s="47" t="s">
        <v>53</v>
      </c>
      <c r="F118" s="47" t="s">
        <v>53</v>
      </c>
      <c r="G118" s="47">
        <v>0</v>
      </c>
      <c r="H118" s="47" t="s">
        <v>53</v>
      </c>
      <c r="I118" s="47">
        <v>527</v>
      </c>
      <c r="J118" s="48">
        <f t="shared" si="14"/>
        <v>100</v>
      </c>
    </row>
    <row r="119" spans="1:10" ht="21" customHeight="1" x14ac:dyDescent="0.15">
      <c r="A119" s="47">
        <v>39009211</v>
      </c>
      <c r="B119" s="47">
        <v>0</v>
      </c>
      <c r="C119" s="47">
        <v>75</v>
      </c>
      <c r="D119" s="47">
        <v>100</v>
      </c>
      <c r="E119" s="47" t="s">
        <v>53</v>
      </c>
      <c r="F119" s="47" t="s">
        <v>53</v>
      </c>
      <c r="G119" s="47">
        <v>0</v>
      </c>
      <c r="H119" s="47" t="s">
        <v>53</v>
      </c>
      <c r="I119" s="47">
        <v>528</v>
      </c>
      <c r="J119" s="48">
        <f t="shared" si="14"/>
        <v>100</v>
      </c>
    </row>
    <row r="120" spans="1:10" ht="21" customHeight="1" x14ac:dyDescent="0.15">
      <c r="A120" s="47">
        <v>39009212</v>
      </c>
      <c r="B120" s="47">
        <v>0</v>
      </c>
      <c r="C120" s="47">
        <v>76</v>
      </c>
      <c r="D120" s="47">
        <v>100</v>
      </c>
      <c r="E120" s="47" t="s">
        <v>53</v>
      </c>
      <c r="F120" s="47" t="s">
        <v>53</v>
      </c>
      <c r="G120" s="47">
        <v>0</v>
      </c>
      <c r="H120" s="47" t="s">
        <v>53</v>
      </c>
      <c r="I120" s="47">
        <v>539</v>
      </c>
      <c r="J120" s="48">
        <f t="shared" si="14"/>
        <v>100</v>
      </c>
    </row>
    <row r="121" spans="1:10" ht="21" customHeight="1" x14ac:dyDescent="0.15">
      <c r="A121" s="47">
        <v>39009213</v>
      </c>
      <c r="B121" s="47">
        <v>0</v>
      </c>
      <c r="C121" s="47">
        <v>77</v>
      </c>
      <c r="D121" s="47">
        <v>100</v>
      </c>
      <c r="E121" s="47" t="s">
        <v>53</v>
      </c>
      <c r="F121" s="47" t="s">
        <v>53</v>
      </c>
      <c r="G121" s="47">
        <v>0</v>
      </c>
      <c r="H121" s="47" t="s">
        <v>53</v>
      </c>
      <c r="I121" s="47">
        <v>540</v>
      </c>
      <c r="J121" s="48">
        <f t="shared" si="14"/>
        <v>100</v>
      </c>
    </row>
    <row r="122" spans="1:10" ht="21" customHeight="1" x14ac:dyDescent="0.15">
      <c r="A122" s="47">
        <v>39009214</v>
      </c>
      <c r="B122" s="47">
        <v>0</v>
      </c>
      <c r="C122" s="47">
        <v>78</v>
      </c>
      <c r="D122" s="47">
        <v>100</v>
      </c>
      <c r="E122" s="47" t="s">
        <v>53</v>
      </c>
      <c r="F122" s="47" t="s">
        <v>53</v>
      </c>
      <c r="G122" s="47">
        <v>0</v>
      </c>
      <c r="H122" s="47" t="s">
        <v>53</v>
      </c>
      <c r="I122" s="47">
        <v>541</v>
      </c>
      <c r="J122" s="48">
        <f t="shared" si="14"/>
        <v>100</v>
      </c>
    </row>
    <row r="123" spans="1:10" ht="21" customHeight="1" x14ac:dyDescent="0.15">
      <c r="A123" s="47">
        <v>39009215</v>
      </c>
      <c r="B123" s="47">
        <v>0</v>
      </c>
      <c r="C123" s="47">
        <v>79</v>
      </c>
      <c r="D123" s="47">
        <v>100</v>
      </c>
      <c r="E123" s="47" t="s">
        <v>53</v>
      </c>
      <c r="F123" s="47" t="s">
        <v>53</v>
      </c>
      <c r="G123" s="47">
        <v>0</v>
      </c>
      <c r="H123" s="47" t="s">
        <v>53</v>
      </c>
      <c r="I123" s="47">
        <v>542</v>
      </c>
      <c r="J123" s="48">
        <f t="shared" si="14"/>
        <v>100</v>
      </c>
    </row>
    <row r="124" spans="1:10" ht="21" customHeight="1" x14ac:dyDescent="0.15">
      <c r="A124" s="47">
        <v>39009216</v>
      </c>
      <c r="B124" s="47">
        <v>0</v>
      </c>
      <c r="C124" s="47">
        <v>80</v>
      </c>
      <c r="D124" s="47">
        <v>100</v>
      </c>
      <c r="E124" s="47" t="s">
        <v>53</v>
      </c>
      <c r="F124" s="47" t="s">
        <v>53</v>
      </c>
      <c r="G124" s="47">
        <v>0</v>
      </c>
      <c r="H124" s="47" t="s">
        <v>53</v>
      </c>
      <c r="I124" s="47">
        <v>1299</v>
      </c>
      <c r="J124" s="48">
        <f t="shared" si="14"/>
        <v>100</v>
      </c>
    </row>
    <row r="125" spans="1:10" ht="21" customHeight="1" x14ac:dyDescent="0.15">
      <c r="A125" s="47">
        <v>39009217</v>
      </c>
      <c r="B125" s="47">
        <v>0</v>
      </c>
      <c r="C125" s="47">
        <v>81</v>
      </c>
      <c r="D125" s="47">
        <v>100</v>
      </c>
      <c r="E125" s="47" t="s">
        <v>53</v>
      </c>
      <c r="F125" s="47" t="s">
        <v>53</v>
      </c>
      <c r="G125" s="47">
        <v>0</v>
      </c>
      <c r="H125" s="47" t="s">
        <v>53</v>
      </c>
      <c r="I125" s="47">
        <v>1308</v>
      </c>
      <c r="J125" s="48">
        <f t="shared" si="14"/>
        <v>100</v>
      </c>
    </row>
    <row r="126" spans="1:10" ht="21" customHeight="1" x14ac:dyDescent="0.15">
      <c r="A126" s="47">
        <v>39009218</v>
      </c>
      <c r="B126" s="47">
        <v>0</v>
      </c>
      <c r="C126" s="47">
        <v>82</v>
      </c>
      <c r="D126" s="47">
        <v>100</v>
      </c>
      <c r="E126" s="47" t="s">
        <v>53</v>
      </c>
      <c r="F126" s="47" t="s">
        <v>53</v>
      </c>
      <c r="G126" s="47">
        <v>0</v>
      </c>
      <c r="H126" s="47" t="s">
        <v>53</v>
      </c>
      <c r="I126" s="47">
        <v>1309</v>
      </c>
      <c r="J126" s="48">
        <f t="shared" si="14"/>
        <v>100</v>
      </c>
    </row>
    <row r="127" spans="1:10" ht="21" customHeight="1" x14ac:dyDescent="0.15">
      <c r="A127" s="47">
        <v>39009219</v>
      </c>
      <c r="B127" s="47">
        <v>0</v>
      </c>
      <c r="C127" s="47">
        <v>83</v>
      </c>
      <c r="D127" s="47">
        <v>100</v>
      </c>
      <c r="E127" s="47" t="s">
        <v>53</v>
      </c>
      <c r="F127" s="47" t="s">
        <v>53</v>
      </c>
      <c r="G127" s="47">
        <v>0</v>
      </c>
      <c r="H127" s="47" t="s">
        <v>53</v>
      </c>
      <c r="I127" s="47">
        <v>1310</v>
      </c>
      <c r="J127" s="48">
        <f t="shared" si="14"/>
        <v>100</v>
      </c>
    </row>
    <row r="128" spans="1:10" ht="21" customHeight="1" x14ac:dyDescent="0.15">
      <c r="A128" s="47">
        <v>39009220</v>
      </c>
      <c r="B128" s="47">
        <v>0</v>
      </c>
      <c r="C128" s="47">
        <v>84</v>
      </c>
      <c r="D128" s="47">
        <v>100</v>
      </c>
      <c r="E128" s="47" t="s">
        <v>53</v>
      </c>
      <c r="F128" s="47" t="s">
        <v>53</v>
      </c>
      <c r="G128" s="47">
        <v>0</v>
      </c>
      <c r="H128" s="47" t="s">
        <v>53</v>
      </c>
      <c r="I128" s="47">
        <v>1316</v>
      </c>
      <c r="J128" s="48">
        <f t="shared" si="14"/>
        <v>100</v>
      </c>
    </row>
    <row r="129" spans="1:10" ht="21" customHeight="1" x14ac:dyDescent="0.15">
      <c r="A129" s="47">
        <v>39009221</v>
      </c>
      <c r="B129" s="47">
        <v>0</v>
      </c>
      <c r="C129" s="47">
        <v>85</v>
      </c>
      <c r="D129" s="47">
        <v>100</v>
      </c>
      <c r="E129" s="47" t="s">
        <v>53</v>
      </c>
      <c r="F129" s="47" t="s">
        <v>53</v>
      </c>
      <c r="G129" s="47">
        <v>0</v>
      </c>
      <c r="H129" s="47" t="s">
        <v>53</v>
      </c>
      <c r="I129" s="47">
        <v>1317</v>
      </c>
      <c r="J129" s="48">
        <f t="shared" si="14"/>
        <v>100</v>
      </c>
    </row>
    <row r="130" spans="1:10" ht="21" customHeight="1" x14ac:dyDescent="0.15">
      <c r="A130" s="47">
        <v>39009222</v>
      </c>
      <c r="B130" s="47">
        <v>0</v>
      </c>
      <c r="C130" s="47">
        <v>86</v>
      </c>
      <c r="D130" s="47">
        <v>100</v>
      </c>
      <c r="E130" s="47" t="s">
        <v>53</v>
      </c>
      <c r="F130" s="47" t="s">
        <v>53</v>
      </c>
      <c r="G130" s="47">
        <v>0</v>
      </c>
      <c r="H130" s="47" t="s">
        <v>53</v>
      </c>
      <c r="I130" s="47">
        <v>543</v>
      </c>
      <c r="J130" s="48">
        <f t="shared" si="14"/>
        <v>100</v>
      </c>
    </row>
    <row r="131" spans="1:10" ht="21" customHeight="1" x14ac:dyDescent="0.15">
      <c r="A131" s="47">
        <v>39009223</v>
      </c>
      <c r="B131" s="47">
        <v>0</v>
      </c>
      <c r="C131" s="47">
        <v>87</v>
      </c>
      <c r="D131" s="47">
        <v>100</v>
      </c>
      <c r="E131" s="47" t="s">
        <v>53</v>
      </c>
      <c r="F131" s="47" t="s">
        <v>53</v>
      </c>
      <c r="G131" s="47">
        <v>0</v>
      </c>
      <c r="H131" s="47" t="s">
        <v>53</v>
      </c>
      <c r="I131" s="47">
        <v>544</v>
      </c>
      <c r="J131" s="48">
        <f t="shared" si="14"/>
        <v>100</v>
      </c>
    </row>
    <row r="132" spans="1:10" ht="21" customHeight="1" x14ac:dyDescent="0.15">
      <c r="A132" s="47">
        <v>39009224</v>
      </c>
      <c r="B132" s="47">
        <v>0</v>
      </c>
      <c r="C132" s="47">
        <v>88</v>
      </c>
      <c r="D132" s="47">
        <v>100</v>
      </c>
      <c r="E132" s="47" t="s">
        <v>53</v>
      </c>
      <c r="F132" s="47" t="s">
        <v>53</v>
      </c>
      <c r="G132" s="47">
        <v>0</v>
      </c>
      <c r="H132" s="47" t="s">
        <v>53</v>
      </c>
      <c r="I132" s="47">
        <v>1311</v>
      </c>
      <c r="J132" s="48">
        <f t="shared" si="14"/>
        <v>100</v>
      </c>
    </row>
    <row r="133" spans="1:10" ht="21" customHeight="1" x14ac:dyDescent="0.15">
      <c r="A133" s="47">
        <v>39009225</v>
      </c>
      <c r="B133" s="47">
        <v>0</v>
      </c>
      <c r="C133" s="47">
        <v>89</v>
      </c>
      <c r="D133" s="47">
        <v>100</v>
      </c>
      <c r="E133" s="47" t="s">
        <v>53</v>
      </c>
      <c r="F133" s="47" t="s">
        <v>53</v>
      </c>
      <c r="G133" s="47">
        <v>0</v>
      </c>
      <c r="H133" s="47" t="s">
        <v>53</v>
      </c>
      <c r="I133" s="47">
        <v>1318</v>
      </c>
      <c r="J133" s="48">
        <f t="shared" si="14"/>
        <v>100</v>
      </c>
    </row>
    <row r="134" spans="1:10" ht="21" customHeight="1" x14ac:dyDescent="0.15">
      <c r="A134" s="47">
        <v>39009226</v>
      </c>
      <c r="B134" s="47">
        <v>0</v>
      </c>
      <c r="C134" s="47">
        <v>90</v>
      </c>
      <c r="D134" s="47">
        <v>100</v>
      </c>
      <c r="E134" s="47" t="s">
        <v>53</v>
      </c>
      <c r="F134" s="47" t="s">
        <v>53</v>
      </c>
      <c r="G134" s="47">
        <v>0</v>
      </c>
      <c r="H134" s="47" t="s">
        <v>53</v>
      </c>
      <c r="I134" s="47">
        <v>1319</v>
      </c>
      <c r="J134" s="48">
        <f t="shared" si="14"/>
        <v>100</v>
      </c>
    </row>
    <row r="135" spans="1:10" ht="21" customHeight="1" x14ac:dyDescent="0.15">
      <c r="A135" s="47">
        <v>39009227</v>
      </c>
      <c r="B135" s="47">
        <v>0</v>
      </c>
      <c r="C135" s="47">
        <v>91</v>
      </c>
      <c r="D135" s="47">
        <v>100</v>
      </c>
      <c r="E135" s="47" t="s">
        <v>53</v>
      </c>
      <c r="F135" s="47" t="s">
        <v>53</v>
      </c>
      <c r="G135" s="47">
        <v>0</v>
      </c>
      <c r="H135" s="47" t="s">
        <v>53</v>
      </c>
      <c r="I135" s="47">
        <v>545</v>
      </c>
      <c r="J135" s="48">
        <f t="shared" si="14"/>
        <v>100</v>
      </c>
    </row>
    <row r="136" spans="1:10" ht="21" customHeight="1" x14ac:dyDescent="0.15">
      <c r="A136" s="47">
        <v>39009228</v>
      </c>
      <c r="B136" s="47">
        <v>0</v>
      </c>
      <c r="C136" s="47">
        <v>92</v>
      </c>
      <c r="D136" s="47">
        <v>100</v>
      </c>
      <c r="E136" s="47" t="s">
        <v>53</v>
      </c>
      <c r="F136" s="47" t="s">
        <v>53</v>
      </c>
      <c r="G136" s="47">
        <v>0</v>
      </c>
      <c r="H136" s="47" t="s">
        <v>53</v>
      </c>
      <c r="I136" s="47">
        <v>546</v>
      </c>
      <c r="J136" s="48">
        <f t="shared" si="14"/>
        <v>100</v>
      </c>
    </row>
    <row r="137" spans="1:10" ht="21" customHeight="1" x14ac:dyDescent="0.15">
      <c r="A137" s="47">
        <v>39009229</v>
      </c>
      <c r="B137" s="47">
        <v>0</v>
      </c>
      <c r="C137" s="47">
        <v>93</v>
      </c>
      <c r="D137" s="47">
        <v>100</v>
      </c>
      <c r="E137" s="47" t="s">
        <v>53</v>
      </c>
      <c r="F137" s="47" t="s">
        <v>53</v>
      </c>
      <c r="G137" s="47">
        <v>0</v>
      </c>
      <c r="H137" s="47" t="s">
        <v>53</v>
      </c>
      <c r="I137" s="47">
        <v>1312</v>
      </c>
      <c r="J137" s="48">
        <f t="shared" si="14"/>
        <v>100</v>
      </c>
    </row>
    <row r="138" spans="1:10" ht="21" customHeight="1" x14ac:dyDescent="0.15">
      <c r="A138" s="47">
        <v>39009230</v>
      </c>
      <c r="B138" s="47">
        <v>0</v>
      </c>
      <c r="C138" s="47">
        <v>94</v>
      </c>
      <c r="D138" s="47">
        <v>100</v>
      </c>
      <c r="E138" s="47" t="s">
        <v>53</v>
      </c>
      <c r="F138" s="47" t="s">
        <v>53</v>
      </c>
      <c r="G138" s="47">
        <v>0</v>
      </c>
      <c r="H138" s="47" t="s">
        <v>53</v>
      </c>
      <c r="I138" s="47">
        <v>1320</v>
      </c>
      <c r="J138" s="48">
        <f t="shared" si="14"/>
        <v>100</v>
      </c>
    </row>
    <row r="139" spans="1:10" ht="21" customHeight="1" x14ac:dyDescent="0.15">
      <c r="A139" s="47">
        <v>39009231</v>
      </c>
      <c r="B139" s="47">
        <v>0</v>
      </c>
      <c r="C139" s="47">
        <v>95</v>
      </c>
      <c r="D139" s="47">
        <v>100</v>
      </c>
      <c r="E139" s="47" t="s">
        <v>53</v>
      </c>
      <c r="F139" s="47" t="s">
        <v>53</v>
      </c>
      <c r="G139" s="47">
        <v>0</v>
      </c>
      <c r="H139" s="47" t="s">
        <v>53</v>
      </c>
      <c r="I139" s="47">
        <v>1321</v>
      </c>
      <c r="J139" s="48">
        <f t="shared" si="14"/>
        <v>100</v>
      </c>
    </row>
    <row r="140" spans="1:10" ht="21" customHeight="1" x14ac:dyDescent="0.15">
      <c r="A140" s="47">
        <v>39009232</v>
      </c>
      <c r="B140" s="47">
        <v>0</v>
      </c>
      <c r="C140" s="47">
        <v>96</v>
      </c>
      <c r="D140" s="47">
        <v>100</v>
      </c>
      <c r="E140" s="47" t="s">
        <v>53</v>
      </c>
      <c r="F140" s="47" t="s">
        <v>53</v>
      </c>
      <c r="G140" s="47">
        <v>0</v>
      </c>
      <c r="H140" s="47" t="s">
        <v>53</v>
      </c>
      <c r="I140" s="47">
        <v>547</v>
      </c>
      <c r="J140" s="48">
        <f t="shared" si="14"/>
        <v>100</v>
      </c>
    </row>
    <row r="141" spans="1:10" ht="21" customHeight="1" x14ac:dyDescent="0.15">
      <c r="A141" s="47">
        <v>39009233</v>
      </c>
      <c r="B141" s="47">
        <v>0</v>
      </c>
      <c r="C141" s="47">
        <v>97</v>
      </c>
      <c r="D141" s="47">
        <v>100</v>
      </c>
      <c r="E141" s="47" t="s">
        <v>53</v>
      </c>
      <c r="F141" s="47" t="s">
        <v>53</v>
      </c>
      <c r="G141" s="47">
        <v>0</v>
      </c>
      <c r="H141" s="47" t="s">
        <v>53</v>
      </c>
      <c r="I141" s="47">
        <v>548</v>
      </c>
      <c r="J141" s="48">
        <f t="shared" si="14"/>
        <v>100</v>
      </c>
    </row>
    <row r="142" spans="1:10" ht="21" customHeight="1" x14ac:dyDescent="0.15">
      <c r="A142" s="47">
        <v>39009234</v>
      </c>
      <c r="B142" s="47">
        <v>0</v>
      </c>
      <c r="C142" s="47">
        <v>98</v>
      </c>
      <c r="D142" s="47">
        <v>100</v>
      </c>
      <c r="E142" s="47" t="s">
        <v>53</v>
      </c>
      <c r="F142" s="47" t="s">
        <v>53</v>
      </c>
      <c r="G142" s="47">
        <v>0</v>
      </c>
      <c r="H142" s="47" t="s">
        <v>53</v>
      </c>
      <c r="I142" s="47">
        <v>1313</v>
      </c>
      <c r="J142" s="48">
        <f t="shared" si="14"/>
        <v>100</v>
      </c>
    </row>
    <row r="143" spans="1:10" ht="21" customHeight="1" x14ac:dyDescent="0.15">
      <c r="A143" s="47">
        <v>39009235</v>
      </c>
      <c r="B143" s="47">
        <v>0</v>
      </c>
      <c r="C143" s="47">
        <v>99</v>
      </c>
      <c r="D143" s="47">
        <v>100</v>
      </c>
      <c r="E143" s="47" t="s">
        <v>53</v>
      </c>
      <c r="F143" s="47" t="s">
        <v>53</v>
      </c>
      <c r="G143" s="47">
        <v>0</v>
      </c>
      <c r="H143" s="47" t="s">
        <v>53</v>
      </c>
      <c r="I143" s="47">
        <v>1322</v>
      </c>
      <c r="J143" s="48">
        <f t="shared" si="14"/>
        <v>100</v>
      </c>
    </row>
    <row r="144" spans="1:10" ht="21" customHeight="1" x14ac:dyDescent="0.15">
      <c r="A144" s="47">
        <v>39009236</v>
      </c>
      <c r="B144" s="47">
        <v>0</v>
      </c>
      <c r="C144" s="47">
        <v>100</v>
      </c>
      <c r="D144" s="47">
        <v>100</v>
      </c>
      <c r="E144" s="47" t="s">
        <v>53</v>
      </c>
      <c r="F144" s="47" t="s">
        <v>53</v>
      </c>
      <c r="G144" s="47">
        <v>0</v>
      </c>
      <c r="H144" s="47" t="s">
        <v>53</v>
      </c>
      <c r="I144" s="47">
        <v>1323</v>
      </c>
      <c r="J144" s="48">
        <f t="shared" si="14"/>
        <v>100</v>
      </c>
    </row>
    <row r="145" spans="1:10" ht="21" customHeight="1" x14ac:dyDescent="0.15">
      <c r="A145" s="47">
        <v>39009237</v>
      </c>
      <c r="B145" s="47">
        <v>0</v>
      </c>
      <c r="C145" s="47">
        <v>101</v>
      </c>
      <c r="D145" s="47">
        <v>100</v>
      </c>
      <c r="E145" s="47" t="s">
        <v>53</v>
      </c>
      <c r="F145" s="47" t="s">
        <v>53</v>
      </c>
      <c r="G145" s="47">
        <v>0</v>
      </c>
      <c r="H145" s="47" t="s">
        <v>53</v>
      </c>
      <c r="I145" s="47">
        <v>549</v>
      </c>
      <c r="J145" s="48">
        <f t="shared" si="14"/>
        <v>100</v>
      </c>
    </row>
    <row r="146" spans="1:10" ht="21" customHeight="1" x14ac:dyDescent="0.15">
      <c r="A146" s="47">
        <v>39009238</v>
      </c>
      <c r="B146" s="47">
        <v>0</v>
      </c>
      <c r="C146" s="47">
        <v>102</v>
      </c>
      <c r="D146" s="47">
        <v>100</v>
      </c>
      <c r="E146" s="47" t="s">
        <v>53</v>
      </c>
      <c r="F146" s="47" t="s">
        <v>53</v>
      </c>
      <c r="G146" s="47">
        <v>0</v>
      </c>
      <c r="H146" s="47" t="s">
        <v>53</v>
      </c>
      <c r="I146" s="47">
        <v>550</v>
      </c>
      <c r="J146" s="48">
        <f t="shared" si="14"/>
        <v>100</v>
      </c>
    </row>
    <row r="147" spans="1:10" ht="21" customHeight="1" x14ac:dyDescent="0.15">
      <c r="A147" s="47">
        <v>39009239</v>
      </c>
      <c r="B147" s="47">
        <v>0</v>
      </c>
      <c r="C147" s="47">
        <v>103</v>
      </c>
      <c r="D147" s="47">
        <v>100</v>
      </c>
      <c r="E147" s="47" t="s">
        <v>53</v>
      </c>
      <c r="F147" s="47" t="s">
        <v>53</v>
      </c>
      <c r="G147" s="47">
        <v>0</v>
      </c>
      <c r="H147" s="47" t="s">
        <v>53</v>
      </c>
      <c r="I147" s="47">
        <v>1314</v>
      </c>
      <c r="J147" s="48">
        <f t="shared" si="14"/>
        <v>100</v>
      </c>
    </row>
    <row r="148" spans="1:10" ht="21" customHeight="1" x14ac:dyDescent="0.15">
      <c r="A148" s="47">
        <v>39009240</v>
      </c>
      <c r="B148" s="47">
        <v>0</v>
      </c>
      <c r="C148" s="47">
        <v>104</v>
      </c>
      <c r="D148" s="47">
        <v>100</v>
      </c>
      <c r="E148" s="47" t="s">
        <v>53</v>
      </c>
      <c r="F148" s="47" t="s">
        <v>53</v>
      </c>
      <c r="G148" s="47">
        <v>0</v>
      </c>
      <c r="H148" s="47" t="s">
        <v>53</v>
      </c>
      <c r="I148" s="47">
        <v>551</v>
      </c>
      <c r="J148" s="48">
        <f t="shared" si="14"/>
        <v>100</v>
      </c>
    </row>
    <row r="149" spans="1:10" ht="21" customHeight="1" x14ac:dyDescent="0.15">
      <c r="A149" s="47">
        <v>39009241</v>
      </c>
      <c r="B149" s="47">
        <v>0</v>
      </c>
      <c r="C149" s="47">
        <v>105</v>
      </c>
      <c r="D149" s="47">
        <v>100</v>
      </c>
      <c r="E149" s="47" t="s">
        <v>53</v>
      </c>
      <c r="F149" s="47" t="s">
        <v>53</v>
      </c>
      <c r="G149" s="47">
        <v>0</v>
      </c>
      <c r="H149" s="47" t="s">
        <v>53</v>
      </c>
      <c r="I149" s="47">
        <v>552</v>
      </c>
      <c r="J149" s="48">
        <f t="shared" si="14"/>
        <v>100</v>
      </c>
    </row>
    <row r="150" spans="1:10" ht="21" customHeight="1" x14ac:dyDescent="0.15">
      <c r="A150" s="47">
        <v>39009242</v>
      </c>
      <c r="B150" s="47">
        <v>0</v>
      </c>
      <c r="C150" s="47">
        <v>106</v>
      </c>
      <c r="D150" s="47">
        <v>100</v>
      </c>
      <c r="E150" s="47" t="s">
        <v>53</v>
      </c>
      <c r="F150" s="47" t="s">
        <v>53</v>
      </c>
      <c r="G150" s="47">
        <v>0</v>
      </c>
      <c r="H150" s="47" t="s">
        <v>53</v>
      </c>
      <c r="I150" s="47">
        <v>1315</v>
      </c>
      <c r="J150" s="48">
        <f t="shared" si="14"/>
        <v>100</v>
      </c>
    </row>
    <row r="151" spans="1:10" ht="21" customHeight="1" x14ac:dyDescent="0.15">
      <c r="A151" s="47">
        <v>39009243</v>
      </c>
      <c r="B151" s="47">
        <v>0</v>
      </c>
      <c r="C151" s="47">
        <v>107</v>
      </c>
      <c r="D151" s="47">
        <v>100</v>
      </c>
      <c r="E151" s="47" t="s">
        <v>53</v>
      </c>
      <c r="F151" s="47" t="s">
        <v>53</v>
      </c>
      <c r="G151" s="47">
        <v>0</v>
      </c>
      <c r="H151" s="47" t="s">
        <v>53</v>
      </c>
      <c r="I151" s="47">
        <v>1300</v>
      </c>
      <c r="J151" s="48">
        <f t="shared" si="14"/>
        <v>100</v>
      </c>
    </row>
    <row r="152" spans="1:10" ht="21" customHeight="1" x14ac:dyDescent="0.15">
      <c r="A152" s="47">
        <v>39009244</v>
      </c>
      <c r="B152" s="47">
        <v>0</v>
      </c>
      <c r="C152" s="47">
        <v>108</v>
      </c>
      <c r="D152" s="47">
        <v>100</v>
      </c>
      <c r="E152" s="47" t="s">
        <v>53</v>
      </c>
      <c r="F152" s="47" t="s">
        <v>53</v>
      </c>
      <c r="G152" s="47">
        <v>0</v>
      </c>
      <c r="H152" s="47" t="s">
        <v>53</v>
      </c>
      <c r="I152" s="47">
        <v>1301</v>
      </c>
      <c r="J152" s="48">
        <f t="shared" si="14"/>
        <v>100</v>
      </c>
    </row>
    <row r="153" spans="1:10" ht="21" customHeight="1" x14ac:dyDescent="0.15">
      <c r="A153" s="47">
        <v>39009245</v>
      </c>
      <c r="B153" s="47">
        <v>0</v>
      </c>
      <c r="C153" s="47">
        <v>109</v>
      </c>
      <c r="D153" s="47">
        <v>100</v>
      </c>
      <c r="E153" s="47" t="s">
        <v>53</v>
      </c>
      <c r="F153" s="47" t="s">
        <v>53</v>
      </c>
      <c r="G153" s="47">
        <v>0</v>
      </c>
      <c r="H153" s="47" t="s">
        <v>53</v>
      </c>
      <c r="I153" s="47">
        <v>1302</v>
      </c>
      <c r="J153" s="48">
        <f t="shared" si="14"/>
        <v>100</v>
      </c>
    </row>
    <row r="154" spans="1:10" ht="21" customHeight="1" x14ac:dyDescent="0.15">
      <c r="A154" s="47">
        <v>39009246</v>
      </c>
      <c r="B154" s="47">
        <v>0</v>
      </c>
      <c r="C154" s="47">
        <v>110</v>
      </c>
      <c r="D154" s="47">
        <v>100</v>
      </c>
      <c r="E154" s="47" t="s">
        <v>53</v>
      </c>
      <c r="F154" s="47" t="s">
        <v>53</v>
      </c>
      <c r="G154" s="47">
        <v>0</v>
      </c>
      <c r="H154" s="47" t="s">
        <v>53</v>
      </c>
      <c r="I154" s="47">
        <v>1303</v>
      </c>
      <c r="J154" s="48">
        <f t="shared" si="14"/>
        <v>100</v>
      </c>
    </row>
    <row r="155" spans="1:10" ht="21" customHeight="1" x14ac:dyDescent="0.15">
      <c r="A155" s="47">
        <v>39009247</v>
      </c>
      <c r="B155" s="47">
        <v>0</v>
      </c>
      <c r="C155" s="47">
        <v>111</v>
      </c>
      <c r="D155" s="47">
        <v>100</v>
      </c>
      <c r="E155" s="47" t="s">
        <v>53</v>
      </c>
      <c r="F155" s="47" t="s">
        <v>53</v>
      </c>
      <c r="G155" s="47">
        <v>0</v>
      </c>
      <c r="H155" s="47" t="s">
        <v>53</v>
      </c>
      <c r="I155" s="47">
        <v>1304</v>
      </c>
      <c r="J155" s="48">
        <f t="shared" si="14"/>
        <v>100</v>
      </c>
    </row>
    <row r="156" spans="1:10" ht="21" customHeight="1" x14ac:dyDescent="0.15">
      <c r="A156" s="47">
        <v>39009248</v>
      </c>
      <c r="B156" s="47">
        <v>0</v>
      </c>
      <c r="C156" s="47">
        <v>112</v>
      </c>
      <c r="D156" s="47">
        <v>100</v>
      </c>
      <c r="E156" s="47" t="s">
        <v>53</v>
      </c>
      <c r="F156" s="47" t="s">
        <v>53</v>
      </c>
      <c r="G156" s="47">
        <v>0</v>
      </c>
      <c r="H156" s="47" t="s">
        <v>53</v>
      </c>
      <c r="I156" s="47">
        <v>1305</v>
      </c>
      <c r="J156" s="48">
        <f t="shared" si="14"/>
        <v>100</v>
      </c>
    </row>
    <row r="157" spans="1:10" ht="21" customHeight="1" x14ac:dyDescent="0.15">
      <c r="A157" s="47">
        <v>39009249</v>
      </c>
      <c r="B157" s="47">
        <v>0</v>
      </c>
      <c r="C157" s="47">
        <v>113</v>
      </c>
      <c r="D157" s="47">
        <v>100</v>
      </c>
      <c r="E157" s="47" t="s">
        <v>53</v>
      </c>
      <c r="F157" s="47" t="s">
        <v>53</v>
      </c>
      <c r="G157" s="47">
        <v>0</v>
      </c>
      <c r="H157" s="47" t="s">
        <v>53</v>
      </c>
      <c r="I157" s="47">
        <v>1306</v>
      </c>
      <c r="J157" s="48">
        <f t="shared" si="14"/>
        <v>100</v>
      </c>
    </row>
    <row r="158" spans="1:10" ht="21" customHeight="1" x14ac:dyDescent="0.15">
      <c r="A158" s="47">
        <v>39009250</v>
      </c>
      <c r="B158" s="47">
        <v>0</v>
      </c>
      <c r="C158" s="47">
        <v>114</v>
      </c>
      <c r="D158" s="47">
        <v>100</v>
      </c>
      <c r="E158" s="47" t="s">
        <v>53</v>
      </c>
      <c r="F158" s="47" t="s">
        <v>53</v>
      </c>
      <c r="G158" s="47">
        <v>0</v>
      </c>
      <c r="H158" s="47" t="s">
        <v>53</v>
      </c>
      <c r="I158" s="47">
        <v>1307</v>
      </c>
      <c r="J158" s="48">
        <f t="shared" si="14"/>
        <v>100</v>
      </c>
    </row>
  </sheetData>
  <autoFilter ref="A1:G1"/>
  <phoneticPr fontId="5"/>
  <conditionalFormatting sqref="K159:K1048576 K1:K2">
    <cfRule type="duplicateValues" dxfId="156" priority="257"/>
  </conditionalFormatting>
  <conditionalFormatting sqref="K3">
    <cfRule type="duplicateValues" dxfId="155" priority="256"/>
  </conditionalFormatting>
  <conditionalFormatting sqref="K4">
    <cfRule type="duplicateValues" dxfId="154" priority="255"/>
  </conditionalFormatting>
  <conditionalFormatting sqref="K5">
    <cfRule type="duplicateValues" dxfId="153" priority="254"/>
  </conditionalFormatting>
  <conditionalFormatting sqref="K6">
    <cfRule type="duplicateValues" dxfId="152" priority="253"/>
  </conditionalFormatting>
  <conditionalFormatting sqref="K7">
    <cfRule type="duplicateValues" dxfId="151" priority="252"/>
  </conditionalFormatting>
  <conditionalFormatting sqref="K8">
    <cfRule type="duplicateValues" dxfId="150" priority="251"/>
  </conditionalFormatting>
  <conditionalFormatting sqref="K9">
    <cfRule type="duplicateValues" dxfId="149" priority="250"/>
  </conditionalFormatting>
  <conditionalFormatting sqref="K10">
    <cfRule type="duplicateValues" dxfId="148" priority="249"/>
  </conditionalFormatting>
  <conditionalFormatting sqref="K11">
    <cfRule type="duplicateValues" dxfId="147" priority="248"/>
  </conditionalFormatting>
  <conditionalFormatting sqref="K12">
    <cfRule type="duplicateValues" dxfId="146" priority="247"/>
  </conditionalFormatting>
  <conditionalFormatting sqref="K13">
    <cfRule type="duplicateValues" dxfId="145" priority="246"/>
  </conditionalFormatting>
  <conditionalFormatting sqref="K14">
    <cfRule type="duplicateValues" dxfId="144" priority="245"/>
  </conditionalFormatting>
  <conditionalFormatting sqref="K15">
    <cfRule type="duplicateValues" dxfId="143" priority="244"/>
  </conditionalFormatting>
  <conditionalFormatting sqref="K16">
    <cfRule type="duplicateValues" dxfId="142" priority="243"/>
  </conditionalFormatting>
  <conditionalFormatting sqref="K17">
    <cfRule type="duplicateValues" dxfId="141" priority="242"/>
  </conditionalFormatting>
  <conditionalFormatting sqref="K18">
    <cfRule type="duplicateValues" dxfId="140" priority="241"/>
  </conditionalFormatting>
  <conditionalFormatting sqref="K19">
    <cfRule type="duplicateValues" dxfId="139" priority="240"/>
  </conditionalFormatting>
  <conditionalFormatting sqref="K20">
    <cfRule type="duplicateValues" dxfId="138" priority="239"/>
  </conditionalFormatting>
  <conditionalFormatting sqref="K44">
    <cfRule type="duplicateValues" dxfId="137" priority="237"/>
  </conditionalFormatting>
  <conditionalFormatting sqref="K45">
    <cfRule type="duplicateValues" dxfId="136" priority="236"/>
  </conditionalFormatting>
  <conditionalFormatting sqref="K46">
    <cfRule type="duplicateValues" dxfId="135" priority="235"/>
  </conditionalFormatting>
  <conditionalFormatting sqref="K47">
    <cfRule type="duplicateValues" dxfId="134" priority="234"/>
  </conditionalFormatting>
  <conditionalFormatting sqref="K48">
    <cfRule type="duplicateValues" dxfId="133" priority="233"/>
  </conditionalFormatting>
  <conditionalFormatting sqref="K71">
    <cfRule type="duplicateValues" dxfId="132" priority="232"/>
  </conditionalFormatting>
  <conditionalFormatting sqref="K72">
    <cfRule type="duplicateValues" dxfId="131" priority="231"/>
  </conditionalFormatting>
  <conditionalFormatting sqref="K73">
    <cfRule type="duplicateValues" dxfId="130" priority="230"/>
  </conditionalFormatting>
  <conditionalFormatting sqref="K74">
    <cfRule type="duplicateValues" dxfId="129" priority="228"/>
  </conditionalFormatting>
  <conditionalFormatting sqref="K75">
    <cfRule type="duplicateValues" dxfId="128" priority="227"/>
  </conditionalFormatting>
  <conditionalFormatting sqref="K76">
    <cfRule type="duplicateValues" dxfId="127" priority="226"/>
  </conditionalFormatting>
  <conditionalFormatting sqref="K77">
    <cfRule type="duplicateValues" dxfId="126" priority="225"/>
  </conditionalFormatting>
  <conditionalFormatting sqref="K100">
    <cfRule type="duplicateValues" dxfId="125" priority="224"/>
  </conditionalFormatting>
  <conditionalFormatting sqref="K101">
    <cfRule type="duplicateValues" dxfId="124" priority="223"/>
  </conditionalFormatting>
  <conditionalFormatting sqref="K102">
    <cfRule type="duplicateValues" dxfId="123" priority="222"/>
  </conditionalFormatting>
  <conditionalFormatting sqref="K103">
    <cfRule type="duplicateValues" dxfId="122" priority="221"/>
  </conditionalFormatting>
  <conditionalFormatting sqref="K104">
    <cfRule type="duplicateValues" dxfId="121" priority="220"/>
  </conditionalFormatting>
  <conditionalFormatting sqref="K40">
    <cfRule type="duplicateValues" dxfId="120" priority="218"/>
  </conditionalFormatting>
  <conditionalFormatting sqref="K39">
    <cfRule type="duplicateValues" dxfId="119" priority="215"/>
  </conditionalFormatting>
  <conditionalFormatting sqref="K34">
    <cfRule type="duplicateValues" dxfId="118" priority="210"/>
  </conditionalFormatting>
  <conditionalFormatting sqref="K38">
    <cfRule type="duplicateValues" dxfId="117" priority="208"/>
  </conditionalFormatting>
  <conditionalFormatting sqref="K36">
    <cfRule type="duplicateValues" dxfId="116" priority="206"/>
  </conditionalFormatting>
  <conditionalFormatting sqref="K33">
    <cfRule type="duplicateValues" dxfId="115" priority="202"/>
  </conditionalFormatting>
  <conditionalFormatting sqref="K32">
    <cfRule type="duplicateValues" dxfId="114" priority="200"/>
  </conditionalFormatting>
  <conditionalFormatting sqref="K28">
    <cfRule type="duplicateValues" dxfId="113" priority="199"/>
  </conditionalFormatting>
  <conditionalFormatting sqref="K29">
    <cfRule type="duplicateValues" dxfId="112" priority="196"/>
  </conditionalFormatting>
  <conditionalFormatting sqref="K31">
    <cfRule type="duplicateValues" dxfId="111" priority="193"/>
  </conditionalFormatting>
  <conditionalFormatting sqref="K27">
    <cfRule type="duplicateValues" dxfId="110" priority="187"/>
  </conditionalFormatting>
  <conditionalFormatting sqref="K21">
    <cfRule type="duplicateValues" dxfId="109" priority="184"/>
  </conditionalFormatting>
  <conditionalFormatting sqref="K26">
    <cfRule type="duplicateValues" dxfId="108" priority="183"/>
  </conditionalFormatting>
  <conditionalFormatting sqref="K22">
    <cfRule type="duplicateValues" dxfId="107" priority="182"/>
  </conditionalFormatting>
  <conditionalFormatting sqref="K25">
    <cfRule type="duplicateValues" dxfId="106" priority="177"/>
  </conditionalFormatting>
  <conditionalFormatting sqref="K24">
    <cfRule type="duplicateValues" dxfId="105" priority="176"/>
  </conditionalFormatting>
  <conditionalFormatting sqref="K23">
    <cfRule type="duplicateValues" dxfId="104" priority="175"/>
  </conditionalFormatting>
  <conditionalFormatting sqref="K41">
    <cfRule type="duplicateValues" dxfId="103" priority="173"/>
  </conditionalFormatting>
  <conditionalFormatting sqref="K42">
    <cfRule type="duplicateValues" dxfId="102" priority="171"/>
  </conditionalFormatting>
  <conditionalFormatting sqref="K43">
    <cfRule type="duplicateValues" dxfId="101" priority="169"/>
  </conditionalFormatting>
  <conditionalFormatting sqref="K60">
    <cfRule type="duplicateValues" dxfId="100" priority="147"/>
  </conditionalFormatting>
  <conditionalFormatting sqref="K63">
    <cfRule type="duplicateValues" dxfId="99" priority="145"/>
  </conditionalFormatting>
  <conditionalFormatting sqref="K62">
    <cfRule type="duplicateValues" dxfId="98" priority="144"/>
  </conditionalFormatting>
  <conditionalFormatting sqref="K61">
    <cfRule type="duplicateValues" dxfId="97" priority="143"/>
  </conditionalFormatting>
  <conditionalFormatting sqref="K65">
    <cfRule type="duplicateValues" dxfId="96" priority="142"/>
  </conditionalFormatting>
  <conditionalFormatting sqref="K68">
    <cfRule type="duplicateValues" dxfId="95" priority="140"/>
  </conditionalFormatting>
  <conditionalFormatting sqref="K67">
    <cfRule type="duplicateValues" dxfId="94" priority="139"/>
  </conditionalFormatting>
  <conditionalFormatting sqref="K66">
    <cfRule type="duplicateValues" dxfId="93" priority="138"/>
  </conditionalFormatting>
  <conditionalFormatting sqref="K55">
    <cfRule type="duplicateValues" dxfId="92" priority="137"/>
  </conditionalFormatting>
  <conditionalFormatting sqref="K59">
    <cfRule type="duplicateValues" dxfId="91" priority="136"/>
  </conditionalFormatting>
  <conditionalFormatting sqref="K58">
    <cfRule type="duplicateValues" dxfId="90" priority="135"/>
  </conditionalFormatting>
  <conditionalFormatting sqref="K57">
    <cfRule type="duplicateValues" dxfId="89" priority="134"/>
  </conditionalFormatting>
  <conditionalFormatting sqref="K56">
    <cfRule type="duplicateValues" dxfId="88" priority="133"/>
  </conditionalFormatting>
  <conditionalFormatting sqref="K54">
    <cfRule type="duplicateValues" dxfId="87" priority="132"/>
  </conditionalFormatting>
  <conditionalFormatting sqref="K49">
    <cfRule type="duplicateValues" dxfId="86" priority="131"/>
  </conditionalFormatting>
  <conditionalFormatting sqref="K53">
    <cfRule type="duplicateValues" dxfId="85" priority="127"/>
  </conditionalFormatting>
  <conditionalFormatting sqref="K52">
    <cfRule type="duplicateValues" dxfId="84" priority="126"/>
  </conditionalFormatting>
  <conditionalFormatting sqref="K51">
    <cfRule type="duplicateValues" dxfId="83" priority="125"/>
  </conditionalFormatting>
  <conditionalFormatting sqref="K50">
    <cfRule type="duplicateValues" dxfId="82" priority="124"/>
  </conditionalFormatting>
  <conditionalFormatting sqref="K92">
    <cfRule type="duplicateValues" dxfId="81" priority="96"/>
  </conditionalFormatting>
  <conditionalFormatting sqref="K96">
    <cfRule type="duplicateValues" dxfId="80" priority="94"/>
  </conditionalFormatting>
  <conditionalFormatting sqref="K95">
    <cfRule type="duplicateValues" dxfId="79" priority="93"/>
  </conditionalFormatting>
  <conditionalFormatting sqref="K94">
    <cfRule type="duplicateValues" dxfId="78" priority="92"/>
  </conditionalFormatting>
  <conditionalFormatting sqref="K97">
    <cfRule type="duplicateValues" dxfId="77" priority="91"/>
  </conditionalFormatting>
  <conditionalFormatting sqref="K99">
    <cfRule type="duplicateValues" dxfId="76" priority="88"/>
  </conditionalFormatting>
  <conditionalFormatting sqref="K98">
    <cfRule type="duplicateValues" dxfId="75" priority="87"/>
  </conditionalFormatting>
  <conditionalFormatting sqref="K87">
    <cfRule type="duplicateValues" dxfId="74" priority="86"/>
  </conditionalFormatting>
  <conditionalFormatting sqref="K91">
    <cfRule type="duplicateValues" dxfId="73" priority="85"/>
  </conditionalFormatting>
  <conditionalFormatting sqref="K90">
    <cfRule type="duplicateValues" dxfId="72" priority="84"/>
  </conditionalFormatting>
  <conditionalFormatting sqref="K89">
    <cfRule type="duplicateValues" dxfId="71" priority="83"/>
  </conditionalFormatting>
  <conditionalFormatting sqref="K88">
    <cfRule type="duplicateValues" dxfId="70" priority="82"/>
  </conditionalFormatting>
  <conditionalFormatting sqref="K86">
    <cfRule type="duplicateValues" dxfId="69" priority="81"/>
  </conditionalFormatting>
  <conditionalFormatting sqref="K80">
    <cfRule type="duplicateValues" dxfId="68" priority="80"/>
  </conditionalFormatting>
  <conditionalFormatting sqref="K79">
    <cfRule type="duplicateValues" dxfId="67" priority="79"/>
  </conditionalFormatting>
  <conditionalFormatting sqref="K78">
    <cfRule type="duplicateValues" dxfId="66" priority="78"/>
  </conditionalFormatting>
  <conditionalFormatting sqref="K81">
    <cfRule type="duplicateValues" dxfId="65" priority="77"/>
  </conditionalFormatting>
  <conditionalFormatting sqref="K85">
    <cfRule type="duplicateValues" dxfId="64" priority="76"/>
  </conditionalFormatting>
  <conditionalFormatting sqref="K84">
    <cfRule type="duplicateValues" dxfId="63" priority="75"/>
  </conditionalFormatting>
  <conditionalFormatting sqref="K83">
    <cfRule type="duplicateValues" dxfId="62" priority="74"/>
  </conditionalFormatting>
  <conditionalFormatting sqref="K82">
    <cfRule type="duplicateValues" dxfId="61" priority="73"/>
  </conditionalFormatting>
  <conditionalFormatting sqref="K105">
    <cfRule type="duplicateValues" dxfId="60" priority="65"/>
  </conditionalFormatting>
  <conditionalFormatting sqref="K147">
    <cfRule type="duplicateValues" dxfId="59" priority="64"/>
  </conditionalFormatting>
  <conditionalFormatting sqref="K151">
    <cfRule type="duplicateValues" dxfId="58" priority="63"/>
  </conditionalFormatting>
  <conditionalFormatting sqref="K150">
    <cfRule type="duplicateValues" dxfId="57" priority="62"/>
  </conditionalFormatting>
  <conditionalFormatting sqref="K149">
    <cfRule type="duplicateValues" dxfId="56" priority="61"/>
  </conditionalFormatting>
  <conditionalFormatting sqref="K148">
    <cfRule type="duplicateValues" dxfId="55" priority="60"/>
  </conditionalFormatting>
  <conditionalFormatting sqref="K137">
    <cfRule type="duplicateValues" dxfId="54" priority="59"/>
  </conditionalFormatting>
  <conditionalFormatting sqref="K146">
    <cfRule type="duplicateValues" dxfId="53" priority="58"/>
  </conditionalFormatting>
  <conditionalFormatting sqref="K140">
    <cfRule type="duplicateValues" dxfId="52" priority="57"/>
  </conditionalFormatting>
  <conditionalFormatting sqref="K139">
    <cfRule type="duplicateValues" dxfId="51" priority="56"/>
  </conditionalFormatting>
  <conditionalFormatting sqref="K138">
    <cfRule type="duplicateValues" dxfId="50" priority="55"/>
  </conditionalFormatting>
  <conditionalFormatting sqref="K141">
    <cfRule type="duplicateValues" dxfId="49" priority="54"/>
  </conditionalFormatting>
  <conditionalFormatting sqref="K145">
    <cfRule type="duplicateValues" dxfId="48" priority="53"/>
  </conditionalFormatting>
  <conditionalFormatting sqref="K144">
    <cfRule type="duplicateValues" dxfId="47" priority="52"/>
  </conditionalFormatting>
  <conditionalFormatting sqref="K143">
    <cfRule type="duplicateValues" dxfId="46" priority="51"/>
  </conditionalFormatting>
  <conditionalFormatting sqref="K142">
    <cfRule type="duplicateValues" dxfId="45" priority="50"/>
  </conditionalFormatting>
  <conditionalFormatting sqref="K132">
    <cfRule type="duplicateValues" dxfId="44" priority="49"/>
  </conditionalFormatting>
  <conditionalFormatting sqref="K136">
    <cfRule type="duplicateValues" dxfId="43" priority="48"/>
  </conditionalFormatting>
  <conditionalFormatting sqref="K135">
    <cfRule type="duplicateValues" dxfId="42" priority="47"/>
  </conditionalFormatting>
  <conditionalFormatting sqref="K134">
    <cfRule type="duplicateValues" dxfId="41" priority="46"/>
  </conditionalFormatting>
  <conditionalFormatting sqref="K133">
    <cfRule type="duplicateValues" dxfId="40" priority="45"/>
  </conditionalFormatting>
  <conditionalFormatting sqref="K120">
    <cfRule type="duplicateValues" dxfId="39" priority="44"/>
  </conditionalFormatting>
  <conditionalFormatting sqref="K131">
    <cfRule type="duplicateValues" dxfId="38" priority="43"/>
  </conditionalFormatting>
  <conditionalFormatting sqref="K123">
    <cfRule type="duplicateValues" dxfId="37" priority="42"/>
  </conditionalFormatting>
  <conditionalFormatting sqref="K122">
    <cfRule type="duplicateValues" dxfId="36" priority="41"/>
  </conditionalFormatting>
  <conditionalFormatting sqref="K121">
    <cfRule type="duplicateValues" dxfId="35" priority="40"/>
  </conditionalFormatting>
  <conditionalFormatting sqref="K124">
    <cfRule type="duplicateValues" dxfId="34" priority="39"/>
  </conditionalFormatting>
  <conditionalFormatting sqref="K130">
    <cfRule type="duplicateValues" dxfId="33" priority="38"/>
  </conditionalFormatting>
  <conditionalFormatting sqref="K127">
    <cfRule type="duplicateValues" dxfId="32" priority="37"/>
  </conditionalFormatting>
  <conditionalFormatting sqref="K126">
    <cfRule type="duplicateValues" dxfId="31" priority="36"/>
  </conditionalFormatting>
  <conditionalFormatting sqref="K125">
    <cfRule type="duplicateValues" dxfId="30" priority="35"/>
  </conditionalFormatting>
  <conditionalFormatting sqref="K115">
    <cfRule type="duplicateValues" dxfId="29" priority="34"/>
  </conditionalFormatting>
  <conditionalFormatting sqref="K119">
    <cfRule type="duplicateValues" dxfId="28" priority="33"/>
  </conditionalFormatting>
  <conditionalFormatting sqref="K118">
    <cfRule type="duplicateValues" dxfId="27" priority="32"/>
  </conditionalFormatting>
  <conditionalFormatting sqref="K117">
    <cfRule type="duplicateValues" dxfId="26" priority="31"/>
  </conditionalFormatting>
  <conditionalFormatting sqref="K116">
    <cfRule type="duplicateValues" dxfId="25" priority="30"/>
  </conditionalFormatting>
  <conditionalFormatting sqref="K114">
    <cfRule type="duplicateValues" dxfId="24" priority="29"/>
  </conditionalFormatting>
  <conditionalFormatting sqref="K108">
    <cfRule type="duplicateValues" dxfId="23" priority="28"/>
  </conditionalFormatting>
  <conditionalFormatting sqref="K107">
    <cfRule type="duplicateValues" dxfId="22" priority="27"/>
  </conditionalFormatting>
  <conditionalFormatting sqref="K106">
    <cfRule type="duplicateValues" dxfId="21" priority="26"/>
  </conditionalFormatting>
  <conditionalFormatting sqref="K109">
    <cfRule type="duplicateValues" dxfId="20" priority="25"/>
  </conditionalFormatting>
  <conditionalFormatting sqref="K113">
    <cfRule type="duplicateValues" dxfId="19" priority="24"/>
  </conditionalFormatting>
  <conditionalFormatting sqref="K112">
    <cfRule type="duplicateValues" dxfId="18" priority="23"/>
  </conditionalFormatting>
  <conditionalFormatting sqref="K111">
    <cfRule type="duplicateValues" dxfId="17" priority="22"/>
  </conditionalFormatting>
  <conditionalFormatting sqref="K110">
    <cfRule type="duplicateValues" dxfId="16" priority="21"/>
  </conditionalFormatting>
  <conditionalFormatting sqref="K154">
    <cfRule type="duplicateValues" dxfId="15" priority="20"/>
  </conditionalFormatting>
  <conditionalFormatting sqref="K153">
    <cfRule type="duplicateValues" dxfId="14" priority="19"/>
  </conditionalFormatting>
  <conditionalFormatting sqref="K152">
    <cfRule type="duplicateValues" dxfId="13" priority="18"/>
  </conditionalFormatting>
  <conditionalFormatting sqref="K155">
    <cfRule type="duplicateValues" dxfId="12" priority="17"/>
  </conditionalFormatting>
  <conditionalFormatting sqref="K158">
    <cfRule type="duplicateValues" dxfId="11" priority="16"/>
  </conditionalFormatting>
  <conditionalFormatting sqref="K157">
    <cfRule type="duplicateValues" dxfId="10" priority="15"/>
  </conditionalFormatting>
  <conditionalFormatting sqref="K156">
    <cfRule type="duplicateValues" dxfId="9" priority="14"/>
  </conditionalFormatting>
  <conditionalFormatting sqref="K30">
    <cfRule type="duplicateValues" dxfId="8" priority="12"/>
  </conditionalFormatting>
  <conditionalFormatting sqref="K70">
    <cfRule type="duplicateValues" dxfId="7" priority="11"/>
  </conditionalFormatting>
  <conditionalFormatting sqref="K69">
    <cfRule type="duplicateValues" dxfId="6" priority="10"/>
  </conditionalFormatting>
  <conditionalFormatting sqref="K129">
    <cfRule type="duplicateValues" dxfId="5" priority="7"/>
  </conditionalFormatting>
  <conditionalFormatting sqref="K128">
    <cfRule type="duplicateValues" dxfId="4" priority="6"/>
  </conditionalFormatting>
  <conditionalFormatting sqref="K35">
    <cfRule type="duplicateValues" dxfId="3" priority="4"/>
  </conditionalFormatting>
  <conditionalFormatting sqref="K37">
    <cfRule type="duplicateValues" dxfId="2" priority="3"/>
  </conditionalFormatting>
  <conditionalFormatting sqref="K64">
    <cfRule type="duplicateValues" dxfId="1" priority="2"/>
  </conditionalFormatting>
  <conditionalFormatting sqref="K9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7"/>
  <sheetViews>
    <sheetView topLeftCell="D39" workbookViewId="0">
      <selection activeCell="H66" sqref="H6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39009</v>
      </c>
      <c r="B2" s="57">
        <v>1</v>
      </c>
      <c r="C2" s="71" t="str">
        <f>A2&amp; "_"&amp;B2</f>
        <v>39009_1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108" t="s">
        <v>169</v>
      </c>
      <c r="G2" s="81">
        <v>1700</v>
      </c>
      <c r="H2" s="57" t="s">
        <v>90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108">
        <v>250</v>
      </c>
      <c r="Q2" s="57" t="s">
        <v>170</v>
      </c>
      <c r="R2" s="57" t="s">
        <v>171</v>
      </c>
    </row>
    <row r="3" spans="1:18" x14ac:dyDescent="0.15">
      <c r="A3" s="57">
        <v>39009</v>
      </c>
      <c r="B3" s="57">
        <v>1</v>
      </c>
      <c r="C3" s="71" t="str">
        <f t="shared" ref="C3:C11" si="0">A3&amp; "_"&amp;B3</f>
        <v>39009_1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108" t="s">
        <v>276</v>
      </c>
      <c r="G3" s="81">
        <v>20</v>
      </c>
      <c r="H3" s="57" t="s">
        <v>90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108">
        <v>250</v>
      </c>
      <c r="Q3" s="57" t="s">
        <v>170</v>
      </c>
      <c r="R3" s="57" t="s">
        <v>171</v>
      </c>
    </row>
    <row r="4" spans="1:18" x14ac:dyDescent="0.15">
      <c r="A4" s="57">
        <v>39009</v>
      </c>
      <c r="B4" s="57">
        <v>1</v>
      </c>
      <c r="C4" s="71" t="str">
        <f t="shared" si="0"/>
        <v>39009_1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108" t="s">
        <v>228</v>
      </c>
      <c r="G4" s="81">
        <v>336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108">
        <v>98</v>
      </c>
      <c r="Q4" s="57" t="s">
        <v>170</v>
      </c>
      <c r="R4" s="57" t="s">
        <v>171</v>
      </c>
    </row>
    <row r="5" spans="1:18" x14ac:dyDescent="0.15">
      <c r="A5" s="57">
        <v>39009</v>
      </c>
      <c r="B5" s="57">
        <v>1</v>
      </c>
      <c r="C5" s="71" t="str">
        <f t="shared" si="0"/>
        <v>39009_1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108" t="s">
        <v>228</v>
      </c>
      <c r="G5" s="81">
        <v>337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108">
        <v>42</v>
      </c>
      <c r="Q5" s="57" t="s">
        <v>170</v>
      </c>
      <c r="R5" s="57" t="s">
        <v>171</v>
      </c>
    </row>
    <row r="6" spans="1:18" x14ac:dyDescent="0.15">
      <c r="A6" s="57">
        <v>39009</v>
      </c>
      <c r="B6" s="57">
        <v>1</v>
      </c>
      <c r="C6" s="71" t="str">
        <f t="shared" si="0"/>
        <v>39009_1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108" t="s">
        <v>228</v>
      </c>
      <c r="G6" s="81">
        <v>350</v>
      </c>
      <c r="H6" s="57">
        <v>1</v>
      </c>
      <c r="I6" s="57">
        <v>10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08">
        <v>150</v>
      </c>
      <c r="Q6" s="57" t="s">
        <v>170</v>
      </c>
      <c r="R6" s="57" t="s">
        <v>171</v>
      </c>
    </row>
    <row r="7" spans="1:18" x14ac:dyDescent="0.15">
      <c r="A7" s="57">
        <v>39009</v>
      </c>
      <c r="B7" s="57">
        <v>1</v>
      </c>
      <c r="C7" s="71" t="str">
        <f t="shared" si="0"/>
        <v>39009_1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108" t="s">
        <v>228</v>
      </c>
      <c r="G7" s="81">
        <v>121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08">
        <v>50</v>
      </c>
      <c r="Q7" s="57" t="s">
        <v>170</v>
      </c>
      <c r="R7" s="57" t="s">
        <v>171</v>
      </c>
    </row>
    <row r="8" spans="1:18" x14ac:dyDescent="0.15">
      <c r="A8" s="57">
        <v>39009</v>
      </c>
      <c r="B8" s="57">
        <v>1</v>
      </c>
      <c r="C8" s="71" t="str">
        <f t="shared" si="0"/>
        <v>39009_1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108" t="s">
        <v>228</v>
      </c>
      <c r="G8" s="81">
        <v>122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08">
        <v>50</v>
      </c>
      <c r="Q8" s="57" t="s">
        <v>170</v>
      </c>
      <c r="R8" s="57" t="s">
        <v>171</v>
      </c>
    </row>
    <row r="9" spans="1:18" x14ac:dyDescent="0.15">
      <c r="A9" s="57">
        <v>39009</v>
      </c>
      <c r="B9" s="57">
        <v>1</v>
      </c>
      <c r="C9" s="71" t="str">
        <f t="shared" si="0"/>
        <v>39009_1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108" t="s">
        <v>228</v>
      </c>
      <c r="G9" s="81">
        <v>123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108">
        <v>50</v>
      </c>
      <c r="Q9" s="57" t="s">
        <v>170</v>
      </c>
      <c r="R9" s="57" t="s">
        <v>171</v>
      </c>
    </row>
    <row r="10" spans="1:18" x14ac:dyDescent="0.15">
      <c r="A10" s="57">
        <v>39009</v>
      </c>
      <c r="B10" s="57">
        <v>1</v>
      </c>
      <c r="C10" s="71" t="str">
        <f t="shared" si="0"/>
        <v>39009_1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108" t="s">
        <v>228</v>
      </c>
      <c r="G10" s="81">
        <v>125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108">
        <v>10</v>
      </c>
      <c r="Q10" s="57" t="s">
        <v>170</v>
      </c>
      <c r="R10" s="57" t="s">
        <v>171</v>
      </c>
    </row>
    <row r="11" spans="1:18" ht="16" thickBot="1" x14ac:dyDescent="0.2">
      <c r="A11" s="102">
        <v>39009</v>
      </c>
      <c r="B11" s="102">
        <v>1</v>
      </c>
      <c r="C11" s="103" t="str">
        <f t="shared" si="0"/>
        <v>39009_1</v>
      </c>
      <c r="D11" s="10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109" t="s">
        <v>228</v>
      </c>
      <c r="G11" s="110">
        <v>1297</v>
      </c>
      <c r="H11" s="102">
        <v>1</v>
      </c>
      <c r="I11" s="102">
        <v>1</v>
      </c>
      <c r="J11" s="102">
        <v>1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9">
        <v>50</v>
      </c>
      <c r="Q11" s="102" t="s">
        <v>170</v>
      </c>
      <c r="R11" s="102" t="s">
        <v>171</v>
      </c>
    </row>
    <row r="12" spans="1:18" ht="16" thickTop="1" x14ac:dyDescent="0.15">
      <c r="A12" s="105">
        <v>39009</v>
      </c>
      <c r="B12" s="105">
        <v>2</v>
      </c>
      <c r="C12" s="106" t="str">
        <f>A12&amp; "_"&amp;B12</f>
        <v>39009_2</v>
      </c>
      <c r="D12" s="10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105" t="s">
        <v>169</v>
      </c>
      <c r="G12" s="111">
        <v>3200</v>
      </c>
      <c r="H12" s="105" t="s">
        <v>273</v>
      </c>
      <c r="I12" s="105">
        <v>1</v>
      </c>
      <c r="J12" s="105">
        <v>1</v>
      </c>
      <c r="K12" s="105">
        <v>0</v>
      </c>
      <c r="L12" s="105">
        <v>0</v>
      </c>
      <c r="M12" s="105">
        <v>0</v>
      </c>
      <c r="N12" s="105">
        <v>0</v>
      </c>
      <c r="O12" s="105">
        <v>1</v>
      </c>
      <c r="P12" s="105">
        <v>250</v>
      </c>
      <c r="Q12" s="105" t="s">
        <v>170</v>
      </c>
      <c r="R12" s="105" t="s">
        <v>171</v>
      </c>
    </row>
    <row r="13" spans="1:18" x14ac:dyDescent="0.15">
      <c r="A13" s="57">
        <v>39009</v>
      </c>
      <c r="B13" s="57">
        <v>2</v>
      </c>
      <c r="C13" s="71" t="str">
        <f t="shared" ref="C13:C43" si="1">A13&amp; "_"&amp;B13</f>
        <v>39009_2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274</v>
      </c>
      <c r="G13" s="112">
        <v>20</v>
      </c>
      <c r="H13" s="57" t="s">
        <v>273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200</v>
      </c>
      <c r="Q13" s="57" t="s">
        <v>170</v>
      </c>
      <c r="R13" s="57" t="s">
        <v>171</v>
      </c>
    </row>
    <row r="14" spans="1:18" x14ac:dyDescent="0.15">
      <c r="A14" s="57">
        <v>39009</v>
      </c>
      <c r="B14" s="57">
        <v>2</v>
      </c>
      <c r="C14" s="71" t="str">
        <f t="shared" si="1"/>
        <v>39009_2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275</v>
      </c>
      <c r="G14" s="112">
        <v>336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70</v>
      </c>
      <c r="Q14" s="57" t="s">
        <v>170</v>
      </c>
      <c r="R14" s="57" t="s">
        <v>171</v>
      </c>
    </row>
    <row r="15" spans="1:18" x14ac:dyDescent="0.15">
      <c r="A15" s="57">
        <v>39009</v>
      </c>
      <c r="B15" s="57">
        <v>2</v>
      </c>
      <c r="C15" s="71" t="str">
        <f t="shared" si="1"/>
        <v>39009_2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275</v>
      </c>
      <c r="G15" s="112">
        <v>337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70</v>
      </c>
      <c r="Q15" s="57" t="s">
        <v>170</v>
      </c>
      <c r="R15" s="57" t="s">
        <v>171</v>
      </c>
    </row>
    <row r="16" spans="1:18" x14ac:dyDescent="0.15">
      <c r="A16" s="57">
        <v>39009</v>
      </c>
      <c r="B16" s="57">
        <v>2</v>
      </c>
      <c r="C16" s="71" t="str">
        <f t="shared" si="1"/>
        <v>39009_2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275</v>
      </c>
      <c r="G16" s="112">
        <v>121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50</v>
      </c>
      <c r="Q16" s="57" t="s">
        <v>170</v>
      </c>
      <c r="R16" s="57" t="s">
        <v>171</v>
      </c>
    </row>
    <row r="17" spans="1:18" x14ac:dyDescent="0.15">
      <c r="A17" s="57">
        <v>39009</v>
      </c>
      <c r="B17" s="57">
        <v>2</v>
      </c>
      <c r="C17" s="71" t="str">
        <f t="shared" si="1"/>
        <v>39009_2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275</v>
      </c>
      <c r="G17" s="112">
        <v>122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170</v>
      </c>
      <c r="R17" s="57" t="s">
        <v>171</v>
      </c>
    </row>
    <row r="18" spans="1:18" x14ac:dyDescent="0.15">
      <c r="A18" s="57">
        <v>39009</v>
      </c>
      <c r="B18" s="57">
        <v>2</v>
      </c>
      <c r="C18" s="71" t="str">
        <f t="shared" si="1"/>
        <v>39009_2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275</v>
      </c>
      <c r="G18" s="112">
        <v>123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170</v>
      </c>
      <c r="R18" s="57" t="s">
        <v>171</v>
      </c>
    </row>
    <row r="19" spans="1:18" x14ac:dyDescent="0.15">
      <c r="A19" s="57">
        <v>39009</v>
      </c>
      <c r="B19" s="57">
        <v>2</v>
      </c>
      <c r="C19" s="71" t="str">
        <f t="shared" si="1"/>
        <v>39009_2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275</v>
      </c>
      <c r="G19" s="112">
        <v>125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10</v>
      </c>
      <c r="Q19" s="57" t="s">
        <v>170</v>
      </c>
      <c r="R19" s="57" t="s">
        <v>171</v>
      </c>
    </row>
    <row r="20" spans="1:18" x14ac:dyDescent="0.15">
      <c r="A20" s="57">
        <v>39009</v>
      </c>
      <c r="B20" s="57">
        <v>2</v>
      </c>
      <c r="C20" s="71" t="str">
        <f t="shared" si="1"/>
        <v>39009_2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275</v>
      </c>
      <c r="G20" s="112">
        <v>1297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100</v>
      </c>
      <c r="Q20" s="57" t="s">
        <v>170</v>
      </c>
      <c r="R20" s="57" t="s">
        <v>171</v>
      </c>
    </row>
    <row r="21" spans="1:18" ht="16" thickBot="1" x14ac:dyDescent="0.2">
      <c r="A21" s="102">
        <v>39009</v>
      </c>
      <c r="B21" s="102">
        <v>2</v>
      </c>
      <c r="C21" s="103" t="str">
        <f t="shared" si="1"/>
        <v>39009_2</v>
      </c>
      <c r="D21" s="104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102" t="s">
        <v>275</v>
      </c>
      <c r="G21" s="113">
        <v>350</v>
      </c>
      <c r="H21" s="102">
        <v>1</v>
      </c>
      <c r="I21" s="102">
        <v>10</v>
      </c>
      <c r="J21" s="102">
        <v>1</v>
      </c>
      <c r="K21" s="102">
        <v>0</v>
      </c>
      <c r="L21" s="102">
        <v>0</v>
      </c>
      <c r="M21" s="102">
        <v>0</v>
      </c>
      <c r="N21" s="102">
        <v>0</v>
      </c>
      <c r="O21" s="102">
        <v>1</v>
      </c>
      <c r="P21" s="102">
        <v>150</v>
      </c>
      <c r="Q21" s="102" t="s">
        <v>170</v>
      </c>
      <c r="R21" s="102" t="s">
        <v>171</v>
      </c>
    </row>
    <row r="22" spans="1:18" ht="16" thickTop="1" x14ac:dyDescent="0.15">
      <c r="A22" s="105">
        <v>39009</v>
      </c>
      <c r="B22" s="105">
        <v>3</v>
      </c>
      <c r="C22" s="106" t="str">
        <f t="shared" si="1"/>
        <v>39009_3</v>
      </c>
      <c r="D22" s="10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7">
        <v>21</v>
      </c>
      <c r="F22" s="105" t="s">
        <v>169</v>
      </c>
      <c r="G22" s="111">
        <v>5000</v>
      </c>
      <c r="H22" s="105" t="s">
        <v>273</v>
      </c>
      <c r="I22" s="105">
        <v>1</v>
      </c>
      <c r="J22" s="105">
        <v>1</v>
      </c>
      <c r="K22" s="105">
        <v>0</v>
      </c>
      <c r="L22" s="105">
        <v>0</v>
      </c>
      <c r="M22" s="105">
        <v>0</v>
      </c>
      <c r="N22" s="105">
        <v>0</v>
      </c>
      <c r="O22" s="105">
        <v>1</v>
      </c>
      <c r="P22" s="105">
        <v>200</v>
      </c>
      <c r="Q22" s="105" t="s">
        <v>170</v>
      </c>
      <c r="R22" s="105" t="s">
        <v>171</v>
      </c>
    </row>
    <row r="23" spans="1:18" x14ac:dyDescent="0.15">
      <c r="A23" s="57">
        <v>39009</v>
      </c>
      <c r="B23" s="57">
        <v>3</v>
      </c>
      <c r="C23" s="71" t="str">
        <f t="shared" si="1"/>
        <v>39009_3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57" t="s">
        <v>274</v>
      </c>
      <c r="G23" s="112">
        <v>25</v>
      </c>
      <c r="H23" s="57" t="s">
        <v>273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150</v>
      </c>
      <c r="Q23" s="57" t="s">
        <v>170</v>
      </c>
      <c r="R23" s="57" t="s">
        <v>171</v>
      </c>
    </row>
    <row r="24" spans="1:18" x14ac:dyDescent="0.15">
      <c r="A24" s="57">
        <v>39009</v>
      </c>
      <c r="B24" s="57">
        <v>3</v>
      </c>
      <c r="C24" s="71" t="str">
        <f t="shared" si="1"/>
        <v>39009_3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275</v>
      </c>
      <c r="G24" s="112">
        <v>336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56</v>
      </c>
      <c r="Q24" s="57" t="s">
        <v>170</v>
      </c>
      <c r="R24" s="57" t="s">
        <v>171</v>
      </c>
    </row>
    <row r="25" spans="1:18" x14ac:dyDescent="0.15">
      <c r="A25" s="57">
        <v>39009</v>
      </c>
      <c r="B25" s="57">
        <v>3</v>
      </c>
      <c r="C25" s="71" t="str">
        <f t="shared" si="1"/>
        <v>39009_3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275</v>
      </c>
      <c r="G25" s="112">
        <v>337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56</v>
      </c>
      <c r="Q25" s="57" t="s">
        <v>170</v>
      </c>
      <c r="R25" s="57" t="s">
        <v>171</v>
      </c>
    </row>
    <row r="26" spans="1:18" x14ac:dyDescent="0.15">
      <c r="A26" s="57">
        <v>39009</v>
      </c>
      <c r="B26" s="57">
        <v>3</v>
      </c>
      <c r="C26" s="71" t="str">
        <f t="shared" si="1"/>
        <v>39009_3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275</v>
      </c>
      <c r="G26" s="112">
        <v>338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28</v>
      </c>
      <c r="Q26" s="57" t="s">
        <v>170</v>
      </c>
      <c r="R26" s="57" t="s">
        <v>171</v>
      </c>
    </row>
    <row r="27" spans="1:18" x14ac:dyDescent="0.15">
      <c r="A27" s="57">
        <v>39009</v>
      </c>
      <c r="B27" s="57">
        <v>3</v>
      </c>
      <c r="C27" s="71" t="str">
        <f t="shared" si="1"/>
        <v>39009_3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275</v>
      </c>
      <c r="G27" s="112">
        <v>121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50</v>
      </c>
      <c r="Q27" s="57" t="s">
        <v>170</v>
      </c>
      <c r="R27" s="57" t="s">
        <v>171</v>
      </c>
    </row>
    <row r="28" spans="1:18" x14ac:dyDescent="0.15">
      <c r="A28" s="57">
        <v>39009</v>
      </c>
      <c r="B28" s="57">
        <v>3</v>
      </c>
      <c r="C28" s="71" t="str">
        <f t="shared" si="1"/>
        <v>39009_3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275</v>
      </c>
      <c r="G28" s="112">
        <v>122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170</v>
      </c>
      <c r="R28" s="57" t="s">
        <v>171</v>
      </c>
    </row>
    <row r="29" spans="1:18" x14ac:dyDescent="0.15">
      <c r="A29" s="57">
        <v>39009</v>
      </c>
      <c r="B29" s="57">
        <v>3</v>
      </c>
      <c r="C29" s="71" t="str">
        <f t="shared" si="1"/>
        <v>39009_3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275</v>
      </c>
      <c r="G29" s="112">
        <v>123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170</v>
      </c>
      <c r="R29" s="57" t="s">
        <v>171</v>
      </c>
    </row>
    <row r="30" spans="1:18" x14ac:dyDescent="0.15">
      <c r="A30" s="57">
        <v>39009</v>
      </c>
      <c r="B30" s="57">
        <v>3</v>
      </c>
      <c r="C30" s="71" t="str">
        <f t="shared" si="1"/>
        <v>39009_3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275</v>
      </c>
      <c r="G30" s="112">
        <v>125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10</v>
      </c>
      <c r="Q30" s="57" t="s">
        <v>170</v>
      </c>
      <c r="R30" s="57" t="s">
        <v>171</v>
      </c>
    </row>
    <row r="31" spans="1:18" x14ac:dyDescent="0.15">
      <c r="A31" s="57">
        <v>39009</v>
      </c>
      <c r="B31" s="57">
        <v>3</v>
      </c>
      <c r="C31" s="71" t="str">
        <f t="shared" si="1"/>
        <v>39009_3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275</v>
      </c>
      <c r="G31" s="112">
        <v>1297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200</v>
      </c>
      <c r="Q31" s="57" t="s">
        <v>170</v>
      </c>
      <c r="R31" s="57" t="s">
        <v>171</v>
      </c>
    </row>
    <row r="32" spans="1:18" ht="16" thickBot="1" x14ac:dyDescent="0.2">
      <c r="A32" s="102">
        <v>39009</v>
      </c>
      <c r="B32" s="102">
        <v>3</v>
      </c>
      <c r="C32" s="103" t="str">
        <f t="shared" si="1"/>
        <v>39009_3</v>
      </c>
      <c r="D32" s="104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102" t="s">
        <v>275</v>
      </c>
      <c r="G32" s="113">
        <v>350</v>
      </c>
      <c r="H32" s="102">
        <v>1</v>
      </c>
      <c r="I32" s="102">
        <v>10</v>
      </c>
      <c r="J32" s="102">
        <v>1</v>
      </c>
      <c r="K32" s="102">
        <v>0</v>
      </c>
      <c r="L32" s="102">
        <v>0</v>
      </c>
      <c r="M32" s="102">
        <v>0</v>
      </c>
      <c r="N32" s="102">
        <v>0</v>
      </c>
      <c r="O32" s="102">
        <v>1</v>
      </c>
      <c r="P32" s="102">
        <v>150</v>
      </c>
      <c r="Q32" s="102" t="s">
        <v>170</v>
      </c>
      <c r="R32" s="102" t="s">
        <v>171</v>
      </c>
    </row>
    <row r="33" spans="1:18" ht="16" thickTop="1" x14ac:dyDescent="0.15">
      <c r="A33" s="105">
        <v>39009</v>
      </c>
      <c r="B33" s="105">
        <v>4</v>
      </c>
      <c r="C33" s="106" t="str">
        <f t="shared" si="1"/>
        <v>39009_4</v>
      </c>
      <c r="D33" s="10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105" t="s">
        <v>169</v>
      </c>
      <c r="G33" s="111">
        <v>8000</v>
      </c>
      <c r="H33" s="105" t="s">
        <v>273</v>
      </c>
      <c r="I33" s="105">
        <v>1</v>
      </c>
      <c r="J33" s="105">
        <v>1</v>
      </c>
      <c r="K33" s="105">
        <v>0</v>
      </c>
      <c r="L33" s="105">
        <v>0</v>
      </c>
      <c r="M33" s="105">
        <v>0</v>
      </c>
      <c r="N33" s="105">
        <v>0</v>
      </c>
      <c r="O33" s="105">
        <v>1</v>
      </c>
      <c r="P33" s="105">
        <v>150</v>
      </c>
      <c r="Q33" s="105" t="s">
        <v>170</v>
      </c>
      <c r="R33" s="105" t="s">
        <v>171</v>
      </c>
    </row>
    <row r="34" spans="1:18" x14ac:dyDescent="0.15">
      <c r="A34" s="57">
        <v>39009</v>
      </c>
      <c r="B34" s="57">
        <v>4</v>
      </c>
      <c r="C34" s="71" t="str">
        <f t="shared" si="1"/>
        <v>39009_4</v>
      </c>
      <c r="D34" s="18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7">
        <v>33</v>
      </c>
      <c r="F34" s="57" t="s">
        <v>274</v>
      </c>
      <c r="G34" s="112">
        <v>25</v>
      </c>
      <c r="H34" s="57" t="s">
        <v>273</v>
      </c>
      <c r="I34" s="57">
        <v>1</v>
      </c>
      <c r="J34" s="57">
        <v>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57">
        <v>150</v>
      </c>
      <c r="Q34" s="57" t="s">
        <v>170</v>
      </c>
      <c r="R34" s="57" t="s">
        <v>171</v>
      </c>
    </row>
    <row r="35" spans="1:18" x14ac:dyDescent="0.15">
      <c r="A35" s="57">
        <v>39009</v>
      </c>
      <c r="B35" s="57">
        <v>4</v>
      </c>
      <c r="C35" s="71" t="str">
        <f t="shared" si="1"/>
        <v>39009_4</v>
      </c>
      <c r="D35" s="18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7">
        <v>34</v>
      </c>
      <c r="F35" s="57" t="s">
        <v>275</v>
      </c>
      <c r="G35" s="112">
        <v>336</v>
      </c>
      <c r="H35" s="57">
        <v>1</v>
      </c>
      <c r="I35" s="57">
        <v>1</v>
      </c>
      <c r="J35" s="57">
        <v>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57">
        <v>28</v>
      </c>
      <c r="Q35" s="57" t="s">
        <v>170</v>
      </c>
      <c r="R35" s="57" t="s">
        <v>171</v>
      </c>
    </row>
    <row r="36" spans="1:18" x14ac:dyDescent="0.15">
      <c r="A36" s="57">
        <v>39009</v>
      </c>
      <c r="B36" s="57">
        <v>4</v>
      </c>
      <c r="C36" s="71" t="str">
        <f t="shared" si="1"/>
        <v>39009_4</v>
      </c>
      <c r="D36" s="18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7">
        <v>35</v>
      </c>
      <c r="F36" s="57" t="s">
        <v>275</v>
      </c>
      <c r="G36" s="112">
        <v>337</v>
      </c>
      <c r="H36" s="57">
        <v>1</v>
      </c>
      <c r="I36" s="57">
        <v>1</v>
      </c>
      <c r="J36" s="57">
        <v>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57">
        <v>56</v>
      </c>
      <c r="Q36" s="57" t="s">
        <v>170</v>
      </c>
      <c r="R36" s="57" t="s">
        <v>171</v>
      </c>
    </row>
    <row r="37" spans="1:18" x14ac:dyDescent="0.15">
      <c r="A37" s="57">
        <v>39009</v>
      </c>
      <c r="B37" s="57">
        <v>4</v>
      </c>
      <c r="C37" s="71" t="str">
        <f t="shared" si="1"/>
        <v>39009_4</v>
      </c>
      <c r="D37" s="18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7">
        <v>36</v>
      </c>
      <c r="F37" s="57" t="s">
        <v>275</v>
      </c>
      <c r="G37" s="112">
        <v>338</v>
      </c>
      <c r="H37" s="57">
        <v>1</v>
      </c>
      <c r="I37" s="57">
        <v>1</v>
      </c>
      <c r="J37" s="57">
        <v>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56</v>
      </c>
      <c r="Q37" s="57" t="s">
        <v>170</v>
      </c>
      <c r="R37" s="57" t="s">
        <v>171</v>
      </c>
    </row>
    <row r="38" spans="1:18" x14ac:dyDescent="0.15">
      <c r="A38" s="57">
        <v>39009</v>
      </c>
      <c r="B38" s="57">
        <v>4</v>
      </c>
      <c r="C38" s="71" t="str">
        <f t="shared" si="1"/>
        <v>39009_4</v>
      </c>
      <c r="D38" s="18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7">
        <v>37</v>
      </c>
      <c r="F38" s="57" t="s">
        <v>275</v>
      </c>
      <c r="G38" s="112">
        <v>121</v>
      </c>
      <c r="H38" s="57">
        <v>1</v>
      </c>
      <c r="I38" s="57">
        <v>1</v>
      </c>
      <c r="J38" s="57">
        <v>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50</v>
      </c>
      <c r="Q38" s="57" t="s">
        <v>170</v>
      </c>
      <c r="R38" s="57" t="s">
        <v>171</v>
      </c>
    </row>
    <row r="39" spans="1:18" x14ac:dyDescent="0.15">
      <c r="A39" s="57">
        <v>39009</v>
      </c>
      <c r="B39" s="57">
        <v>4</v>
      </c>
      <c r="C39" s="71" t="str">
        <f t="shared" si="1"/>
        <v>39009_4</v>
      </c>
      <c r="D39" s="18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7">
        <v>38</v>
      </c>
      <c r="F39" s="57" t="s">
        <v>275</v>
      </c>
      <c r="G39" s="112">
        <v>122</v>
      </c>
      <c r="H39" s="57">
        <v>1</v>
      </c>
      <c r="I39" s="57">
        <v>1</v>
      </c>
      <c r="J39" s="57">
        <v>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50</v>
      </c>
      <c r="Q39" s="57" t="s">
        <v>170</v>
      </c>
      <c r="R39" s="57" t="s">
        <v>171</v>
      </c>
    </row>
    <row r="40" spans="1:18" x14ac:dyDescent="0.15">
      <c r="A40" s="57">
        <v>39009</v>
      </c>
      <c r="B40" s="57">
        <v>4</v>
      </c>
      <c r="C40" s="71" t="str">
        <f t="shared" si="1"/>
        <v>39009_4</v>
      </c>
      <c r="D40" s="18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7">
        <v>39</v>
      </c>
      <c r="F40" s="57" t="s">
        <v>275</v>
      </c>
      <c r="G40" s="112">
        <v>123</v>
      </c>
      <c r="H40" s="57">
        <v>1</v>
      </c>
      <c r="I40" s="57">
        <v>1</v>
      </c>
      <c r="J40" s="57">
        <v>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50</v>
      </c>
      <c r="Q40" s="57" t="s">
        <v>170</v>
      </c>
      <c r="R40" s="57" t="s">
        <v>171</v>
      </c>
    </row>
    <row r="41" spans="1:18" x14ac:dyDescent="0.15">
      <c r="A41" s="57">
        <v>39009</v>
      </c>
      <c r="B41" s="57">
        <v>4</v>
      </c>
      <c r="C41" s="71" t="str">
        <f t="shared" si="1"/>
        <v>39009_4</v>
      </c>
      <c r="D41" s="18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7">
        <v>40</v>
      </c>
      <c r="F41" s="57" t="s">
        <v>275</v>
      </c>
      <c r="G41" s="112">
        <v>125</v>
      </c>
      <c r="H41" s="57">
        <v>1</v>
      </c>
      <c r="I41" s="57">
        <v>1</v>
      </c>
      <c r="J41" s="57">
        <v>1</v>
      </c>
      <c r="K41" s="57">
        <v>0</v>
      </c>
      <c r="L41" s="57">
        <v>0</v>
      </c>
      <c r="M41" s="57">
        <v>0</v>
      </c>
      <c r="N41" s="57">
        <v>0</v>
      </c>
      <c r="O41" s="57">
        <v>1</v>
      </c>
      <c r="P41" s="57">
        <v>10</v>
      </c>
      <c r="Q41" s="57" t="s">
        <v>170</v>
      </c>
      <c r="R41" s="57" t="s">
        <v>171</v>
      </c>
    </row>
    <row r="42" spans="1:18" x14ac:dyDescent="0.15">
      <c r="A42" s="57">
        <v>39009</v>
      </c>
      <c r="B42" s="57">
        <v>4</v>
      </c>
      <c r="C42" s="71" t="str">
        <f t="shared" si="1"/>
        <v>39009_4</v>
      </c>
      <c r="D42" s="18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7">
        <v>41</v>
      </c>
      <c r="F42" s="57" t="s">
        <v>275</v>
      </c>
      <c r="G42" s="112">
        <v>1297</v>
      </c>
      <c r="H42" s="57">
        <v>1</v>
      </c>
      <c r="I42" s="57">
        <v>1</v>
      </c>
      <c r="J42" s="57">
        <v>1</v>
      </c>
      <c r="K42" s="57">
        <v>0</v>
      </c>
      <c r="L42" s="57">
        <v>0</v>
      </c>
      <c r="M42" s="57">
        <v>0</v>
      </c>
      <c r="N42" s="57">
        <v>0</v>
      </c>
      <c r="O42" s="57">
        <v>1</v>
      </c>
      <c r="P42" s="57">
        <v>250</v>
      </c>
      <c r="Q42" s="57" t="s">
        <v>170</v>
      </c>
      <c r="R42" s="57" t="s">
        <v>171</v>
      </c>
    </row>
    <row r="43" spans="1:18" ht="16" thickBot="1" x14ac:dyDescent="0.2">
      <c r="A43" s="102">
        <v>39009</v>
      </c>
      <c r="B43" s="102">
        <v>4</v>
      </c>
      <c r="C43" s="103" t="str">
        <f t="shared" si="1"/>
        <v>39009_4</v>
      </c>
      <c r="D43" s="104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57">
        <v>42</v>
      </c>
      <c r="F43" s="102" t="s">
        <v>275</v>
      </c>
      <c r="G43" s="113">
        <v>350</v>
      </c>
      <c r="H43" s="102">
        <v>1</v>
      </c>
      <c r="I43" s="102">
        <v>10</v>
      </c>
      <c r="J43" s="102">
        <v>1</v>
      </c>
      <c r="K43" s="102">
        <v>0</v>
      </c>
      <c r="L43" s="102">
        <v>0</v>
      </c>
      <c r="M43" s="102">
        <v>0</v>
      </c>
      <c r="N43" s="102">
        <v>0</v>
      </c>
      <c r="O43" s="102">
        <v>1</v>
      </c>
      <c r="P43" s="102">
        <v>150</v>
      </c>
      <c r="Q43" s="102" t="s">
        <v>170</v>
      </c>
      <c r="R43" s="102" t="s">
        <v>171</v>
      </c>
    </row>
    <row r="44" spans="1:18" ht="16" thickTop="1" x14ac:dyDescent="0.15">
      <c r="A44" s="105">
        <v>39009</v>
      </c>
      <c r="B44" s="105">
        <v>5</v>
      </c>
      <c r="C44" s="106" t="str">
        <f t="shared" ref="C44:C56" si="2">A44&amp; "_"&amp;B44</f>
        <v>39009_5</v>
      </c>
      <c r="D44" s="107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57">
        <v>43</v>
      </c>
      <c r="F44" s="105" t="s">
        <v>169</v>
      </c>
      <c r="G44" s="111">
        <v>30000</v>
      </c>
      <c r="H44" s="105" t="s">
        <v>273</v>
      </c>
      <c r="I44" s="105">
        <v>1</v>
      </c>
      <c r="J44" s="105">
        <v>1</v>
      </c>
      <c r="K44" s="105">
        <v>0</v>
      </c>
      <c r="L44" s="105">
        <v>0</v>
      </c>
      <c r="M44" s="105">
        <v>0</v>
      </c>
      <c r="N44" s="105">
        <v>0</v>
      </c>
      <c r="O44" s="105">
        <v>1</v>
      </c>
      <c r="P44" s="105">
        <v>190</v>
      </c>
      <c r="Q44" s="105" t="s">
        <v>170</v>
      </c>
      <c r="R44" s="105" t="s">
        <v>171</v>
      </c>
    </row>
    <row r="45" spans="1:18" x14ac:dyDescent="0.15">
      <c r="A45" s="57">
        <v>39009</v>
      </c>
      <c r="B45" s="57">
        <v>5</v>
      </c>
      <c r="C45" s="71" t="str">
        <f t="shared" si="2"/>
        <v>39009_5</v>
      </c>
      <c r="D45" s="18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57">
        <v>44</v>
      </c>
      <c r="F45" s="57" t="s">
        <v>274</v>
      </c>
      <c r="G45" s="112">
        <v>25</v>
      </c>
      <c r="H45" s="57" t="s">
        <v>273</v>
      </c>
      <c r="I45" s="57">
        <v>1</v>
      </c>
      <c r="J45" s="57">
        <v>1</v>
      </c>
      <c r="K45" s="57">
        <v>0</v>
      </c>
      <c r="L45" s="57">
        <v>0</v>
      </c>
      <c r="M45" s="57">
        <v>0</v>
      </c>
      <c r="N45" s="57">
        <v>0</v>
      </c>
      <c r="O45" s="57">
        <v>1</v>
      </c>
      <c r="P45" s="57">
        <v>20</v>
      </c>
      <c r="Q45" s="57" t="s">
        <v>170</v>
      </c>
      <c r="R45" s="57" t="s">
        <v>171</v>
      </c>
    </row>
    <row r="46" spans="1:18" x14ac:dyDescent="0.15">
      <c r="A46" s="57">
        <v>39009</v>
      </c>
      <c r="B46" s="57">
        <v>5</v>
      </c>
      <c r="C46" s="71" t="str">
        <f t="shared" si="2"/>
        <v>39009_5</v>
      </c>
      <c r="D46" s="18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57">
        <v>45</v>
      </c>
      <c r="F46" s="57" t="s">
        <v>275</v>
      </c>
      <c r="G46" s="112">
        <v>337</v>
      </c>
      <c r="H46" s="57">
        <v>1</v>
      </c>
      <c r="I46" s="57">
        <v>1</v>
      </c>
      <c r="J46" s="57">
        <v>1</v>
      </c>
      <c r="K46" s="57">
        <v>0</v>
      </c>
      <c r="L46" s="57">
        <v>0</v>
      </c>
      <c r="M46" s="57">
        <v>0</v>
      </c>
      <c r="N46" s="57">
        <v>0</v>
      </c>
      <c r="O46" s="57">
        <v>1</v>
      </c>
      <c r="P46" s="57">
        <v>70</v>
      </c>
      <c r="Q46" s="57" t="s">
        <v>170</v>
      </c>
      <c r="R46" s="57" t="s">
        <v>171</v>
      </c>
    </row>
    <row r="47" spans="1:18" x14ac:dyDescent="0.15">
      <c r="A47" s="57">
        <v>39009</v>
      </c>
      <c r="B47" s="57">
        <v>5</v>
      </c>
      <c r="C47" s="71" t="str">
        <f t="shared" si="2"/>
        <v>39009_5</v>
      </c>
      <c r="D47" s="18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57">
        <v>46</v>
      </c>
      <c r="F47" s="57" t="s">
        <v>275</v>
      </c>
      <c r="G47" s="112">
        <v>338</v>
      </c>
      <c r="H47" s="57">
        <v>1</v>
      </c>
      <c r="I47" s="57">
        <v>1</v>
      </c>
      <c r="J47" s="57">
        <v>1</v>
      </c>
      <c r="K47" s="57">
        <v>0</v>
      </c>
      <c r="L47" s="57">
        <v>0</v>
      </c>
      <c r="M47" s="57">
        <v>0</v>
      </c>
      <c r="N47" s="57">
        <v>0</v>
      </c>
      <c r="O47" s="57">
        <v>1</v>
      </c>
      <c r="P47" s="57">
        <v>150</v>
      </c>
      <c r="Q47" s="57" t="s">
        <v>170</v>
      </c>
      <c r="R47" s="57" t="s">
        <v>171</v>
      </c>
    </row>
    <row r="48" spans="1:18" x14ac:dyDescent="0.15">
      <c r="A48" s="57">
        <v>39009</v>
      </c>
      <c r="B48" s="57">
        <v>5</v>
      </c>
      <c r="C48" s="71" t="str">
        <f t="shared" si="2"/>
        <v>39009_5</v>
      </c>
      <c r="D48" s="18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57">
        <v>47</v>
      </c>
      <c r="F48" s="57" t="s">
        <v>275</v>
      </c>
      <c r="G48" s="112">
        <v>121</v>
      </c>
      <c r="H48" s="57">
        <v>1</v>
      </c>
      <c r="I48" s="57">
        <v>1</v>
      </c>
      <c r="J48" s="57">
        <v>1</v>
      </c>
      <c r="K48" s="57">
        <v>0</v>
      </c>
      <c r="L48" s="57">
        <v>0</v>
      </c>
      <c r="M48" s="57">
        <v>0</v>
      </c>
      <c r="N48" s="57">
        <v>0</v>
      </c>
      <c r="O48" s="57">
        <v>1</v>
      </c>
      <c r="P48" s="57">
        <v>40</v>
      </c>
      <c r="Q48" s="57" t="s">
        <v>170</v>
      </c>
      <c r="R48" s="57" t="s">
        <v>171</v>
      </c>
    </row>
    <row r="49" spans="1:18" x14ac:dyDescent="0.15">
      <c r="A49" s="57">
        <v>39009</v>
      </c>
      <c r="B49" s="57">
        <v>5</v>
      </c>
      <c r="C49" s="71" t="str">
        <f t="shared" si="2"/>
        <v>39009_5</v>
      </c>
      <c r="D49" s="18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57">
        <v>48</v>
      </c>
      <c r="F49" s="57" t="s">
        <v>275</v>
      </c>
      <c r="G49" s="112">
        <v>122</v>
      </c>
      <c r="H49" s="57">
        <v>1</v>
      </c>
      <c r="I49" s="57">
        <v>1</v>
      </c>
      <c r="J49" s="57">
        <v>1</v>
      </c>
      <c r="K49" s="57">
        <v>0</v>
      </c>
      <c r="L49" s="57">
        <v>0</v>
      </c>
      <c r="M49" s="57">
        <v>0</v>
      </c>
      <c r="N49" s="57">
        <v>0</v>
      </c>
      <c r="O49" s="57">
        <v>1</v>
      </c>
      <c r="P49" s="57">
        <v>40</v>
      </c>
      <c r="Q49" s="57" t="s">
        <v>170</v>
      </c>
      <c r="R49" s="57" t="s">
        <v>171</v>
      </c>
    </row>
    <row r="50" spans="1:18" x14ac:dyDescent="0.15">
      <c r="A50" s="57">
        <v>39009</v>
      </c>
      <c r="B50" s="57">
        <v>5</v>
      </c>
      <c r="C50" s="71" t="str">
        <f t="shared" si="2"/>
        <v>39009_5</v>
      </c>
      <c r="D50" s="18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57">
        <v>49</v>
      </c>
      <c r="F50" s="57" t="s">
        <v>275</v>
      </c>
      <c r="G50" s="112">
        <v>123</v>
      </c>
      <c r="H50" s="57">
        <v>1</v>
      </c>
      <c r="I50" s="57">
        <v>1</v>
      </c>
      <c r="J50" s="57">
        <v>1</v>
      </c>
      <c r="K50" s="57">
        <v>0</v>
      </c>
      <c r="L50" s="57">
        <v>0</v>
      </c>
      <c r="M50" s="57">
        <v>0</v>
      </c>
      <c r="N50" s="57">
        <v>0</v>
      </c>
      <c r="O50" s="57">
        <v>1</v>
      </c>
      <c r="P50" s="57">
        <v>40</v>
      </c>
      <c r="Q50" s="57" t="s">
        <v>170</v>
      </c>
      <c r="R50" s="57" t="s">
        <v>171</v>
      </c>
    </row>
    <row r="51" spans="1:18" x14ac:dyDescent="0.15">
      <c r="A51" s="57">
        <v>39009</v>
      </c>
      <c r="B51" s="57">
        <v>5</v>
      </c>
      <c r="C51" s="71" t="str">
        <f t="shared" si="2"/>
        <v>39009_5</v>
      </c>
      <c r="D51" s="18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57">
        <v>50</v>
      </c>
      <c r="F51" s="57" t="s">
        <v>275</v>
      </c>
      <c r="G51" s="112">
        <v>607</v>
      </c>
      <c r="H51" s="57">
        <v>1</v>
      </c>
      <c r="I51" s="57">
        <v>1</v>
      </c>
      <c r="J51" s="57">
        <v>1</v>
      </c>
      <c r="K51" s="57">
        <v>0</v>
      </c>
      <c r="L51" s="57">
        <v>0</v>
      </c>
      <c r="M51" s="57">
        <v>0</v>
      </c>
      <c r="N51" s="57">
        <v>0</v>
      </c>
      <c r="O51" s="57">
        <v>1</v>
      </c>
      <c r="P51" s="57">
        <v>20</v>
      </c>
      <c r="Q51" s="57" t="s">
        <v>170</v>
      </c>
      <c r="R51" s="57" t="s">
        <v>171</v>
      </c>
    </row>
    <row r="52" spans="1:18" x14ac:dyDescent="0.15">
      <c r="A52" s="57">
        <v>39009</v>
      </c>
      <c r="B52" s="57">
        <v>5</v>
      </c>
      <c r="C52" s="71" t="str">
        <f t="shared" si="2"/>
        <v>39009_5</v>
      </c>
      <c r="D52" s="18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57">
        <v>51</v>
      </c>
      <c r="F52" s="57" t="s">
        <v>275</v>
      </c>
      <c r="G52" s="112">
        <v>608</v>
      </c>
      <c r="H52" s="57">
        <v>1</v>
      </c>
      <c r="I52" s="57">
        <v>1</v>
      </c>
      <c r="J52" s="57">
        <v>1</v>
      </c>
      <c r="K52" s="57">
        <v>0</v>
      </c>
      <c r="L52" s="57">
        <v>0</v>
      </c>
      <c r="M52" s="57">
        <v>0</v>
      </c>
      <c r="N52" s="57">
        <v>0</v>
      </c>
      <c r="O52" s="57">
        <v>1</v>
      </c>
      <c r="P52" s="57">
        <v>20</v>
      </c>
      <c r="Q52" s="57" t="s">
        <v>170</v>
      </c>
      <c r="R52" s="57" t="s">
        <v>171</v>
      </c>
    </row>
    <row r="53" spans="1:18" x14ac:dyDescent="0.15">
      <c r="A53" s="57">
        <v>39009</v>
      </c>
      <c r="B53" s="57">
        <v>5</v>
      </c>
      <c r="C53" s="71" t="str">
        <f t="shared" si="2"/>
        <v>39009_5</v>
      </c>
      <c r="D53" s="18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57">
        <v>52</v>
      </c>
      <c r="F53" s="57" t="s">
        <v>275</v>
      </c>
      <c r="G53" s="112">
        <v>609</v>
      </c>
      <c r="H53" s="57">
        <v>1</v>
      </c>
      <c r="I53" s="57">
        <v>1</v>
      </c>
      <c r="J53" s="57">
        <v>1</v>
      </c>
      <c r="K53" s="57">
        <v>0</v>
      </c>
      <c r="L53" s="57">
        <v>0</v>
      </c>
      <c r="M53" s="57">
        <v>0</v>
      </c>
      <c r="N53" s="57">
        <v>0</v>
      </c>
      <c r="O53" s="57">
        <v>1</v>
      </c>
      <c r="P53" s="57">
        <v>20</v>
      </c>
      <c r="Q53" s="57" t="s">
        <v>170</v>
      </c>
      <c r="R53" s="57" t="s">
        <v>171</v>
      </c>
    </row>
    <row r="54" spans="1:18" x14ac:dyDescent="0.15">
      <c r="A54" s="57">
        <v>39009</v>
      </c>
      <c r="B54" s="57">
        <v>5</v>
      </c>
      <c r="C54" s="71" t="str">
        <f t="shared" si="2"/>
        <v>39009_5</v>
      </c>
      <c r="D54" s="18" t="str">
        <f ca="1">VLOOKUP($C54,OFFSET([2]stages!$A$1,0,0,COUNTA([2]stages!$A:$A),MATCH(D$1,[2]stages!$2:$2,0)-MATCH($C$1,[2]stages!$2:$2,0)+1),MATCH(D$1,[2]stages!$2:$2,0)-MATCH($C$1,[2]stages!$2:$2,0)+1,FALSE)</f>
        <v>everyone</v>
      </c>
      <c r="E54" s="57">
        <v>53</v>
      </c>
      <c r="F54" s="57" t="s">
        <v>275</v>
      </c>
      <c r="G54" s="112">
        <v>125</v>
      </c>
      <c r="H54" s="57">
        <v>1</v>
      </c>
      <c r="I54" s="57">
        <v>1</v>
      </c>
      <c r="J54" s="57">
        <v>1</v>
      </c>
      <c r="K54" s="57">
        <v>0</v>
      </c>
      <c r="L54" s="57">
        <v>0</v>
      </c>
      <c r="M54" s="57">
        <v>0</v>
      </c>
      <c r="N54" s="57">
        <v>0</v>
      </c>
      <c r="O54" s="57">
        <v>1</v>
      </c>
      <c r="P54" s="57">
        <v>20</v>
      </c>
      <c r="Q54" s="57" t="s">
        <v>170</v>
      </c>
      <c r="R54" s="57" t="s">
        <v>171</v>
      </c>
    </row>
    <row r="55" spans="1:18" x14ac:dyDescent="0.15">
      <c r="A55" s="57">
        <v>39009</v>
      </c>
      <c r="B55" s="57">
        <v>5</v>
      </c>
      <c r="C55" s="71" t="str">
        <f t="shared" si="2"/>
        <v>39009_5</v>
      </c>
      <c r="D55" s="18" t="str">
        <f ca="1">VLOOKUP($C55,OFFSET([2]stages!$A$1,0,0,COUNTA([2]stages!$A:$A),MATCH(D$1,[2]stages!$2:$2,0)-MATCH($C$1,[2]stages!$2:$2,0)+1),MATCH(D$1,[2]stages!$2:$2,0)-MATCH($C$1,[2]stages!$2:$2,0)+1,FALSE)</f>
        <v>everyone</v>
      </c>
      <c r="E55" s="57">
        <v>54</v>
      </c>
      <c r="F55" s="57" t="s">
        <v>275</v>
      </c>
      <c r="G55" s="112">
        <v>1297</v>
      </c>
      <c r="H55" s="57">
        <v>1</v>
      </c>
      <c r="I55" s="57">
        <v>1</v>
      </c>
      <c r="J55" s="57">
        <v>1</v>
      </c>
      <c r="K55" s="57">
        <v>0</v>
      </c>
      <c r="L55" s="57">
        <v>0</v>
      </c>
      <c r="M55" s="57">
        <v>0</v>
      </c>
      <c r="N55" s="57">
        <v>0</v>
      </c>
      <c r="O55" s="57">
        <v>1</v>
      </c>
      <c r="P55" s="57">
        <v>330</v>
      </c>
      <c r="Q55" s="57" t="s">
        <v>170</v>
      </c>
      <c r="R55" s="57" t="s">
        <v>171</v>
      </c>
    </row>
    <row r="56" spans="1:18" ht="16" thickBot="1" x14ac:dyDescent="0.2">
      <c r="A56" s="102">
        <v>39009</v>
      </c>
      <c r="B56" s="102">
        <v>5</v>
      </c>
      <c r="C56" s="103" t="str">
        <f t="shared" si="2"/>
        <v>39009_5</v>
      </c>
      <c r="D56" s="104" t="str">
        <f ca="1">VLOOKUP($C56,OFFSET([2]stages!$A$1,0,0,COUNTA([2]stages!$A:$A),MATCH(D$1,[2]stages!$2:$2,0)-MATCH($C$1,[2]stages!$2:$2,0)+1),MATCH(D$1,[2]stages!$2:$2,0)-MATCH($C$1,[2]stages!$2:$2,0)+1,FALSE)</f>
        <v>everyone</v>
      </c>
      <c r="E56" s="57">
        <v>55</v>
      </c>
      <c r="F56" s="102" t="s">
        <v>275</v>
      </c>
      <c r="G56" s="113">
        <v>350</v>
      </c>
      <c r="H56" s="102">
        <v>1</v>
      </c>
      <c r="I56" s="102">
        <v>10</v>
      </c>
      <c r="J56" s="102">
        <v>1</v>
      </c>
      <c r="K56" s="102">
        <v>0</v>
      </c>
      <c r="L56" s="102">
        <v>0</v>
      </c>
      <c r="M56" s="102">
        <v>0</v>
      </c>
      <c r="N56" s="102">
        <v>0</v>
      </c>
      <c r="O56" s="102">
        <v>1</v>
      </c>
      <c r="P56" s="102">
        <v>40</v>
      </c>
      <c r="Q56" s="102" t="s">
        <v>170</v>
      </c>
      <c r="R56" s="102" t="s">
        <v>171</v>
      </c>
    </row>
    <row r="57" spans="1:18" ht="16" thickTop="1" x14ac:dyDescent="0.15"/>
  </sheetData>
  <phoneticPr fontId="5"/>
  <dataValidations count="1">
    <dataValidation type="list" allowBlank="1" showInputMessage="1" showErrorMessage="1" sqref="F2 F12 F44:F5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15" sqref="J1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0" t="s">
        <v>196</v>
      </c>
      <c r="J1" s="79" t="s">
        <v>127</v>
      </c>
      <c r="K1" s="78" t="s">
        <v>187</v>
      </c>
      <c r="L1" s="91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1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8" t="s">
        <v>195</v>
      </c>
      <c r="J1" s="90" t="s">
        <v>196</v>
      </c>
      <c r="K1" s="79" t="s">
        <v>127</v>
      </c>
      <c r="L1" s="78" t="s">
        <v>187</v>
      </c>
      <c r="M1" s="91" t="s">
        <v>186</v>
      </c>
      <c r="N1" s="80" t="s">
        <v>197</v>
      </c>
    </row>
    <row r="2" spans="1:14" ht="42" x14ac:dyDescent="0.15">
      <c r="A2" s="81" t="s">
        <v>202</v>
      </c>
      <c r="B2" s="82">
        <v>39009</v>
      </c>
      <c r="C2" s="83" t="str">
        <f ca="1">VLOOKUP($B2,OFFSET([2]quests!$A$1,0,0,COUNTA([2]quests!$A:$A),MATCH(C$1,[2]quests!$1:$1,0)-MATCH($B$1,[2]quests!$1:$1,0)+1),MATCH(C$1,[2]quests!$1:$1,0)-MATCH($B$1,[2]quests!$1:$1,0)+1,FALSE)</f>
        <v>星空の歌姫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14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【初級】星空の歌姫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4">
        <v>0</v>
      </c>
      <c r="I2" s="89">
        <f t="shared" ref="I2:I4" si="0">ROW()-1</f>
        <v>1</v>
      </c>
      <c r="J2" s="85" t="str">
        <f t="shared" ref="J2:J4" si="1">B2&amp;TEXT(I2,"00")</f>
        <v>3900901</v>
      </c>
      <c r="K2" s="84" t="s">
        <v>199</v>
      </c>
      <c r="L2" s="86" t="s">
        <v>364</v>
      </c>
      <c r="M2" s="151" t="s">
        <v>365</v>
      </c>
      <c r="N2" s="57" t="s">
        <v>201</v>
      </c>
    </row>
    <row r="3" spans="1:14" ht="56" x14ac:dyDescent="0.15">
      <c r="A3" s="81" t="s">
        <v>202</v>
      </c>
      <c r="B3" s="82">
        <v>39009</v>
      </c>
      <c r="C3" s="83" t="str">
        <f ca="1">VLOOKUP($B3,OFFSET([2]quests!$A$1,0,0,COUNTA([2]quests!$A:$A),MATCH(C$1,[2]quests!$1:$1,0)-MATCH($B$1,[2]quests!$1:$1,0)+1),MATCH(C$1,[2]quests!$1:$1,0)-MATCH($B$1,[2]quests!$1:$1,0)+1,FALSE)</f>
        <v>星空の歌姫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14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【初級】星空の歌姫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4">
        <v>0</v>
      </c>
      <c r="I3" s="89">
        <f t="shared" si="0"/>
        <v>2</v>
      </c>
      <c r="J3" s="85" t="str">
        <f t="shared" si="1"/>
        <v>3900902</v>
      </c>
      <c r="K3" s="84" t="s">
        <v>199</v>
      </c>
      <c r="L3" s="86" t="s">
        <v>363</v>
      </c>
      <c r="M3" s="151" t="s">
        <v>486</v>
      </c>
      <c r="N3" s="57" t="s">
        <v>201</v>
      </c>
    </row>
    <row r="4" spans="1:14" ht="42" x14ac:dyDescent="0.15">
      <c r="A4" s="81" t="s">
        <v>202</v>
      </c>
      <c r="B4" s="82">
        <v>39009</v>
      </c>
      <c r="C4" s="83" t="str">
        <f ca="1">VLOOKUP($B4,OFFSET([2]quests!$A$1,0,0,COUNTA([2]quests!$A:$A),MATCH(C$1,[2]quests!$1:$1,0)-MATCH($B$1,[2]quests!$1:$1,0)+1),MATCH(C$1,[2]quests!$1:$1,0)-MATCH($B$1,[2]quests!$1:$1,0)+1,FALSE)</f>
        <v>星空の歌姫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14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【初級】星空の歌姫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4">
        <v>0</v>
      </c>
      <c r="I4" s="89">
        <f t="shared" si="0"/>
        <v>3</v>
      </c>
      <c r="J4" s="85" t="str">
        <f t="shared" si="1"/>
        <v>3900903</v>
      </c>
      <c r="K4" s="84" t="s">
        <v>199</v>
      </c>
      <c r="L4" s="86" t="s">
        <v>366</v>
      </c>
      <c r="M4" s="151" t="s">
        <v>367</v>
      </c>
      <c r="N4" s="57" t="s">
        <v>201</v>
      </c>
    </row>
    <row r="5" spans="1:14" ht="56" x14ac:dyDescent="0.15">
      <c r="A5" s="149" t="s">
        <v>198</v>
      </c>
      <c r="B5" s="150">
        <v>39009</v>
      </c>
      <c r="C5" s="83" t="str">
        <f ca="1">VLOOKUP($B5,OFFSET([2]quests!$A$1,0,0,COUNTA([2]quests!$A:$A),MATCH(C$1,[2]quests!$1:$1,0)-MATCH($B$1,[2]quests!$1:$1,0)+1),MATCH(C$1,[2]quests!$1:$1,0)-MATCH($B$1,[2]quests!$1:$1,0)+1,FALSE)</f>
        <v>星空の歌姫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14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【初級】星空の歌姫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4">
        <v>1</v>
      </c>
      <c r="I5" s="89">
        <f>ROW()-1</f>
        <v>4</v>
      </c>
      <c r="J5" s="85" t="str">
        <f>B5&amp;TEXT(I5,"00")</f>
        <v>3900904</v>
      </c>
      <c r="K5" s="84" t="s">
        <v>199</v>
      </c>
      <c r="L5" s="86" t="s">
        <v>200</v>
      </c>
      <c r="M5" s="146" t="s">
        <v>484</v>
      </c>
      <c r="N5" s="57" t="s">
        <v>201</v>
      </c>
    </row>
    <row r="6" spans="1:14" ht="56" x14ac:dyDescent="0.15">
      <c r="A6" s="149" t="s">
        <v>198</v>
      </c>
      <c r="B6" s="150">
        <v>39009</v>
      </c>
      <c r="C6" s="83" t="str">
        <f ca="1">VLOOKUP($B6,OFFSET([2]quests!$A$1,0,0,COUNTA([2]quests!$A:$A),MATCH(C$1,[2]quests!$1:$1,0)-MATCH($B$1,[2]quests!$1:$1,0)+1),MATCH(C$1,[2]quests!$1:$1,0)-MATCH($B$1,[2]quests!$1:$1,0)+1,FALSE)</f>
        <v>星空の歌姫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14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【初級】星空の歌姫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2">
        <v>2</v>
      </c>
      <c r="I6" s="89">
        <f t="shared" ref="I6:I51" si="2">ROW()-1</f>
        <v>5</v>
      </c>
      <c r="J6" s="85" t="str">
        <f t="shared" ref="J6:J14" si="3">B6&amp;TEXT(I6,"00")</f>
        <v>3900905</v>
      </c>
      <c r="K6" s="84" t="s">
        <v>199</v>
      </c>
      <c r="L6" s="86" t="s">
        <v>200</v>
      </c>
      <c r="M6" s="146" t="s">
        <v>343</v>
      </c>
      <c r="N6" s="57" t="s">
        <v>201</v>
      </c>
    </row>
    <row r="7" spans="1:14" ht="56" x14ac:dyDescent="0.15">
      <c r="A7" s="149" t="s">
        <v>198</v>
      </c>
      <c r="B7" s="150">
        <v>39009</v>
      </c>
      <c r="C7" s="83" t="str">
        <f ca="1">VLOOKUP($B7,OFFSET([2]quests!$A$1,0,0,COUNTA([2]quests!$A:$A),MATCH(C$1,[2]quests!$1:$1,0)-MATCH($B$1,[2]quests!$1:$1,0)+1),MATCH(C$1,[2]quests!$1:$1,0)-MATCH($B$1,[2]quests!$1:$1,0)+1,FALSE)</f>
        <v>星空の歌姫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14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【初級】星空の歌姫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4">
        <v>2</v>
      </c>
      <c r="I7" s="89">
        <f t="shared" si="2"/>
        <v>6</v>
      </c>
      <c r="J7" s="85" t="str">
        <f t="shared" si="3"/>
        <v>3900906</v>
      </c>
      <c r="K7" s="84" t="s">
        <v>199</v>
      </c>
      <c r="L7" s="86" t="s">
        <v>200</v>
      </c>
      <c r="M7" s="146" t="s">
        <v>344</v>
      </c>
      <c r="N7" s="57" t="s">
        <v>201</v>
      </c>
    </row>
    <row r="8" spans="1:14" ht="56" x14ac:dyDescent="0.15">
      <c r="A8" s="149" t="s">
        <v>198</v>
      </c>
      <c r="B8" s="150">
        <v>39009</v>
      </c>
      <c r="C8" s="83" t="str">
        <f ca="1">VLOOKUP($B8,OFFSET([2]quests!$A$1,0,0,COUNTA([2]quests!$A:$A),MATCH(C$1,[2]quests!$1:$1,0)-MATCH($B$1,[2]quests!$1:$1,0)+1),MATCH(C$1,[2]quests!$1:$1,0)-MATCH($B$1,[2]quests!$1:$1,0)+1,FALSE)</f>
        <v>星空の歌姫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14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【初級】星空の歌姫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4">
        <v>3</v>
      </c>
      <c r="I8" s="89">
        <f t="shared" si="2"/>
        <v>7</v>
      </c>
      <c r="J8" s="85" t="str">
        <f t="shared" si="3"/>
        <v>3900907</v>
      </c>
      <c r="K8" s="84" t="s">
        <v>199</v>
      </c>
      <c r="L8" s="86" t="s">
        <v>200</v>
      </c>
      <c r="M8" s="146" t="s">
        <v>485</v>
      </c>
      <c r="N8" s="57" t="s">
        <v>201</v>
      </c>
    </row>
    <row r="9" spans="1:14" ht="42" x14ac:dyDescent="0.15">
      <c r="A9" s="149" t="s">
        <v>198</v>
      </c>
      <c r="B9" s="150">
        <v>39009</v>
      </c>
      <c r="C9" s="83" t="str">
        <f ca="1">VLOOKUP($B9,OFFSET([2]quests!$A$1,0,0,COUNTA([2]quests!$A:$A),MATCH(C$1,[2]quests!$1:$1,0)-MATCH($B$1,[2]quests!$1:$1,0)+1),MATCH(C$1,[2]quests!$1:$1,0)-MATCH($B$1,[2]quests!$1:$1,0)+1,FALSE)</f>
        <v>星空の歌姫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14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【初級】星空の歌姫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4">
        <v>4</v>
      </c>
      <c r="I9" s="89">
        <f t="shared" si="2"/>
        <v>8</v>
      </c>
      <c r="J9" s="85" t="str">
        <f t="shared" si="3"/>
        <v>3900908</v>
      </c>
      <c r="K9" s="84" t="s">
        <v>199</v>
      </c>
      <c r="L9" s="86" t="s">
        <v>200</v>
      </c>
      <c r="M9" s="146" t="s">
        <v>345</v>
      </c>
      <c r="N9" s="57" t="s">
        <v>201</v>
      </c>
    </row>
    <row r="10" spans="1:14" ht="56" x14ac:dyDescent="0.15">
      <c r="A10" s="149" t="s">
        <v>198</v>
      </c>
      <c r="B10" s="150">
        <v>39009</v>
      </c>
      <c r="C10" s="83" t="str">
        <f ca="1">VLOOKUP($B10,OFFSET([2]quests!$A$1,0,0,COUNTA([2]quests!$A:$A),MATCH(C$1,[2]quests!$1:$1,0)-MATCH($B$1,[2]quests!$1:$1,0)+1),MATCH(C$1,[2]quests!$1:$1,0)-MATCH($B$1,[2]quests!$1:$1,0)+1,FALSE)</f>
        <v>星空の歌姫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14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【初級】星空の歌姫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4">
        <v>4</v>
      </c>
      <c r="I10" s="89">
        <f t="shared" si="2"/>
        <v>9</v>
      </c>
      <c r="J10" s="85" t="str">
        <f t="shared" si="3"/>
        <v>3900909</v>
      </c>
      <c r="K10" s="84" t="s">
        <v>199</v>
      </c>
      <c r="L10" s="86" t="s">
        <v>200</v>
      </c>
      <c r="M10" s="146" t="s">
        <v>346</v>
      </c>
      <c r="N10" s="57" t="s">
        <v>201</v>
      </c>
    </row>
    <row r="11" spans="1:14" ht="56" x14ac:dyDescent="0.15">
      <c r="A11" s="149" t="s">
        <v>198</v>
      </c>
      <c r="B11" s="150">
        <v>39009</v>
      </c>
      <c r="C11" s="83" t="str">
        <f ca="1">VLOOKUP($B11,OFFSET([2]quests!$A$1,0,0,COUNTA([2]quests!$A:$A),MATCH(C$1,[2]quests!$1:$1,0)-MATCH($B$1,[2]quests!$1:$1,0)+1),MATCH(C$1,[2]quests!$1:$1,0)-MATCH($B$1,[2]quests!$1:$1,0)+1,FALSE)</f>
        <v>星空の歌姫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14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【初級】星空の歌姫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4">
        <v>4</v>
      </c>
      <c r="I11" s="89">
        <f t="shared" si="2"/>
        <v>10</v>
      </c>
      <c r="J11" s="85" t="str">
        <f t="shared" si="3"/>
        <v>3900910</v>
      </c>
      <c r="K11" s="84" t="s">
        <v>199</v>
      </c>
      <c r="L11" s="86" t="s">
        <v>200</v>
      </c>
      <c r="M11" s="146" t="s">
        <v>347</v>
      </c>
      <c r="N11" s="57" t="s">
        <v>201</v>
      </c>
    </row>
    <row r="12" spans="1:14" ht="42" x14ac:dyDescent="0.15">
      <c r="A12" s="81" t="s">
        <v>202</v>
      </c>
      <c r="B12" s="82">
        <v>39009</v>
      </c>
      <c r="C12" s="83" t="str">
        <f ca="1">VLOOKUP($B12,OFFSET([2]quests!$A$1,0,0,COUNTA([2]quests!$A:$A),MATCH(C$1,[2]quests!$1:$1,0)-MATCH($B$1,[2]quests!$1:$1,0)+1),MATCH(C$1,[2]quests!$1:$1,0)-MATCH($B$1,[2]quests!$1:$1,0)+1,FALSE)</f>
        <v>星空の歌姫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148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【中級】星空の歌姫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4">
        <v>0</v>
      </c>
      <c r="I12" s="89">
        <f t="shared" si="2"/>
        <v>11</v>
      </c>
      <c r="J12" s="85" t="str">
        <f t="shared" si="3"/>
        <v>3900911</v>
      </c>
      <c r="K12" s="84" t="s">
        <v>199</v>
      </c>
      <c r="L12" s="86" t="s">
        <v>364</v>
      </c>
      <c r="M12" s="151" t="s">
        <v>365</v>
      </c>
      <c r="N12" s="57" t="s">
        <v>201</v>
      </c>
    </row>
    <row r="13" spans="1:14" ht="56" x14ac:dyDescent="0.15">
      <c r="A13" s="81" t="s">
        <v>202</v>
      </c>
      <c r="B13" s="82">
        <v>39009</v>
      </c>
      <c r="C13" s="83" t="str">
        <f ca="1">VLOOKUP($B13,OFFSET([2]quests!$A$1,0,0,COUNTA([2]quests!$A:$A),MATCH(C$1,[2]quests!$1:$1,0)-MATCH($B$1,[2]quests!$1:$1,0)+1),MATCH(C$1,[2]quests!$1:$1,0)-MATCH($B$1,[2]quests!$1:$1,0)+1,FALSE)</f>
        <v>星空の歌姫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148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【中級】星空の歌姫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4">
        <v>0</v>
      </c>
      <c r="I13" s="89">
        <f t="shared" si="2"/>
        <v>12</v>
      </c>
      <c r="J13" s="85" t="str">
        <f t="shared" si="3"/>
        <v>3900912</v>
      </c>
      <c r="K13" s="84" t="s">
        <v>199</v>
      </c>
      <c r="L13" s="86" t="s">
        <v>363</v>
      </c>
      <c r="M13" s="151" t="s">
        <v>486</v>
      </c>
      <c r="N13" s="57" t="s">
        <v>201</v>
      </c>
    </row>
    <row r="14" spans="1:14" ht="42" x14ac:dyDescent="0.15">
      <c r="A14" s="81" t="s">
        <v>202</v>
      </c>
      <c r="B14" s="82">
        <v>39009</v>
      </c>
      <c r="C14" s="83" t="str">
        <f ca="1">VLOOKUP($B14,OFFSET([2]quests!$A$1,0,0,COUNTA([2]quests!$A:$A),MATCH(C$1,[2]quests!$1:$1,0)-MATCH($B$1,[2]quests!$1:$1,0)+1),MATCH(C$1,[2]quests!$1:$1,0)-MATCH($B$1,[2]quests!$1:$1,0)+1,FALSE)</f>
        <v>星空の歌姫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148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【中級】星空の歌姫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4">
        <v>0</v>
      </c>
      <c r="I14" s="89">
        <f t="shared" si="2"/>
        <v>13</v>
      </c>
      <c r="J14" s="85" t="str">
        <f t="shared" si="3"/>
        <v>3900913</v>
      </c>
      <c r="K14" s="84" t="s">
        <v>199</v>
      </c>
      <c r="L14" s="86" t="s">
        <v>366</v>
      </c>
      <c r="M14" s="151" t="s">
        <v>367</v>
      </c>
      <c r="N14" s="57" t="s">
        <v>201</v>
      </c>
    </row>
    <row r="15" spans="1:14" ht="56" x14ac:dyDescent="0.15">
      <c r="A15" s="149" t="s">
        <v>198</v>
      </c>
      <c r="B15" s="150">
        <v>39009</v>
      </c>
      <c r="C15" s="83" t="str">
        <f ca="1">VLOOKUP($B15,OFFSET([2]quests!$A$1,0,0,COUNTA([2]quests!$A:$A),MATCH(C$1,[2]quests!$1:$1,0)-MATCH($B$1,[2]quests!$1:$1,0)+1),MATCH(C$1,[2]quests!$1:$1,0)-MATCH($B$1,[2]quests!$1:$1,0)+1,FALSE)</f>
        <v>星空の歌姫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148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【中級】星空の歌姫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4">
        <v>1</v>
      </c>
      <c r="I15" s="89">
        <f>ROW()-1</f>
        <v>14</v>
      </c>
      <c r="J15" s="85" t="str">
        <f>B15&amp;TEXT(I15,"00")</f>
        <v>3900914</v>
      </c>
      <c r="K15" s="84" t="s">
        <v>199</v>
      </c>
      <c r="L15" s="86" t="s">
        <v>200</v>
      </c>
      <c r="M15" s="146" t="s">
        <v>484</v>
      </c>
      <c r="N15" s="57" t="s">
        <v>201</v>
      </c>
    </row>
    <row r="16" spans="1:14" ht="56" x14ac:dyDescent="0.15">
      <c r="A16" s="149" t="s">
        <v>198</v>
      </c>
      <c r="B16" s="150">
        <v>39009</v>
      </c>
      <c r="C16" s="83" t="str">
        <f ca="1">VLOOKUP($B16,OFFSET([2]quests!$A$1,0,0,COUNTA([2]quests!$A:$A),MATCH(C$1,[2]quests!$1:$1,0)-MATCH($B$1,[2]quests!$1:$1,0)+1),MATCH(C$1,[2]quests!$1:$1,0)-MATCH($B$1,[2]quests!$1:$1,0)+1,FALSE)</f>
        <v>星空の歌姫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148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【中級】星空の歌姫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2">
        <v>2</v>
      </c>
      <c r="I16" s="89">
        <f t="shared" si="2"/>
        <v>15</v>
      </c>
      <c r="J16" s="85" t="str">
        <f t="shared" ref="J16:J24" si="4">B16&amp;TEXT(I16,"00")</f>
        <v>3900915</v>
      </c>
      <c r="K16" s="84" t="s">
        <v>199</v>
      </c>
      <c r="L16" s="86" t="s">
        <v>200</v>
      </c>
      <c r="M16" s="146" t="s">
        <v>343</v>
      </c>
      <c r="N16" s="57" t="s">
        <v>201</v>
      </c>
    </row>
    <row r="17" spans="1:14" ht="56" x14ac:dyDescent="0.15">
      <c r="A17" s="149" t="s">
        <v>198</v>
      </c>
      <c r="B17" s="150">
        <v>39009</v>
      </c>
      <c r="C17" s="83" t="str">
        <f ca="1">VLOOKUP($B17,OFFSET([2]quests!$A$1,0,0,COUNTA([2]quests!$A:$A),MATCH(C$1,[2]quests!$1:$1,0)-MATCH($B$1,[2]quests!$1:$1,0)+1),MATCH(C$1,[2]quests!$1:$1,0)-MATCH($B$1,[2]quests!$1:$1,0)+1,FALSE)</f>
        <v>星空の歌姫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148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【中級】星空の歌姫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4">
        <v>2</v>
      </c>
      <c r="I17" s="89">
        <f t="shared" si="2"/>
        <v>16</v>
      </c>
      <c r="J17" s="85" t="str">
        <f t="shared" si="4"/>
        <v>3900916</v>
      </c>
      <c r="K17" s="84" t="s">
        <v>199</v>
      </c>
      <c r="L17" s="86" t="s">
        <v>200</v>
      </c>
      <c r="M17" s="146" t="s">
        <v>344</v>
      </c>
      <c r="N17" s="57" t="s">
        <v>201</v>
      </c>
    </row>
    <row r="18" spans="1:14" ht="56" x14ac:dyDescent="0.15">
      <c r="A18" s="149" t="s">
        <v>198</v>
      </c>
      <c r="B18" s="150">
        <v>39009</v>
      </c>
      <c r="C18" s="83" t="str">
        <f ca="1">VLOOKUP($B18,OFFSET([2]quests!$A$1,0,0,COUNTA([2]quests!$A:$A),MATCH(C$1,[2]quests!$1:$1,0)-MATCH($B$1,[2]quests!$1:$1,0)+1),MATCH(C$1,[2]quests!$1:$1,0)-MATCH($B$1,[2]quests!$1:$1,0)+1,FALSE)</f>
        <v>星空の歌姫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148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【中級】星空の歌姫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4">
        <v>3</v>
      </c>
      <c r="I18" s="89">
        <f t="shared" si="2"/>
        <v>17</v>
      </c>
      <c r="J18" s="85" t="str">
        <f t="shared" si="4"/>
        <v>3900917</v>
      </c>
      <c r="K18" s="84" t="s">
        <v>199</v>
      </c>
      <c r="L18" s="86" t="s">
        <v>200</v>
      </c>
      <c r="M18" s="146" t="s">
        <v>485</v>
      </c>
      <c r="N18" s="57" t="s">
        <v>201</v>
      </c>
    </row>
    <row r="19" spans="1:14" ht="42" x14ac:dyDescent="0.15">
      <c r="A19" s="149" t="s">
        <v>198</v>
      </c>
      <c r="B19" s="150">
        <v>39009</v>
      </c>
      <c r="C19" s="83" t="str">
        <f ca="1">VLOOKUP($B19,OFFSET([2]quests!$A$1,0,0,COUNTA([2]quests!$A:$A),MATCH(C$1,[2]quests!$1:$1,0)-MATCH($B$1,[2]quests!$1:$1,0)+1),MATCH(C$1,[2]quests!$1:$1,0)-MATCH($B$1,[2]quests!$1:$1,0)+1,FALSE)</f>
        <v>星空の歌姫</v>
      </c>
      <c r="D19" s="83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148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【中級】星空の歌姫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4">
        <v>4</v>
      </c>
      <c r="I19" s="89">
        <f t="shared" si="2"/>
        <v>18</v>
      </c>
      <c r="J19" s="85" t="str">
        <f t="shared" si="4"/>
        <v>3900918</v>
      </c>
      <c r="K19" s="84" t="s">
        <v>199</v>
      </c>
      <c r="L19" s="86" t="s">
        <v>200</v>
      </c>
      <c r="M19" s="146" t="s">
        <v>345</v>
      </c>
      <c r="N19" s="57" t="s">
        <v>201</v>
      </c>
    </row>
    <row r="20" spans="1:14" ht="56" x14ac:dyDescent="0.15">
      <c r="A20" s="149" t="s">
        <v>198</v>
      </c>
      <c r="B20" s="150">
        <v>39009</v>
      </c>
      <c r="C20" s="83" t="str">
        <f ca="1">VLOOKUP($B20,OFFSET([2]quests!$A$1,0,0,COUNTA([2]quests!$A:$A),MATCH(C$1,[2]quests!$1:$1,0)-MATCH($B$1,[2]quests!$1:$1,0)+1),MATCH(C$1,[2]quests!$1:$1,0)-MATCH($B$1,[2]quests!$1:$1,0)+1,FALSE)</f>
        <v>星空の歌姫</v>
      </c>
      <c r="D20" s="83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148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【中級】星空の歌姫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84">
        <v>4</v>
      </c>
      <c r="I20" s="89">
        <f t="shared" si="2"/>
        <v>19</v>
      </c>
      <c r="J20" s="85" t="str">
        <f t="shared" si="4"/>
        <v>3900919</v>
      </c>
      <c r="K20" s="84" t="s">
        <v>199</v>
      </c>
      <c r="L20" s="86" t="s">
        <v>200</v>
      </c>
      <c r="M20" s="146" t="s">
        <v>346</v>
      </c>
      <c r="N20" s="57" t="s">
        <v>201</v>
      </c>
    </row>
    <row r="21" spans="1:14" ht="56" x14ac:dyDescent="0.15">
      <c r="A21" s="149" t="s">
        <v>198</v>
      </c>
      <c r="B21" s="150">
        <v>39009</v>
      </c>
      <c r="C21" s="83" t="str">
        <f ca="1">VLOOKUP($B21,OFFSET([2]quests!$A$1,0,0,COUNTA([2]quests!$A:$A),MATCH(C$1,[2]quests!$1:$1,0)-MATCH($B$1,[2]quests!$1:$1,0)+1),MATCH(C$1,[2]quests!$1:$1,0)-MATCH($B$1,[2]quests!$1:$1,0)+1,FALSE)</f>
        <v>星空の歌姫</v>
      </c>
      <c r="D21" s="83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148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【中級】星空の歌姫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84">
        <v>4</v>
      </c>
      <c r="I21" s="89">
        <f t="shared" si="2"/>
        <v>20</v>
      </c>
      <c r="J21" s="85" t="str">
        <f t="shared" si="4"/>
        <v>3900920</v>
      </c>
      <c r="K21" s="84" t="s">
        <v>199</v>
      </c>
      <c r="L21" s="86" t="s">
        <v>200</v>
      </c>
      <c r="M21" s="146" t="s">
        <v>347</v>
      </c>
      <c r="N21" s="57" t="s">
        <v>201</v>
      </c>
    </row>
    <row r="22" spans="1:14" ht="42" x14ac:dyDescent="0.15">
      <c r="A22" s="81" t="s">
        <v>202</v>
      </c>
      <c r="B22" s="82">
        <v>39009</v>
      </c>
      <c r="C22" s="83" t="str">
        <f ca="1">VLOOKUP($B22,OFFSET([2]quests!$A$1,0,0,COUNTA([2]quests!$A:$A),MATCH(C$1,[2]quests!$1:$1,0)-MATCH($B$1,[2]quests!$1:$1,0)+1),MATCH(C$1,[2]quests!$1:$1,0)-MATCH($B$1,[2]quests!$1:$1,0)+1,FALSE)</f>
        <v>星空の歌姫</v>
      </c>
      <c r="D22" s="83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153">
        <v>3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【上級】星空の歌姫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84">
        <v>0</v>
      </c>
      <c r="I22" s="89">
        <f t="shared" si="2"/>
        <v>21</v>
      </c>
      <c r="J22" s="85" t="str">
        <f t="shared" si="4"/>
        <v>3900921</v>
      </c>
      <c r="K22" s="84" t="s">
        <v>199</v>
      </c>
      <c r="L22" s="86" t="s">
        <v>364</v>
      </c>
      <c r="M22" s="151" t="s">
        <v>365</v>
      </c>
      <c r="N22" s="57" t="s">
        <v>201</v>
      </c>
    </row>
    <row r="23" spans="1:14" ht="56" x14ac:dyDescent="0.15">
      <c r="A23" s="81" t="s">
        <v>202</v>
      </c>
      <c r="B23" s="82">
        <v>39009</v>
      </c>
      <c r="C23" s="83" t="str">
        <f ca="1">VLOOKUP($B23,OFFSET([2]quests!$A$1,0,0,COUNTA([2]quests!$A:$A),MATCH(C$1,[2]quests!$1:$1,0)-MATCH($B$1,[2]quests!$1:$1,0)+1),MATCH(C$1,[2]quests!$1:$1,0)-MATCH($B$1,[2]quests!$1:$1,0)+1,FALSE)</f>
        <v>星空の歌姫</v>
      </c>
      <c r="D23" s="83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153">
        <v>3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【上級】星空の歌姫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84">
        <v>0</v>
      </c>
      <c r="I23" s="89">
        <f t="shared" si="2"/>
        <v>22</v>
      </c>
      <c r="J23" s="85" t="str">
        <f t="shared" si="4"/>
        <v>3900922</v>
      </c>
      <c r="K23" s="84" t="s">
        <v>199</v>
      </c>
      <c r="L23" s="86" t="s">
        <v>363</v>
      </c>
      <c r="M23" s="151" t="s">
        <v>486</v>
      </c>
      <c r="N23" s="57" t="s">
        <v>201</v>
      </c>
    </row>
    <row r="24" spans="1:14" ht="42" x14ac:dyDescent="0.15">
      <c r="A24" s="81" t="s">
        <v>202</v>
      </c>
      <c r="B24" s="82">
        <v>39009</v>
      </c>
      <c r="C24" s="83" t="str">
        <f ca="1">VLOOKUP($B24,OFFSET([2]quests!$A$1,0,0,COUNTA([2]quests!$A:$A),MATCH(C$1,[2]quests!$1:$1,0)-MATCH($B$1,[2]quests!$1:$1,0)+1),MATCH(C$1,[2]quests!$1:$1,0)-MATCH($B$1,[2]quests!$1:$1,0)+1,FALSE)</f>
        <v>星空の歌姫</v>
      </c>
      <c r="D24" s="83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153">
        <v>3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【上級】星空の歌姫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84">
        <v>0</v>
      </c>
      <c r="I24" s="89">
        <f t="shared" si="2"/>
        <v>23</v>
      </c>
      <c r="J24" s="85" t="str">
        <f t="shared" si="4"/>
        <v>3900923</v>
      </c>
      <c r="K24" s="84" t="s">
        <v>199</v>
      </c>
      <c r="L24" s="86" t="s">
        <v>366</v>
      </c>
      <c r="M24" s="151" t="s">
        <v>367</v>
      </c>
      <c r="N24" s="57" t="s">
        <v>201</v>
      </c>
    </row>
    <row r="25" spans="1:14" ht="56" x14ac:dyDescent="0.15">
      <c r="A25" s="149" t="s">
        <v>198</v>
      </c>
      <c r="B25" s="150">
        <v>39009</v>
      </c>
      <c r="C25" s="83" t="str">
        <f ca="1">VLOOKUP($B25,OFFSET([2]quests!$A$1,0,0,COUNTA([2]quests!$A:$A),MATCH(C$1,[2]quests!$1:$1,0)-MATCH($B$1,[2]quests!$1:$1,0)+1),MATCH(C$1,[2]quests!$1:$1,0)-MATCH($B$1,[2]quests!$1:$1,0)+1,FALSE)</f>
        <v>星空の歌姫</v>
      </c>
      <c r="D25" s="83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153">
        <v>3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【上級】星空の歌姫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84">
        <v>1</v>
      </c>
      <c r="I25" s="89">
        <f>ROW()-1</f>
        <v>24</v>
      </c>
      <c r="J25" s="85" t="str">
        <f>B25&amp;TEXT(I25,"00")</f>
        <v>3900924</v>
      </c>
      <c r="K25" s="84" t="s">
        <v>199</v>
      </c>
      <c r="L25" s="86" t="s">
        <v>200</v>
      </c>
      <c r="M25" s="146" t="s">
        <v>484</v>
      </c>
      <c r="N25" s="57" t="s">
        <v>201</v>
      </c>
    </row>
    <row r="26" spans="1:14" ht="56" x14ac:dyDescent="0.15">
      <c r="A26" s="149" t="s">
        <v>198</v>
      </c>
      <c r="B26" s="150">
        <v>39009</v>
      </c>
      <c r="C26" s="83" t="str">
        <f ca="1">VLOOKUP($B26,OFFSET([2]quests!$A$1,0,0,COUNTA([2]quests!$A:$A),MATCH(C$1,[2]quests!$1:$1,0)-MATCH($B$1,[2]quests!$1:$1,0)+1),MATCH(C$1,[2]quests!$1:$1,0)-MATCH($B$1,[2]quests!$1:$1,0)+1,FALSE)</f>
        <v>星空の歌姫</v>
      </c>
      <c r="D26" s="83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153">
        <v>3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【上級】星空の歌姫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82">
        <v>2</v>
      </c>
      <c r="I26" s="89">
        <f t="shared" si="2"/>
        <v>25</v>
      </c>
      <c r="J26" s="85" t="str">
        <f t="shared" ref="J26:J34" si="5">B26&amp;TEXT(I26,"00")</f>
        <v>3900925</v>
      </c>
      <c r="K26" s="84" t="s">
        <v>199</v>
      </c>
      <c r="L26" s="86" t="s">
        <v>200</v>
      </c>
      <c r="M26" s="146" t="s">
        <v>343</v>
      </c>
      <c r="N26" s="57" t="s">
        <v>201</v>
      </c>
    </row>
    <row r="27" spans="1:14" ht="56" x14ac:dyDescent="0.15">
      <c r="A27" s="149" t="s">
        <v>198</v>
      </c>
      <c r="B27" s="150">
        <v>39009</v>
      </c>
      <c r="C27" s="83" t="str">
        <f ca="1">VLOOKUP($B27,OFFSET([2]quests!$A$1,0,0,COUNTA([2]quests!$A:$A),MATCH(C$1,[2]quests!$1:$1,0)-MATCH($B$1,[2]quests!$1:$1,0)+1),MATCH(C$1,[2]quests!$1:$1,0)-MATCH($B$1,[2]quests!$1:$1,0)+1,FALSE)</f>
        <v>星空の歌姫</v>
      </c>
      <c r="D27" s="83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153">
        <v>3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【上級】星空の歌姫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84">
        <v>2</v>
      </c>
      <c r="I27" s="89">
        <f t="shared" si="2"/>
        <v>26</v>
      </c>
      <c r="J27" s="85" t="str">
        <f t="shared" si="5"/>
        <v>3900926</v>
      </c>
      <c r="K27" s="84" t="s">
        <v>199</v>
      </c>
      <c r="L27" s="86" t="s">
        <v>200</v>
      </c>
      <c r="M27" s="146" t="s">
        <v>344</v>
      </c>
      <c r="N27" s="57" t="s">
        <v>201</v>
      </c>
    </row>
    <row r="28" spans="1:14" ht="56" x14ac:dyDescent="0.15">
      <c r="A28" s="149" t="s">
        <v>198</v>
      </c>
      <c r="B28" s="150">
        <v>39009</v>
      </c>
      <c r="C28" s="83" t="str">
        <f ca="1">VLOOKUP($B28,OFFSET([2]quests!$A$1,0,0,COUNTA([2]quests!$A:$A),MATCH(C$1,[2]quests!$1:$1,0)-MATCH($B$1,[2]quests!$1:$1,0)+1),MATCH(C$1,[2]quests!$1:$1,0)-MATCH($B$1,[2]quests!$1:$1,0)+1,FALSE)</f>
        <v>星空の歌姫</v>
      </c>
      <c r="D28" s="83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153">
        <v>3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【上級】星空の歌姫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84">
        <v>3</v>
      </c>
      <c r="I28" s="89">
        <f t="shared" si="2"/>
        <v>27</v>
      </c>
      <c r="J28" s="85" t="str">
        <f t="shared" si="5"/>
        <v>3900927</v>
      </c>
      <c r="K28" s="84" t="s">
        <v>199</v>
      </c>
      <c r="L28" s="86" t="s">
        <v>200</v>
      </c>
      <c r="M28" s="146" t="s">
        <v>485</v>
      </c>
      <c r="N28" s="57" t="s">
        <v>201</v>
      </c>
    </row>
    <row r="29" spans="1:14" ht="42" x14ac:dyDescent="0.15">
      <c r="A29" s="149" t="s">
        <v>198</v>
      </c>
      <c r="B29" s="150">
        <v>39009</v>
      </c>
      <c r="C29" s="83" t="str">
        <f ca="1">VLOOKUP($B29,OFFSET([2]quests!$A$1,0,0,COUNTA([2]quests!$A:$A),MATCH(C$1,[2]quests!$1:$1,0)-MATCH($B$1,[2]quests!$1:$1,0)+1),MATCH(C$1,[2]quests!$1:$1,0)-MATCH($B$1,[2]quests!$1:$1,0)+1,FALSE)</f>
        <v>星空の歌姫</v>
      </c>
      <c r="D29" s="83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153">
        <v>3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【上級】星空の歌姫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84">
        <v>4</v>
      </c>
      <c r="I29" s="89">
        <f t="shared" si="2"/>
        <v>28</v>
      </c>
      <c r="J29" s="85" t="str">
        <f t="shared" si="5"/>
        <v>3900928</v>
      </c>
      <c r="K29" s="84" t="s">
        <v>199</v>
      </c>
      <c r="L29" s="86" t="s">
        <v>200</v>
      </c>
      <c r="M29" s="146" t="s">
        <v>345</v>
      </c>
      <c r="N29" s="57" t="s">
        <v>201</v>
      </c>
    </row>
    <row r="30" spans="1:14" ht="56" x14ac:dyDescent="0.15">
      <c r="A30" s="149" t="s">
        <v>198</v>
      </c>
      <c r="B30" s="150">
        <v>39009</v>
      </c>
      <c r="C30" s="83" t="str">
        <f ca="1">VLOOKUP($B30,OFFSET([2]quests!$A$1,0,0,COUNTA([2]quests!$A:$A),MATCH(C$1,[2]quests!$1:$1,0)-MATCH($B$1,[2]quests!$1:$1,0)+1),MATCH(C$1,[2]quests!$1:$1,0)-MATCH($B$1,[2]quests!$1:$1,0)+1,FALSE)</f>
        <v>星空の歌姫</v>
      </c>
      <c r="D30" s="83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153">
        <v>3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【上級】星空の歌姫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84">
        <v>4</v>
      </c>
      <c r="I30" s="89">
        <f t="shared" si="2"/>
        <v>29</v>
      </c>
      <c r="J30" s="85" t="str">
        <f t="shared" si="5"/>
        <v>3900929</v>
      </c>
      <c r="K30" s="84" t="s">
        <v>199</v>
      </c>
      <c r="L30" s="86" t="s">
        <v>200</v>
      </c>
      <c r="M30" s="146" t="s">
        <v>346</v>
      </c>
      <c r="N30" s="57" t="s">
        <v>201</v>
      </c>
    </row>
    <row r="31" spans="1:14" ht="56" x14ac:dyDescent="0.15">
      <c r="A31" s="149" t="s">
        <v>198</v>
      </c>
      <c r="B31" s="150">
        <v>39009</v>
      </c>
      <c r="C31" s="83" t="str">
        <f ca="1">VLOOKUP($B31,OFFSET([2]quests!$A$1,0,0,COUNTA([2]quests!$A:$A),MATCH(C$1,[2]quests!$1:$1,0)-MATCH($B$1,[2]quests!$1:$1,0)+1),MATCH(C$1,[2]quests!$1:$1,0)-MATCH($B$1,[2]quests!$1:$1,0)+1,FALSE)</f>
        <v>星空の歌姫</v>
      </c>
      <c r="D31" s="83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153">
        <v>3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【上級】星空の歌姫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84">
        <v>4</v>
      </c>
      <c r="I31" s="89">
        <f t="shared" si="2"/>
        <v>30</v>
      </c>
      <c r="J31" s="85" t="str">
        <f t="shared" si="5"/>
        <v>3900930</v>
      </c>
      <c r="K31" s="84" t="s">
        <v>199</v>
      </c>
      <c r="L31" s="86" t="s">
        <v>200</v>
      </c>
      <c r="M31" s="146" t="s">
        <v>347</v>
      </c>
      <c r="N31" s="57" t="s">
        <v>201</v>
      </c>
    </row>
    <row r="32" spans="1:14" ht="42" x14ac:dyDescent="0.15">
      <c r="A32" s="81" t="s">
        <v>202</v>
      </c>
      <c r="B32" s="82">
        <v>39009</v>
      </c>
      <c r="C32" s="83" t="str">
        <f ca="1">VLOOKUP($B32,OFFSET([2]quests!$A$1,0,0,COUNTA([2]quests!$A:$A),MATCH(C$1,[2]quests!$1:$1,0)-MATCH($B$1,[2]quests!$1:$1,0)+1),MATCH(C$1,[2]quests!$1:$1,0)-MATCH($B$1,[2]quests!$1:$1,0)+1,FALSE)</f>
        <v>星空の歌姫</v>
      </c>
      <c r="D32" s="83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152">
        <v>4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【超級】星空の歌姫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84">
        <v>0</v>
      </c>
      <c r="I32" s="89">
        <f t="shared" si="2"/>
        <v>31</v>
      </c>
      <c r="J32" s="85" t="str">
        <f t="shared" si="5"/>
        <v>3900931</v>
      </c>
      <c r="K32" s="84" t="s">
        <v>199</v>
      </c>
      <c r="L32" s="86" t="s">
        <v>364</v>
      </c>
      <c r="M32" s="151" t="s">
        <v>365</v>
      </c>
      <c r="N32" s="57" t="s">
        <v>201</v>
      </c>
    </row>
    <row r="33" spans="1:14" ht="56" x14ac:dyDescent="0.15">
      <c r="A33" s="81" t="s">
        <v>202</v>
      </c>
      <c r="B33" s="82">
        <v>39009</v>
      </c>
      <c r="C33" s="83" t="str">
        <f ca="1">VLOOKUP($B33,OFFSET([2]quests!$A$1,0,0,COUNTA([2]quests!$A:$A),MATCH(C$1,[2]quests!$1:$1,0)-MATCH($B$1,[2]quests!$1:$1,0)+1),MATCH(C$1,[2]quests!$1:$1,0)-MATCH($B$1,[2]quests!$1:$1,0)+1,FALSE)</f>
        <v>星空の歌姫</v>
      </c>
      <c r="D33" s="83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152">
        <v>4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【超級】星空の歌姫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84">
        <v>0</v>
      </c>
      <c r="I33" s="89">
        <f t="shared" si="2"/>
        <v>32</v>
      </c>
      <c r="J33" s="85" t="str">
        <f t="shared" si="5"/>
        <v>3900932</v>
      </c>
      <c r="K33" s="84" t="s">
        <v>199</v>
      </c>
      <c r="L33" s="86" t="s">
        <v>363</v>
      </c>
      <c r="M33" s="151" t="s">
        <v>486</v>
      </c>
      <c r="N33" s="57" t="s">
        <v>201</v>
      </c>
    </row>
    <row r="34" spans="1:14" ht="42" x14ac:dyDescent="0.15">
      <c r="A34" s="81" t="s">
        <v>202</v>
      </c>
      <c r="B34" s="82">
        <v>39009</v>
      </c>
      <c r="C34" s="83" t="str">
        <f ca="1">VLOOKUP($B34,OFFSET([2]quests!$A$1,0,0,COUNTA([2]quests!$A:$A),MATCH(C$1,[2]quests!$1:$1,0)-MATCH($B$1,[2]quests!$1:$1,0)+1),MATCH(C$1,[2]quests!$1:$1,0)-MATCH($B$1,[2]quests!$1:$1,0)+1,FALSE)</f>
        <v>星空の歌姫</v>
      </c>
      <c r="D34" s="83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152">
        <v>4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【超級】星空の歌姫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84">
        <v>0</v>
      </c>
      <c r="I34" s="89">
        <f t="shared" si="2"/>
        <v>33</v>
      </c>
      <c r="J34" s="85" t="str">
        <f t="shared" si="5"/>
        <v>3900933</v>
      </c>
      <c r="K34" s="84" t="s">
        <v>199</v>
      </c>
      <c r="L34" s="86" t="s">
        <v>366</v>
      </c>
      <c r="M34" s="151" t="s">
        <v>367</v>
      </c>
      <c r="N34" s="57" t="s">
        <v>201</v>
      </c>
    </row>
    <row r="35" spans="1:14" ht="56" x14ac:dyDescent="0.15">
      <c r="A35" s="149" t="s">
        <v>198</v>
      </c>
      <c r="B35" s="150">
        <v>39009</v>
      </c>
      <c r="C35" s="83" t="str">
        <f ca="1">VLOOKUP($B35,OFFSET([2]quests!$A$1,0,0,COUNTA([2]quests!$A:$A),MATCH(C$1,[2]quests!$1:$1,0)-MATCH($B$1,[2]quests!$1:$1,0)+1),MATCH(C$1,[2]quests!$1:$1,0)-MATCH($B$1,[2]quests!$1:$1,0)+1,FALSE)</f>
        <v>星空の歌姫</v>
      </c>
      <c r="D35" s="83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152">
        <v>4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【超級】星空の歌姫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84">
        <v>1</v>
      </c>
      <c r="I35" s="89">
        <f>ROW()-1</f>
        <v>34</v>
      </c>
      <c r="J35" s="85" t="str">
        <f>B35&amp;TEXT(I35,"00")</f>
        <v>3900934</v>
      </c>
      <c r="K35" s="84" t="s">
        <v>199</v>
      </c>
      <c r="L35" s="86" t="s">
        <v>200</v>
      </c>
      <c r="M35" s="146" t="s">
        <v>484</v>
      </c>
      <c r="N35" s="57" t="s">
        <v>201</v>
      </c>
    </row>
    <row r="36" spans="1:14" ht="56" x14ac:dyDescent="0.15">
      <c r="A36" s="149" t="s">
        <v>198</v>
      </c>
      <c r="B36" s="150">
        <v>39009</v>
      </c>
      <c r="C36" s="83" t="str">
        <f ca="1">VLOOKUP($B36,OFFSET([2]quests!$A$1,0,0,COUNTA([2]quests!$A:$A),MATCH(C$1,[2]quests!$1:$1,0)-MATCH($B$1,[2]quests!$1:$1,0)+1),MATCH(C$1,[2]quests!$1:$1,0)-MATCH($B$1,[2]quests!$1:$1,0)+1,FALSE)</f>
        <v>星空の歌姫</v>
      </c>
      <c r="D36" s="83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152">
        <v>4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【超級】星空の歌姫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82">
        <v>2</v>
      </c>
      <c r="I36" s="89">
        <f t="shared" si="2"/>
        <v>35</v>
      </c>
      <c r="J36" s="85" t="str">
        <f t="shared" ref="J36:J41" si="6">B36&amp;TEXT(I36,"00")</f>
        <v>3900935</v>
      </c>
      <c r="K36" s="84" t="s">
        <v>199</v>
      </c>
      <c r="L36" s="86" t="s">
        <v>200</v>
      </c>
      <c r="M36" s="146" t="s">
        <v>343</v>
      </c>
      <c r="N36" s="57" t="s">
        <v>201</v>
      </c>
    </row>
    <row r="37" spans="1:14" ht="56" x14ac:dyDescent="0.15">
      <c r="A37" s="149" t="s">
        <v>198</v>
      </c>
      <c r="B37" s="150">
        <v>39009</v>
      </c>
      <c r="C37" s="83" t="str">
        <f ca="1">VLOOKUP($B37,OFFSET([2]quests!$A$1,0,0,COUNTA([2]quests!$A:$A),MATCH(C$1,[2]quests!$1:$1,0)-MATCH($B$1,[2]quests!$1:$1,0)+1),MATCH(C$1,[2]quests!$1:$1,0)-MATCH($B$1,[2]quests!$1:$1,0)+1,FALSE)</f>
        <v>星空の歌姫</v>
      </c>
      <c r="D37" s="83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152">
        <v>4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【超級】星空の歌姫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84">
        <v>2</v>
      </c>
      <c r="I37" s="89">
        <f t="shared" si="2"/>
        <v>36</v>
      </c>
      <c r="J37" s="85" t="str">
        <f t="shared" si="6"/>
        <v>3900936</v>
      </c>
      <c r="K37" s="84" t="s">
        <v>199</v>
      </c>
      <c r="L37" s="86" t="s">
        <v>200</v>
      </c>
      <c r="M37" s="146" t="s">
        <v>344</v>
      </c>
      <c r="N37" s="57" t="s">
        <v>201</v>
      </c>
    </row>
    <row r="38" spans="1:14" ht="56" x14ac:dyDescent="0.15">
      <c r="A38" s="149" t="s">
        <v>198</v>
      </c>
      <c r="B38" s="150">
        <v>39009</v>
      </c>
      <c r="C38" s="83" t="str">
        <f ca="1">VLOOKUP($B38,OFFSET([2]quests!$A$1,0,0,COUNTA([2]quests!$A:$A),MATCH(C$1,[2]quests!$1:$1,0)-MATCH($B$1,[2]quests!$1:$1,0)+1),MATCH(C$1,[2]quests!$1:$1,0)-MATCH($B$1,[2]quests!$1:$1,0)+1,FALSE)</f>
        <v>星空の歌姫</v>
      </c>
      <c r="D38" s="83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152">
        <v>4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【超級】星空の歌姫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84">
        <v>3</v>
      </c>
      <c r="I38" s="89">
        <f t="shared" si="2"/>
        <v>37</v>
      </c>
      <c r="J38" s="85" t="str">
        <f t="shared" si="6"/>
        <v>3900937</v>
      </c>
      <c r="K38" s="84" t="s">
        <v>199</v>
      </c>
      <c r="L38" s="86" t="s">
        <v>200</v>
      </c>
      <c r="M38" s="146" t="s">
        <v>485</v>
      </c>
      <c r="N38" s="57" t="s">
        <v>201</v>
      </c>
    </row>
    <row r="39" spans="1:14" ht="42" x14ac:dyDescent="0.15">
      <c r="A39" s="149" t="s">
        <v>198</v>
      </c>
      <c r="B39" s="150">
        <v>39009</v>
      </c>
      <c r="C39" s="83" t="str">
        <f ca="1">VLOOKUP($B39,OFFSET([2]quests!$A$1,0,0,COUNTA([2]quests!$A:$A),MATCH(C$1,[2]quests!$1:$1,0)-MATCH($B$1,[2]quests!$1:$1,0)+1),MATCH(C$1,[2]quests!$1:$1,0)-MATCH($B$1,[2]quests!$1:$1,0)+1,FALSE)</f>
        <v>星空の歌姫</v>
      </c>
      <c r="D39" s="83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152">
        <v>4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【超級】星空の歌姫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84">
        <v>4</v>
      </c>
      <c r="I39" s="89">
        <f t="shared" si="2"/>
        <v>38</v>
      </c>
      <c r="J39" s="85" t="str">
        <f t="shared" si="6"/>
        <v>3900938</v>
      </c>
      <c r="K39" s="84" t="s">
        <v>199</v>
      </c>
      <c r="L39" s="86" t="s">
        <v>200</v>
      </c>
      <c r="M39" s="146" t="s">
        <v>345</v>
      </c>
      <c r="N39" s="57" t="s">
        <v>201</v>
      </c>
    </row>
    <row r="40" spans="1:14" ht="56" x14ac:dyDescent="0.15">
      <c r="A40" s="149" t="s">
        <v>198</v>
      </c>
      <c r="B40" s="150">
        <v>39009</v>
      </c>
      <c r="C40" s="83" t="str">
        <f ca="1">VLOOKUP($B40,OFFSET([2]quests!$A$1,0,0,COUNTA([2]quests!$A:$A),MATCH(C$1,[2]quests!$1:$1,0)-MATCH($B$1,[2]quests!$1:$1,0)+1),MATCH(C$1,[2]quests!$1:$1,0)-MATCH($B$1,[2]quests!$1:$1,0)+1,FALSE)</f>
        <v>星空の歌姫</v>
      </c>
      <c r="D40" s="83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152">
        <v>4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【超級】星空の歌姫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84">
        <v>4</v>
      </c>
      <c r="I40" s="89">
        <f t="shared" si="2"/>
        <v>39</v>
      </c>
      <c r="J40" s="85" t="str">
        <f t="shared" si="6"/>
        <v>3900939</v>
      </c>
      <c r="K40" s="84" t="s">
        <v>199</v>
      </c>
      <c r="L40" s="86" t="s">
        <v>200</v>
      </c>
      <c r="M40" s="146" t="s">
        <v>346</v>
      </c>
      <c r="N40" s="57" t="s">
        <v>201</v>
      </c>
    </row>
    <row r="41" spans="1:14" ht="56" x14ac:dyDescent="0.15">
      <c r="A41" s="149" t="s">
        <v>198</v>
      </c>
      <c r="B41" s="150">
        <v>39009</v>
      </c>
      <c r="C41" s="83" t="str">
        <f ca="1">VLOOKUP($B41,OFFSET([2]quests!$A$1,0,0,COUNTA([2]quests!$A:$A),MATCH(C$1,[2]quests!$1:$1,0)-MATCH($B$1,[2]quests!$1:$1,0)+1),MATCH(C$1,[2]quests!$1:$1,0)-MATCH($B$1,[2]quests!$1:$1,0)+1,FALSE)</f>
        <v>星空の歌姫</v>
      </c>
      <c r="D41" s="83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152">
        <v>4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【超級】星空の歌姫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84">
        <v>4</v>
      </c>
      <c r="I41" s="89">
        <f t="shared" si="2"/>
        <v>40</v>
      </c>
      <c r="J41" s="85" t="str">
        <f t="shared" si="6"/>
        <v>3900940</v>
      </c>
      <c r="K41" s="84" t="s">
        <v>199</v>
      </c>
      <c r="L41" s="86" t="s">
        <v>200</v>
      </c>
      <c r="M41" s="146" t="s">
        <v>347</v>
      </c>
      <c r="N41" s="57" t="s">
        <v>201</v>
      </c>
    </row>
    <row r="42" spans="1:14" ht="42" x14ac:dyDescent="0.15">
      <c r="A42" s="81" t="s">
        <v>202</v>
      </c>
      <c r="B42" s="82">
        <v>39009</v>
      </c>
      <c r="C42" s="83" t="str">
        <f ca="1">VLOOKUP($B42,OFFSET([2]quests!$A$1,0,0,COUNTA([2]quests!$A:$A),MATCH(C$1,[2]quests!$1:$1,0)-MATCH($B$1,[2]quests!$1:$1,0)+1),MATCH(C$1,[2]quests!$1:$1,0)-MATCH($B$1,[2]quests!$1:$1,0)+1,FALSE)</f>
        <v>星空の歌姫</v>
      </c>
      <c r="D42" s="83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4">
        <v>5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【超絶級】星空の歌姫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84">
        <v>0</v>
      </c>
      <c r="I42" s="89">
        <f t="shared" si="2"/>
        <v>41</v>
      </c>
      <c r="J42" s="85" t="str">
        <f t="shared" ref="J42" si="7">B42&amp;TEXT(I42,"00")</f>
        <v>3900941</v>
      </c>
      <c r="K42" s="84" t="s">
        <v>199</v>
      </c>
      <c r="L42" s="86" t="s">
        <v>364</v>
      </c>
      <c r="M42" s="151" t="s">
        <v>365</v>
      </c>
      <c r="N42" s="57" t="s">
        <v>201</v>
      </c>
    </row>
    <row r="43" spans="1:14" ht="56" x14ac:dyDescent="0.15">
      <c r="A43" s="81" t="s">
        <v>202</v>
      </c>
      <c r="B43" s="82">
        <v>39009</v>
      </c>
      <c r="C43" s="83" t="str">
        <f ca="1">VLOOKUP($B43,OFFSET([2]quests!$A$1,0,0,COUNTA([2]quests!$A:$A),MATCH(C$1,[2]quests!$1:$1,0)-MATCH($B$1,[2]quests!$1:$1,0)+1),MATCH(C$1,[2]quests!$1:$1,0)-MATCH($B$1,[2]quests!$1:$1,0)+1,FALSE)</f>
        <v>星空の歌姫</v>
      </c>
      <c r="D43" s="83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4">
        <v>5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【超絶級】星空の歌姫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84">
        <v>0</v>
      </c>
      <c r="I43" s="89">
        <f t="shared" si="2"/>
        <v>42</v>
      </c>
      <c r="J43" s="85" t="str">
        <f t="shared" ref="J43:J44" si="8">B43&amp;TEXT(I43,"00")</f>
        <v>3900942</v>
      </c>
      <c r="K43" s="84" t="s">
        <v>199</v>
      </c>
      <c r="L43" s="86" t="s">
        <v>363</v>
      </c>
      <c r="M43" s="151" t="s">
        <v>486</v>
      </c>
      <c r="N43" s="57" t="s">
        <v>201</v>
      </c>
    </row>
    <row r="44" spans="1:14" ht="42" x14ac:dyDescent="0.15">
      <c r="A44" s="81" t="s">
        <v>202</v>
      </c>
      <c r="B44" s="82">
        <v>39009</v>
      </c>
      <c r="C44" s="83" t="str">
        <f ca="1">VLOOKUP($B44,OFFSET([2]quests!$A$1,0,0,COUNTA([2]quests!$A:$A),MATCH(C$1,[2]quests!$1:$1,0)-MATCH($B$1,[2]quests!$1:$1,0)+1),MATCH(C$1,[2]quests!$1:$1,0)-MATCH($B$1,[2]quests!$1:$1,0)+1,FALSE)</f>
        <v>星空の歌姫</v>
      </c>
      <c r="D44" s="83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4">
        <v>5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【超絶級】星空の歌姫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84">
        <v>0</v>
      </c>
      <c r="I44" s="89">
        <f t="shared" si="2"/>
        <v>43</v>
      </c>
      <c r="J44" s="85" t="str">
        <f t="shared" si="8"/>
        <v>3900943</v>
      </c>
      <c r="K44" s="84" t="s">
        <v>199</v>
      </c>
      <c r="L44" s="86" t="s">
        <v>366</v>
      </c>
      <c r="M44" s="151" t="s">
        <v>367</v>
      </c>
      <c r="N44" s="57" t="s">
        <v>201</v>
      </c>
    </row>
    <row r="45" spans="1:14" ht="56" x14ac:dyDescent="0.15">
      <c r="A45" s="149" t="s">
        <v>198</v>
      </c>
      <c r="B45" s="150">
        <v>39009</v>
      </c>
      <c r="C45" s="83" t="str">
        <f ca="1">VLOOKUP($B45,OFFSET([2]quests!$A$1,0,0,COUNTA([2]quests!$A:$A),MATCH(C$1,[2]quests!$1:$1,0)-MATCH($B$1,[2]quests!$1:$1,0)+1),MATCH(C$1,[2]quests!$1:$1,0)-MATCH($B$1,[2]quests!$1:$1,0)+1,FALSE)</f>
        <v>星空の歌姫</v>
      </c>
      <c r="D45" s="83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4">
        <v>5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【超絶級】星空の歌姫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84">
        <v>1</v>
      </c>
      <c r="I45" s="89">
        <f>ROW()-1</f>
        <v>44</v>
      </c>
      <c r="J45" s="85" t="str">
        <f>B45&amp;TEXT(I45,"00")</f>
        <v>3900944</v>
      </c>
      <c r="K45" s="84" t="s">
        <v>199</v>
      </c>
      <c r="L45" s="86" t="s">
        <v>200</v>
      </c>
      <c r="M45" s="146" t="s">
        <v>484</v>
      </c>
      <c r="N45" s="57" t="s">
        <v>201</v>
      </c>
    </row>
    <row r="46" spans="1:14" ht="56" x14ac:dyDescent="0.15">
      <c r="A46" s="149" t="s">
        <v>198</v>
      </c>
      <c r="B46" s="150">
        <v>39009</v>
      </c>
      <c r="C46" s="83" t="str">
        <f ca="1">VLOOKUP($B46,OFFSET([2]quests!$A$1,0,0,COUNTA([2]quests!$A:$A),MATCH(C$1,[2]quests!$1:$1,0)-MATCH($B$1,[2]quests!$1:$1,0)+1),MATCH(C$1,[2]quests!$1:$1,0)-MATCH($B$1,[2]quests!$1:$1,0)+1,FALSE)</f>
        <v>星空の歌姫</v>
      </c>
      <c r="D46" s="83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4">
        <v>5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【超絶級】星空の歌姫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82">
        <v>2</v>
      </c>
      <c r="I46" s="89">
        <f t="shared" si="2"/>
        <v>45</v>
      </c>
      <c r="J46" s="85" t="str">
        <f t="shared" ref="J46:J51" si="9">B46&amp;TEXT(I46,"00")</f>
        <v>3900945</v>
      </c>
      <c r="K46" s="84" t="s">
        <v>199</v>
      </c>
      <c r="L46" s="86" t="s">
        <v>200</v>
      </c>
      <c r="M46" s="146" t="s">
        <v>343</v>
      </c>
      <c r="N46" s="57" t="s">
        <v>201</v>
      </c>
    </row>
    <row r="47" spans="1:14" ht="56" x14ac:dyDescent="0.15">
      <c r="A47" s="149" t="s">
        <v>198</v>
      </c>
      <c r="B47" s="150">
        <v>39009</v>
      </c>
      <c r="C47" s="83" t="str">
        <f ca="1">VLOOKUP($B47,OFFSET([2]quests!$A$1,0,0,COUNTA([2]quests!$A:$A),MATCH(C$1,[2]quests!$1:$1,0)-MATCH($B$1,[2]quests!$1:$1,0)+1),MATCH(C$1,[2]quests!$1:$1,0)-MATCH($B$1,[2]quests!$1:$1,0)+1,FALSE)</f>
        <v>星空の歌姫</v>
      </c>
      <c r="D47" s="83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4">
        <v>5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【超絶級】星空の歌姫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84">
        <v>2</v>
      </c>
      <c r="I47" s="89">
        <f t="shared" si="2"/>
        <v>46</v>
      </c>
      <c r="J47" s="85" t="str">
        <f t="shared" si="9"/>
        <v>3900946</v>
      </c>
      <c r="K47" s="84" t="s">
        <v>199</v>
      </c>
      <c r="L47" s="86" t="s">
        <v>200</v>
      </c>
      <c r="M47" s="146" t="s">
        <v>344</v>
      </c>
      <c r="N47" s="57" t="s">
        <v>201</v>
      </c>
    </row>
    <row r="48" spans="1:14" ht="56" x14ac:dyDescent="0.15">
      <c r="A48" s="149" t="s">
        <v>198</v>
      </c>
      <c r="B48" s="150">
        <v>39009</v>
      </c>
      <c r="C48" s="83" t="str">
        <f ca="1">VLOOKUP($B48,OFFSET([2]quests!$A$1,0,0,COUNTA([2]quests!$A:$A),MATCH(C$1,[2]quests!$1:$1,0)-MATCH($B$1,[2]quests!$1:$1,0)+1),MATCH(C$1,[2]quests!$1:$1,0)-MATCH($B$1,[2]quests!$1:$1,0)+1,FALSE)</f>
        <v>星空の歌姫</v>
      </c>
      <c r="D48" s="83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4">
        <v>5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【超絶級】星空の歌姫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84">
        <v>3</v>
      </c>
      <c r="I48" s="89">
        <f t="shared" si="2"/>
        <v>47</v>
      </c>
      <c r="J48" s="85" t="str">
        <f t="shared" si="9"/>
        <v>3900947</v>
      </c>
      <c r="K48" s="84" t="s">
        <v>199</v>
      </c>
      <c r="L48" s="86" t="s">
        <v>200</v>
      </c>
      <c r="M48" s="146" t="s">
        <v>485</v>
      </c>
      <c r="N48" s="57" t="s">
        <v>201</v>
      </c>
    </row>
    <row r="49" spans="1:14" ht="42" x14ac:dyDescent="0.15">
      <c r="A49" s="149" t="s">
        <v>198</v>
      </c>
      <c r="B49" s="150">
        <v>39009</v>
      </c>
      <c r="C49" s="83" t="str">
        <f ca="1">VLOOKUP($B49,OFFSET([2]quests!$A$1,0,0,COUNTA([2]quests!$A:$A),MATCH(C$1,[2]quests!$1:$1,0)-MATCH($B$1,[2]quests!$1:$1,0)+1),MATCH(C$1,[2]quests!$1:$1,0)-MATCH($B$1,[2]quests!$1:$1,0)+1,FALSE)</f>
        <v>星空の歌姫</v>
      </c>
      <c r="D49" s="83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4">
        <v>5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【超絶級】星空の歌姫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84">
        <v>4</v>
      </c>
      <c r="I49" s="89">
        <f t="shared" si="2"/>
        <v>48</v>
      </c>
      <c r="J49" s="85" t="str">
        <f t="shared" si="9"/>
        <v>3900948</v>
      </c>
      <c r="K49" s="84" t="s">
        <v>199</v>
      </c>
      <c r="L49" s="86" t="s">
        <v>200</v>
      </c>
      <c r="M49" s="146" t="s">
        <v>345</v>
      </c>
      <c r="N49" s="57" t="s">
        <v>201</v>
      </c>
    </row>
    <row r="50" spans="1:14" ht="56" x14ac:dyDescent="0.15">
      <c r="A50" s="149" t="s">
        <v>198</v>
      </c>
      <c r="B50" s="150">
        <v>39009</v>
      </c>
      <c r="C50" s="83" t="str">
        <f ca="1">VLOOKUP($B50,OFFSET([2]quests!$A$1,0,0,COUNTA([2]quests!$A:$A),MATCH(C$1,[2]quests!$1:$1,0)-MATCH($B$1,[2]quests!$1:$1,0)+1),MATCH(C$1,[2]quests!$1:$1,0)-MATCH($B$1,[2]quests!$1:$1,0)+1,FALSE)</f>
        <v>星空の歌姫</v>
      </c>
      <c r="D50" s="83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4">
        <v>5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【超絶級】星空の歌姫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84">
        <v>4</v>
      </c>
      <c r="I50" s="89">
        <f t="shared" si="2"/>
        <v>49</v>
      </c>
      <c r="J50" s="85" t="str">
        <f t="shared" si="9"/>
        <v>3900949</v>
      </c>
      <c r="K50" s="84" t="s">
        <v>199</v>
      </c>
      <c r="L50" s="86" t="s">
        <v>200</v>
      </c>
      <c r="M50" s="146" t="s">
        <v>346</v>
      </c>
      <c r="N50" s="57" t="s">
        <v>201</v>
      </c>
    </row>
    <row r="51" spans="1:14" ht="56" x14ac:dyDescent="0.15">
      <c r="A51" s="149" t="s">
        <v>198</v>
      </c>
      <c r="B51" s="150">
        <v>39009</v>
      </c>
      <c r="C51" s="83" t="str">
        <f ca="1">VLOOKUP($B51,OFFSET([2]quests!$A$1,0,0,COUNTA([2]quests!$A:$A),MATCH(C$1,[2]quests!$1:$1,0)-MATCH($B$1,[2]quests!$1:$1,0)+1),MATCH(C$1,[2]quests!$1:$1,0)-MATCH($B$1,[2]quests!$1:$1,0)+1,FALSE)</f>
        <v>星空の歌姫</v>
      </c>
      <c r="D51" s="83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4">
        <v>5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【超絶級】星空の歌姫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84">
        <v>4</v>
      </c>
      <c r="I51" s="89">
        <f t="shared" si="2"/>
        <v>50</v>
      </c>
      <c r="J51" s="85" t="str">
        <f t="shared" si="9"/>
        <v>3900950</v>
      </c>
      <c r="K51" s="84" t="s">
        <v>199</v>
      </c>
      <c r="L51" s="86" t="s">
        <v>200</v>
      </c>
      <c r="M51" s="146" t="s">
        <v>347</v>
      </c>
      <c r="N51" s="57" t="s">
        <v>201</v>
      </c>
    </row>
  </sheetData>
  <phoneticPr fontId="5"/>
  <dataValidations count="1">
    <dataValidation type="list" allowBlank="1" showInputMessage="1" showErrorMessage="1" sqref="A2:A5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K4" sqref="K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 collapsed="1"/>
    <col min="6" max="6" width="22.5" hidden="1" customWidth="1" outlineLevel="1"/>
    <col min="7" max="7" width="22" hidden="1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 collapsed="1"/>
    <col min="14" max="14" width="12" hidden="1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214</v>
      </c>
      <c r="B1" s="94" t="s">
        <v>215</v>
      </c>
      <c r="C1" s="77" t="s">
        <v>216</v>
      </c>
      <c r="D1" s="77" t="s">
        <v>33</v>
      </c>
      <c r="E1" s="94" t="s">
        <v>217</v>
      </c>
      <c r="F1" s="77" t="s">
        <v>218</v>
      </c>
      <c r="G1" s="77" t="s">
        <v>33</v>
      </c>
      <c r="H1" s="94" t="s">
        <v>219</v>
      </c>
      <c r="I1" s="94" t="s">
        <v>220</v>
      </c>
      <c r="J1" s="94" t="s">
        <v>221</v>
      </c>
      <c r="K1" s="73" t="s">
        <v>222</v>
      </c>
      <c r="L1" s="73" t="s">
        <v>223</v>
      </c>
      <c r="M1" s="73" t="s">
        <v>157</v>
      </c>
      <c r="N1" s="77" t="s">
        <v>16</v>
      </c>
      <c r="O1" s="73" t="s">
        <v>224</v>
      </c>
      <c r="P1" s="73" t="s">
        <v>57</v>
      </c>
      <c r="Q1" s="73" t="s">
        <v>225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226</v>
      </c>
      <c r="X1" s="73" t="s">
        <v>227</v>
      </c>
    </row>
    <row r="2" spans="1:24" x14ac:dyDescent="0.15">
      <c r="A2" s="162" t="str">
        <f t="shared" ref="A2:A3" si="0">B2&amp;"_"&amp;E2&amp;"_"&amp;H2&amp;"_"&amp;I2&amp;"_"&amp;J2</f>
        <v>39009_5_everyone_clear_1</v>
      </c>
      <c r="B2" s="82">
        <v>39009</v>
      </c>
      <c r="C2" s="83" t="str">
        <f ca="1">VLOOKUP($B2,OFFSET([2]quests!$A$1,0,0,COUNTA([2]quests!$A:$A),MATCH(C$1,[2]quests!$1:$1,0)-MATCH($B$1,[2]quests!$1:$1,0)+1),MATCH(C$1,[2]quests!$1:$1,0)-MATCH($B$1,[2]quests!$1:$1,0)+1,FALSE)</f>
        <v>星空の歌姫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5</v>
      </c>
      <c r="F2" s="16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【超絶級】星空の歌姫</v>
      </c>
      <c r="G2" s="16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163" t="s">
        <v>420</v>
      </c>
      <c r="I2" s="84" t="s">
        <v>421</v>
      </c>
      <c r="J2" s="84">
        <v>1</v>
      </c>
      <c r="K2" s="84">
        <v>100</v>
      </c>
      <c r="L2" s="84" t="s">
        <v>429</v>
      </c>
      <c r="M2" s="84">
        <v>1297</v>
      </c>
      <c r="N2" s="8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雪ミク2017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64" t="s">
        <v>422</v>
      </c>
      <c r="X2" s="165" t="s">
        <v>423</v>
      </c>
    </row>
    <row r="3" spans="1:24" x14ac:dyDescent="0.15">
      <c r="A3" s="162" t="str">
        <f t="shared" si="0"/>
        <v>39009_5_everyone_full_member_2</v>
      </c>
      <c r="B3" s="82">
        <v>39009</v>
      </c>
      <c r="C3" s="83" t="str">
        <f ca="1">VLOOKUP($B3,OFFSET([2]quests!$A$1,0,0,COUNTA([2]quests!$A:$A),MATCH(C$1,[2]quests!$1:$1,0)-MATCH($B$1,[2]quests!$1:$1,0)+1),MATCH(C$1,[2]quests!$1:$1,0)-MATCH($B$1,[2]quests!$1:$1,0)+1,FALSE)</f>
        <v>星空の歌姫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5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【超絶級】星空の歌姫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163" t="s">
        <v>424</v>
      </c>
      <c r="I3" s="84" t="s">
        <v>428</v>
      </c>
      <c r="J3" s="84">
        <v>2</v>
      </c>
      <c r="K3" s="84">
        <v>100</v>
      </c>
      <c r="L3" s="84" t="s">
        <v>425</v>
      </c>
      <c r="M3" s="84">
        <v>1297</v>
      </c>
      <c r="N3" s="16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雪ミク2017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64" t="s">
        <v>426</v>
      </c>
      <c r="X3" s="165" t="s">
        <v>427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2017-01-19T06:23:20Z</dcterms:modified>
</cp:coreProperties>
</file>