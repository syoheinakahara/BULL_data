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Desktop/BULL_data/master_excel/"/>
    </mc:Choice>
  </mc:AlternateContent>
  <bookViews>
    <workbookView xWindow="6660" yWindow="460" windowWidth="22140" windowHeight="1628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7" l="1"/>
  <c r="U2" i="7"/>
  <c r="V3" i="1"/>
  <c r="V2" i="1"/>
  <c r="T3" i="1"/>
  <c r="T2" i="1"/>
  <c r="N3" i="22"/>
  <c r="G3" i="22"/>
  <c r="F3" i="22"/>
  <c r="D3" i="22"/>
  <c r="C3" i="22"/>
  <c r="A3" i="22"/>
  <c r="C13" i="16"/>
  <c r="E13" i="16"/>
  <c r="N2" i="22"/>
  <c r="G2" i="22"/>
  <c r="F2" i="22"/>
  <c r="D2" i="22"/>
  <c r="C2" i="22"/>
  <c r="A2" i="2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2" i="16"/>
  <c r="L2" i="19"/>
  <c r="B2" i="21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AA2" i="7"/>
  <c r="C4" i="16"/>
  <c r="C5" i="16"/>
  <c r="C6" i="16"/>
  <c r="C7" i="16"/>
  <c r="C8" i="16"/>
  <c r="C9" i="16"/>
  <c r="C3" i="16"/>
  <c r="E9" i="16"/>
  <c r="Z2" i="7"/>
  <c r="Y2" i="7"/>
  <c r="Y2" i="1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AC3" i="1"/>
  <c r="AC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G2" i="2"/>
  <c r="A2" i="2"/>
  <c r="J2" i="7"/>
  <c r="E8" i="16"/>
  <c r="E7" i="16"/>
  <c r="E6" i="16"/>
  <c r="E5" i="16"/>
  <c r="E4" i="16"/>
  <c r="E3" i="16"/>
  <c r="E2" i="16"/>
  <c r="A3" i="1"/>
  <c r="A2" i="1"/>
  <c r="AI3" i="1"/>
  <c r="A2" i="9"/>
  <c r="H3" i="1"/>
  <c r="J3" i="1"/>
  <c r="I3" i="1"/>
  <c r="D3" i="1"/>
  <c r="F3" i="1"/>
  <c r="E3" i="1"/>
  <c r="A2" i="7"/>
  <c r="I2" i="7"/>
  <c r="D2" i="7"/>
  <c r="F2" i="7"/>
  <c r="E2" i="7"/>
  <c r="H2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<sst xmlns="http://schemas.openxmlformats.org/spreadsheetml/2006/main" count="934" uniqueCount="272">
  <si>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</si>
  <si>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</si>
  <si>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</si>
  <si>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</si>
  <si>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</si>
  <si>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</si>
  <si>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</si>
  <si>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</si>
  <si>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</si>
  <si>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</si>
  <si>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</si>
  <si>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</si>
  <si>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</si>
  <si>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</si>
  <si>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</si>
  <si>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</si>
  <si>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</si>
  <si>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</si>
  <si>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</si>
  <si>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</si>
  <si>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</si>
  <si>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</si>
  <si>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</si>
  <si>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</si>
  <si>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</si>
  <si>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</si>
  <si>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</si>
  <si>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</si>
  <si>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</si>
  <si>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</si>
  <si>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</si>
  <si>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</si>
  <si>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</si>
  <si>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</si>
  <si>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</si>
  <si>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</si>
  <si>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</si>
  <si>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</si>
  <si>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</si>
  <si>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</si>
  <si>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</si>
  <si>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</si>
  <si>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</si>
  <si>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</si>
  <si>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</si>
  <si>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</si>
  <si>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</si>
  <si>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</si>
  <si>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</si>
  <si>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</si>
  <si>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</si>
  <si>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</si>
  <si>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</si>
  <si>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</si>
  <si>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</si>
  <si>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</si>
  <si>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</si>
  <si>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</si>
  <si>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</si>
  <si>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</si>
  <si>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</si>
  <si>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</si>
  <si>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</si>
  <si>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</si>
  <si>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</si>
  <si>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</si>
  <si>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</si>
  <si>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</si>
  <si>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</si>
  <si>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</si>
  <si>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</si>
  <si>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</si>
  <si>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</si>
  <si>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</si>
  <si>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</si>
  <si>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</si>
  <si>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</si>
  <si>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</si>
  <si>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</si>
  <si>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</si>
  <si>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</si>
  <si>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</si>
  <si>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</si>
  <si>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</si>
  <si>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[effect:heal, target:enemy_one, val:0.1, animation:enemy_heal]</t>
    <phoneticPr fontId="5"/>
  </si>
  <si>
    <t>恍惚の表情を浮かべている</t>
    <rPh sb="0" eb="2">
      <t>コウコツ</t>
    </rPh>
    <rPh sb="3" eb="5">
      <t>ヒョウジョウ</t>
    </rPh>
    <rPh sb="6" eb="7">
      <t>ウ</t>
    </rPh>
    <phoneticPr fontId="5"/>
  </si>
  <si>
    <t>回復</t>
    <rPh sb="0" eb="2">
      <t>カイフク</t>
    </rPh>
    <phoneticPr fontId="5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</si>
  <si>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</si>
  <si>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</si>
  <si>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</si>
  <si>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</si>
  <si>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</si>
  <si>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</si>
  <si>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</si>
  <si>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</si>
  <si>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</si>
  <si>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</si>
  <si>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</si>
  <si>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</si>
  <si>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</si>
  <si>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</si>
  <si>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</si>
  <si>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</si>
  <si>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</si>
  <si>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</si>
  <si>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</si>
  <si>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</si>
  <si>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</si>
  <si>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</si>
  <si>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</si>
  <si>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</si>
  <si>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</si>
  <si>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</si>
  <si>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</si>
  <si>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</si>
  <si>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</si>
  <si>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</si>
  <si>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</si>
  <si>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</si>
  <si>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</si>
  <si>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</si>
  <si>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</si>
  <si>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</si>
  <si>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</si>
  <si>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</si>
  <si>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</si>
  <si>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</si>
  <si>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</si>
  <si>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</si>
  <si>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</si>
  <si>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</si>
  <si>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</si>
  <si>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</si>
  <si>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</si>
  <si>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</si>
  <si>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</si>
  <si>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</si>
  <si>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</si>
  <si>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</si>
  <si>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</si>
  <si>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</si>
  <si>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</si>
  <si>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</si>
  <si>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</si>
  <si>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</si>
  <si>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</si>
  <si>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</si>
  <si>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</si>
  <si>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</si>
  <si>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</si>
  <si>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</si>
  <si>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</si>
  <si>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</si>
  <si>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</si>
  <si>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</si>
  <si>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</si>
  <si>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</si>
  <si>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</si>
  <si>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</si>
  <si>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</si>
  <si>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</si>
  <si>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</si>
  <si>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</si>
  <si>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</si>
  <si>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</si>
  <si>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</si>
  <si>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</si>
  <si>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</si>
  <si>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</si>
  <si>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</si>
  <si>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</si>
  <si>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</si>
  <si>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</si>
  <si>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</si>
  <si>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</si>
  <si>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</si>
  <si>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</si>
  <si>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</si>
  <si>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</si>
  <si>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</si>
  <si>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</si>
  <si>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</si>
  <si>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</si>
  <si>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</si>
  <si>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</si>
  <si>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</si>
  <si>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</si>
  <si>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</si>
  <si>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</si>
  <si>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</si>
  <si>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</si>
  <si>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</si>
  <si>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</si>
  <si>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</si>
  <si>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</si>
  <si>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</si>
  <si>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</si>
  <si>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</si>
  <si>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</si>
  <si>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</si>
  <si>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</si>
  <si>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</si>
  <si>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</si>
  <si>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</si>
  <si>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</si>
  <si>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</si>
  <si>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</si>
  <si>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</si>
  <si>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</si>
  <si>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</si>
  <si>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</si>
  <si>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</si>
  <si>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</si>
  <si>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</si>
  <si>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</si>
  <si>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</si>
  <si>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</si>
  <si>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</si>
  <si>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</si>
  <si>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</si>
  <si>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</si>
  <si>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</si>
  <si>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</si>
  <si>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</si>
  <si>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</si>
  <si>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ERROR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</si>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</sst>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30047</v>
          </cell>
        </row>
        <row r="174">
          <cell r="A174">
            <v>39001</v>
          </cell>
        </row>
        <row r="175">
          <cell r="A175">
            <v>39002</v>
          </cell>
        </row>
        <row r="176">
          <cell r="A176">
            <v>39003</v>
          </cell>
        </row>
        <row r="177">
          <cell r="A177">
            <v>39004</v>
          </cell>
        </row>
        <row r="178">
          <cell r="A178">
            <v>39005</v>
          </cell>
        </row>
        <row r="179">
          <cell r="A179">
            <v>39006</v>
          </cell>
        </row>
        <row r="180">
          <cell r="A180">
            <v>39007</v>
          </cell>
        </row>
        <row r="181">
          <cell r="A181">
            <v>39008</v>
          </cell>
        </row>
        <row r="182">
          <cell r="A182">
            <v>39009</v>
          </cell>
        </row>
        <row r="183">
          <cell r="A183">
            <v>39010</v>
          </cell>
        </row>
        <row r="184">
          <cell r="A184">
            <v>39011</v>
          </cell>
        </row>
        <row r="185">
          <cell r="A185">
            <v>40001</v>
          </cell>
        </row>
        <row r="186">
          <cell r="A186">
            <v>40002</v>
          </cell>
        </row>
        <row r="187">
          <cell r="A187">
            <v>40003</v>
          </cell>
        </row>
        <row r="188">
          <cell r="A188">
            <v>40004</v>
          </cell>
        </row>
        <row r="189">
          <cell r="A189">
            <v>40005</v>
          </cell>
        </row>
        <row r="190">
          <cell r="A190">
            <v>40006</v>
          </cell>
        </row>
        <row r="191">
          <cell r="A191">
            <v>40007</v>
          </cell>
        </row>
        <row r="192">
          <cell r="A192">
            <v>40008</v>
          </cell>
        </row>
        <row r="193">
          <cell r="A193">
            <v>40009</v>
          </cell>
        </row>
        <row r="194">
          <cell r="A194">
            <v>40010</v>
          </cell>
        </row>
        <row r="195">
          <cell r="A195">
            <v>40011</v>
          </cell>
        </row>
        <row r="196">
          <cell r="A196">
            <v>40012</v>
          </cell>
        </row>
        <row r="197">
          <cell r="A197">
            <v>40013</v>
          </cell>
        </row>
        <row r="198">
          <cell r="A198">
            <v>40014</v>
          </cell>
        </row>
        <row r="199">
          <cell r="A199">
            <v>40015</v>
          </cell>
        </row>
        <row r="200">
          <cell r="A200">
            <v>40016</v>
          </cell>
        </row>
        <row r="201">
          <cell r="A201">
            <v>40017</v>
          </cell>
        </row>
        <row r="202">
          <cell r="A202">
            <v>40018</v>
          </cell>
        </row>
        <row r="203">
          <cell r="A203">
            <v>40019</v>
          </cell>
        </row>
        <row r="204">
          <cell r="A204">
            <v>40021</v>
          </cell>
        </row>
        <row r="205">
          <cell r="A205">
            <v>40022</v>
          </cell>
        </row>
        <row r="206">
          <cell r="A206">
            <v>40023</v>
          </cell>
        </row>
        <row r="207">
          <cell r="A207">
            <v>40024</v>
          </cell>
        </row>
        <row r="208">
          <cell r="A208">
            <v>40025</v>
          </cell>
        </row>
        <row r="209">
          <cell r="A209">
            <v>40026</v>
          </cell>
        </row>
        <row r="210">
          <cell r="A210">
            <v>40027</v>
          </cell>
        </row>
        <row r="211">
          <cell r="A211">
            <v>40028</v>
          </cell>
        </row>
        <row r="212">
          <cell r="A212">
            <v>40029</v>
          </cell>
        </row>
        <row r="213">
          <cell r="A213">
            <v>40030</v>
          </cell>
        </row>
        <row r="214">
          <cell r="A214">
            <v>40031</v>
          </cell>
        </row>
        <row r="215">
          <cell r="A215">
            <v>40032</v>
          </cell>
        </row>
        <row r="216">
          <cell r="A216">
            <v>40033</v>
          </cell>
        </row>
        <row r="217">
          <cell r="A217">
            <v>40034</v>
          </cell>
        </row>
        <row r="218">
          <cell r="A218">
            <v>40035</v>
          </cell>
        </row>
        <row r="219">
          <cell r="A219">
            <v>40036</v>
          </cell>
        </row>
        <row r="220">
          <cell r="A220">
            <v>40037</v>
          </cell>
        </row>
        <row r="221">
          <cell r="A221">
            <v>40038</v>
          </cell>
        </row>
        <row r="222">
          <cell r="A222">
            <v>40039</v>
          </cell>
        </row>
        <row r="223">
          <cell r="A223">
            <v>40040</v>
          </cell>
        </row>
        <row r="224">
          <cell r="A224">
            <v>40041</v>
          </cell>
        </row>
        <row r="225">
          <cell r="A225">
            <v>40042</v>
          </cell>
        </row>
        <row r="226">
          <cell r="A226">
            <v>48001</v>
          </cell>
        </row>
        <row r="227">
          <cell r="A227">
            <v>48002</v>
          </cell>
        </row>
        <row r="228">
          <cell r="A228">
            <v>48003</v>
          </cell>
        </row>
        <row r="229">
          <cell r="A229">
            <v>48004</v>
          </cell>
        </row>
        <row r="230">
          <cell r="A230">
            <v>48005</v>
          </cell>
        </row>
        <row r="231">
          <cell r="A231">
            <v>48006</v>
          </cell>
        </row>
        <row r="232">
          <cell r="A232">
            <v>48007</v>
          </cell>
        </row>
        <row r="233">
          <cell r="A233">
            <v>48008</v>
          </cell>
        </row>
        <row r="234">
          <cell r="A234">
            <v>48009</v>
          </cell>
        </row>
        <row r="235">
          <cell r="A235">
            <v>48010</v>
          </cell>
        </row>
        <row r="236">
          <cell r="A236">
            <v>48501</v>
          </cell>
        </row>
        <row r="237">
          <cell r="A237">
            <v>41001</v>
          </cell>
        </row>
        <row r="238">
          <cell r="A238">
            <v>41002</v>
          </cell>
        </row>
        <row r="239">
          <cell r="A239">
            <v>41003</v>
          </cell>
        </row>
        <row r="240">
          <cell r="A240">
            <v>41004</v>
          </cell>
        </row>
        <row r="241">
          <cell r="A241">
            <v>41005</v>
          </cell>
        </row>
        <row r="242">
          <cell r="A242">
            <v>41006</v>
          </cell>
        </row>
        <row r="243">
          <cell r="A243">
            <v>41007</v>
          </cell>
        </row>
        <row r="244">
          <cell r="A244">
            <v>41008</v>
          </cell>
        </row>
        <row r="245">
          <cell r="A245">
            <v>41009</v>
          </cell>
        </row>
        <row r="246">
          <cell r="A246">
            <v>41010</v>
          </cell>
        </row>
        <row r="247">
          <cell r="A247">
            <v>41011</v>
          </cell>
        </row>
        <row r="248">
          <cell r="A248">
            <v>41012</v>
          </cell>
        </row>
        <row r="249">
          <cell r="A249">
            <v>41013</v>
          </cell>
        </row>
        <row r="250">
          <cell r="A250">
            <v>41014</v>
          </cell>
        </row>
        <row r="251">
          <cell r="A251">
            <v>41015</v>
          </cell>
        </row>
        <row r="252">
          <cell r="A252">
            <v>47001</v>
          </cell>
        </row>
        <row r="253">
          <cell r="A253">
            <v>47002</v>
          </cell>
        </row>
        <row r="254">
          <cell r="A254">
            <v>47003</v>
          </cell>
        </row>
        <row r="255">
          <cell r="A255">
            <v>47004</v>
          </cell>
        </row>
        <row r="256">
          <cell r="A256">
            <v>47005</v>
          </cell>
        </row>
        <row r="257">
          <cell r="A257">
            <v>47006</v>
          </cell>
        </row>
        <row r="258">
          <cell r="A258">
            <v>49001</v>
          </cell>
        </row>
        <row r="259">
          <cell r="A259">
            <v>49002</v>
          </cell>
        </row>
        <row r="260">
          <cell r="A260">
            <v>49003</v>
          </cell>
        </row>
        <row r="261">
          <cell r="A261">
            <v>49004</v>
          </cell>
        </row>
        <row r="262">
          <cell r="A262">
            <v>49005</v>
          </cell>
        </row>
        <row r="263">
          <cell r="A263">
            <v>49006</v>
          </cell>
        </row>
        <row r="264">
          <cell r="A264">
            <v>49007</v>
          </cell>
        </row>
        <row r="265">
          <cell r="A265">
            <v>49008</v>
          </cell>
        </row>
        <row r="266">
          <cell r="A266">
            <v>49009</v>
          </cell>
        </row>
        <row r="267">
          <cell r="A267">
            <v>49010</v>
          </cell>
        </row>
        <row r="268">
          <cell r="A268">
            <v>49011</v>
          </cell>
        </row>
        <row r="269">
          <cell r="A269">
            <v>49012</v>
          </cell>
        </row>
        <row r="270">
          <cell r="A270">
            <v>49013</v>
          </cell>
        </row>
        <row r="271">
          <cell r="A271">
            <v>50001</v>
          </cell>
        </row>
        <row r="272">
          <cell r="A272">
            <v>50002</v>
          </cell>
        </row>
        <row r="273">
          <cell r="A273">
            <v>50003</v>
          </cell>
        </row>
        <row r="274">
          <cell r="A274">
            <v>50004</v>
          </cell>
        </row>
        <row r="275">
          <cell r="A275">
            <v>50005</v>
          </cell>
        </row>
        <row r="276">
          <cell r="A276">
            <v>50006</v>
          </cell>
        </row>
        <row r="277">
          <cell r="A277">
            <v>50007</v>
          </cell>
        </row>
        <row r="278">
          <cell r="A278">
            <v>50008</v>
          </cell>
        </row>
        <row r="279">
          <cell r="A279">
            <v>50009</v>
          </cell>
        </row>
        <row r="280">
          <cell r="A280">
            <v>50010</v>
          </cell>
        </row>
        <row r="281">
          <cell r="A281">
            <v>50011</v>
          </cell>
        </row>
        <row r="282">
          <cell r="A282">
            <v>50012</v>
          </cell>
        </row>
        <row r="283">
          <cell r="A283">
            <v>50013</v>
          </cell>
        </row>
        <row r="284">
          <cell r="A284">
            <v>51001</v>
          </cell>
        </row>
        <row r="285">
          <cell r="A285">
            <v>51002</v>
          </cell>
        </row>
        <row r="286">
          <cell r="A286">
            <v>59001</v>
          </cell>
        </row>
        <row r="287">
          <cell r="A287">
            <v>60001</v>
          </cell>
        </row>
        <row r="288">
          <cell r="A288">
            <v>60002</v>
          </cell>
        </row>
        <row r="289">
          <cell r="A289">
            <v>60003</v>
          </cell>
        </row>
        <row r="290">
          <cell r="A290">
            <v>60004</v>
          </cell>
        </row>
        <row r="291">
          <cell r="A291">
            <v>60005</v>
          </cell>
        </row>
        <row r="292">
          <cell r="A292">
            <v>60006</v>
          </cell>
        </row>
        <row r="293">
          <cell r="A293">
            <v>60007</v>
          </cell>
        </row>
        <row r="294">
          <cell r="A294">
            <v>60010</v>
          </cell>
        </row>
        <row r="295">
          <cell r="A295">
            <v>60011</v>
          </cell>
        </row>
        <row r="296">
          <cell r="A296">
            <v>61011</v>
          </cell>
        </row>
        <row r="297">
          <cell r="A297">
            <v>60012</v>
          </cell>
        </row>
        <row r="298">
          <cell r="A298">
            <v>60013</v>
          </cell>
        </row>
        <row r="299">
          <cell r="A299">
            <v>60014</v>
          </cell>
        </row>
        <row r="300">
          <cell r="A300">
            <v>60015</v>
          </cell>
        </row>
        <row r="301">
          <cell r="A301">
            <v>60016</v>
          </cell>
        </row>
        <row r="302">
          <cell r="A302">
            <v>60017</v>
          </cell>
        </row>
        <row r="303">
          <cell r="A303">
            <v>60018</v>
          </cell>
        </row>
        <row r="304">
          <cell r="A304">
            <v>60019</v>
          </cell>
        </row>
        <row r="305">
          <cell r="A305">
            <v>60020</v>
          </cell>
        </row>
        <row r="306">
          <cell r="A306">
            <v>60025</v>
          </cell>
        </row>
        <row r="307">
          <cell r="A307">
            <v>60026</v>
          </cell>
        </row>
        <row r="308">
          <cell r="A308">
            <v>60027</v>
          </cell>
        </row>
        <row r="309">
          <cell r="A309">
            <v>65525</v>
          </cell>
        </row>
        <row r="310">
          <cell r="A310">
            <v>65526</v>
          </cell>
        </row>
        <row r="311">
          <cell r="A311">
            <v>65527</v>
          </cell>
        </row>
        <row r="312">
          <cell r="A312">
            <v>65531</v>
          </cell>
        </row>
        <row r="313">
          <cell r="A313">
            <v>65532</v>
          </cell>
        </row>
        <row r="314">
          <cell r="A314">
            <v>65533</v>
          </cell>
        </row>
        <row r="315">
          <cell r="A315">
            <v>65534</v>
          </cell>
        </row>
        <row r="316">
          <cell r="A316">
            <v>65535</v>
          </cell>
        </row>
        <row r="317">
          <cell r="A317">
            <v>60021</v>
          </cell>
        </row>
        <row r="318">
          <cell r="A318">
            <v>60022</v>
          </cell>
        </row>
        <row r="319">
          <cell r="A319">
            <v>60023</v>
          </cell>
        </row>
        <row r="320">
          <cell r="A32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30047_1</v>
          </cell>
        </row>
        <row r="634">
          <cell r="A634" t="str">
            <v>30047_2</v>
          </cell>
        </row>
        <row r="635">
          <cell r="A635" t="str">
            <v>30047_3</v>
          </cell>
        </row>
        <row r="636">
          <cell r="A636" t="str">
            <v>39001_1</v>
          </cell>
        </row>
        <row r="637">
          <cell r="A637" t="str">
            <v>39001_2</v>
          </cell>
        </row>
        <row r="638">
          <cell r="A638" t="str">
            <v>39001_3</v>
          </cell>
        </row>
        <row r="639">
          <cell r="A639" t="str">
            <v>39001_4</v>
          </cell>
        </row>
        <row r="640">
          <cell r="A640" t="str">
            <v>39001_5</v>
          </cell>
        </row>
        <row r="641">
          <cell r="A641" t="str">
            <v>39002_1</v>
          </cell>
        </row>
        <row r="642">
          <cell r="A642" t="str">
            <v>39002_2</v>
          </cell>
        </row>
        <row r="643">
          <cell r="A643" t="str">
            <v>39002_3</v>
          </cell>
        </row>
        <row r="644">
          <cell r="A644" t="str">
            <v>39002_4</v>
          </cell>
        </row>
        <row r="645">
          <cell r="A645" t="str">
            <v>39003_1</v>
          </cell>
        </row>
        <row r="646">
          <cell r="A646" t="str">
            <v>39003_2</v>
          </cell>
        </row>
        <row r="647">
          <cell r="A647" t="str">
            <v>39003_3</v>
          </cell>
        </row>
        <row r="648">
          <cell r="A648" t="str">
            <v>39003_4</v>
          </cell>
        </row>
        <row r="649">
          <cell r="A649" t="str">
            <v>39004_1</v>
          </cell>
        </row>
        <row r="650">
          <cell r="A650" t="str">
            <v>39004_2</v>
          </cell>
        </row>
        <row r="651">
          <cell r="A651" t="str">
            <v>39004_3</v>
          </cell>
        </row>
        <row r="652">
          <cell r="A652" t="str">
            <v>39004_4</v>
          </cell>
        </row>
        <row r="653">
          <cell r="A653" t="str">
            <v>39005_1</v>
          </cell>
        </row>
        <row r="654">
          <cell r="A654" t="str">
            <v>39005_2</v>
          </cell>
        </row>
        <row r="655">
          <cell r="A655" t="str">
            <v>39005_3</v>
          </cell>
        </row>
        <row r="656">
          <cell r="A656" t="str">
            <v>39005_4</v>
          </cell>
        </row>
        <row r="657">
          <cell r="A657" t="str">
            <v>39005_5</v>
          </cell>
        </row>
        <row r="658">
          <cell r="A658" t="str">
            <v>39006_1</v>
          </cell>
        </row>
        <row r="659">
          <cell r="A659" t="str">
            <v>39006_2</v>
          </cell>
        </row>
        <row r="660">
          <cell r="A660" t="str">
            <v>39006_3</v>
          </cell>
        </row>
        <row r="661">
          <cell r="A661" t="str">
            <v>39006_4</v>
          </cell>
        </row>
        <row r="662">
          <cell r="A662" t="str">
            <v>39007_1</v>
          </cell>
        </row>
        <row r="663">
          <cell r="A663" t="str">
            <v>39007_2</v>
          </cell>
        </row>
        <row r="664">
          <cell r="A664" t="str">
            <v>39007_3</v>
          </cell>
        </row>
        <row r="665">
          <cell r="A665" t="str">
            <v>39007_4</v>
          </cell>
        </row>
        <row r="666">
          <cell r="A666" t="str">
            <v>39008_1</v>
          </cell>
        </row>
        <row r="667">
          <cell r="A667" t="str">
            <v>39008_2</v>
          </cell>
        </row>
        <row r="668">
          <cell r="A668" t="str">
            <v>39008_3</v>
          </cell>
        </row>
        <row r="669">
          <cell r="A669" t="str">
            <v>39008_4</v>
          </cell>
        </row>
        <row r="670">
          <cell r="A670" t="str">
            <v>39008_5</v>
          </cell>
        </row>
        <row r="671">
          <cell r="A671" t="str">
            <v>39009_1</v>
          </cell>
        </row>
        <row r="672">
          <cell r="A672" t="str">
            <v>39009_2</v>
          </cell>
        </row>
        <row r="673">
          <cell r="A673" t="str">
            <v>39009_3</v>
          </cell>
        </row>
        <row r="674">
          <cell r="A674" t="str">
            <v>39009_4</v>
          </cell>
        </row>
        <row r="675">
          <cell r="A675" t="str">
            <v>39009_5</v>
          </cell>
        </row>
        <row r="676">
          <cell r="A676" t="str">
            <v>39010_1</v>
          </cell>
        </row>
        <row r="677">
          <cell r="A677" t="str">
            <v>39010_2</v>
          </cell>
        </row>
        <row r="678">
          <cell r="A678" t="str">
            <v>39010_3</v>
          </cell>
        </row>
        <row r="679">
          <cell r="A679" t="str">
            <v>39010_4</v>
          </cell>
        </row>
        <row r="680">
          <cell r="A680" t="str">
            <v>39011_1</v>
          </cell>
        </row>
        <row r="681">
          <cell r="A681" t="str">
            <v>39011_2</v>
          </cell>
        </row>
        <row r="682">
          <cell r="A682" t="str">
            <v>39011_3</v>
          </cell>
        </row>
        <row r="683">
          <cell r="A683" t="str">
            <v>39011_4</v>
          </cell>
        </row>
        <row r="684">
          <cell r="A684" t="str">
            <v>40001_1</v>
          </cell>
        </row>
        <row r="685">
          <cell r="A685" t="str">
            <v>40002_1</v>
          </cell>
        </row>
        <row r="686">
          <cell r="A686" t="str">
            <v>40002_2</v>
          </cell>
        </row>
        <row r="687">
          <cell r="A687" t="str">
            <v>40002_3</v>
          </cell>
        </row>
        <row r="688">
          <cell r="A688" t="str">
            <v>40003_1</v>
          </cell>
        </row>
        <row r="689">
          <cell r="A689" t="str">
            <v>40004_1</v>
          </cell>
        </row>
        <row r="690">
          <cell r="A690" t="str">
            <v>40005_1</v>
          </cell>
        </row>
        <row r="691">
          <cell r="A691" t="str">
            <v>40006_1</v>
          </cell>
        </row>
        <row r="692">
          <cell r="A692" t="str">
            <v>40007_1</v>
          </cell>
        </row>
        <row r="693">
          <cell r="A693" t="str">
            <v>40008_1</v>
          </cell>
        </row>
        <row r="694">
          <cell r="A694" t="str">
            <v>40009_1</v>
          </cell>
        </row>
        <row r="695">
          <cell r="A695" t="str">
            <v>40010_1</v>
          </cell>
        </row>
        <row r="696">
          <cell r="A696" t="str">
            <v>40011_1</v>
          </cell>
        </row>
        <row r="697">
          <cell r="A697" t="str">
            <v>40012_1</v>
          </cell>
        </row>
        <row r="698">
          <cell r="A698" t="str">
            <v>40013_1</v>
          </cell>
        </row>
        <row r="699">
          <cell r="A699" t="str">
            <v>40014_1</v>
          </cell>
        </row>
        <row r="700">
          <cell r="A700" t="str">
            <v>40015_1</v>
          </cell>
        </row>
        <row r="701">
          <cell r="A701" t="str">
            <v>40016_1</v>
          </cell>
        </row>
        <row r="702">
          <cell r="A702" t="str">
            <v>40016_2</v>
          </cell>
        </row>
        <row r="703">
          <cell r="A703" t="str">
            <v>40017_1</v>
          </cell>
        </row>
        <row r="704">
          <cell r="A704" t="str">
            <v>40017_2</v>
          </cell>
        </row>
        <row r="705">
          <cell r="A705" t="str">
            <v>40017_3</v>
          </cell>
        </row>
        <row r="706">
          <cell r="A706" t="str">
            <v>40018_1</v>
          </cell>
        </row>
        <row r="707">
          <cell r="A707" t="str">
            <v>40018_2</v>
          </cell>
        </row>
        <row r="708">
          <cell r="A708" t="str">
            <v>40018_3</v>
          </cell>
        </row>
        <row r="709">
          <cell r="A709" t="str">
            <v>40019_1</v>
          </cell>
        </row>
        <row r="710">
          <cell r="A710" t="str">
            <v>40019_2</v>
          </cell>
        </row>
        <row r="711">
          <cell r="A711" t="str">
            <v>40019_3</v>
          </cell>
        </row>
        <row r="712">
          <cell r="A712" t="str">
            <v>40021_1</v>
          </cell>
        </row>
        <row r="713">
          <cell r="A713" t="str">
            <v>40021_2</v>
          </cell>
        </row>
        <row r="714">
          <cell r="A714" t="str">
            <v>40022_1</v>
          </cell>
        </row>
        <row r="715">
          <cell r="A715" t="str">
            <v>40022_2</v>
          </cell>
        </row>
        <row r="716">
          <cell r="A716" t="str">
            <v>40023_1</v>
          </cell>
        </row>
        <row r="717">
          <cell r="A717" t="str">
            <v>40023_2</v>
          </cell>
        </row>
        <row r="718">
          <cell r="A718" t="str">
            <v>40024_1</v>
          </cell>
        </row>
        <row r="719">
          <cell r="A719" t="str">
            <v>40024_2</v>
          </cell>
        </row>
        <row r="720">
          <cell r="A720" t="str">
            <v>40025_1</v>
          </cell>
        </row>
        <row r="721">
          <cell r="A721" t="str">
            <v>40025_2</v>
          </cell>
        </row>
        <row r="722">
          <cell r="A722" t="str">
            <v>40026_1</v>
          </cell>
        </row>
        <row r="723">
          <cell r="A723" t="str">
            <v>40026_2</v>
          </cell>
        </row>
        <row r="724">
          <cell r="A724" t="str">
            <v>40027_1</v>
          </cell>
        </row>
        <row r="725">
          <cell r="A725" t="str">
            <v>40027_2</v>
          </cell>
        </row>
        <row r="726">
          <cell r="A726" t="str">
            <v>40028_1</v>
          </cell>
        </row>
        <row r="727">
          <cell r="A727" t="str">
            <v>40028_2</v>
          </cell>
        </row>
        <row r="728">
          <cell r="A728" t="str">
            <v>40029_1</v>
          </cell>
        </row>
        <row r="729">
          <cell r="A729" t="str">
            <v>40029_2</v>
          </cell>
        </row>
        <row r="730">
          <cell r="A730" t="str">
            <v>40030_1</v>
          </cell>
        </row>
        <row r="731">
          <cell r="A731" t="str">
            <v>40030_2</v>
          </cell>
        </row>
        <row r="732">
          <cell r="A732" t="str">
            <v>40031_1</v>
          </cell>
        </row>
        <row r="733">
          <cell r="A733" t="str">
            <v>40031_2</v>
          </cell>
        </row>
        <row r="734">
          <cell r="A734" t="str">
            <v>40032_1</v>
          </cell>
        </row>
        <row r="735">
          <cell r="A735" t="str">
            <v>40032_2</v>
          </cell>
        </row>
        <row r="736">
          <cell r="A736" t="str">
            <v>40033_1</v>
          </cell>
        </row>
        <row r="737">
          <cell r="A737" t="str">
            <v>40033_2</v>
          </cell>
        </row>
        <row r="738">
          <cell r="A738" t="str">
            <v>40034_1</v>
          </cell>
        </row>
        <row r="739">
          <cell r="A739" t="str">
            <v>40034_2</v>
          </cell>
        </row>
        <row r="740">
          <cell r="A740" t="str">
            <v>40035_1</v>
          </cell>
        </row>
        <row r="741">
          <cell r="A741" t="str">
            <v>40035_2</v>
          </cell>
        </row>
        <row r="742">
          <cell r="A742" t="str">
            <v>40036_1</v>
          </cell>
        </row>
        <row r="743">
          <cell r="A743" t="str">
            <v>40036_2</v>
          </cell>
        </row>
        <row r="744">
          <cell r="A744" t="str">
            <v>40037_1</v>
          </cell>
        </row>
        <row r="745">
          <cell r="A745" t="str">
            <v>40037_2</v>
          </cell>
        </row>
        <row r="746">
          <cell r="A746" t="str">
            <v>40038_1</v>
          </cell>
        </row>
        <row r="747">
          <cell r="A747" t="str">
            <v>40038_2</v>
          </cell>
        </row>
        <row r="748">
          <cell r="A748" t="str">
            <v>40039_1</v>
          </cell>
        </row>
        <row r="749">
          <cell r="A749" t="str">
            <v>40039_2</v>
          </cell>
        </row>
        <row r="750">
          <cell r="A750" t="str">
            <v>40040_1</v>
          </cell>
        </row>
        <row r="751">
          <cell r="A751" t="str">
            <v>40040_2</v>
          </cell>
        </row>
        <row r="752">
          <cell r="A752" t="str">
            <v>40041_1</v>
          </cell>
        </row>
        <row r="753">
          <cell r="A753" t="str">
            <v>40041_2</v>
          </cell>
        </row>
        <row r="754">
          <cell r="A754" t="str">
            <v>40042_1</v>
          </cell>
        </row>
        <row r="755">
          <cell r="A755" t="str">
            <v>40042_2</v>
          </cell>
        </row>
        <row r="756">
          <cell r="A756" t="str">
            <v>41001_1</v>
          </cell>
        </row>
        <row r="757">
          <cell r="A757" t="str">
            <v>41001_2</v>
          </cell>
        </row>
        <row r="758">
          <cell r="A758" t="str">
            <v>41001_3</v>
          </cell>
        </row>
        <row r="759">
          <cell r="A759" t="str">
            <v>41002_1</v>
          </cell>
        </row>
        <row r="760">
          <cell r="A760" t="str">
            <v>41002_2</v>
          </cell>
        </row>
        <row r="761">
          <cell r="A761" t="str">
            <v>41002_3</v>
          </cell>
        </row>
        <row r="762">
          <cell r="A762" t="str">
            <v>41003_1</v>
          </cell>
        </row>
        <row r="763">
          <cell r="A763" t="str">
            <v>41003_2</v>
          </cell>
        </row>
        <row r="764">
          <cell r="A764" t="str">
            <v>41003_3</v>
          </cell>
        </row>
        <row r="765">
          <cell r="A765" t="str">
            <v>41004_1</v>
          </cell>
        </row>
        <row r="766">
          <cell r="A766" t="str">
            <v>41004_2</v>
          </cell>
        </row>
        <row r="767">
          <cell r="A767" t="str">
            <v>41004_3</v>
          </cell>
        </row>
        <row r="768">
          <cell r="A768" t="str">
            <v>41005_1</v>
          </cell>
        </row>
        <row r="769">
          <cell r="A769" t="str">
            <v>41005_2</v>
          </cell>
        </row>
        <row r="770">
          <cell r="A770" t="str">
            <v>41005_3</v>
          </cell>
        </row>
        <row r="771">
          <cell r="A771" t="str">
            <v>41006_1</v>
          </cell>
        </row>
        <row r="772">
          <cell r="A772" t="str">
            <v>41006_2</v>
          </cell>
        </row>
        <row r="773">
          <cell r="A773" t="str">
            <v>41006_3</v>
          </cell>
        </row>
        <row r="774">
          <cell r="A774" t="str">
            <v>41007_1</v>
          </cell>
        </row>
        <row r="775">
          <cell r="A775" t="str">
            <v>41007_2</v>
          </cell>
        </row>
        <row r="776">
          <cell r="A776" t="str">
            <v>41007_3</v>
          </cell>
        </row>
        <row r="777">
          <cell r="A777" t="str">
            <v>41008_1</v>
          </cell>
        </row>
        <row r="778">
          <cell r="A778" t="str">
            <v>41008_2</v>
          </cell>
        </row>
        <row r="779">
          <cell r="A779" t="str">
            <v>41008_3</v>
          </cell>
        </row>
        <row r="780">
          <cell r="A780" t="str">
            <v>41009_1</v>
          </cell>
        </row>
        <row r="781">
          <cell r="A781" t="str">
            <v>41009_2</v>
          </cell>
        </row>
        <row r="782">
          <cell r="A782" t="str">
            <v>41009_3</v>
          </cell>
        </row>
        <row r="783">
          <cell r="A783" t="str">
            <v>41010_1</v>
          </cell>
        </row>
        <row r="784">
          <cell r="A784" t="str">
            <v>41010_2</v>
          </cell>
        </row>
        <row r="785">
          <cell r="A785" t="str">
            <v>41010_3</v>
          </cell>
        </row>
        <row r="786">
          <cell r="A786" t="str">
            <v>41011_1</v>
          </cell>
        </row>
        <row r="787">
          <cell r="A787" t="str">
            <v>41011_2</v>
          </cell>
        </row>
        <row r="788">
          <cell r="A788" t="str">
            <v>41012_1</v>
          </cell>
        </row>
        <row r="789">
          <cell r="A789" t="str">
            <v>41012_2</v>
          </cell>
        </row>
        <row r="790">
          <cell r="A790" t="str">
            <v>41013_1</v>
          </cell>
        </row>
        <row r="791">
          <cell r="A791" t="str">
            <v>41013_2</v>
          </cell>
        </row>
        <row r="792">
          <cell r="A792" t="str">
            <v>41014_1</v>
          </cell>
        </row>
        <row r="793">
          <cell r="A793" t="str">
            <v>41014_2</v>
          </cell>
        </row>
        <row r="794">
          <cell r="A794" t="str">
            <v>41015_1</v>
          </cell>
        </row>
        <row r="795">
          <cell r="A795" t="str">
            <v>41015_2</v>
          </cell>
        </row>
        <row r="796">
          <cell r="A796" t="str">
            <v>47001_1</v>
          </cell>
        </row>
        <row r="797">
          <cell r="A797" t="str">
            <v>47001_2</v>
          </cell>
        </row>
        <row r="798">
          <cell r="A798" t="str">
            <v>47002_1</v>
          </cell>
        </row>
        <row r="799">
          <cell r="A799" t="str">
            <v>47002_2</v>
          </cell>
        </row>
        <row r="800">
          <cell r="A800" t="str">
            <v>47003_1</v>
          </cell>
        </row>
        <row r="801">
          <cell r="A801" t="str">
            <v>47003_2</v>
          </cell>
        </row>
        <row r="802">
          <cell r="A802" t="str">
            <v>47003_3</v>
          </cell>
        </row>
        <row r="803">
          <cell r="A803" t="str">
            <v>47003_4</v>
          </cell>
        </row>
        <row r="804">
          <cell r="A804" t="str">
            <v>47004_1</v>
          </cell>
        </row>
        <row r="805">
          <cell r="A805" t="str">
            <v>47004_2</v>
          </cell>
        </row>
        <row r="806">
          <cell r="A806" t="str">
            <v>47004_3</v>
          </cell>
        </row>
        <row r="807">
          <cell r="A807" t="str">
            <v>47004_4</v>
          </cell>
        </row>
        <row r="808">
          <cell r="A808" t="str">
            <v>47005_1</v>
          </cell>
        </row>
        <row r="809">
          <cell r="A809" t="str">
            <v>47006_1</v>
          </cell>
        </row>
        <row r="810">
          <cell r="A810" t="str">
            <v>47006_2</v>
          </cell>
        </row>
        <row r="811">
          <cell r="A811" t="str">
            <v>48001_1</v>
          </cell>
        </row>
        <row r="812">
          <cell r="A812" t="str">
            <v>48002_1</v>
          </cell>
        </row>
        <row r="813">
          <cell r="A813" t="str">
            <v>48002_2</v>
          </cell>
        </row>
        <row r="814">
          <cell r="A814" t="str">
            <v>48002_3</v>
          </cell>
        </row>
        <row r="815">
          <cell r="A815" t="str">
            <v>48003_1</v>
          </cell>
        </row>
        <row r="816">
          <cell r="A816" t="str">
            <v>48003_2</v>
          </cell>
        </row>
        <row r="817">
          <cell r="A817" t="str">
            <v>48004_1</v>
          </cell>
        </row>
        <row r="818">
          <cell r="A818" t="str">
            <v>48004_2</v>
          </cell>
        </row>
        <row r="819">
          <cell r="A819" t="str">
            <v>48005_1</v>
          </cell>
        </row>
        <row r="820">
          <cell r="A820" t="str">
            <v>48005_2</v>
          </cell>
        </row>
        <row r="821">
          <cell r="A821" t="str">
            <v>48006_1</v>
          </cell>
        </row>
        <row r="822">
          <cell r="A822" t="str">
            <v>48006_2</v>
          </cell>
        </row>
        <row r="823">
          <cell r="A823" t="str">
            <v>48007_1</v>
          </cell>
        </row>
        <row r="824">
          <cell r="A824" t="str">
            <v>48007_2</v>
          </cell>
        </row>
        <row r="825">
          <cell r="A825" t="str">
            <v>48008_1</v>
          </cell>
        </row>
        <row r="826">
          <cell r="A826" t="str">
            <v>48008_2</v>
          </cell>
        </row>
        <row r="827">
          <cell r="A827" t="str">
            <v>48009_1</v>
          </cell>
        </row>
        <row r="828">
          <cell r="A828" t="str">
            <v>48009_2</v>
          </cell>
        </row>
        <row r="829">
          <cell r="A829" t="str">
            <v>48010_1</v>
          </cell>
        </row>
        <row r="830">
          <cell r="A830" t="str">
            <v>48501_1</v>
          </cell>
        </row>
        <row r="831">
          <cell r="A831" t="str">
            <v>48501_2</v>
          </cell>
        </row>
        <row r="832">
          <cell r="A832" t="str">
            <v>49001_1</v>
          </cell>
        </row>
        <row r="833">
          <cell r="A833" t="str">
            <v>49002_1</v>
          </cell>
        </row>
        <row r="834">
          <cell r="A834" t="str">
            <v>49002_2</v>
          </cell>
        </row>
        <row r="835">
          <cell r="A835" t="str">
            <v>49003_1</v>
          </cell>
        </row>
        <row r="836">
          <cell r="A836" t="str">
            <v>49003_2</v>
          </cell>
        </row>
        <row r="837">
          <cell r="A837" t="str">
            <v>49004_1</v>
          </cell>
        </row>
        <row r="838">
          <cell r="A838" t="str">
            <v>49004_2</v>
          </cell>
        </row>
        <row r="839">
          <cell r="A839" t="str">
            <v>49004_3</v>
          </cell>
        </row>
        <row r="840">
          <cell r="A840" t="str">
            <v>49005_1</v>
          </cell>
        </row>
        <row r="841">
          <cell r="A841" t="str">
            <v>49006_1</v>
          </cell>
        </row>
        <row r="842">
          <cell r="A842" t="str">
            <v>49006_2</v>
          </cell>
        </row>
        <row r="843">
          <cell r="A843" t="str">
            <v>49007_1</v>
          </cell>
        </row>
        <row r="844">
          <cell r="A844" t="str">
            <v>49007_2</v>
          </cell>
        </row>
        <row r="845">
          <cell r="A845" t="str">
            <v>49007_3</v>
          </cell>
        </row>
        <row r="846">
          <cell r="A846" t="str">
            <v>49008_1</v>
          </cell>
        </row>
        <row r="847">
          <cell r="A847" t="str">
            <v>49009_1</v>
          </cell>
        </row>
        <row r="848">
          <cell r="A848" t="str">
            <v>49010_1</v>
          </cell>
        </row>
        <row r="849">
          <cell r="A849" t="str">
            <v>49011_1</v>
          </cell>
        </row>
        <row r="850">
          <cell r="A850" t="str">
            <v>49012_1</v>
          </cell>
        </row>
        <row r="851">
          <cell r="A851" t="str">
            <v>49013_1</v>
          </cell>
        </row>
        <row r="852">
          <cell r="A852" t="str">
            <v>50001_1</v>
          </cell>
        </row>
        <row r="853">
          <cell r="A853" t="str">
            <v>50002_1</v>
          </cell>
        </row>
        <row r="854">
          <cell r="A854" t="str">
            <v>50003_1</v>
          </cell>
        </row>
        <row r="855">
          <cell r="A855" t="str">
            <v>50004_1</v>
          </cell>
        </row>
        <row r="856">
          <cell r="A856" t="str">
            <v>50005_1</v>
          </cell>
        </row>
        <row r="857">
          <cell r="A857" t="str">
            <v>50006_1</v>
          </cell>
        </row>
        <row r="858">
          <cell r="A858" t="str">
            <v>50007_1</v>
          </cell>
        </row>
        <row r="859">
          <cell r="A859" t="str">
            <v>50008_1</v>
          </cell>
        </row>
        <row r="860">
          <cell r="A860" t="str">
            <v>50009_1</v>
          </cell>
        </row>
        <row r="861">
          <cell r="A861" t="str">
            <v>50010_1</v>
          </cell>
        </row>
        <row r="862">
          <cell r="A862" t="str">
            <v>50011_1</v>
          </cell>
        </row>
        <row r="863">
          <cell r="A863" t="str">
            <v>50012_1</v>
          </cell>
        </row>
        <row r="864">
          <cell r="A864" t="str">
            <v>50013_1</v>
          </cell>
        </row>
        <row r="865">
          <cell r="A865" t="str">
            <v>51001_1</v>
          </cell>
        </row>
        <row r="866">
          <cell r="A866" t="str">
            <v>51002_1</v>
          </cell>
        </row>
        <row r="867">
          <cell r="A867" t="str">
            <v>59001_1</v>
          </cell>
        </row>
        <row r="868">
          <cell r="A868" t="str">
            <v>60001_1</v>
          </cell>
        </row>
        <row r="869">
          <cell r="A869" t="str">
            <v>60002_1</v>
          </cell>
        </row>
        <row r="870">
          <cell r="A870" t="str">
            <v>60002_2</v>
          </cell>
        </row>
        <row r="871">
          <cell r="A871" t="str">
            <v>60003_1</v>
          </cell>
        </row>
        <row r="872">
          <cell r="A872" t="str">
            <v>60003_2</v>
          </cell>
        </row>
        <row r="873">
          <cell r="A873" t="str">
            <v>60003_3</v>
          </cell>
        </row>
        <row r="874">
          <cell r="A874" t="str">
            <v>60004_1</v>
          </cell>
        </row>
        <row r="875">
          <cell r="A875" t="str">
            <v>60005_1</v>
          </cell>
        </row>
        <row r="876">
          <cell r="A876" t="str">
            <v>60006_1</v>
          </cell>
        </row>
        <row r="877">
          <cell r="A877" t="str">
            <v>60006_2</v>
          </cell>
        </row>
        <row r="878">
          <cell r="A878" t="str">
            <v>60006_3</v>
          </cell>
        </row>
        <row r="879">
          <cell r="A879" t="str">
            <v>60007_1</v>
          </cell>
        </row>
        <row r="880">
          <cell r="A880" t="str">
            <v>60007_2</v>
          </cell>
        </row>
        <row r="881">
          <cell r="A881" t="str">
            <v>60007_3</v>
          </cell>
        </row>
        <row r="882">
          <cell r="A882" t="str">
            <v>60010_1</v>
          </cell>
        </row>
        <row r="883">
          <cell r="A883" t="str">
            <v>60011_1</v>
          </cell>
        </row>
        <row r="884">
          <cell r="A884" t="str">
            <v>60011_2</v>
          </cell>
        </row>
        <row r="885">
          <cell r="A885" t="str">
            <v>60012_1</v>
          </cell>
        </row>
        <row r="886">
          <cell r="A886" t="str">
            <v>60013_1</v>
          </cell>
        </row>
        <row r="887">
          <cell r="A887" t="str">
            <v>60013_2</v>
          </cell>
        </row>
        <row r="888">
          <cell r="A888" t="str">
            <v>60013_3</v>
          </cell>
        </row>
        <row r="889">
          <cell r="A889" t="str">
            <v>60014_1</v>
          </cell>
        </row>
        <row r="890">
          <cell r="A890" t="str">
            <v>60015_1</v>
          </cell>
        </row>
        <row r="891">
          <cell r="A891" t="str">
            <v>60016_1</v>
          </cell>
        </row>
        <row r="892">
          <cell r="A892" t="str">
            <v>60017_1</v>
          </cell>
        </row>
        <row r="893">
          <cell r="A893" t="str">
            <v>60018_1</v>
          </cell>
        </row>
        <row r="894">
          <cell r="A894" t="str">
            <v>60019_1</v>
          </cell>
        </row>
        <row r="895">
          <cell r="A895" t="str">
            <v>60020_1</v>
          </cell>
        </row>
        <row r="896">
          <cell r="A896" t="str">
            <v>60021_3</v>
          </cell>
        </row>
        <row r="897">
          <cell r="A897" t="str">
            <v>60022_3</v>
          </cell>
        </row>
        <row r="898">
          <cell r="A898" t="str">
            <v>60023_3</v>
          </cell>
        </row>
        <row r="899">
          <cell r="A899" t="str">
            <v>60024_3</v>
          </cell>
        </row>
        <row r="900">
          <cell r="A900" t="str">
            <v>60025_1</v>
          </cell>
        </row>
        <row r="901">
          <cell r="A901" t="str">
            <v>60026_1</v>
          </cell>
        </row>
        <row r="902">
          <cell r="A902" t="str">
            <v>61011_1</v>
          </cell>
        </row>
        <row r="903">
          <cell r="A903" t="str">
            <v>60027_1</v>
          </cell>
        </row>
        <row r="904">
          <cell r="A904" t="str">
            <v>65525_1</v>
          </cell>
        </row>
        <row r="905">
          <cell r="A905" t="str">
            <v>65526_1</v>
          </cell>
        </row>
        <row r="906">
          <cell r="A906" t="str">
            <v>65527_1</v>
          </cell>
        </row>
        <row r="907">
          <cell r="A907" t="str">
            <v>65531_1</v>
          </cell>
        </row>
        <row r="908">
          <cell r="A908" t="str">
            <v>65531_2</v>
          </cell>
        </row>
        <row r="909">
          <cell r="A909" t="str">
            <v>65532_1</v>
          </cell>
        </row>
        <row r="910">
          <cell r="A910" t="str">
            <v>65532_2</v>
          </cell>
        </row>
        <row r="911">
          <cell r="A911" t="str">
            <v>65533_1</v>
          </cell>
        </row>
        <row r="912">
          <cell r="A912" t="str">
            <v>65533_2</v>
          </cell>
        </row>
        <row r="913">
          <cell r="A913" t="str">
            <v>65534_1</v>
          </cell>
        </row>
        <row r="914">
          <cell r="A914" t="str">
            <v>65535_1</v>
          </cell>
        </row>
        <row r="915">
          <cell r="A915" t="str">
            <v>65535_2</v>
          </cell>
        </row>
        <row r="916">
          <cell r="A916" t="str">
            <v>65535_3</v>
          </cell>
        </row>
        <row r="917">
          <cell r="A917" t="str">
            <v>65535_4</v>
          </cell>
        </row>
        <row r="918">
          <cell r="A918" t="str">
            <v>65535_5</v>
          </cell>
        </row>
        <row r="919">
          <cell r="A919" t="str">
            <v>65535_6</v>
          </cell>
        </row>
        <row r="920">
          <cell r="A920" t="str">
            <v>65535_7</v>
          </cell>
        </row>
        <row r="921">
          <cell r="A921" t="str">
            <v>65535_8</v>
          </cell>
        </row>
        <row r="922">
          <cell r="A922" t="str">
            <v>65535_9</v>
          </cell>
        </row>
        <row r="923">
          <cell r="A92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8077</v>
          </cell>
        </row>
        <row r="1474">
          <cell r="A1474">
            <v>8078</v>
          </cell>
        </row>
        <row r="1475">
          <cell r="A1475">
            <v>8079</v>
          </cell>
        </row>
        <row r="1476">
          <cell r="A1476">
            <v>8080</v>
          </cell>
        </row>
        <row r="1477">
          <cell r="A1477">
            <v>8095</v>
          </cell>
        </row>
        <row r="1478">
          <cell r="A1478">
            <v>8096</v>
          </cell>
        </row>
        <row r="1479">
          <cell r="A1479">
            <v>8097</v>
          </cell>
        </row>
        <row r="1480">
          <cell r="A1480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134</v>
      </c>
      <c r="B1" s="55" t="s">
        <v>104</v>
      </c>
      <c r="C1" s="55" t="s">
        <v>105</v>
      </c>
      <c r="D1" s="55" t="s">
        <v>106</v>
      </c>
      <c r="E1" s="55" t="s">
        <v>107</v>
      </c>
      <c r="F1" s="55" t="s">
        <v>108</v>
      </c>
      <c r="G1" s="55" t="s">
        <v>109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192</v>
      </c>
      <c r="B2" s="57" t="s">
        <v>110</v>
      </c>
      <c r="C2" s="63" t="s">
        <v>225</v>
      </c>
      <c r="D2" s="57" t="s">
        <v>111</v>
      </c>
      <c r="E2" s="56" t="str">
        <f>B2&amp;C2&amp;D2</f>
        <v>floors_ERROR.tmp</v>
      </c>
      <c r="F2" s="57" t="s">
        <v>112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192</v>
      </c>
      <c r="B3" s="57" t="s">
        <v>113</v>
      </c>
      <c r="C3" s="63" t="str">
        <f>C$2</f>
        <v>ERROR</v>
      </c>
      <c r="D3" s="57" t="s">
        <v>111</v>
      </c>
      <c r="E3" s="56" t="str">
        <f>B3&amp;C3&amp;D3</f>
        <v>enemy_habitats_ERROR.tmp</v>
      </c>
      <c r="F3" s="57" t="s">
        <v>114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183</v>
      </c>
    </row>
    <row r="4" spans="1:30" x14ac:dyDescent="0.15">
      <c r="A4" s="61" t="s">
        <v>192</v>
      </c>
      <c r="B4" s="57" t="s">
        <v>115</v>
      </c>
      <c r="C4" s="63" t="str">
        <f t="shared" ref="C4:C13" si="0">C$2</f>
        <v>ERROR</v>
      </c>
      <c r="D4" s="57" t="s">
        <v>111</v>
      </c>
      <c r="E4" s="56" t="str">
        <f>B4&amp;C4&amp;D4</f>
        <v>enemy_habitat_S_ERROR.tmp</v>
      </c>
      <c r="F4" s="57" t="s">
        <v>116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192</v>
      </c>
      <c r="B5" s="57" t="s">
        <v>117</v>
      </c>
      <c r="C5" s="63" t="str">
        <f t="shared" si="0"/>
        <v>ERROR</v>
      </c>
      <c r="D5" s="57" t="s">
        <v>111</v>
      </c>
      <c r="E5" s="56" t="str">
        <f>B5&amp;C5&amp;D5</f>
        <v>enemy_skill_sets_ERROR.tmp</v>
      </c>
      <c r="F5" s="57" t="s">
        <v>118</v>
      </c>
      <c r="G5" s="59" t="s">
        <v>22</v>
      </c>
      <c r="H5" s="59" t="s">
        <v>103</v>
      </c>
      <c r="I5" s="59" t="s">
        <v>98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192</v>
      </c>
      <c r="B6" s="57" t="s">
        <v>119</v>
      </c>
      <c r="C6" s="63" t="str">
        <f t="shared" si="0"/>
        <v>ERROR</v>
      </c>
      <c r="D6" s="57" t="s">
        <v>120</v>
      </c>
      <c r="E6" s="56" t="str">
        <f t="shared" ref="E6:E10" si="1">B6&amp;C6&amp;D6</f>
        <v>enemy_skills_tmp_ERROR.tmp</v>
      </c>
      <c r="F6" s="57" t="s">
        <v>94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192</v>
      </c>
      <c r="B7" s="57" t="s">
        <v>121</v>
      </c>
      <c r="C7" s="63" t="str">
        <f t="shared" si="0"/>
        <v>ERROR</v>
      </c>
      <c r="D7" s="57" t="s">
        <v>111</v>
      </c>
      <c r="E7" s="56" t="str">
        <f>B7&amp;C7&amp;D7</f>
        <v>enemy_skills_i18n_ERROR.tmp</v>
      </c>
      <c r="F7" s="57" t="s">
        <v>122</v>
      </c>
      <c r="G7" s="58" t="s">
        <v>79</v>
      </c>
      <c r="H7" s="58" t="s">
        <v>95</v>
      </c>
      <c r="I7" s="58" t="s">
        <v>96</v>
      </c>
      <c r="J7" s="58" t="s">
        <v>97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192</v>
      </c>
      <c r="B8" s="57" t="s">
        <v>123</v>
      </c>
      <c r="C8" s="63" t="str">
        <f t="shared" si="0"/>
        <v>ERROR</v>
      </c>
      <c r="D8" s="57" t="s">
        <v>124</v>
      </c>
      <c r="E8" s="56" t="str">
        <f t="shared" si="1"/>
        <v>enemy_skill_triggers_ERROR.tmp</v>
      </c>
      <c r="F8" s="57" t="s">
        <v>125</v>
      </c>
      <c r="G8" s="58" t="s">
        <v>98</v>
      </c>
      <c r="H8" s="58" t="s">
        <v>99</v>
      </c>
      <c r="I8" s="58" t="s">
        <v>100</v>
      </c>
      <c r="J8" s="58" t="s">
        <v>101</v>
      </c>
      <c r="K8" s="58" t="s">
        <v>126</v>
      </c>
      <c r="L8" s="58" t="s">
        <v>102</v>
      </c>
      <c r="M8" s="58" t="s">
        <v>127</v>
      </c>
      <c r="N8" s="58" t="s">
        <v>128</v>
      </c>
      <c r="O8" s="58" t="s">
        <v>129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192</v>
      </c>
      <c r="B9" s="68" t="s">
        <v>182</v>
      </c>
      <c r="C9" s="63" t="str">
        <f t="shared" si="0"/>
        <v>ERROR</v>
      </c>
      <c r="D9" s="68" t="s">
        <v>176</v>
      </c>
      <c r="E9" s="69" t="str">
        <f t="shared" si="1"/>
        <v>stage_bug_bonuses_ERROR.tmp</v>
      </c>
      <c r="F9" s="68" t="s">
        <v>177</v>
      </c>
      <c r="G9" s="65" t="s">
        <v>154</v>
      </c>
      <c r="H9" s="65" t="s">
        <v>178</v>
      </c>
      <c r="I9" s="65" t="s">
        <v>179</v>
      </c>
      <c r="J9" s="67" t="s">
        <v>180</v>
      </c>
      <c r="K9" s="65" t="s">
        <v>181</v>
      </c>
      <c r="L9" s="65" t="s">
        <v>160</v>
      </c>
      <c r="M9" s="65" t="s">
        <v>161</v>
      </c>
      <c r="N9" s="65" t="s">
        <v>162</v>
      </c>
      <c r="O9" s="65" t="s">
        <v>163</v>
      </c>
      <c r="P9" s="65" t="s">
        <v>164</v>
      </c>
      <c r="Q9" s="65" t="s">
        <v>165</v>
      </c>
      <c r="R9" s="65" t="s">
        <v>166</v>
      </c>
      <c r="S9" s="65" t="s">
        <v>167</v>
      </c>
      <c r="T9" s="65" t="s">
        <v>168</v>
      </c>
      <c r="U9" s="65" t="s">
        <v>169</v>
      </c>
      <c r="V9" s="65" t="s">
        <v>170</v>
      </c>
      <c r="W9" s="65" t="s">
        <v>171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192</v>
      </c>
      <c r="B10" s="68" t="s">
        <v>206</v>
      </c>
      <c r="C10" s="63" t="str">
        <f>C$2</f>
        <v>ERROR</v>
      </c>
      <c r="D10" s="68" t="s">
        <v>185</v>
      </c>
      <c r="E10" s="69" t="str">
        <f t="shared" si="1"/>
        <v>stage_hints_data_c_ERROR.tmp</v>
      </c>
      <c r="F10" s="68" t="s">
        <v>215</v>
      </c>
      <c r="G10" s="74" t="s">
        <v>186</v>
      </c>
      <c r="H10" s="74" t="s">
        <v>178</v>
      </c>
      <c r="I10" s="75" t="s">
        <v>187</v>
      </c>
      <c r="J10" s="67" t="s">
        <v>188</v>
      </c>
      <c r="K10" s="67" t="s">
        <v>189</v>
      </c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</row>
    <row r="11" spans="1:30" s="76" customFormat="1" x14ac:dyDescent="0.15">
      <c r="A11" s="61" t="s">
        <v>192</v>
      </c>
      <c r="B11" s="68" t="s">
        <v>207</v>
      </c>
      <c r="C11" s="63" t="str">
        <f t="shared" si="0"/>
        <v>ERROR</v>
      </c>
      <c r="D11" s="68" t="s">
        <v>176</v>
      </c>
      <c r="E11" s="69" t="str">
        <f t="shared" ref="E11:E13" si="2">B11&amp;C11&amp;D11</f>
        <v>stage_hints_data_f_ERROR.tmp</v>
      </c>
      <c r="F11" s="68" t="s">
        <v>217</v>
      </c>
      <c r="G11" s="74" t="s">
        <v>186</v>
      </c>
      <c r="H11" s="74" t="s">
        <v>178</v>
      </c>
      <c r="I11" s="75" t="s">
        <v>187</v>
      </c>
      <c r="J11" s="67" t="s">
        <v>188</v>
      </c>
      <c r="K11" s="67" t="s">
        <v>189</v>
      </c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</row>
    <row r="12" spans="1:30" s="76" customFormat="1" x14ac:dyDescent="0.15">
      <c r="A12" s="68" t="s">
        <v>208</v>
      </c>
      <c r="B12" s="68" t="s">
        <v>209</v>
      </c>
      <c r="C12" s="63" t="str">
        <f t="shared" si="0"/>
        <v>ERROR</v>
      </c>
      <c r="D12" s="68" t="s">
        <v>176</v>
      </c>
      <c r="E12" s="69" t="str">
        <f t="shared" si="2"/>
        <v>stage_hints_i18n_ERROR.tmp</v>
      </c>
      <c r="F12" s="68" t="s">
        <v>218</v>
      </c>
      <c r="G12" s="75" t="s">
        <v>210</v>
      </c>
      <c r="H12" s="97" t="s">
        <v>211</v>
      </c>
      <c r="I12" s="74" t="s">
        <v>212</v>
      </c>
      <c r="J12" s="106" t="s">
        <v>213</v>
      </c>
      <c r="K12" s="67" t="s">
        <v>214</v>
      </c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</row>
    <row r="13" spans="1:30" s="76" customFormat="1" x14ac:dyDescent="0.15">
      <c r="A13" s="68" t="s">
        <v>267</v>
      </c>
      <c r="B13" s="68" t="s">
        <v>266</v>
      </c>
      <c r="C13" s="63" t="str">
        <f t="shared" si="0"/>
        <v>ERROR</v>
      </c>
      <c r="D13" s="68" t="s">
        <v>247</v>
      </c>
      <c r="E13" s="69" t="str">
        <f t="shared" si="2"/>
        <v>stage_bonuses_ERROR.tmp</v>
      </c>
      <c r="F13" s="68" t="s">
        <v>246</v>
      </c>
      <c r="G13" s="74" t="s">
        <v>248</v>
      </c>
      <c r="H13" s="74" t="s">
        <v>249</v>
      </c>
      <c r="I13" s="74" t="s">
        <v>250</v>
      </c>
      <c r="J13" s="74" t="s">
        <v>251</v>
      </c>
      <c r="K13" s="74" t="s">
        <v>252</v>
      </c>
      <c r="L13" s="74" t="s">
        <v>253</v>
      </c>
      <c r="M13" s="74" t="s">
        <v>254</v>
      </c>
      <c r="N13" s="74" t="s">
        <v>255</v>
      </c>
      <c r="O13" s="74" t="s">
        <v>256</v>
      </c>
      <c r="P13" s="74" t="s">
        <v>257</v>
      </c>
      <c r="Q13" s="74" t="s">
        <v>258</v>
      </c>
      <c r="R13" s="74" t="s">
        <v>259</v>
      </c>
      <c r="S13" s="74" t="s">
        <v>260</v>
      </c>
      <c r="T13" s="74" t="s">
        <v>261</v>
      </c>
      <c r="U13" s="74" t="s">
        <v>262</v>
      </c>
      <c r="V13" s="74" t="s">
        <v>263</v>
      </c>
      <c r="W13" s="74" t="s">
        <v>264</v>
      </c>
      <c r="X13" s="74" t="s">
        <v>265</v>
      </c>
      <c r="Y13" s="105"/>
      <c r="Z13" s="105"/>
      <c r="AA13" s="105"/>
      <c r="AB13" s="105"/>
      <c r="AC13" s="105"/>
      <c r="AD13" s="105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2"/>
  <sheetViews>
    <sheetView showGridLines="0" workbookViewId="0">
      <pane ySplit="1" topLeftCell="A2" activePane="bottomLeft" state="frozen"/>
      <selection activeCell="V2" sqref="V2:X34"/>
      <selection pane="bottomLeft" activeCell="D2" sqref="D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65535_1-1</v>
      </c>
      <c r="B2" s="16" t="str">
        <f>IF(COUNTIF(enemy_habitats!$H:$H,A2),"OK","NG")</f>
        <v>OK</v>
      </c>
      <c r="C2" s="7">
        <v>65535</v>
      </c>
      <c r="D2" s="11" t="str">
        <f ca="1">VLOOKUP($C2,OFFSET([2]quests!$A$1,0,0,COUNTA([2]quests!$A:$A),MATCH(D$1,[2]quests!$1:$1,0)-MATCH($C$1,[2]quests!$1:$1,0)+1),MATCH(D$1,[2]quests!$1:$1,0)-MATCH($C$1,[2]quests!$1:$1,0)+1,FALSE)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2" s="18" t="str">
        <f ca="1">VLOOKUP($C2,OFFSET([2]quests!$A$1,0,0,COUNTA([2]quests!$A:$A),MATCH(E$1,[2]quests!$1:$1,0)-MATCH($C$1,[2]quests!$1:$1,0)+1),MATCH(E$1,[2]quests!$1:$1,0)-MATCH($C$1,[2]quests!$1:$1,0)+1,FALSE)</f>
        <v>検証</v>
      </c>
      <c r="F2" s="21">
        <v>1</v>
      </c>
      <c r="G2" s="23" t="str">
        <f>C2&amp;"_"&amp;F2</f>
        <v>65535_1</v>
      </c>
      <c r="H2" s="15" t="str">
        <f ca="1">VLOOKUP($G2,OFFSET([2]stages!$A$1,0,0,COUNTA([2]stages!$A:$A),MATCH(H$1,[2]stages!$2:$2,0)-MATCH($G$1,[2]stages!$2:$2,0)+1),MATCH(H$1,[2]stages!$2:$2,0)-MATCH($G$1,[2]stages!$2:$2,0)+1,FALSE)</f>
        <v>テンプレート</v>
      </c>
      <c r="I2" s="21">
        <v>1</v>
      </c>
      <c r="J2" s="12">
        <v>15</v>
      </c>
      <c r="K2" s="12">
        <v>15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3"/>
  <sheetViews>
    <sheetView showGridLines="0" workbookViewId="0">
      <pane xSplit="17" ySplit="1" topLeftCell="U2" activePane="bottomRight" state="frozen"/>
      <selection pane="topRight" activeCell="N1" sqref="N1"/>
      <selection pane="bottomLeft" activeCell="A2" sqref="A2"/>
      <selection pane="bottomRight" activeCell="V1" sqref="V1:V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7" t="s">
        <v>268</v>
      </c>
      <c r="U1" s="26" t="s">
        <v>50</v>
      </c>
      <c r="V1" s="107" t="s">
        <v>269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184</v>
      </c>
    </row>
    <row r="2" spans="1:42" ht="21" customHeight="1" x14ac:dyDescent="0.15">
      <c r="A2" s="16" t="str">
        <f ca="1">B2&amp;"_"&amp;C2&amp;"-"&amp;G2&amp;"/"&amp;L2&amp;"&lt;lv"&amp;R2&amp;"&gt;s"&amp;AC2</f>
        <v>65535_1-1/1&lt;lv1&gt;s1</v>
      </c>
      <c r="B2" s="22">
        <v>65535</v>
      </c>
      <c r="C2" s="21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1">
        <v>1</v>
      </c>
      <c r="H2" s="15" t="str">
        <f>B2&amp;"_"&amp;C2&amp;"-"&amp;G2</f>
        <v>65535_1-1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5">
        <v>1</v>
      </c>
      <c r="T2" s="10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500</v>
      </c>
      <c r="U2" s="25">
        <v>1</v>
      </c>
      <c r="V2" s="10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183</v>
      </c>
      <c r="W2" s="5">
        <v>0</v>
      </c>
      <c r="X2" s="4" t="str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" s="4">
        <f ca="1">VLOOKUP($L2,OFFSET([3]enemies!$A$1,0,0,COUNTA([3]enemies!$A:$A),MATCH(Y$1,[3]enemies!$1:$1,0)-MATCH($L$1,[3]enemies!$1:$1,0)+1),MATCH(Y$1,[3]enemies!$1:$1,0)-MATCH($L$1,[3]enemies!$1:$1,0)+1,FALSE)</f>
        <v>0</v>
      </c>
      <c r="Z2" s="6">
        <v>0</v>
      </c>
      <c r="AA2" s="6">
        <v>100</v>
      </c>
      <c r="AB2" s="6">
        <v>0</v>
      </c>
      <c r="AC2" s="17">
        <f ca="1">VLOOKUP($L2,OFFSET([3]enemies!$A$1,0,0,COUNTA([3]enemies!$A:$A),MATCH(AC$1,[3]enemies!$1:$1,0)-MATCH($L$1,[3]enemies!$1:$1,0)+1),MATCH(AC$1,[3]enemies!$1:$1,0)-MATCH($L$1,[3]enemies!$1:$1,0)+1,FALSE)</f>
        <v>1</v>
      </c>
      <c r="AD2" s="24">
        <f>L2</f>
        <v>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ca="1">AF2</f>
        <v>1</v>
      </c>
      <c r="AJ2" s="8">
        <v>60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ca="1">B3&amp;"_"&amp;C3&amp;"-"&amp;G3&amp;"/"&amp;L3&amp;"&lt;lv"&amp;R3&amp;"&gt;s"&amp;AC3</f>
        <v>65535_1-1/2&lt;lv1&gt;s1</v>
      </c>
      <c r="B3" s="22">
        <v>65535</v>
      </c>
      <c r="C3" s="21">
        <v>1</v>
      </c>
      <c r="D3" s="2" t="str">
        <f>B3&amp;"_"&amp;C3</f>
        <v>65535_1</v>
      </c>
      <c r="E3" s="4" t="str">
        <f ca="1">VLOOKUP($B3,OFFSET([2]quests!$A$1,0,0,COUNTA([2]quests!$A:$A),MATCH(E$1,[2]quests!$1:$1,0)-MATCH($B$1,[2]quests!$1:$1,0)+1),MATCH(E$1,[2]quests!$1:$1,0)-MATCH($B$1,[2]quests!$1:$1,0)+1,FALSE)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" s="4" t="str">
        <f ca="1">VLOOKUP($D3,OFFSET([2]stages!$A$1,0,0,COUNTA([2]stages!$A:$A),MATCH(F$1,[2]stages!$2:$2,0)-MATCH($D$1,[2]stages!$2:$2,0)+1),MATCH(F$1,[2]stages!$2:$2,0)-MATCH($D$1,[2]stages!$2:$2,0)+1,FALSE)</f>
        <v>テンプレート</v>
      </c>
      <c r="G3" s="21">
        <v>1</v>
      </c>
      <c r="H3" s="15" t="str">
        <f>B3&amp;"_"&amp;C3&amp;"-"&amp;G3</f>
        <v>65535_1-1</v>
      </c>
      <c r="I3" s="4">
        <f ca="1">VLOOKUP($H3,OFFSET(floors!$A$1,0,0,COUNTA(floors!$A:$A),MATCH(I$1,floors!$1:$1,0)-MATCH($H$1,floors!$1:$1,0)+1),MATCH(I$1,floors!$1:$1,0)-MATCH($H$1,floors!$1:$1,0)+1,FALSE)</f>
        <v>15</v>
      </c>
      <c r="J3" s="4">
        <f ca="1">VLOOKUP($H3,OFFSET(floors!$A$1,0,0,COUNTA(floors!$A:$A),MATCH(J$1,floors!$1:$1,0)-MATCH($H$1,floors!$1:$1,0)+1),MATCH(J$1,floors!$1:$1,0)-MATCH($H$1,floors!$1:$1,0)+1,FALSE)</f>
        <v>15</v>
      </c>
      <c r="K3" s="38">
        <v>1</v>
      </c>
      <c r="L3" s="20">
        <v>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イレギュラー・ジェリー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5">
        <v>1</v>
      </c>
      <c r="T3" s="10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500</v>
      </c>
      <c r="U3" s="25">
        <v>1</v>
      </c>
      <c r="V3" s="10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203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回復</v>
      </c>
      <c r="Y3" s="62">
        <v>65535100</v>
      </c>
      <c r="Z3" s="6">
        <v>0</v>
      </c>
      <c r="AA3" s="6">
        <v>100</v>
      </c>
      <c r="AB3" s="6">
        <v>0</v>
      </c>
      <c r="AC3" s="17">
        <f ca="1">VLOOKUP($L3,OFFSET([3]enemies!$A$1,0,0,COUNTA([3]enemies!$A:$A),MATCH(AC$1,[3]enemies!$1:$1,0)-MATCH($L$1,[3]enemies!$1:$1,0)+1),MATCH(AC$1,[3]enemies!$1:$1,0)-MATCH($L$1,[3]enemies!$1:$1,0)+1,FALSE)</f>
        <v>1</v>
      </c>
      <c r="AD3" s="24">
        <f>L3</f>
        <v>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イレギュラー・ジェリー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4">
        <f ca="1">AF3</f>
        <v>2</v>
      </c>
      <c r="AJ3" s="8">
        <v>60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22" sqref="U2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7" t="s">
        <v>268</v>
      </c>
      <c r="V1" s="26" t="s">
        <v>50</v>
      </c>
      <c r="W1" s="107" t="s">
        <v>269</v>
      </c>
      <c r="X1" s="26" t="s">
        <v>52</v>
      </c>
      <c r="Y1" s="28" t="s">
        <v>133</v>
      </c>
      <c r="Z1" s="29" t="s">
        <v>132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65535_1-1/2&lt;lv1&gt;sq1st2</v>
      </c>
      <c r="B2" s="22">
        <v>65535</v>
      </c>
      <c r="C2" s="21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1">
        <v>1</v>
      </c>
      <c r="H2" s="15" t="str">
        <f>B2&amp;"_"&amp;C2&amp;"-"&amp;G2</f>
        <v>65535_1-1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>
        <v>1</v>
      </c>
      <c r="L2" s="38">
        <v>2</v>
      </c>
      <c r="M2" s="20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10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500</v>
      </c>
      <c r="V2" s="25">
        <v>1</v>
      </c>
      <c r="W2" s="10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203</v>
      </c>
      <c r="X2" s="5">
        <v>0</v>
      </c>
      <c r="Y2" s="4" t="str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2" s="4">
        <f ca="1">VLOOKUP($M2,OFFSET([3]enemies!$A$1,0,0,COUNTA([3]enemies!$A:$A),MATCH(Z$1,[3]enemies!$1:$1,0)-MATCH($M$1,[3]enemies!$1:$1,0)+1),MATCH(Z$1,[3]enemies!$1:$1,0)-MATCH($M$1,[3]enemies!$1:$1,0)+1,FALSE)</f>
        <v>0</v>
      </c>
      <c r="AA2" s="71">
        <f ca="1">VLOOKUP($M2,OFFSET([3]enemies!$A$1,0,0,COUNTA([3]enemies!$A:$A),MATCH(AA$1,[3]enemies!$1:$1,0)-MATCH($M$1,[3]enemies!$1:$1,0)+1),MATCH(AA$1,[3]enemies!$1:$1,0)-MATCH($M$1,[3]enemies!$1:$1,0)+1,FALSE)</f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A2" sqref="A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65535100_65535100</v>
      </c>
      <c r="B2" s="47">
        <v>65535100</v>
      </c>
      <c r="C2" s="47">
        <v>65535100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恍惚の表情を浮かべている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7">
        <v>65535100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topLeftCell="F1" workbookViewId="0">
      <pane ySplit="1" topLeftCell="A2" activePane="bottomLeft" state="frozenSplit"/>
      <selection pane="bottomLeft" activeCell="C4" sqref="C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130</v>
      </c>
      <c r="E1" s="40" t="s">
        <v>82</v>
      </c>
      <c r="F1" s="40" t="s">
        <v>83</v>
      </c>
      <c r="G1" s="41" t="s">
        <v>136</v>
      </c>
      <c r="H1" s="41" t="s">
        <v>142</v>
      </c>
      <c r="I1" s="41" t="s">
        <v>144</v>
      </c>
      <c r="J1" s="41" t="s">
        <v>143</v>
      </c>
      <c r="K1" s="41" t="s">
        <v>145</v>
      </c>
      <c r="L1" s="41" t="s">
        <v>137</v>
      </c>
      <c r="M1" s="41" t="s">
        <v>135</v>
      </c>
      <c r="N1" s="41" t="s">
        <v>138</v>
      </c>
      <c r="O1" s="41" t="s">
        <v>146</v>
      </c>
      <c r="P1" s="41" t="s">
        <v>147</v>
      </c>
      <c r="Q1" s="41" t="s">
        <v>148</v>
      </c>
      <c r="R1" s="41" t="s">
        <v>149</v>
      </c>
      <c r="S1" s="41" t="s">
        <v>139</v>
      </c>
      <c r="T1" s="41" t="s">
        <v>140</v>
      </c>
      <c r="U1" s="41" t="s">
        <v>150</v>
      </c>
      <c r="V1" s="41" t="s">
        <v>151</v>
      </c>
      <c r="W1" s="41" t="s">
        <v>152</v>
      </c>
      <c r="X1" s="41" t="s">
        <v>153</v>
      </c>
      <c r="Y1" s="41" t="s">
        <v>141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65535100</v>
      </c>
      <c r="B2" s="47" t="s">
        <v>84</v>
      </c>
      <c r="C2" s="50">
        <v>1</v>
      </c>
      <c r="D2" s="50" t="s">
        <v>131</v>
      </c>
      <c r="E2" s="51" t="s">
        <v>85</v>
      </c>
      <c r="F2" s="51" t="s">
        <v>86</v>
      </c>
      <c r="G2" s="64" t="str">
        <f>IFERROR(LEFT(B2,FIND("],",B2)),B2)</f>
        <v>[effect:heal, target:enemy_one, val:0.1, animation:enemy_heal]</v>
      </c>
      <c r="H2" s="64">
        <f>FIND("effect:",G2)+7</f>
        <v>9</v>
      </c>
      <c r="I2" s="64">
        <f>IFERROR(FIND(",",G2),LEN(G2))</f>
        <v>13</v>
      </c>
      <c r="J2" s="64">
        <f>FIND("target:",G2)+7</f>
        <v>22</v>
      </c>
      <c r="K2" s="64">
        <f>FIND(",",G2,I2+1)</f>
        <v>31</v>
      </c>
      <c r="L2" s="64" t="str">
        <f>IFERROR(VLOOKUP(MID(G2,J2,K2-J2),[6]skilldef!$C:$D,2,FALSE),"-") &amp; " / " &amp; IFERROR(VLOOKUP(MID(G2,H2,I2-H2),[6]skilldef!$A:$B,2,FALSE),"-")</f>
        <v>敵単体に / 回復</v>
      </c>
      <c r="M2" s="64" t="str">
        <f>IFERROR(RIGHT(B2,LEN(B2)-FIND("],",B2)-1),"none")</f>
        <v>none</v>
      </c>
      <c r="N2" s="48" t="str">
        <f>IFERROR(LEFT(M2,FIND("],",M2)+S12),M2)</f>
        <v>none</v>
      </c>
      <c r="O2" s="64" t="e">
        <f>FIND("effect:",N2)+7</f>
        <v>#VALUE!</v>
      </c>
      <c r="P2" s="64">
        <f>IFERROR(FIND(",",N2),LEN(N2))</f>
        <v>4</v>
      </c>
      <c r="Q2" s="64" t="e">
        <f>FIND("target:",N2)+7</f>
        <v>#VALUE!</v>
      </c>
      <c r="R2" s="64" t="e">
        <f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workbookViewId="0">
      <pane ySplit="1" topLeftCell="A2" activePane="bottomLeft" state="frozenSplit"/>
      <selection pane="bottomLeft" activeCell="G3" sqref="G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87</v>
      </c>
      <c r="B1" s="42" t="s">
        <v>88</v>
      </c>
      <c r="C1" s="42" t="s">
        <v>89</v>
      </c>
      <c r="D1" s="42" t="s">
        <v>90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91</v>
      </c>
    </row>
    <row r="2" spans="1:11" ht="21" customHeight="1" x14ac:dyDescent="0.15">
      <c r="A2" s="47">
        <v>65535100</v>
      </c>
      <c r="B2" s="47">
        <v>0</v>
      </c>
      <c r="C2" s="47" t="s">
        <v>92</v>
      </c>
      <c r="D2" s="47">
        <v>100</v>
      </c>
      <c r="E2" s="47" t="s">
        <v>271</v>
      </c>
      <c r="F2" s="47" t="s">
        <v>93</v>
      </c>
      <c r="G2" s="47" t="s">
        <v>271</v>
      </c>
      <c r="H2" s="47" t="s">
        <v>93</v>
      </c>
      <c r="I2" s="47" t="s">
        <v>93</v>
      </c>
      <c r="J2" s="48">
        <f t="shared" ref="J2" si="0">D2</f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154</v>
      </c>
      <c r="B1" s="65" t="s">
        <v>155</v>
      </c>
      <c r="C1" s="66" t="s">
        <v>156</v>
      </c>
      <c r="D1" s="73" t="s">
        <v>157</v>
      </c>
      <c r="E1" s="67" t="s">
        <v>158</v>
      </c>
      <c r="F1" s="65" t="s">
        <v>159</v>
      </c>
      <c r="G1" s="65" t="s">
        <v>160</v>
      </c>
      <c r="H1" s="65" t="s">
        <v>161</v>
      </c>
      <c r="I1" s="65" t="s">
        <v>162</v>
      </c>
      <c r="J1" s="65" t="s">
        <v>163</v>
      </c>
      <c r="K1" s="65" t="s">
        <v>164</v>
      </c>
      <c r="L1" s="65" t="s">
        <v>165</v>
      </c>
      <c r="M1" s="65" t="s">
        <v>166</v>
      </c>
      <c r="N1" s="65" t="s">
        <v>167</v>
      </c>
      <c r="O1" s="65" t="s">
        <v>168</v>
      </c>
      <c r="P1" s="65" t="s">
        <v>169</v>
      </c>
      <c r="Q1" s="65" t="s">
        <v>170</v>
      </c>
      <c r="R1" s="65" t="s">
        <v>171</v>
      </c>
    </row>
    <row r="2" spans="1:18" x14ac:dyDescent="0.15">
      <c r="A2" s="57">
        <f>floors!C2</f>
        <v>65535</v>
      </c>
      <c r="B2" s="57">
        <v>1</v>
      </c>
      <c r="C2" s="72" t="str">
        <f>A2&amp; "_"&amp;B2</f>
        <v>65535_1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172</v>
      </c>
      <c r="G2" s="57">
        <v>1000</v>
      </c>
      <c r="H2" s="57" t="s">
        <v>173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174</v>
      </c>
      <c r="R2" s="57" t="s">
        <v>175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193</v>
      </c>
      <c r="B1" s="74" t="s">
        <v>194</v>
      </c>
      <c r="C1" s="78" t="s">
        <v>195</v>
      </c>
      <c r="D1" s="78" t="s">
        <v>33</v>
      </c>
      <c r="E1" s="74" t="s">
        <v>196</v>
      </c>
      <c r="F1" s="78" t="s">
        <v>197</v>
      </c>
      <c r="G1" s="78" t="s">
        <v>33</v>
      </c>
      <c r="H1" s="74" t="s">
        <v>198</v>
      </c>
      <c r="I1" s="93" t="s">
        <v>200</v>
      </c>
      <c r="J1" s="80" t="s">
        <v>130</v>
      </c>
      <c r="K1" s="79" t="s">
        <v>191</v>
      </c>
      <c r="L1" s="94" t="s">
        <v>190</v>
      </c>
      <c r="M1" s="81" t="s">
        <v>201</v>
      </c>
    </row>
    <row r="2" spans="1:13" x14ac:dyDescent="0.15">
      <c r="A2" s="82" t="s">
        <v>205</v>
      </c>
      <c r="B2" s="83">
        <f>floors!$C$2</f>
        <v>65535</v>
      </c>
      <c r="C2" s="84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84" t="str">
        <f ca="1">VLOOKUP($B2,OFFSET([2]quests!$A$1,0,0,COUNTA([2]quests!$A:$A),MATCH(D$1,[2]quests!$1:$1,0)-MATCH($B$1,[2]quests!$1:$1,0)+1),MATCH(D$1,[2]quests!$1:$1,0)-MATCH($B$1,[2]quests!$1:$1,0)+1,FALSE)</f>
        <v>検証</v>
      </c>
      <c r="E2" s="88" t="s">
        <v>219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203</v>
      </c>
      <c r="K2" s="95" t="str">
        <f>VLOOKUP(I2,[7]stage_hints!$A:$C,3,FALSE)</f>
        <v>長くつなげて大ダメージ</v>
      </c>
      <c r="L2" s="96" t="str">
        <f>VLOOKUP(I2,[7]stage_hints!$A:$D,4,FALSE)</f>
        <v>パネルを長くつなげるほど_x000D_大ダメージを与えることができます</v>
      </c>
      <c r="M2" s="57" t="s">
        <v>216</v>
      </c>
    </row>
    <row r="3" spans="1:13" x14ac:dyDescent="0.15">
      <c r="A3" s="82" t="s">
        <v>205</v>
      </c>
      <c r="B3" s="83">
        <f>floors!$C$2</f>
        <v>65535</v>
      </c>
      <c r="C3" s="84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84" t="str">
        <f ca="1">VLOOKUP($B3,OFFSET([2]quests!$A$1,0,0,COUNTA([2]quests!$A:$A),MATCH(D$1,[2]quests!$1:$1,0)-MATCH($B$1,[2]quests!$1:$1,0)+1),MATCH(D$1,[2]quests!$1:$1,0)-MATCH($B$1,[2]quests!$1:$1,0)+1,FALSE)</f>
        <v>検証</v>
      </c>
      <c r="E3" s="88" t="s">
        <v>219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203</v>
      </c>
      <c r="K3" s="95" t="str">
        <f>VLOOKUP(I3,[7]stage_hints!$A:$C,3,FALSE)</f>
        <v>属性の相性</v>
      </c>
      <c r="L3" s="96" t="str">
        <f>VLOOKUP(I3,[7]stage_hints!$A:$D,4,FALSE)</f>
        <v>赤＞青　青＞黄　黄＞緑　緑＞赤_x000D_敵属性に最適なパーティがオススメです</v>
      </c>
      <c r="M3" s="57" t="s">
        <v>216</v>
      </c>
    </row>
    <row r="4" spans="1:13" x14ac:dyDescent="0.15">
      <c r="A4" s="82" t="s">
        <v>205</v>
      </c>
      <c r="B4" s="83">
        <f>floors!$C$2</f>
        <v>65535</v>
      </c>
      <c r="C4" s="84" t="str">
        <f ca="1">VLOOKUP($B4,OFFSET([2]quests!$A$1,0,0,COUNTA([2]quests!$A:$A),MATCH(C$1,[2]quests!$1:$1,0)-MATCH($B$1,[2]quests!$1:$1,0)+1),MATCH(C$1,[2]quests!$1:$1,0)-MATCH($B$1,[2]quests!$1:$1,0)+1,FALSE)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" s="84" t="str">
        <f ca="1">VLOOKUP($B4,OFFSET([2]quests!$A$1,0,0,COUNTA([2]quests!$A:$A),MATCH(D$1,[2]quests!$1:$1,0)-MATCH($B$1,[2]quests!$1:$1,0)+1),MATCH(D$1,[2]quests!$1:$1,0)-MATCH($B$1,[2]quests!$1:$1,0)+1,FALSE)</f>
        <v>検証</v>
      </c>
      <c r="E4" s="88" t="s">
        <v>219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203</v>
      </c>
      <c r="K4" s="95" t="str">
        <f>VLOOKUP(I4,[7]stage_hints!$A:$C,3,FALSE)</f>
        <v>ターゲット</v>
      </c>
      <c r="L4" s="96" t="str">
        <f>VLOOKUP(I4,[7]stage_hints!$A:$D,4,FALSE)</f>
        <v>敵ユニットをタップすると_x000D_その敵を狙い撃ちできます</v>
      </c>
      <c r="M4" s="57" t="s">
        <v>216</v>
      </c>
    </row>
    <row r="5" spans="1:13" x14ac:dyDescent="0.15">
      <c r="A5" s="82" t="s">
        <v>205</v>
      </c>
      <c r="B5" s="83">
        <f>floors!$C$2</f>
        <v>65535</v>
      </c>
      <c r="C5" s="84" t="str">
        <f ca="1">VLOOKUP($B5,OFFSET([2]quests!$A$1,0,0,COUNTA([2]quests!$A:$A),MATCH(C$1,[2]quests!$1:$1,0)-MATCH($B$1,[2]quests!$1:$1,0)+1),MATCH(C$1,[2]quests!$1:$1,0)-MATCH($B$1,[2]quests!$1:$1,0)+1,FALSE)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" s="84" t="str">
        <f ca="1">VLOOKUP($B5,OFFSET([2]quests!$A$1,0,0,COUNTA([2]quests!$A:$A),MATCH(D$1,[2]quests!$1:$1,0)-MATCH($B$1,[2]quests!$1:$1,0)+1),MATCH(D$1,[2]quests!$1:$1,0)-MATCH($B$1,[2]quests!$1:$1,0)+1,FALSE)</f>
        <v>検証</v>
      </c>
      <c r="E5" s="88" t="s">
        <v>219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203</v>
      </c>
      <c r="K5" s="95" t="str">
        <f>VLOOKUP(I5,[7]stage_hints!$A:$C,3,FALSE)</f>
        <v>ユニット強化でレベルアップ</v>
      </c>
      <c r="L5" s="96" t="str">
        <f>VLOOKUP(I5,[7]stage_hints!$A:$D,4,FALSE)</f>
        <v>「ユニット強化」でレベルアップすると_x000D_勝てない敵にも勝てるようになります</v>
      </c>
      <c r="M5" s="57" t="s">
        <v>216</v>
      </c>
    </row>
    <row r="6" spans="1:13" x14ac:dyDescent="0.15">
      <c r="A6" s="82" t="s">
        <v>205</v>
      </c>
      <c r="B6" s="83">
        <f>floors!$C$2</f>
        <v>65535</v>
      </c>
      <c r="C6" s="84" t="str">
        <f ca="1">VLOOKUP($B6,OFFSET([2]quests!$A$1,0,0,COUNTA([2]quests!$A:$A),MATCH(C$1,[2]quests!$1:$1,0)-MATCH($B$1,[2]quests!$1:$1,0)+1),MATCH(C$1,[2]quests!$1:$1,0)-MATCH($B$1,[2]quests!$1:$1,0)+1,FALSE)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" s="84" t="str">
        <f ca="1">VLOOKUP($B6,OFFSET([2]quests!$A$1,0,0,COUNTA([2]quests!$A:$A),MATCH(D$1,[2]quests!$1:$1,0)-MATCH($B$1,[2]quests!$1:$1,0)+1),MATCH(D$1,[2]quests!$1:$1,0)-MATCH($B$1,[2]quests!$1:$1,0)+1,FALSE)</f>
        <v>検証</v>
      </c>
      <c r="E6" s="88" t="s">
        <v>219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203</v>
      </c>
      <c r="K6" s="95" t="str">
        <f>VLOOKUP(I6,[7]stage_hints!$A:$C,3,FALSE)</f>
        <v>ユニット強化の属性ボーナス</v>
      </c>
      <c r="L6" s="96" t="str">
        <f>VLOOKUP(I6,[7]stage_hints!$A:$D,4,FALSE)</f>
        <v>同属性ユニットを強化素材にすると_x000D_経験値が多くもらえます</v>
      </c>
      <c r="M6" s="57" t="s">
        <v>216</v>
      </c>
    </row>
    <row r="7" spans="1:13" x14ac:dyDescent="0.15">
      <c r="A7" s="82" t="s">
        <v>205</v>
      </c>
      <c r="B7" s="83">
        <f>floors!$C$2</f>
        <v>65535</v>
      </c>
      <c r="C7" s="84" t="str">
        <f ca="1">VLOOKUP($B7,OFFSET([2]quests!$A$1,0,0,COUNTA([2]quests!$A:$A),MATCH(C$1,[2]quests!$1:$1,0)-MATCH($B$1,[2]quests!$1:$1,0)+1),MATCH(C$1,[2]quests!$1:$1,0)-MATCH($B$1,[2]quests!$1:$1,0)+1,FALSE)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" s="84" t="str">
        <f ca="1">VLOOKUP($B7,OFFSET([2]quests!$A$1,0,0,COUNTA([2]quests!$A:$A),MATCH(D$1,[2]quests!$1:$1,0)-MATCH($B$1,[2]quests!$1:$1,0)+1),MATCH(D$1,[2]quests!$1:$1,0)-MATCH($B$1,[2]quests!$1:$1,0)+1,FALSE)</f>
        <v>検証</v>
      </c>
      <c r="E7" s="88" t="s">
        <v>219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203</v>
      </c>
      <c r="K7" s="95" t="str">
        <f>VLOOKUP(I7,[7]stage_hints!$A:$C,3,FALSE)</f>
        <v>メタルダックで経験値を獲得</v>
      </c>
      <c r="L7" s="96" t="str">
        <f>VLOOKUP(I7,[7]stage_hints!$A:$D,4,FALSE)</f>
        <v>「メタルなアヒル」を強化素材にすると_x000D_大量の経験値がもらえます</v>
      </c>
      <c r="M7" s="57" t="s">
        <v>216</v>
      </c>
    </row>
    <row r="8" spans="1:13" x14ac:dyDescent="0.15">
      <c r="A8" s="82" t="s">
        <v>205</v>
      </c>
      <c r="B8" s="83">
        <f>floors!$C$2</f>
        <v>65535</v>
      </c>
      <c r="C8" s="84" t="str">
        <f ca="1">VLOOKUP($B8,OFFSET([2]quests!$A$1,0,0,COUNTA([2]quests!$A:$A),MATCH(C$1,[2]quests!$1:$1,0)-MATCH($B$1,[2]quests!$1:$1,0)+1),MATCH(C$1,[2]quests!$1:$1,0)-MATCH($B$1,[2]quests!$1:$1,0)+1,FALSE)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" s="84" t="str">
        <f ca="1">VLOOKUP($B8,OFFSET([2]quests!$A$1,0,0,COUNTA([2]quests!$A:$A),MATCH(D$1,[2]quests!$1:$1,0)-MATCH($B$1,[2]quests!$1:$1,0)+1),MATCH(D$1,[2]quests!$1:$1,0)-MATCH($B$1,[2]quests!$1:$1,0)+1,FALSE)</f>
        <v>検証</v>
      </c>
      <c r="E8" s="88" t="s">
        <v>219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203</v>
      </c>
      <c r="K8" s="95" t="str">
        <f>VLOOKUP(I8,[7]stage_hints!$A:$C,3,FALSE)</f>
        <v>ゲリラクエストは要チェック</v>
      </c>
      <c r="L8" s="96" t="str">
        <f>VLOOKUP(I8,[7]stage_hints!$A:$D,4,FALSE)</f>
        <v>時間限定の「アヒル捕獲作戦」では_x000D_経験値素材ユニットが多く手に入ります</v>
      </c>
      <c r="M8" s="57" t="s">
        <v>216</v>
      </c>
    </row>
    <row r="9" spans="1:13" x14ac:dyDescent="0.15">
      <c r="A9" s="82" t="s">
        <v>205</v>
      </c>
      <c r="B9" s="83">
        <f>floors!$C$2</f>
        <v>65535</v>
      </c>
      <c r="C9" s="84" t="str">
        <f ca="1">VLOOKUP($B9,OFFSET([2]quests!$A$1,0,0,COUNTA([2]quests!$A:$A),MATCH(C$1,[2]quests!$1:$1,0)-MATCH($B$1,[2]quests!$1:$1,0)+1),MATCH(C$1,[2]quests!$1:$1,0)-MATCH($B$1,[2]quests!$1:$1,0)+1,FALSE)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" s="84" t="str">
        <f ca="1">VLOOKUP($B9,OFFSET([2]quests!$A$1,0,0,COUNTA([2]quests!$A:$A),MATCH(D$1,[2]quests!$1:$1,0)-MATCH($B$1,[2]quests!$1:$1,0)+1),MATCH(D$1,[2]quests!$1:$1,0)-MATCH($B$1,[2]quests!$1:$1,0)+1,FALSE)</f>
        <v>検証</v>
      </c>
      <c r="E9" s="88" t="s">
        <v>219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203</v>
      </c>
      <c r="K9" s="95" t="str">
        <f>VLOOKUP(I9,[7]stage_hints!$A:$C,3,FALSE)</f>
        <v>ゴールドダックでビットを獲得</v>
      </c>
      <c r="L9" s="96" t="str">
        <f>VLOOKUP(I9,[7]stage_hints!$A:$D,4,FALSE)</f>
        <v>「ゴールドなアヒル」を売却すると_x000D_大量のビットがもらえます</v>
      </c>
      <c r="M9" s="57" t="s">
        <v>216</v>
      </c>
    </row>
    <row r="10" spans="1:13" x14ac:dyDescent="0.15">
      <c r="A10" s="82" t="s">
        <v>205</v>
      </c>
      <c r="B10" s="83">
        <f>floors!$C$2</f>
        <v>65535</v>
      </c>
      <c r="C10" s="84" t="str">
        <f ca="1">VLOOKUP($B10,OFFSET([2]quests!$A$1,0,0,COUNTA([2]quests!$A:$A),MATCH(C$1,[2]quests!$1:$1,0)-MATCH($B$1,[2]quests!$1:$1,0)+1),MATCH(C$1,[2]quests!$1:$1,0)-MATCH($B$1,[2]quests!$1:$1,0)+1,FALSE)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" s="84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8" t="s">
        <v>219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203</v>
      </c>
      <c r="K10" s="95" t="str">
        <f>VLOOKUP(I10,[7]stage_hints!$A:$C,3,FALSE)</f>
        <v>土日に大量のビットを獲得</v>
      </c>
      <c r="L10" s="96" t="str">
        <f>VLOOKUP(I10,[7]stage_hints!$A:$D,4,FALSE)</f>
        <v>土日限定の「ゴールドカジノ」では_x000D_売却素材ユニットが多く手に入ります</v>
      </c>
      <c r="M10" s="57" t="s">
        <v>216</v>
      </c>
    </row>
    <row r="11" spans="1:13" x14ac:dyDescent="0.15">
      <c r="A11" s="82" t="s">
        <v>205</v>
      </c>
      <c r="B11" s="83">
        <f>floors!$C$2</f>
        <v>65535</v>
      </c>
      <c r="C11" s="84" t="str">
        <f ca="1">VLOOKUP($B11,OFFSET([2]quests!$A$1,0,0,COUNTA([2]quests!$A:$A),MATCH(C$1,[2]quests!$1:$1,0)-MATCH($B$1,[2]quests!$1:$1,0)+1),MATCH(C$1,[2]quests!$1:$1,0)-MATCH($B$1,[2]quests!$1:$1,0)+1,FALSE)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" s="84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8" t="s">
        <v>219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203</v>
      </c>
      <c r="K11" s="95" t="str">
        <f>VLOOKUP(I11,[7]stage_hints!$A:$C,3,FALSE)</f>
        <v>ランク解放クエスト</v>
      </c>
      <c r="L11" s="96" t="str">
        <f>VLOOKUP(I11,[7]stage_hints!$A:$D,4,FALSE)</f>
        <v>一定ランクに到達すると_x000D_報酬付きのランク開放クエストが現れます</v>
      </c>
      <c r="M11" s="57" t="s">
        <v>216</v>
      </c>
    </row>
    <row r="12" spans="1:13" x14ac:dyDescent="0.15">
      <c r="A12" s="82" t="s">
        <v>205</v>
      </c>
      <c r="B12" s="83">
        <f>floors!$C$2</f>
        <v>65535</v>
      </c>
      <c r="C12" s="84" t="str">
        <f ca="1">VLOOKUP($B12,OFFSET([2]quests!$A$1,0,0,COUNTA([2]quests!$A:$A),MATCH(C$1,[2]quests!$1:$1,0)-MATCH($B$1,[2]quests!$1:$1,0)+1),MATCH(C$1,[2]quests!$1:$1,0)-MATCH($B$1,[2]quests!$1:$1,0)+1,FALSE)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" s="84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8" t="s">
        <v>219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203</v>
      </c>
      <c r="K12" s="95" t="str">
        <f>VLOOKUP(I12,[7]stage_hints!$A:$C,3,FALSE)</f>
        <v>ユニットのお気に入り登録</v>
      </c>
      <c r="L12" s="96" t="str">
        <f>VLOOKUP(I12,[7]stage_hints!$A:$D,4,FALSE)</f>
        <v>大事なユニットを誤って消さないように_x000D_フォルダから「お気に入り登録」しましょう</v>
      </c>
      <c r="M12" s="57" t="s">
        <v>216</v>
      </c>
    </row>
    <row r="13" spans="1:13" x14ac:dyDescent="0.15">
      <c r="A13" s="82" t="s">
        <v>205</v>
      </c>
      <c r="B13" s="83">
        <f>floors!$C$2</f>
        <v>65535</v>
      </c>
      <c r="C13" s="84" t="str">
        <f ca="1">VLOOKUP($B13,OFFSET([2]quests!$A$1,0,0,COUNTA([2]quests!$A:$A),MATCH(C$1,[2]quests!$1:$1,0)-MATCH($B$1,[2]quests!$1:$1,0)+1),MATCH(C$1,[2]quests!$1:$1,0)-MATCH($B$1,[2]quests!$1:$1,0)+1,FALSE)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" s="84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8" t="s">
        <v>219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203</v>
      </c>
      <c r="K13" s="95" t="str">
        <f>VLOOKUP(I13,[7]stage_hints!$A:$C,3,FALSE)</f>
        <v>ユニットの覚醒</v>
      </c>
      <c r="L13" s="96" t="str">
        <f>VLOOKUP(I13,[7]stage_hints!$A:$D,4,FALSE)</f>
        <v>ユニットを覚醒させると_x000D_比べものにならない強さが手に入ります</v>
      </c>
      <c r="M13" s="57" t="s">
        <v>216</v>
      </c>
    </row>
    <row r="14" spans="1:13" x14ac:dyDescent="0.15">
      <c r="A14" s="82" t="s">
        <v>205</v>
      </c>
      <c r="B14" s="83">
        <f>floors!$C$2</f>
        <v>65535</v>
      </c>
      <c r="C14" s="84" t="str">
        <f ca="1">VLOOKUP($B14,OFFSET([2]quests!$A$1,0,0,COUNTA([2]quests!$A:$A),MATCH(C$1,[2]quests!$1:$1,0)-MATCH($B$1,[2]quests!$1:$1,0)+1),MATCH(C$1,[2]quests!$1:$1,0)-MATCH($B$1,[2]quests!$1:$1,0)+1,FALSE)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4" s="84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8" t="s">
        <v>219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203</v>
      </c>
      <c r="K14" s="95" t="str">
        <f>VLOOKUP(I14,[7]stage_hints!$A:$C,3,FALSE)</f>
        <v>覚醒するにはレベルを最大に</v>
      </c>
      <c r="L14" s="96" t="str">
        <f>VLOOKUP(I14,[7]stage_hints!$A:$D,4,FALSE)</f>
        <v>覚醒するにはユニットのレベルを_x000D_最大まで上げる必要があります</v>
      </c>
      <c r="M14" s="57" t="s">
        <v>216</v>
      </c>
    </row>
    <row r="15" spans="1:13" x14ac:dyDescent="0.15">
      <c r="A15" s="82" t="s">
        <v>205</v>
      </c>
      <c r="B15" s="83">
        <f>floors!$C$2</f>
        <v>65535</v>
      </c>
      <c r="C15" s="84" t="str">
        <f ca="1">VLOOKUP($B15,OFFSET([2]quests!$A$1,0,0,COUNTA([2]quests!$A:$A),MATCH(C$1,[2]quests!$1:$1,0)-MATCH($B$1,[2]quests!$1:$1,0)+1),MATCH(C$1,[2]quests!$1:$1,0)-MATCH($B$1,[2]quests!$1:$1,0)+1,FALSE)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5" s="84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8" t="s">
        <v>219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203</v>
      </c>
      <c r="K15" s="95" t="str">
        <f>VLOOKUP(I15,[7]stage_hints!$A:$C,3,FALSE)</f>
        <v>覚醒素材を獲得</v>
      </c>
      <c r="L15" s="96" t="str">
        <f>VLOOKUP(I15,[7]stage_hints!$A:$D,4,FALSE)</f>
        <v>「曜日クエスト」では_x000D_ユニットの覚醒に必要な素材が手に入ります</v>
      </c>
      <c r="M15" s="57" t="s">
        <v>216</v>
      </c>
    </row>
    <row r="16" spans="1:13" x14ac:dyDescent="0.15">
      <c r="A16" s="82" t="s">
        <v>205</v>
      </c>
      <c r="B16" s="83">
        <f>floors!$C$2</f>
        <v>65535</v>
      </c>
      <c r="C16" s="84" t="str">
        <f ca="1">VLOOKUP($B16,OFFSET([2]quests!$A$1,0,0,COUNTA([2]quests!$A:$A),MATCH(C$1,[2]quests!$1:$1,0)-MATCH($B$1,[2]quests!$1:$1,0)+1),MATCH(C$1,[2]quests!$1:$1,0)-MATCH($B$1,[2]quests!$1:$1,0)+1,FALSE)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6" s="84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8" t="s">
        <v>219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203</v>
      </c>
      <c r="K16" s="95" t="str">
        <f>VLOOKUP(I16,[7]stage_hints!$A:$C,3,FALSE)</f>
        <v>マルチプレイのメリット（その1）</v>
      </c>
      <c r="L16" s="96" t="str">
        <f>VLOOKUP(I16,[7]stage_hints!$A:$D,4,FALSE)</f>
        <v>他のプレイヤーとマルチプレイで遊ぶと_x000D_ポリゴンがもらえます（100人まで）</v>
      </c>
      <c r="M16" s="57" t="s">
        <v>216</v>
      </c>
    </row>
    <row r="17" spans="1:13" x14ac:dyDescent="0.15">
      <c r="A17" s="82" t="s">
        <v>205</v>
      </c>
      <c r="B17" s="83">
        <f>floors!$C$2</f>
        <v>65535</v>
      </c>
      <c r="C17" s="84" t="str">
        <f ca="1">VLOOKUP($B17,OFFSET([2]quests!$A$1,0,0,COUNTA([2]quests!$A:$A),MATCH(C$1,[2]quests!$1:$1,0)-MATCH($B$1,[2]quests!$1:$1,0)+1),MATCH(C$1,[2]quests!$1:$1,0)-MATCH($B$1,[2]quests!$1:$1,0)+1,FALSE)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7" s="84" t="str">
        <f ca="1">VLOOKUP($B17,OFFSET([2]quests!$A$1,0,0,COUNTA([2]quests!$A:$A),MATCH(D$1,[2]quests!$1:$1,0)-MATCH($B$1,[2]quests!$1:$1,0)+1),MATCH(D$1,[2]quests!$1:$1,0)-MATCH($B$1,[2]quests!$1:$1,0)+1,FALSE)</f>
        <v>検証</v>
      </c>
      <c r="E17" s="88" t="s">
        <v>219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203</v>
      </c>
      <c r="K17" s="95" t="str">
        <f>VLOOKUP(I17,[7]stage_hints!$A:$C,3,FALSE)</f>
        <v>リンクガチャ</v>
      </c>
      <c r="L17" s="96" t="str">
        <f>VLOOKUP(I17,[7]stage_hints!$A:$D,4,FALSE)</f>
        <v>無料のリンクガチャを回して_x000D_経験値素材や売却素材を獲得しましょう</v>
      </c>
      <c r="M17" s="57" t="s">
        <v>216</v>
      </c>
    </row>
    <row r="18" spans="1:13" x14ac:dyDescent="0.15">
      <c r="A18" s="82" t="s">
        <v>205</v>
      </c>
      <c r="B18" s="83">
        <f>floors!$C$2</f>
        <v>65535</v>
      </c>
      <c r="C18" s="84" t="str">
        <f ca="1">VLOOKUP($B18,OFFSET([2]quests!$A$1,0,0,COUNTA([2]quests!$A:$A),MATCH(C$1,[2]quests!$1:$1,0)-MATCH($B$1,[2]quests!$1:$1,0)+1),MATCH(C$1,[2]quests!$1:$1,0)-MATCH($B$1,[2]quests!$1:$1,0)+1,FALSE)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8" s="84" t="str">
        <f ca="1">VLOOKUP($B18,OFFSET([2]quests!$A$1,0,0,COUNTA([2]quests!$A:$A),MATCH(D$1,[2]quests!$1:$1,0)-MATCH($B$1,[2]quests!$1:$1,0)+1),MATCH(D$1,[2]quests!$1:$1,0)-MATCH($B$1,[2]quests!$1:$1,0)+1,FALSE)</f>
        <v>検証</v>
      </c>
      <c r="E18" s="88" t="s">
        <v>219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203</v>
      </c>
      <c r="K18" s="95" t="str">
        <f>VLOOKUP(I18,[7]stage_hints!$A:$C,3,FALSE)</f>
        <v>マルチプレイのメリット（その2）</v>
      </c>
      <c r="L18" s="96" t="str">
        <f>VLOOKUP(I18,[7]stage_hints!$A:$D,4,FALSE)</f>
        <v>マルチプレイならリンクが2倍もらえます_x000D_リンクガチャをたくさん回しましょう</v>
      </c>
      <c r="M18" s="57" t="s">
        <v>216</v>
      </c>
    </row>
    <row r="19" spans="1:13" x14ac:dyDescent="0.15">
      <c r="A19" s="82" t="s">
        <v>205</v>
      </c>
      <c r="B19" s="83">
        <f>floors!$C$2</f>
        <v>65535</v>
      </c>
      <c r="C19" s="84" t="str">
        <f ca="1">VLOOKUP($B19,OFFSET([2]quests!$A$1,0,0,COUNTA([2]quests!$A:$A),MATCH(C$1,[2]quests!$1:$1,0)-MATCH($B$1,[2]quests!$1:$1,0)+1),MATCH(C$1,[2]quests!$1:$1,0)-MATCH($B$1,[2]quests!$1:$1,0)+1,FALSE)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9" s="84" t="str">
        <f ca="1">VLOOKUP($B19,OFFSET([2]quests!$A$1,0,0,COUNTA([2]quests!$A:$A),MATCH(D$1,[2]quests!$1:$1,0)-MATCH($B$1,[2]quests!$1:$1,0)+1),MATCH(D$1,[2]quests!$1:$1,0)-MATCH($B$1,[2]quests!$1:$1,0)+1,FALSE)</f>
        <v>検証</v>
      </c>
      <c r="E19" s="88" t="s">
        <v>219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203</v>
      </c>
      <c r="K19" s="95" t="str">
        <f>VLOOKUP(I19,[7]stage_hints!$A:$C,3,FALSE)</f>
        <v>ソロ専用タワーオブザクイーン</v>
      </c>
      <c r="L19" s="96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7" t="s">
        <v>216</v>
      </c>
    </row>
    <row r="20" spans="1:13" x14ac:dyDescent="0.15">
      <c r="A20" s="82" t="s">
        <v>205</v>
      </c>
      <c r="B20" s="83">
        <f>floors!$C$2</f>
        <v>65535</v>
      </c>
      <c r="C20" s="84" t="str">
        <f ca="1">VLOOKUP($B20,OFFSET([2]quests!$A$1,0,0,COUNTA([2]quests!$A:$A),MATCH(C$1,[2]quests!$1:$1,0)-MATCH($B$1,[2]quests!$1:$1,0)+1),MATCH(C$1,[2]quests!$1:$1,0)-MATCH($B$1,[2]quests!$1:$1,0)+1,FALSE)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0" s="84" t="str">
        <f ca="1">VLOOKUP($B20,OFFSET([2]quests!$A$1,0,0,COUNTA([2]quests!$A:$A),MATCH(D$1,[2]quests!$1:$1,0)-MATCH($B$1,[2]quests!$1:$1,0)+1),MATCH(D$1,[2]quests!$1:$1,0)-MATCH($B$1,[2]quests!$1:$1,0)+1,FALSE)</f>
        <v>検証</v>
      </c>
      <c r="E20" s="88" t="s">
        <v>219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203</v>
      </c>
      <c r="K20" s="95" t="str">
        <f>VLOOKUP(I20,[7]stage_hints!$A:$C,3,FALSE)</f>
        <v>マルチプレイのメリット（その3）</v>
      </c>
      <c r="L20" s="96" t="str">
        <f>VLOOKUP(I20,[7]stage_hints!$A:$D,4,FALSE)</f>
        <v>マルチプレイへの参加はエナジー消費ゼロ_x000D_いつでも好きなだけ遊ぶことができます</v>
      </c>
      <c r="M20" s="57" t="s">
        <v>216</v>
      </c>
    </row>
    <row r="21" spans="1:13" x14ac:dyDescent="0.15">
      <c r="A21" s="82" t="s">
        <v>205</v>
      </c>
      <c r="B21" s="83">
        <f>floors!$C$2</f>
        <v>65535</v>
      </c>
      <c r="C21" s="84" t="str">
        <f ca="1">VLOOKUP($B21,OFFSET([2]quests!$A$1,0,0,COUNTA([2]quests!$A:$A),MATCH(C$1,[2]quests!$1:$1,0)-MATCH($B$1,[2]quests!$1:$1,0)+1),MATCH(C$1,[2]quests!$1:$1,0)-MATCH($B$1,[2]quests!$1:$1,0)+1,FALSE)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1" s="84" t="str">
        <f ca="1">VLOOKUP($B21,OFFSET([2]quests!$A$1,0,0,COUNTA([2]quests!$A:$A),MATCH(D$1,[2]quests!$1:$1,0)-MATCH($B$1,[2]quests!$1:$1,0)+1),MATCH(D$1,[2]quests!$1:$1,0)-MATCH($B$1,[2]quests!$1:$1,0)+1,FALSE)</f>
        <v>検証</v>
      </c>
      <c r="E21" s="88" t="s">
        <v>219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203</v>
      </c>
      <c r="K21" s="95" t="str">
        <f>VLOOKUP(I21,[7]stage_hints!$A:$C,3,FALSE)</f>
        <v>スキルを有効に</v>
      </c>
      <c r="L21" s="96" t="str">
        <f>VLOOKUP(I21,[7]stage_hints!$A:$D,4,FALSE)</f>
        <v>ターン経過でユニットのスキルが使えます_x000D_強力スキルでバトルを有利に進めましょう</v>
      </c>
      <c r="M21" s="57" t="s">
        <v>216</v>
      </c>
    </row>
    <row r="22" spans="1:13" x14ac:dyDescent="0.15">
      <c r="A22" s="82" t="s">
        <v>205</v>
      </c>
      <c r="B22" s="83">
        <f>floors!$C$2</f>
        <v>65535</v>
      </c>
      <c r="C22" s="84" t="str">
        <f ca="1">VLOOKUP($B22,OFFSET([2]quests!$A$1,0,0,COUNTA([2]quests!$A:$A),MATCH(C$1,[2]quests!$1:$1,0)-MATCH($B$1,[2]quests!$1:$1,0)+1),MATCH(C$1,[2]quests!$1:$1,0)-MATCH($B$1,[2]quests!$1:$1,0)+1,FALSE)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2" s="84" t="str">
        <f ca="1">VLOOKUP($B22,OFFSET([2]quests!$A$1,0,0,COUNTA([2]quests!$A:$A),MATCH(D$1,[2]quests!$1:$1,0)-MATCH($B$1,[2]quests!$1:$1,0)+1),MATCH(D$1,[2]quests!$1:$1,0)-MATCH($B$1,[2]quests!$1:$1,0)+1,FALSE)</f>
        <v>検証</v>
      </c>
      <c r="E22" s="88" t="s">
        <v>219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203</v>
      </c>
      <c r="K22" s="95" t="str">
        <f>VLOOKUP(I22,[7]stage_hints!$A:$C,3,FALSE)</f>
        <v>フィーバーで一発逆転（その1）</v>
      </c>
      <c r="L22" s="96" t="str">
        <f>VLOOKUP(I22,[7]stage_hints!$A:$D,4,FALSE)</f>
        <v>フィーバーは攻撃と回復を兼ね備えます_x000D_ピンチからの一発逆転を狙いましょう</v>
      </c>
      <c r="M22" s="57" t="s">
        <v>216</v>
      </c>
    </row>
    <row r="23" spans="1:13" x14ac:dyDescent="0.15">
      <c r="A23" s="82" t="s">
        <v>205</v>
      </c>
      <c r="B23" s="83">
        <f>floors!$C$2</f>
        <v>65535</v>
      </c>
      <c r="C23" s="84" t="str">
        <f ca="1">VLOOKUP($B23,OFFSET([2]quests!$A$1,0,0,COUNTA([2]quests!$A:$A),MATCH(C$1,[2]quests!$1:$1,0)-MATCH($B$1,[2]quests!$1:$1,0)+1),MATCH(C$1,[2]quests!$1:$1,0)-MATCH($B$1,[2]quests!$1:$1,0)+1,FALSE)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3" s="84" t="str">
        <f ca="1">VLOOKUP($B23,OFFSET([2]quests!$A$1,0,0,COUNTA([2]quests!$A:$A),MATCH(D$1,[2]quests!$1:$1,0)-MATCH($B$1,[2]quests!$1:$1,0)+1),MATCH(D$1,[2]quests!$1:$1,0)-MATCH($B$1,[2]quests!$1:$1,0)+1,FALSE)</f>
        <v>検証</v>
      </c>
      <c r="E23" s="88" t="s">
        <v>219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203</v>
      </c>
      <c r="K23" s="95" t="str">
        <f>VLOOKUP(I23,[7]stage_hints!$A:$C,3,FALSE)</f>
        <v>フィーバーで一発逆転（その2）</v>
      </c>
      <c r="L23" s="96" t="str">
        <f>VLOOKUP(I23,[7]stage_hints!$A:$D,4,FALSE)</f>
        <v>フィーバー中は虹色のボムパネルを狙って_x000D_画面上のパネルを一気に破壊しましょう</v>
      </c>
      <c r="M23" s="57" t="s">
        <v>216</v>
      </c>
    </row>
    <row r="24" spans="1:13" x14ac:dyDescent="0.15">
      <c r="A24" s="82" t="s">
        <v>205</v>
      </c>
      <c r="B24" s="83">
        <f>floors!$C$2</f>
        <v>65535</v>
      </c>
      <c r="C24" s="84" t="str">
        <f ca="1">VLOOKUP($B24,OFFSET([2]quests!$A$1,0,0,COUNTA([2]quests!$A:$A),MATCH(C$1,[2]quests!$1:$1,0)-MATCH($B$1,[2]quests!$1:$1,0)+1),MATCH(C$1,[2]quests!$1:$1,0)-MATCH($B$1,[2]quests!$1:$1,0)+1,FALSE)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4" s="84" t="str">
        <f ca="1">VLOOKUP($B24,OFFSET([2]quests!$A$1,0,0,COUNTA([2]quests!$A:$A),MATCH(D$1,[2]quests!$1:$1,0)-MATCH($B$1,[2]quests!$1:$1,0)+1),MATCH(D$1,[2]quests!$1:$1,0)-MATCH($B$1,[2]quests!$1:$1,0)+1,FALSE)</f>
        <v>検証</v>
      </c>
      <c r="E24" s="88" t="s">
        <v>219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203</v>
      </c>
      <c r="K24" s="95" t="str">
        <f>VLOOKUP(I24,[7]stage_hints!$A:$C,3,FALSE)</f>
        <v>りんごを使って限界突破</v>
      </c>
      <c r="L24" s="96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216</v>
      </c>
    </row>
    <row r="25" spans="1:13" x14ac:dyDescent="0.15">
      <c r="A25" s="82" t="s">
        <v>205</v>
      </c>
      <c r="B25" s="83">
        <f>floors!$C$2</f>
        <v>65535</v>
      </c>
      <c r="C25" s="84" t="str">
        <f ca="1">VLOOKUP($B25,OFFSET([2]quests!$A$1,0,0,COUNTA([2]quests!$A:$A),MATCH(C$1,[2]quests!$1:$1,0)-MATCH($B$1,[2]quests!$1:$1,0)+1),MATCH(C$1,[2]quests!$1:$1,0)-MATCH($B$1,[2]quests!$1:$1,0)+1,FALSE)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5" s="84" t="str">
        <f ca="1">VLOOKUP($B25,OFFSET([2]quests!$A$1,0,0,COUNTA([2]quests!$A:$A),MATCH(D$1,[2]quests!$1:$1,0)-MATCH($B$1,[2]quests!$1:$1,0)+1),MATCH(D$1,[2]quests!$1:$1,0)-MATCH($B$1,[2]quests!$1:$1,0)+1,FALSE)</f>
        <v>検証</v>
      </c>
      <c r="E25" s="88" t="s">
        <v>219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203</v>
      </c>
      <c r="K25" s="95" t="str">
        <f>VLOOKUP(I25,[7]stage_hints!$A:$C,3,FALSE)</f>
        <v>スキルレベルアップ</v>
      </c>
      <c r="L25" s="96" t="str">
        <f>VLOOKUP(I25,[7]stage_hints!$A:$D,4,FALSE)</f>
        <v>「クリスタルのりんご」を強化に使うと_x000D_スキルレベルを上げることができます</v>
      </c>
      <c r="M25" s="57" t="s">
        <v>216</v>
      </c>
    </row>
    <row r="26" spans="1:13" x14ac:dyDescent="0.15">
      <c r="A26" s="82" t="s">
        <v>205</v>
      </c>
      <c r="B26" s="83">
        <f>floors!$C$2</f>
        <v>65535</v>
      </c>
      <c r="C26" s="84" t="str">
        <f ca="1">VLOOKUP($B26,OFFSET([2]quests!$A$1,0,0,COUNTA([2]quests!$A:$A),MATCH(C$1,[2]quests!$1:$1,0)-MATCH($B$1,[2]quests!$1:$1,0)+1),MATCH(C$1,[2]quests!$1:$1,0)-MATCH($B$1,[2]quests!$1:$1,0)+1,FALSE)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6" s="84" t="str">
        <f ca="1">VLOOKUP($B26,OFFSET([2]quests!$A$1,0,0,COUNTA([2]quests!$A:$A),MATCH(D$1,[2]quests!$1:$1,0)-MATCH($B$1,[2]quests!$1:$1,0)+1),MATCH(D$1,[2]quests!$1:$1,0)-MATCH($B$1,[2]quests!$1:$1,0)+1,FALSE)</f>
        <v>検証</v>
      </c>
      <c r="E26" s="88" t="s">
        <v>219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203</v>
      </c>
      <c r="K26" s="95" t="str">
        <f>VLOOKUP(I26,[7]stage_hints!$A:$C,3,FALSE)</f>
        <v>スキルレベルの効果</v>
      </c>
      <c r="L26" s="96" t="str">
        <f>VLOOKUP(I26,[7]stage_hints!$A:$D,4,FALSE)</f>
        <v>スキルレベルが上がると_x000D_短いターンでスキルを使うことができます</v>
      </c>
      <c r="M26" s="57" t="s">
        <v>216</v>
      </c>
    </row>
    <row r="27" spans="1:13" x14ac:dyDescent="0.15">
      <c r="A27" s="82" t="s">
        <v>205</v>
      </c>
      <c r="B27" s="83">
        <f>floors!$C$2</f>
        <v>65535</v>
      </c>
      <c r="C27" s="84" t="str">
        <f ca="1">VLOOKUP($B27,OFFSET([2]quests!$A$1,0,0,COUNTA([2]quests!$A:$A),MATCH(C$1,[2]quests!$1:$1,0)-MATCH($B$1,[2]quests!$1:$1,0)+1),MATCH(C$1,[2]quests!$1:$1,0)-MATCH($B$1,[2]quests!$1:$1,0)+1,FALSE)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7" s="84" t="str">
        <f ca="1">VLOOKUP($B27,OFFSET([2]quests!$A$1,0,0,COUNTA([2]quests!$A:$A),MATCH(D$1,[2]quests!$1:$1,0)-MATCH($B$1,[2]quests!$1:$1,0)+1),MATCH(D$1,[2]quests!$1:$1,0)-MATCH($B$1,[2]quests!$1:$1,0)+1,FALSE)</f>
        <v>検証</v>
      </c>
      <c r="E27" s="88" t="s">
        <v>219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203</v>
      </c>
      <c r="K27" s="95" t="str">
        <f>VLOOKUP(I27,[7]stage_hints!$A:$C,3,FALSE)</f>
        <v>システム適合者を確認</v>
      </c>
      <c r="L27" s="96" t="str">
        <f>VLOOKUP(I27,[7]stage_hints!$A:$D,4,FALSE)</f>
        <v>ALICEが 「アナタ」を呼んでいます</v>
      </c>
      <c r="M27" s="57" t="s">
        <v>216</v>
      </c>
    </row>
    <row r="28" spans="1:13" x14ac:dyDescent="0.15">
      <c r="A28" s="82" t="s">
        <v>205</v>
      </c>
      <c r="B28" s="83">
        <f>floors!$C$2</f>
        <v>65535</v>
      </c>
      <c r="C28" s="84" t="str">
        <f ca="1">VLOOKUP($B28,OFFSET([2]quests!$A$1,0,0,COUNTA([2]quests!$A:$A),MATCH(C$1,[2]quests!$1:$1,0)-MATCH($B$1,[2]quests!$1:$1,0)+1),MATCH(C$1,[2]quests!$1:$1,0)-MATCH($B$1,[2]quests!$1:$1,0)+1,FALSE)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8" s="84" t="str">
        <f ca="1">VLOOKUP($B28,OFFSET([2]quests!$A$1,0,0,COUNTA([2]quests!$A:$A),MATCH(D$1,[2]quests!$1:$1,0)-MATCH($B$1,[2]quests!$1:$1,0)+1),MATCH(D$1,[2]quests!$1:$1,0)-MATCH($B$1,[2]quests!$1:$1,0)+1,FALSE)</f>
        <v>検証</v>
      </c>
      <c r="E28" s="88" t="s">
        <v>220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203</v>
      </c>
      <c r="K28" s="95" t="str">
        <f>VLOOKUP(I28,[7]stage_hints!$A:$C,3,FALSE)</f>
        <v>ターゲット</v>
      </c>
      <c r="L28" s="96" t="str">
        <f>VLOOKUP(I28,[7]stage_hints!$A:$D,4,FALSE)</f>
        <v>敵ユニットをタップすると_x000D_その敵を狙い撃ちできます</v>
      </c>
      <c r="M28" s="57" t="s">
        <v>216</v>
      </c>
    </row>
    <row r="29" spans="1:13" x14ac:dyDescent="0.15">
      <c r="A29" s="82" t="s">
        <v>205</v>
      </c>
      <c r="B29" s="83">
        <f>floors!$C$2</f>
        <v>65535</v>
      </c>
      <c r="C29" s="84" t="str">
        <f ca="1">VLOOKUP($B29,OFFSET([2]quests!$A$1,0,0,COUNTA([2]quests!$A:$A),MATCH(C$1,[2]quests!$1:$1,0)-MATCH($B$1,[2]quests!$1:$1,0)+1),MATCH(C$1,[2]quests!$1:$1,0)-MATCH($B$1,[2]quests!$1:$1,0)+1,FALSE)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9" s="84" t="str">
        <f ca="1">VLOOKUP($B29,OFFSET([2]quests!$A$1,0,0,COUNTA([2]quests!$A:$A),MATCH(D$1,[2]quests!$1:$1,0)-MATCH($B$1,[2]quests!$1:$1,0)+1),MATCH(D$1,[2]quests!$1:$1,0)-MATCH($B$1,[2]quests!$1:$1,0)+1,FALSE)</f>
        <v>検証</v>
      </c>
      <c r="E29" s="88" t="s">
        <v>220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203</v>
      </c>
      <c r="K29" s="95" t="str">
        <f>VLOOKUP(I29,[7]stage_hints!$A:$C,3,FALSE)</f>
        <v>ユニット強化の属性ボーナス</v>
      </c>
      <c r="L29" s="96" t="str">
        <f>VLOOKUP(I29,[7]stage_hints!$A:$D,4,FALSE)</f>
        <v>同属性ユニットを強化素材にすると_x000D_経験値が多くもらえます</v>
      </c>
      <c r="M29" s="57" t="s">
        <v>216</v>
      </c>
    </row>
    <row r="30" spans="1:13" x14ac:dyDescent="0.15">
      <c r="A30" s="82" t="s">
        <v>205</v>
      </c>
      <c r="B30" s="83">
        <f>floors!$C$2</f>
        <v>65535</v>
      </c>
      <c r="C30" s="84" t="str">
        <f ca="1">VLOOKUP($B30,OFFSET([2]quests!$A$1,0,0,COUNTA([2]quests!$A:$A),MATCH(C$1,[2]quests!$1:$1,0)-MATCH($B$1,[2]quests!$1:$1,0)+1),MATCH(C$1,[2]quests!$1:$1,0)-MATCH($B$1,[2]quests!$1:$1,0)+1,FALSE)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0" s="84" t="str">
        <f ca="1">VLOOKUP($B30,OFFSET([2]quests!$A$1,0,0,COUNTA([2]quests!$A:$A),MATCH(D$1,[2]quests!$1:$1,0)-MATCH($B$1,[2]quests!$1:$1,0)+1),MATCH(D$1,[2]quests!$1:$1,0)-MATCH($B$1,[2]quests!$1:$1,0)+1,FALSE)</f>
        <v>検証</v>
      </c>
      <c r="E30" s="88" t="s">
        <v>220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203</v>
      </c>
      <c r="K30" s="95" t="str">
        <f>VLOOKUP(I30,[7]stage_hints!$A:$C,3,FALSE)</f>
        <v>メタルダックで経験値を獲得</v>
      </c>
      <c r="L30" s="96" t="str">
        <f>VLOOKUP(I30,[7]stage_hints!$A:$D,4,FALSE)</f>
        <v>「メタルなアヒル」を強化素材にすると_x000D_大量の経験値がもらえます</v>
      </c>
      <c r="M30" s="57" t="s">
        <v>216</v>
      </c>
    </row>
    <row r="31" spans="1:13" x14ac:dyDescent="0.15">
      <c r="A31" s="82" t="s">
        <v>205</v>
      </c>
      <c r="B31" s="83">
        <f>floors!$C$2</f>
        <v>65535</v>
      </c>
      <c r="C31" s="84" t="str">
        <f ca="1">VLOOKUP($B31,OFFSET([2]quests!$A$1,0,0,COUNTA([2]quests!$A:$A),MATCH(C$1,[2]quests!$1:$1,0)-MATCH($B$1,[2]quests!$1:$1,0)+1),MATCH(C$1,[2]quests!$1:$1,0)-MATCH($B$1,[2]quests!$1:$1,0)+1,FALSE)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1" s="84" t="str">
        <f ca="1">VLOOKUP($B31,OFFSET([2]quests!$A$1,0,0,COUNTA([2]quests!$A:$A),MATCH(D$1,[2]quests!$1:$1,0)-MATCH($B$1,[2]quests!$1:$1,0)+1),MATCH(D$1,[2]quests!$1:$1,0)-MATCH($B$1,[2]quests!$1:$1,0)+1,FALSE)</f>
        <v>検証</v>
      </c>
      <c r="E31" s="88" t="s">
        <v>220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203</v>
      </c>
      <c r="K31" s="95" t="str">
        <f>VLOOKUP(I31,[7]stage_hints!$A:$C,3,FALSE)</f>
        <v>ゲリラクエストは要チェック</v>
      </c>
      <c r="L31" s="96" t="str">
        <f>VLOOKUP(I31,[7]stage_hints!$A:$D,4,FALSE)</f>
        <v>時間限定の「アヒル捕獲作戦」では_x000D_経験値素材ユニットが多く手に入ります</v>
      </c>
      <c r="M31" s="57" t="s">
        <v>216</v>
      </c>
    </row>
    <row r="32" spans="1:13" x14ac:dyDescent="0.15">
      <c r="A32" s="82" t="s">
        <v>205</v>
      </c>
      <c r="B32" s="83">
        <f>floors!$C$2</f>
        <v>65535</v>
      </c>
      <c r="C32" s="84" t="str">
        <f ca="1">VLOOKUP($B32,OFFSET([2]quests!$A$1,0,0,COUNTA([2]quests!$A:$A),MATCH(C$1,[2]quests!$1:$1,0)-MATCH($B$1,[2]quests!$1:$1,0)+1),MATCH(C$1,[2]quests!$1:$1,0)-MATCH($B$1,[2]quests!$1:$1,0)+1,FALSE)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2" s="84" t="str">
        <f ca="1">VLOOKUP($B32,OFFSET([2]quests!$A$1,0,0,COUNTA([2]quests!$A:$A),MATCH(D$1,[2]quests!$1:$1,0)-MATCH($B$1,[2]quests!$1:$1,0)+1),MATCH(D$1,[2]quests!$1:$1,0)-MATCH($B$1,[2]quests!$1:$1,0)+1,FALSE)</f>
        <v>検証</v>
      </c>
      <c r="E32" s="88" t="s">
        <v>220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203</v>
      </c>
      <c r="K32" s="95" t="str">
        <f>VLOOKUP(I32,[7]stage_hints!$A:$C,3,FALSE)</f>
        <v>ゴールドダックでビットを獲得</v>
      </c>
      <c r="L32" s="96" t="str">
        <f>VLOOKUP(I32,[7]stage_hints!$A:$D,4,FALSE)</f>
        <v>「ゴールドなアヒル」を売却すると_x000D_大量のビットがもらえます</v>
      </c>
      <c r="M32" s="57" t="s">
        <v>216</v>
      </c>
    </row>
    <row r="33" spans="1:13" x14ac:dyDescent="0.15">
      <c r="A33" s="82" t="s">
        <v>205</v>
      </c>
      <c r="B33" s="83">
        <f>floors!$C$2</f>
        <v>65535</v>
      </c>
      <c r="C33" s="84" t="str">
        <f ca="1">VLOOKUP($B33,OFFSET([2]quests!$A$1,0,0,COUNTA([2]quests!$A:$A),MATCH(C$1,[2]quests!$1:$1,0)-MATCH($B$1,[2]quests!$1:$1,0)+1),MATCH(C$1,[2]quests!$1:$1,0)-MATCH($B$1,[2]quests!$1:$1,0)+1,FALSE)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3" s="84" t="str">
        <f ca="1">VLOOKUP($B33,OFFSET([2]quests!$A$1,0,0,COUNTA([2]quests!$A:$A),MATCH(D$1,[2]quests!$1:$1,0)-MATCH($B$1,[2]quests!$1:$1,0)+1),MATCH(D$1,[2]quests!$1:$1,0)-MATCH($B$1,[2]quests!$1:$1,0)+1,FALSE)</f>
        <v>検証</v>
      </c>
      <c r="E33" s="88" t="s">
        <v>220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203</v>
      </c>
      <c r="K33" s="95" t="str">
        <f>VLOOKUP(I33,[7]stage_hints!$A:$C,3,FALSE)</f>
        <v>土日に大量のビットを獲得</v>
      </c>
      <c r="L33" s="96" t="str">
        <f>VLOOKUP(I33,[7]stage_hints!$A:$D,4,FALSE)</f>
        <v>土日限定の「ゴールドカジノ」では_x000D_売却素材ユニットが多く手に入ります</v>
      </c>
      <c r="M33" s="57" t="s">
        <v>216</v>
      </c>
    </row>
    <row r="34" spans="1:13" x14ac:dyDescent="0.15">
      <c r="A34" s="82" t="s">
        <v>205</v>
      </c>
      <c r="B34" s="83">
        <f>floors!$C$2</f>
        <v>65535</v>
      </c>
      <c r="C34" s="84" t="str">
        <f ca="1">VLOOKUP($B34,OFFSET([2]quests!$A$1,0,0,COUNTA([2]quests!$A:$A),MATCH(C$1,[2]quests!$1:$1,0)-MATCH($B$1,[2]quests!$1:$1,0)+1),MATCH(C$1,[2]quests!$1:$1,0)-MATCH($B$1,[2]quests!$1:$1,0)+1,FALSE)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4" s="84" t="str">
        <f ca="1">VLOOKUP($B34,OFFSET([2]quests!$A$1,0,0,COUNTA([2]quests!$A:$A),MATCH(D$1,[2]quests!$1:$1,0)-MATCH($B$1,[2]quests!$1:$1,0)+1),MATCH(D$1,[2]quests!$1:$1,0)-MATCH($B$1,[2]quests!$1:$1,0)+1,FALSE)</f>
        <v>検証</v>
      </c>
      <c r="E34" s="88" t="s">
        <v>220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203</v>
      </c>
      <c r="K34" s="95" t="str">
        <f>VLOOKUP(I34,[7]stage_hints!$A:$C,3,FALSE)</f>
        <v>ランク解放クエスト</v>
      </c>
      <c r="L34" s="96" t="str">
        <f>VLOOKUP(I34,[7]stage_hints!$A:$D,4,FALSE)</f>
        <v>一定ランクに到達すると_x000D_報酬付きのランク開放クエストが現れます</v>
      </c>
      <c r="M34" s="57" t="s">
        <v>216</v>
      </c>
    </row>
    <row r="35" spans="1:13" x14ac:dyDescent="0.15">
      <c r="A35" s="82" t="s">
        <v>205</v>
      </c>
      <c r="B35" s="83">
        <f>floors!$C$2</f>
        <v>65535</v>
      </c>
      <c r="C35" s="84" t="str">
        <f ca="1">VLOOKUP($B35,OFFSET([2]quests!$A$1,0,0,COUNTA([2]quests!$A:$A),MATCH(C$1,[2]quests!$1:$1,0)-MATCH($B$1,[2]quests!$1:$1,0)+1),MATCH(C$1,[2]quests!$1:$1,0)-MATCH($B$1,[2]quests!$1:$1,0)+1,FALSE)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5" s="84" t="str">
        <f ca="1">VLOOKUP($B35,OFFSET([2]quests!$A$1,0,0,COUNTA([2]quests!$A:$A),MATCH(D$1,[2]quests!$1:$1,0)-MATCH($B$1,[2]quests!$1:$1,0)+1),MATCH(D$1,[2]quests!$1:$1,0)-MATCH($B$1,[2]quests!$1:$1,0)+1,FALSE)</f>
        <v>検証</v>
      </c>
      <c r="E35" s="88" t="s">
        <v>220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203</v>
      </c>
      <c r="K35" s="95" t="str">
        <f>VLOOKUP(I35,[7]stage_hints!$A:$C,3,FALSE)</f>
        <v>ユニットのお気に入り登録</v>
      </c>
      <c r="L35" s="96" t="str">
        <f>VLOOKUP(I35,[7]stage_hints!$A:$D,4,FALSE)</f>
        <v>大事なユニットを誤って消さないように_x000D_フォルダから「お気に入り登録」しましょう</v>
      </c>
      <c r="M35" s="57" t="s">
        <v>216</v>
      </c>
    </row>
    <row r="36" spans="1:13" x14ac:dyDescent="0.15">
      <c r="A36" s="82" t="s">
        <v>205</v>
      </c>
      <c r="B36" s="83">
        <f>floors!$C$2</f>
        <v>65535</v>
      </c>
      <c r="C36" s="84" t="str">
        <f ca="1">VLOOKUP($B36,OFFSET([2]quests!$A$1,0,0,COUNTA([2]quests!$A:$A),MATCH(C$1,[2]quests!$1:$1,0)-MATCH($B$1,[2]quests!$1:$1,0)+1),MATCH(C$1,[2]quests!$1:$1,0)-MATCH($B$1,[2]quests!$1:$1,0)+1,FALSE)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6" s="84" t="str">
        <f ca="1">VLOOKUP($B36,OFFSET([2]quests!$A$1,0,0,COUNTA([2]quests!$A:$A),MATCH(D$1,[2]quests!$1:$1,0)-MATCH($B$1,[2]quests!$1:$1,0)+1),MATCH(D$1,[2]quests!$1:$1,0)-MATCH($B$1,[2]quests!$1:$1,0)+1,FALSE)</f>
        <v>検証</v>
      </c>
      <c r="E36" s="88" t="s">
        <v>220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203</v>
      </c>
      <c r="K36" s="95" t="str">
        <f>VLOOKUP(I36,[7]stage_hints!$A:$C,3,FALSE)</f>
        <v>ユニットの覚醒</v>
      </c>
      <c r="L36" s="96" t="str">
        <f>VLOOKUP(I36,[7]stage_hints!$A:$D,4,FALSE)</f>
        <v>ユニットを覚醒させると_x000D_比べものにならない強さが手に入ります</v>
      </c>
      <c r="M36" s="57" t="s">
        <v>216</v>
      </c>
    </row>
    <row r="37" spans="1:13" x14ac:dyDescent="0.15">
      <c r="A37" s="82" t="s">
        <v>205</v>
      </c>
      <c r="B37" s="83">
        <f>floors!$C$2</f>
        <v>65535</v>
      </c>
      <c r="C37" s="84" t="str">
        <f ca="1">VLOOKUP($B37,OFFSET([2]quests!$A$1,0,0,COUNTA([2]quests!$A:$A),MATCH(C$1,[2]quests!$1:$1,0)-MATCH($B$1,[2]quests!$1:$1,0)+1),MATCH(C$1,[2]quests!$1:$1,0)-MATCH($B$1,[2]quests!$1:$1,0)+1,FALSE)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7" s="84" t="str">
        <f ca="1">VLOOKUP($B37,OFFSET([2]quests!$A$1,0,0,COUNTA([2]quests!$A:$A),MATCH(D$1,[2]quests!$1:$1,0)-MATCH($B$1,[2]quests!$1:$1,0)+1),MATCH(D$1,[2]quests!$1:$1,0)-MATCH($B$1,[2]quests!$1:$1,0)+1,FALSE)</f>
        <v>検証</v>
      </c>
      <c r="E37" s="88" t="s">
        <v>220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203</v>
      </c>
      <c r="K37" s="95" t="str">
        <f>VLOOKUP(I37,[7]stage_hints!$A:$C,3,FALSE)</f>
        <v>覚醒するにはレベルを最大に</v>
      </c>
      <c r="L37" s="96" t="str">
        <f>VLOOKUP(I37,[7]stage_hints!$A:$D,4,FALSE)</f>
        <v>覚醒するにはユニットのレベルを_x000D_最大まで上げる必要があります</v>
      </c>
      <c r="M37" s="57" t="s">
        <v>216</v>
      </c>
    </row>
    <row r="38" spans="1:13" x14ac:dyDescent="0.15">
      <c r="A38" s="82" t="s">
        <v>205</v>
      </c>
      <c r="B38" s="83">
        <f>floors!$C$2</f>
        <v>65535</v>
      </c>
      <c r="C38" s="84" t="str">
        <f ca="1">VLOOKUP($B38,OFFSET([2]quests!$A$1,0,0,COUNTA([2]quests!$A:$A),MATCH(C$1,[2]quests!$1:$1,0)-MATCH($B$1,[2]quests!$1:$1,0)+1),MATCH(C$1,[2]quests!$1:$1,0)-MATCH($B$1,[2]quests!$1:$1,0)+1,FALSE)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8" s="84" t="str">
        <f ca="1">VLOOKUP($B38,OFFSET([2]quests!$A$1,0,0,COUNTA([2]quests!$A:$A),MATCH(D$1,[2]quests!$1:$1,0)-MATCH($B$1,[2]quests!$1:$1,0)+1),MATCH(D$1,[2]quests!$1:$1,0)-MATCH($B$1,[2]quests!$1:$1,0)+1,FALSE)</f>
        <v>検証</v>
      </c>
      <c r="E38" s="88" t="s">
        <v>220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203</v>
      </c>
      <c r="K38" s="95" t="str">
        <f>VLOOKUP(I38,[7]stage_hints!$A:$C,3,FALSE)</f>
        <v>覚醒素材を獲得</v>
      </c>
      <c r="L38" s="96" t="str">
        <f>VLOOKUP(I38,[7]stage_hints!$A:$D,4,FALSE)</f>
        <v>「曜日クエスト」では_x000D_ユニットの覚醒に必要な素材が手に入ります</v>
      </c>
      <c r="M38" s="57" t="s">
        <v>216</v>
      </c>
    </row>
    <row r="39" spans="1:13" x14ac:dyDescent="0.15">
      <c r="A39" s="82" t="s">
        <v>205</v>
      </c>
      <c r="B39" s="83">
        <f>floors!$C$2</f>
        <v>65535</v>
      </c>
      <c r="C39" s="84" t="str">
        <f ca="1">VLOOKUP($B39,OFFSET([2]quests!$A$1,0,0,COUNTA([2]quests!$A:$A),MATCH(C$1,[2]quests!$1:$1,0)-MATCH($B$1,[2]quests!$1:$1,0)+1),MATCH(C$1,[2]quests!$1:$1,0)-MATCH($B$1,[2]quests!$1:$1,0)+1,FALSE)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9" s="84" t="str">
        <f ca="1">VLOOKUP($B39,OFFSET([2]quests!$A$1,0,0,COUNTA([2]quests!$A:$A),MATCH(D$1,[2]quests!$1:$1,0)-MATCH($B$1,[2]quests!$1:$1,0)+1),MATCH(D$1,[2]quests!$1:$1,0)-MATCH($B$1,[2]quests!$1:$1,0)+1,FALSE)</f>
        <v>検証</v>
      </c>
      <c r="E39" s="88" t="s">
        <v>220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203</v>
      </c>
      <c r="K39" s="95" t="str">
        <f>VLOOKUP(I39,[7]stage_hints!$A:$C,3,FALSE)</f>
        <v>マルチプレイのメリット（その1）</v>
      </c>
      <c r="L39" s="96" t="str">
        <f>VLOOKUP(I39,[7]stage_hints!$A:$D,4,FALSE)</f>
        <v>他のプレイヤーとマルチプレイで遊ぶと_x000D_ポリゴンがもらえます（100人まで）</v>
      </c>
      <c r="M39" s="57" t="s">
        <v>216</v>
      </c>
    </row>
    <row r="40" spans="1:13" x14ac:dyDescent="0.15">
      <c r="A40" s="82" t="s">
        <v>205</v>
      </c>
      <c r="B40" s="83">
        <f>floors!$C$2</f>
        <v>65535</v>
      </c>
      <c r="C40" s="84" t="str">
        <f ca="1">VLOOKUP($B40,OFFSET([2]quests!$A$1,0,0,COUNTA([2]quests!$A:$A),MATCH(C$1,[2]quests!$1:$1,0)-MATCH($B$1,[2]quests!$1:$1,0)+1),MATCH(C$1,[2]quests!$1:$1,0)-MATCH($B$1,[2]quests!$1:$1,0)+1,FALSE)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0" s="84" t="str">
        <f ca="1">VLOOKUP($B40,OFFSET([2]quests!$A$1,0,0,COUNTA([2]quests!$A:$A),MATCH(D$1,[2]quests!$1:$1,0)-MATCH($B$1,[2]quests!$1:$1,0)+1),MATCH(D$1,[2]quests!$1:$1,0)-MATCH($B$1,[2]quests!$1:$1,0)+1,FALSE)</f>
        <v>検証</v>
      </c>
      <c r="E40" s="88" t="s">
        <v>220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203</v>
      </c>
      <c r="K40" s="95" t="str">
        <f>VLOOKUP(I40,[7]stage_hints!$A:$C,3,FALSE)</f>
        <v>リンクガチャ</v>
      </c>
      <c r="L40" s="96" t="str">
        <f>VLOOKUP(I40,[7]stage_hints!$A:$D,4,FALSE)</f>
        <v>無料のリンクガチャを回して_x000D_経験値素材や売却素材を獲得しましょう</v>
      </c>
      <c r="M40" s="57" t="s">
        <v>216</v>
      </c>
    </row>
    <row r="41" spans="1:13" x14ac:dyDescent="0.15">
      <c r="A41" s="82" t="s">
        <v>205</v>
      </c>
      <c r="B41" s="83">
        <f>floors!$C$2</f>
        <v>65535</v>
      </c>
      <c r="C41" s="84" t="str">
        <f ca="1">VLOOKUP($B41,OFFSET([2]quests!$A$1,0,0,COUNTA([2]quests!$A:$A),MATCH(C$1,[2]quests!$1:$1,0)-MATCH($B$1,[2]quests!$1:$1,0)+1),MATCH(C$1,[2]quests!$1:$1,0)-MATCH($B$1,[2]quests!$1:$1,0)+1,FALSE)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1" s="84" t="str">
        <f ca="1">VLOOKUP($B41,OFFSET([2]quests!$A$1,0,0,COUNTA([2]quests!$A:$A),MATCH(D$1,[2]quests!$1:$1,0)-MATCH($B$1,[2]quests!$1:$1,0)+1),MATCH(D$1,[2]quests!$1:$1,0)-MATCH($B$1,[2]quests!$1:$1,0)+1,FALSE)</f>
        <v>検証</v>
      </c>
      <c r="E41" s="88" t="s">
        <v>220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203</v>
      </c>
      <c r="K41" s="95" t="str">
        <f>VLOOKUP(I41,[7]stage_hints!$A:$C,3,FALSE)</f>
        <v>マルチプレイのメリット（その2）</v>
      </c>
      <c r="L41" s="96" t="str">
        <f>VLOOKUP(I41,[7]stage_hints!$A:$D,4,FALSE)</f>
        <v>マルチプレイならリンクが2倍もらえます_x000D_リンクガチャをたくさん回しましょう</v>
      </c>
      <c r="M41" s="57" t="s">
        <v>216</v>
      </c>
    </row>
    <row r="42" spans="1:13" x14ac:dyDescent="0.15">
      <c r="A42" s="82" t="s">
        <v>205</v>
      </c>
      <c r="B42" s="83">
        <f>floors!$C$2</f>
        <v>65535</v>
      </c>
      <c r="C42" s="84" t="str">
        <f ca="1">VLOOKUP($B42,OFFSET([2]quests!$A$1,0,0,COUNTA([2]quests!$A:$A),MATCH(C$1,[2]quests!$1:$1,0)-MATCH($B$1,[2]quests!$1:$1,0)+1),MATCH(C$1,[2]quests!$1:$1,0)-MATCH($B$1,[2]quests!$1:$1,0)+1,FALSE)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2" s="84" t="str">
        <f ca="1">VLOOKUP($B42,OFFSET([2]quests!$A$1,0,0,COUNTA([2]quests!$A:$A),MATCH(D$1,[2]quests!$1:$1,0)-MATCH($B$1,[2]quests!$1:$1,0)+1),MATCH(D$1,[2]quests!$1:$1,0)-MATCH($B$1,[2]quests!$1:$1,0)+1,FALSE)</f>
        <v>検証</v>
      </c>
      <c r="E42" s="88" t="s">
        <v>220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203</v>
      </c>
      <c r="K42" s="95" t="str">
        <f>VLOOKUP(I42,[7]stage_hints!$A:$C,3,FALSE)</f>
        <v>ソロ専用タワーオブザクイーン</v>
      </c>
      <c r="L42" s="96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7" t="s">
        <v>216</v>
      </c>
    </row>
    <row r="43" spans="1:13" x14ac:dyDescent="0.15">
      <c r="A43" s="82" t="s">
        <v>205</v>
      </c>
      <c r="B43" s="83">
        <f>floors!$C$2</f>
        <v>65535</v>
      </c>
      <c r="C43" s="84" t="str">
        <f ca="1">VLOOKUP($B43,OFFSET([2]quests!$A$1,0,0,COUNTA([2]quests!$A:$A),MATCH(C$1,[2]quests!$1:$1,0)-MATCH($B$1,[2]quests!$1:$1,0)+1),MATCH(C$1,[2]quests!$1:$1,0)-MATCH($B$1,[2]quests!$1:$1,0)+1,FALSE)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3" s="84" t="str">
        <f ca="1">VLOOKUP($B43,OFFSET([2]quests!$A$1,0,0,COUNTA([2]quests!$A:$A),MATCH(D$1,[2]quests!$1:$1,0)-MATCH($B$1,[2]quests!$1:$1,0)+1),MATCH(D$1,[2]quests!$1:$1,0)-MATCH($B$1,[2]quests!$1:$1,0)+1,FALSE)</f>
        <v>検証</v>
      </c>
      <c r="E43" s="88" t="s">
        <v>220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203</v>
      </c>
      <c r="K43" s="95" t="str">
        <f>VLOOKUP(I43,[7]stage_hints!$A:$C,3,FALSE)</f>
        <v>マルチプレイのメリット（その3）</v>
      </c>
      <c r="L43" s="96" t="str">
        <f>VLOOKUP(I43,[7]stage_hints!$A:$D,4,FALSE)</f>
        <v>マルチプレイへの参加はエナジー消費ゼロ_x000D_いつでも好きなだけ遊ぶことができます</v>
      </c>
      <c r="M43" s="57" t="s">
        <v>216</v>
      </c>
    </row>
    <row r="44" spans="1:13" x14ac:dyDescent="0.15">
      <c r="A44" s="82" t="s">
        <v>205</v>
      </c>
      <c r="B44" s="83">
        <f>floors!$C$2</f>
        <v>65535</v>
      </c>
      <c r="C44" s="84" t="str">
        <f ca="1">VLOOKUP($B44,OFFSET([2]quests!$A$1,0,0,COUNTA([2]quests!$A:$A),MATCH(C$1,[2]quests!$1:$1,0)-MATCH($B$1,[2]quests!$1:$1,0)+1),MATCH(C$1,[2]quests!$1:$1,0)-MATCH($B$1,[2]quests!$1:$1,0)+1,FALSE)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4" s="84" t="str">
        <f ca="1">VLOOKUP($B44,OFFSET([2]quests!$A$1,0,0,COUNTA([2]quests!$A:$A),MATCH(D$1,[2]quests!$1:$1,0)-MATCH($B$1,[2]quests!$1:$1,0)+1),MATCH(D$1,[2]quests!$1:$1,0)-MATCH($B$1,[2]quests!$1:$1,0)+1,FALSE)</f>
        <v>検証</v>
      </c>
      <c r="E44" s="88" t="s">
        <v>220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203</v>
      </c>
      <c r="K44" s="95" t="str">
        <f>VLOOKUP(I44,[7]stage_hints!$A:$C,3,FALSE)</f>
        <v>スキルを有効に</v>
      </c>
      <c r="L44" s="96" t="str">
        <f>VLOOKUP(I44,[7]stage_hints!$A:$D,4,FALSE)</f>
        <v>ターン経過でユニットのスキルが使えます_x000D_強力スキルでバトルを有利に進めましょう</v>
      </c>
      <c r="M44" s="57" t="s">
        <v>216</v>
      </c>
    </row>
    <row r="45" spans="1:13" x14ac:dyDescent="0.15">
      <c r="A45" s="82" t="s">
        <v>205</v>
      </c>
      <c r="B45" s="83">
        <f>floors!$C$2</f>
        <v>65535</v>
      </c>
      <c r="C45" s="84" t="str">
        <f ca="1">VLOOKUP($B45,OFFSET([2]quests!$A$1,0,0,COUNTA([2]quests!$A:$A),MATCH(C$1,[2]quests!$1:$1,0)-MATCH($B$1,[2]quests!$1:$1,0)+1),MATCH(C$1,[2]quests!$1:$1,0)-MATCH($B$1,[2]quests!$1:$1,0)+1,FALSE)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5" s="84" t="str">
        <f ca="1">VLOOKUP($B45,OFFSET([2]quests!$A$1,0,0,COUNTA([2]quests!$A:$A),MATCH(D$1,[2]quests!$1:$1,0)-MATCH($B$1,[2]quests!$1:$1,0)+1),MATCH(D$1,[2]quests!$1:$1,0)-MATCH($B$1,[2]quests!$1:$1,0)+1,FALSE)</f>
        <v>検証</v>
      </c>
      <c r="E45" s="88" t="s">
        <v>220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203</v>
      </c>
      <c r="K45" s="95" t="str">
        <f>VLOOKUP(I45,[7]stage_hints!$A:$C,3,FALSE)</f>
        <v>フィーバーで一発逆転（その1）</v>
      </c>
      <c r="L45" s="96" t="str">
        <f>VLOOKUP(I45,[7]stage_hints!$A:$D,4,FALSE)</f>
        <v>フィーバーは攻撃と回復を兼ね備えます_x000D_ピンチからの一発逆転を狙いましょう</v>
      </c>
      <c r="M45" s="57" t="s">
        <v>216</v>
      </c>
    </row>
    <row r="46" spans="1:13" x14ac:dyDescent="0.15">
      <c r="A46" s="82" t="s">
        <v>205</v>
      </c>
      <c r="B46" s="83">
        <f>floors!$C$2</f>
        <v>65535</v>
      </c>
      <c r="C46" s="84" t="str">
        <f ca="1">VLOOKUP($B46,OFFSET([2]quests!$A$1,0,0,COUNTA([2]quests!$A:$A),MATCH(C$1,[2]quests!$1:$1,0)-MATCH($B$1,[2]quests!$1:$1,0)+1),MATCH(C$1,[2]quests!$1:$1,0)-MATCH($B$1,[2]quests!$1:$1,0)+1,FALSE)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6" s="84" t="str">
        <f ca="1">VLOOKUP($B46,OFFSET([2]quests!$A$1,0,0,COUNTA([2]quests!$A:$A),MATCH(D$1,[2]quests!$1:$1,0)-MATCH($B$1,[2]quests!$1:$1,0)+1),MATCH(D$1,[2]quests!$1:$1,0)-MATCH($B$1,[2]quests!$1:$1,0)+1,FALSE)</f>
        <v>検証</v>
      </c>
      <c r="E46" s="88" t="s">
        <v>220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203</v>
      </c>
      <c r="K46" s="95" t="str">
        <f>VLOOKUP(I46,[7]stage_hints!$A:$C,3,FALSE)</f>
        <v>フィーバーで一発逆転（その2）</v>
      </c>
      <c r="L46" s="96" t="str">
        <f>VLOOKUP(I46,[7]stage_hints!$A:$D,4,FALSE)</f>
        <v>フィーバー中は虹色のボムパネルを狙って_x000D_画面上のパネルを一気に破壊しましょう</v>
      </c>
      <c r="M46" s="57" t="s">
        <v>216</v>
      </c>
    </row>
    <row r="47" spans="1:13" x14ac:dyDescent="0.15">
      <c r="A47" s="82" t="s">
        <v>205</v>
      </c>
      <c r="B47" s="83">
        <f>floors!$C$2</f>
        <v>65535</v>
      </c>
      <c r="C47" s="84" t="str">
        <f ca="1">VLOOKUP($B47,OFFSET([2]quests!$A$1,0,0,COUNTA([2]quests!$A:$A),MATCH(C$1,[2]quests!$1:$1,0)-MATCH($B$1,[2]quests!$1:$1,0)+1),MATCH(C$1,[2]quests!$1:$1,0)-MATCH($B$1,[2]quests!$1:$1,0)+1,FALSE)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7" s="84" t="str">
        <f ca="1">VLOOKUP($B47,OFFSET([2]quests!$A$1,0,0,COUNTA([2]quests!$A:$A),MATCH(D$1,[2]quests!$1:$1,0)-MATCH($B$1,[2]quests!$1:$1,0)+1),MATCH(D$1,[2]quests!$1:$1,0)-MATCH($B$1,[2]quests!$1:$1,0)+1,FALSE)</f>
        <v>検証</v>
      </c>
      <c r="E47" s="88" t="s">
        <v>220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203</v>
      </c>
      <c r="K47" s="95" t="str">
        <f>VLOOKUP(I47,[7]stage_hints!$A:$C,3,FALSE)</f>
        <v>りんごを使って限界突破</v>
      </c>
      <c r="L47" s="96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216</v>
      </c>
    </row>
    <row r="48" spans="1:13" x14ac:dyDescent="0.15">
      <c r="A48" s="82" t="s">
        <v>205</v>
      </c>
      <c r="B48" s="83">
        <f>floors!$C$2</f>
        <v>65535</v>
      </c>
      <c r="C48" s="84" t="str">
        <f ca="1">VLOOKUP($B48,OFFSET([2]quests!$A$1,0,0,COUNTA([2]quests!$A:$A),MATCH(C$1,[2]quests!$1:$1,0)-MATCH($B$1,[2]quests!$1:$1,0)+1),MATCH(C$1,[2]quests!$1:$1,0)-MATCH($B$1,[2]quests!$1:$1,0)+1,FALSE)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8" s="84" t="str">
        <f ca="1">VLOOKUP($B48,OFFSET([2]quests!$A$1,0,0,COUNTA([2]quests!$A:$A),MATCH(D$1,[2]quests!$1:$1,0)-MATCH($B$1,[2]quests!$1:$1,0)+1),MATCH(D$1,[2]quests!$1:$1,0)-MATCH($B$1,[2]quests!$1:$1,0)+1,FALSE)</f>
        <v>検証</v>
      </c>
      <c r="E48" s="88" t="s">
        <v>220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203</v>
      </c>
      <c r="K48" s="95" t="str">
        <f>VLOOKUP(I48,[7]stage_hints!$A:$C,3,FALSE)</f>
        <v>スキルレベルアップ</v>
      </c>
      <c r="L48" s="96" t="str">
        <f>VLOOKUP(I48,[7]stage_hints!$A:$D,4,FALSE)</f>
        <v>「クリスタルのりんご」を強化に使うと_x000D_スキルレベルを上げることができます</v>
      </c>
      <c r="M48" s="57" t="s">
        <v>216</v>
      </c>
    </row>
    <row r="49" spans="1:13" x14ac:dyDescent="0.15">
      <c r="A49" s="82" t="s">
        <v>205</v>
      </c>
      <c r="B49" s="83">
        <f>floors!$C$2</f>
        <v>65535</v>
      </c>
      <c r="C49" s="84" t="str">
        <f ca="1">VLOOKUP($B49,OFFSET([2]quests!$A$1,0,0,COUNTA([2]quests!$A:$A),MATCH(C$1,[2]quests!$1:$1,0)-MATCH($B$1,[2]quests!$1:$1,0)+1),MATCH(C$1,[2]quests!$1:$1,0)-MATCH($B$1,[2]quests!$1:$1,0)+1,FALSE)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9" s="84" t="str">
        <f ca="1">VLOOKUP($B49,OFFSET([2]quests!$A$1,0,0,COUNTA([2]quests!$A:$A),MATCH(D$1,[2]quests!$1:$1,0)-MATCH($B$1,[2]quests!$1:$1,0)+1),MATCH(D$1,[2]quests!$1:$1,0)-MATCH($B$1,[2]quests!$1:$1,0)+1,FALSE)</f>
        <v>検証</v>
      </c>
      <c r="E49" s="88" t="s">
        <v>220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203</v>
      </c>
      <c r="K49" s="95" t="str">
        <f>VLOOKUP(I49,[7]stage_hints!$A:$C,3,FALSE)</f>
        <v>スキルレベルの効果</v>
      </c>
      <c r="L49" s="96" t="str">
        <f>VLOOKUP(I49,[7]stage_hints!$A:$D,4,FALSE)</f>
        <v>スキルレベルが上がると_x000D_短いターンでスキルを使うことができます</v>
      </c>
      <c r="M49" s="57" t="s">
        <v>216</v>
      </c>
    </row>
    <row r="50" spans="1:13" x14ac:dyDescent="0.15">
      <c r="A50" s="82" t="s">
        <v>205</v>
      </c>
      <c r="B50" s="83">
        <f>floors!$C$2</f>
        <v>65535</v>
      </c>
      <c r="C50" s="84" t="str">
        <f ca="1">VLOOKUP($B50,OFFSET([2]quests!$A$1,0,0,COUNTA([2]quests!$A:$A),MATCH(C$1,[2]quests!$1:$1,0)-MATCH($B$1,[2]quests!$1:$1,0)+1),MATCH(C$1,[2]quests!$1:$1,0)-MATCH($B$1,[2]quests!$1:$1,0)+1,FALSE)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0" s="84" t="str">
        <f ca="1">VLOOKUP($B50,OFFSET([2]quests!$A$1,0,0,COUNTA([2]quests!$A:$A),MATCH(D$1,[2]quests!$1:$1,0)-MATCH($B$1,[2]quests!$1:$1,0)+1),MATCH(D$1,[2]quests!$1:$1,0)-MATCH($B$1,[2]quests!$1:$1,0)+1,FALSE)</f>
        <v>検証</v>
      </c>
      <c r="E50" s="88" t="s">
        <v>220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203</v>
      </c>
      <c r="K50" s="95" t="str">
        <f>VLOOKUP(I50,[7]stage_hints!$A:$C,3,FALSE)</f>
        <v>ホーム画面からデッキを編成</v>
      </c>
      <c r="L50" s="96" t="str">
        <f>VLOOKUP(I50,[7]stage_hints!$A:$D,4,FALSE)</f>
        <v>ホーム画面でユニットを長押しすると_x000D_すぐにパーティ編成に移動できます</v>
      </c>
      <c r="M50" s="57" t="s">
        <v>216</v>
      </c>
    </row>
    <row r="51" spans="1:13" x14ac:dyDescent="0.15">
      <c r="A51" s="82" t="s">
        <v>205</v>
      </c>
      <c r="B51" s="83">
        <f>floors!$C$2</f>
        <v>65535</v>
      </c>
      <c r="C51" s="84" t="str">
        <f ca="1">VLOOKUP($B51,OFFSET([2]quests!$A$1,0,0,COUNTA([2]quests!$A:$A),MATCH(C$1,[2]quests!$1:$1,0)-MATCH($B$1,[2]quests!$1:$1,0)+1),MATCH(C$1,[2]quests!$1:$1,0)-MATCH($B$1,[2]quests!$1:$1,0)+1,FALSE)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1" s="84" t="str">
        <f ca="1">VLOOKUP($B51,OFFSET([2]quests!$A$1,0,0,COUNTA([2]quests!$A:$A),MATCH(D$1,[2]quests!$1:$1,0)-MATCH($B$1,[2]quests!$1:$1,0)+1),MATCH(D$1,[2]quests!$1:$1,0)-MATCH($B$1,[2]quests!$1:$1,0)+1,FALSE)</f>
        <v>検証</v>
      </c>
      <c r="E51" s="88" t="s">
        <v>220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203</v>
      </c>
      <c r="K51" s="95" t="str">
        <f>VLOOKUP(I51,[7]stage_hints!$A:$C,3,FALSE)</f>
        <v>ステータス情報は長押しで</v>
      </c>
      <c r="L51" s="96" t="str">
        <f>VLOOKUP(I51,[7]stage_hints!$A:$D,4,FALSE)</f>
        <v>ユニットのアイコンを長押しすると_x000D_ステータス情報を確認することができます</v>
      </c>
      <c r="M51" s="57" t="s">
        <v>216</v>
      </c>
    </row>
    <row r="52" spans="1:13" x14ac:dyDescent="0.15">
      <c r="A52" s="82" t="s">
        <v>205</v>
      </c>
      <c r="B52" s="83">
        <f>floors!$C$2</f>
        <v>65535</v>
      </c>
      <c r="C52" s="84" t="str">
        <f ca="1">VLOOKUP($B52,OFFSET([2]quests!$A$1,0,0,COUNTA([2]quests!$A:$A),MATCH(C$1,[2]quests!$1:$1,0)-MATCH($B$1,[2]quests!$1:$1,0)+1),MATCH(C$1,[2]quests!$1:$1,0)-MATCH($B$1,[2]quests!$1:$1,0)+1,FALSE)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2" s="84" t="str">
        <f ca="1">VLOOKUP($B52,OFFSET([2]quests!$A$1,0,0,COUNTA([2]quests!$A:$A),MATCH(D$1,[2]quests!$1:$1,0)-MATCH($B$1,[2]quests!$1:$1,0)+1),MATCH(D$1,[2]quests!$1:$1,0)-MATCH($B$1,[2]quests!$1:$1,0)+1,FALSE)</f>
        <v>検証</v>
      </c>
      <c r="E52" s="88" t="s">
        <v>220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203</v>
      </c>
      <c r="K52" s="95" t="str">
        <f>VLOOKUP(I52,[7]stage_hints!$A:$C,3,FALSE)</f>
        <v>「バグ」のメリット</v>
      </c>
      <c r="L52" s="96" t="str">
        <f>VLOOKUP(I52,[7]stage_hints!$A:$D,4,FALSE)</f>
        <v>ユニットの「バグ」を増やすと_x000D_報酬をもらえる確率がアップします</v>
      </c>
      <c r="M52" s="57" t="s">
        <v>216</v>
      </c>
    </row>
    <row r="53" spans="1:13" x14ac:dyDescent="0.15">
      <c r="A53" s="82" t="s">
        <v>205</v>
      </c>
      <c r="B53" s="83">
        <f>floors!$C$2</f>
        <v>65535</v>
      </c>
      <c r="C53" s="84" t="str">
        <f ca="1">VLOOKUP($B53,OFFSET([2]quests!$A$1,0,0,COUNTA([2]quests!$A:$A),MATCH(C$1,[2]quests!$1:$1,0)-MATCH($B$1,[2]quests!$1:$1,0)+1),MATCH(C$1,[2]quests!$1:$1,0)-MATCH($B$1,[2]quests!$1:$1,0)+1,FALSE)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3" s="84" t="str">
        <f ca="1">VLOOKUP($B53,OFFSET([2]quests!$A$1,0,0,COUNTA([2]quests!$A:$A),MATCH(D$1,[2]quests!$1:$1,0)-MATCH($B$1,[2]quests!$1:$1,0)+1),MATCH(D$1,[2]quests!$1:$1,0)-MATCH($B$1,[2]quests!$1:$1,0)+1,FALSE)</f>
        <v>検証</v>
      </c>
      <c r="E53" s="88" t="s">
        <v>220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203</v>
      </c>
      <c r="K53" s="95" t="str">
        <f>VLOOKUP(I53,[7]stage_hints!$A:$C,3,FALSE)</f>
        <v>「バグ」の増やし方</v>
      </c>
      <c r="L53" s="96" t="str">
        <f>VLOOKUP(I53,[7]stage_hints!$A:$D,4,FALSE)</f>
        <v>同じユニット同士を強化で合成すると_x000D_「バグ」を増やすことができます</v>
      </c>
      <c r="M53" s="57" t="s">
        <v>216</v>
      </c>
    </row>
    <row r="54" spans="1:13" x14ac:dyDescent="0.15">
      <c r="A54" s="82" t="s">
        <v>205</v>
      </c>
      <c r="B54" s="83">
        <f>floors!$C$2</f>
        <v>65535</v>
      </c>
      <c r="C54" s="84" t="str">
        <f ca="1">VLOOKUP($B54,OFFSET([2]quests!$A$1,0,0,COUNTA([2]quests!$A:$A),MATCH(C$1,[2]quests!$1:$1,0)-MATCH($B$1,[2]quests!$1:$1,0)+1),MATCH(C$1,[2]quests!$1:$1,0)-MATCH($B$1,[2]quests!$1:$1,0)+1,FALSE)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4" s="84" t="str">
        <f ca="1">VLOOKUP($B54,OFFSET([2]quests!$A$1,0,0,COUNTA([2]quests!$A:$A),MATCH(D$1,[2]quests!$1:$1,0)-MATCH($B$1,[2]quests!$1:$1,0)+1),MATCH(D$1,[2]quests!$1:$1,0)-MATCH($B$1,[2]quests!$1:$1,0)+1,FALSE)</f>
        <v>検証</v>
      </c>
      <c r="E54" s="88" t="s">
        <v>220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203</v>
      </c>
      <c r="K54" s="95" t="str">
        <f>VLOOKUP(I54,[7]stage_hints!$A:$C,3,FALSE)</f>
        <v>イベントはお知らせでチェック</v>
      </c>
      <c r="L54" s="96" t="str">
        <f>VLOOKUP(I54,[7]stage_hints!$A:$D,4,FALSE)</f>
        <v>イベント限定ユニットを取り忘れないように_x000D_お知らせをこまめにチェックしましょう</v>
      </c>
      <c r="M54" s="57" t="s">
        <v>216</v>
      </c>
    </row>
    <row r="55" spans="1:13" x14ac:dyDescent="0.15">
      <c r="A55" s="82" t="s">
        <v>205</v>
      </c>
      <c r="B55" s="83">
        <f>floors!$C$2</f>
        <v>65535</v>
      </c>
      <c r="C55" s="84" t="str">
        <f ca="1">VLOOKUP($B55,OFFSET([2]quests!$A$1,0,0,COUNTA([2]quests!$A:$A),MATCH(C$1,[2]quests!$1:$1,0)-MATCH($B$1,[2]quests!$1:$1,0)+1),MATCH(C$1,[2]quests!$1:$1,0)-MATCH($B$1,[2]quests!$1:$1,0)+1,FALSE)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5" s="84" t="str">
        <f ca="1">VLOOKUP($B55,OFFSET([2]quests!$A$1,0,0,COUNTA([2]quests!$A:$A),MATCH(D$1,[2]quests!$1:$1,0)-MATCH($B$1,[2]quests!$1:$1,0)+1),MATCH(D$1,[2]quests!$1:$1,0)-MATCH($B$1,[2]quests!$1:$1,0)+1,FALSE)</f>
        <v>検証</v>
      </c>
      <c r="E55" s="88" t="s">
        <v>220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203</v>
      </c>
      <c r="K55" s="95" t="str">
        <f>VLOOKUP(I55,[7]stage_hints!$A:$C,3,FALSE)</f>
        <v>敵の連続攻撃には</v>
      </c>
      <c r="L55" s="96" t="str">
        <f>VLOOKUP(I55,[7]stage_hints!$A:$D,4,FALSE)</f>
        <v>カウンタースキルを持つユニットがいれば_x000D_ダメージ回数分の反撃ができます</v>
      </c>
      <c r="M55" s="57" t="s">
        <v>216</v>
      </c>
    </row>
    <row r="56" spans="1:13" x14ac:dyDescent="0.15">
      <c r="A56" s="82" t="s">
        <v>205</v>
      </c>
      <c r="B56" s="83">
        <f>floors!$C$2</f>
        <v>65535</v>
      </c>
      <c r="C56" s="84" t="str">
        <f ca="1">VLOOKUP($B56,OFFSET([2]quests!$A$1,0,0,COUNTA([2]quests!$A:$A),MATCH(C$1,[2]quests!$1:$1,0)-MATCH($B$1,[2]quests!$1:$1,0)+1),MATCH(C$1,[2]quests!$1:$1,0)-MATCH($B$1,[2]quests!$1:$1,0)+1,FALSE)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6" s="84" t="str">
        <f ca="1">VLOOKUP($B56,OFFSET([2]quests!$A$1,0,0,COUNTA([2]quests!$A:$A),MATCH(D$1,[2]quests!$1:$1,0)-MATCH($B$1,[2]quests!$1:$1,0)+1),MATCH(D$1,[2]quests!$1:$1,0)-MATCH($B$1,[2]quests!$1:$1,0)+1,FALSE)</f>
        <v>検証</v>
      </c>
      <c r="E56" s="88" t="s">
        <v>220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203</v>
      </c>
      <c r="K56" s="95" t="str">
        <f>VLOOKUP(I56,[7]stage_hints!$A:$C,3,FALSE)</f>
        <v>敵のカウンター攻撃には</v>
      </c>
      <c r="L56" s="96" t="str">
        <f>VLOOKUP(I56,[7]stage_hints!$A:$D,4,FALSE)</f>
        <v>カウンターブレイクスキルを持っていれば_x000D_敵のカウンターを解除して攻撃ができます</v>
      </c>
      <c r="M56" s="57" t="s">
        <v>216</v>
      </c>
    </row>
    <row r="57" spans="1:13" x14ac:dyDescent="0.15">
      <c r="A57" s="82" t="s">
        <v>205</v>
      </c>
      <c r="B57" s="83">
        <f>floors!$C$2</f>
        <v>65535</v>
      </c>
      <c r="C57" s="84" t="str">
        <f ca="1">VLOOKUP($B57,OFFSET([2]quests!$A$1,0,0,COUNTA([2]quests!$A:$A),MATCH(C$1,[2]quests!$1:$1,0)-MATCH($B$1,[2]quests!$1:$1,0)+1),MATCH(C$1,[2]quests!$1:$1,0)-MATCH($B$1,[2]quests!$1:$1,0)+1,FALSE)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7" s="84" t="str">
        <f ca="1">VLOOKUP($B57,OFFSET([2]quests!$A$1,0,0,COUNTA([2]quests!$A:$A),MATCH(D$1,[2]quests!$1:$1,0)-MATCH($B$1,[2]quests!$1:$1,0)+1),MATCH(D$1,[2]quests!$1:$1,0)-MATCH($B$1,[2]quests!$1:$1,0)+1,FALSE)</f>
        <v>検証</v>
      </c>
      <c r="E57" s="88" t="s">
        <v>220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203</v>
      </c>
      <c r="K57" s="95" t="str">
        <f>VLOOKUP(I57,[7]stage_hints!$A:$C,3,FALSE)</f>
        <v>ステータスをスキルで下げられたら</v>
      </c>
      <c r="L57" s="96" t="str">
        <f>VLOOKUP(I57,[7]stage_hints!$A:$D,4,FALSE)</f>
        <v>ステータスダウンのスキルを受けたら_x000D_ステータスアップスキルで上書きしましょう</v>
      </c>
      <c r="M57" s="57" t="s">
        <v>216</v>
      </c>
    </row>
    <row r="58" spans="1:13" x14ac:dyDescent="0.15">
      <c r="A58" s="82" t="s">
        <v>205</v>
      </c>
      <c r="B58" s="83">
        <f>floors!$C$2</f>
        <v>65535</v>
      </c>
      <c r="C58" s="84" t="str">
        <f ca="1">VLOOKUP($B58,OFFSET([2]quests!$A$1,0,0,COUNTA([2]quests!$A:$A),MATCH(C$1,[2]quests!$1:$1,0)-MATCH($B$1,[2]quests!$1:$1,0)+1),MATCH(C$1,[2]quests!$1:$1,0)-MATCH($B$1,[2]quests!$1:$1,0)+1,FALSE)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8" s="84" t="str">
        <f ca="1">VLOOKUP($B58,OFFSET([2]quests!$A$1,0,0,COUNTA([2]quests!$A:$A),MATCH(D$1,[2]quests!$1:$1,0)-MATCH($B$1,[2]quests!$1:$1,0)+1),MATCH(D$1,[2]quests!$1:$1,0)-MATCH($B$1,[2]quests!$1:$1,0)+1,FALSE)</f>
        <v>検証</v>
      </c>
      <c r="E58" s="88" t="s">
        <v>220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203</v>
      </c>
      <c r="K58" s="95" t="str">
        <f>VLOOKUP(I58,[7]stage_hints!$A:$C,3,FALSE)</f>
        <v>敵のステータスがスキルで上がったら</v>
      </c>
      <c r="L58" s="96" t="str">
        <f>VLOOKUP(I58,[7]stage_hints!$A:$D,4,FALSE)</f>
        <v>敵のステータスがスキルでアップしたときは_x000D_ステータスダウンスキルで上書きしましょう</v>
      </c>
      <c r="M58" s="57" t="s">
        <v>216</v>
      </c>
    </row>
    <row r="59" spans="1:13" x14ac:dyDescent="0.15">
      <c r="A59" s="82" t="s">
        <v>205</v>
      </c>
      <c r="B59" s="83">
        <f>floors!$C$2</f>
        <v>65535</v>
      </c>
      <c r="C59" s="84" t="str">
        <f ca="1">VLOOKUP($B59,OFFSET([2]quests!$A$1,0,0,COUNTA([2]quests!$A:$A),MATCH(C$1,[2]quests!$1:$1,0)-MATCH($B$1,[2]quests!$1:$1,0)+1),MATCH(C$1,[2]quests!$1:$1,0)-MATCH($B$1,[2]quests!$1:$1,0)+1,FALSE)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9" s="84" t="str">
        <f ca="1">VLOOKUP($B59,OFFSET([2]quests!$A$1,0,0,COUNTA([2]quests!$A:$A),MATCH(D$1,[2]quests!$1:$1,0)-MATCH($B$1,[2]quests!$1:$1,0)+1),MATCH(D$1,[2]quests!$1:$1,0)-MATCH($B$1,[2]quests!$1:$1,0)+1,FALSE)</f>
        <v>検証</v>
      </c>
      <c r="E59" s="88" t="s">
        <v>220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203</v>
      </c>
      <c r="K59" s="95" t="str">
        <f>VLOOKUP(I59,[7]stage_hints!$A:$C,3,FALSE)</f>
        <v>システム適合者を確認</v>
      </c>
      <c r="L59" s="96" t="str">
        <f>VLOOKUP(I59,[7]stage_hints!$A:$D,4,FALSE)</f>
        <v>ALICEが 「アナタ」を呼んでいます</v>
      </c>
      <c r="M59" s="57" t="s">
        <v>216</v>
      </c>
    </row>
    <row r="60" spans="1:13" x14ac:dyDescent="0.15">
      <c r="A60" s="82" t="s">
        <v>205</v>
      </c>
      <c r="B60" s="83">
        <f>floors!$C$2</f>
        <v>65535</v>
      </c>
      <c r="C60" s="84" t="str">
        <f ca="1">VLOOKUP($B60,OFFSET([2]quests!$A$1,0,0,COUNTA([2]quests!$A:$A),MATCH(C$1,[2]quests!$1:$1,0)-MATCH($B$1,[2]quests!$1:$1,0)+1),MATCH(C$1,[2]quests!$1:$1,0)-MATCH($B$1,[2]quests!$1:$1,0)+1,FALSE)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0" s="84" t="str">
        <f ca="1">VLOOKUP($B60,OFFSET([2]quests!$A$1,0,0,COUNTA([2]quests!$A:$A),MATCH(D$1,[2]quests!$1:$1,0)-MATCH($B$1,[2]quests!$1:$1,0)+1),MATCH(D$1,[2]quests!$1:$1,0)-MATCH($B$1,[2]quests!$1:$1,0)+1,FALSE)</f>
        <v>検証</v>
      </c>
      <c r="E60" s="88" t="s">
        <v>221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8">
        <v>3</v>
      </c>
      <c r="J60" s="85" t="s">
        <v>203</v>
      </c>
      <c r="K60" s="95" t="str">
        <f>VLOOKUP(I60,[7]stage_hints!$A:$C,3,FALSE)</f>
        <v>ターゲット</v>
      </c>
      <c r="L60" s="96" t="str">
        <f>VLOOKUP(I60,[7]stage_hints!$A:$D,4,FALSE)</f>
        <v>敵ユニットをタップすると_x000D_その敵を狙い撃ちできます</v>
      </c>
      <c r="M60" s="57" t="s">
        <v>216</v>
      </c>
    </row>
    <row r="61" spans="1:13" x14ac:dyDescent="0.15">
      <c r="A61" s="82" t="s">
        <v>205</v>
      </c>
      <c r="B61" s="83">
        <f>floors!$C$2</f>
        <v>65535</v>
      </c>
      <c r="C61" s="84" t="str">
        <f ca="1">VLOOKUP($B61,OFFSET([2]quests!$A$1,0,0,COUNTA([2]quests!$A:$A),MATCH(C$1,[2]quests!$1:$1,0)-MATCH($B$1,[2]quests!$1:$1,0)+1),MATCH(C$1,[2]quests!$1:$1,0)-MATCH($B$1,[2]quests!$1:$1,0)+1,FALSE)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1" s="84" t="str">
        <f ca="1">VLOOKUP($B61,OFFSET([2]quests!$A$1,0,0,COUNTA([2]quests!$A:$A),MATCH(D$1,[2]quests!$1:$1,0)-MATCH($B$1,[2]quests!$1:$1,0)+1),MATCH(D$1,[2]quests!$1:$1,0)-MATCH($B$1,[2]quests!$1:$1,0)+1,FALSE)</f>
        <v>検証</v>
      </c>
      <c r="E61" s="88" t="s">
        <v>221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8">
        <v>6</v>
      </c>
      <c r="J61" s="85" t="s">
        <v>203</v>
      </c>
      <c r="K61" s="95" t="str">
        <f>VLOOKUP(I61,[7]stage_hints!$A:$C,3,FALSE)</f>
        <v>ユニット強化の属性ボーナス</v>
      </c>
      <c r="L61" s="96" t="str">
        <f>VLOOKUP(I61,[7]stage_hints!$A:$D,4,FALSE)</f>
        <v>同属性ユニットを強化素材にすると_x000D_経験値が多くもらえます</v>
      </c>
      <c r="M61" s="57" t="s">
        <v>216</v>
      </c>
    </row>
    <row r="62" spans="1:13" x14ac:dyDescent="0.15">
      <c r="A62" s="82" t="s">
        <v>205</v>
      </c>
      <c r="B62" s="83">
        <f>floors!$C$2</f>
        <v>65535</v>
      </c>
      <c r="C62" s="84" t="str">
        <f ca="1">VLOOKUP($B62,OFFSET([2]quests!$A$1,0,0,COUNTA([2]quests!$A:$A),MATCH(C$1,[2]quests!$1:$1,0)-MATCH($B$1,[2]quests!$1:$1,0)+1),MATCH(C$1,[2]quests!$1:$1,0)-MATCH($B$1,[2]quests!$1:$1,0)+1,FALSE)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2" s="84" t="str">
        <f ca="1">VLOOKUP($B62,OFFSET([2]quests!$A$1,0,0,COUNTA([2]quests!$A:$A),MATCH(D$1,[2]quests!$1:$1,0)-MATCH($B$1,[2]quests!$1:$1,0)+1),MATCH(D$1,[2]quests!$1:$1,0)-MATCH($B$1,[2]quests!$1:$1,0)+1,FALSE)</f>
        <v>検証</v>
      </c>
      <c r="E62" s="88" t="s">
        <v>221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8">
        <v>7</v>
      </c>
      <c r="J62" s="85" t="s">
        <v>203</v>
      </c>
      <c r="K62" s="95" t="str">
        <f>VLOOKUP(I62,[7]stage_hints!$A:$C,3,FALSE)</f>
        <v>メタルダックで経験値を獲得</v>
      </c>
      <c r="L62" s="96" t="str">
        <f>VLOOKUP(I62,[7]stage_hints!$A:$D,4,FALSE)</f>
        <v>「メタルなアヒル」を強化素材にすると_x000D_大量の経験値がもらえます</v>
      </c>
      <c r="M62" s="57" t="s">
        <v>216</v>
      </c>
    </row>
    <row r="63" spans="1:13" x14ac:dyDescent="0.15">
      <c r="A63" s="82" t="s">
        <v>205</v>
      </c>
      <c r="B63" s="83">
        <f>floors!$C$2</f>
        <v>65535</v>
      </c>
      <c r="C63" s="84" t="str">
        <f ca="1">VLOOKUP($B63,OFFSET([2]quests!$A$1,0,0,COUNTA([2]quests!$A:$A),MATCH(C$1,[2]quests!$1:$1,0)-MATCH($B$1,[2]quests!$1:$1,0)+1),MATCH(C$1,[2]quests!$1:$1,0)-MATCH($B$1,[2]quests!$1:$1,0)+1,FALSE)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3" s="84" t="str">
        <f ca="1">VLOOKUP($B63,OFFSET([2]quests!$A$1,0,0,COUNTA([2]quests!$A:$A),MATCH(D$1,[2]quests!$1:$1,0)-MATCH($B$1,[2]quests!$1:$1,0)+1),MATCH(D$1,[2]quests!$1:$1,0)-MATCH($B$1,[2]quests!$1:$1,0)+1,FALSE)</f>
        <v>検証</v>
      </c>
      <c r="E63" s="88" t="s">
        <v>221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8">
        <v>8</v>
      </c>
      <c r="J63" s="85" t="s">
        <v>203</v>
      </c>
      <c r="K63" s="95" t="str">
        <f>VLOOKUP(I63,[7]stage_hints!$A:$C,3,FALSE)</f>
        <v>ゲリラクエストは要チェック</v>
      </c>
      <c r="L63" s="96" t="str">
        <f>VLOOKUP(I63,[7]stage_hints!$A:$D,4,FALSE)</f>
        <v>時間限定の「アヒル捕獲作戦」では_x000D_経験値素材ユニットが多く手に入ります</v>
      </c>
      <c r="M63" s="57" t="s">
        <v>216</v>
      </c>
    </row>
    <row r="64" spans="1:13" x14ac:dyDescent="0.15">
      <c r="A64" s="82" t="s">
        <v>205</v>
      </c>
      <c r="B64" s="83">
        <f>floors!$C$2</f>
        <v>65535</v>
      </c>
      <c r="C64" s="84" t="str">
        <f ca="1">VLOOKUP($B64,OFFSET([2]quests!$A$1,0,0,COUNTA([2]quests!$A:$A),MATCH(C$1,[2]quests!$1:$1,0)-MATCH($B$1,[2]quests!$1:$1,0)+1),MATCH(C$1,[2]quests!$1:$1,0)-MATCH($B$1,[2]quests!$1:$1,0)+1,FALSE)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4" s="84" t="str">
        <f ca="1">VLOOKUP($B64,OFFSET([2]quests!$A$1,0,0,COUNTA([2]quests!$A:$A),MATCH(D$1,[2]quests!$1:$1,0)-MATCH($B$1,[2]quests!$1:$1,0)+1),MATCH(D$1,[2]quests!$1:$1,0)-MATCH($B$1,[2]quests!$1:$1,0)+1,FALSE)</f>
        <v>検証</v>
      </c>
      <c r="E64" s="88" t="s">
        <v>221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8">
        <v>9</v>
      </c>
      <c r="J64" s="85" t="s">
        <v>203</v>
      </c>
      <c r="K64" s="95" t="str">
        <f>VLOOKUP(I64,[7]stage_hints!$A:$C,3,FALSE)</f>
        <v>ゴールドダックでビットを獲得</v>
      </c>
      <c r="L64" s="96" t="str">
        <f>VLOOKUP(I64,[7]stage_hints!$A:$D,4,FALSE)</f>
        <v>「ゴールドなアヒル」を売却すると_x000D_大量のビットがもらえます</v>
      </c>
      <c r="M64" s="57" t="s">
        <v>216</v>
      </c>
    </row>
    <row r="65" spans="1:13" x14ac:dyDescent="0.15">
      <c r="A65" s="82" t="s">
        <v>205</v>
      </c>
      <c r="B65" s="83">
        <f>floors!$C$2</f>
        <v>65535</v>
      </c>
      <c r="C65" s="84" t="str">
        <f ca="1">VLOOKUP($B65,OFFSET([2]quests!$A$1,0,0,COUNTA([2]quests!$A:$A),MATCH(C$1,[2]quests!$1:$1,0)-MATCH($B$1,[2]quests!$1:$1,0)+1),MATCH(C$1,[2]quests!$1:$1,0)-MATCH($B$1,[2]quests!$1:$1,0)+1,FALSE)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5" s="84" t="str">
        <f ca="1">VLOOKUP($B65,OFFSET([2]quests!$A$1,0,0,COUNTA([2]quests!$A:$A),MATCH(D$1,[2]quests!$1:$1,0)-MATCH($B$1,[2]quests!$1:$1,0)+1),MATCH(D$1,[2]quests!$1:$1,0)-MATCH($B$1,[2]quests!$1:$1,0)+1,FALSE)</f>
        <v>検証</v>
      </c>
      <c r="E65" s="88" t="s">
        <v>221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8">
        <v>10</v>
      </c>
      <c r="J65" s="85" t="s">
        <v>203</v>
      </c>
      <c r="K65" s="95" t="str">
        <f>VLOOKUP(I65,[7]stage_hints!$A:$C,3,FALSE)</f>
        <v>土日に大量のビットを獲得</v>
      </c>
      <c r="L65" s="96" t="str">
        <f>VLOOKUP(I65,[7]stage_hints!$A:$D,4,FALSE)</f>
        <v>土日限定の「ゴールドカジノ」では_x000D_売却素材ユニットが多く手に入ります</v>
      </c>
      <c r="M65" s="57" t="s">
        <v>216</v>
      </c>
    </row>
    <row r="66" spans="1:13" x14ac:dyDescent="0.15">
      <c r="A66" s="82" t="s">
        <v>205</v>
      </c>
      <c r="B66" s="83">
        <f>floors!$C$2</f>
        <v>65535</v>
      </c>
      <c r="C66" s="84" t="str">
        <f ca="1">VLOOKUP($B66,OFFSET([2]quests!$A$1,0,0,COUNTA([2]quests!$A:$A),MATCH(C$1,[2]quests!$1:$1,0)-MATCH($B$1,[2]quests!$1:$1,0)+1),MATCH(C$1,[2]quests!$1:$1,0)-MATCH($B$1,[2]quests!$1:$1,0)+1,FALSE)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6" s="84" t="str">
        <f ca="1">VLOOKUP($B66,OFFSET([2]quests!$A$1,0,0,COUNTA([2]quests!$A:$A),MATCH(D$1,[2]quests!$1:$1,0)-MATCH($B$1,[2]quests!$1:$1,0)+1),MATCH(D$1,[2]quests!$1:$1,0)-MATCH($B$1,[2]quests!$1:$1,0)+1,FALSE)</f>
        <v>検証</v>
      </c>
      <c r="E66" s="88" t="s">
        <v>221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8">
        <v>11</v>
      </c>
      <c r="J66" s="85" t="s">
        <v>203</v>
      </c>
      <c r="K66" s="95" t="str">
        <f>VLOOKUP(I66,[7]stage_hints!$A:$C,3,FALSE)</f>
        <v>ランク解放クエスト</v>
      </c>
      <c r="L66" s="96" t="str">
        <f>VLOOKUP(I66,[7]stage_hints!$A:$D,4,FALSE)</f>
        <v>一定ランクに到達すると_x000D_報酬付きのランク開放クエストが現れます</v>
      </c>
      <c r="M66" s="57" t="s">
        <v>216</v>
      </c>
    </row>
    <row r="67" spans="1:13" x14ac:dyDescent="0.15">
      <c r="A67" s="82" t="s">
        <v>205</v>
      </c>
      <c r="B67" s="83">
        <f>floors!$C$2</f>
        <v>65535</v>
      </c>
      <c r="C67" s="84" t="str">
        <f ca="1">VLOOKUP($B67,OFFSET([2]quests!$A$1,0,0,COUNTA([2]quests!$A:$A),MATCH(C$1,[2]quests!$1:$1,0)-MATCH($B$1,[2]quests!$1:$1,0)+1),MATCH(C$1,[2]quests!$1:$1,0)-MATCH($B$1,[2]quests!$1:$1,0)+1,FALSE)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7" s="84" t="str">
        <f ca="1">VLOOKUP($B67,OFFSET([2]quests!$A$1,0,0,COUNTA([2]quests!$A:$A),MATCH(D$1,[2]quests!$1:$1,0)-MATCH($B$1,[2]quests!$1:$1,0)+1),MATCH(D$1,[2]quests!$1:$1,0)-MATCH($B$1,[2]quests!$1:$1,0)+1,FALSE)</f>
        <v>検証</v>
      </c>
      <c r="E67" s="88" t="s">
        <v>221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8">
        <v>12</v>
      </c>
      <c r="J67" s="85" t="s">
        <v>203</v>
      </c>
      <c r="K67" s="95" t="str">
        <f>VLOOKUP(I67,[7]stage_hints!$A:$C,3,FALSE)</f>
        <v>ユニットのお気に入り登録</v>
      </c>
      <c r="L67" s="96" t="str">
        <f>VLOOKUP(I67,[7]stage_hints!$A:$D,4,FALSE)</f>
        <v>大事なユニットを誤って消さないように_x000D_フォルダから「お気に入り登録」しましょう</v>
      </c>
      <c r="M67" s="57" t="s">
        <v>216</v>
      </c>
    </row>
    <row r="68" spans="1:13" x14ac:dyDescent="0.15">
      <c r="A68" s="82" t="s">
        <v>205</v>
      </c>
      <c r="B68" s="83">
        <f>floors!$C$2</f>
        <v>65535</v>
      </c>
      <c r="C68" s="84" t="str">
        <f ca="1">VLOOKUP($B68,OFFSET([2]quests!$A$1,0,0,COUNTA([2]quests!$A:$A),MATCH(C$1,[2]quests!$1:$1,0)-MATCH($B$1,[2]quests!$1:$1,0)+1),MATCH(C$1,[2]quests!$1:$1,0)-MATCH($B$1,[2]quests!$1:$1,0)+1,FALSE)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8" s="84" t="str">
        <f ca="1">VLOOKUP($B68,OFFSET([2]quests!$A$1,0,0,COUNTA([2]quests!$A:$A),MATCH(D$1,[2]quests!$1:$1,0)-MATCH($B$1,[2]quests!$1:$1,0)+1),MATCH(D$1,[2]quests!$1:$1,0)-MATCH($B$1,[2]quests!$1:$1,0)+1,FALSE)</f>
        <v>検証</v>
      </c>
      <c r="E68" s="88" t="s">
        <v>221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8">
        <v>13</v>
      </c>
      <c r="J68" s="85" t="s">
        <v>203</v>
      </c>
      <c r="K68" s="95" t="str">
        <f>VLOOKUP(I68,[7]stage_hints!$A:$C,3,FALSE)</f>
        <v>ユニットの覚醒</v>
      </c>
      <c r="L68" s="96" t="str">
        <f>VLOOKUP(I68,[7]stage_hints!$A:$D,4,FALSE)</f>
        <v>ユニットを覚醒させると_x000D_比べものにならない強さが手に入ります</v>
      </c>
      <c r="M68" s="57" t="s">
        <v>216</v>
      </c>
    </row>
    <row r="69" spans="1:13" x14ac:dyDescent="0.15">
      <c r="A69" s="82" t="s">
        <v>205</v>
      </c>
      <c r="B69" s="83">
        <f>floors!$C$2</f>
        <v>65535</v>
      </c>
      <c r="C69" s="84" t="str">
        <f ca="1">VLOOKUP($B69,OFFSET([2]quests!$A$1,0,0,COUNTA([2]quests!$A:$A),MATCH(C$1,[2]quests!$1:$1,0)-MATCH($B$1,[2]quests!$1:$1,0)+1),MATCH(C$1,[2]quests!$1:$1,0)-MATCH($B$1,[2]quests!$1:$1,0)+1,FALSE)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9" s="84" t="str">
        <f ca="1">VLOOKUP($B69,OFFSET([2]quests!$A$1,0,0,COUNTA([2]quests!$A:$A),MATCH(D$1,[2]quests!$1:$1,0)-MATCH($B$1,[2]quests!$1:$1,0)+1),MATCH(D$1,[2]quests!$1:$1,0)-MATCH($B$1,[2]quests!$1:$1,0)+1,FALSE)</f>
        <v>検証</v>
      </c>
      <c r="E69" s="88" t="s">
        <v>221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8">
        <v>14</v>
      </c>
      <c r="J69" s="85" t="s">
        <v>203</v>
      </c>
      <c r="K69" s="95" t="str">
        <f>VLOOKUP(I69,[7]stage_hints!$A:$C,3,FALSE)</f>
        <v>覚醒するにはレベルを最大に</v>
      </c>
      <c r="L69" s="96" t="str">
        <f>VLOOKUP(I69,[7]stage_hints!$A:$D,4,FALSE)</f>
        <v>覚醒するにはユニットのレベルを_x000D_最大まで上げる必要があります</v>
      </c>
      <c r="M69" s="57" t="s">
        <v>216</v>
      </c>
    </row>
    <row r="70" spans="1:13" x14ac:dyDescent="0.15">
      <c r="A70" s="82" t="s">
        <v>205</v>
      </c>
      <c r="B70" s="83">
        <f>floors!$C$2</f>
        <v>65535</v>
      </c>
      <c r="C70" s="84" t="str">
        <f ca="1">VLOOKUP($B70,OFFSET([2]quests!$A$1,0,0,COUNTA([2]quests!$A:$A),MATCH(C$1,[2]quests!$1:$1,0)-MATCH($B$1,[2]quests!$1:$1,0)+1),MATCH(C$1,[2]quests!$1:$1,0)-MATCH($B$1,[2]quests!$1:$1,0)+1,FALSE)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0" s="84" t="str">
        <f ca="1">VLOOKUP($B70,OFFSET([2]quests!$A$1,0,0,COUNTA([2]quests!$A:$A),MATCH(D$1,[2]quests!$1:$1,0)-MATCH($B$1,[2]quests!$1:$1,0)+1),MATCH(D$1,[2]quests!$1:$1,0)-MATCH($B$1,[2]quests!$1:$1,0)+1,FALSE)</f>
        <v>検証</v>
      </c>
      <c r="E70" s="88" t="s">
        <v>221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8">
        <v>15</v>
      </c>
      <c r="J70" s="85" t="s">
        <v>203</v>
      </c>
      <c r="K70" s="95" t="str">
        <f>VLOOKUP(I70,[7]stage_hints!$A:$C,3,FALSE)</f>
        <v>覚醒素材を獲得</v>
      </c>
      <c r="L70" s="96" t="str">
        <f>VLOOKUP(I70,[7]stage_hints!$A:$D,4,FALSE)</f>
        <v>「曜日クエスト」では_x000D_ユニットの覚醒に必要な素材が手に入ります</v>
      </c>
      <c r="M70" s="57" t="s">
        <v>216</v>
      </c>
    </row>
    <row r="71" spans="1:13" x14ac:dyDescent="0.15">
      <c r="A71" s="82" t="s">
        <v>205</v>
      </c>
      <c r="B71" s="83">
        <f>floors!$C$2</f>
        <v>65535</v>
      </c>
      <c r="C71" s="84" t="str">
        <f ca="1">VLOOKUP($B71,OFFSET([2]quests!$A$1,0,0,COUNTA([2]quests!$A:$A),MATCH(C$1,[2]quests!$1:$1,0)-MATCH($B$1,[2]quests!$1:$1,0)+1),MATCH(C$1,[2]quests!$1:$1,0)-MATCH($B$1,[2]quests!$1:$1,0)+1,FALSE)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1" s="84" t="str">
        <f ca="1">VLOOKUP($B71,OFFSET([2]quests!$A$1,0,0,COUNTA([2]quests!$A:$A),MATCH(D$1,[2]quests!$1:$1,0)-MATCH($B$1,[2]quests!$1:$1,0)+1),MATCH(D$1,[2]quests!$1:$1,0)-MATCH($B$1,[2]quests!$1:$1,0)+1,FALSE)</f>
        <v>検証</v>
      </c>
      <c r="E71" s="88" t="s">
        <v>221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8">
        <v>16</v>
      </c>
      <c r="J71" s="85" t="s">
        <v>203</v>
      </c>
      <c r="K71" s="95" t="str">
        <f>VLOOKUP(I71,[7]stage_hints!$A:$C,3,FALSE)</f>
        <v>マルチプレイのメリット（その1）</v>
      </c>
      <c r="L71" s="96" t="str">
        <f>VLOOKUP(I71,[7]stage_hints!$A:$D,4,FALSE)</f>
        <v>他のプレイヤーとマルチプレイで遊ぶと_x000D_ポリゴンがもらえます（100人まで）</v>
      </c>
      <c r="M71" s="57" t="s">
        <v>216</v>
      </c>
    </row>
    <row r="72" spans="1:13" x14ac:dyDescent="0.15">
      <c r="A72" s="82" t="s">
        <v>205</v>
      </c>
      <c r="B72" s="83">
        <f>floors!$C$2</f>
        <v>65535</v>
      </c>
      <c r="C72" s="84" t="str">
        <f ca="1">VLOOKUP($B72,OFFSET([2]quests!$A$1,0,0,COUNTA([2]quests!$A:$A),MATCH(C$1,[2]quests!$1:$1,0)-MATCH($B$1,[2]quests!$1:$1,0)+1),MATCH(C$1,[2]quests!$1:$1,0)-MATCH($B$1,[2]quests!$1:$1,0)+1,FALSE)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2" s="84" t="str">
        <f ca="1">VLOOKUP($B72,OFFSET([2]quests!$A$1,0,0,COUNTA([2]quests!$A:$A),MATCH(D$1,[2]quests!$1:$1,0)-MATCH($B$1,[2]quests!$1:$1,0)+1),MATCH(D$1,[2]quests!$1:$1,0)-MATCH($B$1,[2]quests!$1:$1,0)+1,FALSE)</f>
        <v>検証</v>
      </c>
      <c r="E72" s="88" t="s">
        <v>221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8">
        <v>17</v>
      </c>
      <c r="J72" s="85" t="s">
        <v>203</v>
      </c>
      <c r="K72" s="95" t="str">
        <f>VLOOKUP(I72,[7]stage_hints!$A:$C,3,FALSE)</f>
        <v>リンクガチャ</v>
      </c>
      <c r="L72" s="96" t="str">
        <f>VLOOKUP(I72,[7]stage_hints!$A:$D,4,FALSE)</f>
        <v>無料のリンクガチャを回して_x000D_経験値素材や売却素材を獲得しましょう</v>
      </c>
      <c r="M72" s="57" t="s">
        <v>216</v>
      </c>
    </row>
    <row r="73" spans="1:13" x14ac:dyDescent="0.15">
      <c r="A73" s="82" t="s">
        <v>205</v>
      </c>
      <c r="B73" s="83">
        <f>floors!$C$2</f>
        <v>65535</v>
      </c>
      <c r="C73" s="84" t="str">
        <f ca="1">VLOOKUP($B73,OFFSET([2]quests!$A$1,0,0,COUNTA([2]quests!$A:$A),MATCH(C$1,[2]quests!$1:$1,0)-MATCH($B$1,[2]quests!$1:$1,0)+1),MATCH(C$1,[2]quests!$1:$1,0)-MATCH($B$1,[2]quests!$1:$1,0)+1,FALSE)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3" s="84" t="str">
        <f ca="1">VLOOKUP($B73,OFFSET([2]quests!$A$1,0,0,COUNTA([2]quests!$A:$A),MATCH(D$1,[2]quests!$1:$1,0)-MATCH($B$1,[2]quests!$1:$1,0)+1),MATCH(D$1,[2]quests!$1:$1,0)-MATCH($B$1,[2]quests!$1:$1,0)+1,FALSE)</f>
        <v>検証</v>
      </c>
      <c r="E73" s="88" t="s">
        <v>221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8">
        <v>18</v>
      </c>
      <c r="J73" s="85" t="s">
        <v>203</v>
      </c>
      <c r="K73" s="95" t="str">
        <f>VLOOKUP(I73,[7]stage_hints!$A:$C,3,FALSE)</f>
        <v>マルチプレイのメリット（その2）</v>
      </c>
      <c r="L73" s="96" t="str">
        <f>VLOOKUP(I73,[7]stage_hints!$A:$D,4,FALSE)</f>
        <v>マルチプレイならリンクが2倍もらえます_x000D_リンクガチャをたくさん回しましょう</v>
      </c>
      <c r="M73" s="57" t="s">
        <v>216</v>
      </c>
    </row>
    <row r="74" spans="1:13" x14ac:dyDescent="0.15">
      <c r="A74" s="82" t="s">
        <v>205</v>
      </c>
      <c r="B74" s="83">
        <f>floors!$C$2</f>
        <v>65535</v>
      </c>
      <c r="C74" s="84" t="str">
        <f ca="1">VLOOKUP($B74,OFFSET([2]quests!$A$1,0,0,COUNTA([2]quests!$A:$A),MATCH(C$1,[2]quests!$1:$1,0)-MATCH($B$1,[2]quests!$1:$1,0)+1),MATCH(C$1,[2]quests!$1:$1,0)-MATCH($B$1,[2]quests!$1:$1,0)+1,FALSE)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4" s="84" t="str">
        <f ca="1">VLOOKUP($B74,OFFSET([2]quests!$A$1,0,0,COUNTA([2]quests!$A:$A),MATCH(D$1,[2]quests!$1:$1,0)-MATCH($B$1,[2]quests!$1:$1,0)+1),MATCH(D$1,[2]quests!$1:$1,0)-MATCH($B$1,[2]quests!$1:$1,0)+1,FALSE)</f>
        <v>検証</v>
      </c>
      <c r="E74" s="88" t="s">
        <v>221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8">
        <v>19</v>
      </c>
      <c r="J74" s="85" t="s">
        <v>203</v>
      </c>
      <c r="K74" s="95" t="str">
        <f>VLOOKUP(I74,[7]stage_hints!$A:$C,3,FALSE)</f>
        <v>ソロ専用タワーオブザクイーン</v>
      </c>
      <c r="L74" s="96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7" t="s">
        <v>216</v>
      </c>
    </row>
    <row r="75" spans="1:13" x14ac:dyDescent="0.15">
      <c r="A75" s="82" t="s">
        <v>205</v>
      </c>
      <c r="B75" s="83">
        <f>floors!$C$2</f>
        <v>65535</v>
      </c>
      <c r="C75" s="84" t="str">
        <f ca="1">VLOOKUP($B75,OFFSET([2]quests!$A$1,0,0,COUNTA([2]quests!$A:$A),MATCH(C$1,[2]quests!$1:$1,0)-MATCH($B$1,[2]quests!$1:$1,0)+1),MATCH(C$1,[2]quests!$1:$1,0)-MATCH($B$1,[2]quests!$1:$1,0)+1,FALSE)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5" s="84" t="str">
        <f ca="1">VLOOKUP($B75,OFFSET([2]quests!$A$1,0,0,COUNTA([2]quests!$A:$A),MATCH(D$1,[2]quests!$1:$1,0)-MATCH($B$1,[2]quests!$1:$1,0)+1),MATCH(D$1,[2]quests!$1:$1,0)-MATCH($B$1,[2]quests!$1:$1,0)+1,FALSE)</f>
        <v>検証</v>
      </c>
      <c r="E75" s="88" t="s">
        <v>221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8">
        <v>20</v>
      </c>
      <c r="J75" s="85" t="s">
        <v>203</v>
      </c>
      <c r="K75" s="95" t="str">
        <f>VLOOKUP(I75,[7]stage_hints!$A:$C,3,FALSE)</f>
        <v>マルチプレイのメリット（その3）</v>
      </c>
      <c r="L75" s="96" t="str">
        <f>VLOOKUP(I75,[7]stage_hints!$A:$D,4,FALSE)</f>
        <v>マルチプレイへの参加はエナジー消費ゼロ_x000D_いつでも好きなだけ遊ぶことができます</v>
      </c>
      <c r="M75" s="57" t="s">
        <v>216</v>
      </c>
    </row>
    <row r="76" spans="1:13" x14ac:dyDescent="0.15">
      <c r="A76" s="82" t="s">
        <v>205</v>
      </c>
      <c r="B76" s="83">
        <f>floors!$C$2</f>
        <v>65535</v>
      </c>
      <c r="C76" s="84" t="str">
        <f ca="1">VLOOKUP($B76,OFFSET([2]quests!$A$1,0,0,COUNTA([2]quests!$A:$A),MATCH(C$1,[2]quests!$1:$1,0)-MATCH($B$1,[2]quests!$1:$1,0)+1),MATCH(C$1,[2]quests!$1:$1,0)-MATCH($B$1,[2]quests!$1:$1,0)+1,FALSE)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6" s="84" t="str">
        <f ca="1">VLOOKUP($B76,OFFSET([2]quests!$A$1,0,0,COUNTA([2]quests!$A:$A),MATCH(D$1,[2]quests!$1:$1,0)-MATCH($B$1,[2]quests!$1:$1,0)+1),MATCH(D$1,[2]quests!$1:$1,0)-MATCH($B$1,[2]quests!$1:$1,0)+1,FALSE)</f>
        <v>検証</v>
      </c>
      <c r="E76" s="88" t="s">
        <v>221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8">
        <v>21</v>
      </c>
      <c r="J76" s="85" t="s">
        <v>203</v>
      </c>
      <c r="K76" s="95" t="str">
        <f>VLOOKUP(I76,[7]stage_hints!$A:$C,3,FALSE)</f>
        <v>スキルを有効に</v>
      </c>
      <c r="L76" s="96" t="str">
        <f>VLOOKUP(I76,[7]stage_hints!$A:$D,4,FALSE)</f>
        <v>ターン経過でユニットのスキルが使えます_x000D_強力スキルでバトルを有利に進めましょう</v>
      </c>
      <c r="M76" s="57" t="s">
        <v>216</v>
      </c>
    </row>
    <row r="77" spans="1:13" x14ac:dyDescent="0.15">
      <c r="A77" s="82" t="s">
        <v>205</v>
      </c>
      <c r="B77" s="83">
        <f>floors!$C$2</f>
        <v>65535</v>
      </c>
      <c r="C77" s="84" t="str">
        <f ca="1">VLOOKUP($B77,OFFSET([2]quests!$A$1,0,0,COUNTA([2]quests!$A:$A),MATCH(C$1,[2]quests!$1:$1,0)-MATCH($B$1,[2]quests!$1:$1,0)+1),MATCH(C$1,[2]quests!$1:$1,0)-MATCH($B$1,[2]quests!$1:$1,0)+1,FALSE)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7" s="84" t="str">
        <f ca="1">VLOOKUP($B77,OFFSET([2]quests!$A$1,0,0,COUNTA([2]quests!$A:$A),MATCH(D$1,[2]quests!$1:$1,0)-MATCH($B$1,[2]quests!$1:$1,0)+1),MATCH(D$1,[2]quests!$1:$1,0)-MATCH($B$1,[2]quests!$1:$1,0)+1,FALSE)</f>
        <v>検証</v>
      </c>
      <c r="E77" s="88" t="s">
        <v>221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8">
        <v>22</v>
      </c>
      <c r="J77" s="85" t="s">
        <v>203</v>
      </c>
      <c r="K77" s="95" t="str">
        <f>VLOOKUP(I77,[7]stage_hints!$A:$C,3,FALSE)</f>
        <v>フィーバーで一発逆転（その1）</v>
      </c>
      <c r="L77" s="96" t="str">
        <f>VLOOKUP(I77,[7]stage_hints!$A:$D,4,FALSE)</f>
        <v>フィーバーは攻撃と回復を兼ね備えます_x000D_ピンチからの一発逆転を狙いましょう</v>
      </c>
      <c r="M77" s="57" t="s">
        <v>216</v>
      </c>
    </row>
    <row r="78" spans="1:13" x14ac:dyDescent="0.15">
      <c r="A78" s="82" t="s">
        <v>205</v>
      </c>
      <c r="B78" s="83">
        <f>floors!$C$2</f>
        <v>65535</v>
      </c>
      <c r="C78" s="84" t="str">
        <f ca="1">VLOOKUP($B78,OFFSET([2]quests!$A$1,0,0,COUNTA([2]quests!$A:$A),MATCH(C$1,[2]quests!$1:$1,0)-MATCH($B$1,[2]quests!$1:$1,0)+1),MATCH(C$1,[2]quests!$1:$1,0)-MATCH($B$1,[2]quests!$1:$1,0)+1,FALSE)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8" s="84" t="str">
        <f ca="1">VLOOKUP($B78,OFFSET([2]quests!$A$1,0,0,COUNTA([2]quests!$A:$A),MATCH(D$1,[2]quests!$1:$1,0)-MATCH($B$1,[2]quests!$1:$1,0)+1),MATCH(D$1,[2]quests!$1:$1,0)-MATCH($B$1,[2]quests!$1:$1,0)+1,FALSE)</f>
        <v>検証</v>
      </c>
      <c r="E78" s="88" t="s">
        <v>221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8">
        <v>23</v>
      </c>
      <c r="J78" s="85" t="s">
        <v>203</v>
      </c>
      <c r="K78" s="95" t="str">
        <f>VLOOKUP(I78,[7]stage_hints!$A:$C,3,FALSE)</f>
        <v>フィーバーで一発逆転（その2）</v>
      </c>
      <c r="L78" s="96" t="str">
        <f>VLOOKUP(I78,[7]stage_hints!$A:$D,4,FALSE)</f>
        <v>フィーバー中は虹色のボムパネルを狙って_x000D_画面上のパネルを一気に破壊しましょう</v>
      </c>
      <c r="M78" s="57" t="s">
        <v>216</v>
      </c>
    </row>
    <row r="79" spans="1:13" x14ac:dyDescent="0.15">
      <c r="A79" s="82" t="s">
        <v>205</v>
      </c>
      <c r="B79" s="83">
        <f>floors!$C$2</f>
        <v>65535</v>
      </c>
      <c r="C79" s="84" t="str">
        <f ca="1">VLOOKUP($B79,OFFSET([2]quests!$A$1,0,0,COUNTA([2]quests!$A:$A),MATCH(C$1,[2]quests!$1:$1,0)-MATCH($B$1,[2]quests!$1:$1,0)+1),MATCH(C$1,[2]quests!$1:$1,0)-MATCH($B$1,[2]quests!$1:$1,0)+1,FALSE)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9" s="84" t="str">
        <f ca="1">VLOOKUP($B79,OFFSET([2]quests!$A$1,0,0,COUNTA([2]quests!$A:$A),MATCH(D$1,[2]quests!$1:$1,0)-MATCH($B$1,[2]quests!$1:$1,0)+1),MATCH(D$1,[2]quests!$1:$1,0)-MATCH($B$1,[2]quests!$1:$1,0)+1,FALSE)</f>
        <v>検証</v>
      </c>
      <c r="E79" s="88" t="s">
        <v>221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8">
        <v>24</v>
      </c>
      <c r="J79" s="85" t="s">
        <v>203</v>
      </c>
      <c r="K79" s="95" t="str">
        <f>VLOOKUP(I79,[7]stage_hints!$A:$C,3,FALSE)</f>
        <v>りんごを使って限界突破</v>
      </c>
      <c r="L79" s="96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216</v>
      </c>
    </row>
    <row r="80" spans="1:13" x14ac:dyDescent="0.15">
      <c r="A80" s="82" t="s">
        <v>205</v>
      </c>
      <c r="B80" s="83">
        <f>floors!$C$2</f>
        <v>65535</v>
      </c>
      <c r="C80" s="84" t="str">
        <f ca="1">VLOOKUP($B80,OFFSET([2]quests!$A$1,0,0,COUNTA([2]quests!$A:$A),MATCH(C$1,[2]quests!$1:$1,0)-MATCH($B$1,[2]quests!$1:$1,0)+1),MATCH(C$1,[2]quests!$1:$1,0)-MATCH($B$1,[2]quests!$1:$1,0)+1,FALSE)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0" s="84" t="str">
        <f ca="1">VLOOKUP($B80,OFFSET([2]quests!$A$1,0,0,COUNTA([2]quests!$A:$A),MATCH(D$1,[2]quests!$1:$1,0)-MATCH($B$1,[2]quests!$1:$1,0)+1),MATCH(D$1,[2]quests!$1:$1,0)-MATCH($B$1,[2]quests!$1:$1,0)+1,FALSE)</f>
        <v>検証</v>
      </c>
      <c r="E80" s="88" t="s">
        <v>221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8">
        <v>25</v>
      </c>
      <c r="J80" s="85" t="s">
        <v>203</v>
      </c>
      <c r="K80" s="95" t="str">
        <f>VLOOKUP(I80,[7]stage_hints!$A:$C,3,FALSE)</f>
        <v>スキルレベルアップ</v>
      </c>
      <c r="L80" s="96" t="str">
        <f>VLOOKUP(I80,[7]stage_hints!$A:$D,4,FALSE)</f>
        <v>「クリスタルのりんご」を強化に使うと_x000D_スキルレベルを上げることができます</v>
      </c>
      <c r="M80" s="57" t="s">
        <v>216</v>
      </c>
    </row>
    <row r="81" spans="1:13" x14ac:dyDescent="0.15">
      <c r="A81" s="82" t="s">
        <v>205</v>
      </c>
      <c r="B81" s="83">
        <f>floors!$C$2</f>
        <v>65535</v>
      </c>
      <c r="C81" s="84" t="str">
        <f ca="1">VLOOKUP($B81,OFFSET([2]quests!$A$1,0,0,COUNTA([2]quests!$A:$A),MATCH(C$1,[2]quests!$1:$1,0)-MATCH($B$1,[2]quests!$1:$1,0)+1),MATCH(C$1,[2]quests!$1:$1,0)-MATCH($B$1,[2]quests!$1:$1,0)+1,FALSE)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1" s="84" t="str">
        <f ca="1">VLOOKUP($B81,OFFSET([2]quests!$A$1,0,0,COUNTA([2]quests!$A:$A),MATCH(D$1,[2]quests!$1:$1,0)-MATCH($B$1,[2]quests!$1:$1,0)+1),MATCH(D$1,[2]quests!$1:$1,0)-MATCH($B$1,[2]quests!$1:$1,0)+1,FALSE)</f>
        <v>検証</v>
      </c>
      <c r="E81" s="88" t="s">
        <v>221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8">
        <v>26</v>
      </c>
      <c r="J81" s="85" t="s">
        <v>203</v>
      </c>
      <c r="K81" s="95" t="str">
        <f>VLOOKUP(I81,[7]stage_hints!$A:$C,3,FALSE)</f>
        <v>スキルレベルの効果</v>
      </c>
      <c r="L81" s="96" t="str">
        <f>VLOOKUP(I81,[7]stage_hints!$A:$D,4,FALSE)</f>
        <v>スキルレベルが上がると_x000D_短いターンでスキルを使うことができます</v>
      </c>
      <c r="M81" s="57" t="s">
        <v>216</v>
      </c>
    </row>
    <row r="82" spans="1:13" x14ac:dyDescent="0.15">
      <c r="A82" s="82" t="s">
        <v>205</v>
      </c>
      <c r="B82" s="83">
        <f>floors!$C$2</f>
        <v>65535</v>
      </c>
      <c r="C82" s="84" t="str">
        <f ca="1">VLOOKUP($B82,OFFSET([2]quests!$A$1,0,0,COUNTA([2]quests!$A:$A),MATCH(C$1,[2]quests!$1:$1,0)-MATCH($B$1,[2]quests!$1:$1,0)+1),MATCH(C$1,[2]quests!$1:$1,0)-MATCH($B$1,[2]quests!$1:$1,0)+1,FALSE)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2" s="84" t="str">
        <f ca="1">VLOOKUP($B82,OFFSET([2]quests!$A$1,0,0,COUNTA([2]quests!$A:$A),MATCH(D$1,[2]quests!$1:$1,0)-MATCH($B$1,[2]quests!$1:$1,0)+1),MATCH(D$1,[2]quests!$1:$1,0)-MATCH($B$1,[2]quests!$1:$1,0)+1,FALSE)</f>
        <v>検証</v>
      </c>
      <c r="E82" s="88" t="s">
        <v>221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8">
        <v>27</v>
      </c>
      <c r="J82" s="85" t="s">
        <v>203</v>
      </c>
      <c r="K82" s="95" t="str">
        <f>VLOOKUP(I82,[7]stage_hints!$A:$C,3,FALSE)</f>
        <v>ホーム画面からデッキを編成</v>
      </c>
      <c r="L82" s="96" t="str">
        <f>VLOOKUP(I82,[7]stage_hints!$A:$D,4,FALSE)</f>
        <v>ホーム画面でユニットを長押しすると_x000D_すぐにパーティ編成に移動できます</v>
      </c>
      <c r="M82" s="57" t="s">
        <v>216</v>
      </c>
    </row>
    <row r="83" spans="1:13" x14ac:dyDescent="0.15">
      <c r="A83" s="82" t="s">
        <v>205</v>
      </c>
      <c r="B83" s="83">
        <f>floors!$C$2</f>
        <v>65535</v>
      </c>
      <c r="C83" s="84" t="str">
        <f ca="1">VLOOKUP($B83,OFFSET([2]quests!$A$1,0,0,COUNTA([2]quests!$A:$A),MATCH(C$1,[2]quests!$1:$1,0)-MATCH($B$1,[2]quests!$1:$1,0)+1),MATCH(C$1,[2]quests!$1:$1,0)-MATCH($B$1,[2]quests!$1:$1,0)+1,FALSE)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3" s="84" t="str">
        <f ca="1">VLOOKUP($B83,OFFSET([2]quests!$A$1,0,0,COUNTA([2]quests!$A:$A),MATCH(D$1,[2]quests!$1:$1,0)-MATCH($B$1,[2]quests!$1:$1,0)+1),MATCH(D$1,[2]quests!$1:$1,0)-MATCH($B$1,[2]quests!$1:$1,0)+1,FALSE)</f>
        <v>検証</v>
      </c>
      <c r="E83" s="88" t="s">
        <v>221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8">
        <v>28</v>
      </c>
      <c r="J83" s="85" t="s">
        <v>203</v>
      </c>
      <c r="K83" s="95" t="str">
        <f>VLOOKUP(I83,[7]stage_hints!$A:$C,3,FALSE)</f>
        <v>ステータス情報は長押しで</v>
      </c>
      <c r="L83" s="96" t="str">
        <f>VLOOKUP(I83,[7]stage_hints!$A:$D,4,FALSE)</f>
        <v>ユニットのアイコンを長押しすると_x000D_ステータス情報を確認することができます</v>
      </c>
      <c r="M83" s="57" t="s">
        <v>216</v>
      </c>
    </row>
    <row r="84" spans="1:13" x14ac:dyDescent="0.15">
      <c r="A84" s="82" t="s">
        <v>205</v>
      </c>
      <c r="B84" s="83">
        <f>floors!$C$2</f>
        <v>65535</v>
      </c>
      <c r="C84" s="84" t="str">
        <f ca="1">VLOOKUP($B84,OFFSET([2]quests!$A$1,0,0,COUNTA([2]quests!$A:$A),MATCH(C$1,[2]quests!$1:$1,0)-MATCH($B$1,[2]quests!$1:$1,0)+1),MATCH(C$1,[2]quests!$1:$1,0)-MATCH($B$1,[2]quests!$1:$1,0)+1,FALSE)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4" s="84" t="str">
        <f ca="1">VLOOKUP($B84,OFFSET([2]quests!$A$1,0,0,COUNTA([2]quests!$A:$A),MATCH(D$1,[2]quests!$1:$1,0)-MATCH($B$1,[2]quests!$1:$1,0)+1),MATCH(D$1,[2]quests!$1:$1,0)-MATCH($B$1,[2]quests!$1:$1,0)+1,FALSE)</f>
        <v>検証</v>
      </c>
      <c r="E84" s="88" t="s">
        <v>221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8">
        <v>29</v>
      </c>
      <c r="J84" s="85" t="s">
        <v>203</v>
      </c>
      <c r="K84" s="95" t="str">
        <f>VLOOKUP(I84,[7]stage_hints!$A:$C,3,FALSE)</f>
        <v>「バグ」のメリット</v>
      </c>
      <c r="L84" s="96" t="str">
        <f>VLOOKUP(I84,[7]stage_hints!$A:$D,4,FALSE)</f>
        <v>ユニットの「バグ」を増やすと_x000D_報酬をもらえる確率がアップします</v>
      </c>
      <c r="M84" s="57" t="s">
        <v>216</v>
      </c>
    </row>
    <row r="85" spans="1:13" x14ac:dyDescent="0.15">
      <c r="A85" s="82" t="s">
        <v>205</v>
      </c>
      <c r="B85" s="83">
        <f>floors!$C$2</f>
        <v>65535</v>
      </c>
      <c r="C85" s="84" t="str">
        <f ca="1">VLOOKUP($B85,OFFSET([2]quests!$A$1,0,0,COUNTA([2]quests!$A:$A),MATCH(C$1,[2]quests!$1:$1,0)-MATCH($B$1,[2]quests!$1:$1,0)+1),MATCH(C$1,[2]quests!$1:$1,0)-MATCH($B$1,[2]quests!$1:$1,0)+1,FALSE)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5" s="84" t="str">
        <f ca="1">VLOOKUP($B85,OFFSET([2]quests!$A$1,0,0,COUNTA([2]quests!$A:$A),MATCH(D$1,[2]quests!$1:$1,0)-MATCH($B$1,[2]quests!$1:$1,0)+1),MATCH(D$1,[2]quests!$1:$1,0)-MATCH($B$1,[2]quests!$1:$1,0)+1,FALSE)</f>
        <v>検証</v>
      </c>
      <c r="E85" s="88" t="s">
        <v>221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8">
        <v>30</v>
      </c>
      <c r="J85" s="85" t="s">
        <v>203</v>
      </c>
      <c r="K85" s="95" t="str">
        <f>VLOOKUP(I85,[7]stage_hints!$A:$C,3,FALSE)</f>
        <v>「バグ」の増やし方</v>
      </c>
      <c r="L85" s="96" t="str">
        <f>VLOOKUP(I85,[7]stage_hints!$A:$D,4,FALSE)</f>
        <v>同じユニット同士を強化で合成すると_x000D_「バグ」を増やすことができます</v>
      </c>
      <c r="M85" s="57" t="s">
        <v>216</v>
      </c>
    </row>
    <row r="86" spans="1:13" x14ac:dyDescent="0.15">
      <c r="A86" s="82" t="s">
        <v>205</v>
      </c>
      <c r="B86" s="83">
        <f>floors!$C$2</f>
        <v>65535</v>
      </c>
      <c r="C86" s="84" t="str">
        <f ca="1">VLOOKUP($B86,OFFSET([2]quests!$A$1,0,0,COUNTA([2]quests!$A:$A),MATCH(C$1,[2]quests!$1:$1,0)-MATCH($B$1,[2]quests!$1:$1,0)+1),MATCH(C$1,[2]quests!$1:$1,0)-MATCH($B$1,[2]quests!$1:$1,0)+1,FALSE)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6" s="84" t="str">
        <f ca="1">VLOOKUP($B86,OFFSET([2]quests!$A$1,0,0,COUNTA([2]quests!$A:$A),MATCH(D$1,[2]quests!$1:$1,0)-MATCH($B$1,[2]quests!$1:$1,0)+1),MATCH(D$1,[2]quests!$1:$1,0)-MATCH($B$1,[2]quests!$1:$1,0)+1,FALSE)</f>
        <v>検証</v>
      </c>
      <c r="E86" s="88" t="s">
        <v>221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8">
        <v>31</v>
      </c>
      <c r="J86" s="85" t="s">
        <v>203</v>
      </c>
      <c r="K86" s="95" t="str">
        <f>VLOOKUP(I86,[7]stage_hints!$A:$C,3,FALSE)</f>
        <v>イベントはお知らせでチェック</v>
      </c>
      <c r="L86" s="96" t="str">
        <f>VLOOKUP(I86,[7]stage_hints!$A:$D,4,FALSE)</f>
        <v>イベント限定ユニットを取り忘れないように_x000D_お知らせをこまめにチェックしましょう</v>
      </c>
      <c r="M86" s="57" t="s">
        <v>216</v>
      </c>
    </row>
    <row r="87" spans="1:13" x14ac:dyDescent="0.15">
      <c r="A87" s="82" t="s">
        <v>205</v>
      </c>
      <c r="B87" s="83">
        <f>floors!$C$2</f>
        <v>65535</v>
      </c>
      <c r="C87" s="84" t="str">
        <f ca="1">VLOOKUP($B87,OFFSET([2]quests!$A$1,0,0,COUNTA([2]quests!$A:$A),MATCH(C$1,[2]quests!$1:$1,0)-MATCH($B$1,[2]quests!$1:$1,0)+1),MATCH(C$1,[2]quests!$1:$1,0)-MATCH($B$1,[2]quests!$1:$1,0)+1,FALSE)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7" s="84" t="str">
        <f ca="1">VLOOKUP($B87,OFFSET([2]quests!$A$1,0,0,COUNTA([2]quests!$A:$A),MATCH(D$1,[2]quests!$1:$1,0)-MATCH($B$1,[2]quests!$1:$1,0)+1),MATCH(D$1,[2]quests!$1:$1,0)-MATCH($B$1,[2]quests!$1:$1,0)+1,FALSE)</f>
        <v>検証</v>
      </c>
      <c r="E87" s="88" t="s">
        <v>221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8">
        <v>32</v>
      </c>
      <c r="J87" s="85" t="s">
        <v>203</v>
      </c>
      <c r="K87" s="95" t="str">
        <f>VLOOKUP(I87,[7]stage_hints!$A:$C,3,FALSE)</f>
        <v>敵の連続攻撃には</v>
      </c>
      <c r="L87" s="96" t="str">
        <f>VLOOKUP(I87,[7]stage_hints!$A:$D,4,FALSE)</f>
        <v>カウンタースキルを持つユニットがいれば_x000D_ダメージ回数分の反撃ができます</v>
      </c>
      <c r="M87" s="57" t="s">
        <v>216</v>
      </c>
    </row>
    <row r="88" spans="1:13" x14ac:dyDescent="0.15">
      <c r="A88" s="82" t="s">
        <v>205</v>
      </c>
      <c r="B88" s="83">
        <f>floors!$C$2</f>
        <v>65535</v>
      </c>
      <c r="C88" s="84" t="str">
        <f ca="1">VLOOKUP($B88,OFFSET([2]quests!$A$1,0,0,COUNTA([2]quests!$A:$A),MATCH(C$1,[2]quests!$1:$1,0)-MATCH($B$1,[2]quests!$1:$1,0)+1),MATCH(C$1,[2]quests!$1:$1,0)-MATCH($B$1,[2]quests!$1:$1,0)+1,FALSE)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8" s="84" t="str">
        <f ca="1">VLOOKUP($B88,OFFSET([2]quests!$A$1,0,0,COUNTA([2]quests!$A:$A),MATCH(D$1,[2]quests!$1:$1,0)-MATCH($B$1,[2]quests!$1:$1,0)+1),MATCH(D$1,[2]quests!$1:$1,0)-MATCH($B$1,[2]quests!$1:$1,0)+1,FALSE)</f>
        <v>検証</v>
      </c>
      <c r="E88" s="88" t="s">
        <v>221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8">
        <v>33</v>
      </c>
      <c r="J88" s="85" t="s">
        <v>203</v>
      </c>
      <c r="K88" s="95" t="str">
        <f>VLOOKUP(I88,[7]stage_hints!$A:$C,3,FALSE)</f>
        <v>敵のカウンター攻撃には</v>
      </c>
      <c r="L88" s="96" t="str">
        <f>VLOOKUP(I88,[7]stage_hints!$A:$D,4,FALSE)</f>
        <v>カウンターブレイクスキルを持っていれば_x000D_敵のカウンターを解除して攻撃ができます</v>
      </c>
      <c r="M88" s="57" t="s">
        <v>216</v>
      </c>
    </row>
    <row r="89" spans="1:13" x14ac:dyDescent="0.15">
      <c r="A89" s="82" t="s">
        <v>205</v>
      </c>
      <c r="B89" s="83">
        <f>floors!$C$2</f>
        <v>65535</v>
      </c>
      <c r="C89" s="84" t="str">
        <f ca="1">VLOOKUP($B89,OFFSET([2]quests!$A$1,0,0,COUNTA([2]quests!$A:$A),MATCH(C$1,[2]quests!$1:$1,0)-MATCH($B$1,[2]quests!$1:$1,0)+1),MATCH(C$1,[2]quests!$1:$1,0)-MATCH($B$1,[2]quests!$1:$1,0)+1,FALSE)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9" s="84" t="str">
        <f ca="1">VLOOKUP($B89,OFFSET([2]quests!$A$1,0,0,COUNTA([2]quests!$A:$A),MATCH(D$1,[2]quests!$1:$1,0)-MATCH($B$1,[2]quests!$1:$1,0)+1),MATCH(D$1,[2]quests!$1:$1,0)-MATCH($B$1,[2]quests!$1:$1,0)+1,FALSE)</f>
        <v>検証</v>
      </c>
      <c r="E89" s="88" t="s">
        <v>221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8">
        <v>34</v>
      </c>
      <c r="J89" s="85" t="s">
        <v>203</v>
      </c>
      <c r="K89" s="95" t="str">
        <f>VLOOKUP(I89,[7]stage_hints!$A:$C,3,FALSE)</f>
        <v>ステータスをスキルで下げられたら</v>
      </c>
      <c r="L89" s="96" t="str">
        <f>VLOOKUP(I89,[7]stage_hints!$A:$D,4,FALSE)</f>
        <v>ステータスダウンのスキルを受けたら_x000D_ステータスアップスキルで上書きしましょう</v>
      </c>
      <c r="M89" s="57" t="s">
        <v>216</v>
      </c>
    </row>
    <row r="90" spans="1:13" x14ac:dyDescent="0.15">
      <c r="A90" s="82" t="s">
        <v>205</v>
      </c>
      <c r="B90" s="83">
        <f>floors!$C$2</f>
        <v>65535</v>
      </c>
      <c r="C90" s="84" t="str">
        <f ca="1">VLOOKUP($B90,OFFSET([2]quests!$A$1,0,0,COUNTA([2]quests!$A:$A),MATCH(C$1,[2]quests!$1:$1,0)-MATCH($B$1,[2]quests!$1:$1,0)+1),MATCH(C$1,[2]quests!$1:$1,0)-MATCH($B$1,[2]quests!$1:$1,0)+1,FALSE)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0" s="84" t="str">
        <f ca="1">VLOOKUP($B90,OFFSET([2]quests!$A$1,0,0,COUNTA([2]quests!$A:$A),MATCH(D$1,[2]quests!$1:$1,0)-MATCH($B$1,[2]quests!$1:$1,0)+1),MATCH(D$1,[2]quests!$1:$1,0)-MATCH($B$1,[2]quests!$1:$1,0)+1,FALSE)</f>
        <v>検証</v>
      </c>
      <c r="E90" s="88" t="s">
        <v>221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8">
        <v>35</v>
      </c>
      <c r="J90" s="85" t="s">
        <v>203</v>
      </c>
      <c r="K90" s="95" t="str">
        <f>VLOOKUP(I90,[7]stage_hints!$A:$C,3,FALSE)</f>
        <v>敵のステータスがスキルで上がったら</v>
      </c>
      <c r="L90" s="96" t="str">
        <f>VLOOKUP(I90,[7]stage_hints!$A:$D,4,FALSE)</f>
        <v>敵のステータスがスキルでアップしたときは_x000D_ステータスダウンスキルで上書きしましょう</v>
      </c>
      <c r="M90" s="57" t="s">
        <v>216</v>
      </c>
    </row>
    <row r="91" spans="1:13" x14ac:dyDescent="0.15">
      <c r="A91" s="82" t="s">
        <v>205</v>
      </c>
      <c r="B91" s="83">
        <f>floors!$C$2</f>
        <v>65535</v>
      </c>
      <c r="C91" s="84" t="str">
        <f ca="1">VLOOKUP($B91,OFFSET([2]quests!$A$1,0,0,COUNTA([2]quests!$A:$A),MATCH(C$1,[2]quests!$1:$1,0)-MATCH($B$1,[2]quests!$1:$1,0)+1),MATCH(C$1,[2]quests!$1:$1,0)-MATCH($B$1,[2]quests!$1:$1,0)+1,FALSE)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1" s="84" t="str">
        <f ca="1">VLOOKUP($B91,OFFSET([2]quests!$A$1,0,0,COUNTA([2]quests!$A:$A),MATCH(D$1,[2]quests!$1:$1,0)-MATCH($B$1,[2]quests!$1:$1,0)+1),MATCH(D$1,[2]quests!$1:$1,0)-MATCH($B$1,[2]quests!$1:$1,0)+1,FALSE)</f>
        <v>検証</v>
      </c>
      <c r="E91" s="88" t="s">
        <v>221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8">
        <v>36</v>
      </c>
      <c r="J91" s="85" t="s">
        <v>203</v>
      </c>
      <c r="K91" s="95" t="str">
        <f>VLOOKUP(I91,[7]stage_hints!$A:$C,3,FALSE)</f>
        <v>タワーオブザクイーンのボス</v>
      </c>
      <c r="L91" s="96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7" t="s">
        <v>216</v>
      </c>
    </row>
    <row r="92" spans="1:13" x14ac:dyDescent="0.15">
      <c r="A92" s="82" t="s">
        <v>205</v>
      </c>
      <c r="B92" s="83">
        <f>floors!$C$2</f>
        <v>65535</v>
      </c>
      <c r="C92" s="84" t="str">
        <f ca="1">VLOOKUP($B92,OFFSET([2]quests!$A$1,0,0,COUNTA([2]quests!$A:$A),MATCH(C$1,[2]quests!$1:$1,0)-MATCH($B$1,[2]quests!$1:$1,0)+1),MATCH(C$1,[2]quests!$1:$1,0)-MATCH($B$1,[2]quests!$1:$1,0)+1,FALSE)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2" s="84" t="str">
        <f ca="1">VLOOKUP($B92,OFFSET([2]quests!$A$1,0,0,COUNTA([2]quests!$A:$A),MATCH(D$1,[2]quests!$1:$1,0)-MATCH($B$1,[2]quests!$1:$1,0)+1),MATCH(D$1,[2]quests!$1:$1,0)-MATCH($B$1,[2]quests!$1:$1,0)+1,FALSE)</f>
        <v>検証</v>
      </c>
      <c r="E92" s="88" t="s">
        <v>221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8">
        <v>37</v>
      </c>
      <c r="J92" s="85" t="s">
        <v>203</v>
      </c>
      <c r="K92" s="95" t="str">
        <f>VLOOKUP(I92,[7]stage_hints!$A:$C,3,FALSE)</f>
        <v>限界突破値の引き継ぎ</v>
      </c>
      <c r="L92" s="96" t="str">
        <f>VLOOKUP(I92,[7]stage_hints!$A:$D,4,FALSE)</f>
        <v>同じユニットを強化で合成すると_x000D_限界突破値を引き継げます（覚醒前後も可）</v>
      </c>
      <c r="M92" s="57" t="s">
        <v>216</v>
      </c>
    </row>
    <row r="93" spans="1:13" x14ac:dyDescent="0.15">
      <c r="A93" s="82" t="s">
        <v>205</v>
      </c>
      <c r="B93" s="83">
        <f>floors!$C$2</f>
        <v>65535</v>
      </c>
      <c r="C93" s="84" t="str">
        <f ca="1">VLOOKUP($B93,OFFSET([2]quests!$A$1,0,0,COUNTA([2]quests!$A:$A),MATCH(C$1,[2]quests!$1:$1,0)-MATCH($B$1,[2]quests!$1:$1,0)+1),MATCH(C$1,[2]quests!$1:$1,0)-MATCH($B$1,[2]quests!$1:$1,0)+1,FALSE)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3" s="84" t="str">
        <f ca="1">VLOOKUP($B93,OFFSET([2]quests!$A$1,0,0,COUNTA([2]quests!$A:$A),MATCH(D$1,[2]quests!$1:$1,0)-MATCH($B$1,[2]quests!$1:$1,0)+1),MATCH(D$1,[2]quests!$1:$1,0)-MATCH($B$1,[2]quests!$1:$1,0)+1,FALSE)</f>
        <v>検証</v>
      </c>
      <c r="E93" s="88" t="s">
        <v>221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8">
        <v>39</v>
      </c>
      <c r="J93" s="85" t="s">
        <v>203</v>
      </c>
      <c r="K93" s="95" t="str">
        <f>VLOOKUP(I93,[7]stage_hints!$A:$C,3,FALSE)</f>
        <v>システム適合者を確認</v>
      </c>
      <c r="L93" s="96" t="str">
        <f>VLOOKUP(I93,[7]stage_hints!$A:$D,4,FALSE)</f>
        <v>ALICEが 「アナタ」を呼んでいます</v>
      </c>
      <c r="M93" s="57" t="s">
        <v>216</v>
      </c>
    </row>
    <row r="94" spans="1:13" x14ac:dyDescent="0.15">
      <c r="A94" s="82" t="s">
        <v>205</v>
      </c>
      <c r="B94" s="83">
        <f>floors!$C$2</f>
        <v>65535</v>
      </c>
      <c r="C94" s="84" t="str">
        <f ca="1">VLOOKUP($B94,OFFSET([2]quests!$A$1,0,0,COUNTA([2]quests!$A:$A),MATCH(C$1,[2]quests!$1:$1,0)-MATCH($B$1,[2]quests!$1:$1,0)+1),MATCH(C$1,[2]quests!$1:$1,0)-MATCH($B$1,[2]quests!$1:$1,0)+1,FALSE)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4" s="84" t="str">
        <f ca="1">VLOOKUP($B94,OFFSET([2]quests!$A$1,0,0,COUNTA([2]quests!$A:$A),MATCH(D$1,[2]quests!$1:$1,0)-MATCH($B$1,[2]quests!$1:$1,0)+1),MATCH(D$1,[2]quests!$1:$1,0)-MATCH($B$1,[2]quests!$1:$1,0)+1,FALSE)</f>
        <v>検証</v>
      </c>
      <c r="E94" s="88" t="s">
        <v>222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203</v>
      </c>
      <c r="K94" s="95" t="str">
        <f>VLOOKUP(I94,[7]stage_hints!$A:$C,3,FALSE)</f>
        <v>ユニットのお気に入り登録</v>
      </c>
      <c r="L94" s="96" t="str">
        <f>VLOOKUP(I94,[7]stage_hints!$A:$D,4,FALSE)</f>
        <v>大事なユニットを誤って消さないように_x000D_フォルダから「お気に入り登録」しましょう</v>
      </c>
      <c r="M94" s="57" t="s">
        <v>216</v>
      </c>
    </row>
    <row r="95" spans="1:13" x14ac:dyDescent="0.15">
      <c r="A95" s="82" t="s">
        <v>205</v>
      </c>
      <c r="B95" s="83">
        <f>floors!$C$2</f>
        <v>65535</v>
      </c>
      <c r="C95" s="84" t="str">
        <f ca="1">VLOOKUP($B95,OFFSET([2]quests!$A$1,0,0,COUNTA([2]quests!$A:$A),MATCH(C$1,[2]quests!$1:$1,0)-MATCH($B$1,[2]quests!$1:$1,0)+1),MATCH(C$1,[2]quests!$1:$1,0)-MATCH($B$1,[2]quests!$1:$1,0)+1,FALSE)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5" s="84" t="str">
        <f ca="1">VLOOKUP($B95,OFFSET([2]quests!$A$1,0,0,COUNTA([2]quests!$A:$A),MATCH(D$1,[2]quests!$1:$1,0)-MATCH($B$1,[2]quests!$1:$1,0)+1),MATCH(D$1,[2]quests!$1:$1,0)-MATCH($B$1,[2]quests!$1:$1,0)+1,FALSE)</f>
        <v>検証</v>
      </c>
      <c r="E95" s="88" t="s">
        <v>222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203</v>
      </c>
      <c r="K95" s="95" t="str">
        <f>VLOOKUP(I95,[7]stage_hints!$A:$C,3,FALSE)</f>
        <v>リンクガチャ</v>
      </c>
      <c r="L95" s="96" t="str">
        <f>VLOOKUP(I95,[7]stage_hints!$A:$D,4,FALSE)</f>
        <v>無料のリンクガチャを回して_x000D_経験値素材や売却素材を獲得しましょう</v>
      </c>
      <c r="M95" s="57" t="s">
        <v>216</v>
      </c>
    </row>
    <row r="96" spans="1:13" x14ac:dyDescent="0.15">
      <c r="A96" s="82" t="s">
        <v>205</v>
      </c>
      <c r="B96" s="83">
        <f>floors!$C$2</f>
        <v>65535</v>
      </c>
      <c r="C96" s="84" t="str">
        <f ca="1">VLOOKUP($B96,OFFSET([2]quests!$A$1,0,0,COUNTA([2]quests!$A:$A),MATCH(C$1,[2]quests!$1:$1,0)-MATCH($B$1,[2]quests!$1:$1,0)+1),MATCH(C$1,[2]quests!$1:$1,0)-MATCH($B$1,[2]quests!$1:$1,0)+1,FALSE)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6" s="84" t="str">
        <f ca="1">VLOOKUP($B96,OFFSET([2]quests!$A$1,0,0,COUNTA([2]quests!$A:$A),MATCH(D$1,[2]quests!$1:$1,0)-MATCH($B$1,[2]quests!$1:$1,0)+1),MATCH(D$1,[2]quests!$1:$1,0)-MATCH($B$1,[2]quests!$1:$1,0)+1,FALSE)</f>
        <v>検証</v>
      </c>
      <c r="E96" s="88" t="s">
        <v>222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203</v>
      </c>
      <c r="K96" s="95" t="str">
        <f>VLOOKUP(I96,[7]stage_hints!$A:$C,3,FALSE)</f>
        <v>ソロ専用タワーオブザクイーン</v>
      </c>
      <c r="L96" s="96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7" t="s">
        <v>216</v>
      </c>
    </row>
    <row r="97" spans="1:13" x14ac:dyDescent="0.15">
      <c r="A97" s="82" t="s">
        <v>205</v>
      </c>
      <c r="B97" s="83">
        <f>floors!$C$2</f>
        <v>65535</v>
      </c>
      <c r="C97" s="84" t="str">
        <f ca="1">VLOOKUP($B97,OFFSET([2]quests!$A$1,0,0,COUNTA([2]quests!$A:$A),MATCH(C$1,[2]quests!$1:$1,0)-MATCH($B$1,[2]quests!$1:$1,0)+1),MATCH(C$1,[2]quests!$1:$1,0)-MATCH($B$1,[2]quests!$1:$1,0)+1,FALSE)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7" s="84" t="str">
        <f ca="1">VLOOKUP($B97,OFFSET([2]quests!$A$1,0,0,COUNTA([2]quests!$A:$A),MATCH(D$1,[2]quests!$1:$1,0)-MATCH($B$1,[2]quests!$1:$1,0)+1),MATCH(D$1,[2]quests!$1:$1,0)-MATCH($B$1,[2]quests!$1:$1,0)+1,FALSE)</f>
        <v>検証</v>
      </c>
      <c r="E97" s="88" t="s">
        <v>222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203</v>
      </c>
      <c r="K97" s="95" t="str">
        <f>VLOOKUP(I97,[7]stage_hints!$A:$C,3,FALSE)</f>
        <v>スキルを有効に</v>
      </c>
      <c r="L97" s="96" t="str">
        <f>VLOOKUP(I97,[7]stage_hints!$A:$D,4,FALSE)</f>
        <v>ターン経過でユニットのスキルが使えます_x000D_強力スキルでバトルを有利に進めましょう</v>
      </c>
      <c r="M97" s="57" t="s">
        <v>216</v>
      </c>
    </row>
    <row r="98" spans="1:13" x14ac:dyDescent="0.15">
      <c r="A98" s="82" t="s">
        <v>205</v>
      </c>
      <c r="B98" s="83">
        <f>floors!$C$2</f>
        <v>65535</v>
      </c>
      <c r="C98" s="84" t="str">
        <f ca="1">VLOOKUP($B98,OFFSET([2]quests!$A$1,0,0,COUNTA([2]quests!$A:$A),MATCH(C$1,[2]quests!$1:$1,0)-MATCH($B$1,[2]quests!$1:$1,0)+1),MATCH(C$1,[2]quests!$1:$1,0)-MATCH($B$1,[2]quests!$1:$1,0)+1,FALSE)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8" s="84" t="str">
        <f ca="1">VLOOKUP($B98,OFFSET([2]quests!$A$1,0,0,COUNTA([2]quests!$A:$A),MATCH(D$1,[2]quests!$1:$1,0)-MATCH($B$1,[2]quests!$1:$1,0)+1),MATCH(D$1,[2]quests!$1:$1,0)-MATCH($B$1,[2]quests!$1:$1,0)+1,FALSE)</f>
        <v>検証</v>
      </c>
      <c r="E98" s="88" t="s">
        <v>222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203</v>
      </c>
      <c r="K98" s="95" t="str">
        <f>VLOOKUP(I98,[7]stage_hints!$A:$C,3,FALSE)</f>
        <v>ホーム画面からデッキを編成</v>
      </c>
      <c r="L98" s="96" t="str">
        <f>VLOOKUP(I98,[7]stage_hints!$A:$D,4,FALSE)</f>
        <v>ホーム画面でユニットを長押しすると_x000D_すぐにパーティ編成に移動できます</v>
      </c>
      <c r="M98" s="57" t="s">
        <v>216</v>
      </c>
    </row>
    <row r="99" spans="1:13" x14ac:dyDescent="0.15">
      <c r="A99" s="82" t="s">
        <v>205</v>
      </c>
      <c r="B99" s="83">
        <f>floors!$C$2</f>
        <v>65535</v>
      </c>
      <c r="C99" s="84" t="str">
        <f ca="1">VLOOKUP($B99,OFFSET([2]quests!$A$1,0,0,COUNTA([2]quests!$A:$A),MATCH(C$1,[2]quests!$1:$1,0)-MATCH($B$1,[2]quests!$1:$1,0)+1),MATCH(C$1,[2]quests!$1:$1,0)-MATCH($B$1,[2]quests!$1:$1,0)+1,FALSE)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9" s="84" t="str">
        <f ca="1">VLOOKUP($B99,OFFSET([2]quests!$A$1,0,0,COUNTA([2]quests!$A:$A),MATCH(D$1,[2]quests!$1:$1,0)-MATCH($B$1,[2]quests!$1:$1,0)+1),MATCH(D$1,[2]quests!$1:$1,0)-MATCH($B$1,[2]quests!$1:$1,0)+1,FALSE)</f>
        <v>検証</v>
      </c>
      <c r="E99" s="88" t="s">
        <v>222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203</v>
      </c>
      <c r="K99" s="95" t="str">
        <f>VLOOKUP(I99,[7]stage_hints!$A:$C,3,FALSE)</f>
        <v>ステータス情報は長押しで</v>
      </c>
      <c r="L99" s="96" t="str">
        <f>VLOOKUP(I99,[7]stage_hints!$A:$D,4,FALSE)</f>
        <v>ユニットのアイコンを長押しすると_x000D_ステータス情報を確認することができます</v>
      </c>
      <c r="M99" s="57" t="s">
        <v>216</v>
      </c>
    </row>
    <row r="100" spans="1:13" x14ac:dyDescent="0.15">
      <c r="A100" s="82" t="s">
        <v>205</v>
      </c>
      <c r="B100" s="83">
        <f>floors!$C$2</f>
        <v>65535</v>
      </c>
      <c r="C100" s="84" t="str">
        <f ca="1">VLOOKUP($B100,OFFSET([2]quests!$A$1,0,0,COUNTA([2]quests!$A:$A),MATCH(C$1,[2]quests!$1:$1,0)-MATCH($B$1,[2]quests!$1:$1,0)+1),MATCH(C$1,[2]quests!$1:$1,0)-MATCH($B$1,[2]quests!$1:$1,0)+1,FALSE)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0" s="84" t="str">
        <f ca="1">VLOOKUP($B100,OFFSET([2]quests!$A$1,0,0,COUNTA([2]quests!$A:$A),MATCH(D$1,[2]quests!$1:$1,0)-MATCH($B$1,[2]quests!$1:$1,0)+1),MATCH(D$1,[2]quests!$1:$1,0)-MATCH($B$1,[2]quests!$1:$1,0)+1,FALSE)</f>
        <v>検証</v>
      </c>
      <c r="E100" s="88" t="s">
        <v>222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203</v>
      </c>
      <c r="K100" s="95" t="str">
        <f>VLOOKUP(I100,[7]stage_hints!$A:$C,3,FALSE)</f>
        <v>「バグ」のメリット</v>
      </c>
      <c r="L100" s="96" t="str">
        <f>VLOOKUP(I100,[7]stage_hints!$A:$D,4,FALSE)</f>
        <v>ユニットの「バグ」を増やすと_x000D_報酬をもらえる確率がアップします</v>
      </c>
      <c r="M100" s="57" t="s">
        <v>216</v>
      </c>
    </row>
    <row r="101" spans="1:13" x14ac:dyDescent="0.15">
      <c r="A101" s="82" t="s">
        <v>205</v>
      </c>
      <c r="B101" s="83">
        <f>floors!$C$2</f>
        <v>65535</v>
      </c>
      <c r="C101" s="84" t="str">
        <f ca="1">VLOOKUP($B101,OFFSET([2]quests!$A$1,0,0,COUNTA([2]quests!$A:$A),MATCH(C$1,[2]quests!$1:$1,0)-MATCH($B$1,[2]quests!$1:$1,0)+1),MATCH(C$1,[2]quests!$1:$1,0)-MATCH($B$1,[2]quests!$1:$1,0)+1,FALSE)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1" s="84" t="str">
        <f ca="1">VLOOKUP($B101,OFFSET([2]quests!$A$1,0,0,COUNTA([2]quests!$A:$A),MATCH(D$1,[2]quests!$1:$1,0)-MATCH($B$1,[2]quests!$1:$1,0)+1),MATCH(D$1,[2]quests!$1:$1,0)-MATCH($B$1,[2]quests!$1:$1,0)+1,FALSE)</f>
        <v>検証</v>
      </c>
      <c r="E101" s="88" t="s">
        <v>222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203</v>
      </c>
      <c r="K101" s="95" t="str">
        <f>VLOOKUP(I101,[7]stage_hints!$A:$C,3,FALSE)</f>
        <v>「バグ」の増やし方</v>
      </c>
      <c r="L101" s="96" t="str">
        <f>VLOOKUP(I101,[7]stage_hints!$A:$D,4,FALSE)</f>
        <v>同じユニット同士を強化で合成すると_x000D_「バグ」を増やすことができます</v>
      </c>
      <c r="M101" s="57" t="s">
        <v>216</v>
      </c>
    </row>
    <row r="102" spans="1:13" x14ac:dyDescent="0.15">
      <c r="A102" s="82" t="s">
        <v>205</v>
      </c>
      <c r="B102" s="83">
        <f>floors!$C$2</f>
        <v>65535</v>
      </c>
      <c r="C102" s="84" t="str">
        <f ca="1">VLOOKUP($B102,OFFSET([2]quests!$A$1,0,0,COUNTA([2]quests!$A:$A),MATCH(C$1,[2]quests!$1:$1,0)-MATCH($B$1,[2]quests!$1:$1,0)+1),MATCH(C$1,[2]quests!$1:$1,0)-MATCH($B$1,[2]quests!$1:$1,0)+1,FALSE)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2" s="84" t="str">
        <f ca="1">VLOOKUP($B102,OFFSET([2]quests!$A$1,0,0,COUNTA([2]quests!$A:$A),MATCH(D$1,[2]quests!$1:$1,0)-MATCH($B$1,[2]quests!$1:$1,0)+1),MATCH(D$1,[2]quests!$1:$1,0)-MATCH($B$1,[2]quests!$1:$1,0)+1,FALSE)</f>
        <v>検証</v>
      </c>
      <c r="E102" s="88" t="s">
        <v>222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203</v>
      </c>
      <c r="K102" s="95" t="str">
        <f>VLOOKUP(I102,[7]stage_hints!$A:$C,3,FALSE)</f>
        <v>敵の連続攻撃には</v>
      </c>
      <c r="L102" s="96" t="str">
        <f>VLOOKUP(I102,[7]stage_hints!$A:$D,4,FALSE)</f>
        <v>カウンタースキルを持つユニットがいれば_x000D_ダメージ回数分の反撃ができます</v>
      </c>
      <c r="M102" s="57" t="s">
        <v>216</v>
      </c>
    </row>
    <row r="103" spans="1:13" x14ac:dyDescent="0.15">
      <c r="A103" s="82" t="s">
        <v>205</v>
      </c>
      <c r="B103" s="83">
        <f>floors!$C$2</f>
        <v>65535</v>
      </c>
      <c r="C103" s="84" t="str">
        <f ca="1">VLOOKUP($B103,OFFSET([2]quests!$A$1,0,0,COUNTA([2]quests!$A:$A),MATCH(C$1,[2]quests!$1:$1,0)-MATCH($B$1,[2]quests!$1:$1,0)+1),MATCH(C$1,[2]quests!$1:$1,0)-MATCH($B$1,[2]quests!$1:$1,0)+1,FALSE)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3" s="84" t="str">
        <f ca="1">VLOOKUP($B103,OFFSET([2]quests!$A$1,0,0,COUNTA([2]quests!$A:$A),MATCH(D$1,[2]quests!$1:$1,0)-MATCH($B$1,[2]quests!$1:$1,0)+1),MATCH(D$1,[2]quests!$1:$1,0)-MATCH($B$1,[2]quests!$1:$1,0)+1,FALSE)</f>
        <v>検証</v>
      </c>
      <c r="E103" s="88" t="s">
        <v>222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203</v>
      </c>
      <c r="K103" s="95" t="str">
        <f>VLOOKUP(I103,[7]stage_hints!$A:$C,3,FALSE)</f>
        <v>敵のカウンター攻撃には</v>
      </c>
      <c r="L103" s="96" t="str">
        <f>VLOOKUP(I103,[7]stage_hints!$A:$D,4,FALSE)</f>
        <v>カウンターブレイクスキルを持っていれば_x000D_敵のカウンターを解除して攻撃ができます</v>
      </c>
      <c r="M103" s="57" t="s">
        <v>216</v>
      </c>
    </row>
    <row r="104" spans="1:13" x14ac:dyDescent="0.15">
      <c r="A104" s="82" t="s">
        <v>205</v>
      </c>
      <c r="B104" s="83">
        <f>floors!$C$2</f>
        <v>65535</v>
      </c>
      <c r="C104" s="84" t="str">
        <f ca="1">VLOOKUP($B104,OFFSET([2]quests!$A$1,0,0,COUNTA([2]quests!$A:$A),MATCH(C$1,[2]quests!$1:$1,0)-MATCH($B$1,[2]quests!$1:$1,0)+1),MATCH(C$1,[2]quests!$1:$1,0)-MATCH($B$1,[2]quests!$1:$1,0)+1,FALSE)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4" s="84" t="str">
        <f ca="1">VLOOKUP($B104,OFFSET([2]quests!$A$1,0,0,COUNTA([2]quests!$A:$A),MATCH(D$1,[2]quests!$1:$1,0)-MATCH($B$1,[2]quests!$1:$1,0)+1),MATCH(D$1,[2]quests!$1:$1,0)-MATCH($B$1,[2]quests!$1:$1,0)+1,FALSE)</f>
        <v>検証</v>
      </c>
      <c r="E104" s="88" t="s">
        <v>222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203</v>
      </c>
      <c r="K104" s="95" t="str">
        <f>VLOOKUP(I104,[7]stage_hints!$A:$C,3,FALSE)</f>
        <v>ステータスをスキルで下げられたら</v>
      </c>
      <c r="L104" s="96" t="str">
        <f>VLOOKUP(I104,[7]stage_hints!$A:$D,4,FALSE)</f>
        <v>ステータスダウンのスキルを受けたら_x000D_ステータスアップスキルで上書きしましょう</v>
      </c>
      <c r="M104" s="57" t="s">
        <v>216</v>
      </c>
    </row>
    <row r="105" spans="1:13" x14ac:dyDescent="0.15">
      <c r="A105" s="82" t="s">
        <v>205</v>
      </c>
      <c r="B105" s="83">
        <f>floors!$C$2</f>
        <v>65535</v>
      </c>
      <c r="C105" s="84" t="str">
        <f ca="1">VLOOKUP($B105,OFFSET([2]quests!$A$1,0,0,COUNTA([2]quests!$A:$A),MATCH(C$1,[2]quests!$1:$1,0)-MATCH($B$1,[2]quests!$1:$1,0)+1),MATCH(C$1,[2]quests!$1:$1,0)-MATCH($B$1,[2]quests!$1:$1,0)+1,FALSE)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5" s="84" t="str">
        <f ca="1">VLOOKUP($B105,OFFSET([2]quests!$A$1,0,0,COUNTA([2]quests!$A:$A),MATCH(D$1,[2]quests!$1:$1,0)-MATCH($B$1,[2]quests!$1:$1,0)+1),MATCH(D$1,[2]quests!$1:$1,0)-MATCH($B$1,[2]quests!$1:$1,0)+1,FALSE)</f>
        <v>検証</v>
      </c>
      <c r="E105" s="88" t="s">
        <v>222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203</v>
      </c>
      <c r="K105" s="95" t="str">
        <f>VLOOKUP(I105,[7]stage_hints!$A:$C,3,FALSE)</f>
        <v>敵のステータスがスキルで上がったら</v>
      </c>
      <c r="L105" s="96" t="str">
        <f>VLOOKUP(I105,[7]stage_hints!$A:$D,4,FALSE)</f>
        <v>敵のステータスがスキルでアップしたときは_x000D_ステータスダウンスキルで上書きしましょう</v>
      </c>
      <c r="M105" s="57" t="s">
        <v>216</v>
      </c>
    </row>
    <row r="106" spans="1:13" x14ac:dyDescent="0.15">
      <c r="A106" s="82" t="s">
        <v>205</v>
      </c>
      <c r="B106" s="83">
        <f>floors!$C$2</f>
        <v>65535</v>
      </c>
      <c r="C106" s="84" t="str">
        <f ca="1">VLOOKUP($B106,OFFSET([2]quests!$A$1,0,0,COUNTA([2]quests!$A:$A),MATCH(C$1,[2]quests!$1:$1,0)-MATCH($B$1,[2]quests!$1:$1,0)+1),MATCH(C$1,[2]quests!$1:$1,0)-MATCH($B$1,[2]quests!$1:$1,0)+1,FALSE)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6" s="84" t="str">
        <f ca="1">VLOOKUP($B106,OFFSET([2]quests!$A$1,0,0,COUNTA([2]quests!$A:$A),MATCH(D$1,[2]quests!$1:$1,0)-MATCH($B$1,[2]quests!$1:$1,0)+1),MATCH(D$1,[2]quests!$1:$1,0)-MATCH($B$1,[2]quests!$1:$1,0)+1,FALSE)</f>
        <v>検証</v>
      </c>
      <c r="E106" s="88" t="s">
        <v>222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203</v>
      </c>
      <c r="K106" s="95" t="str">
        <f>VLOOKUP(I106,[7]stage_hints!$A:$C,3,FALSE)</f>
        <v>タワーオブザクイーンのボス</v>
      </c>
      <c r="L106" s="96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7" t="s">
        <v>216</v>
      </c>
    </row>
    <row r="107" spans="1:13" x14ac:dyDescent="0.15">
      <c r="A107" s="82" t="s">
        <v>205</v>
      </c>
      <c r="B107" s="83">
        <f>floors!$C$2</f>
        <v>65535</v>
      </c>
      <c r="C107" s="84" t="str">
        <f ca="1">VLOOKUP($B107,OFFSET([2]quests!$A$1,0,0,COUNTA([2]quests!$A:$A),MATCH(C$1,[2]quests!$1:$1,0)-MATCH($B$1,[2]quests!$1:$1,0)+1),MATCH(C$1,[2]quests!$1:$1,0)-MATCH($B$1,[2]quests!$1:$1,0)+1,FALSE)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7" s="84" t="str">
        <f ca="1">VLOOKUP($B107,OFFSET([2]quests!$A$1,0,0,COUNTA([2]quests!$A:$A),MATCH(D$1,[2]quests!$1:$1,0)-MATCH($B$1,[2]quests!$1:$1,0)+1),MATCH(D$1,[2]quests!$1:$1,0)-MATCH($B$1,[2]quests!$1:$1,0)+1,FALSE)</f>
        <v>検証</v>
      </c>
      <c r="E107" s="88" t="s">
        <v>222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203</v>
      </c>
      <c r="K107" s="95" t="str">
        <f>VLOOKUP(I107,[7]stage_hints!$A:$C,3,FALSE)</f>
        <v>限界突破値の引き継ぎ</v>
      </c>
      <c r="L107" s="96" t="str">
        <f>VLOOKUP(I107,[7]stage_hints!$A:$D,4,FALSE)</f>
        <v>同じユニットを強化で合成すると_x000D_限界突破値を引き継げます（覚醒前後も可）</v>
      </c>
      <c r="M107" s="57" t="s">
        <v>216</v>
      </c>
    </row>
    <row r="108" spans="1:13" x14ac:dyDescent="0.15">
      <c r="A108" s="82" t="s">
        <v>205</v>
      </c>
      <c r="B108" s="83">
        <f>floors!$C$2</f>
        <v>65535</v>
      </c>
      <c r="C108" s="84" t="str">
        <f ca="1">VLOOKUP($B108,OFFSET([2]quests!$A$1,0,0,COUNTA([2]quests!$A:$A),MATCH(C$1,[2]quests!$1:$1,0)-MATCH($B$1,[2]quests!$1:$1,0)+1),MATCH(C$1,[2]quests!$1:$1,0)-MATCH($B$1,[2]quests!$1:$1,0)+1,FALSE)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8" s="84" t="str">
        <f ca="1">VLOOKUP($B108,OFFSET([2]quests!$A$1,0,0,COUNTA([2]quests!$A:$A),MATCH(D$1,[2]quests!$1:$1,0)-MATCH($B$1,[2]quests!$1:$1,0)+1),MATCH(D$1,[2]quests!$1:$1,0)-MATCH($B$1,[2]quests!$1:$1,0)+1,FALSE)</f>
        <v>検証</v>
      </c>
      <c r="E108" s="88" t="s">
        <v>222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203</v>
      </c>
      <c r="K108" s="95" t="str">
        <f>VLOOKUP(I108,[7]stage_hints!$A:$C,3,FALSE)</f>
        <v>システム適合者を確認</v>
      </c>
      <c r="L108" s="96" t="str">
        <f>VLOOKUP(I108,[7]stage_hints!$A:$D,4,FALSE)</f>
        <v>ALICEが 「アナタ」を呼んでいます</v>
      </c>
      <c r="M108" s="57" t="s">
        <v>216</v>
      </c>
    </row>
    <row r="109" spans="1:13" x14ac:dyDescent="0.15">
      <c r="A109" s="82" t="s">
        <v>205</v>
      </c>
      <c r="B109" s="83">
        <f>floors!$C$2</f>
        <v>65535</v>
      </c>
      <c r="C109" s="84" t="str">
        <f ca="1">VLOOKUP($B109,OFFSET([2]quests!$A$1,0,0,COUNTA([2]quests!$A:$A),MATCH(C$1,[2]quests!$1:$1,0)-MATCH($B$1,[2]quests!$1:$1,0)+1),MATCH(C$1,[2]quests!$1:$1,0)-MATCH($B$1,[2]quests!$1:$1,0)+1,FALSE)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9" s="84" t="str">
        <f ca="1">VLOOKUP($B109,OFFSET([2]quests!$A$1,0,0,COUNTA([2]quests!$A:$A),MATCH(D$1,[2]quests!$1:$1,0)-MATCH($B$1,[2]quests!$1:$1,0)+1),MATCH(D$1,[2]quests!$1:$1,0)-MATCH($B$1,[2]quests!$1:$1,0)+1,FALSE)</f>
        <v>検証</v>
      </c>
      <c r="E109" s="88" t="s">
        <v>223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203</v>
      </c>
      <c r="K109" s="95" t="str">
        <f>VLOOKUP(I109,[7]stage_hints!$A:$C,3,FALSE)</f>
        <v>ユニットのお気に入り登録</v>
      </c>
      <c r="L109" s="96" t="str">
        <f>VLOOKUP(I109,[7]stage_hints!$A:$D,4,FALSE)</f>
        <v>大事なユニットを誤って消さないように_x000D_フォルダから「お気に入り登録」しましょう</v>
      </c>
      <c r="M109" s="57" t="s">
        <v>216</v>
      </c>
    </row>
    <row r="110" spans="1:13" x14ac:dyDescent="0.15">
      <c r="A110" s="82" t="s">
        <v>205</v>
      </c>
      <c r="B110" s="83">
        <f>floors!$C$2</f>
        <v>65535</v>
      </c>
      <c r="C110" s="84" t="str">
        <f ca="1">VLOOKUP($B110,OFFSET([2]quests!$A$1,0,0,COUNTA([2]quests!$A:$A),MATCH(C$1,[2]quests!$1:$1,0)-MATCH($B$1,[2]quests!$1:$1,0)+1),MATCH(C$1,[2]quests!$1:$1,0)-MATCH($B$1,[2]quests!$1:$1,0)+1,FALSE)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0" s="84" t="str">
        <f ca="1">VLOOKUP($B110,OFFSET([2]quests!$A$1,0,0,COUNTA([2]quests!$A:$A),MATCH(D$1,[2]quests!$1:$1,0)-MATCH($B$1,[2]quests!$1:$1,0)+1),MATCH(D$1,[2]quests!$1:$1,0)-MATCH($B$1,[2]quests!$1:$1,0)+1,FALSE)</f>
        <v>検証</v>
      </c>
      <c r="E110" s="88" t="s">
        <v>223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203</v>
      </c>
      <c r="K110" s="95" t="str">
        <f>VLOOKUP(I110,[7]stage_hints!$A:$C,3,FALSE)</f>
        <v>リンクガチャ</v>
      </c>
      <c r="L110" s="96" t="str">
        <f>VLOOKUP(I110,[7]stage_hints!$A:$D,4,FALSE)</f>
        <v>無料のリンクガチャを回して_x000D_経験値素材や売却素材を獲得しましょう</v>
      </c>
      <c r="M110" s="57" t="s">
        <v>216</v>
      </c>
    </row>
    <row r="111" spans="1:13" x14ac:dyDescent="0.15">
      <c r="A111" s="82" t="s">
        <v>205</v>
      </c>
      <c r="B111" s="83">
        <f>floors!$C$2</f>
        <v>65535</v>
      </c>
      <c r="C111" s="84" t="str">
        <f ca="1">VLOOKUP($B111,OFFSET([2]quests!$A$1,0,0,COUNTA([2]quests!$A:$A),MATCH(C$1,[2]quests!$1:$1,0)-MATCH($B$1,[2]quests!$1:$1,0)+1),MATCH(C$1,[2]quests!$1:$1,0)-MATCH($B$1,[2]quests!$1:$1,0)+1,FALSE)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1" s="84" t="str">
        <f ca="1">VLOOKUP($B111,OFFSET([2]quests!$A$1,0,0,COUNTA([2]quests!$A:$A),MATCH(D$1,[2]quests!$1:$1,0)-MATCH($B$1,[2]quests!$1:$1,0)+1),MATCH(D$1,[2]quests!$1:$1,0)-MATCH($B$1,[2]quests!$1:$1,0)+1,FALSE)</f>
        <v>検証</v>
      </c>
      <c r="E111" s="88" t="s">
        <v>223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203</v>
      </c>
      <c r="K111" s="95" t="str">
        <f>VLOOKUP(I111,[7]stage_hints!$A:$C,3,FALSE)</f>
        <v>ソロ専用タワーオブザクイーン</v>
      </c>
      <c r="L111" s="96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7" t="s">
        <v>216</v>
      </c>
    </row>
    <row r="112" spans="1:13" x14ac:dyDescent="0.15">
      <c r="A112" s="82" t="s">
        <v>205</v>
      </c>
      <c r="B112" s="83">
        <f>floors!$C$2</f>
        <v>65535</v>
      </c>
      <c r="C112" s="84" t="str">
        <f ca="1">VLOOKUP($B112,OFFSET([2]quests!$A$1,0,0,COUNTA([2]quests!$A:$A),MATCH(C$1,[2]quests!$1:$1,0)-MATCH($B$1,[2]quests!$1:$1,0)+1),MATCH(C$1,[2]quests!$1:$1,0)-MATCH($B$1,[2]quests!$1:$1,0)+1,FALSE)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2" s="84" t="str">
        <f ca="1">VLOOKUP($B112,OFFSET([2]quests!$A$1,0,0,COUNTA([2]quests!$A:$A),MATCH(D$1,[2]quests!$1:$1,0)-MATCH($B$1,[2]quests!$1:$1,0)+1),MATCH(D$1,[2]quests!$1:$1,0)-MATCH($B$1,[2]quests!$1:$1,0)+1,FALSE)</f>
        <v>検証</v>
      </c>
      <c r="E112" s="88" t="s">
        <v>223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203</v>
      </c>
      <c r="K112" s="95" t="str">
        <f>VLOOKUP(I112,[7]stage_hints!$A:$C,3,FALSE)</f>
        <v>スキルを有効に</v>
      </c>
      <c r="L112" s="96" t="str">
        <f>VLOOKUP(I112,[7]stage_hints!$A:$D,4,FALSE)</f>
        <v>ターン経過でユニットのスキルが使えます_x000D_強力スキルでバトルを有利に進めましょう</v>
      </c>
      <c r="M112" s="57" t="s">
        <v>216</v>
      </c>
    </row>
    <row r="113" spans="1:13" x14ac:dyDescent="0.15">
      <c r="A113" s="82" t="s">
        <v>205</v>
      </c>
      <c r="B113" s="83">
        <f>floors!$C$2</f>
        <v>65535</v>
      </c>
      <c r="C113" s="84" t="str">
        <f ca="1">VLOOKUP($B113,OFFSET([2]quests!$A$1,0,0,COUNTA([2]quests!$A:$A),MATCH(C$1,[2]quests!$1:$1,0)-MATCH($B$1,[2]quests!$1:$1,0)+1),MATCH(C$1,[2]quests!$1:$1,0)-MATCH($B$1,[2]quests!$1:$1,0)+1,FALSE)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3" s="84" t="str">
        <f ca="1">VLOOKUP($B113,OFFSET([2]quests!$A$1,0,0,COUNTA([2]quests!$A:$A),MATCH(D$1,[2]quests!$1:$1,0)-MATCH($B$1,[2]quests!$1:$1,0)+1),MATCH(D$1,[2]quests!$1:$1,0)-MATCH($B$1,[2]quests!$1:$1,0)+1,FALSE)</f>
        <v>検証</v>
      </c>
      <c r="E113" s="88" t="s">
        <v>223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203</v>
      </c>
      <c r="K113" s="95" t="str">
        <f>VLOOKUP(I113,[7]stage_hints!$A:$C,3,FALSE)</f>
        <v>「バグ」のメリット</v>
      </c>
      <c r="L113" s="96" t="str">
        <f>VLOOKUP(I113,[7]stage_hints!$A:$D,4,FALSE)</f>
        <v>ユニットの「バグ」を増やすと_x000D_報酬をもらえる確率がアップします</v>
      </c>
      <c r="M113" s="57" t="s">
        <v>216</v>
      </c>
    </row>
    <row r="114" spans="1:13" x14ac:dyDescent="0.15">
      <c r="A114" s="82" t="s">
        <v>205</v>
      </c>
      <c r="B114" s="83">
        <f>floors!$C$2</f>
        <v>65535</v>
      </c>
      <c r="C114" s="84" t="str">
        <f ca="1">VLOOKUP($B114,OFFSET([2]quests!$A$1,0,0,COUNTA([2]quests!$A:$A),MATCH(C$1,[2]quests!$1:$1,0)-MATCH($B$1,[2]quests!$1:$1,0)+1),MATCH(C$1,[2]quests!$1:$1,0)-MATCH($B$1,[2]quests!$1:$1,0)+1,FALSE)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4" s="84" t="str">
        <f ca="1">VLOOKUP($B114,OFFSET([2]quests!$A$1,0,0,COUNTA([2]quests!$A:$A),MATCH(D$1,[2]quests!$1:$1,0)-MATCH($B$1,[2]quests!$1:$1,0)+1),MATCH(D$1,[2]quests!$1:$1,0)-MATCH($B$1,[2]quests!$1:$1,0)+1,FALSE)</f>
        <v>検証</v>
      </c>
      <c r="E114" s="88" t="s">
        <v>223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203</v>
      </c>
      <c r="K114" s="95" t="str">
        <f>VLOOKUP(I114,[7]stage_hints!$A:$C,3,FALSE)</f>
        <v>「バグ」の増やし方</v>
      </c>
      <c r="L114" s="96" t="str">
        <f>VLOOKUP(I114,[7]stage_hints!$A:$D,4,FALSE)</f>
        <v>同じユニット同士を強化で合成すると_x000D_「バグ」を増やすことができます</v>
      </c>
      <c r="M114" s="57" t="s">
        <v>216</v>
      </c>
    </row>
    <row r="115" spans="1:13" x14ac:dyDescent="0.15">
      <c r="A115" s="82" t="s">
        <v>205</v>
      </c>
      <c r="B115" s="83">
        <f>floors!$C$2</f>
        <v>65535</v>
      </c>
      <c r="C115" s="84" t="str">
        <f ca="1">VLOOKUP($B115,OFFSET([2]quests!$A$1,0,0,COUNTA([2]quests!$A:$A),MATCH(C$1,[2]quests!$1:$1,0)-MATCH($B$1,[2]quests!$1:$1,0)+1),MATCH(C$1,[2]quests!$1:$1,0)-MATCH($B$1,[2]quests!$1:$1,0)+1,FALSE)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5" s="84" t="str">
        <f ca="1">VLOOKUP($B115,OFFSET([2]quests!$A$1,0,0,COUNTA([2]quests!$A:$A),MATCH(D$1,[2]quests!$1:$1,0)-MATCH($B$1,[2]quests!$1:$1,0)+1),MATCH(D$1,[2]quests!$1:$1,0)-MATCH($B$1,[2]quests!$1:$1,0)+1,FALSE)</f>
        <v>検証</v>
      </c>
      <c r="E115" s="88" t="s">
        <v>223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203</v>
      </c>
      <c r="K115" s="95" t="str">
        <f>VLOOKUP(I115,[7]stage_hints!$A:$C,3,FALSE)</f>
        <v>敵の連続攻撃には</v>
      </c>
      <c r="L115" s="96" t="str">
        <f>VLOOKUP(I115,[7]stage_hints!$A:$D,4,FALSE)</f>
        <v>カウンタースキルを持つユニットがいれば_x000D_ダメージ回数分の反撃ができます</v>
      </c>
      <c r="M115" s="57" t="s">
        <v>216</v>
      </c>
    </row>
    <row r="116" spans="1:13" x14ac:dyDescent="0.15">
      <c r="A116" s="82" t="s">
        <v>205</v>
      </c>
      <c r="B116" s="83">
        <f>floors!$C$2</f>
        <v>65535</v>
      </c>
      <c r="C116" s="84" t="str">
        <f ca="1">VLOOKUP($B116,OFFSET([2]quests!$A$1,0,0,COUNTA([2]quests!$A:$A),MATCH(C$1,[2]quests!$1:$1,0)-MATCH($B$1,[2]quests!$1:$1,0)+1),MATCH(C$1,[2]quests!$1:$1,0)-MATCH($B$1,[2]quests!$1:$1,0)+1,FALSE)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6" s="84" t="str">
        <f ca="1">VLOOKUP($B116,OFFSET([2]quests!$A$1,0,0,COUNTA([2]quests!$A:$A),MATCH(D$1,[2]quests!$1:$1,0)-MATCH($B$1,[2]quests!$1:$1,0)+1),MATCH(D$1,[2]quests!$1:$1,0)-MATCH($B$1,[2]quests!$1:$1,0)+1,FALSE)</f>
        <v>検証</v>
      </c>
      <c r="E116" s="88" t="s">
        <v>223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203</v>
      </c>
      <c r="K116" s="95" t="str">
        <f>VLOOKUP(I116,[7]stage_hints!$A:$C,3,FALSE)</f>
        <v>敵のカウンター攻撃には</v>
      </c>
      <c r="L116" s="96" t="str">
        <f>VLOOKUP(I116,[7]stage_hints!$A:$D,4,FALSE)</f>
        <v>カウンターブレイクスキルを持っていれば_x000D_敵のカウンターを解除して攻撃ができます</v>
      </c>
      <c r="M116" s="57" t="s">
        <v>216</v>
      </c>
    </row>
    <row r="117" spans="1:13" x14ac:dyDescent="0.15">
      <c r="A117" s="82" t="s">
        <v>205</v>
      </c>
      <c r="B117" s="83">
        <f>floors!$C$2</f>
        <v>65535</v>
      </c>
      <c r="C117" s="84" t="str">
        <f ca="1">VLOOKUP($B117,OFFSET([2]quests!$A$1,0,0,COUNTA([2]quests!$A:$A),MATCH(C$1,[2]quests!$1:$1,0)-MATCH($B$1,[2]quests!$1:$1,0)+1),MATCH(C$1,[2]quests!$1:$1,0)-MATCH($B$1,[2]quests!$1:$1,0)+1,FALSE)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7" s="84" t="str">
        <f ca="1">VLOOKUP($B117,OFFSET([2]quests!$A$1,0,0,COUNTA([2]quests!$A:$A),MATCH(D$1,[2]quests!$1:$1,0)-MATCH($B$1,[2]quests!$1:$1,0)+1),MATCH(D$1,[2]quests!$1:$1,0)-MATCH($B$1,[2]quests!$1:$1,0)+1,FALSE)</f>
        <v>検証</v>
      </c>
      <c r="E117" s="88" t="s">
        <v>223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203</v>
      </c>
      <c r="K117" s="95" t="str">
        <f>VLOOKUP(I117,[7]stage_hints!$A:$C,3,FALSE)</f>
        <v>ステータスをスキルで下げられたら</v>
      </c>
      <c r="L117" s="96" t="str">
        <f>VLOOKUP(I117,[7]stage_hints!$A:$D,4,FALSE)</f>
        <v>ステータスダウンのスキルを受けたら_x000D_ステータスアップスキルで上書きしましょう</v>
      </c>
      <c r="M117" s="57" t="s">
        <v>216</v>
      </c>
    </row>
    <row r="118" spans="1:13" x14ac:dyDescent="0.15">
      <c r="A118" s="82" t="s">
        <v>205</v>
      </c>
      <c r="B118" s="83">
        <f>floors!$C$2</f>
        <v>65535</v>
      </c>
      <c r="C118" s="84" t="str">
        <f ca="1">VLOOKUP($B118,OFFSET([2]quests!$A$1,0,0,COUNTA([2]quests!$A:$A),MATCH(C$1,[2]quests!$1:$1,0)-MATCH($B$1,[2]quests!$1:$1,0)+1),MATCH(C$1,[2]quests!$1:$1,0)-MATCH($B$1,[2]quests!$1:$1,0)+1,FALSE)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8" s="84" t="str">
        <f ca="1">VLOOKUP($B118,OFFSET([2]quests!$A$1,0,0,COUNTA([2]quests!$A:$A),MATCH(D$1,[2]quests!$1:$1,0)-MATCH($B$1,[2]quests!$1:$1,0)+1),MATCH(D$1,[2]quests!$1:$1,0)-MATCH($B$1,[2]quests!$1:$1,0)+1,FALSE)</f>
        <v>検証</v>
      </c>
      <c r="E118" s="88" t="s">
        <v>223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203</v>
      </c>
      <c r="K118" s="95" t="str">
        <f>VLOOKUP(I118,[7]stage_hints!$A:$C,3,FALSE)</f>
        <v>敵のステータスがスキルで上がったら</v>
      </c>
      <c r="L118" s="96" t="str">
        <f>VLOOKUP(I118,[7]stage_hints!$A:$D,4,FALSE)</f>
        <v>敵のステータスがスキルでアップしたときは_x000D_ステータスダウンスキルで上書きしましょう</v>
      </c>
      <c r="M118" s="57" t="s">
        <v>216</v>
      </c>
    </row>
    <row r="119" spans="1:13" x14ac:dyDescent="0.15">
      <c r="A119" s="82" t="s">
        <v>205</v>
      </c>
      <c r="B119" s="83">
        <f>floors!$C$2</f>
        <v>65535</v>
      </c>
      <c r="C119" s="84" t="str">
        <f ca="1">VLOOKUP($B119,OFFSET([2]quests!$A$1,0,0,COUNTA([2]quests!$A:$A),MATCH(C$1,[2]quests!$1:$1,0)-MATCH($B$1,[2]quests!$1:$1,0)+1),MATCH(C$1,[2]quests!$1:$1,0)-MATCH($B$1,[2]quests!$1:$1,0)+1,FALSE)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9" s="84" t="str">
        <f ca="1">VLOOKUP($B119,OFFSET([2]quests!$A$1,0,0,COUNTA([2]quests!$A:$A),MATCH(D$1,[2]quests!$1:$1,0)-MATCH($B$1,[2]quests!$1:$1,0)+1),MATCH(D$1,[2]quests!$1:$1,0)-MATCH($B$1,[2]quests!$1:$1,0)+1,FALSE)</f>
        <v>検証</v>
      </c>
      <c r="E119" s="88" t="s">
        <v>223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203</v>
      </c>
      <c r="K119" s="95" t="str">
        <f>VLOOKUP(I119,[7]stage_hints!$A:$C,3,FALSE)</f>
        <v>タワーオブザクイーンのボス</v>
      </c>
      <c r="L119" s="96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7" t="s">
        <v>216</v>
      </c>
    </row>
    <row r="120" spans="1:13" x14ac:dyDescent="0.15">
      <c r="A120" s="82" t="s">
        <v>205</v>
      </c>
      <c r="B120" s="83">
        <f>floors!$C$2</f>
        <v>65535</v>
      </c>
      <c r="C120" s="84" t="str">
        <f ca="1">VLOOKUP($B120,OFFSET([2]quests!$A$1,0,0,COUNTA([2]quests!$A:$A),MATCH(C$1,[2]quests!$1:$1,0)-MATCH($B$1,[2]quests!$1:$1,0)+1),MATCH(C$1,[2]quests!$1:$1,0)-MATCH($B$1,[2]quests!$1:$1,0)+1,FALSE)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0" s="84" t="str">
        <f ca="1">VLOOKUP($B120,OFFSET([2]quests!$A$1,0,0,COUNTA([2]quests!$A:$A),MATCH(D$1,[2]quests!$1:$1,0)-MATCH($B$1,[2]quests!$1:$1,0)+1),MATCH(D$1,[2]quests!$1:$1,0)-MATCH($B$1,[2]quests!$1:$1,0)+1,FALSE)</f>
        <v>検証</v>
      </c>
      <c r="E120" s="88" t="s">
        <v>223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203</v>
      </c>
      <c r="K120" s="95" t="str">
        <f>VLOOKUP(I120,[7]stage_hints!$A:$C,3,FALSE)</f>
        <v>限界突破値の引き継ぎ</v>
      </c>
      <c r="L120" s="96" t="str">
        <f>VLOOKUP(I120,[7]stage_hints!$A:$D,4,FALSE)</f>
        <v>同じユニットを強化で合成すると_x000D_限界突破値を引き継げます（覚醒前後も可）</v>
      </c>
      <c r="M120" s="57" t="s">
        <v>216</v>
      </c>
    </row>
    <row r="121" spans="1:13" x14ac:dyDescent="0.15">
      <c r="A121" s="82" t="s">
        <v>205</v>
      </c>
      <c r="B121" s="83">
        <f>floors!$C$2</f>
        <v>65535</v>
      </c>
      <c r="C121" s="84" t="str">
        <f ca="1">VLOOKUP($B121,OFFSET([2]quests!$A$1,0,0,COUNTA([2]quests!$A:$A),MATCH(C$1,[2]quests!$1:$1,0)-MATCH($B$1,[2]quests!$1:$1,0)+1),MATCH(C$1,[2]quests!$1:$1,0)-MATCH($B$1,[2]quests!$1:$1,0)+1,FALSE)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1" s="84" t="str">
        <f ca="1">VLOOKUP($B121,OFFSET([2]quests!$A$1,0,0,COUNTA([2]quests!$A:$A),MATCH(D$1,[2]quests!$1:$1,0)-MATCH($B$1,[2]quests!$1:$1,0)+1),MATCH(D$1,[2]quests!$1:$1,0)-MATCH($B$1,[2]quests!$1:$1,0)+1,FALSE)</f>
        <v>検証</v>
      </c>
      <c r="E121" s="88" t="s">
        <v>223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203</v>
      </c>
      <c r="K121" s="95" t="str">
        <f>VLOOKUP(I121,[7]stage_hints!$A:$C,3,FALSE)</f>
        <v>システム適合者を確認</v>
      </c>
      <c r="L121" s="96" t="str">
        <f>VLOOKUP(I121,[7]stage_hints!$A:$D,4,FALSE)</f>
        <v>ALICEが 「アナタ」を呼んでいます</v>
      </c>
      <c r="M121" s="57" t="s">
        <v>216</v>
      </c>
    </row>
    <row r="122" spans="1:13" x14ac:dyDescent="0.15">
      <c r="A122" s="82" t="s">
        <v>205</v>
      </c>
      <c r="B122" s="83">
        <f>floors!$C$2</f>
        <v>65535</v>
      </c>
      <c r="C122" s="84" t="str">
        <f ca="1">VLOOKUP($B122,OFFSET([2]quests!$A$1,0,0,COUNTA([2]quests!$A:$A),MATCH(C$1,[2]quests!$1:$1,0)-MATCH($B$1,[2]quests!$1:$1,0)+1),MATCH(C$1,[2]quests!$1:$1,0)-MATCH($B$1,[2]quests!$1:$1,0)+1,FALSE)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2" s="84" t="str">
        <f ca="1">VLOOKUP($B122,OFFSET([2]quests!$A$1,0,0,COUNTA([2]quests!$A:$A),MATCH(D$1,[2]quests!$1:$1,0)-MATCH($B$1,[2]quests!$1:$1,0)+1),MATCH(D$1,[2]quests!$1:$1,0)-MATCH($B$1,[2]quests!$1:$1,0)+1,FALSE)</f>
        <v>検証</v>
      </c>
      <c r="E122" s="88" t="s">
        <v>224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203</v>
      </c>
      <c r="K122" s="95" t="str">
        <f>VLOOKUP(I122,[7]stage_hints!$A:$C,3,FALSE)</f>
        <v>ユニットのお気に入り登録</v>
      </c>
      <c r="L122" s="96" t="str">
        <f>VLOOKUP(I122,[7]stage_hints!$A:$D,4,FALSE)</f>
        <v>大事なユニットを誤って消さないように_x000D_フォルダから「お気に入り登録」しましょう</v>
      </c>
      <c r="M122" s="57" t="s">
        <v>216</v>
      </c>
    </row>
    <row r="123" spans="1:13" x14ac:dyDescent="0.15">
      <c r="A123" s="82" t="s">
        <v>205</v>
      </c>
      <c r="B123" s="83">
        <f>floors!$C$2</f>
        <v>65535</v>
      </c>
      <c r="C123" s="84" t="str">
        <f ca="1">VLOOKUP($B123,OFFSET([2]quests!$A$1,0,0,COUNTA([2]quests!$A:$A),MATCH(C$1,[2]quests!$1:$1,0)-MATCH($B$1,[2]quests!$1:$1,0)+1),MATCH(C$1,[2]quests!$1:$1,0)-MATCH($B$1,[2]quests!$1:$1,0)+1,FALSE)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3" s="84" t="str">
        <f ca="1">VLOOKUP($B123,OFFSET([2]quests!$A$1,0,0,COUNTA([2]quests!$A:$A),MATCH(D$1,[2]quests!$1:$1,0)-MATCH($B$1,[2]quests!$1:$1,0)+1),MATCH(D$1,[2]quests!$1:$1,0)-MATCH($B$1,[2]quests!$1:$1,0)+1,FALSE)</f>
        <v>検証</v>
      </c>
      <c r="E123" s="88" t="s">
        <v>224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203</v>
      </c>
      <c r="K123" s="95" t="str">
        <f>VLOOKUP(I123,[7]stage_hints!$A:$C,3,FALSE)</f>
        <v>リンクガチャ</v>
      </c>
      <c r="L123" s="96" t="str">
        <f>VLOOKUP(I123,[7]stage_hints!$A:$D,4,FALSE)</f>
        <v>無料のリンクガチャを回して_x000D_経験値素材や売却素材を獲得しましょう</v>
      </c>
      <c r="M123" s="57" t="s">
        <v>216</v>
      </c>
    </row>
    <row r="124" spans="1:13" x14ac:dyDescent="0.15">
      <c r="A124" s="82" t="s">
        <v>205</v>
      </c>
      <c r="B124" s="83">
        <f>floors!$C$2</f>
        <v>65535</v>
      </c>
      <c r="C124" s="84" t="str">
        <f ca="1">VLOOKUP($B124,OFFSET([2]quests!$A$1,0,0,COUNTA([2]quests!$A:$A),MATCH(C$1,[2]quests!$1:$1,0)-MATCH($B$1,[2]quests!$1:$1,0)+1),MATCH(C$1,[2]quests!$1:$1,0)-MATCH($B$1,[2]quests!$1:$1,0)+1,FALSE)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4" s="84" t="str">
        <f ca="1">VLOOKUP($B124,OFFSET([2]quests!$A$1,0,0,COUNTA([2]quests!$A:$A),MATCH(D$1,[2]quests!$1:$1,0)-MATCH($B$1,[2]quests!$1:$1,0)+1),MATCH(D$1,[2]quests!$1:$1,0)-MATCH($B$1,[2]quests!$1:$1,0)+1,FALSE)</f>
        <v>検証</v>
      </c>
      <c r="E124" s="88" t="s">
        <v>224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203</v>
      </c>
      <c r="K124" s="95" t="str">
        <f>VLOOKUP(I124,[7]stage_hints!$A:$C,3,FALSE)</f>
        <v>ソロ専用タワーオブザクイーン</v>
      </c>
      <c r="L124" s="96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7" t="s">
        <v>216</v>
      </c>
    </row>
    <row r="125" spans="1:13" x14ac:dyDescent="0.15">
      <c r="A125" s="82" t="s">
        <v>205</v>
      </c>
      <c r="B125" s="83">
        <f>floors!$C$2</f>
        <v>65535</v>
      </c>
      <c r="C125" s="84" t="str">
        <f ca="1">VLOOKUP($B125,OFFSET([2]quests!$A$1,0,0,COUNTA([2]quests!$A:$A),MATCH(C$1,[2]quests!$1:$1,0)-MATCH($B$1,[2]quests!$1:$1,0)+1),MATCH(C$1,[2]quests!$1:$1,0)-MATCH($B$1,[2]quests!$1:$1,0)+1,FALSE)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5" s="84" t="str">
        <f ca="1">VLOOKUP($B125,OFFSET([2]quests!$A$1,0,0,COUNTA([2]quests!$A:$A),MATCH(D$1,[2]quests!$1:$1,0)-MATCH($B$1,[2]quests!$1:$1,0)+1),MATCH(D$1,[2]quests!$1:$1,0)-MATCH($B$1,[2]quests!$1:$1,0)+1,FALSE)</f>
        <v>検証</v>
      </c>
      <c r="E125" s="88" t="s">
        <v>224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203</v>
      </c>
      <c r="K125" s="95" t="str">
        <f>VLOOKUP(I125,[7]stage_hints!$A:$C,3,FALSE)</f>
        <v>スキルを有効に</v>
      </c>
      <c r="L125" s="96" t="str">
        <f>VLOOKUP(I125,[7]stage_hints!$A:$D,4,FALSE)</f>
        <v>ターン経過でユニットのスキルが使えます_x000D_強力スキルでバトルを有利に進めましょう</v>
      </c>
      <c r="M125" s="57" t="s">
        <v>216</v>
      </c>
    </row>
    <row r="126" spans="1:13" x14ac:dyDescent="0.15">
      <c r="A126" s="82" t="s">
        <v>205</v>
      </c>
      <c r="B126" s="83">
        <f>floors!$C$2</f>
        <v>65535</v>
      </c>
      <c r="C126" s="84" t="str">
        <f ca="1">VLOOKUP($B126,OFFSET([2]quests!$A$1,0,0,COUNTA([2]quests!$A:$A),MATCH(C$1,[2]quests!$1:$1,0)-MATCH($B$1,[2]quests!$1:$1,0)+1),MATCH(C$1,[2]quests!$1:$1,0)-MATCH($B$1,[2]quests!$1:$1,0)+1,FALSE)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6" s="84" t="str">
        <f ca="1">VLOOKUP($B126,OFFSET([2]quests!$A$1,0,0,COUNTA([2]quests!$A:$A),MATCH(D$1,[2]quests!$1:$1,0)-MATCH($B$1,[2]quests!$1:$1,0)+1),MATCH(D$1,[2]quests!$1:$1,0)-MATCH($B$1,[2]quests!$1:$1,0)+1,FALSE)</f>
        <v>検証</v>
      </c>
      <c r="E126" s="88" t="s">
        <v>224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203</v>
      </c>
      <c r="K126" s="95" t="str">
        <f>VLOOKUP(I126,[7]stage_hints!$A:$C,3,FALSE)</f>
        <v>「バグ」のメリット</v>
      </c>
      <c r="L126" s="96" t="str">
        <f>VLOOKUP(I126,[7]stage_hints!$A:$D,4,FALSE)</f>
        <v>ユニットの「バグ」を増やすと_x000D_報酬をもらえる確率がアップします</v>
      </c>
      <c r="M126" s="57" t="s">
        <v>216</v>
      </c>
    </row>
    <row r="127" spans="1:13" x14ac:dyDescent="0.15">
      <c r="A127" s="82" t="s">
        <v>205</v>
      </c>
      <c r="B127" s="83">
        <f>floors!$C$2</f>
        <v>65535</v>
      </c>
      <c r="C127" s="84" t="str">
        <f ca="1">VLOOKUP($B127,OFFSET([2]quests!$A$1,0,0,COUNTA([2]quests!$A:$A),MATCH(C$1,[2]quests!$1:$1,0)-MATCH($B$1,[2]quests!$1:$1,0)+1),MATCH(C$1,[2]quests!$1:$1,0)-MATCH($B$1,[2]quests!$1:$1,0)+1,FALSE)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7" s="84" t="str">
        <f ca="1">VLOOKUP($B127,OFFSET([2]quests!$A$1,0,0,COUNTA([2]quests!$A:$A),MATCH(D$1,[2]quests!$1:$1,0)-MATCH($B$1,[2]quests!$1:$1,0)+1),MATCH(D$1,[2]quests!$1:$1,0)-MATCH($B$1,[2]quests!$1:$1,0)+1,FALSE)</f>
        <v>検証</v>
      </c>
      <c r="E127" s="88" t="s">
        <v>224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203</v>
      </c>
      <c r="K127" s="95" t="str">
        <f>VLOOKUP(I127,[7]stage_hints!$A:$C,3,FALSE)</f>
        <v>「バグ」の増やし方</v>
      </c>
      <c r="L127" s="96" t="str">
        <f>VLOOKUP(I127,[7]stage_hints!$A:$D,4,FALSE)</f>
        <v>同じユニット同士を強化で合成すると_x000D_「バグ」を増やすことができます</v>
      </c>
      <c r="M127" s="57" t="s">
        <v>216</v>
      </c>
    </row>
    <row r="128" spans="1:13" x14ac:dyDescent="0.15">
      <c r="A128" s="82" t="s">
        <v>205</v>
      </c>
      <c r="B128" s="83">
        <f>floors!$C$2</f>
        <v>65535</v>
      </c>
      <c r="C128" s="84" t="str">
        <f ca="1">VLOOKUP($B128,OFFSET([2]quests!$A$1,0,0,COUNTA([2]quests!$A:$A),MATCH(C$1,[2]quests!$1:$1,0)-MATCH($B$1,[2]quests!$1:$1,0)+1),MATCH(C$1,[2]quests!$1:$1,0)-MATCH($B$1,[2]quests!$1:$1,0)+1,FALSE)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8" s="84" t="str">
        <f ca="1">VLOOKUP($B128,OFFSET([2]quests!$A$1,0,0,COUNTA([2]quests!$A:$A),MATCH(D$1,[2]quests!$1:$1,0)-MATCH($B$1,[2]quests!$1:$1,0)+1),MATCH(D$1,[2]quests!$1:$1,0)-MATCH($B$1,[2]quests!$1:$1,0)+1,FALSE)</f>
        <v>検証</v>
      </c>
      <c r="E128" s="88" t="s">
        <v>224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203</v>
      </c>
      <c r="K128" s="95" t="str">
        <f>VLOOKUP(I128,[7]stage_hints!$A:$C,3,FALSE)</f>
        <v>敵の連続攻撃には</v>
      </c>
      <c r="L128" s="96" t="str">
        <f>VLOOKUP(I128,[7]stage_hints!$A:$D,4,FALSE)</f>
        <v>カウンタースキルを持つユニットがいれば_x000D_ダメージ回数分の反撃ができます</v>
      </c>
      <c r="M128" s="57" t="s">
        <v>216</v>
      </c>
    </row>
    <row r="129" spans="1:13" x14ac:dyDescent="0.15">
      <c r="A129" s="82" t="s">
        <v>205</v>
      </c>
      <c r="B129" s="83">
        <f>floors!$C$2</f>
        <v>65535</v>
      </c>
      <c r="C129" s="84" t="str">
        <f ca="1">VLOOKUP($B129,OFFSET([2]quests!$A$1,0,0,COUNTA([2]quests!$A:$A),MATCH(C$1,[2]quests!$1:$1,0)-MATCH($B$1,[2]quests!$1:$1,0)+1),MATCH(C$1,[2]quests!$1:$1,0)-MATCH($B$1,[2]quests!$1:$1,0)+1,FALSE)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9" s="84" t="str">
        <f ca="1">VLOOKUP($B129,OFFSET([2]quests!$A$1,0,0,COUNTA([2]quests!$A:$A),MATCH(D$1,[2]quests!$1:$1,0)-MATCH($B$1,[2]quests!$1:$1,0)+1),MATCH(D$1,[2]quests!$1:$1,0)-MATCH($B$1,[2]quests!$1:$1,0)+1,FALSE)</f>
        <v>検証</v>
      </c>
      <c r="E129" s="88" t="s">
        <v>224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203</v>
      </c>
      <c r="K129" s="95" t="str">
        <f>VLOOKUP(I129,[7]stage_hints!$A:$C,3,FALSE)</f>
        <v>敵のカウンター攻撃には</v>
      </c>
      <c r="L129" s="96" t="str">
        <f>VLOOKUP(I129,[7]stage_hints!$A:$D,4,FALSE)</f>
        <v>カウンターブレイクスキルを持っていれば_x000D_敵のカウンターを解除して攻撃ができます</v>
      </c>
      <c r="M129" s="57" t="s">
        <v>216</v>
      </c>
    </row>
    <row r="130" spans="1:13" x14ac:dyDescent="0.15">
      <c r="A130" s="82" t="s">
        <v>205</v>
      </c>
      <c r="B130" s="83">
        <f>floors!$C$2</f>
        <v>65535</v>
      </c>
      <c r="C130" s="84" t="str">
        <f ca="1">VLOOKUP($B130,OFFSET([2]quests!$A$1,0,0,COUNTA([2]quests!$A:$A),MATCH(C$1,[2]quests!$1:$1,0)-MATCH($B$1,[2]quests!$1:$1,0)+1),MATCH(C$1,[2]quests!$1:$1,0)-MATCH($B$1,[2]quests!$1:$1,0)+1,FALSE)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0" s="84" t="str">
        <f ca="1">VLOOKUP($B130,OFFSET([2]quests!$A$1,0,0,COUNTA([2]quests!$A:$A),MATCH(D$1,[2]quests!$1:$1,0)-MATCH($B$1,[2]quests!$1:$1,0)+1),MATCH(D$1,[2]quests!$1:$1,0)-MATCH($B$1,[2]quests!$1:$1,0)+1,FALSE)</f>
        <v>検証</v>
      </c>
      <c r="E130" s="88" t="s">
        <v>224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203</v>
      </c>
      <c r="K130" s="95" t="str">
        <f>VLOOKUP(I130,[7]stage_hints!$A:$C,3,FALSE)</f>
        <v>ステータスをスキルで下げられたら</v>
      </c>
      <c r="L130" s="96" t="str">
        <f>VLOOKUP(I130,[7]stage_hints!$A:$D,4,FALSE)</f>
        <v>ステータスダウンのスキルを受けたら_x000D_ステータスアップスキルで上書きしましょう</v>
      </c>
      <c r="M130" s="57" t="s">
        <v>216</v>
      </c>
    </row>
    <row r="131" spans="1:13" x14ac:dyDescent="0.15">
      <c r="A131" s="82" t="s">
        <v>205</v>
      </c>
      <c r="B131" s="83">
        <f>floors!$C$2</f>
        <v>65535</v>
      </c>
      <c r="C131" s="84" t="str">
        <f ca="1">VLOOKUP($B131,OFFSET([2]quests!$A$1,0,0,COUNTA([2]quests!$A:$A),MATCH(C$1,[2]quests!$1:$1,0)-MATCH($B$1,[2]quests!$1:$1,0)+1),MATCH(C$1,[2]quests!$1:$1,0)-MATCH($B$1,[2]quests!$1:$1,0)+1,FALSE)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1" s="84" t="str">
        <f ca="1">VLOOKUP($B131,OFFSET([2]quests!$A$1,0,0,COUNTA([2]quests!$A:$A),MATCH(D$1,[2]quests!$1:$1,0)-MATCH($B$1,[2]quests!$1:$1,0)+1),MATCH(D$1,[2]quests!$1:$1,0)-MATCH($B$1,[2]quests!$1:$1,0)+1,FALSE)</f>
        <v>検証</v>
      </c>
      <c r="E131" s="88" t="s">
        <v>224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203</v>
      </c>
      <c r="K131" s="95" t="str">
        <f>VLOOKUP(I131,[7]stage_hints!$A:$C,3,FALSE)</f>
        <v>敵のステータスがスキルで上がったら</v>
      </c>
      <c r="L131" s="96" t="str">
        <f>VLOOKUP(I131,[7]stage_hints!$A:$D,4,FALSE)</f>
        <v>敵のステータスがスキルでアップしたときは_x000D_ステータスダウンスキルで上書きしましょう</v>
      </c>
      <c r="M131" s="57" t="s">
        <v>216</v>
      </c>
    </row>
    <row r="132" spans="1:13" x14ac:dyDescent="0.15">
      <c r="A132" s="82" t="s">
        <v>205</v>
      </c>
      <c r="B132" s="83">
        <f>floors!$C$2</f>
        <v>65535</v>
      </c>
      <c r="C132" s="84" t="str">
        <f ca="1">VLOOKUP($B132,OFFSET([2]quests!$A$1,0,0,COUNTA([2]quests!$A:$A),MATCH(C$1,[2]quests!$1:$1,0)-MATCH($B$1,[2]quests!$1:$1,0)+1),MATCH(C$1,[2]quests!$1:$1,0)-MATCH($B$1,[2]quests!$1:$1,0)+1,FALSE)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2" s="84" t="str">
        <f ca="1">VLOOKUP($B132,OFFSET([2]quests!$A$1,0,0,COUNTA([2]quests!$A:$A),MATCH(D$1,[2]quests!$1:$1,0)-MATCH($B$1,[2]quests!$1:$1,0)+1),MATCH(D$1,[2]quests!$1:$1,0)-MATCH($B$1,[2]quests!$1:$1,0)+1,FALSE)</f>
        <v>検証</v>
      </c>
      <c r="E132" s="88" t="s">
        <v>224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203</v>
      </c>
      <c r="K132" s="95" t="str">
        <f>VLOOKUP(I132,[7]stage_hints!$A:$C,3,FALSE)</f>
        <v>タワーオブザクイーンのボス</v>
      </c>
      <c r="L132" s="96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7" t="s">
        <v>216</v>
      </c>
    </row>
    <row r="133" spans="1:13" x14ac:dyDescent="0.15">
      <c r="A133" s="82" t="s">
        <v>205</v>
      </c>
      <c r="B133" s="83">
        <f>floors!$C$2</f>
        <v>65535</v>
      </c>
      <c r="C133" s="84" t="str">
        <f ca="1">VLOOKUP($B133,OFFSET([2]quests!$A$1,0,0,COUNTA([2]quests!$A:$A),MATCH(C$1,[2]quests!$1:$1,0)-MATCH($B$1,[2]quests!$1:$1,0)+1),MATCH(C$1,[2]quests!$1:$1,0)-MATCH($B$1,[2]quests!$1:$1,0)+1,FALSE)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3" s="84" t="str">
        <f ca="1">VLOOKUP($B133,OFFSET([2]quests!$A$1,0,0,COUNTA([2]quests!$A:$A),MATCH(D$1,[2]quests!$1:$1,0)-MATCH($B$1,[2]quests!$1:$1,0)+1),MATCH(D$1,[2]quests!$1:$1,0)-MATCH($B$1,[2]quests!$1:$1,0)+1,FALSE)</f>
        <v>検証</v>
      </c>
      <c r="E133" s="88" t="s">
        <v>224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203</v>
      </c>
      <c r="K133" s="95" t="str">
        <f>VLOOKUP(I133,[7]stage_hints!$A:$C,3,FALSE)</f>
        <v>限界突破値の引き継ぎ</v>
      </c>
      <c r="L133" s="96" t="str">
        <f>VLOOKUP(I133,[7]stage_hints!$A:$D,4,FALSE)</f>
        <v>同じユニットを強化で合成すると_x000D_限界突破値を引き継げます（覚醒前後も可）</v>
      </c>
      <c r="M133" s="57" t="s">
        <v>216</v>
      </c>
    </row>
    <row r="134" spans="1:13" x14ac:dyDescent="0.15">
      <c r="A134" s="82" t="s">
        <v>205</v>
      </c>
      <c r="B134" s="83">
        <f>floors!$C$2</f>
        <v>65535</v>
      </c>
      <c r="C134" s="84" t="str">
        <f ca="1">VLOOKUP($B134,OFFSET([2]quests!$A$1,0,0,COUNTA([2]quests!$A:$A),MATCH(C$1,[2]quests!$1:$1,0)-MATCH($B$1,[2]quests!$1:$1,0)+1),MATCH(C$1,[2]quests!$1:$1,0)-MATCH($B$1,[2]quests!$1:$1,0)+1,FALSE)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4" s="84" t="str">
        <f ca="1">VLOOKUP($B134,OFFSET([2]quests!$A$1,0,0,COUNTA([2]quests!$A:$A),MATCH(D$1,[2]quests!$1:$1,0)-MATCH($B$1,[2]quests!$1:$1,0)+1),MATCH(D$1,[2]quests!$1:$1,0)-MATCH($B$1,[2]quests!$1:$1,0)+1,FALSE)</f>
        <v>検証</v>
      </c>
      <c r="E134" s="88" t="s">
        <v>224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203</v>
      </c>
      <c r="K134" s="95" t="str">
        <f>VLOOKUP(I134,[7]stage_hints!$A:$C,3,FALSE)</f>
        <v>システム適合者を確認</v>
      </c>
      <c r="L134" s="96" t="str">
        <f>VLOOKUP(I134,[7]stage_hints!$A:$D,4,FALSE)</f>
        <v>ALICEが 「アナタ」を呼んでいます</v>
      </c>
      <c r="M134" s="57" t="s">
        <v>216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J22" sqref="J2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193</v>
      </c>
      <c r="B1" s="74" t="s">
        <v>154</v>
      </c>
      <c r="C1" s="78" t="s">
        <v>195</v>
      </c>
      <c r="D1" s="78" t="s">
        <v>33</v>
      </c>
      <c r="E1" s="74" t="s">
        <v>196</v>
      </c>
      <c r="F1" s="78" t="s">
        <v>18</v>
      </c>
      <c r="G1" s="78" t="s">
        <v>33</v>
      </c>
      <c r="H1" s="74" t="s">
        <v>198</v>
      </c>
      <c r="I1" s="91" t="s">
        <v>199</v>
      </c>
      <c r="J1" s="93" t="s">
        <v>200</v>
      </c>
      <c r="K1" s="80" t="s">
        <v>130</v>
      </c>
      <c r="L1" s="79" t="s">
        <v>191</v>
      </c>
      <c r="M1" s="94" t="s">
        <v>190</v>
      </c>
      <c r="N1" s="81" t="s">
        <v>201</v>
      </c>
    </row>
    <row r="2" spans="1:14" x14ac:dyDescent="0.15">
      <c r="A2" s="82" t="s">
        <v>202</v>
      </c>
      <c r="B2" s="83">
        <f>floors!$C$2</f>
        <v>65535</v>
      </c>
      <c r="C2" s="84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84" t="str">
        <f ca="1">VLOOKUP($B2,OFFSET([2]quests!$A$1,0,0,COUNTA([2]quests!$A:$A),MATCH(D$1,[2]quests!$1:$1,0)-MATCH($B$1,[2]quests!$1:$1,0)+1),MATCH(D$1,[2]quests!$1:$1,0)-MATCH($B$1,[2]quests!$1:$1,0)+1,FALSE)</f>
        <v>検証</v>
      </c>
      <c r="E2" s="85">
        <v>99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99</v>
      </c>
      <c r="I2" s="92">
        <f>ROW()-1</f>
        <v>1</v>
      </c>
      <c r="J2" s="87" t="str">
        <f>B2&amp;TEXT(I2,"00")</f>
        <v>6553501</v>
      </c>
      <c r="K2" s="85" t="s">
        <v>203</v>
      </c>
      <c r="L2" s="88" t="s">
        <v>270</v>
      </c>
      <c r="M2" s="89"/>
      <c r="N2" s="57" t="s">
        <v>204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9" t="s">
        <v>226</v>
      </c>
      <c r="B1" s="100" t="s">
        <v>227</v>
      </c>
      <c r="C1" s="78" t="s">
        <v>228</v>
      </c>
      <c r="D1" s="78" t="s">
        <v>33</v>
      </c>
      <c r="E1" s="100" t="s">
        <v>229</v>
      </c>
      <c r="F1" s="78" t="s">
        <v>230</v>
      </c>
      <c r="G1" s="78" t="s">
        <v>33</v>
      </c>
      <c r="H1" s="100" t="s">
        <v>231</v>
      </c>
      <c r="I1" s="100" t="s">
        <v>232</v>
      </c>
      <c r="J1" s="100" t="s">
        <v>233</v>
      </c>
      <c r="K1" s="74" t="s">
        <v>234</v>
      </c>
      <c r="L1" s="74" t="s">
        <v>235</v>
      </c>
      <c r="M1" s="74" t="s">
        <v>160</v>
      </c>
      <c r="N1" s="78" t="s">
        <v>16</v>
      </c>
      <c r="O1" s="74" t="s">
        <v>236</v>
      </c>
      <c r="P1" s="74" t="s">
        <v>57</v>
      </c>
      <c r="Q1" s="74" t="s">
        <v>237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238</v>
      </c>
      <c r="X1" s="74" t="s">
        <v>239</v>
      </c>
    </row>
    <row r="2" spans="1:24" x14ac:dyDescent="0.15">
      <c r="A2" s="101" t="str">
        <f>B2&amp;"_"&amp;E2&amp;"_"&amp;H2&amp;"_"&amp;I2&amp;"_"&amp;J2</f>
        <v>65535_7_everyone_clear_1</v>
      </c>
      <c r="B2" s="83">
        <v>65535</v>
      </c>
      <c r="C2" s="84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84" t="str">
        <f ca="1">VLOOKUP($B2,OFFSET([2]quests!$A$1,0,0,COUNTA([2]quests!$A:$A),MATCH(D$1,[2]quests!$1:$1,0)-MATCH($B$1,[2]quests!$1:$1,0)+1),MATCH(D$1,[2]quests!$1:$1,0)-MATCH($B$1,[2]quests!$1:$1,0)+1,FALSE)</f>
        <v>検証</v>
      </c>
      <c r="E2" s="85">
        <v>7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6" t="s">
        <v>240</v>
      </c>
      <c r="I2" s="85" t="s">
        <v>241</v>
      </c>
      <c r="J2" s="85">
        <v>1</v>
      </c>
      <c r="K2" s="85">
        <v>610</v>
      </c>
      <c r="L2" s="85" t="s">
        <v>242</v>
      </c>
      <c r="M2" s="85">
        <v>334</v>
      </c>
      <c r="N2" s="102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103" t="s">
        <v>243</v>
      </c>
      <c r="X2" s="104" t="s">
        <v>244</v>
      </c>
    </row>
    <row r="3" spans="1:24" x14ac:dyDescent="0.15">
      <c r="A3" s="101" t="str">
        <f>B3&amp;"_"&amp;E3&amp;"_"&amp;H3&amp;"_"&amp;I3&amp;"_"&amp;J3</f>
        <v>65535_7_everyone_no_continue_1</v>
      </c>
      <c r="B3" s="83">
        <v>65535</v>
      </c>
      <c r="C3" s="84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84" t="str">
        <f ca="1">VLOOKUP($B3,OFFSET([2]quests!$A$1,0,0,COUNTA([2]quests!$A:$A),MATCH(D$1,[2]quests!$1:$1,0)-MATCH($B$1,[2]quests!$1:$1,0)+1),MATCH(D$1,[2]quests!$1:$1,0)-MATCH($B$1,[2]quests!$1:$1,0)+1,FALSE)</f>
        <v>検証</v>
      </c>
      <c r="E3" s="85">
        <v>7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6" t="s">
        <v>240</v>
      </c>
      <c r="I3" s="85" t="s">
        <v>245</v>
      </c>
      <c r="J3" s="85">
        <v>1</v>
      </c>
      <c r="K3" s="85">
        <v>610</v>
      </c>
      <c r="L3" s="85" t="s">
        <v>242</v>
      </c>
      <c r="M3" s="85">
        <v>334</v>
      </c>
      <c r="N3" s="102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5">
        <v>1</v>
      </c>
      <c r="P3" s="85">
        <v>1</v>
      </c>
      <c r="Q3" s="85">
        <v>1</v>
      </c>
      <c r="R3" s="85">
        <v>0</v>
      </c>
      <c r="S3" s="85">
        <v>0</v>
      </c>
      <c r="T3" s="85">
        <v>0</v>
      </c>
      <c r="U3" s="85">
        <v>0</v>
      </c>
      <c r="V3" s="85">
        <v>1</v>
      </c>
      <c r="W3" s="103" t="s">
        <v>243</v>
      </c>
      <c r="X3" s="104" t="s">
        <v>244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2016-12-20T08:37:03Z</dcterms:modified>
</cp:coreProperties>
</file>