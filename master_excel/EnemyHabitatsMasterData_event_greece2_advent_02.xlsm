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21060" tabRatio="740" activeTab="6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2" i="9" l="1"/>
  <c r="A70" i="9"/>
  <c r="D70" i="9"/>
  <c r="E70" i="9"/>
  <c r="G70" i="9"/>
  <c r="H70" i="9"/>
  <c r="I70" i="9"/>
  <c r="J70" i="9"/>
  <c r="K70" i="9"/>
  <c r="L70" i="9"/>
  <c r="M70" i="9"/>
  <c r="N70" i="9"/>
  <c r="O70" i="9"/>
  <c r="M64" i="10"/>
  <c r="T64" i="10"/>
  <c r="W64" i="10"/>
  <c r="V64" i="10"/>
  <c r="X64" i="10"/>
  <c r="U64" i="10"/>
  <c r="Y64" i="10"/>
  <c r="M79" i="10"/>
  <c r="M94" i="10"/>
  <c r="N94" i="10"/>
  <c r="Q94" i="10"/>
  <c r="P94" i="10"/>
  <c r="R94" i="10"/>
  <c r="O94" i="10"/>
  <c r="S94" i="10"/>
  <c r="N79" i="10"/>
  <c r="Q79" i="10"/>
  <c r="P79" i="10"/>
  <c r="R79" i="10"/>
  <c r="O79" i="10"/>
  <c r="S79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J15" i="11"/>
  <c r="A15" i="9"/>
  <c r="D15" i="9"/>
  <c r="E15" i="9"/>
  <c r="G15" i="9"/>
  <c r="H15" i="9"/>
  <c r="I15" i="9"/>
  <c r="J15" i="9"/>
  <c r="K15" i="9"/>
  <c r="L15" i="9"/>
  <c r="M15" i="9"/>
  <c r="N15" i="9"/>
  <c r="J14" i="11"/>
  <c r="O15" i="9"/>
  <c r="M75" i="10"/>
  <c r="M90" i="10"/>
  <c r="N90" i="10"/>
  <c r="Q90" i="10"/>
  <c r="P90" i="10"/>
  <c r="R90" i="10"/>
  <c r="O90" i="10"/>
  <c r="S90" i="10"/>
  <c r="N75" i="10"/>
  <c r="Q75" i="10"/>
  <c r="P75" i="10"/>
  <c r="R75" i="10"/>
  <c r="O75" i="10"/>
  <c r="S75" i="10"/>
  <c r="G16" i="10"/>
  <c r="H16" i="10"/>
  <c r="I16" i="10"/>
  <c r="J16" i="10"/>
  <c r="K16" i="10"/>
  <c r="L16" i="10"/>
  <c r="M16" i="10"/>
  <c r="M31" i="10"/>
  <c r="M46" i="10"/>
  <c r="M60" i="10"/>
  <c r="N60" i="10"/>
  <c r="Q60" i="10"/>
  <c r="P60" i="10"/>
  <c r="R60" i="10"/>
  <c r="O60" i="10"/>
  <c r="S60" i="10"/>
  <c r="N46" i="10"/>
  <c r="Q46" i="10"/>
  <c r="P46" i="10"/>
  <c r="R46" i="10"/>
  <c r="O46" i="10"/>
  <c r="S46" i="10"/>
  <c r="N31" i="10"/>
  <c r="Q31" i="10"/>
  <c r="P31" i="10"/>
  <c r="R31" i="10"/>
  <c r="O31" i="10"/>
  <c r="S31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B17" i="21"/>
  <c r="C17" i="21"/>
  <c r="D17" i="21"/>
  <c r="F17" i="21"/>
  <c r="G17" i="21"/>
  <c r="I17" i="21"/>
  <c r="J17" i="21"/>
  <c r="O17" i="21"/>
  <c r="B15" i="21"/>
  <c r="C15" i="21"/>
  <c r="D15" i="21"/>
  <c r="F15" i="21"/>
  <c r="G15" i="21"/>
  <c r="I15" i="21"/>
  <c r="J15" i="21"/>
  <c r="O15" i="21"/>
  <c r="B13" i="21"/>
  <c r="C13" i="21"/>
  <c r="D13" i="21"/>
  <c r="F13" i="21"/>
  <c r="G13" i="21"/>
  <c r="I13" i="21"/>
  <c r="J13" i="21"/>
  <c r="O13" i="21"/>
  <c r="B14" i="21"/>
  <c r="C14" i="21"/>
  <c r="D14" i="21"/>
  <c r="F14" i="21"/>
  <c r="G14" i="21"/>
  <c r="I14" i="21"/>
  <c r="J14" i="21"/>
  <c r="O14" i="21"/>
  <c r="B11" i="21"/>
  <c r="C11" i="21"/>
  <c r="D11" i="21"/>
  <c r="F11" i="21"/>
  <c r="G11" i="21"/>
  <c r="I11" i="21"/>
  <c r="J11" i="21"/>
  <c r="O11" i="21"/>
  <c r="B9" i="21"/>
  <c r="C9" i="21"/>
  <c r="D9" i="21"/>
  <c r="F9" i="21"/>
  <c r="G9" i="21"/>
  <c r="I9" i="21"/>
  <c r="J9" i="21"/>
  <c r="O9" i="21"/>
  <c r="B7" i="21"/>
  <c r="C7" i="21"/>
  <c r="D7" i="21"/>
  <c r="F7" i="21"/>
  <c r="G7" i="21"/>
  <c r="I7" i="21"/>
  <c r="J7" i="21"/>
  <c r="O7" i="21"/>
  <c r="I5" i="21"/>
  <c r="B5" i="21"/>
  <c r="J5" i="21"/>
  <c r="O5" i="21"/>
  <c r="I3" i="21"/>
  <c r="B3" i="21"/>
  <c r="J3" i="21"/>
  <c r="O3" i="21"/>
  <c r="C5" i="21"/>
  <c r="D5" i="21"/>
  <c r="F5" i="21"/>
  <c r="G5" i="21"/>
  <c r="C3" i="21"/>
  <c r="D3" i="21"/>
  <c r="F3" i="21"/>
  <c r="G3" i="21"/>
  <c r="J55" i="11"/>
  <c r="M37" i="10"/>
  <c r="T37" i="10"/>
  <c r="W37" i="10"/>
  <c r="V37" i="10"/>
  <c r="X37" i="10"/>
  <c r="U37" i="10"/>
  <c r="Y37" i="10"/>
  <c r="M52" i="10"/>
  <c r="M67" i="10"/>
  <c r="M81" i="10"/>
  <c r="M96" i="10"/>
  <c r="N96" i="10"/>
  <c r="Q96" i="10"/>
  <c r="P96" i="10"/>
  <c r="R96" i="10"/>
  <c r="O96" i="10"/>
  <c r="S96" i="10"/>
  <c r="N81" i="10"/>
  <c r="Q81" i="10"/>
  <c r="P81" i="10"/>
  <c r="R81" i="10"/>
  <c r="O81" i="10"/>
  <c r="S81" i="10"/>
  <c r="N67" i="10"/>
  <c r="Q67" i="10"/>
  <c r="P67" i="10"/>
  <c r="R67" i="10"/>
  <c r="O67" i="10"/>
  <c r="S67" i="10"/>
  <c r="N52" i="10"/>
  <c r="Q52" i="10"/>
  <c r="P52" i="10"/>
  <c r="R52" i="10"/>
  <c r="O52" i="10"/>
  <c r="S52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O14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J35" i="11"/>
  <c r="O35" i="9"/>
  <c r="G36" i="9"/>
  <c r="H36" i="9"/>
  <c r="I36" i="9"/>
  <c r="J36" i="9"/>
  <c r="K36" i="9"/>
  <c r="L36" i="9"/>
  <c r="M36" i="9"/>
  <c r="N36" i="9"/>
  <c r="J36" i="11"/>
  <c r="O36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J42" i="11"/>
  <c r="O43" i="9"/>
  <c r="G44" i="9"/>
  <c r="H44" i="9"/>
  <c r="I44" i="9"/>
  <c r="J44" i="9"/>
  <c r="K44" i="9"/>
  <c r="L44" i="9"/>
  <c r="M44" i="9"/>
  <c r="N44" i="9"/>
  <c r="J43" i="11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G49" i="9"/>
  <c r="H49" i="9"/>
  <c r="I49" i="9"/>
  <c r="J49" i="9"/>
  <c r="K49" i="9"/>
  <c r="L49" i="9"/>
  <c r="M49" i="9"/>
  <c r="N49" i="9"/>
  <c r="O49" i="9"/>
  <c r="G50" i="9"/>
  <c r="H50" i="9"/>
  <c r="I50" i="9"/>
  <c r="J50" i="9"/>
  <c r="K50" i="9"/>
  <c r="L50" i="9"/>
  <c r="M50" i="9"/>
  <c r="N50" i="9"/>
  <c r="O50" i="9"/>
  <c r="G51" i="9"/>
  <c r="H51" i="9"/>
  <c r="I51" i="9"/>
  <c r="J51" i="9"/>
  <c r="K51" i="9"/>
  <c r="L51" i="9"/>
  <c r="M51" i="9"/>
  <c r="N51" i="9"/>
  <c r="O51" i="9"/>
  <c r="G52" i="9"/>
  <c r="H52" i="9"/>
  <c r="I52" i="9"/>
  <c r="J52" i="9"/>
  <c r="K52" i="9"/>
  <c r="L52" i="9"/>
  <c r="M52" i="9"/>
  <c r="N52" i="9"/>
  <c r="O52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G55" i="9"/>
  <c r="H55" i="9"/>
  <c r="I55" i="9"/>
  <c r="J55" i="9"/>
  <c r="K55" i="9"/>
  <c r="L55" i="9"/>
  <c r="M55" i="9"/>
  <c r="N55" i="9"/>
  <c r="O55" i="9"/>
  <c r="G56" i="9"/>
  <c r="H56" i="9"/>
  <c r="I56" i="9"/>
  <c r="J56" i="9"/>
  <c r="K56" i="9"/>
  <c r="L56" i="9"/>
  <c r="M56" i="9"/>
  <c r="N56" i="9"/>
  <c r="O56" i="9"/>
  <c r="G57" i="9"/>
  <c r="H57" i="9"/>
  <c r="I57" i="9"/>
  <c r="J57" i="9"/>
  <c r="K57" i="9"/>
  <c r="L57" i="9"/>
  <c r="M57" i="9"/>
  <c r="N57" i="9"/>
  <c r="O57" i="9"/>
  <c r="G58" i="9"/>
  <c r="H58" i="9"/>
  <c r="I58" i="9"/>
  <c r="J58" i="9"/>
  <c r="K58" i="9"/>
  <c r="L58" i="9"/>
  <c r="M58" i="9"/>
  <c r="N58" i="9"/>
  <c r="O58" i="9"/>
  <c r="G59" i="9"/>
  <c r="H59" i="9"/>
  <c r="I59" i="9"/>
  <c r="J59" i="9"/>
  <c r="K59" i="9"/>
  <c r="L59" i="9"/>
  <c r="M59" i="9"/>
  <c r="N59" i="9"/>
  <c r="O59" i="9"/>
  <c r="G60" i="9"/>
  <c r="H60" i="9"/>
  <c r="I60" i="9"/>
  <c r="J60" i="9"/>
  <c r="K60" i="9"/>
  <c r="L60" i="9"/>
  <c r="M60" i="9"/>
  <c r="N60" i="9"/>
  <c r="O60" i="9"/>
  <c r="G61" i="9"/>
  <c r="H61" i="9"/>
  <c r="I61" i="9"/>
  <c r="J61" i="9"/>
  <c r="K61" i="9"/>
  <c r="L61" i="9"/>
  <c r="M61" i="9"/>
  <c r="N61" i="9"/>
  <c r="O61" i="9"/>
  <c r="G62" i="9"/>
  <c r="H62" i="9"/>
  <c r="I62" i="9"/>
  <c r="J62" i="9"/>
  <c r="K62" i="9"/>
  <c r="L62" i="9"/>
  <c r="M62" i="9"/>
  <c r="N62" i="9"/>
  <c r="O62" i="9"/>
  <c r="G63" i="9"/>
  <c r="H63" i="9"/>
  <c r="I63" i="9"/>
  <c r="J63" i="9"/>
  <c r="K63" i="9"/>
  <c r="L63" i="9"/>
  <c r="M63" i="9"/>
  <c r="N63" i="9"/>
  <c r="O63" i="9"/>
  <c r="G64" i="9"/>
  <c r="H64" i="9"/>
  <c r="I64" i="9"/>
  <c r="J64" i="9"/>
  <c r="K64" i="9"/>
  <c r="L64" i="9"/>
  <c r="M64" i="9"/>
  <c r="N64" i="9"/>
  <c r="O64" i="9"/>
  <c r="G65" i="9"/>
  <c r="H65" i="9"/>
  <c r="I65" i="9"/>
  <c r="J65" i="9"/>
  <c r="K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G67" i="9"/>
  <c r="H67" i="9"/>
  <c r="I67" i="9"/>
  <c r="J67" i="9"/>
  <c r="K67" i="9"/>
  <c r="L67" i="9"/>
  <c r="M67" i="9"/>
  <c r="N67" i="9"/>
  <c r="O67" i="9"/>
  <c r="G68" i="9"/>
  <c r="H68" i="9"/>
  <c r="I68" i="9"/>
  <c r="J68" i="9"/>
  <c r="K68" i="9"/>
  <c r="L68" i="9"/>
  <c r="M68" i="9"/>
  <c r="N68" i="9"/>
  <c r="O68" i="9"/>
  <c r="G69" i="9"/>
  <c r="H69" i="9"/>
  <c r="I69" i="9"/>
  <c r="J69" i="9"/>
  <c r="K69" i="9"/>
  <c r="L69" i="9"/>
  <c r="M69" i="9"/>
  <c r="N69" i="9"/>
  <c r="O69" i="9"/>
  <c r="G71" i="9"/>
  <c r="H71" i="9"/>
  <c r="I71" i="9"/>
  <c r="J71" i="9"/>
  <c r="K71" i="9"/>
  <c r="L71" i="9"/>
  <c r="M71" i="9"/>
  <c r="N71" i="9"/>
  <c r="O71" i="9"/>
  <c r="G72" i="9"/>
  <c r="H72" i="9"/>
  <c r="I72" i="9"/>
  <c r="J72" i="9"/>
  <c r="K72" i="9"/>
  <c r="L72" i="9"/>
  <c r="M72" i="9"/>
  <c r="N72" i="9"/>
  <c r="O72" i="9"/>
  <c r="G73" i="9"/>
  <c r="H73" i="9"/>
  <c r="I73" i="9"/>
  <c r="J73" i="9"/>
  <c r="K73" i="9"/>
  <c r="L73" i="9"/>
  <c r="M73" i="9"/>
  <c r="N73" i="9"/>
  <c r="O73" i="9"/>
  <c r="G74" i="9"/>
  <c r="H74" i="9"/>
  <c r="I74" i="9"/>
  <c r="J74" i="9"/>
  <c r="K74" i="9"/>
  <c r="L74" i="9"/>
  <c r="M74" i="9"/>
  <c r="N74" i="9"/>
  <c r="O74" i="9"/>
  <c r="G75" i="9"/>
  <c r="H75" i="9"/>
  <c r="I75" i="9"/>
  <c r="J75" i="9"/>
  <c r="K75" i="9"/>
  <c r="L75" i="9"/>
  <c r="M75" i="9"/>
  <c r="N75" i="9"/>
  <c r="O75" i="9"/>
  <c r="G76" i="9"/>
  <c r="H76" i="9"/>
  <c r="I76" i="9"/>
  <c r="J76" i="9"/>
  <c r="K76" i="9"/>
  <c r="L76" i="9"/>
  <c r="M76" i="9"/>
  <c r="N76" i="9"/>
  <c r="O76" i="9"/>
  <c r="G77" i="9"/>
  <c r="H77" i="9"/>
  <c r="I77" i="9"/>
  <c r="J77" i="9"/>
  <c r="K77" i="9"/>
  <c r="L77" i="9"/>
  <c r="M77" i="9"/>
  <c r="N77" i="9"/>
  <c r="O77" i="9"/>
  <c r="G78" i="9"/>
  <c r="H78" i="9"/>
  <c r="I78" i="9"/>
  <c r="J78" i="9"/>
  <c r="K78" i="9"/>
  <c r="L78" i="9"/>
  <c r="M78" i="9"/>
  <c r="N78" i="9"/>
  <c r="O78" i="9"/>
  <c r="G79" i="9"/>
  <c r="H79" i="9"/>
  <c r="I79" i="9"/>
  <c r="J79" i="9"/>
  <c r="K79" i="9"/>
  <c r="L79" i="9"/>
  <c r="M79" i="9"/>
  <c r="N79" i="9"/>
  <c r="O79" i="9"/>
  <c r="G80" i="9"/>
  <c r="H80" i="9"/>
  <c r="I80" i="9"/>
  <c r="J80" i="9"/>
  <c r="K80" i="9"/>
  <c r="L80" i="9"/>
  <c r="M80" i="9"/>
  <c r="N80" i="9"/>
  <c r="O80" i="9"/>
  <c r="G81" i="9"/>
  <c r="H81" i="9"/>
  <c r="I81" i="9"/>
  <c r="J81" i="9"/>
  <c r="K81" i="9"/>
  <c r="L81" i="9"/>
  <c r="M81" i="9"/>
  <c r="N81" i="9"/>
  <c r="O81" i="9"/>
  <c r="G82" i="9"/>
  <c r="H82" i="9"/>
  <c r="I82" i="9"/>
  <c r="J82" i="9"/>
  <c r="K82" i="9"/>
  <c r="L82" i="9"/>
  <c r="M82" i="9"/>
  <c r="N82" i="9"/>
  <c r="O82" i="9"/>
  <c r="G83" i="9"/>
  <c r="H83" i="9"/>
  <c r="I83" i="9"/>
  <c r="J83" i="9"/>
  <c r="K83" i="9"/>
  <c r="L83" i="9"/>
  <c r="M83" i="9"/>
  <c r="N83" i="9"/>
  <c r="O83" i="9"/>
  <c r="G84" i="9"/>
  <c r="H84" i="9"/>
  <c r="I84" i="9"/>
  <c r="J84" i="9"/>
  <c r="K84" i="9"/>
  <c r="L84" i="9"/>
  <c r="M84" i="9"/>
  <c r="N84" i="9"/>
  <c r="O84" i="9"/>
  <c r="G85" i="9"/>
  <c r="H85" i="9"/>
  <c r="I85" i="9"/>
  <c r="J85" i="9"/>
  <c r="K85" i="9"/>
  <c r="L85" i="9"/>
  <c r="M85" i="9"/>
  <c r="N85" i="9"/>
  <c r="O85" i="9"/>
  <c r="G86" i="9"/>
  <c r="H86" i="9"/>
  <c r="I86" i="9"/>
  <c r="J86" i="9"/>
  <c r="K86" i="9"/>
  <c r="L86" i="9"/>
  <c r="M86" i="9"/>
  <c r="N86" i="9"/>
  <c r="O86" i="9"/>
  <c r="G87" i="9"/>
  <c r="H87" i="9"/>
  <c r="I87" i="9"/>
  <c r="J87" i="9"/>
  <c r="K87" i="9"/>
  <c r="L87" i="9"/>
  <c r="M87" i="9"/>
  <c r="N87" i="9"/>
  <c r="O87" i="9"/>
  <c r="G88" i="9"/>
  <c r="H88" i="9"/>
  <c r="I88" i="9"/>
  <c r="J88" i="9"/>
  <c r="K88" i="9"/>
  <c r="L88" i="9"/>
  <c r="M88" i="9"/>
  <c r="N88" i="9"/>
  <c r="O88" i="9"/>
  <c r="G89" i="9"/>
  <c r="H89" i="9"/>
  <c r="I89" i="9"/>
  <c r="J89" i="9"/>
  <c r="K89" i="9"/>
  <c r="L89" i="9"/>
  <c r="M89" i="9"/>
  <c r="N89" i="9"/>
  <c r="O89" i="9"/>
  <c r="G90" i="9"/>
  <c r="H90" i="9"/>
  <c r="I90" i="9"/>
  <c r="J90" i="9"/>
  <c r="K90" i="9"/>
  <c r="L90" i="9"/>
  <c r="M90" i="9"/>
  <c r="N90" i="9"/>
  <c r="O90" i="9"/>
  <c r="G91" i="9"/>
  <c r="H91" i="9"/>
  <c r="I91" i="9"/>
  <c r="J91" i="9"/>
  <c r="K91" i="9"/>
  <c r="L91" i="9"/>
  <c r="M91" i="9"/>
  <c r="N91" i="9"/>
  <c r="O91" i="9"/>
  <c r="G92" i="9"/>
  <c r="H92" i="9"/>
  <c r="I92" i="9"/>
  <c r="J92" i="9"/>
  <c r="K92" i="9"/>
  <c r="L92" i="9"/>
  <c r="M92" i="9"/>
  <c r="N92" i="9"/>
  <c r="O92" i="9"/>
  <c r="G93" i="9"/>
  <c r="H93" i="9"/>
  <c r="I93" i="9"/>
  <c r="J93" i="9"/>
  <c r="K93" i="9"/>
  <c r="L93" i="9"/>
  <c r="M93" i="9"/>
  <c r="N93" i="9"/>
  <c r="O93" i="9"/>
  <c r="G94" i="9"/>
  <c r="H94" i="9"/>
  <c r="I94" i="9"/>
  <c r="J94" i="9"/>
  <c r="K94" i="9"/>
  <c r="L94" i="9"/>
  <c r="M94" i="9"/>
  <c r="N94" i="9"/>
  <c r="O94" i="9"/>
  <c r="G95" i="9"/>
  <c r="H95" i="9"/>
  <c r="I95" i="9"/>
  <c r="J95" i="9"/>
  <c r="K95" i="9"/>
  <c r="L95" i="9"/>
  <c r="M95" i="9"/>
  <c r="N95" i="9"/>
  <c r="O95" i="9"/>
  <c r="G96" i="9"/>
  <c r="H96" i="9"/>
  <c r="I96" i="9"/>
  <c r="J96" i="9"/>
  <c r="K96" i="9"/>
  <c r="L96" i="9"/>
  <c r="M96" i="9"/>
  <c r="N96" i="9"/>
  <c r="O96" i="9"/>
  <c r="G97" i="9"/>
  <c r="H97" i="9"/>
  <c r="I97" i="9"/>
  <c r="J97" i="9"/>
  <c r="K97" i="9"/>
  <c r="L97" i="9"/>
  <c r="M97" i="9"/>
  <c r="N97" i="9"/>
  <c r="O97" i="9"/>
  <c r="G98" i="9"/>
  <c r="H98" i="9"/>
  <c r="I98" i="9"/>
  <c r="J98" i="9"/>
  <c r="K98" i="9"/>
  <c r="L98" i="9"/>
  <c r="M98" i="9"/>
  <c r="N98" i="9"/>
  <c r="O98" i="9"/>
  <c r="G99" i="9"/>
  <c r="H99" i="9"/>
  <c r="I99" i="9"/>
  <c r="J99" i="9"/>
  <c r="K99" i="9"/>
  <c r="L99" i="9"/>
  <c r="M99" i="9"/>
  <c r="N99" i="9"/>
  <c r="O99" i="9"/>
  <c r="G100" i="9"/>
  <c r="H100" i="9"/>
  <c r="I100" i="9"/>
  <c r="J100" i="9"/>
  <c r="K100" i="9"/>
  <c r="L100" i="9"/>
  <c r="M100" i="9"/>
  <c r="N100" i="9"/>
  <c r="O100" i="9"/>
  <c r="G101" i="9"/>
  <c r="H101" i="9"/>
  <c r="I101" i="9"/>
  <c r="J101" i="9"/>
  <c r="K101" i="9"/>
  <c r="L101" i="9"/>
  <c r="M101" i="9"/>
  <c r="N101" i="9"/>
  <c r="O101" i="9"/>
  <c r="G102" i="9"/>
  <c r="H102" i="9"/>
  <c r="I102" i="9"/>
  <c r="J102" i="9"/>
  <c r="K102" i="9"/>
  <c r="L102" i="9"/>
  <c r="M102" i="9"/>
  <c r="N102" i="9"/>
  <c r="O102" i="9"/>
  <c r="G103" i="9"/>
  <c r="H103" i="9"/>
  <c r="I103" i="9"/>
  <c r="J103" i="9"/>
  <c r="K103" i="9"/>
  <c r="L103" i="9"/>
  <c r="M103" i="9"/>
  <c r="N103" i="9"/>
  <c r="O103" i="9"/>
  <c r="G104" i="9"/>
  <c r="H104" i="9"/>
  <c r="I104" i="9"/>
  <c r="J104" i="9"/>
  <c r="K104" i="9"/>
  <c r="L104" i="9"/>
  <c r="M104" i="9"/>
  <c r="N104" i="9"/>
  <c r="O104" i="9"/>
  <c r="G105" i="9"/>
  <c r="H105" i="9"/>
  <c r="I105" i="9"/>
  <c r="J105" i="9"/>
  <c r="K105" i="9"/>
  <c r="L105" i="9"/>
  <c r="M105" i="9"/>
  <c r="N105" i="9"/>
  <c r="O105" i="9"/>
  <c r="G106" i="9"/>
  <c r="H106" i="9"/>
  <c r="I106" i="9"/>
  <c r="J106" i="9"/>
  <c r="K106" i="9"/>
  <c r="L106" i="9"/>
  <c r="M106" i="9"/>
  <c r="N106" i="9"/>
  <c r="O106" i="9"/>
  <c r="G107" i="9"/>
  <c r="H107" i="9"/>
  <c r="I107" i="9"/>
  <c r="J107" i="9"/>
  <c r="K107" i="9"/>
  <c r="L107" i="9"/>
  <c r="M107" i="9"/>
  <c r="N107" i="9"/>
  <c r="O107" i="9"/>
  <c r="G108" i="9"/>
  <c r="H108" i="9"/>
  <c r="I108" i="9"/>
  <c r="J108" i="9"/>
  <c r="K108" i="9"/>
  <c r="L108" i="9"/>
  <c r="M108" i="9"/>
  <c r="N108" i="9"/>
  <c r="O108" i="9"/>
  <c r="G109" i="9"/>
  <c r="H109" i="9"/>
  <c r="I109" i="9"/>
  <c r="J109" i="9"/>
  <c r="K109" i="9"/>
  <c r="L109" i="9"/>
  <c r="M109" i="9"/>
  <c r="N109" i="9"/>
  <c r="O109" i="9"/>
  <c r="A94" i="9"/>
  <c r="D94" i="9"/>
  <c r="E94" i="9"/>
  <c r="A40" i="9"/>
  <c r="D40" i="9"/>
  <c r="E40" i="9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G23" i="10"/>
  <c r="H23" i="10"/>
  <c r="I23" i="10"/>
  <c r="J23" i="10"/>
  <c r="K23" i="10"/>
  <c r="L23" i="10"/>
  <c r="M23" i="10"/>
  <c r="M38" i="10"/>
  <c r="N38" i="10"/>
  <c r="Q38" i="10"/>
  <c r="P38" i="10"/>
  <c r="R38" i="10"/>
  <c r="O38" i="10"/>
  <c r="S38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M39" i="10"/>
  <c r="M53" i="10"/>
  <c r="M68" i="10"/>
  <c r="M82" i="10"/>
  <c r="M97" i="10"/>
  <c r="N97" i="10"/>
  <c r="Q97" i="10"/>
  <c r="P97" i="10"/>
  <c r="R97" i="10"/>
  <c r="O97" i="10"/>
  <c r="S97" i="10"/>
  <c r="N82" i="10"/>
  <c r="Q82" i="10"/>
  <c r="P82" i="10"/>
  <c r="R82" i="10"/>
  <c r="O82" i="10"/>
  <c r="S82" i="10"/>
  <c r="N68" i="10"/>
  <c r="Q68" i="10"/>
  <c r="P68" i="10"/>
  <c r="R68" i="10"/>
  <c r="O68" i="10"/>
  <c r="S68" i="10"/>
  <c r="N53" i="10"/>
  <c r="Q53" i="10"/>
  <c r="P53" i="10"/>
  <c r="R53" i="10"/>
  <c r="O53" i="10"/>
  <c r="S53" i="10"/>
  <c r="N39" i="10"/>
  <c r="Q39" i="10"/>
  <c r="P39" i="10"/>
  <c r="R39" i="10"/>
  <c r="O39" i="10"/>
  <c r="S39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M40" i="10"/>
  <c r="M54" i="10"/>
  <c r="M69" i="10"/>
  <c r="M83" i="10"/>
  <c r="N83" i="10"/>
  <c r="Q83" i="10"/>
  <c r="P83" i="10"/>
  <c r="R83" i="10"/>
  <c r="O83" i="10"/>
  <c r="S83" i="10"/>
  <c r="N69" i="10"/>
  <c r="Q69" i="10"/>
  <c r="P69" i="10"/>
  <c r="R69" i="10"/>
  <c r="O69" i="10"/>
  <c r="S69" i="10"/>
  <c r="N54" i="10"/>
  <c r="Q54" i="10"/>
  <c r="P54" i="10"/>
  <c r="R54" i="10"/>
  <c r="O54" i="10"/>
  <c r="S54" i="10"/>
  <c r="N40" i="10"/>
  <c r="Q40" i="10"/>
  <c r="P40" i="10"/>
  <c r="R40" i="10"/>
  <c r="O40" i="10"/>
  <c r="S40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M41" i="10"/>
  <c r="M55" i="10"/>
  <c r="M70" i="10"/>
  <c r="M84" i="10"/>
  <c r="N84" i="10"/>
  <c r="Q84" i="10"/>
  <c r="P84" i="10"/>
  <c r="R84" i="10"/>
  <c r="O84" i="10"/>
  <c r="S84" i="10"/>
  <c r="N70" i="10"/>
  <c r="Q70" i="10"/>
  <c r="P70" i="10"/>
  <c r="R70" i="10"/>
  <c r="O70" i="10"/>
  <c r="S70" i="10"/>
  <c r="N55" i="10"/>
  <c r="Q55" i="10"/>
  <c r="P55" i="10"/>
  <c r="R55" i="10"/>
  <c r="O55" i="10"/>
  <c r="S55" i="10"/>
  <c r="N41" i="10"/>
  <c r="Q41" i="10"/>
  <c r="P41" i="10"/>
  <c r="R41" i="10"/>
  <c r="O41" i="10"/>
  <c r="S41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M42" i="10"/>
  <c r="M56" i="10"/>
  <c r="M71" i="10"/>
  <c r="M86" i="10"/>
  <c r="N86" i="10"/>
  <c r="Q86" i="10"/>
  <c r="P86" i="10"/>
  <c r="R86" i="10"/>
  <c r="O86" i="10"/>
  <c r="S86" i="10"/>
  <c r="N71" i="10"/>
  <c r="Q71" i="10"/>
  <c r="P71" i="10"/>
  <c r="R71" i="10"/>
  <c r="O71" i="10"/>
  <c r="S71" i="10"/>
  <c r="N56" i="10"/>
  <c r="Q56" i="10"/>
  <c r="P56" i="10"/>
  <c r="R56" i="10"/>
  <c r="O56" i="10"/>
  <c r="S56" i="10"/>
  <c r="N42" i="10"/>
  <c r="Q42" i="10"/>
  <c r="P42" i="10"/>
  <c r="R42" i="10"/>
  <c r="O42" i="10"/>
  <c r="S42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M43" i="10"/>
  <c r="M57" i="10"/>
  <c r="M72" i="10"/>
  <c r="M87" i="10"/>
  <c r="N87" i="10"/>
  <c r="Q87" i="10"/>
  <c r="P87" i="10"/>
  <c r="R87" i="10"/>
  <c r="O87" i="10"/>
  <c r="S87" i="10"/>
  <c r="N72" i="10"/>
  <c r="Q72" i="10"/>
  <c r="P72" i="10"/>
  <c r="R72" i="10"/>
  <c r="O72" i="10"/>
  <c r="S72" i="10"/>
  <c r="N57" i="10"/>
  <c r="Q57" i="10"/>
  <c r="P57" i="10"/>
  <c r="R57" i="10"/>
  <c r="O57" i="10"/>
  <c r="S57" i="10"/>
  <c r="N43" i="10"/>
  <c r="Q43" i="10"/>
  <c r="P43" i="10"/>
  <c r="R43" i="10"/>
  <c r="O43" i="10"/>
  <c r="S43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M44" i="10"/>
  <c r="M58" i="10"/>
  <c r="M73" i="10"/>
  <c r="M88" i="10"/>
  <c r="N88" i="10"/>
  <c r="Q88" i="10"/>
  <c r="P88" i="10"/>
  <c r="R88" i="10"/>
  <c r="O88" i="10"/>
  <c r="S88" i="10"/>
  <c r="N73" i="10"/>
  <c r="Q73" i="10"/>
  <c r="P73" i="10"/>
  <c r="R73" i="10"/>
  <c r="O73" i="10"/>
  <c r="S73" i="10"/>
  <c r="N58" i="10"/>
  <c r="Q58" i="10"/>
  <c r="P58" i="10"/>
  <c r="R58" i="10"/>
  <c r="O58" i="10"/>
  <c r="S58" i="10"/>
  <c r="N44" i="10"/>
  <c r="Q44" i="10"/>
  <c r="P44" i="10"/>
  <c r="R44" i="10"/>
  <c r="O44" i="10"/>
  <c r="S44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M45" i="10"/>
  <c r="M59" i="10"/>
  <c r="M74" i="10"/>
  <c r="M89" i="10"/>
  <c r="N89" i="10"/>
  <c r="Q89" i="10"/>
  <c r="P89" i="10"/>
  <c r="R89" i="10"/>
  <c r="O89" i="10"/>
  <c r="S89" i="10"/>
  <c r="N74" i="10"/>
  <c r="Q74" i="10"/>
  <c r="P74" i="10"/>
  <c r="R74" i="10"/>
  <c r="O74" i="10"/>
  <c r="S74" i="10"/>
  <c r="N59" i="10"/>
  <c r="Q59" i="10"/>
  <c r="P59" i="10"/>
  <c r="R59" i="10"/>
  <c r="O59" i="10"/>
  <c r="S59" i="10"/>
  <c r="N45" i="10"/>
  <c r="Q45" i="10"/>
  <c r="P45" i="10"/>
  <c r="R45" i="10"/>
  <c r="O45" i="10"/>
  <c r="S45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M47" i="10"/>
  <c r="M61" i="10"/>
  <c r="M76" i="10"/>
  <c r="M91" i="10"/>
  <c r="N91" i="10"/>
  <c r="Q91" i="10"/>
  <c r="P91" i="10"/>
  <c r="R91" i="10"/>
  <c r="O91" i="10"/>
  <c r="S91" i="10"/>
  <c r="N76" i="10"/>
  <c r="Q76" i="10"/>
  <c r="P76" i="10"/>
  <c r="R76" i="10"/>
  <c r="O76" i="10"/>
  <c r="S76" i="10"/>
  <c r="N61" i="10"/>
  <c r="Q61" i="10"/>
  <c r="P61" i="10"/>
  <c r="R61" i="10"/>
  <c r="O61" i="10"/>
  <c r="S61" i="10"/>
  <c r="N47" i="10"/>
  <c r="Q47" i="10"/>
  <c r="P47" i="10"/>
  <c r="R47" i="10"/>
  <c r="O47" i="10"/>
  <c r="S47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M48" i="10"/>
  <c r="M62" i="10"/>
  <c r="M77" i="10"/>
  <c r="M92" i="10"/>
  <c r="N92" i="10"/>
  <c r="Q92" i="10"/>
  <c r="P92" i="10"/>
  <c r="R92" i="10"/>
  <c r="O92" i="10"/>
  <c r="S92" i="10"/>
  <c r="N77" i="10"/>
  <c r="Q77" i="10"/>
  <c r="P77" i="10"/>
  <c r="R77" i="10"/>
  <c r="O77" i="10"/>
  <c r="S77" i="10"/>
  <c r="N62" i="10"/>
  <c r="Q62" i="10"/>
  <c r="P62" i="10"/>
  <c r="R62" i="10"/>
  <c r="O62" i="10"/>
  <c r="S62" i="10"/>
  <c r="N48" i="10"/>
  <c r="Q48" i="10"/>
  <c r="P48" i="10"/>
  <c r="R48" i="10"/>
  <c r="O48" i="10"/>
  <c r="S48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M49" i="10"/>
  <c r="M63" i="10"/>
  <c r="M78" i="10"/>
  <c r="M93" i="10"/>
  <c r="N93" i="10"/>
  <c r="Q93" i="10"/>
  <c r="P93" i="10"/>
  <c r="R93" i="10"/>
  <c r="O93" i="10"/>
  <c r="S93" i="10"/>
  <c r="N78" i="10"/>
  <c r="Q78" i="10"/>
  <c r="P78" i="10"/>
  <c r="R78" i="10"/>
  <c r="O78" i="10"/>
  <c r="S78" i="10"/>
  <c r="N63" i="10"/>
  <c r="Q63" i="10"/>
  <c r="P63" i="10"/>
  <c r="R63" i="10"/>
  <c r="O63" i="10"/>
  <c r="S63" i="10"/>
  <c r="N49" i="10"/>
  <c r="Q49" i="10"/>
  <c r="P49" i="10"/>
  <c r="R49" i="10"/>
  <c r="O49" i="10"/>
  <c r="S49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M50" i="10"/>
  <c r="M65" i="10"/>
  <c r="N65" i="10"/>
  <c r="Q65" i="10"/>
  <c r="P65" i="10"/>
  <c r="R65" i="10"/>
  <c r="O65" i="10"/>
  <c r="S65" i="10"/>
  <c r="N50" i="10"/>
  <c r="Q50" i="10"/>
  <c r="P50" i="10"/>
  <c r="R50" i="10"/>
  <c r="O50" i="10"/>
  <c r="S50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M51" i="10"/>
  <c r="M66" i="10"/>
  <c r="M80" i="10"/>
  <c r="M95" i="10"/>
  <c r="N95" i="10"/>
  <c r="Q95" i="10"/>
  <c r="P95" i="10"/>
  <c r="R95" i="10"/>
  <c r="O95" i="10"/>
  <c r="S95" i="10"/>
  <c r="N80" i="10"/>
  <c r="Q80" i="10"/>
  <c r="P80" i="10"/>
  <c r="R80" i="10"/>
  <c r="O80" i="10"/>
  <c r="S80" i="10"/>
  <c r="N66" i="10"/>
  <c r="Q66" i="10"/>
  <c r="P66" i="10"/>
  <c r="R66" i="10"/>
  <c r="O66" i="10"/>
  <c r="S66" i="10"/>
  <c r="N51" i="10"/>
  <c r="Q51" i="10"/>
  <c r="P51" i="10"/>
  <c r="R51" i="10"/>
  <c r="O51" i="10"/>
  <c r="S51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59" i="10"/>
  <c r="H59" i="10"/>
  <c r="I59" i="10"/>
  <c r="J59" i="10"/>
  <c r="K59" i="10"/>
  <c r="L59" i="10"/>
  <c r="T59" i="10"/>
  <c r="U59" i="10"/>
  <c r="V59" i="10"/>
  <c r="W59" i="10"/>
  <c r="X59" i="10"/>
  <c r="Y59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G66" i="10"/>
  <c r="H66" i="10"/>
  <c r="I66" i="10"/>
  <c r="J66" i="10"/>
  <c r="K66" i="10"/>
  <c r="L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T67" i="10"/>
  <c r="U67" i="10"/>
  <c r="V67" i="10"/>
  <c r="W67" i="10"/>
  <c r="X67" i="10"/>
  <c r="Y67" i="10"/>
  <c r="G68" i="10"/>
  <c r="H68" i="10"/>
  <c r="I68" i="10"/>
  <c r="J68" i="10"/>
  <c r="K68" i="10"/>
  <c r="L68" i="10"/>
  <c r="T68" i="10"/>
  <c r="U68" i="10"/>
  <c r="V68" i="10"/>
  <c r="W68" i="10"/>
  <c r="X68" i="10"/>
  <c r="Y68" i="10"/>
  <c r="G69" i="10"/>
  <c r="H69" i="10"/>
  <c r="I69" i="10"/>
  <c r="J69" i="10"/>
  <c r="K69" i="10"/>
  <c r="L69" i="10"/>
  <c r="T69" i="10"/>
  <c r="U69" i="10"/>
  <c r="V69" i="10"/>
  <c r="W69" i="10"/>
  <c r="X69" i="10"/>
  <c r="Y69" i="10"/>
  <c r="G70" i="10"/>
  <c r="H70" i="10"/>
  <c r="I70" i="10"/>
  <c r="J70" i="10"/>
  <c r="K70" i="10"/>
  <c r="L70" i="10"/>
  <c r="T70" i="10"/>
  <c r="U70" i="10"/>
  <c r="V70" i="10"/>
  <c r="W70" i="10"/>
  <c r="X70" i="10"/>
  <c r="Y70" i="10"/>
  <c r="G71" i="10"/>
  <c r="H71" i="10"/>
  <c r="I71" i="10"/>
  <c r="J71" i="10"/>
  <c r="K71" i="10"/>
  <c r="L71" i="10"/>
  <c r="T71" i="10"/>
  <c r="U71" i="10"/>
  <c r="V71" i="10"/>
  <c r="W71" i="10"/>
  <c r="X71" i="10"/>
  <c r="Y71" i="10"/>
  <c r="G72" i="10"/>
  <c r="H72" i="10"/>
  <c r="I72" i="10"/>
  <c r="J72" i="10"/>
  <c r="K72" i="10"/>
  <c r="L72" i="10"/>
  <c r="T72" i="10"/>
  <c r="U72" i="10"/>
  <c r="V72" i="10"/>
  <c r="W72" i="10"/>
  <c r="X72" i="10"/>
  <c r="Y72" i="10"/>
  <c r="G73" i="10"/>
  <c r="H73" i="10"/>
  <c r="I73" i="10"/>
  <c r="J73" i="10"/>
  <c r="K73" i="10"/>
  <c r="L73" i="10"/>
  <c r="T73" i="10"/>
  <c r="U73" i="10"/>
  <c r="V73" i="10"/>
  <c r="W73" i="10"/>
  <c r="X73" i="10"/>
  <c r="Y73" i="10"/>
  <c r="G74" i="10"/>
  <c r="H74" i="10"/>
  <c r="I74" i="10"/>
  <c r="J74" i="10"/>
  <c r="K74" i="10"/>
  <c r="L74" i="10"/>
  <c r="T74" i="10"/>
  <c r="U74" i="10"/>
  <c r="V74" i="10"/>
  <c r="W74" i="10"/>
  <c r="X74" i="10"/>
  <c r="Y74" i="10"/>
  <c r="G75" i="10"/>
  <c r="H75" i="10"/>
  <c r="I75" i="10"/>
  <c r="J75" i="10"/>
  <c r="K75" i="10"/>
  <c r="L75" i="10"/>
  <c r="T75" i="10"/>
  <c r="U75" i="10"/>
  <c r="V75" i="10"/>
  <c r="W75" i="10"/>
  <c r="X75" i="10"/>
  <c r="Y75" i="10"/>
  <c r="G76" i="10"/>
  <c r="H76" i="10"/>
  <c r="I76" i="10"/>
  <c r="J76" i="10"/>
  <c r="K76" i="10"/>
  <c r="L76" i="10"/>
  <c r="T76" i="10"/>
  <c r="U76" i="10"/>
  <c r="V76" i="10"/>
  <c r="W76" i="10"/>
  <c r="X76" i="10"/>
  <c r="Y76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G79" i="10"/>
  <c r="H79" i="10"/>
  <c r="I79" i="10"/>
  <c r="J79" i="10"/>
  <c r="K79" i="10"/>
  <c r="L79" i="10"/>
  <c r="T79" i="10"/>
  <c r="U79" i="10"/>
  <c r="V79" i="10"/>
  <c r="W79" i="10"/>
  <c r="X79" i="10"/>
  <c r="Y79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G81" i="10"/>
  <c r="H81" i="10"/>
  <c r="I81" i="10"/>
  <c r="J81" i="10"/>
  <c r="K81" i="10"/>
  <c r="L81" i="10"/>
  <c r="T81" i="10"/>
  <c r="U81" i="10"/>
  <c r="V81" i="10"/>
  <c r="W81" i="10"/>
  <c r="X81" i="10"/>
  <c r="Y81" i="10"/>
  <c r="G82" i="10"/>
  <c r="H82" i="10"/>
  <c r="I82" i="10"/>
  <c r="J82" i="10"/>
  <c r="K82" i="10"/>
  <c r="L82" i="10"/>
  <c r="T82" i="10"/>
  <c r="U82" i="10"/>
  <c r="V82" i="10"/>
  <c r="W82" i="10"/>
  <c r="X82" i="10"/>
  <c r="Y82" i="10"/>
  <c r="G83" i="10"/>
  <c r="H83" i="10"/>
  <c r="I83" i="10"/>
  <c r="J83" i="10"/>
  <c r="K83" i="10"/>
  <c r="L83" i="10"/>
  <c r="T83" i="10"/>
  <c r="U83" i="10"/>
  <c r="V83" i="10"/>
  <c r="W83" i="10"/>
  <c r="X83" i="10"/>
  <c r="Y83" i="10"/>
  <c r="G84" i="10"/>
  <c r="H84" i="10"/>
  <c r="I84" i="10"/>
  <c r="J84" i="10"/>
  <c r="K84" i="10"/>
  <c r="L84" i="10"/>
  <c r="T84" i="10"/>
  <c r="U84" i="10"/>
  <c r="V84" i="10"/>
  <c r="W84" i="10"/>
  <c r="X84" i="10"/>
  <c r="Y84" i="10"/>
  <c r="G86" i="10"/>
  <c r="H86" i="10"/>
  <c r="I86" i="10"/>
  <c r="J86" i="10"/>
  <c r="K86" i="10"/>
  <c r="L86" i="10"/>
  <c r="T86" i="10"/>
  <c r="U86" i="10"/>
  <c r="V86" i="10"/>
  <c r="W86" i="10"/>
  <c r="X86" i="10"/>
  <c r="Y86" i="10"/>
  <c r="G87" i="10"/>
  <c r="H87" i="10"/>
  <c r="I87" i="10"/>
  <c r="J87" i="10"/>
  <c r="K87" i="10"/>
  <c r="L87" i="10"/>
  <c r="T87" i="10"/>
  <c r="U87" i="10"/>
  <c r="V87" i="10"/>
  <c r="W87" i="10"/>
  <c r="X87" i="10"/>
  <c r="Y87" i="10"/>
  <c r="G88" i="10"/>
  <c r="H88" i="10"/>
  <c r="I88" i="10"/>
  <c r="J88" i="10"/>
  <c r="K88" i="10"/>
  <c r="L88" i="10"/>
  <c r="T88" i="10"/>
  <c r="U88" i="10"/>
  <c r="V88" i="10"/>
  <c r="W88" i="10"/>
  <c r="X88" i="10"/>
  <c r="Y88" i="10"/>
  <c r="G89" i="10"/>
  <c r="H89" i="10"/>
  <c r="I89" i="10"/>
  <c r="J89" i="10"/>
  <c r="K89" i="10"/>
  <c r="L89" i="10"/>
  <c r="T89" i="10"/>
  <c r="U89" i="10"/>
  <c r="V89" i="10"/>
  <c r="W89" i="10"/>
  <c r="X89" i="10"/>
  <c r="Y89" i="10"/>
  <c r="G90" i="10"/>
  <c r="H90" i="10"/>
  <c r="I90" i="10"/>
  <c r="J90" i="10"/>
  <c r="K90" i="10"/>
  <c r="L90" i="10"/>
  <c r="T90" i="10"/>
  <c r="U90" i="10"/>
  <c r="V90" i="10"/>
  <c r="W90" i="10"/>
  <c r="X90" i="10"/>
  <c r="Y90" i="10"/>
  <c r="G91" i="10"/>
  <c r="H91" i="10"/>
  <c r="I91" i="10"/>
  <c r="J91" i="10"/>
  <c r="K91" i="10"/>
  <c r="L91" i="10"/>
  <c r="T91" i="10"/>
  <c r="U91" i="10"/>
  <c r="V91" i="10"/>
  <c r="W91" i="10"/>
  <c r="X91" i="10"/>
  <c r="Y91" i="10"/>
  <c r="G92" i="10"/>
  <c r="H92" i="10"/>
  <c r="I92" i="10"/>
  <c r="J92" i="10"/>
  <c r="K92" i="10"/>
  <c r="L92" i="10"/>
  <c r="T92" i="10"/>
  <c r="U92" i="10"/>
  <c r="V92" i="10"/>
  <c r="W92" i="10"/>
  <c r="X92" i="10"/>
  <c r="Y92" i="10"/>
  <c r="G93" i="10"/>
  <c r="H93" i="10"/>
  <c r="I93" i="10"/>
  <c r="J93" i="10"/>
  <c r="K93" i="10"/>
  <c r="L93" i="10"/>
  <c r="T93" i="10"/>
  <c r="U93" i="10"/>
  <c r="V93" i="10"/>
  <c r="W93" i="10"/>
  <c r="X93" i="10"/>
  <c r="Y93" i="10"/>
  <c r="G94" i="10"/>
  <c r="H94" i="10"/>
  <c r="I94" i="10"/>
  <c r="J94" i="10"/>
  <c r="K94" i="10"/>
  <c r="L94" i="10"/>
  <c r="T94" i="10"/>
  <c r="U94" i="10"/>
  <c r="V94" i="10"/>
  <c r="W94" i="10"/>
  <c r="X94" i="10"/>
  <c r="Y94" i="10"/>
  <c r="G95" i="10"/>
  <c r="H95" i="10"/>
  <c r="I95" i="10"/>
  <c r="J95" i="10"/>
  <c r="K95" i="10"/>
  <c r="L95" i="10"/>
  <c r="T95" i="10"/>
  <c r="U95" i="10"/>
  <c r="V95" i="10"/>
  <c r="W95" i="10"/>
  <c r="X95" i="10"/>
  <c r="Y95" i="10"/>
  <c r="G96" i="10"/>
  <c r="H96" i="10"/>
  <c r="I96" i="10"/>
  <c r="J96" i="10"/>
  <c r="K96" i="10"/>
  <c r="L96" i="10"/>
  <c r="T96" i="10"/>
  <c r="U96" i="10"/>
  <c r="V96" i="10"/>
  <c r="W96" i="10"/>
  <c r="X96" i="10"/>
  <c r="Y96" i="10"/>
  <c r="G97" i="10"/>
  <c r="H97" i="10"/>
  <c r="I97" i="10"/>
  <c r="J97" i="10"/>
  <c r="K97" i="10"/>
  <c r="L97" i="10"/>
  <c r="T97" i="10"/>
  <c r="U97" i="10"/>
  <c r="V97" i="10"/>
  <c r="W97" i="10"/>
  <c r="X97" i="10"/>
  <c r="Y97" i="10"/>
  <c r="G4" i="10"/>
  <c r="H4" i="10"/>
  <c r="I4" i="10"/>
  <c r="J4" i="10"/>
  <c r="K4" i="10"/>
  <c r="L4" i="10"/>
  <c r="M4" i="10"/>
  <c r="M19" i="10"/>
  <c r="N19" i="10"/>
  <c r="Q19" i="10"/>
  <c r="P19" i="10"/>
  <c r="R19" i="10"/>
  <c r="O19" i="10"/>
  <c r="S19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20" i="10"/>
  <c r="N20" i="10"/>
  <c r="Q20" i="10"/>
  <c r="P20" i="10"/>
  <c r="R20" i="10"/>
  <c r="O20" i="10"/>
  <c r="S20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21" i="10"/>
  <c r="N21" i="10"/>
  <c r="Q21" i="10"/>
  <c r="P21" i="10"/>
  <c r="R21" i="10"/>
  <c r="O21" i="10"/>
  <c r="S21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22" i="10"/>
  <c r="N22" i="10"/>
  <c r="Q22" i="10"/>
  <c r="P22" i="10"/>
  <c r="R22" i="10"/>
  <c r="O22" i="10"/>
  <c r="S2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J16" i="11"/>
  <c r="J11" i="11"/>
  <c r="J7" i="11"/>
  <c r="J4" i="11"/>
  <c r="D4" i="9"/>
  <c r="E4" i="9"/>
  <c r="D7" i="9"/>
  <c r="E7" i="9"/>
  <c r="D11" i="9"/>
  <c r="E11" i="9"/>
  <c r="D16" i="9"/>
  <c r="E16" i="9"/>
  <c r="D69" i="9"/>
  <c r="E69" i="9"/>
  <c r="D65" i="9"/>
  <c r="E65" i="9"/>
  <c r="D61" i="9"/>
  <c r="E61" i="9"/>
  <c r="D58" i="9"/>
  <c r="E58" i="9"/>
  <c r="A4" i="9"/>
  <c r="A5" i="9"/>
  <c r="A6" i="9"/>
  <c r="A7" i="9"/>
  <c r="A8" i="9"/>
  <c r="A9" i="9"/>
  <c r="A10" i="9"/>
  <c r="A11" i="9"/>
  <c r="A12" i="9"/>
  <c r="A13" i="9"/>
  <c r="A14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D11" i="1"/>
  <c r="AD12" i="1"/>
  <c r="AD13" i="1"/>
  <c r="AD14" i="1"/>
  <c r="AD4" i="1"/>
  <c r="AD5" i="1"/>
  <c r="AD6" i="1"/>
  <c r="AD7" i="1"/>
  <c r="AD15" i="1"/>
  <c r="AD10" i="1"/>
  <c r="AD9" i="1"/>
  <c r="B27" i="21"/>
  <c r="C27" i="21"/>
  <c r="D27" i="21"/>
  <c r="F27" i="21"/>
  <c r="G27" i="21"/>
  <c r="I27" i="21"/>
  <c r="J27" i="21"/>
  <c r="O27" i="21"/>
  <c r="B22" i="21"/>
  <c r="C22" i="21"/>
  <c r="D22" i="21"/>
  <c r="F22" i="21"/>
  <c r="G22" i="21"/>
  <c r="I22" i="21"/>
  <c r="J22" i="21"/>
  <c r="O22" i="21"/>
  <c r="O4" i="21"/>
  <c r="O6" i="21"/>
  <c r="O8" i="21"/>
  <c r="O10" i="21"/>
  <c r="O12" i="21"/>
  <c r="O16" i="21"/>
  <c r="O18" i="21"/>
  <c r="O19" i="21"/>
  <c r="O20" i="21"/>
  <c r="O21" i="21"/>
  <c r="O23" i="21"/>
  <c r="O24" i="21"/>
  <c r="O25" i="21"/>
  <c r="O26" i="21"/>
  <c r="O2" i="21"/>
  <c r="J54" i="11"/>
  <c r="E109" i="9"/>
  <c r="D109" i="9"/>
  <c r="J53" i="11"/>
  <c r="E108" i="9"/>
  <c r="D108" i="9"/>
  <c r="J52" i="11"/>
  <c r="E107" i="9"/>
  <c r="D107" i="9"/>
  <c r="J51" i="11"/>
  <c r="E106" i="9"/>
  <c r="D106" i="9"/>
  <c r="J50" i="11"/>
  <c r="E105" i="9"/>
  <c r="D105" i="9"/>
  <c r="J49" i="11"/>
  <c r="E104" i="9"/>
  <c r="D104" i="9"/>
  <c r="J48" i="11"/>
  <c r="E103" i="9"/>
  <c r="D103" i="9"/>
  <c r="J47" i="11"/>
  <c r="E102" i="9"/>
  <c r="D102" i="9"/>
  <c r="J46" i="11"/>
  <c r="E101" i="9"/>
  <c r="D101" i="9"/>
  <c r="J45" i="11"/>
  <c r="E100" i="9"/>
  <c r="D100" i="9"/>
  <c r="J44" i="11"/>
  <c r="E99" i="9"/>
  <c r="D99" i="9"/>
  <c r="E98" i="9"/>
  <c r="D98" i="9"/>
  <c r="E97" i="9"/>
  <c r="D97" i="9"/>
  <c r="J41" i="11"/>
  <c r="E96" i="9"/>
  <c r="D96" i="9"/>
  <c r="J40" i="11"/>
  <c r="E95" i="9"/>
  <c r="D95" i="9"/>
  <c r="J39" i="11"/>
  <c r="E93" i="9"/>
  <c r="D93" i="9"/>
  <c r="J38" i="11"/>
  <c r="D92" i="9"/>
  <c r="J37" i="11"/>
  <c r="E91" i="9"/>
  <c r="D91" i="9"/>
  <c r="E90" i="9"/>
  <c r="D90" i="9"/>
  <c r="E89" i="9"/>
  <c r="D89" i="9"/>
  <c r="J34" i="11"/>
  <c r="E88" i="9"/>
  <c r="D88" i="9"/>
  <c r="J33" i="11"/>
  <c r="E87" i="9"/>
  <c r="D87" i="9"/>
  <c r="J32" i="11"/>
  <c r="E86" i="9"/>
  <c r="D86" i="9"/>
  <c r="J31" i="11"/>
  <c r="E85" i="9"/>
  <c r="D85" i="9"/>
  <c r="J30" i="11"/>
  <c r="E84" i="9"/>
  <c r="D84" i="9"/>
  <c r="J29" i="11"/>
  <c r="E83" i="9"/>
  <c r="D83" i="9"/>
  <c r="J28" i="11"/>
  <c r="E82" i="9"/>
  <c r="D82" i="9"/>
  <c r="J27" i="11"/>
  <c r="E81" i="9"/>
  <c r="D81" i="9"/>
  <c r="J26" i="11"/>
  <c r="E80" i="9"/>
  <c r="D80" i="9"/>
  <c r="J25" i="11"/>
  <c r="E79" i="9"/>
  <c r="D79" i="9"/>
  <c r="J24" i="11"/>
  <c r="E78" i="9"/>
  <c r="D78" i="9"/>
  <c r="J23" i="11"/>
  <c r="E77" i="9"/>
  <c r="D77" i="9"/>
  <c r="J22" i="11"/>
  <c r="E76" i="9"/>
  <c r="D76" i="9"/>
  <c r="J21" i="11"/>
  <c r="E75" i="9"/>
  <c r="D75" i="9"/>
  <c r="J20" i="11"/>
  <c r="E74" i="9"/>
  <c r="D74" i="9"/>
  <c r="J19" i="11"/>
  <c r="E73" i="9"/>
  <c r="D73" i="9"/>
  <c r="J18" i="11"/>
  <c r="E72" i="9"/>
  <c r="D72" i="9"/>
  <c r="J17" i="11"/>
  <c r="E71" i="9"/>
  <c r="D71" i="9"/>
  <c r="E68" i="9"/>
  <c r="D68" i="9"/>
  <c r="E67" i="9"/>
  <c r="D67" i="9"/>
  <c r="J12" i="11"/>
  <c r="E66" i="9"/>
  <c r="D66" i="9"/>
  <c r="J10" i="11"/>
  <c r="E64" i="9"/>
  <c r="D64" i="9"/>
  <c r="J9" i="11"/>
  <c r="E63" i="9"/>
  <c r="D63" i="9"/>
  <c r="J8" i="11"/>
  <c r="E62" i="9"/>
  <c r="D62" i="9"/>
  <c r="J6" i="11"/>
  <c r="E60" i="9"/>
  <c r="D60" i="9"/>
  <c r="J5" i="11"/>
  <c r="E59" i="9"/>
  <c r="D59" i="9"/>
  <c r="J3" i="11"/>
  <c r="E57" i="9"/>
  <c r="D57" i="9"/>
  <c r="J2" i="11"/>
  <c r="E56" i="9"/>
  <c r="D56" i="9"/>
  <c r="B4" i="21"/>
  <c r="B6" i="21"/>
  <c r="B8" i="21"/>
  <c r="B10" i="21"/>
  <c r="B12" i="21"/>
  <c r="B16" i="21"/>
  <c r="B18" i="21"/>
  <c r="B19" i="21"/>
  <c r="B20" i="21"/>
  <c r="B21" i="21"/>
  <c r="B23" i="21"/>
  <c r="B24" i="21"/>
  <c r="B25" i="21"/>
  <c r="B26" i="21"/>
  <c r="B2" i="21"/>
  <c r="C18" i="21"/>
  <c r="D18" i="21"/>
  <c r="F18" i="21"/>
  <c r="G18" i="21"/>
  <c r="I18" i="21"/>
  <c r="J18" i="21"/>
  <c r="C19" i="21"/>
  <c r="D19" i="21"/>
  <c r="F19" i="21"/>
  <c r="G19" i="21"/>
  <c r="I19" i="21"/>
  <c r="J19" i="21"/>
  <c r="C20" i="21"/>
  <c r="D20" i="21"/>
  <c r="F20" i="21"/>
  <c r="G20" i="21"/>
  <c r="I20" i="21"/>
  <c r="J20" i="21"/>
  <c r="C21" i="21"/>
  <c r="D21" i="21"/>
  <c r="F21" i="21"/>
  <c r="G21" i="21"/>
  <c r="I21" i="21"/>
  <c r="J21" i="21"/>
  <c r="C23" i="21"/>
  <c r="D23" i="21"/>
  <c r="F23" i="21"/>
  <c r="G23" i="21"/>
  <c r="I23" i="21"/>
  <c r="J23" i="21"/>
  <c r="C24" i="21"/>
  <c r="D24" i="21"/>
  <c r="F24" i="21"/>
  <c r="G24" i="21"/>
  <c r="I24" i="21"/>
  <c r="J24" i="21"/>
  <c r="C25" i="21"/>
  <c r="D25" i="21"/>
  <c r="F25" i="21"/>
  <c r="G25" i="21"/>
  <c r="I25" i="21"/>
  <c r="J25" i="21"/>
  <c r="C26" i="21"/>
  <c r="D26" i="21"/>
  <c r="F26" i="21"/>
  <c r="G26" i="21"/>
  <c r="I26" i="21"/>
  <c r="J26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I16" i="21"/>
  <c r="J16" i="21"/>
  <c r="G16" i="21"/>
  <c r="F16" i="21"/>
  <c r="D16" i="21"/>
  <c r="C16" i="21"/>
  <c r="I12" i="21"/>
  <c r="J12" i="21"/>
  <c r="G12" i="21"/>
  <c r="F12" i="21"/>
  <c r="D12" i="21"/>
  <c r="C12" i="21"/>
  <c r="I10" i="21"/>
  <c r="J10" i="21"/>
  <c r="G10" i="21"/>
  <c r="F10" i="21"/>
  <c r="D10" i="21"/>
  <c r="C10" i="21"/>
  <c r="I2" i="21"/>
  <c r="C4" i="21"/>
  <c r="D4" i="21"/>
  <c r="F4" i="21"/>
  <c r="G4" i="21"/>
  <c r="I4" i="21"/>
  <c r="J4" i="21"/>
  <c r="C6" i="21"/>
  <c r="D6" i="21"/>
  <c r="F6" i="21"/>
  <c r="G6" i="21"/>
  <c r="I6" i="21"/>
  <c r="J6" i="21"/>
  <c r="C8" i="21"/>
  <c r="D8" i="21"/>
  <c r="F8" i="21"/>
  <c r="G8" i="21"/>
  <c r="I8" i="21"/>
  <c r="J8" i="21"/>
  <c r="D54" i="9"/>
  <c r="E54" i="9"/>
  <c r="D52" i="9"/>
  <c r="E52" i="9"/>
  <c r="D50" i="9"/>
  <c r="E50" i="9"/>
  <c r="E31" i="9"/>
  <c r="D31" i="9"/>
  <c r="E29" i="9"/>
  <c r="D29" i="9"/>
  <c r="E28" i="9"/>
  <c r="D28" i="9"/>
  <c r="E27" i="9"/>
  <c r="D27" i="9"/>
  <c r="E24" i="9"/>
  <c r="D26" i="9"/>
  <c r="E26" i="9"/>
  <c r="D41" i="9"/>
  <c r="E41" i="9"/>
  <c r="D42" i="9"/>
  <c r="E42" i="9"/>
  <c r="D43" i="9"/>
  <c r="E43" i="9"/>
  <c r="D44" i="9"/>
  <c r="E44" i="9"/>
  <c r="D45" i="9"/>
  <c r="E45" i="9"/>
  <c r="D46" i="9"/>
  <c r="E46" i="9"/>
  <c r="D47" i="9"/>
  <c r="E47" i="9"/>
  <c r="D48" i="9"/>
  <c r="E48" i="9"/>
  <c r="D49" i="9"/>
  <c r="E49" i="9"/>
  <c r="D51" i="9"/>
  <c r="E51" i="9"/>
  <c r="D53" i="9"/>
  <c r="E53" i="9"/>
  <c r="D55" i="9"/>
  <c r="E55" i="9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A3" i="9"/>
  <c r="D3" i="9"/>
  <c r="E3" i="9"/>
  <c r="G3" i="9"/>
  <c r="H3" i="9"/>
  <c r="I3" i="9"/>
  <c r="J3" i="9"/>
  <c r="K3" i="9"/>
  <c r="L3" i="9"/>
  <c r="M3" i="9"/>
  <c r="N3" i="9"/>
  <c r="O3" i="9"/>
  <c r="D5" i="9"/>
  <c r="E5" i="9"/>
  <c r="D6" i="9"/>
  <c r="E6" i="9"/>
  <c r="D8" i="9"/>
  <c r="E8" i="9"/>
  <c r="D9" i="9"/>
  <c r="E9" i="9"/>
  <c r="D10" i="9"/>
  <c r="E10" i="9"/>
  <c r="D12" i="9"/>
  <c r="E12" i="9"/>
  <c r="D13" i="9"/>
  <c r="E13" i="9"/>
  <c r="D14" i="9"/>
  <c r="E14" i="9"/>
  <c r="D17" i="9"/>
  <c r="E17" i="9"/>
  <c r="D18" i="9"/>
  <c r="E18" i="9"/>
  <c r="D19" i="9"/>
  <c r="E19" i="9"/>
  <c r="D20" i="9"/>
  <c r="E20" i="9"/>
  <c r="D21" i="9"/>
  <c r="E21" i="9"/>
  <c r="D22" i="9"/>
  <c r="E22" i="9"/>
  <c r="D23" i="9"/>
  <c r="E23" i="9"/>
  <c r="D24" i="9"/>
  <c r="D25" i="9"/>
  <c r="E25" i="9"/>
  <c r="D30" i="9"/>
  <c r="E30" i="9"/>
  <c r="D32" i="9"/>
  <c r="E32" i="9"/>
  <c r="D33" i="9"/>
  <c r="E33" i="9"/>
  <c r="D34" i="9"/>
  <c r="E34" i="9"/>
  <c r="D35" i="9"/>
  <c r="E35" i="9"/>
  <c r="D36" i="9"/>
  <c r="E36" i="9"/>
  <c r="D37" i="9"/>
  <c r="E37" i="9"/>
  <c r="D38" i="9"/>
  <c r="E38" i="9"/>
  <c r="D39" i="9"/>
  <c r="E39" i="9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H9" i="2"/>
  <c r="E9" i="2"/>
  <c r="D9" i="2"/>
  <c r="H2" i="1"/>
  <c r="H3" i="1"/>
  <c r="H4" i="1"/>
  <c r="H5" i="1"/>
  <c r="H6" i="1"/>
  <c r="H7" i="1"/>
  <c r="H8" i="1"/>
  <c r="B9" i="2"/>
  <c r="H8" i="2"/>
  <c r="E8" i="2"/>
  <c r="D8" i="2"/>
  <c r="B8" i="2"/>
  <c r="H7" i="2"/>
  <c r="E7" i="2"/>
  <c r="D7" i="2"/>
  <c r="B7" i="2"/>
  <c r="H6" i="2"/>
  <c r="E6" i="2"/>
  <c r="D6" i="2"/>
  <c r="B6" i="2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3" i="1"/>
  <c r="D3" i="1"/>
  <c r="E3" i="1"/>
  <c r="F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E6" i="1"/>
  <c r="AF6" i="1"/>
  <c r="AG6" i="1"/>
  <c r="AI6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E7" i="1"/>
  <c r="AF7" i="1"/>
  <c r="AG7" i="1"/>
  <c r="AI7" i="1"/>
  <c r="A8" i="1"/>
  <c r="D8" i="1"/>
  <c r="E8" i="1"/>
  <c r="F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B4" i="2"/>
  <c r="D4" i="2"/>
  <c r="E4" i="2"/>
  <c r="H4" i="2"/>
  <c r="B5" i="2"/>
  <c r="D5" i="2"/>
  <c r="E5" i="2"/>
  <c r="H5" i="2"/>
  <c r="B2" i="2"/>
  <c r="D2" i="2"/>
  <c r="E2" i="2"/>
  <c r="H2" i="2"/>
  <c r="B3" i="2"/>
  <c r="D3" i="2"/>
  <c r="E3" i="2"/>
  <c r="H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J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1"/>
  <c r="E2" i="1"/>
  <c r="F2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<sst xmlns="http://schemas.openxmlformats.org/spreadsheetml/2006/main" count="1161" uniqueCount="470">
  <si>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</si>
  <si>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</si>
  <si>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</si>
  <si>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</si>
  <si>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</si>
  <si>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</si>
  <si>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</si>
  <si>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</si>
  <si>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</si>
  <si>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</si>
  <si>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</si>
  <si>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</si>
  <si>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</si>
  <si>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</si>
  <si>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</si>
  <si>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</si>
  <si>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</si>
  <si>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</si>
  <si>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</si>
  <si>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</si>
  <si>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</si>
  <si>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</si>
  <si>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</si>
  <si>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</si>
  <si>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</si>
  <si>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</si>
  <si>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</si>
  <si>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</si>
  <si>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</si>
  <si>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</si>
  <si>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</si>
  <si>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</si>
  <si>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</si>
  <si>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</si>
  <si>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</si>
  <si>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</si>
  <si>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</si>
  <si>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</si>
  <si>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</si>
  <si>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</si>
  <si>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</si>
  <si>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</si>
  <si>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</si>
  <si>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</si>
  <si>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</si>
  <si>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</si>
  <si>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</si>
  <si>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</si>
  <si>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</si>
  <si>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</si>
  <si>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</si>
  <si>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</si>
  <si>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</si>
  <si>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</si>
  <si>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</si>
  <si>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</si>
  <si>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</si>
  <si>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</si>
  <si>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</si>
  <si>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</si>
  <si>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</si>
  <si>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</si>
  <si>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</si>
  <si>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</si>
  <si>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</si>
  <si>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</si>
  <si>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</si>
  <si>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</si>
  <si>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</si>
  <si>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</si>
  <si>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</si>
  <si>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</si>
  <si>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</si>
  <si>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</si>
  <si>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</si>
  <si>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</si>
  <si>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</si>
  <si>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</si>
  <si>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</si>
  <si>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</si>
  <si>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</si>
  <si>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</si>
  <si>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</si>
  <si>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</si>
  <si>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</si>
  <si>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</si>
  <si>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</si>
  <si>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</si>
  <si>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</si>
  <si>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</si>
  <si>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</si>
  <si>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</si>
  <si>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</si>
  <si>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</si>
  <si>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</si>
  <si>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</si>
  <si>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</si>
  <si>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</si>
  <si>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</si>
  <si>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</si>
  <si>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</si>
  <si>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</si>
  <si>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</si>
  <si>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</si>
  <si>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</si>
  <si>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</si>
  <si>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</si>
  <si>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</si>
  <si>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</si>
  <si>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</si>
  <si>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</si>
  <si>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</si>
  <si>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</si>
  <si>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</si>
  <si>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</si>
  <si>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</si>
  <si>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</si>
  <si>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</si>
  <si>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</si>
  <si>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</si>
  <si>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</si>
  <si>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</si>
  <si>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</si>
  <si>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</si>
  <si>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</si>
  <si>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</si>
  <si>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</si>
  <si>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</si>
  <si>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</si>
  <si>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</si>
  <si>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</si>
  <si>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</si>
  <si>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</si>
  <si>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</si>
  <si>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</si>
  <si>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</si>
  <si>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</si>
  <si>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</si>
  <si>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</si>
  <si>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</si>
  <si>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</si>
  <si>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</si>
  <si>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</si>
  <si>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</si>
  <si>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</si>
  <si>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</si>
  <si>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</si>
  <si>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</si>
  <si>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</si>
  <si>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</si>
  <si>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</si>
  <si>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</si>
  <si>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</si>
  <si>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</si>
  <si>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</si>
  <si>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</si>
  <si>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</si>
  <si>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</si>
  <si>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</si>
  <si>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</si>
  <si>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</si>
  <si>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</si>
  <si>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</si>
  <si>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</si>
  <si>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</si>
  <si>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</si>
  <si>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</si>
  <si>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</si>
  <si>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</si>
  <si>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</si>
  <si>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</si>
  <si>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</si>
  <si>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</si>
  <si>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</si>
  <si>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</si>
  <si>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</si>
  <si>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</si>
  <si>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</si>
  <si>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</si>
  <si>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</si>
  <si>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</si>
  <si>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</si>
  <si>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</si>
  <si>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</si>
  <si>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</si>
  <si>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</si>
  <si>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</si>
  <si>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</si>
  <si>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</si>
  <si>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</si>
  <si>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</si>
  <si>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</si>
  <si>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</si>
  <si>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</si>
  <si>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</si>
  <si>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</si>
  <si>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</si>
  <si>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</si>
  <si>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</si>
  <si>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</si>
  <si>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</si>
  <si>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</si>
  <si>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</si>
  <si>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</si>
  <si>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</si>
  <si>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</si>
  <si>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</si>
  <si>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</si>
  <si>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</si>
  <si>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</si>
  <si>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</si>
  <si>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</si>
  <si>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</si>
  <si>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</si>
  <si>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</si>
  <si>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</si>
  <si>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</si>
  <si>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</si>
  <si>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</si>
  <si>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</si>
  <si>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</si>
  <si>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</si>
  <si>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</si>
  <si>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</si>
  <si>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</si>
  <si>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</si>
  <si>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</si>
  <si>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</si>
  <si>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</si>
  <si>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</si>
  <si>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</si>
  <si>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</si>
  <si>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</si>
  <si>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</si>
  <si>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</si>
  <si>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</si>
  <si>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</si>
  <si>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</si>
  <si>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</si>
  <si>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</si>
  <si>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</si>
  <si>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</si>
  <si>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</si>
  <si>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</si>
  <si>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</si>
  <si>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</si>
  <si>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</si>
  <si>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</si>
  <si>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</si>
  <si>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</si>
  <si>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</si>
  <si>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</si>
  <si>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</si>
  <si>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</si>
  <si>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</si>
  <si>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</si>
  <si>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 xml:space="preserve">[effect:spread, val:0.2],[effect:rush, count:8, val:0.2]    </t>
    <phoneticPr fontId="5"/>
  </si>
  <si>
    <t xml:space="preserve">[effect:enemy_message, val1:2, val2:2.4, dead_type:suicide]    </t>
    <phoneticPr fontId="5"/>
  </si>
  <si>
    <t xml:space="preserve">[effect:enemy_message, val1:2, val2:2.4, dead_type:suicide]    </t>
    <phoneticPr fontId="5"/>
  </si>
  <si>
    <t xml:space="preserve">[effect:enemy_message, val1:2, val2:2.4, dead_type:suicide]    </t>
    <phoneticPr fontId="5"/>
  </si>
  <si>
    <t xml:space="preserve">[effect:panel_freeze, target:crash, count:-1],[effect:force_change_block, new_block:block_yellow, target:block_heart, count:0, val:0, animation:change_block]    </t>
    <phoneticPr fontId="5"/>
  </si>
  <si>
    <t>[effect:enhance_enemy, target:myself, turn:3, status:attack, val:2000, calc:add, animation:enemy_enhance_attack]</t>
    <phoneticPr fontId="5"/>
  </si>
  <si>
    <t>null</t>
    <phoneticPr fontId="5"/>
  </si>
  <si>
    <t>全体攻撃</t>
    <phoneticPr fontId="5"/>
  </si>
  <si>
    <t>全体攻撃</t>
    <phoneticPr fontId="5"/>
  </si>
  <si>
    <t>3ターン自身の攻撃力UP</t>
    <phoneticPr fontId="5"/>
  </si>
  <si>
    <t>10ターン ボムの爆風を50%DOWN</t>
    <phoneticPr fontId="5"/>
  </si>
  <si>
    <t>old</t>
  </si>
  <si>
    <t>full_member</t>
    <phoneticPr fontId="5"/>
  </si>
  <si>
    <t>link</t>
  </si>
  <si>
    <t>unit</t>
  </si>
  <si>
    <t>全体攻撃+8回連続攻撃</t>
    <phoneticPr fontId="5"/>
  </si>
  <si>
    <t>20回連続攻撃</t>
    <phoneticPr fontId="5"/>
  </si>
  <si>
    <t>4回全体攻撃+16回連続攻撃</t>
    <phoneticPr fontId="5"/>
  </si>
  <si>
    <t xml:space="preserve">[effect:drop_freeze, turn:-1, block_type:normal, rate:0.75, animation:drop_protect]    </t>
    <phoneticPr fontId="5"/>
  </si>
  <si>
    <t xml:space="preserve">[effect:spread, val:0.3]    </t>
    <phoneticPr fontId="5"/>
  </si>
  <si>
    <t xml:space="preserve">[effect:break_attack_fix, target:unit_all, val:250, lowest_val:500, count:-1, color:green, block01:block_heart]    </t>
    <phoneticPr fontId="5"/>
  </si>
  <si>
    <t>……マズハ妨害スル</t>
    <rPh sb="5" eb="7">
      <t>ボウガイ</t>
    </rPh>
    <phoneticPr fontId="5"/>
  </si>
  <si>
    <t>…追イ詰メルゾ</t>
    <rPh sb="1" eb="2">
      <t>オイツメル</t>
    </rPh>
    <phoneticPr fontId="5"/>
  </si>
  <si>
    <t>…散ルガイイ</t>
    <rPh sb="1" eb="2">
      <t>チル</t>
    </rPh>
    <phoneticPr fontId="5"/>
  </si>
  <si>
    <t>ネメシスか…面倒な奴がいるな</t>
    <rPh sb="6" eb="8">
      <t>メンドウ</t>
    </rPh>
    <rPh sb="9" eb="10">
      <t>ヤツ</t>
    </rPh>
    <phoneticPr fontId="5"/>
  </si>
  <si>
    <t>フフフ…ご褒美をくれてやる</t>
    <phoneticPr fontId="5"/>
  </si>
  <si>
    <t>本気で相手をしてやろう！</t>
    <rPh sb="0" eb="2">
      <t>ホンキ</t>
    </rPh>
    <rPh sb="3" eb="5">
      <t>アイテ</t>
    </rPh>
    <phoneticPr fontId="5"/>
  </si>
  <si>
    <t>ぐぅっ…ゼウスの目も曇っては
いないということか…しかし！</t>
    <rPh sb="8" eb="9">
      <t>メ</t>
    </rPh>
    <rPh sb="10" eb="11">
      <t>クモッテ</t>
    </rPh>
    <phoneticPr fontId="5"/>
  </si>
  <si>
    <t>多重障壁展開</t>
    <rPh sb="0" eb="1">
      <t>タ</t>
    </rPh>
    <rPh sb="1" eb="2">
      <t>タジュウ</t>
    </rPh>
    <rPh sb="2" eb="4">
      <t>ショウヘキ</t>
    </rPh>
    <rPh sb="4" eb="6">
      <t>テンカイ</t>
    </rPh>
    <phoneticPr fontId="5"/>
  </si>
  <si>
    <t>絶望の深淵に沈め！</t>
    <rPh sb="0" eb="2">
      <t>ゼツボウ</t>
    </rPh>
    <rPh sb="3" eb="5">
      <t>シンエｎ</t>
    </rPh>
    <rPh sb="6" eb="7">
      <t>シズム</t>
    </rPh>
    <phoneticPr fontId="5"/>
  </si>
  <si>
    <t>ほう…なかなかやるではないか</t>
    <phoneticPr fontId="5"/>
  </si>
  <si>
    <t>踏みつけられると悦ぶと
聞いていたが、違ったか？</t>
    <rPh sb="0" eb="1">
      <t>フミツケラレルト</t>
    </rPh>
    <rPh sb="8" eb="9">
      <t>ヨロコブ</t>
    </rPh>
    <rPh sb="12" eb="13">
      <t>キイタ</t>
    </rPh>
    <rPh sb="19" eb="20">
      <t>チガッタカ</t>
    </rPh>
    <phoneticPr fontId="5"/>
  </si>
  <si>
    <t>この竜鱗の耐久力を知るがよい</t>
    <rPh sb="2" eb="3">
      <t>ryuurin</t>
    </rPh>
    <rPh sb="3" eb="4">
      <t>ウロコ</t>
    </rPh>
    <rPh sb="5" eb="8">
      <t>タイキュウリョク</t>
    </rPh>
    <rPh sb="9" eb="10">
      <t>シル</t>
    </rPh>
    <phoneticPr fontId="5"/>
  </si>
  <si>
    <t>ぐはっ…ネメシスめ…</t>
    <phoneticPr fontId="5"/>
  </si>
  <si>
    <t>ぐぬぬぬぬぬ…</t>
    <phoneticPr fontId="5"/>
  </si>
  <si>
    <t>くっ…我がチカラまでも
奪おうというのか…</t>
    <rPh sb="3" eb="4">
      <t>ワガアルジ</t>
    </rPh>
    <rPh sb="12" eb="13">
      <t>ウバオウト</t>
    </rPh>
    <phoneticPr fontId="5"/>
  </si>
  <si>
    <t>あってはならん屈辱だ…
次こそは叩きのめしてやる</t>
    <rPh sb="7" eb="9">
      <t>クツジョク</t>
    </rPh>
    <rPh sb="12" eb="13">
      <t>ツギ</t>
    </rPh>
    <rPh sb="16" eb="17">
      <t>タタキノメス</t>
    </rPh>
    <phoneticPr fontId="5"/>
  </si>
  <si>
    <t>ワタシが…アポロンに負ける？</t>
    <rPh sb="10" eb="11">
      <t>マケル</t>
    </rPh>
    <phoneticPr fontId="5"/>
  </si>
  <si>
    <t>ヘェェェェルメェェス！！！！
この屈辱…忘れんぞ！</t>
    <rPh sb="20" eb="21">
      <t>ワスレンゾ</t>
    </rPh>
    <phoneticPr fontId="5"/>
  </si>
  <si>
    <t xml:space="preserve">[effect:spread, val:0.2]    </t>
    <phoneticPr fontId="5"/>
  </si>
  <si>
    <t>長さ</t>
    <rPh sb="0" eb="1">
      <t>ナガサ</t>
    </rPh>
    <phoneticPr fontId="5"/>
  </si>
  <si>
    <t>デルピュネー</t>
    <phoneticPr fontId="5"/>
  </si>
  <si>
    <t>襲撃の理由</t>
    <rPh sb="0" eb="2">
      <t>シュウゲキ</t>
    </rPh>
    <rPh sb="3" eb="5">
      <t>リユウ</t>
    </rPh>
    <phoneticPr fontId="5"/>
  </si>
  <si>
    <t>ケンタウロス</t>
    <phoneticPr fontId="5"/>
  </si>
  <si>
    <t>サイクロプス</t>
    <phoneticPr fontId="5"/>
  </si>
  <si>
    <t>馬の俊敏さと人間の器用さを併せ持ち
騎士としての誇りに溢れた優秀な兵士です
統率のとれた攻撃には注意が必要です</t>
    <rPh sb="0" eb="1">
      <t>ウマ</t>
    </rPh>
    <rPh sb="2" eb="4">
      <t>シュンビンサ</t>
    </rPh>
    <rPh sb="6" eb="8">
      <t>ニンゲｎ</t>
    </rPh>
    <rPh sb="9" eb="11">
      <t>キヨウサ</t>
    </rPh>
    <rPh sb="13" eb="14">
      <t>アワセモッタ</t>
    </rPh>
    <rPh sb="18" eb="20">
      <t>キシ</t>
    </rPh>
    <rPh sb="24" eb="25">
      <t>ホコリヲモッテ</t>
    </rPh>
    <rPh sb="27" eb="28">
      <t>アフレタ</t>
    </rPh>
    <rPh sb="30" eb="32">
      <t>ユウシュウ</t>
    </rPh>
    <rPh sb="33" eb="34">
      <t>hei</t>
    </rPh>
    <rPh sb="34" eb="35">
      <t>センシ</t>
    </rPh>
    <rPh sb="38" eb="40">
      <t>トウソツノ</t>
    </rPh>
    <rPh sb="44" eb="46">
      <t>コウゲキ</t>
    </rPh>
    <rPh sb="48" eb="50">
      <t>チュウイ</t>
    </rPh>
    <phoneticPr fontId="5"/>
  </si>
  <si>
    <t>銃の扱いを得意とする寡黙な戦士です
伝説の巨人の単眼を模したバイザーで
敵対者の動きを的確に捕捉します</t>
    <rPh sb="0" eb="1">
      <t>10</t>
    </rPh>
    <rPh sb="2" eb="3">
      <t>アツカイ</t>
    </rPh>
    <rPh sb="5" eb="7">
      <t>トクイトスル</t>
    </rPh>
    <rPh sb="10" eb="12">
      <t>カモクナ</t>
    </rPh>
    <rPh sb="13" eb="15">
      <t>センシ</t>
    </rPh>
    <rPh sb="18" eb="20">
      <t>デンセツノ</t>
    </rPh>
    <rPh sb="21" eb="23">
      <t>キョジｎ</t>
    </rPh>
    <rPh sb="24" eb="26">
      <t>タンガン</t>
    </rPh>
    <rPh sb="27" eb="28">
      <t>モシタ</t>
    </rPh>
    <rPh sb="36" eb="39">
      <t>テキタイシャ</t>
    </rPh>
    <rPh sb="40" eb="41">
      <t>ウゴキ</t>
    </rPh>
    <rPh sb="43" eb="45">
      <t>テキカク</t>
    </rPh>
    <rPh sb="46" eb="48">
      <t>hosoku</t>
    </rPh>
    <phoneticPr fontId="5"/>
  </si>
  <si>
    <t>女王直属部隊の指揮官の１人で
テュポーンやオルトロスらを従え
風紀維持のために活動しています</t>
    <rPh sb="2" eb="4">
      <t>チョクゾク</t>
    </rPh>
    <rPh sb="7" eb="10">
      <t>シキカｎ</t>
    </rPh>
    <rPh sb="31" eb="33">
      <t>フウキシュクセイ</t>
    </rPh>
    <rPh sb="33" eb="35">
      <t>イジ</t>
    </rPh>
    <rPh sb="39" eb="41">
      <t>カツドウ</t>
    </rPh>
    <phoneticPr fontId="5"/>
  </si>
  <si>
    <t>デルピュネー隊</t>
    <rPh sb="6" eb="7">
      <t>タイ</t>
    </rPh>
    <phoneticPr fontId="5"/>
  </si>
  <si>
    <t>今までに確認されているメンバーは
デルピュネー以下テュポーン、オルトロス
ケンタウロス、サイクロプス、ラドンの6体です</t>
    <rPh sb="0" eb="1">
      <t>イママデニ</t>
    </rPh>
    <rPh sb="4" eb="6">
      <t>カクニｎ</t>
    </rPh>
    <rPh sb="23" eb="25">
      <t>イカ</t>
    </rPh>
    <phoneticPr fontId="5"/>
  </si>
  <si>
    <t>[effect:change_bomb_range, target:unit_all, val:0.5, rate:1, turn:10, animation:bomb_small],[effect:fix_speed, target:myself, turn:2]</t>
    <phoneticPr fontId="5"/>
  </si>
  <si>
    <t>ハートひとりじめっ！</t>
  </si>
  <si>
    <t>ハートひとりじめっ！</t>
    <phoneticPr fontId="5"/>
  </si>
  <si>
    <t>ぎゅってしてあげる♪</t>
  </si>
  <si>
    <t>ぎゅってしてあげる♪</t>
    <phoneticPr fontId="5"/>
  </si>
  <si>
    <t>ターゲットはっけーん♪</t>
  </si>
  <si>
    <t>ターゲットはっけーん♪</t>
    <phoneticPr fontId="5"/>
  </si>
  <si>
    <t>私たちが相手よ！</t>
    <rPh sb="0" eb="1">
      <t>ワタシタチ</t>
    </rPh>
    <rPh sb="4" eb="6">
      <t>aite</t>
    </rPh>
    <phoneticPr fontId="5"/>
  </si>
  <si>
    <t>全員いただきよ！</t>
    <rPh sb="0" eb="2">
      <t>ゼンイｎ</t>
    </rPh>
    <phoneticPr fontId="5"/>
  </si>
  <si>
    <t>時間を歪めれば…</t>
    <rPh sb="0" eb="2">
      <t>ジカｎ</t>
    </rPh>
    <rPh sb="3" eb="4">
      <t>ユガメル</t>
    </rPh>
    <phoneticPr fontId="5"/>
  </si>
  <si>
    <t>よくもやったわね！</t>
  </si>
  <si>
    <t>4回連続攻撃</t>
    <phoneticPr fontId="5"/>
  </si>
  <si>
    <t xml:space="preserve">[effect:rush, count:4, val:0.35]    </t>
    <phoneticPr fontId="5"/>
  </si>
  <si>
    <t>4回連続攻撃</t>
    <phoneticPr fontId="5"/>
  </si>
  <si>
    <t xml:space="preserve">[effect:enhance_enemy, target:myself, turn:-1, status:attack, val:3000, calc:add, animation:enemy_enhance_attack],[effect:fix_speed, target:myself, turn:1]    </t>
    <phoneticPr fontId="5"/>
  </si>
  <si>
    <t xml:space="preserve">[effect:spread, val:0.2]    </t>
    <phoneticPr fontId="5"/>
  </si>
  <si>
    <t>全ユニット一定確率で2ターンスキルバインド</t>
    <rPh sb="0" eb="1">
      <t>ゼン</t>
    </rPh>
    <rPh sb="5" eb="9">
      <t>イッテイカクリツ</t>
    </rPh>
    <phoneticPr fontId="5"/>
  </si>
  <si>
    <t xml:space="preserve">[effect:spread, val:0.2]    </t>
    <phoneticPr fontId="5"/>
  </si>
  <si>
    <t>10ターン ボムの爆風を50%DOWN</t>
    <phoneticPr fontId="5"/>
  </si>
  <si>
    <t>8回連続攻撃+3ターン全ユニットの回復力50%DOWN</t>
    <phoneticPr fontId="5"/>
  </si>
  <si>
    <t>Cパネルを全てプロテクト+
ハートパネルを黄パネルに変換</t>
    <phoneticPr fontId="5"/>
  </si>
  <si>
    <t>状態異常無効+ボムの爆風を50%DOWN+
フィーバーゲージ減少</t>
    <rPh sb="30" eb="32">
      <t>ゲンショウ</t>
    </rPh>
    <phoneticPr fontId="5"/>
  </si>
  <si>
    <t>2回連続攻撃+3ターン全ユニットの回復力を100%DOWN</t>
    <phoneticPr fontId="5"/>
  </si>
  <si>
    <t>全体攻撃+3ターン全ユニットの回復力90%DOWN</t>
    <phoneticPr fontId="5"/>
  </si>
  <si>
    <t>Cパネルを全てプロテクト+
ハートパネルを黄パネルに変換</t>
    <phoneticPr fontId="5"/>
  </si>
  <si>
    <t>4回全体攻撃+16回連続攻撃</t>
    <phoneticPr fontId="5"/>
  </si>
  <si>
    <t>全体攻撃+2回連続攻撃</t>
    <rPh sb="7" eb="9">
      <t>レンゾク</t>
    </rPh>
    <phoneticPr fontId="5"/>
  </si>
  <si>
    <t xml:space="preserve">[effect:spread, val:0.3],[effect:rush, count:2, val:0.4]    </t>
    <phoneticPr fontId="5"/>
  </si>
  <si>
    <t xml:space="preserve">[effect:spread, val:0.3],[effect:rush, count:2, val:0.3]    </t>
    <phoneticPr fontId="5"/>
  </si>
  <si>
    <t>[effect:enhance_enemy, target:myself, turn:-1, status:attack, val:1500, calc:add, animation:enemy_enhance_attack],[effect:fix_speed, target:myself, turn:1]</t>
    <phoneticPr fontId="5"/>
  </si>
  <si>
    <t>[effect:enhance_enemy, target:myself, turn:-1, status:attack, val:1000, calc:add, animation:enemy_enhance_attack],[effect:fix_speed, target:myself, turn:1]</t>
    <phoneticPr fontId="5"/>
  </si>
  <si>
    <t>ターゲットひとりじめっ♪</t>
    <phoneticPr fontId="5"/>
  </si>
  <si>
    <t>オマエに見切れるかな？</t>
    <rPh sb="4" eb="6">
      <t>ミキレルカ</t>
    </rPh>
    <phoneticPr fontId="5"/>
  </si>
  <si>
    <t>8回連続攻撃</t>
    <phoneticPr fontId="5"/>
  </si>
  <si>
    <t>[effect:rush, count:8, val:0.25]</t>
    <phoneticPr fontId="5"/>
  </si>
  <si>
    <t>8回連続攻撃</t>
    <phoneticPr fontId="5"/>
  </si>
  <si>
    <t>…全力ヲ尽クスマデ</t>
    <rPh sb="1" eb="3">
      <t>ゼンリョク</t>
    </rPh>
    <rPh sb="4" eb="5">
      <t>ツクス</t>
    </rPh>
    <phoneticPr fontId="5"/>
  </si>
  <si>
    <t>[effect:enhance_enemy, target:myself, turn:-1, status:attack, val:1000, calc:add, animation:enemy_enhance_attack],[effect:fix_speed, target:myself, turn:1]</t>
    <phoneticPr fontId="5"/>
  </si>
  <si>
    <t>全体攻撃+2ターン全ユニットの回復力70%DOWN</t>
    <phoneticPr fontId="5"/>
  </si>
  <si>
    <t>16回連続攻撃</t>
    <phoneticPr fontId="5"/>
  </si>
  <si>
    <t>その力は回収させてもらうぞ</t>
    <rPh sb="4" eb="6">
      <t>カイシュウ</t>
    </rPh>
    <phoneticPr fontId="5"/>
  </si>
  <si>
    <t>25回連続攻撃</t>
    <phoneticPr fontId="5"/>
  </si>
  <si>
    <t>デルピュネーは得意の連続攻撃への
カウンターを警戒していますので
発動の際はタイミングに注意しましょう</t>
    <rPh sb="7" eb="9">
      <t>トクイノ</t>
    </rPh>
    <rPh sb="10" eb="14">
      <t>レンゾクコウゲキ</t>
    </rPh>
    <rPh sb="23" eb="25">
      <t>ケイカイ</t>
    </rPh>
    <rPh sb="33" eb="35">
      <t>ハツドウ</t>
    </rPh>
    <rPh sb="36" eb="37">
      <t>サイ</t>
    </rPh>
    <rPh sb="44" eb="46">
      <t>チュウイ</t>
    </rPh>
    <phoneticPr fontId="5"/>
  </si>
  <si>
    <t>デルピュネーは得意の連続攻撃への
カウンターを警戒しています
発動の際はタイミングに注意しましょう</t>
    <rPh sb="7" eb="9">
      <t>トクイノ</t>
    </rPh>
    <rPh sb="10" eb="14">
      <t>レンゾクコウゲキ</t>
    </rPh>
    <rPh sb="23" eb="25">
      <t>ケイカイ</t>
    </rPh>
    <rPh sb="31" eb="33">
      <t>ハツドウ</t>
    </rPh>
    <rPh sb="34" eb="35">
      <t>サイ</t>
    </rPh>
    <rPh sb="42" eb="44">
      <t>チュウイ</t>
    </rPh>
    <phoneticPr fontId="5"/>
  </si>
  <si>
    <t>パネルプロテクトに苦戦する場合は
プロテクトブレイクのアビリティを持つ
ユニットで挑みましょう</t>
    <rPh sb="9" eb="11">
      <t>クセｎ</t>
    </rPh>
    <rPh sb="33" eb="34">
      <t>モツ</t>
    </rPh>
    <rPh sb="41" eb="42">
      <t>イドミマショウ</t>
    </rPh>
    <phoneticPr fontId="5"/>
  </si>
  <si>
    <t>12回連続攻撃</t>
    <phoneticPr fontId="5"/>
  </si>
  <si>
    <t>[effect:rush, count:12, val:0.1]</t>
    <phoneticPr fontId="5"/>
  </si>
  <si>
    <t>[effect:rush, count:8, val:0.2]</t>
    <phoneticPr fontId="5"/>
  </si>
  <si>
    <t>8回連続攻撃</t>
    <rPh sb="1" eb="6">
      <t>カイレンゾクコウゲキ</t>
    </rPh>
    <phoneticPr fontId="5"/>
  </si>
  <si>
    <t>…削ッテイクゾ</t>
    <rPh sb="1" eb="2">
      <t>ケズリキルゾ</t>
    </rPh>
    <phoneticPr fontId="5"/>
  </si>
  <si>
    <t>6回連続攻撃</t>
    <rPh sb="1" eb="2">
      <t>カイ</t>
    </rPh>
    <rPh sb="2" eb="4">
      <t>レンゾク</t>
    </rPh>
    <phoneticPr fontId="5"/>
  </si>
  <si>
    <t>[effect:rush, count:6, val:0.25]</t>
    <phoneticPr fontId="5"/>
  </si>
  <si>
    <t>6回連続攻撃</t>
    <phoneticPr fontId="5"/>
  </si>
  <si>
    <t>[effect:rush, count:6, val:0.2]</t>
    <phoneticPr fontId="5"/>
  </si>
  <si>
    <t xml:space="preserve">[effect:enhance_enemy, target:myself, turn:-1, status:attack, val:2000, calc:add, animation:enemy_enhance_attack],[effect:fix_speed, target:myself, turn:1]    </t>
    <phoneticPr fontId="5"/>
  </si>
  <si>
    <t>[effect:enhance_enemy, target:myself, turn:3, status:attack, val:3000, calc:add, animation:enemy_enhance_attack]</t>
    <phoneticPr fontId="5"/>
  </si>
  <si>
    <t>3ターン自身の攻撃力UP</t>
    <rPh sb="4" eb="6">
      <t>ジシン</t>
    </rPh>
    <rPh sb="7" eb="10">
      <t>コウゲキリョク</t>
    </rPh>
    <phoneticPr fontId="5"/>
  </si>
  <si>
    <t>一方のエネミーを先に倒すともう片方の
攻撃力と攻撃頻度がUPします
ダメージの大きい方から先に倒しましょう</t>
    <rPh sb="0" eb="2">
      <t>イッポウ</t>
    </rPh>
    <rPh sb="8" eb="9">
      <t>サキニ</t>
    </rPh>
    <rPh sb="10" eb="11">
      <t>タオスト</t>
    </rPh>
    <rPh sb="19" eb="22">
      <t>コウゲキリョクト</t>
    </rPh>
    <rPh sb="23" eb="27">
      <t>コウゲキヒンド</t>
    </rPh>
    <rPh sb="39" eb="40">
      <t>オオキイ</t>
    </rPh>
    <rPh sb="42" eb="43">
      <t>ホウヲ</t>
    </rPh>
    <rPh sb="45" eb="46">
      <t>サキニ</t>
    </rPh>
    <rPh sb="47" eb="48">
      <t>タオス</t>
    </rPh>
    <phoneticPr fontId="5"/>
  </si>
  <si>
    <t>連続攻撃の被害が大きい場合は
防御力UPのスキルを使いましょう</t>
    <rPh sb="0" eb="4">
      <t>レンゾクコウゲキ</t>
    </rPh>
    <rPh sb="5" eb="7">
      <t>ヒガイ</t>
    </rPh>
    <rPh sb="8" eb="9">
      <t>オオキイ</t>
    </rPh>
    <rPh sb="11" eb="13">
      <t>バアイ</t>
    </rPh>
    <rPh sb="15" eb="18">
      <t>ボウギョリョク</t>
    </rPh>
    <rPh sb="25" eb="26">
      <t>ツカッテミマショウ</t>
    </rPh>
    <phoneticPr fontId="5"/>
  </si>
  <si>
    <t>デルピュネーの強力な連続攻撃に対して
防御力UPとカウンターで迎撃できれば
被害を抑えつつ大ダメージを与えられます</t>
    <rPh sb="7" eb="9">
      <t>キョウリョクナ</t>
    </rPh>
    <rPh sb="10" eb="14">
      <t>レンゾクコウゲキ</t>
    </rPh>
    <rPh sb="19" eb="22">
      <t>ボウギョリョク</t>
    </rPh>
    <rPh sb="31" eb="33">
      <t>ゲイゲキ</t>
    </rPh>
    <rPh sb="38" eb="40">
      <t>ヒガイ</t>
    </rPh>
    <rPh sb="41" eb="42">
      <t>オサエツツ</t>
    </rPh>
    <rPh sb="45" eb="46">
      <t>ダイダメージ</t>
    </rPh>
    <rPh sb="51" eb="52">
      <t>アタエラレマス</t>
    </rPh>
    <phoneticPr fontId="5"/>
  </si>
  <si>
    <t>ステータスをDOWNさせられた場合は
ステータスUPのスキルで打ち消しましょう</t>
    <rPh sb="31" eb="32">
      <t>ウチケスコトガデキマス</t>
    </rPh>
    <phoneticPr fontId="5"/>
  </si>
  <si>
    <t xml:space="preserve">[effect:rush, count:4, val:0.35]    </t>
    <phoneticPr fontId="5"/>
  </si>
  <si>
    <t>命令は……絶対</t>
    <phoneticPr fontId="5"/>
  </si>
  <si>
    <t>目標を捕捉……排除する</t>
    <phoneticPr fontId="5"/>
  </si>
  <si>
    <t>まずは連携を……崩す</t>
    <rPh sb="3" eb="5">
      <t>レンケイヲ</t>
    </rPh>
    <rPh sb="8" eb="9">
      <t>クズス</t>
    </rPh>
    <phoneticPr fontId="5"/>
  </si>
  <si>
    <t>ここで足止めします！</t>
    <rPh sb="3" eb="5">
      <t>アシドメ</t>
    </rPh>
    <phoneticPr fontId="5"/>
  </si>
  <si>
    <t>ワタシは勅命に従うまでだ！</t>
    <rPh sb="4" eb="6">
      <t>チョクメイ</t>
    </rPh>
    <rPh sb="7" eb="8">
      <t>シタガウ</t>
    </rPh>
    <phoneticPr fontId="5"/>
  </si>
  <si>
    <t>女王陛下に反逆する罪は重い</t>
    <rPh sb="0" eb="4">
      <t>ジョオウヘイカ</t>
    </rPh>
    <rPh sb="5" eb="7">
      <t>hanngyaku</t>
    </rPh>
    <rPh sb="9" eb="10">
      <t>ツミ</t>
    </rPh>
    <phoneticPr fontId="5"/>
  </si>
  <si>
    <t>反逆者を滅するのだ！</t>
    <rPh sb="0" eb="3">
      <t>hanngyakusya</t>
    </rPh>
    <rPh sb="4" eb="5">
      <t>メッスル</t>
    </rPh>
    <phoneticPr fontId="5"/>
  </si>
  <si>
    <t>反逆者を滅するのだ！</t>
    <rPh sb="0" eb="3">
      <t>ハンギャクシャ</t>
    </rPh>
    <rPh sb="4" eb="5">
      <t>メッスル</t>
    </rPh>
    <phoneticPr fontId="5"/>
  </si>
  <si>
    <t>オマエに見切れるかな？</t>
    <phoneticPr fontId="5"/>
  </si>
  <si>
    <t>オマエのチカラ見せてもらう！</t>
    <rPh sb="7" eb="8">
      <t>ミセテモラウ</t>
    </rPh>
    <phoneticPr fontId="5"/>
  </si>
  <si>
    <t>アポロン…オマエ暑苦しいぞ</t>
    <rPh sb="8" eb="10">
      <t>アツクルシイ</t>
    </rPh>
    <phoneticPr fontId="5"/>
  </si>
  <si>
    <t>オマエのような反逆者を
処理するためにワタシがいる</t>
    <rPh sb="7" eb="10">
      <t>ハンギャクシャ</t>
    </rPh>
    <rPh sb="12" eb="14">
      <t>ショリ</t>
    </rPh>
    <phoneticPr fontId="5"/>
  </si>
  <si>
    <t>オマエの様な反逆者を
見過ごす訳にはいかない！</t>
    <rPh sb="4" eb="5">
      <t>ヨウナ</t>
    </rPh>
    <rPh sb="6" eb="9">
      <t>ハンギャクシャ</t>
    </rPh>
    <rPh sb="11" eb="13">
      <t>ミスゴスワケニハ</t>
    </rPh>
    <phoneticPr fontId="5"/>
  </si>
  <si>
    <t>オマエさえいなければ…
任務遂行できたというのに…</t>
    <rPh sb="12" eb="14">
      <t>ニンム</t>
    </rPh>
    <rPh sb="14" eb="16">
      <t>スイコウ</t>
    </rPh>
    <phoneticPr fontId="5"/>
  </si>
  <si>
    <t>隊長が来る前に
投降をお勧めするわ</t>
    <rPh sb="8" eb="10">
      <t>toukou</t>
    </rPh>
    <phoneticPr fontId="5"/>
  </si>
  <si>
    <t>隊長が来る前に
投降をお勧めするわ</t>
    <rPh sb="0" eb="2">
      <t>タイチョウ</t>
    </rPh>
    <rPh sb="3" eb="4">
      <t>クルマエニ</t>
    </rPh>
    <rPh sb="8" eb="10">
      <t>toukou</t>
    </rPh>
    <phoneticPr fontId="5"/>
  </si>
  <si>
    <t>ワタシは勅命に従うまでだ！</t>
    <rPh sb="4" eb="5">
      <t>チョクメイ</t>
    </rPh>
    <rPh sb="7" eb="8">
      <t>シタガウ</t>
    </rPh>
    <phoneticPr fontId="5"/>
  </si>
  <si>
    <t>スピードには
自信があります！</t>
    <rPh sb="7" eb="9">
      <t>jisin</t>
    </rPh>
    <phoneticPr fontId="5"/>
  </si>
  <si>
    <t>隊長が来るまで耐える！</t>
    <rPh sb="0" eb="2">
      <t>タイチョウ</t>
    </rPh>
    <rPh sb="3" eb="4">
      <t>クルマデ</t>
    </rPh>
    <rPh sb="7" eb="8">
      <t>タエル</t>
    </rPh>
    <phoneticPr fontId="5"/>
  </si>
  <si>
    <t>[effect:rush, count:8, val:0.15]</t>
    <phoneticPr fontId="5"/>
  </si>
  <si>
    <t xml:space="preserve">[effect:spread, val:0.45],[effect:change_bomb_range, target:unit_all, val:0.5, rate:1, turn:2, animation:bomb_small]    </t>
    <phoneticPr fontId="5"/>
  </si>
  <si>
    <t>全体攻撃+2ターン ボムの爆風を50%DOWN</t>
    <phoneticPr fontId="5"/>
  </si>
  <si>
    <t xml:space="preserve">[effect:spread, val:0.45],[effect:change_bomb_range, target:unit_all, val:0.5, rate:1, turn:4, animation:bomb_small]    </t>
    <phoneticPr fontId="5"/>
  </si>
  <si>
    <t>全体攻撃+4ターン ボムの爆風を50%DOWN</t>
    <phoneticPr fontId="5"/>
  </si>
  <si>
    <t>Cパネルを全てプロテクト+カウンター解除+
次のターン強力な連続攻撃</t>
    <rPh sb="5" eb="6">
      <t>スベテ</t>
    </rPh>
    <rPh sb="30" eb="32">
      <t>レンゾク</t>
    </rPh>
    <phoneticPr fontId="5"/>
  </si>
  <si>
    <t>状態異常無効+ボムの爆風を50%DOWN+
フィーバーゲージ減少</t>
    <phoneticPr fontId="5"/>
  </si>
  <si>
    <t>テイルスウィング&amp;クロー</t>
  </si>
  <si>
    <t>テイルスウィング&amp;クロー</t>
    <phoneticPr fontId="5"/>
  </si>
  <si>
    <t>自身の攻撃力&amp;攻撃頻度UP</t>
  </si>
  <si>
    <t xml:space="preserve">[effect:break_attack_fix, target:unit_all, val:200, lowest_val:500, count:-1, color:green, block01:block_heart]    </t>
    <phoneticPr fontId="5"/>
  </si>
  <si>
    <t>ユニット全体に2ターンスキルバインド+
次のターン強力な連続攻撃</t>
    <rPh sb="28" eb="30">
      <t>レンゾク</t>
    </rPh>
    <phoneticPr fontId="5"/>
  </si>
  <si>
    <t>[effect:enemy_message, val1:2, val2:2.4, dead_type:escape],[effect:hungup, target:unit_all, turn:2, rate:1, calc_type:target_all, animation:hungup01]</t>
    <phoneticPr fontId="5"/>
  </si>
  <si>
    <t>ユニット全体に3ターンスキルバインド+
次のターン強力な連続攻撃</t>
    <rPh sb="28" eb="30">
      <t>レンゾク</t>
    </rPh>
    <phoneticPr fontId="5"/>
  </si>
  <si>
    <t>[effect:enemy_message, val1:2, val2:2.4, dead_type:escape],[effect:hungup, target:unit_all, turn:3, rate:1, calc_type:target_all, animation:hungup01]</t>
    <phoneticPr fontId="5"/>
  </si>
  <si>
    <t>赤パネルは確率でプロテクトされてドロップ</t>
    <phoneticPr fontId="5"/>
  </si>
  <si>
    <t>青パネルは確率でプロテクトされてドロップ</t>
    <phoneticPr fontId="5"/>
  </si>
  <si>
    <t>ハートパネルは確率でプロテクトされてドロップ</t>
    <phoneticPr fontId="5"/>
  </si>
  <si>
    <t>緑パネルは確率でプロテクトされてドロップ</t>
    <phoneticPr fontId="5"/>
  </si>
  <si>
    <t>状態異常無効+
ハートパネルは確率でプロテクトされてドロップ</t>
    <phoneticPr fontId="5"/>
  </si>
  <si>
    <t>状態異常無効+
属性パネルは確率でプロテクトされてドロップ</t>
    <rPh sb="8" eb="10">
      <t>ゾクセイ</t>
    </rPh>
    <phoneticPr fontId="5"/>
  </si>
  <si>
    <t>属性パネルは確率でプロテクトされてドロップ</t>
    <rPh sb="0" eb="2">
      <t>ゾクセイ</t>
    </rPh>
    <phoneticPr fontId="5"/>
  </si>
  <si>
    <t>赤パネルは確率でプロテクトされてドロップ</t>
    <phoneticPr fontId="5"/>
  </si>
  <si>
    <t>青パネルは確率でプロテクトされてドロップ</t>
    <phoneticPr fontId="5"/>
  </si>
  <si>
    <t>ハートパネルは確率でプロテクトされてドロップ</t>
    <phoneticPr fontId="5"/>
  </si>
  <si>
    <t>緑パネルは確率でプロテクトされてドロップ</t>
    <phoneticPr fontId="5"/>
  </si>
  <si>
    <t xml:space="preserve">[effect:enemy_message, val1:2, val2:2.4, dead_type:suicide]    </t>
    <phoneticPr fontId="5"/>
  </si>
  <si>
    <t>[effect:enemy_message, val1:2, val2:2.4, dead_type:suicide],[effect:panel_freeze, target:crash, count:-1],[effect:remove_enhancement, target:unit_all, target_effect:counter_new, animation:frozen_wave],[effect:remove_enhancement, target:unit_all, target_effect:counter, animation:frozen_wave]</t>
    <phoneticPr fontId="5"/>
  </si>
  <si>
    <t xml:space="preserve">[effect:enemy_message, val1:2, val2:2.4, dead_type:suicide],[effect:tolerance, target:myself, turn:-1, count:-1, tolerance_effect:all, animation:enemy_tolerance],[effect:change_bomb_range, target:unit_all, val:0.5, rate:1, turn:-1, animation:bomb_small],[effect:degrade_fever, val:1000, animation:fevergauge_down]    </t>
    <phoneticPr fontId="5"/>
  </si>
  <si>
    <t xml:space="preserve">[effect:enemy_message, val1:2, val2:2.4, dead_type:suicide],[effect:tolerance, target:myself, turn:-1, count:-1, tolerance_effect:all, animation:enemy_tolerance],[effect:drop_freeze, turn:-1, block_type:normal, block_color:block_heart, rate:0.6, animation:drop_protect]    </t>
    <phoneticPr fontId="5"/>
  </si>
  <si>
    <t xml:space="preserve">[effect:enemy_message, val1:2, val2:2.4, dead_type:suicide],[effect:tolerance, target:myself, turn:-1, count:-1, tolerance_effect:all, animation:enemy_tolerance],[effect:drop_freeze, turn:-1, block_type:normal, rate:0.5, animation:drop_protect]    </t>
    <phoneticPr fontId="5"/>
  </si>
  <si>
    <t>[effect:enemy_message, val1:2, val2:2.4, dead_type:suicide],[effect:drop_freeze, turn:-1, block_type:normal, block_color:block_heart, rate:0.3, animation:drop_protect],[effect:fix_speed, target:myself, turn:2]</t>
    <phoneticPr fontId="5"/>
  </si>
  <si>
    <t>[effect:enemy_message, val1:2, val2:2.4, dead_type:suicide],[effect:drop_freeze, turn:-1, block_type:normal, block_color:block_green, rate:0.4, animation:drop_protect],[effect:fix_speed, target:myself, turn:2]</t>
    <phoneticPr fontId="5"/>
  </si>
  <si>
    <t>サーティエイトスペシャル
.38スペシャル弾</t>
    <rPh sb="21" eb="22">
      <t>ダン</t>
    </rPh>
    <phoneticPr fontId="5"/>
  </si>
  <si>
    <t>スリーフィフティセブン
.357マグナム弾</t>
    <rPh sb="20" eb="21">
      <t>ダン</t>
    </rPh>
    <phoneticPr fontId="5"/>
  </si>
  <si>
    <t>[effect:enemy_message, val1:2, val2:2.4, dead_type:suicide],[effect:spread, val:0.4],[effect:degrade_unit, target:unit_all, turn:3, status:heal, val:0.9, calc:mul, animation:degrade_unit_all_heal]</t>
    <phoneticPr fontId="5"/>
  </si>
  <si>
    <t>[effect:enemy_message, val1:2, val2:2.4, dead_type:suicide],[effect:rush, count:8, val:0.1],[effect:degrade_unit, target:unit_all, turn:3, status:heal, val:0.5, calc:mul, animation:degrade_unit_all_heal]</t>
    <phoneticPr fontId="5"/>
  </si>
  <si>
    <t>[effect:enemy_message, val1:2, val2:2.4, dead_type:suicide],[effect:change_bomb_range, target:unit_all, val:0.5, rate:1, turn:10, animation:bomb_small],[effect:fix_speed, target:myself, turn:2]</t>
    <phoneticPr fontId="5"/>
  </si>
  <si>
    <t>[effect:enemy_message, val1:2, val2:2.4, dead_type:suicide],[effect:drop_freeze, turn:-1, block_type:normal, block_color:block_blue, rate:0.3, animation:drop_protect],[effect:fix_speed, target:myself, turn:2]</t>
    <phoneticPr fontId="5"/>
  </si>
  <si>
    <t>[effect:enemy_message, val1:2, val2:2.4, dead_type:suicide],[effect:hungup, target:unit_all, turn:2, rate:0.3, calc_type:target_one, animation:hungup01],[effect:fix_speed, target:myself, turn:2]</t>
    <phoneticPr fontId="5"/>
  </si>
  <si>
    <t>[effect:enemy_message, val1:2, val2:2.4, dead_type:suicide],[effect:drop_freeze, turn:-1, block_type:normal, block_color:block_red, rate:0.6, animation:drop_protect],[effect:fix_speed, target:myself, turn:2]</t>
    <phoneticPr fontId="5"/>
  </si>
  <si>
    <t xml:space="preserve">[effect:enemy_message, val1:2, val2:2.4, dead_type:suicide],[effect:spread, val:0.2],[effect:spread, val:0.2],[effect:spread, val:0.2],[effect:spread, val:0.2],[effect:rush, count:16, val:0.2]    </t>
    <phoneticPr fontId="5"/>
  </si>
  <si>
    <t xml:space="preserve">[effect:enemy_message, val1:2, val2:2.4, dead_type:suicide],[effect:spread, val:0.2],[effect:spread, val:0.2],[effect:spread, val:0.2],[effect:spread, val:0.2],[effect:rush, count:16, val:0.2]    </t>
    <phoneticPr fontId="5"/>
  </si>
  <si>
    <t>[effect:enemy_message, val1:2, val2:2.4, dead_type:suicide],[effect:rush, count:2, val:0.8],[effect:degrade_unit, target:unit_all, turn:3, status:heal, val:1, calc:mul, animation:degrade_unit_all_heal]</t>
    <phoneticPr fontId="5"/>
  </si>
  <si>
    <t>[effect:enemy_message, val1:2, val2:2.4, dead_type:suicide],[effect:rush, count:2, val:0.8],[effect:degrade_unit, target:unit_all, turn:3, status:heal, val:1, calc:mul, animation:degrade_unit_all_heal]</t>
    <phoneticPr fontId="5"/>
  </si>
  <si>
    <t xml:space="preserve">[effect:enemy_message, val1:2, val2:2.4, dead_type:suicide],[effect:tolerance, target:myself, turn:-1, count:-1, tolerance_effect:all, animation:enemy_tolerance],[effect:change_bomb_range, target:unit_all, val:0.5, rate:1, turn:-1, animation:bomb_small],[effect:degrade_fever, val:1000, animation:fevergauge_down]    </t>
    <phoneticPr fontId="5"/>
  </si>
  <si>
    <t>[effect:enemy_message, val1:2, val2:1.6, dead_type:suicide],[effect:rush, count:16, val:0.1]</t>
    <phoneticPr fontId="5"/>
  </si>
  <si>
    <t xml:space="preserve">[effect:enemy_message, val1:2, val2:2.4, dead_type:suicide],[effect:panel_freeze, target:crash, count:-1],[effect:force_change_block, new_block:block_yellow, target:block_heart, count:0, val:0, animation:change_block]    </t>
    <phoneticPr fontId="5"/>
  </si>
  <si>
    <t>[effect:enemy_message, val1:2, val2:2.4, dead_type:suicide],[effect:spread, val:0.4],[effect:degrade_unit, target:unit_all, turn:2, status:heal, val:0.7, calc:mul, animation:degrade_unit_all_heal]</t>
    <phoneticPr fontId="5"/>
  </si>
  <si>
    <t>[effect:enemy_message, val1:2, val2:2.4, dead_type:suicide],[effect:rush, count:8, val:0.1],[effect:degrade_unit, target:unit_all, turn:3, status:heal, val:0.5, calc:mul, animation:degrade_unit_all_heal]</t>
    <phoneticPr fontId="5"/>
  </si>
  <si>
    <t>[effect:enemy_message, val1:2, val2:2.4, dead_type:suicide],[effect:drop_freeze, turn:-1, block_type:normal, block_color:block_blue, rate:0.1, animation:drop_protect],[effect:fix_speed, target:myself, turn:2]</t>
    <phoneticPr fontId="5"/>
  </si>
  <si>
    <t>[effect:enemy_message, val1:2, val2:2.4, dead_type:suicide],[effect:hungup, target:unit_all, turn:2, rate:0.25, calc_type:target_one, animation:hungup01],[effect:fix_speed, target:myself, turn:2]</t>
    <phoneticPr fontId="5"/>
  </si>
  <si>
    <t>女王陛下の期待を裏切る
訳にはいかないのだよ！！</t>
    <rPh sb="0" eb="2">
      <t>ジョオウ</t>
    </rPh>
    <rPh sb="2" eb="4">
      <t>ヘイカ</t>
    </rPh>
    <rPh sb="5" eb="7">
      <t>キタイ</t>
    </rPh>
    <rPh sb="8" eb="10">
      <t>ウラギル</t>
    </rPh>
    <rPh sb="12" eb="13">
      <t>ワケニハ</t>
    </rPh>
    <phoneticPr fontId="5"/>
  </si>
  <si>
    <t>お気をつけください…女王陛下…</t>
    <rPh sb="10" eb="12">
      <t>ジョオウ</t>
    </rPh>
    <rPh sb="12" eb="14">
      <t>ヘイカ</t>
    </rPh>
    <phoneticPr fontId="5"/>
  </si>
  <si>
    <t>お気をつけください…女王陛下…</t>
    <rPh sb="10" eb="14">
      <t>ジョオウヘイカ</t>
    </rPh>
    <phoneticPr fontId="5"/>
  </si>
  <si>
    <t>[effect:enemy_message, val1:2, val2:2.4, dead_type:suicide],[effect:drop_freeze, turn:-1, block_type:normal, block_color:block_red, rate:0.1, animation:drop_protect],[effect:fix_speed, target:myself, turn:2]</t>
    <phoneticPr fontId="5"/>
  </si>
  <si>
    <t>[effect:enemy_message, val1:2, val2:2.4, dead_type:suicide],[effect:drop_freeze, turn:-1, block_type:normal, block_color:block_heart, rate:0.1, animation:drop_protect],[effect:fix_speed, target:myself, turn:2]</t>
    <phoneticPr fontId="5"/>
  </si>
  <si>
    <t xml:space="preserve">[effect:enemy_message, val1:2, val2:2.4, dead_type:suicide],[effect:tolerance, target:myself, turn:-1, count:-1, tolerance_effect:all, animation:enemy_tolerance],[effect:drop_freeze, turn:-1, block_type:normal, block_color:block_heart, rate:0.15, animation:drop_protect]    </t>
    <phoneticPr fontId="5"/>
  </si>
  <si>
    <t xml:space="preserve">[effect:enemy_message, val1:2, val2:2.4, dead_type:suicide],[effect:tolerance, target:myself, turn:-1, count:-1, tolerance_effect:all, animation:enemy_tolerance],[effect:drop_freeze, turn:-1, block_type:normal, rate:0.15, animation:drop_protect]    </t>
    <phoneticPr fontId="5"/>
  </si>
  <si>
    <t xml:space="preserve">[effect:drop_freeze, turn:-1, block_type:normal, rate:0.15, animation:drop_protect]    </t>
    <phoneticPr fontId="5"/>
  </si>
  <si>
    <t>[effect:rush, count:6, val:0.2]</t>
    <phoneticPr fontId="5"/>
  </si>
  <si>
    <t>なかなかやるじゃない
でもまだ終わりじゃないわ</t>
    <rPh sb="15" eb="16">
      <t>オワリジャナイ</t>
    </rPh>
    <phoneticPr fontId="5"/>
  </si>
  <si>
    <t>[effect:rush, count:8, val:0.2]</t>
    <phoneticPr fontId="5"/>
  </si>
  <si>
    <t>null</t>
    <phoneticPr fontId="5"/>
  </si>
  <si>
    <t xml:space="preserve">[effect:break_attack_fix, target:unit_all, val:250, lowest_val:1000, count:-1, color:green, block_color:block_green, block01:block_green]  </t>
    <phoneticPr fontId="5"/>
  </si>
  <si>
    <t xml:space="preserve">[effect:break_attack_fix, target:unit_all, val:250, lowest_val:3000, count:-1, color:green, block_color:block_green, block01:block_green]  </t>
    <phoneticPr fontId="5"/>
  </si>
  <si>
    <t>全体攻撃</t>
    <phoneticPr fontId="5"/>
  </si>
  <si>
    <t>全体攻撃</t>
    <phoneticPr fontId="5"/>
  </si>
  <si>
    <t>[effect:enemy_message, val1:2, val2:1.2, dead_type:suicide],[effect:spread, val:0.3]</t>
    <phoneticPr fontId="5"/>
  </si>
  <si>
    <t>[effect:enemy_message, val1:2, val2:1.2, dead_type:suicide],[effect:spread, val:0.3]</t>
    <phoneticPr fontId="5"/>
  </si>
  <si>
    <t>[effect:enemy_message, val1:2, val2:1.6, dead_type:suicide],[effect:rush, count:20, val:0.1]</t>
    <phoneticPr fontId="5"/>
  </si>
  <si>
    <t>[effect:enemy_message, val1:2, val2:1.6, dead_type:suicide],[effect:rush, count:25, val:0.25]</t>
    <phoneticPr fontId="5"/>
  </si>
  <si>
    <t>[effect:enemy_message, val1:2, val2:1.6, dead_type:suicide],[effect:rush, count:25, val:0.15]</t>
    <phoneticPr fontId="5"/>
  </si>
  <si>
    <t>オーディンやゼウスに管理AIの力を
託されたと思われる者を倒し
力を回収することが目的のようです</t>
    <rPh sb="10" eb="12">
      <t>カンリ</t>
    </rPh>
    <rPh sb="15" eb="16">
      <t>チカラ</t>
    </rPh>
    <rPh sb="18" eb="19">
      <t>タクサレタ</t>
    </rPh>
    <rPh sb="23" eb="24">
      <t>オモワレル</t>
    </rPh>
    <rPh sb="27" eb="28">
      <t>モノ</t>
    </rPh>
    <rPh sb="29" eb="30">
      <t>タオシ</t>
    </rPh>
    <rPh sb="32" eb="33">
      <t>チカラ</t>
    </rPh>
    <rPh sb="34" eb="36">
      <t>カイシュウ</t>
    </rPh>
    <rPh sb="41" eb="43">
      <t>モクテキ</t>
    </rPh>
    <phoneticPr fontId="5"/>
  </si>
  <si>
    <t>ハートパネルを全て吸収して全体攻撃</t>
    <rPh sb="7" eb="8">
      <t>スベテ</t>
    </rPh>
    <rPh sb="13" eb="15">
      <t>ゼンタイ</t>
    </rPh>
    <phoneticPr fontId="5"/>
  </si>
  <si>
    <t>緑パネルを全て吸収して全体攻撃</t>
    <rPh sb="0" eb="1">
      <t>ミドリ</t>
    </rPh>
    <rPh sb="5" eb="6">
      <t>スベテ</t>
    </rPh>
    <rPh sb="7" eb="15">
      <t>キュウシュウコウゲキ</t>
    </rPh>
    <phoneticPr fontId="5"/>
  </si>
  <si>
    <t>ヘルメス…なぜオマエが…
まぁ良い一緒に片付けてやろう</t>
    <phoneticPr fontId="5"/>
  </si>
  <si>
    <t>ヘルメス…なぜオマエが…
まぁ良い一緒に片付けてやろう</t>
    <phoneticPr fontId="5"/>
  </si>
  <si>
    <t>[effect:enemy_message, val1:2, val2:2.4, dead_type:suicide],[effect:drop_freeze, turn:-1, block_type:normal, block_color:block_green, rate:0.1, animation:drop_protect],[effect:fix_speed, target:myself, turn:2]</t>
    <phoneticPr fontId="5"/>
  </si>
  <si>
    <t xml:space="preserve">[effect:enemy_message, val1:2, val2:2.4, dead_type:suicide],[effect:enhance_enemy, target:myself, turn:-1, status:attack, val:2000, calc:add, animation:enemy_enhance_attack],[effect:fix_speed, target:myself, turn:1],[effect:rush, count:8, val:0.15]  </t>
    <phoneticPr fontId="5"/>
  </si>
  <si>
    <t>自身の攻撃力&amp;攻撃頻度UP+
8回連続攻撃</t>
    <phoneticPr fontId="5"/>
  </si>
  <si>
    <t xml:space="preserve">[effect:enemy_message, val1:2, val2:2.4, dead_type:suicide],[effect:enhance_enemy, target:myself, turn:-1, status:attack, val:3000, calc:add, animation:enemy_enhance_attack],[effect:fix_speed, target:myself, turn:1],[effect:rush, count:8, val:0.15]    </t>
    <phoneticPr fontId="5"/>
  </si>
  <si>
    <t>スピードには
自信があります！</t>
    <rPh sb="7" eb="8">
      <t>ジシンガアリマス</t>
    </rPh>
    <rPh sb="8" eb="9">
      <t>sin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</si>
</sst>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0" applyNumberFormat="0" applyAlignment="0" applyProtection="0"/>
    <xf numFmtId="0" fontId="33" fillId="17" borderId="0" applyNumberFormat="0" applyBorder="0" applyAlignment="0" applyProtection="0"/>
    <xf numFmtId="0" fontId="34" fillId="18" borderId="11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2" applyNumberFormat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40" fillId="0" borderId="14" applyNumberFormat="0" applyFill="0" applyAlignment="0" applyProtection="0"/>
    <xf numFmtId="0" fontId="41" fillId="0" borderId="15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6" applyNumberFormat="0" applyFill="0" applyAlignment="0" applyProtection="0"/>
    <xf numFmtId="0" fontId="46" fillId="18" borderId="17" applyNumberFormat="0" applyAlignment="0" applyProtection="0"/>
    <xf numFmtId="0" fontId="46" fillId="29" borderId="17" applyNumberFormat="0" applyAlignment="0" applyProtection="0"/>
    <xf numFmtId="0" fontId="34" fillId="17" borderId="11" applyNumberFormat="0" applyAlignment="0" applyProtection="0"/>
    <xf numFmtId="0" fontId="47" fillId="0" borderId="18" applyNumberFormat="0" applyFill="0" applyAlignment="0" applyProtection="0"/>
    <xf numFmtId="0" fontId="48" fillId="29" borderId="11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9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9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9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9" xfId="0" applyFont="1" applyFill="1" applyBorder="1" applyAlignment="1">
      <alignment vertical="center"/>
    </xf>
    <xf numFmtId="0" fontId="16" fillId="0" borderId="20" xfId="0" applyFont="1" applyFill="1" applyBorder="1" applyAlignment="1">
      <alignment vertical="center"/>
    </xf>
    <xf numFmtId="0" fontId="16" fillId="0" borderId="21" xfId="0" applyFont="1" applyFill="1" applyBorder="1" applyAlignment="1">
      <alignment vertical="center"/>
    </xf>
    <xf numFmtId="0" fontId="16" fillId="3" borderId="2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5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3" borderId="27" xfId="0" applyFont="1" applyFill="1" applyBorder="1" applyAlignment="1">
      <alignment vertical="center"/>
    </xf>
    <xf numFmtId="0" fontId="16" fillId="3" borderId="21" xfId="0" applyFont="1" applyFill="1" applyBorder="1" applyAlignment="1">
      <alignment horizontal="left" vertical="center"/>
    </xf>
    <xf numFmtId="0" fontId="16" fillId="3" borderId="21" xfId="0" applyFont="1" applyFill="1" applyBorder="1" applyAlignment="1">
      <alignment vertical="center"/>
    </xf>
    <xf numFmtId="0" fontId="16" fillId="0" borderId="22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31" xfId="0" applyFont="1" applyFill="1" applyBorder="1" applyAlignment="1">
      <alignment horizontal="left" vertical="center"/>
    </xf>
    <xf numFmtId="0" fontId="4" fillId="3" borderId="32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12" fillId="7" borderId="28" xfId="0" applyFont="1" applyFill="1" applyBorder="1" applyAlignment="1">
      <alignment vertical="center"/>
    </xf>
    <xf numFmtId="176" fontId="4" fillId="0" borderId="33" xfId="0" applyNumberFormat="1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6" fillId="0" borderId="21" xfId="0" applyFont="1" applyFill="1" applyBorder="1" applyAlignment="1">
      <alignment vertical="center"/>
    </xf>
    <xf numFmtId="0" fontId="4" fillId="0" borderId="21" xfId="0" applyFont="1" applyBorder="1" applyAlignment="1">
      <alignment horizontal="center" vertical="center"/>
    </xf>
    <xf numFmtId="0" fontId="6" fillId="5" borderId="34" xfId="0" applyFont="1" applyFill="1" applyBorder="1" applyAlignment="1">
      <alignment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1" fontId="32" fillId="31" borderId="21" xfId="0" applyNumberFormat="1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21" xfId="0" applyFont="1" applyFill="1" applyBorder="1" applyAlignment="1">
      <alignment vertical="center"/>
    </xf>
    <xf numFmtId="0" fontId="4" fillId="0" borderId="21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176" fontId="4" fillId="0" borderId="37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6" fillId="5" borderId="42" xfId="0" applyFont="1" applyFill="1" applyBorder="1" applyAlignment="1">
      <alignment vertical="center"/>
    </xf>
    <xf numFmtId="0" fontId="6" fillId="5" borderId="43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14" fillId="7" borderId="0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0" borderId="7" xfId="0" applyFont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4" fillId="7" borderId="20" xfId="0" applyFont="1" applyFill="1" applyBorder="1" applyAlignment="1">
      <alignment vertical="center"/>
    </xf>
    <xf numFmtId="0" fontId="16" fillId="6" borderId="21" xfId="0" applyFont="1" applyFill="1" applyBorder="1" applyAlignment="1">
      <alignment horizontal="center" vertical="center"/>
    </xf>
    <xf numFmtId="0" fontId="16" fillId="3" borderId="21" xfId="0" applyFont="1" applyFill="1" applyBorder="1" applyAlignment="1">
      <alignment horizontal="center" vertical="center"/>
    </xf>
    <xf numFmtId="0" fontId="11" fillId="6" borderId="21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14" fillId="7" borderId="26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3" borderId="7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vertical="center"/>
    </xf>
    <xf numFmtId="0" fontId="16" fillId="3" borderId="46" xfId="0" applyFont="1" applyFill="1" applyBorder="1" applyAlignment="1">
      <alignment vertical="center"/>
    </xf>
    <xf numFmtId="0" fontId="16" fillId="3" borderId="47" xfId="0" applyFont="1" applyFill="1" applyBorder="1" applyAlignment="1">
      <alignment vertical="center"/>
    </xf>
    <xf numFmtId="0" fontId="16" fillId="0" borderId="45" xfId="0" applyFont="1" applyFill="1" applyBorder="1" applyAlignment="1">
      <alignment vertical="center"/>
    </xf>
    <xf numFmtId="0" fontId="16" fillId="0" borderId="48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5" sqref="H2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4" t="s">
        <v>131</v>
      </c>
      <c r="B1" s="39" t="s">
        <v>101</v>
      </c>
      <c r="C1" s="39" t="s">
        <v>102</v>
      </c>
      <c r="D1" s="39" t="s">
        <v>103</v>
      </c>
      <c r="E1" s="39" t="s">
        <v>104</v>
      </c>
      <c r="F1" s="39" t="s">
        <v>105</v>
      </c>
      <c r="G1" s="39" t="s">
        <v>106</v>
      </c>
      <c r="H1" s="39"/>
      <c r="I1" s="39"/>
      <c r="J1" s="39"/>
      <c r="K1" s="39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</row>
    <row r="2" spans="1:30" x14ac:dyDescent="0.15">
      <c r="A2" s="45" t="s">
        <v>267</v>
      </c>
      <c r="B2" s="41" t="s">
        <v>107</v>
      </c>
      <c r="C2" s="46">
        <v>40037</v>
      </c>
      <c r="D2" s="41" t="s">
        <v>108</v>
      </c>
      <c r="E2" s="40" t="str">
        <f>B2&amp;C2&amp;D2</f>
        <v>floors_40037.tmp</v>
      </c>
      <c r="F2" s="41" t="s">
        <v>109</v>
      </c>
      <c r="G2" s="42" t="s">
        <v>0</v>
      </c>
      <c r="H2" s="42" t="s">
        <v>1</v>
      </c>
      <c r="I2" s="42" t="s">
        <v>13</v>
      </c>
      <c r="J2" s="42" t="s">
        <v>14</v>
      </c>
      <c r="K2" s="42" t="s">
        <v>15</v>
      </c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</row>
    <row r="3" spans="1:30" x14ac:dyDescent="0.15">
      <c r="A3" s="45" t="s">
        <v>267</v>
      </c>
      <c r="B3" s="41" t="s">
        <v>110</v>
      </c>
      <c r="C3" s="46">
        <v>40037</v>
      </c>
      <c r="D3" s="41" t="s">
        <v>108</v>
      </c>
      <c r="E3" s="40" t="str">
        <f>B3&amp;C3&amp;D3</f>
        <v>enemy_habitats_40037.tmp</v>
      </c>
      <c r="F3" s="41" t="s">
        <v>111</v>
      </c>
      <c r="G3" s="42" t="s">
        <v>0</v>
      </c>
      <c r="H3" s="42" t="s">
        <v>1</v>
      </c>
      <c r="I3" s="42" t="s">
        <v>13</v>
      </c>
      <c r="J3" s="42" t="s">
        <v>2</v>
      </c>
      <c r="K3" s="42" t="s">
        <v>3</v>
      </c>
      <c r="L3" s="42" t="s">
        <v>47</v>
      </c>
      <c r="M3" s="42" t="s">
        <v>49</v>
      </c>
      <c r="N3" s="42" t="s">
        <v>51</v>
      </c>
      <c r="O3" s="42" t="s">
        <v>22</v>
      </c>
      <c r="P3" s="42" t="s">
        <v>5</v>
      </c>
      <c r="Q3" s="42" t="s">
        <v>6</v>
      </c>
      <c r="R3" s="42" t="s">
        <v>7</v>
      </c>
      <c r="S3" s="42" t="s">
        <v>8</v>
      </c>
      <c r="T3" s="42" t="s">
        <v>9</v>
      </c>
      <c r="U3" s="42" t="s">
        <v>10</v>
      </c>
      <c r="V3" s="42" t="s">
        <v>11</v>
      </c>
      <c r="W3" s="42" t="s">
        <v>12</v>
      </c>
      <c r="X3" s="42" t="s">
        <v>37</v>
      </c>
      <c r="Y3" s="42" t="s">
        <v>39</v>
      </c>
      <c r="Z3" s="42" t="s">
        <v>41</v>
      </c>
      <c r="AA3" s="42" t="s">
        <v>43</v>
      </c>
      <c r="AB3" s="42" t="s">
        <v>45</v>
      </c>
      <c r="AC3" s="42" t="s">
        <v>54</v>
      </c>
      <c r="AD3" s="42" t="s">
        <v>180</v>
      </c>
    </row>
    <row r="4" spans="1:30" x14ac:dyDescent="0.15">
      <c r="A4" s="45" t="s">
        <v>267</v>
      </c>
      <c r="B4" s="41" t="s">
        <v>112</v>
      </c>
      <c r="C4" s="46">
        <v>40037</v>
      </c>
      <c r="D4" s="41" t="s">
        <v>108</v>
      </c>
      <c r="E4" s="40" t="str">
        <f>B4&amp;C4&amp;D4</f>
        <v>enemy_habitat_S_40037.tmp</v>
      </c>
      <c r="F4" s="41" t="s">
        <v>113</v>
      </c>
      <c r="G4" s="42" t="s">
        <v>0</v>
      </c>
      <c r="H4" s="42" t="s">
        <v>1</v>
      </c>
      <c r="I4" s="42" t="s">
        <v>13</v>
      </c>
      <c r="J4" s="42" t="s">
        <v>54</v>
      </c>
      <c r="K4" s="42" t="s">
        <v>55</v>
      </c>
      <c r="L4" s="42" t="s">
        <v>56</v>
      </c>
      <c r="M4" s="42" t="s">
        <v>57</v>
      </c>
      <c r="N4" s="42" t="s">
        <v>58</v>
      </c>
      <c r="O4" s="42" t="s">
        <v>59</v>
      </c>
      <c r="P4" s="42" t="s">
        <v>48</v>
      </c>
      <c r="Q4" s="42" t="s">
        <v>50</v>
      </c>
      <c r="R4" s="42" t="s">
        <v>52</v>
      </c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</row>
    <row r="5" spans="1:30" x14ac:dyDescent="0.15">
      <c r="A5" s="45" t="s">
        <v>267</v>
      </c>
      <c r="B5" s="41" t="s">
        <v>114</v>
      </c>
      <c r="C5" s="46">
        <v>40037</v>
      </c>
      <c r="D5" s="41" t="s">
        <v>108</v>
      </c>
      <c r="E5" s="40" t="str">
        <f>B5&amp;C5&amp;D5</f>
        <v>enemy_skill_sets_40037.tmp</v>
      </c>
      <c r="F5" s="41" t="s">
        <v>115</v>
      </c>
      <c r="G5" s="43" t="s">
        <v>22</v>
      </c>
      <c r="H5" s="43" t="s">
        <v>100</v>
      </c>
      <c r="I5" s="43" t="s">
        <v>95</v>
      </c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</row>
    <row r="6" spans="1:30" x14ac:dyDescent="0.15">
      <c r="A6" s="45" t="s">
        <v>267</v>
      </c>
      <c r="B6" s="41" t="s">
        <v>116</v>
      </c>
      <c r="C6" s="46">
        <v>40037</v>
      </c>
      <c r="D6" s="41" t="s">
        <v>117</v>
      </c>
      <c r="E6" s="40" t="str">
        <f t="shared" ref="E6:E10" si="0">B6&amp;C6&amp;D6</f>
        <v>enemy_skills_tmp_40037.tmp</v>
      </c>
      <c r="F6" s="41" t="s">
        <v>91</v>
      </c>
      <c r="G6" s="42" t="s">
        <v>79</v>
      </c>
      <c r="H6" s="42" t="s">
        <v>80</v>
      </c>
      <c r="I6" s="42" t="s">
        <v>81</v>
      </c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</row>
    <row r="7" spans="1:30" x14ac:dyDescent="0.15">
      <c r="A7" s="45" t="s">
        <v>267</v>
      </c>
      <c r="B7" s="41" t="s">
        <v>118</v>
      </c>
      <c r="C7" s="46">
        <v>40037</v>
      </c>
      <c r="D7" s="41" t="s">
        <v>108</v>
      </c>
      <c r="E7" s="40" t="str">
        <f>B7&amp;C7&amp;D7</f>
        <v>enemy_skills_i18n_40037.tmp</v>
      </c>
      <c r="F7" s="41" t="s">
        <v>119</v>
      </c>
      <c r="G7" s="42" t="s">
        <v>79</v>
      </c>
      <c r="H7" s="42" t="s">
        <v>92</v>
      </c>
      <c r="I7" s="42" t="s">
        <v>93</v>
      </c>
      <c r="J7" s="42" t="s">
        <v>94</v>
      </c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</row>
    <row r="8" spans="1:30" x14ac:dyDescent="0.15">
      <c r="A8" s="45" t="s">
        <v>267</v>
      </c>
      <c r="B8" s="41" t="s">
        <v>120</v>
      </c>
      <c r="C8" s="46">
        <v>40037</v>
      </c>
      <c r="D8" s="41" t="s">
        <v>121</v>
      </c>
      <c r="E8" s="40" t="str">
        <f t="shared" si="0"/>
        <v>enemy_skill_triggers_40037.tmp</v>
      </c>
      <c r="F8" s="41" t="s">
        <v>122</v>
      </c>
      <c r="G8" s="42" t="s">
        <v>95</v>
      </c>
      <c r="H8" s="42" t="s">
        <v>96</v>
      </c>
      <c r="I8" s="42" t="s">
        <v>97</v>
      </c>
      <c r="J8" s="42" t="s">
        <v>98</v>
      </c>
      <c r="K8" s="42" t="s">
        <v>123</v>
      </c>
      <c r="L8" s="42" t="s">
        <v>99</v>
      </c>
      <c r="M8" s="42" t="s">
        <v>124</v>
      </c>
      <c r="N8" s="42" t="s">
        <v>125</v>
      </c>
      <c r="O8" s="42" t="s">
        <v>126</v>
      </c>
      <c r="P8" s="42" t="s">
        <v>67</v>
      </c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</row>
    <row r="9" spans="1:30" x14ac:dyDescent="0.15">
      <c r="A9" s="45" t="s">
        <v>267</v>
      </c>
      <c r="B9" s="50" t="s">
        <v>179</v>
      </c>
      <c r="C9" s="46">
        <v>40037</v>
      </c>
      <c r="D9" s="50" t="s">
        <v>173</v>
      </c>
      <c r="E9" s="51" t="str">
        <f t="shared" si="0"/>
        <v>stage_bug_bonuses_40037.tmp</v>
      </c>
      <c r="F9" s="50" t="s">
        <v>174</v>
      </c>
      <c r="G9" s="47" t="s">
        <v>151</v>
      </c>
      <c r="H9" s="47" t="s">
        <v>175</v>
      </c>
      <c r="I9" s="47" t="s">
        <v>176</v>
      </c>
      <c r="J9" s="49" t="s">
        <v>177</v>
      </c>
      <c r="K9" s="47" t="s">
        <v>178</v>
      </c>
      <c r="L9" s="47" t="s">
        <v>157</v>
      </c>
      <c r="M9" s="47" t="s">
        <v>158</v>
      </c>
      <c r="N9" s="47" t="s">
        <v>159</v>
      </c>
      <c r="O9" s="47" t="s">
        <v>160</v>
      </c>
      <c r="P9" s="47" t="s">
        <v>161</v>
      </c>
      <c r="Q9" s="47" t="s">
        <v>162</v>
      </c>
      <c r="R9" s="47" t="s">
        <v>163</v>
      </c>
      <c r="S9" s="47" t="s">
        <v>164</v>
      </c>
      <c r="T9" s="47" t="s">
        <v>165</v>
      </c>
      <c r="U9" s="47" t="s">
        <v>166</v>
      </c>
      <c r="V9" s="47" t="s">
        <v>167</v>
      </c>
      <c r="W9" s="47" t="s">
        <v>168</v>
      </c>
      <c r="X9" s="41"/>
      <c r="Y9" s="41"/>
      <c r="Z9" s="41"/>
      <c r="AA9" s="41"/>
      <c r="AB9" s="41"/>
      <c r="AC9" s="41"/>
      <c r="AD9" s="41"/>
    </row>
    <row r="10" spans="1:30" s="56" customFormat="1" x14ac:dyDescent="0.15">
      <c r="A10" s="45" t="s">
        <v>267</v>
      </c>
      <c r="B10" s="50" t="s">
        <v>203</v>
      </c>
      <c r="C10" s="46">
        <v>40037</v>
      </c>
      <c r="D10" s="50" t="s">
        <v>182</v>
      </c>
      <c r="E10" s="51" t="str">
        <f t="shared" si="0"/>
        <v>stage_hints_data_c_40037.tmp</v>
      </c>
      <c r="F10" s="50" t="s">
        <v>211</v>
      </c>
      <c r="G10" s="54" t="s">
        <v>183</v>
      </c>
      <c r="H10" s="54" t="s">
        <v>175</v>
      </c>
      <c r="I10" s="55" t="s">
        <v>184</v>
      </c>
      <c r="J10" s="49" t="s">
        <v>185</v>
      </c>
      <c r="K10" s="49" t="s">
        <v>186</v>
      </c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</row>
    <row r="11" spans="1:30" s="56" customFormat="1" x14ac:dyDescent="0.15">
      <c r="A11" s="45" t="s">
        <v>267</v>
      </c>
      <c r="B11" s="50" t="s">
        <v>204</v>
      </c>
      <c r="C11" s="46">
        <v>40037</v>
      </c>
      <c r="D11" s="50" t="s">
        <v>173</v>
      </c>
      <c r="E11" s="51" t="str">
        <f t="shared" ref="E11:E13" si="1">B11&amp;C11&amp;D11</f>
        <v>stage_hints_data_f_40037.tmp</v>
      </c>
      <c r="F11" s="50" t="s">
        <v>212</v>
      </c>
      <c r="G11" s="54" t="s">
        <v>183</v>
      </c>
      <c r="H11" s="54" t="s">
        <v>175</v>
      </c>
      <c r="I11" s="55" t="s">
        <v>184</v>
      </c>
      <c r="J11" s="49" t="s">
        <v>185</v>
      </c>
      <c r="K11" s="49" t="s">
        <v>186</v>
      </c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</row>
    <row r="12" spans="1:30" s="56" customFormat="1" x14ac:dyDescent="0.15">
      <c r="A12" s="45" t="s">
        <v>267</v>
      </c>
      <c r="B12" s="50" t="s">
        <v>205</v>
      </c>
      <c r="C12" s="46">
        <v>40037</v>
      </c>
      <c r="D12" s="50" t="s">
        <v>173</v>
      </c>
      <c r="E12" s="51" t="str">
        <f t="shared" si="1"/>
        <v>stage_hints_i18n_40037.tmp</v>
      </c>
      <c r="F12" s="50" t="s">
        <v>213</v>
      </c>
      <c r="G12" s="55" t="s">
        <v>206</v>
      </c>
      <c r="H12" s="74" t="s">
        <v>207</v>
      </c>
      <c r="I12" s="54" t="s">
        <v>208</v>
      </c>
      <c r="J12" s="82" t="s">
        <v>209</v>
      </c>
      <c r="K12" s="49" t="s">
        <v>210</v>
      </c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</row>
    <row r="13" spans="1:30" s="56" customFormat="1" x14ac:dyDescent="0.15">
      <c r="A13" s="45" t="s">
        <v>267</v>
      </c>
      <c r="B13" s="50" t="s">
        <v>253</v>
      </c>
      <c r="C13" s="46">
        <v>40037</v>
      </c>
      <c r="D13" s="50" t="s">
        <v>234</v>
      </c>
      <c r="E13" s="51" t="str">
        <f t="shared" si="1"/>
        <v>stage_bonuses_40037.tmp</v>
      </c>
      <c r="F13" s="50" t="s">
        <v>233</v>
      </c>
      <c r="G13" s="54" t="s">
        <v>235</v>
      </c>
      <c r="H13" s="54" t="s">
        <v>236</v>
      </c>
      <c r="I13" s="54" t="s">
        <v>237</v>
      </c>
      <c r="J13" s="54" t="s">
        <v>238</v>
      </c>
      <c r="K13" s="54" t="s">
        <v>239</v>
      </c>
      <c r="L13" s="54" t="s">
        <v>240</v>
      </c>
      <c r="M13" s="54" t="s">
        <v>241</v>
      </c>
      <c r="N13" s="54" t="s">
        <v>242</v>
      </c>
      <c r="O13" s="54" t="s">
        <v>243</v>
      </c>
      <c r="P13" s="54" t="s">
        <v>244</v>
      </c>
      <c r="Q13" s="54" t="s">
        <v>245</v>
      </c>
      <c r="R13" s="54" t="s">
        <v>246</v>
      </c>
      <c r="S13" s="54" t="s">
        <v>247</v>
      </c>
      <c r="T13" s="54" t="s">
        <v>248</v>
      </c>
      <c r="U13" s="54" t="s">
        <v>249</v>
      </c>
      <c r="V13" s="54" t="s">
        <v>250</v>
      </c>
      <c r="W13" s="54" t="s">
        <v>251</v>
      </c>
      <c r="X13" s="54" t="s">
        <v>252</v>
      </c>
      <c r="Y13" s="81"/>
      <c r="Z13" s="81"/>
      <c r="AA13" s="81"/>
      <c r="AB13" s="81"/>
      <c r="AC13" s="81"/>
      <c r="AD13" s="8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A15" sqref="A15"/>
    </sheetView>
  </sheetViews>
  <sheetFormatPr baseColWidth="12" defaultColWidth="13" defaultRowHeight="21" customHeight="1" outlineLevelCol="1" x14ac:dyDescent="0.15"/>
  <cols>
    <col min="1" max="1" width="8.6640625" style="19" bestFit="1" customWidth="1"/>
    <col min="2" max="2" width="5.83203125" style="19" bestFit="1" customWidth="1"/>
    <col min="3" max="3" width="7" style="3" bestFit="1" customWidth="1"/>
    <col min="4" max="4" width="15.6640625" style="3" bestFit="1" customWidth="1" outlineLevel="1"/>
    <col min="5" max="5" width="8" style="3" bestFit="1" customWidth="1" outlineLevel="1"/>
    <col min="6" max="6" width="6.83203125" style="3" bestFit="1" customWidth="1"/>
    <col min="7" max="7" width="9.1640625" style="19" bestFit="1" customWidth="1" outlineLevel="1"/>
    <col min="8" max="8" width="24.33203125" style="3" bestFit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3" si="0">G2&amp;"-"&amp;I2</f>
        <v>40037_1-1</v>
      </c>
      <c r="B2" s="16" t="str">
        <f>IF(COUNTIF(enemy_habitats!$H:$H,A2),"OK","NG")</f>
        <v>OK</v>
      </c>
      <c r="C2" s="7">
        <v>40037</v>
      </c>
      <c r="D2" s="11" t="str">
        <f ca="1">VLOOKUP($C2,OFFSET([2]quests!$A$1,0,0,COUNTA([2]quests!$A:$A),MATCH(D$1,[2]quests!$1:$1,0)-MATCH($C$1,[2]quests!$1:$1,0)+1),MATCH(D$1,[2]quests!$1:$1,0)-MATCH($C$1,[2]quests!$1:$1,0)+1,FALSE)</f>
        <v>デルピュネー襲来！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降臨37</v>
      </c>
      <c r="F2" s="20">
        <v>1</v>
      </c>
      <c r="G2" s="22" t="str">
        <f t="shared" ref="G2:G3" si="1">C2&amp;"_"&amp;F2</f>
        <v>40037_1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【超絶級】デルピュネー襲来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40037_1-2</v>
      </c>
      <c r="B3" s="16" t="str">
        <f>IF(COUNTIF(enemy_habitats!$H:$H,A3),"OK","NG")</f>
        <v>OK</v>
      </c>
      <c r="C3" s="7">
        <v>40037</v>
      </c>
      <c r="D3" s="11" t="str">
        <f ca="1">VLOOKUP($C3,OFFSET([2]quests!$A$1,0,0,COUNTA([2]quests!$A:$A),MATCH(D$1,[2]quests!$1:$1,0)-MATCH($C$1,[2]quests!$1:$1,0)+1),MATCH(D$1,[2]quests!$1:$1,0)-MATCH($C$1,[2]quests!$1:$1,0)+1,FALSE)</f>
        <v>デルピュネー襲来！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降臨37</v>
      </c>
      <c r="F3" s="20">
        <v>1</v>
      </c>
      <c r="G3" s="22" t="str">
        <f t="shared" si="1"/>
        <v>40037_1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【超絶級】デルピュネー襲来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7" si="2">G4&amp;"-"&amp;I4</f>
        <v>40037_1-3</v>
      </c>
      <c r="B4" s="16" t="str">
        <f>IF(COUNTIF(enemy_habitats!$H:$H,A4),"OK","NG")</f>
        <v>OK</v>
      </c>
      <c r="C4" s="7">
        <v>40037</v>
      </c>
      <c r="D4" s="11" t="str">
        <f ca="1">VLOOKUP($C4,OFFSET([2]quests!$A$1,0,0,COUNTA([2]quests!$A:$A),MATCH(D$1,[2]quests!$1:$1,0)-MATCH($C$1,[2]quests!$1:$1,0)+1),MATCH(D$1,[2]quests!$1:$1,0)-MATCH($C$1,[2]quests!$1:$1,0)+1,FALSE)</f>
        <v>デルピュネー襲来！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降臨37</v>
      </c>
      <c r="F4" s="20">
        <v>1</v>
      </c>
      <c r="G4" s="22" t="str">
        <f t="shared" ref="G4:G7" si="3">C4&amp;"_"&amp;F4</f>
        <v>40037_1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【超絶級】デルピュネー襲来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2"/>
        <v>40037_1-4</v>
      </c>
      <c r="B5" s="16" t="str">
        <f>IF(COUNTIF(enemy_habitats!$H:$H,A5),"OK","NG")</f>
        <v>OK</v>
      </c>
      <c r="C5" s="7">
        <v>40037</v>
      </c>
      <c r="D5" s="11" t="str">
        <f ca="1">VLOOKUP($C5,OFFSET([2]quests!$A$1,0,0,COUNTA([2]quests!$A:$A),MATCH(D$1,[2]quests!$1:$1,0)-MATCH($C$1,[2]quests!$1:$1,0)+1),MATCH(D$1,[2]quests!$1:$1,0)-MATCH($C$1,[2]quests!$1:$1,0)+1,FALSE)</f>
        <v>デルピュネー襲来！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降臨37</v>
      </c>
      <c r="F5" s="20">
        <v>1</v>
      </c>
      <c r="G5" s="22" t="str">
        <f t="shared" si="3"/>
        <v>40037_1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【超絶級】デルピュネー襲来</v>
      </c>
      <c r="I5" s="20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2"/>
        <v>40037_2-1</v>
      </c>
      <c r="B6" s="16" t="str">
        <f>IF(COUNTIF(enemy_habitats!$H:$H,A6),"OK","NG")</f>
        <v>OK</v>
      </c>
      <c r="C6" s="7">
        <v>40037</v>
      </c>
      <c r="D6" s="11" t="str">
        <f ca="1">VLOOKUP($C6,OFFSET([2]quests!$A$1,0,0,COUNTA([2]quests!$A:$A),MATCH(D$1,[2]quests!$1:$1,0)-MATCH($C$1,[2]quests!$1:$1,0)+1),MATCH(D$1,[2]quests!$1:$1,0)-MATCH($C$1,[2]quests!$1:$1,0)+1,FALSE)</f>
        <v>デルピュネー襲来！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降臨37</v>
      </c>
      <c r="F6" s="20">
        <v>2</v>
      </c>
      <c r="G6" s="22" t="str">
        <f t="shared" si="3"/>
        <v>40037_2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【ウィザード級】デルピュネー襲来</v>
      </c>
      <c r="I6" s="20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40037_2-2</v>
      </c>
      <c r="B7" s="16" t="str">
        <f>IF(COUNTIF(enemy_habitats!$H:$H,A7),"OK","NG")</f>
        <v>OK</v>
      </c>
      <c r="C7" s="7">
        <v>40037</v>
      </c>
      <c r="D7" s="11" t="str">
        <f ca="1">VLOOKUP($C7,OFFSET([2]quests!$A$1,0,0,COUNTA([2]quests!$A:$A),MATCH(D$1,[2]quests!$1:$1,0)-MATCH($C$1,[2]quests!$1:$1,0)+1),MATCH(D$1,[2]quests!$1:$1,0)-MATCH($C$1,[2]quests!$1:$1,0)+1,FALSE)</f>
        <v>デルピュネー襲来！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降臨37</v>
      </c>
      <c r="F7" s="20">
        <v>2</v>
      </c>
      <c r="G7" s="22" t="str">
        <f t="shared" si="3"/>
        <v>40037_2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【ウィザード級】デルピュネー襲来</v>
      </c>
      <c r="I7" s="20">
        <v>2</v>
      </c>
      <c r="J7" s="12">
        <v>60</v>
      </c>
      <c r="K7" s="12">
        <v>60</v>
      </c>
    </row>
    <row r="8" spans="1:11" ht="21" customHeight="1" x14ac:dyDescent="0.15">
      <c r="A8" s="16" t="str">
        <f t="shared" ref="A8:A9" si="4">G8&amp;"-"&amp;I8</f>
        <v>40037_2-3</v>
      </c>
      <c r="B8" s="16" t="str">
        <f>IF(COUNTIF(enemy_habitats!$H:$H,A8),"OK","NG")</f>
        <v>OK</v>
      </c>
      <c r="C8" s="7">
        <v>40037</v>
      </c>
      <c r="D8" s="11" t="str">
        <f ca="1">VLOOKUP($C8,OFFSET([2]quests!$A$1,0,0,COUNTA([2]quests!$A:$A),MATCH(D$1,[2]quests!$1:$1,0)-MATCH($C$1,[2]quests!$1:$1,0)+1),MATCH(D$1,[2]quests!$1:$1,0)-MATCH($C$1,[2]quests!$1:$1,0)+1,FALSE)</f>
        <v>デルピュネー襲来！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降臨37</v>
      </c>
      <c r="F8" s="20">
        <v>2</v>
      </c>
      <c r="G8" s="22" t="str">
        <f t="shared" ref="G8:G9" si="5">C8&amp;"_"&amp;F8</f>
        <v>40037_2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【ウィザード級】デルピュネー襲来</v>
      </c>
      <c r="I8" s="20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4"/>
        <v>40037_2-4</v>
      </c>
      <c r="B9" s="16" t="str">
        <f>IF(COUNTIF(enemy_habitats!$H:$H,A9),"OK","NG")</f>
        <v>OK</v>
      </c>
      <c r="C9" s="7">
        <v>40037</v>
      </c>
      <c r="D9" s="11" t="str">
        <f ca="1">VLOOKUP($C9,OFFSET([2]quests!$A$1,0,0,COUNTA([2]quests!$A:$A),MATCH(D$1,[2]quests!$1:$1,0)-MATCH($C$1,[2]quests!$1:$1,0)+1),MATCH(D$1,[2]quests!$1:$1,0)-MATCH($C$1,[2]quests!$1:$1,0)+1,FALSE)</f>
        <v>デルピュネー襲来！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降臨37</v>
      </c>
      <c r="F9" s="20">
        <v>2</v>
      </c>
      <c r="G9" s="22" t="str">
        <f t="shared" si="5"/>
        <v>40037_2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【ウィザード級】デルピュネー襲来</v>
      </c>
      <c r="I9" s="20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D11" sqref="AD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8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6" customFormat="1" ht="21" customHeight="1" thickBot="1" x14ac:dyDescent="0.2">
      <c r="A1" s="24" t="s">
        <v>29</v>
      </c>
      <c r="B1" s="25" t="s">
        <v>0</v>
      </c>
      <c r="C1" s="25" t="s">
        <v>1</v>
      </c>
      <c r="D1" s="101" t="s">
        <v>28</v>
      </c>
      <c r="E1" s="101" t="s">
        <v>20</v>
      </c>
      <c r="F1" s="101" t="s">
        <v>20</v>
      </c>
      <c r="G1" s="25" t="s">
        <v>19</v>
      </c>
      <c r="H1" s="101" t="s">
        <v>35</v>
      </c>
      <c r="I1" s="101" t="s">
        <v>14</v>
      </c>
      <c r="J1" s="101" t="s">
        <v>15</v>
      </c>
      <c r="K1" s="102" t="s">
        <v>54</v>
      </c>
      <c r="L1" s="102" t="s">
        <v>2</v>
      </c>
      <c r="M1" s="103" t="s">
        <v>21</v>
      </c>
      <c r="N1" s="101" t="s">
        <v>24</v>
      </c>
      <c r="O1" s="101" t="s">
        <v>23</v>
      </c>
      <c r="P1" s="104" t="s">
        <v>26</v>
      </c>
      <c r="Q1" s="101" t="s">
        <v>25</v>
      </c>
      <c r="R1" s="25" t="s">
        <v>3</v>
      </c>
      <c r="S1" s="25" t="s">
        <v>48</v>
      </c>
      <c r="T1" s="105" t="s">
        <v>254</v>
      </c>
      <c r="U1" s="25" t="s">
        <v>50</v>
      </c>
      <c r="V1" s="105" t="s">
        <v>255</v>
      </c>
      <c r="W1" s="25" t="s">
        <v>52</v>
      </c>
      <c r="X1" s="101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25" t="s">
        <v>9</v>
      </c>
      <c r="AE1" s="106" t="s">
        <v>16</v>
      </c>
      <c r="AF1" s="106" t="s">
        <v>17</v>
      </c>
      <c r="AG1" s="106" t="s">
        <v>27</v>
      </c>
      <c r="AH1" s="25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102" t="s">
        <v>181</v>
      </c>
    </row>
    <row r="2" spans="1:42" ht="21" customHeight="1" x14ac:dyDescent="0.15">
      <c r="A2" s="107" t="str">
        <f>B2&amp;"_"&amp;C2&amp;"-"&amp;G2&amp;"/"&amp;L2&amp;"&lt;lv"&amp;R2&amp;"&gt;s"&amp;AC2</f>
        <v>40037_1-1/1200&lt;lv50&gt;s1</v>
      </c>
      <c r="B2" s="108">
        <v>40037</v>
      </c>
      <c r="C2" s="109">
        <v>1</v>
      </c>
      <c r="D2" s="110" t="str">
        <f>B2&amp;"_"&amp;C2</f>
        <v>40037_1</v>
      </c>
      <c r="E2" s="111" t="str">
        <f ca="1">VLOOKUP($B2,OFFSET([2]quests!$A$1,0,0,COUNTA([2]quests!$A:$A),MATCH(E$1,[2]quests!$1:$1,0)-MATCH($B$1,[2]quests!$1:$1,0)+1),MATCH(E$1,[2]quests!$1:$1,0)-MATCH($B$1,[2]quests!$1:$1,0)+1,FALSE)</f>
        <v>デルピュネー襲来！</v>
      </c>
      <c r="F2" s="111" t="str">
        <f ca="1">VLOOKUP($D2,OFFSET([2]stages!$A$1,0,0,COUNTA([2]stages!$A:$A),MATCH(F$1,[2]stages!$2:$2,0)-MATCH($D$1,[2]stages!$2:$2,0)+1),MATCH(F$1,[2]stages!$2:$2,0)-MATCH($D$1,[2]stages!$2:$2,0)+1,FALSE)</f>
        <v>【超絶級】デルピュネー襲来</v>
      </c>
      <c r="G2" s="109">
        <v>1</v>
      </c>
      <c r="H2" s="110" t="str">
        <f>B2&amp;"_"&amp;C2&amp;"-"&amp;G2</f>
        <v>40037_1-1</v>
      </c>
      <c r="I2" s="111">
        <f ca="1">VLOOKUP($H2,OFFSET(floors!$A$1,0,0,COUNTA(floors!$A:$A),MATCH(I$1,floors!$1:$1,0)-MATCH($H$1,floors!$1:$1,0)+1),MATCH(I$1,floors!$1:$1,0)-MATCH($H$1,floors!$1:$1,0)+1,FALSE)</f>
        <v>60</v>
      </c>
      <c r="J2" s="111">
        <f ca="1">VLOOKUP($H2,OFFSET(floors!$A$1,0,0,COUNTA(floors!$A:$A),MATCH(J$1,floors!$1:$1,0)-MATCH($H$1,floors!$1:$1,0)+1),MATCH(J$1,floors!$1:$1,0)-MATCH($H$1,floors!$1:$1,0)+1,FALSE)</f>
        <v>60</v>
      </c>
      <c r="K2" s="112" t="s">
        <v>53</v>
      </c>
      <c r="L2" s="113">
        <v>1200</v>
      </c>
      <c r="M2" s="114" t="str">
        <f ca="1">VLOOKUP($L2,OFFSET([3]enemies!$A$1,0,0,COUNTA([3]enemies!$A:$A),MATCH(M$1,[3]enemies!$1:$1,0)-MATCH($L$1,[3]enemies!$1:$1,0)+1),MATCH(M$1,[3]enemies!$1:$1,0)-MATCH($L$1,[3]enemies!$1:$1,0)+1,FALSE)</f>
        <v>サイクロプス</v>
      </c>
      <c r="N2" s="114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14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14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14">
        <f ca="1">VLOOKUP($L2,OFFSET([3]enemies!$A$1,0,0,COUNTA([3]enemies!$A:$A),MATCH(Q$1,[3]enemies!$1:$1,0)-MATCH($L$1,[3]enemies!$1:$1,0)+1),MATCH(Q$1,[3]enemies!$1:$1,0)-MATCH($L$1,[3]enemies!$1:$1,0)+1,FALSE)</f>
        <v>30</v>
      </c>
      <c r="R2" s="115">
        <v>50</v>
      </c>
      <c r="S2" s="116">
        <v>2</v>
      </c>
      <c r="T2" s="11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120510</v>
      </c>
      <c r="U2" s="116">
        <v>0.5</v>
      </c>
      <c r="V2" s="11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2303</v>
      </c>
      <c r="W2" s="115">
        <v>0</v>
      </c>
      <c r="X2" s="111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11">
        <v>40037000</v>
      </c>
      <c r="Z2" s="118">
        <v>1</v>
      </c>
      <c r="AA2" s="118">
        <v>100</v>
      </c>
      <c r="AB2" s="118">
        <v>0</v>
      </c>
      <c r="AC2" s="114">
        <v>1</v>
      </c>
      <c r="AD2" s="119">
        <f>L2</f>
        <v>1200</v>
      </c>
      <c r="AE2" s="111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2" s="111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111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120">
        <v>1</v>
      </c>
      <c r="AI2" s="119">
        <f ca="1">AF2</f>
        <v>4</v>
      </c>
      <c r="AJ2" s="121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1</v>
      </c>
      <c r="AP2" s="122">
        <v>1</v>
      </c>
    </row>
    <row r="3" spans="1:42" ht="21" customHeight="1" x14ac:dyDescent="0.15">
      <c r="A3" s="123" t="str">
        <f t="shared" ref="A3:A8" si="0">B3&amp;"_"&amp;C3&amp;"-"&amp;G3&amp;"/"&amp;L3&amp;"&lt;lv"&amp;R3&amp;"&gt;s"&amp;AC3</f>
        <v>40037_1-1/1210&lt;lv50&gt;s1</v>
      </c>
      <c r="B3" s="21">
        <v>40037</v>
      </c>
      <c r="C3" s="124">
        <v>1</v>
      </c>
      <c r="D3" s="15" t="str">
        <f t="shared" ref="D3:D8" si="1">B3&amp;"_"&amp;C3</f>
        <v>40037_1</v>
      </c>
      <c r="E3" s="4" t="str">
        <f ca="1">VLOOKUP($B3,OFFSET([2]quests!$A$1,0,0,COUNTA([2]quests!$A:$A),MATCH(E$1,[2]quests!$1:$1,0)-MATCH($B$1,[2]quests!$1:$1,0)+1),MATCH(E$1,[2]quests!$1:$1,0)-MATCH($B$1,[2]quests!$1:$1,0)+1,FALSE)</f>
        <v>デルピュネー襲来！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【超絶級】デルピュネー襲来</v>
      </c>
      <c r="G3" s="124">
        <v>1</v>
      </c>
      <c r="H3" s="15" t="str">
        <f t="shared" ref="H3:H8" si="2">B3&amp;"_"&amp;C3&amp;"-"&amp;G3</f>
        <v>40037_1-1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27" t="s">
        <v>53</v>
      </c>
      <c r="L3" s="125">
        <v>1210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ケンタウロス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3">
        <v>2</v>
      </c>
      <c r="T3" s="8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131114</v>
      </c>
      <c r="U3" s="23">
        <v>0.4</v>
      </c>
      <c r="V3" s="8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2777.2000000000003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40037001</v>
      </c>
      <c r="Z3" s="6">
        <v>1</v>
      </c>
      <c r="AA3" s="6">
        <v>100</v>
      </c>
      <c r="AB3" s="6">
        <v>0</v>
      </c>
      <c r="AC3" s="17">
        <v>1</v>
      </c>
      <c r="AD3" s="126">
        <f t="shared" ref="AD3:AD15" si="3">L3</f>
        <v>1210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127">
        <v>1</v>
      </c>
      <c r="AI3" s="126">
        <f t="shared" ref="AI3:AI8" ca="1" si="4">AF3</f>
        <v>4</v>
      </c>
      <c r="AJ3" s="8">
        <v>0</v>
      </c>
      <c r="AK3" s="127">
        <v>0</v>
      </c>
      <c r="AL3" s="127">
        <v>0</v>
      </c>
      <c r="AM3" s="127">
        <v>0</v>
      </c>
      <c r="AN3" s="127">
        <v>0</v>
      </c>
      <c r="AO3" s="127">
        <v>1</v>
      </c>
      <c r="AP3" s="128">
        <v>1</v>
      </c>
    </row>
    <row r="4" spans="1:42" ht="21" customHeight="1" x14ac:dyDescent="0.15">
      <c r="A4" s="123" t="str">
        <f t="shared" si="0"/>
        <v>40037_1-2/381&lt;lv50&gt;s2</v>
      </c>
      <c r="B4" s="21">
        <v>40037</v>
      </c>
      <c r="C4" s="124">
        <v>1</v>
      </c>
      <c r="D4" s="15" t="str">
        <f t="shared" si="1"/>
        <v>40037_1</v>
      </c>
      <c r="E4" s="4" t="str">
        <f ca="1">VLOOKUP($B4,OFFSET([2]quests!$A$1,0,0,COUNTA([2]quests!$A:$A),MATCH(E$1,[2]quests!$1:$1,0)-MATCH($B$1,[2]quests!$1:$1,0)+1),MATCH(E$1,[2]quests!$1:$1,0)-MATCH($B$1,[2]quests!$1:$1,0)+1,FALSE)</f>
        <v>デルピュネー襲来！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【超絶級】デルピュネー襲来</v>
      </c>
      <c r="G4" s="124">
        <v>2</v>
      </c>
      <c r="H4" s="15" t="str">
        <f t="shared" si="2"/>
        <v>40037_1-2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27" t="s">
        <v>53</v>
      </c>
      <c r="L4" s="125">
        <v>381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肉食の恋火 バハムート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50</v>
      </c>
      <c r="S4" s="23">
        <v>2.1</v>
      </c>
      <c r="T4" s="8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145515.30000000002</v>
      </c>
      <c r="U4" s="23">
        <v>0.45</v>
      </c>
      <c r="V4" s="8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2372.85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40037002</v>
      </c>
      <c r="Z4" s="6">
        <v>1</v>
      </c>
      <c r="AA4" s="6">
        <v>100</v>
      </c>
      <c r="AB4" s="6">
        <v>0</v>
      </c>
      <c r="AC4" s="17">
        <v>2</v>
      </c>
      <c r="AD4" s="126">
        <f t="shared" si="3"/>
        <v>381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127">
        <v>1</v>
      </c>
      <c r="AI4" s="126">
        <f t="shared" ca="1" si="4"/>
        <v>4</v>
      </c>
      <c r="AJ4" s="8">
        <v>0</v>
      </c>
      <c r="AK4" s="127">
        <v>0</v>
      </c>
      <c r="AL4" s="127">
        <v>0</v>
      </c>
      <c r="AM4" s="127">
        <v>0</v>
      </c>
      <c r="AN4" s="127">
        <v>0</v>
      </c>
      <c r="AO4" s="127">
        <v>1</v>
      </c>
      <c r="AP4" s="128">
        <v>1</v>
      </c>
    </row>
    <row r="5" spans="1:42" ht="21" customHeight="1" x14ac:dyDescent="0.15">
      <c r="A5" s="123" t="str">
        <f t="shared" si="0"/>
        <v>40037_1-2/738&lt;lv50&gt;s2</v>
      </c>
      <c r="B5" s="21">
        <v>40037</v>
      </c>
      <c r="C5" s="124">
        <v>1</v>
      </c>
      <c r="D5" s="15" t="str">
        <f t="shared" si="1"/>
        <v>40037_1</v>
      </c>
      <c r="E5" s="4" t="str">
        <f ca="1">VLOOKUP($B5,OFFSET([2]quests!$A$1,0,0,COUNTA([2]quests!$A:$A),MATCH(E$1,[2]quests!$1:$1,0)-MATCH($B$1,[2]quests!$1:$1,0)+1),MATCH(E$1,[2]quests!$1:$1,0)-MATCH($B$1,[2]quests!$1:$1,0)+1,FALSE)</f>
        <v>デルピュネー襲来！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【超絶級】デルピュネー襲来</v>
      </c>
      <c r="G5" s="124">
        <v>2</v>
      </c>
      <c r="H5" s="15" t="str">
        <f t="shared" si="2"/>
        <v>40037_1-2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27" t="s">
        <v>53</v>
      </c>
      <c r="L5" s="125">
        <v>738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ラドン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23">
        <v>1.9</v>
      </c>
      <c r="T5" s="8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146286.69999999998</v>
      </c>
      <c r="U5" s="23">
        <v>0.5</v>
      </c>
      <c r="V5" s="8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2814.5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40037003</v>
      </c>
      <c r="Z5" s="6">
        <v>1</v>
      </c>
      <c r="AA5" s="6">
        <v>100</v>
      </c>
      <c r="AB5" s="6">
        <v>0</v>
      </c>
      <c r="AC5" s="17">
        <v>2</v>
      </c>
      <c r="AD5" s="126">
        <f t="shared" si="3"/>
        <v>738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ラドン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27">
        <v>1</v>
      </c>
      <c r="AI5" s="126">
        <f t="shared" ca="1" si="4"/>
        <v>4</v>
      </c>
      <c r="AJ5" s="8">
        <v>0</v>
      </c>
      <c r="AK5" s="127">
        <v>0</v>
      </c>
      <c r="AL5" s="127">
        <v>0</v>
      </c>
      <c r="AM5" s="127">
        <v>0</v>
      </c>
      <c r="AN5" s="127">
        <v>0</v>
      </c>
      <c r="AO5" s="127">
        <v>1</v>
      </c>
      <c r="AP5" s="128">
        <v>1</v>
      </c>
    </row>
    <row r="6" spans="1:42" ht="21" customHeight="1" x14ac:dyDescent="0.15">
      <c r="A6" s="123" t="str">
        <f t="shared" si="0"/>
        <v>40037_1-3/230&lt;lv50&gt;s2</v>
      </c>
      <c r="B6" s="21">
        <v>40037</v>
      </c>
      <c r="C6" s="124">
        <v>1</v>
      </c>
      <c r="D6" s="15" t="str">
        <f t="shared" si="1"/>
        <v>40037_1</v>
      </c>
      <c r="E6" s="4" t="str">
        <f ca="1">VLOOKUP($B6,OFFSET([2]quests!$A$1,0,0,COUNTA([2]quests!$A:$A),MATCH(E$1,[2]quests!$1:$1,0)-MATCH($B$1,[2]quests!$1:$1,0)+1),MATCH(E$1,[2]quests!$1:$1,0)-MATCH($B$1,[2]quests!$1:$1,0)+1,FALSE)</f>
        <v>デルピュネー襲来！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【超絶級】デルピュネー襲来</v>
      </c>
      <c r="G6" s="124">
        <v>3</v>
      </c>
      <c r="H6" s="15" t="str">
        <f t="shared" si="2"/>
        <v>40037_1-3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27" t="s">
        <v>53</v>
      </c>
      <c r="L6" s="125">
        <v>230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毒銃 ヨルムンガンド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3">
        <v>2.4</v>
      </c>
      <c r="T6" s="8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254445.59999999998</v>
      </c>
      <c r="U6" s="23">
        <v>0.6</v>
      </c>
      <c r="V6" s="8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2338.1999999999998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40037004</v>
      </c>
      <c r="Z6" s="6">
        <v>1</v>
      </c>
      <c r="AA6" s="6">
        <v>100</v>
      </c>
      <c r="AB6" s="6">
        <v>0</v>
      </c>
      <c r="AC6" s="17">
        <v>2</v>
      </c>
      <c r="AD6" s="126">
        <f t="shared" si="3"/>
        <v>230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毒銃 ヨルムンガンド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127">
        <v>1</v>
      </c>
      <c r="AI6" s="126">
        <f t="shared" ca="1" si="4"/>
        <v>4</v>
      </c>
      <c r="AJ6" s="8">
        <v>0</v>
      </c>
      <c r="AK6" s="127">
        <v>0</v>
      </c>
      <c r="AL6" s="127">
        <v>0</v>
      </c>
      <c r="AM6" s="127">
        <v>0</v>
      </c>
      <c r="AN6" s="127">
        <v>0</v>
      </c>
      <c r="AO6" s="127">
        <v>1</v>
      </c>
      <c r="AP6" s="128">
        <v>1</v>
      </c>
    </row>
    <row r="7" spans="1:42" ht="21" customHeight="1" x14ac:dyDescent="0.15">
      <c r="A7" s="123" t="str">
        <f t="shared" si="0"/>
        <v>40037_1-3/260&lt;lv50&gt;s2</v>
      </c>
      <c r="B7" s="21">
        <v>40037</v>
      </c>
      <c r="C7" s="124">
        <v>1</v>
      </c>
      <c r="D7" s="15" t="str">
        <f t="shared" si="1"/>
        <v>40037_1</v>
      </c>
      <c r="E7" s="4" t="str">
        <f ca="1">VLOOKUP($B7,OFFSET([2]quests!$A$1,0,0,COUNTA([2]quests!$A:$A),MATCH(E$1,[2]quests!$1:$1,0)-MATCH($B$1,[2]quests!$1:$1,0)+1),MATCH(E$1,[2]quests!$1:$1,0)-MATCH($B$1,[2]quests!$1:$1,0)+1,FALSE)</f>
        <v>デルピュネー襲来！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【超絶級】デルピュネー襲来</v>
      </c>
      <c r="G7" s="124">
        <v>3</v>
      </c>
      <c r="H7" s="15" t="str">
        <f t="shared" si="2"/>
        <v>40037_1-3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27" t="s">
        <v>53</v>
      </c>
      <c r="L7" s="125">
        <v>260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輪廻 ウロボロス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50</v>
      </c>
      <c r="S7" s="23">
        <v>3</v>
      </c>
      <c r="T7" s="8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226359</v>
      </c>
      <c r="U7" s="23">
        <v>0.5</v>
      </c>
      <c r="V7" s="8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2901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40037005</v>
      </c>
      <c r="Z7" s="6">
        <v>1</v>
      </c>
      <c r="AA7" s="6">
        <v>100</v>
      </c>
      <c r="AB7" s="6">
        <v>0</v>
      </c>
      <c r="AC7" s="17">
        <v>2</v>
      </c>
      <c r="AD7" s="126">
        <f t="shared" si="3"/>
        <v>260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輪廻 ウロボロス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127">
        <v>1</v>
      </c>
      <c r="AI7" s="126">
        <f t="shared" ca="1" si="4"/>
        <v>4</v>
      </c>
      <c r="AJ7" s="8">
        <v>0</v>
      </c>
      <c r="AK7" s="127">
        <v>0</v>
      </c>
      <c r="AL7" s="127">
        <v>0</v>
      </c>
      <c r="AM7" s="127">
        <v>0</v>
      </c>
      <c r="AN7" s="127">
        <v>0</v>
      </c>
      <c r="AO7" s="127">
        <v>1</v>
      </c>
      <c r="AP7" s="128">
        <v>1</v>
      </c>
    </row>
    <row r="8" spans="1:42" ht="21" customHeight="1" thickBot="1" x14ac:dyDescent="0.2">
      <c r="A8" s="129" t="str">
        <f t="shared" si="0"/>
        <v>40037_1-4/1204&lt;lv50&gt;s2</v>
      </c>
      <c r="B8" s="130">
        <v>40037</v>
      </c>
      <c r="C8" s="131">
        <v>1</v>
      </c>
      <c r="D8" s="132" t="str">
        <f t="shared" si="1"/>
        <v>40037_1</v>
      </c>
      <c r="E8" s="133" t="str">
        <f ca="1">VLOOKUP($B8,OFFSET([2]quests!$A$1,0,0,COUNTA([2]quests!$A:$A),MATCH(E$1,[2]quests!$1:$1,0)-MATCH($B$1,[2]quests!$1:$1,0)+1),MATCH(E$1,[2]quests!$1:$1,0)-MATCH($B$1,[2]quests!$1:$1,0)+1,FALSE)</f>
        <v>デルピュネー襲来！</v>
      </c>
      <c r="F8" s="133" t="str">
        <f ca="1">VLOOKUP($D8,OFFSET([2]stages!$A$1,0,0,COUNTA([2]stages!$A:$A),MATCH(F$1,[2]stages!$2:$2,0)-MATCH($D$1,[2]stages!$2:$2,0)+1),MATCH(F$1,[2]stages!$2:$2,0)-MATCH($D$1,[2]stages!$2:$2,0)+1,FALSE)</f>
        <v>【超絶級】デルピュネー襲来</v>
      </c>
      <c r="G8" s="131">
        <v>4</v>
      </c>
      <c r="H8" s="132" t="str">
        <f t="shared" si="2"/>
        <v>40037_1-4</v>
      </c>
      <c r="I8" s="133">
        <f ca="1">VLOOKUP($H8,OFFSET(floors!$A$1,0,0,COUNTA(floors!$A:$A),MATCH(I$1,floors!$1:$1,0)-MATCH($H$1,floors!$1:$1,0)+1),MATCH(I$1,floors!$1:$1,0)-MATCH($H$1,floors!$1:$1,0)+1,FALSE)</f>
        <v>60</v>
      </c>
      <c r="J8" s="133">
        <f ca="1">VLOOKUP($H8,OFFSET(floors!$A$1,0,0,COUNTA(floors!$A:$A),MATCH(J$1,floors!$1:$1,0)-MATCH($H$1,floors!$1:$1,0)+1),MATCH(J$1,floors!$1:$1,0)-MATCH($H$1,floors!$1:$1,0)+1,FALSE)</f>
        <v>60</v>
      </c>
      <c r="K8" s="134">
        <v>1</v>
      </c>
      <c r="L8" s="135">
        <v>1204</v>
      </c>
      <c r="M8" s="136" t="str">
        <f ca="1">VLOOKUP($L8,OFFSET([3]enemies!$A$1,0,0,COUNTA([3]enemies!$A:$A),MATCH(M$1,[3]enemies!$1:$1,0)-MATCH($L$1,[3]enemies!$1:$1,0)+1),MATCH(M$1,[3]enemies!$1:$1,0)-MATCH($L$1,[3]enemies!$1:$1,0)+1,FALSE)</f>
        <v>デルピュネー</v>
      </c>
      <c r="N8" s="136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36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36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36">
        <f ca="1">VLOOKUP($L8,OFFSET([3]enemies!$A$1,0,0,COUNTA([3]enemies!$A:$A),MATCH(Q$1,[3]enemies!$1:$1,0)-MATCH($L$1,[3]enemies!$1:$1,0)+1),MATCH(Q$1,[3]enemies!$1:$1,0)-MATCH($L$1,[3]enemies!$1:$1,0)+1,FALSE)</f>
        <v>60</v>
      </c>
      <c r="R8" s="137">
        <v>50</v>
      </c>
      <c r="S8" s="138">
        <v>4.4000000000000004</v>
      </c>
      <c r="T8" s="13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377207.60000000003</v>
      </c>
      <c r="U8" s="138">
        <v>0.5</v>
      </c>
      <c r="V8" s="13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3738.5</v>
      </c>
      <c r="W8" s="137">
        <v>0</v>
      </c>
      <c r="X8" s="133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133">
        <v>40037006</v>
      </c>
      <c r="Z8" s="140">
        <v>0</v>
      </c>
      <c r="AA8" s="140">
        <v>100</v>
      </c>
      <c r="AB8" s="140">
        <v>1</v>
      </c>
      <c r="AC8" s="136">
        <v>2</v>
      </c>
      <c r="AD8" s="141">
        <f t="shared" si="3"/>
        <v>1204</v>
      </c>
      <c r="AE8" s="133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デルピュネー</v>
      </c>
      <c r="AF8" s="133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133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42">
        <v>1</v>
      </c>
      <c r="AI8" s="141">
        <f t="shared" ca="1" si="4"/>
        <v>5</v>
      </c>
      <c r="AJ8" s="143">
        <v>15</v>
      </c>
      <c r="AK8" s="142">
        <v>0</v>
      </c>
      <c r="AL8" s="142">
        <v>0</v>
      </c>
      <c r="AM8" s="142">
        <v>0</v>
      </c>
      <c r="AN8" s="142">
        <v>0</v>
      </c>
      <c r="AO8" s="142">
        <v>1</v>
      </c>
      <c r="AP8" s="144">
        <v>1</v>
      </c>
    </row>
    <row r="9" spans="1:42" ht="21" customHeight="1" x14ac:dyDescent="0.15">
      <c r="A9" s="107" t="str">
        <f>B9&amp;"_"&amp;C9&amp;"-"&amp;G9&amp;"/"&amp;L9&amp;"&lt;lv"&amp;R9&amp;"&gt;s"&amp;AC9</f>
        <v>40037_2-1/1200&lt;lv60&gt;s1</v>
      </c>
      <c r="B9" s="108">
        <v>40037</v>
      </c>
      <c r="C9" s="109">
        <v>2</v>
      </c>
      <c r="D9" s="110" t="str">
        <f>B9&amp;"_"&amp;C9</f>
        <v>40037_2</v>
      </c>
      <c r="E9" s="111" t="str">
        <f ca="1">VLOOKUP($B9,OFFSET([2]quests!$A$1,0,0,COUNTA([2]quests!$A:$A),MATCH(E$1,[2]quests!$1:$1,0)-MATCH($B$1,[2]quests!$1:$1,0)+1),MATCH(E$1,[2]quests!$1:$1,0)-MATCH($B$1,[2]quests!$1:$1,0)+1,FALSE)</f>
        <v>デルピュネー襲来！</v>
      </c>
      <c r="F9" s="111" t="str">
        <f ca="1">VLOOKUP($D9,OFFSET([2]stages!$A$1,0,0,COUNTA([2]stages!$A:$A),MATCH(F$1,[2]stages!$2:$2,0)-MATCH($D$1,[2]stages!$2:$2,0)+1),MATCH(F$1,[2]stages!$2:$2,0)-MATCH($D$1,[2]stages!$2:$2,0)+1,FALSE)</f>
        <v>【ウィザード級】デルピュネー襲来</v>
      </c>
      <c r="G9" s="109">
        <v>1</v>
      </c>
      <c r="H9" s="110" t="str">
        <f>B9&amp;"_"&amp;C9&amp;"-"&amp;G9</f>
        <v>40037_2-1</v>
      </c>
      <c r="I9" s="111">
        <f ca="1">VLOOKUP($H9,OFFSET(floors!$A$1,0,0,COUNTA(floors!$A:$A),MATCH(I$1,floors!$1:$1,0)-MATCH($H$1,floors!$1:$1,0)+1),MATCH(I$1,floors!$1:$1,0)-MATCH($H$1,floors!$1:$1,0)+1,FALSE)</f>
        <v>60</v>
      </c>
      <c r="J9" s="111">
        <f ca="1">VLOOKUP($H9,OFFSET(floors!$A$1,0,0,COUNTA(floors!$A:$A),MATCH(J$1,floors!$1:$1,0)-MATCH($H$1,floors!$1:$1,0)+1),MATCH(J$1,floors!$1:$1,0)-MATCH($H$1,floors!$1:$1,0)+1,FALSE)</f>
        <v>60</v>
      </c>
      <c r="K9" s="112" t="s">
        <v>53</v>
      </c>
      <c r="L9" s="113">
        <v>1200</v>
      </c>
      <c r="M9" s="114" t="str">
        <f ca="1">VLOOKUP($L9,OFFSET([3]enemies!$A$1,0,0,COUNTA([3]enemies!$A:$A),MATCH(M$1,[3]enemies!$1:$1,0)-MATCH($L$1,[3]enemies!$1:$1,0)+1),MATCH(M$1,[3]enemies!$1:$1,0)-MATCH($L$1,[3]enemies!$1:$1,0)+1,FALSE)</f>
        <v>サイクロプス</v>
      </c>
      <c r="N9" s="114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14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14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14">
        <f ca="1">VLOOKUP($L9,OFFSET([3]enemies!$A$1,0,0,COUNTA([3]enemies!$A:$A),MATCH(Q$1,[3]enemies!$1:$1,0)-MATCH($L$1,[3]enemies!$1:$1,0)+1),MATCH(Q$1,[3]enemies!$1:$1,0)-MATCH($L$1,[3]enemies!$1:$1,0)+1,FALSE)</f>
        <v>30</v>
      </c>
      <c r="R9" s="115">
        <v>60</v>
      </c>
      <c r="S9" s="116">
        <v>2.5</v>
      </c>
      <c r="T9" s="11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179887.5</v>
      </c>
      <c r="U9" s="116">
        <v>0.6</v>
      </c>
      <c r="V9" s="11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3300</v>
      </c>
      <c r="W9" s="115">
        <v>0</v>
      </c>
      <c r="X9" s="111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111">
        <v>40037100</v>
      </c>
      <c r="Z9" s="118">
        <v>1</v>
      </c>
      <c r="AA9" s="118">
        <v>100</v>
      </c>
      <c r="AB9" s="118">
        <v>0</v>
      </c>
      <c r="AC9" s="114">
        <v>1</v>
      </c>
      <c r="AD9" s="119">
        <f>L9</f>
        <v>1200</v>
      </c>
      <c r="AE9" s="111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9" s="111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111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120">
        <v>1</v>
      </c>
      <c r="AI9" s="119">
        <f ca="1">AF9</f>
        <v>4</v>
      </c>
      <c r="AJ9" s="121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1</v>
      </c>
      <c r="AP9" s="122">
        <v>1</v>
      </c>
    </row>
    <row r="10" spans="1:42" ht="21" customHeight="1" x14ac:dyDescent="0.15">
      <c r="A10" s="123" t="str">
        <f t="shared" ref="A10:A15" si="5">B10&amp;"_"&amp;C10&amp;"-"&amp;G10&amp;"/"&amp;L10&amp;"&lt;lv"&amp;R10&amp;"&gt;s"&amp;AC10</f>
        <v>40037_2-1/1210&lt;lv60&gt;s1</v>
      </c>
      <c r="B10" s="21">
        <v>40037</v>
      </c>
      <c r="C10" s="124">
        <v>2</v>
      </c>
      <c r="D10" s="15" t="str">
        <f t="shared" ref="D10:D15" si="6">B10&amp;"_"&amp;C10</f>
        <v>40037_2</v>
      </c>
      <c r="E10" s="4" t="str">
        <f ca="1">VLOOKUP($B10,OFFSET([2]quests!$A$1,0,0,COUNTA([2]quests!$A:$A),MATCH(E$1,[2]quests!$1:$1,0)-MATCH($B$1,[2]quests!$1:$1,0)+1),MATCH(E$1,[2]quests!$1:$1,0)-MATCH($B$1,[2]quests!$1:$1,0)+1,FALSE)</f>
        <v>デルピュネー襲来！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【ウィザード級】デルピュネー襲来</v>
      </c>
      <c r="G10" s="124">
        <v>1</v>
      </c>
      <c r="H10" s="15" t="str">
        <f t="shared" ref="H10:H15" si="7">B10&amp;"_"&amp;C10&amp;"-"&amp;G10</f>
        <v>40037_2-1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27" t="s">
        <v>53</v>
      </c>
      <c r="L10" s="125">
        <v>1210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ケンタウロス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3">
        <v>2.5</v>
      </c>
      <c r="T10" s="8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195717.5</v>
      </c>
      <c r="U10" s="23">
        <v>0.5</v>
      </c>
      <c r="V10" s="8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4145.5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">
        <v>40037101</v>
      </c>
      <c r="Z10" s="6">
        <v>1</v>
      </c>
      <c r="AA10" s="6">
        <v>100</v>
      </c>
      <c r="AB10" s="6">
        <v>0</v>
      </c>
      <c r="AC10" s="17">
        <v>1</v>
      </c>
      <c r="AD10" s="126">
        <f t="shared" si="3"/>
        <v>1210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127">
        <v>1</v>
      </c>
      <c r="AI10" s="126">
        <f t="shared" ref="AI10:AI15" ca="1" si="8">AF10</f>
        <v>4</v>
      </c>
      <c r="AJ10" s="8">
        <v>0</v>
      </c>
      <c r="AK10" s="127">
        <v>0</v>
      </c>
      <c r="AL10" s="127">
        <v>0</v>
      </c>
      <c r="AM10" s="127">
        <v>0</v>
      </c>
      <c r="AN10" s="127">
        <v>0</v>
      </c>
      <c r="AO10" s="127">
        <v>1</v>
      </c>
      <c r="AP10" s="128">
        <v>1</v>
      </c>
    </row>
    <row r="11" spans="1:42" ht="21" customHeight="1" x14ac:dyDescent="0.15">
      <c r="A11" s="123" t="str">
        <f t="shared" si="5"/>
        <v>40037_2-2/381&lt;lv60&gt;s2</v>
      </c>
      <c r="B11" s="21">
        <v>40037</v>
      </c>
      <c r="C11" s="124">
        <v>2</v>
      </c>
      <c r="D11" s="15" t="str">
        <f t="shared" si="6"/>
        <v>40037_2</v>
      </c>
      <c r="E11" s="4" t="str">
        <f ca="1">VLOOKUP($B11,OFFSET([2]quests!$A$1,0,0,COUNTA([2]quests!$A:$A),MATCH(E$1,[2]quests!$1:$1,0)-MATCH($B$1,[2]quests!$1:$1,0)+1),MATCH(E$1,[2]quests!$1:$1,0)-MATCH($B$1,[2]quests!$1:$1,0)+1,FALSE)</f>
        <v>デルピュネー襲来！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【ウィザード級】デルピュネー襲来</v>
      </c>
      <c r="G11" s="124">
        <v>2</v>
      </c>
      <c r="H11" s="15" t="str">
        <f t="shared" si="7"/>
        <v>40037_2-2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27" t="s">
        <v>53</v>
      </c>
      <c r="L11" s="125">
        <v>381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肉食の恋火 バハムート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60</v>
      </c>
      <c r="S11" s="23">
        <v>2.6</v>
      </c>
      <c r="T11" s="8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215144.80000000002</v>
      </c>
      <c r="U11" s="23">
        <v>0.7</v>
      </c>
      <c r="V11" s="8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4407.8999999999996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">
        <v>40037102</v>
      </c>
      <c r="Z11" s="6">
        <v>1</v>
      </c>
      <c r="AA11" s="6">
        <v>100</v>
      </c>
      <c r="AB11" s="6">
        <v>0</v>
      </c>
      <c r="AC11" s="17">
        <v>2</v>
      </c>
      <c r="AD11" s="126">
        <f t="shared" si="3"/>
        <v>381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127">
        <v>1</v>
      </c>
      <c r="AI11" s="126">
        <f t="shared" ca="1" si="8"/>
        <v>4</v>
      </c>
      <c r="AJ11" s="8">
        <v>0</v>
      </c>
      <c r="AK11" s="127">
        <v>0</v>
      </c>
      <c r="AL11" s="127">
        <v>0</v>
      </c>
      <c r="AM11" s="127">
        <v>0</v>
      </c>
      <c r="AN11" s="127">
        <v>0</v>
      </c>
      <c r="AO11" s="127">
        <v>1</v>
      </c>
      <c r="AP11" s="128">
        <v>1</v>
      </c>
    </row>
    <row r="12" spans="1:42" ht="21" customHeight="1" x14ac:dyDescent="0.15">
      <c r="A12" s="123" t="str">
        <f t="shared" si="5"/>
        <v>40037_2-2/738&lt;lv60&gt;s2</v>
      </c>
      <c r="B12" s="21">
        <v>40037</v>
      </c>
      <c r="C12" s="124">
        <v>2</v>
      </c>
      <c r="D12" s="15" t="str">
        <f t="shared" si="6"/>
        <v>40037_2</v>
      </c>
      <c r="E12" s="4" t="str">
        <f ca="1">VLOOKUP($B12,OFFSET([2]quests!$A$1,0,0,COUNTA([2]quests!$A:$A),MATCH(E$1,[2]quests!$1:$1,0)-MATCH($B$1,[2]quests!$1:$1,0)+1),MATCH(E$1,[2]quests!$1:$1,0)-MATCH($B$1,[2]quests!$1:$1,0)+1,FALSE)</f>
        <v>デルピュネー襲来！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【ウィザード級】デルピュネー襲来</v>
      </c>
      <c r="G12" s="124">
        <v>2</v>
      </c>
      <c r="H12" s="15" t="str">
        <f t="shared" si="7"/>
        <v>40037_2-2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27" t="s">
        <v>53</v>
      </c>
      <c r="L12" s="125">
        <v>738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ラドン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3">
        <v>2.2000000000000002</v>
      </c>
      <c r="T12" s="8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202274.6</v>
      </c>
      <c r="U12" s="23">
        <v>0.6</v>
      </c>
      <c r="V12" s="8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4033.7999999999997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">
        <v>40037103</v>
      </c>
      <c r="Z12" s="6">
        <v>1</v>
      </c>
      <c r="AA12" s="6">
        <v>100</v>
      </c>
      <c r="AB12" s="6">
        <v>0</v>
      </c>
      <c r="AC12" s="17">
        <v>2</v>
      </c>
      <c r="AD12" s="126">
        <f t="shared" si="3"/>
        <v>738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ラドン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127">
        <v>1</v>
      </c>
      <c r="AI12" s="126">
        <f t="shared" ca="1" si="8"/>
        <v>4</v>
      </c>
      <c r="AJ12" s="8">
        <v>0</v>
      </c>
      <c r="AK12" s="127">
        <v>0</v>
      </c>
      <c r="AL12" s="127">
        <v>0</v>
      </c>
      <c r="AM12" s="127">
        <v>0</v>
      </c>
      <c r="AN12" s="127">
        <v>0</v>
      </c>
      <c r="AO12" s="127">
        <v>1</v>
      </c>
      <c r="AP12" s="128">
        <v>1</v>
      </c>
    </row>
    <row r="13" spans="1:42" ht="21" customHeight="1" x14ac:dyDescent="0.15">
      <c r="A13" s="123" t="str">
        <f t="shared" si="5"/>
        <v>40037_2-3/230&lt;lv60&gt;s2</v>
      </c>
      <c r="B13" s="21">
        <v>40037</v>
      </c>
      <c r="C13" s="124">
        <v>2</v>
      </c>
      <c r="D13" s="15" t="str">
        <f t="shared" si="6"/>
        <v>40037_2</v>
      </c>
      <c r="E13" s="4" t="str">
        <f ca="1">VLOOKUP($B13,OFFSET([2]quests!$A$1,0,0,COUNTA([2]quests!$A:$A),MATCH(E$1,[2]quests!$1:$1,0)-MATCH($B$1,[2]quests!$1:$1,0)+1),MATCH(E$1,[2]quests!$1:$1,0)-MATCH($B$1,[2]quests!$1:$1,0)+1,FALSE)</f>
        <v>デルピュネー襲来！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【ウィザード級】デルピュネー襲来</v>
      </c>
      <c r="G13" s="124">
        <v>3</v>
      </c>
      <c r="H13" s="15" t="str">
        <f t="shared" si="7"/>
        <v>40037_2-3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27" t="s">
        <v>53</v>
      </c>
      <c r="L13" s="125">
        <v>230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毒銃 ヨルムンガンド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60</v>
      </c>
      <c r="S13" s="23">
        <v>2.4</v>
      </c>
      <c r="T13" s="8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303852</v>
      </c>
      <c r="U13" s="23">
        <v>0.8</v>
      </c>
      <c r="V13" s="8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3723.2000000000003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4">
        <v>40037104</v>
      </c>
      <c r="Z13" s="6">
        <v>1</v>
      </c>
      <c r="AA13" s="6">
        <v>100</v>
      </c>
      <c r="AB13" s="6">
        <v>0</v>
      </c>
      <c r="AC13" s="17">
        <v>2</v>
      </c>
      <c r="AD13" s="126">
        <f t="shared" si="3"/>
        <v>230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毒銃 ヨルムンガンド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127">
        <v>1</v>
      </c>
      <c r="AI13" s="126">
        <f t="shared" ca="1" si="8"/>
        <v>4</v>
      </c>
      <c r="AJ13" s="8">
        <v>0</v>
      </c>
      <c r="AK13" s="127">
        <v>0</v>
      </c>
      <c r="AL13" s="127">
        <v>0</v>
      </c>
      <c r="AM13" s="127">
        <v>0</v>
      </c>
      <c r="AN13" s="127">
        <v>0</v>
      </c>
      <c r="AO13" s="127">
        <v>1</v>
      </c>
      <c r="AP13" s="128">
        <v>1</v>
      </c>
    </row>
    <row r="14" spans="1:42" ht="21" customHeight="1" x14ac:dyDescent="0.15">
      <c r="A14" s="123" t="str">
        <f t="shared" si="5"/>
        <v>40037_2-3/260&lt;lv60&gt;s2</v>
      </c>
      <c r="B14" s="21">
        <v>40037</v>
      </c>
      <c r="C14" s="124">
        <v>2</v>
      </c>
      <c r="D14" s="15" t="str">
        <f t="shared" si="6"/>
        <v>40037_2</v>
      </c>
      <c r="E14" s="4" t="str">
        <f ca="1">VLOOKUP($B14,OFFSET([2]quests!$A$1,0,0,COUNTA([2]quests!$A:$A),MATCH(E$1,[2]quests!$1:$1,0)-MATCH($B$1,[2]quests!$1:$1,0)+1),MATCH(E$1,[2]quests!$1:$1,0)-MATCH($B$1,[2]quests!$1:$1,0)+1,FALSE)</f>
        <v>デルピュネー襲来！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【ウィザード級】デルピュネー襲来</v>
      </c>
      <c r="G14" s="124">
        <v>3</v>
      </c>
      <c r="H14" s="15" t="str">
        <f t="shared" si="7"/>
        <v>40037_2-3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27" t="s">
        <v>53</v>
      </c>
      <c r="L14" s="125">
        <v>260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輪廻 ウロボロス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3">
        <v>3</v>
      </c>
      <c r="T14" s="8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270312</v>
      </c>
      <c r="U14" s="23">
        <v>0.6</v>
      </c>
      <c r="V14" s="8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4156.8</v>
      </c>
      <c r="W14" s="5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4">
        <v>40037105</v>
      </c>
      <c r="Z14" s="6">
        <v>1</v>
      </c>
      <c r="AA14" s="6">
        <v>100</v>
      </c>
      <c r="AB14" s="6">
        <v>0</v>
      </c>
      <c r="AC14" s="17">
        <v>2</v>
      </c>
      <c r="AD14" s="126">
        <f t="shared" si="3"/>
        <v>260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輪廻 ウロボロス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127">
        <v>1</v>
      </c>
      <c r="AI14" s="126">
        <f t="shared" ca="1" si="8"/>
        <v>4</v>
      </c>
      <c r="AJ14" s="8">
        <v>0</v>
      </c>
      <c r="AK14" s="127">
        <v>0</v>
      </c>
      <c r="AL14" s="127">
        <v>0</v>
      </c>
      <c r="AM14" s="127">
        <v>0</v>
      </c>
      <c r="AN14" s="127">
        <v>0</v>
      </c>
      <c r="AO14" s="127">
        <v>1</v>
      </c>
      <c r="AP14" s="128">
        <v>1</v>
      </c>
    </row>
    <row r="15" spans="1:42" ht="21" customHeight="1" thickBot="1" x14ac:dyDescent="0.2">
      <c r="A15" s="129" t="str">
        <f t="shared" si="5"/>
        <v>40037_2-4/1204&lt;lv60&gt;s2</v>
      </c>
      <c r="B15" s="130">
        <v>40037</v>
      </c>
      <c r="C15" s="131">
        <v>2</v>
      </c>
      <c r="D15" s="132" t="str">
        <f t="shared" si="6"/>
        <v>40037_2</v>
      </c>
      <c r="E15" s="133" t="str">
        <f ca="1">VLOOKUP($B15,OFFSET([2]quests!$A$1,0,0,COUNTA([2]quests!$A:$A),MATCH(E$1,[2]quests!$1:$1,0)-MATCH($B$1,[2]quests!$1:$1,0)+1),MATCH(E$1,[2]quests!$1:$1,0)-MATCH($B$1,[2]quests!$1:$1,0)+1,FALSE)</f>
        <v>デルピュネー襲来！</v>
      </c>
      <c r="F15" s="133" t="str">
        <f ca="1">VLOOKUP($D15,OFFSET([2]stages!$A$1,0,0,COUNTA([2]stages!$A:$A),MATCH(F$1,[2]stages!$2:$2,0)-MATCH($D$1,[2]stages!$2:$2,0)+1),MATCH(F$1,[2]stages!$2:$2,0)-MATCH($D$1,[2]stages!$2:$2,0)+1,FALSE)</f>
        <v>【ウィザード級】デルピュネー襲来</v>
      </c>
      <c r="G15" s="131">
        <v>4</v>
      </c>
      <c r="H15" s="132" t="str">
        <f t="shared" si="7"/>
        <v>40037_2-4</v>
      </c>
      <c r="I15" s="133">
        <f ca="1">VLOOKUP($H15,OFFSET(floors!$A$1,0,0,COUNTA(floors!$A:$A),MATCH(I$1,floors!$1:$1,0)-MATCH($H$1,floors!$1:$1,0)+1),MATCH(I$1,floors!$1:$1,0)-MATCH($H$1,floors!$1:$1,0)+1,FALSE)</f>
        <v>60</v>
      </c>
      <c r="J15" s="133">
        <f ca="1">VLOOKUP($H15,OFFSET(floors!$A$1,0,0,COUNTA(floors!$A:$A),MATCH(J$1,floors!$1:$1,0)-MATCH($H$1,floors!$1:$1,0)+1),MATCH(J$1,floors!$1:$1,0)-MATCH($H$1,floors!$1:$1,0)+1,FALSE)</f>
        <v>60</v>
      </c>
      <c r="K15" s="134">
        <v>2</v>
      </c>
      <c r="L15" s="135">
        <v>1204</v>
      </c>
      <c r="M15" s="136" t="str">
        <f ca="1">VLOOKUP($L15,OFFSET([3]enemies!$A$1,0,0,COUNTA([3]enemies!$A:$A),MATCH(M$1,[3]enemies!$1:$1,0)-MATCH($L$1,[3]enemies!$1:$1,0)+1),MATCH(M$1,[3]enemies!$1:$1,0)-MATCH($L$1,[3]enemies!$1:$1,0)+1,FALSE)</f>
        <v>デルピュネー</v>
      </c>
      <c r="N15" s="136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36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36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36">
        <f ca="1">VLOOKUP($L15,OFFSET([3]enemies!$A$1,0,0,COUNTA([3]enemies!$A:$A),MATCH(Q$1,[3]enemies!$1:$1,0)-MATCH($L$1,[3]enemies!$1:$1,0)+1),MATCH(Q$1,[3]enemies!$1:$1,0)-MATCH($L$1,[3]enemies!$1:$1,0)+1,FALSE)</f>
        <v>60</v>
      </c>
      <c r="R15" s="137">
        <v>60</v>
      </c>
      <c r="S15" s="138">
        <v>5</v>
      </c>
      <c r="T15" s="139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511875</v>
      </c>
      <c r="U15" s="138">
        <v>0.7</v>
      </c>
      <c r="V15" s="139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6249.5999999999995</v>
      </c>
      <c r="W15" s="137">
        <v>0</v>
      </c>
      <c r="X15" s="133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133">
        <v>40037106</v>
      </c>
      <c r="Z15" s="140">
        <v>0</v>
      </c>
      <c r="AA15" s="140">
        <v>100</v>
      </c>
      <c r="AB15" s="140">
        <v>1</v>
      </c>
      <c r="AC15" s="136">
        <v>2</v>
      </c>
      <c r="AD15" s="141">
        <f t="shared" si="3"/>
        <v>1204</v>
      </c>
      <c r="AE15" s="133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デルピュネー</v>
      </c>
      <c r="AF15" s="133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133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142">
        <v>1</v>
      </c>
      <c r="AI15" s="141">
        <f t="shared" ca="1" si="8"/>
        <v>5</v>
      </c>
      <c r="AJ15" s="143">
        <v>30</v>
      </c>
      <c r="AK15" s="142">
        <v>0</v>
      </c>
      <c r="AL15" s="142">
        <v>0</v>
      </c>
      <c r="AM15" s="142">
        <v>0</v>
      </c>
      <c r="AN15" s="142">
        <v>0</v>
      </c>
      <c r="AO15" s="142">
        <v>1</v>
      </c>
      <c r="AP15" s="144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Y1" sqref="Y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6" customFormat="1" ht="21" customHeight="1" thickBot="1" x14ac:dyDescent="0.2">
      <c r="A1" s="24" t="s">
        <v>29</v>
      </c>
      <c r="B1" s="25" t="s">
        <v>0</v>
      </c>
      <c r="C1" s="25" t="s">
        <v>1</v>
      </c>
      <c r="D1" s="101" t="s">
        <v>28</v>
      </c>
      <c r="E1" s="101" t="s">
        <v>16</v>
      </c>
      <c r="F1" s="101" t="s">
        <v>16</v>
      </c>
      <c r="G1" s="25" t="s">
        <v>19</v>
      </c>
      <c r="H1" s="101" t="s">
        <v>30</v>
      </c>
      <c r="I1" s="101" t="s">
        <v>14</v>
      </c>
      <c r="J1" s="101" t="s">
        <v>15</v>
      </c>
      <c r="K1" s="102" t="s">
        <v>54</v>
      </c>
      <c r="L1" s="102" t="s">
        <v>55</v>
      </c>
      <c r="M1" s="102" t="s">
        <v>2</v>
      </c>
      <c r="N1" s="103" t="s">
        <v>16</v>
      </c>
      <c r="O1" s="101" t="s">
        <v>24</v>
      </c>
      <c r="P1" s="101" t="s">
        <v>23</v>
      </c>
      <c r="Q1" s="104" t="s">
        <v>26</v>
      </c>
      <c r="R1" s="101" t="s">
        <v>25</v>
      </c>
      <c r="S1" s="25" t="s">
        <v>3</v>
      </c>
      <c r="T1" s="25" t="s">
        <v>48</v>
      </c>
      <c r="U1" s="105" t="s">
        <v>254</v>
      </c>
      <c r="V1" s="25" t="s">
        <v>50</v>
      </c>
      <c r="W1" s="105" t="s">
        <v>255</v>
      </c>
      <c r="X1" s="25" t="s">
        <v>52</v>
      </c>
      <c r="Y1" s="25" t="s">
        <v>130</v>
      </c>
      <c r="Z1" s="101" t="s">
        <v>129</v>
      </c>
      <c r="AA1" s="25" t="s">
        <v>8</v>
      </c>
    </row>
    <row r="2" spans="1:27" ht="21" customHeight="1" x14ac:dyDescent="0.15">
      <c r="A2" s="107" t="str">
        <f>B2&amp;"_"&amp;C2&amp;"-"&amp;G2&amp;"/"&amp;M2&amp;"&lt;lv"&amp;S2&amp;"&gt;sq"&amp;K2&amp;"st"&amp;L2</f>
        <v>40037_1-4/1205&lt;lv50&gt;sq1st2</v>
      </c>
      <c r="B2" s="108">
        <v>40037</v>
      </c>
      <c r="C2" s="109">
        <v>1</v>
      </c>
      <c r="D2" s="110" t="str">
        <f>B2&amp;"_"&amp;C2</f>
        <v>40037_1</v>
      </c>
      <c r="E2" s="111" t="str">
        <f ca="1">VLOOKUP($B2,OFFSET([2]quests!$A$1,0,0,COUNTA([2]quests!$A:$A),MATCH(E$1,[2]quests!$1:$1,0)-MATCH($B$1,[2]quests!$1:$1,0)+1),MATCH(E$1,[2]quests!$1:$1,0)-MATCH($B$1,[2]quests!$1:$1,0)+1,FALSE)</f>
        <v>デルピュネー襲来！</v>
      </c>
      <c r="F2" s="111" t="str">
        <f ca="1">VLOOKUP($D2,OFFSET([2]stages!$A$1,0,0,COUNTA([2]stages!$A:$A),MATCH(F$1,[2]stages!$2:$2,0)-MATCH($D$1,[2]stages!$2:$2,0)+1),MATCH(F$1,[2]stages!$2:$2,0)-MATCH($D$1,[2]stages!$2:$2,0)+1,FALSE)</f>
        <v>【超絶級】デルピュネー襲来</v>
      </c>
      <c r="G2" s="109">
        <v>4</v>
      </c>
      <c r="H2" s="110" t="str">
        <f>B2&amp;"_"&amp;C2&amp;"-"&amp;G2</f>
        <v>40037_1-4</v>
      </c>
      <c r="I2" s="111">
        <f ca="1">VLOOKUP($H2,OFFSET(floors!$A$1,0,0,COUNTA(floors!$A:$A),MATCH(I$1,floors!$1:$1,0)-MATCH($H$1,floors!$1:$1,0)+1),MATCH(I$1,floors!$1:$1,0)-MATCH($H$1,floors!$1:$1,0)+1,FALSE)</f>
        <v>60</v>
      </c>
      <c r="J2" s="111">
        <f ca="1">VLOOKUP($H2,OFFSET(floors!$A$1,0,0,COUNTA(floors!$A:$A),MATCH(J$1,floors!$1:$1,0)-MATCH($H$1,floors!$1:$1,0)+1),MATCH(J$1,floors!$1:$1,0)-MATCH($H$1,floors!$1:$1,0)+1,FALSE)</f>
        <v>60</v>
      </c>
      <c r="K2" s="112">
        <v>1</v>
      </c>
      <c r="L2" s="112">
        <v>2</v>
      </c>
      <c r="M2" s="113">
        <v>1205</v>
      </c>
      <c r="N2" s="114" t="str">
        <f ca="1">VLOOKUP($M2,OFFSET([3]enemies!$A$1,0,0,COUNTA([3]enemies!$A:$A),MATCH(N$1,[3]enemies!$1:$1,0)-MATCH($M$1,[3]enemies!$1:$1,0)+1),MATCH(N$1,[3]enemies!$1:$1,0)-MATCH($M$1,[3]enemies!$1:$1,0)+1,FALSE)</f>
        <v>襲奪の竜鱗姫 デルピュネー</v>
      </c>
      <c r="O2" s="114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14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14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14">
        <f ca="1">VLOOKUP($M2,OFFSET([3]enemies!$A$1,0,0,COUNTA([3]enemies!$A:$A),MATCH(R$1,[3]enemies!$1:$1,0)-MATCH($M$1,[3]enemies!$1:$1,0)+1),MATCH(R$1,[3]enemies!$1:$1,0)-MATCH($M$1,[3]enemies!$1:$1,0)+1,FALSE)</f>
        <v>60</v>
      </c>
      <c r="S2" s="115">
        <v>50</v>
      </c>
      <c r="T2" s="116">
        <v>4</v>
      </c>
      <c r="U2" s="11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342916</v>
      </c>
      <c r="V2" s="116">
        <v>0.4</v>
      </c>
      <c r="W2" s="11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2990.8</v>
      </c>
      <c r="X2" s="115">
        <v>0</v>
      </c>
      <c r="Y2" s="111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11">
        <v>40037007</v>
      </c>
      <c r="AA2" s="145">
        <v>1</v>
      </c>
    </row>
    <row r="3" spans="1:27" ht="21" customHeight="1" thickBot="1" x14ac:dyDescent="0.2">
      <c r="A3" s="129" t="str">
        <f t="shared" ref="A3" si="0">B3&amp;"_"&amp;C3&amp;"-"&amp;G3&amp;"/"&amp;M3&amp;"&lt;lv"&amp;S3&amp;"&gt;sq"&amp;K3&amp;"st"&amp;L3</f>
        <v>40037_1-4/1205&lt;lv50&gt;sq1st3</v>
      </c>
      <c r="B3" s="130">
        <v>40037</v>
      </c>
      <c r="C3" s="131">
        <v>1</v>
      </c>
      <c r="D3" s="132" t="str">
        <f t="shared" ref="D3" si="1">B3&amp;"_"&amp;C3</f>
        <v>40037_1</v>
      </c>
      <c r="E3" s="133" t="str">
        <f ca="1">VLOOKUP($B3,OFFSET([2]quests!$A$1,0,0,COUNTA([2]quests!$A:$A),MATCH(E$1,[2]quests!$1:$1,0)-MATCH($B$1,[2]quests!$1:$1,0)+1),MATCH(E$1,[2]quests!$1:$1,0)-MATCH($B$1,[2]quests!$1:$1,0)+1,FALSE)</f>
        <v>デルピュネー襲来！</v>
      </c>
      <c r="F3" s="133" t="str">
        <f ca="1">VLOOKUP($D3,OFFSET([2]stages!$A$1,0,0,COUNTA([2]stages!$A:$A),MATCH(F$1,[2]stages!$2:$2,0)-MATCH($D$1,[2]stages!$2:$2,0)+1),MATCH(F$1,[2]stages!$2:$2,0)-MATCH($D$1,[2]stages!$2:$2,0)+1,FALSE)</f>
        <v>【超絶級】デルピュネー襲来</v>
      </c>
      <c r="G3" s="131">
        <v>4</v>
      </c>
      <c r="H3" s="132" t="str">
        <f t="shared" ref="H3" si="2">B3&amp;"_"&amp;C3&amp;"-"&amp;G3</f>
        <v>40037_1-4</v>
      </c>
      <c r="I3" s="133">
        <f ca="1">VLOOKUP($H3,OFFSET(floors!$A$1,0,0,COUNTA(floors!$A:$A),MATCH(I$1,floors!$1:$1,0)-MATCH($H$1,floors!$1:$1,0)+1),MATCH(I$1,floors!$1:$1,0)-MATCH($H$1,floors!$1:$1,0)+1,FALSE)</f>
        <v>60</v>
      </c>
      <c r="J3" s="133">
        <f ca="1">VLOOKUP($H3,OFFSET(floors!$A$1,0,0,COUNTA(floors!$A:$A),MATCH(J$1,floors!$1:$1,0)-MATCH($H$1,floors!$1:$1,0)+1),MATCH(J$1,floors!$1:$1,0)-MATCH($H$1,floors!$1:$1,0)+1,FALSE)</f>
        <v>60</v>
      </c>
      <c r="K3" s="134">
        <v>1</v>
      </c>
      <c r="L3" s="134">
        <v>3</v>
      </c>
      <c r="M3" s="135">
        <v>1205</v>
      </c>
      <c r="N3" s="136" t="str">
        <f ca="1">VLOOKUP($M3,OFFSET([3]enemies!$A$1,0,0,COUNTA([3]enemies!$A:$A),MATCH(N$1,[3]enemies!$1:$1,0)-MATCH($M$1,[3]enemies!$1:$1,0)+1),MATCH(N$1,[3]enemies!$1:$1,0)-MATCH($M$1,[3]enemies!$1:$1,0)+1,FALSE)</f>
        <v>襲奪の竜鱗姫 デルピュネー</v>
      </c>
      <c r="O3" s="13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3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36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36">
        <f ca="1">VLOOKUP($M3,OFFSET([3]enemies!$A$1,0,0,COUNTA([3]enemies!$A:$A),MATCH(R$1,[3]enemies!$1:$1,0)-MATCH($M$1,[3]enemies!$1:$1,0)+1),MATCH(R$1,[3]enemies!$1:$1,0)-MATCH($M$1,[3]enemies!$1:$1,0)+1,FALSE)</f>
        <v>60</v>
      </c>
      <c r="S3" s="137">
        <v>50</v>
      </c>
      <c r="T3" s="138">
        <v>4.5</v>
      </c>
      <c r="U3" s="13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385780.5</v>
      </c>
      <c r="V3" s="138">
        <v>0.45</v>
      </c>
      <c r="W3" s="13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3364.65</v>
      </c>
      <c r="X3" s="137">
        <v>0</v>
      </c>
      <c r="Y3" s="133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33">
        <v>40037008</v>
      </c>
      <c r="AA3" s="146">
        <v>1</v>
      </c>
    </row>
    <row r="4" spans="1:27" ht="21" customHeight="1" x14ac:dyDescent="0.15">
      <c r="A4" s="107" t="str">
        <f>B4&amp;"_"&amp;C4&amp;"-"&amp;G4&amp;"/"&amp;M4&amp;"&lt;lv"&amp;S4&amp;"&gt;sq"&amp;K4&amp;"st"&amp;L4</f>
        <v>40037_2-4/1205&lt;lv60&gt;sq2st2</v>
      </c>
      <c r="B4" s="108">
        <v>40037</v>
      </c>
      <c r="C4" s="109">
        <v>2</v>
      </c>
      <c r="D4" s="110" t="str">
        <f>B4&amp;"_"&amp;C4</f>
        <v>40037_2</v>
      </c>
      <c r="E4" s="111" t="str">
        <f ca="1">VLOOKUP($B4,OFFSET([2]quests!$A$1,0,0,COUNTA([2]quests!$A:$A),MATCH(E$1,[2]quests!$1:$1,0)-MATCH($B$1,[2]quests!$1:$1,0)+1),MATCH(E$1,[2]quests!$1:$1,0)-MATCH($B$1,[2]quests!$1:$1,0)+1,FALSE)</f>
        <v>デルピュネー襲来！</v>
      </c>
      <c r="F4" s="111" t="str">
        <f ca="1">VLOOKUP($D4,OFFSET([2]stages!$A$1,0,0,COUNTA([2]stages!$A:$A),MATCH(F$1,[2]stages!$2:$2,0)-MATCH($D$1,[2]stages!$2:$2,0)+1),MATCH(F$1,[2]stages!$2:$2,0)-MATCH($D$1,[2]stages!$2:$2,0)+1,FALSE)</f>
        <v>【ウィザード級】デルピュネー襲来</v>
      </c>
      <c r="G4" s="109">
        <v>4</v>
      </c>
      <c r="H4" s="110" t="str">
        <f>B4&amp;"_"&amp;C4&amp;"-"&amp;G4</f>
        <v>40037_2-4</v>
      </c>
      <c r="I4" s="111">
        <f ca="1">VLOOKUP($H4,OFFSET(floors!$A$1,0,0,COUNTA(floors!$A:$A),MATCH(I$1,floors!$1:$1,0)-MATCH($H$1,floors!$1:$1,0)+1),MATCH(I$1,floors!$1:$1,0)-MATCH($H$1,floors!$1:$1,0)+1,FALSE)</f>
        <v>60</v>
      </c>
      <c r="J4" s="111">
        <f ca="1">VLOOKUP($H4,OFFSET(floors!$A$1,0,0,COUNTA(floors!$A:$A),MATCH(J$1,floors!$1:$1,0)-MATCH($H$1,floors!$1:$1,0)+1),MATCH(J$1,floors!$1:$1,0)-MATCH($H$1,floors!$1:$1,0)+1,FALSE)</f>
        <v>60</v>
      </c>
      <c r="K4" s="112">
        <v>2</v>
      </c>
      <c r="L4" s="112">
        <v>2</v>
      </c>
      <c r="M4" s="113">
        <v>1205</v>
      </c>
      <c r="N4" s="114" t="str">
        <f ca="1">VLOOKUP($M4,OFFSET([3]enemies!$A$1,0,0,COUNTA([3]enemies!$A:$A),MATCH(N$1,[3]enemies!$1:$1,0)-MATCH($M$1,[3]enemies!$1:$1,0)+1),MATCH(N$1,[3]enemies!$1:$1,0)-MATCH($M$1,[3]enemies!$1:$1,0)+1,FALSE)</f>
        <v>襲奪の竜鱗姫 デルピュネー</v>
      </c>
      <c r="O4" s="114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14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14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14">
        <f ca="1">VLOOKUP($M4,OFFSET([3]enemies!$A$1,0,0,COUNTA([3]enemies!$A:$A),MATCH(R$1,[3]enemies!$1:$1,0)-MATCH($M$1,[3]enemies!$1:$1,0)+1),MATCH(R$1,[3]enemies!$1:$1,0)-MATCH($M$1,[3]enemies!$1:$1,0)+1,FALSE)</f>
        <v>60</v>
      </c>
      <c r="S4" s="115">
        <v>60</v>
      </c>
      <c r="T4" s="116">
        <v>6</v>
      </c>
      <c r="U4" s="11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614250</v>
      </c>
      <c r="V4" s="116">
        <v>0.9</v>
      </c>
      <c r="W4" s="11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8035.2</v>
      </c>
      <c r="X4" s="115">
        <v>0</v>
      </c>
      <c r="Y4" s="111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11">
        <v>40037107</v>
      </c>
      <c r="AA4" s="145">
        <v>1</v>
      </c>
    </row>
    <row r="5" spans="1:27" ht="21" customHeight="1" thickBot="1" x14ac:dyDescent="0.2">
      <c r="A5" s="129" t="str">
        <f t="shared" ref="A5" si="3">B5&amp;"_"&amp;C5&amp;"-"&amp;G5&amp;"/"&amp;M5&amp;"&lt;lv"&amp;S5&amp;"&gt;sq"&amp;K5&amp;"st"&amp;L5</f>
        <v>40037_2-4/1205&lt;lv60&gt;sq2st3</v>
      </c>
      <c r="B5" s="130">
        <v>40037</v>
      </c>
      <c r="C5" s="131">
        <v>2</v>
      </c>
      <c r="D5" s="132" t="str">
        <f t="shared" ref="D5" si="4">B5&amp;"_"&amp;C5</f>
        <v>40037_2</v>
      </c>
      <c r="E5" s="133" t="str">
        <f ca="1">VLOOKUP($B5,OFFSET([2]quests!$A$1,0,0,COUNTA([2]quests!$A:$A),MATCH(E$1,[2]quests!$1:$1,0)-MATCH($B$1,[2]quests!$1:$1,0)+1),MATCH(E$1,[2]quests!$1:$1,0)-MATCH($B$1,[2]quests!$1:$1,0)+1,FALSE)</f>
        <v>デルピュネー襲来！</v>
      </c>
      <c r="F5" s="133" t="str">
        <f ca="1">VLOOKUP($D5,OFFSET([2]stages!$A$1,0,0,COUNTA([2]stages!$A:$A),MATCH(F$1,[2]stages!$2:$2,0)-MATCH($D$1,[2]stages!$2:$2,0)+1),MATCH(F$1,[2]stages!$2:$2,0)-MATCH($D$1,[2]stages!$2:$2,0)+1,FALSE)</f>
        <v>【ウィザード級】デルピュネー襲来</v>
      </c>
      <c r="G5" s="131">
        <v>4</v>
      </c>
      <c r="H5" s="132" t="str">
        <f t="shared" ref="H5" si="5">B5&amp;"_"&amp;C5&amp;"-"&amp;G5</f>
        <v>40037_2-4</v>
      </c>
      <c r="I5" s="133">
        <f ca="1">VLOOKUP($H5,OFFSET(floors!$A$1,0,0,COUNTA(floors!$A:$A),MATCH(I$1,floors!$1:$1,0)-MATCH($H$1,floors!$1:$1,0)+1),MATCH(I$1,floors!$1:$1,0)-MATCH($H$1,floors!$1:$1,0)+1,FALSE)</f>
        <v>60</v>
      </c>
      <c r="J5" s="133">
        <f ca="1">VLOOKUP($H5,OFFSET(floors!$A$1,0,0,COUNTA(floors!$A:$A),MATCH(J$1,floors!$1:$1,0)-MATCH($H$1,floors!$1:$1,0)+1),MATCH(J$1,floors!$1:$1,0)-MATCH($H$1,floors!$1:$1,0)+1,FALSE)</f>
        <v>60</v>
      </c>
      <c r="K5" s="134">
        <v>2</v>
      </c>
      <c r="L5" s="134">
        <v>3</v>
      </c>
      <c r="M5" s="135">
        <v>1205</v>
      </c>
      <c r="N5" s="136" t="str">
        <f ca="1">VLOOKUP($M5,OFFSET([3]enemies!$A$1,0,0,COUNTA([3]enemies!$A:$A),MATCH(N$1,[3]enemies!$1:$1,0)-MATCH($M$1,[3]enemies!$1:$1,0)+1),MATCH(N$1,[3]enemies!$1:$1,0)-MATCH($M$1,[3]enemies!$1:$1,0)+1,FALSE)</f>
        <v>襲奪の竜鱗姫 デルピュネー</v>
      </c>
      <c r="O5" s="13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3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36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36">
        <f ca="1">VLOOKUP($M5,OFFSET([3]enemies!$A$1,0,0,COUNTA([3]enemies!$A:$A),MATCH(R$1,[3]enemies!$1:$1,0)-MATCH($M$1,[3]enemies!$1:$1,0)+1),MATCH(R$1,[3]enemies!$1:$1,0)-MATCH($M$1,[3]enemies!$1:$1,0)+1,FALSE)</f>
        <v>60</v>
      </c>
      <c r="S5" s="137">
        <v>60</v>
      </c>
      <c r="T5" s="138">
        <v>8.3000000000000007</v>
      </c>
      <c r="U5" s="13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849712.50000000012</v>
      </c>
      <c r="V5" s="138">
        <v>1</v>
      </c>
      <c r="W5" s="13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8928</v>
      </c>
      <c r="X5" s="137">
        <v>0</v>
      </c>
      <c r="Y5" s="133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33">
        <v>40037108</v>
      </c>
      <c r="AA5" s="146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109"/>
  <sheetViews>
    <sheetView showGridLines="0" workbookViewId="0">
      <pane xSplit="5" ySplit="1" topLeftCell="F76" activePane="bottomRight" state="frozen"/>
      <selection pane="topRight"/>
      <selection pane="bottomLeft"/>
      <selection pane="bottomRight" activeCell="H108" sqref="H108"/>
    </sheetView>
  </sheetViews>
  <sheetFormatPr baseColWidth="12" defaultColWidth="12.83203125" defaultRowHeight="21" customHeight="1" outlineLevelCol="1" x14ac:dyDescent="0.15"/>
  <cols>
    <col min="1" max="1" width="11.33203125" style="152" bestFit="1" customWidth="1"/>
    <col min="2" max="2" width="9.5" style="154" bestFit="1" customWidth="1"/>
    <col min="3" max="3" width="9.6640625" style="154" customWidth="1"/>
    <col min="4" max="4" width="18.5" style="154" customWidth="1" outlineLevel="1"/>
    <col min="5" max="5" width="64.6640625" style="154" customWidth="1" outlineLevel="1"/>
    <col min="6" max="6" width="10.83203125" style="154" bestFit="1" customWidth="1"/>
    <col min="7" max="7" width="8.33203125" style="154" bestFit="1" customWidth="1" outlineLevel="1"/>
    <col min="8" max="9" width="12.83203125" style="154" outlineLevel="1"/>
    <col min="10" max="10" width="17.6640625" style="154" bestFit="1" customWidth="1" outlineLevel="1"/>
    <col min="11" max="15" width="12.83203125" style="154" outlineLevel="1"/>
    <col min="16" max="16" width="8.33203125" style="153" bestFit="1" customWidth="1"/>
    <col min="17" max="17" width="9.6640625" style="153" customWidth="1"/>
    <col min="18" max="18" width="56.5" style="153" bestFit="1" customWidth="1"/>
    <col min="19" max="16384" width="12.83203125" style="153"/>
  </cols>
  <sheetData>
    <row r="1" spans="1:19" s="156" customFormat="1" ht="21" customHeight="1" x14ac:dyDescent="0.15">
      <c r="A1" s="159" t="s">
        <v>60</v>
      </c>
      <c r="B1" s="160" t="s">
        <v>61</v>
      </c>
      <c r="C1" s="160" t="s">
        <v>62</v>
      </c>
      <c r="D1" s="161" t="s">
        <v>63</v>
      </c>
      <c r="E1" s="161" t="s">
        <v>64</v>
      </c>
      <c r="F1" s="162" t="s">
        <v>65</v>
      </c>
      <c r="G1" s="163" t="s">
        <v>66</v>
      </c>
      <c r="H1" s="163" t="s">
        <v>68</v>
      </c>
      <c r="I1" s="163" t="s">
        <v>69</v>
      </c>
      <c r="J1" s="163" t="s">
        <v>70</v>
      </c>
      <c r="K1" s="163" t="s">
        <v>71</v>
      </c>
      <c r="L1" s="163" t="s">
        <v>72</v>
      </c>
      <c r="M1" s="163" t="s">
        <v>73</v>
      </c>
      <c r="N1" s="163" t="s">
        <v>74</v>
      </c>
      <c r="O1" s="163" t="s">
        <v>75</v>
      </c>
      <c r="P1" s="161" t="s">
        <v>76</v>
      </c>
      <c r="Q1" s="161" t="s">
        <v>77</v>
      </c>
      <c r="R1" s="164" t="s">
        <v>78</v>
      </c>
      <c r="S1" s="158"/>
    </row>
    <row r="2" spans="1:19" s="156" customFormat="1" ht="21" customHeight="1" x14ac:dyDescent="0.15">
      <c r="A2" s="165" t="str">
        <f t="shared" ref="A2" si="0">B2&amp;"_"&amp;C2</f>
        <v>40037000_40037300</v>
      </c>
      <c r="B2" s="32">
        <v>40037000</v>
      </c>
      <c r="C2" s="32">
        <v>40037300</v>
      </c>
      <c r="D2" s="31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まずは連携を……崩す</v>
      </c>
      <c r="E2" s="31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全ユニット一定確率で2ターンスキルバインド</v>
      </c>
      <c r="F2" s="32">
        <v>40037600</v>
      </c>
      <c r="G2" s="15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5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15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15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5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5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15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5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5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32"/>
      <c r="Q2" s="32"/>
      <c r="R2" s="100"/>
      <c r="S2" s="158"/>
    </row>
    <row r="3" spans="1:19" s="156" customFormat="1" ht="21" customHeight="1" x14ac:dyDescent="0.15">
      <c r="A3" s="165" t="str">
        <f t="shared" ref="A3:A68" si="1">B3&amp;"_"&amp;C3</f>
        <v>40037000_40037301</v>
      </c>
      <c r="B3" s="32">
        <v>40037000</v>
      </c>
      <c r="C3" s="32">
        <v>40037301</v>
      </c>
      <c r="D3" s="31" t="str">
        <f ca="1">VLOOKUP($C3,OFFSET(enemy_skills!$A$1,0,0,COUNTA(enemy_skills!$A:$A),MATCH(D$1,enemy_skills!$1:$1,0)-MATCH("enemy_skill_id",enemy_skills!$1:$1,0)+1),MATCH(D$1,enemy_skills!$1:$1,0)-MATCH("enemy_skill_id",enemy_skills!$1:$1,0)+1,FALSE)</f>
        <v>目標を捕捉……排除する</v>
      </c>
      <c r="E3" s="31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32">
        <v>40037601</v>
      </c>
      <c r="G3" s="15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5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" s="15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" s="15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5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5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15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15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5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" s="32"/>
      <c r="Q3" s="32"/>
      <c r="R3" s="100"/>
      <c r="S3" s="158"/>
    </row>
    <row r="4" spans="1:19" s="156" customFormat="1" ht="21" customHeight="1" thickBot="1" x14ac:dyDescent="0.2">
      <c r="A4" s="166" t="str">
        <f t="shared" si="1"/>
        <v>40037000_40037342</v>
      </c>
      <c r="B4" s="90">
        <v>40037000</v>
      </c>
      <c r="C4" s="90">
        <v>40037342</v>
      </c>
      <c r="D4" s="97" t="str">
        <f ca="1">VLOOKUP($C4,OFFSET(enemy_skills!$A$1,0,0,COUNTA(enemy_skills!$A:$A),MATCH(D$1,enemy_skills!$1:$1,0)-MATCH("enemy_skill_id",enemy_skills!$1:$1,0)+1),MATCH(D$1,enemy_skills!$1:$1,0)-MATCH("enemy_skill_id",enemy_skills!$1:$1,0)+1,FALSE)</f>
        <v>命令は……絶対</v>
      </c>
      <c r="E4" s="97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4" s="90">
        <v>40037648</v>
      </c>
      <c r="G4" s="9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9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" s="9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9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9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9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9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9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1210</v>
      </c>
      <c r="O4" s="9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90"/>
      <c r="Q4" s="90"/>
      <c r="R4" s="99"/>
      <c r="S4" s="158"/>
    </row>
    <row r="5" spans="1:19" s="156" customFormat="1" ht="21" customHeight="1" x14ac:dyDescent="0.15">
      <c r="A5" s="159" t="str">
        <f t="shared" si="1"/>
        <v>40037001_40037302</v>
      </c>
      <c r="B5" s="87">
        <v>40037001</v>
      </c>
      <c r="C5" s="87">
        <v>40037302</v>
      </c>
      <c r="D5" s="9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ここで足止めします！</v>
      </c>
      <c r="E5" s="94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赤パネルは確率でプロテクトされてドロップ</v>
      </c>
      <c r="F5" s="87">
        <v>40037602</v>
      </c>
      <c r="G5" s="9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9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9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9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9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9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9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9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9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87"/>
      <c r="Q5" s="87"/>
      <c r="R5" s="96"/>
      <c r="S5" s="158"/>
    </row>
    <row r="6" spans="1:19" s="156" customFormat="1" ht="21" customHeight="1" x14ac:dyDescent="0.15">
      <c r="A6" s="165" t="str">
        <f t="shared" si="1"/>
        <v>40037001_40037303</v>
      </c>
      <c r="B6" s="32">
        <v>40037001</v>
      </c>
      <c r="C6" s="32">
        <v>40037303</v>
      </c>
      <c r="D6" s="3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スピードには_x000D_自信があります！</v>
      </c>
      <c r="E6" s="31" t="str">
        <f ca="1">VLOOKUP($C6,OFFSET(enemy_skills!$A$1,0,0,COUNTA(enemy_skills!$A:$A),MATCH(E$1,enemy_skills!$1:$1,0)-MATCH("enemy_skill_id",enemy_skills!$1:$1,0)+1),MATCH(E$1,enemy_skills!$1:$1,0)-MATCH("enemy_skill_id",enemy_skills!$1:$1,0)+1,FALSE)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6" s="32">
        <v>40037603</v>
      </c>
      <c r="G6" s="15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5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" s="15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" s="15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5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5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5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5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5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" s="32"/>
      <c r="Q6" s="32"/>
      <c r="R6" s="100"/>
      <c r="S6" s="158"/>
    </row>
    <row r="7" spans="1:19" s="156" customFormat="1" ht="21" customHeight="1" thickBot="1" x14ac:dyDescent="0.2">
      <c r="A7" s="166" t="str">
        <f t="shared" si="1"/>
        <v>40037001_40037343</v>
      </c>
      <c r="B7" s="90">
        <v>40037001</v>
      </c>
      <c r="C7" s="90">
        <v>40037343</v>
      </c>
      <c r="D7" s="97" t="str">
        <f ca="1">VLOOKUP($C7,OFFSET(enemy_skills!$A$1,0,0,COUNTA(enemy_skills!$A:$A),MATCH(D$1,enemy_skills!$1:$1,0)-MATCH("enemy_skill_id",enemy_skills!$1:$1,0)+1),MATCH(D$1,enemy_skills!$1:$1,0)-MATCH("enemy_skill_id",enemy_skills!$1:$1,0)+1,FALSE)</f>
        <v>隊長が来るまで耐える！</v>
      </c>
      <c r="E7" s="97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7" s="90">
        <v>40037649</v>
      </c>
      <c r="G7" s="9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9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" s="9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9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9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9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9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9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1200</v>
      </c>
      <c r="O7" s="9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90"/>
      <c r="Q7" s="90"/>
      <c r="R7" s="99"/>
      <c r="S7" s="158"/>
    </row>
    <row r="8" spans="1:19" s="156" customFormat="1" ht="21" customHeight="1" x14ac:dyDescent="0.15">
      <c r="A8" s="159" t="str">
        <f t="shared" si="1"/>
        <v>40037002_40037304</v>
      </c>
      <c r="B8" s="87">
        <v>40037002</v>
      </c>
      <c r="C8" s="87">
        <v>40037304</v>
      </c>
      <c r="D8" s="9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ターゲットはっけーん♪</v>
      </c>
      <c r="E8" s="94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</v>
      </c>
      <c r="F8" s="87">
        <v>40037604</v>
      </c>
      <c r="G8" s="9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95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9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9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9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9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9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9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9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87"/>
      <c r="Q8" s="87"/>
      <c r="R8" s="96"/>
      <c r="S8" s="158"/>
    </row>
    <row r="9" spans="1:19" s="156" customFormat="1" ht="21" customHeight="1" x14ac:dyDescent="0.15">
      <c r="A9" s="165" t="str">
        <f t="shared" si="1"/>
        <v>40037002_40037305</v>
      </c>
      <c r="B9" s="32">
        <v>40037002</v>
      </c>
      <c r="C9" s="32">
        <v>40037305</v>
      </c>
      <c r="D9" s="3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ハートひとりじめっ！</v>
      </c>
      <c r="E9" s="31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ハートパネルを全て吸収して全体攻撃</v>
      </c>
      <c r="F9" s="32">
        <v>40037605</v>
      </c>
      <c r="G9" s="15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5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" s="15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" s="15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5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5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15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5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5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" s="32"/>
      <c r="Q9" s="32"/>
      <c r="R9" s="100"/>
      <c r="S9" s="158"/>
    </row>
    <row r="10" spans="1:19" s="156" customFormat="1" ht="21" customHeight="1" x14ac:dyDescent="0.15">
      <c r="A10" s="165" t="str">
        <f t="shared" si="1"/>
        <v>40037002_40037306</v>
      </c>
      <c r="B10" s="32">
        <v>40037002</v>
      </c>
      <c r="C10" s="32">
        <v>40037306</v>
      </c>
      <c r="D10" s="3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ぎゅってしてあげる♪</v>
      </c>
      <c r="E10" s="3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32">
        <v>40037606</v>
      </c>
      <c r="G10" s="15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5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" s="15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0" s="15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5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5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15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5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5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0" s="32"/>
      <c r="Q10" s="32"/>
      <c r="R10" s="100"/>
      <c r="S10" s="158"/>
    </row>
    <row r="11" spans="1:19" s="156" customFormat="1" ht="21" customHeight="1" thickBot="1" x14ac:dyDescent="0.2">
      <c r="A11" s="166" t="str">
        <f t="shared" si="1"/>
        <v>40037002_40037344</v>
      </c>
      <c r="B11" s="90">
        <v>40037002</v>
      </c>
      <c r="C11" s="90">
        <v>40037344</v>
      </c>
      <c r="D11" s="9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ターゲットひとりじめっ♪</v>
      </c>
      <c r="E11" s="9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11" s="90">
        <v>40037650</v>
      </c>
      <c r="G11" s="9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9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" s="9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9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9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9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9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9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738</v>
      </c>
      <c r="O11" s="9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90"/>
      <c r="Q11" s="90"/>
      <c r="R11" s="99"/>
      <c r="S11" s="158"/>
    </row>
    <row r="12" spans="1:19" s="156" customFormat="1" ht="21" customHeight="1" x14ac:dyDescent="0.15">
      <c r="A12" s="159" t="str">
        <f t="shared" si="1"/>
        <v>40037003_40037307</v>
      </c>
      <c r="B12" s="87">
        <v>40037003</v>
      </c>
      <c r="C12" s="87">
        <v>40037307</v>
      </c>
      <c r="D12" s="9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……マズハ妨害スル</v>
      </c>
      <c r="E12" s="9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10ターン ボムの爆風を50%DOWN</v>
      </c>
      <c r="F12" s="87">
        <v>40037607</v>
      </c>
      <c r="G12" s="9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9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9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9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9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9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9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9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9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87"/>
      <c r="Q12" s="87"/>
      <c r="R12" s="96"/>
      <c r="S12" s="158"/>
    </row>
    <row r="13" spans="1:19" s="156" customFormat="1" ht="21" customHeight="1" x14ac:dyDescent="0.15">
      <c r="A13" s="165" t="str">
        <f t="shared" si="1"/>
        <v>40037003_40037308</v>
      </c>
      <c r="B13" s="32">
        <v>40037003</v>
      </c>
      <c r="C13" s="32">
        <v>40037308</v>
      </c>
      <c r="D13" s="3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…追イ詰メルゾ</v>
      </c>
      <c r="E13" s="3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13" s="32">
        <v>40037608</v>
      </c>
      <c r="G13" s="15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5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3" s="15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3" s="15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5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5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15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5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5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3" s="32"/>
      <c r="Q13" s="32"/>
      <c r="R13" s="100"/>
      <c r="S13" s="158"/>
    </row>
    <row r="14" spans="1:19" s="156" customFormat="1" ht="21" customHeight="1" x14ac:dyDescent="0.15">
      <c r="A14" s="165" t="str">
        <f t="shared" si="1"/>
        <v>40037003_40037309</v>
      </c>
      <c r="B14" s="32">
        <v>40037003</v>
      </c>
      <c r="C14" s="32">
        <v>40037309</v>
      </c>
      <c r="D14" s="3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…散ルガイイ</v>
      </c>
      <c r="E14" s="3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8回連続攻撃+3ターン全ユニットの回復力50%DOWN</v>
      </c>
      <c r="F14" s="32">
        <v>40037609</v>
      </c>
      <c r="G14" s="15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5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4" s="15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4" s="15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5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5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15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5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5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4" s="32"/>
      <c r="Q14" s="32"/>
      <c r="R14" s="100"/>
      <c r="S14" s="158"/>
    </row>
    <row r="15" spans="1:19" s="156" customFormat="1" ht="21" customHeight="1" x14ac:dyDescent="0.15">
      <c r="A15" s="165" t="str">
        <f t="shared" ref="A15" si="2">B15&amp;"_"&amp;C15</f>
        <v>40037003_40037347</v>
      </c>
      <c r="B15" s="32">
        <v>40037003</v>
      </c>
      <c r="C15" s="32">
        <v>40037347</v>
      </c>
      <c r="D15" s="31" t="str">
        <f ca="1">VLOOKUP($C15,OFFSET(enemy_skills!$A$1,0,0,COUNTA(enemy_skills!$A:$A),MATCH(D$1,enemy_skills!$1:$1,0)-MATCH("enemy_skill_id",enemy_skills!$1:$1,0)+1),MATCH(D$1,enemy_skills!$1:$1,0)-MATCH("enemy_skill_id",enemy_skills!$1:$1,0)+1,FALSE)</f>
        <v>…削ッテイクゾ</v>
      </c>
      <c r="E15" s="31" t="str">
        <f ca="1">VLOOKUP($C15,OFFSET(enemy_skills!$A$1,0,0,COUNTA(enemy_skills!$A:$A),MATCH(E$1,enemy_skills!$1:$1,0)-MATCH("enemy_skill_id",enemy_skills!$1:$1,0)+1),MATCH(E$1,enemy_skills!$1:$1,0)-MATCH("enemy_skill_id",enemy_skills!$1:$1,0)+1,FALSE)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15" s="32">
        <v>40037653</v>
      </c>
      <c r="G15" s="15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15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5" s="15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15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15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5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15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15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5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32"/>
      <c r="Q15" s="32"/>
      <c r="R15" s="100"/>
      <c r="S15" s="158"/>
    </row>
    <row r="16" spans="1:19" s="156" customFormat="1" ht="21" customHeight="1" thickBot="1" x14ac:dyDescent="0.2">
      <c r="A16" s="166" t="str">
        <f t="shared" si="1"/>
        <v>40037003_40037345</v>
      </c>
      <c r="B16" s="90">
        <v>40037003</v>
      </c>
      <c r="C16" s="90">
        <v>40037345</v>
      </c>
      <c r="D16" s="97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…全力ヲ尽クスマデ</v>
      </c>
      <c r="E16" s="97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16" s="90">
        <v>40037651</v>
      </c>
      <c r="G16" s="9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9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6" s="9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9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9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9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9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9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381</v>
      </c>
      <c r="O16" s="9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90"/>
      <c r="Q16" s="90"/>
      <c r="R16" s="99"/>
      <c r="S16" s="158"/>
    </row>
    <row r="17" spans="1:19" s="156" customFormat="1" ht="21" customHeight="1" x14ac:dyDescent="0.15">
      <c r="A17" s="159" t="str">
        <f t="shared" si="1"/>
        <v>40037004_40037310</v>
      </c>
      <c r="B17" s="87">
        <v>40037004</v>
      </c>
      <c r="C17" s="87">
        <v>40037310</v>
      </c>
      <c r="D17" s="9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隊長が来る前に_x000D_投降をお勧めするわ</v>
      </c>
      <c r="E17" s="9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ハートパネルは確率でプロテクトされてドロップ</v>
      </c>
      <c r="F17" s="87">
        <v>40037610</v>
      </c>
      <c r="G17" s="9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95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9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9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9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9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9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9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9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87"/>
      <c r="Q17" s="87"/>
      <c r="R17" s="96"/>
      <c r="S17" s="158"/>
    </row>
    <row r="18" spans="1:19" s="156" customFormat="1" ht="21" customHeight="1" x14ac:dyDescent="0.15">
      <c r="A18" s="165" t="str">
        <f t="shared" si="1"/>
        <v>40037004_40037311</v>
      </c>
      <c r="B18" s="32">
        <v>40037004</v>
      </c>
      <c r="C18" s="32">
        <v>40037311</v>
      </c>
      <c r="D18" s="31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なかなかやるじゃない_x000D_でもまだ終わりじゃないわ</v>
      </c>
      <c r="E18" s="31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自身の攻撃力&amp;攻撃頻度UP+_x000D_8回連続攻撃</v>
      </c>
      <c r="F18" s="32">
        <v>40037611</v>
      </c>
      <c r="G18" s="15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5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15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5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5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5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5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57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260</v>
      </c>
      <c r="O18" s="15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2"/>
      <c r="Q18" s="32"/>
      <c r="R18" s="100"/>
      <c r="S18" s="158"/>
    </row>
    <row r="19" spans="1:19" s="156" customFormat="1" ht="21" customHeight="1" x14ac:dyDescent="0.15">
      <c r="A19" s="165" t="str">
        <f t="shared" si="1"/>
        <v>40037004_40037312</v>
      </c>
      <c r="B19" s="32">
        <v>40037004</v>
      </c>
      <c r="C19" s="32">
        <v>40037312</v>
      </c>
      <c r="D19" s="3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サーティエイトスペシャル_x000D_.38スペシャル弾</v>
      </c>
      <c r="E19" s="3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9" s="32">
        <v>40037612</v>
      </c>
      <c r="G19" s="15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15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9" s="15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9" s="15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5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5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9" s="15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5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5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9" s="32"/>
      <c r="Q19" s="32"/>
      <c r="R19" s="100"/>
      <c r="S19" s="158"/>
    </row>
    <row r="20" spans="1:19" s="156" customFormat="1" ht="21" customHeight="1" thickBot="1" x14ac:dyDescent="0.2">
      <c r="A20" s="166" t="str">
        <f t="shared" si="1"/>
        <v>40037004_40037313</v>
      </c>
      <c r="B20" s="90">
        <v>40037004</v>
      </c>
      <c r="C20" s="90">
        <v>40037313</v>
      </c>
      <c r="D20" s="97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スリーフィフティセブン_x000D_.357マグナム弾</v>
      </c>
      <c r="E20" s="97" t="str">
        <f ca="1">VLOOKUP($C20,OFFSET(enemy_skills!$A$1,0,0,COUNTA(enemy_skills!$A:$A),MATCH(E$1,enemy_skills!$1:$1,0)-MATCH("enemy_skill_id",enemy_skills!$1:$1,0)+1),MATCH(E$1,enemy_skills!$1:$1,0)-MATCH("enemy_skill_id",enemy_skills!$1:$1,0)+1,FALSE)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0" s="90">
        <v>40037613</v>
      </c>
      <c r="G20" s="9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9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0" s="9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9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9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9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0" s="9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9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9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90"/>
      <c r="Q20" s="90"/>
      <c r="R20" s="99"/>
      <c r="S20" s="158"/>
    </row>
    <row r="21" spans="1:19" s="156" customFormat="1" ht="21" customHeight="1" x14ac:dyDescent="0.15">
      <c r="A21" s="159" t="str">
        <f t="shared" si="1"/>
        <v>40037005_40037314</v>
      </c>
      <c r="B21" s="87">
        <v>40037005</v>
      </c>
      <c r="C21" s="87">
        <v>40037314</v>
      </c>
      <c r="D21" s="9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私たちが相手よ！</v>
      </c>
      <c r="E21" s="9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緑パネルは確率でプロテクトされてドロップ</v>
      </c>
      <c r="F21" s="87">
        <v>40037614</v>
      </c>
      <c r="G21" s="9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9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9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9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9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9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9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9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9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87"/>
      <c r="Q21" s="87"/>
      <c r="R21" s="96"/>
      <c r="S21" s="158"/>
    </row>
    <row r="22" spans="1:19" s="156" customFormat="1" ht="21" customHeight="1" x14ac:dyDescent="0.15">
      <c r="A22" s="165" t="str">
        <f t="shared" si="1"/>
        <v>40037005_40037315</v>
      </c>
      <c r="B22" s="32">
        <v>40037005</v>
      </c>
      <c r="C22" s="32">
        <v>40037315</v>
      </c>
      <c r="D22" s="3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よくもやったわね！</v>
      </c>
      <c r="E22" s="3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22" s="32">
        <v>40037615</v>
      </c>
      <c r="G22" s="15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5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2" s="15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5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5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5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5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57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230</v>
      </c>
      <c r="O22" s="15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2"/>
      <c r="Q22" s="32"/>
      <c r="R22" s="100"/>
      <c r="S22" s="158"/>
    </row>
    <row r="23" spans="1:19" s="156" customFormat="1" ht="21" customHeight="1" x14ac:dyDescent="0.15">
      <c r="A23" s="165" t="str">
        <f t="shared" si="1"/>
        <v>40037005_40037316</v>
      </c>
      <c r="B23" s="32">
        <v>40037005</v>
      </c>
      <c r="C23" s="32">
        <v>40037316</v>
      </c>
      <c r="D23" s="31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全員いただきよ！</v>
      </c>
      <c r="E23" s="31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全体攻撃+2ターン全ユニットの回復力70%DOWN</v>
      </c>
      <c r="F23" s="32">
        <v>40037616</v>
      </c>
      <c r="G23" s="15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5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3" s="15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3" s="15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5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5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15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5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5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3" s="32"/>
      <c r="Q23" s="32"/>
      <c r="R23" s="100"/>
      <c r="S23" s="158"/>
    </row>
    <row r="24" spans="1:19" s="156" customFormat="1" ht="21" customHeight="1" thickBot="1" x14ac:dyDescent="0.2">
      <c r="A24" s="166" t="str">
        <f t="shared" si="1"/>
        <v>40037005_40037317</v>
      </c>
      <c r="B24" s="90">
        <v>40037005</v>
      </c>
      <c r="C24" s="90">
        <v>40037317</v>
      </c>
      <c r="D24" s="97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時間を歪めれば…</v>
      </c>
      <c r="E24" s="97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24" s="90">
        <v>40037617</v>
      </c>
      <c r="G24" s="9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9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4" s="9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9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9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9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9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9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9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90"/>
      <c r="Q24" s="90"/>
      <c r="R24" s="99"/>
      <c r="S24" s="158"/>
    </row>
    <row r="25" spans="1:19" s="156" customFormat="1" ht="21" customHeight="1" x14ac:dyDescent="0.15">
      <c r="A25" s="159" t="str">
        <f t="shared" si="1"/>
        <v>40037006_40037318</v>
      </c>
      <c r="B25" s="87">
        <v>40037006</v>
      </c>
      <c r="C25" s="87">
        <v>40037318</v>
      </c>
      <c r="D25" s="9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ネメシスか…面倒な奴がいるな</v>
      </c>
      <c r="E25" s="9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25" s="87">
        <v>40037618</v>
      </c>
      <c r="G25" s="9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95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9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9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9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95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95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95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1208</v>
      </c>
      <c r="O25" s="9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87"/>
      <c r="Q25" s="87"/>
      <c r="R25" s="96"/>
      <c r="S25" s="158"/>
    </row>
    <row r="26" spans="1:19" s="156" customFormat="1" ht="21" customHeight="1" x14ac:dyDescent="0.15">
      <c r="A26" s="165" t="str">
        <f t="shared" si="1"/>
        <v>40037006_40037318</v>
      </c>
      <c r="B26" s="32">
        <v>40037006</v>
      </c>
      <c r="C26" s="32">
        <v>40037318</v>
      </c>
      <c r="D26" s="31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ネメシスか…面倒な奴がいるな</v>
      </c>
      <c r="E26" s="31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26" s="32">
        <v>40037619</v>
      </c>
      <c r="G26" s="15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5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6" s="15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5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5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5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5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5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1209</v>
      </c>
      <c r="O26" s="15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2"/>
      <c r="Q26" s="32"/>
      <c r="R26" s="100"/>
      <c r="S26" s="158"/>
    </row>
    <row r="27" spans="1:19" s="156" customFormat="1" ht="21" customHeight="1" x14ac:dyDescent="0.15">
      <c r="A27" s="165" t="str">
        <f t="shared" si="1"/>
        <v>40037006_40037319</v>
      </c>
      <c r="B27" s="32">
        <v>40037006</v>
      </c>
      <c r="C27" s="32">
        <v>40037319</v>
      </c>
      <c r="D27" s="3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ヘルメス…なぜオマエが…_x000D_まぁ良い一緒に片付けてやろう</v>
      </c>
      <c r="E27" s="3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27" s="32">
        <v>40037620</v>
      </c>
      <c r="G27" s="15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15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7" s="15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5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5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5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15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5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744</v>
      </c>
      <c r="O27" s="15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2"/>
      <c r="Q27" s="32"/>
      <c r="R27" s="100"/>
      <c r="S27" s="158"/>
    </row>
    <row r="28" spans="1:19" s="156" customFormat="1" ht="21" customHeight="1" x14ac:dyDescent="0.15">
      <c r="A28" s="165" t="str">
        <f t="shared" si="1"/>
        <v>40037006_40037319</v>
      </c>
      <c r="B28" s="32">
        <v>40037006</v>
      </c>
      <c r="C28" s="32">
        <v>40037319</v>
      </c>
      <c r="D28" s="31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ヘルメス…なぜオマエが…_x000D_まぁ良い一緒に片付けてやろう</v>
      </c>
      <c r="E28" s="31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28" s="32">
        <v>40037621</v>
      </c>
      <c r="G28" s="15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15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8" s="15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5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5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5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15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5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745</v>
      </c>
      <c r="O28" s="15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2"/>
      <c r="Q28" s="32"/>
      <c r="R28" s="100"/>
      <c r="S28" s="158"/>
    </row>
    <row r="29" spans="1:19" s="156" customFormat="1" ht="21" customHeight="1" x14ac:dyDescent="0.15">
      <c r="A29" s="165" t="str">
        <f t="shared" si="1"/>
        <v>40037006_40037320</v>
      </c>
      <c r="B29" s="32">
        <v>40037006</v>
      </c>
      <c r="C29" s="32">
        <v>40037320</v>
      </c>
      <c r="D29" s="31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アポロン…オマエ暑苦しいぞ</v>
      </c>
      <c r="E29" s="31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29" s="32">
        <v>40037622</v>
      </c>
      <c r="G29" s="15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15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9" s="15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5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5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5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5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5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742</v>
      </c>
      <c r="O29" s="15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2"/>
      <c r="Q29" s="32"/>
      <c r="R29" s="100"/>
      <c r="S29" s="158"/>
    </row>
    <row r="30" spans="1:19" s="156" customFormat="1" ht="21" customHeight="1" x14ac:dyDescent="0.15">
      <c r="A30" s="165" t="str">
        <f t="shared" si="1"/>
        <v>40037006_40037320</v>
      </c>
      <c r="B30" s="32">
        <v>40037006</v>
      </c>
      <c r="C30" s="32">
        <v>40037320</v>
      </c>
      <c r="D30" s="3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アポロン…オマエ暑苦しいぞ</v>
      </c>
      <c r="E30" s="3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30" s="32">
        <v>40037623</v>
      </c>
      <c r="G30" s="15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15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0" s="15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5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5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5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15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5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743</v>
      </c>
      <c r="O30" s="15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2"/>
      <c r="Q30" s="32"/>
      <c r="R30" s="100"/>
      <c r="S30" s="158"/>
    </row>
    <row r="31" spans="1:19" s="156" customFormat="1" ht="21" customHeight="1" x14ac:dyDescent="0.15">
      <c r="A31" s="165" t="str">
        <f t="shared" si="1"/>
        <v>40037006_40037321</v>
      </c>
      <c r="B31" s="32">
        <v>40037006</v>
      </c>
      <c r="C31" s="32">
        <v>40037321</v>
      </c>
      <c r="D31" s="3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オマエのような反逆者を_x000D_処理するためにワタシがいる</v>
      </c>
      <c r="E31" s="3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31" s="32">
        <v>40037624</v>
      </c>
      <c r="G31" s="15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5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31" s="15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5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5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5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5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5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5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32"/>
      <c r="Q31" s="32"/>
      <c r="R31" s="100"/>
      <c r="S31" s="158"/>
    </row>
    <row r="32" spans="1:19" s="156" customFormat="1" ht="21" customHeight="1" x14ac:dyDescent="0.15">
      <c r="A32" s="165" t="str">
        <f t="shared" si="1"/>
        <v>40037006_40037322</v>
      </c>
      <c r="B32" s="32">
        <v>40037006</v>
      </c>
      <c r="C32" s="32">
        <v>40037322</v>
      </c>
      <c r="D32" s="31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オマエのチカラ見せてもらう！</v>
      </c>
      <c r="E32" s="31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全体攻撃+8回連続攻撃</v>
      </c>
      <c r="F32" s="32">
        <v>40037625</v>
      </c>
      <c r="G32" s="15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5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32" s="15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5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2" s="15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5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2" s="15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5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5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32"/>
      <c r="Q32" s="32"/>
      <c r="R32" s="100"/>
      <c r="S32" s="158"/>
    </row>
    <row r="33" spans="1:19" s="156" customFormat="1" ht="21" customHeight="1" thickBot="1" x14ac:dyDescent="0.2">
      <c r="A33" s="166" t="str">
        <f t="shared" si="1"/>
        <v>40037006_40037323</v>
      </c>
      <c r="B33" s="90">
        <v>40037006</v>
      </c>
      <c r="C33" s="90">
        <v>40037323</v>
      </c>
      <c r="D33" s="9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ワタシは勅命に従うまでだ！</v>
      </c>
      <c r="E33" s="9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Cパネルを全てプロテクト+_x000D_ハートパネルを黄パネルに変換</v>
      </c>
      <c r="F33" s="90">
        <v>40037626</v>
      </c>
      <c r="G33" s="9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9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33" s="9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9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9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9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9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9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9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90"/>
      <c r="Q33" s="90"/>
      <c r="R33" s="99"/>
      <c r="S33" s="158"/>
    </row>
    <row r="34" spans="1:19" s="156" customFormat="1" ht="21" customHeight="1" x14ac:dyDescent="0.15">
      <c r="A34" s="159" t="str">
        <f t="shared" si="1"/>
        <v>40037007_40037324</v>
      </c>
      <c r="B34" s="87">
        <v>40037007</v>
      </c>
      <c r="C34" s="87">
        <v>40037324</v>
      </c>
      <c r="D34" s="9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ほう…なかなかやるではないか</v>
      </c>
      <c r="E34" s="9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状態異常無効+_x000D_属性パネルは確率でプロテクトされてドロップ</v>
      </c>
      <c r="F34" s="87">
        <v>40037627</v>
      </c>
      <c r="G34" s="9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95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9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9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9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9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9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9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9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87"/>
      <c r="Q34" s="87"/>
      <c r="R34" s="96"/>
      <c r="S34" s="158"/>
    </row>
    <row r="35" spans="1:19" s="156" customFormat="1" ht="21" customHeight="1" x14ac:dyDescent="0.15">
      <c r="A35" s="165" t="str">
        <f t="shared" si="1"/>
        <v>40037007_40037325</v>
      </c>
      <c r="B35" s="32">
        <v>40037007</v>
      </c>
      <c r="C35" s="32">
        <v>40037325</v>
      </c>
      <c r="D35" s="31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この竜鱗の耐久力を知るがよい</v>
      </c>
      <c r="E35" s="31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全体攻撃+2ターン ボムの爆風を50%DOWN</v>
      </c>
      <c r="F35" s="32">
        <v>40037628</v>
      </c>
      <c r="G35" s="15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5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5" s="15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5" s="15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57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5" s="15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5" s="15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5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5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5" s="32"/>
      <c r="Q35" s="32"/>
      <c r="R35" s="100"/>
      <c r="S35" s="158"/>
    </row>
    <row r="36" spans="1:19" s="156" customFormat="1" ht="21" customHeight="1" x14ac:dyDescent="0.15">
      <c r="A36" s="165" t="str">
        <f t="shared" si="1"/>
        <v>40037007_40037326</v>
      </c>
      <c r="B36" s="32">
        <v>40037007</v>
      </c>
      <c r="C36" s="32">
        <v>40037326</v>
      </c>
      <c r="D36" s="31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オマエに見切れるかな？</v>
      </c>
      <c r="E36" s="31" t="str">
        <f ca="1">VLOOKUP($C36,OFFSET(enemy_skills!$A$1,0,0,COUNTA(enemy_skills!$A:$A),MATCH(E$1,enemy_skills!$1:$1,0)-MATCH("enemy_skill_id",enemy_skills!$1:$1,0)+1),MATCH(E$1,enemy_skills!$1:$1,0)-MATCH("enemy_skill_id",enemy_skills!$1:$1,0)+1,FALSE)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6" s="32">
        <v>40037629</v>
      </c>
      <c r="G36" s="15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15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6" s="15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6" s="15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57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6" s="15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15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5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5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6" s="32"/>
      <c r="Q36" s="32"/>
      <c r="R36" s="100"/>
      <c r="S36" s="158"/>
    </row>
    <row r="37" spans="1:19" s="156" customFormat="1" ht="21" customHeight="1" x14ac:dyDescent="0.15">
      <c r="A37" s="165" t="str">
        <f t="shared" si="1"/>
        <v>40037007_40037327</v>
      </c>
      <c r="B37" s="32">
        <v>40037007</v>
      </c>
      <c r="C37" s="32">
        <v>40037327</v>
      </c>
      <c r="D37" s="31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反逆者を滅するのだ！</v>
      </c>
      <c r="E37" s="31" t="str">
        <f ca="1">VLOOKUP($C37,OFFSET(enemy_skills!$A$1,0,0,COUNTA(enemy_skills!$A:$A),MATCH(E$1,enemy_skills!$1:$1,0)-MATCH("enemy_skill_id",enemy_skills!$1:$1,0)+1),MATCH(E$1,enemy_skills!$1:$1,0)-MATCH("enemy_skill_id",enemy_skills!$1:$1,0)+1,FALSE)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37" s="32">
        <v>40037630</v>
      </c>
      <c r="G37" s="15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5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7" s="15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5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57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7" s="15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15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15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5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32"/>
      <c r="Q37" s="32"/>
      <c r="R37" s="100"/>
      <c r="S37" s="158"/>
    </row>
    <row r="38" spans="1:19" s="156" customFormat="1" ht="21" customHeight="1" x14ac:dyDescent="0.15">
      <c r="A38" s="165" t="str">
        <f t="shared" si="1"/>
        <v>40037007_40037328</v>
      </c>
      <c r="B38" s="32">
        <v>40037007</v>
      </c>
      <c r="C38" s="32">
        <v>40037328</v>
      </c>
      <c r="D38" s="31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フフフ…ご褒美をくれてやる</v>
      </c>
      <c r="E38" s="31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ユニット全体に2ターンスキルバインド+_x000D_次のターン強力な連続攻撃</v>
      </c>
      <c r="F38" s="32">
        <v>40037631</v>
      </c>
      <c r="G38" s="15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15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8" s="15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5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8" s="15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5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15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15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5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32"/>
      <c r="Q38" s="32"/>
      <c r="R38" s="100"/>
      <c r="S38" s="158"/>
    </row>
    <row r="39" spans="1:19" s="156" customFormat="1" ht="21" customHeight="1" x14ac:dyDescent="0.15">
      <c r="A39" s="165" t="str">
        <f t="shared" si="1"/>
        <v>40037007_40037329</v>
      </c>
      <c r="B39" s="32">
        <v>40037007</v>
      </c>
      <c r="C39" s="32">
        <v>40037329</v>
      </c>
      <c r="D39" s="31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踏みつけられると悦ぶと_x000D_聞いていたが、違ったか？</v>
      </c>
      <c r="E39" s="31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16回連続攻撃</v>
      </c>
      <c r="F39" s="32">
        <v>40037632</v>
      </c>
      <c r="G39" s="15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15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9" s="15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57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9" s="15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5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15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15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15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32"/>
      <c r="Q39" s="32"/>
      <c r="R39" s="100"/>
      <c r="S39" s="158"/>
    </row>
    <row r="40" spans="1:19" s="156" customFormat="1" ht="21" customHeight="1" thickBot="1" x14ac:dyDescent="0.2">
      <c r="A40" s="166" t="str">
        <f t="shared" ref="A40" si="3">B40&amp;"_"&amp;C40</f>
        <v>40037007_40037346</v>
      </c>
      <c r="B40" s="90">
        <v>40037007</v>
      </c>
      <c r="C40" s="90">
        <v>40037346</v>
      </c>
      <c r="D40" s="97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その力は回収させてもらうぞ</v>
      </c>
      <c r="E40" s="97" t="str">
        <f ca="1">VLOOKUP($C40,OFFSET(enemy_skills!$A$1,0,0,COUNTA(enemy_skills!$A:$A),MATCH(E$1,enemy_skills!$1:$1,0)-MATCH("enemy_skill_id",enemy_skills!$1:$1,0)+1),MATCH(E$1,enemy_skills!$1:$1,0)-MATCH("enemy_skill_id",enemy_skills!$1:$1,0)+1,FALSE)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40" s="90">
        <v>40037652</v>
      </c>
      <c r="G40" s="9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9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0" s="9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9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0" s="9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9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9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9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9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90"/>
      <c r="Q40" s="90"/>
      <c r="R40" s="99"/>
      <c r="S40" s="158"/>
    </row>
    <row r="41" spans="1:19" s="156" customFormat="1" ht="21" customHeight="1" x14ac:dyDescent="0.15">
      <c r="A41" s="159" t="str">
        <f t="shared" si="1"/>
        <v>40037008_40037330</v>
      </c>
      <c r="B41" s="87">
        <v>40037008</v>
      </c>
      <c r="C41" s="87">
        <v>40037330</v>
      </c>
      <c r="D41" s="9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本気で相手をしてやろう！</v>
      </c>
      <c r="E41" s="9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状態異常無効+ボムの爆風を50%DOWN+_x000D_フィーバーゲージ減少</v>
      </c>
      <c r="F41" s="87">
        <v>40037633</v>
      </c>
      <c r="G41" s="9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95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9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9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9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9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9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9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9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87"/>
      <c r="Q41" s="87"/>
      <c r="R41" s="96"/>
      <c r="S41" s="158"/>
    </row>
    <row r="42" spans="1:19" s="156" customFormat="1" ht="21" customHeight="1" x14ac:dyDescent="0.15">
      <c r="A42" s="165" t="str">
        <f t="shared" si="1"/>
        <v>40037008_40037331</v>
      </c>
      <c r="B42" s="32">
        <v>40037008</v>
      </c>
      <c r="C42" s="32">
        <v>40037331</v>
      </c>
      <c r="D42" s="31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多重障壁展開</v>
      </c>
      <c r="E42" s="31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属性パネルは確率でプロテクトされてドロップ</v>
      </c>
      <c r="F42" s="32">
        <v>40037634</v>
      </c>
      <c r="G42" s="15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5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2" s="15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5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5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5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15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5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5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32"/>
      <c r="Q42" s="32"/>
      <c r="R42" s="100"/>
      <c r="S42" s="158"/>
    </row>
    <row r="43" spans="1:19" s="156" customFormat="1" ht="21" customHeight="1" x14ac:dyDescent="0.15">
      <c r="A43" s="165" t="str">
        <f t="shared" si="1"/>
        <v>40037008_40037332</v>
      </c>
      <c r="B43" s="32">
        <v>40037008</v>
      </c>
      <c r="C43" s="32">
        <v>40037332</v>
      </c>
      <c r="D43" s="31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女王陛下に反逆する罪は重い</v>
      </c>
      <c r="E43" s="31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32">
        <v>40037635</v>
      </c>
      <c r="G43" s="15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15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3" s="15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3" s="15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5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5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15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5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5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3" s="32"/>
      <c r="Q43" s="32"/>
      <c r="R43" s="100"/>
      <c r="S43" s="158"/>
    </row>
    <row r="44" spans="1:19" s="156" customFormat="1" ht="21" customHeight="1" x14ac:dyDescent="0.15">
      <c r="A44" s="165" t="str">
        <f t="shared" si="1"/>
        <v>40037008_40037333</v>
      </c>
      <c r="B44" s="32">
        <v>40037008</v>
      </c>
      <c r="C44" s="32">
        <v>40037333</v>
      </c>
      <c r="D44" s="31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絶望の深淵に沈め！</v>
      </c>
      <c r="E44" s="31" t="str">
        <f ca="1">VLOOKUP($C44,OFFSET(enemy_skills!$A$1,0,0,COUNTA(enemy_skills!$A:$A),MATCH(E$1,enemy_skills!$1:$1,0)-MATCH("enemy_skill_id",enemy_skills!$1:$1,0)+1),MATCH(E$1,enemy_skills!$1:$1,0)-MATCH("enemy_skill_id",enemy_skills!$1:$1,0)+1,FALSE)</f>
        <v>2回連続攻撃+3ターン全ユニットの回復力を100%DOWN</v>
      </c>
      <c r="F44" s="32">
        <v>40037636</v>
      </c>
      <c r="G44" s="15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15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4" s="15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4" s="15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5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5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15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15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5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4" s="32"/>
      <c r="Q44" s="32"/>
      <c r="R44" s="100"/>
      <c r="S44" s="158"/>
    </row>
    <row r="45" spans="1:19" s="156" customFormat="1" ht="21" customHeight="1" x14ac:dyDescent="0.15">
      <c r="A45" s="165" t="str">
        <f t="shared" si="1"/>
        <v>40037008_40037334</v>
      </c>
      <c r="B45" s="32">
        <v>40037008</v>
      </c>
      <c r="C45" s="32">
        <v>40037334</v>
      </c>
      <c r="D45" s="31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テイルスウィング&amp;クロー</v>
      </c>
      <c r="E45" s="31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全体攻撃+2回連続攻撃</v>
      </c>
      <c r="F45" s="32">
        <v>40037637</v>
      </c>
      <c r="G45" s="15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5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5" s="15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5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5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5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15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5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5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32"/>
      <c r="Q45" s="32"/>
      <c r="R45" s="100"/>
      <c r="S45" s="158"/>
    </row>
    <row r="46" spans="1:19" s="156" customFormat="1" ht="21" customHeight="1" x14ac:dyDescent="0.15">
      <c r="A46" s="165" t="str">
        <f t="shared" si="1"/>
        <v>40037008_40037335</v>
      </c>
      <c r="B46" s="32">
        <v>40037008</v>
      </c>
      <c r="C46" s="32">
        <v>40037335</v>
      </c>
      <c r="D46" s="3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オマエの様な反逆者を_x000D_見過ごす訳にはいかない！</v>
      </c>
      <c r="E46" s="3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緑パネルを全て吸収して全体攻撃</v>
      </c>
      <c r="F46" s="32">
        <v>40037638</v>
      </c>
      <c r="G46" s="15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5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6" s="15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5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6" s="157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46" s="15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5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5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5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32"/>
      <c r="Q46" s="32"/>
      <c r="R46" s="100"/>
      <c r="S46" s="158"/>
    </row>
    <row r="47" spans="1:19" s="156" customFormat="1" ht="21" customHeight="1" x14ac:dyDescent="0.15">
      <c r="A47" s="165" t="str">
        <f t="shared" si="1"/>
        <v>40037008_40037336</v>
      </c>
      <c r="B47" s="32">
        <v>40037008</v>
      </c>
      <c r="C47" s="32">
        <v>40037336</v>
      </c>
      <c r="D47" s="31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ぐぅっ…ゼウスの目も曇っては_x000D_いないということか…しかし！</v>
      </c>
      <c r="E47" s="31" t="str">
        <f ca="1">VLOOKUP($C47,OFFSET(enemy_skills!$A$1,0,0,COUNTA(enemy_skills!$A:$A),MATCH(E$1,enemy_skills!$1:$1,0)-MATCH("enemy_skill_id",enemy_skills!$1:$1,0)+1),MATCH(E$1,enemy_skills!$1:$1,0)-MATCH("enemy_skill_id",enemy_skills!$1:$1,0)+1,FALSE)</f>
        <v>Cパネルを全てプロテクト+カウンター解除+_x000D_次のターン強力な連続攻撃</v>
      </c>
      <c r="F47" s="32">
        <v>40037639</v>
      </c>
      <c r="G47" s="15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5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7" s="15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5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7" s="15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5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5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5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5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32"/>
      <c r="Q47" s="32"/>
      <c r="R47" s="100"/>
      <c r="S47" s="158"/>
    </row>
    <row r="48" spans="1:19" s="156" customFormat="1" ht="21" customHeight="1" x14ac:dyDescent="0.15">
      <c r="A48" s="165" t="str">
        <f t="shared" si="1"/>
        <v>40037008_40037337</v>
      </c>
      <c r="B48" s="32">
        <v>40037008</v>
      </c>
      <c r="C48" s="32">
        <v>40037337</v>
      </c>
      <c r="D48" s="31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女王陛下の期待を裏切る_x000D_訳にはいかないのだよ！！</v>
      </c>
      <c r="E48" s="31" t="str">
        <f ca="1">VLOOKUP($C48,OFFSET(enemy_skills!$A$1,0,0,COUNTA(enemy_skills!$A:$A),MATCH(E$1,enemy_skills!$1:$1,0)-MATCH("enemy_skill_id",enemy_skills!$1:$1,0)+1),MATCH(E$1,enemy_skills!$1:$1,0)-MATCH("enemy_skill_id",enemy_skills!$1:$1,0)+1,FALSE)</f>
        <v>4回全体攻撃+16回連続攻撃</v>
      </c>
      <c r="F48" s="32">
        <v>40037640</v>
      </c>
      <c r="G48" s="15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15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8" s="15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5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8" s="15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5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15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15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5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32"/>
      <c r="Q48" s="32"/>
      <c r="R48" s="100"/>
      <c r="S48" s="158"/>
    </row>
    <row r="49" spans="1:19" s="156" customFormat="1" ht="21" customHeight="1" x14ac:dyDescent="0.15">
      <c r="A49" s="165" t="str">
        <f t="shared" si="1"/>
        <v>40037008_40037338</v>
      </c>
      <c r="B49" s="32">
        <v>40037008</v>
      </c>
      <c r="C49" s="32">
        <v>40037338</v>
      </c>
      <c r="D49" s="31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ぐはっ…ネメシスめ…</v>
      </c>
      <c r="E49" s="31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オマエさえいなければ…_x000D_任務遂行できたというのに…</v>
      </c>
      <c r="F49" s="32">
        <v>40037641</v>
      </c>
      <c r="G49" s="15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15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9" s="15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5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5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5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15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15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1208</v>
      </c>
      <c r="O49" s="15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32"/>
      <c r="Q49" s="32"/>
      <c r="R49" s="100"/>
      <c r="S49" s="158"/>
    </row>
    <row r="50" spans="1:19" s="156" customFormat="1" ht="21" customHeight="1" x14ac:dyDescent="0.15">
      <c r="A50" s="165" t="str">
        <f t="shared" si="1"/>
        <v>40037008_40037338</v>
      </c>
      <c r="B50" s="32">
        <v>40037008</v>
      </c>
      <c r="C50" s="32">
        <v>40037338</v>
      </c>
      <c r="D50" s="31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ぐはっ…ネメシスめ…</v>
      </c>
      <c r="E50" s="31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オマエさえいなければ…_x000D_任務遂行できたというのに…</v>
      </c>
      <c r="F50" s="32">
        <v>40037642</v>
      </c>
      <c r="G50" s="15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5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0" s="15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5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5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5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15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5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1209</v>
      </c>
      <c r="O50" s="15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32"/>
      <c r="Q50" s="32"/>
      <c r="R50" s="100"/>
      <c r="S50" s="158"/>
    </row>
    <row r="51" spans="1:19" s="156" customFormat="1" ht="21" customHeight="1" x14ac:dyDescent="0.15">
      <c r="A51" s="165" t="str">
        <f t="shared" si="1"/>
        <v>40037008_40037339</v>
      </c>
      <c r="B51" s="32">
        <v>40037008</v>
      </c>
      <c r="C51" s="32">
        <v>40037339</v>
      </c>
      <c r="D51" s="31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ぐぬぬぬぬぬ…</v>
      </c>
      <c r="E51" s="31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ヘェェェェルメェェス！！！！_x000D_この屈辱…忘れんぞ！</v>
      </c>
      <c r="F51" s="32">
        <v>40037643</v>
      </c>
      <c r="G51" s="15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5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1" s="15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5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5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5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15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5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744</v>
      </c>
      <c r="O51" s="15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32"/>
      <c r="Q51" s="32"/>
      <c r="R51" s="100"/>
      <c r="S51" s="158"/>
    </row>
    <row r="52" spans="1:19" s="156" customFormat="1" ht="21" customHeight="1" x14ac:dyDescent="0.15">
      <c r="A52" s="165" t="str">
        <f t="shared" si="1"/>
        <v>40037008_40037339</v>
      </c>
      <c r="B52" s="32">
        <v>40037008</v>
      </c>
      <c r="C52" s="32">
        <v>40037339</v>
      </c>
      <c r="D52" s="31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ぐぬぬぬぬぬ…</v>
      </c>
      <c r="E52" s="31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ヘェェェェルメェェス！！！！_x000D_この屈辱…忘れんぞ！</v>
      </c>
      <c r="F52" s="32">
        <v>40037644</v>
      </c>
      <c r="G52" s="15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5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52" s="15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5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5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5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15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15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745</v>
      </c>
      <c r="O52" s="15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32"/>
      <c r="Q52" s="32"/>
      <c r="R52" s="100"/>
      <c r="S52" s="158"/>
    </row>
    <row r="53" spans="1:19" s="156" customFormat="1" ht="21" customHeight="1" x14ac:dyDescent="0.15">
      <c r="A53" s="165" t="str">
        <f t="shared" si="1"/>
        <v>40037008_40037340</v>
      </c>
      <c r="B53" s="32">
        <v>40037008</v>
      </c>
      <c r="C53" s="32">
        <v>40037340</v>
      </c>
      <c r="D53" s="31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ワタシが…アポロンに負ける？</v>
      </c>
      <c r="E53" s="31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あってはならん屈辱だ…_x000D_次こそは叩きのめしてやる</v>
      </c>
      <c r="F53" s="32">
        <v>40037645</v>
      </c>
      <c r="G53" s="15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5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3" s="15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5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5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5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15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57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742</v>
      </c>
      <c r="O53" s="15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2"/>
      <c r="Q53" s="32"/>
      <c r="R53" s="100"/>
      <c r="S53" s="158"/>
    </row>
    <row r="54" spans="1:19" s="156" customFormat="1" ht="21" customHeight="1" x14ac:dyDescent="0.15">
      <c r="A54" s="165" t="str">
        <f t="shared" si="1"/>
        <v>40037008_40037340</v>
      </c>
      <c r="B54" s="32">
        <v>40037008</v>
      </c>
      <c r="C54" s="32">
        <v>40037340</v>
      </c>
      <c r="D54" s="31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ワタシが…アポロンに負ける？</v>
      </c>
      <c r="E54" s="31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あってはならん屈辱だ…_x000D_次こそは叩きのめしてやる</v>
      </c>
      <c r="F54" s="32">
        <v>40037646</v>
      </c>
      <c r="G54" s="15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5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54" s="15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5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5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5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15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5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743</v>
      </c>
      <c r="O54" s="15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2"/>
      <c r="Q54" s="32"/>
      <c r="R54" s="100"/>
      <c r="S54" s="158"/>
    </row>
    <row r="55" spans="1:19" s="156" customFormat="1" ht="21" customHeight="1" thickBot="1" x14ac:dyDescent="0.2">
      <c r="A55" s="166" t="str">
        <f t="shared" si="1"/>
        <v>40037008_40037341</v>
      </c>
      <c r="B55" s="90">
        <v>40037008</v>
      </c>
      <c r="C55" s="90">
        <v>40037341</v>
      </c>
      <c r="D55" s="97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くっ…我がチカラまでも_x000D_奪おうというのか…</v>
      </c>
      <c r="E55" s="97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お気をつけください…女王陛下…</v>
      </c>
      <c r="F55" s="90">
        <v>40037647</v>
      </c>
      <c r="G55" s="9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98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9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9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9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9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9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9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5" s="9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90"/>
      <c r="Q55" s="90"/>
      <c r="R55" s="99"/>
      <c r="S55" s="158"/>
    </row>
    <row r="56" spans="1:19" s="156" customFormat="1" ht="21" customHeight="1" x14ac:dyDescent="0.15">
      <c r="A56" s="159" t="str">
        <f t="shared" si="1"/>
        <v>40037100_40037400</v>
      </c>
      <c r="B56" s="87">
        <v>40037100</v>
      </c>
      <c r="C56" s="87">
        <v>40037400</v>
      </c>
      <c r="D56" s="9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まずは連携を……崩す</v>
      </c>
      <c r="E56" s="9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全ユニット一定確率で2ターンスキルバインド</v>
      </c>
      <c r="F56" s="87">
        <v>40037600</v>
      </c>
      <c r="G56" s="95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95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95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95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95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95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95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95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95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87"/>
      <c r="Q56" s="87"/>
      <c r="R56" s="96"/>
      <c r="S56" s="158"/>
    </row>
    <row r="57" spans="1:19" s="156" customFormat="1" ht="21" customHeight="1" x14ac:dyDescent="0.15">
      <c r="A57" s="165" t="str">
        <f t="shared" si="1"/>
        <v>40037100_40037401</v>
      </c>
      <c r="B57" s="32">
        <v>40037100</v>
      </c>
      <c r="C57" s="32">
        <v>40037401</v>
      </c>
      <c r="D57" s="31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目標を捕捉……排除する</v>
      </c>
      <c r="E57" s="31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7" s="32">
        <v>40037601</v>
      </c>
      <c r="G57" s="15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5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7" s="15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7" s="15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5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57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15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15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15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7" s="32"/>
      <c r="Q57" s="32"/>
      <c r="R57" s="100"/>
      <c r="S57" s="158"/>
    </row>
    <row r="58" spans="1:19" s="156" customFormat="1" ht="21" customHeight="1" thickBot="1" x14ac:dyDescent="0.2">
      <c r="A58" s="166" t="str">
        <f t="shared" si="1"/>
        <v>40037100_40037442</v>
      </c>
      <c r="B58" s="90">
        <v>40037100</v>
      </c>
      <c r="C58" s="90">
        <v>40037442</v>
      </c>
      <c r="D58" s="97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命令は……絶対</v>
      </c>
      <c r="E58" s="97" t="str">
        <f ca="1">VLOOKUP($C58,OFFSET(enemy_skills!$A$1,0,0,COUNTA(enemy_skills!$A:$A),MATCH(E$1,enemy_skills!$1:$1,0)-MATCH("enemy_skill_id",enemy_skills!$1:$1,0)+1),MATCH(E$1,enemy_skills!$1:$1,0)-MATCH("enemy_skill_id",enemy_skills!$1:$1,0)+1,FALSE)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58" s="90">
        <v>40037648</v>
      </c>
      <c r="G58" s="9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9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8" s="9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9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9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9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9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9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1210</v>
      </c>
      <c r="O58" s="9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90"/>
      <c r="Q58" s="90"/>
      <c r="R58" s="99"/>
      <c r="S58" s="158"/>
    </row>
    <row r="59" spans="1:19" s="156" customFormat="1" ht="21" customHeight="1" x14ac:dyDescent="0.15">
      <c r="A59" s="159" t="str">
        <f t="shared" si="1"/>
        <v>40037101_40037402</v>
      </c>
      <c r="B59" s="87">
        <v>40037101</v>
      </c>
      <c r="C59" s="87">
        <v>40037402</v>
      </c>
      <c r="D59" s="9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ここで足止めします！</v>
      </c>
      <c r="E59" s="9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赤パネルは確率でプロテクトされてドロップ</v>
      </c>
      <c r="F59" s="87">
        <v>40037602</v>
      </c>
      <c r="G59" s="95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95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95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95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95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95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95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95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95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87"/>
      <c r="Q59" s="87"/>
      <c r="R59" s="96"/>
      <c r="S59" s="158"/>
    </row>
    <row r="60" spans="1:19" s="156" customFormat="1" ht="21" customHeight="1" x14ac:dyDescent="0.15">
      <c r="A60" s="165" t="str">
        <f t="shared" si="1"/>
        <v>40037101_40037403</v>
      </c>
      <c r="B60" s="32">
        <v>40037101</v>
      </c>
      <c r="C60" s="32">
        <v>40037403</v>
      </c>
      <c r="D60" s="31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スピードには_x000D_自信があります！</v>
      </c>
      <c r="E60" s="31" t="str">
        <f ca="1">VLOOKUP($C60,OFFSET(enemy_skills!$A$1,0,0,COUNTA(enemy_skills!$A:$A),MATCH(E$1,enemy_skills!$1:$1,0)-MATCH("enemy_skill_id",enemy_skills!$1:$1,0)+1),MATCH(E$1,enemy_skills!$1:$1,0)-MATCH("enemy_skill_id",enemy_skills!$1:$1,0)+1,FALSE)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60" s="32">
        <v>40037603</v>
      </c>
      <c r="G60" s="15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15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0" s="15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0" s="15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5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57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15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15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15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0" s="32"/>
      <c r="Q60" s="32"/>
      <c r="R60" s="100"/>
      <c r="S60" s="158"/>
    </row>
    <row r="61" spans="1:19" s="156" customFormat="1" ht="21" customHeight="1" thickBot="1" x14ac:dyDescent="0.2">
      <c r="A61" s="166" t="str">
        <f t="shared" si="1"/>
        <v>40037101_40037443</v>
      </c>
      <c r="B61" s="90">
        <v>40037101</v>
      </c>
      <c r="C61" s="90">
        <v>40037443</v>
      </c>
      <c r="D61" s="97" t="str">
        <f ca="1">VLOOKUP($C61,OFFSET(enemy_skills!$A$1,0,0,COUNTA(enemy_skills!$A:$A),MATCH(D$1,enemy_skills!$1:$1,0)-MATCH("enemy_skill_id",enemy_skills!$1:$1,0)+1),MATCH(D$1,enemy_skills!$1:$1,0)-MATCH("enemy_skill_id",enemy_skills!$1:$1,0)+1,FALSE)</f>
        <v>隊長が来るまで耐える！</v>
      </c>
      <c r="E61" s="97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61" s="90">
        <v>40037649</v>
      </c>
      <c r="G61" s="9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9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1" s="9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9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9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9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9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9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1200</v>
      </c>
      <c r="O61" s="9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90"/>
      <c r="Q61" s="90"/>
      <c r="R61" s="99"/>
      <c r="S61" s="158"/>
    </row>
    <row r="62" spans="1:19" s="156" customFormat="1" ht="21" customHeight="1" x14ac:dyDescent="0.15">
      <c r="A62" s="159" t="str">
        <f t="shared" si="1"/>
        <v>40037102_40037404</v>
      </c>
      <c r="B62" s="87">
        <v>40037102</v>
      </c>
      <c r="C62" s="87">
        <v>40037404</v>
      </c>
      <c r="D62" s="9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ターゲットはっけーん♪</v>
      </c>
      <c r="E62" s="9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</v>
      </c>
      <c r="F62" s="87">
        <v>40037604</v>
      </c>
      <c r="G62" s="95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95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2" s="95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95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95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95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95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95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95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87"/>
      <c r="Q62" s="87"/>
      <c r="R62" s="96"/>
      <c r="S62" s="158"/>
    </row>
    <row r="63" spans="1:19" s="156" customFormat="1" ht="21" customHeight="1" x14ac:dyDescent="0.15">
      <c r="A63" s="165" t="str">
        <f t="shared" si="1"/>
        <v>40037102_40037405</v>
      </c>
      <c r="B63" s="32">
        <v>40037102</v>
      </c>
      <c r="C63" s="32">
        <v>40037405</v>
      </c>
      <c r="D63" s="31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ハートひとりじめっ！</v>
      </c>
      <c r="E63" s="31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ハートパネルを全て吸収して全体攻撃</v>
      </c>
      <c r="F63" s="32">
        <v>40037605</v>
      </c>
      <c r="G63" s="15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15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3" s="15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3" s="15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5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57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15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15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15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3" s="32"/>
      <c r="Q63" s="32"/>
      <c r="R63" s="100"/>
      <c r="S63" s="158"/>
    </row>
    <row r="64" spans="1:19" s="156" customFormat="1" ht="21" customHeight="1" x14ac:dyDescent="0.15">
      <c r="A64" s="165" t="str">
        <f t="shared" si="1"/>
        <v>40037102_40037406</v>
      </c>
      <c r="B64" s="32">
        <v>40037102</v>
      </c>
      <c r="C64" s="32">
        <v>40037406</v>
      </c>
      <c r="D64" s="31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ぎゅってしてあげる♪</v>
      </c>
      <c r="E64" s="31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4" s="32">
        <v>40037606</v>
      </c>
      <c r="G64" s="15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15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4" s="15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4" s="15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15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157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15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15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15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4" s="32"/>
      <c r="Q64" s="32"/>
      <c r="R64" s="100"/>
      <c r="S64" s="158"/>
    </row>
    <row r="65" spans="1:19" s="156" customFormat="1" ht="21" customHeight="1" thickBot="1" x14ac:dyDescent="0.2">
      <c r="A65" s="166" t="str">
        <f t="shared" si="1"/>
        <v>40037102_40037444</v>
      </c>
      <c r="B65" s="90">
        <v>40037102</v>
      </c>
      <c r="C65" s="90">
        <v>40037444</v>
      </c>
      <c r="D65" s="97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ターゲットひとりじめっ♪</v>
      </c>
      <c r="E65" s="97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65" s="90">
        <v>40037650</v>
      </c>
      <c r="G65" s="9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9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5" s="9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9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9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9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9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9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738</v>
      </c>
      <c r="O65" s="9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90"/>
      <c r="Q65" s="90"/>
      <c r="R65" s="99"/>
      <c r="S65" s="158"/>
    </row>
    <row r="66" spans="1:19" s="156" customFormat="1" ht="21" customHeight="1" x14ac:dyDescent="0.15">
      <c r="A66" s="159" t="str">
        <f t="shared" si="1"/>
        <v>40037103_40037407</v>
      </c>
      <c r="B66" s="87">
        <v>40037103</v>
      </c>
      <c r="C66" s="87">
        <v>40037407</v>
      </c>
      <c r="D66" s="9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……マズハ妨害スル</v>
      </c>
      <c r="E66" s="9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10ターン ボムの爆風を50%DOWN</v>
      </c>
      <c r="F66" s="87">
        <v>40037607</v>
      </c>
      <c r="G66" s="95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95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6" s="95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95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95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95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95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95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95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87"/>
      <c r="Q66" s="87"/>
      <c r="R66" s="96"/>
      <c r="S66" s="158"/>
    </row>
    <row r="67" spans="1:19" s="156" customFormat="1" ht="21" customHeight="1" x14ac:dyDescent="0.15">
      <c r="A67" s="165" t="str">
        <f t="shared" si="1"/>
        <v>40037103_40037408</v>
      </c>
      <c r="B67" s="32">
        <v>40037103</v>
      </c>
      <c r="C67" s="32">
        <v>40037408</v>
      </c>
      <c r="D67" s="31" t="str">
        <f ca="1">VLOOKUP($C67,OFFSET(enemy_skills!$A$1,0,0,COUNTA(enemy_skills!$A:$A),MATCH(D$1,enemy_skills!$1:$1,0)-MATCH("enemy_skill_id",enemy_skills!$1:$1,0)+1),MATCH(D$1,enemy_skills!$1:$1,0)-MATCH("enemy_skill_id",enemy_skills!$1:$1,0)+1,FALSE)</f>
        <v>…追イ詰メルゾ</v>
      </c>
      <c r="E67" s="31" t="str">
        <f ca="1">VLOOKUP($C67,OFFSET(enemy_skills!$A$1,0,0,COUNTA(enemy_skills!$A:$A),MATCH(E$1,enemy_skills!$1:$1,0)-MATCH("enemy_skill_id",enemy_skills!$1:$1,0)+1),MATCH(E$1,enemy_skills!$1:$1,0)-MATCH("enemy_skill_id",enemy_skills!$1:$1,0)+1,FALSE)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67" s="32">
        <v>40037608</v>
      </c>
      <c r="G67" s="15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5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7" s="15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7" s="15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5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57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15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15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15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7" s="32"/>
      <c r="Q67" s="32"/>
      <c r="R67" s="100"/>
      <c r="S67" s="158"/>
    </row>
    <row r="68" spans="1:19" s="156" customFormat="1" ht="21" customHeight="1" x14ac:dyDescent="0.15">
      <c r="A68" s="165" t="str">
        <f t="shared" si="1"/>
        <v>40037103_40037409</v>
      </c>
      <c r="B68" s="32">
        <v>40037103</v>
      </c>
      <c r="C68" s="32">
        <v>40037409</v>
      </c>
      <c r="D68" s="31" t="str">
        <f ca="1">VLOOKUP($C68,OFFSET(enemy_skills!$A$1,0,0,COUNTA(enemy_skills!$A:$A),MATCH(D$1,enemy_skills!$1:$1,0)-MATCH("enemy_skill_id",enemy_skills!$1:$1,0)+1),MATCH(D$1,enemy_skills!$1:$1,0)-MATCH("enemy_skill_id",enemy_skills!$1:$1,0)+1,FALSE)</f>
        <v>…散ルガイイ</v>
      </c>
      <c r="E68" s="31" t="str">
        <f ca="1">VLOOKUP($C68,OFFSET(enemy_skills!$A$1,0,0,COUNTA(enemy_skills!$A:$A),MATCH(E$1,enemy_skills!$1:$1,0)-MATCH("enemy_skill_id",enemy_skills!$1:$1,0)+1),MATCH(E$1,enemy_skills!$1:$1,0)-MATCH("enemy_skill_id",enemy_skills!$1:$1,0)+1,FALSE)</f>
        <v>8回連続攻撃+3ターン全ユニットの回復力50%DOWN</v>
      </c>
      <c r="F68" s="32">
        <v>40037609</v>
      </c>
      <c r="G68" s="15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15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8" s="15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8" s="15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5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57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15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15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15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8" s="32"/>
      <c r="Q68" s="32"/>
      <c r="R68" s="100"/>
      <c r="S68" s="158"/>
    </row>
    <row r="69" spans="1:19" s="156" customFormat="1" ht="21" customHeight="1" thickBot="1" x14ac:dyDescent="0.2">
      <c r="A69" s="166" t="str">
        <f t="shared" ref="A69:A109" si="4">B69&amp;"_"&amp;C69</f>
        <v>40037103_40037447</v>
      </c>
      <c r="B69" s="90">
        <v>40037103</v>
      </c>
      <c r="C69" s="90">
        <v>40037447</v>
      </c>
      <c r="D69" s="97" t="str">
        <f ca="1">VLOOKUP($C69,OFFSET(enemy_skills!$A$1,0,0,COUNTA(enemy_skills!$A:$A),MATCH(D$1,enemy_skills!$1:$1,0)-MATCH("enemy_skill_id",enemy_skills!$1:$1,0)+1),MATCH(D$1,enemy_skills!$1:$1,0)-MATCH("enemy_skill_id",enemy_skills!$1:$1,0)+1,FALSE)</f>
        <v>…削ッテイクゾ</v>
      </c>
      <c r="E69" s="97" t="str">
        <f ca="1">VLOOKUP($C69,OFFSET(enemy_skills!$A$1,0,0,COUNTA(enemy_skills!$A:$A),MATCH(E$1,enemy_skills!$1:$1,0)-MATCH("enemy_skill_id",enemy_skills!$1:$1,0)+1),MATCH(E$1,enemy_skills!$1:$1,0)-MATCH("enemy_skill_id",enemy_skills!$1:$1,0)+1,FALSE)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69" s="90">
        <v>40037653</v>
      </c>
      <c r="G69" s="9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9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9" s="9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9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9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9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9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9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9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90"/>
      <c r="Q69" s="90"/>
      <c r="R69" s="99"/>
      <c r="S69" s="158"/>
    </row>
    <row r="70" spans="1:19" s="156" customFormat="1" ht="21" customHeight="1" thickBot="1" x14ac:dyDescent="0.2">
      <c r="A70" s="166" t="str">
        <f t="shared" ref="A70" si="5">B70&amp;"_"&amp;C70</f>
        <v>40037103_40037445</v>
      </c>
      <c r="B70" s="90">
        <v>40037103</v>
      </c>
      <c r="C70" s="90">
        <v>40037445</v>
      </c>
      <c r="D70" s="97" t="str">
        <f ca="1">VLOOKUP($C70,OFFSET(enemy_skills!$A$1,0,0,COUNTA(enemy_skills!$A:$A),MATCH(D$1,enemy_skills!$1:$1,0)-MATCH("enemy_skill_id",enemy_skills!$1:$1,0)+1),MATCH(D$1,enemy_skills!$1:$1,0)-MATCH("enemy_skill_id",enemy_skills!$1:$1,0)+1,FALSE)</f>
        <v>…全力ヲ尽クスマデ</v>
      </c>
      <c r="E70" s="97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70" s="90">
        <v>40037651</v>
      </c>
      <c r="G70" s="9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9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0" s="9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9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9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9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9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9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381</v>
      </c>
      <c r="O70" s="9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90"/>
      <c r="Q70" s="90"/>
      <c r="R70" s="99"/>
      <c r="S70" s="158"/>
    </row>
    <row r="71" spans="1:19" s="156" customFormat="1" ht="21" customHeight="1" x14ac:dyDescent="0.15">
      <c r="A71" s="159" t="str">
        <f t="shared" si="4"/>
        <v>40037104_40037410</v>
      </c>
      <c r="B71" s="87">
        <v>40037104</v>
      </c>
      <c r="C71" s="87">
        <v>40037410</v>
      </c>
      <c r="D71" s="9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隊長が来る前に_x000D_投降をお勧めするわ</v>
      </c>
      <c r="E71" s="9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ハートパネルは確率でプロテクトされてドロップ</v>
      </c>
      <c r="F71" s="87">
        <v>40037610</v>
      </c>
      <c r="G71" s="95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95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1" s="95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95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95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95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95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95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95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87"/>
      <c r="Q71" s="87"/>
      <c r="R71" s="96"/>
      <c r="S71" s="158"/>
    </row>
    <row r="72" spans="1:19" s="156" customFormat="1" ht="21" customHeight="1" x14ac:dyDescent="0.15">
      <c r="A72" s="165" t="str">
        <f t="shared" si="4"/>
        <v>40037104_40037411</v>
      </c>
      <c r="B72" s="32">
        <v>40037104</v>
      </c>
      <c r="C72" s="32">
        <v>40037411</v>
      </c>
      <c r="D72" s="31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なかなかやるじゃない_x000D_でもまだ終わりじゃないわ</v>
      </c>
      <c r="E72" s="31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自身の攻撃力&amp;攻撃頻度UP+_x000D_8回連続攻撃</v>
      </c>
      <c r="F72" s="32">
        <v>40037611</v>
      </c>
      <c r="G72" s="15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15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2" s="15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15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15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15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15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157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260</v>
      </c>
      <c r="O72" s="15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32"/>
      <c r="Q72" s="32"/>
      <c r="R72" s="100"/>
      <c r="S72" s="158"/>
    </row>
    <row r="73" spans="1:19" s="156" customFormat="1" ht="21" customHeight="1" x14ac:dyDescent="0.15">
      <c r="A73" s="165" t="str">
        <f t="shared" si="4"/>
        <v>40037104_40037412</v>
      </c>
      <c r="B73" s="32">
        <v>40037104</v>
      </c>
      <c r="C73" s="32">
        <v>40037412</v>
      </c>
      <c r="D73" s="31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サーティエイトスペシャル_x000D_.38スペシャル弾</v>
      </c>
      <c r="E73" s="31" t="str">
        <f ca="1">VLOOKUP($C73,OFFSET(enemy_skills!$A$1,0,0,COUNTA(enemy_skills!$A:$A),MATCH(E$1,enemy_skills!$1:$1,0)-MATCH("enemy_skill_id",enemy_skills!$1:$1,0)+1),MATCH(E$1,enemy_skills!$1:$1,0)-MATCH("enemy_skill_id",enemy_skills!$1:$1,0)+1,FALSE)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73" s="32">
        <v>40037612</v>
      </c>
      <c r="G73" s="15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15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3" s="15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3" s="15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15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15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3" s="15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15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15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3" s="32"/>
      <c r="Q73" s="32"/>
      <c r="R73" s="100"/>
      <c r="S73" s="158"/>
    </row>
    <row r="74" spans="1:19" s="156" customFormat="1" ht="21" customHeight="1" thickBot="1" x14ac:dyDescent="0.2">
      <c r="A74" s="166" t="str">
        <f t="shared" si="4"/>
        <v>40037104_40037413</v>
      </c>
      <c r="B74" s="90">
        <v>40037104</v>
      </c>
      <c r="C74" s="90">
        <v>40037413</v>
      </c>
      <c r="D74" s="97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スリーフィフティセブン_x000D_.357マグナム弾</v>
      </c>
      <c r="E74" s="97" t="str">
        <f ca="1">VLOOKUP($C74,OFFSET(enemy_skills!$A$1,0,0,COUNTA(enemy_skills!$A:$A),MATCH(E$1,enemy_skills!$1:$1,0)-MATCH("enemy_skill_id",enemy_skills!$1:$1,0)+1),MATCH(E$1,enemy_skills!$1:$1,0)-MATCH("enemy_skill_id",enemy_skills!$1:$1,0)+1,FALSE)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74" s="90">
        <v>40037613</v>
      </c>
      <c r="G74" s="9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9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4" s="9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4" s="9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9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9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4" s="9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9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9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4" s="90"/>
      <c r="Q74" s="90"/>
      <c r="R74" s="99"/>
      <c r="S74" s="158"/>
    </row>
    <row r="75" spans="1:19" s="156" customFormat="1" ht="21" customHeight="1" x14ac:dyDescent="0.15">
      <c r="A75" s="159" t="str">
        <f t="shared" si="4"/>
        <v>40037105_40037414</v>
      </c>
      <c r="B75" s="87">
        <v>40037105</v>
      </c>
      <c r="C75" s="87">
        <v>40037414</v>
      </c>
      <c r="D75" s="9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私たちが相手よ！</v>
      </c>
      <c r="E75" s="9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緑パネルは確率でプロテクトされてドロップ</v>
      </c>
      <c r="F75" s="87">
        <v>40037614</v>
      </c>
      <c r="G75" s="95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95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5" s="95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95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95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95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95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95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95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87"/>
      <c r="Q75" s="87"/>
      <c r="R75" s="96"/>
      <c r="S75" s="158"/>
    </row>
    <row r="76" spans="1:19" s="156" customFormat="1" ht="21" customHeight="1" x14ac:dyDescent="0.15">
      <c r="A76" s="165" t="str">
        <f t="shared" si="4"/>
        <v>40037105_40037415</v>
      </c>
      <c r="B76" s="32">
        <v>40037105</v>
      </c>
      <c r="C76" s="32">
        <v>40037415</v>
      </c>
      <c r="D76" s="31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よくもやったわね！</v>
      </c>
      <c r="E76" s="31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76" s="32">
        <v>40037615</v>
      </c>
      <c r="G76" s="15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15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6" s="15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5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5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5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15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157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230</v>
      </c>
      <c r="O76" s="15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32"/>
      <c r="Q76" s="32"/>
      <c r="R76" s="100"/>
      <c r="S76" s="158"/>
    </row>
    <row r="77" spans="1:19" s="156" customFormat="1" ht="21" customHeight="1" x14ac:dyDescent="0.15">
      <c r="A77" s="165" t="str">
        <f t="shared" si="4"/>
        <v>40037105_40037416</v>
      </c>
      <c r="B77" s="32">
        <v>40037105</v>
      </c>
      <c r="C77" s="32">
        <v>40037416</v>
      </c>
      <c r="D77" s="31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全員いただきよ！</v>
      </c>
      <c r="E77" s="31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全体攻撃+3ターン全ユニットの回復力90%DOWN</v>
      </c>
      <c r="F77" s="32">
        <v>40037616</v>
      </c>
      <c r="G77" s="15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15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7" s="15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7" s="15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15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15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7" s="15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15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15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7" s="32"/>
      <c r="Q77" s="32"/>
      <c r="R77" s="100"/>
      <c r="S77" s="158"/>
    </row>
    <row r="78" spans="1:19" s="156" customFormat="1" ht="21" customHeight="1" thickBot="1" x14ac:dyDescent="0.2">
      <c r="A78" s="166" t="str">
        <f t="shared" si="4"/>
        <v>40037105_40037417</v>
      </c>
      <c r="B78" s="90">
        <v>40037105</v>
      </c>
      <c r="C78" s="90">
        <v>40037417</v>
      </c>
      <c r="D78" s="97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時間を歪めれば…</v>
      </c>
      <c r="E78" s="97" t="str">
        <f ca="1">VLOOKUP($C78,OFFSET(enemy_skills!$A$1,0,0,COUNTA(enemy_skills!$A:$A),MATCH(E$1,enemy_skills!$1:$1,0)-MATCH("enemy_skill_id",enemy_skills!$1:$1,0)+1),MATCH(E$1,enemy_skills!$1:$1,0)-MATCH("enemy_skill_id",enemy_skills!$1:$1,0)+1,FALSE)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78" s="90">
        <v>40037617</v>
      </c>
      <c r="G78" s="9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9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8" s="9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8" s="9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9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9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9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9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9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8" s="90"/>
      <c r="Q78" s="90"/>
      <c r="R78" s="99"/>
      <c r="S78" s="158"/>
    </row>
    <row r="79" spans="1:19" s="156" customFormat="1" ht="21" customHeight="1" x14ac:dyDescent="0.15">
      <c r="A79" s="159" t="str">
        <f t="shared" si="4"/>
        <v>40037106_40037418</v>
      </c>
      <c r="B79" s="87">
        <v>40037106</v>
      </c>
      <c r="C79" s="87">
        <v>40037418</v>
      </c>
      <c r="D79" s="9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ネメシスか…面倒な奴がいるな</v>
      </c>
      <c r="E79" s="9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79" s="87">
        <v>40037618</v>
      </c>
      <c r="G79" s="95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95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95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95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95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95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95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95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1208</v>
      </c>
      <c r="O79" s="95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87"/>
      <c r="Q79" s="87"/>
      <c r="R79" s="96"/>
      <c r="S79" s="158"/>
    </row>
    <row r="80" spans="1:19" s="156" customFormat="1" ht="21" customHeight="1" x14ac:dyDescent="0.15">
      <c r="A80" s="165" t="str">
        <f t="shared" si="4"/>
        <v>40037106_40037418</v>
      </c>
      <c r="B80" s="32">
        <v>40037106</v>
      </c>
      <c r="C80" s="32">
        <v>40037418</v>
      </c>
      <c r="D80" s="31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ネメシスか…面倒な奴がいるな</v>
      </c>
      <c r="E80" s="31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80" s="32">
        <v>40037619</v>
      </c>
      <c r="G80" s="15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15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0" s="15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15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15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15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15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157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1209</v>
      </c>
      <c r="O80" s="15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32"/>
      <c r="Q80" s="32"/>
      <c r="R80" s="100"/>
      <c r="S80" s="158"/>
    </row>
    <row r="81" spans="1:19" s="156" customFormat="1" ht="21" customHeight="1" x14ac:dyDescent="0.15">
      <c r="A81" s="165" t="str">
        <f t="shared" si="4"/>
        <v>40037106_40037419</v>
      </c>
      <c r="B81" s="32">
        <v>40037106</v>
      </c>
      <c r="C81" s="32">
        <v>40037419</v>
      </c>
      <c r="D81" s="31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ヘルメス…なぜオマエが…_x000D_まぁ良い一緒に片付けてやろう</v>
      </c>
      <c r="E81" s="31" t="str">
        <f ca="1">VLOOKUP($C81,OFFSET(enemy_skills!$A$1,0,0,COUNTA(enemy_skills!$A:$A),MATCH(E$1,enemy_skills!$1:$1,0)-MATCH("enemy_skill_id",enemy_skills!$1:$1,0)+1),MATCH(E$1,enemy_skills!$1:$1,0)-MATCH("enemy_skill_id",enemy_skills!$1:$1,0)+1,FALSE)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81" s="32">
        <v>40037620</v>
      </c>
      <c r="G81" s="15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15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1" s="15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15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15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15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15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157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744</v>
      </c>
      <c r="O81" s="15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32"/>
      <c r="Q81" s="32"/>
      <c r="R81" s="100"/>
      <c r="S81" s="158"/>
    </row>
    <row r="82" spans="1:19" s="156" customFormat="1" ht="21" customHeight="1" x14ac:dyDescent="0.15">
      <c r="A82" s="165" t="str">
        <f t="shared" si="4"/>
        <v>40037106_40037419</v>
      </c>
      <c r="B82" s="32">
        <v>40037106</v>
      </c>
      <c r="C82" s="32">
        <v>40037419</v>
      </c>
      <c r="D82" s="31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ヘルメス…なぜオマエが…_x000D_まぁ良い一緒に片付けてやろう</v>
      </c>
      <c r="E82" s="31" t="str">
        <f ca="1">VLOOKUP($C82,OFFSET(enemy_skills!$A$1,0,0,COUNTA(enemy_skills!$A:$A),MATCH(E$1,enemy_skills!$1:$1,0)-MATCH("enemy_skill_id",enemy_skills!$1:$1,0)+1),MATCH(E$1,enemy_skills!$1:$1,0)-MATCH("enemy_skill_id",enemy_skills!$1:$1,0)+1,FALSE)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82" s="32">
        <v>40037621</v>
      </c>
      <c r="G82" s="15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15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2" s="15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15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15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15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15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157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745</v>
      </c>
      <c r="O82" s="15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32"/>
      <c r="Q82" s="32"/>
      <c r="R82" s="100"/>
      <c r="S82" s="158"/>
    </row>
    <row r="83" spans="1:19" s="156" customFormat="1" ht="21" customHeight="1" x14ac:dyDescent="0.15">
      <c r="A83" s="165" t="str">
        <f t="shared" si="4"/>
        <v>40037106_40037420</v>
      </c>
      <c r="B83" s="32">
        <v>40037106</v>
      </c>
      <c r="C83" s="32">
        <v>40037420</v>
      </c>
      <c r="D83" s="31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アポロン…オマエ暑苦しいぞ</v>
      </c>
      <c r="E83" s="31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83" s="32">
        <v>40037622</v>
      </c>
      <c r="G83" s="15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15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83" s="15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15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15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15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15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157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742</v>
      </c>
      <c r="O83" s="15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32"/>
      <c r="Q83" s="32"/>
      <c r="R83" s="100"/>
      <c r="S83" s="158"/>
    </row>
    <row r="84" spans="1:19" s="156" customFormat="1" ht="21" customHeight="1" x14ac:dyDescent="0.15">
      <c r="A84" s="165" t="str">
        <f t="shared" si="4"/>
        <v>40037106_40037420</v>
      </c>
      <c r="B84" s="32">
        <v>40037106</v>
      </c>
      <c r="C84" s="32">
        <v>40037420</v>
      </c>
      <c r="D84" s="31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アポロン…オマエ暑苦しいぞ</v>
      </c>
      <c r="E84" s="31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84" s="32">
        <v>40037623</v>
      </c>
      <c r="G84" s="15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15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84" s="15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15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15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15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15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157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743</v>
      </c>
      <c r="O84" s="15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32"/>
      <c r="Q84" s="32"/>
      <c r="R84" s="100"/>
      <c r="S84" s="158"/>
    </row>
    <row r="85" spans="1:19" s="156" customFormat="1" ht="21" customHeight="1" x14ac:dyDescent="0.15">
      <c r="A85" s="165" t="str">
        <f t="shared" si="4"/>
        <v>40037106_40037421</v>
      </c>
      <c r="B85" s="32">
        <v>40037106</v>
      </c>
      <c r="C85" s="32">
        <v>40037421</v>
      </c>
      <c r="D85" s="31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オマエのような反逆者を_x000D_処理するためにワタシがいる</v>
      </c>
      <c r="E85" s="31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状態異常無効+_x000D_ハートパネルは確率でプロテクトされてドロップ</v>
      </c>
      <c r="F85" s="32">
        <v>40037624</v>
      </c>
      <c r="G85" s="15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15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85" s="15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15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15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15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15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15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15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32"/>
      <c r="Q85" s="32"/>
      <c r="R85" s="100"/>
      <c r="S85" s="158"/>
    </row>
    <row r="86" spans="1:19" s="156" customFormat="1" ht="21" customHeight="1" x14ac:dyDescent="0.15">
      <c r="A86" s="165" t="str">
        <f t="shared" si="4"/>
        <v>40037106_40037422</v>
      </c>
      <c r="B86" s="32">
        <v>40037106</v>
      </c>
      <c r="C86" s="32">
        <v>40037422</v>
      </c>
      <c r="D86" s="31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オマエのチカラ見せてもらう！</v>
      </c>
      <c r="E86" s="31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全体攻撃+8回連続攻撃</v>
      </c>
      <c r="F86" s="32">
        <v>40037625</v>
      </c>
      <c r="G86" s="15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15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86" s="15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157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86" s="15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15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6" s="15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15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15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32"/>
      <c r="Q86" s="32"/>
      <c r="R86" s="100"/>
      <c r="S86" s="158"/>
    </row>
    <row r="87" spans="1:19" s="156" customFormat="1" ht="21" customHeight="1" thickBot="1" x14ac:dyDescent="0.2">
      <c r="A87" s="166" t="str">
        <f t="shared" si="4"/>
        <v>40037106_40037423</v>
      </c>
      <c r="B87" s="90">
        <v>40037106</v>
      </c>
      <c r="C87" s="90">
        <v>40037423</v>
      </c>
      <c r="D87" s="97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ワタシは勅命に従うまでだ！</v>
      </c>
      <c r="E87" s="97" t="str">
        <f ca="1">VLOOKUP($C87,OFFSET(enemy_skills!$A$1,0,0,COUNTA(enemy_skills!$A:$A),MATCH(E$1,enemy_skills!$1:$1,0)-MATCH("enemy_skill_id",enemy_skills!$1:$1,0)+1),MATCH(E$1,enemy_skills!$1:$1,0)-MATCH("enemy_skill_id",enemy_skills!$1:$1,0)+1,FALSE)</f>
        <v>Cパネルを全てプロテクト+_x000D_ハートパネルを黄パネルに変換</v>
      </c>
      <c r="F87" s="90">
        <v>40037626</v>
      </c>
      <c r="G87" s="9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9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87" s="9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98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7" s="9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9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7" s="9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9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9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90"/>
      <c r="Q87" s="90"/>
      <c r="R87" s="99"/>
      <c r="S87" s="158"/>
    </row>
    <row r="88" spans="1:19" s="156" customFormat="1" ht="21" customHeight="1" x14ac:dyDescent="0.15">
      <c r="A88" s="159" t="str">
        <f t="shared" si="4"/>
        <v>40037107_40037424</v>
      </c>
      <c r="B88" s="87">
        <v>40037107</v>
      </c>
      <c r="C88" s="87">
        <v>40037424</v>
      </c>
      <c r="D88" s="9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ほう…なかなかやるではないか</v>
      </c>
      <c r="E88" s="9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状態異常無効+_x000D_属性パネルは確率でプロテクトされてドロップ</v>
      </c>
      <c r="F88" s="87">
        <v>40037627</v>
      </c>
      <c r="G88" s="95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95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95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95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95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95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95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95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95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87"/>
      <c r="Q88" s="87"/>
      <c r="R88" s="96"/>
      <c r="S88" s="158"/>
    </row>
    <row r="89" spans="1:19" s="156" customFormat="1" ht="21" customHeight="1" x14ac:dyDescent="0.15">
      <c r="A89" s="165" t="str">
        <f t="shared" si="4"/>
        <v>40037107_40037425</v>
      </c>
      <c r="B89" s="32">
        <v>40037107</v>
      </c>
      <c r="C89" s="32">
        <v>40037425</v>
      </c>
      <c r="D89" s="31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この竜鱗の耐久力を知るがよい</v>
      </c>
      <c r="E89" s="31" t="str">
        <f ca="1">VLOOKUP($C89,OFFSET(enemy_skills!$A$1,0,0,COUNTA(enemy_skills!$A:$A),MATCH(E$1,enemy_skills!$1:$1,0)-MATCH("enemy_skill_id",enemy_skills!$1:$1,0)+1),MATCH(E$1,enemy_skills!$1:$1,0)-MATCH("enemy_skill_id",enemy_skills!$1:$1,0)+1,FALSE)</f>
        <v>全体攻撃+4ターン ボムの爆風を50%DOWN</v>
      </c>
      <c r="F89" s="32">
        <v>40037628</v>
      </c>
      <c r="G89" s="15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15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9" s="15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9" s="15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157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89" s="157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9" s="15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157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15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9" s="32"/>
      <c r="Q89" s="32"/>
      <c r="R89" s="100"/>
      <c r="S89" s="158"/>
    </row>
    <row r="90" spans="1:19" s="156" customFormat="1" ht="21" customHeight="1" x14ac:dyDescent="0.15">
      <c r="A90" s="165" t="str">
        <f t="shared" si="4"/>
        <v>40037107_40037426</v>
      </c>
      <c r="B90" s="32">
        <v>40037107</v>
      </c>
      <c r="C90" s="32">
        <v>40037426</v>
      </c>
      <c r="D90" s="31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オマエに見切れるかな？</v>
      </c>
      <c r="E90" s="31" t="str">
        <f ca="1">VLOOKUP($C90,OFFSET(enemy_skills!$A$1,0,0,COUNTA(enemy_skills!$A:$A),MATCH(E$1,enemy_skills!$1:$1,0)-MATCH("enemy_skill_id",enemy_skills!$1:$1,0)+1),MATCH(E$1,enemy_skills!$1:$1,0)-MATCH("enemy_skill_id",enemy_skills!$1:$1,0)+1,FALSE)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90" s="32">
        <v>40037629</v>
      </c>
      <c r="G90" s="15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15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0" s="15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0" s="15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157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90" s="157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15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15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15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0" s="32"/>
      <c r="Q90" s="32"/>
      <c r="R90" s="100"/>
      <c r="S90" s="158"/>
    </row>
    <row r="91" spans="1:19" s="156" customFormat="1" ht="21" customHeight="1" x14ac:dyDescent="0.15">
      <c r="A91" s="165" t="str">
        <f t="shared" si="4"/>
        <v>40037107_40037427</v>
      </c>
      <c r="B91" s="32">
        <v>40037107</v>
      </c>
      <c r="C91" s="32">
        <v>40037427</v>
      </c>
      <c r="D91" s="31" t="str">
        <f ca="1">VLOOKUP($C91,OFFSET(enemy_skills!$A$1,0,0,COUNTA(enemy_skills!$A:$A),MATCH(D$1,enemy_skills!$1:$1,0)-MATCH("enemy_skill_id",enemy_skills!$1:$1,0)+1),MATCH(D$1,enemy_skills!$1:$1,0)-MATCH("enemy_skill_id",enemy_skills!$1:$1,0)+1,FALSE)</f>
        <v>反逆者を滅するのだ！</v>
      </c>
      <c r="E91" s="31" t="str">
        <f ca="1">VLOOKUP($C91,OFFSET(enemy_skills!$A$1,0,0,COUNTA(enemy_skills!$A:$A),MATCH(E$1,enemy_skills!$1:$1,0)-MATCH("enemy_skill_id",enemy_skills!$1:$1,0)+1),MATCH(E$1,enemy_skills!$1:$1,0)-MATCH("enemy_skill_id",enemy_skills!$1:$1,0)+1,FALSE)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91" s="32">
        <v>40037630</v>
      </c>
      <c r="G91" s="15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15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1" s="15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15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157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91" s="15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15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157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15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32"/>
      <c r="Q91" s="32"/>
      <c r="R91" s="100"/>
      <c r="S91" s="158"/>
    </row>
    <row r="92" spans="1:19" s="156" customFormat="1" ht="21" customHeight="1" x14ac:dyDescent="0.15">
      <c r="A92" s="165" t="str">
        <f t="shared" si="4"/>
        <v>40037107_40037428</v>
      </c>
      <c r="B92" s="32">
        <v>40037107</v>
      </c>
      <c r="C92" s="32">
        <v>40037428</v>
      </c>
      <c r="D92" s="31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フフフ…ご褒美をくれてやる</v>
      </c>
      <c r="E92" s="31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ユニット全体に3ターンスキルバインド+_x000D_次のターン強力な連続攻撃</v>
      </c>
      <c r="F92" s="32">
        <v>40037631</v>
      </c>
      <c r="G92" s="15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15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2" s="15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157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2" s="15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15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15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157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15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32"/>
      <c r="Q92" s="32"/>
      <c r="R92" s="100"/>
      <c r="S92" s="158"/>
    </row>
    <row r="93" spans="1:19" s="156" customFormat="1" ht="21" customHeight="1" x14ac:dyDescent="0.15">
      <c r="A93" s="165" t="str">
        <f t="shared" si="4"/>
        <v>40037107_40037429</v>
      </c>
      <c r="B93" s="32">
        <v>40037107</v>
      </c>
      <c r="C93" s="32">
        <v>40037429</v>
      </c>
      <c r="D93" s="31" t="str">
        <f ca="1">VLOOKUP($C93,OFFSET(enemy_skills!$A$1,0,0,COUNTA(enemy_skills!$A:$A),MATCH(D$1,enemy_skills!$1:$1,0)-MATCH("enemy_skill_id",enemy_skills!$1:$1,0)+1),MATCH(D$1,enemy_skills!$1:$1,0)-MATCH("enemy_skill_id",enemy_skills!$1:$1,0)+1,FALSE)</f>
        <v>踏みつけられると悦ぶと_x000D_聞いていたが、違ったか？</v>
      </c>
      <c r="E93" s="31" t="str">
        <f ca="1">VLOOKUP($C93,OFFSET(enemy_skills!$A$1,0,0,COUNTA(enemy_skills!$A:$A),MATCH(E$1,enemy_skills!$1:$1,0)-MATCH("enemy_skill_id",enemy_skills!$1:$1,0)+1),MATCH(E$1,enemy_skills!$1:$1,0)-MATCH("enemy_skill_id",enemy_skills!$1:$1,0)+1,FALSE)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93" s="32">
        <v>40037632</v>
      </c>
      <c r="G93" s="15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15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3" s="15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157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3" s="15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15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15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15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15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32"/>
      <c r="Q93" s="32"/>
      <c r="R93" s="100"/>
      <c r="S93" s="158"/>
    </row>
    <row r="94" spans="1:19" s="156" customFormat="1" ht="21" customHeight="1" thickBot="1" x14ac:dyDescent="0.2">
      <c r="A94" s="166" t="str">
        <f t="shared" ref="A94" si="6">B94&amp;"_"&amp;C94</f>
        <v>40037107_40037446</v>
      </c>
      <c r="B94" s="90">
        <v>40037107</v>
      </c>
      <c r="C94" s="90">
        <v>40037446</v>
      </c>
      <c r="D94" s="97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その力は回収させてもらうぞ</v>
      </c>
      <c r="E94" s="97" t="str">
        <f ca="1">VLOOKUP($C94,OFFSET(enemy_skills!$A$1,0,0,COUNTA(enemy_skills!$A:$A),MATCH(E$1,enemy_skills!$1:$1,0)-MATCH("enemy_skill_id",enemy_skills!$1:$1,0)+1),MATCH(E$1,enemy_skills!$1:$1,0)-MATCH("enemy_skill_id",enemy_skills!$1:$1,0)+1,FALSE)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94" s="90">
        <v>40037652</v>
      </c>
      <c r="G94" s="9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9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4" s="9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98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4" s="9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9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9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9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9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90"/>
      <c r="Q94" s="90"/>
      <c r="R94" s="99"/>
      <c r="S94" s="158"/>
    </row>
    <row r="95" spans="1:19" s="156" customFormat="1" ht="21" customHeight="1" x14ac:dyDescent="0.15">
      <c r="A95" s="159" t="str">
        <f t="shared" si="4"/>
        <v>40037108_40037430</v>
      </c>
      <c r="B95" s="87">
        <v>40037108</v>
      </c>
      <c r="C95" s="87">
        <v>40037430</v>
      </c>
      <c r="D95" s="9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本気で相手をしてやろう！</v>
      </c>
      <c r="E95" s="9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状態異常無効+ボムの爆風を50%DOWN+_x000D_フィーバーゲージ減少</v>
      </c>
      <c r="F95" s="87">
        <v>40037633</v>
      </c>
      <c r="G95" s="95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95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5" s="95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95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95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95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95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95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95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87"/>
      <c r="Q95" s="87"/>
      <c r="R95" s="96"/>
      <c r="S95" s="158"/>
    </row>
    <row r="96" spans="1:19" s="156" customFormat="1" ht="21" customHeight="1" x14ac:dyDescent="0.15">
      <c r="A96" s="165" t="str">
        <f t="shared" si="4"/>
        <v>40037108_40037431</v>
      </c>
      <c r="B96" s="32">
        <v>40037108</v>
      </c>
      <c r="C96" s="32">
        <v>40037431</v>
      </c>
      <c r="D96" s="31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多重障壁展開</v>
      </c>
      <c r="E96" s="31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属性パネルは確率でプロテクトされてドロップ</v>
      </c>
      <c r="F96" s="32">
        <v>40037634</v>
      </c>
      <c r="G96" s="15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15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6" s="15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15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15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57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157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157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15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32"/>
      <c r="Q96" s="32"/>
      <c r="R96" s="100"/>
      <c r="S96" s="158"/>
    </row>
    <row r="97" spans="1:19" s="156" customFormat="1" ht="21" customHeight="1" x14ac:dyDescent="0.15">
      <c r="A97" s="165" t="str">
        <f t="shared" si="4"/>
        <v>40037108_40037432</v>
      </c>
      <c r="B97" s="32">
        <v>40037108</v>
      </c>
      <c r="C97" s="32">
        <v>40037432</v>
      </c>
      <c r="D97" s="31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女王陛下に反逆する罪は重い</v>
      </c>
      <c r="E97" s="31" t="str">
        <f ca="1">VLOOKUP($C97,OFFSET(enemy_skills!$A$1,0,0,COUNTA(enemy_skills!$A:$A),MATCH(E$1,enemy_skills!$1:$1,0)-MATCH("enemy_skill_id",enemy_skills!$1:$1,0)+1),MATCH(E$1,enemy_skills!$1:$1,0)-MATCH("enemy_skill_id",enemy_skills!$1:$1,0)+1,FALSE)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7" s="32">
        <v>40037635</v>
      </c>
      <c r="G97" s="15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15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7" s="15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7" s="15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15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157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15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157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15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7" s="32"/>
      <c r="Q97" s="32"/>
      <c r="R97" s="100"/>
      <c r="S97" s="158"/>
    </row>
    <row r="98" spans="1:19" s="156" customFormat="1" ht="21" customHeight="1" x14ac:dyDescent="0.15">
      <c r="A98" s="165" t="str">
        <f t="shared" si="4"/>
        <v>40037108_40037433</v>
      </c>
      <c r="B98" s="32">
        <v>40037108</v>
      </c>
      <c r="C98" s="32">
        <v>40037433</v>
      </c>
      <c r="D98" s="31" t="str">
        <f ca="1">VLOOKUP($C98,OFFSET(enemy_skills!$A$1,0,0,COUNTA(enemy_skills!$A:$A),MATCH(D$1,enemy_skills!$1:$1,0)-MATCH("enemy_skill_id",enemy_skills!$1:$1,0)+1),MATCH(D$1,enemy_skills!$1:$1,0)-MATCH("enemy_skill_id",enemy_skills!$1:$1,0)+1,FALSE)</f>
        <v>絶望の深淵に沈め！</v>
      </c>
      <c r="E98" s="31" t="str">
        <f ca="1">VLOOKUP($C98,OFFSET(enemy_skills!$A$1,0,0,COUNTA(enemy_skills!$A:$A),MATCH(E$1,enemy_skills!$1:$1,0)-MATCH("enemy_skill_id",enemy_skills!$1:$1,0)+1),MATCH(E$1,enemy_skills!$1:$1,0)-MATCH("enemy_skill_id",enemy_skills!$1:$1,0)+1,FALSE)</f>
        <v>2回連続攻撃+3ターン全ユニットの回復力を100%DOWN</v>
      </c>
      <c r="F98" s="32">
        <v>40037636</v>
      </c>
      <c r="G98" s="15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15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98" s="15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8" s="15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15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157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15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157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15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8" s="32"/>
      <c r="Q98" s="32"/>
      <c r="R98" s="100"/>
      <c r="S98" s="158"/>
    </row>
    <row r="99" spans="1:19" s="156" customFormat="1" ht="21" customHeight="1" x14ac:dyDescent="0.15">
      <c r="A99" s="165" t="str">
        <f t="shared" si="4"/>
        <v>40037108_40037434</v>
      </c>
      <c r="B99" s="32">
        <v>40037108</v>
      </c>
      <c r="C99" s="32">
        <v>40037434</v>
      </c>
      <c r="D99" s="31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テイルスウィング&amp;クロー</v>
      </c>
      <c r="E99" s="31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全体攻撃+2回連続攻撃</v>
      </c>
      <c r="F99" s="32">
        <v>40037637</v>
      </c>
      <c r="G99" s="15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15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99" s="15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15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15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157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15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157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15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32"/>
      <c r="Q99" s="32"/>
      <c r="R99" s="100"/>
      <c r="S99" s="158"/>
    </row>
    <row r="100" spans="1:19" s="156" customFormat="1" ht="21" customHeight="1" x14ac:dyDescent="0.15">
      <c r="A100" s="165" t="str">
        <f t="shared" si="4"/>
        <v>40037108_40037435</v>
      </c>
      <c r="B100" s="32">
        <v>40037108</v>
      </c>
      <c r="C100" s="32">
        <v>40037435</v>
      </c>
      <c r="D100" s="31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オマエの様な反逆者を_x000D_見過ごす訳にはいかない！</v>
      </c>
      <c r="E100" s="31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緑パネルを全て吸収して全体攻撃</v>
      </c>
      <c r="F100" s="32">
        <v>40037638</v>
      </c>
      <c r="G100" s="15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15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00" s="15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157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00" s="157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100" s="157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157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157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15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32"/>
      <c r="Q100" s="32"/>
      <c r="R100" s="100"/>
      <c r="S100" s="158"/>
    </row>
    <row r="101" spans="1:19" s="156" customFormat="1" ht="21" customHeight="1" x14ac:dyDescent="0.15">
      <c r="A101" s="165" t="str">
        <f t="shared" si="4"/>
        <v>40037108_40037436</v>
      </c>
      <c r="B101" s="32">
        <v>40037108</v>
      </c>
      <c r="C101" s="32">
        <v>40037436</v>
      </c>
      <c r="D101" s="31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ぐぅっ…ゼウスの目も曇っては_x000D_いないということか…しかし！</v>
      </c>
      <c r="E101" s="31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Cパネルを全てプロテクト+カウンター解除+_x000D_次のターン強力な連続攻撃</v>
      </c>
      <c r="F101" s="32">
        <v>40037639</v>
      </c>
      <c r="G101" s="15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15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1" s="15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157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01" s="15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157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157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157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15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32"/>
      <c r="Q101" s="32"/>
      <c r="R101" s="100"/>
      <c r="S101" s="158"/>
    </row>
    <row r="102" spans="1:19" s="156" customFormat="1" ht="21" customHeight="1" x14ac:dyDescent="0.15">
      <c r="A102" s="165" t="str">
        <f t="shared" si="4"/>
        <v>40037108_40037437</v>
      </c>
      <c r="B102" s="32">
        <v>40037108</v>
      </c>
      <c r="C102" s="32">
        <v>40037437</v>
      </c>
      <c r="D102" s="31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女王陛下の期待を裏切る_x000D_訳にはいかないのだよ！！</v>
      </c>
      <c r="E102" s="31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4回全体攻撃+16回連続攻撃</v>
      </c>
      <c r="F102" s="32">
        <v>40037640</v>
      </c>
      <c r="G102" s="15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15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2" s="15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157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02" s="15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157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157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157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15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32"/>
      <c r="Q102" s="32"/>
      <c r="R102" s="100"/>
      <c r="S102" s="158"/>
    </row>
    <row r="103" spans="1:19" s="156" customFormat="1" ht="21" customHeight="1" x14ac:dyDescent="0.15">
      <c r="A103" s="165" t="str">
        <f t="shared" si="4"/>
        <v>40037108_40037438</v>
      </c>
      <c r="B103" s="32">
        <v>40037108</v>
      </c>
      <c r="C103" s="32">
        <v>40037438</v>
      </c>
      <c r="D103" s="31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ぐはっ…ネメシスめ…</v>
      </c>
      <c r="E103" s="31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オマエさえいなければ…_x000D_任務遂行できたというのに…</v>
      </c>
      <c r="F103" s="32">
        <v>40037641</v>
      </c>
      <c r="G103" s="15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15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3" s="15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157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15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15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157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157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1208</v>
      </c>
      <c r="O103" s="15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32"/>
      <c r="Q103" s="32"/>
      <c r="R103" s="100"/>
      <c r="S103" s="158"/>
    </row>
    <row r="104" spans="1:19" s="156" customFormat="1" ht="21" customHeight="1" x14ac:dyDescent="0.15">
      <c r="A104" s="165" t="str">
        <f t="shared" si="4"/>
        <v>40037108_40037438</v>
      </c>
      <c r="B104" s="32">
        <v>40037108</v>
      </c>
      <c r="C104" s="32">
        <v>40037438</v>
      </c>
      <c r="D104" s="31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ぐはっ…ネメシスめ…</v>
      </c>
      <c r="E104" s="31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オマエさえいなければ…_x000D_任務遂行できたというのに…</v>
      </c>
      <c r="F104" s="32">
        <v>40037642</v>
      </c>
      <c r="G104" s="15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15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04" s="15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157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15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157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157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157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1209</v>
      </c>
      <c r="O104" s="15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32"/>
      <c r="Q104" s="32"/>
      <c r="R104" s="100"/>
      <c r="S104" s="158"/>
    </row>
    <row r="105" spans="1:19" s="156" customFormat="1" ht="21" customHeight="1" x14ac:dyDescent="0.15">
      <c r="A105" s="165" t="str">
        <f t="shared" si="4"/>
        <v>40037108_40037439</v>
      </c>
      <c r="B105" s="32">
        <v>40037108</v>
      </c>
      <c r="C105" s="32">
        <v>40037439</v>
      </c>
      <c r="D105" s="31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ぐぬぬぬぬぬ…</v>
      </c>
      <c r="E105" s="31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ヘェェェェルメェェス！！！！_x000D_この屈辱…忘れんぞ！</v>
      </c>
      <c r="F105" s="32">
        <v>40037643</v>
      </c>
      <c r="G105" s="15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15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05" s="15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157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15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15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157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157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744</v>
      </c>
      <c r="O105" s="15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32"/>
      <c r="Q105" s="32"/>
      <c r="R105" s="100"/>
      <c r="S105" s="158"/>
    </row>
    <row r="106" spans="1:19" s="156" customFormat="1" ht="21" customHeight="1" x14ac:dyDescent="0.15">
      <c r="A106" s="165" t="str">
        <f t="shared" si="4"/>
        <v>40037108_40037439</v>
      </c>
      <c r="B106" s="32">
        <v>40037108</v>
      </c>
      <c r="C106" s="32">
        <v>40037439</v>
      </c>
      <c r="D106" s="31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ぐぬぬぬぬぬ…</v>
      </c>
      <c r="E106" s="31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ヘェェェェルメェェス！！！！_x000D_この屈辱…忘れんぞ！</v>
      </c>
      <c r="F106" s="32">
        <v>40037644</v>
      </c>
      <c r="G106" s="15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15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06" s="15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157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15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15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157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157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745</v>
      </c>
      <c r="O106" s="15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32"/>
      <c r="Q106" s="32"/>
      <c r="R106" s="100"/>
      <c r="S106" s="158"/>
    </row>
    <row r="107" spans="1:19" s="156" customFormat="1" ht="21" customHeight="1" x14ac:dyDescent="0.15">
      <c r="A107" s="165" t="str">
        <f t="shared" si="4"/>
        <v>40037108_40037440</v>
      </c>
      <c r="B107" s="32">
        <v>40037108</v>
      </c>
      <c r="C107" s="32">
        <v>40037440</v>
      </c>
      <c r="D107" s="31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ワタシが…アポロンに負ける？</v>
      </c>
      <c r="E107" s="31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あってはならん屈辱だ…_x000D_次こそは叩きのめしてやる</v>
      </c>
      <c r="F107" s="32">
        <v>40037645</v>
      </c>
      <c r="G107" s="15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15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07" s="15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15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15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157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157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157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742</v>
      </c>
      <c r="O107" s="15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32"/>
      <c r="Q107" s="32"/>
      <c r="R107" s="100"/>
      <c r="S107" s="158"/>
    </row>
    <row r="108" spans="1:19" s="156" customFormat="1" ht="21" customHeight="1" x14ac:dyDescent="0.15">
      <c r="A108" s="165" t="str">
        <f t="shared" si="4"/>
        <v>40037108_40037440</v>
      </c>
      <c r="B108" s="32">
        <v>40037108</v>
      </c>
      <c r="C108" s="32">
        <v>40037440</v>
      </c>
      <c r="D108" s="31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ワタシが…アポロンに負ける？</v>
      </c>
      <c r="E108" s="31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あってはならん屈辱だ…_x000D_次こそは叩きのめしてやる</v>
      </c>
      <c r="F108" s="32">
        <v>40037646</v>
      </c>
      <c r="G108" s="15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15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08" s="15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15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15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157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157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157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743</v>
      </c>
      <c r="O108" s="15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32"/>
      <c r="Q108" s="32"/>
      <c r="R108" s="100"/>
      <c r="S108" s="158"/>
    </row>
    <row r="109" spans="1:19" s="156" customFormat="1" ht="21" customHeight="1" thickBot="1" x14ac:dyDescent="0.2">
      <c r="A109" s="166" t="str">
        <f t="shared" si="4"/>
        <v>40037108_40037441</v>
      </c>
      <c r="B109" s="90">
        <v>40037108</v>
      </c>
      <c r="C109" s="90">
        <v>40037441</v>
      </c>
      <c r="D109" s="97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くっ…我がチカラまでも_x000D_奪おうというのか…</v>
      </c>
      <c r="E109" s="97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お気をつけください…女王陛下…</v>
      </c>
      <c r="F109" s="90">
        <v>40037647</v>
      </c>
      <c r="G109" s="9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98" t="str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9" s="9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9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9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9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9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9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9" s="9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90"/>
      <c r="Q109" s="90"/>
      <c r="R109" s="99"/>
      <c r="S109" s="158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7"/>
  <sheetViews>
    <sheetView showGridLines="0" zoomScale="125" zoomScaleNormal="125" zoomScalePageLayoutView="125" workbookViewId="0">
      <pane ySplit="1" topLeftCell="A76" activePane="bottomLeft" state="frozenSplit"/>
      <selection pane="bottomLeft" activeCell="A79" sqref="A79"/>
    </sheetView>
  </sheetViews>
  <sheetFormatPr baseColWidth="12" defaultColWidth="12.83203125" defaultRowHeight="14" outlineLevelCol="1" x14ac:dyDescent="0.15"/>
  <cols>
    <col min="1" max="1" width="12.83203125" style="32"/>
    <col min="2" max="2" width="67.1640625" style="32" customWidth="1"/>
    <col min="3" max="4" width="12.83203125" style="32" customWidth="1"/>
    <col min="5" max="5" width="23.6640625" style="32" bestFit="1" customWidth="1"/>
    <col min="6" max="6" width="44.1640625" style="32" bestFit="1" customWidth="1"/>
    <col min="7" max="7" width="52" style="32" hidden="1" customWidth="1" outlineLevel="1"/>
    <col min="8" max="8" width="18.33203125" style="32" hidden="1" customWidth="1" outlineLevel="1"/>
    <col min="9" max="11" width="18.6640625" style="32" hidden="1" customWidth="1" outlineLevel="1"/>
    <col min="12" max="12" width="23.6640625" style="32" customWidth="1" collapsed="1"/>
    <col min="13" max="18" width="23.6640625" style="32" hidden="1" customWidth="1" outlineLevel="1"/>
    <col min="19" max="19" width="23.6640625" style="32" customWidth="1" collapsed="1"/>
    <col min="20" max="24" width="23.6640625" style="32" hidden="1" customWidth="1" outlineLevel="1"/>
    <col min="25" max="25" width="23.6640625" style="32" customWidth="1" collapsed="1"/>
    <col min="26" max="27" width="0" style="32" hidden="1" customWidth="1"/>
    <col min="28" max="28" width="44.5" style="32" hidden="1" customWidth="1"/>
    <col min="29" max="16384" width="12.83203125" style="32"/>
  </cols>
  <sheetData>
    <row r="1" spans="1:28" x14ac:dyDescent="0.15">
      <c r="A1" s="155" t="s">
        <v>79</v>
      </c>
      <c r="B1" s="155" t="s">
        <v>80</v>
      </c>
      <c r="C1" s="155" t="s">
        <v>81</v>
      </c>
      <c r="D1" s="155" t="s">
        <v>127</v>
      </c>
      <c r="E1" s="155" t="s">
        <v>82</v>
      </c>
      <c r="F1" s="155" t="s">
        <v>83</v>
      </c>
      <c r="G1" s="29" t="s">
        <v>133</v>
      </c>
      <c r="H1" s="29" t="s">
        <v>139</v>
      </c>
      <c r="I1" s="29" t="s">
        <v>141</v>
      </c>
      <c r="J1" s="29" t="s">
        <v>140</v>
      </c>
      <c r="K1" s="29" t="s">
        <v>142</v>
      </c>
      <c r="L1" s="29" t="s">
        <v>134</v>
      </c>
      <c r="M1" s="29" t="s">
        <v>132</v>
      </c>
      <c r="N1" s="29" t="s">
        <v>135</v>
      </c>
      <c r="O1" s="29" t="s">
        <v>143</v>
      </c>
      <c r="P1" s="29" t="s">
        <v>144</v>
      </c>
      <c r="Q1" s="29" t="s">
        <v>145</v>
      </c>
      <c r="R1" s="29" t="s">
        <v>146</v>
      </c>
      <c r="S1" s="29" t="s">
        <v>136</v>
      </c>
      <c r="T1" s="29" t="s">
        <v>137</v>
      </c>
      <c r="U1" s="29" t="s">
        <v>147</v>
      </c>
      <c r="V1" s="29" t="s">
        <v>148</v>
      </c>
      <c r="W1" s="29" t="s">
        <v>149</v>
      </c>
      <c r="X1" s="29" t="s">
        <v>150</v>
      </c>
      <c r="Y1" s="29" t="s">
        <v>138</v>
      </c>
      <c r="Z1" s="29" t="s">
        <v>76</v>
      </c>
      <c r="AA1" s="29" t="s">
        <v>77</v>
      </c>
      <c r="AB1" s="29" t="s">
        <v>78</v>
      </c>
    </row>
    <row r="2" spans="1:28" ht="32" customHeight="1" x14ac:dyDescent="0.15">
      <c r="A2" s="32">
        <v>40037300</v>
      </c>
      <c r="B2" s="32" t="s">
        <v>438</v>
      </c>
      <c r="C2" s="34">
        <v>3</v>
      </c>
      <c r="D2" s="34" t="s">
        <v>128</v>
      </c>
      <c r="E2" s="35" t="s">
        <v>370</v>
      </c>
      <c r="F2" s="35" t="s">
        <v>322</v>
      </c>
      <c r="G2" s="167" t="str">
        <f>IFERROR(LEFT(B2,FIND("],",B2)),B2)</f>
        <v>[effect:enemy_message, val1:2, val2:2.4, dead_type:suicide]</v>
      </c>
      <c r="H2" s="167">
        <f>FIND("effect:",G2)+7</f>
        <v>9</v>
      </c>
      <c r="I2" s="167">
        <f>IFERROR(FIND(",",G2),LEN(G2))</f>
        <v>22</v>
      </c>
      <c r="J2" s="167" t="e">
        <f>FIND("target:",G2)+7</f>
        <v>#VALUE!</v>
      </c>
      <c r="K2" s="167">
        <f>FIND(",",G2,I2+1)</f>
        <v>30</v>
      </c>
      <c r="L2" s="167" t="str">
        <f>IFERROR(VLOOKUP(MID(G2,J2,K2-J2),[6]skilldef!$C:$D,2,FALSE),"-") &amp; " / " &amp; IFERROR(VLOOKUP(MID(G2,H2,I2-H2),[6]skilldef!$A:$B,2,FALSE),"-")</f>
        <v>- / -</v>
      </c>
      <c r="M2" s="167" t="str">
        <f>IFERROR(RIGHT(B2,LEN(B2)-FIND("],",B2)-1),"none")</f>
        <v>[effect:hungup, target:unit_all, turn:2, rate:0.25, calc_type:target_one, animation:hungup01],[effect:fix_speed, target:myself, turn:2]</v>
      </c>
      <c r="N2" s="157" t="str">
        <f t="shared" ref="N2:N16" si="0">IFERROR(LEFT(M2,FIND("],",M2)+S17),M2)</f>
        <v>[effect:hungup, target:unit_all, turn:2, rate:0.25, calc_type:target_one, animation:hungup01],[effect:fix_speed, target:myself, turn:2]</v>
      </c>
      <c r="O2" s="167">
        <f>FIND("effect:",N2)+7</f>
        <v>9</v>
      </c>
      <c r="P2" s="167">
        <f>IFERROR(FIND(",",N2),LEN(N2))</f>
        <v>15</v>
      </c>
      <c r="Q2" s="167">
        <f>FIND("target:",N2)+7</f>
        <v>24</v>
      </c>
      <c r="R2" s="167">
        <f>FIND(",",N2,P2+1)</f>
        <v>32</v>
      </c>
      <c r="S2" s="167" t="str">
        <f>IFERROR(VLOOKUP(MID(N2,Q2,R2-Q2),[6]skilldef!$C:$D,2,FALSE),"-") &amp; " / " &amp; IFERROR(VLOOKUP(MID(N2,O2,P2-O2),[6]skilldef!$A:$B,2,FALSE),"-")</f>
        <v>味方全体に / ハングアップ</v>
      </c>
      <c r="T2" s="157" t="str">
        <f>IFERROR(RIGHT(M2,LEN(M2)-FIND("],",M2)-1),"none")</f>
        <v>[effect:fix_speed, target:myself, turn:2]</v>
      </c>
      <c r="U2" s="167">
        <f>FIND("effect:",T2)+7</f>
        <v>9</v>
      </c>
      <c r="V2" s="167">
        <f>IFERROR(FIND(",",T2),LEN(T2))</f>
        <v>18</v>
      </c>
      <c r="W2" s="167">
        <f>FIND("target:",T2)+7</f>
        <v>27</v>
      </c>
      <c r="X2" s="167">
        <f>FIND(",",T2,V2+1)</f>
        <v>33</v>
      </c>
      <c r="Y2" s="167" t="str">
        <f>IFERROR(VLOOKUP(MID(T2,W2,X2-W2),[6]skilldef!$C:$D,2,FALSE),"-") &amp; " / " &amp; IFERROR(VLOOKUP(MID(T2,U2,V2-U2),[6]skilldef!$A:$B,2,FALSE),"-")</f>
        <v>自分自身に / 行動値設定</v>
      </c>
      <c r="Z2" s="34"/>
      <c r="AA2" s="36"/>
      <c r="AB2" s="34"/>
    </row>
    <row r="3" spans="1:28" x14ac:dyDescent="0.15">
      <c r="A3" s="32">
        <v>40037301</v>
      </c>
      <c r="B3" s="32" t="s">
        <v>321</v>
      </c>
      <c r="C3" s="34">
        <v>3</v>
      </c>
      <c r="D3" s="34" t="s">
        <v>128</v>
      </c>
      <c r="E3" s="35" t="s">
        <v>369</v>
      </c>
      <c r="F3" s="35" t="s">
        <v>263</v>
      </c>
      <c r="G3" s="167" t="str">
        <f t="shared" ref="G3" si="1">IFERROR(LEFT(B3,FIND("],",B3)),B3)</f>
        <v xml:space="preserve">[effect:spread, val:0.2]    </v>
      </c>
      <c r="H3" s="167">
        <f t="shared" ref="H3" si="2">FIND("effect:",G3)+7</f>
        <v>9</v>
      </c>
      <c r="I3" s="167">
        <f t="shared" ref="I3" si="3">IFERROR(FIND(",",G3),LEN(G3))</f>
        <v>15</v>
      </c>
      <c r="J3" s="167" t="e">
        <f t="shared" ref="J3" si="4">FIND("target:",G3)+7</f>
        <v>#VALUE!</v>
      </c>
      <c r="K3" s="167" t="e">
        <f t="shared" ref="K3" si="5">FIND(",",G3,I3+1)</f>
        <v>#VALUE!</v>
      </c>
      <c r="L3" s="167" t="str">
        <f>IFERROR(VLOOKUP(MID(G3,J3,K3-J3),[6]skilldef!$C:$D,2,FALSE),"-") &amp; " / " &amp; IFERROR(VLOOKUP(MID(G3,H3,I3-H3),[6]skilldef!$A:$B,2,FALSE),"-")</f>
        <v>- / 全体攻撃</v>
      </c>
      <c r="M3" s="167" t="str">
        <f t="shared" ref="M3" si="6">IFERROR(RIGHT(B3,LEN(B3)-FIND("],",B3)-1),"none")</f>
        <v>none</v>
      </c>
      <c r="N3" s="157" t="str">
        <f t="shared" si="0"/>
        <v>none</v>
      </c>
      <c r="O3" s="167" t="e">
        <f t="shared" ref="O3" si="7">FIND("effect:",N3)+7</f>
        <v>#VALUE!</v>
      </c>
      <c r="P3" s="167">
        <f t="shared" ref="P3" si="8">IFERROR(FIND(",",N3),LEN(N3))</f>
        <v>4</v>
      </c>
      <c r="Q3" s="167" t="e">
        <f t="shared" ref="Q3" si="9">FIND("target:",N3)+7</f>
        <v>#VALUE!</v>
      </c>
      <c r="R3" s="167" t="e">
        <f t="shared" ref="R3" si="10">FIND(",",N3,P3+1)</f>
        <v>#VALUE!</v>
      </c>
      <c r="S3" s="167" t="str">
        <f>IFERROR(VLOOKUP(MID(N3,Q3,R3-Q3),[6]skilldef!$C:$D,2,FALSE),"-") &amp; " / " &amp; IFERROR(VLOOKUP(MID(N3,O3,P3-O3),[6]skilldef!$A:$B,2,FALSE),"-")</f>
        <v>- / -</v>
      </c>
      <c r="T3" s="157" t="str">
        <f t="shared" ref="T3" si="11">IFERROR(RIGHT(M3,LEN(M3)-FIND("],",M3)-1),"none")</f>
        <v>none</v>
      </c>
      <c r="U3" s="167" t="e">
        <f t="shared" ref="U3" si="12">FIND("effect:",T3)+7</f>
        <v>#VALUE!</v>
      </c>
      <c r="V3" s="167">
        <f t="shared" ref="V3" si="13">IFERROR(FIND(",",T3),LEN(T3))</f>
        <v>4</v>
      </c>
      <c r="W3" s="167" t="e">
        <f t="shared" ref="W3" si="14">FIND("target:",T3)+7</f>
        <v>#VALUE!</v>
      </c>
      <c r="X3" s="167" t="e">
        <f t="shared" ref="X3" si="15">FIND(",",T3,V3+1)</f>
        <v>#VALUE!</v>
      </c>
      <c r="Y3" s="167" t="str">
        <f>IFERROR(VLOOKUP(MID(T3,W3,X3-W3),[6]skilldef!$C:$D,2,FALSE),"-") &amp; " / " &amp; IFERROR(VLOOKUP(MID(T3,U3,V3-U3),[6]skilldef!$A:$B,2,FALSE),"-")</f>
        <v>- / -</v>
      </c>
      <c r="Z3" s="34"/>
      <c r="AA3" s="36"/>
      <c r="AB3" s="34"/>
    </row>
    <row r="4" spans="1:28" ht="28" x14ac:dyDescent="0.15">
      <c r="A4" s="32">
        <v>40037342</v>
      </c>
      <c r="B4" s="32" t="s">
        <v>343</v>
      </c>
      <c r="C4" s="34">
        <v>3</v>
      </c>
      <c r="D4" s="34" t="s">
        <v>128</v>
      </c>
      <c r="E4" s="35" t="s">
        <v>368</v>
      </c>
      <c r="F4" s="35" t="s">
        <v>396</v>
      </c>
      <c r="G4" s="167" t="str">
        <f t="shared" ref="G4:G23" si="16">IFERROR(LEFT(B4,FIND("],",B4)),B4)</f>
        <v>[effect:enhance_enemy, target:myself, turn:-1, status:attack, val:1000, calc:add, animation:enemy_enhance_attack]</v>
      </c>
      <c r="H4" s="167">
        <f t="shared" ref="H4:H23" si="17">FIND("effect:",G4)+7</f>
        <v>9</v>
      </c>
      <c r="I4" s="167">
        <f t="shared" ref="I4:I23" si="18">IFERROR(FIND(",",G4),LEN(G4))</f>
        <v>22</v>
      </c>
      <c r="J4" s="167">
        <f t="shared" ref="J4:J23" si="19">FIND("target:",G4)+7</f>
        <v>31</v>
      </c>
      <c r="K4" s="167">
        <f t="shared" ref="K4:K23" si="20">FIND(",",G4,I4+1)</f>
        <v>37</v>
      </c>
      <c r="L4" s="167" t="str">
        <f>IFERROR(VLOOKUP(MID(G4,J4,K4-J4),[6]skilldef!$C:$D,2,FALSE),"-") &amp; " / " &amp; IFERROR(VLOOKUP(MID(G4,H4,I4-H4),[6]skilldef!$A:$B,2,FALSE),"-")</f>
        <v>自分自身に / ステータス強化</v>
      </c>
      <c r="M4" s="167" t="str">
        <f t="shared" ref="M4:M23" si="21">IFERROR(RIGHT(B4,LEN(B4)-FIND("],",B4)-1),"none")</f>
        <v>[effect:fix_speed, target:myself, turn:1]</v>
      </c>
      <c r="N4" s="157" t="str">
        <f t="shared" si="0"/>
        <v>[effect:fix_speed, target:myself, turn:1]</v>
      </c>
      <c r="O4" s="167">
        <f t="shared" ref="O4:O23" si="22">FIND("effect:",N4)+7</f>
        <v>9</v>
      </c>
      <c r="P4" s="167">
        <f t="shared" ref="P4:P23" si="23">IFERROR(FIND(",",N4),LEN(N4))</f>
        <v>18</v>
      </c>
      <c r="Q4" s="167">
        <f t="shared" ref="Q4:Q23" si="24">FIND("target:",N4)+7</f>
        <v>27</v>
      </c>
      <c r="R4" s="167">
        <f t="shared" ref="R4:R23" si="25">FIND(",",N4,P4+1)</f>
        <v>33</v>
      </c>
      <c r="S4" s="167" t="str">
        <f>IFERROR(VLOOKUP(MID(N4,Q4,R4-Q4),[6]skilldef!$C:$D,2,FALSE),"-") &amp; " / " &amp; IFERROR(VLOOKUP(MID(N4,O4,P4-O4),[6]skilldef!$A:$B,2,FALSE),"-")</f>
        <v>自分自身に / 行動値設定</v>
      </c>
      <c r="T4" s="157" t="str">
        <f t="shared" ref="T4:T23" si="26">IFERROR(RIGHT(M4,LEN(M4)-FIND("],",M4)-1),"none")</f>
        <v>none</v>
      </c>
      <c r="U4" s="167" t="e">
        <f t="shared" ref="U4:U23" si="27">FIND("effect:",T4)+7</f>
        <v>#VALUE!</v>
      </c>
      <c r="V4" s="167">
        <f t="shared" ref="V4:V23" si="28">IFERROR(FIND(",",T4),LEN(T4))</f>
        <v>4</v>
      </c>
      <c r="W4" s="167" t="e">
        <f t="shared" ref="W4:W23" si="29">FIND("target:",T4)+7</f>
        <v>#VALUE!</v>
      </c>
      <c r="X4" s="167" t="e">
        <f t="shared" ref="X4:X23" si="30">FIND(",",T4,V4+1)</f>
        <v>#VALUE!</v>
      </c>
      <c r="Y4" s="167" t="str">
        <f>IFERROR(VLOOKUP(MID(T4,W4,X4-W4),[6]skilldef!$C:$D,2,FALSE),"-") &amp; " / " &amp; IFERROR(VLOOKUP(MID(T4,U4,V4-U4),[6]skilldef!$A:$B,2,FALSE),"-")</f>
        <v>- / -</v>
      </c>
      <c r="Z4" s="34"/>
      <c r="AA4" s="36"/>
      <c r="AB4" s="34"/>
    </row>
    <row r="5" spans="1:28" ht="70" x14ac:dyDescent="0.15">
      <c r="A5" s="32">
        <v>40037302</v>
      </c>
      <c r="B5" s="32" t="s">
        <v>442</v>
      </c>
      <c r="C5" s="34">
        <v>3</v>
      </c>
      <c r="D5" s="34" t="s">
        <v>128</v>
      </c>
      <c r="E5" s="35" t="s">
        <v>371</v>
      </c>
      <c r="F5" s="35" t="s">
        <v>402</v>
      </c>
      <c r="G5" s="167" t="str">
        <f t="shared" si="16"/>
        <v>[effect:enemy_message, val1:2, val2:2.4, dead_type:suicide]</v>
      </c>
      <c r="H5" s="167">
        <f t="shared" si="17"/>
        <v>9</v>
      </c>
      <c r="I5" s="167">
        <f t="shared" si="18"/>
        <v>22</v>
      </c>
      <c r="J5" s="167" t="e">
        <f t="shared" si="19"/>
        <v>#VALUE!</v>
      </c>
      <c r="K5" s="167">
        <f t="shared" si="20"/>
        <v>30</v>
      </c>
      <c r="L5" s="167" t="str">
        <f>IFERROR(VLOOKUP(MID(G5,J5,K5-J5),[6]skilldef!$C:$D,2,FALSE),"-") &amp; " / " &amp; IFERROR(VLOOKUP(MID(G5,H5,I5-H5),[6]skilldef!$A:$B,2,FALSE),"-")</f>
        <v>- / -</v>
      </c>
      <c r="M5" s="167" t="str">
        <f t="shared" si="21"/>
        <v>[effect:drop_freeze, turn:-1, block_type:normal, block_color:block_red, rate:0.1, animation:drop_protect],[effect:fix_speed, target:myself, turn:2]</v>
      </c>
      <c r="N5" s="157" t="str">
        <f t="shared" si="0"/>
        <v>[effect:drop_freeze, turn:-1, block_type:normal, block_color:block_red, rate:0.1, animation:drop_protect],[effect:fix_speed, target:myself, turn:2]</v>
      </c>
      <c r="O5" s="167">
        <f t="shared" si="22"/>
        <v>9</v>
      </c>
      <c r="P5" s="167">
        <f t="shared" si="23"/>
        <v>20</v>
      </c>
      <c r="Q5" s="167">
        <f t="shared" si="24"/>
        <v>133</v>
      </c>
      <c r="R5" s="167">
        <f t="shared" si="25"/>
        <v>29</v>
      </c>
      <c r="S5" s="167" t="str">
        <f>IFERROR(VLOOKUP(MID(N5,Q5,R5-Q5),[6]skilldef!$C:$D,2,FALSE),"-") &amp; " / " &amp; IFERROR(VLOOKUP(MID(N5,O5,P5-O5),[6]skilldef!$A:$B,2,FALSE),"-")</f>
        <v>- / -</v>
      </c>
      <c r="T5" s="157" t="str">
        <f t="shared" si="26"/>
        <v>[effect:fix_speed, target:myself, turn:2]</v>
      </c>
      <c r="U5" s="167">
        <f t="shared" si="27"/>
        <v>9</v>
      </c>
      <c r="V5" s="167">
        <f t="shared" si="28"/>
        <v>18</v>
      </c>
      <c r="W5" s="167">
        <f t="shared" si="29"/>
        <v>27</v>
      </c>
      <c r="X5" s="167">
        <f t="shared" si="30"/>
        <v>33</v>
      </c>
      <c r="Y5" s="167" t="str">
        <f>IFERROR(VLOOKUP(MID(T5,W5,X5-W5),[6]skilldef!$C:$D,2,FALSE),"-") &amp; " / " &amp; IFERROR(VLOOKUP(MID(T5,U5,V5-U5),[6]skilldef!$A:$B,2,FALSE),"-")</f>
        <v>自分自身に / 行動値設定</v>
      </c>
      <c r="Z5" s="34"/>
      <c r="AA5" s="36"/>
      <c r="AB5" s="34"/>
    </row>
    <row r="6" spans="1:28" ht="28" x14ac:dyDescent="0.15">
      <c r="A6" s="32">
        <v>40037303</v>
      </c>
      <c r="B6" s="32" t="s">
        <v>367</v>
      </c>
      <c r="C6" s="34">
        <v>3</v>
      </c>
      <c r="D6" s="34" t="s">
        <v>128</v>
      </c>
      <c r="E6" s="35" t="s">
        <v>385</v>
      </c>
      <c r="F6" s="35" t="s">
        <v>317</v>
      </c>
      <c r="G6" s="167" t="str">
        <f t="shared" si="16"/>
        <v xml:space="preserve">[effect:rush, count:4, val:0.35]    </v>
      </c>
      <c r="H6" s="167">
        <f t="shared" si="17"/>
        <v>9</v>
      </c>
      <c r="I6" s="167">
        <f t="shared" si="18"/>
        <v>13</v>
      </c>
      <c r="J6" s="167" t="e">
        <f t="shared" si="19"/>
        <v>#VALUE!</v>
      </c>
      <c r="K6" s="167">
        <f t="shared" si="20"/>
        <v>22</v>
      </c>
      <c r="L6" s="167" t="str">
        <f>IFERROR(VLOOKUP(MID(G6,J6,K6-J6),[6]skilldef!$C:$D,2,FALSE),"-") &amp; " / " &amp; IFERROR(VLOOKUP(MID(G6,H6,I6-H6),[6]skilldef!$A:$B,2,FALSE),"-")</f>
        <v>- / 連続攻撃</v>
      </c>
      <c r="M6" s="167" t="str">
        <f t="shared" si="21"/>
        <v>none</v>
      </c>
      <c r="N6" s="157" t="str">
        <f t="shared" si="0"/>
        <v>none</v>
      </c>
      <c r="O6" s="167" t="e">
        <f t="shared" si="22"/>
        <v>#VALUE!</v>
      </c>
      <c r="P6" s="167">
        <f t="shared" si="23"/>
        <v>4</v>
      </c>
      <c r="Q6" s="167" t="e">
        <f t="shared" si="24"/>
        <v>#VALUE!</v>
      </c>
      <c r="R6" s="167" t="e">
        <f t="shared" si="25"/>
        <v>#VALUE!</v>
      </c>
      <c r="S6" s="167" t="str">
        <f>IFERROR(VLOOKUP(MID(N6,Q6,R6-Q6),[6]skilldef!$C:$D,2,FALSE),"-") &amp; " / " &amp; IFERROR(VLOOKUP(MID(N6,O6,P6-O6),[6]skilldef!$A:$B,2,FALSE),"-")</f>
        <v>- / -</v>
      </c>
      <c r="T6" s="157" t="str">
        <f t="shared" si="26"/>
        <v>none</v>
      </c>
      <c r="U6" s="167" t="e">
        <f t="shared" si="27"/>
        <v>#VALUE!</v>
      </c>
      <c r="V6" s="167">
        <f t="shared" si="28"/>
        <v>4</v>
      </c>
      <c r="W6" s="167" t="e">
        <f t="shared" si="29"/>
        <v>#VALUE!</v>
      </c>
      <c r="X6" s="167" t="e">
        <f t="shared" si="30"/>
        <v>#VALUE!</v>
      </c>
      <c r="Y6" s="167" t="str">
        <f>IFERROR(VLOOKUP(MID(T6,W6,X6-W6),[6]skilldef!$C:$D,2,FALSE),"-") &amp; " / " &amp; IFERROR(VLOOKUP(MID(T6,U6,V6-U6),[6]skilldef!$A:$B,2,FALSE),"-")</f>
        <v>- / -</v>
      </c>
      <c r="Z6" s="34"/>
      <c r="AA6" s="36"/>
      <c r="AB6" s="34"/>
    </row>
    <row r="7" spans="1:28" ht="28" x14ac:dyDescent="0.15">
      <c r="A7" s="32">
        <v>40037343</v>
      </c>
      <c r="B7" s="32" t="s">
        <v>336</v>
      </c>
      <c r="C7" s="34">
        <v>3</v>
      </c>
      <c r="D7" s="34" t="s">
        <v>128</v>
      </c>
      <c r="E7" s="35" t="s">
        <v>386</v>
      </c>
      <c r="F7" s="35" t="s">
        <v>396</v>
      </c>
      <c r="G7" s="167" t="str">
        <f t="shared" si="16"/>
        <v>[effect:enhance_enemy, target:myself, turn:-1, status:attack, val:1000, calc:add, animation:enemy_enhance_attack]</v>
      </c>
      <c r="H7" s="167">
        <f t="shared" si="17"/>
        <v>9</v>
      </c>
      <c r="I7" s="167">
        <f t="shared" si="18"/>
        <v>22</v>
      </c>
      <c r="J7" s="167">
        <f t="shared" si="19"/>
        <v>31</v>
      </c>
      <c r="K7" s="167">
        <f t="shared" si="20"/>
        <v>37</v>
      </c>
      <c r="L7" s="167" t="str">
        <f>IFERROR(VLOOKUP(MID(G7,J7,K7-J7),[6]skilldef!$C:$D,2,FALSE),"-") &amp; " / " &amp; IFERROR(VLOOKUP(MID(G7,H7,I7-H7),[6]skilldef!$A:$B,2,FALSE),"-")</f>
        <v>自分自身に / ステータス強化</v>
      </c>
      <c r="M7" s="167" t="str">
        <f t="shared" si="21"/>
        <v>[effect:fix_speed, target:myself, turn:1]</v>
      </c>
      <c r="N7" s="157" t="str">
        <f t="shared" si="0"/>
        <v>[effect:fix_speed, target:myself, turn:1]</v>
      </c>
      <c r="O7" s="167">
        <f t="shared" si="22"/>
        <v>9</v>
      </c>
      <c r="P7" s="167">
        <f t="shared" si="23"/>
        <v>18</v>
      </c>
      <c r="Q7" s="167">
        <f t="shared" si="24"/>
        <v>27</v>
      </c>
      <c r="R7" s="167">
        <f t="shared" si="25"/>
        <v>33</v>
      </c>
      <c r="S7" s="167" t="str">
        <f>IFERROR(VLOOKUP(MID(N7,Q7,R7-Q7),[6]skilldef!$C:$D,2,FALSE),"-") &amp; " / " &amp; IFERROR(VLOOKUP(MID(N7,O7,P7-O7),[6]skilldef!$A:$B,2,FALSE),"-")</f>
        <v>自分自身に / 行動値設定</v>
      </c>
      <c r="T7" s="157" t="str">
        <f t="shared" si="26"/>
        <v>none</v>
      </c>
      <c r="U7" s="167" t="e">
        <f t="shared" si="27"/>
        <v>#VALUE!</v>
      </c>
      <c r="V7" s="167">
        <f t="shared" si="28"/>
        <v>4</v>
      </c>
      <c r="W7" s="167" t="e">
        <f t="shared" si="29"/>
        <v>#VALUE!</v>
      </c>
      <c r="X7" s="167" t="e">
        <f t="shared" si="30"/>
        <v>#VALUE!</v>
      </c>
      <c r="Y7" s="167" t="str">
        <f>IFERROR(VLOOKUP(MID(T7,W7,X7-W7),[6]skilldef!$C:$D,2,FALSE),"-") &amp; " / " &amp; IFERROR(VLOOKUP(MID(T7,U7,V7-U7),[6]skilldef!$A:$B,2,FALSE),"-")</f>
        <v>- / -</v>
      </c>
      <c r="Z7" s="34"/>
      <c r="AA7" s="36"/>
      <c r="AB7" s="34"/>
    </row>
    <row r="8" spans="1:28" ht="70" x14ac:dyDescent="0.15">
      <c r="A8" s="32">
        <v>40037304</v>
      </c>
      <c r="B8" s="32" t="s">
        <v>437</v>
      </c>
      <c r="C8" s="34">
        <v>3</v>
      </c>
      <c r="D8" s="34" t="s">
        <v>128</v>
      </c>
      <c r="E8" s="35" t="s">
        <v>312</v>
      </c>
      <c r="F8" s="35" t="s">
        <v>403</v>
      </c>
      <c r="G8" s="167" t="str">
        <f t="shared" si="16"/>
        <v>[effect:enemy_message, val1:2, val2:2.4, dead_type:suicide]</v>
      </c>
      <c r="H8" s="167">
        <f t="shared" si="17"/>
        <v>9</v>
      </c>
      <c r="I8" s="167">
        <f t="shared" si="18"/>
        <v>22</v>
      </c>
      <c r="J8" s="167" t="e">
        <f t="shared" si="19"/>
        <v>#VALUE!</v>
      </c>
      <c r="K8" s="167">
        <f t="shared" si="20"/>
        <v>30</v>
      </c>
      <c r="L8" s="167" t="str">
        <f>IFERROR(VLOOKUP(MID(G8,J8,K8-J8),[6]skilldef!$C:$D,2,FALSE),"-") &amp; " / " &amp; IFERROR(VLOOKUP(MID(G8,H8,I8-H8),[6]skilldef!$A:$B,2,FALSE),"-")</f>
        <v>- / -</v>
      </c>
      <c r="M8" s="167" t="str">
        <f t="shared" si="21"/>
        <v>[effect:drop_freeze, turn:-1, block_type:normal, block_color:block_blue, rate:0.1, animation:drop_protect],[effect:fix_speed, target:myself, turn:2]</v>
      </c>
      <c r="N8" s="157" t="str">
        <f t="shared" si="0"/>
        <v>[effect:drop_freeze, turn:-1, block_type:normal, block_color:block_blue, rate:0.1, animation:drop_protect],[effect:fix_speed, target:myself, turn:2]</v>
      </c>
      <c r="O8" s="167">
        <f t="shared" si="22"/>
        <v>9</v>
      </c>
      <c r="P8" s="167">
        <f t="shared" si="23"/>
        <v>20</v>
      </c>
      <c r="Q8" s="167">
        <f t="shared" si="24"/>
        <v>134</v>
      </c>
      <c r="R8" s="167">
        <f t="shared" si="25"/>
        <v>29</v>
      </c>
      <c r="S8" s="167" t="str">
        <f>IFERROR(VLOOKUP(MID(N8,Q8,R8-Q8),[6]skilldef!$C:$D,2,FALSE),"-") &amp; " / " &amp; IFERROR(VLOOKUP(MID(N8,O8,P8-O8),[6]skilldef!$A:$B,2,FALSE),"-")</f>
        <v>- / -</v>
      </c>
      <c r="T8" s="157" t="str">
        <f t="shared" si="26"/>
        <v>[effect:fix_speed, target:myself, turn:2]</v>
      </c>
      <c r="U8" s="167">
        <f t="shared" si="27"/>
        <v>9</v>
      </c>
      <c r="V8" s="167">
        <f t="shared" si="28"/>
        <v>18</v>
      </c>
      <c r="W8" s="167">
        <f t="shared" si="29"/>
        <v>27</v>
      </c>
      <c r="X8" s="167">
        <f t="shared" si="30"/>
        <v>33</v>
      </c>
      <c r="Y8" s="167" t="str">
        <f>IFERROR(VLOOKUP(MID(T8,W8,X8-W8),[6]skilldef!$C:$D,2,FALSE),"-") &amp; " / " &amp; IFERROR(VLOOKUP(MID(T8,U8,V8-U8),[6]skilldef!$A:$B,2,FALSE),"-")</f>
        <v>自分自身に / 行動値設定</v>
      </c>
      <c r="Z8" s="34"/>
      <c r="AA8" s="36"/>
      <c r="AB8" s="34"/>
    </row>
    <row r="9" spans="1:28" ht="28" x14ac:dyDescent="0.15">
      <c r="A9" s="32">
        <v>40037305</v>
      </c>
      <c r="B9" s="32" t="s">
        <v>397</v>
      </c>
      <c r="C9" s="34">
        <v>3</v>
      </c>
      <c r="D9" s="34" t="s">
        <v>128</v>
      </c>
      <c r="E9" s="35" t="s">
        <v>308</v>
      </c>
      <c r="F9" s="35" t="s">
        <v>461</v>
      </c>
      <c r="G9" s="167" t="str">
        <f t="shared" si="16"/>
        <v xml:space="preserve">[effect:break_attack_fix, target:unit_all, val:200, lowest_val:500, count:-1, color:green, block01:block_heart]    </v>
      </c>
      <c r="H9" s="167">
        <f t="shared" si="17"/>
        <v>9</v>
      </c>
      <c r="I9" s="167">
        <f t="shared" si="18"/>
        <v>25</v>
      </c>
      <c r="J9" s="167">
        <f t="shared" si="19"/>
        <v>34</v>
      </c>
      <c r="K9" s="167">
        <f t="shared" si="20"/>
        <v>42</v>
      </c>
      <c r="L9" s="167" t="str">
        <f>IFERROR(VLOOKUP(MID(G9,J9,K9-J9),[6]skilldef!$C:$D,2,FALSE),"-") &amp; " / " &amp; IFERROR(VLOOKUP(MID(G9,H9,I9-H9),[6]skilldef!$A:$B,2,FALSE),"-")</f>
        <v>味方全体に / -</v>
      </c>
      <c r="M9" s="167" t="str">
        <f t="shared" si="21"/>
        <v>none</v>
      </c>
      <c r="N9" s="157" t="str">
        <f t="shared" si="0"/>
        <v>none</v>
      </c>
      <c r="O9" s="167" t="e">
        <f t="shared" si="22"/>
        <v>#VALUE!</v>
      </c>
      <c r="P9" s="167">
        <f t="shared" si="23"/>
        <v>4</v>
      </c>
      <c r="Q9" s="167" t="e">
        <f t="shared" si="24"/>
        <v>#VALUE!</v>
      </c>
      <c r="R9" s="167" t="e">
        <f t="shared" si="25"/>
        <v>#VALUE!</v>
      </c>
      <c r="S9" s="167" t="str">
        <f>IFERROR(VLOOKUP(MID(N9,Q9,R9-Q9),[6]skilldef!$C:$D,2,FALSE),"-") &amp; " / " &amp; IFERROR(VLOOKUP(MID(N9,O9,P9-O9),[6]skilldef!$A:$B,2,FALSE),"-")</f>
        <v>- / -</v>
      </c>
      <c r="T9" s="157" t="str">
        <f t="shared" si="26"/>
        <v>none</v>
      </c>
      <c r="U9" s="167" t="e">
        <f t="shared" si="27"/>
        <v>#VALUE!</v>
      </c>
      <c r="V9" s="167">
        <f t="shared" si="28"/>
        <v>4</v>
      </c>
      <c r="W9" s="167" t="e">
        <f t="shared" si="29"/>
        <v>#VALUE!</v>
      </c>
      <c r="X9" s="167" t="e">
        <f t="shared" si="30"/>
        <v>#VALUE!</v>
      </c>
      <c r="Y9" s="167" t="str">
        <f>IFERROR(VLOOKUP(MID(T9,W9,X9-W9),[6]skilldef!$C:$D,2,FALSE),"-") &amp; " / " &amp; IFERROR(VLOOKUP(MID(T9,U9,V9-U9),[6]skilldef!$A:$B,2,FALSE),"-")</f>
        <v>- / -</v>
      </c>
      <c r="Z9" s="34"/>
      <c r="AA9" s="36"/>
      <c r="AB9" s="34"/>
    </row>
    <row r="10" spans="1:28" x14ac:dyDescent="0.15">
      <c r="A10" s="32">
        <v>40037306</v>
      </c>
      <c r="B10" s="32" t="s">
        <v>295</v>
      </c>
      <c r="C10" s="34">
        <v>3</v>
      </c>
      <c r="D10" s="34" t="s">
        <v>128</v>
      </c>
      <c r="E10" s="35" t="s">
        <v>310</v>
      </c>
      <c r="F10" s="35" t="s">
        <v>264</v>
      </c>
      <c r="G10" s="167" t="str">
        <f t="shared" si="16"/>
        <v xml:space="preserve">[effect:spread, val:0.2]    </v>
      </c>
      <c r="H10" s="167">
        <f t="shared" si="17"/>
        <v>9</v>
      </c>
      <c r="I10" s="167">
        <f t="shared" si="18"/>
        <v>15</v>
      </c>
      <c r="J10" s="167" t="e">
        <f t="shared" si="19"/>
        <v>#VALUE!</v>
      </c>
      <c r="K10" s="167" t="e">
        <f t="shared" si="20"/>
        <v>#VALUE!</v>
      </c>
      <c r="L10" s="167" t="str">
        <f>IFERROR(VLOOKUP(MID(G10,J10,K10-J10),[6]skilldef!$C:$D,2,FALSE),"-") &amp; " / " &amp; IFERROR(VLOOKUP(MID(G10,H10,I10-H10),[6]skilldef!$A:$B,2,FALSE),"-")</f>
        <v>- / 全体攻撃</v>
      </c>
      <c r="M10" s="167" t="str">
        <f t="shared" si="21"/>
        <v>none</v>
      </c>
      <c r="N10" s="157" t="str">
        <f t="shared" si="0"/>
        <v>none</v>
      </c>
      <c r="O10" s="167" t="e">
        <f t="shared" si="22"/>
        <v>#VALUE!</v>
      </c>
      <c r="P10" s="167">
        <f t="shared" si="23"/>
        <v>4</v>
      </c>
      <c r="Q10" s="167" t="e">
        <f t="shared" si="24"/>
        <v>#VALUE!</v>
      </c>
      <c r="R10" s="167" t="e">
        <f t="shared" si="25"/>
        <v>#VALUE!</v>
      </c>
      <c r="S10" s="167" t="str">
        <f>IFERROR(VLOOKUP(MID(N10,Q10,R10-Q10),[6]skilldef!$C:$D,2,FALSE),"-") &amp; " / " &amp; IFERROR(VLOOKUP(MID(N10,O10,P10-O10),[6]skilldef!$A:$B,2,FALSE),"-")</f>
        <v>- / -</v>
      </c>
      <c r="T10" s="157" t="str">
        <f t="shared" si="26"/>
        <v>none</v>
      </c>
      <c r="U10" s="167" t="e">
        <f t="shared" si="27"/>
        <v>#VALUE!</v>
      </c>
      <c r="V10" s="167">
        <f t="shared" si="28"/>
        <v>4</v>
      </c>
      <c r="W10" s="167" t="e">
        <f t="shared" si="29"/>
        <v>#VALUE!</v>
      </c>
      <c r="X10" s="167" t="e">
        <f t="shared" si="30"/>
        <v>#VALUE!</v>
      </c>
      <c r="Y10" s="167" t="str">
        <f>IFERROR(VLOOKUP(MID(T10,W10,X10-W10),[6]skilldef!$C:$D,2,FALSE),"-") &amp; " / " &amp; IFERROR(VLOOKUP(MID(T10,U10,V10-U10),[6]skilldef!$A:$B,2,FALSE),"-")</f>
        <v>- / -</v>
      </c>
      <c r="Z10" s="34"/>
      <c r="AA10" s="36"/>
      <c r="AB10" s="34"/>
    </row>
    <row r="11" spans="1:28" ht="28" x14ac:dyDescent="0.15">
      <c r="A11" s="32">
        <v>40037344</v>
      </c>
      <c r="B11" s="32" t="s">
        <v>335</v>
      </c>
      <c r="C11" s="34">
        <v>3</v>
      </c>
      <c r="D11" s="34" t="s">
        <v>128</v>
      </c>
      <c r="E11" s="35" t="s">
        <v>337</v>
      </c>
      <c r="F11" s="35" t="s">
        <v>396</v>
      </c>
      <c r="G11" s="167" t="str">
        <f t="shared" si="16"/>
        <v>[effect:enhance_enemy, target:myself, turn:-1, status:attack, val:1500, calc:add, animation:enemy_enhance_attack]</v>
      </c>
      <c r="H11" s="167">
        <f t="shared" si="17"/>
        <v>9</v>
      </c>
      <c r="I11" s="167">
        <f t="shared" si="18"/>
        <v>22</v>
      </c>
      <c r="J11" s="167">
        <f t="shared" si="19"/>
        <v>31</v>
      </c>
      <c r="K11" s="167">
        <f t="shared" si="20"/>
        <v>37</v>
      </c>
      <c r="L11" s="167" t="str">
        <f>IFERROR(VLOOKUP(MID(G11,J11,K11-J11),[6]skilldef!$C:$D,2,FALSE),"-") &amp; " / " &amp; IFERROR(VLOOKUP(MID(G11,H11,I11-H11),[6]skilldef!$A:$B,2,FALSE),"-")</f>
        <v>自分自身に / ステータス強化</v>
      </c>
      <c r="M11" s="167" t="str">
        <f t="shared" si="21"/>
        <v>[effect:fix_speed, target:myself, turn:1]</v>
      </c>
      <c r="N11" s="157" t="str">
        <f t="shared" si="0"/>
        <v>[effect:fix_speed, target:myself, turn:1]</v>
      </c>
      <c r="O11" s="167">
        <f t="shared" si="22"/>
        <v>9</v>
      </c>
      <c r="P11" s="167">
        <f t="shared" si="23"/>
        <v>18</v>
      </c>
      <c r="Q11" s="167">
        <f t="shared" si="24"/>
        <v>27</v>
      </c>
      <c r="R11" s="167">
        <f t="shared" si="25"/>
        <v>33</v>
      </c>
      <c r="S11" s="167" t="str">
        <f>IFERROR(VLOOKUP(MID(N11,Q11,R11-Q11),[6]skilldef!$C:$D,2,FALSE),"-") &amp; " / " &amp; IFERROR(VLOOKUP(MID(N11,O11,P11-O11),[6]skilldef!$A:$B,2,FALSE),"-")</f>
        <v>自分自身に / 行動値設定</v>
      </c>
      <c r="T11" s="157" t="str">
        <f t="shared" si="26"/>
        <v>none</v>
      </c>
      <c r="U11" s="167" t="e">
        <f t="shared" si="27"/>
        <v>#VALUE!</v>
      </c>
      <c r="V11" s="167">
        <f t="shared" si="28"/>
        <v>4</v>
      </c>
      <c r="W11" s="167" t="e">
        <f t="shared" si="29"/>
        <v>#VALUE!</v>
      </c>
      <c r="X11" s="167" t="e">
        <f t="shared" si="30"/>
        <v>#VALUE!</v>
      </c>
      <c r="Y11" s="167" t="str">
        <f>IFERROR(VLOOKUP(MID(T11,W11,X11-W11),[6]skilldef!$C:$D,2,FALSE),"-") &amp; " / " &amp; IFERROR(VLOOKUP(MID(T11,U11,V11-U11),[6]skilldef!$A:$B,2,FALSE),"-")</f>
        <v>- / -</v>
      </c>
      <c r="Z11" s="34"/>
      <c r="AA11" s="36"/>
      <c r="AB11" s="34"/>
    </row>
    <row r="12" spans="1:28" ht="28" x14ac:dyDescent="0.15">
      <c r="A12" s="32">
        <v>40037307</v>
      </c>
      <c r="B12" s="32" t="s">
        <v>306</v>
      </c>
      <c r="C12" s="34">
        <v>3</v>
      </c>
      <c r="D12" s="34" t="s">
        <v>128</v>
      </c>
      <c r="E12" s="35" t="s">
        <v>277</v>
      </c>
      <c r="F12" s="35" t="s">
        <v>324</v>
      </c>
      <c r="G12" s="167" t="str">
        <f t="shared" si="16"/>
        <v>[effect:change_bomb_range, target:unit_all, val:0.5, rate:1, turn:10, animation:bomb_small]</v>
      </c>
      <c r="H12" s="167">
        <f t="shared" si="17"/>
        <v>9</v>
      </c>
      <c r="I12" s="167">
        <f t="shared" si="18"/>
        <v>26</v>
      </c>
      <c r="J12" s="167">
        <f t="shared" si="19"/>
        <v>35</v>
      </c>
      <c r="K12" s="167">
        <f t="shared" si="20"/>
        <v>43</v>
      </c>
      <c r="L12" s="167" t="str">
        <f>IFERROR(VLOOKUP(MID(G12,J12,K12-J12),[6]skilldef!$C:$D,2,FALSE),"-") &amp; " / " &amp; IFERROR(VLOOKUP(MID(G12,H12,I12-H12),[6]skilldef!$A:$B,2,FALSE),"-")</f>
        <v>味方全体に / -</v>
      </c>
      <c r="M12" s="167" t="str">
        <f t="shared" si="21"/>
        <v>[effect:fix_speed, target:myself, turn:2]</v>
      </c>
      <c r="N12" s="157" t="str">
        <f t="shared" si="0"/>
        <v>[effect:fix_speed, target:myself, turn:2]</v>
      </c>
      <c r="O12" s="167">
        <f t="shared" si="22"/>
        <v>9</v>
      </c>
      <c r="P12" s="167">
        <f t="shared" si="23"/>
        <v>18</v>
      </c>
      <c r="Q12" s="167">
        <f t="shared" si="24"/>
        <v>27</v>
      </c>
      <c r="R12" s="167">
        <f t="shared" si="25"/>
        <v>33</v>
      </c>
      <c r="S12" s="167" t="str">
        <f>IFERROR(VLOOKUP(MID(N12,Q12,R12-Q12),[6]skilldef!$C:$D,2,FALSE),"-") &amp; " / " &amp; IFERROR(VLOOKUP(MID(N12,O12,P12-O12),[6]skilldef!$A:$B,2,FALSE),"-")</f>
        <v>自分自身に / 行動値設定</v>
      </c>
      <c r="T12" s="157" t="str">
        <f t="shared" si="26"/>
        <v>none</v>
      </c>
      <c r="U12" s="167" t="e">
        <f t="shared" si="27"/>
        <v>#VALUE!</v>
      </c>
      <c r="V12" s="167">
        <f t="shared" si="28"/>
        <v>4</v>
      </c>
      <c r="W12" s="167" t="e">
        <f t="shared" si="29"/>
        <v>#VALUE!</v>
      </c>
      <c r="X12" s="167" t="e">
        <f t="shared" si="30"/>
        <v>#VALUE!</v>
      </c>
      <c r="Y12" s="167" t="str">
        <f>IFERROR(VLOOKUP(MID(T12,W12,X12-W12),[6]skilldef!$C:$D,2,FALSE),"-") &amp; " / " &amp; IFERROR(VLOOKUP(MID(T12,U12,V12-U12),[6]skilldef!$A:$B,2,FALSE),"-")</f>
        <v>- / -</v>
      </c>
      <c r="Z12" s="34"/>
      <c r="AA12" s="36"/>
      <c r="AB12" s="34"/>
    </row>
    <row r="13" spans="1:28" x14ac:dyDescent="0.15">
      <c r="A13" s="32">
        <v>40037308</v>
      </c>
      <c r="B13" s="32" t="s">
        <v>352</v>
      </c>
      <c r="C13" s="34">
        <v>3</v>
      </c>
      <c r="D13" s="34" t="s">
        <v>128</v>
      </c>
      <c r="E13" s="35" t="s">
        <v>278</v>
      </c>
      <c r="F13" s="35" t="s">
        <v>351</v>
      </c>
      <c r="G13" s="167" t="str">
        <f t="shared" si="16"/>
        <v>[effect:rush, count:12, val:0.1]</v>
      </c>
      <c r="H13" s="167">
        <f t="shared" si="17"/>
        <v>9</v>
      </c>
      <c r="I13" s="167">
        <f t="shared" si="18"/>
        <v>13</v>
      </c>
      <c r="J13" s="167" t="e">
        <f t="shared" si="19"/>
        <v>#VALUE!</v>
      </c>
      <c r="K13" s="167">
        <f t="shared" si="20"/>
        <v>23</v>
      </c>
      <c r="L13" s="167" t="str">
        <f>IFERROR(VLOOKUP(MID(G13,J13,K13-J13),[6]skilldef!$C:$D,2,FALSE),"-") &amp; " / " &amp; IFERROR(VLOOKUP(MID(G13,H13,I13-H13),[6]skilldef!$A:$B,2,FALSE),"-")</f>
        <v>- / 連続攻撃</v>
      </c>
      <c r="M13" s="167" t="str">
        <f t="shared" si="21"/>
        <v>none</v>
      </c>
      <c r="N13" s="157" t="str">
        <f t="shared" si="0"/>
        <v>none</v>
      </c>
      <c r="O13" s="167" t="e">
        <f t="shared" si="22"/>
        <v>#VALUE!</v>
      </c>
      <c r="P13" s="167">
        <f t="shared" si="23"/>
        <v>4</v>
      </c>
      <c r="Q13" s="167" t="e">
        <f t="shared" si="24"/>
        <v>#VALUE!</v>
      </c>
      <c r="R13" s="167" t="e">
        <f t="shared" si="25"/>
        <v>#VALUE!</v>
      </c>
      <c r="S13" s="167" t="str">
        <f>IFERROR(VLOOKUP(MID(N13,Q13,R13-Q13),[6]skilldef!$C:$D,2,FALSE),"-") &amp; " / " &amp; IFERROR(VLOOKUP(MID(N13,O13,P13-O13),[6]skilldef!$A:$B,2,FALSE),"-")</f>
        <v>- / -</v>
      </c>
      <c r="T13" s="157" t="str">
        <f t="shared" si="26"/>
        <v>none</v>
      </c>
      <c r="U13" s="167" t="e">
        <f t="shared" si="27"/>
        <v>#VALUE!</v>
      </c>
      <c r="V13" s="167">
        <f t="shared" si="28"/>
        <v>4</v>
      </c>
      <c r="W13" s="167" t="e">
        <f t="shared" si="29"/>
        <v>#VALUE!</v>
      </c>
      <c r="X13" s="167" t="e">
        <f t="shared" si="30"/>
        <v>#VALUE!</v>
      </c>
      <c r="Y13" s="167" t="str">
        <f>IFERROR(VLOOKUP(MID(T13,W13,X13-W13),[6]skilldef!$C:$D,2,FALSE),"-") &amp; " / " &amp; IFERROR(VLOOKUP(MID(T13,U13,V13-U13),[6]skilldef!$A:$B,2,FALSE),"-")</f>
        <v>- / -</v>
      </c>
      <c r="Z13" s="34"/>
      <c r="AA13" s="36"/>
      <c r="AB13" s="34"/>
    </row>
    <row r="14" spans="1:28" ht="70" x14ac:dyDescent="0.15">
      <c r="A14" s="32">
        <v>40037309</v>
      </c>
      <c r="B14" s="32" t="s">
        <v>436</v>
      </c>
      <c r="C14" s="34">
        <v>3</v>
      </c>
      <c r="D14" s="34" t="s">
        <v>128</v>
      </c>
      <c r="E14" s="35" t="s">
        <v>279</v>
      </c>
      <c r="F14" s="35" t="s">
        <v>325</v>
      </c>
      <c r="G14" s="167" t="str">
        <f t="shared" si="16"/>
        <v>[effect:enemy_message, val1:2, val2:2.4, dead_type:suicide]</v>
      </c>
      <c r="H14" s="167">
        <f t="shared" si="17"/>
        <v>9</v>
      </c>
      <c r="I14" s="167">
        <f t="shared" si="18"/>
        <v>22</v>
      </c>
      <c r="J14" s="167" t="e">
        <f t="shared" si="19"/>
        <v>#VALUE!</v>
      </c>
      <c r="K14" s="167">
        <f t="shared" si="20"/>
        <v>30</v>
      </c>
      <c r="L14" s="167" t="str">
        <f>IFERROR(VLOOKUP(MID(G14,J14,K14-J14),[6]skilldef!$C:$D,2,FALSE),"-") &amp; " / " &amp; IFERROR(VLOOKUP(MID(G14,H14,I14-H14),[6]skilldef!$A:$B,2,FALSE),"-")</f>
        <v>- / -</v>
      </c>
      <c r="M14" s="167" t="str">
        <f t="shared" si="21"/>
        <v>[effect:rush, count:8, val:0.1],[effect:degrade_unit, target:unit_all, turn:3, status:heal, val:0.5, calc:mul, animation:degrade_unit_all_heal]</v>
      </c>
      <c r="N14" s="157" t="str">
        <f t="shared" si="0"/>
        <v>[effect:rush, count:8, val:0.1],[effect:degrade_unit, target:unit_all, turn:3, status:heal, val:0.5, calc:mul, animation:degrade_unit_all_heal]</v>
      </c>
      <c r="O14" s="167">
        <f t="shared" si="22"/>
        <v>9</v>
      </c>
      <c r="P14" s="167">
        <f t="shared" si="23"/>
        <v>13</v>
      </c>
      <c r="Q14" s="167">
        <f t="shared" si="24"/>
        <v>62</v>
      </c>
      <c r="R14" s="167">
        <f t="shared" si="25"/>
        <v>22</v>
      </c>
      <c r="S14" s="167" t="str">
        <f>IFERROR(VLOOKUP(MID(N14,Q14,R14-Q14),[6]skilldef!$C:$D,2,FALSE),"-") &amp; " / " &amp; IFERROR(VLOOKUP(MID(N14,O14,P14-O14),[6]skilldef!$A:$B,2,FALSE),"-")</f>
        <v>- / 連続攻撃</v>
      </c>
      <c r="T14" s="157" t="str">
        <f t="shared" si="26"/>
        <v>[effect:degrade_unit, target:unit_all, turn:3, status:heal, val:0.5, calc:mul, animation:degrade_unit_all_heal]</v>
      </c>
      <c r="U14" s="167">
        <f t="shared" si="27"/>
        <v>9</v>
      </c>
      <c r="V14" s="167">
        <f t="shared" si="28"/>
        <v>21</v>
      </c>
      <c r="W14" s="167">
        <f t="shared" si="29"/>
        <v>30</v>
      </c>
      <c r="X14" s="167">
        <f t="shared" si="30"/>
        <v>38</v>
      </c>
      <c r="Y14" s="167" t="str">
        <f>IFERROR(VLOOKUP(MID(T14,W14,X14-W14),[6]skilldef!$C:$D,2,FALSE),"-") &amp; " / " &amp; IFERROR(VLOOKUP(MID(T14,U14,V14-U14),[6]skilldef!$A:$B,2,FALSE),"-")</f>
        <v>味方全体に / ステータスDOWN</v>
      </c>
      <c r="Z14" s="34"/>
      <c r="AA14" s="36"/>
      <c r="AB14" s="34"/>
    </row>
    <row r="15" spans="1:28" ht="28" x14ac:dyDescent="0.15">
      <c r="A15" s="32">
        <v>40037345</v>
      </c>
      <c r="B15" s="32" t="s">
        <v>335</v>
      </c>
      <c r="C15" s="34">
        <v>3</v>
      </c>
      <c r="D15" s="34" t="s">
        <v>128</v>
      </c>
      <c r="E15" s="35" t="s">
        <v>342</v>
      </c>
      <c r="F15" s="35" t="s">
        <v>396</v>
      </c>
      <c r="G15" s="167" t="str">
        <f t="shared" si="16"/>
        <v>[effect:enhance_enemy, target:myself, turn:-1, status:attack, val:1500, calc:add, animation:enemy_enhance_attack]</v>
      </c>
      <c r="H15" s="167">
        <f t="shared" si="17"/>
        <v>9</v>
      </c>
      <c r="I15" s="167">
        <f t="shared" si="18"/>
        <v>22</v>
      </c>
      <c r="J15" s="167">
        <f t="shared" si="19"/>
        <v>31</v>
      </c>
      <c r="K15" s="167">
        <f t="shared" si="20"/>
        <v>37</v>
      </c>
      <c r="L15" s="167" t="str">
        <f>IFERROR(VLOOKUP(MID(G15,J15,K15-J15),[6]skilldef!$C:$D,2,FALSE),"-") &amp; " / " &amp; IFERROR(VLOOKUP(MID(G15,H15,I15-H15),[6]skilldef!$A:$B,2,FALSE),"-")</f>
        <v>自分自身に / ステータス強化</v>
      </c>
      <c r="M15" s="167" t="str">
        <f t="shared" si="21"/>
        <v>[effect:fix_speed, target:myself, turn:1]</v>
      </c>
      <c r="N15" s="157" t="str">
        <f t="shared" si="0"/>
        <v>[effect:fix_speed, target:myself, turn:1]</v>
      </c>
      <c r="O15" s="167">
        <f t="shared" si="22"/>
        <v>9</v>
      </c>
      <c r="P15" s="167">
        <f t="shared" si="23"/>
        <v>18</v>
      </c>
      <c r="Q15" s="167">
        <f t="shared" si="24"/>
        <v>27</v>
      </c>
      <c r="R15" s="167">
        <f t="shared" si="25"/>
        <v>33</v>
      </c>
      <c r="S15" s="167" t="str">
        <f>IFERROR(VLOOKUP(MID(N15,Q15,R15-Q15),[6]skilldef!$C:$D,2,FALSE),"-") &amp; " / " &amp; IFERROR(VLOOKUP(MID(N15,O15,P15-O15),[6]skilldef!$A:$B,2,FALSE),"-")</f>
        <v>自分自身に / 行動値設定</v>
      </c>
      <c r="T15" s="157" t="str">
        <f t="shared" si="26"/>
        <v>none</v>
      </c>
      <c r="U15" s="167" t="e">
        <f t="shared" si="27"/>
        <v>#VALUE!</v>
      </c>
      <c r="V15" s="167">
        <f t="shared" si="28"/>
        <v>4</v>
      </c>
      <c r="W15" s="167" t="e">
        <f t="shared" si="29"/>
        <v>#VALUE!</v>
      </c>
      <c r="X15" s="167" t="e">
        <f t="shared" si="30"/>
        <v>#VALUE!</v>
      </c>
      <c r="Y15" s="167" t="str">
        <f>IFERROR(VLOOKUP(MID(T15,W15,X15-W15),[6]skilldef!$C:$D,2,FALSE),"-") &amp; " / " &amp; IFERROR(VLOOKUP(MID(T15,U15,V15-U15),[6]skilldef!$A:$B,2,FALSE),"-")</f>
        <v>- / -</v>
      </c>
      <c r="Z15" s="34"/>
      <c r="AA15" s="36"/>
      <c r="AB15" s="34"/>
    </row>
    <row r="16" spans="1:28" x14ac:dyDescent="0.15">
      <c r="A16" s="32">
        <v>40037347</v>
      </c>
      <c r="B16" s="32" t="s">
        <v>353</v>
      </c>
      <c r="C16" s="34">
        <v>3</v>
      </c>
      <c r="D16" s="34" t="s">
        <v>128</v>
      </c>
      <c r="E16" s="35" t="s">
        <v>355</v>
      </c>
      <c r="F16" s="35" t="s">
        <v>354</v>
      </c>
      <c r="G16" s="167" t="str">
        <f t="shared" ref="G16" si="31">IFERROR(LEFT(B16,FIND("],",B16)),B16)</f>
        <v>[effect:rush, count:8, val:0.2]</v>
      </c>
      <c r="H16" s="167">
        <f t="shared" ref="H16" si="32">FIND("effect:",G16)+7</f>
        <v>9</v>
      </c>
      <c r="I16" s="167">
        <f t="shared" ref="I16" si="33">IFERROR(FIND(",",G16),LEN(G16))</f>
        <v>13</v>
      </c>
      <c r="J16" s="167" t="e">
        <f t="shared" ref="J16" si="34">FIND("target:",G16)+7</f>
        <v>#VALUE!</v>
      </c>
      <c r="K16" s="167">
        <f t="shared" ref="K16" si="35">FIND(",",G16,I16+1)</f>
        <v>22</v>
      </c>
      <c r="L16" s="167" t="str">
        <f>IFERROR(VLOOKUP(MID(G16,J16,K16-J16),[6]skilldef!$C:$D,2,FALSE),"-") &amp; " / " &amp; IFERROR(VLOOKUP(MID(G16,H16,I16-H16),[6]skilldef!$A:$B,2,FALSE),"-")</f>
        <v>- / 連続攻撃</v>
      </c>
      <c r="M16" s="167" t="str">
        <f t="shared" ref="M16" si="36">IFERROR(RIGHT(B16,LEN(B16)-FIND("],",B16)-1),"none")</f>
        <v>none</v>
      </c>
      <c r="N16" s="157" t="str">
        <f t="shared" si="0"/>
        <v>none</v>
      </c>
      <c r="O16" s="167" t="e">
        <f t="shared" ref="O16" si="37">FIND("effect:",N16)+7</f>
        <v>#VALUE!</v>
      </c>
      <c r="P16" s="167">
        <f t="shared" ref="P16" si="38">IFERROR(FIND(",",N16),LEN(N16))</f>
        <v>4</v>
      </c>
      <c r="Q16" s="167" t="e">
        <f t="shared" ref="Q16" si="39">FIND("target:",N16)+7</f>
        <v>#VALUE!</v>
      </c>
      <c r="R16" s="167" t="e">
        <f t="shared" ref="R16" si="40">FIND(",",N16,P16+1)</f>
        <v>#VALUE!</v>
      </c>
      <c r="S16" s="167" t="str">
        <f>IFERROR(VLOOKUP(MID(N16,Q16,R16-Q16),[6]skilldef!$C:$D,2,FALSE),"-") &amp; " / " &amp; IFERROR(VLOOKUP(MID(N16,O16,P16-O16),[6]skilldef!$A:$B,2,FALSE),"-")</f>
        <v>- / -</v>
      </c>
      <c r="T16" s="157" t="str">
        <f t="shared" ref="T16" si="41">IFERROR(RIGHT(M16,LEN(M16)-FIND("],",M16)-1),"none")</f>
        <v>none</v>
      </c>
      <c r="U16" s="167" t="e">
        <f t="shared" ref="U16" si="42">FIND("effect:",T16)+7</f>
        <v>#VALUE!</v>
      </c>
      <c r="V16" s="167">
        <f t="shared" ref="V16" si="43">IFERROR(FIND(",",T16),LEN(T16))</f>
        <v>4</v>
      </c>
      <c r="W16" s="167" t="e">
        <f t="shared" ref="W16" si="44">FIND("target:",T16)+7</f>
        <v>#VALUE!</v>
      </c>
      <c r="X16" s="167" t="e">
        <f t="shared" ref="X16" si="45">FIND(",",T16,V16+1)</f>
        <v>#VALUE!</v>
      </c>
      <c r="Y16" s="167" t="str">
        <f>IFERROR(VLOOKUP(MID(T16,W16,X16-W16),[6]skilldef!$C:$D,2,FALSE),"-") &amp; " / " &amp; IFERROR(VLOOKUP(MID(T16,U16,V16-U16),[6]skilldef!$A:$B,2,FALSE),"-")</f>
        <v>- / -</v>
      </c>
      <c r="Z16" s="34"/>
      <c r="AA16" s="36"/>
      <c r="AB16" s="34"/>
    </row>
    <row r="17" spans="1:28" ht="70" x14ac:dyDescent="0.15">
      <c r="A17" s="32">
        <v>40037310</v>
      </c>
      <c r="B17" s="32" t="s">
        <v>443</v>
      </c>
      <c r="C17" s="34">
        <v>3</v>
      </c>
      <c r="D17" s="34" t="s">
        <v>128</v>
      </c>
      <c r="E17" s="35" t="s">
        <v>382</v>
      </c>
      <c r="F17" s="35" t="s">
        <v>404</v>
      </c>
      <c r="G17" s="167" t="str">
        <f t="shared" si="16"/>
        <v>[effect:enemy_message, val1:2, val2:2.4, dead_type:suicide]</v>
      </c>
      <c r="H17" s="167">
        <f t="shared" si="17"/>
        <v>9</v>
      </c>
      <c r="I17" s="167">
        <f t="shared" si="18"/>
        <v>22</v>
      </c>
      <c r="J17" s="167" t="e">
        <f t="shared" si="19"/>
        <v>#VALUE!</v>
      </c>
      <c r="K17" s="167">
        <f t="shared" si="20"/>
        <v>30</v>
      </c>
      <c r="L17" s="167" t="str">
        <f>IFERROR(VLOOKUP(MID(G17,J17,K17-J17),[6]skilldef!$C:$D,2,FALSE),"-") &amp; " / " &amp; IFERROR(VLOOKUP(MID(G17,H17,I17-H17),[6]skilldef!$A:$B,2,FALSE),"-")</f>
        <v>- / -</v>
      </c>
      <c r="M17" s="167" t="str">
        <f t="shared" si="21"/>
        <v>[effect:drop_freeze, turn:-1, block_type:normal, block_color:block_heart, rate:0.1, animation:drop_protect],[effect:fix_speed, target:myself, turn:2]</v>
      </c>
      <c r="N17" s="157" t="str">
        <f t="shared" ref="N17:N22" si="46">IFERROR(LEFT(M17,FIND("],",M17)+S31),M17)</f>
        <v>[effect:drop_freeze, turn:-1, block_type:normal, block_color:block_heart, rate:0.1, animation:drop_protect],[effect:fix_speed, target:myself, turn:2]</v>
      </c>
      <c r="O17" s="167">
        <f t="shared" si="22"/>
        <v>9</v>
      </c>
      <c r="P17" s="167">
        <f t="shared" si="23"/>
        <v>20</v>
      </c>
      <c r="Q17" s="167">
        <f t="shared" si="24"/>
        <v>135</v>
      </c>
      <c r="R17" s="167">
        <f t="shared" si="25"/>
        <v>29</v>
      </c>
      <c r="S17" s="167" t="str">
        <f>IFERROR(VLOOKUP(MID(N17,Q17,R17-Q17),[6]skilldef!$C:$D,2,FALSE),"-") &amp; " / " &amp; IFERROR(VLOOKUP(MID(N17,O17,P17-O17),[6]skilldef!$A:$B,2,FALSE),"-")</f>
        <v>- / -</v>
      </c>
      <c r="T17" s="157" t="str">
        <f t="shared" si="26"/>
        <v>[effect:fix_speed, target:myself, turn:2]</v>
      </c>
      <c r="U17" s="167">
        <f t="shared" si="27"/>
        <v>9</v>
      </c>
      <c r="V17" s="167">
        <f t="shared" si="28"/>
        <v>18</v>
      </c>
      <c r="W17" s="167">
        <f t="shared" si="29"/>
        <v>27</v>
      </c>
      <c r="X17" s="167">
        <f t="shared" si="30"/>
        <v>33</v>
      </c>
      <c r="Y17" s="167" t="str">
        <f>IFERROR(VLOOKUP(MID(T17,W17,X17-W17),[6]skilldef!$C:$D,2,FALSE),"-") &amp; " / " &amp; IFERROR(VLOOKUP(MID(T17,U17,V17-U17),[6]skilldef!$A:$B,2,FALSE),"-")</f>
        <v>自分自身に / 行動値設定</v>
      </c>
      <c r="Z17" s="34"/>
      <c r="AA17" s="36"/>
      <c r="AB17" s="34"/>
    </row>
    <row r="18" spans="1:28" ht="98" x14ac:dyDescent="0.15">
      <c r="A18" s="32">
        <v>40037311</v>
      </c>
      <c r="B18" s="32" t="s">
        <v>466</v>
      </c>
      <c r="C18" s="34">
        <v>3</v>
      </c>
      <c r="D18" s="34" t="s">
        <v>128</v>
      </c>
      <c r="E18" s="35" t="s">
        <v>448</v>
      </c>
      <c r="F18" s="35" t="s">
        <v>467</v>
      </c>
      <c r="G18" s="167" t="str">
        <f t="shared" si="16"/>
        <v>[effect:enemy_message, val1:2, val2:2.4, dead_type:suicide]</v>
      </c>
      <c r="H18" s="167">
        <f t="shared" si="17"/>
        <v>9</v>
      </c>
      <c r="I18" s="167">
        <f t="shared" si="18"/>
        <v>22</v>
      </c>
      <c r="J18" s="167" t="e">
        <f t="shared" si="19"/>
        <v>#VALUE!</v>
      </c>
      <c r="K18" s="167">
        <f t="shared" si="20"/>
        <v>30</v>
      </c>
      <c r="L18" s="167" t="str">
        <f>IFERROR(VLOOKUP(MID(G18,J18,K18-J18),[6]skilldef!$C:$D,2,FALSE),"-") &amp; " / " &amp; IFERROR(VLOOKUP(MID(G18,H18,I18-H18),[6]skilldef!$A:$B,2,FALSE),"-")</f>
        <v>- / -</v>
      </c>
      <c r="M18" s="167" t="str">
        <f t="shared" si="21"/>
        <v xml:space="preserve">[effect:enhance_enemy, target:myself, turn:-1, status:attack, val:2000, calc:add, animation:enemy_enhance_attack],[effect:fix_speed, target:myself, turn:1],[effect:rush, count:8, val:0.15]  </v>
      </c>
      <c r="N18" s="157" t="str">
        <f t="shared" si="46"/>
        <v xml:space="preserve">[effect:enhance_enemy, target:myself, turn:-1, status:attack, val:2000, calc:add, animation:enemy_enhance_attack],[effect:fix_speed, target:myself, turn:1],[effect:rush, count:8, val:0.15]  </v>
      </c>
      <c r="O18" s="167">
        <f t="shared" si="22"/>
        <v>9</v>
      </c>
      <c r="P18" s="167">
        <f t="shared" si="23"/>
        <v>22</v>
      </c>
      <c r="Q18" s="167">
        <f t="shared" si="24"/>
        <v>31</v>
      </c>
      <c r="R18" s="167">
        <f t="shared" si="25"/>
        <v>37</v>
      </c>
      <c r="S18" s="167" t="str">
        <f>IFERROR(VLOOKUP(MID(N18,Q18,R18-Q18),[6]skilldef!$C:$D,2,FALSE),"-") &amp; " / " &amp; IFERROR(VLOOKUP(MID(N18,O18,P18-O18),[6]skilldef!$A:$B,2,FALSE),"-")</f>
        <v>自分自身に / ステータス強化</v>
      </c>
      <c r="T18" s="157" t="str">
        <f t="shared" si="26"/>
        <v xml:space="preserve">[effect:fix_speed, target:myself, turn:1],[effect:rush, count:8, val:0.15]  </v>
      </c>
      <c r="U18" s="167">
        <f t="shared" si="27"/>
        <v>9</v>
      </c>
      <c r="V18" s="167">
        <f t="shared" si="28"/>
        <v>18</v>
      </c>
      <c r="W18" s="167">
        <f t="shared" si="29"/>
        <v>27</v>
      </c>
      <c r="X18" s="167">
        <f t="shared" si="30"/>
        <v>33</v>
      </c>
      <c r="Y18" s="167" t="str">
        <f>IFERROR(VLOOKUP(MID(T18,W18,X18-W18),[6]skilldef!$C:$D,2,FALSE),"-") &amp; " / " &amp; IFERROR(VLOOKUP(MID(T18,U18,V18-U18),[6]skilldef!$A:$B,2,FALSE),"-")</f>
        <v>自分自身に / 行動値設定</v>
      </c>
      <c r="Z18" s="34"/>
      <c r="AA18" s="36"/>
      <c r="AB18" s="34"/>
    </row>
    <row r="19" spans="1:28" ht="28" x14ac:dyDescent="0.15">
      <c r="A19" s="32">
        <v>40037312</v>
      </c>
      <c r="B19" s="32" t="s">
        <v>447</v>
      </c>
      <c r="C19" s="34">
        <v>3</v>
      </c>
      <c r="D19" s="34" t="s">
        <v>128</v>
      </c>
      <c r="E19" s="35" t="s">
        <v>420</v>
      </c>
      <c r="F19" s="35" t="s">
        <v>356</v>
      </c>
      <c r="G19" s="167" t="str">
        <f t="shared" si="16"/>
        <v>[effect:rush, count:6, val:0.2]</v>
      </c>
      <c r="H19" s="167">
        <f t="shared" si="17"/>
        <v>9</v>
      </c>
      <c r="I19" s="167">
        <f t="shared" si="18"/>
        <v>13</v>
      </c>
      <c r="J19" s="167" t="e">
        <f t="shared" si="19"/>
        <v>#VALUE!</v>
      </c>
      <c r="K19" s="167">
        <f t="shared" si="20"/>
        <v>22</v>
      </c>
      <c r="L19" s="167" t="str">
        <f>IFERROR(VLOOKUP(MID(G19,J19,K19-J19),[6]skilldef!$C:$D,2,FALSE),"-") &amp; " / " &amp; IFERROR(VLOOKUP(MID(G19,H19,I19-H19),[6]skilldef!$A:$B,2,FALSE),"-")</f>
        <v>- / 連続攻撃</v>
      </c>
      <c r="M19" s="167" t="str">
        <f t="shared" si="21"/>
        <v>none</v>
      </c>
      <c r="N19" s="157" t="str">
        <f t="shared" si="46"/>
        <v>none</v>
      </c>
      <c r="O19" s="167" t="e">
        <f t="shared" si="22"/>
        <v>#VALUE!</v>
      </c>
      <c r="P19" s="167">
        <f t="shared" si="23"/>
        <v>4</v>
      </c>
      <c r="Q19" s="167" t="e">
        <f t="shared" si="24"/>
        <v>#VALUE!</v>
      </c>
      <c r="R19" s="167" t="e">
        <f t="shared" si="25"/>
        <v>#VALUE!</v>
      </c>
      <c r="S19" s="167" t="str">
        <f>IFERROR(VLOOKUP(MID(N19,Q19,R19-Q19),[6]skilldef!$C:$D,2,FALSE),"-") &amp; " / " &amp; IFERROR(VLOOKUP(MID(N19,O19,P19-O19),[6]skilldef!$A:$B,2,FALSE),"-")</f>
        <v>- / -</v>
      </c>
      <c r="T19" s="157" t="str">
        <f t="shared" si="26"/>
        <v>none</v>
      </c>
      <c r="U19" s="167" t="e">
        <f t="shared" si="27"/>
        <v>#VALUE!</v>
      </c>
      <c r="V19" s="167">
        <f t="shared" si="28"/>
        <v>4</v>
      </c>
      <c r="W19" s="167" t="e">
        <f t="shared" si="29"/>
        <v>#VALUE!</v>
      </c>
      <c r="X19" s="167" t="e">
        <f t="shared" si="30"/>
        <v>#VALUE!</v>
      </c>
      <c r="Y19" s="167" t="str">
        <f>IFERROR(VLOOKUP(MID(T19,W19,X19-W19),[6]skilldef!$C:$D,2,FALSE),"-") &amp; " / " &amp; IFERROR(VLOOKUP(MID(T19,U19,V19-U19),[6]skilldef!$A:$B,2,FALSE),"-")</f>
        <v>- / -</v>
      </c>
      <c r="Z19" s="34"/>
      <c r="AA19" s="36"/>
      <c r="AB19" s="34"/>
    </row>
    <row r="20" spans="1:28" ht="28" x14ac:dyDescent="0.15">
      <c r="A20" s="32">
        <v>40037313</v>
      </c>
      <c r="B20" s="32" t="s">
        <v>357</v>
      </c>
      <c r="C20" s="34">
        <v>3</v>
      </c>
      <c r="D20" s="34" t="s">
        <v>128</v>
      </c>
      <c r="E20" s="35" t="s">
        <v>421</v>
      </c>
      <c r="F20" s="35" t="s">
        <v>358</v>
      </c>
      <c r="G20" s="167" t="str">
        <f t="shared" si="16"/>
        <v>[effect:rush, count:6, val:0.25]</v>
      </c>
      <c r="H20" s="167">
        <f t="shared" si="17"/>
        <v>9</v>
      </c>
      <c r="I20" s="167">
        <f t="shared" si="18"/>
        <v>13</v>
      </c>
      <c r="J20" s="167" t="e">
        <f t="shared" si="19"/>
        <v>#VALUE!</v>
      </c>
      <c r="K20" s="167">
        <f t="shared" si="20"/>
        <v>22</v>
      </c>
      <c r="L20" s="167" t="str">
        <f>IFERROR(VLOOKUP(MID(G20,J20,K20-J20),[6]skilldef!$C:$D,2,FALSE),"-") &amp; " / " &amp; IFERROR(VLOOKUP(MID(G20,H20,I20-H20),[6]skilldef!$A:$B,2,FALSE),"-")</f>
        <v>- / 連続攻撃</v>
      </c>
      <c r="M20" s="167" t="str">
        <f t="shared" si="21"/>
        <v>none</v>
      </c>
      <c r="N20" s="157" t="str">
        <f t="shared" si="46"/>
        <v>none</v>
      </c>
      <c r="O20" s="167" t="e">
        <f t="shared" si="22"/>
        <v>#VALUE!</v>
      </c>
      <c r="P20" s="167">
        <f t="shared" si="23"/>
        <v>4</v>
      </c>
      <c r="Q20" s="167" t="e">
        <f t="shared" si="24"/>
        <v>#VALUE!</v>
      </c>
      <c r="R20" s="167" t="e">
        <f t="shared" si="25"/>
        <v>#VALUE!</v>
      </c>
      <c r="S20" s="167" t="str">
        <f>IFERROR(VLOOKUP(MID(N20,Q20,R20-Q20),[6]skilldef!$C:$D,2,FALSE),"-") &amp; " / " &amp; IFERROR(VLOOKUP(MID(N20,O20,P20-O20),[6]skilldef!$A:$B,2,FALSE),"-")</f>
        <v>- / -</v>
      </c>
      <c r="T20" s="157" t="str">
        <f t="shared" si="26"/>
        <v>none</v>
      </c>
      <c r="U20" s="167" t="e">
        <f t="shared" si="27"/>
        <v>#VALUE!</v>
      </c>
      <c r="V20" s="167">
        <f t="shared" si="28"/>
        <v>4</v>
      </c>
      <c r="W20" s="167" t="e">
        <f t="shared" si="29"/>
        <v>#VALUE!</v>
      </c>
      <c r="X20" s="167" t="e">
        <f t="shared" si="30"/>
        <v>#VALUE!</v>
      </c>
      <c r="Y20" s="167" t="str">
        <f>IFERROR(VLOOKUP(MID(T20,W20,X20-W20),[6]skilldef!$C:$D,2,FALSE),"-") &amp; " / " &amp; IFERROR(VLOOKUP(MID(T20,U20,V20-U20),[6]skilldef!$A:$B,2,FALSE),"-")</f>
        <v>- / -</v>
      </c>
      <c r="Z20" s="34"/>
      <c r="AA20" s="36"/>
      <c r="AB20" s="34"/>
    </row>
    <row r="21" spans="1:28" ht="70" x14ac:dyDescent="0.15">
      <c r="A21" s="32">
        <v>40037314</v>
      </c>
      <c r="B21" s="32" t="s">
        <v>465</v>
      </c>
      <c r="C21" s="34">
        <v>3</v>
      </c>
      <c r="D21" s="34" t="s">
        <v>128</v>
      </c>
      <c r="E21" s="35" t="s">
        <v>313</v>
      </c>
      <c r="F21" s="35" t="s">
        <v>405</v>
      </c>
      <c r="G21" s="167" t="str">
        <f t="shared" si="16"/>
        <v>[effect:enemy_message, val1:2, val2:2.4, dead_type:suicide]</v>
      </c>
      <c r="H21" s="167">
        <f t="shared" si="17"/>
        <v>9</v>
      </c>
      <c r="I21" s="167">
        <f t="shared" si="18"/>
        <v>22</v>
      </c>
      <c r="J21" s="167" t="e">
        <f t="shared" si="19"/>
        <v>#VALUE!</v>
      </c>
      <c r="K21" s="167">
        <f t="shared" si="20"/>
        <v>30</v>
      </c>
      <c r="L21" s="167" t="str">
        <f>IFERROR(VLOOKUP(MID(G21,J21,K21-J21),[6]skilldef!$C:$D,2,FALSE),"-") &amp; " / " &amp; IFERROR(VLOOKUP(MID(G21,H21,I21-H21),[6]skilldef!$A:$B,2,FALSE),"-")</f>
        <v>- / -</v>
      </c>
      <c r="M21" s="167" t="str">
        <f t="shared" si="21"/>
        <v>[effect:drop_freeze, turn:-1, block_type:normal, block_color:block_green, rate:0.1, animation:drop_protect],[effect:fix_speed, target:myself, turn:2]</v>
      </c>
      <c r="N21" s="157" t="str">
        <f t="shared" si="46"/>
        <v>[effect:drop_freeze, turn:-1, block_type:normal, block_color:block_green, rate:0.1, animation:drop_protect],[effect:fix_speed, target:myself, turn:2]</v>
      </c>
      <c r="O21" s="167">
        <f t="shared" si="22"/>
        <v>9</v>
      </c>
      <c r="P21" s="167">
        <f t="shared" si="23"/>
        <v>20</v>
      </c>
      <c r="Q21" s="167">
        <f t="shared" si="24"/>
        <v>135</v>
      </c>
      <c r="R21" s="167">
        <f t="shared" si="25"/>
        <v>29</v>
      </c>
      <c r="S21" s="167" t="str">
        <f>IFERROR(VLOOKUP(MID(N21,Q21,R21-Q21),[6]skilldef!$C:$D,2,FALSE),"-") &amp; " / " &amp; IFERROR(VLOOKUP(MID(N21,O21,P21-O21),[6]skilldef!$A:$B,2,FALSE),"-")</f>
        <v>- / -</v>
      </c>
      <c r="T21" s="157" t="str">
        <f t="shared" si="26"/>
        <v>[effect:fix_speed, target:myself, turn:2]</v>
      </c>
      <c r="U21" s="167">
        <f t="shared" si="27"/>
        <v>9</v>
      </c>
      <c r="V21" s="167">
        <f t="shared" si="28"/>
        <v>18</v>
      </c>
      <c r="W21" s="167">
        <f t="shared" si="29"/>
        <v>27</v>
      </c>
      <c r="X21" s="167">
        <f t="shared" si="30"/>
        <v>33</v>
      </c>
      <c r="Y21" s="167" t="str">
        <f>IFERROR(VLOOKUP(MID(T21,W21,X21-W21),[6]skilldef!$C:$D,2,FALSE),"-") &amp; " / " &amp; IFERROR(VLOOKUP(MID(T21,U21,V21-U21),[6]skilldef!$A:$B,2,FALSE),"-")</f>
        <v>自分自身に / 行動値設定</v>
      </c>
      <c r="Z21" s="34"/>
      <c r="AA21" s="36"/>
      <c r="AB21" s="34"/>
    </row>
    <row r="22" spans="1:28" ht="28" x14ac:dyDescent="0.15">
      <c r="A22" s="32">
        <v>40037315</v>
      </c>
      <c r="B22" s="32" t="s">
        <v>360</v>
      </c>
      <c r="C22" s="34">
        <v>3</v>
      </c>
      <c r="D22" s="34" t="s">
        <v>128</v>
      </c>
      <c r="E22" s="35" t="s">
        <v>316</v>
      </c>
      <c r="F22" s="35" t="s">
        <v>396</v>
      </c>
      <c r="G22" s="167" t="str">
        <f t="shared" si="16"/>
        <v>[effect:enhance_enemy, target:myself, turn:-1, status:attack, val:2000, calc:add, animation:enemy_enhance_attack]</v>
      </c>
      <c r="H22" s="167">
        <f t="shared" si="17"/>
        <v>9</v>
      </c>
      <c r="I22" s="167">
        <f t="shared" si="18"/>
        <v>22</v>
      </c>
      <c r="J22" s="167">
        <f t="shared" si="19"/>
        <v>31</v>
      </c>
      <c r="K22" s="167">
        <f t="shared" si="20"/>
        <v>37</v>
      </c>
      <c r="L22" s="167" t="str">
        <f>IFERROR(VLOOKUP(MID(G22,J22,K22-J22),[6]skilldef!$C:$D,2,FALSE),"-") &amp; " / " &amp; IFERROR(VLOOKUP(MID(G22,H22,I22-H22),[6]skilldef!$A:$B,2,FALSE),"-")</f>
        <v>自分自身に / ステータス強化</v>
      </c>
      <c r="M22" s="167" t="str">
        <f t="shared" si="21"/>
        <v xml:space="preserve">[effect:fix_speed, target:myself, turn:1]    </v>
      </c>
      <c r="N22" s="157" t="str">
        <f t="shared" si="46"/>
        <v xml:space="preserve">[effect:fix_speed, target:myself, turn:1]    </v>
      </c>
      <c r="O22" s="167">
        <f t="shared" si="22"/>
        <v>9</v>
      </c>
      <c r="P22" s="167">
        <f t="shared" si="23"/>
        <v>18</v>
      </c>
      <c r="Q22" s="167">
        <f t="shared" si="24"/>
        <v>27</v>
      </c>
      <c r="R22" s="167">
        <f t="shared" si="25"/>
        <v>33</v>
      </c>
      <c r="S22" s="167" t="str">
        <f>IFERROR(VLOOKUP(MID(N22,Q22,R22-Q22),[6]skilldef!$C:$D,2,FALSE),"-") &amp; " / " &amp; IFERROR(VLOOKUP(MID(N22,O22,P22-O22),[6]skilldef!$A:$B,2,FALSE),"-")</f>
        <v>自分自身に / 行動値設定</v>
      </c>
      <c r="T22" s="157" t="str">
        <f t="shared" si="26"/>
        <v>none</v>
      </c>
      <c r="U22" s="167" t="e">
        <f t="shared" si="27"/>
        <v>#VALUE!</v>
      </c>
      <c r="V22" s="167">
        <f t="shared" si="28"/>
        <v>4</v>
      </c>
      <c r="W22" s="167" t="e">
        <f t="shared" si="29"/>
        <v>#VALUE!</v>
      </c>
      <c r="X22" s="167" t="e">
        <f t="shared" si="30"/>
        <v>#VALUE!</v>
      </c>
      <c r="Y22" s="167" t="str">
        <f>IFERROR(VLOOKUP(MID(T22,W22,X22-W22),[6]skilldef!$C:$D,2,FALSE),"-") &amp; " / " &amp; IFERROR(VLOOKUP(MID(T22,U22,V22-U22),[6]skilldef!$A:$B,2,FALSE),"-")</f>
        <v>- / -</v>
      </c>
      <c r="Z22" s="34"/>
      <c r="AA22" s="36"/>
      <c r="AB22" s="34"/>
    </row>
    <row r="23" spans="1:28" ht="70" x14ac:dyDescent="0.15">
      <c r="A23" s="32">
        <v>40037316</v>
      </c>
      <c r="B23" s="32" t="s">
        <v>435</v>
      </c>
      <c r="C23" s="34">
        <v>3</v>
      </c>
      <c r="D23" s="34" t="s">
        <v>128</v>
      </c>
      <c r="E23" s="35" t="s">
        <v>314</v>
      </c>
      <c r="F23" s="35" t="s">
        <v>344</v>
      </c>
      <c r="G23" s="167" t="str">
        <f t="shared" si="16"/>
        <v>[effect:enemy_message, val1:2, val2:2.4, dead_type:suicide]</v>
      </c>
      <c r="H23" s="167">
        <f t="shared" si="17"/>
        <v>9</v>
      </c>
      <c r="I23" s="167">
        <f t="shared" si="18"/>
        <v>22</v>
      </c>
      <c r="J23" s="167" t="e">
        <f t="shared" si="19"/>
        <v>#VALUE!</v>
      </c>
      <c r="K23" s="167">
        <f t="shared" si="20"/>
        <v>30</v>
      </c>
      <c r="L23" s="167" t="str">
        <f>IFERROR(VLOOKUP(MID(G23,J23,K23-J23),[6]skilldef!$C:$D,2,FALSE),"-") &amp; " / " &amp; IFERROR(VLOOKUP(MID(G23,H23,I23-H23),[6]skilldef!$A:$B,2,FALSE),"-")</f>
        <v>- / -</v>
      </c>
      <c r="M23" s="167" t="str">
        <f t="shared" si="21"/>
        <v>[effect:spread, val:0.4],[effect:degrade_unit, target:unit_all, turn:2, status:heal, val:0.7, calc:mul, animation:degrade_unit_all_heal]</v>
      </c>
      <c r="N23" s="157" t="str">
        <f t="shared" ref="N23:N37" si="47">IFERROR(LEFT(M23,FIND("],",M23)+S38),M23)</f>
        <v>[effect:spread, val:0.4],[effect:degrade_unit, target:unit_all, turn:2, status:heal, val:0.7, calc:mul, animation:degrade_unit_all_heal]</v>
      </c>
      <c r="O23" s="167">
        <f t="shared" si="22"/>
        <v>9</v>
      </c>
      <c r="P23" s="167">
        <f t="shared" si="23"/>
        <v>15</v>
      </c>
      <c r="Q23" s="167">
        <f t="shared" si="24"/>
        <v>55</v>
      </c>
      <c r="R23" s="167">
        <f t="shared" si="25"/>
        <v>25</v>
      </c>
      <c r="S23" s="167" t="str">
        <f>IFERROR(VLOOKUP(MID(N23,Q23,R23-Q23),[6]skilldef!$C:$D,2,FALSE),"-") &amp; " / " &amp; IFERROR(VLOOKUP(MID(N23,O23,P23-O23),[6]skilldef!$A:$B,2,FALSE),"-")</f>
        <v>- / 全体攻撃</v>
      </c>
      <c r="T23" s="157" t="str">
        <f t="shared" si="26"/>
        <v>[effect:degrade_unit, target:unit_all, turn:2, status:heal, val:0.7, calc:mul, animation:degrade_unit_all_heal]</v>
      </c>
      <c r="U23" s="167">
        <f t="shared" si="27"/>
        <v>9</v>
      </c>
      <c r="V23" s="167">
        <f t="shared" si="28"/>
        <v>21</v>
      </c>
      <c r="W23" s="167">
        <f t="shared" si="29"/>
        <v>30</v>
      </c>
      <c r="X23" s="167">
        <f t="shared" si="30"/>
        <v>38</v>
      </c>
      <c r="Y23" s="167" t="str">
        <f>IFERROR(VLOOKUP(MID(T23,W23,X23-W23),[6]skilldef!$C:$D,2,FALSE),"-") &amp; " / " &amp; IFERROR(VLOOKUP(MID(T23,U23,V23-U23),[6]skilldef!$A:$B,2,FALSE),"-")</f>
        <v>味方全体に / ステータスDOWN</v>
      </c>
      <c r="Z23" s="34"/>
      <c r="AA23" s="36"/>
      <c r="AB23" s="34"/>
    </row>
    <row r="24" spans="1:28" ht="28" x14ac:dyDescent="0.15">
      <c r="A24" s="32">
        <v>40037317</v>
      </c>
      <c r="B24" s="32" t="s">
        <v>361</v>
      </c>
      <c r="C24" s="34">
        <v>3</v>
      </c>
      <c r="D24" s="34" t="s">
        <v>128</v>
      </c>
      <c r="E24" s="35" t="s">
        <v>315</v>
      </c>
      <c r="F24" s="35" t="s">
        <v>362</v>
      </c>
      <c r="G24" s="167" t="str">
        <f t="shared" ref="G24:G90" si="48">IFERROR(LEFT(B24,FIND("],",B24)),B24)</f>
        <v>[effect:enhance_enemy, target:myself, turn:3, status:attack, val:3000, calc:add, animation:enemy_enhance_attack]</v>
      </c>
      <c r="H24" s="167">
        <f t="shared" ref="H24:H90" si="49">FIND("effect:",G24)+7</f>
        <v>9</v>
      </c>
      <c r="I24" s="167">
        <f t="shared" ref="I24:I90" si="50">IFERROR(FIND(",",G24),LEN(G24))</f>
        <v>22</v>
      </c>
      <c r="J24" s="167">
        <f t="shared" ref="J24:J90" si="51">FIND("target:",G24)+7</f>
        <v>31</v>
      </c>
      <c r="K24" s="167">
        <f t="shared" ref="K24:K90" si="52">FIND(",",G24,I24+1)</f>
        <v>37</v>
      </c>
      <c r="L24" s="167" t="str">
        <f>IFERROR(VLOOKUP(MID(G24,J24,K24-J24),[6]skilldef!$C:$D,2,FALSE),"-") &amp; " / " &amp; IFERROR(VLOOKUP(MID(G24,H24,I24-H24),[6]skilldef!$A:$B,2,FALSE),"-")</f>
        <v>自分自身に / ステータス強化</v>
      </c>
      <c r="M24" s="167" t="str">
        <f t="shared" ref="M24:M90" si="53">IFERROR(RIGHT(B24,LEN(B24)-FIND("],",B24)-1),"none")</f>
        <v>none</v>
      </c>
      <c r="N24" s="157" t="str">
        <f t="shared" si="47"/>
        <v>none</v>
      </c>
      <c r="O24" s="167" t="e">
        <f t="shared" ref="O24:O90" si="54">FIND("effect:",N24)+7</f>
        <v>#VALUE!</v>
      </c>
      <c r="P24" s="167">
        <f t="shared" ref="P24:P90" si="55">IFERROR(FIND(",",N24),LEN(N24))</f>
        <v>4</v>
      </c>
      <c r="Q24" s="167" t="e">
        <f t="shared" ref="Q24:Q90" si="56">FIND("target:",N24)+7</f>
        <v>#VALUE!</v>
      </c>
      <c r="R24" s="167" t="e">
        <f t="shared" ref="R24:R90" si="57">FIND(",",N24,P24+1)</f>
        <v>#VALUE!</v>
      </c>
      <c r="S24" s="167" t="str">
        <f>IFERROR(VLOOKUP(MID(N24,Q24,R24-Q24),[6]skilldef!$C:$D,2,FALSE),"-") &amp; " / " &amp; IFERROR(VLOOKUP(MID(N24,O24,P24-O24),[6]skilldef!$A:$B,2,FALSE),"-")</f>
        <v>- / -</v>
      </c>
      <c r="T24" s="157" t="str">
        <f t="shared" ref="T24:T90" si="58">IFERROR(RIGHT(M24,LEN(M24)-FIND("],",M24)-1),"none")</f>
        <v>none</v>
      </c>
      <c r="U24" s="167" t="e">
        <f t="shared" ref="U24:U90" si="59">FIND("effect:",T24)+7</f>
        <v>#VALUE!</v>
      </c>
      <c r="V24" s="167">
        <f t="shared" ref="V24:V90" si="60">IFERROR(FIND(",",T24),LEN(T24))</f>
        <v>4</v>
      </c>
      <c r="W24" s="167" t="e">
        <f t="shared" ref="W24:W90" si="61">FIND("target:",T24)+7</f>
        <v>#VALUE!</v>
      </c>
      <c r="X24" s="167" t="e">
        <f t="shared" ref="X24:X90" si="62">FIND(",",T24,V24+1)</f>
        <v>#VALUE!</v>
      </c>
      <c r="Y24" s="167" t="str">
        <f>IFERROR(VLOOKUP(MID(T24,W24,X24-W24),[6]skilldef!$C:$D,2,FALSE),"-") &amp; " / " &amp; IFERROR(VLOOKUP(MID(T24,U24,V24-U24),[6]skilldef!$A:$B,2,FALSE),"-")</f>
        <v>- / -</v>
      </c>
      <c r="Z24" s="34"/>
      <c r="AA24" s="36"/>
      <c r="AB24" s="34"/>
    </row>
    <row r="25" spans="1:28" ht="112" x14ac:dyDescent="0.15">
      <c r="A25" s="32">
        <v>40037318</v>
      </c>
      <c r="B25" s="32" t="s">
        <v>444</v>
      </c>
      <c r="C25" s="34">
        <v>3</v>
      </c>
      <c r="D25" s="34" t="s">
        <v>128</v>
      </c>
      <c r="E25" s="35" t="s">
        <v>280</v>
      </c>
      <c r="F25" s="35" t="s">
        <v>406</v>
      </c>
      <c r="G25" s="167" t="str">
        <f t="shared" si="48"/>
        <v>[effect:enemy_message, val1:2, val2:2.4, dead_type:suicide]</v>
      </c>
      <c r="H25" s="167">
        <f t="shared" si="49"/>
        <v>9</v>
      </c>
      <c r="I25" s="167">
        <f t="shared" si="50"/>
        <v>22</v>
      </c>
      <c r="J25" s="167" t="e">
        <f t="shared" si="51"/>
        <v>#VALUE!</v>
      </c>
      <c r="K25" s="167">
        <f t="shared" si="52"/>
        <v>30</v>
      </c>
      <c r="L25" s="167" t="str">
        <f>IFERROR(VLOOKUP(MID(G25,J25,K25-J25),[6]skilldef!$C:$D,2,FALSE),"-") &amp; " / " &amp; IFERROR(VLOOKUP(MID(G25,H25,I25-H25),[6]skilldef!$A:$B,2,FALSE),"-")</f>
        <v>- / -</v>
      </c>
      <c r="M25" s="167" t="str">
        <f t="shared" si="53"/>
        <v xml:space="preserve">[effect:tolerance, target:myself, turn:-1, count:-1, tolerance_effect:all, animation:enemy_tolerance],[effect:drop_freeze, turn:-1, block_type:normal, block_color:block_heart, rate:0.15, animation:drop_protect]    </v>
      </c>
      <c r="N25" s="157" t="str">
        <f t="shared" si="47"/>
        <v xml:space="preserve">[effect:tolerance, target:myself, turn:-1, count:-1, tolerance_effect:all, animation:enemy_tolerance],[effect:drop_freeze, turn:-1, block_type:normal, block_color:block_heart, rate:0.15, animation:drop_protect]    </v>
      </c>
      <c r="O25" s="167">
        <f t="shared" si="54"/>
        <v>9</v>
      </c>
      <c r="P25" s="167">
        <f t="shared" si="55"/>
        <v>18</v>
      </c>
      <c r="Q25" s="167">
        <f t="shared" si="56"/>
        <v>27</v>
      </c>
      <c r="R25" s="167">
        <f t="shared" si="57"/>
        <v>33</v>
      </c>
      <c r="S25" s="167" t="str">
        <f>IFERROR(VLOOKUP(MID(N25,Q25,R25-Q25),[6]skilldef!$C:$D,2,FALSE),"-") &amp; " / " &amp; IFERROR(VLOOKUP(MID(N25,O25,P25-O25),[6]skilldef!$A:$B,2,FALSE),"-")</f>
        <v>自分自身に / 状態異常耐性</v>
      </c>
      <c r="T25" s="157" t="str">
        <f t="shared" si="58"/>
        <v xml:space="preserve">[effect:drop_freeze, turn:-1, block_type:normal, block_color:block_heart, rate:0.15, animation:drop_protect]    </v>
      </c>
      <c r="U25" s="167">
        <f t="shared" si="59"/>
        <v>9</v>
      </c>
      <c r="V25" s="167">
        <f t="shared" si="60"/>
        <v>20</v>
      </c>
      <c r="W25" s="167" t="e">
        <f t="shared" si="61"/>
        <v>#VALUE!</v>
      </c>
      <c r="X25" s="167">
        <f t="shared" si="62"/>
        <v>29</v>
      </c>
      <c r="Y25" s="167" t="str">
        <f>IFERROR(VLOOKUP(MID(T25,W25,X25-W25),[6]skilldef!$C:$D,2,FALSE),"-") &amp; " / " &amp; IFERROR(VLOOKUP(MID(T25,U25,V25-U25),[6]skilldef!$A:$B,2,FALSE),"-")</f>
        <v>- / -</v>
      </c>
      <c r="Z25" s="34"/>
      <c r="AA25" s="36"/>
      <c r="AB25" s="34"/>
    </row>
    <row r="26" spans="1:28" ht="112" x14ac:dyDescent="0.15">
      <c r="A26" s="32">
        <v>40037319</v>
      </c>
      <c r="B26" s="32" t="s">
        <v>444</v>
      </c>
      <c r="C26" s="34">
        <v>3</v>
      </c>
      <c r="D26" s="34" t="s">
        <v>128</v>
      </c>
      <c r="E26" s="35" t="s">
        <v>463</v>
      </c>
      <c r="F26" s="35" t="s">
        <v>406</v>
      </c>
      <c r="G26" s="167" t="str">
        <f t="shared" si="48"/>
        <v>[effect:enemy_message, val1:2, val2:2.4, dead_type:suicide]</v>
      </c>
      <c r="H26" s="167">
        <f t="shared" si="49"/>
        <v>9</v>
      </c>
      <c r="I26" s="167">
        <f t="shared" si="50"/>
        <v>22</v>
      </c>
      <c r="J26" s="167" t="e">
        <f t="shared" si="51"/>
        <v>#VALUE!</v>
      </c>
      <c r="K26" s="167">
        <f t="shared" si="52"/>
        <v>30</v>
      </c>
      <c r="L26" s="167" t="str">
        <f>IFERROR(VLOOKUP(MID(G26,J26,K26-J26),[6]skilldef!$C:$D,2,FALSE),"-") &amp; " / " &amp; IFERROR(VLOOKUP(MID(G26,H26,I26-H26),[6]skilldef!$A:$B,2,FALSE),"-")</f>
        <v>- / -</v>
      </c>
      <c r="M26" s="167" t="str">
        <f t="shared" si="53"/>
        <v xml:space="preserve">[effect:tolerance, target:myself, turn:-1, count:-1, tolerance_effect:all, animation:enemy_tolerance],[effect:drop_freeze, turn:-1, block_type:normal, block_color:block_heart, rate:0.15, animation:drop_protect]    </v>
      </c>
      <c r="N26" s="157" t="str">
        <f t="shared" si="47"/>
        <v xml:space="preserve">[effect:tolerance, target:myself, turn:-1, count:-1, tolerance_effect:all, animation:enemy_tolerance],[effect:drop_freeze, turn:-1, block_type:normal, block_color:block_heart, rate:0.15, animation:drop_protect]    </v>
      </c>
      <c r="O26" s="167">
        <f t="shared" si="54"/>
        <v>9</v>
      </c>
      <c r="P26" s="167">
        <f t="shared" si="55"/>
        <v>18</v>
      </c>
      <c r="Q26" s="167">
        <f t="shared" si="56"/>
        <v>27</v>
      </c>
      <c r="R26" s="167">
        <f t="shared" si="57"/>
        <v>33</v>
      </c>
      <c r="S26" s="167" t="str">
        <f>IFERROR(VLOOKUP(MID(N26,Q26,R26-Q26),[6]skilldef!$C:$D,2,FALSE),"-") &amp; " / " &amp; IFERROR(VLOOKUP(MID(N26,O26,P26-O26),[6]skilldef!$A:$B,2,FALSE),"-")</f>
        <v>自分自身に / 状態異常耐性</v>
      </c>
      <c r="T26" s="157" t="str">
        <f t="shared" si="58"/>
        <v xml:space="preserve">[effect:drop_freeze, turn:-1, block_type:normal, block_color:block_heart, rate:0.15, animation:drop_protect]    </v>
      </c>
      <c r="U26" s="167">
        <f t="shared" si="59"/>
        <v>9</v>
      </c>
      <c r="V26" s="167">
        <f t="shared" si="60"/>
        <v>20</v>
      </c>
      <c r="W26" s="167" t="e">
        <f t="shared" si="61"/>
        <v>#VALUE!</v>
      </c>
      <c r="X26" s="167">
        <f t="shared" si="62"/>
        <v>29</v>
      </c>
      <c r="Y26" s="167" t="str">
        <f>IFERROR(VLOOKUP(MID(T26,W26,X26-W26),[6]skilldef!$C:$D,2,FALSE),"-") &amp; " / " &amp; IFERROR(VLOOKUP(MID(T26,U26,V26-U26),[6]skilldef!$A:$B,2,FALSE),"-")</f>
        <v>- / -</v>
      </c>
      <c r="Z26" s="34"/>
      <c r="AA26" s="36"/>
      <c r="AB26" s="34"/>
    </row>
    <row r="27" spans="1:28" ht="112" x14ac:dyDescent="0.15">
      <c r="A27" s="32">
        <v>40037320</v>
      </c>
      <c r="B27" s="32" t="s">
        <v>444</v>
      </c>
      <c r="C27" s="34">
        <v>3</v>
      </c>
      <c r="D27" s="34" t="s">
        <v>128</v>
      </c>
      <c r="E27" s="35" t="s">
        <v>378</v>
      </c>
      <c r="F27" s="35" t="s">
        <v>406</v>
      </c>
      <c r="G27" s="167" t="str">
        <f t="shared" si="48"/>
        <v>[effect:enemy_message, val1:2, val2:2.4, dead_type:suicide]</v>
      </c>
      <c r="H27" s="167">
        <f t="shared" si="49"/>
        <v>9</v>
      </c>
      <c r="I27" s="167">
        <f t="shared" si="50"/>
        <v>22</v>
      </c>
      <c r="J27" s="167" t="e">
        <f t="shared" si="51"/>
        <v>#VALUE!</v>
      </c>
      <c r="K27" s="167">
        <f t="shared" si="52"/>
        <v>30</v>
      </c>
      <c r="L27" s="167" t="str">
        <f>IFERROR(VLOOKUP(MID(G27,J27,K27-J27),[6]skilldef!$C:$D,2,FALSE),"-") &amp; " / " &amp; IFERROR(VLOOKUP(MID(G27,H27,I27-H27),[6]skilldef!$A:$B,2,FALSE),"-")</f>
        <v>- / -</v>
      </c>
      <c r="M27" s="167" t="str">
        <f t="shared" si="53"/>
        <v xml:space="preserve">[effect:tolerance, target:myself, turn:-1, count:-1, tolerance_effect:all, animation:enemy_tolerance],[effect:drop_freeze, turn:-1, block_type:normal, block_color:block_heart, rate:0.15, animation:drop_protect]    </v>
      </c>
      <c r="N27" s="157" t="str">
        <f t="shared" si="47"/>
        <v xml:space="preserve">[effect:tolerance, target:myself, turn:-1, count:-1, tolerance_effect:all, animation:enemy_tolerance],[effect:drop_freeze, turn:-1, block_type:normal, block_color:block_heart, rate:0.15, animation:drop_protect]    </v>
      </c>
      <c r="O27" s="167">
        <f t="shared" si="54"/>
        <v>9</v>
      </c>
      <c r="P27" s="167">
        <f t="shared" si="55"/>
        <v>18</v>
      </c>
      <c r="Q27" s="167">
        <f t="shared" si="56"/>
        <v>27</v>
      </c>
      <c r="R27" s="167">
        <f t="shared" si="57"/>
        <v>33</v>
      </c>
      <c r="S27" s="167" t="str">
        <f>IFERROR(VLOOKUP(MID(N27,Q27,R27-Q27),[6]skilldef!$C:$D,2,FALSE),"-") &amp; " / " &amp; IFERROR(VLOOKUP(MID(N27,O27,P27-O27),[6]skilldef!$A:$B,2,FALSE),"-")</f>
        <v>自分自身に / 状態異常耐性</v>
      </c>
      <c r="T27" s="157" t="str">
        <f t="shared" si="58"/>
        <v xml:space="preserve">[effect:drop_freeze, turn:-1, block_type:normal, block_color:block_heart, rate:0.15, animation:drop_protect]    </v>
      </c>
      <c r="U27" s="167">
        <f t="shared" si="59"/>
        <v>9</v>
      </c>
      <c r="V27" s="167">
        <f t="shared" si="60"/>
        <v>20</v>
      </c>
      <c r="W27" s="167" t="e">
        <f t="shared" si="61"/>
        <v>#VALUE!</v>
      </c>
      <c r="X27" s="167">
        <f t="shared" si="62"/>
        <v>29</v>
      </c>
      <c r="Y27" s="167" t="str">
        <f>IFERROR(VLOOKUP(MID(T27,W27,X27-W27),[6]skilldef!$C:$D,2,FALSE),"-") &amp; " / " &amp; IFERROR(VLOOKUP(MID(T27,U27,V27-U27),[6]skilldef!$A:$B,2,FALSE),"-")</f>
        <v>- / -</v>
      </c>
      <c r="Z27" s="34"/>
      <c r="AA27" s="36"/>
      <c r="AB27" s="34"/>
    </row>
    <row r="28" spans="1:28" ht="112" x14ac:dyDescent="0.15">
      <c r="A28" s="32">
        <v>40037321</v>
      </c>
      <c r="B28" s="32" t="s">
        <v>444</v>
      </c>
      <c r="C28" s="34">
        <v>3</v>
      </c>
      <c r="D28" s="34" t="s">
        <v>128</v>
      </c>
      <c r="E28" s="35" t="s">
        <v>379</v>
      </c>
      <c r="F28" s="35" t="s">
        <v>406</v>
      </c>
      <c r="G28" s="167" t="str">
        <f t="shared" si="48"/>
        <v>[effect:enemy_message, val1:2, val2:2.4, dead_type:suicide]</v>
      </c>
      <c r="H28" s="167">
        <f t="shared" si="49"/>
        <v>9</v>
      </c>
      <c r="I28" s="167">
        <f t="shared" si="50"/>
        <v>22</v>
      </c>
      <c r="J28" s="167" t="e">
        <f t="shared" si="51"/>
        <v>#VALUE!</v>
      </c>
      <c r="K28" s="167">
        <f t="shared" si="52"/>
        <v>30</v>
      </c>
      <c r="L28" s="167" t="str">
        <f>IFERROR(VLOOKUP(MID(G28,J28,K28-J28),[6]skilldef!$C:$D,2,FALSE),"-") &amp; " / " &amp; IFERROR(VLOOKUP(MID(G28,H28,I28-H28),[6]skilldef!$A:$B,2,FALSE),"-")</f>
        <v>- / -</v>
      </c>
      <c r="M28" s="167" t="str">
        <f t="shared" si="53"/>
        <v xml:space="preserve">[effect:tolerance, target:myself, turn:-1, count:-1, tolerance_effect:all, animation:enemy_tolerance],[effect:drop_freeze, turn:-1, block_type:normal, block_color:block_heart, rate:0.15, animation:drop_protect]    </v>
      </c>
      <c r="N28" s="157" t="str">
        <f t="shared" si="47"/>
        <v xml:space="preserve">[effect:tolerance, target:myself, turn:-1, count:-1, tolerance_effect:all, animation:enemy_tolerance],[effect:drop_freeze, turn:-1, block_type:normal, block_color:block_heart, rate:0.15, animation:drop_protect]    </v>
      </c>
      <c r="O28" s="167">
        <f t="shared" si="54"/>
        <v>9</v>
      </c>
      <c r="P28" s="167">
        <f t="shared" si="55"/>
        <v>18</v>
      </c>
      <c r="Q28" s="167">
        <f t="shared" si="56"/>
        <v>27</v>
      </c>
      <c r="R28" s="167">
        <f t="shared" si="57"/>
        <v>33</v>
      </c>
      <c r="S28" s="167" t="str">
        <f>IFERROR(VLOOKUP(MID(N28,Q28,R28-Q28),[6]skilldef!$C:$D,2,FALSE),"-") &amp; " / " &amp; IFERROR(VLOOKUP(MID(N28,O28,P28-O28),[6]skilldef!$A:$B,2,FALSE),"-")</f>
        <v>自分自身に / 状態異常耐性</v>
      </c>
      <c r="T28" s="157" t="str">
        <f t="shared" si="58"/>
        <v xml:space="preserve">[effect:drop_freeze, turn:-1, block_type:normal, block_color:block_heart, rate:0.15, animation:drop_protect]    </v>
      </c>
      <c r="U28" s="167">
        <f t="shared" si="59"/>
        <v>9</v>
      </c>
      <c r="V28" s="167">
        <f t="shared" si="60"/>
        <v>20</v>
      </c>
      <c r="W28" s="167" t="e">
        <f t="shared" si="61"/>
        <v>#VALUE!</v>
      </c>
      <c r="X28" s="167">
        <f t="shared" si="62"/>
        <v>29</v>
      </c>
      <c r="Y28" s="167" t="str">
        <f>IFERROR(VLOOKUP(MID(T28,W28,X28-W28),[6]skilldef!$C:$D,2,FALSE),"-") &amp; " / " &amp; IFERROR(VLOOKUP(MID(T28,U28,V28-U28),[6]skilldef!$A:$B,2,FALSE),"-")</f>
        <v>- / -</v>
      </c>
      <c r="Z28" s="34"/>
      <c r="AA28" s="36"/>
      <c r="AB28" s="34"/>
    </row>
    <row r="29" spans="1:28" x14ac:dyDescent="0.15">
      <c r="A29" s="32">
        <v>40037322</v>
      </c>
      <c r="B29" s="32" t="s">
        <v>256</v>
      </c>
      <c r="C29" s="34">
        <v>3</v>
      </c>
      <c r="D29" s="34" t="s">
        <v>128</v>
      </c>
      <c r="E29" s="35" t="s">
        <v>377</v>
      </c>
      <c r="F29" s="35" t="s">
        <v>271</v>
      </c>
      <c r="G29" s="167" t="str">
        <f t="shared" si="48"/>
        <v>[effect:spread, val:0.2]</v>
      </c>
      <c r="H29" s="167">
        <f t="shared" si="49"/>
        <v>9</v>
      </c>
      <c r="I29" s="167">
        <f t="shared" si="50"/>
        <v>15</v>
      </c>
      <c r="J29" s="167" t="e">
        <f t="shared" si="51"/>
        <v>#VALUE!</v>
      </c>
      <c r="K29" s="167" t="e">
        <f t="shared" si="52"/>
        <v>#VALUE!</v>
      </c>
      <c r="L29" s="167" t="str">
        <f>IFERROR(VLOOKUP(MID(G29,J29,K29-J29),[6]skilldef!$C:$D,2,FALSE),"-") &amp; " / " &amp; IFERROR(VLOOKUP(MID(G29,H29,I29-H29),[6]skilldef!$A:$B,2,FALSE),"-")</f>
        <v>- / 全体攻撃</v>
      </c>
      <c r="M29" s="167" t="str">
        <f t="shared" si="53"/>
        <v xml:space="preserve">[effect:rush, count:8, val:0.2]    </v>
      </c>
      <c r="N29" s="157" t="str">
        <f t="shared" si="47"/>
        <v xml:space="preserve">[effect:rush, count:8, val:0.2]    </v>
      </c>
      <c r="O29" s="167">
        <f t="shared" si="54"/>
        <v>9</v>
      </c>
      <c r="P29" s="167">
        <f t="shared" si="55"/>
        <v>13</v>
      </c>
      <c r="Q29" s="167" t="e">
        <f t="shared" si="56"/>
        <v>#VALUE!</v>
      </c>
      <c r="R29" s="167">
        <f t="shared" si="57"/>
        <v>22</v>
      </c>
      <c r="S29" s="167" t="str">
        <f>IFERROR(VLOOKUP(MID(N29,Q29,R29-Q29),[6]skilldef!$C:$D,2,FALSE),"-") &amp; " / " &amp; IFERROR(VLOOKUP(MID(N29,O29,P29-O29),[6]skilldef!$A:$B,2,FALSE),"-")</f>
        <v>- / 連続攻撃</v>
      </c>
      <c r="T29" s="157" t="str">
        <f t="shared" si="58"/>
        <v>none</v>
      </c>
      <c r="U29" s="167" t="e">
        <f t="shared" si="59"/>
        <v>#VALUE!</v>
      </c>
      <c r="V29" s="167">
        <f t="shared" si="60"/>
        <v>4</v>
      </c>
      <c r="W29" s="167" t="e">
        <f t="shared" si="61"/>
        <v>#VALUE!</v>
      </c>
      <c r="X29" s="167" t="e">
        <f t="shared" si="62"/>
        <v>#VALUE!</v>
      </c>
      <c r="Y29" s="167" t="str">
        <f>IFERROR(VLOOKUP(MID(T29,W29,X29-W29),[6]skilldef!$C:$D,2,FALSE),"-") &amp; " / " &amp; IFERROR(VLOOKUP(MID(T29,U29,V29-U29),[6]skilldef!$A:$B,2,FALSE),"-")</f>
        <v>- / -</v>
      </c>
      <c r="Z29" s="34"/>
      <c r="AA29" s="36"/>
      <c r="AB29" s="34"/>
    </row>
    <row r="30" spans="1:28" ht="84" x14ac:dyDescent="0.15">
      <c r="A30" s="32">
        <v>40037323</v>
      </c>
      <c r="B30" s="32" t="s">
        <v>434</v>
      </c>
      <c r="C30" s="34">
        <v>3</v>
      </c>
      <c r="D30" s="34" t="s">
        <v>128</v>
      </c>
      <c r="E30" s="35" t="s">
        <v>384</v>
      </c>
      <c r="F30" s="35" t="s">
        <v>326</v>
      </c>
      <c r="G30" s="167" t="str">
        <f t="shared" si="48"/>
        <v>[effect:enemy_message, val1:2, val2:2.4, dead_type:suicide]</v>
      </c>
      <c r="H30" s="167">
        <f t="shared" si="49"/>
        <v>9</v>
      </c>
      <c r="I30" s="167">
        <f t="shared" si="50"/>
        <v>22</v>
      </c>
      <c r="J30" s="167" t="e">
        <f t="shared" si="51"/>
        <v>#VALUE!</v>
      </c>
      <c r="K30" s="167">
        <f t="shared" si="52"/>
        <v>30</v>
      </c>
      <c r="L30" s="167" t="str">
        <f>IFERROR(VLOOKUP(MID(G30,J30,K30-J30),[6]skilldef!$C:$D,2,FALSE),"-") &amp; " / " &amp; IFERROR(VLOOKUP(MID(G30,H30,I30-H30),[6]skilldef!$A:$B,2,FALSE),"-")</f>
        <v>- / -</v>
      </c>
      <c r="M30" s="167" t="str">
        <f t="shared" si="53"/>
        <v xml:space="preserve">[effect:panel_freeze, target:crash, count:-1],[effect:force_change_block, new_block:block_yellow, target:block_heart, count:0, val:0, animation:change_block]    </v>
      </c>
      <c r="N30" s="157" t="str">
        <f t="shared" si="47"/>
        <v xml:space="preserve">[effect:panel_freeze, target:crash, count:-1],[effect:force_change_block, new_block:block_yellow, target:block_heart, count:0, val:0, animation:change_block]    </v>
      </c>
      <c r="O30" s="167">
        <f t="shared" si="54"/>
        <v>9</v>
      </c>
      <c r="P30" s="167">
        <f t="shared" si="55"/>
        <v>21</v>
      </c>
      <c r="Q30" s="167">
        <f t="shared" si="56"/>
        <v>30</v>
      </c>
      <c r="R30" s="167">
        <f t="shared" si="57"/>
        <v>35</v>
      </c>
      <c r="S30" s="167" t="str">
        <f>IFERROR(VLOOKUP(MID(N30,Q30,R30-Q30),[6]skilldef!$C:$D,2,FALSE),"-") &amp; " / " &amp; IFERROR(VLOOKUP(MID(N30,O30,P30-O30),[6]skilldef!$A:$B,2,FALSE),"-")</f>
        <v>- / -</v>
      </c>
      <c r="T30" s="157" t="str">
        <f t="shared" si="58"/>
        <v xml:space="preserve">[effect:force_change_block, new_block:block_yellow, target:block_heart, count:0, val:0, animation:change_block]    </v>
      </c>
      <c r="U30" s="167">
        <f t="shared" si="59"/>
        <v>9</v>
      </c>
      <c r="V30" s="167">
        <f t="shared" si="60"/>
        <v>27</v>
      </c>
      <c r="W30" s="167">
        <f t="shared" si="61"/>
        <v>60</v>
      </c>
      <c r="X30" s="167">
        <f t="shared" si="62"/>
        <v>51</v>
      </c>
      <c r="Y30" s="167" t="str">
        <f>IFERROR(VLOOKUP(MID(T30,W30,X30-W30),[6]skilldef!$C:$D,2,FALSE),"-") &amp; " / " &amp; IFERROR(VLOOKUP(MID(T30,U30,V30-U30),[6]skilldef!$A:$B,2,FALSE),"-")</f>
        <v>- / -</v>
      </c>
      <c r="Z30" s="34"/>
      <c r="AA30" s="36"/>
      <c r="AB30" s="34"/>
    </row>
    <row r="31" spans="1:28" ht="98" x14ac:dyDescent="0.15">
      <c r="A31" s="32">
        <v>40037324</v>
      </c>
      <c r="B31" s="32" t="s">
        <v>445</v>
      </c>
      <c r="C31" s="34">
        <v>3</v>
      </c>
      <c r="D31" s="34" t="s">
        <v>128</v>
      </c>
      <c r="E31" s="35" t="s">
        <v>286</v>
      </c>
      <c r="F31" s="35" t="s">
        <v>407</v>
      </c>
      <c r="G31" s="167" t="str">
        <f t="shared" si="48"/>
        <v>[effect:enemy_message, val1:2, val2:2.4, dead_type:suicide]</v>
      </c>
      <c r="H31" s="167">
        <f t="shared" si="49"/>
        <v>9</v>
      </c>
      <c r="I31" s="167">
        <f t="shared" si="50"/>
        <v>22</v>
      </c>
      <c r="J31" s="167" t="e">
        <f t="shared" si="51"/>
        <v>#VALUE!</v>
      </c>
      <c r="K31" s="167">
        <f t="shared" si="52"/>
        <v>30</v>
      </c>
      <c r="L31" s="167" t="str">
        <f>IFERROR(VLOOKUP(MID(G31,J31,K31-J31),[6]skilldef!$C:$D,2,FALSE),"-") &amp; " / " &amp; IFERROR(VLOOKUP(MID(G31,H31,I31-H31),[6]skilldef!$A:$B,2,FALSE),"-")</f>
        <v>- / -</v>
      </c>
      <c r="M31" s="167" t="str">
        <f t="shared" si="53"/>
        <v xml:space="preserve">[effect:tolerance, target:myself, turn:-1, count:-1, tolerance_effect:all, animation:enemy_tolerance],[effect:drop_freeze, turn:-1, block_type:normal, rate:0.15, animation:drop_protect]    </v>
      </c>
      <c r="N31" s="157" t="str">
        <f t="shared" si="47"/>
        <v xml:space="preserve">[effect:tolerance, target:myself, turn:-1, count:-1, tolerance_effect:all, animation:enemy_tolerance],[effect:drop_freeze, turn:-1, block_type:normal, rate:0.15, animation:drop_protect]    </v>
      </c>
      <c r="O31" s="167">
        <f t="shared" si="54"/>
        <v>9</v>
      </c>
      <c r="P31" s="167">
        <f t="shared" si="55"/>
        <v>18</v>
      </c>
      <c r="Q31" s="167">
        <f t="shared" si="56"/>
        <v>27</v>
      </c>
      <c r="R31" s="167">
        <f t="shared" si="57"/>
        <v>33</v>
      </c>
      <c r="S31" s="167" t="str">
        <f>IFERROR(VLOOKUP(MID(N31,Q31,R31-Q31),[6]skilldef!$C:$D,2,FALSE),"-") &amp; " / " &amp; IFERROR(VLOOKUP(MID(N31,O31,P31-O31),[6]skilldef!$A:$B,2,FALSE),"-")</f>
        <v>自分自身に / 状態異常耐性</v>
      </c>
      <c r="T31" s="157" t="str">
        <f t="shared" si="58"/>
        <v xml:space="preserve">[effect:drop_freeze, turn:-1, block_type:normal, rate:0.15, animation:drop_protect]    </v>
      </c>
      <c r="U31" s="167">
        <f t="shared" si="59"/>
        <v>9</v>
      </c>
      <c r="V31" s="167">
        <f t="shared" si="60"/>
        <v>20</v>
      </c>
      <c r="W31" s="167" t="e">
        <f t="shared" si="61"/>
        <v>#VALUE!</v>
      </c>
      <c r="X31" s="167">
        <f t="shared" si="62"/>
        <v>29</v>
      </c>
      <c r="Y31" s="167" t="str">
        <f>IFERROR(VLOOKUP(MID(T31,W31,X31-W31),[6]skilldef!$C:$D,2,FALSE),"-") &amp; " / " &amp; IFERROR(VLOOKUP(MID(T31,U31,V31-U31),[6]skilldef!$A:$B,2,FALSE),"-")</f>
        <v>- / -</v>
      </c>
      <c r="Z31" s="34"/>
      <c r="AA31" s="36"/>
      <c r="AB31" s="34"/>
    </row>
    <row r="32" spans="1:28" ht="42" x14ac:dyDescent="0.15">
      <c r="A32" s="32">
        <v>40037325</v>
      </c>
      <c r="B32" s="32" t="s">
        <v>388</v>
      </c>
      <c r="C32" s="34">
        <v>3</v>
      </c>
      <c r="D32" s="34" t="s">
        <v>128</v>
      </c>
      <c r="E32" s="35" t="s">
        <v>288</v>
      </c>
      <c r="F32" s="35" t="s">
        <v>389</v>
      </c>
      <c r="G32" s="167" t="str">
        <f t="shared" si="48"/>
        <v>[effect:spread, val:0.45]</v>
      </c>
      <c r="H32" s="167">
        <f t="shared" si="49"/>
        <v>9</v>
      </c>
      <c r="I32" s="167">
        <f t="shared" si="50"/>
        <v>15</v>
      </c>
      <c r="J32" s="167" t="e">
        <f t="shared" si="51"/>
        <v>#VALUE!</v>
      </c>
      <c r="K32" s="167" t="e">
        <f t="shared" si="52"/>
        <v>#VALUE!</v>
      </c>
      <c r="L32" s="167" t="str">
        <f>IFERROR(VLOOKUP(MID(G32,J32,K32-J32),[6]skilldef!$C:$D,2,FALSE),"-") &amp; " / " &amp; IFERROR(VLOOKUP(MID(G32,H32,I32-H32),[6]skilldef!$A:$B,2,FALSE),"-")</f>
        <v>- / 全体攻撃</v>
      </c>
      <c r="M32" s="167" t="str">
        <f t="shared" si="53"/>
        <v xml:space="preserve">[effect:change_bomb_range, target:unit_all, val:0.5, rate:1, turn:2, animation:bomb_small]    </v>
      </c>
      <c r="N32" s="157" t="str">
        <f t="shared" si="47"/>
        <v xml:space="preserve">[effect:change_bomb_range, target:unit_all, val:0.5, rate:1, turn:2, animation:bomb_small]    </v>
      </c>
      <c r="O32" s="167">
        <f t="shared" si="54"/>
        <v>9</v>
      </c>
      <c r="P32" s="167">
        <f t="shared" si="55"/>
        <v>26</v>
      </c>
      <c r="Q32" s="167">
        <f t="shared" si="56"/>
        <v>35</v>
      </c>
      <c r="R32" s="167">
        <f t="shared" si="57"/>
        <v>43</v>
      </c>
      <c r="S32" s="167" t="str">
        <f>IFERROR(VLOOKUP(MID(N32,Q32,R32-Q32),[6]skilldef!$C:$D,2,FALSE),"-") &amp; " / " &amp; IFERROR(VLOOKUP(MID(N32,O32,P32-O32),[6]skilldef!$A:$B,2,FALSE),"-")</f>
        <v>味方全体に / -</v>
      </c>
      <c r="T32" s="157" t="str">
        <f t="shared" si="58"/>
        <v>none</v>
      </c>
      <c r="U32" s="167" t="e">
        <f t="shared" si="59"/>
        <v>#VALUE!</v>
      </c>
      <c r="V32" s="167">
        <f t="shared" si="60"/>
        <v>4</v>
      </c>
      <c r="W32" s="167" t="e">
        <f t="shared" si="61"/>
        <v>#VALUE!</v>
      </c>
      <c r="X32" s="167" t="e">
        <f t="shared" si="62"/>
        <v>#VALUE!</v>
      </c>
      <c r="Y32" s="167" t="str">
        <f>IFERROR(VLOOKUP(MID(T32,W32,X32-W32),[6]skilldef!$C:$D,2,FALSE),"-") &amp; " / " &amp; IFERROR(VLOOKUP(MID(T32,U32,V32-U32),[6]skilldef!$A:$B,2,FALSE),"-")</f>
        <v>- / -</v>
      </c>
      <c r="Z32" s="34"/>
      <c r="AA32" s="36"/>
      <c r="AB32" s="34"/>
    </row>
    <row r="33" spans="1:28" x14ac:dyDescent="0.15">
      <c r="A33" s="32">
        <v>40037326</v>
      </c>
      <c r="B33" s="32" t="s">
        <v>387</v>
      </c>
      <c r="C33" s="34">
        <v>3</v>
      </c>
      <c r="D33" s="34" t="s">
        <v>128</v>
      </c>
      <c r="E33" s="35" t="s">
        <v>376</v>
      </c>
      <c r="F33" s="35" t="s">
        <v>339</v>
      </c>
      <c r="G33" s="167" t="str">
        <f t="shared" si="48"/>
        <v>[effect:rush, count:8, val:0.15]</v>
      </c>
      <c r="H33" s="167">
        <f t="shared" si="49"/>
        <v>9</v>
      </c>
      <c r="I33" s="167">
        <f t="shared" si="50"/>
        <v>13</v>
      </c>
      <c r="J33" s="167" t="e">
        <f t="shared" si="51"/>
        <v>#VALUE!</v>
      </c>
      <c r="K33" s="167">
        <f t="shared" si="52"/>
        <v>22</v>
      </c>
      <c r="L33" s="167" t="str">
        <f>IFERROR(VLOOKUP(MID(G33,J33,K33-J33),[6]skilldef!$C:$D,2,FALSE),"-") &amp; " / " &amp; IFERROR(VLOOKUP(MID(G33,H33,I33-H33),[6]skilldef!$A:$B,2,FALSE),"-")</f>
        <v>- / 連続攻撃</v>
      </c>
      <c r="M33" s="167" t="str">
        <f t="shared" si="53"/>
        <v>none</v>
      </c>
      <c r="N33" s="157" t="str">
        <f t="shared" si="47"/>
        <v>none</v>
      </c>
      <c r="O33" s="167" t="e">
        <f t="shared" si="54"/>
        <v>#VALUE!</v>
      </c>
      <c r="P33" s="167">
        <f t="shared" si="55"/>
        <v>4</v>
      </c>
      <c r="Q33" s="167" t="e">
        <f t="shared" si="56"/>
        <v>#VALUE!</v>
      </c>
      <c r="R33" s="167" t="e">
        <f t="shared" si="57"/>
        <v>#VALUE!</v>
      </c>
      <c r="S33" s="167" t="str">
        <f>IFERROR(VLOOKUP(MID(N33,Q33,R33-Q33),[6]skilldef!$C:$D,2,FALSE),"-") &amp; " / " &amp; IFERROR(VLOOKUP(MID(N33,O33,P33-O33),[6]skilldef!$A:$B,2,FALSE),"-")</f>
        <v>- / -</v>
      </c>
      <c r="T33" s="157" t="str">
        <f t="shared" si="58"/>
        <v>none</v>
      </c>
      <c r="U33" s="167" t="e">
        <f t="shared" si="59"/>
        <v>#VALUE!</v>
      </c>
      <c r="V33" s="167">
        <f t="shared" si="60"/>
        <v>4</v>
      </c>
      <c r="W33" s="167" t="e">
        <f t="shared" si="61"/>
        <v>#VALUE!</v>
      </c>
      <c r="X33" s="167" t="e">
        <f t="shared" si="62"/>
        <v>#VALUE!</v>
      </c>
      <c r="Y33" s="167" t="str">
        <f>IFERROR(VLOOKUP(MID(T33,W33,X33-W33),[6]skilldef!$C:$D,2,FALSE),"-") &amp; " / " &amp; IFERROR(VLOOKUP(MID(T33,U33,V33-U33),[6]skilldef!$A:$B,2,FALSE),"-")</f>
        <v>- / -</v>
      </c>
      <c r="Z33" s="34"/>
      <c r="AA33" s="36"/>
      <c r="AB33" s="34"/>
    </row>
    <row r="34" spans="1:28" ht="28" x14ac:dyDescent="0.15">
      <c r="A34" s="32">
        <v>40037327</v>
      </c>
      <c r="B34" s="32" t="s">
        <v>261</v>
      </c>
      <c r="C34" s="34">
        <v>3</v>
      </c>
      <c r="D34" s="34" t="s">
        <v>128</v>
      </c>
      <c r="E34" s="35" t="s">
        <v>375</v>
      </c>
      <c r="F34" s="35" t="s">
        <v>265</v>
      </c>
      <c r="G34" s="167" t="str">
        <f t="shared" si="48"/>
        <v>[effect:enhance_enemy, target:myself, turn:3, status:attack, val:2000, calc:add, animation:enemy_enhance_attack]</v>
      </c>
      <c r="H34" s="167">
        <f t="shared" si="49"/>
        <v>9</v>
      </c>
      <c r="I34" s="167">
        <f t="shared" si="50"/>
        <v>22</v>
      </c>
      <c r="J34" s="167">
        <f t="shared" si="51"/>
        <v>31</v>
      </c>
      <c r="K34" s="167">
        <f t="shared" si="52"/>
        <v>37</v>
      </c>
      <c r="L34" s="167" t="str">
        <f>IFERROR(VLOOKUP(MID(G34,J34,K34-J34),[6]skilldef!$C:$D,2,FALSE),"-") &amp; " / " &amp; IFERROR(VLOOKUP(MID(G34,H34,I34-H34),[6]skilldef!$A:$B,2,FALSE),"-")</f>
        <v>自分自身に / ステータス強化</v>
      </c>
      <c r="M34" s="167" t="str">
        <f t="shared" si="53"/>
        <v>none</v>
      </c>
      <c r="N34" s="157" t="str">
        <f t="shared" si="47"/>
        <v>none</v>
      </c>
      <c r="O34" s="167" t="e">
        <f t="shared" si="54"/>
        <v>#VALUE!</v>
      </c>
      <c r="P34" s="167">
        <f t="shared" si="55"/>
        <v>4</v>
      </c>
      <c r="Q34" s="167" t="e">
        <f t="shared" si="56"/>
        <v>#VALUE!</v>
      </c>
      <c r="R34" s="167" t="e">
        <f t="shared" si="57"/>
        <v>#VALUE!</v>
      </c>
      <c r="S34" s="167" t="str">
        <f>IFERROR(VLOOKUP(MID(N34,Q34,R34-Q34),[6]skilldef!$C:$D,2,FALSE),"-") &amp; " / " &amp; IFERROR(VLOOKUP(MID(N34,O34,P34-O34),[6]skilldef!$A:$B,2,FALSE),"-")</f>
        <v>- / -</v>
      </c>
      <c r="T34" s="157" t="str">
        <f t="shared" si="58"/>
        <v>none</v>
      </c>
      <c r="U34" s="167" t="e">
        <f t="shared" si="59"/>
        <v>#VALUE!</v>
      </c>
      <c r="V34" s="167">
        <f t="shared" si="60"/>
        <v>4</v>
      </c>
      <c r="W34" s="167" t="e">
        <f t="shared" si="61"/>
        <v>#VALUE!</v>
      </c>
      <c r="X34" s="167" t="e">
        <f t="shared" si="62"/>
        <v>#VALUE!</v>
      </c>
      <c r="Y34" s="167" t="str">
        <f>IFERROR(VLOOKUP(MID(T34,W34,X34-W34),[6]skilldef!$C:$D,2,FALSE),"-") &amp; " / " &amp; IFERROR(VLOOKUP(MID(T34,U34,V34-U34),[6]skilldef!$A:$B,2,FALSE),"-")</f>
        <v>- / -</v>
      </c>
      <c r="Z34" s="34"/>
      <c r="AA34" s="36"/>
      <c r="AB34" s="34"/>
    </row>
    <row r="35" spans="1:28" ht="42" x14ac:dyDescent="0.15">
      <c r="A35" s="32">
        <v>40037328</v>
      </c>
      <c r="B35" s="32" t="s">
        <v>399</v>
      </c>
      <c r="C35" s="34">
        <v>3</v>
      </c>
      <c r="D35" s="34" t="s">
        <v>128</v>
      </c>
      <c r="E35" s="35" t="s">
        <v>281</v>
      </c>
      <c r="F35" s="35" t="s">
        <v>398</v>
      </c>
      <c r="G35" s="167" t="str">
        <f t="shared" si="48"/>
        <v>[effect:enemy_message, val1:2, val2:2.4, dead_type:escape]</v>
      </c>
      <c r="H35" s="167">
        <f t="shared" si="49"/>
        <v>9</v>
      </c>
      <c r="I35" s="167">
        <f t="shared" si="50"/>
        <v>22</v>
      </c>
      <c r="J35" s="167" t="e">
        <f t="shared" si="51"/>
        <v>#VALUE!</v>
      </c>
      <c r="K35" s="167">
        <f t="shared" si="52"/>
        <v>30</v>
      </c>
      <c r="L35" s="167" t="str">
        <f>IFERROR(VLOOKUP(MID(G35,J35,K35-J35),[6]skilldef!$C:$D,2,FALSE),"-") &amp; " / " &amp; IFERROR(VLOOKUP(MID(G35,H35,I35-H35),[6]skilldef!$A:$B,2,FALSE),"-")</f>
        <v>- / -</v>
      </c>
      <c r="M35" s="167" t="str">
        <f t="shared" si="53"/>
        <v>[effect:hungup, target:unit_all, turn:2, rate:1, calc_type:target_all, animation:hungup01]</v>
      </c>
      <c r="N35" s="157" t="str">
        <f t="shared" si="47"/>
        <v>[effect:hungup, target:unit_all, turn:2, rate:1, calc_type:target_all, animation:hungup01]</v>
      </c>
      <c r="O35" s="167">
        <f t="shared" si="54"/>
        <v>9</v>
      </c>
      <c r="P35" s="167">
        <f t="shared" si="55"/>
        <v>15</v>
      </c>
      <c r="Q35" s="167">
        <f t="shared" si="56"/>
        <v>24</v>
      </c>
      <c r="R35" s="167">
        <f t="shared" si="57"/>
        <v>32</v>
      </c>
      <c r="S35" s="167" t="str">
        <f>IFERROR(VLOOKUP(MID(N35,Q35,R35-Q35),[6]skilldef!$C:$D,2,FALSE),"-") &amp; " / " &amp; IFERROR(VLOOKUP(MID(N35,O35,P35-O35),[6]skilldef!$A:$B,2,FALSE),"-")</f>
        <v>味方全体に / ハングアップ</v>
      </c>
      <c r="T35" s="157" t="str">
        <f t="shared" si="58"/>
        <v>none</v>
      </c>
      <c r="U35" s="167" t="e">
        <f t="shared" si="59"/>
        <v>#VALUE!</v>
      </c>
      <c r="V35" s="167">
        <f t="shared" si="60"/>
        <v>4</v>
      </c>
      <c r="W35" s="167" t="e">
        <f t="shared" si="61"/>
        <v>#VALUE!</v>
      </c>
      <c r="X35" s="167" t="e">
        <f t="shared" si="62"/>
        <v>#VALUE!</v>
      </c>
      <c r="Y35" s="167" t="str">
        <f>IFERROR(VLOOKUP(MID(T35,W35,X35-W35),[6]skilldef!$C:$D,2,FALSE),"-") &amp; " / " &amp; IFERROR(VLOOKUP(MID(T35,U35,V35-U35),[6]skilldef!$A:$B,2,FALSE),"-")</f>
        <v>- / -</v>
      </c>
      <c r="Z35" s="34"/>
      <c r="AA35" s="36"/>
      <c r="AB35" s="34"/>
    </row>
    <row r="36" spans="1:28" ht="28" x14ac:dyDescent="0.15">
      <c r="A36" s="32">
        <v>40037329</v>
      </c>
      <c r="B36" s="32" t="s">
        <v>433</v>
      </c>
      <c r="C36" s="34">
        <v>3</v>
      </c>
      <c r="D36" s="34" t="s">
        <v>128</v>
      </c>
      <c r="E36" s="35" t="s">
        <v>287</v>
      </c>
      <c r="F36" s="35" t="s">
        <v>345</v>
      </c>
      <c r="G36" s="167" t="str">
        <f t="shared" si="48"/>
        <v>[effect:enemy_message, val1:2, val2:1.6, dead_type:suicide]</v>
      </c>
      <c r="H36" s="167">
        <f t="shared" si="49"/>
        <v>9</v>
      </c>
      <c r="I36" s="167">
        <f t="shared" si="50"/>
        <v>22</v>
      </c>
      <c r="J36" s="167" t="e">
        <f t="shared" si="51"/>
        <v>#VALUE!</v>
      </c>
      <c r="K36" s="167">
        <f t="shared" si="52"/>
        <v>30</v>
      </c>
      <c r="L36" s="167" t="str">
        <f>IFERROR(VLOOKUP(MID(G36,J36,K36-J36),[6]skilldef!$C:$D,2,FALSE),"-") &amp; " / " &amp; IFERROR(VLOOKUP(MID(G36,H36,I36-H36),[6]skilldef!$A:$B,2,FALSE),"-")</f>
        <v>- / -</v>
      </c>
      <c r="M36" s="167" t="str">
        <f t="shared" si="53"/>
        <v>[effect:rush, count:16, val:0.1]</v>
      </c>
      <c r="N36" s="157" t="str">
        <f t="shared" si="47"/>
        <v>[effect:rush, count:16, val:0.1]</v>
      </c>
      <c r="O36" s="167">
        <f t="shared" si="54"/>
        <v>9</v>
      </c>
      <c r="P36" s="167">
        <f t="shared" si="55"/>
        <v>13</v>
      </c>
      <c r="Q36" s="167" t="e">
        <f t="shared" si="56"/>
        <v>#VALUE!</v>
      </c>
      <c r="R36" s="167">
        <f t="shared" si="57"/>
        <v>23</v>
      </c>
      <c r="S36" s="167" t="str">
        <f>IFERROR(VLOOKUP(MID(N36,Q36,R36-Q36),[6]skilldef!$C:$D,2,FALSE),"-") &amp; " / " &amp; IFERROR(VLOOKUP(MID(N36,O36,P36-O36),[6]skilldef!$A:$B,2,FALSE),"-")</f>
        <v>- / 連続攻撃</v>
      </c>
      <c r="T36" s="157" t="str">
        <f t="shared" si="58"/>
        <v>none</v>
      </c>
      <c r="U36" s="167" t="e">
        <f t="shared" si="59"/>
        <v>#VALUE!</v>
      </c>
      <c r="V36" s="167">
        <f t="shared" si="60"/>
        <v>4</v>
      </c>
      <c r="W36" s="167" t="e">
        <f t="shared" si="61"/>
        <v>#VALUE!</v>
      </c>
      <c r="X36" s="167" t="e">
        <f t="shared" si="62"/>
        <v>#VALUE!</v>
      </c>
      <c r="Y36" s="167" t="str">
        <f>IFERROR(VLOOKUP(MID(T36,W36,X36-W36),[6]skilldef!$C:$D,2,FALSE),"-") &amp; " / " &amp; IFERROR(VLOOKUP(MID(T36,U36,V36-U36),[6]skilldef!$A:$B,2,FALSE),"-")</f>
        <v>- / -</v>
      </c>
      <c r="Z36" s="34"/>
      <c r="AA36" s="36"/>
      <c r="AB36" s="34"/>
    </row>
    <row r="37" spans="1:28" s="147" customFormat="1" x14ac:dyDescent="0.15">
      <c r="A37" s="147">
        <v>40037346</v>
      </c>
      <c r="B37" s="147" t="s">
        <v>459</v>
      </c>
      <c r="C37" s="34">
        <v>3</v>
      </c>
      <c r="D37" s="34" t="s">
        <v>128</v>
      </c>
      <c r="E37" s="149" t="s">
        <v>346</v>
      </c>
      <c r="F37" s="149" t="s">
        <v>347</v>
      </c>
      <c r="G37" s="167" t="str">
        <f t="shared" si="48"/>
        <v>[effect:enemy_message, val1:2, val2:1.6, dead_type:suicide]</v>
      </c>
      <c r="H37" s="167">
        <f t="shared" si="49"/>
        <v>9</v>
      </c>
      <c r="I37" s="167">
        <f t="shared" si="50"/>
        <v>22</v>
      </c>
      <c r="J37" s="167" t="e">
        <f t="shared" si="51"/>
        <v>#VALUE!</v>
      </c>
      <c r="K37" s="167">
        <f t="shared" si="52"/>
        <v>30</v>
      </c>
      <c r="L37" s="167" t="str">
        <f>IFERROR(VLOOKUP(MID(G37,J37,K37-J37),[6]skilldef!$C:$D,2,FALSE),"-") &amp; " / " &amp; IFERROR(VLOOKUP(MID(G37,H37,I37-H37),[6]skilldef!$A:$B,2,FALSE),"-")</f>
        <v>- / -</v>
      </c>
      <c r="M37" s="167" t="str">
        <f t="shared" si="53"/>
        <v>[effect:rush, count:25, val:0.15]</v>
      </c>
      <c r="N37" s="157" t="str">
        <f t="shared" si="47"/>
        <v>[effect:rush, count:25, val:0.15]</v>
      </c>
      <c r="O37" s="167">
        <f t="shared" si="54"/>
        <v>9</v>
      </c>
      <c r="P37" s="167">
        <f t="shared" si="55"/>
        <v>13</v>
      </c>
      <c r="Q37" s="167" t="e">
        <f t="shared" si="56"/>
        <v>#VALUE!</v>
      </c>
      <c r="R37" s="167">
        <f t="shared" si="57"/>
        <v>23</v>
      </c>
      <c r="S37" s="167" t="str">
        <f>IFERROR(VLOOKUP(MID(N37,Q37,R37-Q37),[6]skilldef!$C:$D,2,FALSE),"-") &amp; " / " &amp; IFERROR(VLOOKUP(MID(N37,O37,P37-O37),[6]skilldef!$A:$B,2,FALSE),"-")</f>
        <v>- / 連続攻撃</v>
      </c>
      <c r="T37" s="157" t="str">
        <f t="shared" si="58"/>
        <v>none</v>
      </c>
      <c r="U37" s="167" t="e">
        <f t="shared" si="59"/>
        <v>#VALUE!</v>
      </c>
      <c r="V37" s="167">
        <f t="shared" si="60"/>
        <v>4</v>
      </c>
      <c r="W37" s="167" t="e">
        <f t="shared" si="61"/>
        <v>#VALUE!</v>
      </c>
      <c r="X37" s="167" t="e">
        <f t="shared" si="62"/>
        <v>#VALUE!</v>
      </c>
      <c r="Y37" s="167" t="str">
        <f>IFERROR(VLOOKUP(MID(T37,W37,X37-W37),[6]skilldef!$C:$D,2,FALSE),"-") &amp; " / " &amp; IFERROR(VLOOKUP(MID(T37,U37,V37-U37),[6]skilldef!$A:$B,2,FALSE),"-")</f>
        <v>- / -</v>
      </c>
      <c r="Z37" s="148"/>
      <c r="AA37" s="150"/>
      <c r="AB37" s="148"/>
    </row>
    <row r="38" spans="1:28" ht="140" x14ac:dyDescent="0.15">
      <c r="A38" s="32">
        <v>40037330</v>
      </c>
      <c r="B38" s="32" t="s">
        <v>432</v>
      </c>
      <c r="C38" s="34">
        <v>3</v>
      </c>
      <c r="D38" s="34" t="s">
        <v>128</v>
      </c>
      <c r="E38" s="35" t="s">
        <v>282</v>
      </c>
      <c r="F38" s="35" t="s">
        <v>327</v>
      </c>
      <c r="G38" s="167" t="str">
        <f t="shared" si="48"/>
        <v>[effect:enemy_message, val1:2, val2:2.4, dead_type:suicide]</v>
      </c>
      <c r="H38" s="167">
        <f t="shared" si="49"/>
        <v>9</v>
      </c>
      <c r="I38" s="167">
        <f t="shared" si="50"/>
        <v>22</v>
      </c>
      <c r="J38" s="167" t="e">
        <f t="shared" si="51"/>
        <v>#VALUE!</v>
      </c>
      <c r="K38" s="167">
        <f t="shared" si="52"/>
        <v>30</v>
      </c>
      <c r="L38" s="167" t="str">
        <f>IFERROR(VLOOKUP(MID(G38,J38,K38-J38),[6]skilldef!$C:$D,2,FALSE),"-") &amp; " / " &amp; IFERROR(VLOOKUP(MID(G38,H38,I38-H38),[6]skilldef!$A:$B,2,FALSE),"-")</f>
        <v>- / -</v>
      </c>
      <c r="M38" s="167" t="str">
        <f t="shared" si="53"/>
        <v xml:space="preserve">[effect:tolerance, target:myself, turn:-1, count:-1, tolerance_effect:all, animation:enemy_tolerance],[effect:change_bomb_range, target:unit_all, val:0.5, rate:1, turn:-1, animation:bomb_small],[effect:degrade_fever, val:1000, animation:fevergauge_down]    </v>
      </c>
      <c r="N38" s="157" t="str">
        <f t="shared" ref="N38:N90" si="63">IFERROR(LEFT(M38,FIND("],",M38)+S52),M38)</f>
        <v xml:space="preserve">[effect:tolerance, target:myself, turn:-1, count:-1, tolerance_effect:all, animation:enemy_tolerance],[effect:change_bomb_range, target:unit_all, val:0.5, rate:1, turn:-1, animation:bomb_small],[effect:degrade_fever, val:1000, animation:fevergauge_down]    </v>
      </c>
      <c r="O38" s="167">
        <f t="shared" si="54"/>
        <v>9</v>
      </c>
      <c r="P38" s="167">
        <f t="shared" si="55"/>
        <v>18</v>
      </c>
      <c r="Q38" s="167">
        <f t="shared" si="56"/>
        <v>27</v>
      </c>
      <c r="R38" s="167">
        <f t="shared" si="57"/>
        <v>33</v>
      </c>
      <c r="S38" s="167" t="str">
        <f>IFERROR(VLOOKUP(MID(N38,Q38,R38-Q38),[6]skilldef!$C:$D,2,FALSE),"-") &amp; " / " &amp; IFERROR(VLOOKUP(MID(N38,O38,P38-O38),[6]skilldef!$A:$B,2,FALSE),"-")</f>
        <v>自分自身に / 状態異常耐性</v>
      </c>
      <c r="T38" s="157" t="str">
        <f t="shared" si="58"/>
        <v xml:space="preserve">[effect:change_bomb_range, target:unit_all, val:0.5, rate:1, turn:-1, animation:bomb_small],[effect:degrade_fever, val:1000, animation:fevergauge_down]    </v>
      </c>
      <c r="U38" s="167">
        <f t="shared" si="59"/>
        <v>9</v>
      </c>
      <c r="V38" s="167">
        <f t="shared" si="60"/>
        <v>26</v>
      </c>
      <c r="W38" s="167">
        <f t="shared" si="61"/>
        <v>35</v>
      </c>
      <c r="X38" s="167">
        <f t="shared" si="62"/>
        <v>43</v>
      </c>
      <c r="Y38" s="167" t="str">
        <f>IFERROR(VLOOKUP(MID(T38,W38,X38-W38),[6]skilldef!$C:$D,2,FALSE),"-") &amp; " / " &amp; IFERROR(VLOOKUP(MID(T38,U38,V38-U38),[6]skilldef!$A:$B,2,FALSE),"-")</f>
        <v>味方全体に / -</v>
      </c>
      <c r="Z38" s="34"/>
      <c r="AA38" s="36"/>
      <c r="AB38" s="34"/>
    </row>
    <row r="39" spans="1:28" ht="28" x14ac:dyDescent="0.15">
      <c r="A39" s="32">
        <v>40037331</v>
      </c>
      <c r="B39" s="32" t="s">
        <v>446</v>
      </c>
      <c r="C39" s="34">
        <v>3</v>
      </c>
      <c r="D39" s="34" t="s">
        <v>128</v>
      </c>
      <c r="E39" s="35" t="s">
        <v>284</v>
      </c>
      <c r="F39" s="35" t="s">
        <v>408</v>
      </c>
      <c r="G39" s="167" t="str">
        <f t="shared" si="48"/>
        <v xml:space="preserve">[effect:drop_freeze, turn:-1, block_type:normal, rate:0.15, animation:drop_protect]    </v>
      </c>
      <c r="H39" s="167">
        <f t="shared" si="49"/>
        <v>9</v>
      </c>
      <c r="I39" s="167">
        <f t="shared" si="50"/>
        <v>20</v>
      </c>
      <c r="J39" s="167" t="e">
        <f t="shared" si="51"/>
        <v>#VALUE!</v>
      </c>
      <c r="K39" s="167">
        <f t="shared" si="52"/>
        <v>29</v>
      </c>
      <c r="L39" s="167" t="str">
        <f>IFERROR(VLOOKUP(MID(G39,J39,K39-J39),[6]skilldef!$C:$D,2,FALSE),"-") &amp; " / " &amp; IFERROR(VLOOKUP(MID(G39,H39,I39-H39),[6]skilldef!$A:$B,2,FALSE),"-")</f>
        <v>- / -</v>
      </c>
      <c r="M39" s="167" t="str">
        <f t="shared" si="53"/>
        <v>none</v>
      </c>
      <c r="N39" s="157" t="str">
        <f t="shared" si="63"/>
        <v>none</v>
      </c>
      <c r="O39" s="167" t="e">
        <f t="shared" si="54"/>
        <v>#VALUE!</v>
      </c>
      <c r="P39" s="167">
        <f t="shared" si="55"/>
        <v>4</v>
      </c>
      <c r="Q39" s="167" t="e">
        <f t="shared" si="56"/>
        <v>#VALUE!</v>
      </c>
      <c r="R39" s="167" t="e">
        <f t="shared" si="57"/>
        <v>#VALUE!</v>
      </c>
      <c r="S39" s="167" t="str">
        <f>IFERROR(VLOOKUP(MID(N39,Q39,R39-Q39),[6]skilldef!$C:$D,2,FALSE),"-") &amp; " / " &amp; IFERROR(VLOOKUP(MID(N39,O39,P39-O39),[6]skilldef!$A:$B,2,FALSE),"-")</f>
        <v>- / -</v>
      </c>
      <c r="T39" s="157" t="str">
        <f t="shared" si="58"/>
        <v>none</v>
      </c>
      <c r="U39" s="167" t="e">
        <f t="shared" si="59"/>
        <v>#VALUE!</v>
      </c>
      <c r="V39" s="167">
        <f t="shared" si="60"/>
        <v>4</v>
      </c>
      <c r="W39" s="167" t="e">
        <f t="shared" si="61"/>
        <v>#VALUE!</v>
      </c>
      <c r="X39" s="167" t="e">
        <f t="shared" si="62"/>
        <v>#VALUE!</v>
      </c>
      <c r="Y39" s="167" t="str">
        <f>IFERROR(VLOOKUP(MID(T39,W39,X39-W39),[6]skilldef!$C:$D,2,FALSE),"-") &amp; " / " &amp; IFERROR(VLOOKUP(MID(T39,U39,V39-U39),[6]skilldef!$A:$B,2,FALSE),"-")</f>
        <v>- / -</v>
      </c>
      <c r="Z39" s="34"/>
      <c r="AA39" s="36"/>
      <c r="AB39" s="34"/>
    </row>
    <row r="40" spans="1:28" x14ac:dyDescent="0.15">
      <c r="A40" s="32">
        <v>40037332</v>
      </c>
      <c r="B40" s="32" t="s">
        <v>455</v>
      </c>
      <c r="C40" s="34">
        <v>3</v>
      </c>
      <c r="D40" s="34" t="s">
        <v>128</v>
      </c>
      <c r="E40" s="35" t="s">
        <v>373</v>
      </c>
      <c r="F40" s="35" t="s">
        <v>453</v>
      </c>
      <c r="G40" s="167" t="str">
        <f t="shared" si="48"/>
        <v>[effect:enemy_message, val1:2, val2:1.2, dead_type:suicide]</v>
      </c>
      <c r="H40" s="167">
        <f t="shared" si="49"/>
        <v>9</v>
      </c>
      <c r="I40" s="167">
        <f t="shared" si="50"/>
        <v>22</v>
      </c>
      <c r="J40" s="167" t="e">
        <f t="shared" si="51"/>
        <v>#VALUE!</v>
      </c>
      <c r="K40" s="167">
        <f t="shared" si="52"/>
        <v>30</v>
      </c>
      <c r="L40" s="167" t="str">
        <f>IFERROR(VLOOKUP(MID(G40,J40,K40-J40),[6]skilldef!$C:$D,2,FALSE),"-") &amp; " / " &amp; IFERROR(VLOOKUP(MID(G40,H40,I40-H40),[6]skilldef!$A:$B,2,FALSE),"-")</f>
        <v>- / -</v>
      </c>
      <c r="M40" s="167" t="str">
        <f t="shared" si="53"/>
        <v>[effect:spread, val:0.3]</v>
      </c>
      <c r="N40" s="157" t="str">
        <f t="shared" si="63"/>
        <v>[effect:spread, val:0.3]</v>
      </c>
      <c r="O40" s="167">
        <f t="shared" si="54"/>
        <v>9</v>
      </c>
      <c r="P40" s="167">
        <f t="shared" si="55"/>
        <v>15</v>
      </c>
      <c r="Q40" s="167" t="e">
        <f t="shared" si="56"/>
        <v>#VALUE!</v>
      </c>
      <c r="R40" s="167" t="e">
        <f t="shared" si="57"/>
        <v>#VALUE!</v>
      </c>
      <c r="S40" s="167" t="str">
        <f>IFERROR(VLOOKUP(MID(N40,Q40,R40-Q40),[6]skilldef!$C:$D,2,FALSE),"-") &amp; " / " &amp; IFERROR(VLOOKUP(MID(N40,O40,P40-O40),[6]skilldef!$A:$B,2,FALSE),"-")</f>
        <v>- / 全体攻撃</v>
      </c>
      <c r="T40" s="157" t="str">
        <f t="shared" si="58"/>
        <v>none</v>
      </c>
      <c r="U40" s="167" t="e">
        <f t="shared" si="59"/>
        <v>#VALUE!</v>
      </c>
      <c r="V40" s="167">
        <f t="shared" si="60"/>
        <v>4</v>
      </c>
      <c r="W40" s="167" t="e">
        <f t="shared" si="61"/>
        <v>#VALUE!</v>
      </c>
      <c r="X40" s="167" t="e">
        <f t="shared" si="62"/>
        <v>#VALUE!</v>
      </c>
      <c r="Y40" s="167" t="str">
        <f>IFERROR(VLOOKUP(MID(T40,W40,X40-W40),[6]skilldef!$C:$D,2,FALSE),"-") &amp; " / " &amp; IFERROR(VLOOKUP(MID(T40,U40,V40-U40),[6]skilldef!$A:$B,2,FALSE),"-")</f>
        <v>- / -</v>
      </c>
      <c r="Z40" s="34"/>
      <c r="AA40" s="36"/>
      <c r="AB40" s="34"/>
    </row>
    <row r="41" spans="1:28" ht="70" x14ac:dyDescent="0.15">
      <c r="A41" s="32">
        <v>40037333</v>
      </c>
      <c r="B41" s="32" t="s">
        <v>431</v>
      </c>
      <c r="C41" s="34">
        <v>3</v>
      </c>
      <c r="D41" s="34" t="s">
        <v>128</v>
      </c>
      <c r="E41" s="35" t="s">
        <v>285</v>
      </c>
      <c r="F41" s="35" t="s">
        <v>328</v>
      </c>
      <c r="G41" s="167" t="str">
        <f t="shared" si="48"/>
        <v>[effect:enemy_message, val1:2, val2:2.4, dead_type:suicide]</v>
      </c>
      <c r="H41" s="167">
        <f t="shared" si="49"/>
        <v>9</v>
      </c>
      <c r="I41" s="167">
        <f t="shared" si="50"/>
        <v>22</v>
      </c>
      <c r="J41" s="167" t="e">
        <f t="shared" si="51"/>
        <v>#VALUE!</v>
      </c>
      <c r="K41" s="167">
        <f t="shared" si="52"/>
        <v>30</v>
      </c>
      <c r="L41" s="167" t="str">
        <f>IFERROR(VLOOKUP(MID(G41,J41,K41-J41),[6]skilldef!$C:$D,2,FALSE),"-") &amp; " / " &amp; IFERROR(VLOOKUP(MID(G41,H41,I41-H41),[6]skilldef!$A:$B,2,FALSE),"-")</f>
        <v>- / -</v>
      </c>
      <c r="M41" s="167" t="str">
        <f t="shared" si="53"/>
        <v>[effect:rush, count:2, val:0.8],[effect:degrade_unit, target:unit_all, turn:3, status:heal, val:1, calc:mul, animation:degrade_unit_all_heal]</v>
      </c>
      <c r="N41" s="157" t="str">
        <f t="shared" si="63"/>
        <v>[effect:rush, count:2, val:0.8],[effect:degrade_unit, target:unit_all, turn:3, status:heal, val:1, calc:mul, animation:degrade_unit_all_heal]</v>
      </c>
      <c r="O41" s="167">
        <f t="shared" si="54"/>
        <v>9</v>
      </c>
      <c r="P41" s="167">
        <f t="shared" si="55"/>
        <v>13</v>
      </c>
      <c r="Q41" s="167">
        <f t="shared" si="56"/>
        <v>62</v>
      </c>
      <c r="R41" s="167">
        <f t="shared" si="57"/>
        <v>22</v>
      </c>
      <c r="S41" s="167" t="str">
        <f>IFERROR(VLOOKUP(MID(N41,Q41,R41-Q41),[6]skilldef!$C:$D,2,FALSE),"-") &amp; " / " &amp; IFERROR(VLOOKUP(MID(N41,O41,P41-O41),[6]skilldef!$A:$B,2,FALSE),"-")</f>
        <v>- / 連続攻撃</v>
      </c>
      <c r="T41" s="157" t="str">
        <f t="shared" si="58"/>
        <v>[effect:degrade_unit, target:unit_all, turn:3, status:heal, val:1, calc:mul, animation:degrade_unit_all_heal]</v>
      </c>
      <c r="U41" s="167">
        <f t="shared" si="59"/>
        <v>9</v>
      </c>
      <c r="V41" s="167">
        <f t="shared" si="60"/>
        <v>21</v>
      </c>
      <c r="W41" s="167">
        <f t="shared" si="61"/>
        <v>30</v>
      </c>
      <c r="X41" s="167">
        <f t="shared" si="62"/>
        <v>38</v>
      </c>
      <c r="Y41" s="167" t="str">
        <f>IFERROR(VLOOKUP(MID(T41,W41,X41-W41),[6]skilldef!$C:$D,2,FALSE),"-") &amp; " / " &amp; IFERROR(VLOOKUP(MID(T41,U41,V41-U41),[6]skilldef!$A:$B,2,FALSE),"-")</f>
        <v>味方全体に / ステータスDOWN</v>
      </c>
      <c r="Z41" s="34"/>
      <c r="AA41" s="36"/>
      <c r="AB41" s="34"/>
    </row>
    <row r="42" spans="1:28" x14ac:dyDescent="0.15">
      <c r="A42" s="32">
        <v>40037334</v>
      </c>
      <c r="B42" s="32" t="s">
        <v>334</v>
      </c>
      <c r="C42" s="34">
        <v>3</v>
      </c>
      <c r="D42" s="34" t="s">
        <v>128</v>
      </c>
      <c r="E42" s="35" t="s">
        <v>395</v>
      </c>
      <c r="F42" s="35" t="s">
        <v>332</v>
      </c>
      <c r="G42" s="167" t="str">
        <f t="shared" si="48"/>
        <v>[effect:spread, val:0.3]</v>
      </c>
      <c r="H42" s="167">
        <f t="shared" si="49"/>
        <v>9</v>
      </c>
      <c r="I42" s="167">
        <f t="shared" si="50"/>
        <v>15</v>
      </c>
      <c r="J42" s="167" t="e">
        <f t="shared" si="51"/>
        <v>#VALUE!</v>
      </c>
      <c r="K42" s="167" t="e">
        <f t="shared" si="52"/>
        <v>#VALUE!</v>
      </c>
      <c r="L42" s="167" t="str">
        <f>IFERROR(VLOOKUP(MID(G42,J42,K42-J42),[6]skilldef!$C:$D,2,FALSE),"-") &amp; " / " &amp; IFERROR(VLOOKUP(MID(G42,H42,I42-H42),[6]skilldef!$A:$B,2,FALSE),"-")</f>
        <v>- / 全体攻撃</v>
      </c>
      <c r="M42" s="167" t="str">
        <f t="shared" si="53"/>
        <v xml:space="preserve">[effect:rush, count:2, val:0.3]    </v>
      </c>
      <c r="N42" s="157" t="str">
        <f t="shared" si="63"/>
        <v xml:space="preserve">[effect:rush, count:2, val:0.3]    </v>
      </c>
      <c r="O42" s="167">
        <f t="shared" si="54"/>
        <v>9</v>
      </c>
      <c r="P42" s="167">
        <f t="shared" si="55"/>
        <v>13</v>
      </c>
      <c r="Q42" s="167" t="e">
        <f t="shared" si="56"/>
        <v>#VALUE!</v>
      </c>
      <c r="R42" s="167">
        <f t="shared" si="57"/>
        <v>22</v>
      </c>
      <c r="S42" s="167" t="str">
        <f>IFERROR(VLOOKUP(MID(N42,Q42,R42-Q42),[6]skilldef!$C:$D,2,FALSE),"-") &amp; " / " &amp; IFERROR(VLOOKUP(MID(N42,O42,P42-O42),[6]skilldef!$A:$B,2,FALSE),"-")</f>
        <v>- / 連続攻撃</v>
      </c>
      <c r="T42" s="157" t="str">
        <f t="shared" si="58"/>
        <v>none</v>
      </c>
      <c r="U42" s="167" t="e">
        <f t="shared" si="59"/>
        <v>#VALUE!</v>
      </c>
      <c r="V42" s="167">
        <f t="shared" si="60"/>
        <v>4</v>
      </c>
      <c r="W42" s="167" t="e">
        <f t="shared" si="61"/>
        <v>#VALUE!</v>
      </c>
      <c r="X42" s="167" t="e">
        <f t="shared" si="62"/>
        <v>#VALUE!</v>
      </c>
      <c r="Y42" s="167" t="str">
        <f>IFERROR(VLOOKUP(MID(T42,W42,X42-W42),[6]skilldef!$C:$D,2,FALSE),"-") &amp; " / " &amp; IFERROR(VLOOKUP(MID(T42,U42,V42-U42),[6]skilldef!$A:$B,2,FALSE),"-")</f>
        <v>- / -</v>
      </c>
      <c r="Z42" s="34"/>
      <c r="AA42" s="36"/>
      <c r="AB42" s="34"/>
    </row>
    <row r="43" spans="1:28" ht="28" x14ac:dyDescent="0.15">
      <c r="A43" s="32">
        <v>40037335</v>
      </c>
      <c r="B43" s="32" t="s">
        <v>451</v>
      </c>
      <c r="C43" s="34">
        <v>3</v>
      </c>
      <c r="D43" s="34" t="s">
        <v>128</v>
      </c>
      <c r="E43" s="35" t="s">
        <v>380</v>
      </c>
      <c r="F43" s="35" t="s">
        <v>462</v>
      </c>
      <c r="G43" s="167" t="str">
        <f t="shared" si="48"/>
        <v xml:space="preserve">[effect:break_attack_fix, target:unit_all, val:250, lowest_val:1000, count:-1, color:green, block_color:block_green, block01:block_green]  </v>
      </c>
      <c r="H43" s="167">
        <f t="shared" si="49"/>
        <v>9</v>
      </c>
      <c r="I43" s="167">
        <f t="shared" si="50"/>
        <v>25</v>
      </c>
      <c r="J43" s="167">
        <f t="shared" si="51"/>
        <v>34</v>
      </c>
      <c r="K43" s="167">
        <f t="shared" si="52"/>
        <v>42</v>
      </c>
      <c r="L43" s="167" t="str">
        <f>IFERROR(VLOOKUP(MID(G43,J43,K43-J43),[6]skilldef!$C:$D,2,FALSE),"-") &amp; " / " &amp; IFERROR(VLOOKUP(MID(G43,H43,I43-H43),[6]skilldef!$A:$B,2,FALSE),"-")</f>
        <v>味方全体に / -</v>
      </c>
      <c r="M43" s="167" t="str">
        <f t="shared" si="53"/>
        <v>none</v>
      </c>
      <c r="N43" s="157" t="str">
        <f t="shared" si="63"/>
        <v>none</v>
      </c>
      <c r="O43" s="167" t="e">
        <f t="shared" si="54"/>
        <v>#VALUE!</v>
      </c>
      <c r="P43" s="167">
        <f t="shared" si="55"/>
        <v>4</v>
      </c>
      <c r="Q43" s="167" t="e">
        <f t="shared" si="56"/>
        <v>#VALUE!</v>
      </c>
      <c r="R43" s="167" t="e">
        <f t="shared" si="57"/>
        <v>#VALUE!</v>
      </c>
      <c r="S43" s="167" t="str">
        <f>IFERROR(VLOOKUP(MID(N43,Q43,R43-Q43),[6]skilldef!$C:$D,2,FALSE),"-") &amp; " / " &amp; IFERROR(VLOOKUP(MID(N43,O43,P43-O43),[6]skilldef!$A:$B,2,FALSE),"-")</f>
        <v>- / -</v>
      </c>
      <c r="T43" s="157" t="str">
        <f t="shared" si="58"/>
        <v>none</v>
      </c>
      <c r="U43" s="167" t="e">
        <f t="shared" si="59"/>
        <v>#VALUE!</v>
      </c>
      <c r="V43" s="167">
        <f t="shared" si="60"/>
        <v>4</v>
      </c>
      <c r="W43" s="167" t="e">
        <f t="shared" si="61"/>
        <v>#VALUE!</v>
      </c>
      <c r="X43" s="167" t="e">
        <f t="shared" si="62"/>
        <v>#VALUE!</v>
      </c>
      <c r="Y43" s="167" t="str">
        <f>IFERROR(VLOOKUP(MID(T43,W43,X43-W43),[6]skilldef!$C:$D,2,FALSE),"-") &amp; " / " &amp; IFERROR(VLOOKUP(MID(T43,U43,V43-U43),[6]skilldef!$A:$B,2,FALSE),"-")</f>
        <v>- / -</v>
      </c>
      <c r="Z43" s="34"/>
      <c r="AA43" s="36"/>
      <c r="AB43" s="34"/>
    </row>
    <row r="44" spans="1:28" ht="140" x14ac:dyDescent="0.15">
      <c r="A44" s="32">
        <v>40037336</v>
      </c>
      <c r="B44" s="32" t="s">
        <v>414</v>
      </c>
      <c r="C44" s="34">
        <v>3</v>
      </c>
      <c r="D44" s="34" t="s">
        <v>128</v>
      </c>
      <c r="E44" s="35" t="s">
        <v>283</v>
      </c>
      <c r="F44" s="35" t="s">
        <v>392</v>
      </c>
      <c r="G44" s="167" t="str">
        <f t="shared" si="48"/>
        <v>[effect:enemy_message, val1:2, val2:2.4, dead_type:suicide]</v>
      </c>
      <c r="H44" s="167">
        <f t="shared" si="49"/>
        <v>9</v>
      </c>
      <c r="I44" s="167">
        <f t="shared" si="50"/>
        <v>22</v>
      </c>
      <c r="J44" s="167" t="e">
        <f t="shared" si="51"/>
        <v>#VALUE!</v>
      </c>
      <c r="K44" s="167">
        <f t="shared" si="52"/>
        <v>30</v>
      </c>
      <c r="L44" s="167" t="str">
        <f>IFERROR(VLOOKUP(MID(G44,J44,K44-J44),[6]skilldef!$C:$D,2,FALSE),"-") &amp; " / " &amp; IFERROR(VLOOKUP(MID(G44,H44,I44-H44),[6]skilldef!$A:$B,2,FALSE),"-")</f>
        <v>- / -</v>
      </c>
      <c r="M44" s="167" t="str">
        <f t="shared" si="53"/>
        <v>[effect:panel_freeze, target:crash, count:-1],[effect:remove_enhancement, target:unit_all, target_effect:counter_new, animation:frozen_wave],[effect:remove_enhancement, target:unit_all, target_effect:counter, animation:frozen_wave]</v>
      </c>
      <c r="N44" s="157" t="str">
        <f t="shared" si="63"/>
        <v>[effect:panel_freeze, target:crash, count:-1],[effect:remove_enhancement, target:unit_all, target_effect:counter_new, animation:frozen_wave],[effect:remove_enhancement, target:unit_all, target_effect:counter, animation:frozen_wave]</v>
      </c>
      <c r="O44" s="167">
        <f t="shared" si="54"/>
        <v>9</v>
      </c>
      <c r="P44" s="167">
        <f t="shared" si="55"/>
        <v>21</v>
      </c>
      <c r="Q44" s="167">
        <f t="shared" si="56"/>
        <v>30</v>
      </c>
      <c r="R44" s="167">
        <f t="shared" si="57"/>
        <v>35</v>
      </c>
      <c r="S44" s="167" t="str">
        <f>IFERROR(VLOOKUP(MID(N44,Q44,R44-Q44),[6]skilldef!$C:$D,2,FALSE),"-") &amp; " / " &amp; IFERROR(VLOOKUP(MID(N44,O44,P44-O44),[6]skilldef!$A:$B,2,FALSE),"-")</f>
        <v>- / -</v>
      </c>
      <c r="T44" s="157" t="str">
        <f t="shared" si="58"/>
        <v>[effect:remove_enhancement, target:unit_all, target_effect:counter_new, animation:frozen_wave],[effect:remove_enhancement, target:unit_all, target_effect:counter, animation:frozen_wave]</v>
      </c>
      <c r="U44" s="167">
        <f t="shared" si="59"/>
        <v>9</v>
      </c>
      <c r="V44" s="167">
        <f t="shared" si="60"/>
        <v>27</v>
      </c>
      <c r="W44" s="167">
        <f t="shared" si="61"/>
        <v>36</v>
      </c>
      <c r="X44" s="167">
        <f t="shared" si="62"/>
        <v>44</v>
      </c>
      <c r="Y44" s="167" t="str">
        <f>IFERROR(VLOOKUP(MID(T44,W44,X44-W44),[6]skilldef!$C:$D,2,FALSE),"-") &amp; " / " &amp; IFERROR(VLOOKUP(MID(T44,U44,V44-U44),[6]skilldef!$A:$B,2,FALSE),"-")</f>
        <v>味方全体に / -</v>
      </c>
      <c r="Z44" s="34"/>
      <c r="AA44" s="36"/>
      <c r="AB44" s="34"/>
    </row>
    <row r="45" spans="1:28" ht="84" x14ac:dyDescent="0.15">
      <c r="A45" s="32">
        <v>40037337</v>
      </c>
      <c r="B45" s="32" t="s">
        <v>428</v>
      </c>
      <c r="C45" s="34">
        <v>3</v>
      </c>
      <c r="D45" s="34" t="s">
        <v>128</v>
      </c>
      <c r="E45" s="35" t="s">
        <v>439</v>
      </c>
      <c r="F45" s="35" t="s">
        <v>273</v>
      </c>
      <c r="G45" s="167" t="str">
        <f t="shared" si="48"/>
        <v>[effect:enemy_message, val1:2, val2:2.4, dead_type:suicide]</v>
      </c>
      <c r="H45" s="167">
        <f t="shared" si="49"/>
        <v>9</v>
      </c>
      <c r="I45" s="167">
        <f t="shared" si="50"/>
        <v>22</v>
      </c>
      <c r="J45" s="167" t="e">
        <f t="shared" si="51"/>
        <v>#VALUE!</v>
      </c>
      <c r="K45" s="167">
        <f t="shared" si="52"/>
        <v>30</v>
      </c>
      <c r="L45" s="167" t="str">
        <f>IFERROR(VLOOKUP(MID(G45,J45,K45-J45),[6]skilldef!$C:$D,2,FALSE),"-") &amp; " / " &amp; IFERROR(VLOOKUP(MID(G45,H45,I45-H45),[6]skilldef!$A:$B,2,FALSE),"-")</f>
        <v>- / -</v>
      </c>
      <c r="M45" s="167" t="str">
        <f t="shared" si="53"/>
        <v xml:space="preserve">[effect:spread, val:0.2],[effect:spread, val:0.2],[effect:spread, val:0.2],[effect:spread, val:0.2],[effect:rush, count:16, val:0.2]    </v>
      </c>
      <c r="N45" s="157" t="str">
        <f t="shared" si="63"/>
        <v xml:space="preserve">[effect:spread, val:0.2],[effect:spread, val:0.2],[effect:spread, val:0.2],[effect:spread, val:0.2],[effect:rush, count:16, val:0.2]    </v>
      </c>
      <c r="O45" s="167">
        <f t="shared" si="54"/>
        <v>9</v>
      </c>
      <c r="P45" s="167">
        <f t="shared" si="55"/>
        <v>15</v>
      </c>
      <c r="Q45" s="167" t="e">
        <f t="shared" si="56"/>
        <v>#VALUE!</v>
      </c>
      <c r="R45" s="167">
        <f t="shared" si="57"/>
        <v>25</v>
      </c>
      <c r="S45" s="167" t="str">
        <f>IFERROR(VLOOKUP(MID(N45,Q45,R45-Q45),[6]skilldef!$C:$D,2,FALSE),"-") &amp; " / " &amp; IFERROR(VLOOKUP(MID(N45,O45,P45-O45),[6]skilldef!$A:$B,2,FALSE),"-")</f>
        <v>- / 全体攻撃</v>
      </c>
      <c r="T45" s="157" t="str">
        <f t="shared" si="58"/>
        <v xml:space="preserve">[effect:spread, val:0.2],[effect:spread, val:0.2],[effect:spread, val:0.2],[effect:rush, count:16, val:0.2]    </v>
      </c>
      <c r="U45" s="167">
        <f t="shared" si="59"/>
        <v>9</v>
      </c>
      <c r="V45" s="167">
        <f t="shared" si="60"/>
        <v>15</v>
      </c>
      <c r="W45" s="167" t="e">
        <f t="shared" si="61"/>
        <v>#VALUE!</v>
      </c>
      <c r="X45" s="167">
        <f t="shared" si="62"/>
        <v>25</v>
      </c>
      <c r="Y45" s="167" t="str">
        <f>IFERROR(VLOOKUP(MID(T45,W45,X45-W45),[6]skilldef!$C:$D,2,FALSE),"-") &amp; " / " &amp; IFERROR(VLOOKUP(MID(T45,U45,V45-U45),[6]skilldef!$A:$B,2,FALSE),"-")</f>
        <v>- / 全体攻撃</v>
      </c>
      <c r="Z45" s="34"/>
      <c r="AA45" s="36"/>
      <c r="AB45" s="34"/>
    </row>
    <row r="46" spans="1:28" ht="28" x14ac:dyDescent="0.15">
      <c r="A46" s="32">
        <v>40037338</v>
      </c>
      <c r="B46" s="32" t="s">
        <v>257</v>
      </c>
      <c r="C46" s="34">
        <v>3</v>
      </c>
      <c r="D46" s="34" t="s">
        <v>128</v>
      </c>
      <c r="E46" s="35" t="s">
        <v>289</v>
      </c>
      <c r="F46" s="35" t="s">
        <v>381</v>
      </c>
      <c r="G46" s="167" t="str">
        <f t="shared" si="48"/>
        <v xml:space="preserve">[effect:enemy_message, val1:2, val2:2.4, dead_type:suicide]    </v>
      </c>
      <c r="H46" s="167">
        <f t="shared" si="49"/>
        <v>9</v>
      </c>
      <c r="I46" s="167">
        <f t="shared" si="50"/>
        <v>22</v>
      </c>
      <c r="J46" s="167" t="e">
        <f t="shared" si="51"/>
        <v>#VALUE!</v>
      </c>
      <c r="K46" s="167">
        <f t="shared" si="52"/>
        <v>30</v>
      </c>
      <c r="L46" s="167" t="str">
        <f>IFERROR(VLOOKUP(MID(G46,J46,K46-J46),[6]skilldef!$C:$D,2,FALSE),"-") &amp; " / " &amp; IFERROR(VLOOKUP(MID(G46,H46,I46-H46),[6]skilldef!$A:$B,2,FALSE),"-")</f>
        <v>- / -</v>
      </c>
      <c r="M46" s="167" t="str">
        <f t="shared" si="53"/>
        <v>none</v>
      </c>
      <c r="N46" s="157" t="str">
        <f>IFERROR(LEFT(M46,FIND("],",M46)+S60),M46)</f>
        <v>none</v>
      </c>
      <c r="O46" s="167" t="e">
        <f t="shared" si="54"/>
        <v>#VALUE!</v>
      </c>
      <c r="P46" s="167">
        <f t="shared" si="55"/>
        <v>4</v>
      </c>
      <c r="Q46" s="167" t="e">
        <f t="shared" si="56"/>
        <v>#VALUE!</v>
      </c>
      <c r="R46" s="167" t="e">
        <f t="shared" si="57"/>
        <v>#VALUE!</v>
      </c>
      <c r="S46" s="167" t="str">
        <f>IFERROR(VLOOKUP(MID(N46,Q46,R46-Q46),[6]skilldef!$C:$D,2,FALSE),"-") &amp; " / " &amp; IFERROR(VLOOKUP(MID(N46,O46,P46-O46),[6]skilldef!$A:$B,2,FALSE),"-")</f>
        <v>- / -</v>
      </c>
      <c r="T46" s="157" t="str">
        <f t="shared" si="58"/>
        <v>none</v>
      </c>
      <c r="U46" s="167" t="e">
        <f t="shared" si="59"/>
        <v>#VALUE!</v>
      </c>
      <c r="V46" s="167">
        <f t="shared" si="60"/>
        <v>4</v>
      </c>
      <c r="W46" s="167" t="e">
        <f t="shared" si="61"/>
        <v>#VALUE!</v>
      </c>
      <c r="X46" s="167" t="e">
        <f t="shared" si="62"/>
        <v>#VALUE!</v>
      </c>
      <c r="Y46" s="167" t="str">
        <f>IFERROR(VLOOKUP(MID(T46,W46,X46-W46),[6]skilldef!$C:$D,2,FALSE),"-") &amp; " / " &amp; IFERROR(VLOOKUP(MID(T46,U46,V46-U46),[6]skilldef!$A:$B,2,FALSE),"-")</f>
        <v>- / -</v>
      </c>
      <c r="Z46" s="34"/>
      <c r="AA46" s="36"/>
      <c r="AB46" s="34"/>
    </row>
    <row r="47" spans="1:28" ht="28" x14ac:dyDescent="0.15">
      <c r="A47" s="32">
        <v>40037339</v>
      </c>
      <c r="B47" s="32" t="s">
        <v>258</v>
      </c>
      <c r="C47" s="34">
        <v>3</v>
      </c>
      <c r="D47" s="34" t="s">
        <v>128</v>
      </c>
      <c r="E47" s="35" t="s">
        <v>290</v>
      </c>
      <c r="F47" s="35" t="s">
        <v>294</v>
      </c>
      <c r="G47" s="167" t="str">
        <f t="shared" si="48"/>
        <v xml:space="preserve">[effect:enemy_message, val1:2, val2:2.4, dead_type:suicide]    </v>
      </c>
      <c r="H47" s="167">
        <f t="shared" si="49"/>
        <v>9</v>
      </c>
      <c r="I47" s="167">
        <f t="shared" si="50"/>
        <v>22</v>
      </c>
      <c r="J47" s="167" t="e">
        <f t="shared" si="51"/>
        <v>#VALUE!</v>
      </c>
      <c r="K47" s="167">
        <f t="shared" si="52"/>
        <v>30</v>
      </c>
      <c r="L47" s="167" t="str">
        <f>IFERROR(VLOOKUP(MID(G47,J47,K47-J47),[6]skilldef!$C:$D,2,FALSE),"-") &amp; " / " &amp; IFERROR(VLOOKUP(MID(G47,H47,I47-H47),[6]skilldef!$A:$B,2,FALSE),"-")</f>
        <v>- / -</v>
      </c>
      <c r="M47" s="167" t="str">
        <f t="shared" si="53"/>
        <v>none</v>
      </c>
      <c r="N47" s="157" t="str">
        <f>IFERROR(LEFT(M47,FIND("],",M47)+S61),M47)</f>
        <v>none</v>
      </c>
      <c r="O47" s="167" t="e">
        <f t="shared" si="54"/>
        <v>#VALUE!</v>
      </c>
      <c r="P47" s="167">
        <f t="shared" si="55"/>
        <v>4</v>
      </c>
      <c r="Q47" s="167" t="e">
        <f t="shared" si="56"/>
        <v>#VALUE!</v>
      </c>
      <c r="R47" s="167" t="e">
        <f t="shared" si="57"/>
        <v>#VALUE!</v>
      </c>
      <c r="S47" s="167" t="str">
        <f>IFERROR(VLOOKUP(MID(N47,Q47,R47-Q47),[6]skilldef!$C:$D,2,FALSE),"-") &amp; " / " &amp; IFERROR(VLOOKUP(MID(N47,O47,P47-O47),[6]skilldef!$A:$B,2,FALSE),"-")</f>
        <v>- / -</v>
      </c>
      <c r="T47" s="157" t="str">
        <f t="shared" si="58"/>
        <v>none</v>
      </c>
      <c r="U47" s="167" t="e">
        <f t="shared" si="59"/>
        <v>#VALUE!</v>
      </c>
      <c r="V47" s="167">
        <f t="shared" si="60"/>
        <v>4</v>
      </c>
      <c r="W47" s="167" t="e">
        <f t="shared" si="61"/>
        <v>#VALUE!</v>
      </c>
      <c r="X47" s="167" t="e">
        <f t="shared" si="62"/>
        <v>#VALUE!</v>
      </c>
      <c r="Y47" s="167" t="str">
        <f>IFERROR(VLOOKUP(MID(T47,W47,X47-W47),[6]skilldef!$C:$D,2,FALSE),"-") &amp; " / " &amp; IFERROR(VLOOKUP(MID(T47,U47,V47-U47),[6]skilldef!$A:$B,2,FALSE),"-")</f>
        <v>- / -</v>
      </c>
      <c r="Z47" s="34"/>
      <c r="AA47" s="36"/>
      <c r="AB47" s="34"/>
    </row>
    <row r="48" spans="1:28" ht="28" x14ac:dyDescent="0.15">
      <c r="A48" s="32">
        <v>40037340</v>
      </c>
      <c r="B48" s="32" t="s">
        <v>258</v>
      </c>
      <c r="C48" s="34">
        <v>3</v>
      </c>
      <c r="D48" s="34" t="s">
        <v>128</v>
      </c>
      <c r="E48" s="35" t="s">
        <v>293</v>
      </c>
      <c r="F48" s="35" t="s">
        <v>292</v>
      </c>
      <c r="G48" s="167" t="str">
        <f t="shared" si="48"/>
        <v xml:space="preserve">[effect:enemy_message, val1:2, val2:2.4, dead_type:suicide]    </v>
      </c>
      <c r="H48" s="167">
        <f t="shared" si="49"/>
        <v>9</v>
      </c>
      <c r="I48" s="167">
        <f t="shared" si="50"/>
        <v>22</v>
      </c>
      <c r="J48" s="167" t="e">
        <f t="shared" si="51"/>
        <v>#VALUE!</v>
      </c>
      <c r="K48" s="167">
        <f t="shared" si="52"/>
        <v>30</v>
      </c>
      <c r="L48" s="167" t="str">
        <f>IFERROR(VLOOKUP(MID(G48,J48,K48-J48),[6]skilldef!$C:$D,2,FALSE),"-") &amp; " / " &amp; IFERROR(VLOOKUP(MID(G48,H48,I48-H48),[6]skilldef!$A:$B,2,FALSE),"-")</f>
        <v>- / -</v>
      </c>
      <c r="M48" s="167" t="str">
        <f t="shared" si="53"/>
        <v>none</v>
      </c>
      <c r="N48" s="157" t="str">
        <f>IFERROR(LEFT(M48,FIND("],",M48)+S62),M48)</f>
        <v>none</v>
      </c>
      <c r="O48" s="167" t="e">
        <f t="shared" si="54"/>
        <v>#VALUE!</v>
      </c>
      <c r="P48" s="167">
        <f t="shared" si="55"/>
        <v>4</v>
      </c>
      <c r="Q48" s="167" t="e">
        <f t="shared" si="56"/>
        <v>#VALUE!</v>
      </c>
      <c r="R48" s="167" t="e">
        <f t="shared" si="57"/>
        <v>#VALUE!</v>
      </c>
      <c r="S48" s="167" t="str">
        <f>IFERROR(VLOOKUP(MID(N48,Q48,R48-Q48),[6]skilldef!$C:$D,2,FALSE),"-") &amp; " / " &amp; IFERROR(VLOOKUP(MID(N48,O48,P48-O48),[6]skilldef!$A:$B,2,FALSE),"-")</f>
        <v>- / -</v>
      </c>
      <c r="T48" s="157" t="str">
        <f t="shared" si="58"/>
        <v>none</v>
      </c>
      <c r="U48" s="167" t="e">
        <f t="shared" si="59"/>
        <v>#VALUE!</v>
      </c>
      <c r="V48" s="167">
        <f t="shared" si="60"/>
        <v>4</v>
      </c>
      <c r="W48" s="167" t="e">
        <f t="shared" si="61"/>
        <v>#VALUE!</v>
      </c>
      <c r="X48" s="167" t="e">
        <f t="shared" si="62"/>
        <v>#VALUE!</v>
      </c>
      <c r="Y48" s="167" t="str">
        <f>IFERROR(VLOOKUP(MID(T48,W48,X48-W48),[6]skilldef!$C:$D,2,FALSE),"-") &amp; " / " &amp; IFERROR(VLOOKUP(MID(T48,U48,V48-U48),[6]skilldef!$A:$B,2,FALSE),"-")</f>
        <v>- / -</v>
      </c>
      <c r="Z48" s="34"/>
      <c r="AA48" s="36"/>
      <c r="AB48" s="34"/>
    </row>
    <row r="49" spans="1:28" ht="28" x14ac:dyDescent="0.15">
      <c r="A49" s="32">
        <v>40037341</v>
      </c>
      <c r="B49" s="32" t="s">
        <v>259</v>
      </c>
      <c r="C49" s="34">
        <v>3</v>
      </c>
      <c r="D49" s="34" t="s">
        <v>128</v>
      </c>
      <c r="E49" s="35" t="s">
        <v>291</v>
      </c>
      <c r="F49" s="35" t="s">
        <v>441</v>
      </c>
      <c r="G49" s="167" t="str">
        <f t="shared" si="48"/>
        <v xml:space="preserve">[effect:enemy_message, val1:2, val2:2.4, dead_type:suicide]    </v>
      </c>
      <c r="H49" s="167">
        <f t="shared" si="49"/>
        <v>9</v>
      </c>
      <c r="I49" s="167">
        <f t="shared" si="50"/>
        <v>22</v>
      </c>
      <c r="J49" s="167" t="e">
        <f t="shared" si="51"/>
        <v>#VALUE!</v>
      </c>
      <c r="K49" s="167">
        <f t="shared" si="52"/>
        <v>30</v>
      </c>
      <c r="L49" s="167" t="str">
        <f>IFERROR(VLOOKUP(MID(G49,J49,K49-J49),[6]skilldef!$C:$D,2,FALSE),"-") &amp; " / " &amp; IFERROR(VLOOKUP(MID(G49,H49,I49-H49),[6]skilldef!$A:$B,2,FALSE),"-")</f>
        <v>- / -</v>
      </c>
      <c r="M49" s="167" t="str">
        <f t="shared" si="53"/>
        <v>none</v>
      </c>
      <c r="N49" s="157" t="str">
        <f>IFERROR(LEFT(M49,FIND("],",M49)+S63),M49)</f>
        <v>none</v>
      </c>
      <c r="O49" s="167" t="e">
        <f t="shared" si="54"/>
        <v>#VALUE!</v>
      </c>
      <c r="P49" s="167">
        <f t="shared" si="55"/>
        <v>4</v>
      </c>
      <c r="Q49" s="167" t="e">
        <f t="shared" si="56"/>
        <v>#VALUE!</v>
      </c>
      <c r="R49" s="167" t="e">
        <f t="shared" si="57"/>
        <v>#VALUE!</v>
      </c>
      <c r="S49" s="167" t="str">
        <f>IFERROR(VLOOKUP(MID(N49,Q49,R49-Q49),[6]skilldef!$C:$D,2,FALSE),"-") &amp; " / " &amp; IFERROR(VLOOKUP(MID(N49,O49,P49-O49),[6]skilldef!$A:$B,2,FALSE),"-")</f>
        <v>- / -</v>
      </c>
      <c r="T49" s="157" t="str">
        <f t="shared" si="58"/>
        <v>none</v>
      </c>
      <c r="U49" s="167" t="e">
        <f t="shared" si="59"/>
        <v>#VALUE!</v>
      </c>
      <c r="V49" s="167">
        <f t="shared" si="60"/>
        <v>4</v>
      </c>
      <c r="W49" s="167" t="e">
        <f t="shared" si="61"/>
        <v>#VALUE!</v>
      </c>
      <c r="X49" s="167" t="e">
        <f t="shared" si="62"/>
        <v>#VALUE!</v>
      </c>
      <c r="Y49" s="167" t="str">
        <f>IFERROR(VLOOKUP(MID(T49,W49,X49-W49),[6]skilldef!$C:$D,2,FALSE),"-") &amp; " / " &amp; IFERROR(VLOOKUP(MID(T49,U49,V49-U49),[6]skilldef!$A:$B,2,FALSE),"-")</f>
        <v>- / -</v>
      </c>
      <c r="Z49" s="34"/>
      <c r="AA49" s="36"/>
      <c r="AB49" s="34"/>
    </row>
    <row r="50" spans="1:28" s="147" customFormat="1" ht="32" customHeight="1" x14ac:dyDescent="0.15">
      <c r="A50" s="147">
        <v>40037400</v>
      </c>
      <c r="B50" s="147" t="s">
        <v>426</v>
      </c>
      <c r="C50" s="34">
        <v>3</v>
      </c>
      <c r="D50" s="34" t="s">
        <v>128</v>
      </c>
      <c r="E50" s="35" t="s">
        <v>370</v>
      </c>
      <c r="F50" s="149" t="s">
        <v>322</v>
      </c>
      <c r="G50" s="167" t="str">
        <f t="shared" si="48"/>
        <v>[effect:enemy_message, val1:2, val2:2.4, dead_type:suicide]</v>
      </c>
      <c r="H50" s="167">
        <f t="shared" si="49"/>
        <v>9</v>
      </c>
      <c r="I50" s="167">
        <f t="shared" si="50"/>
        <v>22</v>
      </c>
      <c r="J50" s="167" t="e">
        <f t="shared" si="51"/>
        <v>#VALUE!</v>
      </c>
      <c r="K50" s="167">
        <f t="shared" si="52"/>
        <v>30</v>
      </c>
      <c r="L50" s="167" t="str">
        <f>IFERROR(VLOOKUP(MID(G50,J50,K50-J50),[6]skilldef!$C:$D,2,FALSE),"-") &amp; " / " &amp; IFERROR(VLOOKUP(MID(G50,H50,I50-H50),[6]skilldef!$A:$B,2,FALSE),"-")</f>
        <v>- / -</v>
      </c>
      <c r="M50" s="167" t="str">
        <f t="shared" si="53"/>
        <v>[effect:hungup, target:unit_all, turn:2, rate:0.3, calc_type:target_one, animation:hungup01],[effect:fix_speed, target:myself, turn:2]</v>
      </c>
      <c r="N50" s="157" t="str">
        <f t="shared" ref="N50:N64" si="64">IFERROR(LEFT(M50,FIND("],",M50)+S65),M50)</f>
        <v>[effect:hungup, target:unit_all, turn:2, rate:0.3, calc_type:target_one, animation:hungup01],[effect:fix_speed, target:myself, turn:2]</v>
      </c>
      <c r="O50" s="167">
        <f t="shared" si="54"/>
        <v>9</v>
      </c>
      <c r="P50" s="167">
        <f t="shared" si="55"/>
        <v>15</v>
      </c>
      <c r="Q50" s="167">
        <f t="shared" si="56"/>
        <v>24</v>
      </c>
      <c r="R50" s="167">
        <f t="shared" si="57"/>
        <v>32</v>
      </c>
      <c r="S50" s="167" t="str">
        <f>IFERROR(VLOOKUP(MID(N50,Q50,R50-Q50),[6]skilldef!$C:$D,2,FALSE),"-") &amp; " / " &amp; IFERROR(VLOOKUP(MID(N50,O50,P50-O50),[6]skilldef!$A:$B,2,FALSE),"-")</f>
        <v>味方全体に / ハングアップ</v>
      </c>
      <c r="T50" s="157" t="str">
        <f t="shared" si="58"/>
        <v>[effect:fix_speed, target:myself, turn:2]</v>
      </c>
      <c r="U50" s="167">
        <f t="shared" si="59"/>
        <v>9</v>
      </c>
      <c r="V50" s="167">
        <f t="shared" si="60"/>
        <v>18</v>
      </c>
      <c r="W50" s="167">
        <f t="shared" si="61"/>
        <v>27</v>
      </c>
      <c r="X50" s="167">
        <f t="shared" si="62"/>
        <v>33</v>
      </c>
      <c r="Y50" s="167" t="str">
        <f>IFERROR(VLOOKUP(MID(T50,W50,X50-W50),[6]skilldef!$C:$D,2,FALSE),"-") &amp; " / " &amp; IFERROR(VLOOKUP(MID(T50,U50,V50-U50),[6]skilldef!$A:$B,2,FALSE),"-")</f>
        <v>自分自身に / 行動値設定</v>
      </c>
      <c r="Z50" s="148"/>
      <c r="AA50" s="150"/>
      <c r="AB50" s="148"/>
    </row>
    <row r="51" spans="1:28" s="147" customFormat="1" x14ac:dyDescent="0.15">
      <c r="A51" s="147">
        <v>40037401</v>
      </c>
      <c r="B51" s="147" t="s">
        <v>323</v>
      </c>
      <c r="C51" s="34">
        <v>3</v>
      </c>
      <c r="D51" s="34" t="s">
        <v>128</v>
      </c>
      <c r="E51" s="35" t="s">
        <v>369</v>
      </c>
      <c r="F51" s="149" t="s">
        <v>263</v>
      </c>
      <c r="G51" s="167" t="str">
        <f t="shared" si="48"/>
        <v xml:space="preserve">[effect:spread, val:0.2]    </v>
      </c>
      <c r="H51" s="167">
        <f t="shared" si="49"/>
        <v>9</v>
      </c>
      <c r="I51" s="167">
        <f t="shared" si="50"/>
        <v>15</v>
      </c>
      <c r="J51" s="167" t="e">
        <f t="shared" si="51"/>
        <v>#VALUE!</v>
      </c>
      <c r="K51" s="167" t="e">
        <f t="shared" si="52"/>
        <v>#VALUE!</v>
      </c>
      <c r="L51" s="167" t="str">
        <f>IFERROR(VLOOKUP(MID(G51,J51,K51-J51),[6]skilldef!$C:$D,2,FALSE),"-") &amp; " / " &amp; IFERROR(VLOOKUP(MID(G51,H51,I51-H51),[6]skilldef!$A:$B,2,FALSE),"-")</f>
        <v>- / 全体攻撃</v>
      </c>
      <c r="M51" s="167" t="str">
        <f t="shared" si="53"/>
        <v>none</v>
      </c>
      <c r="N51" s="157" t="str">
        <f t="shared" si="64"/>
        <v>none</v>
      </c>
      <c r="O51" s="167" t="e">
        <f t="shared" si="54"/>
        <v>#VALUE!</v>
      </c>
      <c r="P51" s="167">
        <f t="shared" si="55"/>
        <v>4</v>
      </c>
      <c r="Q51" s="167" t="e">
        <f t="shared" si="56"/>
        <v>#VALUE!</v>
      </c>
      <c r="R51" s="167" t="e">
        <f t="shared" si="57"/>
        <v>#VALUE!</v>
      </c>
      <c r="S51" s="167" t="str">
        <f>IFERROR(VLOOKUP(MID(N51,Q51,R51-Q51),[6]skilldef!$C:$D,2,FALSE),"-") &amp; " / " &amp; IFERROR(VLOOKUP(MID(N51,O51,P51-O51),[6]skilldef!$A:$B,2,FALSE),"-")</f>
        <v>- / -</v>
      </c>
      <c r="T51" s="157" t="str">
        <f t="shared" si="58"/>
        <v>none</v>
      </c>
      <c r="U51" s="167" t="e">
        <f t="shared" si="59"/>
        <v>#VALUE!</v>
      </c>
      <c r="V51" s="167">
        <f t="shared" si="60"/>
        <v>4</v>
      </c>
      <c r="W51" s="167" t="e">
        <f t="shared" si="61"/>
        <v>#VALUE!</v>
      </c>
      <c r="X51" s="167" t="e">
        <f t="shared" si="62"/>
        <v>#VALUE!</v>
      </c>
      <c r="Y51" s="167" t="str">
        <f>IFERROR(VLOOKUP(MID(T51,W51,X51-W51),[6]skilldef!$C:$D,2,FALSE),"-") &amp; " / " &amp; IFERROR(VLOOKUP(MID(T51,U51,V51-U51),[6]skilldef!$A:$B,2,FALSE),"-")</f>
        <v>- / -</v>
      </c>
      <c r="Z51" s="148"/>
      <c r="AA51" s="150"/>
      <c r="AB51" s="148"/>
    </row>
    <row r="52" spans="1:28" ht="28" x14ac:dyDescent="0.15">
      <c r="A52" s="32">
        <v>40037442</v>
      </c>
      <c r="B52" s="32" t="s">
        <v>336</v>
      </c>
      <c r="C52" s="34">
        <v>3</v>
      </c>
      <c r="D52" s="34" t="s">
        <v>128</v>
      </c>
      <c r="E52" s="35" t="s">
        <v>368</v>
      </c>
      <c r="F52" s="35" t="s">
        <v>396</v>
      </c>
      <c r="G52" s="167" t="str">
        <f t="shared" si="48"/>
        <v>[effect:enhance_enemy, target:myself, turn:-1, status:attack, val:1000, calc:add, animation:enemy_enhance_attack]</v>
      </c>
      <c r="H52" s="167">
        <f t="shared" si="49"/>
        <v>9</v>
      </c>
      <c r="I52" s="167">
        <f t="shared" si="50"/>
        <v>22</v>
      </c>
      <c r="J52" s="167">
        <f t="shared" si="51"/>
        <v>31</v>
      </c>
      <c r="K52" s="167">
        <f t="shared" si="52"/>
        <v>37</v>
      </c>
      <c r="L52" s="167" t="str">
        <f>IFERROR(VLOOKUP(MID(G52,J52,K52-J52),[6]skilldef!$C:$D,2,FALSE),"-") &amp; " / " &amp; IFERROR(VLOOKUP(MID(G52,H52,I52-H52),[6]skilldef!$A:$B,2,FALSE),"-")</f>
        <v>自分自身に / ステータス強化</v>
      </c>
      <c r="M52" s="167" t="str">
        <f t="shared" si="53"/>
        <v>[effect:fix_speed, target:myself, turn:1]</v>
      </c>
      <c r="N52" s="157" t="str">
        <f t="shared" si="64"/>
        <v>[effect:fix_speed, target:myself, turn:1]</v>
      </c>
      <c r="O52" s="167">
        <f t="shared" si="54"/>
        <v>9</v>
      </c>
      <c r="P52" s="167">
        <f t="shared" si="55"/>
        <v>18</v>
      </c>
      <c r="Q52" s="167">
        <f t="shared" si="56"/>
        <v>27</v>
      </c>
      <c r="R52" s="167">
        <f t="shared" si="57"/>
        <v>33</v>
      </c>
      <c r="S52" s="167" t="str">
        <f>IFERROR(VLOOKUP(MID(N52,Q52,R52-Q52),[6]skilldef!$C:$D,2,FALSE),"-") &amp; " / " &amp; IFERROR(VLOOKUP(MID(N52,O52,P52-O52),[6]skilldef!$A:$B,2,FALSE),"-")</f>
        <v>自分自身に / 行動値設定</v>
      </c>
      <c r="T52" s="157" t="str">
        <f t="shared" si="58"/>
        <v>none</v>
      </c>
      <c r="U52" s="167" t="e">
        <f t="shared" si="59"/>
        <v>#VALUE!</v>
      </c>
      <c r="V52" s="167">
        <f t="shared" si="60"/>
        <v>4</v>
      </c>
      <c r="W52" s="167" t="e">
        <f t="shared" si="61"/>
        <v>#VALUE!</v>
      </c>
      <c r="X52" s="167" t="e">
        <f t="shared" si="62"/>
        <v>#VALUE!</v>
      </c>
      <c r="Y52" s="167" t="str">
        <f>IFERROR(VLOOKUP(MID(T52,W52,X52-W52),[6]skilldef!$C:$D,2,FALSE),"-") &amp; " / " &amp; IFERROR(VLOOKUP(MID(T52,U52,V52-U52),[6]skilldef!$A:$B,2,FALSE),"-")</f>
        <v>- / -</v>
      </c>
      <c r="Z52" s="34"/>
      <c r="AA52" s="36"/>
      <c r="AB52" s="34"/>
    </row>
    <row r="53" spans="1:28" s="147" customFormat="1" ht="70" x14ac:dyDescent="0.15">
      <c r="A53" s="147">
        <v>40037402</v>
      </c>
      <c r="B53" s="147" t="s">
        <v>427</v>
      </c>
      <c r="C53" s="34">
        <v>3</v>
      </c>
      <c r="D53" s="34" t="s">
        <v>128</v>
      </c>
      <c r="E53" s="35" t="s">
        <v>371</v>
      </c>
      <c r="F53" s="149" t="s">
        <v>409</v>
      </c>
      <c r="G53" s="167" t="str">
        <f t="shared" si="48"/>
        <v>[effect:enemy_message, val1:2, val2:2.4, dead_type:suicide]</v>
      </c>
      <c r="H53" s="167">
        <f t="shared" si="49"/>
        <v>9</v>
      </c>
      <c r="I53" s="167">
        <f t="shared" si="50"/>
        <v>22</v>
      </c>
      <c r="J53" s="167" t="e">
        <f t="shared" si="51"/>
        <v>#VALUE!</v>
      </c>
      <c r="K53" s="167">
        <f t="shared" si="52"/>
        <v>30</v>
      </c>
      <c r="L53" s="167" t="str">
        <f>IFERROR(VLOOKUP(MID(G53,J53,K53-J53),[6]skilldef!$C:$D,2,FALSE),"-") &amp; " / " &amp; IFERROR(VLOOKUP(MID(G53,H53,I53-H53),[6]skilldef!$A:$B,2,FALSE),"-")</f>
        <v>- / -</v>
      </c>
      <c r="M53" s="167" t="str">
        <f t="shared" si="53"/>
        <v>[effect:drop_freeze, turn:-1, block_type:normal, block_color:block_red, rate:0.6, animation:drop_protect],[effect:fix_speed, target:myself, turn:2]</v>
      </c>
      <c r="N53" s="157" t="str">
        <f t="shared" si="64"/>
        <v>[effect:drop_freeze, turn:-1, block_type:normal, block_color:block_red, rate:0.6, animation:drop_protect],[effect:fix_speed, target:myself, turn:2]</v>
      </c>
      <c r="O53" s="167">
        <f t="shared" si="54"/>
        <v>9</v>
      </c>
      <c r="P53" s="167">
        <f t="shared" si="55"/>
        <v>20</v>
      </c>
      <c r="Q53" s="167">
        <f t="shared" si="56"/>
        <v>133</v>
      </c>
      <c r="R53" s="167">
        <f t="shared" si="57"/>
        <v>29</v>
      </c>
      <c r="S53" s="167" t="str">
        <f>IFERROR(VLOOKUP(MID(N53,Q53,R53-Q53),[6]skilldef!$C:$D,2,FALSE),"-") &amp; " / " &amp; IFERROR(VLOOKUP(MID(N53,O53,P53-O53),[6]skilldef!$A:$B,2,FALSE),"-")</f>
        <v>- / -</v>
      </c>
      <c r="T53" s="157" t="str">
        <f t="shared" si="58"/>
        <v>[effect:fix_speed, target:myself, turn:2]</v>
      </c>
      <c r="U53" s="167">
        <f t="shared" si="59"/>
        <v>9</v>
      </c>
      <c r="V53" s="167">
        <f t="shared" si="60"/>
        <v>18</v>
      </c>
      <c r="W53" s="167">
        <f t="shared" si="61"/>
        <v>27</v>
      </c>
      <c r="X53" s="167">
        <f t="shared" si="62"/>
        <v>33</v>
      </c>
      <c r="Y53" s="167" t="str">
        <f>IFERROR(VLOOKUP(MID(T53,W53,X53-W53),[6]skilldef!$C:$D,2,FALSE),"-") &amp; " / " &amp; IFERROR(VLOOKUP(MID(T53,U53,V53-U53),[6]skilldef!$A:$B,2,FALSE),"-")</f>
        <v>自分自身に / 行動値設定</v>
      </c>
      <c r="Z53" s="148"/>
      <c r="AA53" s="150"/>
      <c r="AB53" s="148"/>
    </row>
    <row r="54" spans="1:28" s="147" customFormat="1" ht="28" x14ac:dyDescent="0.15">
      <c r="A54" s="147">
        <v>40037403</v>
      </c>
      <c r="B54" s="147" t="s">
        <v>318</v>
      </c>
      <c r="C54" s="34">
        <v>3</v>
      </c>
      <c r="D54" s="34" t="s">
        <v>128</v>
      </c>
      <c r="E54" s="149" t="s">
        <v>469</v>
      </c>
      <c r="F54" s="149" t="s">
        <v>319</v>
      </c>
      <c r="G54" s="167" t="str">
        <f t="shared" si="48"/>
        <v xml:space="preserve">[effect:rush, count:4, val:0.35]    </v>
      </c>
      <c r="H54" s="167">
        <f t="shared" si="49"/>
        <v>9</v>
      </c>
      <c r="I54" s="167">
        <f t="shared" si="50"/>
        <v>13</v>
      </c>
      <c r="J54" s="167" t="e">
        <f t="shared" si="51"/>
        <v>#VALUE!</v>
      </c>
      <c r="K54" s="167">
        <f t="shared" si="52"/>
        <v>22</v>
      </c>
      <c r="L54" s="167" t="str">
        <f>IFERROR(VLOOKUP(MID(G54,J54,K54-J54),[6]skilldef!$C:$D,2,FALSE),"-") &amp; " / " &amp; IFERROR(VLOOKUP(MID(G54,H54,I54-H54),[6]skilldef!$A:$B,2,FALSE),"-")</f>
        <v>- / 連続攻撃</v>
      </c>
      <c r="M54" s="167" t="str">
        <f t="shared" si="53"/>
        <v>none</v>
      </c>
      <c r="N54" s="157" t="str">
        <f t="shared" si="64"/>
        <v>none</v>
      </c>
      <c r="O54" s="167" t="e">
        <f t="shared" si="54"/>
        <v>#VALUE!</v>
      </c>
      <c r="P54" s="167">
        <f t="shared" si="55"/>
        <v>4</v>
      </c>
      <c r="Q54" s="167" t="e">
        <f t="shared" si="56"/>
        <v>#VALUE!</v>
      </c>
      <c r="R54" s="167" t="e">
        <f t="shared" si="57"/>
        <v>#VALUE!</v>
      </c>
      <c r="S54" s="167" t="str">
        <f>IFERROR(VLOOKUP(MID(N54,Q54,R54-Q54),[6]skilldef!$C:$D,2,FALSE),"-") &amp; " / " &amp; IFERROR(VLOOKUP(MID(N54,O54,P54-O54),[6]skilldef!$A:$B,2,FALSE),"-")</f>
        <v>- / -</v>
      </c>
      <c r="T54" s="157" t="str">
        <f t="shared" si="58"/>
        <v>none</v>
      </c>
      <c r="U54" s="167" t="e">
        <f t="shared" si="59"/>
        <v>#VALUE!</v>
      </c>
      <c r="V54" s="167">
        <f t="shared" si="60"/>
        <v>4</v>
      </c>
      <c r="W54" s="167" t="e">
        <f t="shared" si="61"/>
        <v>#VALUE!</v>
      </c>
      <c r="X54" s="167" t="e">
        <f t="shared" si="62"/>
        <v>#VALUE!</v>
      </c>
      <c r="Y54" s="167" t="str">
        <f>IFERROR(VLOOKUP(MID(T54,W54,X54-W54),[6]skilldef!$C:$D,2,FALSE),"-") &amp; " / " &amp; IFERROR(VLOOKUP(MID(T54,U54,V54-U54),[6]skilldef!$A:$B,2,FALSE),"-")</f>
        <v>- / -</v>
      </c>
      <c r="Z54" s="148"/>
      <c r="AA54" s="150"/>
      <c r="AB54" s="148"/>
    </row>
    <row r="55" spans="1:28" ht="28" x14ac:dyDescent="0.15">
      <c r="A55" s="32">
        <v>40037443</v>
      </c>
      <c r="B55" s="32" t="s">
        <v>336</v>
      </c>
      <c r="C55" s="34">
        <v>3</v>
      </c>
      <c r="D55" s="34" t="s">
        <v>128</v>
      </c>
      <c r="E55" s="35" t="s">
        <v>386</v>
      </c>
      <c r="F55" s="35" t="s">
        <v>396</v>
      </c>
      <c r="G55" s="167" t="str">
        <f t="shared" si="48"/>
        <v>[effect:enhance_enemy, target:myself, turn:-1, status:attack, val:1000, calc:add, animation:enemy_enhance_attack]</v>
      </c>
      <c r="H55" s="167">
        <f t="shared" si="49"/>
        <v>9</v>
      </c>
      <c r="I55" s="167">
        <f t="shared" si="50"/>
        <v>22</v>
      </c>
      <c r="J55" s="167">
        <f t="shared" si="51"/>
        <v>31</v>
      </c>
      <c r="K55" s="167">
        <f t="shared" si="52"/>
        <v>37</v>
      </c>
      <c r="L55" s="167" t="str">
        <f>IFERROR(VLOOKUP(MID(G55,J55,K55-J55),[6]skilldef!$C:$D,2,FALSE),"-") &amp; " / " &amp; IFERROR(VLOOKUP(MID(G55,H55,I55-H55),[6]skilldef!$A:$B,2,FALSE),"-")</f>
        <v>自分自身に / ステータス強化</v>
      </c>
      <c r="M55" s="167" t="str">
        <f t="shared" si="53"/>
        <v>[effect:fix_speed, target:myself, turn:1]</v>
      </c>
      <c r="N55" s="157" t="str">
        <f t="shared" si="64"/>
        <v>[effect:fix_speed, target:myself, turn:1]</v>
      </c>
      <c r="O55" s="167">
        <f t="shared" si="54"/>
        <v>9</v>
      </c>
      <c r="P55" s="167">
        <f t="shared" si="55"/>
        <v>18</v>
      </c>
      <c r="Q55" s="167">
        <f t="shared" si="56"/>
        <v>27</v>
      </c>
      <c r="R55" s="167">
        <f t="shared" si="57"/>
        <v>33</v>
      </c>
      <c r="S55" s="167" t="str">
        <f>IFERROR(VLOOKUP(MID(N55,Q55,R55-Q55),[6]skilldef!$C:$D,2,FALSE),"-") &amp; " / " &amp; IFERROR(VLOOKUP(MID(N55,O55,P55-O55),[6]skilldef!$A:$B,2,FALSE),"-")</f>
        <v>自分自身に / 行動値設定</v>
      </c>
      <c r="T55" s="157" t="str">
        <f t="shared" si="58"/>
        <v>none</v>
      </c>
      <c r="U55" s="167" t="e">
        <f t="shared" si="59"/>
        <v>#VALUE!</v>
      </c>
      <c r="V55" s="167">
        <f t="shared" si="60"/>
        <v>4</v>
      </c>
      <c r="W55" s="167" t="e">
        <f t="shared" si="61"/>
        <v>#VALUE!</v>
      </c>
      <c r="X55" s="167" t="e">
        <f t="shared" si="62"/>
        <v>#VALUE!</v>
      </c>
      <c r="Y55" s="167" t="str">
        <f>IFERROR(VLOOKUP(MID(T55,W55,X55-W55),[6]skilldef!$C:$D,2,FALSE),"-") &amp; " / " &amp; IFERROR(VLOOKUP(MID(T55,U55,V55-U55),[6]skilldef!$A:$B,2,FALSE),"-")</f>
        <v>- / -</v>
      </c>
      <c r="Z55" s="34"/>
      <c r="AA55" s="36"/>
      <c r="AB55" s="34"/>
    </row>
    <row r="56" spans="1:28" s="147" customFormat="1" ht="70" x14ac:dyDescent="0.15">
      <c r="A56" s="147">
        <v>40037404</v>
      </c>
      <c r="B56" s="147" t="s">
        <v>425</v>
      </c>
      <c r="C56" s="34">
        <v>3</v>
      </c>
      <c r="D56" s="34" t="s">
        <v>128</v>
      </c>
      <c r="E56" s="149" t="s">
        <v>311</v>
      </c>
      <c r="F56" s="149" t="s">
        <v>410</v>
      </c>
      <c r="G56" s="167" t="str">
        <f t="shared" si="48"/>
        <v>[effect:enemy_message, val1:2, val2:2.4, dead_type:suicide]</v>
      </c>
      <c r="H56" s="167">
        <f t="shared" si="49"/>
        <v>9</v>
      </c>
      <c r="I56" s="167">
        <f t="shared" si="50"/>
        <v>22</v>
      </c>
      <c r="J56" s="167" t="e">
        <f t="shared" si="51"/>
        <v>#VALUE!</v>
      </c>
      <c r="K56" s="167">
        <f t="shared" si="52"/>
        <v>30</v>
      </c>
      <c r="L56" s="167" t="str">
        <f>IFERROR(VLOOKUP(MID(G56,J56,K56-J56),[6]skilldef!$C:$D,2,FALSE),"-") &amp; " / " &amp; IFERROR(VLOOKUP(MID(G56,H56,I56-H56),[6]skilldef!$A:$B,2,FALSE),"-")</f>
        <v>- / -</v>
      </c>
      <c r="M56" s="167" t="str">
        <f t="shared" si="53"/>
        <v>[effect:drop_freeze, turn:-1, block_type:normal, block_color:block_blue, rate:0.3, animation:drop_protect],[effect:fix_speed, target:myself, turn:2]</v>
      </c>
      <c r="N56" s="157" t="str">
        <f t="shared" si="64"/>
        <v>[effect:drop_freeze, turn:-1, block_type:normal, block_color:block_blue, rate:0.3, animation:drop_protect],[effect:fix_speed, target:myself, turn:2]</v>
      </c>
      <c r="O56" s="167">
        <f t="shared" si="54"/>
        <v>9</v>
      </c>
      <c r="P56" s="167">
        <f t="shared" si="55"/>
        <v>20</v>
      </c>
      <c r="Q56" s="167">
        <f t="shared" si="56"/>
        <v>134</v>
      </c>
      <c r="R56" s="167">
        <f t="shared" si="57"/>
        <v>29</v>
      </c>
      <c r="S56" s="167" t="str">
        <f>IFERROR(VLOOKUP(MID(N56,Q56,R56-Q56),[6]skilldef!$C:$D,2,FALSE),"-") &amp; " / " &amp; IFERROR(VLOOKUP(MID(N56,O56,P56-O56),[6]skilldef!$A:$B,2,FALSE),"-")</f>
        <v>- / -</v>
      </c>
      <c r="T56" s="157" t="str">
        <f t="shared" si="58"/>
        <v>[effect:fix_speed, target:myself, turn:2]</v>
      </c>
      <c r="U56" s="167">
        <f t="shared" si="59"/>
        <v>9</v>
      </c>
      <c r="V56" s="167">
        <f t="shared" si="60"/>
        <v>18</v>
      </c>
      <c r="W56" s="167">
        <f t="shared" si="61"/>
        <v>27</v>
      </c>
      <c r="X56" s="167">
        <f t="shared" si="62"/>
        <v>33</v>
      </c>
      <c r="Y56" s="167" t="str">
        <f>IFERROR(VLOOKUP(MID(T56,W56,X56-W56),[6]skilldef!$C:$D,2,FALSE),"-") &amp; " / " &amp; IFERROR(VLOOKUP(MID(T56,U56,V56-U56),[6]skilldef!$A:$B,2,FALSE),"-")</f>
        <v>自分自身に / 行動値設定</v>
      </c>
      <c r="Z56" s="148"/>
      <c r="AA56" s="150"/>
      <c r="AB56" s="148"/>
    </row>
    <row r="57" spans="1:28" s="147" customFormat="1" ht="28" x14ac:dyDescent="0.15">
      <c r="A57" s="147">
        <v>40037405</v>
      </c>
      <c r="B57" s="147" t="s">
        <v>276</v>
      </c>
      <c r="C57" s="34">
        <v>3</v>
      </c>
      <c r="D57" s="34" t="s">
        <v>128</v>
      </c>
      <c r="E57" s="149" t="s">
        <v>307</v>
      </c>
      <c r="F57" s="149" t="s">
        <v>461</v>
      </c>
      <c r="G57" s="167" t="str">
        <f t="shared" si="48"/>
        <v xml:space="preserve">[effect:break_attack_fix, target:unit_all, val:250, lowest_val:500, count:-1, color:green, block01:block_heart]    </v>
      </c>
      <c r="H57" s="167">
        <f t="shared" si="49"/>
        <v>9</v>
      </c>
      <c r="I57" s="167">
        <f t="shared" si="50"/>
        <v>25</v>
      </c>
      <c r="J57" s="167">
        <f t="shared" si="51"/>
        <v>34</v>
      </c>
      <c r="K57" s="167">
        <f t="shared" si="52"/>
        <v>42</v>
      </c>
      <c r="L57" s="167" t="str">
        <f>IFERROR(VLOOKUP(MID(G57,J57,K57-J57),[6]skilldef!$C:$D,2,FALSE),"-") &amp; " / " &amp; IFERROR(VLOOKUP(MID(G57,H57,I57-H57),[6]skilldef!$A:$B,2,FALSE),"-")</f>
        <v>味方全体に / -</v>
      </c>
      <c r="M57" s="167" t="str">
        <f t="shared" si="53"/>
        <v>none</v>
      </c>
      <c r="N57" s="157" t="str">
        <f t="shared" si="64"/>
        <v>none</v>
      </c>
      <c r="O57" s="167" t="e">
        <f t="shared" si="54"/>
        <v>#VALUE!</v>
      </c>
      <c r="P57" s="167">
        <f t="shared" si="55"/>
        <v>4</v>
      </c>
      <c r="Q57" s="167" t="e">
        <f t="shared" si="56"/>
        <v>#VALUE!</v>
      </c>
      <c r="R57" s="167" t="e">
        <f t="shared" si="57"/>
        <v>#VALUE!</v>
      </c>
      <c r="S57" s="167" t="str">
        <f>IFERROR(VLOOKUP(MID(N57,Q57,R57-Q57),[6]skilldef!$C:$D,2,FALSE),"-") &amp; " / " &amp; IFERROR(VLOOKUP(MID(N57,O57,P57-O57),[6]skilldef!$A:$B,2,FALSE),"-")</f>
        <v>- / -</v>
      </c>
      <c r="T57" s="157" t="str">
        <f t="shared" si="58"/>
        <v>none</v>
      </c>
      <c r="U57" s="167" t="e">
        <f t="shared" si="59"/>
        <v>#VALUE!</v>
      </c>
      <c r="V57" s="167">
        <f t="shared" si="60"/>
        <v>4</v>
      </c>
      <c r="W57" s="167" t="e">
        <f t="shared" si="61"/>
        <v>#VALUE!</v>
      </c>
      <c r="X57" s="167" t="e">
        <f t="shared" si="62"/>
        <v>#VALUE!</v>
      </c>
      <c r="Y57" s="167" t="str">
        <f>IFERROR(VLOOKUP(MID(T57,W57,X57-W57),[6]skilldef!$C:$D,2,FALSE),"-") &amp; " / " &amp; IFERROR(VLOOKUP(MID(T57,U57,V57-U57),[6]skilldef!$A:$B,2,FALSE),"-")</f>
        <v>- / -</v>
      </c>
      <c r="Z57" s="148"/>
      <c r="AA57" s="150"/>
      <c r="AB57" s="148"/>
    </row>
    <row r="58" spans="1:28" s="147" customFormat="1" x14ac:dyDescent="0.15">
      <c r="A58" s="147">
        <v>40037406</v>
      </c>
      <c r="B58" s="147" t="s">
        <v>275</v>
      </c>
      <c r="C58" s="34">
        <v>3</v>
      </c>
      <c r="D58" s="34" t="s">
        <v>128</v>
      </c>
      <c r="E58" s="149" t="s">
        <v>309</v>
      </c>
      <c r="F58" s="149" t="s">
        <v>263</v>
      </c>
      <c r="G58" s="167" t="str">
        <f t="shared" si="48"/>
        <v xml:space="preserve">[effect:spread, val:0.3]    </v>
      </c>
      <c r="H58" s="167">
        <f t="shared" si="49"/>
        <v>9</v>
      </c>
      <c r="I58" s="167">
        <f t="shared" si="50"/>
        <v>15</v>
      </c>
      <c r="J58" s="167" t="e">
        <f t="shared" si="51"/>
        <v>#VALUE!</v>
      </c>
      <c r="K58" s="167" t="e">
        <f t="shared" si="52"/>
        <v>#VALUE!</v>
      </c>
      <c r="L58" s="167" t="str">
        <f>IFERROR(VLOOKUP(MID(G58,J58,K58-J58),[6]skilldef!$C:$D,2,FALSE),"-") &amp; " / " &amp; IFERROR(VLOOKUP(MID(G58,H58,I58-H58),[6]skilldef!$A:$B,2,FALSE),"-")</f>
        <v>- / 全体攻撃</v>
      </c>
      <c r="M58" s="167" t="str">
        <f t="shared" si="53"/>
        <v>none</v>
      </c>
      <c r="N58" s="157" t="str">
        <f t="shared" si="64"/>
        <v>none</v>
      </c>
      <c r="O58" s="167" t="e">
        <f t="shared" si="54"/>
        <v>#VALUE!</v>
      </c>
      <c r="P58" s="167">
        <f t="shared" si="55"/>
        <v>4</v>
      </c>
      <c r="Q58" s="167" t="e">
        <f t="shared" si="56"/>
        <v>#VALUE!</v>
      </c>
      <c r="R58" s="167" t="e">
        <f t="shared" si="57"/>
        <v>#VALUE!</v>
      </c>
      <c r="S58" s="167" t="str">
        <f>IFERROR(VLOOKUP(MID(N58,Q58,R58-Q58),[6]skilldef!$C:$D,2,FALSE),"-") &amp; " / " &amp; IFERROR(VLOOKUP(MID(N58,O58,P58-O58),[6]skilldef!$A:$B,2,FALSE),"-")</f>
        <v>- / -</v>
      </c>
      <c r="T58" s="157" t="str">
        <f t="shared" si="58"/>
        <v>none</v>
      </c>
      <c r="U58" s="167" t="e">
        <f t="shared" si="59"/>
        <v>#VALUE!</v>
      </c>
      <c r="V58" s="167">
        <f t="shared" si="60"/>
        <v>4</v>
      </c>
      <c r="W58" s="167" t="e">
        <f t="shared" si="61"/>
        <v>#VALUE!</v>
      </c>
      <c r="X58" s="167" t="e">
        <f t="shared" si="62"/>
        <v>#VALUE!</v>
      </c>
      <c r="Y58" s="167" t="str">
        <f>IFERROR(VLOOKUP(MID(T58,W58,X58-W58),[6]skilldef!$C:$D,2,FALSE),"-") &amp; " / " &amp; IFERROR(VLOOKUP(MID(T58,U58,V58-U58),[6]skilldef!$A:$B,2,FALSE),"-")</f>
        <v>- / -</v>
      </c>
      <c r="Z58" s="148"/>
      <c r="AA58" s="150"/>
      <c r="AB58" s="148"/>
    </row>
    <row r="59" spans="1:28" ht="28" x14ac:dyDescent="0.15">
      <c r="A59" s="32">
        <v>40037444</v>
      </c>
      <c r="B59" s="32" t="s">
        <v>335</v>
      </c>
      <c r="C59" s="34">
        <v>3</v>
      </c>
      <c r="D59" s="34" t="s">
        <v>128</v>
      </c>
      <c r="E59" s="35" t="s">
        <v>337</v>
      </c>
      <c r="F59" s="35" t="s">
        <v>396</v>
      </c>
      <c r="G59" s="167" t="str">
        <f t="shared" si="48"/>
        <v>[effect:enhance_enemy, target:myself, turn:-1, status:attack, val:1500, calc:add, animation:enemy_enhance_attack]</v>
      </c>
      <c r="H59" s="167">
        <f t="shared" si="49"/>
        <v>9</v>
      </c>
      <c r="I59" s="167">
        <f t="shared" si="50"/>
        <v>22</v>
      </c>
      <c r="J59" s="167">
        <f t="shared" si="51"/>
        <v>31</v>
      </c>
      <c r="K59" s="167">
        <f t="shared" si="52"/>
        <v>37</v>
      </c>
      <c r="L59" s="167" t="str">
        <f>IFERROR(VLOOKUP(MID(G59,J59,K59-J59),[6]skilldef!$C:$D,2,FALSE),"-") &amp; " / " &amp; IFERROR(VLOOKUP(MID(G59,H59,I59-H59),[6]skilldef!$A:$B,2,FALSE),"-")</f>
        <v>自分自身に / ステータス強化</v>
      </c>
      <c r="M59" s="167" t="str">
        <f t="shared" si="53"/>
        <v>[effect:fix_speed, target:myself, turn:1]</v>
      </c>
      <c r="N59" s="157" t="str">
        <f t="shared" si="64"/>
        <v>[effect:fix_speed, target:myself, turn:1]</v>
      </c>
      <c r="O59" s="167">
        <f t="shared" si="54"/>
        <v>9</v>
      </c>
      <c r="P59" s="167">
        <f t="shared" si="55"/>
        <v>18</v>
      </c>
      <c r="Q59" s="167">
        <f t="shared" si="56"/>
        <v>27</v>
      </c>
      <c r="R59" s="167">
        <f t="shared" si="57"/>
        <v>33</v>
      </c>
      <c r="S59" s="167" t="str">
        <f>IFERROR(VLOOKUP(MID(N59,Q59,R59-Q59),[6]skilldef!$C:$D,2,FALSE),"-") &amp; " / " &amp; IFERROR(VLOOKUP(MID(N59,O59,P59-O59),[6]skilldef!$A:$B,2,FALSE),"-")</f>
        <v>自分自身に / 行動値設定</v>
      </c>
      <c r="T59" s="157" t="str">
        <f t="shared" si="58"/>
        <v>none</v>
      </c>
      <c r="U59" s="167" t="e">
        <f t="shared" si="59"/>
        <v>#VALUE!</v>
      </c>
      <c r="V59" s="167">
        <f t="shared" si="60"/>
        <v>4</v>
      </c>
      <c r="W59" s="167" t="e">
        <f t="shared" si="61"/>
        <v>#VALUE!</v>
      </c>
      <c r="X59" s="167" t="e">
        <f t="shared" si="62"/>
        <v>#VALUE!</v>
      </c>
      <c r="Y59" s="167" t="str">
        <f>IFERROR(VLOOKUP(MID(T59,W59,X59-W59),[6]skilldef!$C:$D,2,FALSE),"-") &amp; " / " &amp; IFERROR(VLOOKUP(MID(T59,U59,V59-U59),[6]skilldef!$A:$B,2,FALSE),"-")</f>
        <v>- / -</v>
      </c>
      <c r="Z59" s="34"/>
      <c r="AA59" s="36"/>
      <c r="AB59" s="34"/>
    </row>
    <row r="60" spans="1:28" s="147" customFormat="1" ht="70" x14ac:dyDescent="0.15">
      <c r="A60" s="147">
        <v>40037407</v>
      </c>
      <c r="B60" s="147" t="s">
        <v>424</v>
      </c>
      <c r="C60" s="34">
        <v>3</v>
      </c>
      <c r="D60" s="34" t="s">
        <v>128</v>
      </c>
      <c r="E60" s="149" t="s">
        <v>277</v>
      </c>
      <c r="F60" s="149" t="s">
        <v>266</v>
      </c>
      <c r="G60" s="167" t="str">
        <f t="shared" si="48"/>
        <v>[effect:enemy_message, val1:2, val2:2.4, dead_type:suicide]</v>
      </c>
      <c r="H60" s="167">
        <f t="shared" si="49"/>
        <v>9</v>
      </c>
      <c r="I60" s="167">
        <f t="shared" si="50"/>
        <v>22</v>
      </c>
      <c r="J60" s="167" t="e">
        <f t="shared" si="51"/>
        <v>#VALUE!</v>
      </c>
      <c r="K60" s="167">
        <f t="shared" si="52"/>
        <v>30</v>
      </c>
      <c r="L60" s="167" t="str">
        <f>IFERROR(VLOOKUP(MID(G60,J60,K60-J60),[6]skilldef!$C:$D,2,FALSE),"-") &amp; " / " &amp; IFERROR(VLOOKUP(MID(G60,H60,I60-H60),[6]skilldef!$A:$B,2,FALSE),"-")</f>
        <v>- / -</v>
      </c>
      <c r="M60" s="167" t="str">
        <f t="shared" si="53"/>
        <v>[effect:change_bomb_range, target:unit_all, val:0.5, rate:1, turn:10, animation:bomb_small],[effect:fix_speed, target:myself, turn:2]</v>
      </c>
      <c r="N60" s="157" t="str">
        <f t="shared" si="64"/>
        <v>[effect:change_bomb_range, target:unit_all, val:0.5, rate:1, turn:10, animation:bomb_small],[effect:fix_speed, target:myself, turn:2]</v>
      </c>
      <c r="O60" s="167">
        <f t="shared" si="54"/>
        <v>9</v>
      </c>
      <c r="P60" s="167">
        <f t="shared" si="55"/>
        <v>26</v>
      </c>
      <c r="Q60" s="167">
        <f t="shared" si="56"/>
        <v>35</v>
      </c>
      <c r="R60" s="167">
        <f t="shared" si="57"/>
        <v>43</v>
      </c>
      <c r="S60" s="167" t="str">
        <f>IFERROR(VLOOKUP(MID(N60,Q60,R60-Q60),[6]skilldef!$C:$D,2,FALSE),"-") &amp; " / " &amp; IFERROR(VLOOKUP(MID(N60,O60,P60-O60),[6]skilldef!$A:$B,2,FALSE),"-")</f>
        <v>味方全体に / -</v>
      </c>
      <c r="T60" s="157" t="str">
        <f t="shared" si="58"/>
        <v>[effect:fix_speed, target:myself, turn:2]</v>
      </c>
      <c r="U60" s="167">
        <f t="shared" si="59"/>
        <v>9</v>
      </c>
      <c r="V60" s="167">
        <f t="shared" si="60"/>
        <v>18</v>
      </c>
      <c r="W60" s="167">
        <f t="shared" si="61"/>
        <v>27</v>
      </c>
      <c r="X60" s="167">
        <f t="shared" si="62"/>
        <v>33</v>
      </c>
      <c r="Y60" s="167" t="str">
        <f>IFERROR(VLOOKUP(MID(T60,W60,X60-W60),[6]skilldef!$C:$D,2,FALSE),"-") &amp; " / " &amp; IFERROR(VLOOKUP(MID(T60,U60,V60-U60),[6]skilldef!$A:$B,2,FALSE),"-")</f>
        <v>自分自身に / 行動値設定</v>
      </c>
      <c r="Z60" s="148"/>
      <c r="AA60" s="150"/>
      <c r="AB60" s="148"/>
    </row>
    <row r="61" spans="1:28" s="147" customFormat="1" x14ac:dyDescent="0.15">
      <c r="A61" s="147">
        <v>40037408</v>
      </c>
      <c r="B61" s="32" t="s">
        <v>352</v>
      </c>
      <c r="C61" s="34">
        <v>3</v>
      </c>
      <c r="D61" s="34" t="s">
        <v>128</v>
      </c>
      <c r="E61" s="35" t="s">
        <v>278</v>
      </c>
      <c r="F61" s="35" t="s">
        <v>351</v>
      </c>
      <c r="G61" s="167" t="str">
        <f t="shared" si="48"/>
        <v>[effect:rush, count:12, val:0.1]</v>
      </c>
      <c r="H61" s="167">
        <f t="shared" si="49"/>
        <v>9</v>
      </c>
      <c r="I61" s="167">
        <f t="shared" si="50"/>
        <v>13</v>
      </c>
      <c r="J61" s="167" t="e">
        <f t="shared" si="51"/>
        <v>#VALUE!</v>
      </c>
      <c r="K61" s="167">
        <f t="shared" si="52"/>
        <v>23</v>
      </c>
      <c r="L61" s="167" t="str">
        <f>IFERROR(VLOOKUP(MID(G61,J61,K61-J61),[6]skilldef!$C:$D,2,FALSE),"-") &amp; " / " &amp; IFERROR(VLOOKUP(MID(G61,H61,I61-H61),[6]skilldef!$A:$B,2,FALSE),"-")</f>
        <v>- / 連続攻撃</v>
      </c>
      <c r="M61" s="167" t="str">
        <f t="shared" si="53"/>
        <v>none</v>
      </c>
      <c r="N61" s="157" t="str">
        <f t="shared" si="64"/>
        <v>none</v>
      </c>
      <c r="O61" s="167" t="e">
        <f t="shared" si="54"/>
        <v>#VALUE!</v>
      </c>
      <c r="P61" s="167">
        <f t="shared" si="55"/>
        <v>4</v>
      </c>
      <c r="Q61" s="167" t="e">
        <f t="shared" si="56"/>
        <v>#VALUE!</v>
      </c>
      <c r="R61" s="167" t="e">
        <f t="shared" si="57"/>
        <v>#VALUE!</v>
      </c>
      <c r="S61" s="167" t="str">
        <f>IFERROR(VLOOKUP(MID(N61,Q61,R61-Q61),[6]skilldef!$C:$D,2,FALSE),"-") &amp; " / " &amp; IFERROR(VLOOKUP(MID(N61,O61,P61-O61),[6]skilldef!$A:$B,2,FALSE),"-")</f>
        <v>- / -</v>
      </c>
      <c r="T61" s="157" t="str">
        <f t="shared" si="58"/>
        <v>none</v>
      </c>
      <c r="U61" s="167" t="e">
        <f t="shared" si="59"/>
        <v>#VALUE!</v>
      </c>
      <c r="V61" s="167">
        <f t="shared" si="60"/>
        <v>4</v>
      </c>
      <c r="W61" s="167" t="e">
        <f t="shared" si="61"/>
        <v>#VALUE!</v>
      </c>
      <c r="X61" s="167" t="e">
        <f t="shared" si="62"/>
        <v>#VALUE!</v>
      </c>
      <c r="Y61" s="167" t="str">
        <f>IFERROR(VLOOKUP(MID(T61,W61,X61-W61),[6]skilldef!$C:$D,2,FALSE),"-") &amp; " / " &amp; IFERROR(VLOOKUP(MID(T61,U61,V61-U61),[6]skilldef!$A:$B,2,FALSE),"-")</f>
        <v>- / -</v>
      </c>
      <c r="Z61" s="148"/>
      <c r="AA61" s="150"/>
      <c r="AB61" s="148"/>
    </row>
    <row r="62" spans="1:28" s="147" customFormat="1" ht="70" x14ac:dyDescent="0.15">
      <c r="A62" s="147">
        <v>40037409</v>
      </c>
      <c r="B62" s="32" t="s">
        <v>423</v>
      </c>
      <c r="C62" s="34">
        <v>3</v>
      </c>
      <c r="D62" s="34" t="s">
        <v>128</v>
      </c>
      <c r="E62" s="35" t="s">
        <v>279</v>
      </c>
      <c r="F62" s="35" t="s">
        <v>325</v>
      </c>
      <c r="G62" s="167" t="str">
        <f t="shared" si="48"/>
        <v>[effect:enemy_message, val1:2, val2:2.4, dead_type:suicide]</v>
      </c>
      <c r="H62" s="167">
        <f t="shared" si="49"/>
        <v>9</v>
      </c>
      <c r="I62" s="167">
        <f t="shared" si="50"/>
        <v>22</v>
      </c>
      <c r="J62" s="167" t="e">
        <f t="shared" si="51"/>
        <v>#VALUE!</v>
      </c>
      <c r="K62" s="167">
        <f t="shared" si="52"/>
        <v>30</v>
      </c>
      <c r="L62" s="167" t="str">
        <f>IFERROR(VLOOKUP(MID(G62,J62,K62-J62),[6]skilldef!$C:$D,2,FALSE),"-") &amp; " / " &amp; IFERROR(VLOOKUP(MID(G62,H62,I62-H62),[6]skilldef!$A:$B,2,FALSE),"-")</f>
        <v>- / -</v>
      </c>
      <c r="M62" s="167" t="str">
        <f t="shared" si="53"/>
        <v>[effect:rush, count:8, val:0.1],[effect:degrade_unit, target:unit_all, turn:3, status:heal, val:0.5, calc:mul, animation:degrade_unit_all_heal]</v>
      </c>
      <c r="N62" s="157" t="str">
        <f t="shared" si="64"/>
        <v>[effect:rush, count:8, val:0.1],[effect:degrade_unit, target:unit_all, turn:3, status:heal, val:0.5, calc:mul, animation:degrade_unit_all_heal]</v>
      </c>
      <c r="O62" s="167">
        <f t="shared" si="54"/>
        <v>9</v>
      </c>
      <c r="P62" s="167">
        <f t="shared" si="55"/>
        <v>13</v>
      </c>
      <c r="Q62" s="167">
        <f t="shared" si="56"/>
        <v>62</v>
      </c>
      <c r="R62" s="167">
        <f t="shared" si="57"/>
        <v>22</v>
      </c>
      <c r="S62" s="167" t="str">
        <f>IFERROR(VLOOKUP(MID(N62,Q62,R62-Q62),[6]skilldef!$C:$D,2,FALSE),"-") &amp; " / " &amp; IFERROR(VLOOKUP(MID(N62,O62,P62-O62),[6]skilldef!$A:$B,2,FALSE),"-")</f>
        <v>- / 連続攻撃</v>
      </c>
      <c r="T62" s="157" t="str">
        <f t="shared" si="58"/>
        <v>[effect:degrade_unit, target:unit_all, turn:3, status:heal, val:0.5, calc:mul, animation:degrade_unit_all_heal]</v>
      </c>
      <c r="U62" s="167">
        <f t="shared" si="59"/>
        <v>9</v>
      </c>
      <c r="V62" s="167">
        <f t="shared" si="60"/>
        <v>21</v>
      </c>
      <c r="W62" s="167">
        <f t="shared" si="61"/>
        <v>30</v>
      </c>
      <c r="X62" s="167">
        <f t="shared" si="62"/>
        <v>38</v>
      </c>
      <c r="Y62" s="167" t="str">
        <f>IFERROR(VLOOKUP(MID(T62,W62,X62-W62),[6]skilldef!$C:$D,2,FALSE),"-") &amp; " / " &amp; IFERROR(VLOOKUP(MID(T62,U62,V62-U62),[6]skilldef!$A:$B,2,FALSE),"-")</f>
        <v>味方全体に / ステータスDOWN</v>
      </c>
      <c r="Z62" s="148"/>
      <c r="AA62" s="150"/>
      <c r="AB62" s="148"/>
    </row>
    <row r="63" spans="1:28" ht="28" x14ac:dyDescent="0.15">
      <c r="A63" s="32">
        <v>40037445</v>
      </c>
      <c r="B63" s="32" t="s">
        <v>335</v>
      </c>
      <c r="C63" s="34">
        <v>3</v>
      </c>
      <c r="D63" s="34" t="s">
        <v>128</v>
      </c>
      <c r="E63" s="35" t="s">
        <v>342</v>
      </c>
      <c r="F63" s="35" t="s">
        <v>396</v>
      </c>
      <c r="G63" s="167" t="str">
        <f t="shared" si="48"/>
        <v>[effect:enhance_enemy, target:myself, turn:-1, status:attack, val:1500, calc:add, animation:enemy_enhance_attack]</v>
      </c>
      <c r="H63" s="167">
        <f t="shared" si="49"/>
        <v>9</v>
      </c>
      <c r="I63" s="167">
        <f t="shared" si="50"/>
        <v>22</v>
      </c>
      <c r="J63" s="167">
        <f t="shared" si="51"/>
        <v>31</v>
      </c>
      <c r="K63" s="167">
        <f t="shared" si="52"/>
        <v>37</v>
      </c>
      <c r="L63" s="167" t="str">
        <f>IFERROR(VLOOKUP(MID(G63,J63,K63-J63),[6]skilldef!$C:$D,2,FALSE),"-") &amp; " / " &amp; IFERROR(VLOOKUP(MID(G63,H63,I63-H63),[6]skilldef!$A:$B,2,FALSE),"-")</f>
        <v>自分自身に / ステータス強化</v>
      </c>
      <c r="M63" s="167" t="str">
        <f t="shared" si="53"/>
        <v>[effect:fix_speed, target:myself, turn:1]</v>
      </c>
      <c r="N63" s="157" t="str">
        <f t="shared" si="64"/>
        <v>[effect:fix_speed, target:myself, turn:1]</v>
      </c>
      <c r="O63" s="167">
        <f t="shared" si="54"/>
        <v>9</v>
      </c>
      <c r="P63" s="167">
        <f t="shared" si="55"/>
        <v>18</v>
      </c>
      <c r="Q63" s="167">
        <f t="shared" si="56"/>
        <v>27</v>
      </c>
      <c r="R63" s="167">
        <f t="shared" si="57"/>
        <v>33</v>
      </c>
      <c r="S63" s="167" t="str">
        <f>IFERROR(VLOOKUP(MID(N63,Q63,R63-Q63),[6]skilldef!$C:$D,2,FALSE),"-") &amp; " / " &amp; IFERROR(VLOOKUP(MID(N63,O63,P63-O63),[6]skilldef!$A:$B,2,FALSE),"-")</f>
        <v>自分自身に / 行動値設定</v>
      </c>
      <c r="T63" s="157" t="str">
        <f t="shared" si="58"/>
        <v>none</v>
      </c>
      <c r="U63" s="167" t="e">
        <f t="shared" si="59"/>
        <v>#VALUE!</v>
      </c>
      <c r="V63" s="167">
        <f t="shared" si="60"/>
        <v>4</v>
      </c>
      <c r="W63" s="167" t="e">
        <f t="shared" si="61"/>
        <v>#VALUE!</v>
      </c>
      <c r="X63" s="167" t="e">
        <f t="shared" si="62"/>
        <v>#VALUE!</v>
      </c>
      <c r="Y63" s="167" t="str">
        <f>IFERROR(VLOOKUP(MID(T63,W63,X63-W63),[6]skilldef!$C:$D,2,FALSE),"-") &amp; " / " &amp; IFERROR(VLOOKUP(MID(T63,U63,V63-U63),[6]skilldef!$A:$B,2,FALSE),"-")</f>
        <v>- / -</v>
      </c>
      <c r="Z63" s="34"/>
      <c r="AA63" s="36"/>
      <c r="AB63" s="34"/>
    </row>
    <row r="64" spans="1:28" x14ac:dyDescent="0.15">
      <c r="A64" s="32">
        <v>40037447</v>
      </c>
      <c r="B64" s="32" t="s">
        <v>449</v>
      </c>
      <c r="C64" s="34">
        <v>3</v>
      </c>
      <c r="D64" s="34" t="s">
        <v>128</v>
      </c>
      <c r="E64" s="35" t="s">
        <v>355</v>
      </c>
      <c r="F64" s="35" t="s">
        <v>354</v>
      </c>
      <c r="G64" s="167" t="str">
        <f t="shared" si="48"/>
        <v>[effect:rush, count:8, val:0.2]</v>
      </c>
      <c r="H64" s="167">
        <f t="shared" si="49"/>
        <v>9</v>
      </c>
      <c r="I64" s="167">
        <f t="shared" si="50"/>
        <v>13</v>
      </c>
      <c r="J64" s="167" t="e">
        <f t="shared" si="51"/>
        <v>#VALUE!</v>
      </c>
      <c r="K64" s="167">
        <f t="shared" si="52"/>
        <v>22</v>
      </c>
      <c r="L64" s="167" t="str">
        <f>IFERROR(VLOOKUP(MID(G64,J64,K64-J64),[6]skilldef!$C:$D,2,FALSE),"-") &amp; " / " &amp; IFERROR(VLOOKUP(MID(G64,H64,I64-H64),[6]skilldef!$A:$B,2,FALSE),"-")</f>
        <v>- / 連続攻撃</v>
      </c>
      <c r="M64" s="167" t="str">
        <f t="shared" si="53"/>
        <v>none</v>
      </c>
      <c r="N64" s="157" t="str">
        <f t="shared" si="64"/>
        <v>none</v>
      </c>
      <c r="O64" s="167" t="e">
        <f t="shared" si="54"/>
        <v>#VALUE!</v>
      </c>
      <c r="P64" s="167">
        <f t="shared" si="55"/>
        <v>4</v>
      </c>
      <c r="Q64" s="167" t="e">
        <f t="shared" si="56"/>
        <v>#VALUE!</v>
      </c>
      <c r="R64" s="167" t="e">
        <f t="shared" si="57"/>
        <v>#VALUE!</v>
      </c>
      <c r="S64" s="167" t="str">
        <f>IFERROR(VLOOKUP(MID(N64,Q64,R64-Q64),[6]skilldef!$C:$D,2,FALSE),"-") &amp; " / " &amp; IFERROR(VLOOKUP(MID(N64,O64,P64-O64),[6]skilldef!$A:$B,2,FALSE),"-")</f>
        <v>- / -</v>
      </c>
      <c r="T64" s="157" t="str">
        <f t="shared" si="58"/>
        <v>none</v>
      </c>
      <c r="U64" s="167" t="e">
        <f t="shared" si="59"/>
        <v>#VALUE!</v>
      </c>
      <c r="V64" s="167">
        <f t="shared" si="60"/>
        <v>4</v>
      </c>
      <c r="W64" s="167" t="e">
        <f t="shared" si="61"/>
        <v>#VALUE!</v>
      </c>
      <c r="X64" s="167" t="e">
        <f t="shared" si="62"/>
        <v>#VALUE!</v>
      </c>
      <c r="Y64" s="167" t="str">
        <f>IFERROR(VLOOKUP(MID(T64,W64,X64-W64),[6]skilldef!$C:$D,2,FALSE),"-") &amp; " / " &amp; IFERROR(VLOOKUP(MID(T64,U64,V64-U64),[6]skilldef!$A:$B,2,FALSE),"-")</f>
        <v>- / -</v>
      </c>
      <c r="Z64" s="34"/>
      <c r="AA64" s="36"/>
      <c r="AB64" s="34"/>
    </row>
    <row r="65" spans="1:28" s="147" customFormat="1" ht="70" x14ac:dyDescent="0.15">
      <c r="A65" s="147">
        <v>40037410</v>
      </c>
      <c r="B65" s="147" t="s">
        <v>418</v>
      </c>
      <c r="C65" s="34">
        <v>3</v>
      </c>
      <c r="D65" s="34" t="s">
        <v>128</v>
      </c>
      <c r="E65" s="149" t="s">
        <v>383</v>
      </c>
      <c r="F65" s="149" t="s">
        <v>411</v>
      </c>
      <c r="G65" s="167" t="str">
        <f t="shared" si="48"/>
        <v>[effect:enemy_message, val1:2, val2:2.4, dead_type:suicide]</v>
      </c>
      <c r="H65" s="167">
        <f t="shared" si="49"/>
        <v>9</v>
      </c>
      <c r="I65" s="167">
        <f t="shared" si="50"/>
        <v>22</v>
      </c>
      <c r="J65" s="167" t="e">
        <f t="shared" si="51"/>
        <v>#VALUE!</v>
      </c>
      <c r="K65" s="167">
        <f t="shared" si="52"/>
        <v>30</v>
      </c>
      <c r="L65" s="167" t="str">
        <f>IFERROR(VLOOKUP(MID(G65,J65,K65-J65),[6]skilldef!$C:$D,2,FALSE),"-") &amp; " / " &amp; IFERROR(VLOOKUP(MID(G65,H65,I65-H65),[6]skilldef!$A:$B,2,FALSE),"-")</f>
        <v>- / -</v>
      </c>
      <c r="M65" s="167" t="str">
        <f t="shared" si="53"/>
        <v>[effect:drop_freeze, turn:-1, block_type:normal, block_color:block_heart, rate:0.3, animation:drop_protect],[effect:fix_speed, target:myself, turn:2]</v>
      </c>
      <c r="N65" s="157" t="str">
        <f t="shared" si="63"/>
        <v>[effect:drop_freeze, turn:-1, block_type:normal, block_color:block_heart, rate:0.3, animation:drop_protect],[effect:fix_speed, target:myself, turn:2]</v>
      </c>
      <c r="O65" s="167">
        <f t="shared" si="54"/>
        <v>9</v>
      </c>
      <c r="P65" s="167">
        <f t="shared" si="55"/>
        <v>20</v>
      </c>
      <c r="Q65" s="167">
        <f t="shared" si="56"/>
        <v>135</v>
      </c>
      <c r="R65" s="167">
        <f t="shared" si="57"/>
        <v>29</v>
      </c>
      <c r="S65" s="167" t="str">
        <f>IFERROR(VLOOKUP(MID(N65,Q65,R65-Q65),[6]skilldef!$C:$D,2,FALSE),"-") &amp; " / " &amp; IFERROR(VLOOKUP(MID(N65,O65,P65-O65),[6]skilldef!$A:$B,2,FALSE),"-")</f>
        <v>- / -</v>
      </c>
      <c r="T65" s="157" t="str">
        <f t="shared" si="58"/>
        <v>[effect:fix_speed, target:myself, turn:2]</v>
      </c>
      <c r="U65" s="167">
        <f t="shared" si="59"/>
        <v>9</v>
      </c>
      <c r="V65" s="167">
        <f t="shared" si="60"/>
        <v>18</v>
      </c>
      <c r="W65" s="167">
        <f t="shared" si="61"/>
        <v>27</v>
      </c>
      <c r="X65" s="167">
        <f t="shared" si="62"/>
        <v>33</v>
      </c>
      <c r="Y65" s="167" t="str">
        <f>IFERROR(VLOOKUP(MID(T65,W65,X65-W65),[6]skilldef!$C:$D,2,FALSE),"-") &amp; " / " &amp; IFERROR(VLOOKUP(MID(T65,U65,V65-U65),[6]skilldef!$A:$B,2,FALSE),"-")</f>
        <v>自分自身に / 行動値設定</v>
      </c>
      <c r="Z65" s="148"/>
      <c r="AA65" s="150"/>
      <c r="AB65" s="148"/>
    </row>
    <row r="66" spans="1:28" s="147" customFormat="1" ht="98" x14ac:dyDescent="0.15">
      <c r="A66" s="147">
        <v>40037411</v>
      </c>
      <c r="B66" s="147" t="s">
        <v>468</v>
      </c>
      <c r="C66" s="34">
        <v>3</v>
      </c>
      <c r="D66" s="34" t="s">
        <v>128</v>
      </c>
      <c r="E66" s="35" t="s">
        <v>448</v>
      </c>
      <c r="F66" s="35" t="s">
        <v>467</v>
      </c>
      <c r="G66" s="167" t="str">
        <f t="shared" si="48"/>
        <v>[effect:enemy_message, val1:2, val2:2.4, dead_type:suicide]</v>
      </c>
      <c r="H66" s="167">
        <f t="shared" si="49"/>
        <v>9</v>
      </c>
      <c r="I66" s="167">
        <f t="shared" si="50"/>
        <v>22</v>
      </c>
      <c r="J66" s="167" t="e">
        <f t="shared" si="51"/>
        <v>#VALUE!</v>
      </c>
      <c r="K66" s="167">
        <f t="shared" si="52"/>
        <v>30</v>
      </c>
      <c r="L66" s="167" t="str">
        <f>IFERROR(VLOOKUP(MID(G66,J66,K66-J66),[6]skilldef!$C:$D,2,FALSE),"-") &amp; " / " &amp; IFERROR(VLOOKUP(MID(G66,H66,I66-H66),[6]skilldef!$A:$B,2,FALSE),"-")</f>
        <v>- / -</v>
      </c>
      <c r="M66" s="167" t="str">
        <f t="shared" si="53"/>
        <v xml:space="preserve">[effect:enhance_enemy, target:myself, turn:-1, status:attack, val:3000, calc:add, animation:enemy_enhance_attack],[effect:fix_speed, target:myself, turn:1],[effect:rush, count:8, val:0.15]    </v>
      </c>
      <c r="N66" s="157" t="str">
        <f t="shared" si="63"/>
        <v xml:space="preserve">[effect:enhance_enemy, target:myself, turn:-1, status:attack, val:3000, calc:add, animation:enemy_enhance_attack],[effect:fix_speed, target:myself, turn:1],[effect:rush, count:8, val:0.15]    </v>
      </c>
      <c r="O66" s="167">
        <f t="shared" si="54"/>
        <v>9</v>
      </c>
      <c r="P66" s="167">
        <f t="shared" si="55"/>
        <v>22</v>
      </c>
      <c r="Q66" s="167">
        <f t="shared" si="56"/>
        <v>31</v>
      </c>
      <c r="R66" s="167">
        <f t="shared" si="57"/>
        <v>37</v>
      </c>
      <c r="S66" s="167" t="str">
        <f>IFERROR(VLOOKUP(MID(N66,Q66,R66-Q66),[6]skilldef!$C:$D,2,FALSE),"-") &amp; " / " &amp; IFERROR(VLOOKUP(MID(N66,O66,P66-O66),[6]skilldef!$A:$B,2,FALSE),"-")</f>
        <v>自分自身に / ステータス強化</v>
      </c>
      <c r="T66" s="157" t="str">
        <f t="shared" si="58"/>
        <v xml:space="preserve">[effect:fix_speed, target:myself, turn:1],[effect:rush, count:8, val:0.15]    </v>
      </c>
      <c r="U66" s="167">
        <f t="shared" si="59"/>
        <v>9</v>
      </c>
      <c r="V66" s="167">
        <f t="shared" si="60"/>
        <v>18</v>
      </c>
      <c r="W66" s="167">
        <f t="shared" si="61"/>
        <v>27</v>
      </c>
      <c r="X66" s="167">
        <f t="shared" si="62"/>
        <v>33</v>
      </c>
      <c r="Y66" s="167" t="str">
        <f>IFERROR(VLOOKUP(MID(T66,W66,X66-W66),[6]skilldef!$C:$D,2,FALSE),"-") &amp; " / " &amp; IFERROR(VLOOKUP(MID(T66,U66,V66-U66),[6]skilldef!$A:$B,2,FALSE),"-")</f>
        <v>自分自身に / 行動値設定</v>
      </c>
      <c r="Z66" s="148"/>
      <c r="AA66" s="150"/>
      <c r="AB66" s="148"/>
    </row>
    <row r="67" spans="1:28" s="147" customFormat="1" ht="28" x14ac:dyDescent="0.15">
      <c r="A67" s="147">
        <v>40037412</v>
      </c>
      <c r="B67" s="32" t="s">
        <v>359</v>
      </c>
      <c r="C67" s="34">
        <v>3</v>
      </c>
      <c r="D67" s="34" t="s">
        <v>128</v>
      </c>
      <c r="E67" s="35" t="s">
        <v>420</v>
      </c>
      <c r="F67" s="35" t="s">
        <v>356</v>
      </c>
      <c r="G67" s="167" t="str">
        <f t="shared" si="48"/>
        <v>[effect:rush, count:6, val:0.2]</v>
      </c>
      <c r="H67" s="167">
        <f t="shared" si="49"/>
        <v>9</v>
      </c>
      <c r="I67" s="167">
        <f t="shared" si="50"/>
        <v>13</v>
      </c>
      <c r="J67" s="167" t="e">
        <f t="shared" si="51"/>
        <v>#VALUE!</v>
      </c>
      <c r="K67" s="167">
        <f t="shared" si="52"/>
        <v>22</v>
      </c>
      <c r="L67" s="167" t="str">
        <f>IFERROR(VLOOKUP(MID(G67,J67,K67-J67),[6]skilldef!$C:$D,2,FALSE),"-") &amp; " / " &amp; IFERROR(VLOOKUP(MID(G67,H67,I67-H67),[6]skilldef!$A:$B,2,FALSE),"-")</f>
        <v>- / 連続攻撃</v>
      </c>
      <c r="M67" s="167" t="str">
        <f t="shared" si="53"/>
        <v>none</v>
      </c>
      <c r="N67" s="157" t="str">
        <f t="shared" si="63"/>
        <v>none</v>
      </c>
      <c r="O67" s="167" t="e">
        <f t="shared" si="54"/>
        <v>#VALUE!</v>
      </c>
      <c r="P67" s="167">
        <f t="shared" si="55"/>
        <v>4</v>
      </c>
      <c r="Q67" s="167" t="e">
        <f t="shared" si="56"/>
        <v>#VALUE!</v>
      </c>
      <c r="R67" s="167" t="e">
        <f t="shared" si="57"/>
        <v>#VALUE!</v>
      </c>
      <c r="S67" s="167" t="str">
        <f>IFERROR(VLOOKUP(MID(N67,Q67,R67-Q67),[6]skilldef!$C:$D,2,FALSE),"-") &amp; " / " &amp; IFERROR(VLOOKUP(MID(N67,O67,P67-O67),[6]skilldef!$A:$B,2,FALSE),"-")</f>
        <v>- / -</v>
      </c>
      <c r="T67" s="157" t="str">
        <f t="shared" si="58"/>
        <v>none</v>
      </c>
      <c r="U67" s="167" t="e">
        <f t="shared" si="59"/>
        <v>#VALUE!</v>
      </c>
      <c r="V67" s="167">
        <f t="shared" si="60"/>
        <v>4</v>
      </c>
      <c r="W67" s="167" t="e">
        <f t="shared" si="61"/>
        <v>#VALUE!</v>
      </c>
      <c r="X67" s="167" t="e">
        <f t="shared" si="62"/>
        <v>#VALUE!</v>
      </c>
      <c r="Y67" s="167" t="str">
        <f>IFERROR(VLOOKUP(MID(T67,W67,X67-W67),[6]skilldef!$C:$D,2,FALSE),"-") &amp; " / " &amp; IFERROR(VLOOKUP(MID(T67,U67,V67-U67),[6]skilldef!$A:$B,2,FALSE),"-")</f>
        <v>- / -</v>
      </c>
      <c r="Z67" s="148"/>
      <c r="AA67" s="150"/>
      <c r="AB67" s="148"/>
    </row>
    <row r="68" spans="1:28" s="147" customFormat="1" ht="28" x14ac:dyDescent="0.15">
      <c r="A68" s="147">
        <v>40037413</v>
      </c>
      <c r="B68" s="32" t="s">
        <v>357</v>
      </c>
      <c r="C68" s="34">
        <v>3</v>
      </c>
      <c r="D68" s="34" t="s">
        <v>128</v>
      </c>
      <c r="E68" s="35" t="s">
        <v>421</v>
      </c>
      <c r="F68" s="35" t="s">
        <v>358</v>
      </c>
      <c r="G68" s="167" t="str">
        <f t="shared" si="48"/>
        <v>[effect:rush, count:6, val:0.25]</v>
      </c>
      <c r="H68" s="167">
        <f t="shared" si="49"/>
        <v>9</v>
      </c>
      <c r="I68" s="167">
        <f t="shared" si="50"/>
        <v>13</v>
      </c>
      <c r="J68" s="167" t="e">
        <f t="shared" si="51"/>
        <v>#VALUE!</v>
      </c>
      <c r="K68" s="167">
        <f t="shared" si="52"/>
        <v>22</v>
      </c>
      <c r="L68" s="167" t="str">
        <f>IFERROR(VLOOKUP(MID(G68,J68,K68-J68),[6]skilldef!$C:$D,2,FALSE),"-") &amp; " / " &amp; IFERROR(VLOOKUP(MID(G68,H68,I68-H68),[6]skilldef!$A:$B,2,FALSE),"-")</f>
        <v>- / 連続攻撃</v>
      </c>
      <c r="M68" s="167" t="str">
        <f t="shared" si="53"/>
        <v>none</v>
      </c>
      <c r="N68" s="157" t="str">
        <f t="shared" si="63"/>
        <v>none</v>
      </c>
      <c r="O68" s="167" t="e">
        <f t="shared" si="54"/>
        <v>#VALUE!</v>
      </c>
      <c r="P68" s="167">
        <f t="shared" si="55"/>
        <v>4</v>
      </c>
      <c r="Q68" s="167" t="e">
        <f t="shared" si="56"/>
        <v>#VALUE!</v>
      </c>
      <c r="R68" s="167" t="e">
        <f t="shared" si="57"/>
        <v>#VALUE!</v>
      </c>
      <c r="S68" s="167" t="str">
        <f>IFERROR(VLOOKUP(MID(N68,Q68,R68-Q68),[6]skilldef!$C:$D,2,FALSE),"-") &amp; " / " &amp; IFERROR(VLOOKUP(MID(N68,O68,P68-O68),[6]skilldef!$A:$B,2,FALSE),"-")</f>
        <v>- / -</v>
      </c>
      <c r="T68" s="157" t="str">
        <f t="shared" si="58"/>
        <v>none</v>
      </c>
      <c r="U68" s="167" t="e">
        <f t="shared" si="59"/>
        <v>#VALUE!</v>
      </c>
      <c r="V68" s="167">
        <f t="shared" si="60"/>
        <v>4</v>
      </c>
      <c r="W68" s="167" t="e">
        <f t="shared" si="61"/>
        <v>#VALUE!</v>
      </c>
      <c r="X68" s="167" t="e">
        <f t="shared" si="62"/>
        <v>#VALUE!</v>
      </c>
      <c r="Y68" s="167" t="str">
        <f>IFERROR(VLOOKUP(MID(T68,W68,X68-W68),[6]skilldef!$C:$D,2,FALSE),"-") &amp; " / " &amp; IFERROR(VLOOKUP(MID(T68,U68,V68-U68),[6]skilldef!$A:$B,2,FALSE),"-")</f>
        <v>- / -</v>
      </c>
      <c r="Z68" s="148"/>
      <c r="AA68" s="150"/>
      <c r="AB68" s="148"/>
    </row>
    <row r="69" spans="1:28" s="147" customFormat="1" ht="70" x14ac:dyDescent="0.15">
      <c r="A69" s="147">
        <v>40037414</v>
      </c>
      <c r="B69" s="147" t="s">
        <v>419</v>
      </c>
      <c r="C69" s="34">
        <v>3</v>
      </c>
      <c r="D69" s="34" t="s">
        <v>128</v>
      </c>
      <c r="E69" s="149" t="s">
        <v>313</v>
      </c>
      <c r="F69" s="149" t="s">
        <v>412</v>
      </c>
      <c r="G69" s="167" t="str">
        <f t="shared" si="48"/>
        <v>[effect:enemy_message, val1:2, val2:2.4, dead_type:suicide]</v>
      </c>
      <c r="H69" s="167">
        <f t="shared" si="49"/>
        <v>9</v>
      </c>
      <c r="I69" s="167">
        <f t="shared" si="50"/>
        <v>22</v>
      </c>
      <c r="J69" s="167" t="e">
        <f t="shared" si="51"/>
        <v>#VALUE!</v>
      </c>
      <c r="K69" s="167">
        <f t="shared" si="52"/>
        <v>30</v>
      </c>
      <c r="L69" s="167" t="str">
        <f>IFERROR(VLOOKUP(MID(G69,J69,K69-J69),[6]skilldef!$C:$D,2,FALSE),"-") &amp; " / " &amp; IFERROR(VLOOKUP(MID(G69,H69,I69-H69),[6]skilldef!$A:$B,2,FALSE),"-")</f>
        <v>- / -</v>
      </c>
      <c r="M69" s="167" t="str">
        <f t="shared" si="53"/>
        <v>[effect:drop_freeze, turn:-1, block_type:normal, block_color:block_green, rate:0.4, animation:drop_protect],[effect:fix_speed, target:myself, turn:2]</v>
      </c>
      <c r="N69" s="157" t="str">
        <f t="shared" si="63"/>
        <v>[effect:drop_freeze, turn:-1, block_type:normal, block_color:block_green, rate:0.4, animation:drop_protect],[effect:fix_speed, target:myself, turn:2]</v>
      </c>
      <c r="O69" s="167">
        <f t="shared" si="54"/>
        <v>9</v>
      </c>
      <c r="P69" s="167">
        <f t="shared" si="55"/>
        <v>20</v>
      </c>
      <c r="Q69" s="167">
        <f t="shared" si="56"/>
        <v>135</v>
      </c>
      <c r="R69" s="167">
        <f t="shared" si="57"/>
        <v>29</v>
      </c>
      <c r="S69" s="167" t="str">
        <f>IFERROR(VLOOKUP(MID(N69,Q69,R69-Q69),[6]skilldef!$C:$D,2,FALSE),"-") &amp; " / " &amp; IFERROR(VLOOKUP(MID(N69,O69,P69-O69),[6]skilldef!$A:$B,2,FALSE),"-")</f>
        <v>- / -</v>
      </c>
      <c r="T69" s="157" t="str">
        <f t="shared" si="58"/>
        <v>[effect:fix_speed, target:myself, turn:2]</v>
      </c>
      <c r="U69" s="167">
        <f t="shared" si="59"/>
        <v>9</v>
      </c>
      <c r="V69" s="167">
        <f t="shared" si="60"/>
        <v>18</v>
      </c>
      <c r="W69" s="167">
        <f t="shared" si="61"/>
        <v>27</v>
      </c>
      <c r="X69" s="167">
        <f t="shared" si="62"/>
        <v>33</v>
      </c>
      <c r="Y69" s="167" t="str">
        <f>IFERROR(VLOOKUP(MID(T69,W69,X69-W69),[6]skilldef!$C:$D,2,FALSE),"-") &amp; " / " &amp; IFERROR(VLOOKUP(MID(T69,U69,V69-U69),[6]skilldef!$A:$B,2,FALSE),"-")</f>
        <v>自分自身に / 行動値設定</v>
      </c>
      <c r="Z69" s="148"/>
      <c r="AA69" s="150"/>
      <c r="AB69" s="148"/>
    </row>
    <row r="70" spans="1:28" s="147" customFormat="1" ht="28" x14ac:dyDescent="0.15">
      <c r="A70" s="147">
        <v>40037415</v>
      </c>
      <c r="B70" s="147" t="s">
        <v>320</v>
      </c>
      <c r="C70" s="34">
        <v>3</v>
      </c>
      <c r="D70" s="34" t="s">
        <v>128</v>
      </c>
      <c r="E70" s="149" t="s">
        <v>316</v>
      </c>
      <c r="F70" s="149" t="s">
        <v>396</v>
      </c>
      <c r="G70" s="167" t="str">
        <f t="shared" si="48"/>
        <v>[effect:enhance_enemy, target:myself, turn:-1, status:attack, val:3000, calc:add, animation:enemy_enhance_attack]</v>
      </c>
      <c r="H70" s="167">
        <f t="shared" si="49"/>
        <v>9</v>
      </c>
      <c r="I70" s="167">
        <f t="shared" si="50"/>
        <v>22</v>
      </c>
      <c r="J70" s="167">
        <f t="shared" si="51"/>
        <v>31</v>
      </c>
      <c r="K70" s="167">
        <f t="shared" si="52"/>
        <v>37</v>
      </c>
      <c r="L70" s="167" t="str">
        <f>IFERROR(VLOOKUP(MID(G70,J70,K70-J70),[6]skilldef!$C:$D,2,FALSE),"-") &amp; " / " &amp; IFERROR(VLOOKUP(MID(G70,H70,I70-H70),[6]skilldef!$A:$B,2,FALSE),"-")</f>
        <v>自分自身に / ステータス強化</v>
      </c>
      <c r="M70" s="167" t="str">
        <f t="shared" si="53"/>
        <v xml:space="preserve">[effect:fix_speed, target:myself, turn:1]    </v>
      </c>
      <c r="N70" s="157" t="str">
        <f t="shared" si="63"/>
        <v xml:space="preserve">[effect:fix_speed, target:myself, turn:1]    </v>
      </c>
      <c r="O70" s="167">
        <f t="shared" si="54"/>
        <v>9</v>
      </c>
      <c r="P70" s="167">
        <f t="shared" si="55"/>
        <v>18</v>
      </c>
      <c r="Q70" s="167">
        <f t="shared" si="56"/>
        <v>27</v>
      </c>
      <c r="R70" s="167">
        <f t="shared" si="57"/>
        <v>33</v>
      </c>
      <c r="S70" s="167" t="str">
        <f>IFERROR(VLOOKUP(MID(N70,Q70,R70-Q70),[6]skilldef!$C:$D,2,FALSE),"-") &amp; " / " &amp; IFERROR(VLOOKUP(MID(N70,O70,P70-O70),[6]skilldef!$A:$B,2,FALSE),"-")</f>
        <v>自分自身に / 行動値設定</v>
      </c>
      <c r="T70" s="157" t="str">
        <f t="shared" si="58"/>
        <v>none</v>
      </c>
      <c r="U70" s="167" t="e">
        <f t="shared" si="59"/>
        <v>#VALUE!</v>
      </c>
      <c r="V70" s="167">
        <f t="shared" si="60"/>
        <v>4</v>
      </c>
      <c r="W70" s="167" t="e">
        <f t="shared" si="61"/>
        <v>#VALUE!</v>
      </c>
      <c r="X70" s="167" t="e">
        <f t="shared" si="62"/>
        <v>#VALUE!</v>
      </c>
      <c r="Y70" s="167" t="str">
        <f>IFERROR(VLOOKUP(MID(T70,W70,X70-W70),[6]skilldef!$C:$D,2,FALSE),"-") &amp; " / " &amp; IFERROR(VLOOKUP(MID(T70,U70,V70-U70),[6]skilldef!$A:$B,2,FALSE),"-")</f>
        <v>- / -</v>
      </c>
      <c r="Z70" s="148"/>
      <c r="AA70" s="150"/>
      <c r="AB70" s="148"/>
    </row>
    <row r="71" spans="1:28" s="147" customFormat="1" ht="70" x14ac:dyDescent="0.15">
      <c r="A71" s="147">
        <v>40037416</v>
      </c>
      <c r="B71" s="147" t="s">
        <v>422</v>
      </c>
      <c r="C71" s="34">
        <v>3</v>
      </c>
      <c r="D71" s="34" t="s">
        <v>128</v>
      </c>
      <c r="E71" s="149" t="s">
        <v>314</v>
      </c>
      <c r="F71" s="149" t="s">
        <v>329</v>
      </c>
      <c r="G71" s="167" t="str">
        <f t="shared" si="48"/>
        <v>[effect:enemy_message, val1:2, val2:2.4, dead_type:suicide]</v>
      </c>
      <c r="H71" s="167">
        <f t="shared" si="49"/>
        <v>9</v>
      </c>
      <c r="I71" s="167">
        <f t="shared" si="50"/>
        <v>22</v>
      </c>
      <c r="J71" s="167" t="e">
        <f t="shared" si="51"/>
        <v>#VALUE!</v>
      </c>
      <c r="K71" s="167">
        <f t="shared" si="52"/>
        <v>30</v>
      </c>
      <c r="L71" s="167" t="str">
        <f>IFERROR(VLOOKUP(MID(G71,J71,K71-J71),[6]skilldef!$C:$D,2,FALSE),"-") &amp; " / " &amp; IFERROR(VLOOKUP(MID(G71,H71,I71-H71),[6]skilldef!$A:$B,2,FALSE),"-")</f>
        <v>- / -</v>
      </c>
      <c r="M71" s="167" t="str">
        <f t="shared" si="53"/>
        <v>[effect:spread, val:0.4],[effect:degrade_unit, target:unit_all, turn:3, status:heal, val:0.9, calc:mul, animation:degrade_unit_all_heal]</v>
      </c>
      <c r="N71" s="157" t="str">
        <f t="shared" ref="N71:N85" si="65">IFERROR(LEFT(M71,FIND("],",M71)+S86),M71)</f>
        <v>[effect:spread, val:0.4],[effect:degrade_unit, target:unit_all, turn:3, status:heal, val:0.9, calc:mul, animation:degrade_unit_all_heal]</v>
      </c>
      <c r="O71" s="167">
        <f t="shared" si="54"/>
        <v>9</v>
      </c>
      <c r="P71" s="167">
        <f t="shared" si="55"/>
        <v>15</v>
      </c>
      <c r="Q71" s="167">
        <f t="shared" si="56"/>
        <v>55</v>
      </c>
      <c r="R71" s="167">
        <f t="shared" si="57"/>
        <v>25</v>
      </c>
      <c r="S71" s="167" t="str">
        <f>IFERROR(VLOOKUP(MID(N71,Q71,R71-Q71),[6]skilldef!$C:$D,2,FALSE),"-") &amp; " / " &amp; IFERROR(VLOOKUP(MID(N71,O71,P71-O71),[6]skilldef!$A:$B,2,FALSE),"-")</f>
        <v>- / 全体攻撃</v>
      </c>
      <c r="T71" s="157" t="str">
        <f t="shared" si="58"/>
        <v>[effect:degrade_unit, target:unit_all, turn:3, status:heal, val:0.9, calc:mul, animation:degrade_unit_all_heal]</v>
      </c>
      <c r="U71" s="167">
        <f t="shared" si="59"/>
        <v>9</v>
      </c>
      <c r="V71" s="167">
        <f t="shared" si="60"/>
        <v>21</v>
      </c>
      <c r="W71" s="167">
        <f t="shared" si="61"/>
        <v>30</v>
      </c>
      <c r="X71" s="167">
        <f t="shared" si="62"/>
        <v>38</v>
      </c>
      <c r="Y71" s="167" t="str">
        <f>IFERROR(VLOOKUP(MID(T71,W71,X71-W71),[6]skilldef!$C:$D,2,FALSE),"-") &amp; " / " &amp; IFERROR(VLOOKUP(MID(T71,U71,V71-U71),[6]skilldef!$A:$B,2,FALSE),"-")</f>
        <v>味方全体に / ステータスDOWN</v>
      </c>
      <c r="Z71" s="148"/>
      <c r="AA71" s="150"/>
      <c r="AB71" s="148"/>
    </row>
    <row r="72" spans="1:28" s="147" customFormat="1" ht="28" x14ac:dyDescent="0.15">
      <c r="A72" s="147">
        <v>40037417</v>
      </c>
      <c r="B72" s="32" t="s">
        <v>361</v>
      </c>
      <c r="C72" s="34">
        <v>3</v>
      </c>
      <c r="D72" s="34" t="s">
        <v>128</v>
      </c>
      <c r="E72" s="35" t="s">
        <v>315</v>
      </c>
      <c r="F72" s="35" t="s">
        <v>362</v>
      </c>
      <c r="G72" s="167" t="str">
        <f t="shared" si="48"/>
        <v>[effect:enhance_enemy, target:myself, turn:3, status:attack, val:3000, calc:add, animation:enemy_enhance_attack]</v>
      </c>
      <c r="H72" s="167">
        <f t="shared" si="49"/>
        <v>9</v>
      </c>
      <c r="I72" s="167">
        <f t="shared" si="50"/>
        <v>22</v>
      </c>
      <c r="J72" s="167">
        <f t="shared" si="51"/>
        <v>31</v>
      </c>
      <c r="K72" s="167">
        <f t="shared" si="52"/>
        <v>37</v>
      </c>
      <c r="L72" s="167" t="str">
        <f>IFERROR(VLOOKUP(MID(G72,J72,K72-J72),[6]skilldef!$C:$D,2,FALSE),"-") &amp; " / " &amp; IFERROR(VLOOKUP(MID(G72,H72,I72-H72),[6]skilldef!$A:$B,2,FALSE),"-")</f>
        <v>自分自身に / ステータス強化</v>
      </c>
      <c r="M72" s="167" t="str">
        <f t="shared" si="53"/>
        <v>none</v>
      </c>
      <c r="N72" s="157" t="str">
        <f t="shared" si="65"/>
        <v>none</v>
      </c>
      <c r="O72" s="167" t="e">
        <f t="shared" si="54"/>
        <v>#VALUE!</v>
      </c>
      <c r="P72" s="167">
        <f t="shared" si="55"/>
        <v>4</v>
      </c>
      <c r="Q72" s="167" t="e">
        <f t="shared" si="56"/>
        <v>#VALUE!</v>
      </c>
      <c r="R72" s="167" t="e">
        <f t="shared" si="57"/>
        <v>#VALUE!</v>
      </c>
      <c r="S72" s="167" t="str">
        <f>IFERROR(VLOOKUP(MID(N72,Q72,R72-Q72),[6]skilldef!$C:$D,2,FALSE),"-") &amp; " / " &amp; IFERROR(VLOOKUP(MID(N72,O72,P72-O72),[6]skilldef!$A:$B,2,FALSE),"-")</f>
        <v>- / -</v>
      </c>
      <c r="T72" s="157" t="str">
        <f t="shared" si="58"/>
        <v>none</v>
      </c>
      <c r="U72" s="167" t="e">
        <f t="shared" si="59"/>
        <v>#VALUE!</v>
      </c>
      <c r="V72" s="167">
        <f t="shared" si="60"/>
        <v>4</v>
      </c>
      <c r="W72" s="167" t="e">
        <f t="shared" si="61"/>
        <v>#VALUE!</v>
      </c>
      <c r="X72" s="167" t="e">
        <f t="shared" si="62"/>
        <v>#VALUE!</v>
      </c>
      <c r="Y72" s="167" t="str">
        <f>IFERROR(VLOOKUP(MID(T72,W72,X72-W72),[6]skilldef!$C:$D,2,FALSE),"-") &amp; " / " &amp; IFERROR(VLOOKUP(MID(T72,U72,V72-U72),[6]skilldef!$A:$B,2,FALSE),"-")</f>
        <v>- / -</v>
      </c>
      <c r="Z72" s="148"/>
      <c r="AA72" s="150"/>
      <c r="AB72" s="148"/>
    </row>
    <row r="73" spans="1:28" s="147" customFormat="1" ht="112" x14ac:dyDescent="0.15">
      <c r="A73" s="147">
        <v>40037418</v>
      </c>
      <c r="B73" s="147" t="s">
        <v>416</v>
      </c>
      <c r="C73" s="34">
        <v>3</v>
      </c>
      <c r="D73" s="34" t="s">
        <v>128</v>
      </c>
      <c r="E73" s="149" t="s">
        <v>280</v>
      </c>
      <c r="F73" s="149" t="s">
        <v>406</v>
      </c>
      <c r="G73" s="167" t="str">
        <f t="shared" si="48"/>
        <v>[effect:enemy_message, val1:2, val2:2.4, dead_type:suicide]</v>
      </c>
      <c r="H73" s="167">
        <f t="shared" si="49"/>
        <v>9</v>
      </c>
      <c r="I73" s="167">
        <f t="shared" si="50"/>
        <v>22</v>
      </c>
      <c r="J73" s="167" t="e">
        <f t="shared" si="51"/>
        <v>#VALUE!</v>
      </c>
      <c r="K73" s="167">
        <f t="shared" si="52"/>
        <v>30</v>
      </c>
      <c r="L73" s="167" t="str">
        <f>IFERROR(VLOOKUP(MID(G73,J73,K73-J73),[6]skilldef!$C:$D,2,FALSE),"-") &amp; " / " &amp; IFERROR(VLOOKUP(MID(G73,H73,I73-H73),[6]skilldef!$A:$B,2,FALSE),"-")</f>
        <v>- / -</v>
      </c>
      <c r="M73" s="167" t="str">
        <f t="shared" si="53"/>
        <v xml:space="preserve">[effect:tolerance, target:myself, turn:-1, count:-1, tolerance_effect:all, animation:enemy_tolerance],[effect:drop_freeze, turn:-1, block_type:normal, block_color:block_heart, rate:0.6, animation:drop_protect]    </v>
      </c>
      <c r="N73" s="157" t="str">
        <f t="shared" si="65"/>
        <v xml:space="preserve">[effect:tolerance, target:myself, turn:-1, count:-1, tolerance_effect:all, animation:enemy_tolerance],[effect:drop_freeze, turn:-1, block_type:normal, block_color:block_heart, rate:0.6, animation:drop_protect]    </v>
      </c>
      <c r="O73" s="167">
        <f t="shared" si="54"/>
        <v>9</v>
      </c>
      <c r="P73" s="167">
        <f t="shared" si="55"/>
        <v>18</v>
      </c>
      <c r="Q73" s="167">
        <f t="shared" si="56"/>
        <v>27</v>
      </c>
      <c r="R73" s="167">
        <f t="shared" si="57"/>
        <v>33</v>
      </c>
      <c r="S73" s="167" t="str">
        <f>IFERROR(VLOOKUP(MID(N73,Q73,R73-Q73),[6]skilldef!$C:$D,2,FALSE),"-") &amp; " / " &amp; IFERROR(VLOOKUP(MID(N73,O73,P73-O73),[6]skilldef!$A:$B,2,FALSE),"-")</f>
        <v>自分自身に / 状態異常耐性</v>
      </c>
      <c r="T73" s="157" t="str">
        <f t="shared" si="58"/>
        <v xml:space="preserve">[effect:drop_freeze, turn:-1, block_type:normal, block_color:block_heart, rate:0.6, animation:drop_protect]    </v>
      </c>
      <c r="U73" s="167">
        <f t="shared" si="59"/>
        <v>9</v>
      </c>
      <c r="V73" s="167">
        <f t="shared" si="60"/>
        <v>20</v>
      </c>
      <c r="W73" s="167" t="e">
        <f t="shared" si="61"/>
        <v>#VALUE!</v>
      </c>
      <c r="X73" s="167">
        <f t="shared" si="62"/>
        <v>29</v>
      </c>
      <c r="Y73" s="167" t="str">
        <f>IFERROR(VLOOKUP(MID(T73,W73,X73-W73),[6]skilldef!$C:$D,2,FALSE),"-") &amp; " / " &amp; IFERROR(VLOOKUP(MID(T73,U73,V73-U73),[6]skilldef!$A:$B,2,FALSE),"-")</f>
        <v>- / -</v>
      </c>
      <c r="Z73" s="148"/>
      <c r="AA73" s="150"/>
      <c r="AB73" s="148"/>
    </row>
    <row r="74" spans="1:28" s="147" customFormat="1" ht="112" x14ac:dyDescent="0.15">
      <c r="A74" s="147">
        <v>40037419</v>
      </c>
      <c r="B74" s="147" t="s">
        <v>416</v>
      </c>
      <c r="C74" s="34">
        <v>3</v>
      </c>
      <c r="D74" s="34" t="s">
        <v>128</v>
      </c>
      <c r="E74" s="149" t="s">
        <v>464</v>
      </c>
      <c r="F74" s="149" t="s">
        <v>406</v>
      </c>
      <c r="G74" s="167" t="str">
        <f t="shared" si="48"/>
        <v>[effect:enemy_message, val1:2, val2:2.4, dead_type:suicide]</v>
      </c>
      <c r="H74" s="167">
        <f t="shared" si="49"/>
        <v>9</v>
      </c>
      <c r="I74" s="167">
        <f t="shared" si="50"/>
        <v>22</v>
      </c>
      <c r="J74" s="167" t="e">
        <f t="shared" si="51"/>
        <v>#VALUE!</v>
      </c>
      <c r="K74" s="167">
        <f t="shared" si="52"/>
        <v>30</v>
      </c>
      <c r="L74" s="167" t="str">
        <f>IFERROR(VLOOKUP(MID(G74,J74,K74-J74),[6]skilldef!$C:$D,2,FALSE),"-") &amp; " / " &amp; IFERROR(VLOOKUP(MID(G74,H74,I74-H74),[6]skilldef!$A:$B,2,FALSE),"-")</f>
        <v>- / -</v>
      </c>
      <c r="M74" s="167" t="str">
        <f t="shared" si="53"/>
        <v xml:space="preserve">[effect:tolerance, target:myself, turn:-1, count:-1, tolerance_effect:all, animation:enemy_tolerance],[effect:drop_freeze, turn:-1, block_type:normal, block_color:block_heart, rate:0.6, animation:drop_protect]    </v>
      </c>
      <c r="N74" s="157" t="str">
        <f t="shared" si="65"/>
        <v xml:space="preserve">[effect:tolerance, target:myself, turn:-1, count:-1, tolerance_effect:all, animation:enemy_tolerance],[effect:drop_freeze, turn:-1, block_type:normal, block_color:block_heart, rate:0.6, animation:drop_protect]    </v>
      </c>
      <c r="O74" s="167">
        <f t="shared" si="54"/>
        <v>9</v>
      </c>
      <c r="P74" s="167">
        <f t="shared" si="55"/>
        <v>18</v>
      </c>
      <c r="Q74" s="167">
        <f t="shared" si="56"/>
        <v>27</v>
      </c>
      <c r="R74" s="167">
        <f t="shared" si="57"/>
        <v>33</v>
      </c>
      <c r="S74" s="167" t="str">
        <f>IFERROR(VLOOKUP(MID(N74,Q74,R74-Q74),[6]skilldef!$C:$D,2,FALSE),"-") &amp; " / " &amp; IFERROR(VLOOKUP(MID(N74,O74,P74-O74),[6]skilldef!$A:$B,2,FALSE),"-")</f>
        <v>自分自身に / 状態異常耐性</v>
      </c>
      <c r="T74" s="157" t="str">
        <f t="shared" si="58"/>
        <v xml:space="preserve">[effect:drop_freeze, turn:-1, block_type:normal, block_color:block_heart, rate:0.6, animation:drop_protect]    </v>
      </c>
      <c r="U74" s="167">
        <f t="shared" si="59"/>
        <v>9</v>
      </c>
      <c r="V74" s="167">
        <f t="shared" si="60"/>
        <v>20</v>
      </c>
      <c r="W74" s="167" t="e">
        <f t="shared" si="61"/>
        <v>#VALUE!</v>
      </c>
      <c r="X74" s="167">
        <f t="shared" si="62"/>
        <v>29</v>
      </c>
      <c r="Y74" s="167" t="str">
        <f>IFERROR(VLOOKUP(MID(T74,W74,X74-W74),[6]skilldef!$C:$D,2,FALSE),"-") &amp; " / " &amp; IFERROR(VLOOKUP(MID(T74,U74,V74-U74),[6]skilldef!$A:$B,2,FALSE),"-")</f>
        <v>- / -</v>
      </c>
      <c r="Z74" s="148"/>
      <c r="AA74" s="150"/>
      <c r="AB74" s="148"/>
    </row>
    <row r="75" spans="1:28" s="147" customFormat="1" ht="112" x14ac:dyDescent="0.15">
      <c r="A75" s="147">
        <v>40037420</v>
      </c>
      <c r="B75" s="147" t="s">
        <v>416</v>
      </c>
      <c r="C75" s="34">
        <v>3</v>
      </c>
      <c r="D75" s="34" t="s">
        <v>128</v>
      </c>
      <c r="E75" s="149" t="s">
        <v>378</v>
      </c>
      <c r="F75" s="149" t="s">
        <v>406</v>
      </c>
      <c r="G75" s="167" t="str">
        <f t="shared" si="48"/>
        <v>[effect:enemy_message, val1:2, val2:2.4, dead_type:suicide]</v>
      </c>
      <c r="H75" s="167">
        <f t="shared" si="49"/>
        <v>9</v>
      </c>
      <c r="I75" s="167">
        <f t="shared" si="50"/>
        <v>22</v>
      </c>
      <c r="J75" s="167" t="e">
        <f t="shared" si="51"/>
        <v>#VALUE!</v>
      </c>
      <c r="K75" s="167">
        <f t="shared" si="52"/>
        <v>30</v>
      </c>
      <c r="L75" s="167" t="str">
        <f>IFERROR(VLOOKUP(MID(G75,J75,K75-J75),[6]skilldef!$C:$D,2,FALSE),"-") &amp; " / " &amp; IFERROR(VLOOKUP(MID(G75,H75,I75-H75),[6]skilldef!$A:$B,2,FALSE),"-")</f>
        <v>- / -</v>
      </c>
      <c r="M75" s="167" t="str">
        <f t="shared" si="53"/>
        <v xml:space="preserve">[effect:tolerance, target:myself, turn:-1, count:-1, tolerance_effect:all, animation:enemy_tolerance],[effect:drop_freeze, turn:-1, block_type:normal, block_color:block_heart, rate:0.6, animation:drop_protect]    </v>
      </c>
      <c r="N75" s="157" t="str">
        <f t="shared" si="65"/>
        <v xml:space="preserve">[effect:tolerance, target:myself, turn:-1, count:-1, tolerance_effect:all, animation:enemy_tolerance],[effect:drop_freeze, turn:-1, block_type:normal, block_color:block_heart, rate:0.6, animation:drop_protect]    </v>
      </c>
      <c r="O75" s="167">
        <f t="shared" si="54"/>
        <v>9</v>
      </c>
      <c r="P75" s="167">
        <f t="shared" si="55"/>
        <v>18</v>
      </c>
      <c r="Q75" s="167">
        <f t="shared" si="56"/>
        <v>27</v>
      </c>
      <c r="R75" s="167">
        <f t="shared" si="57"/>
        <v>33</v>
      </c>
      <c r="S75" s="167" t="str">
        <f>IFERROR(VLOOKUP(MID(N75,Q75,R75-Q75),[6]skilldef!$C:$D,2,FALSE),"-") &amp; " / " &amp; IFERROR(VLOOKUP(MID(N75,O75,P75-O75),[6]skilldef!$A:$B,2,FALSE),"-")</f>
        <v>自分自身に / 状態異常耐性</v>
      </c>
      <c r="T75" s="157" t="str">
        <f t="shared" si="58"/>
        <v xml:space="preserve">[effect:drop_freeze, turn:-1, block_type:normal, block_color:block_heart, rate:0.6, animation:drop_protect]    </v>
      </c>
      <c r="U75" s="167">
        <f t="shared" si="59"/>
        <v>9</v>
      </c>
      <c r="V75" s="167">
        <f t="shared" si="60"/>
        <v>20</v>
      </c>
      <c r="W75" s="167" t="e">
        <f t="shared" si="61"/>
        <v>#VALUE!</v>
      </c>
      <c r="X75" s="167">
        <f t="shared" si="62"/>
        <v>29</v>
      </c>
      <c r="Y75" s="167" t="str">
        <f>IFERROR(VLOOKUP(MID(T75,W75,X75-W75),[6]skilldef!$C:$D,2,FALSE),"-") &amp; " / " &amp; IFERROR(VLOOKUP(MID(T75,U75,V75-U75),[6]skilldef!$A:$B,2,FALSE),"-")</f>
        <v>- / -</v>
      </c>
      <c r="Z75" s="148"/>
      <c r="AA75" s="150"/>
      <c r="AB75" s="148"/>
    </row>
    <row r="76" spans="1:28" s="147" customFormat="1" ht="112" x14ac:dyDescent="0.15">
      <c r="A76" s="147">
        <v>40037421</v>
      </c>
      <c r="B76" s="147" t="s">
        <v>416</v>
      </c>
      <c r="C76" s="34">
        <v>3</v>
      </c>
      <c r="D76" s="34" t="s">
        <v>128</v>
      </c>
      <c r="E76" s="149" t="s">
        <v>379</v>
      </c>
      <c r="F76" s="149" t="s">
        <v>406</v>
      </c>
      <c r="G76" s="167" t="str">
        <f t="shared" si="48"/>
        <v>[effect:enemy_message, val1:2, val2:2.4, dead_type:suicide]</v>
      </c>
      <c r="H76" s="167">
        <f t="shared" si="49"/>
        <v>9</v>
      </c>
      <c r="I76" s="167">
        <f t="shared" si="50"/>
        <v>22</v>
      </c>
      <c r="J76" s="167" t="e">
        <f t="shared" si="51"/>
        <v>#VALUE!</v>
      </c>
      <c r="K76" s="167">
        <f t="shared" si="52"/>
        <v>30</v>
      </c>
      <c r="L76" s="167" t="str">
        <f>IFERROR(VLOOKUP(MID(G76,J76,K76-J76),[6]skilldef!$C:$D,2,FALSE),"-") &amp; " / " &amp; IFERROR(VLOOKUP(MID(G76,H76,I76-H76),[6]skilldef!$A:$B,2,FALSE),"-")</f>
        <v>- / -</v>
      </c>
      <c r="M76" s="167" t="str">
        <f t="shared" si="53"/>
        <v xml:space="preserve">[effect:tolerance, target:myself, turn:-1, count:-1, tolerance_effect:all, animation:enemy_tolerance],[effect:drop_freeze, turn:-1, block_type:normal, block_color:block_heart, rate:0.6, animation:drop_protect]    </v>
      </c>
      <c r="N76" s="157" t="str">
        <f t="shared" si="65"/>
        <v xml:space="preserve">[effect:tolerance, target:myself, turn:-1, count:-1, tolerance_effect:all, animation:enemy_tolerance],[effect:drop_freeze, turn:-1, block_type:normal, block_color:block_heart, rate:0.6, animation:drop_protect]    </v>
      </c>
      <c r="O76" s="167">
        <f t="shared" si="54"/>
        <v>9</v>
      </c>
      <c r="P76" s="167">
        <f t="shared" si="55"/>
        <v>18</v>
      </c>
      <c r="Q76" s="167">
        <f t="shared" si="56"/>
        <v>27</v>
      </c>
      <c r="R76" s="167">
        <f t="shared" si="57"/>
        <v>33</v>
      </c>
      <c r="S76" s="167" t="str">
        <f>IFERROR(VLOOKUP(MID(N76,Q76,R76-Q76),[6]skilldef!$C:$D,2,FALSE),"-") &amp; " / " &amp; IFERROR(VLOOKUP(MID(N76,O76,P76-O76),[6]skilldef!$A:$B,2,FALSE),"-")</f>
        <v>自分自身に / 状態異常耐性</v>
      </c>
      <c r="T76" s="157" t="str">
        <f t="shared" si="58"/>
        <v xml:space="preserve">[effect:drop_freeze, turn:-1, block_type:normal, block_color:block_heart, rate:0.6, animation:drop_protect]    </v>
      </c>
      <c r="U76" s="167">
        <f t="shared" si="59"/>
        <v>9</v>
      </c>
      <c r="V76" s="167">
        <f t="shared" si="60"/>
        <v>20</v>
      </c>
      <c r="W76" s="167" t="e">
        <f t="shared" si="61"/>
        <v>#VALUE!</v>
      </c>
      <c r="X76" s="167">
        <f t="shared" si="62"/>
        <v>29</v>
      </c>
      <c r="Y76" s="167" t="str">
        <f>IFERROR(VLOOKUP(MID(T76,W76,X76-W76),[6]skilldef!$C:$D,2,FALSE),"-") &amp; " / " &amp; IFERROR(VLOOKUP(MID(T76,U76,V76-U76),[6]skilldef!$A:$B,2,FALSE),"-")</f>
        <v>- / -</v>
      </c>
      <c r="Z76" s="148"/>
      <c r="AA76" s="150"/>
      <c r="AB76" s="148"/>
    </row>
    <row r="77" spans="1:28" s="147" customFormat="1" x14ac:dyDescent="0.15">
      <c r="A77" s="147">
        <v>40037422</v>
      </c>
      <c r="B77" s="147" t="s">
        <v>256</v>
      </c>
      <c r="C77" s="34">
        <v>3</v>
      </c>
      <c r="D77" s="34" t="s">
        <v>128</v>
      </c>
      <c r="E77" s="149" t="s">
        <v>377</v>
      </c>
      <c r="F77" s="149" t="s">
        <v>271</v>
      </c>
      <c r="G77" s="167" t="str">
        <f t="shared" si="48"/>
        <v>[effect:spread, val:0.2]</v>
      </c>
      <c r="H77" s="167">
        <f t="shared" si="49"/>
        <v>9</v>
      </c>
      <c r="I77" s="167">
        <f t="shared" si="50"/>
        <v>15</v>
      </c>
      <c r="J77" s="167" t="e">
        <f t="shared" si="51"/>
        <v>#VALUE!</v>
      </c>
      <c r="K77" s="167" t="e">
        <f t="shared" si="52"/>
        <v>#VALUE!</v>
      </c>
      <c r="L77" s="167" t="str">
        <f>IFERROR(VLOOKUP(MID(G77,J77,K77-J77),[6]skilldef!$C:$D,2,FALSE),"-") &amp; " / " &amp; IFERROR(VLOOKUP(MID(G77,H77,I77-H77),[6]skilldef!$A:$B,2,FALSE),"-")</f>
        <v>- / 全体攻撃</v>
      </c>
      <c r="M77" s="167" t="str">
        <f t="shared" si="53"/>
        <v xml:space="preserve">[effect:rush, count:8, val:0.2]    </v>
      </c>
      <c r="N77" s="157" t="str">
        <f t="shared" si="65"/>
        <v xml:space="preserve">[effect:rush, count:8, val:0.2]    </v>
      </c>
      <c r="O77" s="167">
        <f t="shared" si="54"/>
        <v>9</v>
      </c>
      <c r="P77" s="167">
        <f t="shared" si="55"/>
        <v>13</v>
      </c>
      <c r="Q77" s="167" t="e">
        <f t="shared" si="56"/>
        <v>#VALUE!</v>
      </c>
      <c r="R77" s="167">
        <f t="shared" si="57"/>
        <v>22</v>
      </c>
      <c r="S77" s="167" t="str">
        <f>IFERROR(VLOOKUP(MID(N77,Q77,R77-Q77),[6]skilldef!$C:$D,2,FALSE),"-") &amp; " / " &amp; IFERROR(VLOOKUP(MID(N77,O77,P77-O77),[6]skilldef!$A:$B,2,FALSE),"-")</f>
        <v>- / 連続攻撃</v>
      </c>
      <c r="T77" s="157" t="str">
        <f t="shared" si="58"/>
        <v>none</v>
      </c>
      <c r="U77" s="167" t="e">
        <f t="shared" si="59"/>
        <v>#VALUE!</v>
      </c>
      <c r="V77" s="167">
        <f t="shared" si="60"/>
        <v>4</v>
      </c>
      <c r="W77" s="167" t="e">
        <f t="shared" si="61"/>
        <v>#VALUE!</v>
      </c>
      <c r="X77" s="167" t="e">
        <f t="shared" si="62"/>
        <v>#VALUE!</v>
      </c>
      <c r="Y77" s="167" t="str">
        <f>IFERROR(VLOOKUP(MID(T77,W77,X77-W77),[6]skilldef!$C:$D,2,FALSE),"-") &amp; " / " &amp; IFERROR(VLOOKUP(MID(T77,U77,V77-U77),[6]skilldef!$A:$B,2,FALSE),"-")</f>
        <v>- / -</v>
      </c>
      <c r="Z77" s="148"/>
      <c r="AA77" s="150"/>
      <c r="AB77" s="148"/>
    </row>
    <row r="78" spans="1:28" s="147" customFormat="1" ht="56" x14ac:dyDescent="0.15">
      <c r="A78" s="147">
        <v>40037423</v>
      </c>
      <c r="B78" s="147" t="s">
        <v>260</v>
      </c>
      <c r="C78" s="34">
        <v>3</v>
      </c>
      <c r="D78" s="34" t="s">
        <v>128</v>
      </c>
      <c r="E78" s="149" t="s">
        <v>372</v>
      </c>
      <c r="F78" s="149" t="s">
        <v>330</v>
      </c>
      <c r="G78" s="167" t="str">
        <f t="shared" si="48"/>
        <v>[effect:panel_freeze, target:crash, count:-1]</v>
      </c>
      <c r="H78" s="167">
        <f t="shared" si="49"/>
        <v>9</v>
      </c>
      <c r="I78" s="167">
        <f t="shared" si="50"/>
        <v>21</v>
      </c>
      <c r="J78" s="167">
        <f t="shared" si="51"/>
        <v>30</v>
      </c>
      <c r="K78" s="167">
        <f t="shared" si="52"/>
        <v>35</v>
      </c>
      <c r="L78" s="167" t="str">
        <f>IFERROR(VLOOKUP(MID(G78,J78,K78-J78),[6]skilldef!$C:$D,2,FALSE),"-") &amp; " / " &amp; IFERROR(VLOOKUP(MID(G78,H78,I78-H78),[6]skilldef!$A:$B,2,FALSE),"-")</f>
        <v>- / -</v>
      </c>
      <c r="M78" s="167" t="str">
        <f t="shared" si="53"/>
        <v xml:space="preserve">[effect:force_change_block, new_block:block_yellow, target:block_heart, count:0, val:0, animation:change_block]    </v>
      </c>
      <c r="N78" s="157" t="str">
        <f t="shared" si="65"/>
        <v xml:space="preserve">[effect:force_change_block, new_block:block_yellow, target:block_heart, count:0, val:0, animation:change_block]    </v>
      </c>
      <c r="O78" s="167">
        <f t="shared" si="54"/>
        <v>9</v>
      </c>
      <c r="P78" s="167">
        <f t="shared" si="55"/>
        <v>27</v>
      </c>
      <c r="Q78" s="167">
        <f t="shared" si="56"/>
        <v>60</v>
      </c>
      <c r="R78" s="167">
        <f t="shared" si="57"/>
        <v>51</v>
      </c>
      <c r="S78" s="167" t="str">
        <f>IFERROR(VLOOKUP(MID(N78,Q78,R78-Q78),[6]skilldef!$C:$D,2,FALSE),"-") &amp; " / " &amp; IFERROR(VLOOKUP(MID(N78,O78,P78-O78),[6]skilldef!$A:$B,2,FALSE),"-")</f>
        <v>- / -</v>
      </c>
      <c r="T78" s="157" t="str">
        <f t="shared" si="58"/>
        <v>none</v>
      </c>
      <c r="U78" s="167" t="e">
        <f t="shared" si="59"/>
        <v>#VALUE!</v>
      </c>
      <c r="V78" s="167">
        <f t="shared" si="60"/>
        <v>4</v>
      </c>
      <c r="W78" s="167" t="e">
        <f t="shared" si="61"/>
        <v>#VALUE!</v>
      </c>
      <c r="X78" s="167" t="e">
        <f t="shared" si="62"/>
        <v>#VALUE!</v>
      </c>
      <c r="Y78" s="167" t="str">
        <f>IFERROR(VLOOKUP(MID(T78,W78,X78-W78),[6]skilldef!$C:$D,2,FALSE),"-") &amp; " / " &amp; IFERROR(VLOOKUP(MID(T78,U78,V78-U78),[6]skilldef!$A:$B,2,FALSE),"-")</f>
        <v>- / -</v>
      </c>
      <c r="Z78" s="148"/>
      <c r="AA78" s="150"/>
      <c r="AB78" s="148"/>
    </row>
    <row r="79" spans="1:28" s="147" customFormat="1" ht="98" x14ac:dyDescent="0.15">
      <c r="A79" s="147">
        <v>40037424</v>
      </c>
      <c r="B79" s="147" t="s">
        <v>417</v>
      </c>
      <c r="C79" s="34">
        <v>3</v>
      </c>
      <c r="D79" s="34" t="s">
        <v>128</v>
      </c>
      <c r="E79" s="149" t="s">
        <v>286</v>
      </c>
      <c r="F79" s="149" t="s">
        <v>407</v>
      </c>
      <c r="G79" s="167" t="str">
        <f t="shared" si="48"/>
        <v>[effect:enemy_message, val1:2, val2:2.4, dead_type:suicide]</v>
      </c>
      <c r="H79" s="167">
        <f t="shared" si="49"/>
        <v>9</v>
      </c>
      <c r="I79" s="167">
        <f t="shared" si="50"/>
        <v>22</v>
      </c>
      <c r="J79" s="167" t="e">
        <f t="shared" si="51"/>
        <v>#VALUE!</v>
      </c>
      <c r="K79" s="167">
        <f t="shared" si="52"/>
        <v>30</v>
      </c>
      <c r="L79" s="167" t="str">
        <f>IFERROR(VLOOKUP(MID(G79,J79,K79-J79),[6]skilldef!$C:$D,2,FALSE),"-") &amp; " / " &amp; IFERROR(VLOOKUP(MID(G79,H79,I79-H79),[6]skilldef!$A:$B,2,FALSE),"-")</f>
        <v>- / -</v>
      </c>
      <c r="M79" s="167" t="str">
        <f t="shared" si="53"/>
        <v xml:space="preserve">[effect:tolerance, target:myself, turn:-1, count:-1, tolerance_effect:all, animation:enemy_tolerance],[effect:drop_freeze, turn:-1, block_type:normal, rate:0.5, animation:drop_protect]    </v>
      </c>
      <c r="N79" s="157" t="str">
        <f t="shared" si="65"/>
        <v xml:space="preserve">[effect:tolerance, target:myself, turn:-1, count:-1, tolerance_effect:all, animation:enemy_tolerance],[effect:drop_freeze, turn:-1, block_type:normal, rate:0.5, animation:drop_protect]    </v>
      </c>
      <c r="O79" s="167">
        <f t="shared" si="54"/>
        <v>9</v>
      </c>
      <c r="P79" s="167">
        <f t="shared" si="55"/>
        <v>18</v>
      </c>
      <c r="Q79" s="167">
        <f t="shared" si="56"/>
        <v>27</v>
      </c>
      <c r="R79" s="167">
        <f t="shared" si="57"/>
        <v>33</v>
      </c>
      <c r="S79" s="167" t="str">
        <f>IFERROR(VLOOKUP(MID(N79,Q79,R79-Q79),[6]skilldef!$C:$D,2,FALSE),"-") &amp; " / " &amp; IFERROR(VLOOKUP(MID(N79,O79,P79-O79),[6]skilldef!$A:$B,2,FALSE),"-")</f>
        <v>自分自身に / 状態異常耐性</v>
      </c>
      <c r="T79" s="157" t="str">
        <f t="shared" si="58"/>
        <v xml:space="preserve">[effect:drop_freeze, turn:-1, block_type:normal, rate:0.5, animation:drop_protect]    </v>
      </c>
      <c r="U79" s="167">
        <f t="shared" si="59"/>
        <v>9</v>
      </c>
      <c r="V79" s="167">
        <f t="shared" si="60"/>
        <v>20</v>
      </c>
      <c r="W79" s="167" t="e">
        <f t="shared" si="61"/>
        <v>#VALUE!</v>
      </c>
      <c r="X79" s="167">
        <f t="shared" si="62"/>
        <v>29</v>
      </c>
      <c r="Y79" s="167" t="str">
        <f>IFERROR(VLOOKUP(MID(T79,W79,X79-W79),[6]skilldef!$C:$D,2,FALSE),"-") &amp; " / " &amp; IFERROR(VLOOKUP(MID(T79,U79,V79-U79),[6]skilldef!$A:$B,2,FALSE),"-")</f>
        <v>- / -</v>
      </c>
      <c r="Z79" s="148"/>
      <c r="AA79" s="150"/>
      <c r="AB79" s="148"/>
    </row>
    <row r="80" spans="1:28" s="147" customFormat="1" ht="42" x14ac:dyDescent="0.15">
      <c r="A80" s="147">
        <v>40037425</v>
      </c>
      <c r="B80" s="147" t="s">
        <v>390</v>
      </c>
      <c r="C80" s="34">
        <v>3</v>
      </c>
      <c r="D80" s="34" t="s">
        <v>128</v>
      </c>
      <c r="E80" s="149" t="s">
        <v>288</v>
      </c>
      <c r="F80" s="149" t="s">
        <v>391</v>
      </c>
      <c r="G80" s="167" t="str">
        <f t="shared" si="48"/>
        <v>[effect:spread, val:0.45]</v>
      </c>
      <c r="H80" s="167">
        <f t="shared" si="49"/>
        <v>9</v>
      </c>
      <c r="I80" s="167">
        <f t="shared" si="50"/>
        <v>15</v>
      </c>
      <c r="J80" s="167" t="e">
        <f t="shared" si="51"/>
        <v>#VALUE!</v>
      </c>
      <c r="K80" s="167" t="e">
        <f t="shared" si="52"/>
        <v>#VALUE!</v>
      </c>
      <c r="L80" s="167" t="str">
        <f>IFERROR(VLOOKUP(MID(G80,J80,K80-J80),[6]skilldef!$C:$D,2,FALSE),"-") &amp; " / " &amp; IFERROR(VLOOKUP(MID(G80,H80,I80-H80),[6]skilldef!$A:$B,2,FALSE),"-")</f>
        <v>- / 全体攻撃</v>
      </c>
      <c r="M80" s="167" t="str">
        <f t="shared" si="53"/>
        <v xml:space="preserve">[effect:change_bomb_range, target:unit_all, val:0.5, rate:1, turn:4, animation:bomb_small]    </v>
      </c>
      <c r="N80" s="157" t="str">
        <f t="shared" si="65"/>
        <v xml:space="preserve">[effect:change_bomb_range, target:unit_all, val:0.5, rate:1, turn:4, animation:bomb_small]    </v>
      </c>
      <c r="O80" s="167">
        <f t="shared" si="54"/>
        <v>9</v>
      </c>
      <c r="P80" s="167">
        <f t="shared" si="55"/>
        <v>26</v>
      </c>
      <c r="Q80" s="167">
        <f t="shared" si="56"/>
        <v>35</v>
      </c>
      <c r="R80" s="167">
        <f t="shared" si="57"/>
        <v>43</v>
      </c>
      <c r="S80" s="167" t="str">
        <f>IFERROR(VLOOKUP(MID(N80,Q80,R80-Q80),[6]skilldef!$C:$D,2,FALSE),"-") &amp; " / " &amp; IFERROR(VLOOKUP(MID(N80,O80,P80-O80),[6]skilldef!$A:$B,2,FALSE),"-")</f>
        <v>味方全体に / -</v>
      </c>
      <c r="T80" s="157" t="str">
        <f t="shared" si="58"/>
        <v>none</v>
      </c>
      <c r="U80" s="167" t="e">
        <f t="shared" si="59"/>
        <v>#VALUE!</v>
      </c>
      <c r="V80" s="167">
        <f t="shared" si="60"/>
        <v>4</v>
      </c>
      <c r="W80" s="167" t="e">
        <f t="shared" si="61"/>
        <v>#VALUE!</v>
      </c>
      <c r="X80" s="167" t="e">
        <f t="shared" si="62"/>
        <v>#VALUE!</v>
      </c>
      <c r="Y80" s="167" t="str">
        <f>IFERROR(VLOOKUP(MID(T80,W80,X80-W80),[6]skilldef!$C:$D,2,FALSE),"-") &amp; " / " &amp; IFERROR(VLOOKUP(MID(T80,U80,V80-U80),[6]skilldef!$A:$B,2,FALSE),"-")</f>
        <v>- / -</v>
      </c>
      <c r="Z80" s="148"/>
      <c r="AA80" s="150"/>
      <c r="AB80" s="148"/>
    </row>
    <row r="81" spans="1:28" s="147" customFormat="1" x14ac:dyDescent="0.15">
      <c r="A81" s="147">
        <v>40037426</v>
      </c>
      <c r="B81" s="147" t="s">
        <v>340</v>
      </c>
      <c r="C81" s="34">
        <v>3</v>
      </c>
      <c r="D81" s="34" t="s">
        <v>128</v>
      </c>
      <c r="E81" s="149" t="s">
        <v>338</v>
      </c>
      <c r="F81" s="149" t="s">
        <v>341</v>
      </c>
      <c r="G81" s="167" t="str">
        <f t="shared" si="48"/>
        <v>[effect:rush, count:8, val:0.25]</v>
      </c>
      <c r="H81" s="167">
        <f t="shared" si="49"/>
        <v>9</v>
      </c>
      <c r="I81" s="167">
        <f t="shared" si="50"/>
        <v>13</v>
      </c>
      <c r="J81" s="167" t="e">
        <f t="shared" si="51"/>
        <v>#VALUE!</v>
      </c>
      <c r="K81" s="167">
        <f t="shared" si="52"/>
        <v>22</v>
      </c>
      <c r="L81" s="167" t="str">
        <f>IFERROR(VLOOKUP(MID(G81,J81,K81-J81),[6]skilldef!$C:$D,2,FALSE),"-") &amp; " / " &amp; IFERROR(VLOOKUP(MID(G81,H81,I81-H81),[6]skilldef!$A:$B,2,FALSE),"-")</f>
        <v>- / 連続攻撃</v>
      </c>
      <c r="M81" s="167" t="str">
        <f t="shared" si="53"/>
        <v>none</v>
      </c>
      <c r="N81" s="157" t="str">
        <f t="shared" si="65"/>
        <v>none</v>
      </c>
      <c r="O81" s="167" t="e">
        <f t="shared" si="54"/>
        <v>#VALUE!</v>
      </c>
      <c r="P81" s="167">
        <f t="shared" si="55"/>
        <v>4</v>
      </c>
      <c r="Q81" s="167" t="e">
        <f t="shared" si="56"/>
        <v>#VALUE!</v>
      </c>
      <c r="R81" s="167" t="e">
        <f t="shared" si="57"/>
        <v>#VALUE!</v>
      </c>
      <c r="S81" s="167" t="str">
        <f>IFERROR(VLOOKUP(MID(N81,Q81,R81-Q81),[6]skilldef!$C:$D,2,FALSE),"-") &amp; " / " &amp; IFERROR(VLOOKUP(MID(N81,O81,P81-O81),[6]skilldef!$A:$B,2,FALSE),"-")</f>
        <v>- / -</v>
      </c>
      <c r="T81" s="157" t="str">
        <f t="shared" si="58"/>
        <v>none</v>
      </c>
      <c r="U81" s="167" t="e">
        <f t="shared" si="59"/>
        <v>#VALUE!</v>
      </c>
      <c r="V81" s="167">
        <f t="shared" si="60"/>
        <v>4</v>
      </c>
      <c r="W81" s="167" t="e">
        <f t="shared" si="61"/>
        <v>#VALUE!</v>
      </c>
      <c r="X81" s="167" t="e">
        <f t="shared" si="62"/>
        <v>#VALUE!</v>
      </c>
      <c r="Y81" s="167" t="str">
        <f>IFERROR(VLOOKUP(MID(T81,W81,X81-W81),[6]skilldef!$C:$D,2,FALSE),"-") &amp; " / " &amp; IFERROR(VLOOKUP(MID(T81,U81,V81-U81),[6]skilldef!$A:$B,2,FALSE),"-")</f>
        <v>- / -</v>
      </c>
      <c r="Z81" s="148"/>
      <c r="AA81" s="150"/>
      <c r="AB81" s="148"/>
    </row>
    <row r="82" spans="1:28" s="147" customFormat="1" ht="28" x14ac:dyDescent="0.15">
      <c r="A82" s="147">
        <v>40037427</v>
      </c>
      <c r="B82" s="147" t="s">
        <v>261</v>
      </c>
      <c r="C82" s="34">
        <v>3</v>
      </c>
      <c r="D82" s="34" t="s">
        <v>128</v>
      </c>
      <c r="E82" s="149" t="s">
        <v>374</v>
      </c>
      <c r="F82" s="149" t="s">
        <v>265</v>
      </c>
      <c r="G82" s="167" t="str">
        <f t="shared" si="48"/>
        <v>[effect:enhance_enemy, target:myself, turn:3, status:attack, val:2000, calc:add, animation:enemy_enhance_attack]</v>
      </c>
      <c r="H82" s="167">
        <f t="shared" si="49"/>
        <v>9</v>
      </c>
      <c r="I82" s="167">
        <f t="shared" si="50"/>
        <v>22</v>
      </c>
      <c r="J82" s="167">
        <f t="shared" si="51"/>
        <v>31</v>
      </c>
      <c r="K82" s="167">
        <f t="shared" si="52"/>
        <v>37</v>
      </c>
      <c r="L82" s="167" t="str">
        <f>IFERROR(VLOOKUP(MID(G82,J82,K82-J82),[6]skilldef!$C:$D,2,FALSE),"-") &amp; " / " &amp; IFERROR(VLOOKUP(MID(G82,H82,I82-H82),[6]skilldef!$A:$B,2,FALSE),"-")</f>
        <v>自分自身に / ステータス強化</v>
      </c>
      <c r="M82" s="167" t="str">
        <f t="shared" si="53"/>
        <v>none</v>
      </c>
      <c r="N82" s="157" t="str">
        <f t="shared" si="65"/>
        <v>none</v>
      </c>
      <c r="O82" s="167" t="e">
        <f t="shared" si="54"/>
        <v>#VALUE!</v>
      </c>
      <c r="P82" s="167">
        <f t="shared" si="55"/>
        <v>4</v>
      </c>
      <c r="Q82" s="167" t="e">
        <f t="shared" si="56"/>
        <v>#VALUE!</v>
      </c>
      <c r="R82" s="167" t="e">
        <f t="shared" si="57"/>
        <v>#VALUE!</v>
      </c>
      <c r="S82" s="167" t="str">
        <f>IFERROR(VLOOKUP(MID(N82,Q82,R82-Q82),[6]skilldef!$C:$D,2,FALSE),"-") &amp; " / " &amp; IFERROR(VLOOKUP(MID(N82,O82,P82-O82),[6]skilldef!$A:$B,2,FALSE),"-")</f>
        <v>- / -</v>
      </c>
      <c r="T82" s="157" t="str">
        <f t="shared" si="58"/>
        <v>none</v>
      </c>
      <c r="U82" s="167" t="e">
        <f t="shared" si="59"/>
        <v>#VALUE!</v>
      </c>
      <c r="V82" s="167">
        <f t="shared" si="60"/>
        <v>4</v>
      </c>
      <c r="W82" s="167" t="e">
        <f t="shared" si="61"/>
        <v>#VALUE!</v>
      </c>
      <c r="X82" s="167" t="e">
        <f t="shared" si="62"/>
        <v>#VALUE!</v>
      </c>
      <c r="Y82" s="167" t="str">
        <f>IFERROR(VLOOKUP(MID(T82,W82,X82-W82),[6]skilldef!$C:$D,2,FALSE),"-") &amp; " / " &amp; IFERROR(VLOOKUP(MID(T82,U82,V82-U82),[6]skilldef!$A:$B,2,FALSE),"-")</f>
        <v>- / -</v>
      </c>
      <c r="Z82" s="148"/>
      <c r="AA82" s="150"/>
      <c r="AB82" s="148"/>
    </row>
    <row r="83" spans="1:28" s="147" customFormat="1" ht="42" x14ac:dyDescent="0.15">
      <c r="A83" s="147">
        <v>40037428</v>
      </c>
      <c r="B83" s="147" t="s">
        <v>401</v>
      </c>
      <c r="C83" s="34">
        <v>3</v>
      </c>
      <c r="D83" s="34" t="s">
        <v>128</v>
      </c>
      <c r="E83" s="149" t="s">
        <v>281</v>
      </c>
      <c r="F83" s="149" t="s">
        <v>400</v>
      </c>
      <c r="G83" s="167" t="str">
        <f t="shared" si="48"/>
        <v>[effect:enemy_message, val1:2, val2:2.4, dead_type:escape]</v>
      </c>
      <c r="H83" s="167">
        <f t="shared" si="49"/>
        <v>9</v>
      </c>
      <c r="I83" s="167">
        <f t="shared" si="50"/>
        <v>22</v>
      </c>
      <c r="J83" s="167" t="e">
        <f t="shared" si="51"/>
        <v>#VALUE!</v>
      </c>
      <c r="K83" s="167">
        <f t="shared" si="52"/>
        <v>30</v>
      </c>
      <c r="L83" s="167" t="str">
        <f>IFERROR(VLOOKUP(MID(G83,J83,K83-J83),[6]skilldef!$C:$D,2,FALSE),"-") &amp; " / " &amp; IFERROR(VLOOKUP(MID(G83,H83,I83-H83),[6]skilldef!$A:$B,2,FALSE),"-")</f>
        <v>- / -</v>
      </c>
      <c r="M83" s="167" t="str">
        <f t="shared" si="53"/>
        <v>[effect:hungup, target:unit_all, turn:3, rate:1, calc_type:target_all, animation:hungup01]</v>
      </c>
      <c r="N83" s="157" t="str">
        <f t="shared" si="65"/>
        <v>[effect:hungup, target:unit_all, turn:3, rate:1, calc_type:target_all, animation:hungup01]</v>
      </c>
      <c r="O83" s="167">
        <f t="shared" si="54"/>
        <v>9</v>
      </c>
      <c r="P83" s="167">
        <f t="shared" si="55"/>
        <v>15</v>
      </c>
      <c r="Q83" s="167">
        <f t="shared" si="56"/>
        <v>24</v>
      </c>
      <c r="R83" s="167">
        <f t="shared" si="57"/>
        <v>32</v>
      </c>
      <c r="S83" s="167" t="str">
        <f>IFERROR(VLOOKUP(MID(N83,Q83,R83-Q83),[6]skilldef!$C:$D,2,FALSE),"-") &amp; " / " &amp; IFERROR(VLOOKUP(MID(N83,O83,P83-O83),[6]skilldef!$A:$B,2,FALSE),"-")</f>
        <v>味方全体に / ハングアップ</v>
      </c>
      <c r="T83" s="157" t="str">
        <f t="shared" si="58"/>
        <v>none</v>
      </c>
      <c r="U83" s="167" t="e">
        <f t="shared" si="59"/>
        <v>#VALUE!</v>
      </c>
      <c r="V83" s="167">
        <f t="shared" si="60"/>
        <v>4</v>
      </c>
      <c r="W83" s="167" t="e">
        <f t="shared" si="61"/>
        <v>#VALUE!</v>
      </c>
      <c r="X83" s="167" t="e">
        <f t="shared" si="62"/>
        <v>#VALUE!</v>
      </c>
      <c r="Y83" s="167" t="str">
        <f>IFERROR(VLOOKUP(MID(T83,W83,X83-W83),[6]skilldef!$C:$D,2,FALSE),"-") &amp; " / " &amp; IFERROR(VLOOKUP(MID(T83,U83,V83-U83),[6]skilldef!$A:$B,2,FALSE),"-")</f>
        <v>- / -</v>
      </c>
      <c r="Z83" s="148"/>
      <c r="AA83" s="150"/>
      <c r="AB83" s="148"/>
    </row>
    <row r="84" spans="1:28" s="147" customFormat="1" ht="28" x14ac:dyDescent="0.15">
      <c r="A84" s="147">
        <v>40037429</v>
      </c>
      <c r="B84" s="147" t="s">
        <v>457</v>
      </c>
      <c r="C84" s="34">
        <v>3</v>
      </c>
      <c r="D84" s="34" t="s">
        <v>128</v>
      </c>
      <c r="E84" s="149" t="s">
        <v>287</v>
      </c>
      <c r="F84" s="149" t="s">
        <v>272</v>
      </c>
      <c r="G84" s="167" t="str">
        <f t="shared" si="48"/>
        <v>[effect:enemy_message, val1:2, val2:1.6, dead_type:suicide]</v>
      </c>
      <c r="H84" s="167">
        <f t="shared" si="49"/>
        <v>9</v>
      </c>
      <c r="I84" s="167">
        <f t="shared" si="50"/>
        <v>22</v>
      </c>
      <c r="J84" s="167" t="e">
        <f t="shared" si="51"/>
        <v>#VALUE!</v>
      </c>
      <c r="K84" s="167">
        <f t="shared" si="52"/>
        <v>30</v>
      </c>
      <c r="L84" s="167" t="str">
        <f>IFERROR(VLOOKUP(MID(G84,J84,K84-J84),[6]skilldef!$C:$D,2,FALSE),"-") &amp; " / " &amp; IFERROR(VLOOKUP(MID(G84,H84,I84-H84),[6]skilldef!$A:$B,2,FALSE),"-")</f>
        <v>- / -</v>
      </c>
      <c r="M84" s="167" t="str">
        <f t="shared" si="53"/>
        <v>[effect:rush, count:20, val:0.1]</v>
      </c>
      <c r="N84" s="157" t="str">
        <f t="shared" si="65"/>
        <v>[effect:rush, count:20, val:0.1]</v>
      </c>
      <c r="O84" s="167">
        <f t="shared" si="54"/>
        <v>9</v>
      </c>
      <c r="P84" s="167">
        <f t="shared" si="55"/>
        <v>13</v>
      </c>
      <c r="Q84" s="167" t="e">
        <f t="shared" si="56"/>
        <v>#VALUE!</v>
      </c>
      <c r="R84" s="167">
        <f t="shared" si="57"/>
        <v>23</v>
      </c>
      <c r="S84" s="167" t="str">
        <f>IFERROR(VLOOKUP(MID(N84,Q84,R84-Q84),[6]skilldef!$C:$D,2,FALSE),"-") &amp; " / " &amp; IFERROR(VLOOKUP(MID(N84,O84,P84-O84),[6]skilldef!$A:$B,2,FALSE),"-")</f>
        <v>- / 連続攻撃</v>
      </c>
      <c r="T84" s="157" t="str">
        <f t="shared" si="58"/>
        <v>none</v>
      </c>
      <c r="U84" s="167" t="e">
        <f t="shared" si="59"/>
        <v>#VALUE!</v>
      </c>
      <c r="V84" s="167">
        <f t="shared" si="60"/>
        <v>4</v>
      </c>
      <c r="W84" s="167" t="e">
        <f t="shared" si="61"/>
        <v>#VALUE!</v>
      </c>
      <c r="X84" s="167" t="e">
        <f t="shared" si="62"/>
        <v>#VALUE!</v>
      </c>
      <c r="Y84" s="167" t="str">
        <f>IFERROR(VLOOKUP(MID(T84,W84,X84-W84),[6]skilldef!$C:$D,2,FALSE),"-") &amp; " / " &amp; IFERROR(VLOOKUP(MID(T84,U84,V84-U84),[6]skilldef!$A:$B,2,FALSE),"-")</f>
        <v>- / -</v>
      </c>
      <c r="Z84" s="148"/>
      <c r="AA84" s="150"/>
      <c r="AB84" s="148"/>
    </row>
    <row r="85" spans="1:28" s="147" customFormat="1" x14ac:dyDescent="0.15">
      <c r="A85" s="147">
        <v>40037446</v>
      </c>
      <c r="B85" s="147" t="s">
        <v>458</v>
      </c>
      <c r="C85" s="34">
        <v>3</v>
      </c>
      <c r="D85" s="34" t="s">
        <v>128</v>
      </c>
      <c r="E85" s="149" t="s">
        <v>346</v>
      </c>
      <c r="F85" s="149" t="s">
        <v>347</v>
      </c>
      <c r="G85" s="167" t="str">
        <f t="shared" ref="G85" si="66">IFERROR(LEFT(B85,FIND("],",B85)),B85)</f>
        <v>[effect:enemy_message, val1:2, val2:1.6, dead_type:suicide]</v>
      </c>
      <c r="H85" s="167">
        <f t="shared" ref="H85" si="67">FIND("effect:",G85)+7</f>
        <v>9</v>
      </c>
      <c r="I85" s="167">
        <f t="shared" ref="I85" si="68">IFERROR(FIND(",",G85),LEN(G85))</f>
        <v>22</v>
      </c>
      <c r="J85" s="167" t="e">
        <f t="shared" ref="J85" si="69">FIND("target:",G85)+7</f>
        <v>#VALUE!</v>
      </c>
      <c r="K85" s="167">
        <f t="shared" ref="K85" si="70">FIND(",",G85,I85+1)</f>
        <v>30</v>
      </c>
      <c r="L85" s="167" t="str">
        <f>IFERROR(VLOOKUP(MID(G85,J85,K85-J85),[6]skilldef!$C:$D,2,FALSE),"-") &amp; " / " &amp; IFERROR(VLOOKUP(MID(G85,H85,I85-H85),[6]skilldef!$A:$B,2,FALSE),"-")</f>
        <v>- / -</v>
      </c>
      <c r="M85" s="167" t="str">
        <f t="shared" ref="M85" si="71">IFERROR(RIGHT(B85,LEN(B85)-FIND("],",B85)-1),"none")</f>
        <v>[effect:rush, count:25, val:0.25]</v>
      </c>
      <c r="N85" s="157" t="str">
        <f t="shared" si="65"/>
        <v>[effect:rush, count:25, val:0.25]</v>
      </c>
      <c r="O85" s="167">
        <f t="shared" ref="O85" si="72">FIND("effect:",N85)+7</f>
        <v>9</v>
      </c>
      <c r="P85" s="167">
        <f t="shared" ref="P85" si="73">IFERROR(FIND(",",N85),LEN(N85))</f>
        <v>13</v>
      </c>
      <c r="Q85" s="167" t="e">
        <f t="shared" ref="Q85" si="74">FIND("target:",N85)+7</f>
        <v>#VALUE!</v>
      </c>
      <c r="R85" s="167">
        <f t="shared" ref="R85" si="75">FIND(",",N85,P85+1)</f>
        <v>23</v>
      </c>
      <c r="S85" s="167" t="str">
        <f>IFERROR(VLOOKUP(MID(N85,Q85,R85-Q85),[6]skilldef!$C:$D,2,FALSE),"-") &amp; " / " &amp; IFERROR(VLOOKUP(MID(N85,O85,P85-O85),[6]skilldef!$A:$B,2,FALSE),"-")</f>
        <v>- / 連続攻撃</v>
      </c>
      <c r="T85" s="157" t="str">
        <f t="shared" ref="T85" si="76">IFERROR(RIGHT(M85,LEN(M85)-FIND("],",M85)-1),"none")</f>
        <v>none</v>
      </c>
      <c r="U85" s="167" t="e">
        <f t="shared" ref="U85" si="77">FIND("effect:",T85)+7</f>
        <v>#VALUE!</v>
      </c>
      <c r="V85" s="167">
        <f t="shared" ref="V85" si="78">IFERROR(FIND(",",T85),LEN(T85))</f>
        <v>4</v>
      </c>
      <c r="W85" s="167" t="e">
        <f t="shared" ref="W85" si="79">FIND("target:",T85)+7</f>
        <v>#VALUE!</v>
      </c>
      <c r="X85" s="167" t="e">
        <f t="shared" ref="X85" si="80">FIND(",",T85,V85+1)</f>
        <v>#VALUE!</v>
      </c>
      <c r="Y85" s="167" t="str">
        <f>IFERROR(VLOOKUP(MID(T85,W85,X85-W85),[6]skilldef!$C:$D,2,FALSE),"-") &amp; " / " &amp; IFERROR(VLOOKUP(MID(T85,U85,V85-U85),[6]skilldef!$A:$B,2,FALSE),"-")</f>
        <v>- / -</v>
      </c>
      <c r="Z85" s="148"/>
      <c r="AA85" s="150"/>
      <c r="AB85" s="148"/>
    </row>
    <row r="86" spans="1:28" s="147" customFormat="1" ht="140" x14ac:dyDescent="0.15">
      <c r="A86" s="147">
        <v>40037430</v>
      </c>
      <c r="B86" s="147" t="s">
        <v>415</v>
      </c>
      <c r="C86" s="34">
        <v>3</v>
      </c>
      <c r="D86" s="34" t="s">
        <v>128</v>
      </c>
      <c r="E86" s="149" t="s">
        <v>282</v>
      </c>
      <c r="F86" s="149" t="s">
        <v>393</v>
      </c>
      <c r="G86" s="167" t="str">
        <f t="shared" si="48"/>
        <v>[effect:enemy_message, val1:2, val2:2.4, dead_type:suicide]</v>
      </c>
      <c r="H86" s="167">
        <f t="shared" si="49"/>
        <v>9</v>
      </c>
      <c r="I86" s="167">
        <f t="shared" si="50"/>
        <v>22</v>
      </c>
      <c r="J86" s="167" t="e">
        <f t="shared" si="51"/>
        <v>#VALUE!</v>
      </c>
      <c r="K86" s="167">
        <f t="shared" si="52"/>
        <v>30</v>
      </c>
      <c r="L86" s="167" t="str">
        <f>IFERROR(VLOOKUP(MID(G86,J86,K86-J86),[6]skilldef!$C:$D,2,FALSE),"-") &amp; " / " &amp; IFERROR(VLOOKUP(MID(G86,H86,I86-H86),[6]skilldef!$A:$B,2,FALSE),"-")</f>
        <v>- / -</v>
      </c>
      <c r="M86" s="167" t="str">
        <f t="shared" si="53"/>
        <v xml:space="preserve">[effect:tolerance, target:myself, turn:-1, count:-1, tolerance_effect:all, animation:enemy_tolerance],[effect:change_bomb_range, target:unit_all, val:0.5, rate:1, turn:-1, animation:bomb_small],[effect:degrade_fever, val:1000, animation:fevergauge_down]    </v>
      </c>
      <c r="N86" s="157" t="str">
        <f t="shared" si="63"/>
        <v>[effect:tolerance, target:myself, turn:-1, count:-1, tolerance_effect:all, animation:enemy_tolerance]</v>
      </c>
      <c r="O86" s="167">
        <f t="shared" si="54"/>
        <v>9</v>
      </c>
      <c r="P86" s="167">
        <f t="shared" si="55"/>
        <v>18</v>
      </c>
      <c r="Q86" s="167">
        <f t="shared" si="56"/>
        <v>27</v>
      </c>
      <c r="R86" s="167">
        <f t="shared" si="57"/>
        <v>33</v>
      </c>
      <c r="S86" s="167" t="str">
        <f>IFERROR(VLOOKUP(MID(N86,Q86,R86-Q86),[6]skilldef!$C:$D,2,FALSE),"-") &amp; " / " &amp; IFERROR(VLOOKUP(MID(N86,O86,P86-O86),[6]skilldef!$A:$B,2,FALSE),"-")</f>
        <v>自分自身に / 状態異常耐性</v>
      </c>
      <c r="T86" s="157" t="str">
        <f t="shared" si="58"/>
        <v xml:space="preserve">[effect:change_bomb_range, target:unit_all, val:0.5, rate:1, turn:-1, animation:bomb_small],[effect:degrade_fever, val:1000, animation:fevergauge_down]    </v>
      </c>
      <c r="U86" s="167">
        <f t="shared" si="59"/>
        <v>9</v>
      </c>
      <c r="V86" s="167">
        <f t="shared" si="60"/>
        <v>26</v>
      </c>
      <c r="W86" s="167">
        <f t="shared" si="61"/>
        <v>35</v>
      </c>
      <c r="X86" s="167">
        <f t="shared" si="62"/>
        <v>43</v>
      </c>
      <c r="Y86" s="167" t="str">
        <f>IFERROR(VLOOKUP(MID(T86,W86,X86-W86),[6]skilldef!$C:$D,2,FALSE),"-") &amp; " / " &amp; IFERROR(VLOOKUP(MID(T86,U86,V86-U86),[6]skilldef!$A:$B,2,FALSE),"-")</f>
        <v>味方全体に / -</v>
      </c>
      <c r="Z86" s="148"/>
      <c r="AA86" s="150"/>
      <c r="AB86" s="148"/>
    </row>
    <row r="87" spans="1:28" s="147" customFormat="1" ht="28" x14ac:dyDescent="0.15">
      <c r="A87" s="147">
        <v>40037431</v>
      </c>
      <c r="B87" s="147" t="s">
        <v>274</v>
      </c>
      <c r="C87" s="34">
        <v>3</v>
      </c>
      <c r="D87" s="34" t="s">
        <v>128</v>
      </c>
      <c r="E87" s="149" t="s">
        <v>284</v>
      </c>
      <c r="F87" s="149" t="s">
        <v>408</v>
      </c>
      <c r="G87" s="167" t="str">
        <f t="shared" si="48"/>
        <v xml:space="preserve">[effect:drop_freeze, turn:-1, block_type:normal, rate:0.75, animation:drop_protect]    </v>
      </c>
      <c r="H87" s="167">
        <f t="shared" si="49"/>
        <v>9</v>
      </c>
      <c r="I87" s="167">
        <f t="shared" si="50"/>
        <v>20</v>
      </c>
      <c r="J87" s="167" t="e">
        <f t="shared" si="51"/>
        <v>#VALUE!</v>
      </c>
      <c r="K87" s="167">
        <f t="shared" si="52"/>
        <v>29</v>
      </c>
      <c r="L87" s="167" t="str">
        <f>IFERROR(VLOOKUP(MID(G87,J87,K87-J87),[6]skilldef!$C:$D,2,FALSE),"-") &amp; " / " &amp; IFERROR(VLOOKUP(MID(G87,H87,I87-H87),[6]skilldef!$A:$B,2,FALSE),"-")</f>
        <v>- / -</v>
      </c>
      <c r="M87" s="167" t="str">
        <f t="shared" si="53"/>
        <v>none</v>
      </c>
      <c r="N87" s="157" t="str">
        <f t="shared" si="63"/>
        <v>none</v>
      </c>
      <c r="O87" s="167" t="e">
        <f t="shared" si="54"/>
        <v>#VALUE!</v>
      </c>
      <c r="P87" s="167">
        <f t="shared" si="55"/>
        <v>4</v>
      </c>
      <c r="Q87" s="167" t="e">
        <f t="shared" si="56"/>
        <v>#VALUE!</v>
      </c>
      <c r="R87" s="167" t="e">
        <f t="shared" si="57"/>
        <v>#VALUE!</v>
      </c>
      <c r="S87" s="167" t="str">
        <f>IFERROR(VLOOKUP(MID(N87,Q87,R87-Q87),[6]skilldef!$C:$D,2,FALSE),"-") &amp; " / " &amp; IFERROR(VLOOKUP(MID(N87,O87,P87-O87),[6]skilldef!$A:$B,2,FALSE),"-")</f>
        <v>- / -</v>
      </c>
      <c r="T87" s="157" t="str">
        <f t="shared" si="58"/>
        <v>none</v>
      </c>
      <c r="U87" s="167" t="e">
        <f t="shared" si="59"/>
        <v>#VALUE!</v>
      </c>
      <c r="V87" s="167">
        <f t="shared" si="60"/>
        <v>4</v>
      </c>
      <c r="W87" s="167" t="e">
        <f t="shared" si="61"/>
        <v>#VALUE!</v>
      </c>
      <c r="X87" s="167" t="e">
        <f t="shared" si="62"/>
        <v>#VALUE!</v>
      </c>
      <c r="Y87" s="167" t="str">
        <f>IFERROR(VLOOKUP(MID(T87,W87,X87-W87),[6]skilldef!$C:$D,2,FALSE),"-") &amp; " / " &amp; IFERROR(VLOOKUP(MID(T87,U87,V87-U87),[6]skilldef!$A:$B,2,FALSE),"-")</f>
        <v>- / -</v>
      </c>
      <c r="Z87" s="148"/>
      <c r="AA87" s="150"/>
      <c r="AB87" s="148"/>
    </row>
    <row r="88" spans="1:28" s="147" customFormat="1" x14ac:dyDescent="0.15">
      <c r="A88" s="147">
        <v>40037432</v>
      </c>
      <c r="B88" s="147" t="s">
        <v>456</v>
      </c>
      <c r="C88" s="34">
        <v>3</v>
      </c>
      <c r="D88" s="34" t="s">
        <v>128</v>
      </c>
      <c r="E88" s="35" t="s">
        <v>373</v>
      </c>
      <c r="F88" s="149" t="s">
        <v>454</v>
      </c>
      <c r="G88" s="167" t="str">
        <f t="shared" si="48"/>
        <v>[effect:enemy_message, val1:2, val2:1.2, dead_type:suicide]</v>
      </c>
      <c r="H88" s="167">
        <f t="shared" si="49"/>
        <v>9</v>
      </c>
      <c r="I88" s="167">
        <f t="shared" si="50"/>
        <v>22</v>
      </c>
      <c r="J88" s="167" t="e">
        <f t="shared" si="51"/>
        <v>#VALUE!</v>
      </c>
      <c r="K88" s="167">
        <f t="shared" si="52"/>
        <v>30</v>
      </c>
      <c r="L88" s="167" t="str">
        <f>IFERROR(VLOOKUP(MID(G88,J88,K88-J88),[6]skilldef!$C:$D,2,FALSE),"-") &amp; " / " &amp; IFERROR(VLOOKUP(MID(G88,H88,I88-H88),[6]skilldef!$A:$B,2,FALSE),"-")</f>
        <v>- / -</v>
      </c>
      <c r="M88" s="167" t="str">
        <f t="shared" si="53"/>
        <v>[effect:spread, val:0.3]</v>
      </c>
      <c r="N88" s="157" t="str">
        <f t="shared" si="63"/>
        <v>[effect:spread, val:0.3]</v>
      </c>
      <c r="O88" s="167">
        <f t="shared" si="54"/>
        <v>9</v>
      </c>
      <c r="P88" s="167">
        <f t="shared" si="55"/>
        <v>15</v>
      </c>
      <c r="Q88" s="167" t="e">
        <f t="shared" si="56"/>
        <v>#VALUE!</v>
      </c>
      <c r="R88" s="167" t="e">
        <f t="shared" si="57"/>
        <v>#VALUE!</v>
      </c>
      <c r="S88" s="167" t="str">
        <f>IFERROR(VLOOKUP(MID(N88,Q88,R88-Q88),[6]skilldef!$C:$D,2,FALSE),"-") &amp; " / " &amp; IFERROR(VLOOKUP(MID(N88,O88,P88-O88),[6]skilldef!$A:$B,2,FALSE),"-")</f>
        <v>- / 全体攻撃</v>
      </c>
      <c r="T88" s="157" t="str">
        <f t="shared" si="58"/>
        <v>none</v>
      </c>
      <c r="U88" s="167" t="e">
        <f t="shared" si="59"/>
        <v>#VALUE!</v>
      </c>
      <c r="V88" s="167">
        <f t="shared" si="60"/>
        <v>4</v>
      </c>
      <c r="W88" s="167" t="e">
        <f t="shared" si="61"/>
        <v>#VALUE!</v>
      </c>
      <c r="X88" s="167" t="e">
        <f t="shared" si="62"/>
        <v>#VALUE!</v>
      </c>
      <c r="Y88" s="167" t="str">
        <f>IFERROR(VLOOKUP(MID(T88,W88,X88-W88),[6]skilldef!$C:$D,2,FALSE),"-") &amp; " / " &amp; IFERROR(VLOOKUP(MID(T88,U88,V88-U88),[6]skilldef!$A:$B,2,FALSE),"-")</f>
        <v>- / -</v>
      </c>
      <c r="Z88" s="148"/>
      <c r="AA88" s="150"/>
      <c r="AB88" s="148"/>
    </row>
    <row r="89" spans="1:28" s="147" customFormat="1" ht="70" x14ac:dyDescent="0.15">
      <c r="A89" s="147">
        <v>40037433</v>
      </c>
      <c r="B89" s="147" t="s">
        <v>430</v>
      </c>
      <c r="C89" s="34">
        <v>3</v>
      </c>
      <c r="D89" s="34" t="s">
        <v>128</v>
      </c>
      <c r="E89" s="149" t="s">
        <v>285</v>
      </c>
      <c r="F89" s="149" t="s">
        <v>328</v>
      </c>
      <c r="G89" s="167" t="str">
        <f t="shared" si="48"/>
        <v>[effect:enemy_message, val1:2, val2:2.4, dead_type:suicide]</v>
      </c>
      <c r="H89" s="167">
        <f t="shared" si="49"/>
        <v>9</v>
      </c>
      <c r="I89" s="167">
        <f t="shared" si="50"/>
        <v>22</v>
      </c>
      <c r="J89" s="167" t="e">
        <f t="shared" si="51"/>
        <v>#VALUE!</v>
      </c>
      <c r="K89" s="167">
        <f t="shared" si="52"/>
        <v>30</v>
      </c>
      <c r="L89" s="167" t="str">
        <f>IFERROR(VLOOKUP(MID(G89,J89,K89-J89),[6]skilldef!$C:$D,2,FALSE),"-") &amp; " / " &amp; IFERROR(VLOOKUP(MID(G89,H89,I89-H89),[6]skilldef!$A:$B,2,FALSE),"-")</f>
        <v>- / -</v>
      </c>
      <c r="M89" s="167" t="str">
        <f t="shared" si="53"/>
        <v>[effect:rush, count:2, val:0.8],[effect:degrade_unit, target:unit_all, turn:3, status:heal, val:1, calc:mul, animation:degrade_unit_all_heal]</v>
      </c>
      <c r="N89" s="157" t="str">
        <f t="shared" si="63"/>
        <v>[effect:rush, count:2, val:0.8]</v>
      </c>
      <c r="O89" s="167">
        <f t="shared" si="54"/>
        <v>9</v>
      </c>
      <c r="P89" s="167">
        <f t="shared" si="55"/>
        <v>13</v>
      </c>
      <c r="Q89" s="167" t="e">
        <f t="shared" si="56"/>
        <v>#VALUE!</v>
      </c>
      <c r="R89" s="167">
        <f t="shared" si="57"/>
        <v>22</v>
      </c>
      <c r="S89" s="167" t="str">
        <f>IFERROR(VLOOKUP(MID(N89,Q89,R89-Q89),[6]skilldef!$C:$D,2,FALSE),"-") &amp; " / " &amp; IFERROR(VLOOKUP(MID(N89,O89,P89-O89),[6]skilldef!$A:$B,2,FALSE),"-")</f>
        <v>- / 連続攻撃</v>
      </c>
      <c r="T89" s="157" t="str">
        <f t="shared" si="58"/>
        <v>[effect:degrade_unit, target:unit_all, turn:3, status:heal, val:1, calc:mul, animation:degrade_unit_all_heal]</v>
      </c>
      <c r="U89" s="167">
        <f t="shared" si="59"/>
        <v>9</v>
      </c>
      <c r="V89" s="167">
        <f t="shared" si="60"/>
        <v>21</v>
      </c>
      <c r="W89" s="167">
        <f t="shared" si="61"/>
        <v>30</v>
      </c>
      <c r="X89" s="167">
        <f t="shared" si="62"/>
        <v>38</v>
      </c>
      <c r="Y89" s="167" t="str">
        <f>IFERROR(VLOOKUP(MID(T89,W89,X89-W89),[6]skilldef!$C:$D,2,FALSE),"-") &amp; " / " &amp; IFERROR(VLOOKUP(MID(T89,U89,V89-U89),[6]skilldef!$A:$B,2,FALSE),"-")</f>
        <v>味方全体に / ステータスDOWN</v>
      </c>
      <c r="Z89" s="148"/>
      <c r="AA89" s="150"/>
      <c r="AB89" s="148"/>
    </row>
    <row r="90" spans="1:28" s="147" customFormat="1" x14ac:dyDescent="0.15">
      <c r="A90" s="147">
        <v>40037434</v>
      </c>
      <c r="B90" s="147" t="s">
        <v>333</v>
      </c>
      <c r="C90" s="34">
        <v>3</v>
      </c>
      <c r="D90" s="34" t="s">
        <v>128</v>
      </c>
      <c r="E90" s="149" t="s">
        <v>394</v>
      </c>
      <c r="F90" s="149" t="s">
        <v>332</v>
      </c>
      <c r="G90" s="167" t="str">
        <f t="shared" si="48"/>
        <v>[effect:spread, val:0.3]</v>
      </c>
      <c r="H90" s="167">
        <f t="shared" si="49"/>
        <v>9</v>
      </c>
      <c r="I90" s="167">
        <f t="shared" si="50"/>
        <v>15</v>
      </c>
      <c r="J90" s="167" t="e">
        <f t="shared" si="51"/>
        <v>#VALUE!</v>
      </c>
      <c r="K90" s="167" t="e">
        <f t="shared" si="52"/>
        <v>#VALUE!</v>
      </c>
      <c r="L90" s="167" t="str">
        <f>IFERROR(VLOOKUP(MID(G90,J90,K90-J90),[6]skilldef!$C:$D,2,FALSE),"-") &amp; " / " &amp; IFERROR(VLOOKUP(MID(G90,H90,I90-H90),[6]skilldef!$A:$B,2,FALSE),"-")</f>
        <v>- / 全体攻撃</v>
      </c>
      <c r="M90" s="167" t="str">
        <f t="shared" si="53"/>
        <v xml:space="preserve">[effect:rush, count:2, val:0.4]    </v>
      </c>
      <c r="N90" s="157" t="str">
        <f t="shared" si="63"/>
        <v xml:space="preserve">[effect:rush, count:2, val:0.4]    </v>
      </c>
      <c r="O90" s="167">
        <f t="shared" si="54"/>
        <v>9</v>
      </c>
      <c r="P90" s="167">
        <f t="shared" si="55"/>
        <v>13</v>
      </c>
      <c r="Q90" s="167" t="e">
        <f t="shared" si="56"/>
        <v>#VALUE!</v>
      </c>
      <c r="R90" s="167">
        <f t="shared" si="57"/>
        <v>22</v>
      </c>
      <c r="S90" s="167" t="str">
        <f>IFERROR(VLOOKUP(MID(N90,Q90,R90-Q90),[6]skilldef!$C:$D,2,FALSE),"-") &amp; " / " &amp; IFERROR(VLOOKUP(MID(N90,O90,P90-O90),[6]skilldef!$A:$B,2,FALSE),"-")</f>
        <v>- / 連続攻撃</v>
      </c>
      <c r="T90" s="157" t="str">
        <f t="shared" si="58"/>
        <v>none</v>
      </c>
      <c r="U90" s="167" t="e">
        <f t="shared" si="59"/>
        <v>#VALUE!</v>
      </c>
      <c r="V90" s="167">
        <f t="shared" si="60"/>
        <v>4</v>
      </c>
      <c r="W90" s="167" t="e">
        <f t="shared" si="61"/>
        <v>#VALUE!</v>
      </c>
      <c r="X90" s="167" t="e">
        <f t="shared" si="62"/>
        <v>#VALUE!</v>
      </c>
      <c r="Y90" s="167" t="str">
        <f>IFERROR(VLOOKUP(MID(T90,W90,X90-W90),[6]skilldef!$C:$D,2,FALSE),"-") &amp; " / " &amp; IFERROR(VLOOKUP(MID(T90,U90,V90-U90),[6]skilldef!$A:$B,2,FALSE),"-")</f>
        <v>- / -</v>
      </c>
      <c r="Z90" s="148"/>
      <c r="AA90" s="150"/>
      <c r="AB90" s="148"/>
    </row>
    <row r="91" spans="1:28" s="147" customFormat="1" ht="28" x14ac:dyDescent="0.15">
      <c r="A91" s="147">
        <v>40037435</v>
      </c>
      <c r="B91" s="32" t="s">
        <v>452</v>
      </c>
      <c r="C91" s="34">
        <v>3</v>
      </c>
      <c r="D91" s="34" t="s">
        <v>128</v>
      </c>
      <c r="E91" s="149" t="s">
        <v>380</v>
      </c>
      <c r="F91" s="149" t="s">
        <v>462</v>
      </c>
      <c r="G91" s="167" t="str">
        <f t="shared" ref="G91:G97" si="81">IFERROR(LEFT(B91,FIND("],",B91)),B91)</f>
        <v xml:space="preserve">[effect:break_attack_fix, target:unit_all, val:250, lowest_val:3000, count:-1, color:green, block_color:block_green, block01:block_green]  </v>
      </c>
      <c r="H91" s="167">
        <f t="shared" ref="H91:H97" si="82">FIND("effect:",G91)+7</f>
        <v>9</v>
      </c>
      <c r="I91" s="167">
        <f t="shared" ref="I91:I97" si="83">IFERROR(FIND(",",G91),LEN(G91))</f>
        <v>25</v>
      </c>
      <c r="J91" s="167">
        <f t="shared" ref="J91:J97" si="84">FIND("target:",G91)+7</f>
        <v>34</v>
      </c>
      <c r="K91" s="167">
        <f t="shared" ref="K91:K97" si="85">FIND(",",G91,I91+1)</f>
        <v>42</v>
      </c>
      <c r="L91" s="167" t="str">
        <f>IFERROR(VLOOKUP(MID(G91,J91,K91-J91),[6]skilldef!$C:$D,2,FALSE),"-") &amp; " / " &amp; IFERROR(VLOOKUP(MID(G91,H91,I91-H91),[6]skilldef!$A:$B,2,FALSE),"-")</f>
        <v>味方全体に / -</v>
      </c>
      <c r="M91" s="167" t="str">
        <f t="shared" ref="M91:M97" si="86">IFERROR(RIGHT(B91,LEN(B91)-FIND("],",B91)-1),"none")</f>
        <v>none</v>
      </c>
      <c r="N91" s="157" t="str">
        <f t="shared" ref="N91:N97" si="87">IFERROR(LEFT(M91,FIND("],",M91)+S105),M91)</f>
        <v>none</v>
      </c>
      <c r="O91" s="167" t="e">
        <f t="shared" ref="O91:O97" si="88">FIND("effect:",N91)+7</f>
        <v>#VALUE!</v>
      </c>
      <c r="P91" s="167">
        <f t="shared" ref="P91:P97" si="89">IFERROR(FIND(",",N91),LEN(N91))</f>
        <v>4</v>
      </c>
      <c r="Q91" s="167" t="e">
        <f t="shared" ref="Q91:Q97" si="90">FIND("target:",N91)+7</f>
        <v>#VALUE!</v>
      </c>
      <c r="R91" s="167" t="e">
        <f t="shared" ref="R91:R97" si="91">FIND(",",N91,P91+1)</f>
        <v>#VALUE!</v>
      </c>
      <c r="S91" s="167" t="str">
        <f>IFERROR(VLOOKUP(MID(N91,Q91,R91-Q91),[6]skilldef!$C:$D,2,FALSE),"-") &amp; " / " &amp; IFERROR(VLOOKUP(MID(N91,O91,P91-O91),[6]skilldef!$A:$B,2,FALSE),"-")</f>
        <v>- / -</v>
      </c>
      <c r="T91" s="157" t="str">
        <f t="shared" ref="T91:T97" si="92">IFERROR(RIGHT(M91,LEN(M91)-FIND("],",M91)-1),"none")</f>
        <v>none</v>
      </c>
      <c r="U91" s="167" t="e">
        <f t="shared" ref="U91:U97" si="93">FIND("effect:",T91)+7</f>
        <v>#VALUE!</v>
      </c>
      <c r="V91" s="167">
        <f t="shared" ref="V91:V97" si="94">IFERROR(FIND(",",T91),LEN(T91))</f>
        <v>4</v>
      </c>
      <c r="W91" s="167" t="e">
        <f t="shared" ref="W91:W97" si="95">FIND("target:",T91)+7</f>
        <v>#VALUE!</v>
      </c>
      <c r="X91" s="167" t="e">
        <f t="shared" ref="X91:X97" si="96">FIND(",",T91,V91+1)</f>
        <v>#VALUE!</v>
      </c>
      <c r="Y91" s="167" t="str">
        <f>IFERROR(VLOOKUP(MID(T91,W91,X91-W91),[6]skilldef!$C:$D,2,FALSE),"-") &amp; " / " &amp; IFERROR(VLOOKUP(MID(T91,U91,V91-U91),[6]skilldef!$A:$B,2,FALSE),"-")</f>
        <v>- / -</v>
      </c>
      <c r="Z91" s="148"/>
      <c r="AA91" s="150"/>
      <c r="AB91" s="148"/>
    </row>
    <row r="92" spans="1:28" s="147" customFormat="1" ht="140" x14ac:dyDescent="0.15">
      <c r="A92" s="147">
        <v>40037436</v>
      </c>
      <c r="B92" s="147" t="s">
        <v>414</v>
      </c>
      <c r="C92" s="34">
        <v>3</v>
      </c>
      <c r="D92" s="34" t="s">
        <v>128</v>
      </c>
      <c r="E92" s="149" t="s">
        <v>283</v>
      </c>
      <c r="F92" s="149" t="s">
        <v>392</v>
      </c>
      <c r="G92" s="167" t="str">
        <f t="shared" si="81"/>
        <v>[effect:enemy_message, val1:2, val2:2.4, dead_type:suicide]</v>
      </c>
      <c r="H92" s="167">
        <f t="shared" si="82"/>
        <v>9</v>
      </c>
      <c r="I92" s="167">
        <f t="shared" si="83"/>
        <v>22</v>
      </c>
      <c r="J92" s="167" t="e">
        <f t="shared" si="84"/>
        <v>#VALUE!</v>
      </c>
      <c r="K92" s="167">
        <f t="shared" si="85"/>
        <v>30</v>
      </c>
      <c r="L92" s="167" t="str">
        <f>IFERROR(VLOOKUP(MID(G92,J92,K92-J92),[6]skilldef!$C:$D,2,FALSE),"-") &amp; " / " &amp; IFERROR(VLOOKUP(MID(G92,H92,I92-H92),[6]skilldef!$A:$B,2,FALSE),"-")</f>
        <v>- / -</v>
      </c>
      <c r="M92" s="167" t="str">
        <f t="shared" si="86"/>
        <v>[effect:panel_freeze, target:crash, count:-1],[effect:remove_enhancement, target:unit_all, target_effect:counter_new, animation:frozen_wave],[effect:remove_enhancement, target:unit_all, target_effect:counter, animation:frozen_wave]</v>
      </c>
      <c r="N92" s="157" t="str">
        <f t="shared" si="87"/>
        <v>[effect:panel_freeze, target:crash, count:-1]</v>
      </c>
      <c r="O92" s="167">
        <f t="shared" si="88"/>
        <v>9</v>
      </c>
      <c r="P92" s="167">
        <f t="shared" si="89"/>
        <v>21</v>
      </c>
      <c r="Q92" s="167">
        <f t="shared" si="90"/>
        <v>30</v>
      </c>
      <c r="R92" s="167">
        <f t="shared" si="91"/>
        <v>35</v>
      </c>
      <c r="S92" s="167" t="str">
        <f>IFERROR(VLOOKUP(MID(N92,Q92,R92-Q92),[6]skilldef!$C:$D,2,FALSE),"-") &amp; " / " &amp; IFERROR(VLOOKUP(MID(N92,O92,P92-O92),[6]skilldef!$A:$B,2,FALSE),"-")</f>
        <v>- / -</v>
      </c>
      <c r="T92" s="157" t="str">
        <f t="shared" si="92"/>
        <v>[effect:remove_enhancement, target:unit_all, target_effect:counter_new, animation:frozen_wave],[effect:remove_enhancement, target:unit_all, target_effect:counter, animation:frozen_wave]</v>
      </c>
      <c r="U92" s="167">
        <f t="shared" si="93"/>
        <v>9</v>
      </c>
      <c r="V92" s="167">
        <f t="shared" si="94"/>
        <v>27</v>
      </c>
      <c r="W92" s="167">
        <f t="shared" si="95"/>
        <v>36</v>
      </c>
      <c r="X92" s="167">
        <f t="shared" si="96"/>
        <v>44</v>
      </c>
      <c r="Y92" s="167" t="str">
        <f>IFERROR(VLOOKUP(MID(T92,W92,X92-W92),[6]skilldef!$C:$D,2,FALSE),"-") &amp; " / " &amp; IFERROR(VLOOKUP(MID(T92,U92,V92-U92),[6]skilldef!$A:$B,2,FALSE),"-")</f>
        <v>味方全体に / -</v>
      </c>
      <c r="Z92" s="148"/>
      <c r="AA92" s="150"/>
      <c r="AB92" s="148"/>
    </row>
    <row r="93" spans="1:28" s="147" customFormat="1" ht="84" x14ac:dyDescent="0.15">
      <c r="A93" s="147">
        <v>40037437</v>
      </c>
      <c r="B93" s="147" t="s">
        <v>429</v>
      </c>
      <c r="C93" s="34">
        <v>3</v>
      </c>
      <c r="D93" s="34" t="s">
        <v>128</v>
      </c>
      <c r="E93" s="35" t="s">
        <v>439</v>
      </c>
      <c r="F93" s="149" t="s">
        <v>331</v>
      </c>
      <c r="G93" s="167" t="str">
        <f t="shared" si="81"/>
        <v>[effect:enemy_message, val1:2, val2:2.4, dead_type:suicide]</v>
      </c>
      <c r="H93" s="167">
        <f t="shared" si="82"/>
        <v>9</v>
      </c>
      <c r="I93" s="167">
        <f t="shared" si="83"/>
        <v>22</v>
      </c>
      <c r="J93" s="167" t="e">
        <f t="shared" si="84"/>
        <v>#VALUE!</v>
      </c>
      <c r="K93" s="167">
        <f t="shared" si="85"/>
        <v>30</v>
      </c>
      <c r="L93" s="167" t="str">
        <f>IFERROR(VLOOKUP(MID(G93,J93,K93-J93),[6]skilldef!$C:$D,2,FALSE),"-") &amp; " / " &amp; IFERROR(VLOOKUP(MID(G93,H93,I93-H93),[6]skilldef!$A:$B,2,FALSE),"-")</f>
        <v>- / -</v>
      </c>
      <c r="M93" s="167" t="str">
        <f t="shared" si="86"/>
        <v xml:space="preserve">[effect:spread, val:0.2],[effect:spread, val:0.2],[effect:spread, val:0.2],[effect:spread, val:0.2],[effect:rush, count:16, val:0.2]    </v>
      </c>
      <c r="N93" s="157" t="str">
        <f t="shared" si="87"/>
        <v>[effect:spread, val:0.2]</v>
      </c>
      <c r="O93" s="167">
        <f t="shared" si="88"/>
        <v>9</v>
      </c>
      <c r="P93" s="167">
        <f t="shared" si="89"/>
        <v>15</v>
      </c>
      <c r="Q93" s="167" t="e">
        <f t="shared" si="90"/>
        <v>#VALUE!</v>
      </c>
      <c r="R93" s="167" t="e">
        <f t="shared" si="91"/>
        <v>#VALUE!</v>
      </c>
      <c r="S93" s="167" t="str">
        <f>IFERROR(VLOOKUP(MID(N93,Q93,R93-Q93),[6]skilldef!$C:$D,2,FALSE),"-") &amp; " / " &amp; IFERROR(VLOOKUP(MID(N93,O93,P93-O93),[6]skilldef!$A:$B,2,FALSE),"-")</f>
        <v>- / 全体攻撃</v>
      </c>
      <c r="T93" s="157" t="str">
        <f t="shared" si="92"/>
        <v xml:space="preserve">[effect:spread, val:0.2],[effect:spread, val:0.2],[effect:spread, val:0.2],[effect:rush, count:16, val:0.2]    </v>
      </c>
      <c r="U93" s="167">
        <f t="shared" si="93"/>
        <v>9</v>
      </c>
      <c r="V93" s="167">
        <f t="shared" si="94"/>
        <v>15</v>
      </c>
      <c r="W93" s="167" t="e">
        <f t="shared" si="95"/>
        <v>#VALUE!</v>
      </c>
      <c r="X93" s="167">
        <f t="shared" si="96"/>
        <v>25</v>
      </c>
      <c r="Y93" s="167" t="str">
        <f>IFERROR(VLOOKUP(MID(T93,W93,X93-W93),[6]skilldef!$C:$D,2,FALSE),"-") &amp; " / " &amp; IFERROR(VLOOKUP(MID(T93,U93,V93-U93),[6]skilldef!$A:$B,2,FALSE),"-")</f>
        <v>- / 全体攻撃</v>
      </c>
      <c r="Z93" s="148"/>
      <c r="AA93" s="150"/>
      <c r="AB93" s="148"/>
    </row>
    <row r="94" spans="1:28" s="147" customFormat="1" ht="28" x14ac:dyDescent="0.15">
      <c r="A94" s="147">
        <v>40037438</v>
      </c>
      <c r="B94" s="147" t="s">
        <v>413</v>
      </c>
      <c r="C94" s="34">
        <v>3</v>
      </c>
      <c r="D94" s="34" t="s">
        <v>128</v>
      </c>
      <c r="E94" s="149" t="s">
        <v>289</v>
      </c>
      <c r="F94" s="149" t="s">
        <v>381</v>
      </c>
      <c r="G94" s="167" t="str">
        <f t="shared" si="81"/>
        <v xml:space="preserve">[effect:enemy_message, val1:2, val2:2.4, dead_type:suicide]    </v>
      </c>
      <c r="H94" s="167">
        <f t="shared" si="82"/>
        <v>9</v>
      </c>
      <c r="I94" s="167">
        <f t="shared" si="83"/>
        <v>22</v>
      </c>
      <c r="J94" s="167" t="e">
        <f t="shared" si="84"/>
        <v>#VALUE!</v>
      </c>
      <c r="K94" s="167">
        <f t="shared" si="85"/>
        <v>30</v>
      </c>
      <c r="L94" s="167" t="str">
        <f>IFERROR(VLOOKUP(MID(G94,J94,K94-J94),[6]skilldef!$C:$D,2,FALSE),"-") &amp; " / " &amp; IFERROR(VLOOKUP(MID(G94,H94,I94-H94),[6]skilldef!$A:$B,2,FALSE),"-")</f>
        <v>- / -</v>
      </c>
      <c r="M94" s="167" t="str">
        <f t="shared" si="86"/>
        <v>none</v>
      </c>
      <c r="N94" s="157" t="str">
        <f t="shared" si="87"/>
        <v>none</v>
      </c>
      <c r="O94" s="167" t="e">
        <f t="shared" si="88"/>
        <v>#VALUE!</v>
      </c>
      <c r="P94" s="167">
        <f t="shared" si="89"/>
        <v>4</v>
      </c>
      <c r="Q94" s="167" t="e">
        <f t="shared" si="90"/>
        <v>#VALUE!</v>
      </c>
      <c r="R94" s="167" t="e">
        <f t="shared" si="91"/>
        <v>#VALUE!</v>
      </c>
      <c r="S94" s="167" t="str">
        <f>IFERROR(VLOOKUP(MID(N94,Q94,R94-Q94),[6]skilldef!$C:$D,2,FALSE),"-") &amp; " / " &amp; IFERROR(VLOOKUP(MID(N94,O94,P94-O94),[6]skilldef!$A:$B,2,FALSE),"-")</f>
        <v>- / -</v>
      </c>
      <c r="T94" s="157" t="str">
        <f t="shared" si="92"/>
        <v>none</v>
      </c>
      <c r="U94" s="167" t="e">
        <f t="shared" si="93"/>
        <v>#VALUE!</v>
      </c>
      <c r="V94" s="167">
        <f t="shared" si="94"/>
        <v>4</v>
      </c>
      <c r="W94" s="167" t="e">
        <f t="shared" si="95"/>
        <v>#VALUE!</v>
      </c>
      <c r="X94" s="167" t="e">
        <f t="shared" si="96"/>
        <v>#VALUE!</v>
      </c>
      <c r="Y94" s="167" t="str">
        <f>IFERROR(VLOOKUP(MID(T94,W94,X94-W94),[6]skilldef!$C:$D,2,FALSE),"-") &amp; " / " &amp; IFERROR(VLOOKUP(MID(T94,U94,V94-U94),[6]skilldef!$A:$B,2,FALSE),"-")</f>
        <v>- / -</v>
      </c>
      <c r="Z94" s="148"/>
      <c r="AA94" s="150"/>
      <c r="AB94" s="148"/>
    </row>
    <row r="95" spans="1:28" s="147" customFormat="1" ht="28" x14ac:dyDescent="0.15">
      <c r="A95" s="147">
        <v>40037439</v>
      </c>
      <c r="B95" s="147" t="s">
        <v>258</v>
      </c>
      <c r="C95" s="34">
        <v>3</v>
      </c>
      <c r="D95" s="34" t="s">
        <v>128</v>
      </c>
      <c r="E95" s="149" t="s">
        <v>290</v>
      </c>
      <c r="F95" s="149" t="s">
        <v>294</v>
      </c>
      <c r="G95" s="167" t="str">
        <f t="shared" si="81"/>
        <v xml:space="preserve">[effect:enemy_message, val1:2, val2:2.4, dead_type:suicide]    </v>
      </c>
      <c r="H95" s="167">
        <f t="shared" si="82"/>
        <v>9</v>
      </c>
      <c r="I95" s="167">
        <f t="shared" si="83"/>
        <v>22</v>
      </c>
      <c r="J95" s="167" t="e">
        <f t="shared" si="84"/>
        <v>#VALUE!</v>
      </c>
      <c r="K95" s="167">
        <f t="shared" si="85"/>
        <v>30</v>
      </c>
      <c r="L95" s="167" t="str">
        <f>IFERROR(VLOOKUP(MID(G95,J95,K95-J95),[6]skilldef!$C:$D,2,FALSE),"-") &amp; " / " &amp; IFERROR(VLOOKUP(MID(G95,H95,I95-H95),[6]skilldef!$A:$B,2,FALSE),"-")</f>
        <v>- / -</v>
      </c>
      <c r="M95" s="167" t="str">
        <f t="shared" si="86"/>
        <v>none</v>
      </c>
      <c r="N95" s="157" t="str">
        <f t="shared" si="87"/>
        <v>none</v>
      </c>
      <c r="O95" s="167" t="e">
        <f t="shared" si="88"/>
        <v>#VALUE!</v>
      </c>
      <c r="P95" s="167">
        <f t="shared" si="89"/>
        <v>4</v>
      </c>
      <c r="Q95" s="167" t="e">
        <f t="shared" si="90"/>
        <v>#VALUE!</v>
      </c>
      <c r="R95" s="167" t="e">
        <f t="shared" si="91"/>
        <v>#VALUE!</v>
      </c>
      <c r="S95" s="167" t="str">
        <f>IFERROR(VLOOKUP(MID(N95,Q95,R95-Q95),[6]skilldef!$C:$D,2,FALSE),"-") &amp; " / " &amp; IFERROR(VLOOKUP(MID(N95,O95,P95-O95),[6]skilldef!$A:$B,2,FALSE),"-")</f>
        <v>- / -</v>
      </c>
      <c r="T95" s="157" t="str">
        <f t="shared" si="92"/>
        <v>none</v>
      </c>
      <c r="U95" s="167" t="e">
        <f t="shared" si="93"/>
        <v>#VALUE!</v>
      </c>
      <c r="V95" s="167">
        <f t="shared" si="94"/>
        <v>4</v>
      </c>
      <c r="W95" s="167" t="e">
        <f t="shared" si="95"/>
        <v>#VALUE!</v>
      </c>
      <c r="X95" s="167" t="e">
        <f t="shared" si="96"/>
        <v>#VALUE!</v>
      </c>
      <c r="Y95" s="167" t="str">
        <f>IFERROR(VLOOKUP(MID(T95,W95,X95-W95),[6]skilldef!$C:$D,2,FALSE),"-") &amp; " / " &amp; IFERROR(VLOOKUP(MID(T95,U95,V95-U95),[6]skilldef!$A:$B,2,FALSE),"-")</f>
        <v>- / -</v>
      </c>
      <c r="Z95" s="148"/>
      <c r="AA95" s="150"/>
      <c r="AB95" s="148"/>
    </row>
    <row r="96" spans="1:28" s="147" customFormat="1" ht="28" x14ac:dyDescent="0.15">
      <c r="A96" s="147">
        <v>40037440</v>
      </c>
      <c r="B96" s="147" t="s">
        <v>258</v>
      </c>
      <c r="C96" s="34">
        <v>3</v>
      </c>
      <c r="D96" s="34" t="s">
        <v>128</v>
      </c>
      <c r="E96" s="149" t="s">
        <v>293</v>
      </c>
      <c r="F96" s="149" t="s">
        <v>292</v>
      </c>
      <c r="G96" s="167" t="str">
        <f t="shared" si="81"/>
        <v xml:space="preserve">[effect:enemy_message, val1:2, val2:2.4, dead_type:suicide]    </v>
      </c>
      <c r="H96" s="167">
        <f t="shared" si="82"/>
        <v>9</v>
      </c>
      <c r="I96" s="167">
        <f t="shared" si="83"/>
        <v>22</v>
      </c>
      <c r="J96" s="167" t="e">
        <f t="shared" si="84"/>
        <v>#VALUE!</v>
      </c>
      <c r="K96" s="167">
        <f t="shared" si="85"/>
        <v>30</v>
      </c>
      <c r="L96" s="167" t="str">
        <f>IFERROR(VLOOKUP(MID(G96,J96,K96-J96),[6]skilldef!$C:$D,2,FALSE),"-") &amp; " / " &amp; IFERROR(VLOOKUP(MID(G96,H96,I96-H96),[6]skilldef!$A:$B,2,FALSE),"-")</f>
        <v>- / -</v>
      </c>
      <c r="M96" s="167" t="str">
        <f t="shared" si="86"/>
        <v>none</v>
      </c>
      <c r="N96" s="157" t="str">
        <f t="shared" si="87"/>
        <v>none</v>
      </c>
      <c r="O96" s="167" t="e">
        <f t="shared" si="88"/>
        <v>#VALUE!</v>
      </c>
      <c r="P96" s="167">
        <f t="shared" si="89"/>
        <v>4</v>
      </c>
      <c r="Q96" s="167" t="e">
        <f t="shared" si="90"/>
        <v>#VALUE!</v>
      </c>
      <c r="R96" s="167" t="e">
        <f t="shared" si="91"/>
        <v>#VALUE!</v>
      </c>
      <c r="S96" s="167" t="str">
        <f>IFERROR(VLOOKUP(MID(N96,Q96,R96-Q96),[6]skilldef!$C:$D,2,FALSE),"-") &amp; " / " &amp; IFERROR(VLOOKUP(MID(N96,O96,P96-O96),[6]skilldef!$A:$B,2,FALSE),"-")</f>
        <v>- / -</v>
      </c>
      <c r="T96" s="157" t="str">
        <f t="shared" si="92"/>
        <v>none</v>
      </c>
      <c r="U96" s="167" t="e">
        <f t="shared" si="93"/>
        <v>#VALUE!</v>
      </c>
      <c r="V96" s="167">
        <f t="shared" si="94"/>
        <v>4</v>
      </c>
      <c r="W96" s="167" t="e">
        <f t="shared" si="95"/>
        <v>#VALUE!</v>
      </c>
      <c r="X96" s="167" t="e">
        <f t="shared" si="96"/>
        <v>#VALUE!</v>
      </c>
      <c r="Y96" s="167" t="str">
        <f>IFERROR(VLOOKUP(MID(T96,W96,X96-W96),[6]skilldef!$C:$D,2,FALSE),"-") &amp; " / " &amp; IFERROR(VLOOKUP(MID(T96,U96,V96-U96),[6]skilldef!$A:$B,2,FALSE),"-")</f>
        <v>- / -</v>
      </c>
      <c r="Z96" s="148"/>
      <c r="AA96" s="150"/>
      <c r="AB96" s="148"/>
    </row>
    <row r="97" spans="1:28" s="147" customFormat="1" ht="28" x14ac:dyDescent="0.15">
      <c r="A97" s="147">
        <v>40037441</v>
      </c>
      <c r="B97" s="147" t="s">
        <v>257</v>
      </c>
      <c r="C97" s="34">
        <v>3</v>
      </c>
      <c r="D97" s="34" t="s">
        <v>128</v>
      </c>
      <c r="E97" s="149" t="s">
        <v>291</v>
      </c>
      <c r="F97" s="149" t="s">
        <v>440</v>
      </c>
      <c r="G97" s="167" t="str">
        <f t="shared" si="81"/>
        <v xml:space="preserve">[effect:enemy_message, val1:2, val2:2.4, dead_type:suicide]    </v>
      </c>
      <c r="H97" s="167">
        <f t="shared" si="82"/>
        <v>9</v>
      </c>
      <c r="I97" s="167">
        <f t="shared" si="83"/>
        <v>22</v>
      </c>
      <c r="J97" s="167" t="e">
        <f t="shared" si="84"/>
        <v>#VALUE!</v>
      </c>
      <c r="K97" s="167">
        <f t="shared" si="85"/>
        <v>30</v>
      </c>
      <c r="L97" s="167" t="str">
        <f>IFERROR(VLOOKUP(MID(G97,J97,K97-J97),[6]skilldef!$C:$D,2,FALSE),"-") &amp; " / " &amp; IFERROR(VLOOKUP(MID(G97,H97,I97-H97),[6]skilldef!$A:$B,2,FALSE),"-")</f>
        <v>- / -</v>
      </c>
      <c r="M97" s="167" t="str">
        <f t="shared" si="86"/>
        <v>none</v>
      </c>
      <c r="N97" s="157" t="str">
        <f t="shared" si="87"/>
        <v>none</v>
      </c>
      <c r="O97" s="167" t="e">
        <f t="shared" si="88"/>
        <v>#VALUE!</v>
      </c>
      <c r="P97" s="167">
        <f t="shared" si="89"/>
        <v>4</v>
      </c>
      <c r="Q97" s="167" t="e">
        <f t="shared" si="90"/>
        <v>#VALUE!</v>
      </c>
      <c r="R97" s="167" t="e">
        <f t="shared" si="91"/>
        <v>#VALUE!</v>
      </c>
      <c r="S97" s="167" t="str">
        <f>IFERROR(VLOOKUP(MID(N97,Q97,R97-Q97),[6]skilldef!$C:$D,2,FALSE),"-") &amp; " / " &amp; IFERROR(VLOOKUP(MID(N97,O97,P97-O97),[6]skilldef!$A:$B,2,FALSE),"-")</f>
        <v>- / -</v>
      </c>
      <c r="T97" s="157" t="str">
        <f t="shared" si="92"/>
        <v>none</v>
      </c>
      <c r="U97" s="167" t="e">
        <f t="shared" si="93"/>
        <v>#VALUE!</v>
      </c>
      <c r="V97" s="167">
        <f t="shared" si="94"/>
        <v>4</v>
      </c>
      <c r="W97" s="167" t="e">
        <f t="shared" si="95"/>
        <v>#VALUE!</v>
      </c>
      <c r="X97" s="167" t="e">
        <f t="shared" si="96"/>
        <v>#VALUE!</v>
      </c>
      <c r="Y97" s="167" t="str">
        <f>IFERROR(VLOOKUP(MID(T97,W97,X97-W97),[6]skilldef!$C:$D,2,FALSE),"-") &amp; " / " &amp; IFERROR(VLOOKUP(MID(T97,U97,V97-U97),[6]skilldef!$A:$B,2,FALSE),"-")</f>
        <v>- / -</v>
      </c>
      <c r="Z97" s="148"/>
      <c r="AA97" s="150"/>
      <c r="AB97" s="1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5"/>
  <sheetViews>
    <sheetView showGridLines="0" tabSelected="1" zoomScale="125" zoomScaleNormal="125" zoomScalePageLayoutView="125" workbookViewId="0">
      <pane ySplit="1" topLeftCell="A32" activePane="bottomLeft" state="frozenSplit"/>
      <selection pane="bottomLeft" activeCell="H45" sqref="H45"/>
    </sheetView>
  </sheetViews>
  <sheetFormatPr baseColWidth="12" defaultColWidth="12.83203125" defaultRowHeight="21" customHeight="1" x14ac:dyDescent="0.15"/>
  <cols>
    <col min="1" max="1" width="16.1640625" style="33" bestFit="1" customWidth="1"/>
    <col min="2" max="2" width="13.33203125" style="33" bestFit="1" customWidth="1"/>
    <col min="3" max="3" width="11.83203125" style="33" bestFit="1" customWidth="1"/>
    <col min="4" max="4" width="14.6640625" style="33" bestFit="1" customWidth="1"/>
    <col min="5" max="5" width="15.6640625" style="33" bestFit="1" customWidth="1"/>
    <col min="6" max="6" width="17" style="33" bestFit="1" customWidth="1"/>
    <col min="7" max="7" width="15.6640625" style="33" bestFit="1" customWidth="1"/>
    <col min="8" max="9" width="14.6640625" style="33" customWidth="1"/>
    <col min="10" max="10" width="14.6640625" style="33" bestFit="1" customWidth="1"/>
    <col min="11" max="11" width="22.83203125" style="28" bestFit="1" customWidth="1"/>
    <col min="12" max="16384" width="12.83203125" style="30"/>
  </cols>
  <sheetData>
    <row r="1" spans="1:11" ht="21" customHeight="1" thickBot="1" x14ac:dyDescent="0.2">
      <c r="A1" s="37" t="s">
        <v>84</v>
      </c>
      <c r="B1" s="37" t="s">
        <v>85</v>
      </c>
      <c r="C1" s="37" t="s">
        <v>86</v>
      </c>
      <c r="D1" s="37" t="s">
        <v>87</v>
      </c>
      <c r="E1" s="37" t="s">
        <v>70</v>
      </c>
      <c r="F1" s="37" t="s">
        <v>71</v>
      </c>
      <c r="G1" s="37" t="s">
        <v>72</v>
      </c>
      <c r="H1" s="37" t="s">
        <v>73</v>
      </c>
      <c r="I1" s="37" t="s">
        <v>74</v>
      </c>
      <c r="J1" s="37" t="s">
        <v>75</v>
      </c>
      <c r="K1" s="38" t="s">
        <v>88</v>
      </c>
    </row>
    <row r="2" spans="1:11" ht="21" customHeight="1" x14ac:dyDescent="0.15">
      <c r="A2" s="86">
        <v>40037600</v>
      </c>
      <c r="B2" s="87">
        <v>0</v>
      </c>
      <c r="C2" s="87">
        <v>100</v>
      </c>
      <c r="D2" s="87">
        <v>100</v>
      </c>
      <c r="E2" s="87" t="s">
        <v>262</v>
      </c>
      <c r="F2" s="87" t="s">
        <v>90</v>
      </c>
      <c r="G2" s="87">
        <v>1</v>
      </c>
      <c r="H2" s="87" t="s">
        <v>90</v>
      </c>
      <c r="I2" s="87" t="s">
        <v>90</v>
      </c>
      <c r="J2" s="88">
        <f t="shared" ref="J2" si="0">D2</f>
        <v>100</v>
      </c>
    </row>
    <row r="3" spans="1:11" ht="21" customHeight="1" x14ac:dyDescent="0.15">
      <c r="A3" s="92">
        <v>40037601</v>
      </c>
      <c r="B3" s="32">
        <v>0</v>
      </c>
      <c r="C3" s="32">
        <v>98</v>
      </c>
      <c r="D3" s="32">
        <v>75</v>
      </c>
      <c r="E3" s="32" t="s">
        <v>262</v>
      </c>
      <c r="F3" s="32" t="s">
        <v>89</v>
      </c>
      <c r="G3" s="32" t="s">
        <v>53</v>
      </c>
      <c r="H3" s="32" t="s">
        <v>89</v>
      </c>
      <c r="I3" s="32" t="s">
        <v>89</v>
      </c>
      <c r="J3" s="93">
        <f t="shared" ref="J3:J54" si="1">D3</f>
        <v>75</v>
      </c>
    </row>
    <row r="4" spans="1:11" ht="21" customHeight="1" thickBot="1" x14ac:dyDescent="0.2">
      <c r="A4" s="171">
        <v>40037648</v>
      </c>
      <c r="B4" s="168">
        <v>0</v>
      </c>
      <c r="C4" s="168">
        <v>99</v>
      </c>
      <c r="D4" s="168">
        <v>100</v>
      </c>
      <c r="E4" s="168" t="s">
        <v>262</v>
      </c>
      <c r="F4" s="168" t="s">
        <v>53</v>
      </c>
      <c r="G4" s="168">
        <v>1</v>
      </c>
      <c r="H4" s="168" t="s">
        <v>53</v>
      </c>
      <c r="I4" s="168">
        <v>1210</v>
      </c>
      <c r="J4" s="169">
        <f t="shared" si="1"/>
        <v>100</v>
      </c>
    </row>
    <row r="5" spans="1:11" ht="21" customHeight="1" x14ac:dyDescent="0.15">
      <c r="A5" s="86">
        <v>40037602</v>
      </c>
      <c r="B5" s="87">
        <v>0</v>
      </c>
      <c r="C5" s="87">
        <v>100</v>
      </c>
      <c r="D5" s="87">
        <v>100</v>
      </c>
      <c r="E5" s="87" t="s">
        <v>262</v>
      </c>
      <c r="F5" s="87" t="s">
        <v>89</v>
      </c>
      <c r="G5" s="87">
        <v>1</v>
      </c>
      <c r="H5" s="87" t="s">
        <v>89</v>
      </c>
      <c r="I5" s="87" t="s">
        <v>89</v>
      </c>
      <c r="J5" s="88">
        <f t="shared" si="1"/>
        <v>100</v>
      </c>
    </row>
    <row r="6" spans="1:11" ht="21" customHeight="1" x14ac:dyDescent="0.15">
      <c r="A6" s="92">
        <v>40037603</v>
      </c>
      <c r="B6" s="32">
        <v>0</v>
      </c>
      <c r="C6" s="32">
        <v>98</v>
      </c>
      <c r="D6" s="32">
        <v>75</v>
      </c>
      <c r="E6" s="32" t="s">
        <v>262</v>
      </c>
      <c r="F6" s="32" t="s">
        <v>89</v>
      </c>
      <c r="G6" s="32" t="s">
        <v>53</v>
      </c>
      <c r="H6" s="32" t="s">
        <v>89</v>
      </c>
      <c r="I6" s="32" t="s">
        <v>89</v>
      </c>
      <c r="J6" s="93">
        <f t="shared" si="1"/>
        <v>75</v>
      </c>
    </row>
    <row r="7" spans="1:11" ht="21" customHeight="1" thickBot="1" x14ac:dyDescent="0.2">
      <c r="A7" s="171">
        <v>40037649</v>
      </c>
      <c r="B7" s="168">
        <v>0</v>
      </c>
      <c r="C7" s="168">
        <v>99</v>
      </c>
      <c r="D7" s="168">
        <v>100</v>
      </c>
      <c r="E7" s="168" t="s">
        <v>262</v>
      </c>
      <c r="F7" s="168" t="s">
        <v>53</v>
      </c>
      <c r="G7" s="168">
        <v>1</v>
      </c>
      <c r="H7" s="168" t="s">
        <v>53</v>
      </c>
      <c r="I7" s="168">
        <v>1200</v>
      </c>
      <c r="J7" s="169">
        <f t="shared" si="1"/>
        <v>100</v>
      </c>
    </row>
    <row r="8" spans="1:11" ht="21" customHeight="1" x14ac:dyDescent="0.15">
      <c r="A8" s="86">
        <v>40037604</v>
      </c>
      <c r="B8" s="87">
        <v>1</v>
      </c>
      <c r="C8" s="87">
        <v>100</v>
      </c>
      <c r="D8" s="87">
        <v>100</v>
      </c>
      <c r="E8" s="87" t="s">
        <v>262</v>
      </c>
      <c r="F8" s="87" t="s">
        <v>89</v>
      </c>
      <c r="G8" s="87">
        <v>1</v>
      </c>
      <c r="H8" s="87" t="s">
        <v>89</v>
      </c>
      <c r="I8" s="87" t="s">
        <v>89</v>
      </c>
      <c r="J8" s="88">
        <f t="shared" si="1"/>
        <v>100</v>
      </c>
    </row>
    <row r="9" spans="1:11" ht="21" customHeight="1" x14ac:dyDescent="0.15">
      <c r="A9" s="92">
        <v>40037605</v>
      </c>
      <c r="B9" s="32">
        <v>0</v>
      </c>
      <c r="C9" s="32">
        <v>98</v>
      </c>
      <c r="D9" s="32">
        <v>25</v>
      </c>
      <c r="E9" s="32" t="s">
        <v>262</v>
      </c>
      <c r="F9" s="32" t="s">
        <v>89</v>
      </c>
      <c r="G9" s="32" t="s">
        <v>53</v>
      </c>
      <c r="H9" s="32" t="s">
        <v>89</v>
      </c>
      <c r="I9" s="32" t="s">
        <v>89</v>
      </c>
      <c r="J9" s="93">
        <f t="shared" si="1"/>
        <v>25</v>
      </c>
    </row>
    <row r="10" spans="1:11" ht="21" customHeight="1" x14ac:dyDescent="0.15">
      <c r="A10" s="92">
        <v>40037606</v>
      </c>
      <c r="B10" s="32">
        <v>0</v>
      </c>
      <c r="C10" s="32">
        <v>97</v>
      </c>
      <c r="D10" s="32">
        <v>33</v>
      </c>
      <c r="E10" s="32" t="s">
        <v>262</v>
      </c>
      <c r="F10" s="32" t="s">
        <v>89</v>
      </c>
      <c r="G10" s="32" t="s">
        <v>53</v>
      </c>
      <c r="H10" s="32" t="s">
        <v>89</v>
      </c>
      <c r="I10" s="32" t="s">
        <v>89</v>
      </c>
      <c r="J10" s="93">
        <f t="shared" si="1"/>
        <v>33</v>
      </c>
    </row>
    <row r="11" spans="1:11" ht="21" customHeight="1" thickBot="1" x14ac:dyDescent="0.2">
      <c r="A11" s="89">
        <v>40037650</v>
      </c>
      <c r="B11" s="90">
        <v>0</v>
      </c>
      <c r="C11" s="90">
        <v>99</v>
      </c>
      <c r="D11" s="90">
        <v>100</v>
      </c>
      <c r="E11" s="90" t="s">
        <v>262</v>
      </c>
      <c r="F11" s="90" t="s">
        <v>53</v>
      </c>
      <c r="G11" s="90">
        <v>1</v>
      </c>
      <c r="H11" s="90" t="s">
        <v>53</v>
      </c>
      <c r="I11" s="90">
        <v>738</v>
      </c>
      <c r="J11" s="91">
        <f t="shared" si="1"/>
        <v>100</v>
      </c>
    </row>
    <row r="12" spans="1:11" ht="21" customHeight="1" x14ac:dyDescent="0.15">
      <c r="A12" s="172">
        <v>40037607</v>
      </c>
      <c r="B12" s="85">
        <v>1</v>
      </c>
      <c r="C12" s="85">
        <v>100</v>
      </c>
      <c r="D12" s="85">
        <v>100</v>
      </c>
      <c r="E12" s="85" t="s">
        <v>262</v>
      </c>
      <c r="F12" s="85" t="s">
        <v>89</v>
      </c>
      <c r="G12" s="85">
        <v>1</v>
      </c>
      <c r="H12" s="85" t="s">
        <v>89</v>
      </c>
      <c r="I12" s="85" t="s">
        <v>89</v>
      </c>
      <c r="J12" s="170">
        <f t="shared" si="1"/>
        <v>100</v>
      </c>
    </row>
    <row r="13" spans="1:11" ht="21" customHeight="1" x14ac:dyDescent="0.15">
      <c r="A13" s="92">
        <v>40037608</v>
      </c>
      <c r="B13" s="32">
        <v>0</v>
      </c>
      <c r="C13" s="32">
        <v>98</v>
      </c>
      <c r="D13" s="32">
        <v>25</v>
      </c>
      <c r="E13" s="32" t="s">
        <v>262</v>
      </c>
      <c r="F13" s="32" t="s">
        <v>89</v>
      </c>
      <c r="G13" s="32" t="s">
        <v>53</v>
      </c>
      <c r="H13" s="32" t="s">
        <v>89</v>
      </c>
      <c r="I13" s="32" t="s">
        <v>89</v>
      </c>
      <c r="J13" s="93">
        <f t="shared" si="1"/>
        <v>25</v>
      </c>
    </row>
    <row r="14" spans="1:11" ht="21" customHeight="1" x14ac:dyDescent="0.15">
      <c r="A14" s="92">
        <v>40037609</v>
      </c>
      <c r="B14" s="32">
        <v>0</v>
      </c>
      <c r="C14" s="32">
        <v>97</v>
      </c>
      <c r="D14" s="32">
        <v>33</v>
      </c>
      <c r="E14" s="32" t="s">
        <v>262</v>
      </c>
      <c r="F14" s="32" t="s">
        <v>89</v>
      </c>
      <c r="G14" s="32" t="s">
        <v>53</v>
      </c>
      <c r="H14" s="32" t="s">
        <v>89</v>
      </c>
      <c r="I14" s="32" t="s">
        <v>89</v>
      </c>
      <c r="J14" s="93">
        <f t="shared" si="1"/>
        <v>33</v>
      </c>
    </row>
    <row r="15" spans="1:11" ht="21" customHeight="1" x14ac:dyDescent="0.15">
      <c r="A15" s="92">
        <v>40037653</v>
      </c>
      <c r="B15" s="32">
        <v>0</v>
      </c>
      <c r="C15" s="32">
        <v>96</v>
      </c>
      <c r="D15" s="32">
        <v>50</v>
      </c>
      <c r="E15" s="32" t="s">
        <v>262</v>
      </c>
      <c r="F15" s="32" t="s">
        <v>89</v>
      </c>
      <c r="G15" s="32" t="s">
        <v>53</v>
      </c>
      <c r="H15" s="32" t="s">
        <v>89</v>
      </c>
      <c r="I15" s="32" t="s">
        <v>89</v>
      </c>
      <c r="J15" s="93">
        <f t="shared" ref="J15" si="2">D15</f>
        <v>50</v>
      </c>
    </row>
    <row r="16" spans="1:11" ht="21" customHeight="1" thickBot="1" x14ac:dyDescent="0.2">
      <c r="A16" s="89">
        <v>40037651</v>
      </c>
      <c r="B16" s="90">
        <v>0</v>
      </c>
      <c r="C16" s="90">
        <v>99</v>
      </c>
      <c r="D16" s="90">
        <v>100</v>
      </c>
      <c r="E16" s="90" t="s">
        <v>262</v>
      </c>
      <c r="F16" s="90" t="s">
        <v>53</v>
      </c>
      <c r="G16" s="90">
        <v>1</v>
      </c>
      <c r="H16" s="90" t="s">
        <v>53</v>
      </c>
      <c r="I16" s="90">
        <v>381</v>
      </c>
      <c r="J16" s="91">
        <f t="shared" si="1"/>
        <v>100</v>
      </c>
    </row>
    <row r="17" spans="1:10" ht="21" customHeight="1" x14ac:dyDescent="0.15">
      <c r="A17" s="85">
        <v>40037610</v>
      </c>
      <c r="B17" s="85">
        <v>1</v>
      </c>
      <c r="C17" s="85">
        <v>100</v>
      </c>
      <c r="D17" s="85">
        <v>100</v>
      </c>
      <c r="E17" s="85" t="s">
        <v>262</v>
      </c>
      <c r="F17" s="85" t="s">
        <v>89</v>
      </c>
      <c r="G17" s="85">
        <v>1</v>
      </c>
      <c r="H17" s="85" t="s">
        <v>89</v>
      </c>
      <c r="I17" s="85" t="s">
        <v>89</v>
      </c>
      <c r="J17" s="170">
        <f t="shared" si="1"/>
        <v>100</v>
      </c>
    </row>
    <row r="18" spans="1:10" ht="21" customHeight="1" x14ac:dyDescent="0.15">
      <c r="A18" s="32">
        <v>40037611</v>
      </c>
      <c r="B18" s="32">
        <v>0</v>
      </c>
      <c r="C18" s="32">
        <v>99</v>
      </c>
      <c r="D18" s="32">
        <v>100</v>
      </c>
      <c r="E18" s="32" t="s">
        <v>262</v>
      </c>
      <c r="F18" s="32" t="s">
        <v>89</v>
      </c>
      <c r="G18" s="32">
        <v>1</v>
      </c>
      <c r="H18" s="32" t="s">
        <v>89</v>
      </c>
      <c r="I18" s="32">
        <v>260</v>
      </c>
      <c r="J18" s="93">
        <f t="shared" si="1"/>
        <v>100</v>
      </c>
    </row>
    <row r="19" spans="1:10" ht="21" customHeight="1" x14ac:dyDescent="0.15">
      <c r="A19" s="32">
        <v>40037612</v>
      </c>
      <c r="B19" s="32">
        <v>0</v>
      </c>
      <c r="C19" s="32">
        <v>98</v>
      </c>
      <c r="D19" s="32">
        <v>33</v>
      </c>
      <c r="E19" s="32" t="s">
        <v>262</v>
      </c>
      <c r="F19" s="32" t="s">
        <v>89</v>
      </c>
      <c r="G19" s="32">
        <v>3</v>
      </c>
      <c r="H19" s="32" t="s">
        <v>89</v>
      </c>
      <c r="I19" s="32" t="s">
        <v>89</v>
      </c>
      <c r="J19" s="93">
        <f t="shared" si="1"/>
        <v>33</v>
      </c>
    </row>
    <row r="20" spans="1:10" ht="21" customHeight="1" thickBot="1" x14ac:dyDescent="0.2">
      <c r="A20" s="90">
        <v>40037613</v>
      </c>
      <c r="B20" s="90">
        <v>0</v>
      </c>
      <c r="C20" s="90">
        <v>97</v>
      </c>
      <c r="D20" s="90">
        <v>50</v>
      </c>
      <c r="E20" s="90" t="s">
        <v>262</v>
      </c>
      <c r="F20" s="90" t="s">
        <v>89</v>
      </c>
      <c r="G20" s="90">
        <v>3</v>
      </c>
      <c r="H20" s="90" t="s">
        <v>89</v>
      </c>
      <c r="I20" s="90" t="s">
        <v>89</v>
      </c>
      <c r="J20" s="91">
        <f t="shared" si="1"/>
        <v>50</v>
      </c>
    </row>
    <row r="21" spans="1:10" ht="21" customHeight="1" x14ac:dyDescent="0.15">
      <c r="A21" s="85">
        <v>40037614</v>
      </c>
      <c r="B21" s="87">
        <v>1</v>
      </c>
      <c r="C21" s="87">
        <v>100</v>
      </c>
      <c r="D21" s="87">
        <v>100</v>
      </c>
      <c r="E21" s="87" t="s">
        <v>262</v>
      </c>
      <c r="F21" s="87" t="s">
        <v>89</v>
      </c>
      <c r="G21" s="87">
        <v>1</v>
      </c>
      <c r="H21" s="87" t="s">
        <v>89</v>
      </c>
      <c r="I21" s="87" t="s">
        <v>89</v>
      </c>
      <c r="J21" s="88">
        <f t="shared" si="1"/>
        <v>100</v>
      </c>
    </row>
    <row r="22" spans="1:10" ht="21" customHeight="1" x14ac:dyDescent="0.15">
      <c r="A22" s="32">
        <v>40037615</v>
      </c>
      <c r="B22" s="32">
        <v>0</v>
      </c>
      <c r="C22" s="32">
        <v>99</v>
      </c>
      <c r="D22" s="32">
        <v>100</v>
      </c>
      <c r="E22" s="32" t="s">
        <v>262</v>
      </c>
      <c r="F22" s="32" t="s">
        <v>89</v>
      </c>
      <c r="G22" s="32">
        <v>1</v>
      </c>
      <c r="H22" s="32" t="s">
        <v>89</v>
      </c>
      <c r="I22" s="32">
        <v>230</v>
      </c>
      <c r="J22" s="93">
        <f t="shared" si="1"/>
        <v>100</v>
      </c>
    </row>
    <row r="23" spans="1:10" ht="21" customHeight="1" x14ac:dyDescent="0.15">
      <c r="A23" s="32">
        <v>40037616</v>
      </c>
      <c r="B23" s="32">
        <v>0</v>
      </c>
      <c r="C23" s="32">
        <v>98</v>
      </c>
      <c r="D23" s="32">
        <v>33</v>
      </c>
      <c r="E23" s="32" t="s">
        <v>262</v>
      </c>
      <c r="F23" s="32" t="s">
        <v>89</v>
      </c>
      <c r="G23" s="32">
        <v>3</v>
      </c>
      <c r="H23" s="32" t="s">
        <v>89</v>
      </c>
      <c r="I23" s="32" t="s">
        <v>89</v>
      </c>
      <c r="J23" s="93">
        <f t="shared" si="1"/>
        <v>33</v>
      </c>
    </row>
    <row r="24" spans="1:10" ht="21" customHeight="1" thickBot="1" x14ac:dyDescent="0.2">
      <c r="A24" s="90">
        <v>40037617</v>
      </c>
      <c r="B24" s="90">
        <v>0</v>
      </c>
      <c r="C24" s="90">
        <v>97</v>
      </c>
      <c r="D24" s="90">
        <v>50</v>
      </c>
      <c r="E24" s="90" t="s">
        <v>262</v>
      </c>
      <c r="F24" s="90" t="s">
        <v>89</v>
      </c>
      <c r="G24" s="90">
        <v>1</v>
      </c>
      <c r="H24" s="90" t="s">
        <v>89</v>
      </c>
      <c r="I24" s="90" t="s">
        <v>89</v>
      </c>
      <c r="J24" s="91">
        <f t="shared" si="1"/>
        <v>50</v>
      </c>
    </row>
    <row r="25" spans="1:10" ht="21" customHeight="1" x14ac:dyDescent="0.15">
      <c r="A25" s="87">
        <v>40037618</v>
      </c>
      <c r="B25" s="87">
        <v>1</v>
      </c>
      <c r="C25" s="87">
        <v>100</v>
      </c>
      <c r="D25" s="87">
        <v>100</v>
      </c>
      <c r="E25" s="87" t="s">
        <v>262</v>
      </c>
      <c r="F25" s="87" t="s">
        <v>89</v>
      </c>
      <c r="G25" s="87">
        <v>1</v>
      </c>
      <c r="H25" s="87" t="s">
        <v>89</v>
      </c>
      <c r="I25" s="87">
        <v>1208</v>
      </c>
      <c r="J25" s="88">
        <f t="shared" si="1"/>
        <v>100</v>
      </c>
    </row>
    <row r="26" spans="1:10" ht="21" customHeight="1" x14ac:dyDescent="0.15">
      <c r="A26" s="32">
        <v>40037619</v>
      </c>
      <c r="B26" s="32">
        <v>1</v>
      </c>
      <c r="C26" s="32">
        <v>99</v>
      </c>
      <c r="D26" s="32">
        <v>100</v>
      </c>
      <c r="E26" s="32" t="s">
        <v>262</v>
      </c>
      <c r="F26" s="32" t="s">
        <v>89</v>
      </c>
      <c r="G26" s="32">
        <v>1</v>
      </c>
      <c r="H26" s="32" t="s">
        <v>89</v>
      </c>
      <c r="I26" s="32">
        <v>1209</v>
      </c>
      <c r="J26" s="93">
        <f t="shared" si="1"/>
        <v>100</v>
      </c>
    </row>
    <row r="27" spans="1:10" ht="21" customHeight="1" x14ac:dyDescent="0.15">
      <c r="A27" s="32">
        <v>40037620</v>
      </c>
      <c r="B27" s="32">
        <v>1</v>
      </c>
      <c r="C27" s="32">
        <v>98</v>
      </c>
      <c r="D27" s="32">
        <v>100</v>
      </c>
      <c r="E27" s="32" t="s">
        <v>262</v>
      </c>
      <c r="F27" s="32" t="s">
        <v>89</v>
      </c>
      <c r="G27" s="32">
        <v>1</v>
      </c>
      <c r="H27" s="32" t="s">
        <v>89</v>
      </c>
      <c r="I27" s="32">
        <v>744</v>
      </c>
      <c r="J27" s="93">
        <f t="shared" si="1"/>
        <v>100</v>
      </c>
    </row>
    <row r="28" spans="1:10" ht="21" customHeight="1" x14ac:dyDescent="0.15">
      <c r="A28" s="32">
        <v>40037621</v>
      </c>
      <c r="B28" s="32">
        <v>1</v>
      </c>
      <c r="C28" s="32">
        <v>97</v>
      </c>
      <c r="D28" s="32">
        <v>100</v>
      </c>
      <c r="E28" s="32" t="s">
        <v>262</v>
      </c>
      <c r="F28" s="32" t="s">
        <v>89</v>
      </c>
      <c r="G28" s="32">
        <v>1</v>
      </c>
      <c r="H28" s="32" t="s">
        <v>89</v>
      </c>
      <c r="I28" s="32">
        <v>745</v>
      </c>
      <c r="J28" s="93">
        <f t="shared" ref="J28:J30" si="3">D28</f>
        <v>100</v>
      </c>
    </row>
    <row r="29" spans="1:10" ht="21" customHeight="1" x14ac:dyDescent="0.15">
      <c r="A29" s="32">
        <v>40037622</v>
      </c>
      <c r="B29" s="32">
        <v>1</v>
      </c>
      <c r="C29" s="32">
        <v>96</v>
      </c>
      <c r="D29" s="32">
        <v>100</v>
      </c>
      <c r="E29" s="32" t="s">
        <v>262</v>
      </c>
      <c r="F29" s="32" t="s">
        <v>53</v>
      </c>
      <c r="G29" s="32">
        <v>1</v>
      </c>
      <c r="H29" s="32" t="s">
        <v>89</v>
      </c>
      <c r="I29" s="32">
        <v>742</v>
      </c>
      <c r="J29" s="93">
        <f t="shared" si="3"/>
        <v>100</v>
      </c>
    </row>
    <row r="30" spans="1:10" ht="21" customHeight="1" x14ac:dyDescent="0.15">
      <c r="A30" s="32">
        <v>40037623</v>
      </c>
      <c r="B30" s="32">
        <v>1</v>
      </c>
      <c r="C30" s="32">
        <v>95</v>
      </c>
      <c r="D30" s="32">
        <v>100</v>
      </c>
      <c r="E30" s="32" t="s">
        <v>262</v>
      </c>
      <c r="F30" s="32" t="s">
        <v>89</v>
      </c>
      <c r="G30" s="32">
        <v>1</v>
      </c>
      <c r="H30" s="32" t="s">
        <v>89</v>
      </c>
      <c r="I30" s="32">
        <v>743</v>
      </c>
      <c r="J30" s="93">
        <f t="shared" si="3"/>
        <v>100</v>
      </c>
    </row>
    <row r="31" spans="1:10" ht="21" customHeight="1" x14ac:dyDescent="0.15">
      <c r="A31" s="32">
        <v>40037624</v>
      </c>
      <c r="B31" s="32">
        <v>1</v>
      </c>
      <c r="C31" s="32">
        <v>94</v>
      </c>
      <c r="D31" s="32">
        <v>100</v>
      </c>
      <c r="E31" s="32" t="s">
        <v>262</v>
      </c>
      <c r="F31" s="32" t="s">
        <v>89</v>
      </c>
      <c r="G31" s="32">
        <v>1</v>
      </c>
      <c r="H31" s="32" t="s">
        <v>89</v>
      </c>
      <c r="I31" s="32" t="s">
        <v>89</v>
      </c>
      <c r="J31" s="93">
        <f t="shared" si="1"/>
        <v>100</v>
      </c>
    </row>
    <row r="32" spans="1:10" ht="21" customHeight="1" x14ac:dyDescent="0.15">
      <c r="A32" s="32">
        <v>40037625</v>
      </c>
      <c r="B32" s="32">
        <v>0</v>
      </c>
      <c r="C32" s="32">
        <v>93</v>
      </c>
      <c r="D32" s="32">
        <v>100</v>
      </c>
      <c r="E32" s="32">
        <v>75</v>
      </c>
      <c r="F32" s="32" t="s">
        <v>89</v>
      </c>
      <c r="G32" s="32">
        <v>2</v>
      </c>
      <c r="H32" s="32" t="s">
        <v>89</v>
      </c>
      <c r="I32" s="32" t="s">
        <v>89</v>
      </c>
      <c r="J32" s="93">
        <f t="shared" si="1"/>
        <v>100</v>
      </c>
    </row>
    <row r="33" spans="1:10" ht="21" customHeight="1" thickBot="1" x14ac:dyDescent="0.2">
      <c r="A33" s="90">
        <v>40037626</v>
      </c>
      <c r="B33" s="90">
        <v>0</v>
      </c>
      <c r="C33" s="90">
        <v>92</v>
      </c>
      <c r="D33" s="90">
        <v>100</v>
      </c>
      <c r="E33" s="90">
        <v>50</v>
      </c>
      <c r="F33" s="90" t="s">
        <v>89</v>
      </c>
      <c r="G33" s="90">
        <v>2</v>
      </c>
      <c r="H33" s="90" t="s">
        <v>89</v>
      </c>
      <c r="I33" s="90" t="s">
        <v>89</v>
      </c>
      <c r="J33" s="91">
        <f t="shared" si="1"/>
        <v>100</v>
      </c>
    </row>
    <row r="34" spans="1:10" ht="21" customHeight="1" x14ac:dyDescent="0.15">
      <c r="A34" s="85">
        <v>40037627</v>
      </c>
      <c r="B34" s="87">
        <v>1</v>
      </c>
      <c r="C34" s="87">
        <v>100</v>
      </c>
      <c r="D34" s="87">
        <v>100</v>
      </c>
      <c r="E34" s="87" t="s">
        <v>262</v>
      </c>
      <c r="F34" s="87" t="s">
        <v>89</v>
      </c>
      <c r="G34" s="87">
        <v>1</v>
      </c>
      <c r="H34" s="87" t="s">
        <v>89</v>
      </c>
      <c r="I34" s="87" t="s">
        <v>89</v>
      </c>
      <c r="J34" s="88">
        <f t="shared" si="1"/>
        <v>100</v>
      </c>
    </row>
    <row r="35" spans="1:10" ht="21" customHeight="1" x14ac:dyDescent="0.15">
      <c r="A35" s="32">
        <v>40037628</v>
      </c>
      <c r="B35" s="32">
        <v>0</v>
      </c>
      <c r="C35" s="32">
        <v>97</v>
      </c>
      <c r="D35" s="32">
        <v>25</v>
      </c>
      <c r="E35" s="32" t="s">
        <v>262</v>
      </c>
      <c r="F35" s="32">
        <v>25</v>
      </c>
      <c r="G35" s="32">
        <v>2</v>
      </c>
      <c r="H35" s="32" t="s">
        <v>89</v>
      </c>
      <c r="I35" s="32" t="s">
        <v>89</v>
      </c>
      <c r="J35" s="93">
        <f t="shared" si="1"/>
        <v>25</v>
      </c>
    </row>
    <row r="36" spans="1:10" ht="21" customHeight="1" x14ac:dyDescent="0.15">
      <c r="A36" s="32">
        <v>40037629</v>
      </c>
      <c r="B36" s="32">
        <v>0</v>
      </c>
      <c r="C36" s="32">
        <v>96</v>
      </c>
      <c r="D36" s="32">
        <v>33</v>
      </c>
      <c r="E36" s="32" t="s">
        <v>262</v>
      </c>
      <c r="F36" s="32">
        <v>25</v>
      </c>
      <c r="G36" s="32" t="s">
        <v>53</v>
      </c>
      <c r="H36" s="32" t="s">
        <v>89</v>
      </c>
      <c r="I36" s="32" t="s">
        <v>89</v>
      </c>
      <c r="J36" s="93">
        <f t="shared" si="1"/>
        <v>33</v>
      </c>
    </row>
    <row r="37" spans="1:10" ht="21" customHeight="1" x14ac:dyDescent="0.15">
      <c r="A37" s="32">
        <v>40037630</v>
      </c>
      <c r="B37" s="32">
        <v>0</v>
      </c>
      <c r="C37" s="32">
        <v>95</v>
      </c>
      <c r="D37" s="32">
        <v>100</v>
      </c>
      <c r="E37" s="32" t="s">
        <v>262</v>
      </c>
      <c r="F37" s="32">
        <v>25</v>
      </c>
      <c r="G37" s="32">
        <v>1</v>
      </c>
      <c r="H37" s="32" t="s">
        <v>89</v>
      </c>
      <c r="I37" s="32" t="s">
        <v>89</v>
      </c>
      <c r="J37" s="93">
        <f t="shared" si="1"/>
        <v>100</v>
      </c>
    </row>
    <row r="38" spans="1:10" ht="21" customHeight="1" x14ac:dyDescent="0.15">
      <c r="A38" s="32">
        <v>40037631</v>
      </c>
      <c r="B38" s="32">
        <v>0</v>
      </c>
      <c r="C38" s="32">
        <v>99</v>
      </c>
      <c r="D38" s="32">
        <v>100</v>
      </c>
      <c r="E38" s="32">
        <v>25</v>
      </c>
      <c r="F38" s="32" t="s">
        <v>89</v>
      </c>
      <c r="G38" s="32">
        <v>1</v>
      </c>
      <c r="H38" s="32" t="s">
        <v>89</v>
      </c>
      <c r="I38" s="32" t="s">
        <v>89</v>
      </c>
      <c r="J38" s="93">
        <f t="shared" si="1"/>
        <v>100</v>
      </c>
    </row>
    <row r="39" spans="1:10" ht="21" customHeight="1" thickBot="1" x14ac:dyDescent="0.2">
      <c r="A39" s="90">
        <v>40037632</v>
      </c>
      <c r="B39" s="90">
        <v>0</v>
      </c>
      <c r="C39" s="90">
        <v>98</v>
      </c>
      <c r="D39" s="90">
        <v>100</v>
      </c>
      <c r="E39" s="90">
        <v>25</v>
      </c>
      <c r="F39" s="90" t="s">
        <v>89</v>
      </c>
      <c r="G39" s="90">
        <v>1</v>
      </c>
      <c r="H39" s="90" t="s">
        <v>89</v>
      </c>
      <c r="I39" s="90" t="s">
        <v>89</v>
      </c>
      <c r="J39" s="91">
        <f t="shared" si="1"/>
        <v>100</v>
      </c>
    </row>
    <row r="40" spans="1:10" ht="21" customHeight="1" x14ac:dyDescent="0.15">
      <c r="A40" s="86">
        <v>40037633</v>
      </c>
      <c r="B40" s="87">
        <v>1</v>
      </c>
      <c r="C40" s="87">
        <v>100</v>
      </c>
      <c r="D40" s="87">
        <v>100</v>
      </c>
      <c r="E40" s="87" t="s">
        <v>262</v>
      </c>
      <c r="F40" s="87" t="s">
        <v>89</v>
      </c>
      <c r="G40" s="87">
        <v>1</v>
      </c>
      <c r="H40" s="87" t="s">
        <v>89</v>
      </c>
      <c r="I40" s="87" t="s">
        <v>89</v>
      </c>
      <c r="J40" s="88">
        <f t="shared" si="1"/>
        <v>100</v>
      </c>
    </row>
    <row r="41" spans="1:10" ht="21" customHeight="1" x14ac:dyDescent="0.15">
      <c r="A41" s="92">
        <v>40037634</v>
      </c>
      <c r="B41" s="32">
        <v>0</v>
      </c>
      <c r="C41" s="32">
        <v>99</v>
      </c>
      <c r="D41" s="32">
        <v>100</v>
      </c>
      <c r="E41" s="32" t="s">
        <v>262</v>
      </c>
      <c r="F41" s="32" t="s">
        <v>89</v>
      </c>
      <c r="G41" s="32">
        <v>1</v>
      </c>
      <c r="H41" s="32" t="s">
        <v>89</v>
      </c>
      <c r="I41" s="32" t="s">
        <v>89</v>
      </c>
      <c r="J41" s="93">
        <f t="shared" si="1"/>
        <v>100</v>
      </c>
    </row>
    <row r="42" spans="1:10" ht="21" customHeight="1" x14ac:dyDescent="0.15">
      <c r="A42" s="92">
        <v>40037635</v>
      </c>
      <c r="B42" s="32">
        <v>0</v>
      </c>
      <c r="C42" s="32">
        <v>95</v>
      </c>
      <c r="D42" s="32">
        <v>25</v>
      </c>
      <c r="E42" s="32" t="s">
        <v>262</v>
      </c>
      <c r="F42" s="32" t="s">
        <v>89</v>
      </c>
      <c r="G42" s="32" t="s">
        <v>53</v>
      </c>
      <c r="H42" s="32" t="s">
        <v>89</v>
      </c>
      <c r="I42" s="32" t="s">
        <v>89</v>
      </c>
      <c r="J42" s="93">
        <f t="shared" si="1"/>
        <v>25</v>
      </c>
    </row>
    <row r="43" spans="1:10" ht="21" customHeight="1" x14ac:dyDescent="0.15">
      <c r="A43" s="92">
        <v>40037636</v>
      </c>
      <c r="B43" s="32">
        <v>0</v>
      </c>
      <c r="C43" s="32">
        <v>94</v>
      </c>
      <c r="D43" s="32">
        <v>33</v>
      </c>
      <c r="E43" s="32" t="s">
        <v>262</v>
      </c>
      <c r="F43" s="32" t="s">
        <v>89</v>
      </c>
      <c r="G43" s="32" t="s">
        <v>53</v>
      </c>
      <c r="H43" s="32" t="s">
        <v>89</v>
      </c>
      <c r="I43" s="32" t="s">
        <v>89</v>
      </c>
      <c r="J43" s="93">
        <f t="shared" si="1"/>
        <v>33</v>
      </c>
    </row>
    <row r="44" spans="1:10" ht="21" customHeight="1" x14ac:dyDescent="0.15">
      <c r="A44" s="92">
        <v>40037637</v>
      </c>
      <c r="B44" s="32">
        <v>0</v>
      </c>
      <c r="C44" s="32">
        <v>93</v>
      </c>
      <c r="D44" s="32">
        <v>100</v>
      </c>
      <c r="E44" s="32" t="s">
        <v>262</v>
      </c>
      <c r="F44" s="32" t="s">
        <v>89</v>
      </c>
      <c r="G44" s="32" t="s">
        <v>53</v>
      </c>
      <c r="H44" s="32" t="s">
        <v>89</v>
      </c>
      <c r="I44" s="32" t="s">
        <v>89</v>
      </c>
      <c r="J44" s="93">
        <f t="shared" si="1"/>
        <v>100</v>
      </c>
    </row>
    <row r="45" spans="1:10" ht="21" customHeight="1" x14ac:dyDescent="0.15">
      <c r="A45" s="92">
        <v>40037638</v>
      </c>
      <c r="B45" s="32">
        <v>0</v>
      </c>
      <c r="C45" s="32">
        <v>98</v>
      </c>
      <c r="D45" s="32">
        <v>100</v>
      </c>
      <c r="E45" s="32">
        <v>75</v>
      </c>
      <c r="F45" s="32">
        <v>25</v>
      </c>
      <c r="G45" s="32">
        <v>1</v>
      </c>
      <c r="H45" s="32" t="s">
        <v>89</v>
      </c>
      <c r="I45" s="32" t="s">
        <v>89</v>
      </c>
      <c r="J45" s="93">
        <f t="shared" si="1"/>
        <v>100</v>
      </c>
    </row>
    <row r="46" spans="1:10" ht="21" customHeight="1" x14ac:dyDescent="0.15">
      <c r="A46" s="92">
        <v>40037639</v>
      </c>
      <c r="B46" s="32">
        <v>0</v>
      </c>
      <c r="C46" s="32">
        <v>97</v>
      </c>
      <c r="D46" s="32">
        <v>100</v>
      </c>
      <c r="E46" s="32">
        <v>25</v>
      </c>
      <c r="F46" s="32" t="s">
        <v>89</v>
      </c>
      <c r="G46" s="32">
        <v>1</v>
      </c>
      <c r="H46" s="32" t="s">
        <v>89</v>
      </c>
      <c r="I46" s="32" t="s">
        <v>89</v>
      </c>
      <c r="J46" s="93">
        <f t="shared" si="1"/>
        <v>100</v>
      </c>
    </row>
    <row r="47" spans="1:10" ht="21" customHeight="1" x14ac:dyDescent="0.15">
      <c r="A47" s="92">
        <v>40037640</v>
      </c>
      <c r="B47" s="32">
        <v>0</v>
      </c>
      <c r="C47" s="32">
        <v>96</v>
      </c>
      <c r="D47" s="32">
        <v>100</v>
      </c>
      <c r="E47" s="32">
        <v>25</v>
      </c>
      <c r="F47" s="32" t="s">
        <v>89</v>
      </c>
      <c r="G47" s="32" t="s">
        <v>53</v>
      </c>
      <c r="H47" s="32" t="s">
        <v>89</v>
      </c>
      <c r="I47" s="32" t="s">
        <v>89</v>
      </c>
      <c r="J47" s="93">
        <f t="shared" si="1"/>
        <v>100</v>
      </c>
    </row>
    <row r="48" spans="1:10" ht="21" customHeight="1" x14ac:dyDescent="0.15">
      <c r="A48" s="92">
        <v>40037641</v>
      </c>
      <c r="B48" s="32">
        <v>0</v>
      </c>
      <c r="C48" s="32">
        <v>101</v>
      </c>
      <c r="D48" s="32">
        <v>100</v>
      </c>
      <c r="E48" s="32" t="s">
        <v>262</v>
      </c>
      <c r="F48" s="32" t="s">
        <v>89</v>
      </c>
      <c r="G48" s="32">
        <v>0</v>
      </c>
      <c r="H48" s="32" t="s">
        <v>89</v>
      </c>
      <c r="I48" s="32">
        <v>1208</v>
      </c>
      <c r="J48" s="93">
        <f t="shared" si="1"/>
        <v>100</v>
      </c>
    </row>
    <row r="49" spans="1:10" ht="21" customHeight="1" x14ac:dyDescent="0.15">
      <c r="A49" s="92">
        <v>40037642</v>
      </c>
      <c r="B49" s="32">
        <v>0</v>
      </c>
      <c r="C49" s="32">
        <v>102</v>
      </c>
      <c r="D49" s="32">
        <v>100</v>
      </c>
      <c r="E49" s="32" t="s">
        <v>262</v>
      </c>
      <c r="F49" s="32" t="s">
        <v>89</v>
      </c>
      <c r="G49" s="32">
        <v>0</v>
      </c>
      <c r="H49" s="32" t="s">
        <v>89</v>
      </c>
      <c r="I49" s="32">
        <v>1209</v>
      </c>
      <c r="J49" s="93">
        <f t="shared" si="1"/>
        <v>100</v>
      </c>
    </row>
    <row r="50" spans="1:10" ht="21" customHeight="1" x14ac:dyDescent="0.15">
      <c r="A50" s="92">
        <v>40037643</v>
      </c>
      <c r="B50" s="32">
        <v>0</v>
      </c>
      <c r="C50" s="32">
        <v>103</v>
      </c>
      <c r="D50" s="32">
        <v>100</v>
      </c>
      <c r="E50" s="32" t="s">
        <v>262</v>
      </c>
      <c r="F50" s="32" t="s">
        <v>89</v>
      </c>
      <c r="G50" s="32">
        <v>0</v>
      </c>
      <c r="H50" s="32" t="s">
        <v>89</v>
      </c>
      <c r="I50" s="32">
        <v>744</v>
      </c>
      <c r="J50" s="93">
        <f t="shared" si="1"/>
        <v>100</v>
      </c>
    </row>
    <row r="51" spans="1:10" ht="21" customHeight="1" x14ac:dyDescent="0.15">
      <c r="A51" s="92">
        <v>40037644</v>
      </c>
      <c r="B51" s="32">
        <v>0</v>
      </c>
      <c r="C51" s="32">
        <v>104</v>
      </c>
      <c r="D51" s="32">
        <v>100</v>
      </c>
      <c r="E51" s="32" t="s">
        <v>262</v>
      </c>
      <c r="F51" s="32" t="s">
        <v>89</v>
      </c>
      <c r="G51" s="32">
        <v>0</v>
      </c>
      <c r="H51" s="32" t="s">
        <v>89</v>
      </c>
      <c r="I51" s="32">
        <v>745</v>
      </c>
      <c r="J51" s="93">
        <f t="shared" si="1"/>
        <v>100</v>
      </c>
    </row>
    <row r="52" spans="1:10" ht="21" customHeight="1" x14ac:dyDescent="0.15">
      <c r="A52" s="92">
        <v>40037645</v>
      </c>
      <c r="B52" s="32">
        <v>0</v>
      </c>
      <c r="C52" s="32">
        <v>105</v>
      </c>
      <c r="D52" s="32">
        <v>100</v>
      </c>
      <c r="E52" s="32" t="s">
        <v>262</v>
      </c>
      <c r="F52" s="32" t="s">
        <v>89</v>
      </c>
      <c r="G52" s="32">
        <v>0</v>
      </c>
      <c r="H52" s="32" t="s">
        <v>89</v>
      </c>
      <c r="I52" s="32">
        <v>742</v>
      </c>
      <c r="J52" s="93">
        <f t="shared" si="1"/>
        <v>100</v>
      </c>
    </row>
    <row r="53" spans="1:10" ht="21" customHeight="1" x14ac:dyDescent="0.15">
      <c r="A53" s="92">
        <v>40037646</v>
      </c>
      <c r="B53" s="32">
        <v>0</v>
      </c>
      <c r="C53" s="32">
        <v>106</v>
      </c>
      <c r="D53" s="32">
        <v>100</v>
      </c>
      <c r="E53" s="32" t="s">
        <v>262</v>
      </c>
      <c r="F53" s="32" t="s">
        <v>89</v>
      </c>
      <c r="G53" s="32">
        <v>0</v>
      </c>
      <c r="H53" s="32" t="s">
        <v>89</v>
      </c>
      <c r="I53" s="32">
        <v>743</v>
      </c>
      <c r="J53" s="93">
        <f t="shared" si="1"/>
        <v>100</v>
      </c>
    </row>
    <row r="54" spans="1:10" ht="21" customHeight="1" thickBot="1" x14ac:dyDescent="0.2">
      <c r="A54" s="89">
        <v>40037647</v>
      </c>
      <c r="B54" s="90">
        <v>0</v>
      </c>
      <c r="C54" s="90" t="s">
        <v>89</v>
      </c>
      <c r="D54" s="90">
        <v>100</v>
      </c>
      <c r="E54" s="90" t="s">
        <v>262</v>
      </c>
      <c r="F54" s="90" t="s">
        <v>89</v>
      </c>
      <c r="G54" s="90">
        <v>0</v>
      </c>
      <c r="H54" s="90" t="s">
        <v>89</v>
      </c>
      <c r="I54" s="90">
        <v>0</v>
      </c>
      <c r="J54" s="91">
        <f t="shared" si="1"/>
        <v>100</v>
      </c>
    </row>
    <row r="55" spans="1:10" ht="21" customHeight="1" thickBot="1" x14ac:dyDescent="0.2">
      <c r="A55" s="89">
        <v>40037652</v>
      </c>
      <c r="B55" s="90">
        <v>0</v>
      </c>
      <c r="C55" s="90">
        <v>97</v>
      </c>
      <c r="D55" s="90">
        <v>100</v>
      </c>
      <c r="E55" s="90">
        <v>25</v>
      </c>
      <c r="F55" s="90" t="s">
        <v>53</v>
      </c>
      <c r="G55" s="90" t="s">
        <v>450</v>
      </c>
      <c r="H55" s="90" t="s">
        <v>53</v>
      </c>
      <c r="I55" s="90" t="s">
        <v>53</v>
      </c>
      <c r="J55" s="91">
        <f t="shared" ref="J55" si="4">D55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J37" sqref="J3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7" t="s">
        <v>151</v>
      </c>
      <c r="B1" s="47" t="s">
        <v>152</v>
      </c>
      <c r="C1" s="48" t="s">
        <v>153</v>
      </c>
      <c r="D1" s="53" t="s">
        <v>154</v>
      </c>
      <c r="E1" s="49" t="s">
        <v>155</v>
      </c>
      <c r="F1" s="47" t="s">
        <v>156</v>
      </c>
      <c r="G1" s="47" t="s">
        <v>157</v>
      </c>
      <c r="H1" s="47" t="s">
        <v>158</v>
      </c>
      <c r="I1" s="47" t="s">
        <v>159</v>
      </c>
      <c r="J1" s="47" t="s">
        <v>160</v>
      </c>
      <c r="K1" s="47" t="s">
        <v>161</v>
      </c>
      <c r="L1" s="47" t="s">
        <v>162</v>
      </c>
      <c r="M1" s="47" t="s">
        <v>163</v>
      </c>
      <c r="N1" s="47" t="s">
        <v>164</v>
      </c>
      <c r="O1" s="47" t="s">
        <v>165</v>
      </c>
      <c r="P1" s="47" t="s">
        <v>166</v>
      </c>
      <c r="Q1" s="47" t="s">
        <v>167</v>
      </c>
      <c r="R1" s="47" t="s">
        <v>168</v>
      </c>
    </row>
    <row r="2" spans="1:18" x14ac:dyDescent="0.15">
      <c r="A2" s="41">
        <v>40037</v>
      </c>
      <c r="B2" s="41">
        <v>1</v>
      </c>
      <c r="C2" s="52" t="str">
        <f>A2&amp; "_"&amp;B2</f>
        <v>40037_1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41">
        <v>1</v>
      </c>
      <c r="F2" s="41" t="s">
        <v>169</v>
      </c>
      <c r="G2" s="41">
        <v>40000</v>
      </c>
      <c r="H2" s="41" t="s">
        <v>170</v>
      </c>
      <c r="I2" s="41">
        <v>1</v>
      </c>
      <c r="J2" s="41">
        <v>1</v>
      </c>
      <c r="K2" s="41">
        <v>0</v>
      </c>
      <c r="L2" s="41">
        <v>0</v>
      </c>
      <c r="M2" s="41">
        <v>0</v>
      </c>
      <c r="N2" s="41">
        <v>0</v>
      </c>
      <c r="O2" s="41">
        <v>1</v>
      </c>
      <c r="P2" s="41">
        <v>150</v>
      </c>
      <c r="Q2" s="41" t="s">
        <v>171</v>
      </c>
      <c r="R2" s="41" t="s">
        <v>172</v>
      </c>
    </row>
    <row r="3" spans="1:18" x14ac:dyDescent="0.15">
      <c r="A3" s="41">
        <v>40037</v>
      </c>
      <c r="B3" s="41">
        <v>1</v>
      </c>
      <c r="C3" s="52" t="str">
        <f t="shared" ref="C3:C18" si="0">A3&amp; "_"&amp;B3</f>
        <v>40037_1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1">
        <v>2</v>
      </c>
      <c r="F3" s="41" t="s">
        <v>269</v>
      </c>
      <c r="G3" s="41">
        <v>30</v>
      </c>
      <c r="H3" s="41" t="s">
        <v>170</v>
      </c>
      <c r="I3" s="41">
        <v>1</v>
      </c>
      <c r="J3" s="41">
        <v>1</v>
      </c>
      <c r="K3" s="41">
        <v>0</v>
      </c>
      <c r="L3" s="41">
        <v>0</v>
      </c>
      <c r="M3" s="41">
        <v>0</v>
      </c>
      <c r="N3" s="41">
        <v>0</v>
      </c>
      <c r="O3" s="41">
        <v>1</v>
      </c>
      <c r="P3" s="41">
        <v>150</v>
      </c>
      <c r="Q3" s="41" t="s">
        <v>171</v>
      </c>
      <c r="R3" s="41" t="s">
        <v>172</v>
      </c>
    </row>
    <row r="4" spans="1:18" x14ac:dyDescent="0.15">
      <c r="A4" s="41">
        <v>40037</v>
      </c>
      <c r="B4" s="41">
        <v>1</v>
      </c>
      <c r="C4" s="52" t="str">
        <f t="shared" si="0"/>
        <v>40037_1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1">
        <v>3</v>
      </c>
      <c r="F4" s="41" t="s">
        <v>270</v>
      </c>
      <c r="G4" s="41">
        <v>1204</v>
      </c>
      <c r="H4" s="41">
        <v>1</v>
      </c>
      <c r="I4" s="41">
        <v>1</v>
      </c>
      <c r="J4" s="41">
        <v>1</v>
      </c>
      <c r="K4" s="41">
        <v>0</v>
      </c>
      <c r="L4" s="41">
        <v>0</v>
      </c>
      <c r="M4" s="41">
        <v>0</v>
      </c>
      <c r="N4" s="41">
        <v>0</v>
      </c>
      <c r="O4" s="41">
        <v>1</v>
      </c>
      <c r="P4" s="41">
        <v>100</v>
      </c>
      <c r="Q4" s="41" t="s">
        <v>171</v>
      </c>
      <c r="R4" s="41" t="s">
        <v>172</v>
      </c>
    </row>
    <row r="5" spans="1:18" x14ac:dyDescent="0.15">
      <c r="A5" s="41">
        <v>40037</v>
      </c>
      <c r="B5" s="41">
        <v>1</v>
      </c>
      <c r="C5" s="52" t="str">
        <f t="shared" si="0"/>
        <v>40037_1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1">
        <v>4</v>
      </c>
      <c r="F5" s="41" t="s">
        <v>270</v>
      </c>
      <c r="G5" s="41">
        <v>337</v>
      </c>
      <c r="H5" s="41">
        <v>1</v>
      </c>
      <c r="I5" s="41">
        <v>1</v>
      </c>
      <c r="J5" s="41">
        <v>1</v>
      </c>
      <c r="K5" s="41">
        <v>0</v>
      </c>
      <c r="L5" s="41">
        <v>0</v>
      </c>
      <c r="M5" s="41">
        <v>0</v>
      </c>
      <c r="N5" s="41">
        <v>0</v>
      </c>
      <c r="O5" s="41">
        <v>1</v>
      </c>
      <c r="P5" s="41">
        <v>28</v>
      </c>
      <c r="Q5" s="41" t="s">
        <v>171</v>
      </c>
      <c r="R5" s="41" t="s">
        <v>172</v>
      </c>
    </row>
    <row r="6" spans="1:18" x14ac:dyDescent="0.15">
      <c r="A6" s="41">
        <v>40037</v>
      </c>
      <c r="B6" s="41">
        <v>1</v>
      </c>
      <c r="C6" s="52" t="str">
        <f t="shared" si="0"/>
        <v>40037_1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1">
        <v>5</v>
      </c>
      <c r="F6" s="41" t="s">
        <v>270</v>
      </c>
      <c r="G6" s="41">
        <v>338</v>
      </c>
      <c r="H6" s="41">
        <v>1</v>
      </c>
      <c r="I6" s="41">
        <v>1</v>
      </c>
      <c r="J6" s="41">
        <v>1</v>
      </c>
      <c r="K6" s="41">
        <v>0</v>
      </c>
      <c r="L6" s="41">
        <v>0</v>
      </c>
      <c r="M6" s="41">
        <v>0</v>
      </c>
      <c r="N6" s="41">
        <v>0</v>
      </c>
      <c r="O6" s="41">
        <v>1</v>
      </c>
      <c r="P6" s="41">
        <v>112</v>
      </c>
      <c r="Q6" s="41" t="s">
        <v>171</v>
      </c>
      <c r="R6" s="41" t="s">
        <v>172</v>
      </c>
    </row>
    <row r="7" spans="1:18" x14ac:dyDescent="0.15">
      <c r="A7" s="41">
        <v>40037</v>
      </c>
      <c r="B7" s="41">
        <v>1</v>
      </c>
      <c r="C7" s="52" t="str">
        <f t="shared" si="0"/>
        <v>40037_1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1">
        <v>6</v>
      </c>
      <c r="F7" s="41" t="s">
        <v>270</v>
      </c>
      <c r="G7" s="41">
        <v>350</v>
      </c>
      <c r="H7" s="41">
        <v>1</v>
      </c>
      <c r="I7" s="41">
        <v>1</v>
      </c>
      <c r="J7" s="41">
        <v>1</v>
      </c>
      <c r="K7" s="41">
        <v>0</v>
      </c>
      <c r="L7" s="41">
        <v>0</v>
      </c>
      <c r="M7" s="41">
        <v>0</v>
      </c>
      <c r="N7" s="41">
        <v>0</v>
      </c>
      <c r="O7" s="41">
        <v>1</v>
      </c>
      <c r="P7" s="41">
        <v>150</v>
      </c>
      <c r="Q7" s="41" t="s">
        <v>171</v>
      </c>
      <c r="R7" s="41" t="s">
        <v>172</v>
      </c>
    </row>
    <row r="8" spans="1:18" x14ac:dyDescent="0.15">
      <c r="A8" s="41">
        <v>40037</v>
      </c>
      <c r="B8" s="41">
        <v>1</v>
      </c>
      <c r="C8" s="52" t="str">
        <f t="shared" si="0"/>
        <v>40037_1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1">
        <v>7</v>
      </c>
      <c r="F8" s="41" t="s">
        <v>270</v>
      </c>
      <c r="G8" s="41">
        <v>121</v>
      </c>
      <c r="H8" s="41">
        <v>1</v>
      </c>
      <c r="I8" s="41">
        <v>1</v>
      </c>
      <c r="J8" s="41">
        <v>1</v>
      </c>
      <c r="K8" s="41">
        <v>0</v>
      </c>
      <c r="L8" s="41">
        <v>0</v>
      </c>
      <c r="M8" s="41">
        <v>0</v>
      </c>
      <c r="N8" s="41">
        <v>0</v>
      </c>
      <c r="O8" s="41">
        <v>1</v>
      </c>
      <c r="P8" s="41">
        <v>100</v>
      </c>
      <c r="Q8" s="41" t="s">
        <v>171</v>
      </c>
      <c r="R8" s="41" t="s">
        <v>172</v>
      </c>
    </row>
    <row r="9" spans="1:18" x14ac:dyDescent="0.15">
      <c r="A9" s="41">
        <v>40037</v>
      </c>
      <c r="B9" s="41">
        <v>1</v>
      </c>
      <c r="C9" s="52" t="str">
        <f t="shared" si="0"/>
        <v>40037_1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1">
        <v>8</v>
      </c>
      <c r="F9" s="41" t="s">
        <v>270</v>
      </c>
      <c r="G9" s="41">
        <v>122</v>
      </c>
      <c r="H9" s="41">
        <v>1</v>
      </c>
      <c r="I9" s="41">
        <v>1</v>
      </c>
      <c r="J9" s="41">
        <v>1</v>
      </c>
      <c r="K9" s="41">
        <v>0</v>
      </c>
      <c r="L9" s="41">
        <v>0</v>
      </c>
      <c r="M9" s="41">
        <v>0</v>
      </c>
      <c r="N9" s="41">
        <v>0</v>
      </c>
      <c r="O9" s="41">
        <v>1</v>
      </c>
      <c r="P9" s="41">
        <v>100</v>
      </c>
      <c r="Q9" s="41" t="s">
        <v>171</v>
      </c>
      <c r="R9" s="41" t="s">
        <v>172</v>
      </c>
    </row>
    <row r="10" spans="1:18" x14ac:dyDescent="0.15">
      <c r="A10" s="41">
        <v>40037</v>
      </c>
      <c r="B10" s="41">
        <v>1</v>
      </c>
      <c r="C10" s="52" t="str">
        <f t="shared" si="0"/>
        <v>40037_1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1">
        <v>9</v>
      </c>
      <c r="F10" s="41" t="s">
        <v>270</v>
      </c>
      <c r="G10" s="41">
        <v>123</v>
      </c>
      <c r="H10" s="41">
        <v>1</v>
      </c>
      <c r="I10" s="41">
        <v>1</v>
      </c>
      <c r="J10" s="41">
        <v>1</v>
      </c>
      <c r="K10" s="41">
        <v>0</v>
      </c>
      <c r="L10" s="41">
        <v>0</v>
      </c>
      <c r="M10" s="41">
        <v>0</v>
      </c>
      <c r="N10" s="41">
        <v>0</v>
      </c>
      <c r="O10" s="41">
        <v>1</v>
      </c>
      <c r="P10" s="41">
        <v>100</v>
      </c>
      <c r="Q10" s="41" t="s">
        <v>171</v>
      </c>
      <c r="R10" s="41" t="s">
        <v>172</v>
      </c>
    </row>
    <row r="11" spans="1:18" x14ac:dyDescent="0.15">
      <c r="A11" s="41">
        <v>40037</v>
      </c>
      <c r="B11" s="41">
        <v>1</v>
      </c>
      <c r="C11" s="52" t="str">
        <f t="shared" si="0"/>
        <v>40037_1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41">
        <v>10</v>
      </c>
      <c r="F11" s="41" t="s">
        <v>270</v>
      </c>
      <c r="G11" s="41">
        <v>125</v>
      </c>
      <c r="H11" s="41">
        <v>1</v>
      </c>
      <c r="I11" s="41">
        <v>1</v>
      </c>
      <c r="J11" s="41">
        <v>1</v>
      </c>
      <c r="K11" s="41">
        <v>0</v>
      </c>
      <c r="L11" s="41">
        <v>0</v>
      </c>
      <c r="M11" s="41">
        <v>0</v>
      </c>
      <c r="N11" s="41">
        <v>0</v>
      </c>
      <c r="O11" s="41">
        <v>1</v>
      </c>
      <c r="P11" s="41">
        <v>10</v>
      </c>
      <c r="Q11" s="41" t="s">
        <v>171</v>
      </c>
      <c r="R11" s="41" t="s">
        <v>172</v>
      </c>
    </row>
    <row r="12" spans="1:18" x14ac:dyDescent="0.15">
      <c r="A12" s="41">
        <v>40037</v>
      </c>
      <c r="B12" s="41">
        <v>2</v>
      </c>
      <c r="C12" s="52" t="str">
        <f t="shared" si="0"/>
        <v>40037_2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41">
        <v>11</v>
      </c>
      <c r="F12" s="41" t="s">
        <v>270</v>
      </c>
      <c r="G12" s="41">
        <v>1204</v>
      </c>
      <c r="H12" s="41">
        <v>1</v>
      </c>
      <c r="I12" s="41">
        <v>1</v>
      </c>
      <c r="J12" s="41">
        <v>1</v>
      </c>
      <c r="K12" s="41">
        <v>0</v>
      </c>
      <c r="L12" s="41">
        <v>0</v>
      </c>
      <c r="M12" s="41">
        <v>0</v>
      </c>
      <c r="N12" s="41">
        <v>0</v>
      </c>
      <c r="O12" s="41">
        <v>1</v>
      </c>
      <c r="P12" s="41">
        <v>500</v>
      </c>
      <c r="Q12" s="41" t="s">
        <v>171</v>
      </c>
      <c r="R12" s="41" t="s">
        <v>172</v>
      </c>
    </row>
    <row r="13" spans="1:18" x14ac:dyDescent="0.15">
      <c r="A13" s="41">
        <v>40037</v>
      </c>
      <c r="B13" s="41">
        <v>2</v>
      </c>
      <c r="C13" s="52" t="str">
        <f t="shared" si="0"/>
        <v>40037_2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41">
        <v>12</v>
      </c>
      <c r="F13" s="41" t="s">
        <v>270</v>
      </c>
      <c r="G13" s="41">
        <v>338</v>
      </c>
      <c r="H13" s="41">
        <v>1</v>
      </c>
      <c r="I13" s="41">
        <v>1</v>
      </c>
      <c r="J13" s="41">
        <v>1</v>
      </c>
      <c r="K13" s="41">
        <v>0</v>
      </c>
      <c r="L13" s="41">
        <v>0</v>
      </c>
      <c r="M13" s="41">
        <v>0</v>
      </c>
      <c r="N13" s="41">
        <v>0</v>
      </c>
      <c r="O13" s="41">
        <v>1</v>
      </c>
      <c r="P13" s="41">
        <v>50</v>
      </c>
      <c r="Q13" s="41" t="s">
        <v>171</v>
      </c>
      <c r="R13" s="41" t="s">
        <v>172</v>
      </c>
    </row>
    <row r="14" spans="1:18" x14ac:dyDescent="0.15">
      <c r="A14" s="41">
        <v>40037</v>
      </c>
      <c r="B14" s="41">
        <v>2</v>
      </c>
      <c r="C14" s="52" t="str">
        <f t="shared" si="0"/>
        <v>40037_2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41">
        <v>13</v>
      </c>
      <c r="F14" s="41" t="s">
        <v>270</v>
      </c>
      <c r="G14" s="41">
        <v>350</v>
      </c>
      <c r="H14" s="41">
        <v>1</v>
      </c>
      <c r="I14" s="41">
        <v>1</v>
      </c>
      <c r="J14" s="41">
        <v>1</v>
      </c>
      <c r="K14" s="41">
        <v>0</v>
      </c>
      <c r="L14" s="41">
        <v>0</v>
      </c>
      <c r="M14" s="41">
        <v>0</v>
      </c>
      <c r="N14" s="41">
        <v>0</v>
      </c>
      <c r="O14" s="41">
        <v>1</v>
      </c>
      <c r="P14" s="41">
        <v>120</v>
      </c>
      <c r="Q14" s="41" t="s">
        <v>171</v>
      </c>
      <c r="R14" s="41" t="s">
        <v>172</v>
      </c>
    </row>
    <row r="15" spans="1:18" x14ac:dyDescent="0.15">
      <c r="A15" s="41">
        <v>40037</v>
      </c>
      <c r="B15" s="41">
        <v>2</v>
      </c>
      <c r="C15" s="52" t="str">
        <f t="shared" si="0"/>
        <v>40037_2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41">
        <v>14</v>
      </c>
      <c r="F15" s="41" t="s">
        <v>270</v>
      </c>
      <c r="G15" s="41">
        <v>607</v>
      </c>
      <c r="H15" s="41">
        <v>1</v>
      </c>
      <c r="I15" s="41">
        <v>1</v>
      </c>
      <c r="J15" s="41">
        <v>1</v>
      </c>
      <c r="K15" s="41">
        <v>0</v>
      </c>
      <c r="L15" s="41">
        <v>0</v>
      </c>
      <c r="M15" s="41">
        <v>0</v>
      </c>
      <c r="N15" s="41">
        <v>0</v>
      </c>
      <c r="O15" s="41">
        <v>1</v>
      </c>
      <c r="P15" s="41">
        <v>100</v>
      </c>
      <c r="Q15" s="41" t="s">
        <v>171</v>
      </c>
      <c r="R15" s="41" t="s">
        <v>172</v>
      </c>
    </row>
    <row r="16" spans="1:18" x14ac:dyDescent="0.15">
      <c r="A16" s="41">
        <v>40037</v>
      </c>
      <c r="B16" s="41">
        <v>2</v>
      </c>
      <c r="C16" s="52" t="str">
        <f t="shared" si="0"/>
        <v>40037_2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41">
        <v>15</v>
      </c>
      <c r="F16" s="41" t="s">
        <v>270</v>
      </c>
      <c r="G16" s="41">
        <v>608</v>
      </c>
      <c r="H16" s="41">
        <v>1</v>
      </c>
      <c r="I16" s="41">
        <v>1</v>
      </c>
      <c r="J16" s="41">
        <v>1</v>
      </c>
      <c r="K16" s="41">
        <v>0</v>
      </c>
      <c r="L16" s="41">
        <v>0</v>
      </c>
      <c r="M16" s="41">
        <v>0</v>
      </c>
      <c r="N16" s="41">
        <v>0</v>
      </c>
      <c r="O16" s="41">
        <v>1</v>
      </c>
      <c r="P16" s="41">
        <v>100</v>
      </c>
      <c r="Q16" s="41" t="s">
        <v>171</v>
      </c>
      <c r="R16" s="41" t="s">
        <v>172</v>
      </c>
    </row>
    <row r="17" spans="1:18" x14ac:dyDescent="0.15">
      <c r="A17" s="41">
        <v>40037</v>
      </c>
      <c r="B17" s="41">
        <v>2</v>
      </c>
      <c r="C17" s="52" t="str">
        <f t="shared" si="0"/>
        <v>40037_2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41">
        <v>16</v>
      </c>
      <c r="F17" s="41" t="s">
        <v>270</v>
      </c>
      <c r="G17" s="41">
        <v>609</v>
      </c>
      <c r="H17" s="41">
        <v>1</v>
      </c>
      <c r="I17" s="41">
        <v>1</v>
      </c>
      <c r="J17" s="41">
        <v>1</v>
      </c>
      <c r="K17" s="41">
        <v>0</v>
      </c>
      <c r="L17" s="41">
        <v>0</v>
      </c>
      <c r="M17" s="41">
        <v>0</v>
      </c>
      <c r="N17" s="41">
        <v>0</v>
      </c>
      <c r="O17" s="41">
        <v>1</v>
      </c>
      <c r="P17" s="41">
        <v>100</v>
      </c>
      <c r="Q17" s="41" t="s">
        <v>171</v>
      </c>
      <c r="R17" s="41" t="s">
        <v>172</v>
      </c>
    </row>
    <row r="18" spans="1:18" x14ac:dyDescent="0.15">
      <c r="A18" s="41">
        <v>40037</v>
      </c>
      <c r="B18" s="41">
        <v>2</v>
      </c>
      <c r="C18" s="52" t="str">
        <f t="shared" si="0"/>
        <v>40037_2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41">
        <v>17</v>
      </c>
      <c r="F18" s="41" t="s">
        <v>270</v>
      </c>
      <c r="G18" s="41">
        <v>125</v>
      </c>
      <c r="H18" s="41">
        <v>1</v>
      </c>
      <c r="I18" s="41">
        <v>1</v>
      </c>
      <c r="J18" s="41">
        <v>1</v>
      </c>
      <c r="K18" s="41">
        <v>0</v>
      </c>
      <c r="L18" s="41">
        <v>0</v>
      </c>
      <c r="M18" s="41">
        <v>0</v>
      </c>
      <c r="N18" s="41">
        <v>0</v>
      </c>
      <c r="O18" s="41">
        <v>1</v>
      </c>
      <c r="P18" s="41">
        <v>30</v>
      </c>
      <c r="Q18" s="41" t="s">
        <v>171</v>
      </c>
      <c r="R18" s="41" t="s">
        <v>172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K28" sqref="K27:K28"/>
    </sheetView>
  </sheetViews>
  <sheetFormatPr baseColWidth="12" defaultColWidth="13" defaultRowHeight="15" outlineLevelCol="1" x14ac:dyDescent="0.15"/>
  <cols>
    <col min="1" max="1" width="13" style="6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7" t="s">
        <v>189</v>
      </c>
      <c r="B1" s="54" t="s">
        <v>190</v>
      </c>
      <c r="C1" s="58" t="s">
        <v>191</v>
      </c>
      <c r="D1" s="58" t="s">
        <v>33</v>
      </c>
      <c r="E1" s="54" t="s">
        <v>192</v>
      </c>
      <c r="F1" s="58" t="s">
        <v>193</v>
      </c>
      <c r="G1" s="58" t="s">
        <v>33</v>
      </c>
      <c r="H1" s="54" t="s">
        <v>194</v>
      </c>
      <c r="I1" s="72" t="s">
        <v>196</v>
      </c>
      <c r="J1" s="60" t="s">
        <v>127</v>
      </c>
      <c r="K1" s="59" t="s">
        <v>188</v>
      </c>
      <c r="L1" s="73" t="s">
        <v>187</v>
      </c>
      <c r="M1" s="61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7"/>
  <sheetViews>
    <sheetView showGridLines="0" workbookViewId="0">
      <pane ySplit="1" topLeftCell="A2" activePane="bottomLeft" state="frozen"/>
      <selection pane="bottomLeft" activeCell="P1" sqref="P1"/>
    </sheetView>
  </sheetViews>
  <sheetFormatPr baseColWidth="12" defaultColWidth="13" defaultRowHeight="15" outlineLevelCol="1" x14ac:dyDescent="0.15"/>
  <cols>
    <col min="1" max="1" width="13" style="6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57" t="s">
        <v>189</v>
      </c>
      <c r="B1" s="54" t="s">
        <v>151</v>
      </c>
      <c r="C1" s="58" t="s">
        <v>191</v>
      </c>
      <c r="D1" s="58" t="s">
        <v>33</v>
      </c>
      <c r="E1" s="54" t="s">
        <v>192</v>
      </c>
      <c r="F1" s="58" t="s">
        <v>18</v>
      </c>
      <c r="G1" s="58" t="s">
        <v>33</v>
      </c>
      <c r="H1" s="54" t="s">
        <v>194</v>
      </c>
      <c r="I1" s="70" t="s">
        <v>195</v>
      </c>
      <c r="J1" s="72" t="s">
        <v>196</v>
      </c>
      <c r="K1" s="60" t="s">
        <v>127</v>
      </c>
      <c r="L1" s="59" t="s">
        <v>188</v>
      </c>
      <c r="M1" s="73" t="s">
        <v>187</v>
      </c>
      <c r="N1" s="61" t="s">
        <v>197</v>
      </c>
      <c r="O1" t="s">
        <v>296</v>
      </c>
    </row>
    <row r="2" spans="1:15" ht="42" x14ac:dyDescent="0.15">
      <c r="A2" s="62" t="s">
        <v>198</v>
      </c>
      <c r="B2" s="63">
        <f>floors!C$2</f>
        <v>40037</v>
      </c>
      <c r="C2" s="64" t="str">
        <f ca="1">VLOOKUP($B2,OFFSET([2]quests!$A$1,0,0,COUNTA([2]quests!$A:$A),MATCH(C$1,[2]quests!$1:$1,0)-MATCH($B$1,[2]quests!$1:$1,0)+1),MATCH(C$1,[2]quests!$1:$1,0)-MATCH($B$1,[2]quests!$1:$1,0)+1,FALSE)</f>
        <v>デルピュネー襲来！</v>
      </c>
      <c r="D2" s="64" t="str">
        <f ca="1">VLOOKUP($B2,OFFSET([2]quests!$A$1,0,0,COUNTA([2]quests!$A:$A),MATCH(D$1,[2]quests!$1:$1,0)-MATCH($B$1,[2]quests!$1:$1,0)+1),MATCH(D$1,[2]quests!$1:$1,0)-MATCH($B$1,[2]quests!$1:$1,0)+1,FALSE)</f>
        <v>降臨37</v>
      </c>
      <c r="E2" s="65">
        <v>1</v>
      </c>
      <c r="F2" s="6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2" s="64" t="str">
        <f ca="1">VLOOKUP($B2&amp;"_"&amp;$E2,OFFSET([2]stages!$A$1,0,0,COUNTA([2]stages!$A:$A),MATCH(G$1,[2]stages!$2:$2,0)-MATCH("temp_stage",[2]stages!$2:$2,0)+1),MATCH(G$1,[2]stages!$2:$2,0)-MATCH("temp_stage",[2]stages!$2:$2,0)+1,FALSE)</f>
        <v>降臨37</v>
      </c>
      <c r="H2" s="66">
        <v>1</v>
      </c>
      <c r="I2" s="71">
        <f>ROW()-1</f>
        <v>1</v>
      </c>
      <c r="J2" s="67" t="str">
        <f>B2&amp;TEXT(I2,"00")</f>
        <v>4003701</v>
      </c>
      <c r="K2" s="65" t="s">
        <v>199</v>
      </c>
      <c r="L2" s="68" t="s">
        <v>200</v>
      </c>
      <c r="M2" s="151" t="s">
        <v>363</v>
      </c>
      <c r="N2" s="41" t="s">
        <v>201</v>
      </c>
      <c r="O2">
        <f>LEN(M2)</f>
        <v>53</v>
      </c>
    </row>
    <row r="3" spans="1:15" ht="28" x14ac:dyDescent="0.15">
      <c r="A3" s="62" t="s">
        <v>198</v>
      </c>
      <c r="B3" s="63">
        <f>floors!C$2</f>
        <v>40037</v>
      </c>
      <c r="C3" s="64" t="str">
        <f ca="1">VLOOKUP($B3,OFFSET([2]quests!$A$1,0,0,COUNTA([2]quests!$A:$A),MATCH(C$1,[2]quests!$1:$1,0)-MATCH($B$1,[2]quests!$1:$1,0)+1),MATCH(C$1,[2]quests!$1:$1,0)-MATCH($B$1,[2]quests!$1:$1,0)+1,FALSE)</f>
        <v>デルピュネー襲来！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降臨37</v>
      </c>
      <c r="E3" s="65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降臨37</v>
      </c>
      <c r="H3" s="66">
        <v>1</v>
      </c>
      <c r="I3" s="71">
        <f>ROW()-1</f>
        <v>2</v>
      </c>
      <c r="J3" s="67" t="str">
        <f>B3&amp;TEXT(I3,"00")</f>
        <v>4003702</v>
      </c>
      <c r="K3" s="65" t="s">
        <v>128</v>
      </c>
      <c r="L3" s="68" t="s">
        <v>200</v>
      </c>
      <c r="M3" s="151" t="s">
        <v>364</v>
      </c>
      <c r="N3" s="41" t="s">
        <v>201</v>
      </c>
      <c r="O3">
        <f>LEN(M3)</f>
        <v>31</v>
      </c>
    </row>
    <row r="4" spans="1:15" ht="42" x14ac:dyDescent="0.15">
      <c r="A4" s="62" t="s">
        <v>198</v>
      </c>
      <c r="B4" s="63">
        <f>floors!C$2</f>
        <v>40037</v>
      </c>
      <c r="C4" s="64" t="str">
        <f ca="1">VLOOKUP($B4,OFFSET([2]quests!$A$1,0,0,COUNTA([2]quests!$A:$A),MATCH(C$1,[2]quests!$1:$1,0)-MATCH($B$1,[2]quests!$1:$1,0)+1),MATCH(C$1,[2]quests!$1:$1,0)-MATCH($B$1,[2]quests!$1:$1,0)+1,FALSE)</f>
        <v>デルピュネー襲来！</v>
      </c>
      <c r="D4" s="64" t="str">
        <f ca="1">VLOOKUP($B4,OFFSET([2]quests!$A$1,0,0,COUNTA([2]quests!$A:$A),MATCH(D$1,[2]quests!$1:$1,0)-MATCH($B$1,[2]quests!$1:$1,0)+1),MATCH(D$1,[2]quests!$1:$1,0)-MATCH($B$1,[2]quests!$1:$1,0)+1,FALSE)</f>
        <v>降臨37</v>
      </c>
      <c r="E4" s="65">
        <v>1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降臨37</v>
      </c>
      <c r="H4" s="66">
        <v>2</v>
      </c>
      <c r="I4" s="71">
        <f t="shared" ref="I4:I27" si="0">ROW()-1</f>
        <v>3</v>
      </c>
      <c r="J4" s="67" t="str">
        <f t="shared" ref="J4:J8" si="1">B4&amp;TEXT(I4,"00")</f>
        <v>4003703</v>
      </c>
      <c r="K4" s="65" t="s">
        <v>199</v>
      </c>
      <c r="L4" s="68" t="s">
        <v>200</v>
      </c>
      <c r="M4" s="151" t="s">
        <v>363</v>
      </c>
      <c r="N4" s="41" t="s">
        <v>201</v>
      </c>
      <c r="O4">
        <f t="shared" ref="O4:O26" si="2">LEN(M4)</f>
        <v>53</v>
      </c>
    </row>
    <row r="5" spans="1:15" ht="28" x14ac:dyDescent="0.15">
      <c r="A5" s="62" t="s">
        <v>198</v>
      </c>
      <c r="B5" s="63">
        <f>floors!C$2</f>
        <v>40037</v>
      </c>
      <c r="C5" s="64" t="str">
        <f ca="1">VLOOKUP($B5,OFFSET([2]quests!$A$1,0,0,COUNTA([2]quests!$A:$A),MATCH(C$1,[2]quests!$1:$1,0)-MATCH($B$1,[2]quests!$1:$1,0)+1),MATCH(C$1,[2]quests!$1:$1,0)-MATCH($B$1,[2]quests!$1:$1,0)+1,FALSE)</f>
        <v>デルピュネー襲来！</v>
      </c>
      <c r="D5" s="64" t="str">
        <f ca="1">VLOOKUP($B5,OFFSET([2]quests!$A$1,0,0,COUNTA([2]quests!$A:$A),MATCH(D$1,[2]quests!$1:$1,0)-MATCH($B$1,[2]quests!$1:$1,0)+1),MATCH(D$1,[2]quests!$1:$1,0)-MATCH($B$1,[2]quests!$1:$1,0)+1,FALSE)</f>
        <v>降臨37</v>
      </c>
      <c r="E5" s="65">
        <v>1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降臨37</v>
      </c>
      <c r="H5" s="66">
        <v>2</v>
      </c>
      <c r="I5" s="71">
        <f t="shared" si="0"/>
        <v>4</v>
      </c>
      <c r="J5" s="67" t="str">
        <f t="shared" ref="J5" si="3">B5&amp;TEXT(I5,"00")</f>
        <v>4003704</v>
      </c>
      <c r="K5" s="65" t="s">
        <v>128</v>
      </c>
      <c r="L5" s="68" t="s">
        <v>200</v>
      </c>
      <c r="M5" s="151" t="s">
        <v>366</v>
      </c>
      <c r="N5" s="41" t="s">
        <v>201</v>
      </c>
      <c r="O5">
        <f t="shared" ref="O5" si="4">LEN(M5)</f>
        <v>39</v>
      </c>
    </row>
    <row r="6" spans="1:15" ht="42" x14ac:dyDescent="0.15">
      <c r="A6" s="62" t="s">
        <v>198</v>
      </c>
      <c r="B6" s="63">
        <f>floors!C$2</f>
        <v>40037</v>
      </c>
      <c r="C6" s="64" t="str">
        <f ca="1">VLOOKUP($B6,OFFSET([2]quests!$A$1,0,0,COUNTA([2]quests!$A:$A),MATCH(C$1,[2]quests!$1:$1,0)-MATCH($B$1,[2]quests!$1:$1,0)+1),MATCH(C$1,[2]quests!$1:$1,0)-MATCH($B$1,[2]quests!$1:$1,0)+1,FALSE)</f>
        <v>デルピュネー襲来！</v>
      </c>
      <c r="D6" s="64" t="str">
        <f ca="1">VLOOKUP($B6,OFFSET([2]quests!$A$1,0,0,COUNTA([2]quests!$A:$A),MATCH(D$1,[2]quests!$1:$1,0)-MATCH($B$1,[2]quests!$1:$1,0)+1),MATCH(D$1,[2]quests!$1:$1,0)-MATCH($B$1,[2]quests!$1:$1,0)+1,FALSE)</f>
        <v>降臨37</v>
      </c>
      <c r="E6" s="65">
        <v>1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降臨37</v>
      </c>
      <c r="H6" s="66">
        <v>3</v>
      </c>
      <c r="I6" s="71">
        <f t="shared" si="0"/>
        <v>5</v>
      </c>
      <c r="J6" s="67" t="str">
        <f t="shared" si="1"/>
        <v>4003705</v>
      </c>
      <c r="K6" s="65" t="s">
        <v>199</v>
      </c>
      <c r="L6" s="68" t="s">
        <v>200</v>
      </c>
      <c r="M6" s="151" t="s">
        <v>363</v>
      </c>
      <c r="N6" s="41" t="s">
        <v>201</v>
      </c>
      <c r="O6">
        <f t="shared" si="2"/>
        <v>53</v>
      </c>
    </row>
    <row r="7" spans="1:15" ht="28" x14ac:dyDescent="0.15">
      <c r="A7" s="62" t="s">
        <v>198</v>
      </c>
      <c r="B7" s="63">
        <f>floors!C$2</f>
        <v>40037</v>
      </c>
      <c r="C7" s="64" t="str">
        <f ca="1">VLOOKUP($B7,OFFSET([2]quests!$A$1,0,0,COUNTA([2]quests!$A:$A),MATCH(C$1,[2]quests!$1:$1,0)-MATCH($B$1,[2]quests!$1:$1,0)+1),MATCH(C$1,[2]quests!$1:$1,0)-MATCH($B$1,[2]quests!$1:$1,0)+1,FALSE)</f>
        <v>デルピュネー襲来！</v>
      </c>
      <c r="D7" s="64" t="str">
        <f ca="1">VLOOKUP($B7,OFFSET([2]quests!$A$1,0,0,COUNTA([2]quests!$A:$A),MATCH(D$1,[2]quests!$1:$1,0)-MATCH($B$1,[2]quests!$1:$1,0)+1),MATCH(D$1,[2]quests!$1:$1,0)-MATCH($B$1,[2]quests!$1:$1,0)+1,FALSE)</f>
        <v>降臨37</v>
      </c>
      <c r="E7" s="65">
        <v>1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降臨37</v>
      </c>
      <c r="H7" s="66">
        <v>3</v>
      </c>
      <c r="I7" s="71">
        <f t="shared" si="0"/>
        <v>6</v>
      </c>
      <c r="J7" s="67" t="str">
        <f t="shared" ref="J7" si="5">B7&amp;TEXT(I7,"00")</f>
        <v>4003706</v>
      </c>
      <c r="K7" s="65" t="s">
        <v>128</v>
      </c>
      <c r="L7" s="68" t="s">
        <v>200</v>
      </c>
      <c r="M7" s="151" t="s">
        <v>366</v>
      </c>
      <c r="N7" s="41" t="s">
        <v>201</v>
      </c>
      <c r="O7">
        <f t="shared" ref="O7" si="6">LEN(M7)</f>
        <v>39</v>
      </c>
    </row>
    <row r="8" spans="1:15" ht="42" x14ac:dyDescent="0.15">
      <c r="A8" s="62" t="s">
        <v>198</v>
      </c>
      <c r="B8" s="63">
        <f>floors!C$2</f>
        <v>40037</v>
      </c>
      <c r="C8" s="64" t="str">
        <f ca="1">VLOOKUP($B8,OFFSET([2]quests!$A$1,0,0,COUNTA([2]quests!$A:$A),MATCH(C$1,[2]quests!$1:$1,0)-MATCH($B$1,[2]quests!$1:$1,0)+1),MATCH(C$1,[2]quests!$1:$1,0)-MATCH($B$1,[2]quests!$1:$1,0)+1,FALSE)</f>
        <v>デルピュネー襲来！</v>
      </c>
      <c r="D8" s="64" t="str">
        <f ca="1">VLOOKUP($B8,OFFSET([2]quests!$A$1,0,0,COUNTA([2]quests!$A:$A),MATCH(D$1,[2]quests!$1:$1,0)-MATCH($B$1,[2]quests!$1:$1,0)+1),MATCH(D$1,[2]quests!$1:$1,0)-MATCH($B$1,[2]quests!$1:$1,0)+1,FALSE)</f>
        <v>降臨37</v>
      </c>
      <c r="E8" s="65">
        <v>1</v>
      </c>
      <c r="F8" s="6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8" s="64" t="str">
        <f ca="1">VLOOKUP($B8&amp;"_"&amp;$E8,OFFSET([2]stages!$A$1,0,0,COUNTA([2]stages!$A:$A),MATCH(G$1,[2]stages!$2:$2,0)-MATCH("temp_stage",[2]stages!$2:$2,0)+1),MATCH(G$1,[2]stages!$2:$2,0)-MATCH("temp_stage",[2]stages!$2:$2,0)+1,FALSE)</f>
        <v>降臨37</v>
      </c>
      <c r="H8" s="66">
        <v>4</v>
      </c>
      <c r="I8" s="71">
        <f t="shared" si="0"/>
        <v>7</v>
      </c>
      <c r="J8" s="67" t="str">
        <f t="shared" si="1"/>
        <v>4003707</v>
      </c>
      <c r="K8" s="65" t="s">
        <v>199</v>
      </c>
      <c r="L8" s="68" t="s">
        <v>200</v>
      </c>
      <c r="M8" s="151" t="s">
        <v>349</v>
      </c>
      <c r="N8" s="41" t="s">
        <v>201</v>
      </c>
      <c r="O8">
        <f t="shared" si="2"/>
        <v>49</v>
      </c>
    </row>
    <row r="9" spans="1:15" ht="42" x14ac:dyDescent="0.15">
      <c r="A9" s="62" t="s">
        <v>198</v>
      </c>
      <c r="B9" s="63">
        <f>floors!C$2</f>
        <v>40037</v>
      </c>
      <c r="C9" s="64" t="str">
        <f ca="1">VLOOKUP($B9,OFFSET([2]quests!$A$1,0,0,COUNTA([2]quests!$A:$A),MATCH(C$1,[2]quests!$1:$1,0)-MATCH($B$1,[2]quests!$1:$1,0)+1),MATCH(C$1,[2]quests!$1:$1,0)-MATCH($B$1,[2]quests!$1:$1,0)+1,FALSE)</f>
        <v>デルピュネー襲来！</v>
      </c>
      <c r="D9" s="64" t="str">
        <f ca="1">VLOOKUP($B9,OFFSET([2]quests!$A$1,0,0,COUNTA([2]quests!$A:$A),MATCH(D$1,[2]quests!$1:$1,0)-MATCH($B$1,[2]quests!$1:$1,0)+1),MATCH(D$1,[2]quests!$1:$1,0)-MATCH($B$1,[2]quests!$1:$1,0)+1,FALSE)</f>
        <v>降臨37</v>
      </c>
      <c r="E9" s="65">
        <v>1</v>
      </c>
      <c r="F9" s="6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9" s="64" t="str">
        <f ca="1">VLOOKUP($B9&amp;"_"&amp;$E9,OFFSET([2]stages!$A$1,0,0,COUNTA([2]stages!$A:$A),MATCH(G$1,[2]stages!$2:$2,0)-MATCH("temp_stage",[2]stages!$2:$2,0)+1),MATCH(G$1,[2]stages!$2:$2,0)-MATCH("temp_stage",[2]stages!$2:$2,0)+1,FALSE)</f>
        <v>降臨37</v>
      </c>
      <c r="H9" s="66">
        <v>4</v>
      </c>
      <c r="I9" s="71">
        <f t="shared" si="0"/>
        <v>8</v>
      </c>
      <c r="J9" s="67" t="str">
        <f t="shared" ref="J9" si="7">B9&amp;TEXT(I9,"00")</f>
        <v>4003708</v>
      </c>
      <c r="K9" s="65" t="s">
        <v>128</v>
      </c>
      <c r="L9" s="68" t="s">
        <v>200</v>
      </c>
      <c r="M9" s="151" t="s">
        <v>365</v>
      </c>
      <c r="N9" s="41" t="s">
        <v>201</v>
      </c>
      <c r="O9">
        <f t="shared" ref="O9" si="8">LEN(M9)</f>
        <v>57</v>
      </c>
    </row>
    <row r="10" spans="1:15" ht="42" x14ac:dyDescent="0.15">
      <c r="A10" s="62" t="s">
        <v>198</v>
      </c>
      <c r="B10" s="63">
        <f>floors!C$2</f>
        <v>40037</v>
      </c>
      <c r="C10" s="64" t="str">
        <f ca="1">VLOOKUP($B10,OFFSET([2]quests!$A$1,0,0,COUNTA([2]quests!$A:$A),MATCH(C$1,[2]quests!$1:$1,0)-MATCH($B$1,[2]quests!$1:$1,0)+1),MATCH(C$1,[2]quests!$1:$1,0)-MATCH($B$1,[2]quests!$1:$1,0)+1,FALSE)</f>
        <v>デルピュネー襲来！</v>
      </c>
      <c r="D10" s="64" t="str">
        <f ca="1">VLOOKUP($B10,OFFSET([2]quests!$A$1,0,0,COUNTA([2]quests!$A:$A),MATCH(D$1,[2]quests!$1:$1,0)-MATCH($B$1,[2]quests!$1:$1,0)+1),MATCH(D$1,[2]quests!$1:$1,0)-MATCH($B$1,[2]quests!$1:$1,0)+1,FALSE)</f>
        <v>降臨37</v>
      </c>
      <c r="E10" s="65">
        <v>2</v>
      </c>
      <c r="F10" s="6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0" s="64" t="str">
        <f ca="1">VLOOKUP($B10&amp;"_"&amp;$E10,OFFSET([2]stages!$A$1,0,0,COUNTA([2]stages!$A:$A),MATCH(G$1,[2]stages!$2:$2,0)-MATCH("temp_stage",[2]stages!$2:$2,0)+1),MATCH(G$1,[2]stages!$2:$2,0)-MATCH("temp_stage",[2]stages!$2:$2,0)+1,FALSE)</f>
        <v>降臨37</v>
      </c>
      <c r="H10" s="66">
        <v>1</v>
      </c>
      <c r="I10" s="71">
        <f>ROW()-1</f>
        <v>9</v>
      </c>
      <c r="J10" s="67" t="str">
        <f>B10&amp;TEXT(I10,"00")</f>
        <v>4003709</v>
      </c>
      <c r="K10" s="65" t="s">
        <v>199</v>
      </c>
      <c r="L10" s="68" t="s">
        <v>200</v>
      </c>
      <c r="M10" s="151" t="s">
        <v>350</v>
      </c>
      <c r="N10" s="41" t="s">
        <v>201</v>
      </c>
      <c r="O10">
        <f t="shared" si="2"/>
        <v>47</v>
      </c>
    </row>
    <row r="11" spans="1:15" ht="42" x14ac:dyDescent="0.15">
      <c r="A11" s="62" t="s">
        <v>198</v>
      </c>
      <c r="B11" s="63">
        <f>floors!C$2</f>
        <v>40037</v>
      </c>
      <c r="C11" s="64" t="str">
        <f ca="1">VLOOKUP($B11,OFFSET([2]quests!$A$1,0,0,COUNTA([2]quests!$A:$A),MATCH(C$1,[2]quests!$1:$1,0)-MATCH($B$1,[2]quests!$1:$1,0)+1),MATCH(C$1,[2]quests!$1:$1,0)-MATCH($B$1,[2]quests!$1:$1,0)+1,FALSE)</f>
        <v>デルピュネー襲来！</v>
      </c>
      <c r="D11" s="64" t="str">
        <f ca="1">VLOOKUP($B11,OFFSET([2]quests!$A$1,0,0,COUNTA([2]quests!$A:$A),MATCH(D$1,[2]quests!$1:$1,0)-MATCH($B$1,[2]quests!$1:$1,0)+1),MATCH(D$1,[2]quests!$1:$1,0)-MATCH($B$1,[2]quests!$1:$1,0)+1,FALSE)</f>
        <v>降臨37</v>
      </c>
      <c r="E11" s="65">
        <v>2</v>
      </c>
      <c r="F11" s="6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1" s="64" t="str">
        <f ca="1">VLOOKUP($B11&amp;"_"&amp;$E11,OFFSET([2]stages!$A$1,0,0,COUNTA([2]stages!$A:$A),MATCH(G$1,[2]stages!$2:$2,0)-MATCH("temp_stage",[2]stages!$2:$2,0)+1),MATCH(G$1,[2]stages!$2:$2,0)-MATCH("temp_stage",[2]stages!$2:$2,0)+1,FALSE)</f>
        <v>降臨37</v>
      </c>
      <c r="H11" s="66">
        <v>1</v>
      </c>
      <c r="I11" s="71">
        <f>ROW()-1</f>
        <v>10</v>
      </c>
      <c r="J11" s="67" t="str">
        <f>B11&amp;TEXT(I11,"00")</f>
        <v>4003710</v>
      </c>
      <c r="K11" s="65" t="s">
        <v>128</v>
      </c>
      <c r="L11" s="68" t="s">
        <v>200</v>
      </c>
      <c r="M11" s="151" t="s">
        <v>363</v>
      </c>
      <c r="N11" s="41" t="s">
        <v>201</v>
      </c>
      <c r="O11">
        <f t="shared" ref="O11" si="9">LEN(M11)</f>
        <v>53</v>
      </c>
    </row>
    <row r="12" spans="1:15" ht="28" x14ac:dyDescent="0.15">
      <c r="A12" s="62" t="s">
        <v>198</v>
      </c>
      <c r="B12" s="63">
        <f>floors!C$2</f>
        <v>40037</v>
      </c>
      <c r="C12" s="64" t="str">
        <f ca="1">VLOOKUP($B12,OFFSET([2]quests!$A$1,0,0,COUNTA([2]quests!$A:$A),MATCH(C$1,[2]quests!$1:$1,0)-MATCH($B$1,[2]quests!$1:$1,0)+1),MATCH(C$1,[2]quests!$1:$1,0)-MATCH($B$1,[2]quests!$1:$1,0)+1,FALSE)</f>
        <v>デルピュネー襲来！</v>
      </c>
      <c r="D12" s="64" t="str">
        <f ca="1">VLOOKUP($B12,OFFSET([2]quests!$A$1,0,0,COUNTA([2]quests!$A:$A),MATCH(D$1,[2]quests!$1:$1,0)-MATCH($B$1,[2]quests!$1:$1,0)+1),MATCH(D$1,[2]quests!$1:$1,0)-MATCH($B$1,[2]quests!$1:$1,0)+1,FALSE)</f>
        <v>降臨37</v>
      </c>
      <c r="E12" s="65">
        <v>2</v>
      </c>
      <c r="F12" s="6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2" s="64" t="str">
        <f ca="1">VLOOKUP($B12&amp;"_"&amp;$E12,OFFSET([2]stages!$A$1,0,0,COUNTA([2]stages!$A:$A),MATCH(G$1,[2]stages!$2:$2,0)-MATCH("temp_stage",[2]stages!$2:$2,0)+1),MATCH(G$1,[2]stages!$2:$2,0)-MATCH("temp_stage",[2]stages!$2:$2,0)+1,FALSE)</f>
        <v>降臨37</v>
      </c>
      <c r="H12" s="66">
        <v>2</v>
      </c>
      <c r="I12" s="71">
        <f t="shared" si="0"/>
        <v>11</v>
      </c>
      <c r="J12" s="67" t="str">
        <f t="shared" ref="J12:J16" si="10">B12&amp;TEXT(I12,"00")</f>
        <v>4003711</v>
      </c>
      <c r="K12" s="65" t="s">
        <v>199</v>
      </c>
      <c r="L12" s="68" t="s">
        <v>200</v>
      </c>
      <c r="M12" s="151" t="s">
        <v>366</v>
      </c>
      <c r="N12" s="41" t="s">
        <v>201</v>
      </c>
      <c r="O12">
        <f t="shared" si="2"/>
        <v>39</v>
      </c>
    </row>
    <row r="13" spans="1:15" ht="42" x14ac:dyDescent="0.15">
      <c r="A13" s="62" t="s">
        <v>198</v>
      </c>
      <c r="B13" s="63">
        <f>floors!C$2</f>
        <v>40037</v>
      </c>
      <c r="C13" s="64" t="str">
        <f ca="1">VLOOKUP($B13,OFFSET([2]quests!$A$1,0,0,COUNTA([2]quests!$A:$A),MATCH(C$1,[2]quests!$1:$1,0)-MATCH($B$1,[2]quests!$1:$1,0)+1),MATCH(C$1,[2]quests!$1:$1,0)-MATCH($B$1,[2]quests!$1:$1,0)+1,FALSE)</f>
        <v>デルピュネー襲来！</v>
      </c>
      <c r="D13" s="64" t="str">
        <f ca="1">VLOOKUP($B13,OFFSET([2]quests!$A$1,0,0,COUNTA([2]quests!$A:$A),MATCH(D$1,[2]quests!$1:$1,0)-MATCH($B$1,[2]quests!$1:$1,0)+1),MATCH(D$1,[2]quests!$1:$1,0)-MATCH($B$1,[2]quests!$1:$1,0)+1,FALSE)</f>
        <v>降臨37</v>
      </c>
      <c r="E13" s="65">
        <v>2</v>
      </c>
      <c r="F13" s="6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3" s="64" t="str">
        <f ca="1">VLOOKUP($B13&amp;"_"&amp;$E13,OFFSET([2]stages!$A$1,0,0,COUNTA([2]stages!$A:$A),MATCH(G$1,[2]stages!$2:$2,0)-MATCH("temp_stage",[2]stages!$2:$2,0)+1),MATCH(G$1,[2]stages!$2:$2,0)-MATCH("temp_stage",[2]stages!$2:$2,0)+1,FALSE)</f>
        <v>降臨37</v>
      </c>
      <c r="H13" s="66">
        <v>2</v>
      </c>
      <c r="I13" s="71">
        <f t="shared" si="0"/>
        <v>12</v>
      </c>
      <c r="J13" s="67" t="str">
        <f t="shared" ref="J13" si="11">B13&amp;TEXT(I13,"00")</f>
        <v>4003712</v>
      </c>
      <c r="K13" s="65" t="s">
        <v>128</v>
      </c>
      <c r="L13" s="68" t="s">
        <v>200</v>
      </c>
      <c r="M13" s="151" t="s">
        <v>363</v>
      </c>
      <c r="N13" s="41" t="s">
        <v>201</v>
      </c>
      <c r="O13">
        <f t="shared" ref="O13" si="12">LEN(M13)</f>
        <v>53</v>
      </c>
    </row>
    <row r="14" spans="1:15" ht="28" x14ac:dyDescent="0.15">
      <c r="A14" s="62" t="s">
        <v>198</v>
      </c>
      <c r="B14" s="63">
        <f>floors!C$2</f>
        <v>40037</v>
      </c>
      <c r="C14" s="64" t="str">
        <f ca="1">VLOOKUP($B14,OFFSET([2]quests!$A$1,0,0,COUNTA([2]quests!$A:$A),MATCH(C$1,[2]quests!$1:$1,0)-MATCH($B$1,[2]quests!$1:$1,0)+1),MATCH(C$1,[2]quests!$1:$1,0)-MATCH($B$1,[2]quests!$1:$1,0)+1,FALSE)</f>
        <v>デルピュネー襲来！</v>
      </c>
      <c r="D14" s="64" t="str">
        <f ca="1">VLOOKUP($B14,OFFSET([2]quests!$A$1,0,0,COUNTA([2]quests!$A:$A),MATCH(D$1,[2]quests!$1:$1,0)-MATCH($B$1,[2]quests!$1:$1,0)+1),MATCH(D$1,[2]quests!$1:$1,0)-MATCH($B$1,[2]quests!$1:$1,0)+1,FALSE)</f>
        <v>降臨37</v>
      </c>
      <c r="E14" s="65">
        <v>2</v>
      </c>
      <c r="F14" s="6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4" s="64" t="str">
        <f ca="1">VLOOKUP($B14&amp;"_"&amp;$E14,OFFSET([2]stages!$A$1,0,0,COUNTA([2]stages!$A:$A),MATCH(G$1,[2]stages!$2:$2,0)-MATCH("temp_stage",[2]stages!$2:$2,0)+1),MATCH(G$1,[2]stages!$2:$2,0)-MATCH("temp_stage",[2]stages!$2:$2,0)+1,FALSE)</f>
        <v>降臨37</v>
      </c>
      <c r="H14" s="66">
        <v>3</v>
      </c>
      <c r="I14" s="71">
        <f t="shared" si="0"/>
        <v>13</v>
      </c>
      <c r="J14" s="67" t="str">
        <f t="shared" si="10"/>
        <v>4003713</v>
      </c>
      <c r="K14" s="65" t="s">
        <v>199</v>
      </c>
      <c r="L14" s="68" t="s">
        <v>200</v>
      </c>
      <c r="M14" s="151" t="s">
        <v>366</v>
      </c>
      <c r="N14" s="41" t="s">
        <v>201</v>
      </c>
      <c r="O14">
        <f t="shared" si="2"/>
        <v>39</v>
      </c>
    </row>
    <row r="15" spans="1:15" ht="42" x14ac:dyDescent="0.15">
      <c r="A15" s="62" t="s">
        <v>198</v>
      </c>
      <c r="B15" s="63">
        <f>floors!C$2</f>
        <v>40037</v>
      </c>
      <c r="C15" s="64" t="str">
        <f ca="1">VLOOKUP($B15,OFFSET([2]quests!$A$1,0,0,COUNTA([2]quests!$A:$A),MATCH(C$1,[2]quests!$1:$1,0)-MATCH($B$1,[2]quests!$1:$1,0)+1),MATCH(C$1,[2]quests!$1:$1,0)-MATCH($B$1,[2]quests!$1:$1,0)+1,FALSE)</f>
        <v>デルピュネー襲来！</v>
      </c>
      <c r="D15" s="64" t="str">
        <f ca="1">VLOOKUP($B15,OFFSET([2]quests!$A$1,0,0,COUNTA([2]quests!$A:$A),MATCH(D$1,[2]quests!$1:$1,0)-MATCH($B$1,[2]quests!$1:$1,0)+1),MATCH(D$1,[2]quests!$1:$1,0)-MATCH($B$1,[2]quests!$1:$1,0)+1,FALSE)</f>
        <v>降臨37</v>
      </c>
      <c r="E15" s="65">
        <v>2</v>
      </c>
      <c r="F15" s="6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5" s="64" t="str">
        <f ca="1">VLOOKUP($B15&amp;"_"&amp;$E15,OFFSET([2]stages!$A$1,0,0,COUNTA([2]stages!$A:$A),MATCH(G$1,[2]stages!$2:$2,0)-MATCH("temp_stage",[2]stages!$2:$2,0)+1),MATCH(G$1,[2]stages!$2:$2,0)-MATCH("temp_stage",[2]stages!$2:$2,0)+1,FALSE)</f>
        <v>降臨37</v>
      </c>
      <c r="H15" s="66">
        <v>3</v>
      </c>
      <c r="I15" s="71">
        <f t="shared" si="0"/>
        <v>14</v>
      </c>
      <c r="J15" s="67" t="str">
        <f t="shared" ref="J15" si="13">B15&amp;TEXT(I15,"00")</f>
        <v>4003714</v>
      </c>
      <c r="K15" s="65" t="s">
        <v>128</v>
      </c>
      <c r="L15" s="68" t="s">
        <v>200</v>
      </c>
      <c r="M15" s="151" t="s">
        <v>363</v>
      </c>
      <c r="N15" s="41" t="s">
        <v>201</v>
      </c>
      <c r="O15">
        <f t="shared" ref="O15" si="14">LEN(M15)</f>
        <v>53</v>
      </c>
    </row>
    <row r="16" spans="1:15" ht="42" x14ac:dyDescent="0.15">
      <c r="A16" s="62" t="s">
        <v>198</v>
      </c>
      <c r="B16" s="63">
        <f>floors!C$2</f>
        <v>40037</v>
      </c>
      <c r="C16" s="64" t="str">
        <f ca="1">VLOOKUP($B16,OFFSET([2]quests!$A$1,0,0,COUNTA([2]quests!$A:$A),MATCH(C$1,[2]quests!$1:$1,0)-MATCH($B$1,[2]quests!$1:$1,0)+1),MATCH(C$1,[2]quests!$1:$1,0)-MATCH($B$1,[2]quests!$1:$1,0)+1,FALSE)</f>
        <v>デルピュネー襲来！</v>
      </c>
      <c r="D16" s="64" t="str">
        <f ca="1">VLOOKUP($B16,OFFSET([2]quests!$A$1,0,0,COUNTA([2]quests!$A:$A),MATCH(D$1,[2]quests!$1:$1,0)-MATCH($B$1,[2]quests!$1:$1,0)+1),MATCH(D$1,[2]quests!$1:$1,0)-MATCH($B$1,[2]quests!$1:$1,0)+1,FALSE)</f>
        <v>降臨37</v>
      </c>
      <c r="E16" s="65">
        <v>2</v>
      </c>
      <c r="F16" s="6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6" s="64" t="str">
        <f ca="1">VLOOKUP($B16&amp;"_"&amp;$E16,OFFSET([2]stages!$A$1,0,0,COUNTA([2]stages!$A:$A),MATCH(G$1,[2]stages!$2:$2,0)-MATCH("temp_stage",[2]stages!$2:$2,0)+1),MATCH(G$1,[2]stages!$2:$2,0)-MATCH("temp_stage",[2]stages!$2:$2,0)+1,FALSE)</f>
        <v>降臨37</v>
      </c>
      <c r="H16" s="66">
        <v>4</v>
      </c>
      <c r="I16" s="71">
        <f t="shared" si="0"/>
        <v>15</v>
      </c>
      <c r="J16" s="67" t="str">
        <f t="shared" si="10"/>
        <v>4003715</v>
      </c>
      <c r="K16" s="65" t="s">
        <v>199</v>
      </c>
      <c r="L16" s="68" t="s">
        <v>200</v>
      </c>
      <c r="M16" s="151" t="s">
        <v>348</v>
      </c>
      <c r="N16" s="41" t="s">
        <v>201</v>
      </c>
      <c r="O16">
        <f t="shared" si="2"/>
        <v>51</v>
      </c>
    </row>
    <row r="17" spans="1:15" ht="42" x14ac:dyDescent="0.15">
      <c r="A17" s="62" t="s">
        <v>198</v>
      </c>
      <c r="B17" s="63">
        <f>floors!C$2</f>
        <v>40037</v>
      </c>
      <c r="C17" s="64" t="str">
        <f ca="1">VLOOKUP($B17,OFFSET([2]quests!$A$1,0,0,COUNTA([2]quests!$A:$A),MATCH(C$1,[2]quests!$1:$1,0)-MATCH($B$1,[2]quests!$1:$1,0)+1),MATCH(C$1,[2]quests!$1:$1,0)-MATCH($B$1,[2]quests!$1:$1,0)+1,FALSE)</f>
        <v>デルピュネー襲来！</v>
      </c>
      <c r="D17" s="64" t="str">
        <f ca="1">VLOOKUP($B17,OFFSET([2]quests!$A$1,0,0,COUNTA([2]quests!$A:$A),MATCH(D$1,[2]quests!$1:$1,0)-MATCH($B$1,[2]quests!$1:$1,0)+1),MATCH(D$1,[2]quests!$1:$1,0)-MATCH($B$1,[2]quests!$1:$1,0)+1,FALSE)</f>
        <v>降臨37</v>
      </c>
      <c r="E17" s="65">
        <v>2</v>
      </c>
      <c r="F17" s="6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17" s="64" t="str">
        <f ca="1">VLOOKUP($B17&amp;"_"&amp;$E17,OFFSET([2]stages!$A$1,0,0,COUNTA([2]stages!$A:$A),MATCH(G$1,[2]stages!$2:$2,0)-MATCH("temp_stage",[2]stages!$2:$2,0)+1),MATCH(G$1,[2]stages!$2:$2,0)-MATCH("temp_stage",[2]stages!$2:$2,0)+1,FALSE)</f>
        <v>降臨37</v>
      </c>
      <c r="H17" s="66">
        <v>4</v>
      </c>
      <c r="I17" s="71">
        <f t="shared" si="0"/>
        <v>16</v>
      </c>
      <c r="J17" s="67" t="str">
        <f t="shared" ref="J17" si="15">B17&amp;TEXT(I17,"00")</f>
        <v>4003716</v>
      </c>
      <c r="K17" s="65" t="s">
        <v>128</v>
      </c>
      <c r="L17" s="68" t="s">
        <v>200</v>
      </c>
      <c r="M17" s="151" t="s">
        <v>365</v>
      </c>
      <c r="N17" s="41" t="s">
        <v>201</v>
      </c>
      <c r="O17">
        <f t="shared" ref="O17" si="16">LEN(M17)</f>
        <v>57</v>
      </c>
    </row>
    <row r="18" spans="1:15" ht="42" x14ac:dyDescent="0.15">
      <c r="A18" s="62" t="s">
        <v>202</v>
      </c>
      <c r="B18" s="63">
        <f>floors!C$2</f>
        <v>40037</v>
      </c>
      <c r="C18" s="64" t="str">
        <f ca="1">VLOOKUP($B18,OFFSET([2]quests!$A$1,0,0,COUNTA([2]quests!$A:$A),MATCH(C$1,[2]quests!$1:$1,0)-MATCH($B$1,[2]quests!$1:$1,0)+1),MATCH(C$1,[2]quests!$1:$1,0)-MATCH($B$1,[2]quests!$1:$1,0)+1,FALSE)</f>
        <v>デルピュネー襲来！</v>
      </c>
      <c r="D18" s="64" t="str">
        <f ca="1">VLOOKUP($B18,OFFSET([2]quests!$A$1,0,0,COUNTA([2]quests!$A:$A),MATCH(D$1,[2]quests!$1:$1,0)-MATCH($B$1,[2]quests!$1:$1,0)+1),MATCH(D$1,[2]quests!$1:$1,0)-MATCH($B$1,[2]quests!$1:$1,0)+1,FALSE)</f>
        <v>降臨37</v>
      </c>
      <c r="E18" s="65">
        <v>1</v>
      </c>
      <c r="F18" s="6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18" s="64" t="str">
        <f ca="1">VLOOKUP($B18&amp;"_"&amp;$E18,OFFSET([2]stages!$A$1,0,0,COUNTA([2]stages!$A:$A),MATCH(G$1,[2]stages!$2:$2,0)-MATCH("temp_stage",[2]stages!$2:$2,0)+1),MATCH(G$1,[2]stages!$2:$2,0)-MATCH("temp_stage",[2]stages!$2:$2,0)+1,FALSE)</f>
        <v>降臨37</v>
      </c>
      <c r="H18" s="66">
        <v>0</v>
      </c>
      <c r="I18" s="71">
        <f t="shared" si="0"/>
        <v>17</v>
      </c>
      <c r="J18" s="67" t="str">
        <f t="shared" ref="J18:J26" si="17">B18&amp;TEXT(I18,"00")</f>
        <v>4003717</v>
      </c>
      <c r="K18" s="65" t="s">
        <v>199</v>
      </c>
      <c r="L18" s="68" t="s">
        <v>297</v>
      </c>
      <c r="M18" s="151" t="s">
        <v>303</v>
      </c>
      <c r="N18" s="41" t="s">
        <v>201</v>
      </c>
      <c r="O18">
        <f t="shared" si="2"/>
        <v>46</v>
      </c>
    </row>
    <row r="19" spans="1:15" ht="42" x14ac:dyDescent="0.15">
      <c r="A19" s="62" t="s">
        <v>202</v>
      </c>
      <c r="B19" s="63">
        <f>floors!C$2</f>
        <v>40037</v>
      </c>
      <c r="C19" s="64" t="str">
        <f ca="1">VLOOKUP($B19,OFFSET([2]quests!$A$1,0,0,COUNTA([2]quests!$A:$A),MATCH(C$1,[2]quests!$1:$1,0)-MATCH($B$1,[2]quests!$1:$1,0)+1),MATCH(C$1,[2]quests!$1:$1,0)-MATCH($B$1,[2]quests!$1:$1,0)+1,FALSE)</f>
        <v>デルピュネー襲来！</v>
      </c>
      <c r="D19" s="64" t="str">
        <f ca="1">VLOOKUP($B19,OFFSET([2]quests!$A$1,0,0,COUNTA([2]quests!$A:$A),MATCH(D$1,[2]quests!$1:$1,0)-MATCH($B$1,[2]quests!$1:$1,0)+1),MATCH(D$1,[2]quests!$1:$1,0)-MATCH($B$1,[2]quests!$1:$1,0)+1,FALSE)</f>
        <v>降臨37</v>
      </c>
      <c r="E19" s="65">
        <v>1</v>
      </c>
      <c r="F19" s="6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19" s="64" t="str">
        <f ca="1">VLOOKUP($B19&amp;"_"&amp;$E19,OFFSET([2]stages!$A$1,0,0,COUNTA([2]stages!$A:$A),MATCH(G$1,[2]stages!$2:$2,0)-MATCH("temp_stage",[2]stages!$2:$2,0)+1),MATCH(G$1,[2]stages!$2:$2,0)-MATCH("temp_stage",[2]stages!$2:$2,0)+1,FALSE)</f>
        <v>降臨37</v>
      </c>
      <c r="H19" s="66">
        <v>0</v>
      </c>
      <c r="I19" s="71">
        <f t="shared" si="0"/>
        <v>18</v>
      </c>
      <c r="J19" s="67" t="str">
        <f t="shared" si="17"/>
        <v>4003718</v>
      </c>
      <c r="K19" s="65" t="s">
        <v>199</v>
      </c>
      <c r="L19" s="68" t="s">
        <v>298</v>
      </c>
      <c r="M19" s="151" t="s">
        <v>460</v>
      </c>
      <c r="N19" s="41" t="s">
        <v>201</v>
      </c>
      <c r="O19">
        <f t="shared" si="2"/>
        <v>48</v>
      </c>
    </row>
    <row r="20" spans="1:15" ht="42" x14ac:dyDescent="0.15">
      <c r="A20" s="62" t="s">
        <v>202</v>
      </c>
      <c r="B20" s="63">
        <f>floors!C$2</f>
        <v>40037</v>
      </c>
      <c r="C20" s="64" t="str">
        <f ca="1">VLOOKUP($B20,OFFSET([2]quests!$A$1,0,0,COUNTA([2]quests!$A:$A),MATCH(C$1,[2]quests!$1:$1,0)-MATCH($B$1,[2]quests!$1:$1,0)+1),MATCH(C$1,[2]quests!$1:$1,0)-MATCH($B$1,[2]quests!$1:$1,0)+1,FALSE)</f>
        <v>デルピュネー襲来！</v>
      </c>
      <c r="D20" s="64" t="str">
        <f ca="1">VLOOKUP($B20,OFFSET([2]quests!$A$1,0,0,COUNTA([2]quests!$A:$A),MATCH(D$1,[2]quests!$1:$1,0)-MATCH($B$1,[2]quests!$1:$1,0)+1),MATCH(D$1,[2]quests!$1:$1,0)-MATCH($B$1,[2]quests!$1:$1,0)+1,FALSE)</f>
        <v>降臨37</v>
      </c>
      <c r="E20" s="65">
        <v>1</v>
      </c>
      <c r="F20" s="6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20" s="64" t="str">
        <f ca="1">VLOOKUP($B20&amp;"_"&amp;$E20,OFFSET([2]stages!$A$1,0,0,COUNTA([2]stages!$A:$A),MATCH(G$1,[2]stages!$2:$2,0)-MATCH("temp_stage",[2]stages!$2:$2,0)+1),MATCH(G$1,[2]stages!$2:$2,0)-MATCH("temp_stage",[2]stages!$2:$2,0)+1,FALSE)</f>
        <v>降臨37</v>
      </c>
      <c r="H20" s="66">
        <v>0</v>
      </c>
      <c r="I20" s="71">
        <f t="shared" si="0"/>
        <v>19</v>
      </c>
      <c r="J20" s="67" t="str">
        <f t="shared" si="17"/>
        <v>4003719</v>
      </c>
      <c r="K20" s="65" t="s">
        <v>199</v>
      </c>
      <c r="L20" s="68" t="s">
        <v>299</v>
      </c>
      <c r="M20" s="151" t="s">
        <v>301</v>
      </c>
      <c r="N20" s="41" t="s">
        <v>201</v>
      </c>
      <c r="O20">
        <f t="shared" si="2"/>
        <v>55</v>
      </c>
    </row>
    <row r="21" spans="1:15" ht="42" x14ac:dyDescent="0.15">
      <c r="A21" s="62" t="s">
        <v>202</v>
      </c>
      <c r="B21" s="63">
        <f>floors!C$2</f>
        <v>40037</v>
      </c>
      <c r="C21" s="64" t="str">
        <f ca="1">VLOOKUP($B21,OFFSET([2]quests!$A$1,0,0,COUNTA([2]quests!$A:$A),MATCH(C$1,[2]quests!$1:$1,0)-MATCH($B$1,[2]quests!$1:$1,0)+1),MATCH(C$1,[2]quests!$1:$1,0)-MATCH($B$1,[2]quests!$1:$1,0)+1,FALSE)</f>
        <v>デルピュネー襲来！</v>
      </c>
      <c r="D21" s="64" t="str">
        <f ca="1">VLOOKUP($B21,OFFSET([2]quests!$A$1,0,0,COUNTA([2]quests!$A:$A),MATCH(D$1,[2]quests!$1:$1,0)-MATCH($B$1,[2]quests!$1:$1,0)+1),MATCH(D$1,[2]quests!$1:$1,0)-MATCH($B$1,[2]quests!$1:$1,0)+1,FALSE)</f>
        <v>降臨37</v>
      </c>
      <c r="E21" s="65">
        <v>1</v>
      </c>
      <c r="F21" s="6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21" s="64" t="str">
        <f ca="1">VLOOKUP($B21&amp;"_"&amp;$E21,OFFSET([2]stages!$A$1,0,0,COUNTA([2]stages!$A:$A),MATCH(G$1,[2]stages!$2:$2,0)-MATCH("temp_stage",[2]stages!$2:$2,0)+1),MATCH(G$1,[2]stages!$2:$2,0)-MATCH("temp_stage",[2]stages!$2:$2,0)+1,FALSE)</f>
        <v>降臨37</v>
      </c>
      <c r="H21" s="66">
        <v>0</v>
      </c>
      <c r="I21" s="71">
        <f t="shared" si="0"/>
        <v>20</v>
      </c>
      <c r="J21" s="67" t="str">
        <f t="shared" si="17"/>
        <v>4003720</v>
      </c>
      <c r="K21" s="65" t="s">
        <v>199</v>
      </c>
      <c r="L21" s="68" t="s">
        <v>300</v>
      </c>
      <c r="M21" s="151" t="s">
        <v>302</v>
      </c>
      <c r="N21" s="41" t="s">
        <v>201</v>
      </c>
      <c r="O21">
        <f t="shared" si="2"/>
        <v>51</v>
      </c>
    </row>
    <row r="22" spans="1:15" ht="42" x14ac:dyDescent="0.15">
      <c r="A22" s="62" t="s">
        <v>202</v>
      </c>
      <c r="B22" s="63">
        <f>floors!C$2</f>
        <v>40037</v>
      </c>
      <c r="C22" s="64" t="str">
        <f ca="1">VLOOKUP($B22,OFFSET([2]quests!$A$1,0,0,COUNTA([2]quests!$A:$A),MATCH(C$1,[2]quests!$1:$1,0)-MATCH($B$1,[2]quests!$1:$1,0)+1),MATCH(C$1,[2]quests!$1:$1,0)-MATCH($B$1,[2]quests!$1:$1,0)+1,FALSE)</f>
        <v>デルピュネー襲来！</v>
      </c>
      <c r="D22" s="64" t="str">
        <f ca="1">VLOOKUP($B22,OFFSET([2]quests!$A$1,0,0,COUNTA([2]quests!$A:$A),MATCH(D$1,[2]quests!$1:$1,0)-MATCH($B$1,[2]quests!$1:$1,0)+1),MATCH(D$1,[2]quests!$1:$1,0)-MATCH($B$1,[2]quests!$1:$1,0)+1,FALSE)</f>
        <v>降臨37</v>
      </c>
      <c r="E22" s="65">
        <v>1</v>
      </c>
      <c r="F22" s="64" t="str">
        <f ca="1">VLOOKUP($B22&amp;"_"&amp;$E22,OFFSET([2]stages!$A$1,0,0,COUNTA([2]stages!$A:$A),MATCH(F$1,[2]stages!$2:$2,0)-MATCH("temp_stage",[2]stages!$2:$2,0)+1),MATCH(F$1,[2]stages!$2:$2,0)-MATCH("temp_stage",[2]stages!$2:$2,0)+1,FALSE)</f>
        <v>【超絶級】デルピュネー襲来</v>
      </c>
      <c r="G22" s="64" t="str">
        <f ca="1">VLOOKUP($B22&amp;"_"&amp;$E22,OFFSET([2]stages!$A$1,0,0,COUNTA([2]stages!$A:$A),MATCH(G$1,[2]stages!$2:$2,0)-MATCH("temp_stage",[2]stages!$2:$2,0)+1),MATCH(G$1,[2]stages!$2:$2,0)-MATCH("temp_stage",[2]stages!$2:$2,0)+1,FALSE)</f>
        <v>降臨37</v>
      </c>
      <c r="H22" s="66">
        <v>0</v>
      </c>
      <c r="I22" s="71">
        <f t="shared" si="0"/>
        <v>21</v>
      </c>
      <c r="J22" s="67" t="str">
        <f t="shared" ref="J22" si="18">B22&amp;TEXT(I22,"00")</f>
        <v>4003721</v>
      </c>
      <c r="K22" s="65" t="s">
        <v>199</v>
      </c>
      <c r="L22" s="68" t="s">
        <v>304</v>
      </c>
      <c r="M22" s="151" t="s">
        <v>305</v>
      </c>
      <c r="N22" s="41" t="s">
        <v>201</v>
      </c>
      <c r="O22">
        <f t="shared" ref="O22" si="19">LEN(M22)</f>
        <v>59</v>
      </c>
    </row>
    <row r="23" spans="1:15" ht="42" x14ac:dyDescent="0.15">
      <c r="A23" s="62" t="s">
        <v>202</v>
      </c>
      <c r="B23" s="63">
        <f>floors!C$2</f>
        <v>40037</v>
      </c>
      <c r="C23" s="64" t="str">
        <f ca="1">VLOOKUP($B23,OFFSET([2]quests!$A$1,0,0,COUNTA([2]quests!$A:$A),MATCH(C$1,[2]quests!$1:$1,0)-MATCH($B$1,[2]quests!$1:$1,0)+1),MATCH(C$1,[2]quests!$1:$1,0)-MATCH($B$1,[2]quests!$1:$1,0)+1,FALSE)</f>
        <v>デルピュネー襲来！</v>
      </c>
      <c r="D23" s="64" t="str">
        <f ca="1">VLOOKUP($B23,OFFSET([2]quests!$A$1,0,0,COUNTA([2]quests!$A:$A),MATCH(D$1,[2]quests!$1:$1,0)-MATCH($B$1,[2]quests!$1:$1,0)+1),MATCH(D$1,[2]quests!$1:$1,0)-MATCH($B$1,[2]quests!$1:$1,0)+1,FALSE)</f>
        <v>降臨37</v>
      </c>
      <c r="E23" s="65">
        <v>2</v>
      </c>
      <c r="F23" s="6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23" s="64" t="str">
        <f ca="1">VLOOKUP($B23&amp;"_"&amp;$E23,OFFSET([2]stages!$A$1,0,0,COUNTA([2]stages!$A:$A),MATCH(G$1,[2]stages!$2:$2,0)-MATCH("temp_stage",[2]stages!$2:$2,0)+1),MATCH(G$1,[2]stages!$2:$2,0)-MATCH("temp_stage",[2]stages!$2:$2,0)+1,FALSE)</f>
        <v>降臨37</v>
      </c>
      <c r="H23" s="66">
        <v>0</v>
      </c>
      <c r="I23" s="71">
        <f t="shared" si="0"/>
        <v>22</v>
      </c>
      <c r="J23" s="67" t="str">
        <f t="shared" si="17"/>
        <v>4003722</v>
      </c>
      <c r="K23" s="65" t="s">
        <v>199</v>
      </c>
      <c r="L23" s="68" t="s">
        <v>297</v>
      </c>
      <c r="M23" s="151" t="s">
        <v>303</v>
      </c>
      <c r="N23" s="41" t="s">
        <v>201</v>
      </c>
      <c r="O23">
        <f t="shared" si="2"/>
        <v>46</v>
      </c>
    </row>
    <row r="24" spans="1:15" ht="42" x14ac:dyDescent="0.15">
      <c r="A24" s="62" t="s">
        <v>202</v>
      </c>
      <c r="B24" s="63">
        <f>floors!C$2</f>
        <v>40037</v>
      </c>
      <c r="C24" s="64" t="str">
        <f ca="1">VLOOKUP($B24,OFFSET([2]quests!$A$1,0,0,COUNTA([2]quests!$A:$A),MATCH(C$1,[2]quests!$1:$1,0)-MATCH($B$1,[2]quests!$1:$1,0)+1),MATCH(C$1,[2]quests!$1:$1,0)-MATCH($B$1,[2]quests!$1:$1,0)+1,FALSE)</f>
        <v>デルピュネー襲来！</v>
      </c>
      <c r="D24" s="64" t="str">
        <f ca="1">VLOOKUP($B24,OFFSET([2]quests!$A$1,0,0,COUNTA([2]quests!$A:$A),MATCH(D$1,[2]quests!$1:$1,0)-MATCH($B$1,[2]quests!$1:$1,0)+1),MATCH(D$1,[2]quests!$1:$1,0)-MATCH($B$1,[2]quests!$1:$1,0)+1,FALSE)</f>
        <v>降臨37</v>
      </c>
      <c r="E24" s="65">
        <v>2</v>
      </c>
      <c r="F24" s="6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24" s="64" t="str">
        <f ca="1">VLOOKUP($B24&amp;"_"&amp;$E24,OFFSET([2]stages!$A$1,0,0,COUNTA([2]stages!$A:$A),MATCH(G$1,[2]stages!$2:$2,0)-MATCH("temp_stage",[2]stages!$2:$2,0)+1),MATCH(G$1,[2]stages!$2:$2,0)-MATCH("temp_stage",[2]stages!$2:$2,0)+1,FALSE)</f>
        <v>降臨37</v>
      </c>
      <c r="H24" s="66">
        <v>0</v>
      </c>
      <c r="I24" s="71">
        <f t="shared" si="0"/>
        <v>23</v>
      </c>
      <c r="J24" s="67" t="str">
        <f t="shared" si="17"/>
        <v>4003723</v>
      </c>
      <c r="K24" s="65" t="s">
        <v>199</v>
      </c>
      <c r="L24" s="68" t="s">
        <v>298</v>
      </c>
      <c r="M24" s="151" t="s">
        <v>460</v>
      </c>
      <c r="N24" s="41" t="s">
        <v>201</v>
      </c>
      <c r="O24">
        <f t="shared" si="2"/>
        <v>48</v>
      </c>
    </row>
    <row r="25" spans="1:15" ht="42" x14ac:dyDescent="0.15">
      <c r="A25" s="62" t="s">
        <v>202</v>
      </c>
      <c r="B25" s="63">
        <f>floors!C$2</f>
        <v>40037</v>
      </c>
      <c r="C25" s="64" t="str">
        <f ca="1">VLOOKUP($B25,OFFSET([2]quests!$A$1,0,0,COUNTA([2]quests!$A:$A),MATCH(C$1,[2]quests!$1:$1,0)-MATCH($B$1,[2]quests!$1:$1,0)+1),MATCH(C$1,[2]quests!$1:$1,0)-MATCH($B$1,[2]quests!$1:$1,0)+1,FALSE)</f>
        <v>デルピュネー襲来！</v>
      </c>
      <c r="D25" s="64" t="str">
        <f ca="1">VLOOKUP($B25,OFFSET([2]quests!$A$1,0,0,COUNTA([2]quests!$A:$A),MATCH(D$1,[2]quests!$1:$1,0)-MATCH($B$1,[2]quests!$1:$1,0)+1),MATCH(D$1,[2]quests!$1:$1,0)-MATCH($B$1,[2]quests!$1:$1,0)+1,FALSE)</f>
        <v>降臨37</v>
      </c>
      <c r="E25" s="65">
        <v>2</v>
      </c>
      <c r="F25" s="6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25" s="64" t="str">
        <f ca="1">VLOOKUP($B25&amp;"_"&amp;$E25,OFFSET([2]stages!$A$1,0,0,COUNTA([2]stages!$A:$A),MATCH(G$1,[2]stages!$2:$2,0)-MATCH("temp_stage",[2]stages!$2:$2,0)+1),MATCH(G$1,[2]stages!$2:$2,0)-MATCH("temp_stage",[2]stages!$2:$2,0)+1,FALSE)</f>
        <v>降臨37</v>
      </c>
      <c r="H25" s="66">
        <v>0</v>
      </c>
      <c r="I25" s="71">
        <f t="shared" si="0"/>
        <v>24</v>
      </c>
      <c r="J25" s="67" t="str">
        <f t="shared" si="17"/>
        <v>4003724</v>
      </c>
      <c r="K25" s="65" t="s">
        <v>199</v>
      </c>
      <c r="L25" s="68" t="s">
        <v>299</v>
      </c>
      <c r="M25" s="151" t="s">
        <v>301</v>
      </c>
      <c r="N25" s="41" t="s">
        <v>201</v>
      </c>
      <c r="O25">
        <f t="shared" si="2"/>
        <v>55</v>
      </c>
    </row>
    <row r="26" spans="1:15" ht="42" x14ac:dyDescent="0.15">
      <c r="A26" s="62" t="s">
        <v>202</v>
      </c>
      <c r="B26" s="63">
        <f>floors!C$2</f>
        <v>40037</v>
      </c>
      <c r="C26" s="64" t="str">
        <f ca="1">VLOOKUP($B26,OFFSET([2]quests!$A$1,0,0,COUNTA([2]quests!$A:$A),MATCH(C$1,[2]quests!$1:$1,0)-MATCH($B$1,[2]quests!$1:$1,0)+1),MATCH(C$1,[2]quests!$1:$1,0)-MATCH($B$1,[2]quests!$1:$1,0)+1,FALSE)</f>
        <v>デルピュネー襲来！</v>
      </c>
      <c r="D26" s="64" t="str">
        <f ca="1">VLOOKUP($B26,OFFSET([2]quests!$A$1,0,0,COUNTA([2]quests!$A:$A),MATCH(D$1,[2]quests!$1:$1,0)-MATCH($B$1,[2]quests!$1:$1,0)+1),MATCH(D$1,[2]quests!$1:$1,0)-MATCH($B$1,[2]quests!$1:$1,0)+1,FALSE)</f>
        <v>降臨37</v>
      </c>
      <c r="E26" s="65">
        <v>2</v>
      </c>
      <c r="F26" s="64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26" s="64" t="str">
        <f ca="1">VLOOKUP($B26&amp;"_"&amp;$E26,OFFSET([2]stages!$A$1,0,0,COUNTA([2]stages!$A:$A),MATCH(G$1,[2]stages!$2:$2,0)-MATCH("temp_stage",[2]stages!$2:$2,0)+1),MATCH(G$1,[2]stages!$2:$2,0)-MATCH("temp_stage",[2]stages!$2:$2,0)+1,FALSE)</f>
        <v>降臨37</v>
      </c>
      <c r="H26" s="66">
        <v>0</v>
      </c>
      <c r="I26" s="71">
        <f t="shared" si="0"/>
        <v>25</v>
      </c>
      <c r="J26" s="67" t="str">
        <f t="shared" si="17"/>
        <v>4003725</v>
      </c>
      <c r="K26" s="65" t="s">
        <v>199</v>
      </c>
      <c r="L26" s="68" t="s">
        <v>300</v>
      </c>
      <c r="M26" s="151" t="s">
        <v>302</v>
      </c>
      <c r="N26" s="41" t="s">
        <v>201</v>
      </c>
      <c r="O26">
        <f t="shared" si="2"/>
        <v>51</v>
      </c>
    </row>
    <row r="27" spans="1:15" ht="42" x14ac:dyDescent="0.15">
      <c r="A27" s="62" t="s">
        <v>202</v>
      </c>
      <c r="B27" s="63">
        <f>floors!C$2</f>
        <v>40037</v>
      </c>
      <c r="C27" s="64" t="str">
        <f ca="1">VLOOKUP($B27,OFFSET([2]quests!$A$1,0,0,COUNTA([2]quests!$A:$A),MATCH(C$1,[2]quests!$1:$1,0)-MATCH($B$1,[2]quests!$1:$1,0)+1),MATCH(C$1,[2]quests!$1:$1,0)-MATCH($B$1,[2]quests!$1:$1,0)+1,FALSE)</f>
        <v>デルピュネー襲来！</v>
      </c>
      <c r="D27" s="64" t="str">
        <f ca="1">VLOOKUP($B27,OFFSET([2]quests!$A$1,0,0,COUNTA([2]quests!$A:$A),MATCH(D$1,[2]quests!$1:$1,0)-MATCH($B$1,[2]quests!$1:$1,0)+1),MATCH(D$1,[2]quests!$1:$1,0)-MATCH($B$1,[2]quests!$1:$1,0)+1,FALSE)</f>
        <v>降臨37</v>
      </c>
      <c r="E27" s="65">
        <v>2</v>
      </c>
      <c r="F27" s="64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27" s="64" t="str">
        <f ca="1">VLOOKUP($B27&amp;"_"&amp;$E27,OFFSET([2]stages!$A$1,0,0,COUNTA([2]stages!$A:$A),MATCH(G$1,[2]stages!$2:$2,0)-MATCH("temp_stage",[2]stages!$2:$2,0)+1),MATCH(G$1,[2]stages!$2:$2,0)-MATCH("temp_stage",[2]stages!$2:$2,0)+1,FALSE)</f>
        <v>降臨37</v>
      </c>
      <c r="H27" s="66">
        <v>0</v>
      </c>
      <c r="I27" s="71">
        <f t="shared" si="0"/>
        <v>26</v>
      </c>
      <c r="J27" s="67" t="str">
        <f t="shared" ref="J27" si="20">B27&amp;TEXT(I27,"00")</f>
        <v>4003726</v>
      </c>
      <c r="K27" s="65" t="s">
        <v>199</v>
      </c>
      <c r="L27" s="68" t="s">
        <v>304</v>
      </c>
      <c r="M27" s="151" t="s">
        <v>305</v>
      </c>
      <c r="N27" s="41" t="s">
        <v>201</v>
      </c>
      <c r="O27">
        <f t="shared" ref="O27" si="21">LEN(M27)</f>
        <v>59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6" sqref="A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75" t="s">
        <v>214</v>
      </c>
      <c r="B1" s="76" t="s">
        <v>215</v>
      </c>
      <c r="C1" s="58" t="s">
        <v>216</v>
      </c>
      <c r="D1" s="58" t="s">
        <v>33</v>
      </c>
      <c r="E1" s="76" t="s">
        <v>217</v>
      </c>
      <c r="F1" s="58" t="s">
        <v>218</v>
      </c>
      <c r="G1" s="58" t="s">
        <v>33</v>
      </c>
      <c r="H1" s="76" t="s">
        <v>219</v>
      </c>
      <c r="I1" s="76" t="s">
        <v>220</v>
      </c>
      <c r="J1" s="76" t="s">
        <v>221</v>
      </c>
      <c r="K1" s="54" t="s">
        <v>222</v>
      </c>
      <c r="L1" s="54" t="s">
        <v>223</v>
      </c>
      <c r="M1" s="54" t="s">
        <v>157</v>
      </c>
      <c r="N1" s="58" t="s">
        <v>16</v>
      </c>
      <c r="O1" s="54" t="s">
        <v>224</v>
      </c>
      <c r="P1" s="54" t="s">
        <v>57</v>
      </c>
      <c r="Q1" s="54" t="s">
        <v>225</v>
      </c>
      <c r="R1" s="54" t="s">
        <v>38</v>
      </c>
      <c r="S1" s="54" t="s">
        <v>40</v>
      </c>
      <c r="T1" s="54" t="s">
        <v>42</v>
      </c>
      <c r="U1" s="54" t="s">
        <v>44</v>
      </c>
      <c r="V1" s="54" t="s">
        <v>46</v>
      </c>
      <c r="W1" s="54" t="s">
        <v>226</v>
      </c>
      <c r="X1" s="54" t="s">
        <v>227</v>
      </c>
    </row>
    <row r="2" spans="1:24" x14ac:dyDescent="0.15">
      <c r="A2" s="77" t="str">
        <f>B2&amp;"_"&amp;E2&amp;"_"&amp;H2&amp;"_"&amp;I2&amp;"_"&amp;J2</f>
        <v>40037_2_everyone_full_member_1</v>
      </c>
      <c r="B2" s="63">
        <v>40037</v>
      </c>
      <c r="C2" s="64" t="str">
        <f ca="1">VLOOKUP($B2,OFFSET([2]quests!$A$1,0,0,COUNTA([2]quests!$A:$A),MATCH(C$1,[2]quests!$1:$1,0)-MATCH($B$1,[2]quests!$1:$1,0)+1),MATCH(C$1,[2]quests!$1:$1,0)-MATCH($B$1,[2]quests!$1:$1,0)+1,FALSE)</f>
        <v>デルピュネー襲来！</v>
      </c>
      <c r="D2" s="64" t="str">
        <f ca="1">VLOOKUP($B2,OFFSET([2]quests!$A$1,0,0,COUNTA([2]quests!$A:$A),MATCH(D$1,[2]quests!$1:$1,0)-MATCH($B$1,[2]quests!$1:$1,0)+1),MATCH(D$1,[2]quests!$1:$1,0)-MATCH($B$1,[2]quests!$1:$1,0)+1,FALSE)</f>
        <v>降臨37</v>
      </c>
      <c r="E2" s="65">
        <v>2</v>
      </c>
      <c r="F2" s="6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2" s="64" t="str">
        <f ca="1">VLOOKUP($B2&amp;"_"&amp;$E2,OFFSET([2]stages!$A$1,0,0,COUNTA([2]stages!$A:$A),MATCH(G$1,[2]stages!$2:$2,0)-MATCH("temp_stage",[2]stages!$2:$2,0)+1),MATCH(G$1,[2]stages!$2:$2,0)-MATCH("temp_stage",[2]stages!$2:$2,0)+1,FALSE)</f>
        <v>降臨37</v>
      </c>
      <c r="H2" s="66" t="s">
        <v>228</v>
      </c>
      <c r="I2" s="65" t="s">
        <v>268</v>
      </c>
      <c r="J2" s="65">
        <v>1</v>
      </c>
      <c r="K2" s="65">
        <v>1000</v>
      </c>
      <c r="L2" s="65" t="s">
        <v>229</v>
      </c>
      <c r="M2" s="65">
        <v>1204</v>
      </c>
      <c r="N2" s="7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デルピュネー</v>
      </c>
      <c r="O2" s="65">
        <v>1</v>
      </c>
      <c r="P2" s="65">
        <v>1</v>
      </c>
      <c r="Q2" s="65">
        <v>1</v>
      </c>
      <c r="R2" s="65">
        <v>0</v>
      </c>
      <c r="S2" s="65">
        <v>0</v>
      </c>
      <c r="T2" s="65">
        <v>0</v>
      </c>
      <c r="U2" s="65">
        <v>0</v>
      </c>
      <c r="V2" s="65">
        <v>1</v>
      </c>
      <c r="W2" s="79" t="s">
        <v>230</v>
      </c>
      <c r="X2" s="80" t="s">
        <v>231</v>
      </c>
    </row>
    <row r="3" spans="1:24" x14ac:dyDescent="0.15">
      <c r="A3" s="77" t="str">
        <f>B3&amp;"_"&amp;E3&amp;"_"&amp;H3&amp;"_"&amp;I3&amp;"_"&amp;J3</f>
        <v>40037_2_everyone_no_continue_1</v>
      </c>
      <c r="B3" s="63">
        <v>40037</v>
      </c>
      <c r="C3" s="64" t="str">
        <f ca="1">VLOOKUP($B3,OFFSET([2]quests!$A$1,0,0,COUNTA([2]quests!$A:$A),MATCH(C$1,[2]quests!$1:$1,0)-MATCH($B$1,[2]quests!$1:$1,0)+1),MATCH(C$1,[2]quests!$1:$1,0)-MATCH($B$1,[2]quests!$1:$1,0)+1,FALSE)</f>
        <v>デルピュネー襲来！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降臨37</v>
      </c>
      <c r="E3" s="65">
        <v>2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【ウィザード級】デルピュネー襲来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降臨37</v>
      </c>
      <c r="H3" s="66" t="s">
        <v>228</v>
      </c>
      <c r="I3" s="65" t="s">
        <v>232</v>
      </c>
      <c r="J3" s="65">
        <v>1</v>
      </c>
      <c r="K3" s="65">
        <v>1000</v>
      </c>
      <c r="L3" s="65" t="s">
        <v>229</v>
      </c>
      <c r="M3" s="65">
        <v>1204</v>
      </c>
      <c r="N3" s="7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デルピュネー</v>
      </c>
      <c r="O3" s="65">
        <v>1</v>
      </c>
      <c r="P3" s="65">
        <v>1</v>
      </c>
      <c r="Q3" s="65">
        <v>1</v>
      </c>
      <c r="R3" s="65">
        <v>0</v>
      </c>
      <c r="S3" s="65">
        <v>0</v>
      </c>
      <c r="T3" s="65">
        <v>0</v>
      </c>
      <c r="U3" s="65">
        <v>0</v>
      </c>
      <c r="V3" s="65">
        <v>1</v>
      </c>
      <c r="W3" s="79" t="s">
        <v>230</v>
      </c>
      <c r="X3" s="80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2017-04-25T07:57:36Z</dcterms:modified>
</cp:coreProperties>
</file>