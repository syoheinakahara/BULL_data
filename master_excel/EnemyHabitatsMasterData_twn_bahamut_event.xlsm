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huangfuhsiang/Desktop/BULL_data/master_excel/"/>
    </mc:Choice>
  </mc:AlternateContent>
  <bookViews>
    <workbookView xWindow="2140" yWindow="1020" windowWidth="25720" windowHeight="14940" tabRatio="804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" sheetId="19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_xlnm._FilterDatabase" localSheetId="7" hidden="1">stage_hints!$B$1:$L$2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9" l="1"/>
  <c r="N2" i="19"/>
  <c r="B3" i="19"/>
  <c r="G3" i="19"/>
  <c r="F3" i="19"/>
  <c r="D3" i="19"/>
  <c r="C3" i="19"/>
  <c r="A25" i="9"/>
  <c r="A26" i="9"/>
  <c r="A27" i="9"/>
  <c r="A28" i="9"/>
  <c r="A29" i="9"/>
  <c r="A19" i="9"/>
  <c r="A20" i="9"/>
  <c r="A21" i="9"/>
  <c r="A22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23" i="9"/>
  <c r="A24" i="9"/>
  <c r="K17" i="11"/>
  <c r="J17" i="11"/>
  <c r="K16" i="11"/>
  <c r="J16" i="11"/>
  <c r="K18" i="11"/>
  <c r="J18" i="11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21" i="9"/>
  <c r="N21" i="9"/>
  <c r="M21" i="9"/>
  <c r="L21" i="9"/>
  <c r="K21" i="9"/>
  <c r="J21" i="9"/>
  <c r="I21" i="9"/>
  <c r="H21" i="9"/>
  <c r="G21" i="9"/>
  <c r="E21" i="9"/>
  <c r="D21" i="9"/>
  <c r="K3" i="11"/>
  <c r="J3" i="11"/>
  <c r="K5" i="11"/>
  <c r="J4" i="11"/>
  <c r="O4" i="9"/>
  <c r="N4" i="9"/>
  <c r="M4" i="9"/>
  <c r="L4" i="9"/>
  <c r="K4" i="9"/>
  <c r="J4" i="9"/>
  <c r="I4" i="9"/>
  <c r="H4" i="9"/>
  <c r="G4" i="9"/>
  <c r="E4" i="9"/>
  <c r="D4" i="9"/>
  <c r="J5" i="11"/>
  <c r="O5" i="9"/>
  <c r="N5" i="9"/>
  <c r="M5" i="9"/>
  <c r="L5" i="9"/>
  <c r="K5" i="9"/>
  <c r="J5" i="9"/>
  <c r="I5" i="9"/>
  <c r="H5" i="9"/>
  <c r="G5" i="9"/>
  <c r="E5" i="9"/>
  <c r="D5" i="9"/>
  <c r="J23" i="11"/>
  <c r="O26" i="9"/>
  <c r="N26" i="9"/>
  <c r="M26" i="9"/>
  <c r="L26" i="9"/>
  <c r="K26" i="9"/>
  <c r="J26" i="9"/>
  <c r="I26" i="9"/>
  <c r="H26" i="9"/>
  <c r="G26" i="9"/>
  <c r="E26" i="9"/>
  <c r="D26" i="9"/>
  <c r="K26" i="11"/>
  <c r="J26" i="11"/>
  <c r="O29" i="9"/>
  <c r="N29" i="9"/>
  <c r="M29" i="9"/>
  <c r="L29" i="9"/>
  <c r="K29" i="9"/>
  <c r="J29" i="9"/>
  <c r="I29" i="9"/>
  <c r="H29" i="9"/>
  <c r="G29" i="9"/>
  <c r="E29" i="9"/>
  <c r="D29" i="9"/>
  <c r="J25" i="11"/>
  <c r="J12" i="11"/>
  <c r="O16" i="9"/>
  <c r="N16" i="9"/>
  <c r="M16" i="9"/>
  <c r="L16" i="9"/>
  <c r="K16" i="9"/>
  <c r="J16" i="9"/>
  <c r="I16" i="9"/>
  <c r="H16" i="9"/>
  <c r="G16" i="9"/>
  <c r="E16" i="9"/>
  <c r="D16" i="9"/>
  <c r="K12" i="11"/>
  <c r="K4" i="11"/>
  <c r="K6" i="11"/>
  <c r="K7" i="11"/>
  <c r="K8" i="11"/>
  <c r="K9" i="11"/>
  <c r="K10" i="11"/>
  <c r="K11" i="11"/>
  <c r="K13" i="11"/>
  <c r="K14" i="11"/>
  <c r="K15" i="11"/>
  <c r="K19" i="11"/>
  <c r="K20" i="11"/>
  <c r="K21" i="11"/>
  <c r="K22" i="11"/>
  <c r="K23" i="11"/>
  <c r="K24" i="11"/>
  <c r="K25" i="11"/>
  <c r="K2" i="11"/>
  <c r="J24" i="11"/>
  <c r="J22" i="11"/>
  <c r="J21" i="11"/>
  <c r="J20" i="11"/>
  <c r="J19" i="11"/>
  <c r="J15" i="11"/>
  <c r="J14" i="11"/>
  <c r="J13" i="11"/>
  <c r="J11" i="11"/>
  <c r="J10" i="11"/>
  <c r="J9" i="11"/>
  <c r="J8" i="11"/>
  <c r="J7" i="11"/>
  <c r="J6" i="11"/>
  <c r="O12" i="9"/>
  <c r="N12" i="9"/>
  <c r="M12" i="9"/>
  <c r="L12" i="9"/>
  <c r="K12" i="9"/>
  <c r="J12" i="9"/>
  <c r="I12" i="9"/>
  <c r="H12" i="9"/>
  <c r="G12" i="9"/>
  <c r="E12" i="9"/>
  <c r="D12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J17" i="9"/>
  <c r="I17" i="9"/>
  <c r="H17" i="9"/>
  <c r="G17" i="9"/>
  <c r="E17" i="9"/>
  <c r="D17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J2" i="11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3" i="9"/>
  <c r="N3" i="9"/>
  <c r="M3" i="9"/>
  <c r="L3" i="9"/>
  <c r="K3" i="9"/>
  <c r="J3" i="9"/>
  <c r="I3" i="9"/>
  <c r="H3" i="9"/>
  <c r="G3" i="9"/>
  <c r="E3" i="9"/>
  <c r="D3" i="9"/>
  <c r="E2" i="9"/>
  <c r="W5" i="7"/>
  <c r="W4" i="7"/>
  <c r="W3" i="7"/>
  <c r="W2" i="7"/>
  <c r="Y5" i="7"/>
  <c r="R5" i="7"/>
  <c r="Q5" i="7"/>
  <c r="P5" i="7"/>
  <c r="O5" i="7"/>
  <c r="N5" i="7"/>
  <c r="H5" i="7"/>
  <c r="G2" i="2"/>
  <c r="A2" i="2"/>
  <c r="G3" i="2"/>
  <c r="A3" i="2"/>
  <c r="G4" i="2"/>
  <c r="A4" i="2"/>
  <c r="J5" i="7"/>
  <c r="I5" i="7"/>
  <c r="D5" i="7"/>
  <c r="F5" i="7"/>
  <c r="E5" i="7"/>
  <c r="A5" i="7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C6" i="1"/>
  <c r="AC7" i="1"/>
  <c r="AC8" i="1"/>
  <c r="AC9" i="1"/>
  <c r="AD9" i="1"/>
  <c r="AG9" i="1"/>
  <c r="AE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G8" i="1"/>
  <c r="AE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G7" i="1"/>
  <c r="AE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D6" i="1"/>
  <c r="AG6" i="1"/>
  <c r="AE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V2" i="1"/>
  <c r="H4" i="2"/>
  <c r="E4" i="2"/>
  <c r="D4" i="2"/>
  <c r="H2" i="1"/>
  <c r="B4" i="2"/>
  <c r="H3" i="2"/>
  <c r="E3" i="2"/>
  <c r="D3" i="2"/>
  <c r="B3" i="2"/>
  <c r="C11" i="16"/>
  <c r="E11" i="16"/>
  <c r="C10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2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<sst xmlns="http://schemas.openxmlformats.org/spreadsheetml/2006/main" count="515" uniqueCount="283">
  <si>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</si>
  <si>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</si>
  <si>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</si>
  <si>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</si>
  <si>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</si>
  <si>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</si>
  <si>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</si>
  <si>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</si>
  <si>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</si>
  <si>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</si>
  <si>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</si>
  <si>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</si>
  <si>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</si>
  <si>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</si>
  <si>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</si>
  <si>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</si>
  <si>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</si>
  <si>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</si>
  <si>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</si>
  <si>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</si>
  <si>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</si>
  <si>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</si>
  <si>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</si>
  <si>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</si>
  <si>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</si>
  <si>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</si>
  <si>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</si>
  <si>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</si>
  <si>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</si>
  <si>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</si>
  <si>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</si>
  <si>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</si>
  <si>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</si>
  <si>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</si>
  <si>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</si>
  <si>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</si>
  <si>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</si>
  <si>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</si>
  <si>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</si>
  <si>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</si>
  <si>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</si>
  <si>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</si>
  <si>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</si>
  <si>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</si>
  <si>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</si>
  <si>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</si>
  <si>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</si>
  <si>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</si>
  <si>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</si>
  <si>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</si>
  <si>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</si>
  <si>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</si>
  <si>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</si>
  <si>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</si>
  <si>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</si>
  <si>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</si>
  <si>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</si>
  <si>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</si>
  <si>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</si>
  <si>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</si>
  <si>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</si>
  <si>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</si>
  <si>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</si>
  <si>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</si>
  <si>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</si>
  <si>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</si>
  <si>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</si>
  <si>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</si>
  <si>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</si>
  <si>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</si>
  <si>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</si>
  <si>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</si>
  <si>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</si>
  <si>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</si>
  <si>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</si>
  <si>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</si>
  <si>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</si>
  <si>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</si>
  <si>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</si>
  <si>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</si>
  <si>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</si>
  <si>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</si>
  <si>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</si>
  <si>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</si>
  <si>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</si>
  <si>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</si>
  <si>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</si>
  <si>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</si>
  <si>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</si>
  <si>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</si>
  <si>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</si>
  <si>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</si>
  <si>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</si>
  <si>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</si>
  <si>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</si>
  <si>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</si>
  <si>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</si>
  <si>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</si>
  <si>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</si>
  <si>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</si>
  <si>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</si>
  <si>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</si>
  <si>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</si>
  <si>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</si>
  <si>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</si>
  <si>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</si>
  <si>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</si>
  <si>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</si>
  <si>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</si>
  <si>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</si>
  <si>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</si>
  <si>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</si>
  <si>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</si>
  <si>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</si>
  <si>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</si>
  <si>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</si>
  <si>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</si>
  <si>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</si>
  <si>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</si>
  <si>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</si>
  <si>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</si>
  <si>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</si>
  <si>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</si>
  <si>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</si>
  <si>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</si>
  <si>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</si>
  <si>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</si>
  <si>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</si>
  <si>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</si>
  <si>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</si>
  <si>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</si>
  <si>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</si>
  <si>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</si>
  <si>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</si>
  <si>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</si>
  <si>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</si>
  <si>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</si>
  <si>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</si>
  <si>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</si>
  <si>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</si>
  <si>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</si>
  <si>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</si>
  <si>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</si>
  <si>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</si>
  <si>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</si>
  <si>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</si>
  <si>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</si>
  <si>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</si>
  <si>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</si>
  <si>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</si>
  <si>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</si>
  <si>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</si>
  <si>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</si>
  <si>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</si>
  <si>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</si>
  <si>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</si>
  <si>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</si>
  <si>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</si>
  <si>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</si>
  <si>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</si>
  <si>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</si>
  <si>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</si>
  <si>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</si>
  <si>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</si>
  <si>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</si>
  <si>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</si>
  <si>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hint_id</t>
    <phoneticPr fontId="5"/>
  </si>
  <si>
    <t>filename</t>
    <phoneticPr fontId="5"/>
  </si>
  <si>
    <t>ja</t>
    <phoneticPr fontId="5"/>
  </si>
  <si>
    <t>complete</t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</si>
  <si>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</si>
  <si>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</si>
  <si>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</si>
  <si>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</si>
  <si>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</si>
  <si>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</si>
  <si>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NULL</t>
    <phoneticPr fontId="5"/>
  </si>
  <si>
    <t>stage_hints</t>
    <phoneticPr fontId="5"/>
  </si>
  <si>
    <t>stage_hints_data_</t>
    <phoneticPr fontId="5"/>
  </si>
  <si>
    <t>old</t>
    <phoneticPr fontId="5"/>
  </si>
  <si>
    <t>[effect:nothing]</t>
    <phoneticPr fontId="5"/>
  </si>
  <si>
    <t>null</t>
    <phoneticPr fontId="5"/>
  </si>
  <si>
    <t>１２３４５６７８９０１２３４５６７８９０</t>
    <phoneticPr fontId="5"/>
  </si>
  <si>
    <t>ミリオンダックが あらわれた！</t>
  </si>
  <si>
    <t>でも、タダじゃつかまらないグヮ</t>
  </si>
  <si>
    <t>逃げるミリオンダックを 追いかけよう！</t>
    <rPh sb="0" eb="1">
      <t>ニ</t>
    </rPh>
    <rPh sb="12" eb="13">
      <t>オ</t>
    </rPh>
    <phoneticPr fontId="1"/>
  </si>
  <si>
    <t>ALICEの世界は お祭り騒ぎだ！</t>
  </si>
  <si>
    <t>ミリオンダックは
俺のもんだぜ！</t>
    <rPh sb="9" eb="10">
      <t>オレ</t>
    </rPh>
    <phoneticPr fontId="1"/>
  </si>
  <si>
    <t>ミリオンダックは
いただきニャ！</t>
  </si>
  <si>
    <t>みんなが ミリオンダックを 狙っている！</t>
    <rPh sb="14" eb="15">
      <t>ネラ</t>
    </rPh>
    <phoneticPr fontId="1"/>
  </si>
  <si>
    <t>ミリオンダックは
渡さないニャ！</t>
    <rPh sb="9" eb="10">
      <t>ワタ</t>
    </rPh>
    <phoneticPr fontId="1"/>
  </si>
  <si>
    <t>ここまでおいで グヮ！</t>
  </si>
  <si>
    <t>浮かれるな…家畜ども！</t>
    <rPh sb="0" eb="1">
      <t>ウ</t>
    </rPh>
    <rPh sb="6" eb="8">
      <t>カチク</t>
    </rPh>
    <phoneticPr fontId="1"/>
  </si>
  <si>
    <t>こざかしい力、封じてやったわ</t>
    <rPh sb="5" eb="6">
      <t>チカラ</t>
    </rPh>
    <rPh sb="7" eb="8">
      <t>フウ</t>
    </rPh>
    <phoneticPr fontId="1"/>
  </si>
  <si>
    <t>ハッキングで あらゆる機能が狂っている！</t>
  </si>
  <si>
    <t>グリフォンたちに 号令をかけた！</t>
    <rPh sb="9" eb="11">
      <t>ゴウレイ</t>
    </rPh>
    <phoneticPr fontId="1"/>
  </si>
  <si>
    <t>家畜が…目障りだ！</t>
    <rPh sb="0" eb="2">
      <t>カチク</t>
    </rPh>
    <rPh sb="4" eb="6">
      <t>メザワ</t>
    </rPh>
    <phoneticPr fontId="1"/>
  </si>
  <si>
    <t>ミリオンダックは 深手を負った！</t>
    <rPh sb="9" eb="11">
      <t>フカデ</t>
    </rPh>
    <rPh sb="12" eb="13">
      <t>オ</t>
    </rPh>
    <phoneticPr fontId="1"/>
  </si>
  <si>
    <t>くっ…家畜ごときに 不覚を取るとは…</t>
    <rPh sb="3" eb="5">
      <t>カチク</t>
    </rPh>
    <rPh sb="10" eb="12">
      <t>フカク</t>
    </rPh>
    <rPh sb="13" eb="14">
      <t>ト</t>
    </rPh>
    <phoneticPr fontId="1"/>
  </si>
  <si>
    <t>アザゼルを倒す 絶好のチャンスだ！</t>
    <rPh sb="5" eb="6">
      <t>タオ</t>
    </rPh>
    <rPh sb="8" eb="10">
      <t>ゼッコウ</t>
    </rPh>
    <phoneticPr fontId="1"/>
  </si>
  <si>
    <t>次のターン 必殺の大ダメージ攻撃！</t>
    <rPh sb="0" eb="1">
      <t>ツギ</t>
    </rPh>
    <rPh sb="6" eb="8">
      <t>ヒッサツ</t>
    </rPh>
    <rPh sb="9" eb="10">
      <t>ダイ</t>
    </rPh>
    <rPh sb="14" eb="16">
      <t>コウゲキ</t>
    </rPh>
    <phoneticPr fontId="1"/>
  </si>
  <si>
    <t>クェーッ！？</t>
  </si>
  <si>
    <t>何者かが グリフォンを吹き飛ばした！</t>
    <rPh sb="0" eb="2">
      <t>ナニモノ</t>
    </rPh>
    <rPh sb="11" eb="12">
      <t>フ</t>
    </rPh>
    <rPh sb="13" eb="14">
      <t>ト</t>
    </rPh>
    <phoneticPr fontId="1"/>
  </si>
  <si>
    <t>大丈夫グヮ！？</t>
    <rPh sb="0" eb="3">
      <t>ダイジョウブ</t>
    </rPh>
    <phoneticPr fontId="1"/>
  </si>
  <si>
    <t>ミリオンダックが 助けに来た！</t>
    <rPh sb="9" eb="10">
      <t>タス</t>
    </rPh>
    <rPh sb="12" eb="13">
      <t>キ</t>
    </rPh>
    <phoneticPr fontId="1"/>
  </si>
  <si>
    <t>攻撃力が 元に戻った！</t>
    <rPh sb="0" eb="3">
      <t>コウゲキリョク</t>
    </rPh>
    <rPh sb="5" eb="6">
      <t>モト</t>
    </rPh>
    <rPh sb="7" eb="8">
      <t>モド</t>
    </rPh>
    <phoneticPr fontId="1"/>
  </si>
  <si>
    <t>あの世で 悔いるがいい！</t>
    <rPh sb="2" eb="3">
      <t>ヨ</t>
    </rPh>
    <rPh sb="5" eb="6">
      <t>ク</t>
    </rPh>
    <phoneticPr fontId="1"/>
  </si>
  <si>
    <t>痛恨の一撃！</t>
    <rPh sb="0" eb="2">
      <t>ツウコン</t>
    </rPh>
    <rPh sb="3" eb="5">
      <t>イチゲキ</t>
    </rPh>
    <phoneticPr fontId="5"/>
  </si>
  <si>
    <t>49が死んだ時</t>
    <rPh sb="3" eb="4">
      <t>シ</t>
    </rPh>
    <rPh sb="6" eb="7">
      <t>トキ</t>
    </rPh>
    <phoneticPr fontId="5"/>
  </si>
  <si>
    <t>13が死んだ時</t>
    <rPh sb="3" eb="4">
      <t>シ</t>
    </rPh>
    <rPh sb="6" eb="7">
      <t>トキ</t>
    </rPh>
    <phoneticPr fontId="5"/>
  </si>
  <si>
    <t>開幕</t>
    <rPh sb="0" eb="2">
      <t>カイマク</t>
    </rPh>
    <phoneticPr fontId="5"/>
  </si>
  <si>
    <t>何度でも</t>
    <rPh sb="0" eb="2">
      <t>ナンド</t>
    </rPh>
    <phoneticPr fontId="5"/>
  </si>
  <si>
    <t>初回のみ</t>
    <rPh sb="0" eb="2">
      <t>ショカイ</t>
    </rPh>
    <phoneticPr fontId="5"/>
  </si>
  <si>
    <t>1回のみ</t>
    <rPh sb="1" eb="2">
      <t>カイ</t>
    </rPh>
    <phoneticPr fontId="5"/>
  </si>
  <si>
    <t>備考</t>
    <rPh sb="0" eb="2">
      <t>ビコウ</t>
    </rPh>
    <phoneticPr fontId="5"/>
  </si>
  <si>
    <t>備考</t>
    <rPh sb="0" eb="2">
      <t>ビコウ</t>
    </rPh>
    <phoneticPr fontId="5"/>
  </si>
  <si>
    <t>null</t>
    <phoneticPr fontId="5"/>
  </si>
  <si>
    <t>null</t>
    <phoneticPr fontId="5"/>
  </si>
  <si>
    <t>[effect:fix_speed, target:myself, turn:1][effect:fix_speed, target:enemy_exp, turn:2]</t>
    <phoneticPr fontId="5"/>
  </si>
  <si>
    <t>[effect:suicide, val:1, dead_type:escape, target:myself][effect:suicide, val:1, dead_type:suicide, target:enemy_animal]</t>
    <phoneticPr fontId="5"/>
  </si>
  <si>
    <t>[effect:suicide, val:1, dead_type:escape, target:myself][effect:suicide, val:1, dead_type:suicide, target:enemy_human]</t>
    <phoneticPr fontId="5"/>
  </si>
  <si>
    <t>ライバルユニットを 先に倒そう！</t>
    <rPh sb="10" eb="11">
      <t>サキ</t>
    </rPh>
    <rPh sb="12" eb="13">
      <t>タオ</t>
    </rPh>
    <phoneticPr fontId="1"/>
  </si>
  <si>
    <t>左右のユニットを タップして狙おう！</t>
    <rPh sb="0" eb="2">
      <t>サユウ</t>
    </rPh>
    <rPh sb="14" eb="15">
      <t>ネラ</t>
    </rPh>
    <phoneticPr fontId="1"/>
  </si>
  <si>
    <t>かわりに、その玉で遊ぶがいい</t>
    <rPh sb="7" eb="8">
      <t>タマ</t>
    </rPh>
    <rPh sb="9" eb="10">
      <t>アソ</t>
    </rPh>
    <phoneticPr fontId="1"/>
  </si>
  <si>
    <t>時限式ダメージパネルが カウントダウン！</t>
    <rPh sb="0" eb="3">
      <t>ジゲンシキ</t>
    </rPh>
    <phoneticPr fontId="5"/>
  </si>
  <si>
    <t>null</t>
    <phoneticPr fontId="5"/>
  </si>
  <si>
    <t>[effect:suicide, val:1, dead_type:suicide, target:enemy_unknown]</t>
    <phoneticPr fontId="5"/>
  </si>
  <si>
    <t>[effect:enhance_enemy, target:enemy_unknown, turn:-1, status:attack, val:1, calc:mul, animation:enemy_enhance_attack][effect:fix_speed, target:myself, turn:2]</t>
    <phoneticPr fontId="5"/>
  </si>
  <si>
    <t>[effect:suicide, val:1, dead_type:escape, target:enemy_all][effect:hungup, target:unit_all, turn:-1, rate:1]</t>
    <phoneticPr fontId="5"/>
  </si>
  <si>
    <t>[effect:fix_speed, target:myself, turn:1][effect:degrade_crash, target:unit_all, count:50, special:50, turn:-1]</t>
    <phoneticPr fontId="5"/>
  </si>
  <si>
    <t>null</t>
    <phoneticPr fontId="5"/>
  </si>
  <si>
    <t>null</t>
    <phoneticPr fontId="5"/>
  </si>
  <si>
    <t>[effect:fix_speed, target:myself, turn:3]</t>
    <phoneticPr fontId="5"/>
  </si>
  <si>
    <t>[effect:heal, target:enemy_exp, val:1, animation:enemy_heal][effect:fix_speed, target:myself, turn:3]</t>
    <phoneticPr fontId="5"/>
  </si>
  <si>
    <t>[effect:fix_speed, target:myself, turn:3]</t>
    <phoneticPr fontId="5"/>
  </si>
  <si>
    <t>[effect:heal, target:enemy_exp, val:1, animation:enemy_heal][effect:fix_speed, target:myself, turn:3]</t>
    <phoneticPr fontId="5"/>
  </si>
  <si>
    <t>[effect:fix_speed, target:myself, turn:1]</t>
    <phoneticPr fontId="5"/>
  </si>
  <si>
    <t>[effect:fix_speed, target:myself, turn:3]</t>
    <phoneticPr fontId="5"/>
  </si>
  <si>
    <t>ミリオンダックは力尽き 消えていった…</t>
    <rPh sb="8" eb="10">
      <t>チカラツ</t>
    </rPh>
    <rPh sb="12" eb="13">
      <t>キ</t>
    </rPh>
    <phoneticPr fontId="1"/>
  </si>
  <si>
    <t>これで
攻撃できるグヮ！</t>
    <rPh sb="4" eb="6">
      <t>コウゲキ</t>
    </rPh>
    <phoneticPr fontId="1"/>
  </si>
  <si>
    <t>ハッキングを
解除するグヮ！</t>
    <rPh sb="7" eb="9">
      <t>カイジョ</t>
    </rPh>
    <phoneticPr fontId="1"/>
  </si>
  <si>
    <t>[effect:suicide, val:1, dead_type:suicide, target:enemy_all]</t>
    <phoneticPr fontId="5"/>
  </si>
  <si>
    <t>ミリオンダックは 最後の力を振り絞った…</t>
    <rPh sb="9" eb="11">
      <t>サイゴ</t>
    </rPh>
    <rPh sb="12" eb="13">
      <t>チカラ</t>
    </rPh>
    <rPh sb="14" eb="15">
      <t>フ</t>
    </rPh>
    <rPh sb="16" eb="17">
      <t>シボ</t>
    </rPh>
    <phoneticPr fontId="1"/>
  </si>
  <si>
    <t>ミリオンダックは ゴソゴソしている</t>
    <phoneticPr fontId="1"/>
  </si>
  <si>
    <t>[effect:nothing]</t>
    <phoneticPr fontId="5"/>
  </si>
  <si>
    <t>これも みんなのおかげだグヮ</t>
    <phoneticPr fontId="1"/>
  </si>
  <si>
    <t>ミリオンダックは 感謝している</t>
    <rPh sb="9" eb="11">
      <t>カンシャ</t>
    </rPh>
    <phoneticPr fontId="5"/>
  </si>
  <si>
    <t>[effect:suicide, val:0.99, dead_type:suicide, target:enemy_unknown]</t>
    <phoneticPr fontId="5"/>
  </si>
  <si>
    <t>HP50%以上で、1回のみ</t>
    <rPh sb="5" eb="7">
      <t>イジョウ</t>
    </rPh>
    <rPh sb="10" eb="11">
      <t>カイ</t>
    </rPh>
    <phoneticPr fontId="5"/>
  </si>
  <si>
    <t>…味方を 手にかけるとは…</t>
    <rPh sb="1" eb="3">
      <t>ミカタ</t>
    </rPh>
    <rPh sb="5" eb="6">
      <t>テ</t>
    </rPh>
    <phoneticPr fontId="1"/>
  </si>
  <si>
    <t>イテテ！ これも みんなのおかげだグヮ</t>
    <phoneticPr fontId="1"/>
  </si>
  <si>
    <t>null</t>
    <phoneticPr fontId="5"/>
  </si>
  <si>
    <t>つかまえたいなら
ライバルを減らすグヮ</t>
    <rPh sb="14" eb="15">
      <t>ヘ</t>
    </rPh>
    <phoneticPr fontId="1"/>
  </si>
  <si>
    <t>[effect:spread, val:999.9]</t>
    <phoneticPr fontId="5"/>
  </si>
  <si>
    <t>ハートの女王の手先
アザゼルが襲来した！</t>
    <rPh sb="4" eb="6">
      <t>ジョオウ</t>
    </rPh>
    <rPh sb="7" eb="9">
      <t>テサキ</t>
    </rPh>
    <rPh sb="15" eb="17">
      <t>シュウライ</t>
    </rPh>
    <phoneticPr fontId="1"/>
  </si>
  <si>
    <t>[effect:fix_speed, target:myself, turn:1][effect:fix_speed, target:enemy_unknown, turn:4][effect:degrade_unit, target:unit_all, turn:-1, status:attack, val:1, calc:mul][effect:force_change_block, new_block:block_blue, target:block_all, color:block_blue, count:0, val:0.0][effect:dis_panel, target:block_blue, turn:5][effect:dis_panel, target:block_heart, turn:4][effect:change_block, new_block:time_bomb, target:block_all, color:block_green, count:5, val:0.15][effect:change_panel_ratio, block_type:green, turn:3, val:0.0][effect:degrade_fever, val:1000.0]</t>
    <phoneticPr fontId="5"/>
  </si>
  <si>
    <t>ALICEの平和…
頼んだグヮ…</t>
    <rPh sb="6" eb="8">
      <t>ヘイワ</t>
    </rPh>
    <rPh sb="10" eb="11">
      <t>タノ</t>
    </rPh>
    <phoneticPr fontId="1"/>
  </si>
  <si>
    <t>skip</t>
    <phoneticPr fontId="5"/>
  </si>
  <si>
    <t>failure</t>
  </si>
  <si>
    <t>ミリオンダックは 大事な仲間</t>
    <rPh sb="9" eb="11">
      <t>ダイジ</t>
    </rPh>
    <rPh sb="12" eb="14">
      <t>ナカマ</t>
    </rPh>
    <phoneticPr fontId="5"/>
  </si>
  <si>
    <t>ミリオンダックと 協力しましょう
敵ユニットをタップすれば
ミリオンダックを攻撃せずに
敵にダメージを与えることができます</t>
    <rPh sb="9" eb="11">
      <t>キョウリョク</t>
    </rPh>
    <rPh sb="18" eb="19">
      <t>テキ</t>
    </rPh>
    <rPh sb="39" eb="41">
      <t>コウゲキ</t>
    </rPh>
    <rPh sb="45" eb="46">
      <t>テキ</t>
    </rPh>
    <rPh sb="52" eb="53">
      <t>アタ</t>
    </rPh>
    <phoneticPr fontId="5"/>
  </si>
  <si>
    <t>感謝のカタチ</t>
    <rPh sb="0" eb="2">
      <t>カンシャ</t>
    </rPh>
    <phoneticPr fontId="5"/>
  </si>
  <si>
    <t>…何をする気だ？</t>
    <rPh sb="1" eb="2">
      <t>ナニ</t>
    </rPh>
    <rPh sb="5" eb="6">
      <t>キ</t>
    </rPh>
    <phoneticPr fontId="1"/>
  </si>
  <si>
    <t>200万ダウンロード
うれしいぜ！</t>
    <rPh sb="3" eb="4">
      <t>マン</t>
    </rPh>
    <phoneticPr fontId="1"/>
  </si>
  <si>
    <t>[effect:fix_speed, target:myself, turn:2][effect:enhance_enemy, target:myself, turn:-1, status:attack, val:1, calc:mul, animation:enemy_enhance_attack][effect:heal, target:myself, val:1, animation:enemy_heal][effect:degrade_unit, target:unit_all, turn:-1, status:attack, val:1, calc:mul]</t>
    <phoneticPr fontId="5"/>
  </si>
  <si>
    <t>HP50%以下で、1回のみ</t>
    <rPh sb="5" eb="7">
      <t>イカ</t>
    </rPh>
    <rPh sb="10" eb="11">
      <t>カイ</t>
    </rPh>
    <phoneticPr fontId="5"/>
  </si>
  <si>
    <t>HP50%以下で、何度でも</t>
    <rPh sb="5" eb="7">
      <t>イカ</t>
    </rPh>
    <rPh sb="9" eb="11">
      <t>ナンド</t>
    </rPh>
    <phoneticPr fontId="5"/>
  </si>
  <si>
    <t>null</t>
    <phoneticPr fontId="5"/>
  </si>
  <si>
    <t>かかれ！我が下僕たちよ！</t>
    <rPh sb="4" eb="5">
      <t>ワ</t>
    </rPh>
    <rPh sb="6" eb="8">
      <t>シモベ</t>
    </rPh>
    <phoneticPr fontId="1"/>
  </si>
  <si>
    <t>200万ダウンロード ありがとうグヮッ！</t>
    <rPh sb="3" eb="4">
      <t>マン</t>
    </rPh>
    <phoneticPr fontId="1"/>
  </si>
  <si>
    <t>痛がりながらも 感謝している</t>
    <rPh sb="0" eb="1">
      <t>イタ</t>
    </rPh>
    <rPh sb="8" eb="10">
      <t>カンシャ</t>
    </rPh>
    <phoneticPr fontId="5"/>
  </si>
  <si>
    <t>[effect:enhance_unit, target:unit_all, turn:-1, status:attack, val:1, calc:mul, animation:enhance_unit_all_attack02][effect:heal, target:myself, val:0.4][effect:fix_speed, target:myself, turn:2]</t>
    <phoneticPr fontId="5"/>
  </si>
  <si>
    <t>ALICEに嬉しいことが起こると
姿を現す ミリオンダック
全てのクラファーに感謝を伝えるため
常に全力を尽くしています</t>
    <rPh sb="6" eb="7">
      <t>ウレ</t>
    </rPh>
    <rPh sb="12" eb="13">
      <t>オ</t>
    </rPh>
    <rPh sb="17" eb="18">
      <t>スガタ</t>
    </rPh>
    <rPh sb="19" eb="20">
      <t>アラワ</t>
    </rPh>
    <rPh sb="31" eb="32">
      <t>スベ</t>
    </rPh>
    <rPh sb="40" eb="42">
      <t>カンシャ</t>
    </rPh>
    <rPh sb="43" eb="44">
      <t>ツタ</t>
    </rPh>
    <rPh sb="49" eb="50">
      <t>ツネ</t>
    </rPh>
    <rPh sb="51" eb="53">
      <t>ゼンリョク</t>
    </rPh>
    <rPh sb="54" eb="55">
      <t>ツ</t>
    </rPh>
    <phoneticPr fontId="5"/>
  </si>
  <si>
    <t>[effect:change_attribute, target:myself, color:red, turn:-1][effect:suicide, val:0.8, dead_type:suicide, target:enemy_all][effect:force_change_block, new_block:block_heart, target:block_all, color:block_heart, count:0, val:0.0][effect:fix_speed, target:myself, turn:1]</t>
    <phoneticPr fontId="5"/>
  </si>
  <si>
    <t>[effect:change_attribute, target:myself, color:green, turn:-1][effect:suicide, val:0.8, dead_type:suicide, target:enemy_all][effect:force_change_block, new_block:block_heart, target:block_all, color:block_heart, count:0, val:0.0][effect:fix_speed, target:myself, turn:1]</t>
    <phoneticPr fontId="5"/>
  </si>
  <si>
    <t>[effect:change_attribute, target:myself, color:blue, turn:-1][effect:suicide, val:0.8, dead_type:suicide, target:enemy_all][effect:force_change_block, new_block:block_heart, target:block_all, color:block_heart, count:0, val:0.0][effect:fix_speed, target:myself, turn:1]</t>
    <phoneticPr fontId="5"/>
  </si>
  <si>
    <t>アザゼルをタップして 狙おう！</t>
    <rPh sb="11" eb="12">
      <t>ネラ</t>
    </rPh>
    <phoneticPr fontId="1"/>
  </si>
  <si>
    <t>[effect:change_attribute, target:myself, color:yellow, turn:-1][effect:suicide, val:0.8, dead_type:suicide, target:enemy_all][effect:force_change_block, new_block:block_heart, target:block_all, color:block_heart, count:0, val:0.0][effect:fix_speed, target:myself, turn:1]</t>
    <phoneticPr fontId="5"/>
  </si>
  <si>
    <t>8095が死んだ時</t>
    <rPh sb="5" eb="6">
      <t>シ</t>
    </rPh>
    <rPh sb="8" eb="9">
      <t>トキ</t>
    </rPh>
    <phoneticPr fontId="5"/>
  </si>
  <si>
    <t>8096が死んだ時</t>
    <rPh sb="5" eb="6">
      <t>シ</t>
    </rPh>
    <rPh sb="8" eb="9">
      <t>トキ</t>
    </rPh>
    <phoneticPr fontId="5"/>
  </si>
  <si>
    <t>8097が死んだ時</t>
    <rPh sb="5" eb="6">
      <t>シ</t>
    </rPh>
    <rPh sb="8" eb="9">
      <t>トキ</t>
    </rPh>
    <phoneticPr fontId="5"/>
  </si>
  <si>
    <t>8098が死んだ時</t>
    <rPh sb="5" eb="6">
      <t>シ</t>
    </rPh>
    <rPh sb="8" eb="9">
      <t>トキ</t>
    </rPh>
    <phoneticPr fontId="5"/>
  </si>
  <si>
    <t>381が死んだ時</t>
    <rPh sb="4" eb="5">
      <t>シ</t>
    </rPh>
    <rPh sb="7" eb="8">
      <t>トキ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</si>
</sst>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8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4" borderId="12" applyNumberFormat="0" applyAlignment="0" applyProtection="0"/>
    <xf numFmtId="0" fontId="33" fillId="15" borderId="0" applyNumberFormat="0" applyBorder="0" applyAlignment="0" applyProtection="0"/>
    <xf numFmtId="0" fontId="34" fillId="16" borderId="13" applyNumberFormat="0" applyAlignment="0" applyProtection="0"/>
    <xf numFmtId="0" fontId="35" fillId="0" borderId="0" applyNumberFormat="0" applyFill="0" applyBorder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6" borderId="0" applyNumberFormat="0" applyBorder="0" applyAlignment="0" applyProtection="0"/>
    <xf numFmtId="0" fontId="42" fillId="15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2" fillId="21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2" borderId="0" applyNumberFormat="0" applyBorder="0" applyAlignment="0" applyProtection="0"/>
    <xf numFmtId="0" fontId="42" fillId="1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9" borderId="0" applyNumberFormat="0" applyBorder="0" applyAlignment="0" applyProtection="0"/>
    <xf numFmtId="0" fontId="43" fillId="16" borderId="0" applyNumberFormat="0" applyBorder="0" applyAlignment="0" applyProtection="0"/>
    <xf numFmtId="0" fontId="43" fillId="23" borderId="0" applyNumberFormat="0" applyBorder="0" applyAlignment="0" applyProtection="0"/>
    <xf numFmtId="0" fontId="43" fillId="15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19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4" fillId="26" borderId="0" applyNumberFormat="0" applyBorder="0" applyAlignment="0" applyProtection="0"/>
    <xf numFmtId="0" fontId="33" fillId="15" borderId="0" applyNumberFormat="0" applyBorder="0" applyAlignment="0" applyProtection="0"/>
    <xf numFmtId="0" fontId="45" fillId="0" borderId="18" applyNumberFormat="0" applyFill="0" applyAlignment="0" applyProtection="0"/>
    <xf numFmtId="0" fontId="46" fillId="16" borderId="19" applyNumberFormat="0" applyAlignment="0" applyProtection="0"/>
    <xf numFmtId="0" fontId="46" fillId="27" borderId="19" applyNumberFormat="0" applyAlignment="0" applyProtection="0"/>
    <xf numFmtId="0" fontId="34" fillId="15" borderId="13" applyNumberFormat="0" applyAlignment="0" applyProtection="0"/>
    <xf numFmtId="0" fontId="47" fillId="0" borderId="20" applyNumberFormat="0" applyFill="0" applyAlignment="0" applyProtection="0"/>
    <xf numFmtId="0" fontId="48" fillId="27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27" fillId="0" borderId="7" xfId="0" applyFont="1" applyFill="1" applyBorder="1"/>
    <xf numFmtId="0" fontId="28" fillId="0" borderId="7" xfId="0" applyFont="1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13" borderId="7" xfId="0" applyFont="1" applyFill="1" applyBorder="1" applyAlignment="1">
      <alignment horizontal="center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56" fontId="16" fillId="28" borderId="7" xfId="0" applyNumberFormat="1" applyFont="1" applyFill="1" applyBorder="1" applyAlignment="1">
      <alignment horizontal="center"/>
    </xf>
    <xf numFmtId="0" fontId="16" fillId="28" borderId="7" xfId="11" applyFont="1" applyFill="1" applyBorder="1" applyAlignment="1">
      <alignment horizontal="left"/>
    </xf>
    <xf numFmtId="0" fontId="16" fillId="28" borderId="7" xfId="0" applyFont="1" applyFill="1" applyBorder="1" applyAlignment="1">
      <alignment horizontal="center"/>
    </xf>
    <xf numFmtId="0" fontId="2" fillId="28" borderId="7" xfId="615" applyFill="1" applyBorder="1"/>
    <xf numFmtId="0" fontId="0" fillId="28" borderId="7" xfId="615" applyFont="1" applyFill="1" applyBorder="1"/>
    <xf numFmtId="0" fontId="0" fillId="28" borderId="7" xfId="0" applyFill="1" applyBorder="1"/>
    <xf numFmtId="0" fontId="2" fillId="3" borderId="7" xfId="615" applyFill="1" applyBorder="1"/>
    <xf numFmtId="0" fontId="4" fillId="13" borderId="1" xfId="0" applyFont="1" applyFill="1" applyBorder="1" applyAlignment="1">
      <alignment vertical="center"/>
    </xf>
    <xf numFmtId="49" fontId="0" fillId="0" borderId="0" xfId="0" applyNumberFormat="1"/>
    <xf numFmtId="38" fontId="16" fillId="0" borderId="7" xfId="628" applyFont="1" applyFill="1" applyBorder="1" applyAlignment="1">
      <alignment wrapText="1"/>
    </xf>
    <xf numFmtId="0" fontId="16" fillId="6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</cellXfs>
  <cellStyles count="108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赤字強調" xfId="431"/>
    <cellStyle name="青字強調" xfId="4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48009</v>
          </cell>
        </row>
        <row r="231">
          <cell r="A231">
            <v>48010</v>
          </cell>
        </row>
        <row r="232">
          <cell r="A232">
            <v>48501</v>
          </cell>
        </row>
        <row r="233">
          <cell r="A233">
            <v>41001</v>
          </cell>
        </row>
        <row r="234">
          <cell r="A234">
            <v>41002</v>
          </cell>
        </row>
        <row r="235">
          <cell r="A235">
            <v>41003</v>
          </cell>
        </row>
        <row r="236">
          <cell r="A236">
            <v>41004</v>
          </cell>
        </row>
        <row r="237">
          <cell r="A237">
            <v>41005</v>
          </cell>
        </row>
        <row r="238">
          <cell r="A238">
            <v>41006</v>
          </cell>
        </row>
        <row r="239">
          <cell r="A239">
            <v>41007</v>
          </cell>
        </row>
        <row r="240">
          <cell r="A240">
            <v>41008</v>
          </cell>
        </row>
        <row r="241">
          <cell r="A241">
            <v>41009</v>
          </cell>
        </row>
        <row r="242">
          <cell r="A242">
            <v>41010</v>
          </cell>
        </row>
        <row r="243">
          <cell r="A243">
            <v>41011</v>
          </cell>
        </row>
        <row r="244">
          <cell r="A244">
            <v>41012</v>
          </cell>
        </row>
        <row r="245">
          <cell r="A245">
            <v>41013</v>
          </cell>
        </row>
        <row r="246">
          <cell r="A246">
            <v>41014</v>
          </cell>
        </row>
        <row r="247">
          <cell r="A247">
            <v>41015</v>
          </cell>
        </row>
        <row r="248">
          <cell r="A248">
            <v>47001</v>
          </cell>
        </row>
        <row r="249">
          <cell r="A249">
            <v>47002</v>
          </cell>
        </row>
        <row r="250">
          <cell r="A250">
            <v>47003</v>
          </cell>
        </row>
        <row r="251">
          <cell r="A251">
            <v>47004</v>
          </cell>
        </row>
        <row r="252">
          <cell r="A252">
            <v>47005</v>
          </cell>
        </row>
        <row r="253">
          <cell r="A253">
            <v>49001</v>
          </cell>
        </row>
        <row r="254">
          <cell r="A254">
            <v>49002</v>
          </cell>
        </row>
        <row r="255">
          <cell r="A255">
            <v>49003</v>
          </cell>
        </row>
        <row r="256">
          <cell r="A256">
            <v>49004</v>
          </cell>
        </row>
        <row r="257">
          <cell r="A257">
            <v>49005</v>
          </cell>
        </row>
        <row r="258">
          <cell r="A258">
            <v>49006</v>
          </cell>
        </row>
        <row r="259">
          <cell r="A259">
            <v>49007</v>
          </cell>
        </row>
        <row r="260">
          <cell r="A260">
            <v>49008</v>
          </cell>
        </row>
        <row r="261">
          <cell r="A261">
            <v>49009</v>
          </cell>
        </row>
        <row r="262">
          <cell r="A262">
            <v>49010</v>
          </cell>
        </row>
        <row r="263">
          <cell r="A263">
            <v>49011</v>
          </cell>
        </row>
        <row r="264">
          <cell r="A264">
            <v>50001</v>
          </cell>
        </row>
        <row r="265">
          <cell r="A265">
            <v>50002</v>
          </cell>
        </row>
        <row r="266">
          <cell r="A266">
            <v>50003</v>
          </cell>
        </row>
        <row r="267">
          <cell r="A267">
            <v>50004</v>
          </cell>
        </row>
        <row r="268">
          <cell r="A268">
            <v>50005</v>
          </cell>
        </row>
        <row r="269">
          <cell r="A269">
            <v>50006</v>
          </cell>
        </row>
        <row r="270">
          <cell r="A270">
            <v>50007</v>
          </cell>
        </row>
        <row r="271">
          <cell r="A271">
            <v>50008</v>
          </cell>
        </row>
        <row r="272">
          <cell r="A272">
            <v>50009</v>
          </cell>
        </row>
        <row r="273">
          <cell r="A273">
            <v>50010</v>
          </cell>
        </row>
        <row r="274">
          <cell r="A274">
            <v>50011</v>
          </cell>
        </row>
        <row r="275">
          <cell r="A275">
            <v>51001</v>
          </cell>
        </row>
        <row r="276">
          <cell r="A276">
            <v>51002</v>
          </cell>
        </row>
        <row r="277">
          <cell r="A277">
            <v>59001</v>
          </cell>
        </row>
        <row r="278">
          <cell r="A278">
            <v>60001</v>
          </cell>
        </row>
        <row r="279">
          <cell r="A279">
            <v>60002</v>
          </cell>
        </row>
        <row r="280">
          <cell r="A280">
            <v>60003</v>
          </cell>
        </row>
        <row r="281">
          <cell r="A281">
            <v>60004</v>
          </cell>
        </row>
        <row r="282">
          <cell r="A282">
            <v>60005</v>
          </cell>
        </row>
        <row r="283">
          <cell r="A283">
            <v>60006</v>
          </cell>
        </row>
        <row r="284">
          <cell r="A284">
            <v>60007</v>
          </cell>
        </row>
        <row r="285">
          <cell r="A285">
            <v>60010</v>
          </cell>
        </row>
        <row r="286">
          <cell r="A286">
            <v>60011</v>
          </cell>
        </row>
        <row r="287">
          <cell r="A287">
            <v>61011</v>
          </cell>
        </row>
        <row r="288">
          <cell r="A288">
            <v>60012</v>
          </cell>
        </row>
        <row r="289">
          <cell r="A289">
            <v>60013</v>
          </cell>
        </row>
        <row r="290">
          <cell r="A290">
            <v>60014</v>
          </cell>
        </row>
        <row r="291">
          <cell r="A291">
            <v>60015</v>
          </cell>
        </row>
        <row r="292">
          <cell r="A292">
            <v>60016</v>
          </cell>
        </row>
        <row r="293">
          <cell r="A293">
            <v>60017</v>
          </cell>
        </row>
        <row r="294">
          <cell r="A294">
            <v>60018</v>
          </cell>
        </row>
        <row r="295">
          <cell r="A295">
            <v>60019</v>
          </cell>
        </row>
        <row r="296">
          <cell r="A296">
            <v>60020</v>
          </cell>
        </row>
        <row r="297">
          <cell r="A297">
            <v>60025</v>
          </cell>
        </row>
        <row r="298">
          <cell r="A298">
            <v>65525</v>
          </cell>
        </row>
        <row r="299">
          <cell r="A299">
            <v>65526</v>
          </cell>
        </row>
        <row r="300">
          <cell r="A300">
            <v>65527</v>
          </cell>
        </row>
        <row r="301">
          <cell r="A301">
            <v>65531</v>
          </cell>
        </row>
        <row r="302">
          <cell r="A302">
            <v>65532</v>
          </cell>
        </row>
        <row r="303">
          <cell r="A303">
            <v>65533</v>
          </cell>
        </row>
        <row r="304">
          <cell r="A304">
            <v>65534</v>
          </cell>
        </row>
        <row r="305">
          <cell r="A305">
            <v>65535</v>
          </cell>
        </row>
        <row r="306">
          <cell r="A306">
            <v>60021</v>
          </cell>
        </row>
        <row r="307">
          <cell r="A307">
            <v>60022</v>
          </cell>
        </row>
        <row r="308">
          <cell r="A308">
            <v>60023</v>
          </cell>
        </row>
        <row r="309">
          <cell r="A30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47005_1</v>
          </cell>
        </row>
        <row r="796">
          <cell r="A796" t="str">
            <v>48001_1</v>
          </cell>
        </row>
        <row r="797">
          <cell r="A797" t="str">
            <v>48002_1</v>
          </cell>
        </row>
        <row r="798">
          <cell r="A798" t="str">
            <v>48002_2</v>
          </cell>
        </row>
        <row r="799">
          <cell r="A799" t="str">
            <v>48002_3</v>
          </cell>
        </row>
        <row r="800">
          <cell r="A800" t="str">
            <v>48003_1</v>
          </cell>
        </row>
        <row r="801">
          <cell r="A801" t="str">
            <v>48003_2</v>
          </cell>
        </row>
        <row r="802">
          <cell r="A802" t="str">
            <v>48003_3</v>
          </cell>
        </row>
        <row r="803">
          <cell r="A803" t="str">
            <v>48004_1</v>
          </cell>
        </row>
        <row r="804">
          <cell r="A804" t="str">
            <v>48004_2</v>
          </cell>
        </row>
        <row r="805">
          <cell r="A805" t="str">
            <v>48005_1</v>
          </cell>
        </row>
        <row r="806">
          <cell r="A806" t="str">
            <v>48005_2</v>
          </cell>
        </row>
        <row r="807">
          <cell r="A807" t="str">
            <v>48006_1</v>
          </cell>
        </row>
        <row r="808">
          <cell r="A808" t="str">
            <v>48006_2</v>
          </cell>
        </row>
        <row r="809">
          <cell r="A809" t="str">
            <v>48007_1</v>
          </cell>
        </row>
        <row r="810">
          <cell r="A810" t="str">
            <v>48007_2</v>
          </cell>
        </row>
        <row r="811">
          <cell r="A811" t="str">
            <v>48008_1</v>
          </cell>
        </row>
        <row r="812">
          <cell r="A812" t="str">
            <v>48008_2</v>
          </cell>
        </row>
        <row r="813">
          <cell r="A813" t="str">
            <v>48009_1</v>
          </cell>
        </row>
        <row r="814">
          <cell r="A814" t="str">
            <v>48009_2</v>
          </cell>
        </row>
        <row r="815">
          <cell r="A815" t="str">
            <v>48010_1</v>
          </cell>
        </row>
        <row r="816">
          <cell r="A816" t="str">
            <v>48501_1</v>
          </cell>
        </row>
        <row r="817">
          <cell r="A817" t="str">
            <v>48501_2</v>
          </cell>
        </row>
        <row r="818">
          <cell r="A818" t="str">
            <v>49001_1</v>
          </cell>
        </row>
        <row r="819">
          <cell r="A819" t="str">
            <v>49002_1</v>
          </cell>
        </row>
        <row r="820">
          <cell r="A820" t="str">
            <v>49002_2</v>
          </cell>
        </row>
        <row r="821">
          <cell r="A821" t="str">
            <v>49003_1</v>
          </cell>
        </row>
        <row r="822">
          <cell r="A822" t="str">
            <v>49003_2</v>
          </cell>
        </row>
        <row r="823">
          <cell r="A823" t="str">
            <v>49004_1</v>
          </cell>
        </row>
        <row r="824">
          <cell r="A824" t="str">
            <v>49004_2</v>
          </cell>
        </row>
        <row r="825">
          <cell r="A825" t="str">
            <v>49004_3</v>
          </cell>
        </row>
        <row r="826">
          <cell r="A826" t="str">
            <v>49005_1</v>
          </cell>
        </row>
        <row r="827">
          <cell r="A827" t="str">
            <v>49006_1</v>
          </cell>
        </row>
        <row r="828">
          <cell r="A828" t="str">
            <v>49006_2</v>
          </cell>
        </row>
        <row r="829">
          <cell r="A829" t="str">
            <v>49007_1</v>
          </cell>
        </row>
        <row r="830">
          <cell r="A830" t="str">
            <v>49007_2</v>
          </cell>
        </row>
        <row r="831">
          <cell r="A831" t="str">
            <v>49007_3</v>
          </cell>
        </row>
        <row r="832">
          <cell r="A832" t="str">
            <v>49008_1</v>
          </cell>
        </row>
        <row r="833">
          <cell r="A833" t="str">
            <v>49009_1</v>
          </cell>
        </row>
        <row r="834">
          <cell r="A834" t="str">
            <v>49010_1</v>
          </cell>
        </row>
        <row r="835">
          <cell r="A835" t="str">
            <v>49011_1</v>
          </cell>
        </row>
        <row r="836">
          <cell r="A836" t="str">
            <v>50001_1</v>
          </cell>
        </row>
        <row r="837">
          <cell r="A837" t="str">
            <v>50002_1</v>
          </cell>
        </row>
        <row r="838">
          <cell r="A838" t="str">
            <v>50003_1</v>
          </cell>
        </row>
        <row r="839">
          <cell r="A839" t="str">
            <v>50004_1</v>
          </cell>
        </row>
        <row r="840">
          <cell r="A840" t="str">
            <v>50005_1</v>
          </cell>
        </row>
        <row r="841">
          <cell r="A841" t="str">
            <v>50006_1</v>
          </cell>
        </row>
        <row r="842">
          <cell r="A842" t="str">
            <v>50007_1</v>
          </cell>
        </row>
        <row r="843">
          <cell r="A843" t="str">
            <v>50008_1</v>
          </cell>
        </row>
        <row r="844">
          <cell r="A844" t="str">
            <v>50009_1</v>
          </cell>
        </row>
        <row r="845">
          <cell r="A845" t="str">
            <v>50010_1</v>
          </cell>
        </row>
        <row r="846">
          <cell r="A846" t="str">
            <v>50011_1</v>
          </cell>
        </row>
        <row r="847">
          <cell r="A847" t="str">
            <v>51001_1</v>
          </cell>
        </row>
        <row r="848">
          <cell r="A848" t="str">
            <v>51002_1</v>
          </cell>
        </row>
        <row r="849">
          <cell r="A849" t="str">
            <v>59001_1</v>
          </cell>
        </row>
        <row r="850">
          <cell r="A850" t="str">
            <v>60001_1</v>
          </cell>
        </row>
        <row r="851">
          <cell r="A851" t="str">
            <v>60002_1</v>
          </cell>
        </row>
        <row r="852">
          <cell r="A852" t="str">
            <v>60002_2</v>
          </cell>
        </row>
        <row r="853">
          <cell r="A853" t="str">
            <v>60003_1</v>
          </cell>
        </row>
        <row r="854">
          <cell r="A854" t="str">
            <v>60003_2</v>
          </cell>
        </row>
        <row r="855">
          <cell r="A855" t="str">
            <v>60003_3</v>
          </cell>
        </row>
        <row r="856">
          <cell r="A856" t="str">
            <v>60004_1</v>
          </cell>
        </row>
        <row r="857">
          <cell r="A857" t="str">
            <v>60005_1</v>
          </cell>
        </row>
        <row r="858">
          <cell r="A858" t="str">
            <v>60006_1</v>
          </cell>
        </row>
        <row r="859">
          <cell r="A859" t="str">
            <v>60006_2</v>
          </cell>
        </row>
        <row r="860">
          <cell r="A860" t="str">
            <v>60006_3</v>
          </cell>
        </row>
        <row r="861">
          <cell r="A861" t="str">
            <v>60007_1</v>
          </cell>
        </row>
        <row r="862">
          <cell r="A862" t="str">
            <v>60007_2</v>
          </cell>
        </row>
        <row r="863">
          <cell r="A863" t="str">
            <v>60007_3</v>
          </cell>
        </row>
        <row r="864">
          <cell r="A864" t="str">
            <v>60010_1</v>
          </cell>
        </row>
        <row r="865">
          <cell r="A865" t="str">
            <v>60011_1</v>
          </cell>
        </row>
        <row r="866">
          <cell r="A866" t="str">
            <v>60011_2</v>
          </cell>
        </row>
        <row r="867">
          <cell r="A867" t="str">
            <v>60012_1</v>
          </cell>
        </row>
        <row r="868">
          <cell r="A868" t="str">
            <v>60013_1</v>
          </cell>
        </row>
        <row r="869">
          <cell r="A869" t="str">
            <v>60013_2</v>
          </cell>
        </row>
        <row r="870">
          <cell r="A870" t="str">
            <v>60013_3</v>
          </cell>
        </row>
        <row r="871">
          <cell r="A871" t="str">
            <v>60014_1</v>
          </cell>
        </row>
        <row r="872">
          <cell r="A872" t="str">
            <v>60015_1</v>
          </cell>
        </row>
        <row r="873">
          <cell r="A873" t="str">
            <v>60016_1</v>
          </cell>
        </row>
        <row r="874">
          <cell r="A874" t="str">
            <v>60017_1</v>
          </cell>
        </row>
        <row r="875">
          <cell r="A875" t="str">
            <v>60018_1</v>
          </cell>
        </row>
        <row r="876">
          <cell r="A876" t="str">
            <v>60019_1</v>
          </cell>
        </row>
        <row r="877">
          <cell r="A877" t="str">
            <v>60020_1</v>
          </cell>
        </row>
        <row r="878">
          <cell r="A878" t="str">
            <v>60021_3</v>
          </cell>
        </row>
        <row r="879">
          <cell r="A879" t="str">
            <v>60022_3</v>
          </cell>
        </row>
        <row r="880">
          <cell r="A880" t="str">
            <v>60023_3</v>
          </cell>
        </row>
        <row r="881">
          <cell r="A881" t="str">
            <v>60024_3</v>
          </cell>
        </row>
        <row r="882">
          <cell r="A882" t="str">
            <v>60025_1</v>
          </cell>
        </row>
        <row r="883">
          <cell r="A883" t="str">
            <v>61011_1</v>
          </cell>
        </row>
        <row r="884">
          <cell r="A884" t="str">
            <v>65525_1</v>
          </cell>
        </row>
        <row r="885">
          <cell r="A885" t="str">
            <v>65526_1</v>
          </cell>
        </row>
        <row r="886">
          <cell r="A886" t="str">
            <v>65527_1</v>
          </cell>
        </row>
        <row r="887">
          <cell r="A887" t="str">
            <v>65531_1</v>
          </cell>
        </row>
        <row r="888">
          <cell r="A888" t="str">
            <v>65532_1</v>
          </cell>
        </row>
        <row r="889">
          <cell r="A889" t="str">
            <v>65533_1</v>
          </cell>
        </row>
        <row r="890">
          <cell r="A890" t="str">
            <v>65533_2</v>
          </cell>
        </row>
        <row r="891">
          <cell r="A891" t="str">
            <v>65534_1</v>
          </cell>
        </row>
        <row r="892">
          <cell r="A892" t="str">
            <v>65535_1</v>
          </cell>
        </row>
        <row r="893">
          <cell r="A893" t="str">
            <v>65535_2</v>
          </cell>
        </row>
        <row r="894">
          <cell r="A894" t="str">
            <v>65535_3</v>
          </cell>
        </row>
        <row r="895">
          <cell r="A895" t="str">
            <v>65535_4</v>
          </cell>
        </row>
        <row r="896">
          <cell r="A896" t="str">
            <v>65535_5</v>
          </cell>
        </row>
        <row r="897">
          <cell r="A897" t="str">
            <v>65535_6</v>
          </cell>
        </row>
        <row r="898">
          <cell r="A898" t="str">
            <v>65535_7</v>
          </cell>
        </row>
        <row r="899">
          <cell r="A899" t="str">
            <v>65535_8</v>
          </cell>
        </row>
        <row r="900">
          <cell r="A900" t="str">
            <v>65535_9</v>
          </cell>
        </row>
        <row r="901">
          <cell r="A9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  <row r="1402">
          <cell r="A1402">
            <v>8095</v>
          </cell>
        </row>
        <row r="1403">
          <cell r="A1403">
            <v>8096</v>
          </cell>
        </row>
        <row r="1404">
          <cell r="A1404">
            <v>8097</v>
          </cell>
        </row>
        <row r="1405">
          <cell r="A1405">
            <v>8098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E15" sqref="E15"/>
    </sheetView>
  </sheetViews>
  <sheetFormatPr baseColWidth="12" defaultRowHeight="15" x14ac:dyDescent="0.15"/>
  <cols>
    <col min="2" max="2" width="18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179</v>
      </c>
      <c r="B2" s="56" t="s">
        <v>106</v>
      </c>
      <c r="C2" s="62">
        <v>48010</v>
      </c>
      <c r="D2" s="56" t="s">
        <v>107</v>
      </c>
      <c r="E2" s="68" t="str">
        <f>B2&amp;C2&amp;D2</f>
        <v>floors_48010.tmp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179</v>
      </c>
      <c r="B3" s="56" t="s">
        <v>109</v>
      </c>
      <c r="C3" s="68">
        <f>C$2</f>
        <v>48010</v>
      </c>
      <c r="D3" s="56" t="s">
        <v>107</v>
      </c>
      <c r="E3" s="68" t="str">
        <f>B3&amp;C3&amp;D3</f>
        <v>enemy_habitats_48010.tmp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151</v>
      </c>
    </row>
    <row r="4" spans="1:30" x14ac:dyDescent="0.15">
      <c r="A4" s="60" t="s">
        <v>179</v>
      </c>
      <c r="B4" s="56" t="s">
        <v>111</v>
      </c>
      <c r="C4" s="68">
        <f t="shared" ref="C4:C11" si="0">C$2</f>
        <v>48010</v>
      </c>
      <c r="D4" s="56" t="s">
        <v>107</v>
      </c>
      <c r="E4" s="68" t="str">
        <f>B4&amp;C4&amp;D4</f>
        <v>enemy_habitat_S_48010.tmp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179</v>
      </c>
      <c r="B5" s="56" t="s">
        <v>113</v>
      </c>
      <c r="C5" s="68">
        <f t="shared" si="0"/>
        <v>48010</v>
      </c>
      <c r="D5" s="56" t="s">
        <v>107</v>
      </c>
      <c r="E5" s="68" t="str">
        <f>B5&amp;C5&amp;D5</f>
        <v>enemy_skill_sets_48010.tmp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179</v>
      </c>
      <c r="B6" s="56" t="s">
        <v>115</v>
      </c>
      <c r="C6" s="68">
        <f t="shared" si="0"/>
        <v>48010</v>
      </c>
      <c r="D6" s="56" t="s">
        <v>116</v>
      </c>
      <c r="E6" s="68" t="str">
        <f t="shared" ref="E6:E10" si="1">B6&amp;C6&amp;D6</f>
        <v>enemy_skills_tmp_48010.tmp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179</v>
      </c>
      <c r="B7" s="56" t="s">
        <v>117</v>
      </c>
      <c r="C7" s="68">
        <f t="shared" si="0"/>
        <v>48010</v>
      </c>
      <c r="D7" s="56" t="s">
        <v>107</v>
      </c>
      <c r="E7" s="68" t="str">
        <f>B7&amp;C7&amp;D7</f>
        <v>enemy_skills_i18n_48010.tmp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179</v>
      </c>
      <c r="B8" s="56" t="s">
        <v>119</v>
      </c>
      <c r="C8" s="68">
        <f t="shared" si="0"/>
        <v>48010</v>
      </c>
      <c r="D8" s="56" t="s">
        <v>120</v>
      </c>
      <c r="E8" s="68" t="str">
        <f t="shared" si="1"/>
        <v>enemy_skill_triggers_48010.tmp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257</v>
      </c>
      <c r="B9" s="65" t="s">
        <v>150</v>
      </c>
      <c r="C9" s="68">
        <f t="shared" si="0"/>
        <v>48010</v>
      </c>
      <c r="D9" s="65" t="s">
        <v>144</v>
      </c>
      <c r="E9" s="88" t="str">
        <f t="shared" si="1"/>
        <v>stage_bug_bonuses_48010.tmp</v>
      </c>
      <c r="F9" s="65" t="s">
        <v>145</v>
      </c>
      <c r="G9" s="63" t="s">
        <v>131</v>
      </c>
      <c r="H9" s="63" t="s">
        <v>146</v>
      </c>
      <c r="I9" s="63" t="s">
        <v>147</v>
      </c>
      <c r="J9" s="64" t="s">
        <v>148</v>
      </c>
      <c r="K9" s="63" t="s">
        <v>149</v>
      </c>
      <c r="L9" s="63" t="s">
        <v>132</v>
      </c>
      <c r="M9" s="63" t="s">
        <v>133</v>
      </c>
      <c r="N9" s="63" t="s">
        <v>134</v>
      </c>
      <c r="O9" s="63" t="s">
        <v>135</v>
      </c>
      <c r="P9" s="63" t="s">
        <v>136</v>
      </c>
      <c r="Q9" s="63" t="s">
        <v>137</v>
      </c>
      <c r="R9" s="63" t="s">
        <v>138</v>
      </c>
      <c r="S9" s="63" t="s">
        <v>139</v>
      </c>
      <c r="T9" s="63" t="s">
        <v>140</v>
      </c>
      <c r="U9" s="63" t="s">
        <v>141</v>
      </c>
      <c r="V9" s="63" t="s">
        <v>142</v>
      </c>
      <c r="W9" s="63" t="s">
        <v>143</v>
      </c>
    </row>
    <row r="10" spans="1:30" s="71" customFormat="1" x14ac:dyDescent="0.15">
      <c r="A10" s="60" t="s">
        <v>179</v>
      </c>
      <c r="B10" s="65" t="s">
        <v>178</v>
      </c>
      <c r="C10" s="68">
        <f>C$2</f>
        <v>48010</v>
      </c>
      <c r="D10" s="65" t="s">
        <v>153</v>
      </c>
      <c r="E10" s="88" t="str">
        <f t="shared" si="1"/>
        <v>stage_hints_data_48010.tmp</v>
      </c>
      <c r="F10" s="65" t="s">
        <v>177</v>
      </c>
      <c r="G10" s="69" t="s">
        <v>154</v>
      </c>
      <c r="H10" s="69" t="s">
        <v>146</v>
      </c>
      <c r="I10" s="70" t="s">
        <v>155</v>
      </c>
      <c r="J10" s="64" t="s">
        <v>156</v>
      </c>
      <c r="K10" s="64" t="s">
        <v>157</v>
      </c>
    </row>
    <row r="11" spans="1:30" s="71" customFormat="1" x14ac:dyDescent="0.15">
      <c r="A11" s="60" t="s">
        <v>179</v>
      </c>
      <c r="B11" s="65" t="s">
        <v>170</v>
      </c>
      <c r="C11" s="68">
        <f t="shared" si="0"/>
        <v>48010</v>
      </c>
      <c r="D11" s="65" t="s">
        <v>144</v>
      </c>
      <c r="E11" s="88" t="str">
        <f t="shared" ref="E11" si="2">B11&amp;C11&amp;D11</f>
        <v>stage_hints_i18n_48010.tmp</v>
      </c>
      <c r="F11" s="65" t="s">
        <v>177</v>
      </c>
      <c r="G11" s="82" t="s">
        <v>171</v>
      </c>
      <c r="H11" s="83" t="s">
        <v>172</v>
      </c>
      <c r="I11" s="84" t="s">
        <v>173</v>
      </c>
      <c r="J11" s="85" t="s">
        <v>174</v>
      </c>
      <c r="K11" s="86" t="s">
        <v>175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D7" sqref="D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21.33203125" style="3" bestFit="1" customWidth="1" outlineLevel="1"/>
    <col min="6" max="6" width="6.83203125" style="3" bestFit="1" customWidth="1"/>
    <col min="7" max="7" width="9.1640625" style="19" bestFit="1" customWidth="1" outlineLevel="1"/>
    <col min="8" max="8" width="22.83203125" style="3" bestFit="1" customWidth="1" outlineLevel="1"/>
    <col min="9" max="9" width="6.164062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48010_1-1</v>
      </c>
      <c r="B2" s="16" t="str">
        <f>IF(COUNTIF(enemy_habitats!$H:$H,A2),"OK","NG")</f>
        <v>OK</v>
      </c>
      <c r="C2" s="7">
        <v>48010</v>
      </c>
      <c r="D2" s="11" t="str">
        <f ca="1">VLOOKUP($C2,OFFSET([2]quests!$A$1,0,0,COUNTA([2]quests!$A:$A),MATCH(D$1,[2]quests!$1:$1,0)-MATCH($C$1,[2]quests!$1:$1,0)+1),MATCH(D$1,[2]quests!$1:$1,0)-MATCH($C$1,[2]quests!$1:$1,0)+1,FALSE)</f>
        <v>バハムートダックより祝福を</v>
      </c>
      <c r="E2" s="18" t="str">
        <f ca="1">VLOOKUP($C2,OFFSET([2]quests!$A$1,0,0,COUNTA([2]quests!$A:$A),MATCH(E$1,[2]quests!$1:$1,0)-MATCH($C$1,[2]quests!$1:$1,0)+1),MATCH(E$1,[2]quests!$1:$1,0)-MATCH($C$1,[2]quests!$1:$1,0)+1,FALSE)</f>
        <v>台湾バハムート記念限定クエスト</v>
      </c>
      <c r="F2" s="21">
        <v>1</v>
      </c>
      <c r="G2" s="23" t="str">
        <f>C2&amp;"_"&amp;F2</f>
        <v>48010_1</v>
      </c>
      <c r="H2" s="15" t="str">
        <f ca="1">VLOOKUP($G2,OFFSET([2]stages!$A$1,0,0,COUNTA([2]stages!$A:$A),MATCH(H$1,[2]stages!$2:$2,0)-MATCH($G$1,[2]stages!$2:$2,0)+1),MATCH(H$1,[2]stages!$2:$2,0)-MATCH($G$1,[2]stages!$2:$2,0)+1,FALSE)</f>
        <v>バハムートダックより祝福を</v>
      </c>
      <c r="I2" s="21">
        <v>1</v>
      </c>
      <c r="J2" s="12">
        <v>20</v>
      </c>
      <c r="K2" s="12">
        <v>20</v>
      </c>
    </row>
    <row r="3" spans="1:11" ht="21" customHeight="1" x14ac:dyDescent="0.15">
      <c r="A3" s="16" t="str">
        <f>G3&amp;"-"&amp;I3</f>
        <v>48010_1-2</v>
      </c>
      <c r="B3" s="16" t="str">
        <f>IF(COUNTIF(enemy_habitats!$H:$H,A3),"OK","NG")</f>
        <v>OK</v>
      </c>
      <c r="C3" s="7">
        <v>48010</v>
      </c>
      <c r="D3" s="11" t="str">
        <f ca="1">VLOOKUP($C3,OFFSET([2]quests!$A$1,0,0,COUNTA([2]quests!$A:$A),MATCH(D$1,[2]quests!$1:$1,0)-MATCH($C$1,[2]quests!$1:$1,0)+1),MATCH(D$1,[2]quests!$1:$1,0)-MATCH($C$1,[2]quests!$1:$1,0)+1,FALSE)</f>
        <v>バハムートダックより祝福を</v>
      </c>
      <c r="E3" s="18" t="str">
        <f ca="1">VLOOKUP($C3,OFFSET([2]quests!$A$1,0,0,COUNTA([2]quests!$A:$A),MATCH(E$1,[2]quests!$1:$1,0)-MATCH($C$1,[2]quests!$1:$1,0)+1),MATCH(E$1,[2]quests!$1:$1,0)-MATCH($C$1,[2]quests!$1:$1,0)+1,FALSE)</f>
        <v>台湾バハムート記念限定クエスト</v>
      </c>
      <c r="F3" s="21">
        <v>1</v>
      </c>
      <c r="G3" s="23" t="str">
        <f>C3&amp;"_"&amp;F3</f>
        <v>48010_1</v>
      </c>
      <c r="H3" s="15" t="str">
        <f ca="1">VLOOKUP($G3,OFFSET([2]stages!$A$1,0,0,COUNTA([2]stages!$A:$A),MATCH(H$1,[2]stages!$2:$2,0)-MATCH($G$1,[2]stages!$2:$2,0)+1),MATCH(H$1,[2]stages!$2:$2,0)-MATCH($G$1,[2]stages!$2:$2,0)+1,FALSE)</f>
        <v>バハムートダックより祝福を</v>
      </c>
      <c r="I3" s="21">
        <v>2</v>
      </c>
      <c r="J3" s="12">
        <v>50</v>
      </c>
      <c r="K3" s="12">
        <v>50</v>
      </c>
    </row>
    <row r="4" spans="1:11" ht="21" customHeight="1" x14ac:dyDescent="0.15">
      <c r="A4" s="16" t="str">
        <f>G4&amp;"-"&amp;I4</f>
        <v>48010_1-3</v>
      </c>
      <c r="B4" s="16" t="str">
        <f>IF(COUNTIF(enemy_habitats!$H:$H,A4),"OK","NG")</f>
        <v>OK</v>
      </c>
      <c r="C4" s="7">
        <v>48010</v>
      </c>
      <c r="D4" s="11" t="str">
        <f ca="1">VLOOKUP($C4,OFFSET([2]quests!$A$1,0,0,COUNTA([2]quests!$A:$A),MATCH(D$1,[2]quests!$1:$1,0)-MATCH($C$1,[2]quests!$1:$1,0)+1),MATCH(D$1,[2]quests!$1:$1,0)-MATCH($C$1,[2]quests!$1:$1,0)+1,FALSE)</f>
        <v>バハムートダックより祝福を</v>
      </c>
      <c r="E4" s="18" t="str">
        <f ca="1">VLOOKUP($C4,OFFSET([2]quests!$A$1,0,0,COUNTA([2]quests!$A:$A),MATCH(E$1,[2]quests!$1:$1,0)-MATCH($C$1,[2]quests!$1:$1,0)+1),MATCH(E$1,[2]quests!$1:$1,0)-MATCH($C$1,[2]quests!$1:$1,0)+1,FALSE)</f>
        <v>台湾バハムート記念限定クエスト</v>
      </c>
      <c r="F4" s="21">
        <v>1</v>
      </c>
      <c r="G4" s="23" t="str">
        <f>C4&amp;"_"&amp;F4</f>
        <v>48010_1</v>
      </c>
      <c r="H4" s="15" t="str">
        <f ca="1">VLOOKUP($G4,OFFSET([2]stages!$A$1,0,0,COUNTA([2]stages!$A:$A),MATCH(H$1,[2]stages!$2:$2,0)-MATCH($G$1,[2]stages!$2:$2,0)+1),MATCH(H$1,[2]stages!$2:$2,0)-MATCH($G$1,[2]stages!$2:$2,0)+1,FALSE)</f>
        <v>バハムートダックより祝福を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tabSelected="1" zoomScale="110" zoomScaleNormal="75" zoomScalePageLayoutView="7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Y8" sqref="Y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7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6.6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152</v>
      </c>
    </row>
    <row r="2" spans="1:40" ht="21" customHeight="1" x14ac:dyDescent="0.15">
      <c r="A2" s="16" t="str">
        <f t="shared" ref="A2:A11" ca="1" si="0">B2&amp;"_"&amp;C2&amp;"-"&amp;G2&amp;"/"&amp;L2&amp;"&lt;lv"&amp;R2&amp;"&gt;s"&amp;AA2</f>
        <v>48010_1-1/8095&lt;lv1&gt;s3</v>
      </c>
      <c r="B2" s="22">
        <v>48010</v>
      </c>
      <c r="C2" s="21">
        <v>1</v>
      </c>
      <c r="D2" s="2" t="str">
        <f t="shared" ref="D2:D11" si="1">B2&amp;"_"&amp;C2</f>
        <v>48010_1</v>
      </c>
      <c r="E2" s="4" t="str">
        <f ca="1">VLOOKUP($B2,OFFSET([2]quests!$A$1,0,0,COUNTA([2]quests!$A:$A),MATCH(E$1,[2]quests!$1:$1,0)-MATCH($B$1,[2]quests!$1:$1,0)+1),MATCH(E$1,[2]quests!$1:$1,0)-MATCH($B$1,[2]quests!$1:$1,0)+1,FALSE)</f>
        <v>バハムートダックより祝福を</v>
      </c>
      <c r="F2" s="4" t="str">
        <f ca="1">VLOOKUP($D2,OFFSET([2]stages!$A$1,0,0,COUNTA([2]stages!$A:$A),MATCH(F$1,[2]stages!$2:$2,0)-MATCH($D$1,[2]stages!$2:$2,0)+1),MATCH(F$1,[2]stages!$2:$2,0)-MATCH($D$1,[2]stages!$2:$2,0)+1,FALSE)</f>
        <v>バハムートダックより祝福を</v>
      </c>
      <c r="G2" s="21">
        <v>1</v>
      </c>
      <c r="H2" s="15" t="str">
        <f t="shared" ref="H2:H11" si="2">B2&amp;"_"&amp;C2&amp;"-"&amp;G2</f>
        <v>48010_1-1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8095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バハムートダック赤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1</v>
      </c>
      <c r="T2" s="25">
        <v>1</v>
      </c>
      <c r="U2" s="5">
        <v>65355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ミリオンダックが あらわれた！</v>
      </c>
      <c r="W2" s="61">
        <v>480101100</v>
      </c>
      <c r="X2" s="6">
        <v>1</v>
      </c>
      <c r="Y2" s="6">
        <v>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>L2</f>
        <v>8095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バハムートダック赤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1" ca="1" si="3">AD2</f>
        <v>6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6">
        <v>1</v>
      </c>
    </row>
    <row r="3" spans="1:40" ht="21" customHeight="1" x14ac:dyDescent="0.15">
      <c r="A3" s="16" t="str">
        <f t="shared" ca="1" si="0"/>
        <v>48010_1-2/49&lt;lv1&gt;s2</v>
      </c>
      <c r="B3" s="22">
        <v>48010</v>
      </c>
      <c r="C3" s="21">
        <v>1</v>
      </c>
      <c r="D3" s="2" t="str">
        <f t="shared" si="1"/>
        <v>48010_1</v>
      </c>
      <c r="E3" s="4" t="str">
        <f ca="1">VLOOKUP($B3,OFFSET([2]quests!$A$1,0,0,COUNTA([2]quests!$A:$A),MATCH(E$1,[2]quests!$1:$1,0)-MATCH($B$1,[2]quests!$1:$1,0)+1),MATCH(E$1,[2]quests!$1:$1,0)-MATCH($B$1,[2]quests!$1:$1,0)+1,FALSE)</f>
        <v>バハムートダックより祝福を</v>
      </c>
      <c r="F3" s="4" t="str">
        <f ca="1">VLOOKUP($D3,OFFSET([2]stages!$A$1,0,0,COUNTA([2]stages!$A:$A),MATCH(F$1,[2]stages!$2:$2,0)-MATCH($D$1,[2]stages!$2:$2,0)+1),MATCH(F$1,[2]stages!$2:$2,0)-MATCH($D$1,[2]stages!$2:$2,0)+1,FALSE)</f>
        <v>バハムートダックより祝福を</v>
      </c>
      <c r="G3" s="21">
        <v>2</v>
      </c>
      <c r="H3" s="15" t="str">
        <f t="shared" si="2"/>
        <v>48010_1-2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49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ALICEの世界は お祭り騒ぎだ！</v>
      </c>
      <c r="W3" s="61">
        <v>480101200</v>
      </c>
      <c r="X3" s="6">
        <v>1</v>
      </c>
      <c r="Y3" s="6">
        <v>0</v>
      </c>
      <c r="Z3" s="6">
        <v>2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>L3</f>
        <v>49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3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6">
        <v>1</v>
      </c>
    </row>
    <row r="4" spans="1:40" ht="21" customHeight="1" x14ac:dyDescent="0.15">
      <c r="A4" s="16" t="str">
        <f t="shared" ca="1" si="0"/>
        <v>48010_1-2/8095&lt;lv1&gt;s3</v>
      </c>
      <c r="B4" s="22">
        <v>48010</v>
      </c>
      <c r="C4" s="21">
        <v>1</v>
      </c>
      <c r="D4" s="2" t="str">
        <f t="shared" si="1"/>
        <v>48010_1</v>
      </c>
      <c r="E4" s="4" t="str">
        <f ca="1">VLOOKUP($B4,OFFSET([2]quests!$A$1,0,0,COUNTA([2]quests!$A:$A),MATCH(E$1,[2]quests!$1:$1,0)-MATCH($B$1,[2]quests!$1:$1,0)+1),MATCH(E$1,[2]quests!$1:$1,0)-MATCH($B$1,[2]quests!$1:$1,0)+1,FALSE)</f>
        <v>バハムートダックより祝福を</v>
      </c>
      <c r="F4" s="4" t="str">
        <f ca="1">VLOOKUP($D4,OFFSET([2]stages!$A$1,0,0,COUNTA([2]stages!$A:$A),MATCH(F$1,[2]stages!$2:$2,0)-MATCH($D$1,[2]stages!$2:$2,0)+1),MATCH(F$1,[2]stages!$2:$2,0)-MATCH($D$1,[2]stages!$2:$2,0)+1,FALSE)</f>
        <v>バハムートダックより祝福を</v>
      </c>
      <c r="G4" s="21">
        <v>2</v>
      </c>
      <c r="H4" s="15" t="str">
        <f t="shared" si="2"/>
        <v>48010_1-2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8095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バハムートダック赤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1</v>
      </c>
      <c r="T4" s="25">
        <v>1</v>
      </c>
      <c r="U4" s="5">
        <v>65355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逃げるミリオンダックを 追いかけよう！</v>
      </c>
      <c r="W4" s="61">
        <v>480101220</v>
      </c>
      <c r="X4" s="6">
        <v>1</v>
      </c>
      <c r="Y4" s="6">
        <v>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>L4</f>
        <v>8095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バハムートダック赤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6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t="shared" ca="1" si="3"/>
        <v>6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6">
        <v>1</v>
      </c>
    </row>
    <row r="5" spans="1:40" ht="21" customHeight="1" x14ac:dyDescent="0.15">
      <c r="A5" s="16" t="str">
        <f t="shared" ca="1" si="0"/>
        <v>48010_1-2/13&lt;lv1&gt;s2</v>
      </c>
      <c r="B5" s="22">
        <v>48010</v>
      </c>
      <c r="C5" s="21">
        <v>1</v>
      </c>
      <c r="D5" s="2" t="str">
        <f t="shared" si="1"/>
        <v>48010_1</v>
      </c>
      <c r="E5" s="4" t="str">
        <f ca="1">VLOOKUP($B5,OFFSET([2]quests!$A$1,0,0,COUNTA([2]quests!$A:$A),MATCH(E$1,[2]quests!$1:$1,0)-MATCH($B$1,[2]quests!$1:$1,0)+1),MATCH(E$1,[2]quests!$1:$1,0)-MATCH($B$1,[2]quests!$1:$1,0)+1,FALSE)</f>
        <v>バハムートダックより祝福を</v>
      </c>
      <c r="F5" s="4" t="str">
        <f ca="1">VLOOKUP($D5,OFFSET([2]stages!$A$1,0,0,COUNTA([2]stages!$A:$A),MATCH(F$1,[2]stages!$2:$2,0)-MATCH($D$1,[2]stages!$2:$2,0)+1),MATCH(F$1,[2]stages!$2:$2,0)-MATCH($D$1,[2]stages!$2:$2,0)+1,FALSE)</f>
        <v>バハムートダックより祝福を</v>
      </c>
      <c r="G5" s="21">
        <v>2</v>
      </c>
      <c r="H5" s="15" t="str">
        <f t="shared" si="2"/>
        <v>48010_1-2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53</v>
      </c>
      <c r="L5" s="20">
        <v>13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みんなが ミリオンダックを 狙っている！</v>
      </c>
      <c r="W5" s="61">
        <v>480101210</v>
      </c>
      <c r="X5" s="6">
        <v>1</v>
      </c>
      <c r="Y5" s="6">
        <v>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>L5</f>
        <v>13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4">
        <f t="shared" ca="1" si="3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6">
        <v>1</v>
      </c>
    </row>
    <row r="6" spans="1:40" ht="21" customHeight="1" x14ac:dyDescent="0.15">
      <c r="A6" s="16" t="str">
        <f t="shared" ca="1" si="0"/>
        <v>48010_1-3/356&lt;lv2&gt;s3</v>
      </c>
      <c r="B6" s="22">
        <v>48010</v>
      </c>
      <c r="C6" s="21">
        <v>1</v>
      </c>
      <c r="D6" s="2" t="str">
        <f t="shared" si="1"/>
        <v>48010_1</v>
      </c>
      <c r="E6" s="4" t="str">
        <f ca="1">VLOOKUP($B6,OFFSET([2]quests!$A$1,0,0,COUNTA([2]quests!$A:$A),MATCH(E$1,[2]quests!$1:$1,0)-MATCH($B$1,[2]quests!$1:$1,0)+1),MATCH(E$1,[2]quests!$1:$1,0)-MATCH($B$1,[2]quests!$1:$1,0)+1,FALSE)</f>
        <v>バハムートダックより祝福を</v>
      </c>
      <c r="F6" s="4" t="str">
        <f ca="1">VLOOKUP($D6,OFFSET([2]stages!$A$1,0,0,COUNTA([2]stages!$A:$A),MATCH(F$1,[2]stages!$2:$2,0)-MATCH($D$1,[2]stages!$2:$2,0)+1),MATCH(F$1,[2]stages!$2:$2,0)-MATCH($D$1,[2]stages!$2:$2,0)+1,FALSE)</f>
        <v>バハムートダックより祝福を</v>
      </c>
      <c r="G6" s="21">
        <v>3</v>
      </c>
      <c r="H6" s="15" t="str">
        <f t="shared" si="2"/>
        <v>48010_1-3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356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炎上のドードー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2</v>
      </c>
      <c r="S6" s="25">
        <v>10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6" s="61">
        <v>480101310</v>
      </c>
      <c r="X6" s="6">
        <v>0</v>
      </c>
      <c r="Y6" s="6">
        <v>25</v>
      </c>
      <c r="Z6" s="6">
        <v>2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89">
        <v>8095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バハムートダック赤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6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ca="1" si="3"/>
        <v>6</v>
      </c>
      <c r="AH6" s="8">
        <v>100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6">
        <v>1</v>
      </c>
    </row>
    <row r="7" spans="1:40" ht="21" customHeight="1" x14ac:dyDescent="0.15">
      <c r="A7" s="16" t="str">
        <f t="shared" ca="1" si="0"/>
        <v>48010_1-3/356&lt;lv3&gt;s3</v>
      </c>
      <c r="B7" s="22">
        <v>48010</v>
      </c>
      <c r="C7" s="21">
        <v>1</v>
      </c>
      <c r="D7" s="2" t="str">
        <f t="shared" si="1"/>
        <v>48010_1</v>
      </c>
      <c r="E7" s="4" t="str">
        <f ca="1">VLOOKUP($B7,OFFSET([2]quests!$A$1,0,0,COUNTA([2]quests!$A:$A),MATCH(E$1,[2]quests!$1:$1,0)-MATCH($B$1,[2]quests!$1:$1,0)+1),MATCH(E$1,[2]quests!$1:$1,0)-MATCH($B$1,[2]quests!$1:$1,0)+1,FALSE)</f>
        <v>バハムートダックより祝福を</v>
      </c>
      <c r="F7" s="4" t="str">
        <f ca="1">VLOOKUP($D7,OFFSET([2]stages!$A$1,0,0,COUNTA([2]stages!$A:$A),MATCH(F$1,[2]stages!$2:$2,0)-MATCH($D$1,[2]stages!$2:$2,0)+1),MATCH(F$1,[2]stages!$2:$2,0)-MATCH($D$1,[2]stages!$2:$2,0)+1,FALSE)</f>
        <v>バハムートダックより祝福を</v>
      </c>
      <c r="G7" s="21">
        <v>3</v>
      </c>
      <c r="H7" s="15" t="str">
        <f t="shared" si="2"/>
        <v>48010_1-3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356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炎上のドードー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3</v>
      </c>
      <c r="S7" s="25">
        <v>10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7" s="61">
        <v>480101310</v>
      </c>
      <c r="X7" s="6">
        <v>0</v>
      </c>
      <c r="Y7" s="6">
        <v>25</v>
      </c>
      <c r="Z7" s="6">
        <v>2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89">
        <v>8096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バハムートダック緑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3"/>
        <v>6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6">
        <v>1</v>
      </c>
    </row>
    <row r="8" spans="1:40" ht="21" customHeight="1" x14ac:dyDescent="0.15">
      <c r="A8" s="16" t="str">
        <f t="shared" ca="1" si="0"/>
        <v>48010_1-3/356&lt;lv4&gt;s3</v>
      </c>
      <c r="B8" s="22">
        <v>48010</v>
      </c>
      <c r="C8" s="21">
        <v>1</v>
      </c>
      <c r="D8" s="2" t="str">
        <f t="shared" si="1"/>
        <v>48010_1</v>
      </c>
      <c r="E8" s="4" t="str">
        <f ca="1">VLOOKUP($B8,OFFSET([2]quests!$A$1,0,0,COUNTA([2]quests!$A:$A),MATCH(E$1,[2]quests!$1:$1,0)-MATCH($B$1,[2]quests!$1:$1,0)+1),MATCH(E$1,[2]quests!$1:$1,0)-MATCH($B$1,[2]quests!$1:$1,0)+1,FALSE)</f>
        <v>バハムートダックより祝福を</v>
      </c>
      <c r="F8" s="4" t="str">
        <f ca="1">VLOOKUP($D8,OFFSET([2]stages!$A$1,0,0,COUNTA([2]stages!$A:$A),MATCH(F$1,[2]stages!$2:$2,0)-MATCH($D$1,[2]stages!$2:$2,0)+1),MATCH(F$1,[2]stages!$2:$2,0)-MATCH($D$1,[2]stages!$2:$2,0)+1,FALSE)</f>
        <v>バハムートダックより祝福を</v>
      </c>
      <c r="G8" s="21">
        <v>3</v>
      </c>
      <c r="H8" s="15" t="str">
        <f t="shared" si="2"/>
        <v>48010_1-3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356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炎上のドードー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4</v>
      </c>
      <c r="S8" s="25">
        <v>10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8" s="61">
        <v>480101310</v>
      </c>
      <c r="X8" s="6">
        <v>0</v>
      </c>
      <c r="Y8" s="6">
        <v>25</v>
      </c>
      <c r="Z8" s="6">
        <v>2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89">
        <v>8097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バハムートダック青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6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ca="1" si="3"/>
        <v>6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6">
        <v>1</v>
      </c>
    </row>
    <row r="9" spans="1:40" ht="21" customHeight="1" x14ac:dyDescent="0.15">
      <c r="A9" s="16" t="str">
        <f t="shared" ca="1" si="0"/>
        <v>48010_1-3/356&lt;lv5&gt;s3</v>
      </c>
      <c r="B9" s="22">
        <v>48010</v>
      </c>
      <c r="C9" s="21">
        <v>1</v>
      </c>
      <c r="D9" s="2" t="str">
        <f t="shared" si="1"/>
        <v>48010_1</v>
      </c>
      <c r="E9" s="4" t="str">
        <f ca="1">VLOOKUP($B9,OFFSET([2]quests!$A$1,0,0,COUNTA([2]quests!$A:$A),MATCH(E$1,[2]quests!$1:$1,0)-MATCH($B$1,[2]quests!$1:$1,0)+1),MATCH(E$1,[2]quests!$1:$1,0)-MATCH($B$1,[2]quests!$1:$1,0)+1,FALSE)</f>
        <v>バハムートダックより祝福を</v>
      </c>
      <c r="F9" s="4" t="str">
        <f ca="1">VLOOKUP($D9,OFFSET([2]stages!$A$1,0,0,COUNTA([2]stages!$A:$A),MATCH(F$1,[2]stages!$2:$2,0)-MATCH($D$1,[2]stages!$2:$2,0)+1),MATCH(F$1,[2]stages!$2:$2,0)-MATCH($D$1,[2]stages!$2:$2,0)+1,FALSE)</f>
        <v>バハムートダックより祝福を</v>
      </c>
      <c r="G9" s="21">
        <v>3</v>
      </c>
      <c r="H9" s="15" t="str">
        <f t="shared" si="2"/>
        <v>48010_1-3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20">
        <v>356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炎上のドードー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5</v>
      </c>
      <c r="S9" s="25">
        <v>10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9" s="61">
        <v>480101310</v>
      </c>
      <c r="X9" s="6">
        <v>0</v>
      </c>
      <c r="Y9" s="6">
        <v>25</v>
      </c>
      <c r="Z9" s="6">
        <v>2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89">
        <v>8098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バハムートダック黄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6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3"/>
        <v>6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6">
        <v>1</v>
      </c>
    </row>
    <row r="10" spans="1:40" ht="21" customHeight="1" x14ac:dyDescent="0.15">
      <c r="A10" s="16" t="str">
        <f t="shared" ca="1" si="0"/>
        <v>48010_1-3/381&lt;lv1&gt;s3</v>
      </c>
      <c r="B10" s="22">
        <v>48010</v>
      </c>
      <c r="C10" s="21">
        <v>1</v>
      </c>
      <c r="D10" s="2" t="str">
        <f t="shared" si="1"/>
        <v>48010_1</v>
      </c>
      <c r="E10" s="4" t="str">
        <f ca="1">VLOOKUP($B10,OFFSET([2]quests!$A$1,0,0,COUNTA([2]quests!$A:$A),MATCH(E$1,[2]quests!$1:$1,0)-MATCH($B$1,[2]quests!$1:$1,0)+1),MATCH(E$1,[2]quests!$1:$1,0)-MATCH($B$1,[2]quests!$1:$1,0)+1,FALSE)</f>
        <v>バハムートダックより祝福を</v>
      </c>
      <c r="F10" s="4" t="str">
        <f ca="1">VLOOKUP($D10,OFFSET([2]stages!$A$1,0,0,COUNTA([2]stages!$A:$A),MATCH(F$1,[2]stages!$2:$2,0)-MATCH($D$1,[2]stages!$2:$2,0)+1),MATCH(F$1,[2]stages!$2:$2,0)-MATCH($D$1,[2]stages!$2:$2,0)+1,FALSE)</f>
        <v>バハムートダックより祝福を</v>
      </c>
      <c r="G10" s="21">
        <v>3</v>
      </c>
      <c r="H10" s="15" t="str">
        <f t="shared" si="2"/>
        <v>48010_1-3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381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肉食の恋火 バハムート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</v>
      </c>
      <c r="S10" s="25">
        <v>1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ハートの女王の手先_x000D_アザゼルが襲来した！</v>
      </c>
      <c r="W10" s="61">
        <v>480101300</v>
      </c>
      <c r="X10" s="6">
        <v>1</v>
      </c>
      <c r="Y10" s="6">
        <v>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>L10</f>
        <v>381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肉食の恋火 バハムート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7">
        <v>1</v>
      </c>
      <c r="AG10" s="24">
        <f t="shared" ca="1" si="3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6">
        <v>1</v>
      </c>
    </row>
    <row r="11" spans="1:40" ht="21" customHeight="1" x14ac:dyDescent="0.15">
      <c r="A11" s="16" t="str">
        <f t="shared" ca="1" si="0"/>
        <v>48010_1-3/356&lt;lv1&gt;s3</v>
      </c>
      <c r="B11" s="22">
        <v>48010</v>
      </c>
      <c r="C11" s="21">
        <v>1</v>
      </c>
      <c r="D11" s="2" t="str">
        <f t="shared" si="1"/>
        <v>48010_1</v>
      </c>
      <c r="E11" s="4" t="str">
        <f ca="1">VLOOKUP($B11,OFFSET([2]quests!$A$1,0,0,COUNTA([2]quests!$A:$A),MATCH(E$1,[2]quests!$1:$1,0)-MATCH($B$1,[2]quests!$1:$1,0)+1),MATCH(E$1,[2]quests!$1:$1,0)-MATCH($B$1,[2]quests!$1:$1,0)+1,FALSE)</f>
        <v>バハムートダックより祝福を</v>
      </c>
      <c r="F11" s="4" t="str">
        <f ca="1">VLOOKUP($D11,OFFSET([2]stages!$A$1,0,0,COUNTA([2]stages!$A:$A),MATCH(F$1,[2]stages!$2:$2,0)-MATCH($D$1,[2]stages!$2:$2,0)+1),MATCH(F$1,[2]stages!$2:$2,0)-MATCH($D$1,[2]stages!$2:$2,0)+1,FALSE)</f>
        <v>バハムートダックより祝福を</v>
      </c>
      <c r="G11" s="21">
        <v>3</v>
      </c>
      <c r="H11" s="15" t="str">
        <f t="shared" si="2"/>
        <v>48010_1-3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356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炎上のドードー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1</v>
      </c>
      <c r="S11" s="25">
        <v>3</v>
      </c>
      <c r="T11" s="25">
        <v>1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61">
        <v>0</v>
      </c>
      <c r="X11" s="6">
        <v>1</v>
      </c>
      <c r="Y11" s="6">
        <v>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>L11</f>
        <v>356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炎上のドードー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</v>
      </c>
      <c r="AG11" s="24">
        <f t="shared" ca="1" si="3"/>
        <v>5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92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10" sqref="P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2.83203125" style="9" customWidth="1"/>
    <col min="14" max="14" width="16.3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48010_1-3/8095&lt;lv1&gt;sq1st2</v>
      </c>
      <c r="B2" s="22">
        <v>48010</v>
      </c>
      <c r="C2" s="21">
        <v>1</v>
      </c>
      <c r="D2" s="2" t="str">
        <f>B2&amp;"_"&amp;C2</f>
        <v>48010_1</v>
      </c>
      <c r="E2" s="4" t="str">
        <f ca="1">VLOOKUP($B2,OFFSET([2]quests!$A$1,0,0,COUNTA([2]quests!$A:$A),MATCH(E$1,[2]quests!$1:$1,0)-MATCH($B$1,[2]quests!$1:$1,0)+1),MATCH(E$1,[2]quests!$1:$1,0)-MATCH($B$1,[2]quests!$1:$1,0)+1,FALSE)</f>
        <v>バハムートダックより祝福を</v>
      </c>
      <c r="F2" s="4" t="str">
        <f ca="1">VLOOKUP($D2,OFFSET([2]stages!$A$1,0,0,COUNTA([2]stages!$A:$A),MATCH(F$1,[2]stages!$2:$2,0)-MATCH($D$1,[2]stages!$2:$2,0)+1),MATCH(F$1,[2]stages!$2:$2,0)-MATCH($D$1,[2]stages!$2:$2,0)+1,FALSE)</f>
        <v>バハムートダックより祝福を</v>
      </c>
      <c r="G2" s="21">
        <v>3</v>
      </c>
      <c r="H2" s="15" t="str">
        <f>B2&amp;"_"&amp;C2&amp;"-"&amp;G2</f>
        <v>48010_1-3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8095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バハムートダック赤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1</v>
      </c>
      <c r="T2" s="25">
        <v>0.8</v>
      </c>
      <c r="U2" s="25">
        <v>1</v>
      </c>
      <c r="V2" s="5">
        <v>65355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2" s="47">
        <v>480101320</v>
      </c>
      <c r="Y2" s="67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>B3&amp;"_"&amp;C3&amp;"-"&amp;G3&amp;"/"&amp;M3&amp;"&lt;lv"&amp;S3&amp;"&gt;sq"&amp;K3&amp;"st"&amp;L3</f>
        <v>48010_1-3/8096&lt;lv1&gt;sq2st2</v>
      </c>
      <c r="B3" s="22">
        <v>48010</v>
      </c>
      <c r="C3" s="21">
        <v>1</v>
      </c>
      <c r="D3" s="2" t="str">
        <f>B3&amp;"_"&amp;C3</f>
        <v>48010_1</v>
      </c>
      <c r="E3" s="4" t="str">
        <f ca="1">VLOOKUP($B3,OFFSET([2]quests!$A$1,0,0,COUNTA([2]quests!$A:$A),MATCH(E$1,[2]quests!$1:$1,0)-MATCH($B$1,[2]quests!$1:$1,0)+1),MATCH(E$1,[2]quests!$1:$1,0)-MATCH($B$1,[2]quests!$1:$1,0)+1,FALSE)</f>
        <v>バハムートダックより祝福を</v>
      </c>
      <c r="F3" s="4" t="str">
        <f ca="1">VLOOKUP($D3,OFFSET([2]stages!$A$1,0,0,COUNTA([2]stages!$A:$A),MATCH(F$1,[2]stages!$2:$2,0)-MATCH($D$1,[2]stages!$2:$2,0)+1),MATCH(F$1,[2]stages!$2:$2,0)-MATCH($D$1,[2]stages!$2:$2,0)+1,FALSE)</f>
        <v>バハムートダックより祝福を</v>
      </c>
      <c r="G3" s="21">
        <v>3</v>
      </c>
      <c r="H3" s="15" t="str">
        <f>B3&amp;"_"&amp;C3&amp;"-"&amp;G3</f>
        <v>48010_1-3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8096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バハムートダック緑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1</v>
      </c>
      <c r="T3" s="25">
        <v>0.8</v>
      </c>
      <c r="U3" s="25">
        <v>1</v>
      </c>
      <c r="V3" s="5">
        <v>65355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3" s="47">
        <v>480101320</v>
      </c>
      <c r="Y3" s="67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6" t="str">
        <f>B4&amp;"_"&amp;C4&amp;"-"&amp;G4&amp;"/"&amp;M4&amp;"&lt;lv"&amp;S4&amp;"&gt;sq"&amp;K4&amp;"st"&amp;L4</f>
        <v>48010_1-3/8097&lt;lv1&gt;sq3st2</v>
      </c>
      <c r="B4" s="22">
        <v>48010</v>
      </c>
      <c r="C4" s="21">
        <v>1</v>
      </c>
      <c r="D4" s="2" t="str">
        <f>B4&amp;"_"&amp;C4</f>
        <v>48010_1</v>
      </c>
      <c r="E4" s="4" t="str">
        <f ca="1">VLOOKUP($B4,OFFSET([2]quests!$A$1,0,0,COUNTA([2]quests!$A:$A),MATCH(E$1,[2]quests!$1:$1,0)-MATCH($B$1,[2]quests!$1:$1,0)+1),MATCH(E$1,[2]quests!$1:$1,0)-MATCH($B$1,[2]quests!$1:$1,0)+1,FALSE)</f>
        <v>バハムートダックより祝福を</v>
      </c>
      <c r="F4" s="4" t="str">
        <f ca="1">VLOOKUP($D4,OFFSET([2]stages!$A$1,0,0,COUNTA([2]stages!$A:$A),MATCH(F$1,[2]stages!$2:$2,0)-MATCH($D$1,[2]stages!$2:$2,0)+1),MATCH(F$1,[2]stages!$2:$2,0)-MATCH($D$1,[2]stages!$2:$2,0)+1,FALSE)</f>
        <v>バハムートダックより祝福を</v>
      </c>
      <c r="G4" s="21">
        <v>3</v>
      </c>
      <c r="H4" s="15" t="str">
        <f>B4&amp;"_"&amp;C4&amp;"-"&amp;G4</f>
        <v>48010_1-3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8097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バハムートダック青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Material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1</v>
      </c>
      <c r="T4" s="25">
        <v>0.8</v>
      </c>
      <c r="U4" s="25">
        <v>1</v>
      </c>
      <c r="V4" s="5">
        <v>65355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4" s="47">
        <v>480101320</v>
      </c>
      <c r="Y4" s="67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6" t="str">
        <f>B5&amp;"_"&amp;C5&amp;"-"&amp;G5&amp;"/"&amp;M5&amp;"&lt;lv"&amp;S5&amp;"&gt;sq"&amp;K5&amp;"st"&amp;L5</f>
        <v>48010_1-3/8098&lt;lv1&gt;sq4st2</v>
      </c>
      <c r="B5" s="22">
        <v>48010</v>
      </c>
      <c r="C5" s="21">
        <v>1</v>
      </c>
      <c r="D5" s="2" t="str">
        <f>B5&amp;"_"&amp;C5</f>
        <v>48010_1</v>
      </c>
      <c r="E5" s="4" t="str">
        <f ca="1">VLOOKUP($B5,OFFSET([2]quests!$A$1,0,0,COUNTA([2]quests!$A:$A),MATCH(E$1,[2]quests!$1:$1,0)-MATCH($B$1,[2]quests!$1:$1,0)+1),MATCH(E$1,[2]quests!$1:$1,0)-MATCH($B$1,[2]quests!$1:$1,0)+1,FALSE)</f>
        <v>バハムートダックより祝福を</v>
      </c>
      <c r="F5" s="4" t="str">
        <f ca="1">VLOOKUP($D5,OFFSET([2]stages!$A$1,0,0,COUNTA([2]stages!$A:$A),MATCH(F$1,[2]stages!$2:$2,0)-MATCH($D$1,[2]stages!$2:$2,0)+1),MATCH(F$1,[2]stages!$2:$2,0)-MATCH($D$1,[2]stages!$2:$2,0)+1,FALSE)</f>
        <v>バハムートダックより祝福を</v>
      </c>
      <c r="G5" s="21">
        <v>3</v>
      </c>
      <c r="H5" s="15" t="str">
        <f>B5&amp;"_"&amp;C5&amp;"-"&amp;G5</f>
        <v>48010_1-3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8098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バハムートダック黄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Material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20</v>
      </c>
      <c r="S5" s="5">
        <v>1</v>
      </c>
      <c r="T5" s="25">
        <v>0.8</v>
      </c>
      <c r="U5" s="25">
        <v>1</v>
      </c>
      <c r="V5" s="5">
        <v>65355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5" s="47">
        <v>480101320</v>
      </c>
      <c r="Y5" s="67">
        <f ca="1">VLOOKUP($M5,OFFSET([3]enemies!$A$1,0,0,COUNTA([3]enemies!$A:$A),MATCH(Y$1,[3]enemies!$1:$1,0)-MATCH($M$1,[3]enemies!$1:$1,0)+1),MATCH(Y$1,[3]enemies!$1:$1,0)-MATCH($M$1,[3]enemies!$1:$1,0)+1,FALSE)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zoomScale="90" zoomScaleNormal="75" zoomScalePageLayoutView="75" workbookViewId="0">
      <pane xSplit="5" ySplit="1" topLeftCell="F2" activePane="bottomRight" state="frozen"/>
      <selection pane="topRight"/>
      <selection pane="bottomLeft"/>
      <selection pane="bottomRight" activeCell="Q23" sqref="Q2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10.5" style="49" bestFit="1" customWidth="1"/>
    <col min="3" max="3" width="13.1640625" style="49" customWidth="1"/>
    <col min="4" max="4" width="31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214</v>
      </c>
    </row>
    <row r="2" spans="1:18" ht="21" customHeight="1" x14ac:dyDescent="0.15">
      <c r="A2" s="39" t="str">
        <f t="shared" ref="A2" si="0">B2&amp;"_"&amp;C2</f>
        <v>480101100_480101100</v>
      </c>
      <c r="B2" s="47">
        <v>480101100</v>
      </c>
      <c r="C2" s="47">
        <v>480101100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200万ダウンロード ありがとうグヮッ！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ミリオンダックが あらわれた！</v>
      </c>
      <c r="F2" s="47">
        <v>480100000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7"/>
      <c r="Q2" s="47"/>
      <c r="R2" s="47" t="s">
        <v>210</v>
      </c>
    </row>
    <row r="3" spans="1:18" ht="21" customHeight="1" x14ac:dyDescent="0.15">
      <c r="A3" s="39" t="str">
        <f t="shared" ref="A3:A6" si="1">B3&amp;"_"&amp;C3</f>
        <v>480101100_480101101</v>
      </c>
      <c r="B3" s="47">
        <v>480101100</v>
      </c>
      <c r="C3" s="47">
        <v>480101101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これも みんなのおかげだグヮ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ミリオンダックは 感謝している</v>
      </c>
      <c r="F3" s="47">
        <v>480100001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 t="s">
        <v>213</v>
      </c>
    </row>
    <row r="4" spans="1:18" ht="21" customHeight="1" x14ac:dyDescent="0.15">
      <c r="A4" s="39" t="str">
        <f t="shared" ref="A4" si="2">B4&amp;"_"&amp;C4</f>
        <v>480101100_480101102</v>
      </c>
      <c r="B4" s="47">
        <v>480101100</v>
      </c>
      <c r="C4" s="47">
        <v>480101102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イテテ！ これも みんなのおかげだグヮ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痛がりながらも 感謝している</v>
      </c>
      <c r="F4" s="47">
        <v>480100002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 t="s">
        <v>213</v>
      </c>
    </row>
    <row r="5" spans="1:18" ht="21" customHeight="1" x14ac:dyDescent="0.15">
      <c r="A5" s="39" t="str">
        <f t="shared" ref="A5" si="3">B5&amp;"_"&amp;C5</f>
        <v>480101100_480101103</v>
      </c>
      <c r="B5" s="47">
        <v>480101100</v>
      </c>
      <c r="C5" s="47">
        <v>480101103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でも、タダじゃつかまらないグヮ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5" s="47">
        <v>480100003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 t="s">
        <v>211</v>
      </c>
    </row>
    <row r="6" spans="1:18" ht="21" customHeight="1" x14ac:dyDescent="0.15">
      <c r="A6" s="39" t="str">
        <f t="shared" si="1"/>
        <v>480101200_480101200</v>
      </c>
      <c r="B6" s="47">
        <v>480101200</v>
      </c>
      <c r="C6" s="47">
        <v>480101200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200万ダウンロード_x000D_うれしいぜ！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ALICEの世界は お祭り騒ぎだ！</v>
      </c>
      <c r="F6" s="47">
        <v>480100000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" s="47"/>
      <c r="Q6" s="47"/>
      <c r="R6" s="47" t="s">
        <v>210</v>
      </c>
    </row>
    <row r="7" spans="1:18" ht="21" customHeight="1" x14ac:dyDescent="0.15">
      <c r="A7" s="39" t="str">
        <f t="shared" ref="A7:A10" si="4">B7&amp;"_"&amp;C7</f>
        <v>480101200_480101201</v>
      </c>
      <c r="B7" s="47">
        <v>480101200</v>
      </c>
      <c r="C7" s="47">
        <v>480101201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ミリオンダックは_x000D_俺のもんだぜ！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ライバルユニットを 先に倒そう！</v>
      </c>
      <c r="F7" s="47">
        <v>480100003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 t="s">
        <v>211</v>
      </c>
    </row>
    <row r="8" spans="1:18" ht="21" customHeight="1" x14ac:dyDescent="0.15">
      <c r="A8" s="39" t="str">
        <f t="shared" si="4"/>
        <v>480101210_480101210</v>
      </c>
      <c r="B8" s="47">
        <v>480101210</v>
      </c>
      <c r="C8" s="47">
        <v>480101210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ミリオンダックは_x000D_いただきニャ！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みんなが ミリオンダックを 狙っている！</v>
      </c>
      <c r="F8" s="47">
        <v>480100000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47"/>
      <c r="Q8" s="47"/>
      <c r="R8" s="47" t="s">
        <v>210</v>
      </c>
    </row>
    <row r="9" spans="1:18" ht="21" customHeight="1" x14ac:dyDescent="0.15">
      <c r="A9" s="39" t="str">
        <f t="shared" si="4"/>
        <v>480101210_480101211</v>
      </c>
      <c r="B9" s="47">
        <v>480101210</v>
      </c>
      <c r="C9" s="47">
        <v>480101211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ミリオンダックは_x000D_渡さないニャ！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ライバルユニットを 先に倒そう！</v>
      </c>
      <c r="F9" s="47">
        <v>480100003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 t="s">
        <v>211</v>
      </c>
    </row>
    <row r="10" spans="1:18" ht="21" customHeight="1" x14ac:dyDescent="0.15">
      <c r="A10" s="39" t="str">
        <f t="shared" si="4"/>
        <v>480101220_480101220</v>
      </c>
      <c r="B10" s="47">
        <v>480101220</v>
      </c>
      <c r="C10" s="47">
        <v>480101220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ここまでおいで グヮ！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10" s="47">
        <v>480101220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 t="s">
        <v>209</v>
      </c>
    </row>
    <row r="11" spans="1:18" ht="21" customHeight="1" x14ac:dyDescent="0.15">
      <c r="A11" s="39" t="str">
        <f t="shared" ref="A11:A21" si="5">B11&amp;"_"&amp;C11</f>
        <v>480101220_480101221</v>
      </c>
      <c r="B11" s="47">
        <v>480101220</v>
      </c>
      <c r="C11" s="47">
        <v>480101221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ここまでおいで グヮ！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11" s="47">
        <v>480101221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49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 t="s">
        <v>208</v>
      </c>
    </row>
    <row r="12" spans="1:18" ht="21" customHeight="1" x14ac:dyDescent="0.15">
      <c r="A12" s="39" t="str">
        <f t="shared" ref="A12" si="6">B12&amp;"_"&amp;C12</f>
        <v>480101220_480101222</v>
      </c>
      <c r="B12" s="47">
        <v>480101220</v>
      </c>
      <c r="C12" s="47">
        <v>480101222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つかまえたいなら_x000D_ライバルを減らすグヮ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左右のユニットを タップして狙おう！</v>
      </c>
      <c r="F12" s="47">
        <v>480101222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 t="s">
        <v>211</v>
      </c>
    </row>
    <row r="13" spans="1:18" ht="21" customHeight="1" x14ac:dyDescent="0.15">
      <c r="A13" s="39" t="str">
        <f t="shared" si="5"/>
        <v>480101300_480101300</v>
      </c>
      <c r="B13" s="47">
        <v>480101300</v>
      </c>
      <c r="C13" s="47">
        <v>480101300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浮かれるな…家畜ども！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ハートの女王の手先_x000D_アザゼルが襲来した！</v>
      </c>
      <c r="F13" s="47">
        <v>480101300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3" s="47"/>
      <c r="Q13" s="47"/>
      <c r="R13" s="47" t="s">
        <v>210</v>
      </c>
    </row>
    <row r="14" spans="1:18" ht="21" customHeight="1" x14ac:dyDescent="0.15">
      <c r="A14" s="39" t="str">
        <f t="shared" si="5"/>
        <v>480101300_480101301</v>
      </c>
      <c r="B14" s="47">
        <v>480101300</v>
      </c>
      <c r="C14" s="47">
        <v>480101301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こざかしい力、封じてやったわ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ハッキングで あらゆる機能が狂っている！</v>
      </c>
      <c r="F14" s="47">
        <v>480101301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 t="s">
        <v>213</v>
      </c>
    </row>
    <row r="15" spans="1:18" ht="21" customHeight="1" x14ac:dyDescent="0.15">
      <c r="A15" s="39" t="str">
        <f t="shared" si="5"/>
        <v>480101300_480101302</v>
      </c>
      <c r="B15" s="47">
        <v>480101300</v>
      </c>
      <c r="C15" s="47">
        <v>480101302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かわりに、その玉で遊ぶがいい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時限式ダメージパネルが カウントダウン！</v>
      </c>
      <c r="F15" s="47">
        <v>480101302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 t="s">
        <v>213</v>
      </c>
    </row>
    <row r="16" spans="1:18" ht="21" customHeight="1" x14ac:dyDescent="0.15">
      <c r="A16" s="39" t="str">
        <f t="shared" ref="A16" si="7">B16&amp;"_"&amp;C16</f>
        <v>480101300_480101303</v>
      </c>
      <c r="B16" s="47">
        <v>480101300</v>
      </c>
      <c r="C16" s="47">
        <v>480101303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かかれ！我が下僕たちよ！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グリフォンたちに 号令をかけた！</v>
      </c>
      <c r="F16" s="47">
        <v>480101303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 t="s">
        <v>213</v>
      </c>
    </row>
    <row r="17" spans="1:18" ht="21" customHeight="1" x14ac:dyDescent="0.15">
      <c r="A17" s="39" t="str">
        <f t="shared" si="5"/>
        <v>480101300_480101304</v>
      </c>
      <c r="B17" s="47">
        <v>480101300</v>
      </c>
      <c r="C17" s="47">
        <v>480101304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…何をする気だ？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アザゼルをタップして 狙おう！</v>
      </c>
      <c r="F17" s="47">
        <v>480101304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>
        <v>6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 t="s">
        <v>265</v>
      </c>
    </row>
    <row r="18" spans="1:18" ht="21" customHeight="1" x14ac:dyDescent="0.15">
      <c r="A18" s="39" t="str">
        <f t="shared" si="5"/>
        <v>480101300_480101306</v>
      </c>
      <c r="B18" s="47">
        <v>480101300</v>
      </c>
      <c r="C18" s="47">
        <v>480101306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くっ…家畜ごときに 不覚を取るとは…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アザゼルを倒す 絶好のチャンスだ！</v>
      </c>
      <c r="F18" s="47">
        <v>480101306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 t="s">
        <v>266</v>
      </c>
    </row>
    <row r="19" spans="1:18" ht="21" customHeight="1" x14ac:dyDescent="0.15">
      <c r="A19" s="39" t="str">
        <f t="shared" ref="A19:A20" si="8">B19&amp;"_"&amp;C19</f>
        <v>480101300_480101307</v>
      </c>
      <c r="B19" s="47">
        <v>480101300</v>
      </c>
      <c r="C19" s="47">
        <v>480101307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19" s="47">
        <v>480101414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8095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 t="s">
        <v>278</v>
      </c>
    </row>
    <row r="20" spans="1:18" ht="21" customHeight="1" x14ac:dyDescent="0.15">
      <c r="A20" s="39" t="str">
        <f t="shared" si="8"/>
        <v>480101300_480101307</v>
      </c>
      <c r="B20" s="47">
        <v>480101300</v>
      </c>
      <c r="C20" s="47">
        <v>480101307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0" s="47">
        <v>480101415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8096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 t="s">
        <v>279</v>
      </c>
    </row>
    <row r="21" spans="1:18" ht="21" customHeight="1" x14ac:dyDescent="0.15">
      <c r="A21" s="39" t="str">
        <f t="shared" si="5"/>
        <v>480101300_480101307</v>
      </c>
      <c r="B21" s="47">
        <v>480101300</v>
      </c>
      <c r="C21" s="47">
        <v>480101307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1" s="47">
        <v>480101416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8097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 t="s">
        <v>280</v>
      </c>
    </row>
    <row r="22" spans="1:18" ht="21" customHeight="1" x14ac:dyDescent="0.15">
      <c r="A22" s="39" t="str">
        <f t="shared" ref="A22:A27" si="9">B22&amp;"_"&amp;C22</f>
        <v>480101300_480101307</v>
      </c>
      <c r="B22" s="47">
        <v>480101300</v>
      </c>
      <c r="C22" s="47">
        <v>480101307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2" s="47">
        <v>480101417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8098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 t="s">
        <v>281</v>
      </c>
    </row>
    <row r="23" spans="1:18" ht="21" customHeight="1" x14ac:dyDescent="0.15">
      <c r="A23" s="39" t="str">
        <f t="shared" si="9"/>
        <v>480101300_480101308</v>
      </c>
      <c r="B23" s="47">
        <v>480101300</v>
      </c>
      <c r="C23" s="47">
        <v>480101308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あの世で 悔いるがいい！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痛恨の一撃！</v>
      </c>
      <c r="F23" s="47">
        <v>480101308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 t="s">
        <v>248</v>
      </c>
    </row>
    <row r="24" spans="1:18" ht="21" customHeight="1" x14ac:dyDescent="0.15">
      <c r="A24" s="39" t="str">
        <f t="shared" si="9"/>
        <v>480101310_480101310</v>
      </c>
      <c r="B24" s="47">
        <v>480101310</v>
      </c>
      <c r="C24" s="47">
        <v>480101310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クェーッ！？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何者かが グリフォンを吹き飛ばした！</v>
      </c>
      <c r="F24" s="47">
        <v>480101310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 t="s">
        <v>212</v>
      </c>
    </row>
    <row r="25" spans="1:18" ht="21" customHeight="1" x14ac:dyDescent="0.15">
      <c r="A25" s="39" t="str">
        <f t="shared" si="9"/>
        <v>480101320_480101320</v>
      </c>
      <c r="B25" s="47">
        <v>480101320</v>
      </c>
      <c r="C25" s="47">
        <v>480101320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大丈夫グヮ！？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ミリオンダックが 助けに来た！</v>
      </c>
      <c r="F25" s="47">
        <v>480101320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5" s="47"/>
      <c r="Q25" s="47"/>
      <c r="R25" s="47" t="s">
        <v>210</v>
      </c>
    </row>
    <row r="26" spans="1:18" ht="21" customHeight="1" x14ac:dyDescent="0.15">
      <c r="A26" s="39" t="str">
        <f t="shared" ref="A26" si="10">B26&amp;"_"&amp;C26</f>
        <v>480101320_480101321</v>
      </c>
      <c r="B26" s="47">
        <v>480101320</v>
      </c>
      <c r="C26" s="47">
        <v>480101321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ハッキングを_x000D_解除するグヮ！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ミリオンダックは ゴソゴソしている</v>
      </c>
      <c r="F26" s="47">
        <v>480101321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 t="s">
        <v>210</v>
      </c>
    </row>
    <row r="27" spans="1:18" ht="21" customHeight="1" x14ac:dyDescent="0.15">
      <c r="A27" s="39" t="str">
        <f t="shared" si="9"/>
        <v>480101320_480101322</v>
      </c>
      <c r="B27" s="47">
        <v>480101320</v>
      </c>
      <c r="C27" s="47">
        <v>480101322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これで_x000D_攻撃できるグヮ！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攻撃力が 元に戻った！</v>
      </c>
      <c r="F27" s="47">
        <v>480101322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 t="s">
        <v>213</v>
      </c>
    </row>
    <row r="28" spans="1:18" ht="21" customHeight="1" x14ac:dyDescent="0.15">
      <c r="A28" s="39" t="str">
        <f t="shared" ref="A28" si="11">B28&amp;"_"&amp;C28</f>
        <v>480101320_480101323</v>
      </c>
      <c r="B28" s="47">
        <v>480101320</v>
      </c>
      <c r="C28" s="47">
        <v>480101323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ALICEの平和…_x000D_頼んだグヮ…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ミリオンダックは 最後の力を振り絞った…</v>
      </c>
      <c r="F28" s="47">
        <v>480101323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 t="s">
        <v>213</v>
      </c>
    </row>
    <row r="29" spans="1:18" ht="21" customHeight="1" x14ac:dyDescent="0.15">
      <c r="A29" s="39" t="str">
        <f t="shared" ref="A29" si="12">B29&amp;"_"&amp;C29</f>
        <v>480101320_480101324</v>
      </c>
      <c r="B29" s="47">
        <v>480101320</v>
      </c>
      <c r="C29" s="47">
        <v>480101324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ALICEの平和…_x000D_頼んだグヮ…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ミリオンダックは力尽き 消えていった…</v>
      </c>
      <c r="F29" s="47">
        <v>480101324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381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 t="s">
        <v>282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30"/>
  <sheetViews>
    <sheetView showGridLines="0" zoomScale="125" zoomScaleNormal="75" zoomScalePageLayoutView="75" workbookViewId="0">
      <pane ySplit="1" topLeftCell="A2" activePane="bottomLeft" state="frozenSplit"/>
      <selection pane="bottomLeft" activeCell="B28" sqref="B28"/>
    </sheetView>
  </sheetViews>
  <sheetFormatPr baseColWidth="12" defaultColWidth="12.83203125" defaultRowHeight="21" customHeight="1" x14ac:dyDescent="0.15"/>
  <cols>
    <col min="1" max="1" width="12.83203125" style="49"/>
    <col min="2" max="2" width="67.1640625" style="94" customWidth="1"/>
    <col min="3" max="3" width="14" style="49" bestFit="1" customWidth="1"/>
    <col min="4" max="4" width="12.83203125" style="49"/>
    <col min="5" max="5" width="29.5" style="49" bestFit="1" customWidth="1"/>
    <col min="6" max="6" width="44.1640625" style="49" bestFit="1" customWidth="1"/>
    <col min="7" max="8" width="12.83203125" style="49"/>
    <col min="9" max="9" width="44.5" style="49" customWidth="1"/>
    <col min="10" max="16384" width="12.83203125" style="49"/>
  </cols>
  <sheetData>
    <row r="1" spans="1:9" ht="21" customHeight="1" x14ac:dyDescent="0.15">
      <c r="A1" s="40" t="s">
        <v>79</v>
      </c>
      <c r="B1" s="92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76</v>
      </c>
      <c r="H1" s="41" t="s">
        <v>77</v>
      </c>
      <c r="I1" s="41" t="s">
        <v>78</v>
      </c>
    </row>
    <row r="2" spans="1:9" ht="21" customHeight="1" x14ac:dyDescent="0.15">
      <c r="A2" s="47">
        <v>480101100</v>
      </c>
      <c r="B2" s="93" t="s">
        <v>229</v>
      </c>
      <c r="C2" s="50">
        <v>3</v>
      </c>
      <c r="D2" s="50" t="s">
        <v>127</v>
      </c>
      <c r="E2" s="51" t="s">
        <v>269</v>
      </c>
      <c r="F2" s="51" t="s">
        <v>183</v>
      </c>
      <c r="G2" s="50"/>
      <c r="H2" s="52"/>
      <c r="I2" s="50"/>
    </row>
    <row r="3" spans="1:9" ht="21" customHeight="1" x14ac:dyDescent="0.15">
      <c r="A3" s="47">
        <v>480101101</v>
      </c>
      <c r="B3" s="93" t="s">
        <v>244</v>
      </c>
      <c r="C3" s="50">
        <v>3</v>
      </c>
      <c r="D3" s="50" t="s">
        <v>127</v>
      </c>
      <c r="E3" s="51" t="s">
        <v>245</v>
      </c>
      <c r="F3" s="51" t="s">
        <v>246</v>
      </c>
      <c r="G3" s="50"/>
      <c r="H3" s="52"/>
      <c r="I3" s="50"/>
    </row>
    <row r="4" spans="1:9" ht="21" customHeight="1" x14ac:dyDescent="0.15">
      <c r="A4" s="47">
        <v>480101102</v>
      </c>
      <c r="B4" s="93" t="s">
        <v>244</v>
      </c>
      <c r="C4" s="50">
        <v>3</v>
      </c>
      <c r="D4" s="50" t="s">
        <v>127</v>
      </c>
      <c r="E4" s="51" t="s">
        <v>250</v>
      </c>
      <c r="F4" s="51" t="s">
        <v>270</v>
      </c>
      <c r="G4" s="50"/>
      <c r="H4" s="52"/>
      <c r="I4" s="50"/>
    </row>
    <row r="5" spans="1:9" ht="21" customHeight="1" x14ac:dyDescent="0.15">
      <c r="A5" s="47">
        <v>480101103</v>
      </c>
      <c r="B5" s="93" t="s">
        <v>228</v>
      </c>
      <c r="C5" s="50">
        <v>3</v>
      </c>
      <c r="D5" s="50" t="s">
        <v>127</v>
      </c>
      <c r="E5" s="51" t="s">
        <v>184</v>
      </c>
      <c r="F5" s="51" t="s">
        <v>185</v>
      </c>
      <c r="G5" s="50"/>
      <c r="H5" s="52"/>
      <c r="I5" s="50"/>
    </row>
    <row r="6" spans="1:9" ht="35" customHeight="1" x14ac:dyDescent="0.15">
      <c r="A6" s="47">
        <v>480101200</v>
      </c>
      <c r="B6" s="93" t="s">
        <v>218</v>
      </c>
      <c r="C6" s="50">
        <v>3</v>
      </c>
      <c r="D6" s="50" t="s">
        <v>127</v>
      </c>
      <c r="E6" s="51" t="s">
        <v>263</v>
      </c>
      <c r="F6" s="51" t="s">
        <v>186</v>
      </c>
      <c r="G6" s="50"/>
      <c r="H6" s="52"/>
      <c r="I6" s="50"/>
    </row>
    <row r="7" spans="1:9" ht="35" customHeight="1" x14ac:dyDescent="0.15">
      <c r="A7" s="47">
        <v>480101201</v>
      </c>
      <c r="B7" s="93" t="s">
        <v>233</v>
      </c>
      <c r="C7" s="50">
        <v>3</v>
      </c>
      <c r="D7" s="50" t="s">
        <v>127</v>
      </c>
      <c r="E7" s="51" t="s">
        <v>187</v>
      </c>
      <c r="F7" s="51" t="s">
        <v>221</v>
      </c>
      <c r="G7" s="50"/>
      <c r="H7" s="52"/>
      <c r="I7" s="50"/>
    </row>
    <row r="8" spans="1:9" ht="35" customHeight="1" x14ac:dyDescent="0.15">
      <c r="A8" s="47">
        <v>480101210</v>
      </c>
      <c r="B8" s="93" t="s">
        <v>232</v>
      </c>
      <c r="C8" s="50">
        <v>3</v>
      </c>
      <c r="D8" s="50" t="s">
        <v>127</v>
      </c>
      <c r="E8" s="51" t="s">
        <v>188</v>
      </c>
      <c r="F8" s="51" t="s">
        <v>189</v>
      </c>
      <c r="G8" s="50"/>
      <c r="H8" s="52"/>
      <c r="I8" s="50"/>
    </row>
    <row r="9" spans="1:9" ht="35" customHeight="1" x14ac:dyDescent="0.15">
      <c r="A9" s="47">
        <v>480101211</v>
      </c>
      <c r="B9" s="93" t="s">
        <v>235</v>
      </c>
      <c r="C9" s="50">
        <v>3</v>
      </c>
      <c r="D9" s="50" t="s">
        <v>127</v>
      </c>
      <c r="E9" s="51" t="s">
        <v>190</v>
      </c>
      <c r="F9" s="51" t="s">
        <v>221</v>
      </c>
      <c r="G9" s="50"/>
      <c r="H9" s="52"/>
      <c r="I9" s="50"/>
    </row>
    <row r="10" spans="1:9" ht="21" customHeight="1" x14ac:dyDescent="0.15">
      <c r="A10" s="47">
        <v>480101220</v>
      </c>
      <c r="B10" s="93" t="s">
        <v>220</v>
      </c>
      <c r="C10" s="50">
        <v>3</v>
      </c>
      <c r="D10" s="50" t="s">
        <v>127</v>
      </c>
      <c r="E10" s="51" t="s">
        <v>191</v>
      </c>
      <c r="F10" s="51" t="s">
        <v>185</v>
      </c>
      <c r="G10" s="50"/>
      <c r="H10" s="52"/>
      <c r="I10" s="50"/>
    </row>
    <row r="11" spans="1:9" ht="21" customHeight="1" x14ac:dyDescent="0.15">
      <c r="A11" s="47">
        <v>480101221</v>
      </c>
      <c r="B11" s="93" t="s">
        <v>219</v>
      </c>
      <c r="C11" s="50">
        <v>3</v>
      </c>
      <c r="D11" s="50" t="s">
        <v>127</v>
      </c>
      <c r="E11" s="51" t="s">
        <v>191</v>
      </c>
      <c r="F11" s="51" t="s">
        <v>185</v>
      </c>
      <c r="G11" s="50"/>
      <c r="H11" s="52"/>
      <c r="I11" s="50"/>
    </row>
    <row r="12" spans="1:9" ht="30" customHeight="1" x14ac:dyDescent="0.15">
      <c r="A12" s="47">
        <v>480101222</v>
      </c>
      <c r="B12" s="93" t="s">
        <v>234</v>
      </c>
      <c r="C12" s="50">
        <v>3</v>
      </c>
      <c r="D12" s="50" t="s">
        <v>127</v>
      </c>
      <c r="E12" s="51" t="s">
        <v>252</v>
      </c>
      <c r="F12" s="51" t="s">
        <v>222</v>
      </c>
      <c r="G12" s="50"/>
      <c r="H12" s="52"/>
      <c r="I12" s="50"/>
    </row>
    <row r="13" spans="1:9" ht="33" customHeight="1" x14ac:dyDescent="0.15">
      <c r="A13" s="47">
        <v>480101300</v>
      </c>
      <c r="B13" s="93" t="s">
        <v>255</v>
      </c>
      <c r="C13" s="50">
        <v>3</v>
      </c>
      <c r="D13" s="50" t="s">
        <v>127</v>
      </c>
      <c r="E13" s="51" t="s">
        <v>192</v>
      </c>
      <c r="F13" s="51" t="s">
        <v>254</v>
      </c>
      <c r="G13" s="50"/>
      <c r="H13" s="52"/>
      <c r="I13" s="50"/>
    </row>
    <row r="14" spans="1:9" ht="21" customHeight="1" x14ac:dyDescent="0.15">
      <c r="A14" s="47">
        <v>480101301</v>
      </c>
      <c r="B14" s="93" t="s">
        <v>180</v>
      </c>
      <c r="C14" s="50">
        <v>3</v>
      </c>
      <c r="D14" s="50" t="s">
        <v>127</v>
      </c>
      <c r="E14" s="51" t="s">
        <v>193</v>
      </c>
      <c r="F14" s="51" t="s">
        <v>194</v>
      </c>
      <c r="G14" s="50"/>
      <c r="H14" s="52"/>
      <c r="I14" s="50"/>
    </row>
    <row r="15" spans="1:9" ht="21" customHeight="1" x14ac:dyDescent="0.15">
      <c r="A15" s="47">
        <v>480101302</v>
      </c>
      <c r="B15" s="93" t="s">
        <v>180</v>
      </c>
      <c r="C15" s="50">
        <v>3</v>
      </c>
      <c r="D15" s="50" t="s">
        <v>127</v>
      </c>
      <c r="E15" s="51" t="s">
        <v>223</v>
      </c>
      <c r="F15" s="51" t="s">
        <v>224</v>
      </c>
      <c r="G15" s="50"/>
      <c r="H15" s="52"/>
      <c r="I15" s="50"/>
    </row>
    <row r="16" spans="1:9" ht="35" customHeight="1" x14ac:dyDescent="0.15">
      <c r="A16" s="47">
        <v>480101303</v>
      </c>
      <c r="B16" s="93" t="s">
        <v>227</v>
      </c>
      <c r="C16" s="50">
        <v>3</v>
      </c>
      <c r="D16" s="50" t="s">
        <v>127</v>
      </c>
      <c r="E16" s="51" t="s">
        <v>268</v>
      </c>
      <c r="F16" s="51" t="s">
        <v>195</v>
      </c>
      <c r="G16" s="50"/>
      <c r="H16" s="52"/>
      <c r="I16" s="50"/>
    </row>
    <row r="17" spans="1:9" ht="35" customHeight="1" x14ac:dyDescent="0.15">
      <c r="A17" s="47">
        <v>480101304</v>
      </c>
      <c r="B17" s="93" t="s">
        <v>236</v>
      </c>
      <c r="C17" s="50">
        <v>3</v>
      </c>
      <c r="D17" s="50" t="s">
        <v>127</v>
      </c>
      <c r="E17" s="51" t="s">
        <v>262</v>
      </c>
      <c r="F17" s="51" t="s">
        <v>276</v>
      </c>
      <c r="G17" s="50"/>
      <c r="H17" s="52"/>
      <c r="I17" s="50"/>
    </row>
    <row r="18" spans="1:9" ht="35" customHeight="1" x14ac:dyDescent="0.15">
      <c r="A18" s="47">
        <v>480101305</v>
      </c>
      <c r="B18" s="93" t="s">
        <v>247</v>
      </c>
      <c r="C18" s="50">
        <v>3</v>
      </c>
      <c r="D18" s="50" t="s">
        <v>127</v>
      </c>
      <c r="E18" s="51" t="s">
        <v>196</v>
      </c>
      <c r="F18" s="51" t="s">
        <v>197</v>
      </c>
      <c r="G18" s="50"/>
      <c r="H18" s="52"/>
      <c r="I18" s="50"/>
    </row>
    <row r="19" spans="1:9" ht="35" customHeight="1" x14ac:dyDescent="0.15">
      <c r="A19" s="47">
        <v>480101306</v>
      </c>
      <c r="B19" s="93" t="s">
        <v>237</v>
      </c>
      <c r="C19" s="50">
        <v>3</v>
      </c>
      <c r="D19" s="50" t="s">
        <v>127</v>
      </c>
      <c r="E19" s="51" t="s">
        <v>198</v>
      </c>
      <c r="F19" s="51" t="s">
        <v>199</v>
      </c>
      <c r="G19" s="50"/>
      <c r="H19" s="52"/>
      <c r="I19" s="50"/>
    </row>
    <row r="20" spans="1:9" ht="21" customHeight="1" x14ac:dyDescent="0.15">
      <c r="A20" s="47">
        <v>480101307</v>
      </c>
      <c r="B20" s="93" t="s">
        <v>264</v>
      </c>
      <c r="C20" s="50">
        <v>3</v>
      </c>
      <c r="D20" s="50" t="s">
        <v>127</v>
      </c>
      <c r="E20" s="51" t="s">
        <v>249</v>
      </c>
      <c r="F20" s="51" t="s">
        <v>200</v>
      </c>
      <c r="G20" s="50"/>
      <c r="H20" s="52"/>
      <c r="I20" s="50"/>
    </row>
    <row r="21" spans="1:9" ht="21" customHeight="1" x14ac:dyDescent="0.15">
      <c r="A21" s="47">
        <v>480101308</v>
      </c>
      <c r="B21" s="93" t="s">
        <v>253</v>
      </c>
      <c r="C21" s="50">
        <v>3</v>
      </c>
      <c r="D21" s="50" t="s">
        <v>127</v>
      </c>
      <c r="E21" s="51" t="s">
        <v>206</v>
      </c>
      <c r="F21" s="51" t="s">
        <v>207</v>
      </c>
      <c r="G21" s="50"/>
      <c r="H21" s="52"/>
      <c r="I21" s="50"/>
    </row>
    <row r="22" spans="1:9" ht="21" customHeight="1" x14ac:dyDescent="0.15">
      <c r="A22" s="47">
        <v>480101310</v>
      </c>
      <c r="B22" s="93" t="s">
        <v>226</v>
      </c>
      <c r="C22" s="50">
        <v>3</v>
      </c>
      <c r="D22" s="50" t="s">
        <v>127</v>
      </c>
      <c r="E22" s="51" t="s">
        <v>201</v>
      </c>
      <c r="F22" s="51" t="s">
        <v>202</v>
      </c>
      <c r="G22" s="50"/>
      <c r="H22" s="52"/>
      <c r="I22" s="50"/>
    </row>
    <row r="23" spans="1:9" ht="35" customHeight="1" x14ac:dyDescent="0.15">
      <c r="A23" s="47">
        <v>480101414</v>
      </c>
      <c r="B23" s="93" t="s">
        <v>273</v>
      </c>
      <c r="C23" s="50">
        <v>3</v>
      </c>
      <c r="D23" s="50" t="s">
        <v>127</v>
      </c>
      <c r="E23" s="51" t="s">
        <v>203</v>
      </c>
      <c r="F23" s="51" t="s">
        <v>204</v>
      </c>
      <c r="G23" s="50"/>
      <c r="H23" s="52"/>
      <c r="I23" s="50"/>
    </row>
    <row r="24" spans="1:9" ht="35" customHeight="1" x14ac:dyDescent="0.15">
      <c r="A24" s="47">
        <v>480101415</v>
      </c>
      <c r="B24" s="93" t="s">
        <v>274</v>
      </c>
      <c r="C24" s="50">
        <v>3</v>
      </c>
      <c r="D24" s="50" t="s">
        <v>127</v>
      </c>
      <c r="E24" s="51" t="s">
        <v>203</v>
      </c>
      <c r="F24" s="51" t="s">
        <v>204</v>
      </c>
      <c r="G24" s="50"/>
      <c r="H24" s="52"/>
      <c r="I24" s="50"/>
    </row>
    <row r="25" spans="1:9" ht="35" customHeight="1" x14ac:dyDescent="0.15">
      <c r="A25" s="47">
        <v>480101416</v>
      </c>
      <c r="B25" s="93" t="s">
        <v>275</v>
      </c>
      <c r="C25" s="50">
        <v>3</v>
      </c>
      <c r="D25" s="50" t="s">
        <v>127</v>
      </c>
      <c r="E25" s="51" t="s">
        <v>203</v>
      </c>
      <c r="F25" s="51" t="s">
        <v>204</v>
      </c>
      <c r="G25" s="50"/>
      <c r="H25" s="52"/>
      <c r="I25" s="50"/>
    </row>
    <row r="26" spans="1:9" ht="35" customHeight="1" x14ac:dyDescent="0.15">
      <c r="A26" s="47">
        <v>480101320</v>
      </c>
      <c r="B26" s="93" t="s">
        <v>277</v>
      </c>
      <c r="C26" s="50">
        <v>3</v>
      </c>
      <c r="D26" s="50" t="s">
        <v>127</v>
      </c>
      <c r="E26" s="51" t="s">
        <v>203</v>
      </c>
      <c r="F26" s="51" t="s">
        <v>204</v>
      </c>
      <c r="G26" s="50"/>
      <c r="H26" s="52"/>
      <c r="I26" s="50"/>
    </row>
    <row r="27" spans="1:9" ht="30" customHeight="1" x14ac:dyDescent="0.15">
      <c r="A27" s="47">
        <v>480101321</v>
      </c>
      <c r="B27" s="93" t="s">
        <v>180</v>
      </c>
      <c r="C27" s="50">
        <v>3</v>
      </c>
      <c r="D27" s="50" t="s">
        <v>127</v>
      </c>
      <c r="E27" s="51" t="s">
        <v>240</v>
      </c>
      <c r="F27" s="51" t="s">
        <v>243</v>
      </c>
      <c r="G27" s="50"/>
      <c r="H27" s="52"/>
      <c r="I27" s="50"/>
    </row>
    <row r="28" spans="1:9" ht="30" customHeight="1" x14ac:dyDescent="0.15">
      <c r="A28" s="47">
        <v>480101322</v>
      </c>
      <c r="B28" s="93" t="s">
        <v>271</v>
      </c>
      <c r="C28" s="50">
        <v>3</v>
      </c>
      <c r="D28" s="50" t="s">
        <v>127</v>
      </c>
      <c r="E28" s="51" t="s">
        <v>239</v>
      </c>
      <c r="F28" s="51" t="s">
        <v>205</v>
      </c>
      <c r="G28" s="50"/>
      <c r="H28" s="52"/>
      <c r="I28" s="50"/>
    </row>
    <row r="29" spans="1:9" ht="30" customHeight="1" x14ac:dyDescent="0.15">
      <c r="A29" s="47">
        <v>480101323</v>
      </c>
      <c r="B29" s="93" t="s">
        <v>241</v>
      </c>
      <c r="C29" s="50">
        <v>3</v>
      </c>
      <c r="D29" s="50" t="s">
        <v>127</v>
      </c>
      <c r="E29" s="51" t="s">
        <v>256</v>
      </c>
      <c r="F29" s="51" t="s">
        <v>242</v>
      </c>
      <c r="G29" s="50"/>
      <c r="H29" s="52"/>
      <c r="I29" s="50"/>
    </row>
    <row r="30" spans="1:9" ht="30" customHeight="1" x14ac:dyDescent="0.15">
      <c r="A30" s="47">
        <v>480101324</v>
      </c>
      <c r="B30" s="93" t="s">
        <v>226</v>
      </c>
      <c r="C30" s="50">
        <v>3</v>
      </c>
      <c r="D30" s="50" t="s">
        <v>127</v>
      </c>
      <c r="E30" s="51" t="s">
        <v>256</v>
      </c>
      <c r="F30" s="51" t="s">
        <v>238</v>
      </c>
      <c r="G30" s="50"/>
      <c r="H30" s="52"/>
      <c r="I30" s="50"/>
    </row>
  </sheetData>
  <autoFilter ref="A1:I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75" zoomScaleNormal="75" zoomScalePageLayoutView="75" workbookViewId="0">
      <pane ySplit="1" topLeftCell="A2" activePane="bottomLeft" state="frozenSplit"/>
      <selection pane="bottomLeft" activeCell="K26" sqref="K2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18.1640625" style="45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41" t="s">
        <v>215</v>
      </c>
    </row>
    <row r="2" spans="1:11" ht="21" customHeight="1" x14ac:dyDescent="0.15">
      <c r="A2" s="47">
        <v>480100000</v>
      </c>
      <c r="B2" s="47">
        <v>1</v>
      </c>
      <c r="C2" s="47">
        <v>3</v>
      </c>
      <c r="D2" s="47">
        <v>0</v>
      </c>
      <c r="E2" s="47" t="s">
        <v>181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3" si="0">D2</f>
        <v>0</v>
      </c>
      <c r="K2" s="48" t="str">
        <f ca="1">VLOOKUP($A2,OFFSET(enemy_skill_sets!$F$1,0,0,COUNTA(enemy_skill_sets!$A:$A),MATCH(K$1,enemy_skill_sets!$1:$1,0)-MATCH($A$1,enemy_skill_sets!$1:$1,0)+1),MATCH(K$1,enemy_skill_sets!$1:$1,0)-MATCH($A$1,enemy_skill_sets!$1:$1,0)+1,FALSE)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3" spans="1:11" ht="21" customHeight="1" x14ac:dyDescent="0.15">
      <c r="A3" s="47">
        <v>480100001</v>
      </c>
      <c r="B3" s="47">
        <v>0</v>
      </c>
      <c r="C3" s="47">
        <v>2</v>
      </c>
      <c r="D3" s="47">
        <v>100</v>
      </c>
      <c r="E3" s="47" t="s">
        <v>251</v>
      </c>
      <c r="F3" s="47">
        <v>100</v>
      </c>
      <c r="G3" s="47">
        <v>1</v>
      </c>
      <c r="H3" s="47" t="s">
        <v>53</v>
      </c>
      <c r="I3" s="47" t="s">
        <v>53</v>
      </c>
      <c r="J3" s="48">
        <f t="shared" si="0"/>
        <v>100</v>
      </c>
      <c r="K3" s="48" t="str">
        <f ca="1">VLOOKUP($A3,OFFSET(enemy_skill_sets!$F$1,0,0,COUNTA(enemy_skill_sets!$A:$A),MATCH(K$1,enemy_skill_sets!$1:$1,0)-MATCH($A$1,enemy_skill_sets!$1:$1,0)+1),MATCH(K$1,enemy_skill_sets!$1:$1,0)-MATCH($A$1,enemy_skill_sets!$1:$1,0)+1,FALSE)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4" spans="1:11" ht="21" customHeight="1" x14ac:dyDescent="0.15">
      <c r="A4" s="47">
        <v>480100002</v>
      </c>
      <c r="B4" s="47">
        <v>0</v>
      </c>
      <c r="C4" s="47">
        <v>2</v>
      </c>
      <c r="D4" s="47">
        <v>100</v>
      </c>
      <c r="E4" s="47">
        <v>99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ref="J4:J6" si="1">D4</f>
        <v>100</v>
      </c>
      <c r="K4" s="48" t="str">
        <f ca="1">VLOOKUP($A4,OFFSET(enemy_skill_sets!$F$1,0,0,COUNTA(enemy_skill_sets!$A:$A),MATCH(K$1,enemy_skill_sets!$1:$1,0)-MATCH($A$1,enemy_skill_sets!$1:$1,0)+1),MATCH(K$1,enemy_skill_sets!$1:$1,0)-MATCH($A$1,enemy_skill_sets!$1:$1,0)+1,FALSE)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5" spans="1:11" ht="21" customHeight="1" x14ac:dyDescent="0.15">
      <c r="A5" s="47">
        <v>480100003</v>
      </c>
      <c r="B5" s="47">
        <v>0</v>
      </c>
      <c r="C5" s="47">
        <v>1</v>
      </c>
      <c r="D5" s="47">
        <v>100</v>
      </c>
      <c r="E5" s="47" t="s">
        <v>181</v>
      </c>
      <c r="F5" s="47" t="s">
        <v>53</v>
      </c>
      <c r="G5" s="47" t="s">
        <v>225</v>
      </c>
      <c r="H5" s="47" t="s">
        <v>53</v>
      </c>
      <c r="I5" s="47" t="s">
        <v>53</v>
      </c>
      <c r="J5" s="48">
        <f t="shared" ref="J5" si="2">D5</f>
        <v>100</v>
      </c>
      <c r="K5" s="48" t="str">
        <f ca="1">VLOOKUP($A5,OFFSET(enemy_skill_sets!$F$1,0,0,COUNTA(enemy_skill_sets!$A:$A),MATCH(K$1,enemy_skill_sets!$1:$1,0)-MATCH($A$1,enemy_skill_sets!$1:$1,0)+1),MATCH(K$1,enemy_skill_sets!$1:$1,0)-MATCH($A$1,enemy_skill_sets!$1:$1,0)+1,FALSE)</f>
        <v>何度でも</v>
      </c>
    </row>
    <row r="6" spans="1:11" ht="21" customHeight="1" x14ac:dyDescent="0.15">
      <c r="A6" s="47">
        <v>480101220</v>
      </c>
      <c r="B6" s="47">
        <v>0</v>
      </c>
      <c r="C6" s="47">
        <v>2</v>
      </c>
      <c r="D6" s="47">
        <v>100</v>
      </c>
      <c r="E6" s="47" t="s">
        <v>181</v>
      </c>
      <c r="F6" s="47" t="s">
        <v>89</v>
      </c>
      <c r="G6" s="47">
        <v>1</v>
      </c>
      <c r="H6" s="47" t="s">
        <v>89</v>
      </c>
      <c r="I6" s="47">
        <v>13</v>
      </c>
      <c r="J6" s="48">
        <f t="shared" si="1"/>
        <v>100</v>
      </c>
      <c r="K6" s="48" t="str">
        <f ca="1">VLOOKUP($A6,OFFSET(enemy_skill_sets!$F$1,0,0,COUNTA(enemy_skill_sets!$A:$A),MATCH(K$1,enemy_skill_sets!$1:$1,0)-MATCH($A$1,enemy_skill_sets!$1:$1,0)+1),MATCH(K$1,enemy_skill_sets!$1:$1,0)-MATCH($A$1,enemy_skill_sets!$1:$1,0)+1,FALSE)</f>
        <v>13が死んだ時</v>
      </c>
    </row>
    <row r="7" spans="1:11" ht="21" customHeight="1" x14ac:dyDescent="0.15">
      <c r="A7" s="47">
        <v>480101221</v>
      </c>
      <c r="B7" s="47">
        <v>0</v>
      </c>
      <c r="C7" s="47">
        <v>2</v>
      </c>
      <c r="D7" s="47">
        <v>100</v>
      </c>
      <c r="E7" s="47" t="s">
        <v>181</v>
      </c>
      <c r="F7" s="47" t="s">
        <v>89</v>
      </c>
      <c r="G7" s="47">
        <v>1</v>
      </c>
      <c r="H7" s="47" t="s">
        <v>89</v>
      </c>
      <c r="I7" s="47">
        <v>49</v>
      </c>
      <c r="J7" s="48">
        <f t="shared" ref="J7:J10" si="3">D7</f>
        <v>100</v>
      </c>
      <c r="K7" s="48" t="str">
        <f ca="1">VLOOKUP($A7,OFFSET(enemy_skill_sets!$F$1,0,0,COUNTA(enemy_skill_sets!$A:$A),MATCH(K$1,enemy_skill_sets!$1:$1,0)-MATCH($A$1,enemy_skill_sets!$1:$1,0)+1),MATCH(K$1,enemy_skill_sets!$1:$1,0)-MATCH($A$1,enemy_skill_sets!$1:$1,0)+1,FALSE)</f>
        <v>49が死んだ時</v>
      </c>
    </row>
    <row r="8" spans="1:11" ht="21" customHeight="1" x14ac:dyDescent="0.15">
      <c r="A8" s="47">
        <v>480101222</v>
      </c>
      <c r="B8" s="47">
        <v>0</v>
      </c>
      <c r="C8" s="47">
        <v>1</v>
      </c>
      <c r="D8" s="47">
        <v>100</v>
      </c>
      <c r="E8" s="47" t="s">
        <v>181</v>
      </c>
      <c r="F8" s="47" t="s">
        <v>89</v>
      </c>
      <c r="G8" s="47" t="s">
        <v>216</v>
      </c>
      <c r="H8" s="47" t="s">
        <v>89</v>
      </c>
      <c r="I8" s="47" t="s">
        <v>89</v>
      </c>
      <c r="J8" s="48">
        <f t="shared" si="3"/>
        <v>100</v>
      </c>
      <c r="K8" s="48" t="str">
        <f ca="1">VLOOKUP($A8,OFFSET(enemy_skill_sets!$F$1,0,0,COUNTA(enemy_skill_sets!$A:$A),MATCH(K$1,enemy_skill_sets!$1:$1,0)-MATCH($A$1,enemy_skill_sets!$1:$1,0)+1),MATCH(K$1,enemy_skill_sets!$1:$1,0)-MATCH($A$1,enemy_skill_sets!$1:$1,0)+1,FALSE)</f>
        <v>何度でも</v>
      </c>
    </row>
    <row r="9" spans="1:11" ht="21" customHeight="1" x14ac:dyDescent="0.15">
      <c r="A9" s="47">
        <v>480101300</v>
      </c>
      <c r="B9" s="47">
        <v>1</v>
      </c>
      <c r="C9" s="47">
        <v>9</v>
      </c>
      <c r="D9" s="47">
        <v>0</v>
      </c>
      <c r="E9" s="47" t="s">
        <v>181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3"/>
        <v>0</v>
      </c>
      <c r="K9" s="48" t="str">
        <f ca="1">VLOOKUP($A9,OFFSET(enemy_skill_sets!$F$1,0,0,COUNTA(enemy_skill_sets!$A:$A),MATCH(K$1,enemy_skill_sets!$1:$1,0)-MATCH($A$1,enemy_skill_sets!$1:$1,0)+1),MATCH(K$1,enemy_skill_sets!$1:$1,0)-MATCH($A$1,enemy_skill_sets!$1:$1,0)+1,FALSE)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10" spans="1:11" ht="21" customHeight="1" x14ac:dyDescent="0.15">
      <c r="A10" s="47">
        <v>480101301</v>
      </c>
      <c r="B10" s="47">
        <v>0</v>
      </c>
      <c r="C10" s="47">
        <v>8</v>
      </c>
      <c r="D10" s="47">
        <v>100</v>
      </c>
      <c r="E10" s="47" t="s">
        <v>181</v>
      </c>
      <c r="F10" s="47" t="s">
        <v>89</v>
      </c>
      <c r="G10" s="47">
        <v>1</v>
      </c>
      <c r="H10" s="47" t="s">
        <v>89</v>
      </c>
      <c r="I10" s="47" t="s">
        <v>89</v>
      </c>
      <c r="J10" s="48">
        <f t="shared" si="3"/>
        <v>100</v>
      </c>
      <c r="K10" s="48" t="str">
        <f ca="1">VLOOKUP($A10,OFFSET(enemy_skill_sets!$F$1,0,0,COUNTA(enemy_skill_sets!$A:$A),MATCH(K$1,enemy_skill_sets!$1:$1,0)-MATCH($A$1,enemy_skill_sets!$1:$1,0)+1),MATCH(K$1,enemy_skill_sets!$1:$1,0)-MATCH($A$1,enemy_skill_sets!$1:$1,0)+1,FALSE)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1" spans="1:11" ht="21" customHeight="1" x14ac:dyDescent="0.15">
      <c r="A11" s="47">
        <v>480101302</v>
      </c>
      <c r="B11" s="47">
        <v>0</v>
      </c>
      <c r="C11" s="47">
        <v>7</v>
      </c>
      <c r="D11" s="47">
        <v>100</v>
      </c>
      <c r="E11" s="47" t="s">
        <v>181</v>
      </c>
      <c r="F11" s="47" t="s">
        <v>89</v>
      </c>
      <c r="G11" s="47">
        <v>1</v>
      </c>
      <c r="H11" s="47" t="s">
        <v>89</v>
      </c>
      <c r="I11" s="47" t="s">
        <v>89</v>
      </c>
      <c r="J11" s="48">
        <f t="shared" ref="J11:J22" si="4">D11</f>
        <v>100</v>
      </c>
      <c r="K11" s="48" t="str">
        <f ca="1">VLOOKUP($A11,OFFSET(enemy_skill_sets!$F$1,0,0,COUNTA(enemy_skill_sets!$A:$A),MATCH(K$1,enemy_skill_sets!$1:$1,0)-MATCH($A$1,enemy_skill_sets!$1:$1,0)+1),MATCH(K$1,enemy_skill_sets!$1:$1,0)-MATCH($A$1,enemy_skill_sets!$1:$1,0)+1,FALSE)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2" spans="1:11" ht="21" customHeight="1" x14ac:dyDescent="0.15">
      <c r="A12" s="47">
        <v>480101303</v>
      </c>
      <c r="B12" s="47">
        <v>0</v>
      </c>
      <c r="C12" s="47">
        <v>6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ref="J12" si="5">D12</f>
        <v>100</v>
      </c>
      <c r="K12" s="48" t="str">
        <f ca="1">VLOOKUP($A12,OFFSET(enemy_skill_sets!$F$1,0,0,COUNTA(enemy_skill_sets!$A:$A),MATCH(K$1,enemy_skill_sets!$1:$1,0)-MATCH($A$1,enemy_skill_sets!$1:$1,0)+1),MATCH(K$1,enemy_skill_sets!$1:$1,0)-MATCH($A$1,enemy_skill_sets!$1:$1,0)+1,FALSE)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3" spans="1:11" ht="21" customHeight="1" x14ac:dyDescent="0.15">
      <c r="A13" s="47">
        <v>480101304</v>
      </c>
      <c r="B13" s="47">
        <v>0</v>
      </c>
      <c r="C13" s="47">
        <v>4</v>
      </c>
      <c r="D13" s="47">
        <v>100</v>
      </c>
      <c r="E13" s="47">
        <v>50</v>
      </c>
      <c r="F13" s="47" t="s">
        <v>267</v>
      </c>
      <c r="G13" s="47">
        <v>1</v>
      </c>
      <c r="H13" s="47" t="s">
        <v>89</v>
      </c>
      <c r="I13" s="47" t="s">
        <v>89</v>
      </c>
      <c r="J13" s="48">
        <f t="shared" si="4"/>
        <v>100</v>
      </c>
      <c r="K13" s="48" t="str">
        <f ca="1">VLOOKUP($A13,OFFSET(enemy_skill_sets!$F$1,0,0,COUNTA(enemy_skill_sets!$A:$A),MATCH(K$1,enemy_skill_sets!$1:$1,0)-MATCH($A$1,enemy_skill_sets!$1:$1,0)+1),MATCH(K$1,enemy_skill_sets!$1:$1,0)-MATCH($A$1,enemy_skill_sets!$1:$1,0)+1,FALSE)</f>
        <v>HP50%以下で、1回のみ</v>
      </c>
    </row>
    <row r="14" spans="1:11" ht="21" customHeight="1" x14ac:dyDescent="0.15">
      <c r="A14" s="47">
        <v>480101305</v>
      </c>
      <c r="B14" s="47">
        <v>0</v>
      </c>
      <c r="C14" s="47">
        <v>3</v>
      </c>
      <c r="D14" s="47">
        <v>100</v>
      </c>
      <c r="E14" s="47">
        <v>50</v>
      </c>
      <c r="F14" s="47" t="s">
        <v>267</v>
      </c>
      <c r="G14" s="47">
        <v>1</v>
      </c>
      <c r="H14" s="47" t="s">
        <v>89</v>
      </c>
      <c r="I14" s="47" t="s">
        <v>89</v>
      </c>
      <c r="J14" s="48">
        <f t="shared" si="4"/>
        <v>100</v>
      </c>
      <c r="K14" s="48" t="e">
        <f ca="1">VLOOKUP($A14,OFFSET(enemy_skill_sets!$F$1,0,0,COUNTA(enemy_skill_sets!$A:$A),MATCH(K$1,enemy_skill_sets!$1:$1,0)-MATCH($A$1,enemy_skill_sets!$1:$1,0)+1),MATCH(K$1,enemy_skill_sets!$1:$1,0)-MATCH($A$1,enemy_skill_sets!$1:$1,0)+1,FALSE)</f>
        <v>#N/A</v>
      </c>
    </row>
    <row r="15" spans="1:11" ht="21" customHeight="1" x14ac:dyDescent="0.15">
      <c r="A15" s="47">
        <v>480101306</v>
      </c>
      <c r="B15" s="47">
        <v>0</v>
      </c>
      <c r="C15" s="47">
        <v>2</v>
      </c>
      <c r="D15" s="47">
        <v>100</v>
      </c>
      <c r="E15" s="47">
        <v>50</v>
      </c>
      <c r="F15" s="47" t="s">
        <v>267</v>
      </c>
      <c r="G15" s="47" t="s">
        <v>217</v>
      </c>
      <c r="H15" s="47" t="s">
        <v>89</v>
      </c>
      <c r="I15" s="47" t="s">
        <v>89</v>
      </c>
      <c r="J15" s="48">
        <f t="shared" si="4"/>
        <v>100</v>
      </c>
      <c r="K15" s="48" t="str">
        <f ca="1">VLOOKUP($A15,OFFSET(enemy_skill_sets!$F$1,0,0,COUNTA(enemy_skill_sets!$A:$A),MATCH(K$1,enemy_skill_sets!$1:$1,0)-MATCH($A$1,enemy_skill_sets!$1:$1,0)+1),MATCH(K$1,enemy_skill_sets!$1:$1,0)-MATCH($A$1,enemy_skill_sets!$1:$1,0)+1,FALSE)</f>
        <v>HP50%以下で、何度でも</v>
      </c>
    </row>
    <row r="16" spans="1:11" ht="21" customHeight="1" x14ac:dyDescent="0.15">
      <c r="A16" s="47">
        <v>480101414</v>
      </c>
      <c r="B16" s="47">
        <v>0</v>
      </c>
      <c r="C16" s="47">
        <v>5</v>
      </c>
      <c r="D16" s="47">
        <v>100</v>
      </c>
      <c r="E16" s="47" t="s">
        <v>230</v>
      </c>
      <c r="F16" s="47" t="s">
        <v>53</v>
      </c>
      <c r="G16" s="47">
        <v>1</v>
      </c>
      <c r="H16" s="47" t="s">
        <v>53</v>
      </c>
      <c r="I16" s="47">
        <v>8095</v>
      </c>
      <c r="J16" s="48">
        <f t="shared" si="4"/>
        <v>100</v>
      </c>
      <c r="K16" s="48" t="str">
        <f ca="1">VLOOKUP($A16,OFFSET(enemy_skill_sets!$F$1,0,0,COUNTA(enemy_skill_sets!$A:$A),MATCH(K$1,enemy_skill_sets!$1:$1,0)-MATCH($A$1,enemy_skill_sets!$1:$1,0)+1),MATCH(K$1,enemy_skill_sets!$1:$1,0)-MATCH($A$1,enemy_skill_sets!$1:$1,0)+1,FALSE)</f>
        <v>8095が死んだ時</v>
      </c>
    </row>
    <row r="17" spans="1:11" ht="21" customHeight="1" x14ac:dyDescent="0.15">
      <c r="A17" s="47">
        <v>480101415</v>
      </c>
      <c r="B17" s="47">
        <v>0</v>
      </c>
      <c r="C17" s="47">
        <v>5</v>
      </c>
      <c r="D17" s="47">
        <v>100</v>
      </c>
      <c r="E17" s="47" t="s">
        <v>230</v>
      </c>
      <c r="F17" s="47" t="s">
        <v>53</v>
      </c>
      <c r="G17" s="47">
        <v>1</v>
      </c>
      <c r="H17" s="47" t="s">
        <v>53</v>
      </c>
      <c r="I17" s="47">
        <v>8096</v>
      </c>
      <c r="J17" s="48">
        <f t="shared" ref="J17" si="6">D17</f>
        <v>100</v>
      </c>
      <c r="K17" s="48" t="str">
        <f ca="1">VLOOKUP($A17,OFFSET(enemy_skill_sets!$F$1,0,0,COUNTA(enemy_skill_sets!$A:$A),MATCH(K$1,enemy_skill_sets!$1:$1,0)-MATCH($A$1,enemy_skill_sets!$1:$1,0)+1),MATCH(K$1,enemy_skill_sets!$1:$1,0)-MATCH($A$1,enemy_skill_sets!$1:$1,0)+1,FALSE)</f>
        <v>8096が死んだ時</v>
      </c>
    </row>
    <row r="18" spans="1:11" ht="21" customHeight="1" x14ac:dyDescent="0.15">
      <c r="A18" s="47">
        <v>480101416</v>
      </c>
      <c r="B18" s="47">
        <v>0</v>
      </c>
      <c r="C18" s="47">
        <v>5</v>
      </c>
      <c r="D18" s="47">
        <v>100</v>
      </c>
      <c r="E18" s="47" t="s">
        <v>230</v>
      </c>
      <c r="F18" s="47" t="s">
        <v>53</v>
      </c>
      <c r="G18" s="47">
        <v>1</v>
      </c>
      <c r="H18" s="47" t="s">
        <v>53</v>
      </c>
      <c r="I18" s="47">
        <v>8097</v>
      </c>
      <c r="J18" s="48">
        <f t="shared" ref="J18" si="7">D18</f>
        <v>100</v>
      </c>
      <c r="K18" s="48" t="str">
        <f ca="1">VLOOKUP($A18,OFFSET(enemy_skill_sets!$F$1,0,0,COUNTA(enemy_skill_sets!$A:$A),MATCH(K$1,enemy_skill_sets!$1:$1,0)-MATCH($A$1,enemy_skill_sets!$1:$1,0)+1),MATCH(K$1,enemy_skill_sets!$1:$1,0)-MATCH($A$1,enemy_skill_sets!$1:$1,0)+1,FALSE)</f>
        <v>8097が死んだ時</v>
      </c>
    </row>
    <row r="19" spans="1:11" ht="21" customHeight="1" x14ac:dyDescent="0.15">
      <c r="A19" s="47">
        <v>480101417</v>
      </c>
      <c r="B19" s="47">
        <v>0</v>
      </c>
      <c r="C19" s="47">
        <v>5</v>
      </c>
      <c r="D19" s="47">
        <v>100</v>
      </c>
      <c r="E19" s="47" t="s">
        <v>230</v>
      </c>
      <c r="F19" s="47" t="s">
        <v>89</v>
      </c>
      <c r="G19" s="47">
        <v>1</v>
      </c>
      <c r="H19" s="47" t="s">
        <v>89</v>
      </c>
      <c r="I19" s="47">
        <v>8098</v>
      </c>
      <c r="J19" s="48">
        <f t="shared" si="4"/>
        <v>100</v>
      </c>
      <c r="K19" s="48" t="str">
        <f ca="1">VLOOKUP($A19,OFFSET(enemy_skill_sets!$F$1,0,0,COUNTA(enemy_skill_sets!$A:$A),MATCH(K$1,enemy_skill_sets!$1:$1,0)-MATCH($A$1,enemy_skill_sets!$1:$1,0)+1),MATCH(K$1,enemy_skill_sets!$1:$1,0)-MATCH($A$1,enemy_skill_sets!$1:$1,0)+1,FALSE)</f>
        <v>8098が死んだ時</v>
      </c>
    </row>
    <row r="20" spans="1:11" ht="21" customHeight="1" x14ac:dyDescent="0.15">
      <c r="A20" s="47">
        <v>480101308</v>
      </c>
      <c r="B20" s="47">
        <v>0</v>
      </c>
      <c r="C20" s="47">
        <v>1</v>
      </c>
      <c r="D20" s="47">
        <v>100</v>
      </c>
      <c r="E20" s="47" t="s">
        <v>231</v>
      </c>
      <c r="F20" s="47">
        <v>50</v>
      </c>
      <c r="G20" s="47">
        <v>1</v>
      </c>
      <c r="H20" s="47" t="s">
        <v>89</v>
      </c>
      <c r="I20" s="47" t="s">
        <v>89</v>
      </c>
      <c r="J20" s="48">
        <f t="shared" si="4"/>
        <v>100</v>
      </c>
      <c r="K20" s="48" t="str">
        <f ca="1">VLOOKUP($A20,OFFSET(enemy_skill_sets!$F$1,0,0,COUNTA(enemy_skill_sets!$A:$A),MATCH(K$1,enemy_skill_sets!$1:$1,0)-MATCH($A$1,enemy_skill_sets!$1:$1,0)+1),MATCH(K$1,enemy_skill_sets!$1:$1,0)-MATCH($A$1,enemy_skill_sets!$1:$1,0)+1,FALSE)</f>
        <v>HP50%以上で、1回のみ</v>
      </c>
    </row>
    <row r="21" spans="1:11" ht="21" customHeight="1" x14ac:dyDescent="0.15">
      <c r="A21" s="47">
        <v>480101310</v>
      </c>
      <c r="B21" s="47">
        <v>0</v>
      </c>
      <c r="C21" s="47" t="s">
        <v>88</v>
      </c>
      <c r="D21" s="47">
        <v>100</v>
      </c>
      <c r="E21" s="47" t="s">
        <v>181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4"/>
        <v>100</v>
      </c>
      <c r="K21" s="48" t="str">
        <f ca="1">VLOOKUP($A21,OFFSET(enemy_skill_sets!$F$1,0,0,COUNTA(enemy_skill_sets!$A:$A),MATCH(K$1,enemy_skill_sets!$1:$1,0)-MATCH($A$1,enemy_skill_sets!$1:$1,0)+1),MATCH(K$1,enemy_skill_sets!$1:$1,0)-MATCH($A$1,enemy_skill_sets!$1:$1,0)+1,FALSE)</f>
        <v>初回のみ</v>
      </c>
    </row>
    <row r="22" spans="1:11" ht="21" customHeight="1" x14ac:dyDescent="0.15">
      <c r="A22" s="47">
        <v>480101320</v>
      </c>
      <c r="B22" s="47">
        <v>1</v>
      </c>
      <c r="C22" s="47">
        <v>5</v>
      </c>
      <c r="D22" s="47">
        <v>0</v>
      </c>
      <c r="E22" s="47" t="s">
        <v>181</v>
      </c>
      <c r="F22" s="47" t="s">
        <v>89</v>
      </c>
      <c r="G22" s="47">
        <v>1</v>
      </c>
      <c r="H22" s="47" t="s">
        <v>89</v>
      </c>
      <c r="I22" s="47" t="s">
        <v>89</v>
      </c>
      <c r="J22" s="48">
        <f t="shared" si="4"/>
        <v>0</v>
      </c>
      <c r="K22" s="48" t="str">
        <f ca="1">VLOOKUP($A22,OFFSET(enemy_skill_sets!$F$1,0,0,COUNTA(enemy_skill_sets!$A:$A),MATCH(K$1,enemy_skill_sets!$1:$1,0)-MATCH($A$1,enemy_skill_sets!$1:$1,0)+1),MATCH(K$1,enemy_skill_sets!$1:$1,0)-MATCH($A$1,enemy_skill_sets!$1:$1,0)+1,FALSE)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23" spans="1:11" ht="21" customHeight="1" x14ac:dyDescent="0.15">
      <c r="A23" s="47">
        <v>480101321</v>
      </c>
      <c r="B23" s="47">
        <v>0</v>
      </c>
      <c r="C23" s="47">
        <v>4</v>
      </c>
      <c r="D23" s="47">
        <v>100</v>
      </c>
      <c r="E23" s="47" t="s">
        <v>181</v>
      </c>
      <c r="F23" s="47" t="s">
        <v>89</v>
      </c>
      <c r="G23" s="47">
        <v>1</v>
      </c>
      <c r="H23" s="47" t="s">
        <v>89</v>
      </c>
      <c r="I23" s="47" t="s">
        <v>89</v>
      </c>
      <c r="J23" s="48">
        <f t="shared" ref="J23:J25" si="8">D23</f>
        <v>100</v>
      </c>
      <c r="K23" s="48" t="str">
        <f ca="1">VLOOKUP($A23,OFFSET(enemy_skill_sets!$F$1,0,0,COUNTA(enemy_skill_sets!$A:$A),MATCH(K$1,enemy_skill_sets!$1:$1,0)-MATCH($A$1,enemy_skill_sets!$1:$1,0)+1),MATCH(K$1,enemy_skill_sets!$1:$1,0)-MATCH($A$1,enemy_skill_sets!$1:$1,0)+1,FALSE)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24" spans="1:11" ht="21" customHeight="1" x14ac:dyDescent="0.15">
      <c r="A24" s="47">
        <v>480101322</v>
      </c>
      <c r="B24" s="47">
        <v>0</v>
      </c>
      <c r="C24" s="47">
        <v>3</v>
      </c>
      <c r="D24" s="47">
        <v>100</v>
      </c>
      <c r="E24" s="47" t="s">
        <v>181</v>
      </c>
      <c r="F24" s="47" t="s">
        <v>89</v>
      </c>
      <c r="G24" s="47">
        <v>1</v>
      </c>
      <c r="H24" s="47" t="s">
        <v>89</v>
      </c>
      <c r="I24" s="47" t="s">
        <v>89</v>
      </c>
      <c r="J24" s="48">
        <f t="shared" si="8"/>
        <v>100</v>
      </c>
      <c r="K24" s="48" t="str">
        <f ca="1">VLOOKUP($A24,OFFSET(enemy_skill_sets!$F$1,0,0,COUNTA(enemy_skill_sets!$A:$A),MATCH(K$1,enemy_skill_sets!$1:$1,0)-MATCH($A$1,enemy_skill_sets!$1:$1,0)+1),MATCH(K$1,enemy_skill_sets!$1:$1,0)-MATCH($A$1,enemy_skill_sets!$1:$1,0)+1,FALSE)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25" spans="1:11" ht="21" customHeight="1" x14ac:dyDescent="0.15">
      <c r="A25" s="47">
        <v>480101323</v>
      </c>
      <c r="B25" s="47">
        <v>0</v>
      </c>
      <c r="C25" s="47">
        <v>2</v>
      </c>
      <c r="D25" s="47">
        <v>100</v>
      </c>
      <c r="E25" s="47" t="s">
        <v>181</v>
      </c>
      <c r="F25" s="47" t="s">
        <v>89</v>
      </c>
      <c r="G25" s="47">
        <v>1</v>
      </c>
      <c r="H25" s="47" t="s">
        <v>89</v>
      </c>
      <c r="I25" s="47" t="s">
        <v>89</v>
      </c>
      <c r="J25" s="48">
        <f t="shared" si="8"/>
        <v>100</v>
      </c>
      <c r="K25" s="48" t="str">
        <f ca="1">VLOOKUP($A25,OFFSET(enemy_skill_sets!$F$1,0,0,COUNTA(enemy_skill_sets!$A:$A),MATCH(K$1,enemy_skill_sets!$1:$1,0)-MATCH($A$1,enemy_skill_sets!$1:$1,0)+1),MATCH(K$1,enemy_skill_sets!$1:$1,0)-MATCH($A$1,enemy_skill_sets!$1:$1,0)+1,FALSE)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26" spans="1:11" ht="21" customHeight="1" x14ac:dyDescent="0.15">
      <c r="A26" s="47">
        <v>480101324</v>
      </c>
      <c r="B26" s="47">
        <v>0</v>
      </c>
      <c r="C26" s="47">
        <v>1</v>
      </c>
      <c r="D26" s="47">
        <v>100</v>
      </c>
      <c r="E26" s="47" t="s">
        <v>181</v>
      </c>
      <c r="F26" s="47" t="s">
        <v>53</v>
      </c>
      <c r="G26" s="47">
        <v>1</v>
      </c>
      <c r="H26" s="47" t="s">
        <v>53</v>
      </c>
      <c r="I26" s="47">
        <v>381</v>
      </c>
      <c r="J26" s="48">
        <f t="shared" ref="J26" si="9">D26</f>
        <v>100</v>
      </c>
      <c r="K26" s="48" t="str">
        <f ca="1">VLOOKUP($A26,OFFSET(enemy_skill_sets!$F$1,0,0,COUNTA(enemy_skill_sets!$A:$A),MATCH(K$1,enemy_skill_sets!$1:$1,0)-MATCH($A$1,enemy_skill_sets!$1:$1,0)+1),MATCH(K$1,enemy_skill_sets!$1:$1,0)-MATCH($A$1,enemy_skill_sets!$1:$1,0)+1,FALSE)</f>
        <v>381が死んだ時</v>
      </c>
    </row>
  </sheetData>
  <autoFilter ref="A1:G1"/>
  <phoneticPr fontId="5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4"/>
  <sheetViews>
    <sheetView showGridLines="0" workbookViewId="0">
      <pane ySplit="1" topLeftCell="A2" activePane="bottomLeft" state="frozen"/>
      <selection pane="bottomLeft" activeCell="J5" sqref="J5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2" width="28.83203125" bestFit="1" customWidth="1"/>
  </cols>
  <sheetData>
    <row r="1" spans="1:14" x14ac:dyDescent="0.15">
      <c r="A1" s="72" t="s">
        <v>160</v>
      </c>
      <c r="B1" s="69" t="s">
        <v>161</v>
      </c>
      <c r="C1" s="73" t="s">
        <v>162</v>
      </c>
      <c r="D1" s="73" t="s">
        <v>33</v>
      </c>
      <c r="E1" s="69" t="s">
        <v>163</v>
      </c>
      <c r="F1" s="73" t="s">
        <v>164</v>
      </c>
      <c r="G1" s="73" t="s">
        <v>33</v>
      </c>
      <c r="H1" s="69" t="s">
        <v>165</v>
      </c>
      <c r="I1" s="79" t="s">
        <v>166</v>
      </c>
      <c r="J1" s="84" t="s">
        <v>126</v>
      </c>
      <c r="K1" s="84" t="s">
        <v>159</v>
      </c>
      <c r="L1" s="82" t="s">
        <v>158</v>
      </c>
      <c r="M1" s="87" t="s">
        <v>167</v>
      </c>
    </row>
    <row r="2" spans="1:14" ht="70" x14ac:dyDescent="0.15">
      <c r="A2" s="74" t="s">
        <v>169</v>
      </c>
      <c r="B2" s="75">
        <f>floors!$C$2</f>
        <v>48010</v>
      </c>
      <c r="C2" s="80" t="str">
        <f ca="1">VLOOKUP($B2,OFFSET([2]quests!$A$1,0,0,COUNTA([2]quests!$A:$A),MATCH(C$1,[2]quests!$1:$1,0)-MATCH($B$1,[2]quests!$1:$1,0)+1),MATCH(C$1,[2]quests!$1:$1,0)-MATCH($B$1,[2]quests!$1:$1,0)+1,FALSE)</f>
        <v>バハムートダックより祝福を</v>
      </c>
      <c r="D2" s="80" t="str">
        <f ca="1">VLOOKUP($B2,OFFSET([2]quests!$A$1,0,0,COUNTA([2]quests!$A:$A),MATCH(D$1,[2]quests!$1:$1,0)-MATCH($B$1,[2]quests!$1:$1,0)+1),MATCH(D$1,[2]quests!$1:$1,0)-MATCH($B$1,[2]quests!$1:$1,0)+1,FALSE)</f>
        <v>台湾バハムート記念限定クエスト</v>
      </c>
      <c r="E2" s="77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バハムートダックより祝福を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台湾バハムート記念限定クエスト</v>
      </c>
      <c r="H2" s="81">
        <v>0</v>
      </c>
      <c r="I2" s="56">
        <v>480101</v>
      </c>
      <c r="J2" s="76" t="s">
        <v>168</v>
      </c>
      <c r="K2" s="77" t="s">
        <v>261</v>
      </c>
      <c r="L2" s="91" t="s">
        <v>272</v>
      </c>
      <c r="M2" s="56" t="s">
        <v>176</v>
      </c>
      <c r="N2">
        <f>LEN(L2)</f>
        <v>61</v>
      </c>
    </row>
    <row r="3" spans="1:14" ht="70" x14ac:dyDescent="0.15">
      <c r="A3" s="74" t="s">
        <v>258</v>
      </c>
      <c r="B3" s="75">
        <f>floors!$C$2</f>
        <v>48010</v>
      </c>
      <c r="C3" s="80" t="str">
        <f ca="1">VLOOKUP($B3,OFFSET([2]quests!$A$1,0,0,COUNTA([2]quests!$A:$A),MATCH(C$1,[2]quests!$1:$1,0)-MATCH($B$1,[2]quests!$1:$1,0)+1),MATCH(C$1,[2]quests!$1:$1,0)-MATCH($B$1,[2]quests!$1:$1,0)+1,FALSE)</f>
        <v>バハムートダックより祝福を</v>
      </c>
      <c r="D3" s="80" t="str">
        <f ca="1">VLOOKUP($B3,OFFSET([2]quests!$A$1,0,0,COUNTA([2]quests!$A:$A),MATCH(D$1,[2]quests!$1:$1,0)-MATCH($B$1,[2]quests!$1:$1,0)+1),MATCH(D$1,[2]quests!$1:$1,0)-MATCH($B$1,[2]quests!$1:$1,0)+1,FALSE)</f>
        <v>台湾バハムート記念限定クエスト</v>
      </c>
      <c r="E3" s="77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バハムートダックより祝福を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台湾バハムート記念限定クエスト</v>
      </c>
      <c r="H3" s="81">
        <v>0</v>
      </c>
      <c r="I3" s="56">
        <v>480102</v>
      </c>
      <c r="J3" s="76" t="s">
        <v>168</v>
      </c>
      <c r="K3" s="77" t="s">
        <v>259</v>
      </c>
      <c r="L3" s="91" t="s">
        <v>260</v>
      </c>
      <c r="M3" s="56" t="s">
        <v>176</v>
      </c>
      <c r="N3">
        <f>LEN(L3)</f>
        <v>62</v>
      </c>
    </row>
    <row r="4" spans="1:14" x14ac:dyDescent="0.15">
      <c r="K4" s="90" t="s">
        <v>182</v>
      </c>
      <c r="L4" s="90" t="s">
        <v>182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2016-12-09T06:41:35Z</dcterms:modified>
</cp:coreProperties>
</file>