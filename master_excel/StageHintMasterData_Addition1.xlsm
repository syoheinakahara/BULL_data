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4560" yWindow="1480" windowWidth="25040" windowHeight="15560" tabRatio="721" activeTab="1"/>
  </bookViews>
  <sheets>
    <sheet name="output" sheetId="10" r:id="rId1"/>
    <sheet name="stage_hints" sheetId="3" r:id="rId2"/>
  </sheets>
  <externalReferences>
    <externalReference r:id="rId3"/>
    <externalReference r:id="rId4"/>
  </externalReferences>
  <definedNames>
    <definedName name="_xlnm._FilterDatabase" localSheetId="1" hidden="1">stage_hints!$B$1:$L$1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51" i="3" l="1"/>
  <c r="K151" i="3"/>
  <c r="L180" i="3"/>
  <c r="K180" i="3"/>
  <c r="K145" i="3"/>
  <c r="L145" i="3"/>
  <c r="K146" i="3"/>
  <c r="L146" i="3"/>
  <c r="K147" i="3"/>
  <c r="L147" i="3"/>
  <c r="K148" i="3"/>
  <c r="L148" i="3"/>
  <c r="K149" i="3"/>
  <c r="L149" i="3"/>
  <c r="K150" i="3"/>
  <c r="L150" i="3"/>
  <c r="K152" i="3"/>
  <c r="L152" i="3"/>
  <c r="K153" i="3"/>
  <c r="L153" i="3"/>
  <c r="K154" i="3"/>
  <c r="L154" i="3"/>
  <c r="K155" i="3"/>
  <c r="L155" i="3"/>
  <c r="K156" i="3"/>
  <c r="L156" i="3"/>
  <c r="K157" i="3"/>
  <c r="L157" i="3"/>
  <c r="K158" i="3"/>
  <c r="L158" i="3"/>
  <c r="K159" i="3"/>
  <c r="L159" i="3"/>
  <c r="K160" i="3"/>
  <c r="L160" i="3"/>
  <c r="K161" i="3"/>
  <c r="L161" i="3"/>
  <c r="K162" i="3"/>
  <c r="L162" i="3"/>
  <c r="K163" i="3"/>
  <c r="L163" i="3"/>
  <c r="K164" i="3"/>
  <c r="L164" i="3"/>
  <c r="K165" i="3"/>
  <c r="L165" i="3"/>
  <c r="K166" i="3"/>
  <c r="L166" i="3"/>
  <c r="K167" i="3"/>
  <c r="L167" i="3"/>
  <c r="K168" i="3"/>
  <c r="L168" i="3"/>
  <c r="K169" i="3"/>
  <c r="L169" i="3"/>
  <c r="K170" i="3"/>
  <c r="L170" i="3"/>
  <c r="K171" i="3"/>
  <c r="L171" i="3"/>
  <c r="K172" i="3"/>
  <c r="L172" i="3"/>
  <c r="K173" i="3"/>
  <c r="L173" i="3"/>
  <c r="K174" i="3"/>
  <c r="L174" i="3"/>
  <c r="K175" i="3"/>
  <c r="L175" i="3"/>
  <c r="K176" i="3"/>
  <c r="L176" i="3"/>
  <c r="K177" i="3"/>
  <c r="L177" i="3"/>
  <c r="K178" i="3"/>
  <c r="L178" i="3"/>
  <c r="K179" i="3"/>
  <c r="L179" i="3"/>
  <c r="K181" i="3"/>
  <c r="L181" i="3"/>
  <c r="K182" i="3"/>
  <c r="L182" i="3"/>
  <c r="K183" i="3"/>
  <c r="L183" i="3"/>
  <c r="K184" i="3"/>
  <c r="L184" i="3"/>
  <c r="K185" i="3"/>
  <c r="L185" i="3"/>
  <c r="K186" i="3"/>
  <c r="L186" i="3"/>
  <c r="K187" i="3"/>
  <c r="L187" i="3"/>
  <c r="K188" i="3"/>
  <c r="L188" i="3"/>
  <c r="K189" i="3"/>
  <c r="L189" i="3"/>
  <c r="K190" i="3"/>
  <c r="L190" i="3"/>
  <c r="K191" i="3"/>
  <c r="L191" i="3"/>
  <c r="K192" i="3"/>
  <c r="L192" i="3"/>
  <c r="K193" i="3"/>
  <c r="L193" i="3"/>
  <c r="K194" i="3"/>
  <c r="L194" i="3"/>
  <c r="K195" i="3"/>
  <c r="L195" i="3"/>
  <c r="K196" i="3"/>
  <c r="L196" i="3"/>
  <c r="K197" i="3"/>
  <c r="L197" i="3"/>
  <c r="K198" i="3"/>
  <c r="L198" i="3"/>
  <c r="K199" i="3"/>
  <c r="L199" i="3"/>
  <c r="K200" i="3"/>
  <c r="L200" i="3"/>
  <c r="K201" i="3"/>
  <c r="L201" i="3"/>
  <c r="K202" i="3"/>
  <c r="L202" i="3"/>
  <c r="K203" i="3"/>
  <c r="L203" i="3"/>
  <c r="K204" i="3"/>
  <c r="L204" i="3"/>
  <c r="K205" i="3"/>
  <c r="L205" i="3"/>
  <c r="K206" i="3"/>
  <c r="L206" i="3"/>
  <c r="K207" i="3"/>
  <c r="L207" i="3"/>
  <c r="K208" i="3"/>
  <c r="L208" i="3"/>
  <c r="K209" i="3"/>
  <c r="L209" i="3"/>
  <c r="K210" i="3"/>
  <c r="L210" i="3"/>
  <c r="K211" i="3"/>
  <c r="L211" i="3"/>
  <c r="K212" i="3"/>
  <c r="L212" i="3"/>
  <c r="K213" i="3"/>
  <c r="L213" i="3"/>
  <c r="K214" i="3"/>
  <c r="L214" i="3"/>
  <c r="K215" i="3"/>
  <c r="L215" i="3"/>
  <c r="K216" i="3"/>
  <c r="L216" i="3"/>
  <c r="K217" i="3"/>
  <c r="L217" i="3"/>
  <c r="K218" i="3"/>
  <c r="L218" i="3"/>
  <c r="K219" i="3"/>
  <c r="L219" i="3"/>
  <c r="K220" i="3"/>
  <c r="L220" i="3"/>
  <c r="K221" i="3"/>
  <c r="L221" i="3"/>
  <c r="K222" i="3"/>
  <c r="L222" i="3"/>
  <c r="K223" i="3"/>
  <c r="L223" i="3"/>
  <c r="K224" i="3"/>
  <c r="L224" i="3"/>
  <c r="K225" i="3"/>
  <c r="L225" i="3"/>
  <c r="K226" i="3"/>
  <c r="L226" i="3"/>
  <c r="K227" i="3"/>
  <c r="L227" i="3"/>
  <c r="K228" i="3"/>
  <c r="L228" i="3"/>
  <c r="K229" i="3"/>
  <c r="L229" i="3"/>
  <c r="K230" i="3"/>
  <c r="L230" i="3"/>
  <c r="K231" i="3"/>
  <c r="L231" i="3"/>
  <c r="K232" i="3"/>
  <c r="L232" i="3"/>
  <c r="K233" i="3"/>
  <c r="L233" i="3"/>
  <c r="K234" i="3"/>
  <c r="L234" i="3"/>
  <c r="K235" i="3"/>
  <c r="L235" i="3"/>
  <c r="K236" i="3"/>
  <c r="L236" i="3"/>
  <c r="K237" i="3"/>
  <c r="L237" i="3"/>
  <c r="K238" i="3"/>
  <c r="L238" i="3"/>
  <c r="K239" i="3"/>
  <c r="L239" i="3"/>
  <c r="K240" i="3"/>
  <c r="L240" i="3"/>
  <c r="K241" i="3"/>
  <c r="L241" i="3"/>
  <c r="K242" i="3"/>
  <c r="L242" i="3"/>
  <c r="K243" i="3"/>
  <c r="L243" i="3"/>
  <c r="K244" i="3"/>
  <c r="L244" i="3"/>
  <c r="K245" i="3"/>
  <c r="L245" i="3"/>
  <c r="K246" i="3"/>
  <c r="L246" i="3"/>
  <c r="K247" i="3"/>
  <c r="L247" i="3"/>
  <c r="K248" i="3"/>
  <c r="L248" i="3"/>
  <c r="K249" i="3"/>
  <c r="L249" i="3"/>
  <c r="K250" i="3"/>
  <c r="L250" i="3"/>
  <c r="K251" i="3"/>
  <c r="L251" i="3"/>
  <c r="K252" i="3"/>
  <c r="L252" i="3"/>
  <c r="K253" i="3"/>
  <c r="L253" i="3"/>
  <c r="K254" i="3"/>
  <c r="L254" i="3"/>
  <c r="K255" i="3"/>
  <c r="L255" i="3"/>
  <c r="K256" i="3"/>
  <c r="L256" i="3"/>
  <c r="K257" i="3"/>
  <c r="L257" i="3"/>
  <c r="K258" i="3"/>
  <c r="L258" i="3"/>
  <c r="K259" i="3"/>
  <c r="L259" i="3"/>
  <c r="K260" i="3"/>
  <c r="L260" i="3"/>
  <c r="K261" i="3"/>
  <c r="L261" i="3"/>
  <c r="K262" i="3"/>
  <c r="L262" i="3"/>
  <c r="K263" i="3"/>
  <c r="L263" i="3"/>
  <c r="K264" i="3"/>
  <c r="L264" i="3"/>
  <c r="K265" i="3"/>
  <c r="L265" i="3"/>
  <c r="K266" i="3"/>
  <c r="L266" i="3"/>
  <c r="K267" i="3"/>
  <c r="L267" i="3"/>
  <c r="K268" i="3"/>
  <c r="L268" i="3"/>
  <c r="K269" i="3"/>
  <c r="L269" i="3"/>
  <c r="K270" i="3"/>
  <c r="L270" i="3"/>
  <c r="K271" i="3"/>
  <c r="L271" i="3"/>
  <c r="K272" i="3"/>
  <c r="L272" i="3"/>
  <c r="K273" i="3"/>
  <c r="L273" i="3"/>
  <c r="K274" i="3"/>
  <c r="L274" i="3"/>
  <c r="K275" i="3"/>
  <c r="L275" i="3"/>
  <c r="K276" i="3"/>
  <c r="L276" i="3"/>
  <c r="K277" i="3"/>
  <c r="L277" i="3"/>
  <c r="K278" i="3"/>
  <c r="L278" i="3"/>
  <c r="K279" i="3"/>
  <c r="L279" i="3"/>
  <c r="K280" i="3"/>
  <c r="L280" i="3"/>
  <c r="K281" i="3"/>
  <c r="L281" i="3"/>
  <c r="K282" i="3"/>
  <c r="L282" i="3"/>
  <c r="K283" i="3"/>
  <c r="L283" i="3"/>
  <c r="K284" i="3"/>
  <c r="L284" i="3"/>
  <c r="K285" i="3"/>
  <c r="L285" i="3"/>
  <c r="K286" i="3"/>
  <c r="L286" i="3"/>
  <c r="K287" i="3"/>
  <c r="L287" i="3"/>
  <c r="K288" i="3"/>
  <c r="L288" i="3"/>
  <c r="K289" i="3"/>
  <c r="L289" i="3"/>
  <c r="K290" i="3"/>
  <c r="L290" i="3"/>
  <c r="K291" i="3"/>
  <c r="L291" i="3"/>
  <c r="K292" i="3"/>
  <c r="L292" i="3"/>
  <c r="K293" i="3"/>
  <c r="L293" i="3"/>
  <c r="K294" i="3"/>
  <c r="L294" i="3"/>
  <c r="K295" i="3"/>
  <c r="L295" i="3"/>
  <c r="K296" i="3"/>
  <c r="L296" i="3"/>
  <c r="K297" i="3"/>
  <c r="L297" i="3"/>
  <c r="K298" i="3"/>
  <c r="L298" i="3"/>
  <c r="K299" i="3"/>
  <c r="L299" i="3"/>
  <c r="K300" i="3"/>
  <c r="L300" i="3"/>
  <c r="K301" i="3"/>
  <c r="L301" i="3"/>
  <c r="K302" i="3"/>
  <c r="L302" i="3"/>
  <c r="K303" i="3"/>
  <c r="L303" i="3"/>
  <c r="K304" i="3"/>
  <c r="L304" i="3"/>
  <c r="K305" i="3"/>
  <c r="L305" i="3"/>
  <c r="K306" i="3"/>
  <c r="L306" i="3"/>
  <c r="K307" i="3"/>
  <c r="L307" i="3"/>
  <c r="K308" i="3"/>
  <c r="L308" i="3"/>
  <c r="K309" i="3"/>
  <c r="L309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K120" i="3"/>
  <c r="L120" i="3"/>
  <c r="K121" i="3"/>
  <c r="L121" i="3"/>
  <c r="K122" i="3"/>
  <c r="L122" i="3"/>
  <c r="K123" i="3"/>
  <c r="L123" i="3"/>
  <c r="K124" i="3"/>
  <c r="L124" i="3"/>
  <c r="K125" i="3"/>
  <c r="L125" i="3"/>
  <c r="K126" i="3"/>
  <c r="L126" i="3"/>
  <c r="K127" i="3"/>
  <c r="L127" i="3"/>
  <c r="K128" i="3"/>
  <c r="L128" i="3"/>
  <c r="K129" i="3"/>
  <c r="L129" i="3"/>
  <c r="K130" i="3"/>
  <c r="L130" i="3"/>
  <c r="K131" i="3"/>
  <c r="L131" i="3"/>
  <c r="K132" i="3"/>
  <c r="L132" i="3"/>
  <c r="K133" i="3"/>
  <c r="L133" i="3"/>
  <c r="K134" i="3"/>
  <c r="L134" i="3"/>
  <c r="K135" i="3"/>
  <c r="L135" i="3"/>
  <c r="K136" i="3"/>
  <c r="L136" i="3"/>
  <c r="K137" i="3"/>
  <c r="L137" i="3"/>
  <c r="K138" i="3"/>
  <c r="L138" i="3"/>
  <c r="K139" i="3"/>
  <c r="L139" i="3"/>
  <c r="K140" i="3"/>
  <c r="L140" i="3"/>
  <c r="K141" i="3"/>
  <c r="L141" i="3"/>
  <c r="K142" i="3"/>
  <c r="L142" i="3"/>
  <c r="K143" i="3"/>
  <c r="L143" i="3"/>
  <c r="K144" i="3"/>
  <c r="L144" i="3"/>
  <c r="L119" i="3"/>
  <c r="K119" i="3"/>
  <c r="G119" i="3"/>
  <c r="F119" i="3"/>
  <c r="D119" i="3"/>
  <c r="L118" i="3"/>
  <c r="K118" i="3"/>
  <c r="G118" i="3"/>
  <c r="F118" i="3"/>
  <c r="D118" i="3"/>
  <c r="L117" i="3"/>
  <c r="K117" i="3"/>
  <c r="G117" i="3"/>
  <c r="F117" i="3"/>
  <c r="D117" i="3"/>
  <c r="L116" i="3"/>
  <c r="K116" i="3"/>
  <c r="G116" i="3"/>
  <c r="F116" i="3"/>
  <c r="D116" i="3"/>
  <c r="L115" i="3"/>
  <c r="K115" i="3"/>
  <c r="G115" i="3"/>
  <c r="F115" i="3"/>
  <c r="D115" i="3"/>
  <c r="L114" i="3"/>
  <c r="K114" i="3"/>
  <c r="G114" i="3"/>
  <c r="F114" i="3"/>
  <c r="D114" i="3"/>
  <c r="L113" i="3"/>
  <c r="K113" i="3"/>
  <c r="G113" i="3"/>
  <c r="F113" i="3"/>
  <c r="D113" i="3"/>
  <c r="L112" i="3"/>
  <c r="K112" i="3"/>
  <c r="G112" i="3"/>
  <c r="F112" i="3"/>
  <c r="D112" i="3"/>
  <c r="L111" i="3"/>
  <c r="K111" i="3"/>
  <c r="G111" i="3"/>
  <c r="F111" i="3"/>
  <c r="D111" i="3"/>
  <c r="L110" i="3"/>
  <c r="K110" i="3"/>
  <c r="G110" i="3"/>
  <c r="F110" i="3"/>
  <c r="D110" i="3"/>
  <c r="L109" i="3"/>
  <c r="K109" i="3"/>
  <c r="G109" i="3"/>
  <c r="F109" i="3"/>
  <c r="D109" i="3"/>
  <c r="L108" i="3"/>
  <c r="K108" i="3"/>
  <c r="G108" i="3"/>
  <c r="F108" i="3"/>
  <c r="D108" i="3"/>
  <c r="L107" i="3"/>
  <c r="K107" i="3"/>
  <c r="G107" i="3"/>
  <c r="F107" i="3"/>
  <c r="D107" i="3"/>
  <c r="L106" i="3"/>
  <c r="K106" i="3"/>
  <c r="G106" i="3"/>
  <c r="F106" i="3"/>
  <c r="D106" i="3"/>
  <c r="L105" i="3"/>
  <c r="K105" i="3"/>
  <c r="G105" i="3"/>
  <c r="F105" i="3"/>
  <c r="D105" i="3"/>
  <c r="L104" i="3"/>
  <c r="K104" i="3"/>
  <c r="G104" i="3"/>
  <c r="F104" i="3"/>
  <c r="D104" i="3"/>
  <c r="L103" i="3"/>
  <c r="K103" i="3"/>
  <c r="G103" i="3"/>
  <c r="F103" i="3"/>
  <c r="D103" i="3"/>
  <c r="L102" i="3"/>
  <c r="K102" i="3"/>
  <c r="G102" i="3"/>
  <c r="F102" i="3"/>
  <c r="D102" i="3"/>
  <c r="L101" i="3"/>
  <c r="K101" i="3"/>
  <c r="G101" i="3"/>
  <c r="F101" i="3"/>
  <c r="D101" i="3"/>
  <c r="L100" i="3"/>
  <c r="K100" i="3"/>
  <c r="G100" i="3"/>
  <c r="F100" i="3"/>
  <c r="D100" i="3"/>
  <c r="L99" i="3"/>
  <c r="K99" i="3"/>
  <c r="G99" i="3"/>
  <c r="F99" i="3"/>
  <c r="D99" i="3"/>
  <c r="L98" i="3"/>
  <c r="K98" i="3"/>
  <c r="G98" i="3"/>
  <c r="F98" i="3"/>
  <c r="D98" i="3"/>
  <c r="L97" i="3"/>
  <c r="K97" i="3"/>
  <c r="G97" i="3"/>
  <c r="F97" i="3"/>
  <c r="D97" i="3"/>
  <c r="L96" i="3"/>
  <c r="K96" i="3"/>
  <c r="G96" i="3"/>
  <c r="F96" i="3"/>
  <c r="D96" i="3"/>
  <c r="L95" i="3"/>
  <c r="K95" i="3"/>
  <c r="G95" i="3"/>
  <c r="F95" i="3"/>
  <c r="D95" i="3"/>
  <c r="L94" i="3"/>
  <c r="K94" i="3"/>
  <c r="G94" i="3"/>
  <c r="F94" i="3"/>
  <c r="D94" i="3"/>
  <c r="L93" i="3"/>
  <c r="K93" i="3"/>
  <c r="G93" i="3"/>
  <c r="F93" i="3"/>
  <c r="D93" i="3"/>
  <c r="L92" i="3"/>
  <c r="K92" i="3"/>
  <c r="G92" i="3"/>
  <c r="F92" i="3"/>
  <c r="D92" i="3"/>
  <c r="L91" i="3"/>
  <c r="K91" i="3"/>
  <c r="G91" i="3"/>
  <c r="F91" i="3"/>
  <c r="D91" i="3"/>
  <c r="L90" i="3"/>
  <c r="K90" i="3"/>
  <c r="G90" i="3"/>
  <c r="F90" i="3"/>
  <c r="D90" i="3"/>
  <c r="L89" i="3"/>
  <c r="K89" i="3"/>
  <c r="G89" i="3"/>
  <c r="F89" i="3"/>
  <c r="D89" i="3"/>
  <c r="L88" i="3"/>
  <c r="K88" i="3"/>
  <c r="G88" i="3"/>
  <c r="F88" i="3"/>
  <c r="D88" i="3"/>
  <c r="L87" i="3"/>
  <c r="K87" i="3"/>
  <c r="G87" i="3"/>
  <c r="F87" i="3"/>
  <c r="D87" i="3"/>
  <c r="L86" i="3"/>
  <c r="K86" i="3"/>
  <c r="G86" i="3"/>
  <c r="F86" i="3"/>
  <c r="D86" i="3"/>
  <c r="L85" i="3"/>
  <c r="K85" i="3"/>
  <c r="G85" i="3"/>
  <c r="F85" i="3"/>
  <c r="D85" i="3"/>
  <c r="L84" i="3"/>
  <c r="K84" i="3"/>
  <c r="G84" i="3"/>
  <c r="F84" i="3"/>
  <c r="D84" i="3"/>
  <c r="L83" i="3"/>
  <c r="K83" i="3"/>
  <c r="G83" i="3"/>
  <c r="F83" i="3"/>
  <c r="D83" i="3"/>
  <c r="L82" i="3"/>
  <c r="K82" i="3"/>
  <c r="G82" i="3"/>
  <c r="F82" i="3"/>
  <c r="D82" i="3"/>
  <c r="L81" i="3"/>
  <c r="K81" i="3"/>
  <c r="G81" i="3"/>
  <c r="F81" i="3"/>
  <c r="D81" i="3"/>
  <c r="L80" i="3"/>
  <c r="K80" i="3"/>
  <c r="G80" i="3"/>
  <c r="F80" i="3"/>
  <c r="D80" i="3"/>
  <c r="L79" i="3"/>
  <c r="K79" i="3"/>
  <c r="G79" i="3"/>
  <c r="F79" i="3"/>
  <c r="D79" i="3"/>
  <c r="L78" i="3"/>
  <c r="K78" i="3"/>
  <c r="G78" i="3"/>
  <c r="F78" i="3"/>
  <c r="D78" i="3"/>
  <c r="L77" i="3"/>
  <c r="K77" i="3"/>
  <c r="G77" i="3"/>
  <c r="F77" i="3"/>
  <c r="D77" i="3"/>
  <c r="L76" i="3"/>
  <c r="K76" i="3"/>
  <c r="G76" i="3"/>
  <c r="F76" i="3"/>
  <c r="D76" i="3"/>
  <c r="L75" i="3"/>
  <c r="K75" i="3"/>
  <c r="G75" i="3"/>
  <c r="F75" i="3"/>
  <c r="D75" i="3"/>
  <c r="L74" i="3"/>
  <c r="K74" i="3"/>
  <c r="G74" i="3"/>
  <c r="F74" i="3"/>
  <c r="D74" i="3"/>
  <c r="L73" i="3"/>
  <c r="K73" i="3"/>
  <c r="G73" i="3"/>
  <c r="F73" i="3"/>
  <c r="D73" i="3"/>
  <c r="L72" i="3"/>
  <c r="K72" i="3"/>
  <c r="G72" i="3"/>
  <c r="F72" i="3"/>
  <c r="D72" i="3"/>
  <c r="L71" i="3"/>
  <c r="K71" i="3"/>
  <c r="G71" i="3"/>
  <c r="F71" i="3"/>
  <c r="D71" i="3"/>
  <c r="L70" i="3"/>
  <c r="K70" i="3"/>
  <c r="G70" i="3"/>
  <c r="F70" i="3"/>
  <c r="D70" i="3"/>
  <c r="L69" i="3"/>
  <c r="K69" i="3"/>
  <c r="G69" i="3"/>
  <c r="F69" i="3"/>
  <c r="D69" i="3"/>
  <c r="L68" i="3"/>
  <c r="K68" i="3"/>
  <c r="G68" i="3"/>
  <c r="F68" i="3"/>
  <c r="D68" i="3"/>
  <c r="L67" i="3"/>
  <c r="K67" i="3"/>
  <c r="G67" i="3"/>
  <c r="F67" i="3"/>
  <c r="D67" i="3"/>
  <c r="L66" i="3"/>
  <c r="K66" i="3"/>
  <c r="G66" i="3"/>
  <c r="F66" i="3"/>
  <c r="D66" i="3"/>
  <c r="L65" i="3"/>
  <c r="K65" i="3"/>
  <c r="G65" i="3"/>
  <c r="F65" i="3"/>
  <c r="D65" i="3"/>
  <c r="L64" i="3"/>
  <c r="K64" i="3"/>
  <c r="G64" i="3"/>
  <c r="F64" i="3"/>
  <c r="D64" i="3"/>
  <c r="L63" i="3"/>
  <c r="K63" i="3"/>
  <c r="G63" i="3"/>
  <c r="F63" i="3"/>
  <c r="D63" i="3"/>
  <c r="L62" i="3"/>
  <c r="K62" i="3"/>
  <c r="G62" i="3"/>
  <c r="F62" i="3"/>
  <c r="D62" i="3"/>
  <c r="L61" i="3"/>
  <c r="K61" i="3"/>
  <c r="G61" i="3"/>
  <c r="F61" i="3"/>
  <c r="D61" i="3"/>
  <c r="L60" i="3"/>
  <c r="K60" i="3"/>
  <c r="G60" i="3"/>
  <c r="F60" i="3"/>
  <c r="D60" i="3"/>
  <c r="L59" i="3"/>
  <c r="K59" i="3"/>
  <c r="G59" i="3"/>
  <c r="F59" i="3"/>
  <c r="D59" i="3"/>
  <c r="L58" i="3"/>
  <c r="K58" i="3"/>
  <c r="G58" i="3"/>
  <c r="F58" i="3"/>
  <c r="D58" i="3"/>
  <c r="L57" i="3"/>
  <c r="K57" i="3"/>
  <c r="G57" i="3"/>
  <c r="F57" i="3"/>
  <c r="D57" i="3"/>
  <c r="L56" i="3"/>
  <c r="K56" i="3"/>
  <c r="G56" i="3"/>
  <c r="F56" i="3"/>
  <c r="D56" i="3"/>
  <c r="L55" i="3"/>
  <c r="K55" i="3"/>
  <c r="G55" i="3"/>
  <c r="F55" i="3"/>
  <c r="D55" i="3"/>
  <c r="L54" i="3"/>
  <c r="K54" i="3"/>
  <c r="G54" i="3"/>
  <c r="F54" i="3"/>
  <c r="D54" i="3"/>
  <c r="L53" i="3"/>
  <c r="K53" i="3"/>
  <c r="G53" i="3"/>
  <c r="F53" i="3"/>
  <c r="D53" i="3"/>
  <c r="L52" i="3"/>
  <c r="K52" i="3"/>
  <c r="G52" i="3"/>
  <c r="F52" i="3"/>
  <c r="D52" i="3"/>
  <c r="L51" i="3"/>
  <c r="K51" i="3"/>
  <c r="G51" i="3"/>
  <c r="F51" i="3"/>
  <c r="D51" i="3"/>
  <c r="L50" i="3"/>
  <c r="K50" i="3"/>
  <c r="G50" i="3"/>
  <c r="F50" i="3"/>
  <c r="D50" i="3"/>
  <c r="L49" i="3"/>
  <c r="K49" i="3"/>
  <c r="G49" i="3"/>
  <c r="F49" i="3"/>
  <c r="D49" i="3"/>
  <c r="L48" i="3"/>
  <c r="K48" i="3"/>
  <c r="G48" i="3"/>
  <c r="F48" i="3"/>
  <c r="D48" i="3"/>
  <c r="L47" i="3"/>
  <c r="K47" i="3"/>
  <c r="G47" i="3"/>
  <c r="F47" i="3"/>
  <c r="D47" i="3"/>
  <c r="L46" i="3"/>
  <c r="K46" i="3"/>
  <c r="G46" i="3"/>
  <c r="F46" i="3"/>
  <c r="D46" i="3"/>
  <c r="L45" i="3"/>
  <c r="K45" i="3"/>
  <c r="G45" i="3"/>
  <c r="F45" i="3"/>
  <c r="D45" i="3"/>
  <c r="L44" i="3"/>
  <c r="K44" i="3"/>
  <c r="G44" i="3"/>
  <c r="F44" i="3"/>
  <c r="D44" i="3"/>
  <c r="L43" i="3"/>
  <c r="K43" i="3"/>
  <c r="G43" i="3"/>
  <c r="F43" i="3"/>
  <c r="D43" i="3"/>
  <c r="L42" i="3"/>
  <c r="K42" i="3"/>
  <c r="G42" i="3"/>
  <c r="F42" i="3"/>
  <c r="D42" i="3"/>
  <c r="L41" i="3"/>
  <c r="K41" i="3"/>
  <c r="G41" i="3"/>
  <c r="F41" i="3"/>
  <c r="D41" i="3"/>
  <c r="L40" i="3"/>
  <c r="K40" i="3"/>
  <c r="G40" i="3"/>
  <c r="F40" i="3"/>
  <c r="D40" i="3"/>
  <c r="L39" i="3"/>
  <c r="K39" i="3"/>
  <c r="G39" i="3"/>
  <c r="F39" i="3"/>
  <c r="D39" i="3"/>
  <c r="L38" i="3"/>
  <c r="K38" i="3"/>
  <c r="G38" i="3"/>
  <c r="F38" i="3"/>
  <c r="D38" i="3"/>
  <c r="L37" i="3"/>
  <c r="K37" i="3"/>
  <c r="G37" i="3"/>
  <c r="F37" i="3"/>
  <c r="D37" i="3"/>
  <c r="L36" i="3"/>
  <c r="K36" i="3"/>
  <c r="G36" i="3"/>
  <c r="F36" i="3"/>
  <c r="D36" i="3"/>
  <c r="L35" i="3"/>
  <c r="K35" i="3"/>
  <c r="G35" i="3"/>
  <c r="F35" i="3"/>
  <c r="D35" i="3"/>
  <c r="L34" i="3"/>
  <c r="K34" i="3"/>
  <c r="G34" i="3"/>
  <c r="F34" i="3"/>
  <c r="D34" i="3"/>
  <c r="L33" i="3"/>
  <c r="K33" i="3"/>
  <c r="G33" i="3"/>
  <c r="F33" i="3"/>
  <c r="D33" i="3"/>
  <c r="L32" i="3"/>
  <c r="K32" i="3"/>
  <c r="G32" i="3"/>
  <c r="F32" i="3"/>
  <c r="D32" i="3"/>
  <c r="L31" i="3"/>
  <c r="K31" i="3"/>
  <c r="G31" i="3"/>
  <c r="F31" i="3"/>
  <c r="D31" i="3"/>
  <c r="L30" i="3"/>
  <c r="K30" i="3"/>
  <c r="G30" i="3"/>
  <c r="F30" i="3"/>
  <c r="D30" i="3"/>
  <c r="L29" i="3"/>
  <c r="K29" i="3"/>
  <c r="G29" i="3"/>
  <c r="F29" i="3"/>
  <c r="D29" i="3"/>
  <c r="L28" i="3"/>
  <c r="K28" i="3"/>
  <c r="G28" i="3"/>
  <c r="F28" i="3"/>
  <c r="D28" i="3"/>
  <c r="L27" i="3"/>
  <c r="K27" i="3"/>
  <c r="G27" i="3"/>
  <c r="F27" i="3"/>
  <c r="D27" i="3"/>
  <c r="L26" i="3"/>
  <c r="K26" i="3"/>
  <c r="G26" i="3"/>
  <c r="F26" i="3"/>
  <c r="D26" i="3"/>
  <c r="L25" i="3"/>
  <c r="K25" i="3"/>
  <c r="G25" i="3"/>
  <c r="F25" i="3"/>
  <c r="D25" i="3"/>
  <c r="L24" i="3"/>
  <c r="K24" i="3"/>
  <c r="G24" i="3"/>
  <c r="F24" i="3"/>
  <c r="D24" i="3"/>
  <c r="L23" i="3"/>
  <c r="K23" i="3"/>
  <c r="G23" i="3"/>
  <c r="F23" i="3"/>
  <c r="D23" i="3"/>
  <c r="L22" i="3"/>
  <c r="K22" i="3"/>
  <c r="G22" i="3"/>
  <c r="F22" i="3"/>
  <c r="D22" i="3"/>
  <c r="L21" i="3"/>
  <c r="K21" i="3"/>
  <c r="G21" i="3"/>
  <c r="F21" i="3"/>
  <c r="D21" i="3"/>
  <c r="L20" i="3"/>
  <c r="K20" i="3"/>
  <c r="G20" i="3"/>
  <c r="F20" i="3"/>
  <c r="D20" i="3"/>
  <c r="L19" i="3"/>
  <c r="K19" i="3"/>
  <c r="G19" i="3"/>
  <c r="F19" i="3"/>
  <c r="D19" i="3"/>
  <c r="L18" i="3"/>
  <c r="K18" i="3"/>
  <c r="G18" i="3"/>
  <c r="F18" i="3"/>
  <c r="D18" i="3"/>
  <c r="L17" i="3"/>
  <c r="K17" i="3"/>
  <c r="G17" i="3"/>
  <c r="F17" i="3"/>
  <c r="D17" i="3"/>
  <c r="L16" i="3"/>
  <c r="K16" i="3"/>
  <c r="G16" i="3"/>
  <c r="F16" i="3"/>
  <c r="D16" i="3"/>
  <c r="L15" i="3"/>
  <c r="K15" i="3"/>
  <c r="G15" i="3"/>
  <c r="F15" i="3"/>
  <c r="D15" i="3"/>
  <c r="L14" i="3"/>
  <c r="K14" i="3"/>
  <c r="G14" i="3"/>
  <c r="F14" i="3"/>
  <c r="D14" i="3"/>
  <c r="L13" i="3"/>
  <c r="K13" i="3"/>
  <c r="G13" i="3"/>
  <c r="F13" i="3"/>
  <c r="D13" i="3"/>
  <c r="L12" i="3"/>
  <c r="K12" i="3"/>
  <c r="G12" i="3"/>
  <c r="F12" i="3"/>
  <c r="D12" i="3"/>
  <c r="D8" i="3"/>
  <c r="F8" i="3"/>
  <c r="G8" i="3"/>
  <c r="K8" i="3"/>
  <c r="L8" i="3"/>
  <c r="D9" i="3"/>
  <c r="F9" i="3"/>
  <c r="G9" i="3"/>
  <c r="K9" i="3"/>
  <c r="L9" i="3"/>
  <c r="D10" i="3"/>
  <c r="F10" i="3"/>
  <c r="G10" i="3"/>
  <c r="K10" i="3"/>
  <c r="L10" i="3"/>
  <c r="D11" i="3"/>
  <c r="F11" i="3"/>
  <c r="G11" i="3"/>
  <c r="K11" i="3"/>
  <c r="L11" i="3"/>
  <c r="D4" i="3"/>
  <c r="F4" i="3"/>
  <c r="G4" i="3"/>
  <c r="K4" i="3"/>
  <c r="L4" i="3"/>
  <c r="D5" i="3"/>
  <c r="F5" i="3"/>
  <c r="G5" i="3"/>
  <c r="K5" i="3"/>
  <c r="L5" i="3"/>
  <c r="D6" i="3"/>
  <c r="F6" i="3"/>
  <c r="G6" i="3"/>
  <c r="K6" i="3"/>
  <c r="L6" i="3"/>
  <c r="D7" i="3"/>
  <c r="F7" i="3"/>
  <c r="G7" i="3"/>
  <c r="K7" i="3"/>
  <c r="L7" i="3"/>
  <c r="K2" i="3"/>
  <c r="L2" i="3"/>
  <c r="K3" i="3"/>
  <c r="L3" i="3"/>
  <c r="G3" i="3"/>
  <c r="F3" i="3"/>
  <c r="D3" i="3"/>
  <c r="D2" i="3"/>
  <c r="F2" i="3"/>
  <c r="G2" i="3"/>
  <c r="E3" i="10"/>
  <c r="E2" i="10"/>
</calcChain>
</file>

<file path=xl/sharedStrings.xml><?xml version="1.0" encoding="utf-8"?>
<sst xmlns="http://schemas.openxmlformats.org/spreadsheetml/2006/main" count="964" uniqueCount="36">
  <si>
    <t>quest_id</t>
    <phoneticPr fontId="5"/>
  </si>
  <si>
    <t>stage_id</t>
    <phoneticPr fontId="5"/>
  </si>
  <si>
    <t>hint</t>
    <phoneticPr fontId="5"/>
  </si>
  <si>
    <t>name</t>
    <phoneticPr fontId="5"/>
  </si>
  <si>
    <t>位置付け</t>
    <rPh sb="0" eb="3">
      <t>イチヅ</t>
    </rPh>
    <phoneticPr fontId="5"/>
  </si>
  <si>
    <t>quest_id</t>
    <phoneticPr fontId="5"/>
  </si>
  <si>
    <t>hint_id</t>
    <phoneticPr fontId="5"/>
  </si>
  <si>
    <t>language</t>
    <phoneticPr fontId="5"/>
  </si>
  <si>
    <t>hint</t>
    <phoneticPr fontId="5"/>
  </si>
  <si>
    <t>stage_hints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</si>
  <si>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</si>
  <si>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</si>
  <si>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</si>
  <si>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</si>
  <si>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</si>
  <si>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</si>
  <si>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language</t>
    <phoneticPr fontId="5"/>
  </si>
  <si>
    <t>ja</t>
    <phoneticPr fontId="5"/>
  </si>
  <si>
    <t>出力flg</t>
    <rPh sb="0" eb="2">
      <t>シュツリョク</t>
    </rPh>
    <phoneticPr fontId="5"/>
  </si>
  <si>
    <t>old</t>
    <phoneticPr fontId="37"/>
  </si>
  <si>
    <t>floor_id</t>
    <phoneticPr fontId="5"/>
  </si>
  <si>
    <t>floor_id</t>
    <phoneticPr fontId="5"/>
  </si>
  <si>
    <t>filename</t>
  </si>
  <si>
    <t>filename</t>
    <phoneticPr fontId="5"/>
  </si>
  <si>
    <t>NULL</t>
    <phoneticPr fontId="5"/>
  </si>
  <si>
    <t>title</t>
    <phoneticPr fontId="5"/>
  </si>
  <si>
    <t>title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</si>
  <si>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</si>
  <si>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</si>
  <si>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</si>
  <si>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</si>
  <si>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hint_type</t>
    <phoneticPr fontId="5"/>
  </si>
  <si>
    <t>hint_type</t>
    <phoneticPr fontId="5"/>
  </si>
  <si>
    <t>complete</t>
  </si>
  <si>
    <t>skip</t>
    <phoneticPr fontId="37"/>
  </si>
  <si>
    <t>add1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</si>
</sst>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0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.6"/>
      <color rgb="FF000000"/>
      <name val="Arial"/>
      <family val="2"/>
    </font>
    <font>
      <sz val="10"/>
      <color theme="1"/>
      <name val="ＭＳ Ｐゴシック"/>
      <family val="2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0"/>
      <color indexed="8"/>
      <name val="Arial"/>
      <family val="2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</font>
    <font>
      <sz val="9.6"/>
      <color rgb="FF000000"/>
      <name val="ＭＳ Ｐゴシック"/>
      <family val="2"/>
      <charset val="128"/>
    </font>
    <font>
      <sz val="12"/>
      <name val="ＭＳ Ｐゴシック"/>
      <charset val="128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861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13" fillId="6" borderId="3" applyNumberFormat="0" applyAlignment="0" applyProtection="0"/>
    <xf numFmtId="0" fontId="14" fillId="7" borderId="0" applyNumberFormat="0" applyBorder="0" applyAlignment="0" applyProtection="0"/>
    <xf numFmtId="0" fontId="15" fillId="8" borderId="4" applyNumberFormat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8" fillId="10" borderId="5" applyNumberFormat="0" applyAlignment="0" applyProtection="0"/>
    <xf numFmtId="0" fontId="19" fillId="0" borderId="0" applyNumberFormat="0" applyFill="0" applyBorder="0" applyAlignment="0" applyProtection="0"/>
    <xf numFmtId="0" fontId="20" fillId="0" borderId="6" applyNumberFormat="0" applyFill="0" applyAlignment="0" applyProtection="0"/>
    <xf numFmtId="0" fontId="21" fillId="0" borderId="7" applyNumberFormat="0" applyFill="0" applyAlignment="0" applyProtection="0"/>
    <xf numFmtId="0" fontId="22" fillId="0" borderId="8" applyNumberFormat="0" applyFill="0" applyAlignment="0" applyProtection="0"/>
    <xf numFmtId="0" fontId="22" fillId="0" borderId="0" applyNumberFormat="0" applyFill="0" applyBorder="0" applyAlignment="0" applyProtection="0"/>
    <xf numFmtId="0" fontId="23" fillId="8" borderId="0" applyNumberFormat="0" applyBorder="0" applyAlignment="0" applyProtection="0"/>
    <xf numFmtId="0" fontId="23" fillId="7" borderId="0" applyNumberFormat="0" applyBorder="0" applyAlignment="0" applyProtection="0"/>
    <xf numFmtId="0" fontId="23" fillId="11" borderId="0" applyNumberFormat="0" applyBorder="0" applyAlignment="0" applyProtection="0"/>
    <xf numFmtId="0" fontId="23" fillId="8" borderId="0" applyNumberFormat="0" applyBorder="0" applyAlignment="0" applyProtection="0"/>
    <xf numFmtId="0" fontId="23" fillId="12" borderId="0" applyNumberFormat="0" applyBorder="0" applyAlignment="0" applyProtection="0"/>
    <xf numFmtId="0" fontId="23" fillId="6" borderId="0" applyNumberFormat="0" applyBorder="0" applyAlignment="0" applyProtection="0"/>
    <xf numFmtId="0" fontId="23" fillId="8" borderId="0" applyNumberFormat="0" applyBorder="0" applyAlignment="0" applyProtection="0"/>
    <xf numFmtId="0" fontId="23" fillId="13" borderId="0" applyNumberFormat="0" applyBorder="0" applyAlignment="0" applyProtection="0"/>
    <xf numFmtId="0" fontId="23" fillId="11" borderId="0" applyNumberFormat="0" applyBorder="0" applyAlignment="0" applyProtection="0"/>
    <xf numFmtId="0" fontId="23" fillId="8" borderId="0" applyNumberFormat="0" applyBorder="0" applyAlignment="0" applyProtection="0"/>
    <xf numFmtId="0" fontId="23" fillId="14" borderId="0" applyNumberFormat="0" applyBorder="0" applyAlignment="0" applyProtection="0"/>
    <xf numFmtId="0" fontId="23" fillId="7" borderId="0" applyNumberFormat="0" applyBorder="0" applyAlignment="0" applyProtection="0"/>
    <xf numFmtId="0" fontId="24" fillId="15" borderId="0" applyNumberFormat="0" applyBorder="0" applyAlignment="0" applyProtection="0"/>
    <xf numFmtId="0" fontId="24" fillId="13" borderId="0" applyNumberFormat="0" applyBorder="0" applyAlignment="0" applyProtection="0"/>
    <xf numFmtId="0" fontId="24" fillId="11" borderId="0" applyNumberFormat="0" applyBorder="0" applyAlignment="0" applyProtection="0"/>
    <xf numFmtId="0" fontId="24" fillId="8" borderId="0" applyNumberFormat="0" applyBorder="0" applyAlignment="0" applyProtection="0"/>
    <xf numFmtId="0" fontId="24" fillId="15" borderId="0" applyNumberFormat="0" applyBorder="0" applyAlignment="0" applyProtection="0"/>
    <xf numFmtId="0" fontId="24" fillId="7" borderId="0" applyNumberFormat="0" applyBorder="0" applyAlignment="0" applyProtection="0"/>
    <xf numFmtId="0" fontId="16" fillId="0" borderId="0" applyNumberFormat="0" applyFill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1" borderId="0" applyNumberFormat="0" applyBorder="0" applyAlignment="0" applyProtection="0"/>
    <xf numFmtId="0" fontId="24" fillId="17" borderId="0" applyNumberFormat="0" applyBorder="0" applyAlignment="0" applyProtection="0"/>
    <xf numFmtId="0" fontId="24" fillId="15" borderId="0" applyNumberFormat="0" applyBorder="0" applyAlignment="0" applyProtection="0"/>
    <xf numFmtId="0" fontId="24" fillId="13" borderId="0" applyNumberFormat="0" applyBorder="0" applyAlignment="0" applyProtection="0"/>
    <xf numFmtId="0" fontId="25" fillId="18" borderId="0" applyNumberFormat="0" applyBorder="0" applyAlignment="0" applyProtection="0"/>
    <xf numFmtId="0" fontId="14" fillId="7" borderId="0" applyNumberFormat="0" applyBorder="0" applyAlignment="0" applyProtection="0"/>
    <xf numFmtId="0" fontId="26" fillId="0" borderId="0"/>
    <xf numFmtId="0" fontId="27" fillId="0" borderId="9" applyNumberFormat="0" applyFill="0" applyAlignment="0" applyProtection="0"/>
    <xf numFmtId="0" fontId="28" fillId="8" borderId="10" applyNumberFormat="0" applyAlignment="0" applyProtection="0"/>
    <xf numFmtId="0" fontId="28" fillId="19" borderId="10" applyNumberFormat="0" applyAlignment="0" applyProtection="0"/>
    <xf numFmtId="0" fontId="15" fillId="7" borderId="4" applyNumberFormat="0" applyAlignment="0" applyProtection="0"/>
    <xf numFmtId="0" fontId="29" fillId="0" borderId="11" applyNumberFormat="0" applyFill="0" applyAlignment="0" applyProtection="0"/>
    <xf numFmtId="0" fontId="30" fillId="19" borderId="4" applyNumberFormat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12" applyNumberFormat="0" applyFill="0" applyAlignment="0" applyProtection="0"/>
    <xf numFmtId="0" fontId="33" fillId="20" borderId="0" applyNumberFormat="0" applyBorder="0" applyAlignment="0" applyProtection="0"/>
    <xf numFmtId="0" fontId="34" fillId="21" borderId="0" applyNumberFormat="0" applyBorder="0" applyAlignment="0" applyProtection="0"/>
    <xf numFmtId="0" fontId="35" fillId="0" borderId="0"/>
    <xf numFmtId="0" fontId="3" fillId="0" borderId="0"/>
    <xf numFmtId="0" fontId="3" fillId="0" borderId="0"/>
    <xf numFmtId="0" fontId="36" fillId="21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29">
    <xf numFmtId="0" fontId="0" fillId="0" borderId="0" xfId="0"/>
    <xf numFmtId="0" fontId="7" fillId="2" borderId="1" xfId="0" applyFont="1" applyFill="1" applyBorder="1" applyAlignment="1">
      <alignment horizontal="center"/>
    </xf>
    <xf numFmtId="56" fontId="7" fillId="3" borderId="1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vertical="center"/>
    </xf>
    <xf numFmtId="0" fontId="6" fillId="0" borderId="1" xfId="0" applyFont="1" applyFill="1" applyBorder="1"/>
    <xf numFmtId="0" fontId="7" fillId="4" borderId="1" xfId="0" applyFont="1" applyFill="1" applyBorder="1" applyAlignment="1">
      <alignment horizontal="center"/>
    </xf>
    <xf numFmtId="0" fontId="11" fillId="5" borderId="1" xfId="455" applyFont="1" applyFill="1" applyBorder="1"/>
    <xf numFmtId="0" fontId="3" fillId="5" borderId="1" xfId="455" applyFill="1" applyBorder="1"/>
    <xf numFmtId="0" fontId="3" fillId="0" borderId="0" xfId="455"/>
    <xf numFmtId="0" fontId="3" fillId="0" borderId="1" xfId="455" applyBorder="1"/>
    <xf numFmtId="0" fontId="7" fillId="2" borderId="1" xfId="456" applyFont="1" applyFill="1" applyBorder="1" applyAlignment="1">
      <alignment horizontal="left"/>
    </xf>
    <xf numFmtId="0" fontId="7" fillId="3" borderId="1" xfId="0" applyFont="1" applyFill="1" applyBorder="1" applyAlignment="1">
      <alignment horizontal="center"/>
    </xf>
    <xf numFmtId="0" fontId="11" fillId="5" borderId="1" xfId="0" applyFont="1" applyFill="1" applyBorder="1"/>
    <xf numFmtId="0" fontId="2" fillId="0" borderId="1" xfId="455" applyFont="1" applyBorder="1"/>
    <xf numFmtId="56" fontId="7" fillId="2" borderId="1" xfId="0" applyNumberFormat="1" applyFont="1" applyFill="1" applyBorder="1" applyAlignment="1">
      <alignment horizontal="center"/>
    </xf>
    <xf numFmtId="0" fontId="3" fillId="22" borderId="1" xfId="455" applyFill="1" applyBorder="1"/>
    <xf numFmtId="0" fontId="0" fillId="2" borderId="1" xfId="455" applyFont="1" applyFill="1" applyBorder="1"/>
    <xf numFmtId="0" fontId="12" fillId="0" borderId="2" xfId="0" applyFont="1" applyFill="1" applyBorder="1" applyAlignment="1">
      <alignment vertical="center"/>
    </xf>
    <xf numFmtId="0" fontId="3" fillId="2" borderId="0" xfId="455" applyFill="1"/>
    <xf numFmtId="0" fontId="0" fillId="3" borderId="1" xfId="0" applyFill="1" applyBorder="1"/>
    <xf numFmtId="0" fontId="0" fillId="0" borderId="1" xfId="0" applyBorder="1"/>
    <xf numFmtId="0" fontId="0" fillId="2" borderId="0" xfId="455" applyFont="1" applyFill="1"/>
    <xf numFmtId="0" fontId="0" fillId="0" borderId="1" xfId="455" applyFont="1" applyBorder="1"/>
    <xf numFmtId="0" fontId="7" fillId="23" borderId="1" xfId="0" applyFont="1" applyFill="1" applyBorder="1" applyAlignment="1">
      <alignment horizontal="center"/>
    </xf>
    <xf numFmtId="0" fontId="39" fillId="2" borderId="1" xfId="0" applyFont="1" applyFill="1" applyBorder="1" applyAlignment="1">
      <alignment horizontal="center"/>
    </xf>
    <xf numFmtId="0" fontId="39" fillId="0" borderId="1" xfId="0" applyFont="1" applyFill="1" applyBorder="1"/>
    <xf numFmtId="0" fontId="39" fillId="0" borderId="0" xfId="0" applyFont="1" applyFill="1"/>
    <xf numFmtId="0" fontId="38" fillId="23" borderId="1" xfId="0" applyFont="1" applyFill="1" applyBorder="1"/>
    <xf numFmtId="38" fontId="7" fillId="23" borderId="1" xfId="844" applyFont="1" applyFill="1" applyBorder="1" applyAlignment="1"/>
  </cellXfs>
  <cellStyles count="861">
    <cellStyle name="20% - ANZg1" xfId="469"/>
    <cellStyle name="20% - ANZg2" xfId="470"/>
    <cellStyle name="20% - ANZg3" xfId="471"/>
    <cellStyle name="20% - ANZg4" xfId="472"/>
    <cellStyle name="20% - ANZg5" xfId="473"/>
    <cellStyle name="20% - ANZg6" xfId="474"/>
    <cellStyle name="40% - ANZg1" xfId="475"/>
    <cellStyle name="40% - ANZg2" xfId="476"/>
    <cellStyle name="40% - ANZg3" xfId="477"/>
    <cellStyle name="40% - ANZg4" xfId="478"/>
    <cellStyle name="40% - ANZg5" xfId="479"/>
    <cellStyle name="40% - ANZg6" xfId="480"/>
    <cellStyle name="60% - ANZg1" xfId="481"/>
    <cellStyle name="60% - ANZg2" xfId="482"/>
    <cellStyle name="60% - ANZg3" xfId="483"/>
    <cellStyle name="60% - ANZg4" xfId="484"/>
    <cellStyle name="60% - ANZg5" xfId="485"/>
    <cellStyle name="60% - ANZg6" xfId="486"/>
    <cellStyle name="Excel Built-in Normal" xfId="496"/>
    <cellStyle name="^Cg" xfId="464"/>
    <cellStyle name="`FbN Z" xfId="463"/>
    <cellStyle name="ANZg 1" xfId="488"/>
    <cellStyle name="ANZg 2" xfId="489"/>
    <cellStyle name="ANZg 3" xfId="490"/>
    <cellStyle name="ANZg 4" xfId="491"/>
    <cellStyle name="ANZg 5" xfId="492"/>
    <cellStyle name="ANZg 6" xfId="493"/>
    <cellStyle name="" xfId="458"/>
    <cellStyle name="N Z" xfId="497"/>
    <cellStyle name="_" xfId="459"/>
    <cellStyle name="«¢" xfId="462"/>
    <cellStyle name="vZ" xfId="502"/>
    <cellStyle name="x÷" xfId="504"/>
    <cellStyle name="x¶" xfId="503"/>
    <cellStyle name="ýo_ 1" xfId="505"/>
    <cellStyle name="©oµ 1" xfId="465"/>
    <cellStyle name="©oµ 2" xfId="466"/>
    <cellStyle name="©oµ 3" xfId="467"/>
    <cellStyle name="©oµ 4" xfId="468"/>
    <cellStyle name="v" xfId="501"/>
    <cellStyle name="o_" xfId="498"/>
    <cellStyle name="oÍ" xfId="499"/>
    <cellStyle name="__÷" xfId="461"/>
    <cellStyle name="à¾¶" xfId="487"/>
    <cellStyle name="__" xfId="460"/>
    <cellStyle name="üÍ" xfId="500"/>
    <cellStyle name="Ê" xfId="495"/>
    <cellStyle name="Ç¢" xfId="494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桁区切り 2" xfId="139"/>
    <cellStyle name="桁区切り 2 2" xfId="844"/>
    <cellStyle name="標準" xfId="0" builtinId="0"/>
    <cellStyle name="標準 2" xfId="238"/>
    <cellStyle name="標準 3" xfId="508"/>
    <cellStyle name="標準 4" xfId="456"/>
    <cellStyle name="標準 4 2" xfId="457"/>
    <cellStyle name="標準 5" xfId="509"/>
    <cellStyle name="標準 5 2" xfId="510"/>
    <cellStyle name="標準 6" xfId="455"/>
    <cellStyle name="無題1" xfId="5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赤字強調" xfId="507"/>
    <cellStyle name="青字強調" xfId="506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externalLink" Target="externalLinks/externalLink2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12001</v>
          </cell>
        </row>
        <row r="88">
          <cell r="A88">
            <v>12002</v>
          </cell>
        </row>
        <row r="89">
          <cell r="A89">
            <v>12003</v>
          </cell>
        </row>
        <row r="90">
          <cell r="A90">
            <v>12004</v>
          </cell>
        </row>
        <row r="91">
          <cell r="A91">
            <v>13001</v>
          </cell>
        </row>
        <row r="92">
          <cell r="A92">
            <v>13101</v>
          </cell>
        </row>
        <row r="93">
          <cell r="A93">
            <v>13300</v>
          </cell>
        </row>
        <row r="94">
          <cell r="A94">
            <v>13301</v>
          </cell>
        </row>
        <row r="95">
          <cell r="A95">
            <v>13302</v>
          </cell>
        </row>
        <row r="96">
          <cell r="A96">
            <v>13400</v>
          </cell>
        </row>
        <row r="97">
          <cell r="A97">
            <v>14001</v>
          </cell>
        </row>
        <row r="98">
          <cell r="A98">
            <v>14002</v>
          </cell>
        </row>
        <row r="99">
          <cell r="A99">
            <v>14003</v>
          </cell>
        </row>
        <row r="100">
          <cell r="A100">
            <v>14004</v>
          </cell>
        </row>
        <row r="101">
          <cell r="A101">
            <v>14005</v>
          </cell>
        </row>
        <row r="102">
          <cell r="A102">
            <v>14006</v>
          </cell>
        </row>
        <row r="103">
          <cell r="A103">
            <v>15027</v>
          </cell>
        </row>
        <row r="104">
          <cell r="A104">
            <v>15028</v>
          </cell>
        </row>
        <row r="105">
          <cell r="A105">
            <v>15029</v>
          </cell>
        </row>
        <row r="106">
          <cell r="A106">
            <v>15030</v>
          </cell>
        </row>
        <row r="107">
          <cell r="A107">
            <v>15031</v>
          </cell>
        </row>
        <row r="108">
          <cell r="A108">
            <v>20001</v>
          </cell>
        </row>
        <row r="109">
          <cell r="A109">
            <v>20002</v>
          </cell>
        </row>
        <row r="110">
          <cell r="A110">
            <v>20003</v>
          </cell>
        </row>
        <row r="111">
          <cell r="A111">
            <v>20004</v>
          </cell>
        </row>
        <row r="112">
          <cell r="A112">
            <v>20005</v>
          </cell>
        </row>
        <row r="113">
          <cell r="A113">
            <v>20006</v>
          </cell>
        </row>
        <row r="114">
          <cell r="A114">
            <v>20007</v>
          </cell>
        </row>
        <row r="115">
          <cell r="A115">
            <v>20008</v>
          </cell>
        </row>
        <row r="116">
          <cell r="A116">
            <v>20009</v>
          </cell>
        </row>
        <row r="117">
          <cell r="A117">
            <v>20010</v>
          </cell>
        </row>
        <row r="118">
          <cell r="A118">
            <v>20011</v>
          </cell>
        </row>
        <row r="119">
          <cell r="A119">
            <v>20012</v>
          </cell>
        </row>
        <row r="120">
          <cell r="A120">
            <v>20013</v>
          </cell>
        </row>
        <row r="121">
          <cell r="A121">
            <v>20014</v>
          </cell>
        </row>
        <row r="122">
          <cell r="A122">
            <v>20015</v>
          </cell>
        </row>
        <row r="123">
          <cell r="A123">
            <v>20016</v>
          </cell>
        </row>
        <row r="124">
          <cell r="A124">
            <v>20017</v>
          </cell>
        </row>
        <row r="125">
          <cell r="A125">
            <v>20018</v>
          </cell>
        </row>
        <row r="126">
          <cell r="A126">
            <v>20019</v>
          </cell>
        </row>
        <row r="127">
          <cell r="A127">
            <v>20020</v>
          </cell>
        </row>
        <row r="128">
          <cell r="A128">
            <v>20021</v>
          </cell>
        </row>
        <row r="129">
          <cell r="A129">
            <v>20022</v>
          </cell>
        </row>
        <row r="130">
          <cell r="A130">
            <v>30001</v>
          </cell>
        </row>
        <row r="131">
          <cell r="A131">
            <v>30002</v>
          </cell>
        </row>
        <row r="132">
          <cell r="A132">
            <v>30003</v>
          </cell>
        </row>
        <row r="133">
          <cell r="A133">
            <v>30004</v>
          </cell>
        </row>
        <row r="134">
          <cell r="A134">
            <v>30005</v>
          </cell>
        </row>
        <row r="135">
          <cell r="A135">
            <v>30006</v>
          </cell>
        </row>
        <row r="136">
          <cell r="A136">
            <v>30007</v>
          </cell>
        </row>
        <row r="137">
          <cell r="A137">
            <v>30008</v>
          </cell>
        </row>
        <row r="138">
          <cell r="A138">
            <v>30009</v>
          </cell>
        </row>
        <row r="139">
          <cell r="A139">
            <v>30010</v>
          </cell>
        </row>
        <row r="140">
          <cell r="A140">
            <v>30011</v>
          </cell>
        </row>
        <row r="141">
          <cell r="A141">
            <v>30012</v>
          </cell>
        </row>
        <row r="142">
          <cell r="A142">
            <v>30013</v>
          </cell>
        </row>
        <row r="143">
          <cell r="A143">
            <v>30014</v>
          </cell>
        </row>
        <row r="144">
          <cell r="A144">
            <v>30015</v>
          </cell>
        </row>
        <row r="145">
          <cell r="A145">
            <v>30016</v>
          </cell>
        </row>
        <row r="146">
          <cell r="A146">
            <v>30017</v>
          </cell>
        </row>
        <row r="147">
          <cell r="A147">
            <v>30018</v>
          </cell>
        </row>
        <row r="148">
          <cell r="A148">
            <v>30019</v>
          </cell>
        </row>
        <row r="149">
          <cell r="A149">
            <v>30020</v>
          </cell>
        </row>
        <row r="150">
          <cell r="A150">
            <v>30021</v>
          </cell>
        </row>
        <row r="151">
          <cell r="A151">
            <v>30022</v>
          </cell>
        </row>
        <row r="152">
          <cell r="A152">
            <v>30023</v>
          </cell>
        </row>
        <row r="153">
          <cell r="A153">
            <v>30024</v>
          </cell>
        </row>
        <row r="154">
          <cell r="A154">
            <v>30025</v>
          </cell>
        </row>
        <row r="155">
          <cell r="A155">
            <v>30026</v>
          </cell>
        </row>
        <row r="156">
          <cell r="A156">
            <v>30027</v>
          </cell>
        </row>
        <row r="157">
          <cell r="A157">
            <v>30028</v>
          </cell>
        </row>
        <row r="158">
          <cell r="A158">
            <v>30029</v>
          </cell>
        </row>
        <row r="159">
          <cell r="A159">
            <v>30030</v>
          </cell>
        </row>
        <row r="160">
          <cell r="A160">
            <v>30031</v>
          </cell>
        </row>
        <row r="161">
          <cell r="A161">
            <v>30032</v>
          </cell>
        </row>
        <row r="162">
          <cell r="A162">
            <v>30033</v>
          </cell>
        </row>
        <row r="163">
          <cell r="A163">
            <v>30034</v>
          </cell>
        </row>
        <row r="164">
          <cell r="A164">
            <v>30035</v>
          </cell>
        </row>
        <row r="165">
          <cell r="A165">
            <v>30036</v>
          </cell>
        </row>
        <row r="166">
          <cell r="A166">
            <v>30037</v>
          </cell>
        </row>
        <row r="167">
          <cell r="A167">
            <v>30038</v>
          </cell>
        </row>
        <row r="168">
          <cell r="A168">
            <v>30039</v>
          </cell>
        </row>
        <row r="169">
          <cell r="A169">
            <v>30040</v>
          </cell>
        </row>
        <row r="170">
          <cell r="A170">
            <v>30041</v>
          </cell>
        </row>
        <row r="171">
          <cell r="A171">
            <v>30042</v>
          </cell>
        </row>
        <row r="172">
          <cell r="A172">
            <v>30043</v>
          </cell>
        </row>
        <row r="173">
          <cell r="A173">
            <v>30044</v>
          </cell>
        </row>
        <row r="174">
          <cell r="A174">
            <v>30045</v>
          </cell>
        </row>
        <row r="175">
          <cell r="A175">
            <v>30046</v>
          </cell>
        </row>
        <row r="176">
          <cell r="A176">
            <v>30047</v>
          </cell>
        </row>
        <row r="177">
          <cell r="A177">
            <v>30048</v>
          </cell>
        </row>
        <row r="178">
          <cell r="A178">
            <v>39001</v>
          </cell>
        </row>
        <row r="179">
          <cell r="A179">
            <v>39002</v>
          </cell>
        </row>
        <row r="180">
          <cell r="A180">
            <v>39003</v>
          </cell>
        </row>
        <row r="181">
          <cell r="A181">
            <v>39004</v>
          </cell>
        </row>
        <row r="182">
          <cell r="A182">
            <v>39005</v>
          </cell>
        </row>
        <row r="183">
          <cell r="A183">
            <v>39006</v>
          </cell>
        </row>
        <row r="184">
          <cell r="A184">
            <v>39007</v>
          </cell>
        </row>
        <row r="185">
          <cell r="A185">
            <v>39008</v>
          </cell>
        </row>
        <row r="186">
          <cell r="A186">
            <v>39009</v>
          </cell>
        </row>
        <row r="187">
          <cell r="A187">
            <v>39010</v>
          </cell>
        </row>
        <row r="188">
          <cell r="A188">
            <v>39011</v>
          </cell>
        </row>
        <row r="189">
          <cell r="A189">
            <v>39012</v>
          </cell>
        </row>
        <row r="190">
          <cell r="A190">
            <v>40001</v>
          </cell>
        </row>
        <row r="191">
          <cell r="A191">
            <v>40002</v>
          </cell>
        </row>
        <row r="192">
          <cell r="A192">
            <v>40003</v>
          </cell>
        </row>
        <row r="193">
          <cell r="A193">
            <v>40004</v>
          </cell>
        </row>
        <row r="194">
          <cell r="A194">
            <v>40005</v>
          </cell>
        </row>
        <row r="195">
          <cell r="A195">
            <v>40006</v>
          </cell>
        </row>
        <row r="196">
          <cell r="A196">
            <v>40007</v>
          </cell>
        </row>
        <row r="197">
          <cell r="A197">
            <v>40008</v>
          </cell>
        </row>
        <row r="198">
          <cell r="A198">
            <v>40009</v>
          </cell>
        </row>
        <row r="199">
          <cell r="A199">
            <v>40010</v>
          </cell>
        </row>
        <row r="200">
          <cell r="A200">
            <v>40011</v>
          </cell>
        </row>
        <row r="201">
          <cell r="A201">
            <v>40012</v>
          </cell>
        </row>
        <row r="202">
          <cell r="A202">
            <v>40013</v>
          </cell>
        </row>
        <row r="203">
          <cell r="A203">
            <v>40014</v>
          </cell>
        </row>
        <row r="204">
          <cell r="A204">
            <v>40015</v>
          </cell>
        </row>
        <row r="205">
          <cell r="A205">
            <v>40016</v>
          </cell>
        </row>
        <row r="206">
          <cell r="A206">
            <v>40017</v>
          </cell>
        </row>
        <row r="207">
          <cell r="A207">
            <v>40018</v>
          </cell>
        </row>
        <row r="208">
          <cell r="A208">
            <v>40019</v>
          </cell>
        </row>
        <row r="209">
          <cell r="A209">
            <v>40021</v>
          </cell>
        </row>
        <row r="210">
          <cell r="A210">
            <v>40022</v>
          </cell>
        </row>
        <row r="211">
          <cell r="A211">
            <v>40023</v>
          </cell>
        </row>
        <row r="212">
          <cell r="A212">
            <v>40024</v>
          </cell>
        </row>
        <row r="213">
          <cell r="A213">
            <v>40025</v>
          </cell>
        </row>
        <row r="214">
          <cell r="A214">
            <v>40026</v>
          </cell>
        </row>
        <row r="215">
          <cell r="A215">
            <v>40027</v>
          </cell>
        </row>
        <row r="216">
          <cell r="A216">
            <v>40028</v>
          </cell>
        </row>
        <row r="217">
          <cell r="A217">
            <v>40029</v>
          </cell>
        </row>
        <row r="218">
          <cell r="A218">
            <v>40030</v>
          </cell>
        </row>
        <row r="219">
          <cell r="A219">
            <v>40031</v>
          </cell>
        </row>
        <row r="220">
          <cell r="A220">
            <v>40032</v>
          </cell>
        </row>
        <row r="221">
          <cell r="A221">
            <v>40033</v>
          </cell>
        </row>
        <row r="222">
          <cell r="A222">
            <v>40034</v>
          </cell>
        </row>
        <row r="223">
          <cell r="A223">
            <v>40035</v>
          </cell>
        </row>
        <row r="224">
          <cell r="A224">
            <v>40036</v>
          </cell>
        </row>
        <row r="225">
          <cell r="A225">
            <v>40037</v>
          </cell>
        </row>
        <row r="226">
          <cell r="A226">
            <v>40038</v>
          </cell>
        </row>
        <row r="227">
          <cell r="A227">
            <v>40039</v>
          </cell>
        </row>
        <row r="228">
          <cell r="A228">
            <v>40040</v>
          </cell>
        </row>
        <row r="229">
          <cell r="A229">
            <v>40041</v>
          </cell>
        </row>
        <row r="230">
          <cell r="A230">
            <v>40042</v>
          </cell>
        </row>
        <row r="231">
          <cell r="A231">
            <v>40043</v>
          </cell>
        </row>
        <row r="232">
          <cell r="A232">
            <v>48001</v>
          </cell>
        </row>
        <row r="233">
          <cell r="A233">
            <v>48002</v>
          </cell>
        </row>
        <row r="234">
          <cell r="A234">
            <v>48003</v>
          </cell>
        </row>
        <row r="235">
          <cell r="A235">
            <v>48004</v>
          </cell>
        </row>
        <row r="236">
          <cell r="A236">
            <v>48005</v>
          </cell>
        </row>
        <row r="237">
          <cell r="A237">
            <v>48006</v>
          </cell>
        </row>
        <row r="238">
          <cell r="A238">
            <v>48007</v>
          </cell>
        </row>
        <row r="239">
          <cell r="A239">
            <v>48008</v>
          </cell>
        </row>
        <row r="240">
          <cell r="A240">
            <v>48009</v>
          </cell>
        </row>
        <row r="241">
          <cell r="A241">
            <v>48010</v>
          </cell>
        </row>
        <row r="242">
          <cell r="A242">
            <v>48011</v>
          </cell>
        </row>
        <row r="243">
          <cell r="A243">
            <v>48501</v>
          </cell>
        </row>
        <row r="244">
          <cell r="A244">
            <v>48502</v>
          </cell>
        </row>
        <row r="245">
          <cell r="A245">
            <v>41001</v>
          </cell>
        </row>
        <row r="246">
          <cell r="A246">
            <v>41002</v>
          </cell>
        </row>
        <row r="247">
          <cell r="A247">
            <v>41003</v>
          </cell>
        </row>
        <row r="248">
          <cell r="A248">
            <v>41004</v>
          </cell>
        </row>
        <row r="249">
          <cell r="A249">
            <v>41005</v>
          </cell>
        </row>
        <row r="250">
          <cell r="A250">
            <v>41006</v>
          </cell>
        </row>
        <row r="251">
          <cell r="A251">
            <v>41007</v>
          </cell>
        </row>
        <row r="252">
          <cell r="A252">
            <v>41008</v>
          </cell>
        </row>
        <row r="253">
          <cell r="A253">
            <v>41009</v>
          </cell>
        </row>
        <row r="254">
          <cell r="A254">
            <v>41010</v>
          </cell>
        </row>
        <row r="255">
          <cell r="A255">
            <v>41011</v>
          </cell>
        </row>
        <row r="256">
          <cell r="A256">
            <v>41012</v>
          </cell>
        </row>
        <row r="257">
          <cell r="A257">
            <v>41013</v>
          </cell>
        </row>
        <row r="258">
          <cell r="A258">
            <v>41014</v>
          </cell>
        </row>
        <row r="259">
          <cell r="A259">
            <v>41015</v>
          </cell>
        </row>
        <row r="260">
          <cell r="A260">
            <v>47001</v>
          </cell>
        </row>
        <row r="261">
          <cell r="A261">
            <v>47002</v>
          </cell>
        </row>
        <row r="262">
          <cell r="A262">
            <v>47003</v>
          </cell>
        </row>
        <row r="263">
          <cell r="A263">
            <v>47004</v>
          </cell>
        </row>
        <row r="264">
          <cell r="A264">
            <v>47005</v>
          </cell>
        </row>
        <row r="265">
          <cell r="A265">
            <v>47006</v>
          </cell>
        </row>
        <row r="266">
          <cell r="A266">
            <v>47007</v>
          </cell>
        </row>
        <row r="267">
          <cell r="A267">
            <v>47008</v>
          </cell>
        </row>
        <row r="268">
          <cell r="A268">
            <v>47009</v>
          </cell>
        </row>
        <row r="269">
          <cell r="A269">
            <v>47010</v>
          </cell>
        </row>
        <row r="270">
          <cell r="A270">
            <v>49001</v>
          </cell>
        </row>
        <row r="271">
          <cell r="A271">
            <v>49002</v>
          </cell>
        </row>
        <row r="272">
          <cell r="A272">
            <v>49003</v>
          </cell>
        </row>
        <row r="273">
          <cell r="A273">
            <v>49004</v>
          </cell>
        </row>
        <row r="274">
          <cell r="A274">
            <v>49005</v>
          </cell>
        </row>
        <row r="275">
          <cell r="A275">
            <v>49006</v>
          </cell>
        </row>
        <row r="276">
          <cell r="A276">
            <v>49007</v>
          </cell>
        </row>
        <row r="277">
          <cell r="A277">
            <v>49008</v>
          </cell>
        </row>
        <row r="278">
          <cell r="A278">
            <v>49009</v>
          </cell>
        </row>
        <row r="279">
          <cell r="A279">
            <v>49010</v>
          </cell>
        </row>
        <row r="280">
          <cell r="A280">
            <v>49011</v>
          </cell>
        </row>
        <row r="281">
          <cell r="A281">
            <v>49012</v>
          </cell>
        </row>
        <row r="282">
          <cell r="A282">
            <v>49013</v>
          </cell>
        </row>
        <row r="283">
          <cell r="A283">
            <v>49014</v>
          </cell>
        </row>
        <row r="284">
          <cell r="A284">
            <v>50001</v>
          </cell>
        </row>
        <row r="285">
          <cell r="A285">
            <v>50002</v>
          </cell>
        </row>
        <row r="286">
          <cell r="A286">
            <v>50003</v>
          </cell>
        </row>
        <row r="287">
          <cell r="A287">
            <v>50004</v>
          </cell>
        </row>
        <row r="288">
          <cell r="A288">
            <v>50005</v>
          </cell>
        </row>
        <row r="289">
          <cell r="A289">
            <v>50006</v>
          </cell>
        </row>
        <row r="290">
          <cell r="A290">
            <v>50007</v>
          </cell>
        </row>
        <row r="291">
          <cell r="A291">
            <v>50008</v>
          </cell>
        </row>
        <row r="292">
          <cell r="A292">
            <v>50009</v>
          </cell>
        </row>
        <row r="293">
          <cell r="A293">
            <v>50010</v>
          </cell>
        </row>
        <row r="294">
          <cell r="A294">
            <v>50011</v>
          </cell>
        </row>
        <row r="295">
          <cell r="A295">
            <v>50012</v>
          </cell>
        </row>
        <row r="296">
          <cell r="A296">
            <v>50013</v>
          </cell>
        </row>
        <row r="297">
          <cell r="A297">
            <v>50014</v>
          </cell>
        </row>
        <row r="298">
          <cell r="A298">
            <v>51001</v>
          </cell>
        </row>
        <row r="299">
          <cell r="A299">
            <v>51002</v>
          </cell>
        </row>
        <row r="300">
          <cell r="A300">
            <v>58001</v>
          </cell>
        </row>
        <row r="301">
          <cell r="A301">
            <v>59001</v>
          </cell>
        </row>
        <row r="302">
          <cell r="A302">
            <v>59002</v>
          </cell>
        </row>
        <row r="303">
          <cell r="A303">
            <v>60001</v>
          </cell>
        </row>
        <row r="304">
          <cell r="A304">
            <v>60002</v>
          </cell>
        </row>
        <row r="305">
          <cell r="A305">
            <v>60003</v>
          </cell>
        </row>
        <row r="306">
          <cell r="A306">
            <v>60004</v>
          </cell>
        </row>
        <row r="307">
          <cell r="A307">
            <v>60005</v>
          </cell>
        </row>
        <row r="308">
          <cell r="A308">
            <v>60006</v>
          </cell>
        </row>
        <row r="309">
          <cell r="A309">
            <v>60007</v>
          </cell>
        </row>
        <row r="310">
          <cell r="A310">
            <v>60010</v>
          </cell>
        </row>
        <row r="311">
          <cell r="A311">
            <v>60011</v>
          </cell>
        </row>
        <row r="312">
          <cell r="A312">
            <v>61011</v>
          </cell>
        </row>
        <row r="313">
          <cell r="A313">
            <v>60012</v>
          </cell>
        </row>
        <row r="314">
          <cell r="A314">
            <v>60013</v>
          </cell>
        </row>
        <row r="315">
          <cell r="A315">
            <v>60014</v>
          </cell>
        </row>
        <row r="316">
          <cell r="A316">
            <v>60015</v>
          </cell>
        </row>
        <row r="317">
          <cell r="A317">
            <v>60016</v>
          </cell>
        </row>
        <row r="318">
          <cell r="A318">
            <v>60017</v>
          </cell>
        </row>
        <row r="319">
          <cell r="A319">
            <v>60018</v>
          </cell>
        </row>
        <row r="320">
          <cell r="A320">
            <v>60019</v>
          </cell>
        </row>
        <row r="321">
          <cell r="A321">
            <v>60020</v>
          </cell>
        </row>
        <row r="322">
          <cell r="A322">
            <v>60025</v>
          </cell>
        </row>
        <row r="323">
          <cell r="A323">
            <v>60026</v>
          </cell>
        </row>
        <row r="324">
          <cell r="A324">
            <v>60027</v>
          </cell>
        </row>
        <row r="325">
          <cell r="A325">
            <v>65525</v>
          </cell>
        </row>
        <row r="326">
          <cell r="A326">
            <v>65526</v>
          </cell>
        </row>
        <row r="327">
          <cell r="A327">
            <v>65527</v>
          </cell>
        </row>
        <row r="328">
          <cell r="A328">
            <v>65528</v>
          </cell>
        </row>
        <row r="329">
          <cell r="A329">
            <v>65529</v>
          </cell>
        </row>
        <row r="330">
          <cell r="A330">
            <v>65530</v>
          </cell>
        </row>
        <row r="331">
          <cell r="A331">
            <v>65531</v>
          </cell>
        </row>
        <row r="332">
          <cell r="A332">
            <v>65532</v>
          </cell>
        </row>
        <row r="333">
          <cell r="A333">
            <v>65533</v>
          </cell>
        </row>
        <row r="334">
          <cell r="A334">
            <v>65534</v>
          </cell>
        </row>
        <row r="335">
          <cell r="A335">
            <v>65535</v>
          </cell>
        </row>
        <row r="336">
          <cell r="A336">
            <v>60021</v>
          </cell>
        </row>
        <row r="337">
          <cell r="A337">
            <v>60022</v>
          </cell>
        </row>
        <row r="338">
          <cell r="A338">
            <v>60023</v>
          </cell>
        </row>
        <row r="339">
          <cell r="A33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12001_1</v>
          </cell>
        </row>
        <row r="299">
          <cell r="A299" t="str">
            <v>12001_2</v>
          </cell>
        </row>
        <row r="300">
          <cell r="A300" t="str">
            <v>12001_3</v>
          </cell>
        </row>
        <row r="301">
          <cell r="A301" t="str">
            <v>12002_1</v>
          </cell>
        </row>
        <row r="302">
          <cell r="A302" t="str">
            <v>12002_2</v>
          </cell>
        </row>
        <row r="303">
          <cell r="A303" t="str">
            <v>12003_1</v>
          </cell>
        </row>
        <row r="304">
          <cell r="A304" t="str">
            <v>12003_2</v>
          </cell>
        </row>
        <row r="305">
          <cell r="A305" t="str">
            <v>12003_3</v>
          </cell>
        </row>
        <row r="306">
          <cell r="A306" t="str">
            <v>12003_4</v>
          </cell>
        </row>
        <row r="307">
          <cell r="A307" t="str">
            <v>12004_1</v>
          </cell>
        </row>
        <row r="308">
          <cell r="A308" t="str">
            <v>13001_1</v>
          </cell>
        </row>
        <row r="309">
          <cell r="A309" t="str">
            <v>13001_2</v>
          </cell>
        </row>
        <row r="310">
          <cell r="A310" t="str">
            <v>13001_3</v>
          </cell>
        </row>
        <row r="311">
          <cell r="A311" t="str">
            <v>13001_4</v>
          </cell>
        </row>
        <row r="312">
          <cell r="A312" t="str">
            <v>13001_5</v>
          </cell>
        </row>
        <row r="313">
          <cell r="A313" t="str">
            <v>13001_6</v>
          </cell>
        </row>
        <row r="314">
          <cell r="A314" t="str">
            <v>13001_7</v>
          </cell>
        </row>
        <row r="315">
          <cell r="A315" t="str">
            <v>13001_8</v>
          </cell>
        </row>
        <row r="316">
          <cell r="A316" t="str">
            <v>13001_9</v>
          </cell>
        </row>
        <row r="317">
          <cell r="A317" t="str">
            <v>13001_10</v>
          </cell>
        </row>
        <row r="318">
          <cell r="A318" t="str">
            <v>13001_11</v>
          </cell>
        </row>
        <row r="319">
          <cell r="A319" t="str">
            <v>13001_12</v>
          </cell>
        </row>
        <row r="320">
          <cell r="A320" t="str">
            <v>13001_13</v>
          </cell>
        </row>
        <row r="321">
          <cell r="A321" t="str">
            <v>13001_14</v>
          </cell>
        </row>
        <row r="322">
          <cell r="A322" t="str">
            <v>13001_15</v>
          </cell>
        </row>
        <row r="323">
          <cell r="A323" t="str">
            <v>13001_16</v>
          </cell>
        </row>
        <row r="324">
          <cell r="A324" t="str">
            <v>13001_17</v>
          </cell>
        </row>
        <row r="325">
          <cell r="A325" t="str">
            <v>13001_18</v>
          </cell>
        </row>
        <row r="326">
          <cell r="A326" t="str">
            <v>13001_19</v>
          </cell>
        </row>
        <row r="327">
          <cell r="A327" t="str">
            <v>13001_20</v>
          </cell>
        </row>
        <row r="328">
          <cell r="A328" t="str">
            <v>13001_21</v>
          </cell>
        </row>
        <row r="329">
          <cell r="A329" t="str">
            <v>13001_22</v>
          </cell>
        </row>
        <row r="330">
          <cell r="A330" t="str">
            <v>13001_23</v>
          </cell>
        </row>
        <row r="331">
          <cell r="A331" t="str">
            <v>13001_24</v>
          </cell>
        </row>
        <row r="332">
          <cell r="A332" t="str">
            <v>13001_25</v>
          </cell>
        </row>
        <row r="333">
          <cell r="A333" t="str">
            <v>13101_1</v>
          </cell>
        </row>
        <row r="334">
          <cell r="A334" t="str">
            <v>13101_2</v>
          </cell>
        </row>
        <row r="335">
          <cell r="A335" t="str">
            <v>13101_3</v>
          </cell>
        </row>
        <row r="336">
          <cell r="A336" t="str">
            <v>13101_4</v>
          </cell>
        </row>
        <row r="337">
          <cell r="A337" t="str">
            <v>13101_5</v>
          </cell>
        </row>
        <row r="338">
          <cell r="A338" t="str">
            <v>13101_6</v>
          </cell>
        </row>
        <row r="339">
          <cell r="A339" t="str">
            <v>13101_7</v>
          </cell>
        </row>
        <row r="340">
          <cell r="A340" t="str">
            <v>13101_8</v>
          </cell>
        </row>
        <row r="341">
          <cell r="A341" t="str">
            <v>13101_9</v>
          </cell>
        </row>
        <row r="342">
          <cell r="A342" t="str">
            <v>13101_10</v>
          </cell>
        </row>
        <row r="343">
          <cell r="A343" t="str">
            <v>13101_11</v>
          </cell>
        </row>
        <row r="344">
          <cell r="A344" t="str">
            <v>13101_12</v>
          </cell>
        </row>
        <row r="345">
          <cell r="A345" t="str">
            <v>13101_13</v>
          </cell>
        </row>
        <row r="346">
          <cell r="A346" t="str">
            <v>13101_14</v>
          </cell>
        </row>
        <row r="347">
          <cell r="A347" t="str">
            <v>13101_15</v>
          </cell>
        </row>
        <row r="348">
          <cell r="A348" t="str">
            <v>13101_16</v>
          </cell>
        </row>
        <row r="349">
          <cell r="A349" t="str">
            <v>13101_17</v>
          </cell>
        </row>
        <row r="350">
          <cell r="A350" t="str">
            <v>13101_18</v>
          </cell>
        </row>
        <row r="351">
          <cell r="A351" t="str">
            <v>13101_19</v>
          </cell>
        </row>
        <row r="352">
          <cell r="A352" t="str">
            <v>13101_20</v>
          </cell>
        </row>
        <row r="353">
          <cell r="A353" t="str">
            <v>13101_21</v>
          </cell>
        </row>
        <row r="354">
          <cell r="A354" t="str">
            <v>13101_22</v>
          </cell>
        </row>
        <row r="355">
          <cell r="A355" t="str">
            <v>13101_23</v>
          </cell>
        </row>
        <row r="356">
          <cell r="A356" t="str">
            <v>13101_24</v>
          </cell>
        </row>
        <row r="357">
          <cell r="A357" t="str">
            <v>13101_25</v>
          </cell>
        </row>
        <row r="358">
          <cell r="A358" t="str">
            <v>13300_1</v>
          </cell>
        </row>
        <row r="359">
          <cell r="A359" t="str">
            <v>13300_2</v>
          </cell>
        </row>
        <row r="360">
          <cell r="A360" t="str">
            <v>13300_3</v>
          </cell>
        </row>
        <row r="361">
          <cell r="A361" t="str">
            <v>13300_4</v>
          </cell>
        </row>
        <row r="362">
          <cell r="A362" t="str">
            <v>13300_5</v>
          </cell>
        </row>
        <row r="363">
          <cell r="A363" t="str">
            <v>13300_6</v>
          </cell>
        </row>
        <row r="364">
          <cell r="A364" t="str">
            <v>13300_7</v>
          </cell>
        </row>
        <row r="365">
          <cell r="A365" t="str">
            <v>13300_8</v>
          </cell>
        </row>
        <row r="366">
          <cell r="A366" t="str">
            <v>13300_9</v>
          </cell>
        </row>
        <row r="367">
          <cell r="A367" t="str">
            <v>13300_10</v>
          </cell>
        </row>
        <row r="368">
          <cell r="A368" t="str">
            <v>13300_11</v>
          </cell>
        </row>
        <row r="369">
          <cell r="A369" t="str">
            <v>13300_12</v>
          </cell>
        </row>
        <row r="370">
          <cell r="A370" t="str">
            <v>13300_13</v>
          </cell>
        </row>
        <row r="371">
          <cell r="A371" t="str">
            <v>13300_14</v>
          </cell>
        </row>
        <row r="372">
          <cell r="A372" t="str">
            <v>13300_15</v>
          </cell>
        </row>
        <row r="373">
          <cell r="A373" t="str">
            <v>13301_1</v>
          </cell>
        </row>
        <row r="374">
          <cell r="A374" t="str">
            <v>13301_2</v>
          </cell>
        </row>
        <row r="375">
          <cell r="A375" t="str">
            <v>13301_3</v>
          </cell>
        </row>
        <row r="376">
          <cell r="A376" t="str">
            <v>13301_4</v>
          </cell>
        </row>
        <row r="377">
          <cell r="A377" t="str">
            <v>13301_5</v>
          </cell>
        </row>
        <row r="378">
          <cell r="A378" t="str">
            <v>13301_6</v>
          </cell>
        </row>
        <row r="379">
          <cell r="A379" t="str">
            <v>13301_7</v>
          </cell>
        </row>
        <row r="380">
          <cell r="A380" t="str">
            <v>13301_8</v>
          </cell>
        </row>
        <row r="381">
          <cell r="A381" t="str">
            <v>13301_9</v>
          </cell>
        </row>
        <row r="382">
          <cell r="A382" t="str">
            <v>13301_10</v>
          </cell>
        </row>
        <row r="383">
          <cell r="A383" t="str">
            <v>13301_11</v>
          </cell>
        </row>
        <row r="384">
          <cell r="A384" t="str">
            <v>13301_12</v>
          </cell>
        </row>
        <row r="385">
          <cell r="A385" t="str">
            <v>13301_13</v>
          </cell>
        </row>
        <row r="386">
          <cell r="A386" t="str">
            <v>13301_14</v>
          </cell>
        </row>
        <row r="387">
          <cell r="A387" t="str">
            <v>13301_15</v>
          </cell>
        </row>
        <row r="388">
          <cell r="A388" t="str">
            <v>13302_1</v>
          </cell>
        </row>
        <row r="389">
          <cell r="A389" t="str">
            <v>13302_2</v>
          </cell>
        </row>
        <row r="390">
          <cell r="A390" t="str">
            <v>13302_3</v>
          </cell>
        </row>
        <row r="391">
          <cell r="A391" t="str">
            <v>13302_4</v>
          </cell>
        </row>
        <row r="392">
          <cell r="A392" t="str">
            <v>13302_5</v>
          </cell>
        </row>
        <row r="393">
          <cell r="A393" t="str">
            <v>13302_6</v>
          </cell>
        </row>
        <row r="394">
          <cell r="A394" t="str">
            <v>13302_7</v>
          </cell>
        </row>
        <row r="395">
          <cell r="A395" t="str">
            <v>13302_8</v>
          </cell>
        </row>
        <row r="396">
          <cell r="A396" t="str">
            <v>13302_9</v>
          </cell>
        </row>
        <row r="397">
          <cell r="A397" t="str">
            <v>13302_10</v>
          </cell>
        </row>
        <row r="398">
          <cell r="A398" t="str">
            <v>13302_11</v>
          </cell>
        </row>
        <row r="399">
          <cell r="A399" t="str">
            <v>13302_12</v>
          </cell>
        </row>
        <row r="400">
          <cell r="A400" t="str">
            <v>13302_13</v>
          </cell>
        </row>
        <row r="401">
          <cell r="A401" t="str">
            <v>13302_14</v>
          </cell>
        </row>
        <row r="402">
          <cell r="A402" t="str">
            <v>13302_15</v>
          </cell>
        </row>
        <row r="403">
          <cell r="A403" t="str">
            <v>13400_1</v>
          </cell>
        </row>
        <row r="404">
          <cell r="A404" t="str">
            <v>13400_2</v>
          </cell>
        </row>
        <row r="405">
          <cell r="A405" t="str">
            <v>13400_3</v>
          </cell>
        </row>
        <row r="406">
          <cell r="A406" t="str">
            <v>13400_4</v>
          </cell>
        </row>
        <row r="407">
          <cell r="A407" t="str">
            <v>13400_5</v>
          </cell>
        </row>
        <row r="408">
          <cell r="A408" t="str">
            <v>13400_6</v>
          </cell>
        </row>
        <row r="409">
          <cell r="A409" t="str">
            <v>13400_7</v>
          </cell>
        </row>
        <row r="410">
          <cell r="A410" t="str">
            <v>13400_8</v>
          </cell>
        </row>
        <row r="411">
          <cell r="A411" t="str">
            <v>13400_9</v>
          </cell>
        </row>
        <row r="412">
          <cell r="A412" t="str">
            <v>13400_10</v>
          </cell>
        </row>
        <row r="413">
          <cell r="A413" t="str">
            <v>13400_11</v>
          </cell>
        </row>
        <row r="414">
          <cell r="A414" t="str">
            <v>13400_12</v>
          </cell>
        </row>
        <row r="415">
          <cell r="A415" t="str">
            <v>13400_13</v>
          </cell>
        </row>
        <row r="416">
          <cell r="A416" t="str">
            <v>13400_14</v>
          </cell>
        </row>
        <row r="417">
          <cell r="A417" t="str">
            <v>13400_15</v>
          </cell>
        </row>
        <row r="418">
          <cell r="A418" t="str">
            <v>14001_1</v>
          </cell>
        </row>
        <row r="419">
          <cell r="A419" t="str">
            <v>14001_2</v>
          </cell>
        </row>
        <row r="420">
          <cell r="A420" t="str">
            <v>14001_3</v>
          </cell>
        </row>
        <row r="421">
          <cell r="A421" t="str">
            <v>14001_4</v>
          </cell>
        </row>
        <row r="422">
          <cell r="A422" t="str">
            <v>14001_5</v>
          </cell>
        </row>
        <row r="423">
          <cell r="A423" t="str">
            <v>14001_6</v>
          </cell>
        </row>
        <row r="424">
          <cell r="A424" t="str">
            <v>14001_7</v>
          </cell>
        </row>
        <row r="425">
          <cell r="A425" t="str">
            <v>14001_8</v>
          </cell>
        </row>
        <row r="426">
          <cell r="A426" t="str">
            <v>14002_1</v>
          </cell>
        </row>
        <row r="427">
          <cell r="A427" t="str">
            <v>14002_2</v>
          </cell>
        </row>
        <row r="428">
          <cell r="A428" t="str">
            <v>14003_1</v>
          </cell>
        </row>
        <row r="429">
          <cell r="A429" t="str">
            <v>14003_2</v>
          </cell>
        </row>
        <row r="430">
          <cell r="A430" t="str">
            <v>14003_3</v>
          </cell>
        </row>
        <row r="431">
          <cell r="A431" t="str">
            <v>14003_4</v>
          </cell>
        </row>
        <row r="432">
          <cell r="A432" t="str">
            <v>14004_1</v>
          </cell>
        </row>
        <row r="433">
          <cell r="A433" t="str">
            <v>14004_2</v>
          </cell>
        </row>
        <row r="434">
          <cell r="A434" t="str">
            <v>14004_3</v>
          </cell>
        </row>
        <row r="435">
          <cell r="A435" t="str">
            <v>14004_4</v>
          </cell>
        </row>
        <row r="436">
          <cell r="A436" t="str">
            <v>14005_1</v>
          </cell>
        </row>
        <row r="437">
          <cell r="A437" t="str">
            <v>14006_1</v>
          </cell>
        </row>
        <row r="438">
          <cell r="A438" t="str">
            <v>15027_1</v>
          </cell>
        </row>
        <row r="439">
          <cell r="A439" t="str">
            <v>15027_2</v>
          </cell>
        </row>
        <row r="440">
          <cell r="A440" t="str">
            <v>15027_3</v>
          </cell>
        </row>
        <row r="441">
          <cell r="A441" t="str">
            <v>15027_4</v>
          </cell>
        </row>
        <row r="442">
          <cell r="A442" t="str">
            <v>15028_1</v>
          </cell>
        </row>
        <row r="443">
          <cell r="A443" t="str">
            <v>15028_2</v>
          </cell>
        </row>
        <row r="444">
          <cell r="A444" t="str">
            <v>15028_3</v>
          </cell>
        </row>
        <row r="445">
          <cell r="A445" t="str">
            <v>15028_4</v>
          </cell>
        </row>
        <row r="446">
          <cell r="A446" t="str">
            <v>15029_1</v>
          </cell>
        </row>
        <row r="447">
          <cell r="A447" t="str">
            <v>15029_2</v>
          </cell>
        </row>
        <row r="448">
          <cell r="A448" t="str">
            <v>15029_3</v>
          </cell>
        </row>
        <row r="449">
          <cell r="A449" t="str">
            <v>15029_4</v>
          </cell>
        </row>
        <row r="450">
          <cell r="A450" t="str">
            <v>15030_1</v>
          </cell>
        </row>
        <row r="451">
          <cell r="A451" t="str">
            <v>15030_2</v>
          </cell>
        </row>
        <row r="452">
          <cell r="A452" t="str">
            <v>15030_3</v>
          </cell>
        </row>
        <row r="453">
          <cell r="A453" t="str">
            <v>15030_4</v>
          </cell>
        </row>
        <row r="454">
          <cell r="A454" t="str">
            <v>15031_1</v>
          </cell>
        </row>
        <row r="455">
          <cell r="A455" t="str">
            <v>15031_2</v>
          </cell>
        </row>
        <row r="456">
          <cell r="A456" t="str">
            <v>15031_3</v>
          </cell>
        </row>
        <row r="457">
          <cell r="A457" t="str">
            <v>15031_4</v>
          </cell>
        </row>
        <row r="458">
          <cell r="A458" t="str">
            <v>20001_1</v>
          </cell>
        </row>
        <row r="459">
          <cell r="A459" t="str">
            <v>20001_2</v>
          </cell>
        </row>
        <row r="460">
          <cell r="A460" t="str">
            <v>20001_3</v>
          </cell>
        </row>
        <row r="461">
          <cell r="A461" t="str">
            <v>20002_1</v>
          </cell>
        </row>
        <row r="462">
          <cell r="A462" t="str">
            <v>20002_2</v>
          </cell>
        </row>
        <row r="463">
          <cell r="A463" t="str">
            <v>20002_3</v>
          </cell>
        </row>
        <row r="464">
          <cell r="A464" t="str">
            <v>20003_1</v>
          </cell>
        </row>
        <row r="465">
          <cell r="A465" t="str">
            <v>20003_2</v>
          </cell>
        </row>
        <row r="466">
          <cell r="A466" t="str">
            <v>20003_3</v>
          </cell>
        </row>
        <row r="467">
          <cell r="A467" t="str">
            <v>20004_1</v>
          </cell>
        </row>
        <row r="468">
          <cell r="A468" t="str">
            <v>20004_2</v>
          </cell>
        </row>
        <row r="469">
          <cell r="A469" t="str">
            <v>20004_3</v>
          </cell>
        </row>
        <row r="470">
          <cell r="A470" t="str">
            <v>20005_1</v>
          </cell>
        </row>
        <row r="471">
          <cell r="A471" t="str">
            <v>20005_2</v>
          </cell>
        </row>
        <row r="472">
          <cell r="A472" t="str">
            <v>20005_3</v>
          </cell>
        </row>
        <row r="473">
          <cell r="A473" t="str">
            <v>20006_1</v>
          </cell>
        </row>
        <row r="474">
          <cell r="A474" t="str">
            <v>20006_2</v>
          </cell>
        </row>
        <row r="475">
          <cell r="A475" t="str">
            <v>20006_3</v>
          </cell>
        </row>
        <row r="476">
          <cell r="A476" t="str">
            <v>20007_1</v>
          </cell>
        </row>
        <row r="477">
          <cell r="A477" t="str">
            <v>20007_2</v>
          </cell>
        </row>
        <row r="478">
          <cell r="A478" t="str">
            <v>20007_3</v>
          </cell>
        </row>
        <row r="479">
          <cell r="A479" t="str">
            <v>20008_1</v>
          </cell>
        </row>
        <row r="480">
          <cell r="A480" t="str">
            <v>20008_2</v>
          </cell>
        </row>
        <row r="481">
          <cell r="A481" t="str">
            <v>20008_3</v>
          </cell>
        </row>
        <row r="482">
          <cell r="A482" t="str">
            <v>20009_1</v>
          </cell>
        </row>
        <row r="483">
          <cell r="A483" t="str">
            <v>20009_2</v>
          </cell>
        </row>
        <row r="484">
          <cell r="A484" t="str">
            <v>20009_3</v>
          </cell>
        </row>
        <row r="485">
          <cell r="A485" t="str">
            <v>20010_1</v>
          </cell>
        </row>
        <row r="486">
          <cell r="A486" t="str">
            <v>20010_2</v>
          </cell>
        </row>
        <row r="487">
          <cell r="A487" t="str">
            <v>20010_3</v>
          </cell>
        </row>
        <row r="488">
          <cell r="A488" t="str">
            <v>20011_1</v>
          </cell>
        </row>
        <row r="489">
          <cell r="A489" t="str">
            <v>20011_2</v>
          </cell>
        </row>
        <row r="490">
          <cell r="A490" t="str">
            <v>20011_3</v>
          </cell>
        </row>
        <row r="491">
          <cell r="A491" t="str">
            <v>20012_1</v>
          </cell>
        </row>
        <row r="492">
          <cell r="A492" t="str">
            <v>20012_2</v>
          </cell>
        </row>
        <row r="493">
          <cell r="A493" t="str">
            <v>20012_3</v>
          </cell>
        </row>
        <row r="494">
          <cell r="A494" t="str">
            <v>20013_1</v>
          </cell>
        </row>
        <row r="495">
          <cell r="A495" t="str">
            <v>20013_2</v>
          </cell>
        </row>
        <row r="496">
          <cell r="A496" t="str">
            <v>20013_3</v>
          </cell>
        </row>
        <row r="497">
          <cell r="A497" t="str">
            <v>20014_1</v>
          </cell>
        </row>
        <row r="498">
          <cell r="A498" t="str">
            <v>20014_2</v>
          </cell>
        </row>
        <row r="499">
          <cell r="A499" t="str">
            <v>20014_3</v>
          </cell>
        </row>
        <row r="500">
          <cell r="A500" t="str">
            <v>20015_1</v>
          </cell>
        </row>
        <row r="501">
          <cell r="A501" t="str">
            <v>20015_2</v>
          </cell>
        </row>
        <row r="502">
          <cell r="A502" t="str">
            <v>20015_3</v>
          </cell>
        </row>
        <row r="503">
          <cell r="A503" t="str">
            <v>20016_1</v>
          </cell>
        </row>
        <row r="504">
          <cell r="A504" t="str">
            <v>20016_2</v>
          </cell>
        </row>
        <row r="505">
          <cell r="A505" t="str">
            <v>20016_3</v>
          </cell>
        </row>
        <row r="506">
          <cell r="A506" t="str">
            <v>20017_1</v>
          </cell>
        </row>
        <row r="507">
          <cell r="A507" t="str">
            <v>20017_2</v>
          </cell>
        </row>
        <row r="508">
          <cell r="A508" t="str">
            <v>20017_3</v>
          </cell>
        </row>
        <row r="509">
          <cell r="A509" t="str">
            <v>20018_1</v>
          </cell>
        </row>
        <row r="510">
          <cell r="A510" t="str">
            <v>20018_2</v>
          </cell>
        </row>
        <row r="511">
          <cell r="A511" t="str">
            <v>20018_3</v>
          </cell>
        </row>
        <row r="512">
          <cell r="A512" t="str">
            <v>20019_1</v>
          </cell>
        </row>
        <row r="513">
          <cell r="A513" t="str">
            <v>20019_2</v>
          </cell>
        </row>
        <row r="514">
          <cell r="A514" t="str">
            <v>20019_3</v>
          </cell>
        </row>
        <row r="515">
          <cell r="A515" t="str">
            <v>20020_1</v>
          </cell>
        </row>
        <row r="516">
          <cell r="A516" t="str">
            <v>20020_2</v>
          </cell>
        </row>
        <row r="517">
          <cell r="A517" t="str">
            <v>20020_3</v>
          </cell>
        </row>
        <row r="518">
          <cell r="A518" t="str">
            <v>20021_1</v>
          </cell>
        </row>
        <row r="519">
          <cell r="A519" t="str">
            <v>20021_2</v>
          </cell>
        </row>
        <row r="520">
          <cell r="A520" t="str">
            <v>20021_3</v>
          </cell>
        </row>
        <row r="521">
          <cell r="A521" t="str">
            <v>20022_1</v>
          </cell>
        </row>
        <row r="522">
          <cell r="A522" t="str">
            <v>30001_1</v>
          </cell>
        </row>
        <row r="523">
          <cell r="A523" t="str">
            <v>30001_2</v>
          </cell>
        </row>
        <row r="524">
          <cell r="A524" t="str">
            <v>30001_3</v>
          </cell>
        </row>
        <row r="525">
          <cell r="A525" t="str">
            <v>30002_1</v>
          </cell>
        </row>
        <row r="526">
          <cell r="A526" t="str">
            <v>30002_2</v>
          </cell>
        </row>
        <row r="527">
          <cell r="A527" t="str">
            <v>30002_3</v>
          </cell>
        </row>
        <row r="528">
          <cell r="A528" t="str">
            <v>30003_1</v>
          </cell>
        </row>
        <row r="529">
          <cell r="A529" t="str">
            <v>30003_2</v>
          </cell>
        </row>
        <row r="530">
          <cell r="A530" t="str">
            <v>30003_3</v>
          </cell>
        </row>
        <row r="531">
          <cell r="A531" t="str">
            <v>30004_1</v>
          </cell>
        </row>
        <row r="532">
          <cell r="A532" t="str">
            <v>30004_2</v>
          </cell>
        </row>
        <row r="533">
          <cell r="A533" t="str">
            <v>30004_3</v>
          </cell>
        </row>
        <row r="534">
          <cell r="A534" t="str">
            <v>30005_1</v>
          </cell>
        </row>
        <row r="535">
          <cell r="A535" t="str">
            <v>30005_2</v>
          </cell>
        </row>
        <row r="536">
          <cell r="A536" t="str">
            <v>30005_3</v>
          </cell>
        </row>
        <row r="537">
          <cell r="A537" t="str">
            <v>30006_1</v>
          </cell>
        </row>
        <row r="538">
          <cell r="A538" t="str">
            <v>30006_2</v>
          </cell>
        </row>
        <row r="539">
          <cell r="A539" t="str">
            <v>30006_3</v>
          </cell>
        </row>
        <row r="540">
          <cell r="A540" t="str">
            <v>30007_1</v>
          </cell>
        </row>
        <row r="541">
          <cell r="A541" t="str">
            <v>30007_2</v>
          </cell>
        </row>
        <row r="542">
          <cell r="A542" t="str">
            <v>30007_3</v>
          </cell>
        </row>
        <row r="543">
          <cell r="A543" t="str">
            <v>30008_1</v>
          </cell>
        </row>
        <row r="544">
          <cell r="A544" t="str">
            <v>30008_2</v>
          </cell>
        </row>
        <row r="545">
          <cell r="A545" t="str">
            <v>30008_3</v>
          </cell>
        </row>
        <row r="546">
          <cell r="A546" t="str">
            <v>30009_3</v>
          </cell>
        </row>
        <row r="547">
          <cell r="A547" t="str">
            <v>30009_1</v>
          </cell>
        </row>
        <row r="548">
          <cell r="A548" t="str">
            <v>30009_2</v>
          </cell>
        </row>
        <row r="549">
          <cell r="A549" t="str">
            <v>30010_1</v>
          </cell>
        </row>
        <row r="550">
          <cell r="A550" t="str">
            <v>30010_2</v>
          </cell>
        </row>
        <row r="551">
          <cell r="A551" t="str">
            <v>30010_3</v>
          </cell>
        </row>
        <row r="552">
          <cell r="A552" t="str">
            <v>30011_1</v>
          </cell>
        </row>
        <row r="553">
          <cell r="A553" t="str">
            <v>30011_2</v>
          </cell>
        </row>
        <row r="554">
          <cell r="A554" t="str">
            <v>30011_3</v>
          </cell>
        </row>
        <row r="555">
          <cell r="A555" t="str">
            <v>30012_1</v>
          </cell>
        </row>
        <row r="556">
          <cell r="A556" t="str">
            <v>30012_2</v>
          </cell>
        </row>
        <row r="557">
          <cell r="A557" t="str">
            <v>30012_3</v>
          </cell>
        </row>
        <row r="558">
          <cell r="A558" t="str">
            <v>30013_1</v>
          </cell>
        </row>
        <row r="559">
          <cell r="A559" t="str">
            <v>30013_2</v>
          </cell>
        </row>
        <row r="560">
          <cell r="A560" t="str">
            <v>30014_1</v>
          </cell>
        </row>
        <row r="561">
          <cell r="A561" t="str">
            <v>30014_2</v>
          </cell>
        </row>
        <row r="562">
          <cell r="A562" t="str">
            <v>30015_1</v>
          </cell>
        </row>
        <row r="563">
          <cell r="A563" t="str">
            <v>30015_2</v>
          </cell>
        </row>
        <row r="564">
          <cell r="A564" t="str">
            <v>30016_1</v>
          </cell>
        </row>
        <row r="565">
          <cell r="A565" t="str">
            <v>30016_2</v>
          </cell>
        </row>
        <row r="566">
          <cell r="A566" t="str">
            <v>30017_1</v>
          </cell>
        </row>
        <row r="567">
          <cell r="A567" t="str">
            <v>30017_2</v>
          </cell>
        </row>
        <row r="568">
          <cell r="A568" t="str">
            <v>30018_1</v>
          </cell>
        </row>
        <row r="569">
          <cell r="A569" t="str">
            <v>30018_2</v>
          </cell>
        </row>
        <row r="570">
          <cell r="A570" t="str">
            <v>30019_1</v>
          </cell>
        </row>
        <row r="571">
          <cell r="A571" t="str">
            <v>30019_2</v>
          </cell>
        </row>
        <row r="572">
          <cell r="A572" t="str">
            <v>30020_1</v>
          </cell>
        </row>
        <row r="573">
          <cell r="A573" t="str">
            <v>30020_2</v>
          </cell>
        </row>
        <row r="574">
          <cell r="A574" t="str">
            <v>30021_1</v>
          </cell>
        </row>
        <row r="575">
          <cell r="A575" t="str">
            <v>30021_2</v>
          </cell>
        </row>
        <row r="576">
          <cell r="A576" t="str">
            <v>30021_3</v>
          </cell>
        </row>
        <row r="577">
          <cell r="A577" t="str">
            <v>30022_1</v>
          </cell>
        </row>
        <row r="578">
          <cell r="A578" t="str">
            <v>30022_2</v>
          </cell>
        </row>
        <row r="579">
          <cell r="A579" t="str">
            <v>30023_1</v>
          </cell>
        </row>
        <row r="580">
          <cell r="A580" t="str">
            <v>30023_2</v>
          </cell>
        </row>
        <row r="581">
          <cell r="A581" t="str">
            <v>30023_3</v>
          </cell>
        </row>
        <row r="582">
          <cell r="A582" t="str">
            <v>30024_1</v>
          </cell>
        </row>
        <row r="583">
          <cell r="A583" t="str">
            <v>30024_2</v>
          </cell>
        </row>
        <row r="584">
          <cell r="A584" t="str">
            <v>30024_3</v>
          </cell>
        </row>
        <row r="585">
          <cell r="A585" t="str">
            <v>30025_1</v>
          </cell>
        </row>
        <row r="586">
          <cell r="A586" t="str">
            <v>30025_2</v>
          </cell>
        </row>
        <row r="587">
          <cell r="A587" t="str">
            <v>30025_3</v>
          </cell>
        </row>
        <row r="588">
          <cell r="A588" t="str">
            <v>30026_1</v>
          </cell>
        </row>
        <row r="589">
          <cell r="A589" t="str">
            <v>30026_2</v>
          </cell>
        </row>
        <row r="590">
          <cell r="A590" t="str">
            <v>30026_3</v>
          </cell>
        </row>
        <row r="591">
          <cell r="A591" t="str">
            <v>30027_1</v>
          </cell>
        </row>
        <row r="592">
          <cell r="A592" t="str">
            <v>30027_2</v>
          </cell>
        </row>
        <row r="593">
          <cell r="A593" t="str">
            <v>30027_3</v>
          </cell>
        </row>
        <row r="594">
          <cell r="A594" t="str">
            <v>30028_1</v>
          </cell>
        </row>
        <row r="595">
          <cell r="A595" t="str">
            <v>30028_2</v>
          </cell>
        </row>
        <row r="596">
          <cell r="A596" t="str">
            <v>30028_3</v>
          </cell>
        </row>
        <row r="597">
          <cell r="A597" t="str">
            <v>30029_1</v>
          </cell>
        </row>
        <row r="598">
          <cell r="A598" t="str">
            <v>30029_2</v>
          </cell>
        </row>
        <row r="599">
          <cell r="A599" t="str">
            <v>30029_3</v>
          </cell>
        </row>
        <row r="600">
          <cell r="A600" t="str">
            <v>30030_1</v>
          </cell>
        </row>
        <row r="601">
          <cell r="A601" t="str">
            <v>30030_2</v>
          </cell>
        </row>
        <row r="602">
          <cell r="A602" t="str">
            <v>30030_3</v>
          </cell>
        </row>
        <row r="603">
          <cell r="A603" t="str">
            <v>30031_1</v>
          </cell>
        </row>
        <row r="604">
          <cell r="A604" t="str">
            <v>30031_2</v>
          </cell>
        </row>
        <row r="605">
          <cell r="A605" t="str">
            <v>30031_3</v>
          </cell>
        </row>
        <row r="606">
          <cell r="A606" t="str">
            <v>30032_1</v>
          </cell>
        </row>
        <row r="607">
          <cell r="A607" t="str">
            <v>30032_2</v>
          </cell>
        </row>
        <row r="608">
          <cell r="A608" t="str">
            <v>30032_3</v>
          </cell>
        </row>
        <row r="609">
          <cell r="A609" t="str">
            <v>30033_1</v>
          </cell>
        </row>
        <row r="610">
          <cell r="A610" t="str">
            <v>30033_2</v>
          </cell>
        </row>
        <row r="611">
          <cell r="A611" t="str">
            <v>30033_3</v>
          </cell>
        </row>
        <row r="612">
          <cell r="A612" t="str">
            <v>30034_1</v>
          </cell>
        </row>
        <row r="613">
          <cell r="A613" t="str">
            <v>30034_2</v>
          </cell>
        </row>
        <row r="614">
          <cell r="A614" t="str">
            <v>30034_3</v>
          </cell>
        </row>
        <row r="615">
          <cell r="A615" t="str">
            <v>30035_1</v>
          </cell>
        </row>
        <row r="616">
          <cell r="A616" t="str">
            <v>30035_2</v>
          </cell>
        </row>
        <row r="617">
          <cell r="A617" t="str">
            <v>30035_3</v>
          </cell>
        </row>
        <row r="618">
          <cell r="A618" t="str">
            <v>30036_1</v>
          </cell>
        </row>
        <row r="619">
          <cell r="A619" t="str">
            <v>30036_2</v>
          </cell>
        </row>
        <row r="620">
          <cell r="A620" t="str">
            <v>30036_3</v>
          </cell>
        </row>
        <row r="621">
          <cell r="A621" t="str">
            <v>30037_1</v>
          </cell>
        </row>
        <row r="622">
          <cell r="A622" t="str">
            <v>30037_2</v>
          </cell>
        </row>
        <row r="623">
          <cell r="A623" t="str">
            <v>30037_3</v>
          </cell>
        </row>
        <row r="624">
          <cell r="A624" t="str">
            <v>30038_1</v>
          </cell>
        </row>
        <row r="625">
          <cell r="A625" t="str">
            <v>30038_2</v>
          </cell>
        </row>
        <row r="626">
          <cell r="A626" t="str">
            <v>30038_3</v>
          </cell>
        </row>
        <row r="627">
          <cell r="A627" t="str">
            <v>30039_1</v>
          </cell>
        </row>
        <row r="628">
          <cell r="A628" t="str">
            <v>30039_2</v>
          </cell>
        </row>
        <row r="629">
          <cell r="A629" t="str">
            <v>30039_3</v>
          </cell>
        </row>
        <row r="630">
          <cell r="A630" t="str">
            <v>30040_1</v>
          </cell>
        </row>
        <row r="631">
          <cell r="A631" t="str">
            <v>30040_2</v>
          </cell>
        </row>
        <row r="632">
          <cell r="A632" t="str">
            <v>30040_3</v>
          </cell>
        </row>
        <row r="633">
          <cell r="A633" t="str">
            <v>30041_1</v>
          </cell>
        </row>
        <row r="634">
          <cell r="A634" t="str">
            <v>30041_2</v>
          </cell>
        </row>
        <row r="635">
          <cell r="A635" t="str">
            <v>30041_3</v>
          </cell>
        </row>
        <row r="636">
          <cell r="A636" t="str">
            <v>30042_1</v>
          </cell>
        </row>
        <row r="637">
          <cell r="A637" t="str">
            <v>30042_2</v>
          </cell>
        </row>
        <row r="638">
          <cell r="A638" t="str">
            <v>30042_3</v>
          </cell>
        </row>
        <row r="639">
          <cell r="A639" t="str">
            <v>30043_1</v>
          </cell>
        </row>
        <row r="640">
          <cell r="A640" t="str">
            <v>30043_2</v>
          </cell>
        </row>
        <row r="641">
          <cell r="A641" t="str">
            <v>30043_3</v>
          </cell>
        </row>
        <row r="642">
          <cell r="A642" t="str">
            <v>30044_1</v>
          </cell>
        </row>
        <row r="643">
          <cell r="A643" t="str">
            <v>30044_2</v>
          </cell>
        </row>
        <row r="644">
          <cell r="A644" t="str">
            <v>30044_3</v>
          </cell>
        </row>
        <row r="645">
          <cell r="A645" t="str">
            <v>30045_1</v>
          </cell>
        </row>
        <row r="646">
          <cell r="A646" t="str">
            <v>30045_2</v>
          </cell>
        </row>
        <row r="647">
          <cell r="A647" t="str">
            <v>30045_3</v>
          </cell>
        </row>
        <row r="648">
          <cell r="A648" t="str">
            <v>30046_1</v>
          </cell>
        </row>
        <row r="649">
          <cell r="A649" t="str">
            <v>30046_2</v>
          </cell>
        </row>
        <row r="650">
          <cell r="A650" t="str">
            <v>30046_3</v>
          </cell>
        </row>
        <row r="651">
          <cell r="A651" t="str">
            <v>30047_1</v>
          </cell>
        </row>
        <row r="652">
          <cell r="A652" t="str">
            <v>30047_2</v>
          </cell>
        </row>
        <row r="653">
          <cell r="A653" t="str">
            <v>30047_3</v>
          </cell>
        </row>
        <row r="654">
          <cell r="A654" t="str">
            <v>30048_1</v>
          </cell>
        </row>
        <row r="655">
          <cell r="A655" t="str">
            <v>30048_2</v>
          </cell>
        </row>
        <row r="656">
          <cell r="A656" t="str">
            <v>30048_3</v>
          </cell>
        </row>
        <row r="657">
          <cell r="A657" t="str">
            <v>39001_1</v>
          </cell>
        </row>
        <row r="658">
          <cell r="A658" t="str">
            <v>39001_2</v>
          </cell>
        </row>
        <row r="659">
          <cell r="A659" t="str">
            <v>39001_3</v>
          </cell>
        </row>
        <row r="660">
          <cell r="A660" t="str">
            <v>39001_4</v>
          </cell>
        </row>
        <row r="661">
          <cell r="A661" t="str">
            <v>39001_5</v>
          </cell>
        </row>
        <row r="662">
          <cell r="A662" t="str">
            <v>39002_1</v>
          </cell>
        </row>
        <row r="663">
          <cell r="A663" t="str">
            <v>39002_2</v>
          </cell>
        </row>
        <row r="664">
          <cell r="A664" t="str">
            <v>39002_3</v>
          </cell>
        </row>
        <row r="665">
          <cell r="A665" t="str">
            <v>39002_4</v>
          </cell>
        </row>
        <row r="666">
          <cell r="A666" t="str">
            <v>39003_1</v>
          </cell>
        </row>
        <row r="667">
          <cell r="A667" t="str">
            <v>39003_2</v>
          </cell>
        </row>
        <row r="668">
          <cell r="A668" t="str">
            <v>39003_3</v>
          </cell>
        </row>
        <row r="669">
          <cell r="A669" t="str">
            <v>39003_4</v>
          </cell>
        </row>
        <row r="670">
          <cell r="A670" t="str">
            <v>39004_1</v>
          </cell>
        </row>
        <row r="671">
          <cell r="A671" t="str">
            <v>39004_2</v>
          </cell>
        </row>
        <row r="672">
          <cell r="A672" t="str">
            <v>39004_3</v>
          </cell>
        </row>
        <row r="673">
          <cell r="A673" t="str">
            <v>39004_4</v>
          </cell>
        </row>
        <row r="674">
          <cell r="A674" t="str">
            <v>39005_1</v>
          </cell>
        </row>
        <row r="675">
          <cell r="A675" t="str">
            <v>39005_2</v>
          </cell>
        </row>
        <row r="676">
          <cell r="A676" t="str">
            <v>39005_3</v>
          </cell>
        </row>
        <row r="677">
          <cell r="A677" t="str">
            <v>39005_4</v>
          </cell>
        </row>
        <row r="678">
          <cell r="A678" t="str">
            <v>39005_5</v>
          </cell>
        </row>
        <row r="679">
          <cell r="A679" t="str">
            <v>39006_1</v>
          </cell>
        </row>
        <row r="680">
          <cell r="A680" t="str">
            <v>39006_2</v>
          </cell>
        </row>
        <row r="681">
          <cell r="A681" t="str">
            <v>39006_3</v>
          </cell>
        </row>
        <row r="682">
          <cell r="A682" t="str">
            <v>39006_4</v>
          </cell>
        </row>
        <row r="683">
          <cell r="A683" t="str">
            <v>39007_1</v>
          </cell>
        </row>
        <row r="684">
          <cell r="A684" t="str">
            <v>39007_2</v>
          </cell>
        </row>
        <row r="685">
          <cell r="A685" t="str">
            <v>39007_3</v>
          </cell>
        </row>
        <row r="686">
          <cell r="A686" t="str">
            <v>39007_4</v>
          </cell>
        </row>
        <row r="687">
          <cell r="A687" t="str">
            <v>39008_1</v>
          </cell>
        </row>
        <row r="688">
          <cell r="A688" t="str">
            <v>39008_2</v>
          </cell>
        </row>
        <row r="689">
          <cell r="A689" t="str">
            <v>39008_3</v>
          </cell>
        </row>
        <row r="690">
          <cell r="A690" t="str">
            <v>39008_4</v>
          </cell>
        </row>
        <row r="691">
          <cell r="A691" t="str">
            <v>39008_5</v>
          </cell>
        </row>
        <row r="692">
          <cell r="A692" t="str">
            <v>39009_1</v>
          </cell>
        </row>
        <row r="693">
          <cell r="A693" t="str">
            <v>39009_2</v>
          </cell>
        </row>
        <row r="694">
          <cell r="A694" t="str">
            <v>39009_3</v>
          </cell>
        </row>
        <row r="695">
          <cell r="A695" t="str">
            <v>39009_4</v>
          </cell>
        </row>
        <row r="696">
          <cell r="A696" t="str">
            <v>39009_5</v>
          </cell>
        </row>
        <row r="697">
          <cell r="A697" t="str">
            <v>39010_1</v>
          </cell>
        </row>
        <row r="698">
          <cell r="A698" t="str">
            <v>39010_2</v>
          </cell>
        </row>
        <row r="699">
          <cell r="A699" t="str">
            <v>39010_3</v>
          </cell>
        </row>
        <row r="700">
          <cell r="A700" t="str">
            <v>39010_4</v>
          </cell>
        </row>
        <row r="701">
          <cell r="A701" t="str">
            <v>39011_1</v>
          </cell>
        </row>
        <row r="702">
          <cell r="A702" t="str">
            <v>39011_2</v>
          </cell>
        </row>
        <row r="703">
          <cell r="A703" t="str">
            <v>39011_3</v>
          </cell>
        </row>
        <row r="704">
          <cell r="A704" t="str">
            <v>39011_4</v>
          </cell>
        </row>
        <row r="705">
          <cell r="A705" t="str">
            <v>39012_1</v>
          </cell>
        </row>
        <row r="706">
          <cell r="A706" t="str">
            <v>39012_2</v>
          </cell>
        </row>
        <row r="707">
          <cell r="A707" t="str">
            <v>39012_3</v>
          </cell>
        </row>
        <row r="708">
          <cell r="A708" t="str">
            <v>39012_4</v>
          </cell>
        </row>
        <row r="709">
          <cell r="A709" t="str">
            <v>39012_5</v>
          </cell>
        </row>
        <row r="710">
          <cell r="A710" t="str">
            <v>40001_1</v>
          </cell>
        </row>
        <row r="711">
          <cell r="A711" t="str">
            <v>40002_1</v>
          </cell>
        </row>
        <row r="712">
          <cell r="A712" t="str">
            <v>40002_2</v>
          </cell>
        </row>
        <row r="713">
          <cell r="A713" t="str">
            <v>40002_3</v>
          </cell>
        </row>
        <row r="714">
          <cell r="A714" t="str">
            <v>40003_1</v>
          </cell>
        </row>
        <row r="715">
          <cell r="A715" t="str">
            <v>40004_1</v>
          </cell>
        </row>
        <row r="716">
          <cell r="A716" t="str">
            <v>40005_1</v>
          </cell>
        </row>
        <row r="717">
          <cell r="A717" t="str">
            <v>40006_1</v>
          </cell>
        </row>
        <row r="718">
          <cell r="A718" t="str">
            <v>40007_1</v>
          </cell>
        </row>
        <row r="719">
          <cell r="A719" t="str">
            <v>40008_1</v>
          </cell>
        </row>
        <row r="720">
          <cell r="A720" t="str">
            <v>40009_1</v>
          </cell>
        </row>
        <row r="721">
          <cell r="A721" t="str">
            <v>40010_1</v>
          </cell>
        </row>
        <row r="722">
          <cell r="A722" t="str">
            <v>40011_1</v>
          </cell>
        </row>
        <row r="723">
          <cell r="A723" t="str">
            <v>40012_1</v>
          </cell>
        </row>
        <row r="724">
          <cell r="A724" t="str">
            <v>40013_1</v>
          </cell>
        </row>
        <row r="725">
          <cell r="A725" t="str">
            <v>40014_1</v>
          </cell>
        </row>
        <row r="726">
          <cell r="A726" t="str">
            <v>40015_1</v>
          </cell>
        </row>
        <row r="727">
          <cell r="A727" t="str">
            <v>40016_1</v>
          </cell>
        </row>
        <row r="728">
          <cell r="A728" t="str">
            <v>40016_2</v>
          </cell>
        </row>
        <row r="729">
          <cell r="A729" t="str">
            <v>40017_1</v>
          </cell>
        </row>
        <row r="730">
          <cell r="A730" t="str">
            <v>40017_2</v>
          </cell>
        </row>
        <row r="731">
          <cell r="A731" t="str">
            <v>40017_3</v>
          </cell>
        </row>
        <row r="732">
          <cell r="A732" t="str">
            <v>40018_1</v>
          </cell>
        </row>
        <row r="733">
          <cell r="A733" t="str">
            <v>40018_2</v>
          </cell>
        </row>
        <row r="734">
          <cell r="A734" t="str">
            <v>40018_3</v>
          </cell>
        </row>
        <row r="735">
          <cell r="A735" t="str">
            <v>40019_1</v>
          </cell>
        </row>
        <row r="736">
          <cell r="A736" t="str">
            <v>40019_2</v>
          </cell>
        </row>
        <row r="737">
          <cell r="A737" t="str">
            <v>40019_3</v>
          </cell>
        </row>
        <row r="738">
          <cell r="A738" t="str">
            <v>40021_1</v>
          </cell>
        </row>
        <row r="739">
          <cell r="A739" t="str">
            <v>40021_2</v>
          </cell>
        </row>
        <row r="740">
          <cell r="A740" t="str">
            <v>40022_1</v>
          </cell>
        </row>
        <row r="741">
          <cell r="A741" t="str">
            <v>40022_2</v>
          </cell>
        </row>
        <row r="742">
          <cell r="A742" t="str">
            <v>40023_1</v>
          </cell>
        </row>
        <row r="743">
          <cell r="A743" t="str">
            <v>40023_2</v>
          </cell>
        </row>
        <row r="744">
          <cell r="A744" t="str">
            <v>40024_1</v>
          </cell>
        </row>
        <row r="745">
          <cell r="A745" t="str">
            <v>40024_2</v>
          </cell>
        </row>
        <row r="746">
          <cell r="A746" t="str">
            <v>40025_1</v>
          </cell>
        </row>
        <row r="747">
          <cell r="A747" t="str">
            <v>40025_2</v>
          </cell>
        </row>
        <row r="748">
          <cell r="A748" t="str">
            <v>40026_1</v>
          </cell>
        </row>
        <row r="749">
          <cell r="A749" t="str">
            <v>40026_2</v>
          </cell>
        </row>
        <row r="750">
          <cell r="A750" t="str">
            <v>40027_1</v>
          </cell>
        </row>
        <row r="751">
          <cell r="A751" t="str">
            <v>40027_2</v>
          </cell>
        </row>
        <row r="752">
          <cell r="A752" t="str">
            <v>40028_1</v>
          </cell>
        </row>
        <row r="753">
          <cell r="A753" t="str">
            <v>40028_2</v>
          </cell>
        </row>
        <row r="754">
          <cell r="A754" t="str">
            <v>40029_1</v>
          </cell>
        </row>
        <row r="755">
          <cell r="A755" t="str">
            <v>40029_2</v>
          </cell>
        </row>
        <row r="756">
          <cell r="A756" t="str">
            <v>40030_1</v>
          </cell>
        </row>
        <row r="757">
          <cell r="A757" t="str">
            <v>40030_2</v>
          </cell>
        </row>
        <row r="758">
          <cell r="A758" t="str">
            <v>40031_1</v>
          </cell>
        </row>
        <row r="759">
          <cell r="A759" t="str">
            <v>40031_2</v>
          </cell>
        </row>
        <row r="760">
          <cell r="A760" t="str">
            <v>40032_1</v>
          </cell>
        </row>
        <row r="761">
          <cell r="A761" t="str">
            <v>40032_2</v>
          </cell>
        </row>
        <row r="762">
          <cell r="A762" t="str">
            <v>40033_1</v>
          </cell>
        </row>
        <row r="763">
          <cell r="A763" t="str">
            <v>40033_2</v>
          </cell>
        </row>
        <row r="764">
          <cell r="A764" t="str">
            <v>40034_1</v>
          </cell>
        </row>
        <row r="765">
          <cell r="A765" t="str">
            <v>40034_2</v>
          </cell>
        </row>
        <row r="766">
          <cell r="A766" t="str">
            <v>40035_1</v>
          </cell>
        </row>
        <row r="767">
          <cell r="A767" t="str">
            <v>40035_2</v>
          </cell>
        </row>
        <row r="768">
          <cell r="A768" t="str">
            <v>40036_1</v>
          </cell>
        </row>
        <row r="769">
          <cell r="A769" t="str">
            <v>40036_2</v>
          </cell>
        </row>
        <row r="770">
          <cell r="A770" t="str">
            <v>40037_1</v>
          </cell>
        </row>
        <row r="771">
          <cell r="A771" t="str">
            <v>40037_2</v>
          </cell>
        </row>
        <row r="772">
          <cell r="A772" t="str">
            <v>40038_1</v>
          </cell>
        </row>
        <row r="773">
          <cell r="A773" t="str">
            <v>40038_2</v>
          </cell>
        </row>
        <row r="774">
          <cell r="A774" t="str">
            <v>40039_1</v>
          </cell>
        </row>
        <row r="775">
          <cell r="A775" t="str">
            <v>40039_2</v>
          </cell>
        </row>
        <row r="776">
          <cell r="A776" t="str">
            <v>40040_1</v>
          </cell>
        </row>
        <row r="777">
          <cell r="A777" t="str">
            <v>40040_2</v>
          </cell>
        </row>
        <row r="778">
          <cell r="A778" t="str">
            <v>40041_1</v>
          </cell>
        </row>
        <row r="779">
          <cell r="A779" t="str">
            <v>40041_2</v>
          </cell>
        </row>
        <row r="780">
          <cell r="A780" t="str">
            <v>40042_1</v>
          </cell>
        </row>
        <row r="781">
          <cell r="A781" t="str">
            <v>40042_2</v>
          </cell>
        </row>
        <row r="782">
          <cell r="A782" t="str">
            <v>40043_1</v>
          </cell>
        </row>
        <row r="783">
          <cell r="A783" t="str">
            <v>40043_2</v>
          </cell>
        </row>
        <row r="784">
          <cell r="A784" t="str">
            <v>41001_1</v>
          </cell>
        </row>
        <row r="785">
          <cell r="A785" t="str">
            <v>41001_2</v>
          </cell>
        </row>
        <row r="786">
          <cell r="A786" t="str">
            <v>41001_3</v>
          </cell>
        </row>
        <row r="787">
          <cell r="A787" t="str">
            <v>41002_1</v>
          </cell>
        </row>
        <row r="788">
          <cell r="A788" t="str">
            <v>41002_2</v>
          </cell>
        </row>
        <row r="789">
          <cell r="A789" t="str">
            <v>41002_3</v>
          </cell>
        </row>
        <row r="790">
          <cell r="A790" t="str">
            <v>41003_1</v>
          </cell>
        </row>
        <row r="791">
          <cell r="A791" t="str">
            <v>41003_2</v>
          </cell>
        </row>
        <row r="792">
          <cell r="A792" t="str">
            <v>41003_3</v>
          </cell>
        </row>
        <row r="793">
          <cell r="A793" t="str">
            <v>41004_1</v>
          </cell>
        </row>
        <row r="794">
          <cell r="A794" t="str">
            <v>41004_2</v>
          </cell>
        </row>
        <row r="795">
          <cell r="A795" t="str">
            <v>41004_3</v>
          </cell>
        </row>
        <row r="796">
          <cell r="A796" t="str">
            <v>41005_1</v>
          </cell>
        </row>
        <row r="797">
          <cell r="A797" t="str">
            <v>41005_2</v>
          </cell>
        </row>
        <row r="798">
          <cell r="A798" t="str">
            <v>41005_3</v>
          </cell>
        </row>
        <row r="799">
          <cell r="A799" t="str">
            <v>41006_1</v>
          </cell>
        </row>
        <row r="800">
          <cell r="A800" t="str">
            <v>41006_2</v>
          </cell>
        </row>
        <row r="801">
          <cell r="A801" t="str">
            <v>41006_3</v>
          </cell>
        </row>
        <row r="802">
          <cell r="A802" t="str">
            <v>41007_1</v>
          </cell>
        </row>
        <row r="803">
          <cell r="A803" t="str">
            <v>41007_2</v>
          </cell>
        </row>
        <row r="804">
          <cell r="A804" t="str">
            <v>41007_3</v>
          </cell>
        </row>
        <row r="805">
          <cell r="A805" t="str">
            <v>41008_1</v>
          </cell>
        </row>
        <row r="806">
          <cell r="A806" t="str">
            <v>41008_2</v>
          </cell>
        </row>
        <row r="807">
          <cell r="A807" t="str">
            <v>41008_3</v>
          </cell>
        </row>
        <row r="808">
          <cell r="A808" t="str">
            <v>41009_1</v>
          </cell>
        </row>
        <row r="809">
          <cell r="A809" t="str">
            <v>41009_2</v>
          </cell>
        </row>
        <row r="810">
          <cell r="A810" t="str">
            <v>41009_3</v>
          </cell>
        </row>
        <row r="811">
          <cell r="A811" t="str">
            <v>41010_1</v>
          </cell>
        </row>
        <row r="812">
          <cell r="A812" t="str">
            <v>41010_2</v>
          </cell>
        </row>
        <row r="813">
          <cell r="A813" t="str">
            <v>41010_3</v>
          </cell>
        </row>
        <row r="814">
          <cell r="A814" t="str">
            <v>41011_1</v>
          </cell>
        </row>
        <row r="815">
          <cell r="A815" t="str">
            <v>41011_2</v>
          </cell>
        </row>
        <row r="816">
          <cell r="A816" t="str">
            <v>41012_1</v>
          </cell>
        </row>
        <row r="817">
          <cell r="A817" t="str">
            <v>41012_2</v>
          </cell>
        </row>
        <row r="818">
          <cell r="A818" t="str">
            <v>41013_1</v>
          </cell>
        </row>
        <row r="819">
          <cell r="A819" t="str">
            <v>41013_2</v>
          </cell>
        </row>
        <row r="820">
          <cell r="A820" t="str">
            <v>41014_1</v>
          </cell>
        </row>
        <row r="821">
          <cell r="A821" t="str">
            <v>41014_2</v>
          </cell>
        </row>
        <row r="822">
          <cell r="A822" t="str">
            <v>41015_1</v>
          </cell>
        </row>
        <row r="823">
          <cell r="A823" t="str">
            <v>41015_2</v>
          </cell>
        </row>
        <row r="824">
          <cell r="A824" t="str">
            <v>47001_1</v>
          </cell>
        </row>
        <row r="825">
          <cell r="A825" t="str">
            <v>47001_2</v>
          </cell>
        </row>
        <row r="826">
          <cell r="A826" t="str">
            <v>47002_1</v>
          </cell>
        </row>
        <row r="827">
          <cell r="A827" t="str">
            <v>47002_2</v>
          </cell>
        </row>
        <row r="828">
          <cell r="A828" t="str">
            <v>47003_1</v>
          </cell>
        </row>
        <row r="829">
          <cell r="A829" t="str">
            <v>47003_2</v>
          </cell>
        </row>
        <row r="830">
          <cell r="A830" t="str">
            <v>47003_3</v>
          </cell>
        </row>
        <row r="831">
          <cell r="A831" t="str">
            <v>47003_4</v>
          </cell>
        </row>
        <row r="832">
          <cell r="A832" t="str">
            <v>47004_1</v>
          </cell>
        </row>
        <row r="833">
          <cell r="A833" t="str">
            <v>47004_2</v>
          </cell>
        </row>
        <row r="834">
          <cell r="A834" t="str">
            <v>47004_3</v>
          </cell>
        </row>
        <row r="835">
          <cell r="A835" t="str">
            <v>47004_4</v>
          </cell>
        </row>
        <row r="836">
          <cell r="A836" t="str">
            <v>47005_1</v>
          </cell>
        </row>
        <row r="837">
          <cell r="A837" t="str">
            <v>47006_1</v>
          </cell>
        </row>
        <row r="838">
          <cell r="A838" t="str">
            <v>47006_2</v>
          </cell>
        </row>
        <row r="839">
          <cell r="A839" t="str">
            <v>47007_1</v>
          </cell>
        </row>
        <row r="840">
          <cell r="A840" t="str">
            <v>47007_2</v>
          </cell>
        </row>
        <row r="841">
          <cell r="A841" t="str">
            <v>47008_1</v>
          </cell>
        </row>
        <row r="842">
          <cell r="A842" t="str">
            <v>47008_2</v>
          </cell>
        </row>
        <row r="843">
          <cell r="A843" t="str">
            <v>47009_1</v>
          </cell>
        </row>
        <row r="844">
          <cell r="A844" t="str">
            <v>47009_2</v>
          </cell>
        </row>
        <row r="845">
          <cell r="A845" t="str">
            <v>47010_1</v>
          </cell>
        </row>
        <row r="846">
          <cell r="A846" t="str">
            <v>47010_2</v>
          </cell>
        </row>
        <row r="847">
          <cell r="A847" t="str">
            <v>48001_1</v>
          </cell>
        </row>
        <row r="848">
          <cell r="A848" t="str">
            <v>48002_1</v>
          </cell>
        </row>
        <row r="849">
          <cell r="A849" t="str">
            <v>48002_2</v>
          </cell>
        </row>
        <row r="850">
          <cell r="A850" t="str">
            <v>48002_3</v>
          </cell>
        </row>
        <row r="851">
          <cell r="A851" t="str">
            <v>48003_1</v>
          </cell>
        </row>
        <row r="852">
          <cell r="A852" t="str">
            <v>48003_2</v>
          </cell>
        </row>
        <row r="853">
          <cell r="A853" t="str">
            <v>48004_1</v>
          </cell>
        </row>
        <row r="854">
          <cell r="A854" t="str">
            <v>48004_2</v>
          </cell>
        </row>
        <row r="855">
          <cell r="A855" t="str">
            <v>48005_1</v>
          </cell>
        </row>
        <row r="856">
          <cell r="A856" t="str">
            <v>48005_2</v>
          </cell>
        </row>
        <row r="857">
          <cell r="A857" t="str">
            <v>48006_1</v>
          </cell>
        </row>
        <row r="858">
          <cell r="A858" t="str">
            <v>48006_2</v>
          </cell>
        </row>
        <row r="859">
          <cell r="A859" t="str">
            <v>48007_1</v>
          </cell>
        </row>
        <row r="860">
          <cell r="A860" t="str">
            <v>48007_2</v>
          </cell>
        </row>
        <row r="861">
          <cell r="A861" t="str">
            <v>48008_1</v>
          </cell>
        </row>
        <row r="862">
          <cell r="A862" t="str">
            <v>48008_2</v>
          </cell>
        </row>
        <row r="863">
          <cell r="A863" t="str">
            <v>48009_1</v>
          </cell>
        </row>
        <row r="864">
          <cell r="A864" t="str">
            <v>48009_2</v>
          </cell>
        </row>
        <row r="865">
          <cell r="A865" t="str">
            <v>48010_1</v>
          </cell>
        </row>
        <row r="866">
          <cell r="A866" t="str">
            <v>48011_1</v>
          </cell>
        </row>
        <row r="867">
          <cell r="A867" t="str">
            <v>48011_2</v>
          </cell>
        </row>
        <row r="868">
          <cell r="A868" t="str">
            <v>48501_1</v>
          </cell>
        </row>
        <row r="869">
          <cell r="A869" t="str">
            <v>48501_2</v>
          </cell>
        </row>
        <row r="870">
          <cell r="A870" t="str">
            <v>48502_1</v>
          </cell>
        </row>
        <row r="871">
          <cell r="A871" t="str">
            <v>48502_2</v>
          </cell>
        </row>
        <row r="872">
          <cell r="A872" t="str">
            <v>49001_1</v>
          </cell>
        </row>
        <row r="873">
          <cell r="A873" t="str">
            <v>49002_1</v>
          </cell>
        </row>
        <row r="874">
          <cell r="A874" t="str">
            <v>49002_2</v>
          </cell>
        </row>
        <row r="875">
          <cell r="A875" t="str">
            <v>49003_1</v>
          </cell>
        </row>
        <row r="876">
          <cell r="A876" t="str">
            <v>49003_2</v>
          </cell>
        </row>
        <row r="877">
          <cell r="A877" t="str">
            <v>49004_1</v>
          </cell>
        </row>
        <row r="878">
          <cell r="A878" t="str">
            <v>49004_2</v>
          </cell>
        </row>
        <row r="879">
          <cell r="A879" t="str">
            <v>49004_3</v>
          </cell>
        </row>
        <row r="880">
          <cell r="A880" t="str">
            <v>49005_1</v>
          </cell>
        </row>
        <row r="881">
          <cell r="A881" t="str">
            <v>49006_1</v>
          </cell>
        </row>
        <row r="882">
          <cell r="A882" t="str">
            <v>49006_2</v>
          </cell>
        </row>
        <row r="883">
          <cell r="A883" t="str">
            <v>49007_1</v>
          </cell>
        </row>
        <row r="884">
          <cell r="A884" t="str">
            <v>49007_2</v>
          </cell>
        </row>
        <row r="885">
          <cell r="A885" t="str">
            <v>49007_3</v>
          </cell>
        </row>
        <row r="886">
          <cell r="A886" t="str">
            <v>49008_1</v>
          </cell>
        </row>
        <row r="887">
          <cell r="A887" t="str">
            <v>49009_1</v>
          </cell>
        </row>
        <row r="888">
          <cell r="A888" t="str">
            <v>49010_1</v>
          </cell>
        </row>
        <row r="889">
          <cell r="A889" t="str">
            <v>49011_1</v>
          </cell>
        </row>
        <row r="890">
          <cell r="A890" t="str">
            <v>49012_1</v>
          </cell>
        </row>
        <row r="891">
          <cell r="A891" t="str">
            <v>49013_1</v>
          </cell>
        </row>
        <row r="892">
          <cell r="A892" t="str">
            <v>49014_1</v>
          </cell>
        </row>
        <row r="893">
          <cell r="A893" t="str">
            <v>49014_2</v>
          </cell>
        </row>
        <row r="894">
          <cell r="A894" t="str">
            <v>50001_1</v>
          </cell>
        </row>
        <row r="895">
          <cell r="A895" t="str">
            <v>50002_1</v>
          </cell>
        </row>
        <row r="896">
          <cell r="A896" t="str">
            <v>50003_1</v>
          </cell>
        </row>
        <row r="897">
          <cell r="A897" t="str">
            <v>50004_1</v>
          </cell>
        </row>
        <row r="898">
          <cell r="A898" t="str">
            <v>50005_1</v>
          </cell>
        </row>
        <row r="899">
          <cell r="A899" t="str">
            <v>50006_1</v>
          </cell>
        </row>
        <row r="900">
          <cell r="A900" t="str">
            <v>50007_1</v>
          </cell>
        </row>
        <row r="901">
          <cell r="A901" t="str">
            <v>50008_1</v>
          </cell>
        </row>
        <row r="902">
          <cell r="A902" t="str">
            <v>50009_1</v>
          </cell>
        </row>
        <row r="903">
          <cell r="A903" t="str">
            <v>50010_1</v>
          </cell>
        </row>
        <row r="904">
          <cell r="A904" t="str">
            <v>50011_1</v>
          </cell>
        </row>
        <row r="905">
          <cell r="A905" t="str">
            <v>50012_1</v>
          </cell>
        </row>
        <row r="906">
          <cell r="A906" t="str">
            <v>50013_1</v>
          </cell>
        </row>
        <row r="907">
          <cell r="A907" t="str">
            <v>50014_1</v>
          </cell>
        </row>
        <row r="908">
          <cell r="A908" t="str">
            <v>51001_1</v>
          </cell>
        </row>
        <row r="909">
          <cell r="A909" t="str">
            <v>51002_1</v>
          </cell>
        </row>
        <row r="910">
          <cell r="A910" t="str">
            <v>58001_1</v>
          </cell>
        </row>
        <row r="911">
          <cell r="A911" t="str">
            <v>59001_1</v>
          </cell>
        </row>
        <row r="912">
          <cell r="A912" t="str">
            <v>59002_1</v>
          </cell>
        </row>
        <row r="913">
          <cell r="A913" t="str">
            <v>60001_1</v>
          </cell>
        </row>
        <row r="914">
          <cell r="A914" t="str">
            <v>60002_1</v>
          </cell>
        </row>
        <row r="915">
          <cell r="A915" t="str">
            <v>60002_2</v>
          </cell>
        </row>
        <row r="916">
          <cell r="A916" t="str">
            <v>60003_1</v>
          </cell>
        </row>
        <row r="917">
          <cell r="A917" t="str">
            <v>60003_2</v>
          </cell>
        </row>
        <row r="918">
          <cell r="A918" t="str">
            <v>60003_3</v>
          </cell>
        </row>
        <row r="919">
          <cell r="A919" t="str">
            <v>60004_1</v>
          </cell>
        </row>
        <row r="920">
          <cell r="A920" t="str">
            <v>60005_1</v>
          </cell>
        </row>
        <row r="921">
          <cell r="A921" t="str">
            <v>60006_1</v>
          </cell>
        </row>
        <row r="922">
          <cell r="A922" t="str">
            <v>60006_2</v>
          </cell>
        </row>
        <row r="923">
          <cell r="A923" t="str">
            <v>60006_3</v>
          </cell>
        </row>
        <row r="924">
          <cell r="A924" t="str">
            <v>60007_1</v>
          </cell>
        </row>
        <row r="925">
          <cell r="A925" t="str">
            <v>60007_2</v>
          </cell>
        </row>
        <row r="926">
          <cell r="A926" t="str">
            <v>60007_3</v>
          </cell>
        </row>
        <row r="927">
          <cell r="A927" t="str">
            <v>60010_1</v>
          </cell>
        </row>
        <row r="928">
          <cell r="A928" t="str">
            <v>60011_1</v>
          </cell>
        </row>
        <row r="929">
          <cell r="A929" t="str">
            <v>60011_2</v>
          </cell>
        </row>
        <row r="930">
          <cell r="A930" t="str">
            <v>60012_1</v>
          </cell>
        </row>
        <row r="931">
          <cell r="A931" t="str">
            <v>60013_1</v>
          </cell>
        </row>
        <row r="932">
          <cell r="A932" t="str">
            <v>60013_2</v>
          </cell>
        </row>
        <row r="933">
          <cell r="A933" t="str">
            <v>60013_3</v>
          </cell>
        </row>
        <row r="934">
          <cell r="A934" t="str">
            <v>60014_1</v>
          </cell>
        </row>
        <row r="935">
          <cell r="A935" t="str">
            <v>60015_1</v>
          </cell>
        </row>
        <row r="936">
          <cell r="A936" t="str">
            <v>60016_1</v>
          </cell>
        </row>
        <row r="937">
          <cell r="A937" t="str">
            <v>60017_1</v>
          </cell>
        </row>
        <row r="938">
          <cell r="A938" t="str">
            <v>60018_1</v>
          </cell>
        </row>
        <row r="939">
          <cell r="A939" t="str">
            <v>60019_1</v>
          </cell>
        </row>
        <row r="940">
          <cell r="A940" t="str">
            <v>60020_1</v>
          </cell>
        </row>
        <row r="941">
          <cell r="A941" t="str">
            <v>60021_3</v>
          </cell>
        </row>
        <row r="942">
          <cell r="A942" t="str">
            <v>60022_3</v>
          </cell>
        </row>
        <row r="943">
          <cell r="A943" t="str">
            <v>60023_3</v>
          </cell>
        </row>
        <row r="944">
          <cell r="A944" t="str">
            <v>60024_3</v>
          </cell>
        </row>
        <row r="945">
          <cell r="A945" t="str">
            <v>60025_1</v>
          </cell>
        </row>
        <row r="946">
          <cell r="A946" t="str">
            <v>60026_1</v>
          </cell>
        </row>
        <row r="947">
          <cell r="A947" t="str">
            <v>61011_1</v>
          </cell>
        </row>
        <row r="948">
          <cell r="A948" t="str">
            <v>60027_1</v>
          </cell>
        </row>
        <row r="949">
          <cell r="A949" t="str">
            <v>65525_1</v>
          </cell>
        </row>
        <row r="950">
          <cell r="A950" t="str">
            <v>65526_1</v>
          </cell>
        </row>
        <row r="951">
          <cell r="A951" t="str">
            <v>65526_2</v>
          </cell>
        </row>
        <row r="952">
          <cell r="A952" t="str">
            <v>65527_1</v>
          </cell>
        </row>
        <row r="953">
          <cell r="A953" t="str">
            <v>65528_1</v>
          </cell>
        </row>
        <row r="954">
          <cell r="A954" t="str">
            <v>65529_1</v>
          </cell>
        </row>
        <row r="955">
          <cell r="A955" t="str">
            <v>65530_1</v>
          </cell>
        </row>
        <row r="956">
          <cell r="A956" t="str">
            <v>65531_1</v>
          </cell>
        </row>
        <row r="957">
          <cell r="A957" t="str">
            <v>65531_2</v>
          </cell>
        </row>
        <row r="958">
          <cell r="A958" t="str">
            <v>65532_1</v>
          </cell>
        </row>
        <row r="959">
          <cell r="A959" t="str">
            <v>65532_2</v>
          </cell>
        </row>
        <row r="960">
          <cell r="A960" t="str">
            <v>65533_1</v>
          </cell>
        </row>
        <row r="961">
          <cell r="A961" t="str">
            <v>65533_2</v>
          </cell>
        </row>
        <row r="962">
          <cell r="A962" t="str">
            <v>65534_1</v>
          </cell>
        </row>
        <row r="963">
          <cell r="A963" t="str">
            <v>65535_1</v>
          </cell>
        </row>
        <row r="964">
          <cell r="A964" t="str">
            <v>65535_2</v>
          </cell>
        </row>
        <row r="965">
          <cell r="A965" t="str">
            <v>65535_3</v>
          </cell>
        </row>
        <row r="966">
          <cell r="A966" t="str">
            <v>65535_4</v>
          </cell>
        </row>
        <row r="967">
          <cell r="A967" t="str">
            <v>65535_5</v>
          </cell>
        </row>
        <row r="968">
          <cell r="A968" t="str">
            <v>65535_6</v>
          </cell>
        </row>
        <row r="969">
          <cell r="A969" t="str">
            <v>65535_7</v>
          </cell>
        </row>
        <row r="970">
          <cell r="A970" t="str">
            <v>65535_8</v>
          </cell>
        </row>
        <row r="971">
          <cell r="A971" t="str">
            <v>65535_9</v>
          </cell>
        </row>
        <row r="972">
          <cell r="A97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K3"/>
  <sheetViews>
    <sheetView workbookViewId="0">
      <selection activeCell="C4" sqref="C4"/>
    </sheetView>
  </sheetViews>
  <sheetFormatPr baseColWidth="12" defaultRowHeight="15" x14ac:dyDescent="0.15"/>
  <cols>
    <col min="1" max="1" width="12.83203125" style="8"/>
    <col min="2" max="2" width="17.1640625" style="8" bestFit="1" customWidth="1"/>
    <col min="3" max="4" width="12.83203125" style="8"/>
    <col min="5" max="5" width="20.5" style="8" bestFit="1" customWidth="1"/>
    <col min="6" max="6" width="16" style="8" bestFit="1" customWidth="1"/>
    <col min="7" max="16384" width="12.83203125" style="8"/>
  </cols>
  <sheetData>
    <row r="1" spans="1:11" x14ac:dyDescent="0.15">
      <c r="A1" s="12" t="s">
        <v>18</v>
      </c>
      <c r="B1" s="6" t="s">
        <v>10</v>
      </c>
      <c r="C1" s="6" t="s">
        <v>11</v>
      </c>
      <c r="D1" s="6" t="s">
        <v>12</v>
      </c>
      <c r="E1" s="6" t="s">
        <v>13</v>
      </c>
      <c r="F1" s="6" t="s">
        <v>14</v>
      </c>
      <c r="G1" s="6" t="s">
        <v>15</v>
      </c>
      <c r="H1" s="7"/>
      <c r="I1" s="7"/>
      <c r="J1" s="15"/>
      <c r="K1" s="15"/>
    </row>
    <row r="2" spans="1:11" x14ac:dyDescent="0.15">
      <c r="A2" s="13" t="s">
        <v>19</v>
      </c>
      <c r="B2" s="22" t="s">
        <v>28</v>
      </c>
      <c r="C2" s="22" t="s">
        <v>35</v>
      </c>
      <c r="D2" s="22" t="s">
        <v>27</v>
      </c>
      <c r="E2" s="7" t="str">
        <f t="shared" ref="E2:E3" si="0">B2&amp;C2&amp;D2</f>
        <v>stage_hints_data_add1.tmp</v>
      </c>
      <c r="F2" s="9" t="s">
        <v>9</v>
      </c>
      <c r="G2" s="1" t="s">
        <v>5</v>
      </c>
      <c r="H2" s="1" t="s">
        <v>1</v>
      </c>
      <c r="I2" s="14" t="s">
        <v>6</v>
      </c>
      <c r="J2" s="16" t="s">
        <v>20</v>
      </c>
      <c r="K2" s="21" t="s">
        <v>31</v>
      </c>
    </row>
    <row r="3" spans="1:11" x14ac:dyDescent="0.15">
      <c r="A3" s="22" t="s">
        <v>34</v>
      </c>
      <c r="B3" s="22" t="s">
        <v>29</v>
      </c>
      <c r="C3" s="22" t="s">
        <v>35</v>
      </c>
      <c r="D3" s="22" t="s">
        <v>27</v>
      </c>
      <c r="E3" s="7" t="str">
        <f t="shared" si="0"/>
        <v>stage_hints_i18n_add1.tmp</v>
      </c>
      <c r="F3" s="9" t="s">
        <v>9</v>
      </c>
      <c r="G3" s="14" t="s">
        <v>6</v>
      </c>
      <c r="H3" s="10" t="s">
        <v>7</v>
      </c>
      <c r="I3" s="1" t="s">
        <v>8</v>
      </c>
      <c r="J3" s="18" t="s">
        <v>22</v>
      </c>
      <c r="K3" s="21" t="s">
        <v>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M309"/>
  <sheetViews>
    <sheetView showGridLines="0" tabSelected="1" workbookViewId="0">
      <pane ySplit="1" topLeftCell="A128" activePane="bottomLeft" state="frozen"/>
      <selection pane="bottomLeft" activeCell="I151" sqref="I151"/>
    </sheetView>
  </sheetViews>
  <sheetFormatPr baseColWidth="12" defaultColWidth="13" defaultRowHeight="15" outlineLevelCol="1" x14ac:dyDescent="0.15"/>
  <cols>
    <col min="1" max="1" width="13" style="2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35.33203125" customWidth="1"/>
  </cols>
  <sheetData>
    <row r="1" spans="1:13" x14ac:dyDescent="0.15">
      <c r="A1" s="24" t="s">
        <v>32</v>
      </c>
      <c r="B1" s="1" t="s">
        <v>0</v>
      </c>
      <c r="C1" s="5" t="s">
        <v>3</v>
      </c>
      <c r="D1" s="5" t="s">
        <v>4</v>
      </c>
      <c r="E1" s="1" t="s">
        <v>1</v>
      </c>
      <c r="F1" s="5" t="s">
        <v>3</v>
      </c>
      <c r="G1" s="5" t="s">
        <v>4</v>
      </c>
      <c r="H1" s="1" t="s">
        <v>21</v>
      </c>
      <c r="I1" s="23" t="s">
        <v>30</v>
      </c>
      <c r="J1" s="11" t="s">
        <v>16</v>
      </c>
      <c r="K1" s="11" t="s">
        <v>26</v>
      </c>
      <c r="L1" s="2" t="s">
        <v>2</v>
      </c>
      <c r="M1" s="19" t="s">
        <v>23</v>
      </c>
    </row>
    <row r="2" spans="1:13" x14ac:dyDescent="0.15">
      <c r="A2" s="25" t="s">
        <v>33</v>
      </c>
      <c r="B2">
        <v>7</v>
      </c>
      <c r="C2" s="3" t="str">
        <f ca="1">VLOOKUP($B2,OFFSET([1]quests!$A$1,0,0,COUNTA([1]quests!$A:$A),MATCH(C$1,[1]quests!$1:$1,0)-MATCH($B$1,[1]quests!$1:$1,0)+1),MATCH(C$1,[1]quests!$1:$1,0)-MATCH($B$1,[1]quests!$1:$1,0)+1,FALSE)</f>
        <v>7．ローガ密林</v>
      </c>
      <c r="D2" s="3" t="str">
        <f ca="1">VLOOKUP($B2,OFFSET([1]quests!$A$1,0,0,COUNTA([1]quests!$A:$A),MATCH(D$1,[1]quests!$1:$1,0)-MATCH($B$1,[1]quests!$1:$1,0)+1),MATCH(D$1,[1]quests!$1:$1,0)-MATCH($B$1,[1]quests!$1:$1,0)+1,FALSE)</f>
        <v>緑DL2</v>
      </c>
      <c r="E2">
        <v>3</v>
      </c>
      <c r="F2" s="3" t="str">
        <f ca="1">VLOOKUP($B2&amp;"_"&amp;$E2,OFFSET([1]stages!$A$1,0,0,COUNTA([1]stages!$A:$A),MATCH(F$1,[1]stages!$2:$2,0)-MATCH("temp_stage",[1]stages!$2:$2,0)+1),MATCH(F$1,[1]stages!$2:$2,0)-MATCH("temp_stage",[1]stages!$2:$2,0)+1,FALSE)</f>
        <v>7-3. 野生児の急襲</v>
      </c>
      <c r="G2" s="3" t="str">
        <f ca="1">VLOOKUP($B2&amp;"_"&amp;$E2,OFFSET([1]stages!$A$1,0,0,COUNTA([1]stages!$A:$A),MATCH(G$1,[1]stages!$2:$2,0)-MATCH("temp_stage",[1]stages!$2:$2,0)+1),MATCH(G$1,[1]stages!$2:$2,0)-MATCH("temp_stage",[1]stages!$2:$2,0)+1,FALSE)</f>
        <v>緑DL2</v>
      </c>
      <c r="H2" s="17">
        <v>0</v>
      </c>
      <c r="I2">
        <v>39</v>
      </c>
      <c r="J2" s="4" t="s">
        <v>17</v>
      </c>
      <c r="K2" s="27" t="str">
        <f>VLOOKUP(I2,[2]stage_hints!$A:$C,3,FALSE)</f>
        <v>システム適合者を確認</v>
      </c>
      <c r="L2" s="28" t="str">
        <f>VLOOKUP(I2,[2]stage_hints!$A:$D,4,FALSE)</f>
        <v>ALICEが 「アナタ」を呼んでいます</v>
      </c>
      <c r="M2" s="20" t="s">
        <v>24</v>
      </c>
    </row>
    <row r="3" spans="1:13" x14ac:dyDescent="0.15">
      <c r="A3" s="25" t="s">
        <v>33</v>
      </c>
      <c r="B3">
        <v>7</v>
      </c>
      <c r="C3" s="3" t="str">
        <f ca="1">VLOOKUP($B3,OFFSET([1]quests!$A$1,0,0,COUNTA([1]quests!$A:$A),MATCH(C$1,[1]quests!$1:$1,0)-MATCH($B$1,[1]quests!$1:$1,0)+1),MATCH(C$1,[1]quests!$1:$1,0)-MATCH($B$1,[1]quests!$1:$1,0)+1,FALSE)</f>
        <v>7．ローガ密林</v>
      </c>
      <c r="D3" s="3" t="str">
        <f ca="1">VLOOKUP($B3,OFFSET([1]quests!$A$1,0,0,COUNTA([1]quests!$A:$A),MATCH(D$1,[1]quests!$1:$1,0)-MATCH($B$1,[1]quests!$1:$1,0)+1),MATCH(D$1,[1]quests!$1:$1,0)-MATCH($B$1,[1]quests!$1:$1,0)+1,FALSE)</f>
        <v>緑DL2</v>
      </c>
      <c r="E3">
        <v>4</v>
      </c>
      <c r="F3" s="3" t="str">
        <f ca="1">VLOOKUP($B3&amp;"_"&amp;$E3,OFFSET([1]stages!$A$1,0,0,COUNTA([1]stages!$A:$A),MATCH(F$1,[1]stages!$2:$2,0)-MATCH("temp_stage",[1]stages!$2:$2,0)+1),MATCH(F$1,[1]stages!$2:$2,0)-MATCH("temp_stage",[1]stages!$2:$2,0)+1,FALSE)</f>
        <v>7-4. この森通せんぼ</v>
      </c>
      <c r="G3" s="3" t="str">
        <f ca="1">VLOOKUP($B3&amp;"_"&amp;$E3,OFFSET([1]stages!$A$1,0,0,COUNTA([1]stages!$A:$A),MATCH(G$1,[1]stages!$2:$2,0)-MATCH("temp_stage",[1]stages!$2:$2,0)+1),MATCH(G$1,[1]stages!$2:$2,0)-MATCH("temp_stage",[1]stages!$2:$2,0)+1,FALSE)</f>
        <v>緑DL2</v>
      </c>
      <c r="H3" s="17">
        <v>0</v>
      </c>
      <c r="I3">
        <v>39</v>
      </c>
      <c r="J3" s="4" t="s">
        <v>17</v>
      </c>
      <c r="K3" s="27" t="str">
        <f>VLOOKUP(I3,[2]stage_hints!$A:$C,3,FALSE)</f>
        <v>システム適合者を確認</v>
      </c>
      <c r="L3" s="28" t="str">
        <f>VLOOKUP(I3,[2]stage_hints!$A:$D,4,FALSE)</f>
        <v>ALICEが 「アナタ」を呼んでいます</v>
      </c>
      <c r="M3" s="20" t="s">
        <v>24</v>
      </c>
    </row>
    <row r="4" spans="1:13" x14ac:dyDescent="0.15">
      <c r="A4" s="25" t="s">
        <v>33</v>
      </c>
      <c r="B4">
        <v>7</v>
      </c>
      <c r="C4" s="3" t="str">
        <f ca="1">VLOOKUP($B4,OFFSET([1]quests!$A$1,0,0,COUNTA([1]quests!$A:$A),MATCH(C$1,[1]quests!$1:$1,0)-MATCH($B$1,[1]quests!$1:$1,0)+1),MATCH(C$1,[1]quests!$1:$1,0)-MATCH($B$1,[1]quests!$1:$1,0)+1,FALSE)</f>
        <v>7．ローガ密林</v>
      </c>
      <c r="D4" s="3" t="str">
        <f ca="1">VLOOKUP($B4,OFFSET([1]quests!$A$1,0,0,COUNTA([1]quests!$A:$A),MATCH(D$1,[1]quests!$1:$1,0)-MATCH($B$1,[1]quests!$1:$1,0)+1),MATCH(D$1,[1]quests!$1:$1,0)-MATCH($B$1,[1]quests!$1:$1,0)+1,FALSE)</f>
        <v>緑DL2</v>
      </c>
      <c r="E4">
        <v>5</v>
      </c>
      <c r="F4" s="3" t="str">
        <f ca="1">VLOOKUP($B4&amp;"_"&amp;$E4,OFFSET([1]stages!$A$1,0,0,COUNTA([1]stages!$A:$A),MATCH(F$1,[1]stages!$2:$2,0)-MATCH("temp_stage",[1]stages!$2:$2,0)+1),MATCH(F$1,[1]stages!$2:$2,0)-MATCH("temp_stage",[1]stages!$2:$2,0)+1,FALSE)</f>
        <v>7-5. 聖なる巨岩</v>
      </c>
      <c r="G4" s="3" t="str">
        <f ca="1">VLOOKUP($B4&amp;"_"&amp;$E4,OFFSET([1]stages!$A$1,0,0,COUNTA([1]stages!$A:$A),MATCH(G$1,[1]stages!$2:$2,0)-MATCH("temp_stage",[1]stages!$2:$2,0)+1),MATCH(G$1,[1]stages!$2:$2,0)-MATCH("temp_stage",[1]stages!$2:$2,0)+1,FALSE)</f>
        <v>緑DL2</v>
      </c>
      <c r="H4" s="17">
        <v>0</v>
      </c>
      <c r="I4">
        <v>39</v>
      </c>
      <c r="J4" s="4" t="s">
        <v>17</v>
      </c>
      <c r="K4" s="27" t="str">
        <f>VLOOKUP(I4,[2]stage_hints!$A:$C,3,FALSE)</f>
        <v>システム適合者を確認</v>
      </c>
      <c r="L4" s="28" t="str">
        <f>VLOOKUP(I4,[2]stage_hints!$A:$D,4,FALSE)</f>
        <v>ALICEが 「アナタ」を呼んでいます</v>
      </c>
      <c r="M4" s="20" t="s">
        <v>24</v>
      </c>
    </row>
    <row r="5" spans="1:13" x14ac:dyDescent="0.15">
      <c r="A5" s="25" t="s">
        <v>33</v>
      </c>
      <c r="B5">
        <v>7</v>
      </c>
      <c r="C5" s="3" t="str">
        <f ca="1">VLOOKUP($B5,OFFSET([1]quests!$A$1,0,0,COUNTA([1]quests!$A:$A),MATCH(C$1,[1]quests!$1:$1,0)-MATCH($B$1,[1]quests!$1:$1,0)+1),MATCH(C$1,[1]quests!$1:$1,0)-MATCH($B$1,[1]quests!$1:$1,0)+1,FALSE)</f>
        <v>7．ローガ密林</v>
      </c>
      <c r="D5" s="3" t="str">
        <f ca="1">VLOOKUP($B5,OFFSET([1]quests!$A$1,0,0,COUNTA([1]quests!$A:$A),MATCH(D$1,[1]quests!$1:$1,0)-MATCH($B$1,[1]quests!$1:$1,0)+1),MATCH(D$1,[1]quests!$1:$1,0)-MATCH($B$1,[1]quests!$1:$1,0)+1,FALSE)</f>
        <v>緑DL2</v>
      </c>
      <c r="E5">
        <v>6</v>
      </c>
      <c r="F5" s="3" t="str">
        <f ca="1">VLOOKUP($B5&amp;"_"&amp;$E5,OFFSET([1]stages!$A$1,0,0,COUNTA([1]stages!$A:$A),MATCH(F$1,[1]stages!$2:$2,0)-MATCH("temp_stage",[1]stages!$2:$2,0)+1),MATCH(F$1,[1]stages!$2:$2,0)-MATCH("temp_stage",[1]stages!$2:$2,0)+1,FALSE)</f>
        <v>7-6. 【1回のみ】ボーナスステージ</v>
      </c>
      <c r="G5" s="3" t="str">
        <f ca="1">VLOOKUP($B5&amp;"_"&amp;$E5,OFFSET([1]stages!$A$1,0,0,COUNTA([1]stages!$A:$A),MATCH(G$1,[1]stages!$2:$2,0)-MATCH("temp_stage",[1]stages!$2:$2,0)+1),MATCH(G$1,[1]stages!$2:$2,0)-MATCH("temp_stage",[1]stages!$2:$2,0)+1,FALSE)</f>
        <v>緑DL2</v>
      </c>
      <c r="H5" s="17">
        <v>0</v>
      </c>
      <c r="I5">
        <v>39</v>
      </c>
      <c r="J5" s="4" t="s">
        <v>17</v>
      </c>
      <c r="K5" s="27" t="str">
        <f>VLOOKUP(I5,[2]stage_hints!$A:$C,3,FALSE)</f>
        <v>システム適合者を確認</v>
      </c>
      <c r="L5" s="28" t="str">
        <f>VLOOKUP(I5,[2]stage_hints!$A:$D,4,FALSE)</f>
        <v>ALICEが 「アナタ」を呼んでいます</v>
      </c>
      <c r="M5" s="20" t="s">
        <v>24</v>
      </c>
    </row>
    <row r="6" spans="1:13" x14ac:dyDescent="0.15">
      <c r="A6" s="25" t="s">
        <v>33</v>
      </c>
      <c r="B6">
        <v>8</v>
      </c>
      <c r="C6" s="3" t="str">
        <f ca="1">VLOOKUP($B6,OFFSET([1]quests!$A$1,0,0,COUNTA([1]quests!$A:$A),MATCH(C$1,[1]quests!$1:$1,0)-MATCH($B$1,[1]quests!$1:$1,0)+1),MATCH(C$1,[1]quests!$1:$1,0)-MATCH($B$1,[1]quests!$1:$1,0)+1,FALSE)</f>
        <v>8．ヴィクリー砂漠</v>
      </c>
      <c r="D6" s="3" t="str">
        <f ca="1">VLOOKUP($B6,OFFSET([1]quests!$A$1,0,0,COUNTA([1]quests!$A:$A),MATCH(D$1,[1]quests!$1:$1,0)-MATCH($B$1,[1]quests!$1:$1,0)+1),MATCH(D$1,[1]quests!$1:$1,0)-MATCH($B$1,[1]quests!$1:$1,0)+1,FALSE)</f>
        <v>黄DL2</v>
      </c>
      <c r="E6">
        <v>1</v>
      </c>
      <c r="F6" s="3" t="str">
        <f ca="1">VLOOKUP($B6&amp;"_"&amp;$E6,OFFSET([1]stages!$A$1,0,0,COUNTA([1]stages!$A:$A),MATCH(F$1,[1]stages!$2:$2,0)-MATCH("temp_stage",[1]stages!$2:$2,0)+1),MATCH(F$1,[1]stages!$2:$2,0)-MATCH("temp_stage",[1]stages!$2:$2,0)+1,FALSE)</f>
        <v>8-1. 黄砂のスピードスター</v>
      </c>
      <c r="G6" s="3" t="str">
        <f ca="1">VLOOKUP($B6&amp;"_"&amp;$E6,OFFSET([1]stages!$A$1,0,0,COUNTA([1]stages!$A:$A),MATCH(G$1,[1]stages!$2:$2,0)-MATCH("temp_stage",[1]stages!$2:$2,0)+1),MATCH(G$1,[1]stages!$2:$2,0)-MATCH("temp_stage",[1]stages!$2:$2,0)+1,FALSE)</f>
        <v>黄DL2</v>
      </c>
      <c r="H6" s="17">
        <v>0</v>
      </c>
      <c r="I6">
        <v>39</v>
      </c>
      <c r="J6" s="4" t="s">
        <v>17</v>
      </c>
      <c r="K6" s="27" t="str">
        <f>VLOOKUP(I6,[2]stage_hints!$A:$C,3,FALSE)</f>
        <v>システム適合者を確認</v>
      </c>
      <c r="L6" s="28" t="str">
        <f>VLOOKUP(I6,[2]stage_hints!$A:$D,4,FALSE)</f>
        <v>ALICEが 「アナタ」を呼んでいます</v>
      </c>
      <c r="M6" s="20" t="s">
        <v>24</v>
      </c>
    </row>
    <row r="7" spans="1:13" x14ac:dyDescent="0.15">
      <c r="A7" s="25" t="s">
        <v>33</v>
      </c>
      <c r="B7">
        <v>8</v>
      </c>
      <c r="C7" s="3" t="str">
        <f ca="1">VLOOKUP($B7,OFFSET([1]quests!$A$1,0,0,COUNTA([1]quests!$A:$A),MATCH(C$1,[1]quests!$1:$1,0)-MATCH($B$1,[1]quests!$1:$1,0)+1),MATCH(C$1,[1]quests!$1:$1,0)-MATCH($B$1,[1]quests!$1:$1,0)+1,FALSE)</f>
        <v>8．ヴィクリー砂漠</v>
      </c>
      <c r="D7" s="3" t="str">
        <f ca="1">VLOOKUP($B7,OFFSET([1]quests!$A$1,0,0,COUNTA([1]quests!$A:$A),MATCH(D$1,[1]quests!$1:$1,0)-MATCH($B$1,[1]quests!$1:$1,0)+1),MATCH(D$1,[1]quests!$1:$1,0)-MATCH($B$1,[1]quests!$1:$1,0)+1,FALSE)</f>
        <v>黄DL2</v>
      </c>
      <c r="E7">
        <v>2</v>
      </c>
      <c r="F7" s="3" t="str">
        <f ca="1">VLOOKUP($B7&amp;"_"&amp;$E7,OFFSET([1]stages!$A$1,0,0,COUNTA([1]stages!$A:$A),MATCH(F$1,[1]stages!$2:$2,0)-MATCH("temp_stage",[1]stages!$2:$2,0)+1),MATCH(F$1,[1]stages!$2:$2,0)-MATCH("temp_stage",[1]stages!$2:$2,0)+1,FALSE)</f>
        <v>8-2. 遭難の仕掛け人</v>
      </c>
      <c r="G7" s="3" t="str">
        <f ca="1">VLOOKUP($B7&amp;"_"&amp;$E7,OFFSET([1]stages!$A$1,0,0,COUNTA([1]stages!$A:$A),MATCH(G$1,[1]stages!$2:$2,0)-MATCH("temp_stage",[1]stages!$2:$2,0)+1),MATCH(G$1,[1]stages!$2:$2,0)-MATCH("temp_stage",[1]stages!$2:$2,0)+1,FALSE)</f>
        <v>黄DL2</v>
      </c>
      <c r="H7" s="17">
        <v>0</v>
      </c>
      <c r="I7">
        <v>39</v>
      </c>
      <c r="J7" s="4" t="s">
        <v>17</v>
      </c>
      <c r="K7" s="27" t="str">
        <f>VLOOKUP(I7,[2]stage_hints!$A:$C,3,FALSE)</f>
        <v>システム適合者を確認</v>
      </c>
      <c r="L7" s="28" t="str">
        <f>VLOOKUP(I7,[2]stage_hints!$A:$D,4,FALSE)</f>
        <v>ALICEが 「アナタ」を呼んでいます</v>
      </c>
      <c r="M7" s="20" t="s">
        <v>24</v>
      </c>
    </row>
    <row r="8" spans="1:13" x14ac:dyDescent="0.15">
      <c r="A8" s="25" t="s">
        <v>33</v>
      </c>
      <c r="B8">
        <v>8</v>
      </c>
      <c r="C8" s="3" t="str">
        <f ca="1">VLOOKUP($B8,OFFSET([1]quests!$A$1,0,0,COUNTA([1]quests!$A:$A),MATCH(C$1,[1]quests!$1:$1,0)-MATCH($B$1,[1]quests!$1:$1,0)+1),MATCH(C$1,[1]quests!$1:$1,0)-MATCH($B$1,[1]quests!$1:$1,0)+1,FALSE)</f>
        <v>8．ヴィクリー砂漠</v>
      </c>
      <c r="D8" s="3" t="str">
        <f ca="1">VLOOKUP($B8,OFFSET([1]quests!$A$1,0,0,COUNTA([1]quests!$A:$A),MATCH(D$1,[1]quests!$1:$1,0)-MATCH($B$1,[1]quests!$1:$1,0)+1),MATCH(D$1,[1]quests!$1:$1,0)-MATCH($B$1,[1]quests!$1:$1,0)+1,FALSE)</f>
        <v>黄DL2</v>
      </c>
      <c r="E8">
        <v>3</v>
      </c>
      <c r="F8" s="3" t="str">
        <f ca="1">VLOOKUP($B8&amp;"_"&amp;$E8,OFFSET([1]stages!$A$1,0,0,COUNTA([1]stages!$A:$A),MATCH(F$1,[1]stages!$2:$2,0)-MATCH("temp_stage",[1]stages!$2:$2,0)+1),MATCH(F$1,[1]stages!$2:$2,0)-MATCH("temp_stage",[1]stages!$2:$2,0)+1,FALSE)</f>
        <v>8-3. 逃げ場無き狩場</v>
      </c>
      <c r="G8" s="3" t="str">
        <f ca="1">VLOOKUP($B8&amp;"_"&amp;$E8,OFFSET([1]stages!$A$1,0,0,COUNTA([1]stages!$A:$A),MATCH(G$1,[1]stages!$2:$2,0)-MATCH("temp_stage",[1]stages!$2:$2,0)+1),MATCH(G$1,[1]stages!$2:$2,0)-MATCH("temp_stage",[1]stages!$2:$2,0)+1,FALSE)</f>
        <v>黄DL2</v>
      </c>
      <c r="H8" s="17">
        <v>0</v>
      </c>
      <c r="I8">
        <v>39</v>
      </c>
      <c r="J8" s="4" t="s">
        <v>17</v>
      </c>
      <c r="K8" s="27" t="str">
        <f>VLOOKUP(I8,[2]stage_hints!$A:$C,3,FALSE)</f>
        <v>システム適合者を確認</v>
      </c>
      <c r="L8" s="28" t="str">
        <f>VLOOKUP(I8,[2]stage_hints!$A:$D,4,FALSE)</f>
        <v>ALICEが 「アナタ」を呼んでいます</v>
      </c>
      <c r="M8" s="20" t="s">
        <v>24</v>
      </c>
    </row>
    <row r="9" spans="1:13" x14ac:dyDescent="0.15">
      <c r="A9" s="25" t="s">
        <v>33</v>
      </c>
      <c r="B9">
        <v>8</v>
      </c>
      <c r="C9" s="3" t="str">
        <f ca="1">VLOOKUP($B9,OFFSET([1]quests!$A$1,0,0,COUNTA([1]quests!$A:$A),MATCH(C$1,[1]quests!$1:$1,0)-MATCH($B$1,[1]quests!$1:$1,0)+1),MATCH(C$1,[1]quests!$1:$1,0)-MATCH($B$1,[1]quests!$1:$1,0)+1,FALSE)</f>
        <v>8．ヴィクリー砂漠</v>
      </c>
      <c r="D9" s="3" t="str">
        <f ca="1">VLOOKUP($B9,OFFSET([1]quests!$A$1,0,0,COUNTA([1]quests!$A:$A),MATCH(D$1,[1]quests!$1:$1,0)-MATCH($B$1,[1]quests!$1:$1,0)+1),MATCH(D$1,[1]quests!$1:$1,0)-MATCH($B$1,[1]quests!$1:$1,0)+1,FALSE)</f>
        <v>黄DL2</v>
      </c>
      <c r="E9">
        <v>4</v>
      </c>
      <c r="F9" s="3" t="str">
        <f ca="1">VLOOKUP($B9&amp;"_"&amp;$E9,OFFSET([1]stages!$A$1,0,0,COUNTA([1]stages!$A:$A),MATCH(F$1,[1]stages!$2:$2,0)-MATCH("temp_stage",[1]stages!$2:$2,0)+1),MATCH(F$1,[1]stages!$2:$2,0)-MATCH("temp_stage",[1]stages!$2:$2,0)+1,FALSE)</f>
        <v>8-4. スピードスターの真髄</v>
      </c>
      <c r="G9" s="3" t="str">
        <f ca="1">VLOOKUP($B9&amp;"_"&amp;$E9,OFFSET([1]stages!$A$1,0,0,COUNTA([1]stages!$A:$A),MATCH(G$1,[1]stages!$2:$2,0)-MATCH("temp_stage",[1]stages!$2:$2,0)+1),MATCH(G$1,[1]stages!$2:$2,0)-MATCH("temp_stage",[1]stages!$2:$2,0)+1,FALSE)</f>
        <v>黄DL2</v>
      </c>
      <c r="H9" s="17">
        <v>0</v>
      </c>
      <c r="I9">
        <v>39</v>
      </c>
      <c r="J9" s="4" t="s">
        <v>17</v>
      </c>
      <c r="K9" s="27" t="str">
        <f>VLOOKUP(I9,[2]stage_hints!$A:$C,3,FALSE)</f>
        <v>システム適合者を確認</v>
      </c>
      <c r="L9" s="28" t="str">
        <f>VLOOKUP(I9,[2]stage_hints!$A:$D,4,FALSE)</f>
        <v>ALICEが 「アナタ」を呼んでいます</v>
      </c>
      <c r="M9" s="20" t="s">
        <v>24</v>
      </c>
    </row>
    <row r="10" spans="1:13" x14ac:dyDescent="0.15">
      <c r="A10" s="25" t="s">
        <v>33</v>
      </c>
      <c r="B10">
        <v>8</v>
      </c>
      <c r="C10" s="3" t="str">
        <f ca="1">VLOOKUP($B10,OFFSET([1]quests!$A$1,0,0,COUNTA([1]quests!$A:$A),MATCH(C$1,[1]quests!$1:$1,0)-MATCH($B$1,[1]quests!$1:$1,0)+1),MATCH(C$1,[1]quests!$1:$1,0)-MATCH($B$1,[1]quests!$1:$1,0)+1,FALSE)</f>
        <v>8．ヴィクリー砂漠</v>
      </c>
      <c r="D10" s="3" t="str">
        <f ca="1">VLOOKUP($B10,OFFSET([1]quests!$A$1,0,0,COUNTA([1]quests!$A:$A),MATCH(D$1,[1]quests!$1:$1,0)-MATCH($B$1,[1]quests!$1:$1,0)+1),MATCH(D$1,[1]quests!$1:$1,0)-MATCH($B$1,[1]quests!$1:$1,0)+1,FALSE)</f>
        <v>黄DL2</v>
      </c>
      <c r="E10">
        <v>5</v>
      </c>
      <c r="F10" s="3" t="str">
        <f ca="1">VLOOKUP($B10&amp;"_"&amp;$E10,OFFSET([1]stages!$A$1,0,0,COUNTA([1]stages!$A:$A),MATCH(F$1,[1]stages!$2:$2,0)-MATCH("temp_stage",[1]stages!$2:$2,0)+1),MATCH(F$1,[1]stages!$2:$2,0)-MATCH("temp_stage",[1]stages!$2:$2,0)+1,FALSE)</f>
        <v>8-5. 聖なる渇牙</v>
      </c>
      <c r="G10" s="3" t="str">
        <f ca="1">VLOOKUP($B10&amp;"_"&amp;$E10,OFFSET([1]stages!$A$1,0,0,COUNTA([1]stages!$A:$A),MATCH(G$1,[1]stages!$2:$2,0)-MATCH("temp_stage",[1]stages!$2:$2,0)+1),MATCH(G$1,[1]stages!$2:$2,0)-MATCH("temp_stage",[1]stages!$2:$2,0)+1,FALSE)</f>
        <v>黄DL2</v>
      </c>
      <c r="H10" s="17">
        <v>0</v>
      </c>
      <c r="I10">
        <v>39</v>
      </c>
      <c r="J10" s="4" t="s">
        <v>17</v>
      </c>
      <c r="K10" s="27" t="str">
        <f>VLOOKUP(I10,[2]stage_hints!$A:$C,3,FALSE)</f>
        <v>システム適合者を確認</v>
      </c>
      <c r="L10" s="28" t="str">
        <f>VLOOKUP(I10,[2]stage_hints!$A:$D,4,FALSE)</f>
        <v>ALICEが 「アナタ」を呼んでいます</v>
      </c>
      <c r="M10" s="20" t="s">
        <v>24</v>
      </c>
    </row>
    <row r="11" spans="1:13" x14ac:dyDescent="0.15">
      <c r="A11" s="25" t="s">
        <v>33</v>
      </c>
      <c r="B11">
        <v>8</v>
      </c>
      <c r="C11" s="3" t="str">
        <f ca="1">VLOOKUP($B11,OFFSET([1]quests!$A$1,0,0,COUNTA([1]quests!$A:$A),MATCH(C$1,[1]quests!$1:$1,0)-MATCH($B$1,[1]quests!$1:$1,0)+1),MATCH(C$1,[1]quests!$1:$1,0)-MATCH($B$1,[1]quests!$1:$1,0)+1,FALSE)</f>
        <v>8．ヴィクリー砂漠</v>
      </c>
      <c r="D11" s="3" t="str">
        <f ca="1">VLOOKUP($B11,OFFSET([1]quests!$A$1,0,0,COUNTA([1]quests!$A:$A),MATCH(D$1,[1]quests!$1:$1,0)-MATCH($B$1,[1]quests!$1:$1,0)+1),MATCH(D$1,[1]quests!$1:$1,0)-MATCH($B$1,[1]quests!$1:$1,0)+1,FALSE)</f>
        <v>黄DL2</v>
      </c>
      <c r="E11">
        <v>6</v>
      </c>
      <c r="F11" s="3" t="str">
        <f ca="1">VLOOKUP($B11&amp;"_"&amp;$E11,OFFSET([1]stages!$A$1,0,0,COUNTA([1]stages!$A:$A),MATCH(F$1,[1]stages!$2:$2,0)-MATCH("temp_stage",[1]stages!$2:$2,0)+1),MATCH(F$1,[1]stages!$2:$2,0)-MATCH("temp_stage",[1]stages!$2:$2,0)+1,FALSE)</f>
        <v>8-6.【1回のみ】ボーナスステージ</v>
      </c>
      <c r="G11" s="3" t="str">
        <f ca="1">VLOOKUP($B11&amp;"_"&amp;$E11,OFFSET([1]stages!$A$1,0,0,COUNTA([1]stages!$A:$A),MATCH(G$1,[1]stages!$2:$2,0)-MATCH("temp_stage",[1]stages!$2:$2,0)+1),MATCH(G$1,[1]stages!$2:$2,0)-MATCH("temp_stage",[1]stages!$2:$2,0)+1,FALSE)</f>
        <v>黄DL2</v>
      </c>
      <c r="H11" s="17">
        <v>0</v>
      </c>
      <c r="I11">
        <v>39</v>
      </c>
      <c r="J11" s="4" t="s">
        <v>17</v>
      </c>
      <c r="K11" s="27" t="str">
        <f>VLOOKUP(I11,[2]stage_hints!$A:$C,3,FALSE)</f>
        <v>システム適合者を確認</v>
      </c>
      <c r="L11" s="28" t="str">
        <f>VLOOKUP(I11,[2]stage_hints!$A:$D,4,FALSE)</f>
        <v>ALICEが 「アナタ」を呼んでいます</v>
      </c>
      <c r="M11" s="20" t="s">
        <v>24</v>
      </c>
    </row>
    <row r="12" spans="1:13" x14ac:dyDescent="0.15">
      <c r="A12" s="25" t="s">
        <v>33</v>
      </c>
      <c r="B12">
        <v>9</v>
      </c>
      <c r="C12" s="3" t="str">
        <f ca="1">VLOOKUP($B12,OFFSET([1]quests!$A$1,0,0,COUNTA([1]quests!$A:$A),MATCH(C$1,[1]quests!$1:$1,0)-MATCH($B$1,[1]quests!$1:$1,0)+1),MATCH(C$1,[1]quests!$1:$1,0)-MATCH($B$1,[1]quests!$1:$1,0)+1,FALSE)</f>
        <v>9．ラバーズ氷河</v>
      </c>
      <c r="D12" s="3" t="str">
        <f ca="1">VLOOKUP($B12,OFFSET([1]quests!$A$1,0,0,COUNTA([1]quests!$A:$A),MATCH(D$1,[1]quests!$1:$1,0)-MATCH($B$1,[1]quests!$1:$1,0)+1),MATCH(D$1,[1]quests!$1:$1,0)-MATCH($B$1,[1]quests!$1:$1,0)+1,FALSE)</f>
        <v>青DL2</v>
      </c>
      <c r="E12">
        <v>1</v>
      </c>
      <c r="F12" s="3" t="str">
        <f ca="1">VLOOKUP($B12&amp;"_"&amp;$E12,OFFSET([1]stages!$A$1,0,0,COUNTA([1]stages!$A:$A),MATCH(F$1,[1]stages!$2:$2,0)-MATCH("temp_stage",[1]stages!$2:$2,0)+1),MATCH(F$1,[1]stages!$2:$2,0)-MATCH("temp_stage",[1]stages!$2:$2,0)+1,FALSE)</f>
        <v>9-1. 春を待つ奏者</v>
      </c>
      <c r="G12" s="3" t="str">
        <f ca="1">VLOOKUP($B12&amp;"_"&amp;$E12,OFFSET([1]stages!$A$1,0,0,COUNTA([1]stages!$A:$A),MATCH(G$1,[1]stages!$2:$2,0)-MATCH("temp_stage",[1]stages!$2:$2,0)+1),MATCH(G$1,[1]stages!$2:$2,0)-MATCH("temp_stage",[1]stages!$2:$2,0)+1,FALSE)</f>
        <v>青DL2</v>
      </c>
      <c r="H12" s="17">
        <v>0</v>
      </c>
      <c r="I12">
        <v>39</v>
      </c>
      <c r="J12" s="4" t="s">
        <v>17</v>
      </c>
      <c r="K12" s="27" t="str">
        <f>VLOOKUP(I12,[2]stage_hints!$A:$C,3,FALSE)</f>
        <v>システム適合者を確認</v>
      </c>
      <c r="L12" s="28" t="str">
        <f>VLOOKUP(I12,[2]stage_hints!$A:$D,4,FALSE)</f>
        <v>ALICEが 「アナタ」を呼んでいます</v>
      </c>
      <c r="M12" s="20" t="s">
        <v>24</v>
      </c>
    </row>
    <row r="13" spans="1:13" x14ac:dyDescent="0.15">
      <c r="A13" s="25" t="s">
        <v>33</v>
      </c>
      <c r="B13">
        <v>9</v>
      </c>
      <c r="C13" s="3" t="str">
        <f ca="1">VLOOKUP($B13,OFFSET([1]quests!$A$1,0,0,COUNTA([1]quests!$A:$A),MATCH(C$1,[1]quests!$1:$1,0)-MATCH($B$1,[1]quests!$1:$1,0)+1),MATCH(C$1,[1]quests!$1:$1,0)-MATCH($B$1,[1]quests!$1:$1,0)+1,FALSE)</f>
        <v>9．ラバーズ氷河</v>
      </c>
      <c r="D13" s="3" t="str">
        <f ca="1">VLOOKUP($B13,OFFSET([1]quests!$A$1,0,0,COUNTA([1]quests!$A:$A),MATCH(D$1,[1]quests!$1:$1,0)-MATCH($B$1,[1]quests!$1:$1,0)+1),MATCH(D$1,[1]quests!$1:$1,0)-MATCH($B$1,[1]quests!$1:$1,0)+1,FALSE)</f>
        <v>青DL2</v>
      </c>
      <c r="E13">
        <v>2</v>
      </c>
      <c r="F13" s="3" t="str">
        <f ca="1">VLOOKUP($B13&amp;"_"&amp;$E13,OFFSET([1]stages!$A$1,0,0,COUNTA([1]stages!$A:$A),MATCH(F$1,[1]stages!$2:$2,0)-MATCH("temp_stage",[1]stages!$2:$2,0)+1),MATCH(F$1,[1]stages!$2:$2,0)-MATCH("temp_stage",[1]stages!$2:$2,0)+1,FALSE)</f>
        <v>9-2. 氷結への案内</v>
      </c>
      <c r="G13" s="3" t="str">
        <f ca="1">VLOOKUP($B13&amp;"_"&amp;$E13,OFFSET([1]stages!$A$1,0,0,COUNTA([1]stages!$A:$A),MATCH(G$1,[1]stages!$2:$2,0)-MATCH("temp_stage",[1]stages!$2:$2,0)+1),MATCH(G$1,[1]stages!$2:$2,0)-MATCH("temp_stage",[1]stages!$2:$2,0)+1,FALSE)</f>
        <v>青DL2</v>
      </c>
      <c r="H13" s="17">
        <v>0</v>
      </c>
      <c r="I13">
        <v>39</v>
      </c>
      <c r="J13" s="4" t="s">
        <v>17</v>
      </c>
      <c r="K13" s="27" t="str">
        <f>VLOOKUP(I13,[2]stage_hints!$A:$C,3,FALSE)</f>
        <v>システム適合者を確認</v>
      </c>
      <c r="L13" s="28" t="str">
        <f>VLOOKUP(I13,[2]stage_hints!$A:$D,4,FALSE)</f>
        <v>ALICEが 「アナタ」を呼んでいます</v>
      </c>
      <c r="M13" s="20" t="s">
        <v>24</v>
      </c>
    </row>
    <row r="14" spans="1:13" x14ac:dyDescent="0.15">
      <c r="A14" s="25" t="s">
        <v>33</v>
      </c>
      <c r="B14">
        <v>9</v>
      </c>
      <c r="C14" s="3" t="str">
        <f ca="1">VLOOKUP($B14,OFFSET([1]quests!$A$1,0,0,COUNTA([1]quests!$A:$A),MATCH(C$1,[1]quests!$1:$1,0)-MATCH($B$1,[1]quests!$1:$1,0)+1),MATCH(C$1,[1]quests!$1:$1,0)-MATCH($B$1,[1]quests!$1:$1,0)+1,FALSE)</f>
        <v>9．ラバーズ氷河</v>
      </c>
      <c r="D14" s="3" t="str">
        <f ca="1">VLOOKUP($B14,OFFSET([1]quests!$A$1,0,0,COUNTA([1]quests!$A:$A),MATCH(D$1,[1]quests!$1:$1,0)-MATCH($B$1,[1]quests!$1:$1,0)+1),MATCH(D$1,[1]quests!$1:$1,0)-MATCH($B$1,[1]quests!$1:$1,0)+1,FALSE)</f>
        <v>青DL2</v>
      </c>
      <c r="E14">
        <v>3</v>
      </c>
      <c r="F14" s="3" t="str">
        <f ca="1">VLOOKUP($B14&amp;"_"&amp;$E14,OFFSET([1]stages!$A$1,0,0,COUNTA([1]stages!$A:$A),MATCH(F$1,[1]stages!$2:$2,0)-MATCH("temp_stage",[1]stages!$2:$2,0)+1),MATCH(F$1,[1]stages!$2:$2,0)-MATCH("temp_stage",[1]stages!$2:$2,0)+1,FALSE)</f>
        <v>9-3. 大いなる狼拳</v>
      </c>
      <c r="G14" s="3" t="str">
        <f ca="1">VLOOKUP($B14&amp;"_"&amp;$E14,OFFSET([1]stages!$A$1,0,0,COUNTA([1]stages!$A:$A),MATCH(G$1,[1]stages!$2:$2,0)-MATCH("temp_stage",[1]stages!$2:$2,0)+1),MATCH(G$1,[1]stages!$2:$2,0)-MATCH("temp_stage",[1]stages!$2:$2,0)+1,FALSE)</f>
        <v>青DL2</v>
      </c>
      <c r="H14" s="17">
        <v>0</v>
      </c>
      <c r="I14">
        <v>39</v>
      </c>
      <c r="J14" s="4" t="s">
        <v>17</v>
      </c>
      <c r="K14" s="27" t="str">
        <f>VLOOKUP(I14,[2]stage_hints!$A:$C,3,FALSE)</f>
        <v>システム適合者を確認</v>
      </c>
      <c r="L14" s="28" t="str">
        <f>VLOOKUP(I14,[2]stage_hints!$A:$D,4,FALSE)</f>
        <v>ALICEが 「アナタ」を呼んでいます</v>
      </c>
      <c r="M14" s="20" t="s">
        <v>24</v>
      </c>
    </row>
    <row r="15" spans="1:13" x14ac:dyDescent="0.15">
      <c r="A15" s="25" t="s">
        <v>33</v>
      </c>
      <c r="B15">
        <v>9</v>
      </c>
      <c r="C15" s="3" t="str">
        <f ca="1">VLOOKUP($B15,OFFSET([1]quests!$A$1,0,0,COUNTA([1]quests!$A:$A),MATCH(C$1,[1]quests!$1:$1,0)-MATCH($B$1,[1]quests!$1:$1,0)+1),MATCH(C$1,[1]quests!$1:$1,0)-MATCH($B$1,[1]quests!$1:$1,0)+1,FALSE)</f>
        <v>9．ラバーズ氷河</v>
      </c>
      <c r="D15" s="3" t="str">
        <f ca="1">VLOOKUP($B15,OFFSET([1]quests!$A$1,0,0,COUNTA([1]quests!$A:$A),MATCH(D$1,[1]quests!$1:$1,0)-MATCH($B$1,[1]quests!$1:$1,0)+1),MATCH(D$1,[1]quests!$1:$1,0)-MATCH($B$1,[1]quests!$1:$1,0)+1,FALSE)</f>
        <v>青DL2</v>
      </c>
      <c r="E15">
        <v>4</v>
      </c>
      <c r="F15" s="3" t="str">
        <f ca="1">VLOOKUP($B15&amp;"_"&amp;$E15,OFFSET([1]stages!$A$1,0,0,COUNTA([1]stages!$A:$A),MATCH(F$1,[1]stages!$2:$2,0)-MATCH("temp_stage",[1]stages!$2:$2,0)+1),MATCH(F$1,[1]stages!$2:$2,0)-MATCH("temp_stage",[1]stages!$2:$2,0)+1,FALSE)</f>
        <v>9-4. 溶けゆく氷塊</v>
      </c>
      <c r="G15" s="3" t="str">
        <f ca="1">VLOOKUP($B15&amp;"_"&amp;$E15,OFFSET([1]stages!$A$1,0,0,COUNTA([1]stages!$A:$A),MATCH(G$1,[1]stages!$2:$2,0)-MATCH("temp_stage",[1]stages!$2:$2,0)+1),MATCH(G$1,[1]stages!$2:$2,0)-MATCH("temp_stage",[1]stages!$2:$2,0)+1,FALSE)</f>
        <v>青DL2</v>
      </c>
      <c r="H15" s="17">
        <v>0</v>
      </c>
      <c r="I15">
        <v>39</v>
      </c>
      <c r="J15" s="4" t="s">
        <v>17</v>
      </c>
      <c r="K15" s="27" t="str">
        <f>VLOOKUP(I15,[2]stage_hints!$A:$C,3,FALSE)</f>
        <v>システム適合者を確認</v>
      </c>
      <c r="L15" s="28" t="str">
        <f>VLOOKUP(I15,[2]stage_hints!$A:$D,4,FALSE)</f>
        <v>ALICEが 「アナタ」を呼んでいます</v>
      </c>
      <c r="M15" s="20" t="s">
        <v>24</v>
      </c>
    </row>
    <row r="16" spans="1:13" x14ac:dyDescent="0.15">
      <c r="A16" s="25" t="s">
        <v>33</v>
      </c>
      <c r="B16">
        <v>9</v>
      </c>
      <c r="C16" s="3" t="str">
        <f ca="1">VLOOKUP($B16,OFFSET([1]quests!$A$1,0,0,COUNTA([1]quests!$A:$A),MATCH(C$1,[1]quests!$1:$1,0)-MATCH($B$1,[1]quests!$1:$1,0)+1),MATCH(C$1,[1]quests!$1:$1,0)-MATCH($B$1,[1]quests!$1:$1,0)+1,FALSE)</f>
        <v>9．ラバーズ氷河</v>
      </c>
      <c r="D16" s="3" t="str">
        <f ca="1">VLOOKUP($B16,OFFSET([1]quests!$A$1,0,0,COUNTA([1]quests!$A:$A),MATCH(D$1,[1]quests!$1:$1,0)-MATCH($B$1,[1]quests!$1:$1,0)+1),MATCH(D$1,[1]quests!$1:$1,0)-MATCH($B$1,[1]quests!$1:$1,0)+1,FALSE)</f>
        <v>青DL2</v>
      </c>
      <c r="E16">
        <v>5</v>
      </c>
      <c r="F16" s="3" t="str">
        <f ca="1">VLOOKUP($B16&amp;"_"&amp;$E16,OFFSET([1]stages!$A$1,0,0,COUNTA([1]stages!$A:$A),MATCH(F$1,[1]stages!$2:$2,0)-MATCH("temp_stage",[1]stages!$2:$2,0)+1),MATCH(F$1,[1]stages!$2:$2,0)-MATCH("temp_stage",[1]stages!$2:$2,0)+1,FALSE)</f>
        <v>9-5. 聖なる渦爪</v>
      </c>
      <c r="G16" s="3" t="str">
        <f ca="1">VLOOKUP($B16&amp;"_"&amp;$E16,OFFSET([1]stages!$A$1,0,0,COUNTA([1]stages!$A:$A),MATCH(G$1,[1]stages!$2:$2,0)-MATCH("temp_stage",[1]stages!$2:$2,0)+1),MATCH(G$1,[1]stages!$2:$2,0)-MATCH("temp_stage",[1]stages!$2:$2,0)+1,FALSE)</f>
        <v>青DL2</v>
      </c>
      <c r="H16" s="17">
        <v>0</v>
      </c>
      <c r="I16">
        <v>39</v>
      </c>
      <c r="J16" s="4" t="s">
        <v>17</v>
      </c>
      <c r="K16" s="27" t="str">
        <f>VLOOKUP(I16,[2]stage_hints!$A:$C,3,FALSE)</f>
        <v>システム適合者を確認</v>
      </c>
      <c r="L16" s="28" t="str">
        <f>VLOOKUP(I16,[2]stage_hints!$A:$D,4,FALSE)</f>
        <v>ALICEが 「アナタ」を呼んでいます</v>
      </c>
      <c r="M16" s="20" t="s">
        <v>24</v>
      </c>
    </row>
    <row r="17" spans="1:13" x14ac:dyDescent="0.15">
      <c r="A17" s="25" t="s">
        <v>33</v>
      </c>
      <c r="B17">
        <v>9</v>
      </c>
      <c r="C17" s="3" t="str">
        <f ca="1">VLOOKUP($B17,OFFSET([1]quests!$A$1,0,0,COUNTA([1]quests!$A:$A),MATCH(C$1,[1]quests!$1:$1,0)-MATCH($B$1,[1]quests!$1:$1,0)+1),MATCH(C$1,[1]quests!$1:$1,0)-MATCH($B$1,[1]quests!$1:$1,0)+1,FALSE)</f>
        <v>9．ラバーズ氷河</v>
      </c>
      <c r="D17" s="3" t="str">
        <f ca="1">VLOOKUP($B17,OFFSET([1]quests!$A$1,0,0,COUNTA([1]quests!$A:$A),MATCH(D$1,[1]quests!$1:$1,0)-MATCH($B$1,[1]quests!$1:$1,0)+1),MATCH(D$1,[1]quests!$1:$1,0)-MATCH($B$1,[1]quests!$1:$1,0)+1,FALSE)</f>
        <v>青DL2</v>
      </c>
      <c r="E17">
        <v>6</v>
      </c>
      <c r="F17" s="3" t="str">
        <f ca="1">VLOOKUP($B17&amp;"_"&amp;$E17,OFFSET([1]stages!$A$1,0,0,COUNTA([1]stages!$A:$A),MATCH(F$1,[1]stages!$2:$2,0)-MATCH("temp_stage",[1]stages!$2:$2,0)+1),MATCH(F$1,[1]stages!$2:$2,0)-MATCH("temp_stage",[1]stages!$2:$2,0)+1,FALSE)</f>
        <v>9-6. 【1回のみ】ボーナスステージ</v>
      </c>
      <c r="G17" s="3" t="str">
        <f ca="1">VLOOKUP($B17&amp;"_"&amp;$E17,OFFSET([1]stages!$A$1,0,0,COUNTA([1]stages!$A:$A),MATCH(G$1,[1]stages!$2:$2,0)-MATCH("temp_stage",[1]stages!$2:$2,0)+1),MATCH(G$1,[1]stages!$2:$2,0)-MATCH("temp_stage",[1]stages!$2:$2,0)+1,FALSE)</f>
        <v>青DL2</v>
      </c>
      <c r="H17" s="17">
        <v>0</v>
      </c>
      <c r="I17">
        <v>39</v>
      </c>
      <c r="J17" s="4" t="s">
        <v>17</v>
      </c>
      <c r="K17" s="27" t="str">
        <f>VLOOKUP(I17,[2]stage_hints!$A:$C,3,FALSE)</f>
        <v>システム適合者を確認</v>
      </c>
      <c r="L17" s="28" t="str">
        <f>VLOOKUP(I17,[2]stage_hints!$A:$D,4,FALSE)</f>
        <v>ALICEが 「アナタ」を呼んでいます</v>
      </c>
      <c r="M17" s="20" t="s">
        <v>24</v>
      </c>
    </row>
    <row r="18" spans="1:13" x14ac:dyDescent="0.15">
      <c r="A18" s="25" t="s">
        <v>33</v>
      </c>
      <c r="B18">
        <v>10</v>
      </c>
      <c r="C18" s="3" t="str">
        <f ca="1">VLOOKUP($B18,OFFSET([1]quests!$A$1,0,0,COUNTA([1]quests!$A:$A),MATCH(C$1,[1]quests!$1:$1,0)-MATCH($B$1,[1]quests!$1:$1,0)+1),MATCH(C$1,[1]quests!$1:$1,0)-MATCH($B$1,[1]quests!$1:$1,0)+1,FALSE)</f>
        <v>10．奥散水の紅葉岩</v>
      </c>
      <c r="D18" s="3" t="str">
        <f ca="1">VLOOKUP($B18,OFFSET([1]quests!$A$1,0,0,COUNTA([1]quests!$A:$A),MATCH(D$1,[1]quests!$1:$1,0)-MATCH($B$1,[1]quests!$1:$1,0)+1),MATCH(D$1,[1]quests!$1:$1,0)-MATCH($B$1,[1]quests!$1:$1,0)+1,FALSE)</f>
        <v>赤DL2</v>
      </c>
      <c r="E18">
        <v>1</v>
      </c>
      <c r="F18" s="3" t="str">
        <f ca="1">VLOOKUP($B18&amp;"_"&amp;$E18,OFFSET([1]stages!$A$1,0,0,COUNTA([1]stages!$A:$A),MATCH(F$1,[1]stages!$2:$2,0)-MATCH("temp_stage",[1]stages!$2:$2,0)+1),MATCH(F$1,[1]stages!$2:$2,0)-MATCH("temp_stage",[1]stages!$2:$2,0)+1,FALSE)</f>
        <v>10-1. ほろ酔い紅葉狩り</v>
      </c>
      <c r="G18" s="3" t="str">
        <f ca="1">VLOOKUP($B18&amp;"_"&amp;$E18,OFFSET([1]stages!$A$1,0,0,COUNTA([1]stages!$A:$A),MATCH(G$1,[1]stages!$2:$2,0)-MATCH("temp_stage",[1]stages!$2:$2,0)+1),MATCH(G$1,[1]stages!$2:$2,0)-MATCH("temp_stage",[1]stages!$2:$2,0)+1,FALSE)</f>
        <v>赤DL2</v>
      </c>
      <c r="H18" s="17">
        <v>0</v>
      </c>
      <c r="I18">
        <v>39</v>
      </c>
      <c r="J18" s="4" t="s">
        <v>17</v>
      </c>
      <c r="K18" s="27" t="str">
        <f>VLOOKUP(I18,[2]stage_hints!$A:$C,3,FALSE)</f>
        <v>システム適合者を確認</v>
      </c>
      <c r="L18" s="28" t="str">
        <f>VLOOKUP(I18,[2]stage_hints!$A:$D,4,FALSE)</f>
        <v>ALICEが 「アナタ」を呼んでいます</v>
      </c>
      <c r="M18" s="20" t="s">
        <v>24</v>
      </c>
    </row>
    <row r="19" spans="1:13" x14ac:dyDescent="0.15">
      <c r="A19" s="25" t="s">
        <v>33</v>
      </c>
      <c r="B19">
        <v>10</v>
      </c>
      <c r="C19" s="3" t="str">
        <f ca="1">VLOOKUP($B19,OFFSET([1]quests!$A$1,0,0,COUNTA([1]quests!$A:$A),MATCH(C$1,[1]quests!$1:$1,0)-MATCH($B$1,[1]quests!$1:$1,0)+1),MATCH(C$1,[1]quests!$1:$1,0)-MATCH($B$1,[1]quests!$1:$1,0)+1,FALSE)</f>
        <v>10．奥散水の紅葉岩</v>
      </c>
      <c r="D19" s="3" t="str">
        <f ca="1">VLOOKUP($B19,OFFSET([1]quests!$A$1,0,0,COUNTA([1]quests!$A:$A),MATCH(D$1,[1]quests!$1:$1,0)-MATCH($B$1,[1]quests!$1:$1,0)+1),MATCH(D$1,[1]quests!$1:$1,0)-MATCH($B$1,[1]quests!$1:$1,0)+1,FALSE)</f>
        <v>赤DL2</v>
      </c>
      <c r="E19">
        <v>2</v>
      </c>
      <c r="F19" s="3" t="str">
        <f ca="1">VLOOKUP($B19&amp;"_"&amp;$E19,OFFSET([1]stages!$A$1,0,0,COUNTA([1]stages!$A:$A),MATCH(F$1,[1]stages!$2:$2,0)-MATCH("temp_stage",[1]stages!$2:$2,0)+1),MATCH(F$1,[1]stages!$2:$2,0)-MATCH("temp_stage",[1]stages!$2:$2,0)+1,FALSE)</f>
        <v>10-2. 岩陰からの襲来</v>
      </c>
      <c r="G19" s="3" t="str">
        <f ca="1">VLOOKUP($B19&amp;"_"&amp;$E19,OFFSET([1]stages!$A$1,0,0,COUNTA([1]stages!$A:$A),MATCH(G$1,[1]stages!$2:$2,0)-MATCH("temp_stage",[1]stages!$2:$2,0)+1),MATCH(G$1,[1]stages!$2:$2,0)-MATCH("temp_stage",[1]stages!$2:$2,0)+1,FALSE)</f>
        <v>赤DL2</v>
      </c>
      <c r="H19" s="17">
        <v>0</v>
      </c>
      <c r="I19">
        <v>39</v>
      </c>
      <c r="J19" s="4" t="s">
        <v>17</v>
      </c>
      <c r="K19" s="27" t="str">
        <f>VLOOKUP(I19,[2]stage_hints!$A:$C,3,FALSE)</f>
        <v>システム適合者を確認</v>
      </c>
      <c r="L19" s="28" t="str">
        <f>VLOOKUP(I19,[2]stage_hints!$A:$D,4,FALSE)</f>
        <v>ALICEが 「アナタ」を呼んでいます</v>
      </c>
      <c r="M19" s="20" t="s">
        <v>24</v>
      </c>
    </row>
    <row r="20" spans="1:13" x14ac:dyDescent="0.15">
      <c r="A20" s="25" t="s">
        <v>33</v>
      </c>
      <c r="B20">
        <v>10</v>
      </c>
      <c r="C20" s="3" t="str">
        <f ca="1">VLOOKUP($B20,OFFSET([1]quests!$A$1,0,0,COUNTA([1]quests!$A:$A),MATCH(C$1,[1]quests!$1:$1,0)-MATCH($B$1,[1]quests!$1:$1,0)+1),MATCH(C$1,[1]quests!$1:$1,0)-MATCH($B$1,[1]quests!$1:$1,0)+1,FALSE)</f>
        <v>10．奥散水の紅葉岩</v>
      </c>
      <c r="D20" s="3" t="str">
        <f ca="1">VLOOKUP($B20,OFFSET([1]quests!$A$1,0,0,COUNTA([1]quests!$A:$A),MATCH(D$1,[1]quests!$1:$1,0)-MATCH($B$1,[1]quests!$1:$1,0)+1),MATCH(D$1,[1]quests!$1:$1,0)-MATCH($B$1,[1]quests!$1:$1,0)+1,FALSE)</f>
        <v>赤DL2</v>
      </c>
      <c r="E20">
        <v>3</v>
      </c>
      <c r="F20" s="3" t="str">
        <f ca="1">VLOOKUP($B20&amp;"_"&amp;$E20,OFFSET([1]stages!$A$1,0,0,COUNTA([1]stages!$A:$A),MATCH(F$1,[1]stages!$2:$2,0)-MATCH("temp_stage",[1]stages!$2:$2,0)+1),MATCH(F$1,[1]stages!$2:$2,0)-MATCH("temp_stage",[1]stages!$2:$2,0)+1,FALSE)</f>
        <v>10-3. ３つの眼孔</v>
      </c>
      <c r="G20" s="3" t="str">
        <f ca="1">VLOOKUP($B20&amp;"_"&amp;$E20,OFFSET([1]stages!$A$1,0,0,COUNTA([1]stages!$A:$A),MATCH(G$1,[1]stages!$2:$2,0)-MATCH("temp_stage",[1]stages!$2:$2,0)+1),MATCH(G$1,[1]stages!$2:$2,0)-MATCH("temp_stage",[1]stages!$2:$2,0)+1,FALSE)</f>
        <v>赤DL2</v>
      </c>
      <c r="H20" s="17">
        <v>0</v>
      </c>
      <c r="I20">
        <v>39</v>
      </c>
      <c r="J20" s="4" t="s">
        <v>17</v>
      </c>
      <c r="K20" s="27" t="str">
        <f>VLOOKUP(I20,[2]stage_hints!$A:$C,3,FALSE)</f>
        <v>システム適合者を確認</v>
      </c>
      <c r="L20" s="28" t="str">
        <f>VLOOKUP(I20,[2]stage_hints!$A:$D,4,FALSE)</f>
        <v>ALICEが 「アナタ」を呼んでいます</v>
      </c>
      <c r="M20" s="20" t="s">
        <v>24</v>
      </c>
    </row>
    <row r="21" spans="1:13" x14ac:dyDescent="0.15">
      <c r="A21" s="25" t="s">
        <v>33</v>
      </c>
      <c r="B21">
        <v>10</v>
      </c>
      <c r="C21" s="3" t="str">
        <f ca="1">VLOOKUP($B21,OFFSET([1]quests!$A$1,0,0,COUNTA([1]quests!$A:$A),MATCH(C$1,[1]quests!$1:$1,0)-MATCH($B$1,[1]quests!$1:$1,0)+1),MATCH(C$1,[1]quests!$1:$1,0)-MATCH($B$1,[1]quests!$1:$1,0)+1,FALSE)</f>
        <v>10．奥散水の紅葉岩</v>
      </c>
      <c r="D21" s="3" t="str">
        <f ca="1">VLOOKUP($B21,OFFSET([1]quests!$A$1,0,0,COUNTA([1]quests!$A:$A),MATCH(D$1,[1]quests!$1:$1,0)-MATCH($B$1,[1]quests!$1:$1,0)+1),MATCH(D$1,[1]quests!$1:$1,0)-MATCH($B$1,[1]quests!$1:$1,0)+1,FALSE)</f>
        <v>赤DL2</v>
      </c>
      <c r="E21">
        <v>4</v>
      </c>
      <c r="F21" s="3" t="str">
        <f ca="1">VLOOKUP($B21&amp;"_"&amp;$E21,OFFSET([1]stages!$A$1,0,0,COUNTA([1]stages!$A:$A),MATCH(F$1,[1]stages!$2:$2,0)-MATCH("temp_stage",[1]stages!$2:$2,0)+1),MATCH(F$1,[1]stages!$2:$2,0)-MATCH("temp_stage",[1]stages!$2:$2,0)+1,FALSE)</f>
        <v>10-4. 覚醒の泥酔者</v>
      </c>
      <c r="G21" s="3" t="str">
        <f ca="1">VLOOKUP($B21&amp;"_"&amp;$E21,OFFSET([1]stages!$A$1,0,0,COUNTA([1]stages!$A:$A),MATCH(G$1,[1]stages!$2:$2,0)-MATCH("temp_stage",[1]stages!$2:$2,0)+1),MATCH(G$1,[1]stages!$2:$2,0)-MATCH("temp_stage",[1]stages!$2:$2,0)+1,FALSE)</f>
        <v>赤DL2</v>
      </c>
      <c r="H21" s="17">
        <v>0</v>
      </c>
      <c r="I21">
        <v>39</v>
      </c>
      <c r="J21" s="4" t="s">
        <v>17</v>
      </c>
      <c r="K21" s="27" t="str">
        <f>VLOOKUP(I21,[2]stage_hints!$A:$C,3,FALSE)</f>
        <v>システム適合者を確認</v>
      </c>
      <c r="L21" s="28" t="str">
        <f>VLOOKUP(I21,[2]stage_hints!$A:$D,4,FALSE)</f>
        <v>ALICEが 「アナタ」を呼んでいます</v>
      </c>
      <c r="M21" s="20" t="s">
        <v>24</v>
      </c>
    </row>
    <row r="22" spans="1:13" x14ac:dyDescent="0.15">
      <c r="A22" s="25" t="s">
        <v>33</v>
      </c>
      <c r="B22">
        <v>10</v>
      </c>
      <c r="C22" s="3" t="str">
        <f ca="1">VLOOKUP($B22,OFFSET([1]quests!$A$1,0,0,COUNTA([1]quests!$A:$A),MATCH(C$1,[1]quests!$1:$1,0)-MATCH($B$1,[1]quests!$1:$1,0)+1),MATCH(C$1,[1]quests!$1:$1,0)-MATCH($B$1,[1]quests!$1:$1,0)+1,FALSE)</f>
        <v>10．奥散水の紅葉岩</v>
      </c>
      <c r="D22" s="3" t="str">
        <f ca="1">VLOOKUP($B22,OFFSET([1]quests!$A$1,0,0,COUNTA([1]quests!$A:$A),MATCH(D$1,[1]quests!$1:$1,0)-MATCH($B$1,[1]quests!$1:$1,0)+1),MATCH(D$1,[1]quests!$1:$1,0)-MATCH($B$1,[1]quests!$1:$1,0)+1,FALSE)</f>
        <v>赤DL2</v>
      </c>
      <c r="E22">
        <v>5</v>
      </c>
      <c r="F22" s="3" t="str">
        <f ca="1">VLOOKUP($B22&amp;"_"&amp;$E22,OFFSET([1]stages!$A$1,0,0,COUNTA([1]stages!$A:$A),MATCH(F$1,[1]stages!$2:$2,0)-MATCH("temp_stage",[1]stages!$2:$2,0)+1),MATCH(F$1,[1]stages!$2:$2,0)-MATCH("temp_stage",[1]stages!$2:$2,0)+1,FALSE)</f>
        <v>10-5. 聖なる炎翼</v>
      </c>
      <c r="G22" s="3" t="str">
        <f ca="1">VLOOKUP($B22&amp;"_"&amp;$E22,OFFSET([1]stages!$A$1,0,0,COUNTA([1]stages!$A:$A),MATCH(G$1,[1]stages!$2:$2,0)-MATCH("temp_stage",[1]stages!$2:$2,0)+1),MATCH(G$1,[1]stages!$2:$2,0)-MATCH("temp_stage",[1]stages!$2:$2,0)+1,FALSE)</f>
        <v>赤DL2</v>
      </c>
      <c r="H22" s="17">
        <v>0</v>
      </c>
      <c r="I22">
        <v>39</v>
      </c>
      <c r="J22" s="4" t="s">
        <v>17</v>
      </c>
      <c r="K22" s="27" t="str">
        <f>VLOOKUP(I22,[2]stage_hints!$A:$C,3,FALSE)</f>
        <v>システム適合者を確認</v>
      </c>
      <c r="L22" s="28" t="str">
        <f>VLOOKUP(I22,[2]stage_hints!$A:$D,4,FALSE)</f>
        <v>ALICEが 「アナタ」を呼んでいます</v>
      </c>
      <c r="M22" s="20" t="s">
        <v>24</v>
      </c>
    </row>
    <row r="23" spans="1:13" x14ac:dyDescent="0.15">
      <c r="A23" s="25" t="s">
        <v>33</v>
      </c>
      <c r="B23">
        <v>10</v>
      </c>
      <c r="C23" s="3" t="str">
        <f ca="1">VLOOKUP($B23,OFFSET([1]quests!$A$1,0,0,COUNTA([1]quests!$A:$A),MATCH(C$1,[1]quests!$1:$1,0)-MATCH($B$1,[1]quests!$1:$1,0)+1),MATCH(C$1,[1]quests!$1:$1,0)-MATCH($B$1,[1]quests!$1:$1,0)+1,FALSE)</f>
        <v>10．奥散水の紅葉岩</v>
      </c>
      <c r="D23" s="3" t="str">
        <f ca="1">VLOOKUP($B23,OFFSET([1]quests!$A$1,0,0,COUNTA([1]quests!$A:$A),MATCH(D$1,[1]quests!$1:$1,0)-MATCH($B$1,[1]quests!$1:$1,0)+1),MATCH(D$1,[1]quests!$1:$1,0)-MATCH($B$1,[1]quests!$1:$1,0)+1,FALSE)</f>
        <v>赤DL2</v>
      </c>
      <c r="E23">
        <v>6</v>
      </c>
      <c r="F23" s="3" t="str">
        <f ca="1">VLOOKUP($B23&amp;"_"&amp;$E23,OFFSET([1]stages!$A$1,0,0,COUNTA([1]stages!$A:$A),MATCH(F$1,[1]stages!$2:$2,0)-MATCH("temp_stage",[1]stages!$2:$2,0)+1),MATCH(F$1,[1]stages!$2:$2,0)-MATCH("temp_stage",[1]stages!$2:$2,0)+1,FALSE)</f>
        <v>10-6. 【1回のみ】ボーナスステージ</v>
      </c>
      <c r="G23" s="3" t="str">
        <f ca="1">VLOOKUP($B23&amp;"_"&amp;$E23,OFFSET([1]stages!$A$1,0,0,COUNTA([1]stages!$A:$A),MATCH(G$1,[1]stages!$2:$2,0)-MATCH("temp_stage",[1]stages!$2:$2,0)+1),MATCH(G$1,[1]stages!$2:$2,0)-MATCH("temp_stage",[1]stages!$2:$2,0)+1,FALSE)</f>
        <v>赤DL2</v>
      </c>
      <c r="H23" s="17">
        <v>0</v>
      </c>
      <c r="I23">
        <v>39</v>
      </c>
      <c r="J23" s="4" t="s">
        <v>17</v>
      </c>
      <c r="K23" s="27" t="str">
        <f>VLOOKUP(I23,[2]stage_hints!$A:$C,3,FALSE)</f>
        <v>システム適合者を確認</v>
      </c>
      <c r="L23" s="28" t="str">
        <f>VLOOKUP(I23,[2]stage_hints!$A:$D,4,FALSE)</f>
        <v>ALICEが 「アナタ」を呼んでいます</v>
      </c>
      <c r="M23" s="20" t="s">
        <v>24</v>
      </c>
    </row>
    <row r="24" spans="1:13" x14ac:dyDescent="0.15">
      <c r="A24" s="25" t="s">
        <v>33</v>
      </c>
      <c r="B24">
        <v>11</v>
      </c>
      <c r="C24" s="3" t="str">
        <f ca="1">VLOOKUP($B24,OFFSET([1]quests!$A$1,0,0,COUNTA([1]quests!$A:$A),MATCH(C$1,[1]quests!$1:$1,0)-MATCH($B$1,[1]quests!$1:$1,0)+1),MATCH(C$1,[1]quests!$1:$1,0)-MATCH($B$1,[1]quests!$1:$1,0)+1,FALSE)</f>
        <v>11．ディープソート戦場跡</v>
      </c>
      <c r="D24" s="3" t="str">
        <f ca="1">VLOOKUP($B24,OFFSET([1]quests!$A$1,0,0,COUNTA([1]quests!$A:$A),MATCH(D$1,[1]quests!$1:$1,0)-MATCH($B$1,[1]quests!$1:$1,0)+1),MATCH(D$1,[1]quests!$1:$1,0)-MATCH($B$1,[1]quests!$1:$1,0)+1,FALSE)</f>
        <v>混色DL2</v>
      </c>
      <c r="E24">
        <v>1</v>
      </c>
      <c r="F24" s="3" t="str">
        <f ca="1">VLOOKUP($B24&amp;"_"&amp;$E24,OFFSET([1]stages!$A$1,0,0,COUNTA([1]stages!$A:$A),MATCH(F$1,[1]stages!$2:$2,0)-MATCH("temp_stage",[1]stages!$2:$2,0)+1),MATCH(F$1,[1]stages!$2:$2,0)-MATCH("temp_stage",[1]stages!$2:$2,0)+1,FALSE)</f>
        <v>11-1. 記憶の扉</v>
      </c>
      <c r="G24" s="3" t="str">
        <f ca="1">VLOOKUP($B24&amp;"_"&amp;$E24,OFFSET([1]stages!$A$1,0,0,COUNTA([1]stages!$A:$A),MATCH(G$1,[1]stages!$2:$2,0)-MATCH("temp_stage",[1]stages!$2:$2,0)+1),MATCH(G$1,[1]stages!$2:$2,0)-MATCH("temp_stage",[1]stages!$2:$2,0)+1,FALSE)</f>
        <v>混色DL2</v>
      </c>
      <c r="H24" s="17">
        <v>0</v>
      </c>
      <c r="I24">
        <v>39</v>
      </c>
      <c r="J24" s="4" t="s">
        <v>17</v>
      </c>
      <c r="K24" s="27" t="str">
        <f>VLOOKUP(I24,[2]stage_hints!$A:$C,3,FALSE)</f>
        <v>システム適合者を確認</v>
      </c>
      <c r="L24" s="28" t="str">
        <f>VLOOKUP(I24,[2]stage_hints!$A:$D,4,FALSE)</f>
        <v>ALICEが 「アナタ」を呼んでいます</v>
      </c>
      <c r="M24" s="20" t="s">
        <v>24</v>
      </c>
    </row>
    <row r="25" spans="1:13" x14ac:dyDescent="0.15">
      <c r="A25" s="25" t="s">
        <v>33</v>
      </c>
      <c r="B25">
        <v>11</v>
      </c>
      <c r="C25" s="3" t="str">
        <f ca="1">VLOOKUP($B25,OFFSET([1]quests!$A$1,0,0,COUNTA([1]quests!$A:$A),MATCH(C$1,[1]quests!$1:$1,0)-MATCH($B$1,[1]quests!$1:$1,0)+1),MATCH(C$1,[1]quests!$1:$1,0)-MATCH($B$1,[1]quests!$1:$1,0)+1,FALSE)</f>
        <v>11．ディープソート戦場跡</v>
      </c>
      <c r="D25" s="3" t="str">
        <f ca="1">VLOOKUP($B25,OFFSET([1]quests!$A$1,0,0,COUNTA([1]quests!$A:$A),MATCH(D$1,[1]quests!$1:$1,0)-MATCH($B$1,[1]quests!$1:$1,0)+1),MATCH(D$1,[1]quests!$1:$1,0)-MATCH($B$1,[1]quests!$1:$1,0)+1,FALSE)</f>
        <v>混色DL2</v>
      </c>
      <c r="E25">
        <v>2</v>
      </c>
      <c r="F25" s="3" t="str">
        <f ca="1">VLOOKUP($B25&amp;"_"&amp;$E25,OFFSET([1]stages!$A$1,0,0,COUNTA([1]stages!$A:$A),MATCH(F$1,[1]stages!$2:$2,0)-MATCH("temp_stage",[1]stages!$2:$2,0)+1),MATCH(F$1,[1]stages!$2:$2,0)-MATCH("temp_stage",[1]stages!$2:$2,0)+1,FALSE)</f>
        <v>11-2. 兵どもの夢の跡</v>
      </c>
      <c r="G25" s="3" t="str">
        <f ca="1">VLOOKUP($B25&amp;"_"&amp;$E25,OFFSET([1]stages!$A$1,0,0,COUNTA([1]stages!$A:$A),MATCH(G$1,[1]stages!$2:$2,0)-MATCH("temp_stage",[1]stages!$2:$2,0)+1),MATCH(G$1,[1]stages!$2:$2,0)-MATCH("temp_stage",[1]stages!$2:$2,0)+1,FALSE)</f>
        <v>混色DL2</v>
      </c>
      <c r="H25" s="17">
        <v>0</v>
      </c>
      <c r="I25">
        <v>39</v>
      </c>
      <c r="J25" s="4" t="s">
        <v>17</v>
      </c>
      <c r="K25" s="27" t="str">
        <f>VLOOKUP(I25,[2]stage_hints!$A:$C,3,FALSE)</f>
        <v>システム適合者を確認</v>
      </c>
      <c r="L25" s="28" t="str">
        <f>VLOOKUP(I25,[2]stage_hints!$A:$D,4,FALSE)</f>
        <v>ALICEが 「アナタ」を呼んでいます</v>
      </c>
      <c r="M25" s="20" t="s">
        <v>24</v>
      </c>
    </row>
    <row r="26" spans="1:13" x14ac:dyDescent="0.15">
      <c r="A26" s="25" t="s">
        <v>33</v>
      </c>
      <c r="B26">
        <v>11</v>
      </c>
      <c r="C26" s="3" t="str">
        <f ca="1">VLOOKUP($B26,OFFSET([1]quests!$A$1,0,0,COUNTA([1]quests!$A:$A),MATCH(C$1,[1]quests!$1:$1,0)-MATCH($B$1,[1]quests!$1:$1,0)+1),MATCH(C$1,[1]quests!$1:$1,0)-MATCH($B$1,[1]quests!$1:$1,0)+1,FALSE)</f>
        <v>11．ディープソート戦場跡</v>
      </c>
      <c r="D26" s="3" t="str">
        <f ca="1">VLOOKUP($B26,OFFSET([1]quests!$A$1,0,0,COUNTA([1]quests!$A:$A),MATCH(D$1,[1]quests!$1:$1,0)-MATCH($B$1,[1]quests!$1:$1,0)+1),MATCH(D$1,[1]quests!$1:$1,0)-MATCH($B$1,[1]quests!$1:$1,0)+1,FALSE)</f>
        <v>混色DL2</v>
      </c>
      <c r="E26">
        <v>3</v>
      </c>
      <c r="F26" s="3" t="str">
        <f ca="1">VLOOKUP($B26&amp;"_"&amp;$E26,OFFSET([1]stages!$A$1,0,0,COUNTA([1]stages!$A:$A),MATCH(F$1,[1]stages!$2:$2,0)-MATCH("temp_stage",[1]stages!$2:$2,0)+1),MATCH(F$1,[1]stages!$2:$2,0)-MATCH("temp_stage",[1]stages!$2:$2,0)+1,FALSE)</f>
        <v>11-3. 繰り返される戦争</v>
      </c>
      <c r="G26" s="3" t="str">
        <f ca="1">VLOOKUP($B26&amp;"_"&amp;$E26,OFFSET([1]stages!$A$1,0,0,COUNTA([1]stages!$A:$A),MATCH(G$1,[1]stages!$2:$2,0)-MATCH("temp_stage",[1]stages!$2:$2,0)+1),MATCH(G$1,[1]stages!$2:$2,0)-MATCH("temp_stage",[1]stages!$2:$2,0)+1,FALSE)</f>
        <v>混色DL2</v>
      </c>
      <c r="H26" s="17">
        <v>0</v>
      </c>
      <c r="I26">
        <v>39</v>
      </c>
      <c r="J26" s="4" t="s">
        <v>17</v>
      </c>
      <c r="K26" s="27" t="str">
        <f>VLOOKUP(I26,[2]stage_hints!$A:$C,3,FALSE)</f>
        <v>システム適合者を確認</v>
      </c>
      <c r="L26" s="28" t="str">
        <f>VLOOKUP(I26,[2]stage_hints!$A:$D,4,FALSE)</f>
        <v>ALICEが 「アナタ」を呼んでいます</v>
      </c>
      <c r="M26" s="20" t="s">
        <v>24</v>
      </c>
    </row>
    <row r="27" spans="1:13" x14ac:dyDescent="0.15">
      <c r="A27" s="25" t="s">
        <v>33</v>
      </c>
      <c r="B27">
        <v>11</v>
      </c>
      <c r="C27" s="3" t="str">
        <f ca="1">VLOOKUP($B27,OFFSET([1]quests!$A$1,0,0,COUNTA([1]quests!$A:$A),MATCH(C$1,[1]quests!$1:$1,0)-MATCH($B$1,[1]quests!$1:$1,0)+1),MATCH(C$1,[1]quests!$1:$1,0)-MATCH($B$1,[1]quests!$1:$1,0)+1,FALSE)</f>
        <v>11．ディープソート戦場跡</v>
      </c>
      <c r="D27" s="3" t="str">
        <f ca="1">VLOOKUP($B27,OFFSET([1]quests!$A$1,0,0,COUNTA([1]quests!$A:$A),MATCH(D$1,[1]quests!$1:$1,0)-MATCH($B$1,[1]quests!$1:$1,0)+1),MATCH(D$1,[1]quests!$1:$1,0)-MATCH($B$1,[1]quests!$1:$1,0)+1,FALSE)</f>
        <v>混色DL2</v>
      </c>
      <c r="E27">
        <v>4</v>
      </c>
      <c r="F27" s="3" t="str">
        <f ca="1">VLOOKUP($B27&amp;"_"&amp;$E27,OFFSET([1]stages!$A$1,0,0,COUNTA([1]stages!$A:$A),MATCH(F$1,[1]stages!$2:$2,0)-MATCH("temp_stage",[1]stages!$2:$2,0)+1),MATCH(F$1,[1]stages!$2:$2,0)-MATCH("temp_stage",[1]stages!$2:$2,0)+1,FALSE)</f>
        <v>11-4. チェックメイトへの布石</v>
      </c>
      <c r="G27" s="3" t="str">
        <f ca="1">VLOOKUP($B27&amp;"_"&amp;$E27,OFFSET([1]stages!$A$1,0,0,COUNTA([1]stages!$A:$A),MATCH(G$1,[1]stages!$2:$2,0)-MATCH("temp_stage",[1]stages!$2:$2,0)+1),MATCH(G$1,[1]stages!$2:$2,0)-MATCH("temp_stage",[1]stages!$2:$2,0)+1,FALSE)</f>
        <v>混色DL2</v>
      </c>
      <c r="H27" s="17">
        <v>0</v>
      </c>
      <c r="I27">
        <v>39</v>
      </c>
      <c r="J27" s="4" t="s">
        <v>17</v>
      </c>
      <c r="K27" s="27" t="str">
        <f>VLOOKUP(I27,[2]stage_hints!$A:$C,3,FALSE)</f>
        <v>システム適合者を確認</v>
      </c>
      <c r="L27" s="28" t="str">
        <f>VLOOKUP(I27,[2]stage_hints!$A:$D,4,FALSE)</f>
        <v>ALICEが 「アナタ」を呼んでいます</v>
      </c>
      <c r="M27" s="20" t="s">
        <v>24</v>
      </c>
    </row>
    <row r="28" spans="1:13" x14ac:dyDescent="0.15">
      <c r="A28" s="25" t="s">
        <v>33</v>
      </c>
      <c r="B28">
        <v>11</v>
      </c>
      <c r="C28" s="3" t="str">
        <f ca="1">VLOOKUP($B28,OFFSET([1]quests!$A$1,0,0,COUNTA([1]quests!$A:$A),MATCH(C$1,[1]quests!$1:$1,0)-MATCH($B$1,[1]quests!$1:$1,0)+1),MATCH(C$1,[1]quests!$1:$1,0)-MATCH($B$1,[1]quests!$1:$1,0)+1,FALSE)</f>
        <v>11．ディープソート戦場跡</v>
      </c>
      <c r="D28" s="3" t="str">
        <f ca="1">VLOOKUP($B28,OFFSET([1]quests!$A$1,0,0,COUNTA([1]quests!$A:$A),MATCH(D$1,[1]quests!$1:$1,0)-MATCH($B$1,[1]quests!$1:$1,0)+1),MATCH(D$1,[1]quests!$1:$1,0)-MATCH($B$1,[1]quests!$1:$1,0)+1,FALSE)</f>
        <v>混色DL2</v>
      </c>
      <c r="E28">
        <v>5</v>
      </c>
      <c r="F28" s="3" t="str">
        <f ca="1">VLOOKUP($B28&amp;"_"&amp;$E28,OFFSET([1]stages!$A$1,0,0,COUNTA([1]stages!$A:$A),MATCH(F$1,[1]stages!$2:$2,0)-MATCH("temp_stage",[1]stages!$2:$2,0)+1),MATCH(F$1,[1]stages!$2:$2,0)-MATCH("temp_stage",[1]stages!$2:$2,0)+1,FALSE)</f>
        <v>11-5. 訓練された生存者</v>
      </c>
      <c r="G28" s="3" t="str">
        <f ca="1">VLOOKUP($B28&amp;"_"&amp;$E28,OFFSET([1]stages!$A$1,0,0,COUNTA([1]stages!$A:$A),MATCH(G$1,[1]stages!$2:$2,0)-MATCH("temp_stage",[1]stages!$2:$2,0)+1),MATCH(G$1,[1]stages!$2:$2,0)-MATCH("temp_stage",[1]stages!$2:$2,0)+1,FALSE)</f>
        <v>混色DL2</v>
      </c>
      <c r="H28" s="17">
        <v>0</v>
      </c>
      <c r="I28">
        <v>39</v>
      </c>
      <c r="J28" s="4" t="s">
        <v>17</v>
      </c>
      <c r="K28" s="27" t="str">
        <f>VLOOKUP(I28,[2]stage_hints!$A:$C,3,FALSE)</f>
        <v>システム適合者を確認</v>
      </c>
      <c r="L28" s="28" t="str">
        <f>VLOOKUP(I28,[2]stage_hints!$A:$D,4,FALSE)</f>
        <v>ALICEが 「アナタ」を呼んでいます</v>
      </c>
      <c r="M28" s="20" t="s">
        <v>24</v>
      </c>
    </row>
    <row r="29" spans="1:13" x14ac:dyDescent="0.15">
      <c r="A29" s="25" t="s">
        <v>33</v>
      </c>
      <c r="B29">
        <v>11</v>
      </c>
      <c r="C29" s="3" t="str">
        <f ca="1">VLOOKUP($B29,OFFSET([1]quests!$A$1,0,0,COUNTA([1]quests!$A:$A),MATCH(C$1,[1]quests!$1:$1,0)-MATCH($B$1,[1]quests!$1:$1,0)+1),MATCH(C$1,[1]quests!$1:$1,0)-MATCH($B$1,[1]quests!$1:$1,0)+1,FALSE)</f>
        <v>11．ディープソート戦場跡</v>
      </c>
      <c r="D29" s="3" t="str">
        <f ca="1">VLOOKUP($B29,OFFSET([1]quests!$A$1,0,0,COUNTA([1]quests!$A:$A),MATCH(D$1,[1]quests!$1:$1,0)-MATCH($B$1,[1]quests!$1:$1,0)+1),MATCH(D$1,[1]quests!$1:$1,0)-MATCH($B$1,[1]quests!$1:$1,0)+1,FALSE)</f>
        <v>混色DL2</v>
      </c>
      <c r="E29">
        <v>6</v>
      </c>
      <c r="F29" s="3" t="str">
        <f ca="1">VLOOKUP($B29&amp;"_"&amp;$E29,OFFSET([1]stages!$A$1,0,0,COUNTA([1]stages!$A:$A),MATCH(F$1,[1]stages!$2:$2,0)-MATCH("temp_stage",[1]stages!$2:$2,0)+1),MATCH(F$1,[1]stages!$2:$2,0)-MATCH("temp_stage",[1]stages!$2:$2,0)+1,FALSE)</f>
        <v>11-6. 【1回のみ】ボーナスステージ</v>
      </c>
      <c r="G29" s="3" t="str">
        <f ca="1">VLOOKUP($B29&amp;"_"&amp;$E29,OFFSET([1]stages!$A$1,0,0,COUNTA([1]stages!$A:$A),MATCH(G$1,[1]stages!$2:$2,0)-MATCH("temp_stage",[1]stages!$2:$2,0)+1),MATCH(G$1,[1]stages!$2:$2,0)-MATCH("temp_stage",[1]stages!$2:$2,0)+1,FALSE)</f>
        <v>混色DL2</v>
      </c>
      <c r="H29" s="17">
        <v>0</v>
      </c>
      <c r="I29">
        <v>39</v>
      </c>
      <c r="J29" s="4" t="s">
        <v>17</v>
      </c>
      <c r="K29" s="27" t="str">
        <f>VLOOKUP(I29,[2]stage_hints!$A:$C,3,FALSE)</f>
        <v>システム適合者を確認</v>
      </c>
      <c r="L29" s="28" t="str">
        <f>VLOOKUP(I29,[2]stage_hints!$A:$D,4,FALSE)</f>
        <v>ALICEが 「アナタ」を呼んでいます</v>
      </c>
      <c r="M29" s="20" t="s">
        <v>24</v>
      </c>
    </row>
    <row r="30" spans="1:13" x14ac:dyDescent="0.15">
      <c r="A30" s="25" t="s">
        <v>33</v>
      </c>
      <c r="B30">
        <v>12</v>
      </c>
      <c r="C30" s="3" t="str">
        <f ca="1">VLOOKUP($B30,OFFSET([1]quests!$A$1,0,0,COUNTA([1]quests!$A:$A),MATCH(C$1,[1]quests!$1:$1,0)-MATCH($B$1,[1]quests!$1:$1,0)+1),MATCH(C$1,[1]quests!$1:$1,0)-MATCH($B$1,[1]quests!$1:$1,0)+1,FALSE)</f>
        <v>12．電脳街アキハバラ2.0</v>
      </c>
      <c r="D30" s="3" t="str">
        <f ca="1">VLOOKUP($B30,OFFSET([1]quests!$A$1,0,0,COUNTA([1]quests!$A:$A),MATCH(D$1,[1]quests!$1:$1,0)-MATCH($B$1,[1]quests!$1:$1,0)+1),MATCH(D$1,[1]quests!$1:$1,0)-MATCH($B$1,[1]quests!$1:$1,0)+1,FALSE)</f>
        <v>黄DL3</v>
      </c>
      <c r="E30">
        <v>1</v>
      </c>
      <c r="F30" s="3" t="str">
        <f ca="1">VLOOKUP($B30&amp;"_"&amp;$E30,OFFSET([1]stages!$A$1,0,0,COUNTA([1]stages!$A:$A),MATCH(F$1,[1]stages!$2:$2,0)-MATCH("temp_stage",[1]stages!$2:$2,0)+1),MATCH(F$1,[1]stages!$2:$2,0)-MATCH("temp_stage",[1]stages!$2:$2,0)+1,FALSE)</f>
        <v>12-1. 電気街を駆ける働き者</v>
      </c>
      <c r="G30" s="3" t="str">
        <f ca="1">VLOOKUP($B30&amp;"_"&amp;$E30,OFFSET([1]stages!$A$1,0,0,COUNTA([1]stages!$A:$A),MATCH(G$1,[1]stages!$2:$2,0)-MATCH("temp_stage",[1]stages!$2:$2,0)+1),MATCH(G$1,[1]stages!$2:$2,0)-MATCH("temp_stage",[1]stages!$2:$2,0)+1,FALSE)</f>
        <v>黄DL3</v>
      </c>
      <c r="H30" s="17">
        <v>0</v>
      </c>
      <c r="I30">
        <v>39</v>
      </c>
      <c r="J30" s="4" t="s">
        <v>17</v>
      </c>
      <c r="K30" s="27" t="str">
        <f>VLOOKUP(I30,[2]stage_hints!$A:$C,3,FALSE)</f>
        <v>システム適合者を確認</v>
      </c>
      <c r="L30" s="28" t="str">
        <f>VLOOKUP(I30,[2]stage_hints!$A:$D,4,FALSE)</f>
        <v>ALICEが 「アナタ」を呼んでいます</v>
      </c>
      <c r="M30" s="20" t="s">
        <v>24</v>
      </c>
    </row>
    <row r="31" spans="1:13" x14ac:dyDescent="0.15">
      <c r="A31" s="25" t="s">
        <v>33</v>
      </c>
      <c r="B31">
        <v>12</v>
      </c>
      <c r="C31" s="3" t="str">
        <f ca="1">VLOOKUP($B31,OFFSET([1]quests!$A$1,0,0,COUNTA([1]quests!$A:$A),MATCH(C$1,[1]quests!$1:$1,0)-MATCH($B$1,[1]quests!$1:$1,0)+1),MATCH(C$1,[1]quests!$1:$1,0)-MATCH($B$1,[1]quests!$1:$1,0)+1,FALSE)</f>
        <v>12．電脳街アキハバラ2.0</v>
      </c>
      <c r="D31" s="3" t="str">
        <f ca="1">VLOOKUP($B31,OFFSET([1]quests!$A$1,0,0,COUNTA([1]quests!$A:$A),MATCH(D$1,[1]quests!$1:$1,0)-MATCH($B$1,[1]quests!$1:$1,0)+1),MATCH(D$1,[1]quests!$1:$1,0)-MATCH($B$1,[1]quests!$1:$1,0)+1,FALSE)</f>
        <v>黄DL3</v>
      </c>
      <c r="E31">
        <v>2</v>
      </c>
      <c r="F31" s="3" t="str">
        <f ca="1">VLOOKUP($B31&amp;"_"&amp;$E31,OFFSET([1]stages!$A$1,0,0,COUNTA([1]stages!$A:$A),MATCH(F$1,[1]stages!$2:$2,0)-MATCH("temp_stage",[1]stages!$2:$2,0)+1),MATCH(F$1,[1]stages!$2:$2,0)-MATCH("temp_stage",[1]stages!$2:$2,0)+1,FALSE)</f>
        <v>12-2. アーケードの迅雷</v>
      </c>
      <c r="G31" s="3" t="str">
        <f ca="1">VLOOKUP($B31&amp;"_"&amp;$E31,OFFSET([1]stages!$A$1,0,0,COUNTA([1]stages!$A:$A),MATCH(G$1,[1]stages!$2:$2,0)-MATCH("temp_stage",[1]stages!$2:$2,0)+1),MATCH(G$1,[1]stages!$2:$2,0)-MATCH("temp_stage",[1]stages!$2:$2,0)+1,FALSE)</f>
        <v>黄DL3</v>
      </c>
      <c r="H31" s="17">
        <v>0</v>
      </c>
      <c r="I31">
        <v>39</v>
      </c>
      <c r="J31" s="4" t="s">
        <v>17</v>
      </c>
      <c r="K31" s="27" t="str">
        <f>VLOOKUP(I31,[2]stage_hints!$A:$C,3,FALSE)</f>
        <v>システム適合者を確認</v>
      </c>
      <c r="L31" s="28" t="str">
        <f>VLOOKUP(I31,[2]stage_hints!$A:$D,4,FALSE)</f>
        <v>ALICEが 「アナタ」を呼んでいます</v>
      </c>
      <c r="M31" s="20" t="s">
        <v>24</v>
      </c>
    </row>
    <row r="32" spans="1:13" x14ac:dyDescent="0.15">
      <c r="A32" s="25" t="s">
        <v>33</v>
      </c>
      <c r="B32">
        <v>12</v>
      </c>
      <c r="C32" s="3" t="str">
        <f ca="1">VLOOKUP($B32,OFFSET([1]quests!$A$1,0,0,COUNTA([1]quests!$A:$A),MATCH(C$1,[1]quests!$1:$1,0)-MATCH($B$1,[1]quests!$1:$1,0)+1),MATCH(C$1,[1]quests!$1:$1,0)-MATCH($B$1,[1]quests!$1:$1,0)+1,FALSE)</f>
        <v>12．電脳街アキハバラ2.0</v>
      </c>
      <c r="D32" s="3" t="str">
        <f ca="1">VLOOKUP($B32,OFFSET([1]quests!$A$1,0,0,COUNTA([1]quests!$A:$A),MATCH(D$1,[1]quests!$1:$1,0)-MATCH($B$1,[1]quests!$1:$1,0)+1),MATCH(D$1,[1]quests!$1:$1,0)-MATCH($B$1,[1]quests!$1:$1,0)+1,FALSE)</f>
        <v>黄DL3</v>
      </c>
      <c r="E32">
        <v>3</v>
      </c>
      <c r="F32" s="3" t="str">
        <f ca="1">VLOOKUP($B32&amp;"_"&amp;$E32,OFFSET([1]stages!$A$1,0,0,COUNTA([1]stages!$A:$A),MATCH(F$1,[1]stages!$2:$2,0)-MATCH("temp_stage",[1]stages!$2:$2,0)+1),MATCH(F$1,[1]stages!$2:$2,0)-MATCH("temp_stage",[1]stages!$2:$2,0)+1,FALSE)</f>
        <v>12-3. 裏道の大鎌</v>
      </c>
      <c r="G32" s="3" t="str">
        <f ca="1">VLOOKUP($B32&amp;"_"&amp;$E32,OFFSET([1]stages!$A$1,0,0,COUNTA([1]stages!$A:$A),MATCH(G$1,[1]stages!$2:$2,0)-MATCH("temp_stage",[1]stages!$2:$2,0)+1),MATCH(G$1,[1]stages!$2:$2,0)-MATCH("temp_stage",[1]stages!$2:$2,0)+1,FALSE)</f>
        <v>黄DL3</v>
      </c>
      <c r="H32" s="17">
        <v>0</v>
      </c>
      <c r="I32">
        <v>39</v>
      </c>
      <c r="J32" s="4" t="s">
        <v>17</v>
      </c>
      <c r="K32" s="27" t="str">
        <f>VLOOKUP(I32,[2]stage_hints!$A:$C,3,FALSE)</f>
        <v>システム適合者を確認</v>
      </c>
      <c r="L32" s="28" t="str">
        <f>VLOOKUP(I32,[2]stage_hints!$A:$D,4,FALSE)</f>
        <v>ALICEが 「アナタ」を呼んでいます</v>
      </c>
      <c r="M32" s="20" t="s">
        <v>24</v>
      </c>
    </row>
    <row r="33" spans="1:13" x14ac:dyDescent="0.15">
      <c r="A33" s="25" t="s">
        <v>33</v>
      </c>
      <c r="B33">
        <v>12</v>
      </c>
      <c r="C33" s="3" t="str">
        <f ca="1">VLOOKUP($B33,OFFSET([1]quests!$A$1,0,0,COUNTA([1]quests!$A:$A),MATCH(C$1,[1]quests!$1:$1,0)-MATCH($B$1,[1]quests!$1:$1,0)+1),MATCH(C$1,[1]quests!$1:$1,0)-MATCH($B$1,[1]quests!$1:$1,0)+1,FALSE)</f>
        <v>12．電脳街アキハバラ2.0</v>
      </c>
      <c r="D33" s="3" t="str">
        <f ca="1">VLOOKUP($B33,OFFSET([1]quests!$A$1,0,0,COUNTA([1]quests!$A:$A),MATCH(D$1,[1]quests!$1:$1,0)-MATCH($B$1,[1]quests!$1:$1,0)+1),MATCH(D$1,[1]quests!$1:$1,0)-MATCH($B$1,[1]quests!$1:$1,0)+1,FALSE)</f>
        <v>黄DL3</v>
      </c>
      <c r="E33">
        <v>4</v>
      </c>
      <c r="F33" s="3" t="str">
        <f ca="1">VLOOKUP($B33&amp;"_"&amp;$E33,OFFSET([1]stages!$A$1,0,0,COUNTA([1]stages!$A:$A),MATCH(F$1,[1]stages!$2:$2,0)-MATCH("temp_stage",[1]stages!$2:$2,0)+1),MATCH(F$1,[1]stages!$2:$2,0)-MATCH("temp_stage",[1]stages!$2:$2,0)+1,FALSE)</f>
        <v>12-4. トリック縦横無尽</v>
      </c>
      <c r="G33" s="3" t="str">
        <f ca="1">VLOOKUP($B33&amp;"_"&amp;$E33,OFFSET([1]stages!$A$1,0,0,COUNTA([1]stages!$A:$A),MATCH(G$1,[1]stages!$2:$2,0)-MATCH("temp_stage",[1]stages!$2:$2,0)+1),MATCH(G$1,[1]stages!$2:$2,0)-MATCH("temp_stage",[1]stages!$2:$2,0)+1,FALSE)</f>
        <v>黄DL3</v>
      </c>
      <c r="H33" s="17">
        <v>0</v>
      </c>
      <c r="I33">
        <v>39</v>
      </c>
      <c r="J33" s="4" t="s">
        <v>17</v>
      </c>
      <c r="K33" s="27" t="str">
        <f>VLOOKUP(I33,[2]stage_hints!$A:$C,3,FALSE)</f>
        <v>システム適合者を確認</v>
      </c>
      <c r="L33" s="28" t="str">
        <f>VLOOKUP(I33,[2]stage_hints!$A:$D,4,FALSE)</f>
        <v>ALICEが 「アナタ」を呼んでいます</v>
      </c>
      <c r="M33" s="20" t="s">
        <v>24</v>
      </c>
    </row>
    <row r="34" spans="1:13" x14ac:dyDescent="0.15">
      <c r="A34" s="25" t="s">
        <v>33</v>
      </c>
      <c r="B34">
        <v>12</v>
      </c>
      <c r="C34" s="3" t="str">
        <f ca="1">VLOOKUP($B34,OFFSET([1]quests!$A$1,0,0,COUNTA([1]quests!$A:$A),MATCH(C$1,[1]quests!$1:$1,0)-MATCH($B$1,[1]quests!$1:$1,0)+1),MATCH(C$1,[1]quests!$1:$1,0)-MATCH($B$1,[1]quests!$1:$1,0)+1,FALSE)</f>
        <v>12．電脳街アキハバラ2.0</v>
      </c>
      <c r="D34" s="3" t="str">
        <f ca="1">VLOOKUP($B34,OFFSET([1]quests!$A$1,0,0,COUNTA([1]quests!$A:$A),MATCH(D$1,[1]quests!$1:$1,0)-MATCH($B$1,[1]quests!$1:$1,0)+1),MATCH(D$1,[1]quests!$1:$1,0)-MATCH($B$1,[1]quests!$1:$1,0)+1,FALSE)</f>
        <v>黄DL3</v>
      </c>
      <c r="E34">
        <v>5</v>
      </c>
      <c r="F34" s="3" t="str">
        <f ca="1">VLOOKUP($B34&amp;"_"&amp;$E34,OFFSET([1]stages!$A$1,0,0,COUNTA([1]stages!$A:$A),MATCH(F$1,[1]stages!$2:$2,0)-MATCH("temp_stage",[1]stages!$2:$2,0)+1),MATCH(F$1,[1]stages!$2:$2,0)-MATCH("temp_stage",[1]stages!$2:$2,0)+1,FALSE)</f>
        <v>12-5. 強蹴の働き者</v>
      </c>
      <c r="G34" s="3" t="str">
        <f ca="1">VLOOKUP($B34&amp;"_"&amp;$E34,OFFSET([1]stages!$A$1,0,0,COUNTA([1]stages!$A:$A),MATCH(G$1,[1]stages!$2:$2,0)-MATCH("temp_stage",[1]stages!$2:$2,0)+1),MATCH(G$1,[1]stages!$2:$2,0)-MATCH("temp_stage",[1]stages!$2:$2,0)+1,FALSE)</f>
        <v>黄DL3</v>
      </c>
      <c r="H34" s="17">
        <v>0</v>
      </c>
      <c r="I34">
        <v>39</v>
      </c>
      <c r="J34" s="4" t="s">
        <v>17</v>
      </c>
      <c r="K34" s="27" t="str">
        <f>VLOOKUP(I34,[2]stage_hints!$A:$C,3,FALSE)</f>
        <v>システム適合者を確認</v>
      </c>
      <c r="L34" s="28" t="str">
        <f>VLOOKUP(I34,[2]stage_hints!$A:$D,4,FALSE)</f>
        <v>ALICEが 「アナタ」を呼んでいます</v>
      </c>
      <c r="M34" s="20" t="s">
        <v>24</v>
      </c>
    </row>
    <row r="35" spans="1:13" x14ac:dyDescent="0.15">
      <c r="A35" s="25" t="s">
        <v>33</v>
      </c>
      <c r="B35">
        <v>12</v>
      </c>
      <c r="C35" s="3" t="str">
        <f ca="1">VLOOKUP($B35,OFFSET([1]quests!$A$1,0,0,COUNTA([1]quests!$A:$A),MATCH(C$1,[1]quests!$1:$1,0)-MATCH($B$1,[1]quests!$1:$1,0)+1),MATCH(C$1,[1]quests!$1:$1,0)-MATCH($B$1,[1]quests!$1:$1,0)+1,FALSE)</f>
        <v>12．電脳街アキハバラ2.0</v>
      </c>
      <c r="D35" s="3" t="str">
        <f ca="1">VLOOKUP($B35,OFFSET([1]quests!$A$1,0,0,COUNTA([1]quests!$A:$A),MATCH(D$1,[1]quests!$1:$1,0)-MATCH($B$1,[1]quests!$1:$1,0)+1),MATCH(D$1,[1]quests!$1:$1,0)-MATCH($B$1,[1]quests!$1:$1,0)+1,FALSE)</f>
        <v>黄DL3</v>
      </c>
      <c r="E35">
        <v>6</v>
      </c>
      <c r="F35" s="3" t="str">
        <f ca="1">VLOOKUP($B35&amp;"_"&amp;$E35,OFFSET([1]stages!$A$1,0,0,COUNTA([1]stages!$A:$A),MATCH(F$1,[1]stages!$2:$2,0)-MATCH("temp_stage",[1]stages!$2:$2,0)+1),MATCH(F$1,[1]stages!$2:$2,0)-MATCH("temp_stage",[1]stages!$2:$2,0)+1,FALSE)</f>
        <v>12-6. 【1回のみ】ボーナスステージ</v>
      </c>
      <c r="G35" s="3" t="str">
        <f ca="1">VLOOKUP($B35&amp;"_"&amp;$E35,OFFSET([1]stages!$A$1,0,0,COUNTA([1]stages!$A:$A),MATCH(G$1,[1]stages!$2:$2,0)-MATCH("temp_stage",[1]stages!$2:$2,0)+1),MATCH(G$1,[1]stages!$2:$2,0)-MATCH("temp_stage",[1]stages!$2:$2,0)+1,FALSE)</f>
        <v>黄DL3</v>
      </c>
      <c r="H35" s="17">
        <v>0</v>
      </c>
      <c r="I35">
        <v>39</v>
      </c>
      <c r="J35" s="4" t="s">
        <v>17</v>
      </c>
      <c r="K35" s="27" t="str">
        <f>VLOOKUP(I35,[2]stage_hints!$A:$C,3,FALSE)</f>
        <v>システム適合者を確認</v>
      </c>
      <c r="L35" s="28" t="str">
        <f>VLOOKUP(I35,[2]stage_hints!$A:$D,4,FALSE)</f>
        <v>ALICEが 「アナタ」を呼んでいます</v>
      </c>
      <c r="M35" s="20" t="s">
        <v>24</v>
      </c>
    </row>
    <row r="36" spans="1:13" x14ac:dyDescent="0.15">
      <c r="A36" s="25" t="s">
        <v>33</v>
      </c>
      <c r="B36">
        <v>13</v>
      </c>
      <c r="C36" s="3" t="str">
        <f ca="1">VLOOKUP($B36,OFFSET([1]quests!$A$1,0,0,COUNTA([1]quests!$A:$A),MATCH(C$1,[1]quests!$1:$1,0)-MATCH($B$1,[1]quests!$1:$1,0)+1),MATCH(C$1,[1]quests!$1:$1,0)-MATCH($B$1,[1]quests!$1:$1,0)+1,FALSE)</f>
        <v>13．天空城マドーラ</v>
      </c>
      <c r="D36" s="3" t="str">
        <f ca="1">VLOOKUP($B36,OFFSET([1]quests!$A$1,0,0,COUNTA([1]quests!$A:$A),MATCH(D$1,[1]quests!$1:$1,0)-MATCH($B$1,[1]quests!$1:$1,0)+1),MATCH(D$1,[1]quests!$1:$1,0)-MATCH($B$1,[1]quests!$1:$1,0)+1,FALSE)</f>
        <v>青DL3</v>
      </c>
      <c r="E36">
        <v>1</v>
      </c>
      <c r="F36" s="3" t="str">
        <f ca="1">VLOOKUP($B36&amp;"_"&amp;$E36,OFFSET([1]stages!$A$1,0,0,COUNTA([1]stages!$A:$A),MATCH(F$1,[1]stages!$2:$2,0)-MATCH("temp_stage",[1]stages!$2:$2,0)+1),MATCH(F$1,[1]stages!$2:$2,0)-MATCH("temp_stage",[1]stages!$2:$2,0)+1,FALSE)</f>
        <v>13-1. 甘く切ないメロウ</v>
      </c>
      <c r="G36" s="3" t="str">
        <f ca="1">VLOOKUP($B36&amp;"_"&amp;$E36,OFFSET([1]stages!$A$1,0,0,COUNTA([1]stages!$A:$A),MATCH(G$1,[1]stages!$2:$2,0)-MATCH("temp_stage",[1]stages!$2:$2,0)+1),MATCH(G$1,[1]stages!$2:$2,0)-MATCH("temp_stage",[1]stages!$2:$2,0)+1,FALSE)</f>
        <v>青DL3</v>
      </c>
      <c r="H36" s="17">
        <v>0</v>
      </c>
      <c r="I36">
        <v>39</v>
      </c>
      <c r="J36" s="4" t="s">
        <v>17</v>
      </c>
      <c r="K36" s="27" t="str">
        <f>VLOOKUP(I36,[2]stage_hints!$A:$C,3,FALSE)</f>
        <v>システム適合者を確認</v>
      </c>
      <c r="L36" s="28" t="str">
        <f>VLOOKUP(I36,[2]stage_hints!$A:$D,4,FALSE)</f>
        <v>ALICEが 「アナタ」を呼んでいます</v>
      </c>
      <c r="M36" s="20" t="s">
        <v>24</v>
      </c>
    </row>
    <row r="37" spans="1:13" x14ac:dyDescent="0.15">
      <c r="A37" s="25" t="s">
        <v>33</v>
      </c>
      <c r="B37">
        <v>13</v>
      </c>
      <c r="C37" s="3" t="str">
        <f ca="1">VLOOKUP($B37,OFFSET([1]quests!$A$1,0,0,COUNTA([1]quests!$A:$A),MATCH(C$1,[1]quests!$1:$1,0)-MATCH($B$1,[1]quests!$1:$1,0)+1),MATCH(C$1,[1]quests!$1:$1,0)-MATCH($B$1,[1]quests!$1:$1,0)+1,FALSE)</f>
        <v>13．天空城マドーラ</v>
      </c>
      <c r="D37" s="3" t="str">
        <f ca="1">VLOOKUP($B37,OFFSET([1]quests!$A$1,0,0,COUNTA([1]quests!$A:$A),MATCH(D$1,[1]quests!$1:$1,0)-MATCH($B$1,[1]quests!$1:$1,0)+1),MATCH(D$1,[1]quests!$1:$1,0)-MATCH($B$1,[1]quests!$1:$1,0)+1,FALSE)</f>
        <v>青DL3</v>
      </c>
      <c r="E37">
        <v>2</v>
      </c>
      <c r="F37" s="3" t="str">
        <f ca="1">VLOOKUP($B37&amp;"_"&amp;$E37,OFFSET([1]stages!$A$1,0,0,COUNTA([1]stages!$A:$A),MATCH(F$1,[1]stages!$2:$2,0)-MATCH("temp_stage",[1]stages!$2:$2,0)+1),MATCH(F$1,[1]stages!$2:$2,0)-MATCH("temp_stage",[1]stages!$2:$2,0)+1,FALSE)</f>
        <v>13-2. 天上の書家</v>
      </c>
      <c r="G37" s="3" t="str">
        <f ca="1">VLOOKUP($B37&amp;"_"&amp;$E37,OFFSET([1]stages!$A$1,0,0,COUNTA([1]stages!$A:$A),MATCH(G$1,[1]stages!$2:$2,0)-MATCH("temp_stage",[1]stages!$2:$2,0)+1),MATCH(G$1,[1]stages!$2:$2,0)-MATCH("temp_stage",[1]stages!$2:$2,0)+1,FALSE)</f>
        <v>青DL3</v>
      </c>
      <c r="H37" s="17">
        <v>0</v>
      </c>
      <c r="I37">
        <v>39</v>
      </c>
      <c r="J37" s="4" t="s">
        <v>17</v>
      </c>
      <c r="K37" s="27" t="str">
        <f>VLOOKUP(I37,[2]stage_hints!$A:$C,3,FALSE)</f>
        <v>システム適合者を確認</v>
      </c>
      <c r="L37" s="28" t="str">
        <f>VLOOKUP(I37,[2]stage_hints!$A:$D,4,FALSE)</f>
        <v>ALICEが 「アナタ」を呼んでいます</v>
      </c>
      <c r="M37" s="20" t="s">
        <v>24</v>
      </c>
    </row>
    <row r="38" spans="1:13" x14ac:dyDescent="0.15">
      <c r="A38" s="25" t="s">
        <v>33</v>
      </c>
      <c r="B38">
        <v>13</v>
      </c>
      <c r="C38" s="3" t="str">
        <f ca="1">VLOOKUP($B38,OFFSET([1]quests!$A$1,0,0,COUNTA([1]quests!$A:$A),MATCH(C$1,[1]quests!$1:$1,0)-MATCH($B$1,[1]quests!$1:$1,0)+1),MATCH(C$1,[1]quests!$1:$1,0)-MATCH($B$1,[1]quests!$1:$1,0)+1,FALSE)</f>
        <v>13．天空城マドーラ</v>
      </c>
      <c r="D38" s="3" t="str">
        <f ca="1">VLOOKUP($B38,OFFSET([1]quests!$A$1,0,0,COUNTA([1]quests!$A:$A),MATCH(D$1,[1]quests!$1:$1,0)-MATCH($B$1,[1]quests!$1:$1,0)+1),MATCH(D$1,[1]quests!$1:$1,0)-MATCH($B$1,[1]quests!$1:$1,0)+1,FALSE)</f>
        <v>青DL3</v>
      </c>
      <c r="E38">
        <v>3</v>
      </c>
      <c r="F38" s="3" t="str">
        <f ca="1">VLOOKUP($B38&amp;"_"&amp;$E38,OFFSET([1]stages!$A$1,0,0,COUNTA([1]stages!$A:$A),MATCH(F$1,[1]stages!$2:$2,0)-MATCH("temp_stage",[1]stages!$2:$2,0)+1),MATCH(F$1,[1]stages!$2:$2,0)-MATCH("temp_stage",[1]stages!$2:$2,0)+1,FALSE)</f>
        <v>13-3. 雲海の司令塔</v>
      </c>
      <c r="G38" s="3" t="str">
        <f ca="1">VLOOKUP($B38&amp;"_"&amp;$E38,OFFSET([1]stages!$A$1,0,0,COUNTA([1]stages!$A:$A),MATCH(G$1,[1]stages!$2:$2,0)-MATCH("temp_stage",[1]stages!$2:$2,0)+1),MATCH(G$1,[1]stages!$2:$2,0)-MATCH("temp_stage",[1]stages!$2:$2,0)+1,FALSE)</f>
        <v>青DL3</v>
      </c>
      <c r="H38" s="17">
        <v>0</v>
      </c>
      <c r="I38">
        <v>39</v>
      </c>
      <c r="J38" s="4" t="s">
        <v>17</v>
      </c>
      <c r="K38" s="27" t="str">
        <f>VLOOKUP(I38,[2]stage_hints!$A:$C,3,FALSE)</f>
        <v>システム適合者を確認</v>
      </c>
      <c r="L38" s="28" t="str">
        <f>VLOOKUP(I38,[2]stage_hints!$A:$D,4,FALSE)</f>
        <v>ALICEが 「アナタ」を呼んでいます</v>
      </c>
      <c r="M38" s="20" t="s">
        <v>24</v>
      </c>
    </row>
    <row r="39" spans="1:13" x14ac:dyDescent="0.15">
      <c r="A39" s="25" t="s">
        <v>33</v>
      </c>
      <c r="B39">
        <v>13</v>
      </c>
      <c r="C39" s="3" t="str">
        <f ca="1">VLOOKUP($B39,OFFSET([1]quests!$A$1,0,0,COUNTA([1]quests!$A:$A),MATCH(C$1,[1]quests!$1:$1,0)-MATCH($B$1,[1]quests!$1:$1,0)+1),MATCH(C$1,[1]quests!$1:$1,0)-MATCH($B$1,[1]quests!$1:$1,0)+1,FALSE)</f>
        <v>13．天空城マドーラ</v>
      </c>
      <c r="D39" s="3" t="str">
        <f ca="1">VLOOKUP($B39,OFFSET([1]quests!$A$1,0,0,COUNTA([1]quests!$A:$A),MATCH(D$1,[1]quests!$1:$1,0)-MATCH($B$1,[1]quests!$1:$1,0)+1),MATCH(D$1,[1]quests!$1:$1,0)-MATCH($B$1,[1]quests!$1:$1,0)+1,FALSE)</f>
        <v>青DL3</v>
      </c>
      <c r="E39">
        <v>4</v>
      </c>
      <c r="F39" s="3" t="str">
        <f ca="1">VLOOKUP($B39&amp;"_"&amp;$E39,OFFSET([1]stages!$A$1,0,0,COUNTA([1]stages!$A:$A),MATCH(F$1,[1]stages!$2:$2,0)-MATCH("temp_stage",[1]stages!$2:$2,0)+1),MATCH(F$1,[1]stages!$2:$2,0)-MATCH("temp_stage",[1]stages!$2:$2,0)+1,FALSE)</f>
        <v>13-4. 生命吹き込む旋律</v>
      </c>
      <c r="G39" s="3" t="str">
        <f ca="1">VLOOKUP($B39&amp;"_"&amp;$E39,OFFSET([1]stages!$A$1,0,0,COUNTA([1]stages!$A:$A),MATCH(G$1,[1]stages!$2:$2,0)-MATCH("temp_stage",[1]stages!$2:$2,0)+1),MATCH(G$1,[1]stages!$2:$2,0)-MATCH("temp_stage",[1]stages!$2:$2,0)+1,FALSE)</f>
        <v>青DL3</v>
      </c>
      <c r="H39" s="17">
        <v>0</v>
      </c>
      <c r="I39">
        <v>39</v>
      </c>
      <c r="J39" s="4" t="s">
        <v>17</v>
      </c>
      <c r="K39" s="27" t="str">
        <f>VLOOKUP(I39,[2]stage_hints!$A:$C,3,FALSE)</f>
        <v>システム適合者を確認</v>
      </c>
      <c r="L39" s="28" t="str">
        <f>VLOOKUP(I39,[2]stage_hints!$A:$D,4,FALSE)</f>
        <v>ALICEが 「アナタ」を呼んでいます</v>
      </c>
      <c r="M39" s="20" t="s">
        <v>24</v>
      </c>
    </row>
    <row r="40" spans="1:13" x14ac:dyDescent="0.15">
      <c r="A40" s="25" t="s">
        <v>33</v>
      </c>
      <c r="B40">
        <v>13</v>
      </c>
      <c r="C40" s="3" t="str">
        <f ca="1">VLOOKUP($B40,OFFSET([1]quests!$A$1,0,0,COUNTA([1]quests!$A:$A),MATCH(C$1,[1]quests!$1:$1,0)-MATCH($B$1,[1]quests!$1:$1,0)+1),MATCH(C$1,[1]quests!$1:$1,0)-MATCH($B$1,[1]quests!$1:$1,0)+1,FALSE)</f>
        <v>13．天空城マドーラ</v>
      </c>
      <c r="D40" s="3" t="str">
        <f ca="1">VLOOKUP($B40,OFFSET([1]quests!$A$1,0,0,COUNTA([1]quests!$A:$A),MATCH(D$1,[1]quests!$1:$1,0)-MATCH($B$1,[1]quests!$1:$1,0)+1),MATCH(D$1,[1]quests!$1:$1,0)-MATCH($B$1,[1]quests!$1:$1,0)+1,FALSE)</f>
        <v>青DL3</v>
      </c>
      <c r="E40">
        <v>5</v>
      </c>
      <c r="F40" s="3" t="str">
        <f ca="1">VLOOKUP($B40&amp;"_"&amp;$E40,OFFSET([1]stages!$A$1,0,0,COUNTA([1]stages!$A:$A),MATCH(F$1,[1]stages!$2:$2,0)-MATCH("temp_stage",[1]stages!$2:$2,0)+1),MATCH(F$1,[1]stages!$2:$2,0)-MATCH("temp_stage",[1]stages!$2:$2,0)+1,FALSE)</f>
        <v>13-5. ローレライの導き</v>
      </c>
      <c r="G40" s="3" t="str">
        <f ca="1">VLOOKUP($B40&amp;"_"&amp;$E40,OFFSET([1]stages!$A$1,0,0,COUNTA([1]stages!$A:$A),MATCH(G$1,[1]stages!$2:$2,0)-MATCH("temp_stage",[1]stages!$2:$2,0)+1),MATCH(G$1,[1]stages!$2:$2,0)-MATCH("temp_stage",[1]stages!$2:$2,0)+1,FALSE)</f>
        <v>青DL3</v>
      </c>
      <c r="H40" s="17">
        <v>0</v>
      </c>
      <c r="I40">
        <v>39</v>
      </c>
      <c r="J40" s="4" t="s">
        <v>17</v>
      </c>
      <c r="K40" s="27" t="str">
        <f>VLOOKUP(I40,[2]stage_hints!$A:$C,3,FALSE)</f>
        <v>システム適合者を確認</v>
      </c>
      <c r="L40" s="28" t="str">
        <f>VLOOKUP(I40,[2]stage_hints!$A:$D,4,FALSE)</f>
        <v>ALICEが 「アナタ」を呼んでいます</v>
      </c>
      <c r="M40" s="20" t="s">
        <v>24</v>
      </c>
    </row>
    <row r="41" spans="1:13" x14ac:dyDescent="0.15">
      <c r="A41" s="25" t="s">
        <v>33</v>
      </c>
      <c r="B41">
        <v>13</v>
      </c>
      <c r="C41" s="3" t="str">
        <f ca="1">VLOOKUP($B41,OFFSET([1]quests!$A$1,0,0,COUNTA([1]quests!$A:$A),MATCH(C$1,[1]quests!$1:$1,0)-MATCH($B$1,[1]quests!$1:$1,0)+1),MATCH(C$1,[1]quests!$1:$1,0)-MATCH($B$1,[1]quests!$1:$1,0)+1,FALSE)</f>
        <v>13．天空城マドーラ</v>
      </c>
      <c r="D41" s="3" t="str">
        <f ca="1">VLOOKUP($B41,OFFSET([1]quests!$A$1,0,0,COUNTA([1]quests!$A:$A),MATCH(D$1,[1]quests!$1:$1,0)-MATCH($B$1,[1]quests!$1:$1,0)+1),MATCH(D$1,[1]quests!$1:$1,0)-MATCH($B$1,[1]quests!$1:$1,0)+1,FALSE)</f>
        <v>青DL3</v>
      </c>
      <c r="E41">
        <v>6</v>
      </c>
      <c r="F41" s="3" t="str">
        <f ca="1">VLOOKUP($B41&amp;"_"&amp;$E41,OFFSET([1]stages!$A$1,0,0,COUNTA([1]stages!$A:$A),MATCH(F$1,[1]stages!$2:$2,0)-MATCH("temp_stage",[1]stages!$2:$2,0)+1),MATCH(F$1,[1]stages!$2:$2,0)-MATCH("temp_stage",[1]stages!$2:$2,0)+1,FALSE)</f>
        <v>13-6. 【1回のみ】ボーナスステージ</v>
      </c>
      <c r="G41" s="3" t="str">
        <f ca="1">VLOOKUP($B41&amp;"_"&amp;$E41,OFFSET([1]stages!$A$1,0,0,COUNTA([1]stages!$A:$A),MATCH(G$1,[1]stages!$2:$2,0)-MATCH("temp_stage",[1]stages!$2:$2,0)+1),MATCH(G$1,[1]stages!$2:$2,0)-MATCH("temp_stage",[1]stages!$2:$2,0)+1,FALSE)</f>
        <v>青DL3</v>
      </c>
      <c r="H41" s="17">
        <v>0</v>
      </c>
      <c r="I41">
        <v>39</v>
      </c>
      <c r="J41" s="4" t="s">
        <v>17</v>
      </c>
      <c r="K41" s="27" t="str">
        <f>VLOOKUP(I41,[2]stage_hints!$A:$C,3,FALSE)</f>
        <v>システム適合者を確認</v>
      </c>
      <c r="L41" s="28" t="str">
        <f>VLOOKUP(I41,[2]stage_hints!$A:$D,4,FALSE)</f>
        <v>ALICEが 「アナタ」を呼んでいます</v>
      </c>
      <c r="M41" s="20" t="s">
        <v>24</v>
      </c>
    </row>
    <row r="42" spans="1:13" x14ac:dyDescent="0.15">
      <c r="A42" s="25" t="s">
        <v>33</v>
      </c>
      <c r="B42">
        <v>14</v>
      </c>
      <c r="C42" s="3" t="str">
        <f ca="1">VLOOKUP($B42,OFFSET([1]quests!$A$1,0,0,COUNTA([1]quests!$A:$A),MATCH(C$1,[1]quests!$1:$1,0)-MATCH($B$1,[1]quests!$1:$1,0)+1),MATCH(C$1,[1]quests!$1:$1,0)-MATCH($B$1,[1]quests!$1:$1,0)+1,FALSE)</f>
        <v>14．機械都市マッシュ</v>
      </c>
      <c r="D42" s="3" t="str">
        <f ca="1">VLOOKUP($B42,OFFSET([1]quests!$A$1,0,0,COUNTA([1]quests!$A:$A),MATCH(D$1,[1]quests!$1:$1,0)-MATCH($B$1,[1]quests!$1:$1,0)+1),MATCH(D$1,[1]quests!$1:$1,0)-MATCH($B$1,[1]quests!$1:$1,0)+1,FALSE)</f>
        <v>赤DL3</v>
      </c>
      <c r="E42">
        <v>1</v>
      </c>
      <c r="F42" s="3" t="str">
        <f ca="1">VLOOKUP($B42&amp;"_"&amp;$E42,OFFSET([1]stages!$A$1,0,0,COUNTA([1]stages!$A:$A),MATCH(F$1,[1]stages!$2:$2,0)-MATCH("temp_stage",[1]stages!$2:$2,0)+1),MATCH(F$1,[1]stages!$2:$2,0)-MATCH("temp_stage",[1]stages!$2:$2,0)+1,FALSE)</f>
        <v>14-1. 爆煙を起こす者</v>
      </c>
      <c r="G42" s="3" t="str">
        <f ca="1">VLOOKUP($B42&amp;"_"&amp;$E42,OFFSET([1]stages!$A$1,0,0,COUNTA([1]stages!$A:$A),MATCH(G$1,[1]stages!$2:$2,0)-MATCH("temp_stage",[1]stages!$2:$2,0)+1),MATCH(G$1,[1]stages!$2:$2,0)-MATCH("temp_stage",[1]stages!$2:$2,0)+1,FALSE)</f>
        <v>赤DL3</v>
      </c>
      <c r="H42" s="17">
        <v>0</v>
      </c>
      <c r="I42">
        <v>39</v>
      </c>
      <c r="J42" s="4" t="s">
        <v>17</v>
      </c>
      <c r="K42" s="27" t="str">
        <f>VLOOKUP(I42,[2]stage_hints!$A:$C,3,FALSE)</f>
        <v>システム適合者を確認</v>
      </c>
      <c r="L42" s="28" t="str">
        <f>VLOOKUP(I42,[2]stage_hints!$A:$D,4,FALSE)</f>
        <v>ALICEが 「アナタ」を呼んでいます</v>
      </c>
      <c r="M42" s="20" t="s">
        <v>24</v>
      </c>
    </row>
    <row r="43" spans="1:13" x14ac:dyDescent="0.15">
      <c r="A43" s="25" t="s">
        <v>33</v>
      </c>
      <c r="B43">
        <v>14</v>
      </c>
      <c r="C43" s="3" t="str">
        <f ca="1">VLOOKUP($B43,OFFSET([1]quests!$A$1,0,0,COUNTA([1]quests!$A:$A),MATCH(C$1,[1]quests!$1:$1,0)-MATCH($B$1,[1]quests!$1:$1,0)+1),MATCH(C$1,[1]quests!$1:$1,0)-MATCH($B$1,[1]quests!$1:$1,0)+1,FALSE)</f>
        <v>14．機械都市マッシュ</v>
      </c>
      <c r="D43" s="3" t="str">
        <f ca="1">VLOOKUP($B43,OFFSET([1]quests!$A$1,0,0,COUNTA([1]quests!$A:$A),MATCH(D$1,[1]quests!$1:$1,0)-MATCH($B$1,[1]quests!$1:$1,0)+1),MATCH(D$1,[1]quests!$1:$1,0)-MATCH($B$1,[1]quests!$1:$1,0)+1,FALSE)</f>
        <v>赤DL3</v>
      </c>
      <c r="E43">
        <v>2</v>
      </c>
      <c r="F43" s="3" t="str">
        <f ca="1">VLOOKUP($B43&amp;"_"&amp;$E43,OFFSET([1]stages!$A$1,0,0,COUNTA([1]stages!$A:$A),MATCH(F$1,[1]stages!$2:$2,0)-MATCH("temp_stage",[1]stages!$2:$2,0)+1),MATCH(F$1,[1]stages!$2:$2,0)-MATCH("temp_stage",[1]stages!$2:$2,0)+1,FALSE)</f>
        <v>14-2. 燃える息</v>
      </c>
      <c r="G43" s="3" t="str">
        <f ca="1">VLOOKUP($B43&amp;"_"&amp;$E43,OFFSET([1]stages!$A$1,0,0,COUNTA([1]stages!$A:$A),MATCH(G$1,[1]stages!$2:$2,0)-MATCH("temp_stage",[1]stages!$2:$2,0)+1),MATCH(G$1,[1]stages!$2:$2,0)-MATCH("temp_stage",[1]stages!$2:$2,0)+1,FALSE)</f>
        <v>赤DL3</v>
      </c>
      <c r="H43" s="17">
        <v>0</v>
      </c>
      <c r="I43">
        <v>39</v>
      </c>
      <c r="J43" s="4" t="s">
        <v>17</v>
      </c>
      <c r="K43" s="27" t="str">
        <f>VLOOKUP(I43,[2]stage_hints!$A:$C,3,FALSE)</f>
        <v>システム適合者を確認</v>
      </c>
      <c r="L43" s="28" t="str">
        <f>VLOOKUP(I43,[2]stage_hints!$A:$D,4,FALSE)</f>
        <v>ALICEが 「アナタ」を呼んでいます</v>
      </c>
      <c r="M43" s="20" t="s">
        <v>24</v>
      </c>
    </row>
    <row r="44" spans="1:13" x14ac:dyDescent="0.15">
      <c r="A44" s="25" t="s">
        <v>33</v>
      </c>
      <c r="B44">
        <v>14</v>
      </c>
      <c r="C44" s="3" t="str">
        <f ca="1">VLOOKUP($B44,OFFSET([1]quests!$A$1,0,0,COUNTA([1]quests!$A:$A),MATCH(C$1,[1]quests!$1:$1,0)-MATCH($B$1,[1]quests!$1:$1,0)+1),MATCH(C$1,[1]quests!$1:$1,0)-MATCH($B$1,[1]quests!$1:$1,0)+1,FALSE)</f>
        <v>14．機械都市マッシュ</v>
      </c>
      <c r="D44" s="3" t="str">
        <f ca="1">VLOOKUP($B44,OFFSET([1]quests!$A$1,0,0,COUNTA([1]quests!$A:$A),MATCH(D$1,[1]quests!$1:$1,0)-MATCH($B$1,[1]quests!$1:$1,0)+1),MATCH(D$1,[1]quests!$1:$1,0)-MATCH($B$1,[1]quests!$1:$1,0)+1,FALSE)</f>
        <v>赤DL3</v>
      </c>
      <c r="E44">
        <v>3</v>
      </c>
      <c r="F44" s="3" t="str">
        <f ca="1">VLOOKUP($B44&amp;"_"&amp;$E44,OFFSET([1]stages!$A$1,0,0,COUNTA([1]stages!$A:$A),MATCH(F$1,[1]stages!$2:$2,0)-MATCH("temp_stage",[1]stages!$2:$2,0)+1),MATCH(F$1,[1]stages!$2:$2,0)-MATCH("temp_stage",[1]stages!$2:$2,0)+1,FALSE)</f>
        <v>14-3. 力隠す門番</v>
      </c>
      <c r="G44" s="3" t="str">
        <f ca="1">VLOOKUP($B44&amp;"_"&amp;$E44,OFFSET([1]stages!$A$1,0,0,COUNTA([1]stages!$A:$A),MATCH(G$1,[1]stages!$2:$2,0)-MATCH("temp_stage",[1]stages!$2:$2,0)+1),MATCH(G$1,[1]stages!$2:$2,0)-MATCH("temp_stage",[1]stages!$2:$2,0)+1,FALSE)</f>
        <v>赤DL3</v>
      </c>
      <c r="H44" s="17">
        <v>0</v>
      </c>
      <c r="I44">
        <v>39</v>
      </c>
      <c r="J44" s="4" t="s">
        <v>17</v>
      </c>
      <c r="K44" s="27" t="str">
        <f>VLOOKUP(I44,[2]stage_hints!$A:$C,3,FALSE)</f>
        <v>システム適合者を確認</v>
      </c>
      <c r="L44" s="28" t="str">
        <f>VLOOKUP(I44,[2]stage_hints!$A:$D,4,FALSE)</f>
        <v>ALICEが 「アナタ」を呼んでいます</v>
      </c>
      <c r="M44" s="20" t="s">
        <v>24</v>
      </c>
    </row>
    <row r="45" spans="1:13" x14ac:dyDescent="0.15">
      <c r="A45" s="25" t="s">
        <v>33</v>
      </c>
      <c r="B45">
        <v>14</v>
      </c>
      <c r="C45" s="3" t="str">
        <f ca="1">VLOOKUP($B45,OFFSET([1]quests!$A$1,0,0,COUNTA([1]quests!$A:$A),MATCH(C$1,[1]quests!$1:$1,0)-MATCH($B$1,[1]quests!$1:$1,0)+1),MATCH(C$1,[1]quests!$1:$1,0)-MATCH($B$1,[1]quests!$1:$1,0)+1,FALSE)</f>
        <v>14．機械都市マッシュ</v>
      </c>
      <c r="D45" s="3" t="str">
        <f ca="1">VLOOKUP($B45,OFFSET([1]quests!$A$1,0,0,COUNTA([1]quests!$A:$A),MATCH(D$1,[1]quests!$1:$1,0)-MATCH($B$1,[1]quests!$1:$1,0)+1),MATCH(D$1,[1]quests!$1:$1,0)-MATCH($B$1,[1]quests!$1:$1,0)+1,FALSE)</f>
        <v>赤DL3</v>
      </c>
      <c r="E45">
        <v>4</v>
      </c>
      <c r="F45" s="3" t="str">
        <f ca="1">VLOOKUP($B45&amp;"_"&amp;$E45,OFFSET([1]stages!$A$1,0,0,COUNTA([1]stages!$A:$A),MATCH(F$1,[1]stages!$2:$2,0)-MATCH("temp_stage",[1]stages!$2:$2,0)+1),MATCH(F$1,[1]stages!$2:$2,0)-MATCH("temp_stage",[1]stages!$2:$2,0)+1,FALSE)</f>
        <v>14-4. 不規則な酒乱</v>
      </c>
      <c r="G45" s="3" t="str">
        <f ca="1">VLOOKUP($B45&amp;"_"&amp;$E45,OFFSET([1]stages!$A$1,0,0,COUNTA([1]stages!$A:$A),MATCH(G$1,[1]stages!$2:$2,0)-MATCH("temp_stage",[1]stages!$2:$2,0)+1),MATCH(G$1,[1]stages!$2:$2,0)-MATCH("temp_stage",[1]stages!$2:$2,0)+1,FALSE)</f>
        <v>赤DL3</v>
      </c>
      <c r="H45" s="17">
        <v>0</v>
      </c>
      <c r="I45">
        <v>39</v>
      </c>
      <c r="J45" s="4" t="s">
        <v>17</v>
      </c>
      <c r="K45" s="27" t="str">
        <f>VLOOKUP(I45,[2]stage_hints!$A:$C,3,FALSE)</f>
        <v>システム適合者を確認</v>
      </c>
      <c r="L45" s="28" t="str">
        <f>VLOOKUP(I45,[2]stage_hints!$A:$D,4,FALSE)</f>
        <v>ALICEが 「アナタ」を呼んでいます</v>
      </c>
      <c r="M45" s="20" t="s">
        <v>24</v>
      </c>
    </row>
    <row r="46" spans="1:13" x14ac:dyDescent="0.15">
      <c r="A46" s="25" t="s">
        <v>33</v>
      </c>
      <c r="B46">
        <v>14</v>
      </c>
      <c r="C46" s="3" t="str">
        <f ca="1">VLOOKUP($B46,OFFSET([1]quests!$A$1,0,0,COUNTA([1]quests!$A:$A),MATCH(C$1,[1]quests!$1:$1,0)-MATCH($B$1,[1]quests!$1:$1,0)+1),MATCH(C$1,[1]quests!$1:$1,0)-MATCH($B$1,[1]quests!$1:$1,0)+1,FALSE)</f>
        <v>14．機械都市マッシュ</v>
      </c>
      <c r="D46" s="3" t="str">
        <f ca="1">VLOOKUP($B46,OFFSET([1]quests!$A$1,0,0,COUNTA([1]quests!$A:$A),MATCH(D$1,[1]quests!$1:$1,0)-MATCH($B$1,[1]quests!$1:$1,0)+1),MATCH(D$1,[1]quests!$1:$1,0)-MATCH($B$1,[1]quests!$1:$1,0)+1,FALSE)</f>
        <v>赤DL3</v>
      </c>
      <c r="E46">
        <v>5</v>
      </c>
      <c r="F46" s="3" t="str">
        <f ca="1">VLOOKUP($B46&amp;"_"&amp;$E46,OFFSET([1]stages!$A$1,0,0,COUNTA([1]stages!$A:$A),MATCH(F$1,[1]stages!$2:$2,0)-MATCH("temp_stage",[1]stages!$2:$2,0)+1),MATCH(F$1,[1]stages!$2:$2,0)-MATCH("temp_stage",[1]stages!$2:$2,0)+1,FALSE)</f>
        <v>14-5. 重機駆ける逆徒</v>
      </c>
      <c r="G46" s="3" t="str">
        <f ca="1">VLOOKUP($B46&amp;"_"&amp;$E46,OFFSET([1]stages!$A$1,0,0,COUNTA([1]stages!$A:$A),MATCH(G$1,[1]stages!$2:$2,0)-MATCH("temp_stage",[1]stages!$2:$2,0)+1),MATCH(G$1,[1]stages!$2:$2,0)-MATCH("temp_stage",[1]stages!$2:$2,0)+1,FALSE)</f>
        <v>赤DL3</v>
      </c>
      <c r="H46" s="17">
        <v>0</v>
      </c>
      <c r="I46">
        <v>39</v>
      </c>
      <c r="J46" s="4" t="s">
        <v>17</v>
      </c>
      <c r="K46" s="27" t="str">
        <f>VLOOKUP(I46,[2]stage_hints!$A:$C,3,FALSE)</f>
        <v>システム適合者を確認</v>
      </c>
      <c r="L46" s="28" t="str">
        <f>VLOOKUP(I46,[2]stage_hints!$A:$D,4,FALSE)</f>
        <v>ALICEが 「アナタ」を呼んでいます</v>
      </c>
      <c r="M46" s="20" t="s">
        <v>24</v>
      </c>
    </row>
    <row r="47" spans="1:13" x14ac:dyDescent="0.15">
      <c r="A47" s="25" t="s">
        <v>33</v>
      </c>
      <c r="B47">
        <v>14</v>
      </c>
      <c r="C47" s="3" t="str">
        <f ca="1">VLOOKUP($B47,OFFSET([1]quests!$A$1,0,0,COUNTA([1]quests!$A:$A),MATCH(C$1,[1]quests!$1:$1,0)-MATCH($B$1,[1]quests!$1:$1,0)+1),MATCH(C$1,[1]quests!$1:$1,0)-MATCH($B$1,[1]quests!$1:$1,0)+1,FALSE)</f>
        <v>14．機械都市マッシュ</v>
      </c>
      <c r="D47" s="3" t="str">
        <f ca="1">VLOOKUP($B47,OFFSET([1]quests!$A$1,0,0,COUNTA([1]quests!$A:$A),MATCH(D$1,[1]quests!$1:$1,0)-MATCH($B$1,[1]quests!$1:$1,0)+1),MATCH(D$1,[1]quests!$1:$1,0)-MATCH($B$1,[1]quests!$1:$1,0)+1,FALSE)</f>
        <v>赤DL3</v>
      </c>
      <c r="E47">
        <v>6</v>
      </c>
      <c r="F47" s="3" t="str">
        <f ca="1">VLOOKUP($B47&amp;"_"&amp;$E47,OFFSET([1]stages!$A$1,0,0,COUNTA([1]stages!$A:$A),MATCH(F$1,[1]stages!$2:$2,0)-MATCH("temp_stage",[1]stages!$2:$2,0)+1),MATCH(F$1,[1]stages!$2:$2,0)-MATCH("temp_stage",[1]stages!$2:$2,0)+1,FALSE)</f>
        <v>14-6. 【1回のみ】ボーナスステージ</v>
      </c>
      <c r="G47" s="3" t="str">
        <f ca="1">VLOOKUP($B47&amp;"_"&amp;$E47,OFFSET([1]stages!$A$1,0,0,COUNTA([1]stages!$A:$A),MATCH(G$1,[1]stages!$2:$2,0)-MATCH("temp_stage",[1]stages!$2:$2,0)+1),MATCH(G$1,[1]stages!$2:$2,0)-MATCH("temp_stage",[1]stages!$2:$2,0)+1,FALSE)</f>
        <v>赤DL3</v>
      </c>
      <c r="H47" s="17">
        <v>0</v>
      </c>
      <c r="I47">
        <v>39</v>
      </c>
      <c r="J47" s="4" t="s">
        <v>17</v>
      </c>
      <c r="K47" s="27" t="str">
        <f>VLOOKUP(I47,[2]stage_hints!$A:$C,3,FALSE)</f>
        <v>システム適合者を確認</v>
      </c>
      <c r="L47" s="28" t="str">
        <f>VLOOKUP(I47,[2]stage_hints!$A:$D,4,FALSE)</f>
        <v>ALICEが 「アナタ」を呼んでいます</v>
      </c>
      <c r="M47" s="20" t="s">
        <v>24</v>
      </c>
    </row>
    <row r="48" spans="1:13" x14ac:dyDescent="0.15">
      <c r="A48" s="25" t="s">
        <v>33</v>
      </c>
      <c r="B48">
        <v>15</v>
      </c>
      <c r="C48" s="3" t="str">
        <f ca="1">VLOOKUP($B48,OFFSET([1]quests!$A$1,0,0,COUNTA([1]quests!$A:$A),MATCH(C$1,[1]quests!$1:$1,0)-MATCH($B$1,[1]quests!$1:$1,0)+1),MATCH(C$1,[1]quests!$1:$1,0)-MATCH($B$1,[1]quests!$1:$1,0)+1,FALSE)</f>
        <v>15．ハイサイスタジアム</v>
      </c>
      <c r="D48" s="3" t="str">
        <f ca="1">VLOOKUP($B48,OFFSET([1]quests!$A$1,0,0,COUNTA([1]quests!$A:$A),MATCH(D$1,[1]quests!$1:$1,0)-MATCH($B$1,[1]quests!$1:$1,0)+1),MATCH(D$1,[1]quests!$1:$1,0)-MATCH($B$1,[1]quests!$1:$1,0)+1,FALSE)</f>
        <v>緑DL3</v>
      </c>
      <c r="E48">
        <v>1</v>
      </c>
      <c r="F48" s="3" t="str">
        <f ca="1">VLOOKUP($B48&amp;"_"&amp;$E48,OFFSET([1]stages!$A$1,0,0,COUNTA([1]stages!$A:$A),MATCH(F$1,[1]stages!$2:$2,0)-MATCH("temp_stage",[1]stages!$2:$2,0)+1),MATCH(F$1,[1]stages!$2:$2,0)-MATCH("temp_stage",[1]stages!$2:$2,0)+1,FALSE)</f>
        <v>15-1. 先駆けの乱打</v>
      </c>
      <c r="G48" s="3" t="str">
        <f ca="1">VLOOKUP($B48&amp;"_"&amp;$E48,OFFSET([1]stages!$A$1,0,0,COUNTA([1]stages!$A:$A),MATCH(G$1,[1]stages!$2:$2,0)-MATCH("temp_stage",[1]stages!$2:$2,0)+1),MATCH(G$1,[1]stages!$2:$2,0)-MATCH("temp_stage",[1]stages!$2:$2,0)+1,FALSE)</f>
        <v>緑DL3</v>
      </c>
      <c r="H48" s="17">
        <v>0</v>
      </c>
      <c r="I48">
        <v>39</v>
      </c>
      <c r="J48" s="4" t="s">
        <v>17</v>
      </c>
      <c r="K48" s="27" t="str">
        <f>VLOOKUP(I48,[2]stage_hints!$A:$C,3,FALSE)</f>
        <v>システム適合者を確認</v>
      </c>
      <c r="L48" s="28" t="str">
        <f>VLOOKUP(I48,[2]stage_hints!$A:$D,4,FALSE)</f>
        <v>ALICEが 「アナタ」を呼んでいます</v>
      </c>
      <c r="M48" s="20" t="s">
        <v>24</v>
      </c>
    </row>
    <row r="49" spans="1:13" x14ac:dyDescent="0.15">
      <c r="A49" s="25" t="s">
        <v>33</v>
      </c>
      <c r="B49">
        <v>15</v>
      </c>
      <c r="C49" s="3" t="str">
        <f ca="1">VLOOKUP($B49,OFFSET([1]quests!$A$1,0,0,COUNTA([1]quests!$A:$A),MATCH(C$1,[1]quests!$1:$1,0)-MATCH($B$1,[1]quests!$1:$1,0)+1),MATCH(C$1,[1]quests!$1:$1,0)-MATCH($B$1,[1]quests!$1:$1,0)+1,FALSE)</f>
        <v>15．ハイサイスタジアム</v>
      </c>
      <c r="D49" s="3" t="str">
        <f ca="1">VLOOKUP($B49,OFFSET([1]quests!$A$1,0,0,COUNTA([1]quests!$A:$A),MATCH(D$1,[1]quests!$1:$1,0)-MATCH($B$1,[1]quests!$1:$1,0)+1),MATCH(D$1,[1]quests!$1:$1,0)-MATCH($B$1,[1]quests!$1:$1,0)+1,FALSE)</f>
        <v>緑DL3</v>
      </c>
      <c r="E49">
        <v>2</v>
      </c>
      <c r="F49" s="3" t="str">
        <f ca="1">VLOOKUP($B49&amp;"_"&amp;$E49,OFFSET([1]stages!$A$1,0,0,COUNTA([1]stages!$A:$A),MATCH(F$1,[1]stages!$2:$2,0)-MATCH("temp_stage",[1]stages!$2:$2,0)+1),MATCH(F$1,[1]stages!$2:$2,0)-MATCH("temp_stage",[1]stages!$2:$2,0)+1,FALSE)</f>
        <v>15-2. 異星の参戦</v>
      </c>
      <c r="G49" s="3" t="str">
        <f ca="1">VLOOKUP($B49&amp;"_"&amp;$E49,OFFSET([1]stages!$A$1,0,0,COUNTA([1]stages!$A:$A),MATCH(G$1,[1]stages!$2:$2,0)-MATCH("temp_stage",[1]stages!$2:$2,0)+1),MATCH(G$1,[1]stages!$2:$2,0)-MATCH("temp_stage",[1]stages!$2:$2,0)+1,FALSE)</f>
        <v>緑DL3</v>
      </c>
      <c r="H49" s="17">
        <v>0</v>
      </c>
      <c r="I49">
        <v>39</v>
      </c>
      <c r="J49" s="4" t="s">
        <v>17</v>
      </c>
      <c r="K49" s="27" t="str">
        <f>VLOOKUP(I49,[2]stage_hints!$A:$C,3,FALSE)</f>
        <v>システム適合者を確認</v>
      </c>
      <c r="L49" s="28" t="str">
        <f>VLOOKUP(I49,[2]stage_hints!$A:$D,4,FALSE)</f>
        <v>ALICEが 「アナタ」を呼んでいます</v>
      </c>
      <c r="M49" s="20" t="s">
        <v>24</v>
      </c>
    </row>
    <row r="50" spans="1:13" x14ac:dyDescent="0.15">
      <c r="A50" s="25" t="s">
        <v>33</v>
      </c>
      <c r="B50">
        <v>15</v>
      </c>
      <c r="C50" s="3" t="str">
        <f ca="1">VLOOKUP($B50,OFFSET([1]quests!$A$1,0,0,COUNTA([1]quests!$A:$A),MATCH(C$1,[1]quests!$1:$1,0)-MATCH($B$1,[1]quests!$1:$1,0)+1),MATCH(C$1,[1]quests!$1:$1,0)-MATCH($B$1,[1]quests!$1:$1,0)+1,FALSE)</f>
        <v>15．ハイサイスタジアム</v>
      </c>
      <c r="D50" s="3" t="str">
        <f ca="1">VLOOKUP($B50,OFFSET([1]quests!$A$1,0,0,COUNTA([1]quests!$A:$A),MATCH(D$1,[1]quests!$1:$1,0)-MATCH($B$1,[1]quests!$1:$1,0)+1),MATCH(D$1,[1]quests!$1:$1,0)-MATCH($B$1,[1]quests!$1:$1,0)+1,FALSE)</f>
        <v>緑DL3</v>
      </c>
      <c r="E50">
        <v>3</v>
      </c>
      <c r="F50" s="3" t="str">
        <f ca="1">VLOOKUP($B50&amp;"_"&amp;$E50,OFFSET([1]stages!$A$1,0,0,COUNTA([1]stages!$A:$A),MATCH(F$1,[1]stages!$2:$2,0)-MATCH("temp_stage",[1]stages!$2:$2,0)+1),MATCH(F$1,[1]stages!$2:$2,0)-MATCH("temp_stage",[1]stages!$2:$2,0)+1,FALSE)</f>
        <v>15-3. シューティングレンジの美女</v>
      </c>
      <c r="G50" s="3" t="str">
        <f ca="1">VLOOKUP($B50&amp;"_"&amp;$E50,OFFSET([1]stages!$A$1,0,0,COUNTA([1]stages!$A:$A),MATCH(G$1,[1]stages!$2:$2,0)-MATCH("temp_stage",[1]stages!$2:$2,0)+1),MATCH(G$1,[1]stages!$2:$2,0)-MATCH("temp_stage",[1]stages!$2:$2,0)+1,FALSE)</f>
        <v>緑DL3</v>
      </c>
      <c r="H50" s="17">
        <v>0</v>
      </c>
      <c r="I50">
        <v>39</v>
      </c>
      <c r="J50" s="4" t="s">
        <v>17</v>
      </c>
      <c r="K50" s="27" t="str">
        <f>VLOOKUP(I50,[2]stage_hints!$A:$C,3,FALSE)</f>
        <v>システム適合者を確認</v>
      </c>
      <c r="L50" s="28" t="str">
        <f>VLOOKUP(I50,[2]stage_hints!$A:$D,4,FALSE)</f>
        <v>ALICEが 「アナタ」を呼んでいます</v>
      </c>
      <c r="M50" s="20" t="s">
        <v>24</v>
      </c>
    </row>
    <row r="51" spans="1:13" x14ac:dyDescent="0.15">
      <c r="A51" s="25" t="s">
        <v>33</v>
      </c>
      <c r="B51">
        <v>15</v>
      </c>
      <c r="C51" s="3" t="str">
        <f ca="1">VLOOKUP($B51,OFFSET([1]quests!$A$1,0,0,COUNTA([1]quests!$A:$A),MATCH(C$1,[1]quests!$1:$1,0)-MATCH($B$1,[1]quests!$1:$1,0)+1),MATCH(C$1,[1]quests!$1:$1,0)-MATCH($B$1,[1]quests!$1:$1,0)+1,FALSE)</f>
        <v>15．ハイサイスタジアム</v>
      </c>
      <c r="D51" s="3" t="str">
        <f ca="1">VLOOKUP($B51,OFFSET([1]quests!$A$1,0,0,COUNTA([1]quests!$A:$A),MATCH(D$1,[1]quests!$1:$1,0)-MATCH($B$1,[1]quests!$1:$1,0)+1),MATCH(D$1,[1]quests!$1:$1,0)-MATCH($B$1,[1]quests!$1:$1,0)+1,FALSE)</f>
        <v>緑DL3</v>
      </c>
      <c r="E51">
        <v>4</v>
      </c>
      <c r="F51" s="3" t="str">
        <f ca="1">VLOOKUP($B51&amp;"_"&amp;$E51,OFFSET([1]stages!$A$1,0,0,COUNTA([1]stages!$A:$A),MATCH(F$1,[1]stages!$2:$2,0)-MATCH("temp_stage",[1]stages!$2:$2,0)+1),MATCH(F$1,[1]stages!$2:$2,0)-MATCH("temp_stage",[1]stages!$2:$2,0)+1,FALSE)</f>
        <v>15-4. 無邪気な来客</v>
      </c>
      <c r="G51" s="3" t="str">
        <f ca="1">VLOOKUP($B51&amp;"_"&amp;$E51,OFFSET([1]stages!$A$1,0,0,COUNTA([1]stages!$A:$A),MATCH(G$1,[1]stages!$2:$2,0)-MATCH("temp_stage",[1]stages!$2:$2,0)+1),MATCH(G$1,[1]stages!$2:$2,0)-MATCH("temp_stage",[1]stages!$2:$2,0)+1,FALSE)</f>
        <v>緑DL3</v>
      </c>
      <c r="H51" s="17">
        <v>0</v>
      </c>
      <c r="I51">
        <v>39</v>
      </c>
      <c r="J51" s="4" t="s">
        <v>17</v>
      </c>
      <c r="K51" s="27" t="str">
        <f>VLOOKUP(I51,[2]stage_hints!$A:$C,3,FALSE)</f>
        <v>システム適合者を確認</v>
      </c>
      <c r="L51" s="28" t="str">
        <f>VLOOKUP(I51,[2]stage_hints!$A:$D,4,FALSE)</f>
        <v>ALICEが 「アナタ」を呼んでいます</v>
      </c>
      <c r="M51" s="20" t="s">
        <v>24</v>
      </c>
    </row>
    <row r="52" spans="1:13" x14ac:dyDescent="0.15">
      <c r="A52" s="25" t="s">
        <v>33</v>
      </c>
      <c r="B52">
        <v>15</v>
      </c>
      <c r="C52" s="3" t="str">
        <f ca="1">VLOOKUP($B52,OFFSET([1]quests!$A$1,0,0,COUNTA([1]quests!$A:$A),MATCH(C$1,[1]quests!$1:$1,0)-MATCH($B$1,[1]quests!$1:$1,0)+1),MATCH(C$1,[1]quests!$1:$1,0)-MATCH($B$1,[1]quests!$1:$1,0)+1,FALSE)</f>
        <v>15．ハイサイスタジアム</v>
      </c>
      <c r="D52" s="3" t="str">
        <f ca="1">VLOOKUP($B52,OFFSET([1]quests!$A$1,0,0,COUNTA([1]quests!$A:$A),MATCH(D$1,[1]quests!$1:$1,0)-MATCH($B$1,[1]quests!$1:$1,0)+1),MATCH(D$1,[1]quests!$1:$1,0)-MATCH($B$1,[1]quests!$1:$1,0)+1,FALSE)</f>
        <v>緑DL3</v>
      </c>
      <c r="E52">
        <v>5</v>
      </c>
      <c r="F52" s="3" t="str">
        <f ca="1">VLOOKUP($B52&amp;"_"&amp;$E52,OFFSET([1]stages!$A$1,0,0,COUNTA([1]stages!$A:$A),MATCH(F$1,[1]stages!$2:$2,0)-MATCH("temp_stage",[1]stages!$2:$2,0)+1),MATCH(F$1,[1]stages!$2:$2,0)-MATCH("temp_stage",[1]stages!$2:$2,0)+1,FALSE)</f>
        <v>15-5. 縁舞のメインイベント</v>
      </c>
      <c r="G52" s="3" t="str">
        <f ca="1">VLOOKUP($B52&amp;"_"&amp;$E52,OFFSET([1]stages!$A$1,0,0,COUNTA([1]stages!$A:$A),MATCH(G$1,[1]stages!$2:$2,0)-MATCH("temp_stage",[1]stages!$2:$2,0)+1),MATCH(G$1,[1]stages!$2:$2,0)-MATCH("temp_stage",[1]stages!$2:$2,0)+1,FALSE)</f>
        <v>緑DL3</v>
      </c>
      <c r="H52" s="17">
        <v>0</v>
      </c>
      <c r="I52">
        <v>39</v>
      </c>
      <c r="J52" s="4" t="s">
        <v>17</v>
      </c>
      <c r="K52" s="27" t="str">
        <f>VLOOKUP(I52,[2]stage_hints!$A:$C,3,FALSE)</f>
        <v>システム適合者を確認</v>
      </c>
      <c r="L52" s="28" t="str">
        <f>VLOOKUP(I52,[2]stage_hints!$A:$D,4,FALSE)</f>
        <v>ALICEが 「アナタ」を呼んでいます</v>
      </c>
      <c r="M52" s="20" t="s">
        <v>24</v>
      </c>
    </row>
    <row r="53" spans="1:13" x14ac:dyDescent="0.15">
      <c r="A53" s="25" t="s">
        <v>33</v>
      </c>
      <c r="B53">
        <v>15</v>
      </c>
      <c r="C53" s="3" t="str">
        <f ca="1">VLOOKUP($B53,OFFSET([1]quests!$A$1,0,0,COUNTA([1]quests!$A:$A),MATCH(C$1,[1]quests!$1:$1,0)-MATCH($B$1,[1]quests!$1:$1,0)+1),MATCH(C$1,[1]quests!$1:$1,0)-MATCH($B$1,[1]quests!$1:$1,0)+1,FALSE)</f>
        <v>15．ハイサイスタジアム</v>
      </c>
      <c r="D53" s="3" t="str">
        <f ca="1">VLOOKUP($B53,OFFSET([1]quests!$A$1,0,0,COUNTA([1]quests!$A:$A),MATCH(D$1,[1]quests!$1:$1,0)-MATCH($B$1,[1]quests!$1:$1,0)+1),MATCH(D$1,[1]quests!$1:$1,0)-MATCH($B$1,[1]quests!$1:$1,0)+1,FALSE)</f>
        <v>緑DL3</v>
      </c>
      <c r="E53">
        <v>6</v>
      </c>
      <c r="F53" s="3" t="str">
        <f ca="1">VLOOKUP($B53&amp;"_"&amp;$E53,OFFSET([1]stages!$A$1,0,0,COUNTA([1]stages!$A:$A),MATCH(F$1,[1]stages!$2:$2,0)-MATCH("temp_stage",[1]stages!$2:$2,0)+1),MATCH(F$1,[1]stages!$2:$2,0)-MATCH("temp_stage",[1]stages!$2:$2,0)+1,FALSE)</f>
        <v>15-6. 【1回のみ】ボーナスステージ</v>
      </c>
      <c r="G53" s="3" t="str">
        <f ca="1">VLOOKUP($B53&amp;"_"&amp;$E53,OFFSET([1]stages!$A$1,0,0,COUNTA([1]stages!$A:$A),MATCH(G$1,[1]stages!$2:$2,0)-MATCH("temp_stage",[1]stages!$2:$2,0)+1),MATCH(G$1,[1]stages!$2:$2,0)-MATCH("temp_stage",[1]stages!$2:$2,0)+1,FALSE)</f>
        <v>緑DL3</v>
      </c>
      <c r="H53" s="17">
        <v>0</v>
      </c>
      <c r="I53">
        <v>39</v>
      </c>
      <c r="J53" s="4" t="s">
        <v>17</v>
      </c>
      <c r="K53" s="27" t="str">
        <f>VLOOKUP(I53,[2]stage_hints!$A:$C,3,FALSE)</f>
        <v>システム適合者を確認</v>
      </c>
      <c r="L53" s="28" t="str">
        <f>VLOOKUP(I53,[2]stage_hints!$A:$D,4,FALSE)</f>
        <v>ALICEが 「アナタ」を呼んでいます</v>
      </c>
      <c r="M53" s="20" t="s">
        <v>24</v>
      </c>
    </row>
    <row r="54" spans="1:13" x14ac:dyDescent="0.15">
      <c r="A54" s="25" t="s">
        <v>33</v>
      </c>
      <c r="B54">
        <v>16</v>
      </c>
      <c r="C54" s="3" t="str">
        <f ca="1">VLOOKUP($B54,OFFSET([1]quests!$A$1,0,0,COUNTA([1]quests!$A:$A),MATCH(C$1,[1]quests!$1:$1,0)-MATCH($B$1,[1]quests!$1:$1,0)+1),MATCH(C$1,[1]quests!$1:$1,0)-MATCH($B$1,[1]quests!$1:$1,0)+1,FALSE)</f>
        <v>16．H&amp;Gスイートハウス</v>
      </c>
      <c r="D54" s="3" t="str">
        <f ca="1">VLOOKUP($B54,OFFSET([1]quests!$A$1,0,0,COUNTA([1]quests!$A:$A),MATCH(D$1,[1]quests!$1:$1,0)-MATCH($B$1,[1]quests!$1:$1,0)+1),MATCH(D$1,[1]quests!$1:$1,0)-MATCH($B$1,[1]quests!$1:$1,0)+1,FALSE)</f>
        <v>混色DL3</v>
      </c>
      <c r="E54">
        <v>1</v>
      </c>
      <c r="F54" s="3" t="str">
        <f ca="1">VLOOKUP($B54&amp;"_"&amp;$E54,OFFSET([1]stages!$A$1,0,0,COUNTA([1]stages!$A:$A),MATCH(F$1,[1]stages!$2:$2,0)-MATCH("temp_stage",[1]stages!$2:$2,0)+1),MATCH(F$1,[1]stages!$2:$2,0)-MATCH("temp_stage",[1]stages!$2:$2,0)+1,FALSE)</f>
        <v>16-1. 侵入スイートハウス</v>
      </c>
      <c r="G54" s="3" t="str">
        <f ca="1">VLOOKUP($B54&amp;"_"&amp;$E54,OFFSET([1]stages!$A$1,0,0,COUNTA([1]stages!$A:$A),MATCH(G$1,[1]stages!$2:$2,0)-MATCH("temp_stage",[1]stages!$2:$2,0)+1),MATCH(G$1,[1]stages!$2:$2,0)-MATCH("temp_stage",[1]stages!$2:$2,0)+1,FALSE)</f>
        <v>混色DL3</v>
      </c>
      <c r="H54" s="17">
        <v>0</v>
      </c>
      <c r="I54">
        <v>39</v>
      </c>
      <c r="J54" s="4" t="s">
        <v>17</v>
      </c>
      <c r="K54" s="27" t="str">
        <f>VLOOKUP(I54,[2]stage_hints!$A:$C,3,FALSE)</f>
        <v>システム適合者を確認</v>
      </c>
      <c r="L54" s="28" t="str">
        <f>VLOOKUP(I54,[2]stage_hints!$A:$D,4,FALSE)</f>
        <v>ALICEが 「アナタ」を呼んでいます</v>
      </c>
      <c r="M54" s="20" t="s">
        <v>24</v>
      </c>
    </row>
    <row r="55" spans="1:13" x14ac:dyDescent="0.15">
      <c r="A55" s="25" t="s">
        <v>33</v>
      </c>
      <c r="B55">
        <v>16</v>
      </c>
      <c r="C55" s="3" t="str">
        <f ca="1">VLOOKUP($B55,OFFSET([1]quests!$A$1,0,0,COUNTA([1]quests!$A:$A),MATCH(C$1,[1]quests!$1:$1,0)-MATCH($B$1,[1]quests!$1:$1,0)+1),MATCH(C$1,[1]quests!$1:$1,0)-MATCH($B$1,[1]quests!$1:$1,0)+1,FALSE)</f>
        <v>16．H&amp;Gスイートハウス</v>
      </c>
      <c r="D55" s="3" t="str">
        <f ca="1">VLOOKUP($B55,OFFSET([1]quests!$A$1,0,0,COUNTA([1]quests!$A:$A),MATCH(D$1,[1]quests!$1:$1,0)-MATCH($B$1,[1]quests!$1:$1,0)+1),MATCH(D$1,[1]quests!$1:$1,0)-MATCH($B$1,[1]quests!$1:$1,0)+1,FALSE)</f>
        <v>混色DL3</v>
      </c>
      <c r="E55">
        <v>2</v>
      </c>
      <c r="F55" s="3" t="str">
        <f ca="1">VLOOKUP($B55&amp;"_"&amp;$E55,OFFSET([1]stages!$A$1,0,0,COUNTA([1]stages!$A:$A),MATCH(F$1,[1]stages!$2:$2,0)-MATCH("temp_stage",[1]stages!$2:$2,0)+1),MATCH(F$1,[1]stages!$2:$2,0)-MATCH("temp_stage",[1]stages!$2:$2,0)+1,FALSE)</f>
        <v>16-2. ベタつく扉</v>
      </c>
      <c r="G55" s="3" t="str">
        <f ca="1">VLOOKUP($B55&amp;"_"&amp;$E55,OFFSET([1]stages!$A$1,0,0,COUNTA([1]stages!$A:$A),MATCH(G$1,[1]stages!$2:$2,0)-MATCH("temp_stage",[1]stages!$2:$2,0)+1),MATCH(G$1,[1]stages!$2:$2,0)-MATCH("temp_stage",[1]stages!$2:$2,0)+1,FALSE)</f>
        <v>混色DL3</v>
      </c>
      <c r="H55" s="17">
        <v>0</v>
      </c>
      <c r="I55">
        <v>39</v>
      </c>
      <c r="J55" s="4" t="s">
        <v>17</v>
      </c>
      <c r="K55" s="27" t="str">
        <f>VLOOKUP(I55,[2]stage_hints!$A:$C,3,FALSE)</f>
        <v>システム適合者を確認</v>
      </c>
      <c r="L55" s="28" t="str">
        <f>VLOOKUP(I55,[2]stage_hints!$A:$D,4,FALSE)</f>
        <v>ALICEが 「アナタ」を呼んでいます</v>
      </c>
      <c r="M55" s="20" t="s">
        <v>24</v>
      </c>
    </row>
    <row r="56" spans="1:13" x14ac:dyDescent="0.15">
      <c r="A56" s="25" t="s">
        <v>33</v>
      </c>
      <c r="B56">
        <v>16</v>
      </c>
      <c r="C56" s="3" t="str">
        <f ca="1">VLOOKUP($B56,OFFSET([1]quests!$A$1,0,0,COUNTA([1]quests!$A:$A),MATCH(C$1,[1]quests!$1:$1,0)-MATCH($B$1,[1]quests!$1:$1,0)+1),MATCH(C$1,[1]quests!$1:$1,0)-MATCH($B$1,[1]quests!$1:$1,0)+1,FALSE)</f>
        <v>16．H&amp;Gスイートハウス</v>
      </c>
      <c r="D56" s="3" t="str">
        <f ca="1">VLOOKUP($B56,OFFSET([1]quests!$A$1,0,0,COUNTA([1]quests!$A:$A),MATCH(D$1,[1]quests!$1:$1,0)-MATCH($B$1,[1]quests!$1:$1,0)+1),MATCH(D$1,[1]quests!$1:$1,0)-MATCH($B$1,[1]quests!$1:$1,0)+1,FALSE)</f>
        <v>混色DL3</v>
      </c>
      <c r="E56">
        <v>3</v>
      </c>
      <c r="F56" s="3" t="str">
        <f ca="1">VLOOKUP($B56&amp;"_"&amp;$E56,OFFSET([1]stages!$A$1,0,0,COUNTA([1]stages!$A:$A),MATCH(F$1,[1]stages!$2:$2,0)-MATCH("temp_stage",[1]stages!$2:$2,0)+1),MATCH(F$1,[1]stages!$2:$2,0)-MATCH("temp_stage",[1]stages!$2:$2,0)+1,FALSE)</f>
        <v>16-3. 甘くて危険な空間</v>
      </c>
      <c r="G56" s="3" t="str">
        <f ca="1">VLOOKUP($B56&amp;"_"&amp;$E56,OFFSET([1]stages!$A$1,0,0,COUNTA([1]stages!$A:$A),MATCH(G$1,[1]stages!$2:$2,0)-MATCH("temp_stage",[1]stages!$2:$2,0)+1),MATCH(G$1,[1]stages!$2:$2,0)-MATCH("temp_stage",[1]stages!$2:$2,0)+1,FALSE)</f>
        <v>混色DL3</v>
      </c>
      <c r="H56" s="17">
        <v>0</v>
      </c>
      <c r="I56">
        <v>39</v>
      </c>
      <c r="J56" s="4" t="s">
        <v>17</v>
      </c>
      <c r="K56" s="27" t="str">
        <f>VLOOKUP(I56,[2]stage_hints!$A:$C,3,FALSE)</f>
        <v>システム適合者を確認</v>
      </c>
      <c r="L56" s="28" t="str">
        <f>VLOOKUP(I56,[2]stage_hints!$A:$D,4,FALSE)</f>
        <v>ALICEが 「アナタ」を呼んでいます</v>
      </c>
      <c r="M56" s="20" t="s">
        <v>24</v>
      </c>
    </row>
    <row r="57" spans="1:13" x14ac:dyDescent="0.15">
      <c r="A57" s="25" t="s">
        <v>33</v>
      </c>
      <c r="B57">
        <v>16</v>
      </c>
      <c r="C57" s="3" t="str">
        <f ca="1">VLOOKUP($B57,OFFSET([1]quests!$A$1,0,0,COUNTA([1]quests!$A:$A),MATCH(C$1,[1]quests!$1:$1,0)-MATCH($B$1,[1]quests!$1:$1,0)+1),MATCH(C$1,[1]quests!$1:$1,0)-MATCH($B$1,[1]quests!$1:$1,0)+1,FALSE)</f>
        <v>16．H&amp;Gスイートハウス</v>
      </c>
      <c r="D57" s="3" t="str">
        <f ca="1">VLOOKUP($B57,OFFSET([1]quests!$A$1,0,0,COUNTA([1]quests!$A:$A),MATCH(D$1,[1]quests!$1:$1,0)-MATCH($B$1,[1]quests!$1:$1,0)+1),MATCH(D$1,[1]quests!$1:$1,0)-MATCH($B$1,[1]quests!$1:$1,0)+1,FALSE)</f>
        <v>混色DL3</v>
      </c>
      <c r="E57">
        <v>4</v>
      </c>
      <c r="F57" s="3" t="str">
        <f ca="1">VLOOKUP($B57&amp;"_"&amp;$E57,OFFSET([1]stages!$A$1,0,0,COUNTA([1]stages!$A:$A),MATCH(F$1,[1]stages!$2:$2,0)-MATCH("temp_stage",[1]stages!$2:$2,0)+1),MATCH(F$1,[1]stages!$2:$2,0)-MATCH("temp_stage",[1]stages!$2:$2,0)+1,FALSE)</f>
        <v>16-4. 戦慄のシュガーハイ</v>
      </c>
      <c r="G57" s="3" t="str">
        <f ca="1">VLOOKUP($B57&amp;"_"&amp;$E57,OFFSET([1]stages!$A$1,0,0,COUNTA([1]stages!$A:$A),MATCH(G$1,[1]stages!$2:$2,0)-MATCH("temp_stage",[1]stages!$2:$2,0)+1),MATCH(G$1,[1]stages!$2:$2,0)-MATCH("temp_stage",[1]stages!$2:$2,0)+1,FALSE)</f>
        <v>混色DL3</v>
      </c>
      <c r="H57" s="17">
        <v>0</v>
      </c>
      <c r="I57">
        <v>39</v>
      </c>
      <c r="J57" s="4" t="s">
        <v>17</v>
      </c>
      <c r="K57" s="27" t="str">
        <f>VLOOKUP(I57,[2]stage_hints!$A:$C,3,FALSE)</f>
        <v>システム適合者を確認</v>
      </c>
      <c r="L57" s="28" t="str">
        <f>VLOOKUP(I57,[2]stage_hints!$A:$D,4,FALSE)</f>
        <v>ALICEが 「アナタ」を呼んでいます</v>
      </c>
      <c r="M57" s="20" t="s">
        <v>24</v>
      </c>
    </row>
    <row r="58" spans="1:13" x14ac:dyDescent="0.15">
      <c r="A58" s="25" t="s">
        <v>33</v>
      </c>
      <c r="B58">
        <v>16</v>
      </c>
      <c r="C58" s="3" t="str">
        <f ca="1">VLOOKUP($B58,OFFSET([1]quests!$A$1,0,0,COUNTA([1]quests!$A:$A),MATCH(C$1,[1]quests!$1:$1,0)-MATCH($B$1,[1]quests!$1:$1,0)+1),MATCH(C$1,[1]quests!$1:$1,0)-MATCH($B$1,[1]quests!$1:$1,0)+1,FALSE)</f>
        <v>16．H&amp;Gスイートハウス</v>
      </c>
      <c r="D58" s="3" t="str">
        <f ca="1">VLOOKUP($B58,OFFSET([1]quests!$A$1,0,0,COUNTA([1]quests!$A:$A),MATCH(D$1,[1]quests!$1:$1,0)-MATCH($B$1,[1]quests!$1:$1,0)+1),MATCH(D$1,[1]quests!$1:$1,0)-MATCH($B$1,[1]quests!$1:$1,0)+1,FALSE)</f>
        <v>混色DL3</v>
      </c>
      <c r="E58">
        <v>5</v>
      </c>
      <c r="F58" s="3" t="str">
        <f ca="1">VLOOKUP($B58&amp;"_"&amp;$E58,OFFSET([1]stages!$A$1,0,0,COUNTA([1]stages!$A:$A),MATCH(F$1,[1]stages!$2:$2,0)-MATCH("temp_stage",[1]stages!$2:$2,0)+1),MATCH(F$1,[1]stages!$2:$2,0)-MATCH("temp_stage",[1]stages!$2:$2,0)+1,FALSE)</f>
        <v>16-5. プディングに狂気を添えて</v>
      </c>
      <c r="G58" s="3" t="str">
        <f ca="1">VLOOKUP($B58&amp;"_"&amp;$E58,OFFSET([1]stages!$A$1,0,0,COUNTA([1]stages!$A:$A),MATCH(G$1,[1]stages!$2:$2,0)-MATCH("temp_stage",[1]stages!$2:$2,0)+1),MATCH(G$1,[1]stages!$2:$2,0)-MATCH("temp_stage",[1]stages!$2:$2,0)+1,FALSE)</f>
        <v>混色DL3</v>
      </c>
      <c r="H58" s="17">
        <v>0</v>
      </c>
      <c r="I58">
        <v>39</v>
      </c>
      <c r="J58" s="4" t="s">
        <v>17</v>
      </c>
      <c r="K58" s="27" t="str">
        <f>VLOOKUP(I58,[2]stage_hints!$A:$C,3,FALSE)</f>
        <v>システム適合者を確認</v>
      </c>
      <c r="L58" s="28" t="str">
        <f>VLOOKUP(I58,[2]stage_hints!$A:$D,4,FALSE)</f>
        <v>ALICEが 「アナタ」を呼んでいます</v>
      </c>
      <c r="M58" s="20" t="s">
        <v>24</v>
      </c>
    </row>
    <row r="59" spans="1:13" x14ac:dyDescent="0.15">
      <c r="A59" s="25" t="s">
        <v>33</v>
      </c>
      <c r="B59">
        <v>16</v>
      </c>
      <c r="C59" s="3" t="str">
        <f ca="1">VLOOKUP($B59,OFFSET([1]quests!$A$1,0,0,COUNTA([1]quests!$A:$A),MATCH(C$1,[1]quests!$1:$1,0)-MATCH($B$1,[1]quests!$1:$1,0)+1),MATCH(C$1,[1]quests!$1:$1,0)-MATCH($B$1,[1]quests!$1:$1,0)+1,FALSE)</f>
        <v>16．H&amp;Gスイートハウス</v>
      </c>
      <c r="D59" s="3" t="str">
        <f ca="1">VLOOKUP($B59,OFFSET([1]quests!$A$1,0,0,COUNTA([1]quests!$A:$A),MATCH(D$1,[1]quests!$1:$1,0)-MATCH($B$1,[1]quests!$1:$1,0)+1),MATCH(D$1,[1]quests!$1:$1,0)-MATCH($B$1,[1]quests!$1:$1,0)+1,FALSE)</f>
        <v>混色DL3</v>
      </c>
      <c r="E59">
        <v>6</v>
      </c>
      <c r="F59" s="3" t="str">
        <f ca="1">VLOOKUP($B59&amp;"_"&amp;$E59,OFFSET([1]stages!$A$1,0,0,COUNTA([1]stages!$A:$A),MATCH(F$1,[1]stages!$2:$2,0)-MATCH("temp_stage",[1]stages!$2:$2,0)+1),MATCH(F$1,[1]stages!$2:$2,0)-MATCH("temp_stage",[1]stages!$2:$2,0)+1,FALSE)</f>
        <v>16-6. 【1回のみ】ボーナスステージ</v>
      </c>
      <c r="G59" s="3" t="str">
        <f ca="1">VLOOKUP($B59&amp;"_"&amp;$E59,OFFSET([1]stages!$A$1,0,0,COUNTA([1]stages!$A:$A),MATCH(G$1,[1]stages!$2:$2,0)-MATCH("temp_stage",[1]stages!$2:$2,0)+1),MATCH(G$1,[1]stages!$2:$2,0)-MATCH("temp_stage",[1]stages!$2:$2,0)+1,FALSE)</f>
        <v>混色DL3</v>
      </c>
      <c r="H59" s="17">
        <v>0</v>
      </c>
      <c r="I59">
        <v>39</v>
      </c>
      <c r="J59" s="4" t="s">
        <v>17</v>
      </c>
      <c r="K59" s="27" t="str">
        <f>VLOOKUP(I59,[2]stage_hints!$A:$C,3,FALSE)</f>
        <v>システム適合者を確認</v>
      </c>
      <c r="L59" s="28" t="str">
        <f>VLOOKUP(I59,[2]stage_hints!$A:$D,4,FALSE)</f>
        <v>ALICEが 「アナタ」を呼んでいます</v>
      </c>
      <c r="M59" s="20" t="s">
        <v>24</v>
      </c>
    </row>
    <row r="60" spans="1:13" x14ac:dyDescent="0.15">
      <c r="A60" s="25" t="s">
        <v>33</v>
      </c>
      <c r="B60">
        <v>17</v>
      </c>
      <c r="C60" s="3" t="str">
        <f ca="1">VLOOKUP($B60,OFFSET([1]quests!$A$1,0,0,COUNTA([1]quests!$A:$A),MATCH(C$1,[1]quests!$1:$1,0)-MATCH($B$1,[1]quests!$1:$1,0)+1),MATCH(C$1,[1]quests!$1:$1,0)-MATCH($B$1,[1]quests!$1:$1,0)+1,FALSE)</f>
        <v>17．エナリオス海中神殿</v>
      </c>
      <c r="D60" s="3" t="str">
        <f ca="1">VLOOKUP($B60,OFFSET([1]quests!$A$1,0,0,COUNTA([1]quests!$A:$A),MATCH(D$1,[1]quests!$1:$1,0)-MATCH($B$1,[1]quests!$1:$1,0)+1),MATCH(D$1,[1]quests!$1:$1,0)-MATCH($B$1,[1]quests!$1:$1,0)+1,FALSE)</f>
        <v>青DL4</v>
      </c>
      <c r="E60">
        <v>1</v>
      </c>
      <c r="F60" s="3" t="str">
        <f ca="1">VLOOKUP($B60&amp;"_"&amp;$E60,OFFSET([1]stages!$A$1,0,0,COUNTA([1]stages!$A:$A),MATCH(F$1,[1]stages!$2:$2,0)-MATCH("temp_stage",[1]stages!$2:$2,0)+1),MATCH(F$1,[1]stages!$2:$2,0)-MATCH("temp_stage",[1]stages!$2:$2,0)+1,FALSE)</f>
        <v>17-1. 見捨てられた神殿</v>
      </c>
      <c r="G60" s="3" t="str">
        <f ca="1">VLOOKUP($B60&amp;"_"&amp;$E60,OFFSET([1]stages!$A$1,0,0,COUNTA([1]stages!$A:$A),MATCH(G$1,[1]stages!$2:$2,0)-MATCH("temp_stage",[1]stages!$2:$2,0)+1),MATCH(G$1,[1]stages!$2:$2,0)-MATCH("temp_stage",[1]stages!$2:$2,0)+1,FALSE)</f>
        <v>青DL4</v>
      </c>
      <c r="H60" s="17">
        <v>0</v>
      </c>
      <c r="I60">
        <v>39</v>
      </c>
      <c r="J60" s="4" t="s">
        <v>17</v>
      </c>
      <c r="K60" s="27" t="str">
        <f>VLOOKUP(I60,[2]stage_hints!$A:$C,3,FALSE)</f>
        <v>システム適合者を確認</v>
      </c>
      <c r="L60" s="28" t="str">
        <f>VLOOKUP(I60,[2]stage_hints!$A:$D,4,FALSE)</f>
        <v>ALICEが 「アナタ」を呼んでいます</v>
      </c>
      <c r="M60" s="20" t="s">
        <v>24</v>
      </c>
    </row>
    <row r="61" spans="1:13" x14ac:dyDescent="0.15">
      <c r="A61" s="25" t="s">
        <v>33</v>
      </c>
      <c r="B61">
        <v>17</v>
      </c>
      <c r="C61" s="3" t="str">
        <f ca="1">VLOOKUP($B61,OFFSET([1]quests!$A$1,0,0,COUNTA([1]quests!$A:$A),MATCH(C$1,[1]quests!$1:$1,0)-MATCH($B$1,[1]quests!$1:$1,0)+1),MATCH(C$1,[1]quests!$1:$1,0)-MATCH($B$1,[1]quests!$1:$1,0)+1,FALSE)</f>
        <v>17．エナリオス海中神殿</v>
      </c>
      <c r="D61" s="3" t="str">
        <f ca="1">VLOOKUP($B61,OFFSET([1]quests!$A$1,0,0,COUNTA([1]quests!$A:$A),MATCH(D$1,[1]quests!$1:$1,0)-MATCH($B$1,[1]quests!$1:$1,0)+1),MATCH(D$1,[1]quests!$1:$1,0)-MATCH($B$1,[1]quests!$1:$1,0)+1,FALSE)</f>
        <v>青DL4</v>
      </c>
      <c r="E61">
        <v>2</v>
      </c>
      <c r="F61" s="3" t="str">
        <f ca="1">VLOOKUP($B61&amp;"_"&amp;$E61,OFFSET([1]stages!$A$1,0,0,COUNTA([1]stages!$A:$A),MATCH(F$1,[1]stages!$2:$2,0)-MATCH("temp_stage",[1]stages!$2:$2,0)+1),MATCH(F$1,[1]stages!$2:$2,0)-MATCH("temp_stage",[1]stages!$2:$2,0)+1,FALSE)</f>
        <v>17-2. 窒息クライシス</v>
      </c>
      <c r="G61" s="3" t="str">
        <f ca="1">VLOOKUP($B61&amp;"_"&amp;$E61,OFFSET([1]stages!$A$1,0,0,COUNTA([1]stages!$A:$A),MATCH(G$1,[1]stages!$2:$2,0)-MATCH("temp_stage",[1]stages!$2:$2,0)+1),MATCH(G$1,[1]stages!$2:$2,0)-MATCH("temp_stage",[1]stages!$2:$2,0)+1,FALSE)</f>
        <v>青DL4</v>
      </c>
      <c r="H61" s="17">
        <v>0</v>
      </c>
      <c r="I61">
        <v>39</v>
      </c>
      <c r="J61" s="4" t="s">
        <v>17</v>
      </c>
      <c r="K61" s="27" t="str">
        <f>VLOOKUP(I61,[2]stage_hints!$A:$C,3,FALSE)</f>
        <v>システム適合者を確認</v>
      </c>
      <c r="L61" s="28" t="str">
        <f>VLOOKUP(I61,[2]stage_hints!$A:$D,4,FALSE)</f>
        <v>ALICEが 「アナタ」を呼んでいます</v>
      </c>
      <c r="M61" s="20" t="s">
        <v>24</v>
      </c>
    </row>
    <row r="62" spans="1:13" x14ac:dyDescent="0.15">
      <c r="A62" s="25" t="s">
        <v>33</v>
      </c>
      <c r="B62">
        <v>17</v>
      </c>
      <c r="C62" s="3" t="str">
        <f ca="1">VLOOKUP($B62,OFFSET([1]quests!$A$1,0,0,COUNTA([1]quests!$A:$A),MATCH(C$1,[1]quests!$1:$1,0)-MATCH($B$1,[1]quests!$1:$1,0)+1),MATCH(C$1,[1]quests!$1:$1,0)-MATCH($B$1,[1]quests!$1:$1,0)+1,FALSE)</f>
        <v>17．エナリオス海中神殿</v>
      </c>
      <c r="D62" s="3" t="str">
        <f ca="1">VLOOKUP($B62,OFFSET([1]quests!$A$1,0,0,COUNTA([1]quests!$A:$A),MATCH(D$1,[1]quests!$1:$1,0)-MATCH($B$1,[1]quests!$1:$1,0)+1),MATCH(D$1,[1]quests!$1:$1,0)-MATCH($B$1,[1]quests!$1:$1,0)+1,FALSE)</f>
        <v>青DL4</v>
      </c>
      <c r="E62">
        <v>3</v>
      </c>
      <c r="F62" s="3" t="str">
        <f ca="1">VLOOKUP($B62&amp;"_"&amp;$E62,OFFSET([1]stages!$A$1,0,0,COUNTA([1]stages!$A:$A),MATCH(F$1,[1]stages!$2:$2,0)-MATCH("temp_stage",[1]stages!$2:$2,0)+1),MATCH(F$1,[1]stages!$2:$2,0)-MATCH("temp_stage",[1]stages!$2:$2,0)+1,FALSE)</f>
        <v>17-3. 激流の守護龍</v>
      </c>
      <c r="G62" s="3" t="str">
        <f ca="1">VLOOKUP($B62&amp;"_"&amp;$E62,OFFSET([1]stages!$A$1,0,0,COUNTA([1]stages!$A:$A),MATCH(G$1,[1]stages!$2:$2,0)-MATCH("temp_stage",[1]stages!$2:$2,0)+1),MATCH(G$1,[1]stages!$2:$2,0)-MATCH("temp_stage",[1]stages!$2:$2,0)+1,FALSE)</f>
        <v>青DL4</v>
      </c>
      <c r="H62" s="17">
        <v>0</v>
      </c>
      <c r="I62">
        <v>39</v>
      </c>
      <c r="J62" s="4" t="s">
        <v>17</v>
      </c>
      <c r="K62" s="27" t="str">
        <f>VLOOKUP(I62,[2]stage_hints!$A:$C,3,FALSE)</f>
        <v>システム適合者を確認</v>
      </c>
      <c r="L62" s="28" t="str">
        <f>VLOOKUP(I62,[2]stage_hints!$A:$D,4,FALSE)</f>
        <v>ALICEが 「アナタ」を呼んでいます</v>
      </c>
      <c r="M62" s="20" t="s">
        <v>24</v>
      </c>
    </row>
    <row r="63" spans="1:13" x14ac:dyDescent="0.15">
      <c r="A63" s="25" t="s">
        <v>33</v>
      </c>
      <c r="B63">
        <v>17</v>
      </c>
      <c r="C63" s="3" t="str">
        <f ca="1">VLOOKUP($B63,OFFSET([1]quests!$A$1,0,0,COUNTA([1]quests!$A:$A),MATCH(C$1,[1]quests!$1:$1,0)-MATCH($B$1,[1]quests!$1:$1,0)+1),MATCH(C$1,[1]quests!$1:$1,0)-MATCH($B$1,[1]quests!$1:$1,0)+1,FALSE)</f>
        <v>17．エナリオス海中神殿</v>
      </c>
      <c r="D63" s="3" t="str">
        <f ca="1">VLOOKUP($B63,OFFSET([1]quests!$A$1,0,0,COUNTA([1]quests!$A:$A),MATCH(D$1,[1]quests!$1:$1,0)-MATCH($B$1,[1]quests!$1:$1,0)+1),MATCH(D$1,[1]quests!$1:$1,0)-MATCH($B$1,[1]quests!$1:$1,0)+1,FALSE)</f>
        <v>青DL4</v>
      </c>
      <c r="E63">
        <v>4</v>
      </c>
      <c r="F63" s="3" t="str">
        <f ca="1">VLOOKUP($B63&amp;"_"&amp;$E63,OFFSET([1]stages!$A$1,0,0,COUNTA([1]stages!$A:$A),MATCH(F$1,[1]stages!$2:$2,0)-MATCH("temp_stage",[1]stages!$2:$2,0)+1),MATCH(F$1,[1]stages!$2:$2,0)-MATCH("temp_stage",[1]stages!$2:$2,0)+1,FALSE)</f>
        <v>17-4. 正確無比の弾道</v>
      </c>
      <c r="G63" s="3" t="str">
        <f ca="1">VLOOKUP($B63&amp;"_"&amp;$E63,OFFSET([1]stages!$A$1,0,0,COUNTA([1]stages!$A:$A),MATCH(G$1,[1]stages!$2:$2,0)-MATCH("temp_stage",[1]stages!$2:$2,0)+1),MATCH(G$1,[1]stages!$2:$2,0)-MATCH("temp_stage",[1]stages!$2:$2,0)+1,FALSE)</f>
        <v>青DL4</v>
      </c>
      <c r="H63" s="17">
        <v>0</v>
      </c>
      <c r="I63">
        <v>39</v>
      </c>
      <c r="J63" s="4" t="s">
        <v>17</v>
      </c>
      <c r="K63" s="27" t="str">
        <f>VLOOKUP(I63,[2]stage_hints!$A:$C,3,FALSE)</f>
        <v>システム適合者を確認</v>
      </c>
      <c r="L63" s="28" t="str">
        <f>VLOOKUP(I63,[2]stage_hints!$A:$D,4,FALSE)</f>
        <v>ALICEが 「アナタ」を呼んでいます</v>
      </c>
      <c r="M63" s="20" t="s">
        <v>24</v>
      </c>
    </row>
    <row r="64" spans="1:13" x14ac:dyDescent="0.15">
      <c r="A64" s="25" t="s">
        <v>33</v>
      </c>
      <c r="B64">
        <v>17</v>
      </c>
      <c r="C64" s="3" t="str">
        <f ca="1">VLOOKUP($B64,OFFSET([1]quests!$A$1,0,0,COUNTA([1]quests!$A:$A),MATCH(C$1,[1]quests!$1:$1,0)-MATCH($B$1,[1]quests!$1:$1,0)+1),MATCH(C$1,[1]quests!$1:$1,0)-MATCH($B$1,[1]quests!$1:$1,0)+1,FALSE)</f>
        <v>17．エナリオス海中神殿</v>
      </c>
      <c r="D64" s="3" t="str">
        <f ca="1">VLOOKUP($B64,OFFSET([1]quests!$A$1,0,0,COUNTA([1]quests!$A:$A),MATCH(D$1,[1]quests!$1:$1,0)-MATCH($B$1,[1]quests!$1:$1,0)+1),MATCH(D$1,[1]quests!$1:$1,0)-MATCH($B$1,[1]quests!$1:$1,0)+1,FALSE)</f>
        <v>青DL4</v>
      </c>
      <c r="E64">
        <v>5</v>
      </c>
      <c r="F64" s="3" t="str">
        <f ca="1">VLOOKUP($B64&amp;"_"&amp;$E64,OFFSET([1]stages!$A$1,0,0,COUNTA([1]stages!$A:$A),MATCH(F$1,[1]stages!$2:$2,0)-MATCH("temp_stage",[1]stages!$2:$2,0)+1),MATCH(F$1,[1]stages!$2:$2,0)-MATCH("temp_stage",[1]stages!$2:$2,0)+1,FALSE)</f>
        <v>17-5. 水面に映る月閃</v>
      </c>
      <c r="G64" s="3" t="str">
        <f ca="1">VLOOKUP($B64&amp;"_"&amp;$E64,OFFSET([1]stages!$A$1,0,0,COUNTA([1]stages!$A:$A),MATCH(G$1,[1]stages!$2:$2,0)-MATCH("temp_stage",[1]stages!$2:$2,0)+1),MATCH(G$1,[1]stages!$2:$2,0)-MATCH("temp_stage",[1]stages!$2:$2,0)+1,FALSE)</f>
        <v>青DL4</v>
      </c>
      <c r="H64" s="17">
        <v>0</v>
      </c>
      <c r="I64">
        <v>39</v>
      </c>
      <c r="J64" s="4" t="s">
        <v>17</v>
      </c>
      <c r="K64" s="27" t="str">
        <f>VLOOKUP(I64,[2]stage_hints!$A:$C,3,FALSE)</f>
        <v>システム適合者を確認</v>
      </c>
      <c r="L64" s="28" t="str">
        <f>VLOOKUP(I64,[2]stage_hints!$A:$D,4,FALSE)</f>
        <v>ALICEが 「アナタ」を呼んでいます</v>
      </c>
      <c r="M64" s="20" t="s">
        <v>24</v>
      </c>
    </row>
    <row r="65" spans="1:13" x14ac:dyDescent="0.15">
      <c r="A65" s="25" t="s">
        <v>33</v>
      </c>
      <c r="B65">
        <v>17</v>
      </c>
      <c r="C65" s="3" t="str">
        <f ca="1">VLOOKUP($B65,OFFSET([1]quests!$A$1,0,0,COUNTA([1]quests!$A:$A),MATCH(C$1,[1]quests!$1:$1,0)-MATCH($B$1,[1]quests!$1:$1,0)+1),MATCH(C$1,[1]quests!$1:$1,0)-MATCH($B$1,[1]quests!$1:$1,0)+1,FALSE)</f>
        <v>17．エナリオス海中神殿</v>
      </c>
      <c r="D65" s="3" t="str">
        <f ca="1">VLOOKUP($B65,OFFSET([1]quests!$A$1,0,0,COUNTA([1]quests!$A:$A),MATCH(D$1,[1]quests!$1:$1,0)-MATCH($B$1,[1]quests!$1:$1,0)+1),MATCH(D$1,[1]quests!$1:$1,0)-MATCH($B$1,[1]quests!$1:$1,0)+1,FALSE)</f>
        <v>青DL4</v>
      </c>
      <c r="E65">
        <v>6</v>
      </c>
      <c r="F65" s="3" t="str">
        <f ca="1">VLOOKUP($B65&amp;"_"&amp;$E65,OFFSET([1]stages!$A$1,0,0,COUNTA([1]stages!$A:$A),MATCH(F$1,[1]stages!$2:$2,0)-MATCH("temp_stage",[1]stages!$2:$2,0)+1),MATCH(F$1,[1]stages!$2:$2,0)-MATCH("temp_stage",[1]stages!$2:$2,0)+1,FALSE)</f>
        <v>17-6. 【1回のみ】ボーナスステージ</v>
      </c>
      <c r="G65" s="3" t="str">
        <f ca="1">VLOOKUP($B65&amp;"_"&amp;$E65,OFFSET([1]stages!$A$1,0,0,COUNTA([1]stages!$A:$A),MATCH(G$1,[1]stages!$2:$2,0)-MATCH("temp_stage",[1]stages!$2:$2,0)+1),MATCH(G$1,[1]stages!$2:$2,0)-MATCH("temp_stage",[1]stages!$2:$2,0)+1,FALSE)</f>
        <v>青DL4</v>
      </c>
      <c r="H65" s="17">
        <v>0</v>
      </c>
      <c r="I65">
        <v>39</v>
      </c>
      <c r="J65" s="4" t="s">
        <v>17</v>
      </c>
      <c r="K65" s="27" t="str">
        <f>VLOOKUP(I65,[2]stage_hints!$A:$C,3,FALSE)</f>
        <v>システム適合者を確認</v>
      </c>
      <c r="L65" s="28" t="str">
        <f>VLOOKUP(I65,[2]stage_hints!$A:$D,4,FALSE)</f>
        <v>ALICEが 「アナタ」を呼んでいます</v>
      </c>
      <c r="M65" s="20" t="s">
        <v>24</v>
      </c>
    </row>
    <row r="66" spans="1:13" x14ac:dyDescent="0.15">
      <c r="A66" s="25" t="s">
        <v>33</v>
      </c>
      <c r="B66">
        <v>18</v>
      </c>
      <c r="C66" s="3" t="str">
        <f ca="1">VLOOKUP($B66,OFFSET([1]quests!$A$1,0,0,COUNTA([1]quests!$A:$A),MATCH(C$1,[1]quests!$1:$1,0)-MATCH($B$1,[1]quests!$1:$1,0)+1),MATCH(C$1,[1]quests!$1:$1,0)-MATCH($B$1,[1]quests!$1:$1,0)+1,FALSE)</f>
        <v>18．アリスボウル</v>
      </c>
      <c r="D66" s="3" t="str">
        <f ca="1">VLOOKUP($B66,OFFSET([1]quests!$A$1,0,0,COUNTA([1]quests!$A:$A),MATCH(D$1,[1]quests!$1:$1,0)-MATCH($B$1,[1]quests!$1:$1,0)+1),MATCH(D$1,[1]quests!$1:$1,0)-MATCH($B$1,[1]quests!$1:$1,0)+1,FALSE)</f>
        <v>赤DL4</v>
      </c>
      <c r="E66">
        <v>1</v>
      </c>
      <c r="F66" s="3" t="str">
        <f ca="1">VLOOKUP($B66&amp;"_"&amp;$E66,OFFSET([1]stages!$A$1,0,0,COUNTA([1]stages!$A:$A),MATCH(F$1,[1]stages!$2:$2,0)-MATCH("temp_stage",[1]stages!$2:$2,0)+1),MATCH(F$1,[1]stages!$2:$2,0)-MATCH("temp_stage",[1]stages!$2:$2,0)+1,FALSE)</f>
        <v>18-1. 幽閉されし者</v>
      </c>
      <c r="G66" s="3" t="str">
        <f ca="1">VLOOKUP($B66&amp;"_"&amp;$E66,OFFSET([1]stages!$A$1,0,0,COUNTA([1]stages!$A:$A),MATCH(G$1,[1]stages!$2:$2,0)-MATCH("temp_stage",[1]stages!$2:$2,0)+1),MATCH(G$1,[1]stages!$2:$2,0)-MATCH("temp_stage",[1]stages!$2:$2,0)+1,FALSE)</f>
        <v>赤DL4</v>
      </c>
      <c r="H66" s="17">
        <v>0</v>
      </c>
      <c r="I66">
        <v>39</v>
      </c>
      <c r="J66" s="4" t="s">
        <v>17</v>
      </c>
      <c r="K66" s="27" t="str">
        <f>VLOOKUP(I66,[2]stage_hints!$A:$C,3,FALSE)</f>
        <v>システム適合者を確認</v>
      </c>
      <c r="L66" s="28" t="str">
        <f>VLOOKUP(I66,[2]stage_hints!$A:$D,4,FALSE)</f>
        <v>ALICEが 「アナタ」を呼んでいます</v>
      </c>
      <c r="M66" s="20" t="s">
        <v>24</v>
      </c>
    </row>
    <row r="67" spans="1:13" x14ac:dyDescent="0.15">
      <c r="A67" s="25" t="s">
        <v>33</v>
      </c>
      <c r="B67">
        <v>18</v>
      </c>
      <c r="C67" s="3" t="str">
        <f ca="1">VLOOKUP($B67,OFFSET([1]quests!$A$1,0,0,COUNTA([1]quests!$A:$A),MATCH(C$1,[1]quests!$1:$1,0)-MATCH($B$1,[1]quests!$1:$1,0)+1),MATCH(C$1,[1]quests!$1:$1,0)-MATCH($B$1,[1]quests!$1:$1,0)+1,FALSE)</f>
        <v>18．アリスボウル</v>
      </c>
      <c r="D67" s="3" t="str">
        <f ca="1">VLOOKUP($B67,OFFSET([1]quests!$A$1,0,0,COUNTA([1]quests!$A:$A),MATCH(D$1,[1]quests!$1:$1,0)-MATCH($B$1,[1]quests!$1:$1,0)+1),MATCH(D$1,[1]quests!$1:$1,0)-MATCH($B$1,[1]quests!$1:$1,0)+1,FALSE)</f>
        <v>赤DL4</v>
      </c>
      <c r="E67">
        <v>2</v>
      </c>
      <c r="F67" s="3" t="str">
        <f ca="1">VLOOKUP($B67&amp;"_"&amp;$E67,OFFSET([1]stages!$A$1,0,0,COUNTA([1]stages!$A:$A),MATCH(F$1,[1]stages!$2:$2,0)-MATCH("temp_stage",[1]stages!$2:$2,0)+1),MATCH(F$1,[1]stages!$2:$2,0)-MATCH("temp_stage",[1]stages!$2:$2,0)+1,FALSE)</f>
        <v>18-2. ストライクへの道</v>
      </c>
      <c r="G67" s="3" t="str">
        <f ca="1">VLOOKUP($B67&amp;"_"&amp;$E67,OFFSET([1]stages!$A$1,0,0,COUNTA([1]stages!$A:$A),MATCH(G$1,[1]stages!$2:$2,0)-MATCH("temp_stage",[1]stages!$2:$2,0)+1),MATCH(G$1,[1]stages!$2:$2,0)-MATCH("temp_stage",[1]stages!$2:$2,0)+1,FALSE)</f>
        <v>赤DL4</v>
      </c>
      <c r="H67" s="17">
        <v>0</v>
      </c>
      <c r="I67">
        <v>39</v>
      </c>
      <c r="J67" s="4" t="s">
        <v>17</v>
      </c>
      <c r="K67" s="27" t="str">
        <f>VLOOKUP(I67,[2]stage_hints!$A:$C,3,FALSE)</f>
        <v>システム適合者を確認</v>
      </c>
      <c r="L67" s="28" t="str">
        <f>VLOOKUP(I67,[2]stage_hints!$A:$D,4,FALSE)</f>
        <v>ALICEが 「アナタ」を呼んでいます</v>
      </c>
      <c r="M67" s="20" t="s">
        <v>24</v>
      </c>
    </row>
    <row r="68" spans="1:13" x14ac:dyDescent="0.15">
      <c r="A68" s="25" t="s">
        <v>33</v>
      </c>
      <c r="B68">
        <v>18</v>
      </c>
      <c r="C68" s="3" t="str">
        <f ca="1">VLOOKUP($B68,OFFSET([1]quests!$A$1,0,0,COUNTA([1]quests!$A:$A),MATCH(C$1,[1]quests!$1:$1,0)-MATCH($B$1,[1]quests!$1:$1,0)+1),MATCH(C$1,[1]quests!$1:$1,0)-MATCH($B$1,[1]quests!$1:$1,0)+1,FALSE)</f>
        <v>18．アリスボウル</v>
      </c>
      <c r="D68" s="3" t="str">
        <f ca="1">VLOOKUP($B68,OFFSET([1]quests!$A$1,0,0,COUNTA([1]quests!$A:$A),MATCH(D$1,[1]quests!$1:$1,0)-MATCH($B$1,[1]quests!$1:$1,0)+1),MATCH(D$1,[1]quests!$1:$1,0)-MATCH($B$1,[1]quests!$1:$1,0)+1,FALSE)</f>
        <v>赤DL4</v>
      </c>
      <c r="E68">
        <v>3</v>
      </c>
      <c r="F68" s="3" t="str">
        <f ca="1">VLOOKUP($B68&amp;"_"&amp;$E68,OFFSET([1]stages!$A$1,0,0,COUNTA([1]stages!$A:$A),MATCH(F$1,[1]stages!$2:$2,0)-MATCH("temp_stage",[1]stages!$2:$2,0)+1),MATCH(F$1,[1]stages!$2:$2,0)-MATCH("temp_stage",[1]stages!$2:$2,0)+1,FALSE)</f>
        <v>18-3. 猛熱の試練</v>
      </c>
      <c r="G68" s="3" t="str">
        <f ca="1">VLOOKUP($B68&amp;"_"&amp;$E68,OFFSET([1]stages!$A$1,0,0,COUNTA([1]stages!$A:$A),MATCH(G$1,[1]stages!$2:$2,0)-MATCH("temp_stage",[1]stages!$2:$2,0)+1),MATCH(G$1,[1]stages!$2:$2,0)-MATCH("temp_stage",[1]stages!$2:$2,0)+1,FALSE)</f>
        <v>赤DL4</v>
      </c>
      <c r="H68" s="17">
        <v>0</v>
      </c>
      <c r="I68">
        <v>39</v>
      </c>
      <c r="J68" s="4" t="s">
        <v>17</v>
      </c>
      <c r="K68" s="27" t="str">
        <f>VLOOKUP(I68,[2]stage_hints!$A:$C,3,FALSE)</f>
        <v>システム適合者を確認</v>
      </c>
      <c r="L68" s="28" t="str">
        <f>VLOOKUP(I68,[2]stage_hints!$A:$D,4,FALSE)</f>
        <v>ALICEが 「アナタ」を呼んでいます</v>
      </c>
      <c r="M68" s="20" t="s">
        <v>24</v>
      </c>
    </row>
    <row r="69" spans="1:13" x14ac:dyDescent="0.15">
      <c r="A69" s="25" t="s">
        <v>33</v>
      </c>
      <c r="B69">
        <v>18</v>
      </c>
      <c r="C69" s="3" t="str">
        <f ca="1">VLOOKUP($B69,OFFSET([1]quests!$A$1,0,0,COUNTA([1]quests!$A:$A),MATCH(C$1,[1]quests!$1:$1,0)-MATCH($B$1,[1]quests!$1:$1,0)+1),MATCH(C$1,[1]quests!$1:$1,0)-MATCH($B$1,[1]quests!$1:$1,0)+1,FALSE)</f>
        <v>18．アリスボウル</v>
      </c>
      <c r="D69" s="3" t="str">
        <f ca="1">VLOOKUP($B69,OFFSET([1]quests!$A$1,0,0,COUNTA([1]quests!$A:$A),MATCH(D$1,[1]quests!$1:$1,0)-MATCH($B$1,[1]quests!$1:$1,0)+1),MATCH(D$1,[1]quests!$1:$1,0)-MATCH($B$1,[1]quests!$1:$1,0)+1,FALSE)</f>
        <v>赤DL4</v>
      </c>
      <c r="E69">
        <v>4</v>
      </c>
      <c r="F69" s="3" t="str">
        <f ca="1">VLOOKUP($B69&amp;"_"&amp;$E69,OFFSET([1]stages!$A$1,0,0,COUNTA([1]stages!$A:$A),MATCH(F$1,[1]stages!$2:$2,0)-MATCH("temp_stage",[1]stages!$2:$2,0)+1),MATCH(F$1,[1]stages!$2:$2,0)-MATCH("temp_stage",[1]stages!$2:$2,0)+1,FALSE)</f>
        <v>18-4. 不可避の弾丸</v>
      </c>
      <c r="G69" s="3" t="str">
        <f ca="1">VLOOKUP($B69&amp;"_"&amp;$E69,OFFSET([1]stages!$A$1,0,0,COUNTA([1]stages!$A:$A),MATCH(G$1,[1]stages!$2:$2,0)-MATCH("temp_stage",[1]stages!$2:$2,0)+1),MATCH(G$1,[1]stages!$2:$2,0)-MATCH("temp_stage",[1]stages!$2:$2,0)+1,FALSE)</f>
        <v>赤DL4</v>
      </c>
      <c r="H69" s="17">
        <v>0</v>
      </c>
      <c r="I69">
        <v>39</v>
      </c>
      <c r="J69" s="4" t="s">
        <v>17</v>
      </c>
      <c r="K69" s="27" t="str">
        <f>VLOOKUP(I69,[2]stage_hints!$A:$C,3,FALSE)</f>
        <v>システム適合者を確認</v>
      </c>
      <c r="L69" s="28" t="str">
        <f>VLOOKUP(I69,[2]stage_hints!$A:$D,4,FALSE)</f>
        <v>ALICEが 「アナタ」を呼んでいます</v>
      </c>
      <c r="M69" s="20" t="s">
        <v>24</v>
      </c>
    </row>
    <row r="70" spans="1:13" x14ac:dyDescent="0.15">
      <c r="A70" s="25" t="s">
        <v>33</v>
      </c>
      <c r="B70">
        <v>18</v>
      </c>
      <c r="C70" s="3" t="str">
        <f ca="1">VLOOKUP($B70,OFFSET([1]quests!$A$1,0,0,COUNTA([1]quests!$A:$A),MATCH(C$1,[1]quests!$1:$1,0)-MATCH($B$1,[1]quests!$1:$1,0)+1),MATCH(C$1,[1]quests!$1:$1,0)-MATCH($B$1,[1]quests!$1:$1,0)+1,FALSE)</f>
        <v>18．アリスボウル</v>
      </c>
      <c r="D70" s="3" t="str">
        <f ca="1">VLOOKUP($B70,OFFSET([1]quests!$A$1,0,0,COUNTA([1]quests!$A:$A),MATCH(D$1,[1]quests!$1:$1,0)-MATCH($B$1,[1]quests!$1:$1,0)+1),MATCH(D$1,[1]quests!$1:$1,0)-MATCH($B$1,[1]quests!$1:$1,0)+1,FALSE)</f>
        <v>赤DL4</v>
      </c>
      <c r="E70">
        <v>5</v>
      </c>
      <c r="F70" s="3" t="str">
        <f ca="1">VLOOKUP($B70&amp;"_"&amp;$E70,OFFSET([1]stages!$A$1,0,0,COUNTA([1]stages!$A:$A),MATCH(F$1,[1]stages!$2:$2,0)-MATCH("temp_stage",[1]stages!$2:$2,0)+1),MATCH(F$1,[1]stages!$2:$2,0)-MATCH("temp_stage",[1]stages!$2:$2,0)+1,FALSE)</f>
        <v>18-5. 解き放たれし焔神</v>
      </c>
      <c r="G70" s="3" t="str">
        <f ca="1">VLOOKUP($B70&amp;"_"&amp;$E70,OFFSET([1]stages!$A$1,0,0,COUNTA([1]stages!$A:$A),MATCH(G$1,[1]stages!$2:$2,0)-MATCH("temp_stage",[1]stages!$2:$2,0)+1),MATCH(G$1,[1]stages!$2:$2,0)-MATCH("temp_stage",[1]stages!$2:$2,0)+1,FALSE)</f>
        <v>赤DL4</v>
      </c>
      <c r="H70" s="17">
        <v>0</v>
      </c>
      <c r="I70">
        <v>39</v>
      </c>
      <c r="J70" s="4" t="s">
        <v>17</v>
      </c>
      <c r="K70" s="27" t="str">
        <f>VLOOKUP(I70,[2]stage_hints!$A:$C,3,FALSE)</f>
        <v>システム適合者を確認</v>
      </c>
      <c r="L70" s="28" t="str">
        <f>VLOOKUP(I70,[2]stage_hints!$A:$D,4,FALSE)</f>
        <v>ALICEが 「アナタ」を呼んでいます</v>
      </c>
      <c r="M70" s="20" t="s">
        <v>24</v>
      </c>
    </row>
    <row r="71" spans="1:13" x14ac:dyDescent="0.15">
      <c r="A71" s="25" t="s">
        <v>33</v>
      </c>
      <c r="B71">
        <v>18</v>
      </c>
      <c r="C71" s="3" t="str">
        <f ca="1">VLOOKUP($B71,OFFSET([1]quests!$A$1,0,0,COUNTA([1]quests!$A:$A),MATCH(C$1,[1]quests!$1:$1,0)-MATCH($B$1,[1]quests!$1:$1,0)+1),MATCH(C$1,[1]quests!$1:$1,0)-MATCH($B$1,[1]quests!$1:$1,0)+1,FALSE)</f>
        <v>18．アリスボウル</v>
      </c>
      <c r="D71" s="3" t="str">
        <f ca="1">VLOOKUP($B71,OFFSET([1]quests!$A$1,0,0,COUNTA([1]quests!$A:$A),MATCH(D$1,[1]quests!$1:$1,0)-MATCH($B$1,[1]quests!$1:$1,0)+1),MATCH(D$1,[1]quests!$1:$1,0)-MATCH($B$1,[1]quests!$1:$1,0)+1,FALSE)</f>
        <v>赤DL4</v>
      </c>
      <c r="E71">
        <v>6</v>
      </c>
      <c r="F71" s="3" t="str">
        <f ca="1">VLOOKUP($B71&amp;"_"&amp;$E71,OFFSET([1]stages!$A$1,0,0,COUNTA([1]stages!$A:$A),MATCH(F$1,[1]stages!$2:$2,0)-MATCH("temp_stage",[1]stages!$2:$2,0)+1),MATCH(F$1,[1]stages!$2:$2,0)-MATCH("temp_stage",[1]stages!$2:$2,0)+1,FALSE)</f>
        <v>18-6. 【1回のみ】ボーナスステージ</v>
      </c>
      <c r="G71" s="3" t="str">
        <f ca="1">VLOOKUP($B71&amp;"_"&amp;$E71,OFFSET([1]stages!$A$1,0,0,COUNTA([1]stages!$A:$A),MATCH(G$1,[1]stages!$2:$2,0)-MATCH("temp_stage",[1]stages!$2:$2,0)+1),MATCH(G$1,[1]stages!$2:$2,0)-MATCH("temp_stage",[1]stages!$2:$2,0)+1,FALSE)</f>
        <v>赤DL4</v>
      </c>
      <c r="H71" s="17">
        <v>0</v>
      </c>
      <c r="I71">
        <v>39</v>
      </c>
      <c r="J71" s="4" t="s">
        <v>17</v>
      </c>
      <c r="K71" s="27" t="str">
        <f>VLOOKUP(I71,[2]stage_hints!$A:$C,3,FALSE)</f>
        <v>システム適合者を確認</v>
      </c>
      <c r="L71" s="28" t="str">
        <f>VLOOKUP(I71,[2]stage_hints!$A:$D,4,FALSE)</f>
        <v>ALICEが 「アナタ」を呼んでいます</v>
      </c>
      <c r="M71" s="20" t="s">
        <v>24</v>
      </c>
    </row>
    <row r="72" spans="1:13" x14ac:dyDescent="0.15">
      <c r="A72" s="25" t="s">
        <v>33</v>
      </c>
      <c r="B72">
        <v>19</v>
      </c>
      <c r="C72" s="3" t="str">
        <f ca="1">VLOOKUP($B72,OFFSET([1]quests!$A$1,0,0,COUNTA([1]quests!$A:$A),MATCH(C$1,[1]quests!$1:$1,0)-MATCH($B$1,[1]quests!$1:$1,0)+1),MATCH(C$1,[1]quests!$1:$1,0)-MATCH($B$1,[1]quests!$1:$1,0)+1,FALSE)</f>
        <v>19．アレイスター王立図書館</v>
      </c>
      <c r="D72" s="3" t="str">
        <f ca="1">VLOOKUP($B72,OFFSET([1]quests!$A$1,0,0,COUNTA([1]quests!$A:$A),MATCH(D$1,[1]quests!$1:$1,0)-MATCH($B$1,[1]quests!$1:$1,0)+1),MATCH(D$1,[1]quests!$1:$1,0)-MATCH($B$1,[1]quests!$1:$1,0)+1,FALSE)</f>
        <v>緑DL4</v>
      </c>
      <c r="E72">
        <v>1</v>
      </c>
      <c r="F72" s="3" t="str">
        <f ca="1">VLOOKUP($B72&amp;"_"&amp;$E72,OFFSET([1]stages!$A$1,0,0,COUNTA([1]stages!$A:$A),MATCH(F$1,[1]stages!$2:$2,0)-MATCH("temp_stage",[1]stages!$2:$2,0)+1),MATCH(F$1,[1]stages!$2:$2,0)-MATCH("temp_stage",[1]stages!$2:$2,0)+1,FALSE)</f>
        <v>19-1. 庭園の主</v>
      </c>
      <c r="G72" s="3" t="str">
        <f ca="1">VLOOKUP($B72&amp;"_"&amp;$E72,OFFSET([1]stages!$A$1,0,0,COUNTA([1]stages!$A:$A),MATCH(G$1,[1]stages!$2:$2,0)-MATCH("temp_stage",[1]stages!$2:$2,0)+1),MATCH(G$1,[1]stages!$2:$2,0)-MATCH("temp_stage",[1]stages!$2:$2,0)+1,FALSE)</f>
        <v>緑DL4</v>
      </c>
      <c r="H72" s="17">
        <v>0</v>
      </c>
      <c r="I72">
        <v>39</v>
      </c>
      <c r="J72" s="4" t="s">
        <v>17</v>
      </c>
      <c r="K72" s="27" t="str">
        <f>VLOOKUP(I72,[2]stage_hints!$A:$C,3,FALSE)</f>
        <v>システム適合者を確認</v>
      </c>
      <c r="L72" s="28" t="str">
        <f>VLOOKUP(I72,[2]stage_hints!$A:$D,4,FALSE)</f>
        <v>ALICEが 「アナタ」を呼んでいます</v>
      </c>
      <c r="M72" s="20" t="s">
        <v>24</v>
      </c>
    </row>
    <row r="73" spans="1:13" x14ac:dyDescent="0.15">
      <c r="A73" s="25" t="s">
        <v>33</v>
      </c>
      <c r="B73">
        <v>19</v>
      </c>
      <c r="C73" s="3" t="str">
        <f ca="1">VLOOKUP($B73,OFFSET([1]quests!$A$1,0,0,COUNTA([1]quests!$A:$A),MATCH(C$1,[1]quests!$1:$1,0)-MATCH($B$1,[1]quests!$1:$1,0)+1),MATCH(C$1,[1]quests!$1:$1,0)-MATCH($B$1,[1]quests!$1:$1,0)+1,FALSE)</f>
        <v>19．アレイスター王立図書館</v>
      </c>
      <c r="D73" s="3" t="str">
        <f ca="1">VLOOKUP($B73,OFFSET([1]quests!$A$1,0,0,COUNTA([1]quests!$A:$A),MATCH(D$1,[1]quests!$1:$1,0)-MATCH($B$1,[1]quests!$1:$1,0)+1),MATCH(D$1,[1]quests!$1:$1,0)-MATCH($B$1,[1]quests!$1:$1,0)+1,FALSE)</f>
        <v>緑DL4</v>
      </c>
      <c r="E73">
        <v>2</v>
      </c>
      <c r="F73" s="3" t="str">
        <f ca="1">VLOOKUP($B73&amp;"_"&amp;$E73,OFFSET([1]stages!$A$1,0,0,COUNTA([1]stages!$A:$A),MATCH(F$1,[1]stages!$2:$2,0)-MATCH("temp_stage",[1]stages!$2:$2,0)+1),MATCH(F$1,[1]stages!$2:$2,0)-MATCH("temp_stage",[1]stages!$2:$2,0)+1,FALSE)</f>
        <v>19-2. 館内はお静かに</v>
      </c>
      <c r="G73" s="3" t="str">
        <f ca="1">VLOOKUP($B73&amp;"_"&amp;$E73,OFFSET([1]stages!$A$1,0,0,COUNTA([1]stages!$A:$A),MATCH(G$1,[1]stages!$2:$2,0)-MATCH("temp_stage",[1]stages!$2:$2,0)+1),MATCH(G$1,[1]stages!$2:$2,0)-MATCH("temp_stage",[1]stages!$2:$2,0)+1,FALSE)</f>
        <v>緑DL4</v>
      </c>
      <c r="H73" s="17">
        <v>0</v>
      </c>
      <c r="I73">
        <v>39</v>
      </c>
      <c r="J73" s="4" t="s">
        <v>17</v>
      </c>
      <c r="K73" s="27" t="str">
        <f>VLOOKUP(I73,[2]stage_hints!$A:$C,3,FALSE)</f>
        <v>システム適合者を確認</v>
      </c>
      <c r="L73" s="28" t="str">
        <f>VLOOKUP(I73,[2]stage_hints!$A:$D,4,FALSE)</f>
        <v>ALICEが 「アナタ」を呼んでいます</v>
      </c>
      <c r="M73" s="20" t="s">
        <v>24</v>
      </c>
    </row>
    <row r="74" spans="1:13" x14ac:dyDescent="0.15">
      <c r="A74" s="25" t="s">
        <v>33</v>
      </c>
      <c r="B74">
        <v>19</v>
      </c>
      <c r="C74" s="3" t="str">
        <f ca="1">VLOOKUP($B74,OFFSET([1]quests!$A$1,0,0,COUNTA([1]quests!$A:$A),MATCH(C$1,[1]quests!$1:$1,0)-MATCH($B$1,[1]quests!$1:$1,0)+1),MATCH(C$1,[1]quests!$1:$1,0)-MATCH($B$1,[1]quests!$1:$1,0)+1,FALSE)</f>
        <v>19．アレイスター王立図書館</v>
      </c>
      <c r="D74" s="3" t="str">
        <f ca="1">VLOOKUP($B74,OFFSET([1]quests!$A$1,0,0,COUNTA([1]quests!$A:$A),MATCH(D$1,[1]quests!$1:$1,0)-MATCH($B$1,[1]quests!$1:$1,0)+1),MATCH(D$1,[1]quests!$1:$1,0)-MATCH($B$1,[1]quests!$1:$1,0)+1,FALSE)</f>
        <v>緑DL4</v>
      </c>
      <c r="E74">
        <v>3</v>
      </c>
      <c r="F74" s="3" t="str">
        <f ca="1">VLOOKUP($B74&amp;"_"&amp;$E74,OFFSET([1]stages!$A$1,0,0,COUNTA([1]stages!$A:$A),MATCH(F$1,[1]stages!$2:$2,0)-MATCH("temp_stage",[1]stages!$2:$2,0)+1),MATCH(F$1,[1]stages!$2:$2,0)-MATCH("temp_stage",[1]stages!$2:$2,0)+1,FALSE)</f>
        <v>19-3. 動かざる者</v>
      </c>
      <c r="G74" s="3" t="str">
        <f ca="1">VLOOKUP($B74&amp;"_"&amp;$E74,OFFSET([1]stages!$A$1,0,0,COUNTA([1]stages!$A:$A),MATCH(G$1,[1]stages!$2:$2,0)-MATCH("temp_stage",[1]stages!$2:$2,0)+1),MATCH(G$1,[1]stages!$2:$2,0)-MATCH("temp_stage",[1]stages!$2:$2,0)+1,FALSE)</f>
        <v>緑DL4</v>
      </c>
      <c r="H74" s="17">
        <v>0</v>
      </c>
      <c r="I74">
        <v>39</v>
      </c>
      <c r="J74" s="4" t="s">
        <v>17</v>
      </c>
      <c r="K74" s="27" t="str">
        <f>VLOOKUP(I74,[2]stage_hints!$A:$C,3,FALSE)</f>
        <v>システム適合者を確認</v>
      </c>
      <c r="L74" s="28" t="str">
        <f>VLOOKUP(I74,[2]stage_hints!$A:$D,4,FALSE)</f>
        <v>ALICEが 「アナタ」を呼んでいます</v>
      </c>
      <c r="M74" s="20" t="s">
        <v>24</v>
      </c>
    </row>
    <row r="75" spans="1:13" x14ac:dyDescent="0.15">
      <c r="A75" s="25" t="s">
        <v>33</v>
      </c>
      <c r="B75">
        <v>19</v>
      </c>
      <c r="C75" s="3" t="str">
        <f ca="1">VLOOKUP($B75,OFFSET([1]quests!$A$1,0,0,COUNTA([1]quests!$A:$A),MATCH(C$1,[1]quests!$1:$1,0)-MATCH($B$1,[1]quests!$1:$1,0)+1),MATCH(C$1,[1]quests!$1:$1,0)-MATCH($B$1,[1]quests!$1:$1,0)+1,FALSE)</f>
        <v>19．アレイスター王立図書館</v>
      </c>
      <c r="D75" s="3" t="str">
        <f ca="1">VLOOKUP($B75,OFFSET([1]quests!$A$1,0,0,COUNTA([1]quests!$A:$A),MATCH(D$1,[1]quests!$1:$1,0)-MATCH($B$1,[1]quests!$1:$1,0)+1),MATCH(D$1,[1]quests!$1:$1,0)-MATCH($B$1,[1]quests!$1:$1,0)+1,FALSE)</f>
        <v>緑DL4</v>
      </c>
      <c r="E75">
        <v>4</v>
      </c>
      <c r="F75" s="3" t="str">
        <f ca="1">VLOOKUP($B75&amp;"_"&amp;$E75,OFFSET([1]stages!$A$1,0,0,COUNTA([1]stages!$A:$A),MATCH(F$1,[1]stages!$2:$2,0)-MATCH("temp_stage",[1]stages!$2:$2,0)+1),MATCH(F$1,[1]stages!$2:$2,0)-MATCH("temp_stage",[1]stages!$2:$2,0)+1,FALSE)</f>
        <v>19-4. けたたましい来館</v>
      </c>
      <c r="G75" s="3" t="str">
        <f ca="1">VLOOKUP($B75&amp;"_"&amp;$E75,OFFSET([1]stages!$A$1,0,0,COUNTA([1]stages!$A:$A),MATCH(G$1,[1]stages!$2:$2,0)-MATCH("temp_stage",[1]stages!$2:$2,0)+1),MATCH(G$1,[1]stages!$2:$2,0)-MATCH("temp_stage",[1]stages!$2:$2,0)+1,FALSE)</f>
        <v>緑DL4</v>
      </c>
      <c r="H75" s="17">
        <v>0</v>
      </c>
      <c r="I75">
        <v>39</v>
      </c>
      <c r="J75" s="4" t="s">
        <v>17</v>
      </c>
      <c r="K75" s="27" t="str">
        <f>VLOOKUP(I75,[2]stage_hints!$A:$C,3,FALSE)</f>
        <v>システム適合者を確認</v>
      </c>
      <c r="L75" s="28" t="str">
        <f>VLOOKUP(I75,[2]stage_hints!$A:$D,4,FALSE)</f>
        <v>ALICEが 「アナタ」を呼んでいます</v>
      </c>
      <c r="M75" s="20" t="s">
        <v>24</v>
      </c>
    </row>
    <row r="76" spans="1:13" x14ac:dyDescent="0.15">
      <c r="A76" s="25" t="s">
        <v>33</v>
      </c>
      <c r="B76">
        <v>19</v>
      </c>
      <c r="C76" s="3" t="str">
        <f ca="1">VLOOKUP($B76,OFFSET([1]quests!$A$1,0,0,COUNTA([1]quests!$A:$A),MATCH(C$1,[1]quests!$1:$1,0)-MATCH($B$1,[1]quests!$1:$1,0)+1),MATCH(C$1,[1]quests!$1:$1,0)-MATCH($B$1,[1]quests!$1:$1,0)+1,FALSE)</f>
        <v>19．アレイスター王立図書館</v>
      </c>
      <c r="D76" s="3" t="str">
        <f ca="1">VLOOKUP($B76,OFFSET([1]quests!$A$1,0,0,COUNTA([1]quests!$A:$A),MATCH(D$1,[1]quests!$1:$1,0)-MATCH($B$1,[1]quests!$1:$1,0)+1),MATCH(D$1,[1]quests!$1:$1,0)-MATCH($B$1,[1]quests!$1:$1,0)+1,FALSE)</f>
        <v>緑DL4</v>
      </c>
      <c r="E76">
        <v>5</v>
      </c>
      <c r="F76" s="3" t="str">
        <f ca="1">VLOOKUP($B76&amp;"_"&amp;$E76,OFFSET([1]stages!$A$1,0,0,COUNTA([1]stages!$A:$A),MATCH(F$1,[1]stages!$2:$2,0)-MATCH("temp_stage",[1]stages!$2:$2,0)+1),MATCH(F$1,[1]stages!$2:$2,0)-MATCH("temp_stage",[1]stages!$2:$2,0)+1,FALSE)</f>
        <v>19-5. 庭園主の包囲網</v>
      </c>
      <c r="G76" s="3" t="str">
        <f ca="1">VLOOKUP($B76&amp;"_"&amp;$E76,OFFSET([1]stages!$A$1,0,0,COUNTA([1]stages!$A:$A),MATCH(G$1,[1]stages!$2:$2,0)-MATCH("temp_stage",[1]stages!$2:$2,0)+1),MATCH(G$1,[1]stages!$2:$2,0)-MATCH("temp_stage",[1]stages!$2:$2,0)+1,FALSE)</f>
        <v>緑DL4</v>
      </c>
      <c r="H76" s="17">
        <v>0</v>
      </c>
      <c r="I76">
        <v>39</v>
      </c>
      <c r="J76" s="4" t="s">
        <v>17</v>
      </c>
      <c r="K76" s="27" t="str">
        <f>VLOOKUP(I76,[2]stage_hints!$A:$C,3,FALSE)</f>
        <v>システム適合者を確認</v>
      </c>
      <c r="L76" s="28" t="str">
        <f>VLOOKUP(I76,[2]stage_hints!$A:$D,4,FALSE)</f>
        <v>ALICEが 「アナタ」を呼んでいます</v>
      </c>
      <c r="M76" s="20" t="s">
        <v>24</v>
      </c>
    </row>
    <row r="77" spans="1:13" x14ac:dyDescent="0.15">
      <c r="A77" s="25" t="s">
        <v>33</v>
      </c>
      <c r="B77">
        <v>19</v>
      </c>
      <c r="C77" s="3" t="str">
        <f ca="1">VLOOKUP($B77,OFFSET([1]quests!$A$1,0,0,COUNTA([1]quests!$A:$A),MATCH(C$1,[1]quests!$1:$1,0)-MATCH($B$1,[1]quests!$1:$1,0)+1),MATCH(C$1,[1]quests!$1:$1,0)-MATCH($B$1,[1]quests!$1:$1,0)+1,FALSE)</f>
        <v>19．アレイスター王立図書館</v>
      </c>
      <c r="D77" s="3" t="str">
        <f ca="1">VLOOKUP($B77,OFFSET([1]quests!$A$1,0,0,COUNTA([1]quests!$A:$A),MATCH(D$1,[1]quests!$1:$1,0)-MATCH($B$1,[1]quests!$1:$1,0)+1),MATCH(D$1,[1]quests!$1:$1,0)-MATCH($B$1,[1]quests!$1:$1,0)+1,FALSE)</f>
        <v>緑DL4</v>
      </c>
      <c r="E77">
        <v>6</v>
      </c>
      <c r="F77" s="3" t="str">
        <f ca="1">VLOOKUP($B77&amp;"_"&amp;$E77,OFFSET([1]stages!$A$1,0,0,COUNTA([1]stages!$A:$A),MATCH(F$1,[1]stages!$2:$2,0)-MATCH("temp_stage",[1]stages!$2:$2,0)+1),MATCH(F$1,[1]stages!$2:$2,0)-MATCH("temp_stage",[1]stages!$2:$2,0)+1,FALSE)</f>
        <v>19-6. 【1回のみ】ボーナスステージ</v>
      </c>
      <c r="G77" s="3" t="str">
        <f ca="1">VLOOKUP($B77&amp;"_"&amp;$E77,OFFSET([1]stages!$A$1,0,0,COUNTA([1]stages!$A:$A),MATCH(G$1,[1]stages!$2:$2,0)-MATCH("temp_stage",[1]stages!$2:$2,0)+1),MATCH(G$1,[1]stages!$2:$2,0)-MATCH("temp_stage",[1]stages!$2:$2,0)+1,FALSE)</f>
        <v>緑DL4</v>
      </c>
      <c r="H77" s="17">
        <v>0</v>
      </c>
      <c r="I77">
        <v>39</v>
      </c>
      <c r="J77" s="4" t="s">
        <v>17</v>
      </c>
      <c r="K77" s="27" t="str">
        <f>VLOOKUP(I77,[2]stage_hints!$A:$C,3,FALSE)</f>
        <v>システム適合者を確認</v>
      </c>
      <c r="L77" s="28" t="str">
        <f>VLOOKUP(I77,[2]stage_hints!$A:$D,4,FALSE)</f>
        <v>ALICEが 「アナタ」を呼んでいます</v>
      </c>
      <c r="M77" s="20" t="s">
        <v>24</v>
      </c>
    </row>
    <row r="78" spans="1:13" x14ac:dyDescent="0.15">
      <c r="A78" s="25" t="s">
        <v>33</v>
      </c>
      <c r="B78">
        <v>20</v>
      </c>
      <c r="C78" s="3" t="str">
        <f ca="1">VLOOKUP($B78,OFFSET([1]quests!$A$1,0,0,COUNTA([1]quests!$A:$A),MATCH(C$1,[1]quests!$1:$1,0)-MATCH($B$1,[1]quests!$1:$1,0)+1),MATCH(C$1,[1]quests!$1:$1,0)-MATCH($B$1,[1]quests!$1:$1,0)+1,FALSE)</f>
        <v>20．コロシアム</v>
      </c>
      <c r="D78" s="3" t="str">
        <f ca="1">VLOOKUP($B78,OFFSET([1]quests!$A$1,0,0,COUNTA([1]quests!$A:$A),MATCH(D$1,[1]quests!$1:$1,0)-MATCH($B$1,[1]quests!$1:$1,0)+1),MATCH(D$1,[1]quests!$1:$1,0)-MATCH($B$1,[1]quests!$1:$1,0)+1,FALSE)</f>
        <v>黄DL4</v>
      </c>
      <c r="E78">
        <v>1</v>
      </c>
      <c r="F78" s="3" t="str">
        <f ca="1">VLOOKUP($B78&amp;"_"&amp;$E78,OFFSET([1]stages!$A$1,0,0,COUNTA([1]stages!$A:$A),MATCH(F$1,[1]stages!$2:$2,0)-MATCH("temp_stage",[1]stages!$2:$2,0)+1),MATCH(F$1,[1]stages!$2:$2,0)-MATCH("temp_stage",[1]stages!$2:$2,0)+1,FALSE)</f>
        <v>20-1. 星空からの降臨</v>
      </c>
      <c r="G78" s="3" t="str">
        <f ca="1">VLOOKUP($B78&amp;"_"&amp;$E78,OFFSET([1]stages!$A$1,0,0,COUNTA([1]stages!$A:$A),MATCH(G$1,[1]stages!$2:$2,0)-MATCH("temp_stage",[1]stages!$2:$2,0)+1),MATCH(G$1,[1]stages!$2:$2,0)-MATCH("temp_stage",[1]stages!$2:$2,0)+1,FALSE)</f>
        <v>黄DL4</v>
      </c>
      <c r="H78" s="17">
        <v>0</v>
      </c>
      <c r="I78">
        <v>39</v>
      </c>
      <c r="J78" s="4" t="s">
        <v>17</v>
      </c>
      <c r="K78" s="27" t="str">
        <f>VLOOKUP(I78,[2]stage_hints!$A:$C,3,FALSE)</f>
        <v>システム適合者を確認</v>
      </c>
      <c r="L78" s="28" t="str">
        <f>VLOOKUP(I78,[2]stage_hints!$A:$D,4,FALSE)</f>
        <v>ALICEが 「アナタ」を呼んでいます</v>
      </c>
      <c r="M78" s="20" t="s">
        <v>24</v>
      </c>
    </row>
    <row r="79" spans="1:13" x14ac:dyDescent="0.15">
      <c r="A79" s="25" t="s">
        <v>33</v>
      </c>
      <c r="B79">
        <v>20</v>
      </c>
      <c r="C79" s="3" t="str">
        <f ca="1">VLOOKUP($B79,OFFSET([1]quests!$A$1,0,0,COUNTA([1]quests!$A:$A),MATCH(C$1,[1]quests!$1:$1,0)-MATCH($B$1,[1]quests!$1:$1,0)+1),MATCH(C$1,[1]quests!$1:$1,0)-MATCH($B$1,[1]quests!$1:$1,0)+1,FALSE)</f>
        <v>20．コロシアム</v>
      </c>
      <c r="D79" s="3" t="str">
        <f ca="1">VLOOKUP($B79,OFFSET([1]quests!$A$1,0,0,COUNTA([1]quests!$A:$A),MATCH(D$1,[1]quests!$1:$1,0)-MATCH($B$1,[1]quests!$1:$1,0)+1),MATCH(D$1,[1]quests!$1:$1,0)-MATCH($B$1,[1]quests!$1:$1,0)+1,FALSE)</f>
        <v>黄DL4</v>
      </c>
      <c r="E79">
        <v>2</v>
      </c>
      <c r="F79" s="3" t="str">
        <f ca="1">VLOOKUP($B79&amp;"_"&amp;$E79,OFFSET([1]stages!$A$1,0,0,COUNTA([1]stages!$A:$A),MATCH(F$1,[1]stages!$2:$2,0)-MATCH("temp_stage",[1]stages!$2:$2,0)+1),MATCH(F$1,[1]stages!$2:$2,0)-MATCH("temp_stage",[1]stages!$2:$2,0)+1,FALSE)</f>
        <v>20-2. 終わりなき連戦</v>
      </c>
      <c r="G79" s="3" t="str">
        <f ca="1">VLOOKUP($B79&amp;"_"&amp;$E79,OFFSET([1]stages!$A$1,0,0,COUNTA([1]stages!$A:$A),MATCH(G$1,[1]stages!$2:$2,0)-MATCH("temp_stage",[1]stages!$2:$2,0)+1),MATCH(G$1,[1]stages!$2:$2,0)-MATCH("temp_stage",[1]stages!$2:$2,0)+1,FALSE)</f>
        <v>黄DL4</v>
      </c>
      <c r="H79" s="17">
        <v>0</v>
      </c>
      <c r="I79">
        <v>39</v>
      </c>
      <c r="J79" s="4" t="s">
        <v>17</v>
      </c>
      <c r="K79" s="27" t="str">
        <f>VLOOKUP(I79,[2]stage_hints!$A:$C,3,FALSE)</f>
        <v>システム適合者を確認</v>
      </c>
      <c r="L79" s="28" t="str">
        <f>VLOOKUP(I79,[2]stage_hints!$A:$D,4,FALSE)</f>
        <v>ALICEが 「アナタ」を呼んでいます</v>
      </c>
      <c r="M79" s="20" t="s">
        <v>24</v>
      </c>
    </row>
    <row r="80" spans="1:13" x14ac:dyDescent="0.15">
      <c r="A80" s="25" t="s">
        <v>33</v>
      </c>
      <c r="B80">
        <v>20</v>
      </c>
      <c r="C80" s="3" t="str">
        <f ca="1">VLOOKUP($B80,OFFSET([1]quests!$A$1,0,0,COUNTA([1]quests!$A:$A),MATCH(C$1,[1]quests!$1:$1,0)-MATCH($B$1,[1]quests!$1:$1,0)+1),MATCH(C$1,[1]quests!$1:$1,0)-MATCH($B$1,[1]quests!$1:$1,0)+1,FALSE)</f>
        <v>20．コロシアム</v>
      </c>
      <c r="D80" s="3" t="str">
        <f ca="1">VLOOKUP($B80,OFFSET([1]quests!$A$1,0,0,COUNTA([1]quests!$A:$A),MATCH(D$1,[1]quests!$1:$1,0)-MATCH($B$1,[1]quests!$1:$1,0)+1),MATCH(D$1,[1]quests!$1:$1,0)-MATCH($B$1,[1]quests!$1:$1,0)+1,FALSE)</f>
        <v>黄DL4</v>
      </c>
      <c r="E80">
        <v>3</v>
      </c>
      <c r="F80" s="3" t="str">
        <f ca="1">VLOOKUP($B80&amp;"_"&amp;$E80,OFFSET([1]stages!$A$1,0,0,COUNTA([1]stages!$A:$A),MATCH(F$1,[1]stages!$2:$2,0)-MATCH("temp_stage",[1]stages!$2:$2,0)+1),MATCH(F$1,[1]stages!$2:$2,0)-MATCH("temp_stage",[1]stages!$2:$2,0)+1,FALSE)</f>
        <v>20-3. 身の凍る眼力</v>
      </c>
      <c r="G80" s="3" t="str">
        <f ca="1">VLOOKUP($B80&amp;"_"&amp;$E80,OFFSET([1]stages!$A$1,0,0,COUNTA([1]stages!$A:$A),MATCH(G$1,[1]stages!$2:$2,0)-MATCH("temp_stage",[1]stages!$2:$2,0)+1),MATCH(G$1,[1]stages!$2:$2,0)-MATCH("temp_stage",[1]stages!$2:$2,0)+1,FALSE)</f>
        <v>黄DL4</v>
      </c>
      <c r="H80" s="17">
        <v>0</v>
      </c>
      <c r="I80">
        <v>39</v>
      </c>
      <c r="J80" s="4" t="s">
        <v>17</v>
      </c>
      <c r="K80" s="27" t="str">
        <f>VLOOKUP(I80,[2]stage_hints!$A:$C,3,FALSE)</f>
        <v>システム適合者を確認</v>
      </c>
      <c r="L80" s="28" t="str">
        <f>VLOOKUP(I80,[2]stage_hints!$A:$D,4,FALSE)</f>
        <v>ALICEが 「アナタ」を呼んでいます</v>
      </c>
      <c r="M80" s="20" t="s">
        <v>24</v>
      </c>
    </row>
    <row r="81" spans="1:13" x14ac:dyDescent="0.15">
      <c r="A81" s="25" t="s">
        <v>33</v>
      </c>
      <c r="B81">
        <v>20</v>
      </c>
      <c r="C81" s="3" t="str">
        <f ca="1">VLOOKUP($B81,OFFSET([1]quests!$A$1,0,0,COUNTA([1]quests!$A:$A),MATCH(C$1,[1]quests!$1:$1,0)-MATCH($B$1,[1]quests!$1:$1,0)+1),MATCH(C$1,[1]quests!$1:$1,0)-MATCH($B$1,[1]quests!$1:$1,0)+1,FALSE)</f>
        <v>20．コロシアム</v>
      </c>
      <c r="D81" s="3" t="str">
        <f ca="1">VLOOKUP($B81,OFFSET([1]quests!$A$1,0,0,COUNTA([1]quests!$A:$A),MATCH(D$1,[1]quests!$1:$1,0)-MATCH($B$1,[1]quests!$1:$1,0)+1),MATCH(D$1,[1]quests!$1:$1,0)-MATCH($B$1,[1]quests!$1:$1,0)+1,FALSE)</f>
        <v>黄DL4</v>
      </c>
      <c r="E81">
        <v>4</v>
      </c>
      <c r="F81" s="3" t="str">
        <f ca="1">VLOOKUP($B81&amp;"_"&amp;$E81,OFFSET([1]stages!$A$1,0,0,COUNTA([1]stages!$A:$A),MATCH(F$1,[1]stages!$2:$2,0)-MATCH("temp_stage",[1]stages!$2:$2,0)+1),MATCH(F$1,[1]stages!$2:$2,0)-MATCH("temp_stage",[1]stages!$2:$2,0)+1,FALSE)</f>
        <v>20-4. 悪魔と踊る輪舞曲</v>
      </c>
      <c r="G81" s="3" t="str">
        <f ca="1">VLOOKUP($B81&amp;"_"&amp;$E81,OFFSET([1]stages!$A$1,0,0,COUNTA([1]stages!$A:$A),MATCH(G$1,[1]stages!$2:$2,0)-MATCH("temp_stage",[1]stages!$2:$2,0)+1),MATCH(G$1,[1]stages!$2:$2,0)-MATCH("temp_stage",[1]stages!$2:$2,0)+1,FALSE)</f>
        <v>黄DL4</v>
      </c>
      <c r="H81" s="17">
        <v>0</v>
      </c>
      <c r="I81">
        <v>39</v>
      </c>
      <c r="J81" s="4" t="s">
        <v>17</v>
      </c>
      <c r="K81" s="27" t="str">
        <f>VLOOKUP(I81,[2]stage_hints!$A:$C,3,FALSE)</f>
        <v>システム適合者を確認</v>
      </c>
      <c r="L81" s="28" t="str">
        <f>VLOOKUP(I81,[2]stage_hints!$A:$D,4,FALSE)</f>
        <v>ALICEが 「アナタ」を呼んでいます</v>
      </c>
      <c r="M81" s="20" t="s">
        <v>24</v>
      </c>
    </row>
    <row r="82" spans="1:13" x14ac:dyDescent="0.15">
      <c r="A82" s="25" t="s">
        <v>33</v>
      </c>
      <c r="B82">
        <v>20</v>
      </c>
      <c r="C82" s="3" t="str">
        <f ca="1">VLOOKUP($B82,OFFSET([1]quests!$A$1,0,0,COUNTA([1]quests!$A:$A),MATCH(C$1,[1]quests!$1:$1,0)-MATCH($B$1,[1]quests!$1:$1,0)+1),MATCH(C$1,[1]quests!$1:$1,0)-MATCH($B$1,[1]quests!$1:$1,0)+1,FALSE)</f>
        <v>20．コロシアム</v>
      </c>
      <c r="D82" s="3" t="str">
        <f ca="1">VLOOKUP($B82,OFFSET([1]quests!$A$1,0,0,COUNTA([1]quests!$A:$A),MATCH(D$1,[1]quests!$1:$1,0)-MATCH($B$1,[1]quests!$1:$1,0)+1),MATCH(D$1,[1]quests!$1:$1,0)-MATCH($B$1,[1]quests!$1:$1,0)+1,FALSE)</f>
        <v>黄DL4</v>
      </c>
      <c r="E82">
        <v>5</v>
      </c>
      <c r="F82" s="3" t="str">
        <f ca="1">VLOOKUP($B82&amp;"_"&amp;$E82,OFFSET([1]stages!$A$1,0,0,COUNTA([1]stages!$A:$A),MATCH(F$1,[1]stages!$2:$2,0)-MATCH("temp_stage",[1]stages!$2:$2,0)+1),MATCH(F$1,[1]stages!$2:$2,0)-MATCH("temp_stage",[1]stages!$2:$2,0)+1,FALSE)</f>
        <v>20-5. 空から降る数多の星</v>
      </c>
      <c r="G82" s="3" t="str">
        <f ca="1">VLOOKUP($B82&amp;"_"&amp;$E82,OFFSET([1]stages!$A$1,0,0,COUNTA([1]stages!$A:$A),MATCH(G$1,[1]stages!$2:$2,0)-MATCH("temp_stage",[1]stages!$2:$2,0)+1),MATCH(G$1,[1]stages!$2:$2,0)-MATCH("temp_stage",[1]stages!$2:$2,0)+1,FALSE)</f>
        <v>黄DL4</v>
      </c>
      <c r="H82" s="17">
        <v>0</v>
      </c>
      <c r="I82">
        <v>39</v>
      </c>
      <c r="J82" s="4" t="s">
        <v>17</v>
      </c>
      <c r="K82" s="27" t="str">
        <f>VLOOKUP(I82,[2]stage_hints!$A:$C,3,FALSE)</f>
        <v>システム適合者を確認</v>
      </c>
      <c r="L82" s="28" t="str">
        <f>VLOOKUP(I82,[2]stage_hints!$A:$D,4,FALSE)</f>
        <v>ALICEが 「アナタ」を呼んでいます</v>
      </c>
      <c r="M82" s="20" t="s">
        <v>24</v>
      </c>
    </row>
    <row r="83" spans="1:13" x14ac:dyDescent="0.15">
      <c r="A83" s="25" t="s">
        <v>33</v>
      </c>
      <c r="B83">
        <v>20</v>
      </c>
      <c r="C83" s="3" t="str">
        <f ca="1">VLOOKUP($B83,OFFSET([1]quests!$A$1,0,0,COUNTA([1]quests!$A:$A),MATCH(C$1,[1]quests!$1:$1,0)-MATCH($B$1,[1]quests!$1:$1,0)+1),MATCH(C$1,[1]quests!$1:$1,0)-MATCH($B$1,[1]quests!$1:$1,0)+1,FALSE)</f>
        <v>20．コロシアム</v>
      </c>
      <c r="D83" s="3" t="str">
        <f ca="1">VLOOKUP($B83,OFFSET([1]quests!$A$1,0,0,COUNTA([1]quests!$A:$A),MATCH(D$1,[1]quests!$1:$1,0)-MATCH($B$1,[1]quests!$1:$1,0)+1),MATCH(D$1,[1]quests!$1:$1,0)-MATCH($B$1,[1]quests!$1:$1,0)+1,FALSE)</f>
        <v>黄DL4</v>
      </c>
      <c r="E83">
        <v>6</v>
      </c>
      <c r="F83" s="3" t="str">
        <f ca="1">VLOOKUP($B83&amp;"_"&amp;$E83,OFFSET([1]stages!$A$1,0,0,COUNTA([1]stages!$A:$A),MATCH(F$1,[1]stages!$2:$2,0)-MATCH("temp_stage",[1]stages!$2:$2,0)+1),MATCH(F$1,[1]stages!$2:$2,0)-MATCH("temp_stage",[1]stages!$2:$2,0)+1,FALSE)</f>
        <v>20-6. 【1回のみ】ボーナスステージ</v>
      </c>
      <c r="G83" s="3" t="str">
        <f ca="1">VLOOKUP($B83&amp;"_"&amp;$E83,OFFSET([1]stages!$A$1,0,0,COUNTA([1]stages!$A:$A),MATCH(G$1,[1]stages!$2:$2,0)-MATCH("temp_stage",[1]stages!$2:$2,0)+1),MATCH(G$1,[1]stages!$2:$2,0)-MATCH("temp_stage",[1]stages!$2:$2,0)+1,FALSE)</f>
        <v>黄DL4</v>
      </c>
      <c r="H83" s="17">
        <v>0</v>
      </c>
      <c r="I83">
        <v>39</v>
      </c>
      <c r="J83" s="4" t="s">
        <v>17</v>
      </c>
      <c r="K83" s="27" t="str">
        <f>VLOOKUP(I83,[2]stage_hints!$A:$C,3,FALSE)</f>
        <v>システム適合者を確認</v>
      </c>
      <c r="L83" s="28" t="str">
        <f>VLOOKUP(I83,[2]stage_hints!$A:$D,4,FALSE)</f>
        <v>ALICEが 「アナタ」を呼んでいます</v>
      </c>
      <c r="M83" s="20" t="s">
        <v>24</v>
      </c>
    </row>
    <row r="84" spans="1:13" x14ac:dyDescent="0.15">
      <c r="A84" s="25" t="s">
        <v>33</v>
      </c>
      <c r="B84">
        <v>21</v>
      </c>
      <c r="C84" s="3" t="str">
        <f ca="1">VLOOKUP($B84,OFFSET([1]quests!$A$1,0,0,COUNTA([1]quests!$A:$A),MATCH(C$1,[1]quests!$1:$1,0)-MATCH($B$1,[1]quests!$1:$1,0)+1),MATCH(C$1,[1]quests!$1:$1,0)-MATCH($B$1,[1]quests!$1:$1,0)+1,FALSE)</f>
        <v>21．胡蝶舞う植物園</v>
      </c>
      <c r="D84" s="3" t="str">
        <f ca="1">VLOOKUP($B84,OFFSET([1]quests!$A$1,0,0,COUNTA([1]quests!$A:$A),MATCH(D$1,[1]quests!$1:$1,0)-MATCH($B$1,[1]quests!$1:$1,0)+1),MATCH(D$1,[1]quests!$1:$1,0)-MATCH($B$1,[1]quests!$1:$1,0)+1,FALSE)</f>
        <v>混色DL4</v>
      </c>
      <c r="E84">
        <v>1</v>
      </c>
      <c r="F84" s="3" t="str">
        <f ca="1">VLOOKUP($B84&amp;"_"&amp;$E84,OFFSET([1]stages!$A$1,0,0,COUNTA([1]stages!$A:$A),MATCH(F$1,[1]stages!$2:$2,0)-MATCH("temp_stage",[1]stages!$2:$2,0)+1),MATCH(F$1,[1]stages!$2:$2,0)-MATCH("temp_stage",[1]stages!$2:$2,0)+1,FALSE)</f>
        <v>21-1. 花園の誘い</v>
      </c>
      <c r="G84" s="3" t="str">
        <f ca="1">VLOOKUP($B84&amp;"_"&amp;$E84,OFFSET([1]stages!$A$1,0,0,COUNTA([1]stages!$A:$A),MATCH(G$1,[1]stages!$2:$2,0)-MATCH("temp_stage",[1]stages!$2:$2,0)+1),MATCH(G$1,[1]stages!$2:$2,0)-MATCH("temp_stage",[1]stages!$2:$2,0)+1,FALSE)</f>
        <v>混色DL4</v>
      </c>
      <c r="H84" s="17">
        <v>0</v>
      </c>
      <c r="I84">
        <v>39</v>
      </c>
      <c r="J84" s="4" t="s">
        <v>17</v>
      </c>
      <c r="K84" s="27" t="str">
        <f>VLOOKUP(I84,[2]stage_hints!$A:$C,3,FALSE)</f>
        <v>システム適合者を確認</v>
      </c>
      <c r="L84" s="28" t="str">
        <f>VLOOKUP(I84,[2]stage_hints!$A:$D,4,FALSE)</f>
        <v>ALICEが 「アナタ」を呼んでいます</v>
      </c>
      <c r="M84" s="20" t="s">
        <v>24</v>
      </c>
    </row>
    <row r="85" spans="1:13" x14ac:dyDescent="0.15">
      <c r="A85" s="25" t="s">
        <v>33</v>
      </c>
      <c r="B85">
        <v>21</v>
      </c>
      <c r="C85" s="3" t="str">
        <f ca="1">VLOOKUP($B85,OFFSET([1]quests!$A$1,0,0,COUNTA([1]quests!$A:$A),MATCH(C$1,[1]quests!$1:$1,0)-MATCH($B$1,[1]quests!$1:$1,0)+1),MATCH(C$1,[1]quests!$1:$1,0)-MATCH($B$1,[1]quests!$1:$1,0)+1,FALSE)</f>
        <v>21．胡蝶舞う植物園</v>
      </c>
      <c r="D85" s="3" t="str">
        <f ca="1">VLOOKUP($B85,OFFSET([1]quests!$A$1,0,0,COUNTA([1]quests!$A:$A),MATCH(D$1,[1]quests!$1:$1,0)-MATCH($B$1,[1]quests!$1:$1,0)+1),MATCH(D$1,[1]quests!$1:$1,0)-MATCH($B$1,[1]quests!$1:$1,0)+1,FALSE)</f>
        <v>混色DL4</v>
      </c>
      <c r="E85">
        <v>2</v>
      </c>
      <c r="F85" s="3" t="str">
        <f ca="1">VLOOKUP($B85&amp;"_"&amp;$E85,OFFSET([1]stages!$A$1,0,0,COUNTA([1]stages!$A:$A),MATCH(F$1,[1]stages!$2:$2,0)-MATCH("temp_stage",[1]stages!$2:$2,0)+1),MATCH(F$1,[1]stages!$2:$2,0)-MATCH("temp_stage",[1]stages!$2:$2,0)+1,FALSE)</f>
        <v>21-2. 華やかなる迎撃</v>
      </c>
      <c r="G85" s="3" t="str">
        <f ca="1">VLOOKUP($B85&amp;"_"&amp;$E85,OFFSET([1]stages!$A$1,0,0,COUNTA([1]stages!$A:$A),MATCH(G$1,[1]stages!$2:$2,0)-MATCH("temp_stage",[1]stages!$2:$2,0)+1),MATCH(G$1,[1]stages!$2:$2,0)-MATCH("temp_stage",[1]stages!$2:$2,0)+1,FALSE)</f>
        <v>混色DL4</v>
      </c>
      <c r="H85" s="17">
        <v>0</v>
      </c>
      <c r="I85">
        <v>39</v>
      </c>
      <c r="J85" s="4" t="s">
        <v>17</v>
      </c>
      <c r="K85" s="27" t="str">
        <f>VLOOKUP(I85,[2]stage_hints!$A:$C,3,FALSE)</f>
        <v>システム適合者を確認</v>
      </c>
      <c r="L85" s="28" t="str">
        <f>VLOOKUP(I85,[2]stage_hints!$A:$D,4,FALSE)</f>
        <v>ALICEが 「アナタ」を呼んでいます</v>
      </c>
      <c r="M85" s="20" t="s">
        <v>24</v>
      </c>
    </row>
    <row r="86" spans="1:13" x14ac:dyDescent="0.15">
      <c r="A86" s="25" t="s">
        <v>33</v>
      </c>
      <c r="B86">
        <v>21</v>
      </c>
      <c r="C86" s="3" t="str">
        <f ca="1">VLOOKUP($B86,OFFSET([1]quests!$A$1,0,0,COUNTA([1]quests!$A:$A),MATCH(C$1,[1]quests!$1:$1,0)-MATCH($B$1,[1]quests!$1:$1,0)+1),MATCH(C$1,[1]quests!$1:$1,0)-MATCH($B$1,[1]quests!$1:$1,0)+1,FALSE)</f>
        <v>21．胡蝶舞う植物園</v>
      </c>
      <c r="D86" s="3" t="str">
        <f ca="1">VLOOKUP($B86,OFFSET([1]quests!$A$1,0,0,COUNTA([1]quests!$A:$A),MATCH(D$1,[1]quests!$1:$1,0)-MATCH($B$1,[1]quests!$1:$1,0)+1),MATCH(D$1,[1]quests!$1:$1,0)-MATCH($B$1,[1]quests!$1:$1,0)+1,FALSE)</f>
        <v>混色DL4</v>
      </c>
      <c r="E86">
        <v>3</v>
      </c>
      <c r="F86" s="3" t="str">
        <f ca="1">VLOOKUP($B86&amp;"_"&amp;$E86,OFFSET([1]stages!$A$1,0,0,COUNTA([1]stages!$A:$A),MATCH(F$1,[1]stages!$2:$2,0)-MATCH("temp_stage",[1]stages!$2:$2,0)+1),MATCH(F$1,[1]stages!$2:$2,0)-MATCH("temp_stage",[1]stages!$2:$2,0)+1,FALSE)</f>
        <v>21-3. 物言わぬ猛攻</v>
      </c>
      <c r="G86" s="3" t="str">
        <f ca="1">VLOOKUP($B86&amp;"_"&amp;$E86,OFFSET([1]stages!$A$1,0,0,COUNTA([1]stages!$A:$A),MATCH(G$1,[1]stages!$2:$2,0)-MATCH("temp_stage",[1]stages!$2:$2,0)+1),MATCH(G$1,[1]stages!$2:$2,0)-MATCH("temp_stage",[1]stages!$2:$2,0)+1,FALSE)</f>
        <v>混色DL4</v>
      </c>
      <c r="H86" s="17">
        <v>0</v>
      </c>
      <c r="I86">
        <v>39</v>
      </c>
      <c r="J86" s="4" t="s">
        <v>17</v>
      </c>
      <c r="K86" s="27" t="str">
        <f>VLOOKUP(I86,[2]stage_hints!$A:$C,3,FALSE)</f>
        <v>システム適合者を確認</v>
      </c>
      <c r="L86" s="28" t="str">
        <f>VLOOKUP(I86,[2]stage_hints!$A:$D,4,FALSE)</f>
        <v>ALICEが 「アナタ」を呼んでいます</v>
      </c>
      <c r="M86" s="20" t="s">
        <v>24</v>
      </c>
    </row>
    <row r="87" spans="1:13" x14ac:dyDescent="0.15">
      <c r="A87" s="25" t="s">
        <v>33</v>
      </c>
      <c r="B87">
        <v>21</v>
      </c>
      <c r="C87" s="3" t="str">
        <f ca="1">VLOOKUP($B87,OFFSET([1]quests!$A$1,0,0,COUNTA([1]quests!$A:$A),MATCH(C$1,[1]quests!$1:$1,0)-MATCH($B$1,[1]quests!$1:$1,0)+1),MATCH(C$1,[1]quests!$1:$1,0)-MATCH($B$1,[1]quests!$1:$1,0)+1,FALSE)</f>
        <v>21．胡蝶舞う植物園</v>
      </c>
      <c r="D87" s="3" t="str">
        <f ca="1">VLOOKUP($B87,OFFSET([1]quests!$A$1,0,0,COUNTA([1]quests!$A:$A),MATCH(D$1,[1]quests!$1:$1,0)-MATCH($B$1,[1]quests!$1:$1,0)+1),MATCH(D$1,[1]quests!$1:$1,0)-MATCH($B$1,[1]quests!$1:$1,0)+1,FALSE)</f>
        <v>混色DL4</v>
      </c>
      <c r="E87">
        <v>4</v>
      </c>
      <c r="F87" s="3" t="str">
        <f ca="1">VLOOKUP($B87&amp;"_"&amp;$E87,OFFSET([1]stages!$A$1,0,0,COUNTA([1]stages!$A:$A),MATCH(F$1,[1]stages!$2:$2,0)-MATCH("temp_stage",[1]stages!$2:$2,0)+1),MATCH(F$1,[1]stages!$2:$2,0)-MATCH("temp_stage",[1]stages!$2:$2,0)+1,FALSE)</f>
        <v>21-4. 虹彩の軍団</v>
      </c>
      <c r="G87" s="3" t="str">
        <f ca="1">VLOOKUP($B87&amp;"_"&amp;$E87,OFFSET([1]stages!$A$1,0,0,COUNTA([1]stages!$A:$A),MATCH(G$1,[1]stages!$2:$2,0)-MATCH("temp_stage",[1]stages!$2:$2,0)+1),MATCH(G$1,[1]stages!$2:$2,0)-MATCH("temp_stage",[1]stages!$2:$2,0)+1,FALSE)</f>
        <v>混色DL4</v>
      </c>
      <c r="H87" s="17">
        <v>0</v>
      </c>
      <c r="I87">
        <v>39</v>
      </c>
      <c r="J87" s="4" t="s">
        <v>17</v>
      </c>
      <c r="K87" s="27" t="str">
        <f>VLOOKUP(I87,[2]stage_hints!$A:$C,3,FALSE)</f>
        <v>システム適合者を確認</v>
      </c>
      <c r="L87" s="28" t="str">
        <f>VLOOKUP(I87,[2]stage_hints!$A:$D,4,FALSE)</f>
        <v>ALICEが 「アナタ」を呼んでいます</v>
      </c>
      <c r="M87" s="20" t="s">
        <v>24</v>
      </c>
    </row>
    <row r="88" spans="1:13" x14ac:dyDescent="0.15">
      <c r="A88" s="25" t="s">
        <v>33</v>
      </c>
      <c r="B88">
        <v>21</v>
      </c>
      <c r="C88" s="3" t="str">
        <f ca="1">VLOOKUP($B88,OFFSET([1]quests!$A$1,0,0,COUNTA([1]quests!$A:$A),MATCH(C$1,[1]quests!$1:$1,0)-MATCH($B$1,[1]quests!$1:$1,0)+1),MATCH(C$1,[1]quests!$1:$1,0)-MATCH($B$1,[1]quests!$1:$1,0)+1,FALSE)</f>
        <v>21．胡蝶舞う植物園</v>
      </c>
      <c r="D88" s="3" t="str">
        <f ca="1">VLOOKUP($B88,OFFSET([1]quests!$A$1,0,0,COUNTA([1]quests!$A:$A),MATCH(D$1,[1]quests!$1:$1,0)-MATCH($B$1,[1]quests!$1:$1,0)+1),MATCH(D$1,[1]quests!$1:$1,0)-MATCH($B$1,[1]quests!$1:$1,0)+1,FALSE)</f>
        <v>混色DL4</v>
      </c>
      <c r="E88">
        <v>5</v>
      </c>
      <c r="F88" s="3" t="str">
        <f ca="1">VLOOKUP($B88&amp;"_"&amp;$E88,OFFSET([1]stages!$A$1,0,0,COUNTA([1]stages!$A:$A),MATCH(F$1,[1]stages!$2:$2,0)-MATCH("temp_stage",[1]stages!$2:$2,0)+1),MATCH(F$1,[1]stages!$2:$2,0)-MATCH("temp_stage",[1]stages!$2:$2,0)+1,FALSE)</f>
        <v>21-5. マスターオブエデン</v>
      </c>
      <c r="G88" s="3" t="str">
        <f ca="1">VLOOKUP($B88&amp;"_"&amp;$E88,OFFSET([1]stages!$A$1,0,0,COUNTA([1]stages!$A:$A),MATCH(G$1,[1]stages!$2:$2,0)-MATCH("temp_stage",[1]stages!$2:$2,0)+1),MATCH(G$1,[1]stages!$2:$2,0)-MATCH("temp_stage",[1]stages!$2:$2,0)+1,FALSE)</f>
        <v>混色DL4</v>
      </c>
      <c r="H88" s="17">
        <v>0</v>
      </c>
      <c r="I88">
        <v>39</v>
      </c>
      <c r="J88" s="4" t="s">
        <v>17</v>
      </c>
      <c r="K88" s="27" t="str">
        <f>VLOOKUP(I88,[2]stage_hints!$A:$C,3,FALSE)</f>
        <v>システム適合者を確認</v>
      </c>
      <c r="L88" s="28" t="str">
        <f>VLOOKUP(I88,[2]stage_hints!$A:$D,4,FALSE)</f>
        <v>ALICEが 「アナタ」を呼んでいます</v>
      </c>
      <c r="M88" s="20" t="s">
        <v>24</v>
      </c>
    </row>
    <row r="89" spans="1:13" x14ac:dyDescent="0.15">
      <c r="A89" s="25" t="s">
        <v>33</v>
      </c>
      <c r="B89">
        <v>21</v>
      </c>
      <c r="C89" s="3" t="str">
        <f ca="1">VLOOKUP($B89,OFFSET([1]quests!$A$1,0,0,COUNTA([1]quests!$A:$A),MATCH(C$1,[1]quests!$1:$1,0)-MATCH($B$1,[1]quests!$1:$1,0)+1),MATCH(C$1,[1]quests!$1:$1,0)-MATCH($B$1,[1]quests!$1:$1,0)+1,FALSE)</f>
        <v>21．胡蝶舞う植物園</v>
      </c>
      <c r="D89" s="3" t="str">
        <f ca="1">VLOOKUP($B89,OFFSET([1]quests!$A$1,0,0,COUNTA([1]quests!$A:$A),MATCH(D$1,[1]quests!$1:$1,0)-MATCH($B$1,[1]quests!$1:$1,0)+1),MATCH(D$1,[1]quests!$1:$1,0)-MATCH($B$1,[1]quests!$1:$1,0)+1,FALSE)</f>
        <v>混色DL4</v>
      </c>
      <c r="E89">
        <v>6</v>
      </c>
      <c r="F89" s="3" t="str">
        <f ca="1">VLOOKUP($B89&amp;"_"&amp;$E89,OFFSET([1]stages!$A$1,0,0,COUNTA([1]stages!$A:$A),MATCH(F$1,[1]stages!$2:$2,0)-MATCH("temp_stage",[1]stages!$2:$2,0)+1),MATCH(F$1,[1]stages!$2:$2,0)-MATCH("temp_stage",[1]stages!$2:$2,0)+1,FALSE)</f>
        <v>21-6. 【1回のみ】ボーナスステージ</v>
      </c>
      <c r="G89" s="3" t="str">
        <f ca="1">VLOOKUP($B89&amp;"_"&amp;$E89,OFFSET([1]stages!$A$1,0,0,COUNTA([1]stages!$A:$A),MATCH(G$1,[1]stages!$2:$2,0)-MATCH("temp_stage",[1]stages!$2:$2,0)+1),MATCH(G$1,[1]stages!$2:$2,0)-MATCH("temp_stage",[1]stages!$2:$2,0)+1,FALSE)</f>
        <v>混色DL4</v>
      </c>
      <c r="H89" s="17">
        <v>0</v>
      </c>
      <c r="I89">
        <v>39</v>
      </c>
      <c r="J89" s="4" t="s">
        <v>17</v>
      </c>
      <c r="K89" s="27" t="str">
        <f>VLOOKUP(I89,[2]stage_hints!$A:$C,3,FALSE)</f>
        <v>システム適合者を確認</v>
      </c>
      <c r="L89" s="28" t="str">
        <f>VLOOKUP(I89,[2]stage_hints!$A:$D,4,FALSE)</f>
        <v>ALICEが 「アナタ」を呼んでいます</v>
      </c>
      <c r="M89" s="20" t="s">
        <v>24</v>
      </c>
    </row>
    <row r="90" spans="1:13" x14ac:dyDescent="0.15">
      <c r="A90" s="25" t="s">
        <v>33</v>
      </c>
      <c r="B90">
        <v>22</v>
      </c>
      <c r="C90" s="3" t="str">
        <f ca="1">VLOOKUP($B90,OFFSET([1]quests!$A$1,0,0,COUNTA([1]quests!$A:$A),MATCH(C$1,[1]quests!$1:$1,0)-MATCH($B$1,[1]quests!$1:$1,0)+1),MATCH(C$1,[1]quests!$1:$1,0)-MATCH($B$1,[1]quests!$1:$1,0)+1,FALSE)</f>
        <v>22．紫炎の例大祭</v>
      </c>
      <c r="D90" s="3" t="str">
        <f ca="1">VLOOKUP($B90,OFFSET([1]quests!$A$1,0,0,COUNTA([1]quests!$A:$A),MATCH(D$1,[1]quests!$1:$1,0)-MATCH($B$1,[1]quests!$1:$1,0)+1),MATCH(D$1,[1]quests!$1:$1,0)-MATCH($B$1,[1]quests!$1:$1,0)+1,FALSE)</f>
        <v>赤DL5</v>
      </c>
      <c r="E90">
        <v>1</v>
      </c>
      <c r="F90" s="3" t="str">
        <f ca="1">VLOOKUP($B90&amp;"_"&amp;$E90,OFFSET([1]stages!$A$1,0,0,COUNTA([1]stages!$A:$A),MATCH(F$1,[1]stages!$2:$2,0)-MATCH("temp_stage",[1]stages!$2:$2,0)+1),MATCH(F$1,[1]stages!$2:$2,0)-MATCH("temp_stage",[1]stages!$2:$2,0)+1,FALSE)</f>
        <v>22-1．開宴の遠吠え</v>
      </c>
      <c r="G90" s="3" t="str">
        <f ca="1">VLOOKUP($B90&amp;"_"&amp;$E90,OFFSET([1]stages!$A$1,0,0,COUNTA([1]stages!$A:$A),MATCH(G$1,[1]stages!$2:$2,0)-MATCH("temp_stage",[1]stages!$2:$2,0)+1),MATCH(G$1,[1]stages!$2:$2,0)-MATCH("temp_stage",[1]stages!$2:$2,0)+1,FALSE)</f>
        <v>赤DL5</v>
      </c>
      <c r="H90" s="17">
        <v>0</v>
      </c>
      <c r="I90">
        <v>39</v>
      </c>
      <c r="J90" s="4" t="s">
        <v>17</v>
      </c>
      <c r="K90" s="27" t="str">
        <f>VLOOKUP(I90,[2]stage_hints!$A:$C,3,FALSE)</f>
        <v>システム適合者を確認</v>
      </c>
      <c r="L90" s="28" t="str">
        <f>VLOOKUP(I90,[2]stage_hints!$A:$D,4,FALSE)</f>
        <v>ALICEが 「アナタ」を呼んでいます</v>
      </c>
      <c r="M90" s="20" t="s">
        <v>24</v>
      </c>
    </row>
    <row r="91" spans="1:13" x14ac:dyDescent="0.15">
      <c r="A91" s="25" t="s">
        <v>33</v>
      </c>
      <c r="B91">
        <v>22</v>
      </c>
      <c r="C91" s="3" t="str">
        <f ca="1">VLOOKUP($B91,OFFSET([1]quests!$A$1,0,0,COUNTA([1]quests!$A:$A),MATCH(C$1,[1]quests!$1:$1,0)-MATCH($B$1,[1]quests!$1:$1,0)+1),MATCH(C$1,[1]quests!$1:$1,0)-MATCH($B$1,[1]quests!$1:$1,0)+1,FALSE)</f>
        <v>22．紫炎の例大祭</v>
      </c>
      <c r="D91" s="3" t="str">
        <f ca="1">VLOOKUP($B91,OFFSET([1]quests!$A$1,0,0,COUNTA([1]quests!$A:$A),MATCH(D$1,[1]quests!$1:$1,0)-MATCH($B$1,[1]quests!$1:$1,0)+1),MATCH(D$1,[1]quests!$1:$1,0)-MATCH($B$1,[1]quests!$1:$1,0)+1,FALSE)</f>
        <v>赤DL5</v>
      </c>
      <c r="E91">
        <v>2</v>
      </c>
      <c r="F91" s="3" t="str">
        <f ca="1">VLOOKUP($B91&amp;"_"&amp;$E91,OFFSET([1]stages!$A$1,0,0,COUNTA([1]stages!$A:$A),MATCH(F$1,[1]stages!$2:$2,0)-MATCH("temp_stage",[1]stages!$2:$2,0)+1),MATCH(F$1,[1]stages!$2:$2,0)-MATCH("temp_stage",[1]stages!$2:$2,0)+1,FALSE)</f>
        <v>22-2．排他的な案内人</v>
      </c>
      <c r="G91" s="3" t="str">
        <f ca="1">VLOOKUP($B91&amp;"_"&amp;$E91,OFFSET([1]stages!$A$1,0,0,COUNTA([1]stages!$A:$A),MATCH(G$1,[1]stages!$2:$2,0)-MATCH("temp_stage",[1]stages!$2:$2,0)+1),MATCH(G$1,[1]stages!$2:$2,0)-MATCH("temp_stage",[1]stages!$2:$2,0)+1,FALSE)</f>
        <v>赤DL5</v>
      </c>
      <c r="H91" s="17">
        <v>0</v>
      </c>
      <c r="I91">
        <v>39</v>
      </c>
      <c r="J91" s="4" t="s">
        <v>17</v>
      </c>
      <c r="K91" s="27" t="str">
        <f>VLOOKUP(I91,[2]stage_hints!$A:$C,3,FALSE)</f>
        <v>システム適合者を確認</v>
      </c>
      <c r="L91" s="28" t="str">
        <f>VLOOKUP(I91,[2]stage_hints!$A:$D,4,FALSE)</f>
        <v>ALICEが 「アナタ」を呼んでいます</v>
      </c>
      <c r="M91" s="20" t="s">
        <v>24</v>
      </c>
    </row>
    <row r="92" spans="1:13" x14ac:dyDescent="0.15">
      <c r="A92" s="25" t="s">
        <v>33</v>
      </c>
      <c r="B92">
        <v>22</v>
      </c>
      <c r="C92" s="3" t="str">
        <f ca="1">VLOOKUP($B92,OFFSET([1]quests!$A$1,0,0,COUNTA([1]quests!$A:$A),MATCH(C$1,[1]quests!$1:$1,0)-MATCH($B$1,[1]quests!$1:$1,0)+1),MATCH(C$1,[1]quests!$1:$1,0)-MATCH($B$1,[1]quests!$1:$1,0)+1,FALSE)</f>
        <v>22．紫炎の例大祭</v>
      </c>
      <c r="D92" s="3" t="str">
        <f ca="1">VLOOKUP($B92,OFFSET([1]quests!$A$1,0,0,COUNTA([1]quests!$A:$A),MATCH(D$1,[1]quests!$1:$1,0)-MATCH($B$1,[1]quests!$1:$1,0)+1),MATCH(D$1,[1]quests!$1:$1,0)-MATCH($B$1,[1]quests!$1:$1,0)+1,FALSE)</f>
        <v>赤DL5</v>
      </c>
      <c r="E92">
        <v>3</v>
      </c>
      <c r="F92" s="3" t="str">
        <f ca="1">VLOOKUP($B92&amp;"_"&amp;$E92,OFFSET([1]stages!$A$1,0,0,COUNTA([1]stages!$A:$A),MATCH(F$1,[1]stages!$2:$2,0)-MATCH("temp_stage",[1]stages!$2:$2,0)+1),MATCH(F$1,[1]stages!$2:$2,0)-MATCH("temp_stage",[1]stages!$2:$2,0)+1,FALSE)</f>
        <v>22-3．誘眠の鼓音</v>
      </c>
      <c r="G92" s="3" t="str">
        <f ca="1">VLOOKUP($B92&amp;"_"&amp;$E92,OFFSET([1]stages!$A$1,0,0,COUNTA([1]stages!$A:$A),MATCH(G$1,[1]stages!$2:$2,0)-MATCH("temp_stage",[1]stages!$2:$2,0)+1),MATCH(G$1,[1]stages!$2:$2,0)-MATCH("temp_stage",[1]stages!$2:$2,0)+1,FALSE)</f>
        <v>赤DL5</v>
      </c>
      <c r="H92" s="17">
        <v>0</v>
      </c>
      <c r="I92">
        <v>39</v>
      </c>
      <c r="J92" s="4" t="s">
        <v>17</v>
      </c>
      <c r="K92" s="27" t="str">
        <f>VLOOKUP(I92,[2]stage_hints!$A:$C,3,FALSE)</f>
        <v>システム適合者を確認</v>
      </c>
      <c r="L92" s="28" t="str">
        <f>VLOOKUP(I92,[2]stage_hints!$A:$D,4,FALSE)</f>
        <v>ALICEが 「アナタ」を呼んでいます</v>
      </c>
      <c r="M92" s="20" t="s">
        <v>24</v>
      </c>
    </row>
    <row r="93" spans="1:13" x14ac:dyDescent="0.15">
      <c r="A93" s="25" t="s">
        <v>33</v>
      </c>
      <c r="B93">
        <v>22</v>
      </c>
      <c r="C93" s="3" t="str">
        <f ca="1">VLOOKUP($B93,OFFSET([1]quests!$A$1,0,0,COUNTA([1]quests!$A:$A),MATCH(C$1,[1]quests!$1:$1,0)-MATCH($B$1,[1]quests!$1:$1,0)+1),MATCH(C$1,[1]quests!$1:$1,0)-MATCH($B$1,[1]quests!$1:$1,0)+1,FALSE)</f>
        <v>22．紫炎の例大祭</v>
      </c>
      <c r="D93" s="3" t="str">
        <f ca="1">VLOOKUP($B93,OFFSET([1]quests!$A$1,0,0,COUNTA([1]quests!$A:$A),MATCH(D$1,[1]quests!$1:$1,0)-MATCH($B$1,[1]quests!$1:$1,0)+1),MATCH(D$1,[1]quests!$1:$1,0)-MATCH($B$1,[1]quests!$1:$1,0)+1,FALSE)</f>
        <v>赤DL5</v>
      </c>
      <c r="E93">
        <v>4</v>
      </c>
      <c r="F93" s="3" t="str">
        <f ca="1">VLOOKUP($B93&amp;"_"&amp;$E93,OFFSET([1]stages!$A$1,0,0,COUNTA([1]stages!$A:$A),MATCH(F$1,[1]stages!$2:$2,0)-MATCH("temp_stage",[1]stages!$2:$2,0)+1),MATCH(F$1,[1]stages!$2:$2,0)-MATCH("temp_stage",[1]stages!$2:$2,0)+1,FALSE)</f>
        <v>22-4．聖火の啼き声</v>
      </c>
      <c r="G93" s="3" t="str">
        <f ca="1">VLOOKUP($B93&amp;"_"&amp;$E93,OFFSET([1]stages!$A$1,0,0,COUNTA([1]stages!$A:$A),MATCH(G$1,[1]stages!$2:$2,0)-MATCH("temp_stage",[1]stages!$2:$2,0)+1),MATCH(G$1,[1]stages!$2:$2,0)-MATCH("temp_stage",[1]stages!$2:$2,0)+1,FALSE)</f>
        <v>赤DL5</v>
      </c>
      <c r="H93" s="17">
        <v>0</v>
      </c>
      <c r="I93">
        <v>39</v>
      </c>
      <c r="J93" s="4" t="s">
        <v>17</v>
      </c>
      <c r="K93" s="27" t="str">
        <f>VLOOKUP(I93,[2]stage_hints!$A:$C,3,FALSE)</f>
        <v>システム適合者を確認</v>
      </c>
      <c r="L93" s="28" t="str">
        <f>VLOOKUP(I93,[2]stage_hints!$A:$D,4,FALSE)</f>
        <v>ALICEが 「アナタ」を呼んでいます</v>
      </c>
      <c r="M93" s="20" t="s">
        <v>24</v>
      </c>
    </row>
    <row r="94" spans="1:13" x14ac:dyDescent="0.15">
      <c r="A94" s="25" t="s">
        <v>33</v>
      </c>
      <c r="B94">
        <v>22</v>
      </c>
      <c r="C94" s="3" t="str">
        <f ca="1">VLOOKUP($B94,OFFSET([1]quests!$A$1,0,0,COUNTA([1]quests!$A:$A),MATCH(C$1,[1]quests!$1:$1,0)-MATCH($B$1,[1]quests!$1:$1,0)+1),MATCH(C$1,[1]quests!$1:$1,0)-MATCH($B$1,[1]quests!$1:$1,0)+1,FALSE)</f>
        <v>22．紫炎の例大祭</v>
      </c>
      <c r="D94" s="3" t="str">
        <f ca="1">VLOOKUP($B94,OFFSET([1]quests!$A$1,0,0,COUNTA([1]quests!$A:$A),MATCH(D$1,[1]quests!$1:$1,0)-MATCH($B$1,[1]quests!$1:$1,0)+1),MATCH(D$1,[1]quests!$1:$1,0)-MATCH($B$1,[1]quests!$1:$1,0)+1,FALSE)</f>
        <v>赤DL5</v>
      </c>
      <c r="E94">
        <v>5</v>
      </c>
      <c r="F94" s="3" t="str">
        <f ca="1">VLOOKUP($B94&amp;"_"&amp;$E94,OFFSET([1]stages!$A$1,0,0,COUNTA([1]stages!$A:$A),MATCH(F$1,[1]stages!$2:$2,0)-MATCH("temp_stage",[1]stages!$2:$2,0)+1),MATCH(F$1,[1]stages!$2:$2,0)-MATCH("temp_stage",[1]stages!$2:$2,0)+1,FALSE)</f>
        <v>22-5．真宴の月光</v>
      </c>
      <c r="G94" s="3" t="str">
        <f ca="1">VLOOKUP($B94&amp;"_"&amp;$E94,OFFSET([1]stages!$A$1,0,0,COUNTA([1]stages!$A:$A),MATCH(G$1,[1]stages!$2:$2,0)-MATCH("temp_stage",[1]stages!$2:$2,0)+1),MATCH(G$1,[1]stages!$2:$2,0)-MATCH("temp_stage",[1]stages!$2:$2,0)+1,FALSE)</f>
        <v>赤DL5</v>
      </c>
      <c r="H94" s="17">
        <v>0</v>
      </c>
      <c r="I94">
        <v>39</v>
      </c>
      <c r="J94" s="4" t="s">
        <v>17</v>
      </c>
      <c r="K94" s="27" t="str">
        <f>VLOOKUP(I94,[2]stage_hints!$A:$C,3,FALSE)</f>
        <v>システム適合者を確認</v>
      </c>
      <c r="L94" s="28" t="str">
        <f>VLOOKUP(I94,[2]stage_hints!$A:$D,4,FALSE)</f>
        <v>ALICEが 「アナタ」を呼んでいます</v>
      </c>
      <c r="M94" s="20" t="s">
        <v>24</v>
      </c>
    </row>
    <row r="95" spans="1:13" x14ac:dyDescent="0.15">
      <c r="A95" s="25" t="s">
        <v>33</v>
      </c>
      <c r="B95">
        <v>22</v>
      </c>
      <c r="C95" s="3" t="str">
        <f ca="1">VLOOKUP($B95,OFFSET([1]quests!$A$1,0,0,COUNTA([1]quests!$A:$A),MATCH(C$1,[1]quests!$1:$1,0)-MATCH($B$1,[1]quests!$1:$1,0)+1),MATCH(C$1,[1]quests!$1:$1,0)-MATCH($B$1,[1]quests!$1:$1,0)+1,FALSE)</f>
        <v>22．紫炎の例大祭</v>
      </c>
      <c r="D95" s="3" t="str">
        <f ca="1">VLOOKUP($B95,OFFSET([1]quests!$A$1,0,0,COUNTA([1]quests!$A:$A),MATCH(D$1,[1]quests!$1:$1,0)-MATCH($B$1,[1]quests!$1:$1,0)+1),MATCH(D$1,[1]quests!$1:$1,0)-MATCH($B$1,[1]quests!$1:$1,0)+1,FALSE)</f>
        <v>赤DL5</v>
      </c>
      <c r="E95">
        <v>6</v>
      </c>
      <c r="F95" s="3" t="str">
        <f ca="1">VLOOKUP($B95&amp;"_"&amp;$E95,OFFSET([1]stages!$A$1,0,0,COUNTA([1]stages!$A:$A),MATCH(F$1,[1]stages!$2:$2,0)-MATCH("temp_stage",[1]stages!$2:$2,0)+1),MATCH(F$1,[1]stages!$2:$2,0)-MATCH("temp_stage",[1]stages!$2:$2,0)+1,FALSE)</f>
        <v>22-6．【1回のみ】ボーナスステージ</v>
      </c>
      <c r="G95" s="3" t="str">
        <f ca="1">VLOOKUP($B95&amp;"_"&amp;$E95,OFFSET([1]stages!$A$1,0,0,COUNTA([1]stages!$A:$A),MATCH(G$1,[1]stages!$2:$2,0)-MATCH("temp_stage",[1]stages!$2:$2,0)+1),MATCH(G$1,[1]stages!$2:$2,0)-MATCH("temp_stage",[1]stages!$2:$2,0)+1,FALSE)</f>
        <v>赤DL5</v>
      </c>
      <c r="H95" s="17">
        <v>0</v>
      </c>
      <c r="I95">
        <v>39</v>
      </c>
      <c r="J95" s="4" t="s">
        <v>17</v>
      </c>
      <c r="K95" s="27" t="str">
        <f>VLOOKUP(I95,[2]stage_hints!$A:$C,3,FALSE)</f>
        <v>システム適合者を確認</v>
      </c>
      <c r="L95" s="28" t="str">
        <f>VLOOKUP(I95,[2]stage_hints!$A:$D,4,FALSE)</f>
        <v>ALICEが 「アナタ」を呼んでいます</v>
      </c>
      <c r="M95" s="20" t="s">
        <v>24</v>
      </c>
    </row>
    <row r="96" spans="1:13" x14ac:dyDescent="0.15">
      <c r="A96" s="25" t="s">
        <v>33</v>
      </c>
      <c r="B96">
        <v>23</v>
      </c>
      <c r="C96" s="3" t="str">
        <f ca="1">VLOOKUP($B96,OFFSET([1]quests!$A$1,0,0,COUNTA([1]quests!$A:$A),MATCH(C$1,[1]quests!$1:$1,0)-MATCH($B$1,[1]quests!$1:$1,0)+1),MATCH(C$1,[1]quests!$1:$1,0)-MATCH($B$1,[1]quests!$1:$1,0)+1,FALSE)</f>
        <v>23．ファングフォレスト</v>
      </c>
      <c r="D96" s="3" t="str">
        <f ca="1">VLOOKUP($B96,OFFSET([1]quests!$A$1,0,0,COUNTA([1]quests!$A:$A),MATCH(D$1,[1]quests!$1:$1,0)-MATCH($B$1,[1]quests!$1:$1,0)+1),MATCH(D$1,[1]quests!$1:$1,0)-MATCH($B$1,[1]quests!$1:$1,0)+1,FALSE)</f>
        <v>緑DL5</v>
      </c>
      <c r="E96">
        <v>1</v>
      </c>
      <c r="F96" s="3" t="str">
        <f ca="1">VLOOKUP($B96&amp;"_"&amp;$E96,OFFSET([1]stages!$A$1,0,0,COUNTA([1]stages!$A:$A),MATCH(F$1,[1]stages!$2:$2,0)-MATCH("temp_stage",[1]stages!$2:$2,0)+1),MATCH(F$1,[1]stages!$2:$2,0)-MATCH("temp_stage",[1]stages!$2:$2,0)+1,FALSE)</f>
        <v>23-1．牙森の子どもたち</v>
      </c>
      <c r="G96" s="3" t="str">
        <f ca="1">VLOOKUP($B96&amp;"_"&amp;$E96,OFFSET([1]stages!$A$1,0,0,COUNTA([1]stages!$A:$A),MATCH(G$1,[1]stages!$2:$2,0)-MATCH("temp_stage",[1]stages!$2:$2,0)+1),MATCH(G$1,[1]stages!$2:$2,0)-MATCH("temp_stage",[1]stages!$2:$2,0)+1,FALSE)</f>
        <v>緑DL5</v>
      </c>
      <c r="H96" s="17">
        <v>0</v>
      </c>
      <c r="I96">
        <v>39</v>
      </c>
      <c r="J96" s="4" t="s">
        <v>17</v>
      </c>
      <c r="K96" s="27" t="str">
        <f>VLOOKUP(I96,[2]stage_hints!$A:$C,3,FALSE)</f>
        <v>システム適合者を確認</v>
      </c>
      <c r="L96" s="28" t="str">
        <f>VLOOKUP(I96,[2]stage_hints!$A:$D,4,FALSE)</f>
        <v>ALICEが 「アナタ」を呼んでいます</v>
      </c>
      <c r="M96" s="20" t="s">
        <v>24</v>
      </c>
    </row>
    <row r="97" spans="1:13" x14ac:dyDescent="0.15">
      <c r="A97" s="25" t="s">
        <v>33</v>
      </c>
      <c r="B97">
        <v>23</v>
      </c>
      <c r="C97" s="3" t="str">
        <f ca="1">VLOOKUP($B97,OFFSET([1]quests!$A$1,0,0,COUNTA([1]quests!$A:$A),MATCH(C$1,[1]quests!$1:$1,0)-MATCH($B$1,[1]quests!$1:$1,0)+1),MATCH(C$1,[1]quests!$1:$1,0)-MATCH($B$1,[1]quests!$1:$1,0)+1,FALSE)</f>
        <v>23．ファングフォレスト</v>
      </c>
      <c r="D97" s="3" t="str">
        <f ca="1">VLOOKUP($B97,OFFSET([1]quests!$A$1,0,0,COUNTA([1]quests!$A:$A),MATCH(D$1,[1]quests!$1:$1,0)-MATCH($B$1,[1]quests!$1:$1,0)+1),MATCH(D$1,[1]quests!$1:$1,0)-MATCH($B$1,[1]quests!$1:$1,0)+1,FALSE)</f>
        <v>緑DL5</v>
      </c>
      <c r="E97">
        <v>2</v>
      </c>
      <c r="F97" s="3" t="str">
        <f ca="1">VLOOKUP($B97&amp;"_"&amp;$E97,OFFSET([1]stages!$A$1,0,0,COUNTA([1]stages!$A:$A),MATCH(F$1,[1]stages!$2:$2,0)-MATCH("temp_stage",[1]stages!$2:$2,0)+1),MATCH(F$1,[1]stages!$2:$2,0)-MATCH("temp_stage",[1]stages!$2:$2,0)+1,FALSE)</f>
        <v>23-2．微笑みの猛蛇</v>
      </c>
      <c r="G97" s="3" t="str">
        <f ca="1">VLOOKUP($B97&amp;"_"&amp;$E97,OFFSET([1]stages!$A$1,0,0,COUNTA([1]stages!$A:$A),MATCH(G$1,[1]stages!$2:$2,0)-MATCH("temp_stage",[1]stages!$2:$2,0)+1),MATCH(G$1,[1]stages!$2:$2,0)-MATCH("temp_stage",[1]stages!$2:$2,0)+1,FALSE)</f>
        <v>緑DL5</v>
      </c>
      <c r="H97" s="17">
        <v>0</v>
      </c>
      <c r="I97">
        <v>39</v>
      </c>
      <c r="J97" s="4" t="s">
        <v>17</v>
      </c>
      <c r="K97" s="27" t="str">
        <f>VLOOKUP(I97,[2]stage_hints!$A:$C,3,FALSE)</f>
        <v>システム適合者を確認</v>
      </c>
      <c r="L97" s="28" t="str">
        <f>VLOOKUP(I97,[2]stage_hints!$A:$D,4,FALSE)</f>
        <v>ALICEが 「アナタ」を呼んでいます</v>
      </c>
      <c r="M97" s="20" t="s">
        <v>24</v>
      </c>
    </row>
    <row r="98" spans="1:13" x14ac:dyDescent="0.15">
      <c r="A98" s="25" t="s">
        <v>33</v>
      </c>
      <c r="B98">
        <v>23</v>
      </c>
      <c r="C98" s="3" t="str">
        <f ca="1">VLOOKUP($B98,OFFSET([1]quests!$A$1,0,0,COUNTA([1]quests!$A:$A),MATCH(C$1,[1]quests!$1:$1,0)-MATCH($B$1,[1]quests!$1:$1,0)+1),MATCH(C$1,[1]quests!$1:$1,0)-MATCH($B$1,[1]quests!$1:$1,0)+1,FALSE)</f>
        <v>23．ファングフォレスト</v>
      </c>
      <c r="D98" s="3" t="str">
        <f ca="1">VLOOKUP($B98,OFFSET([1]quests!$A$1,0,0,COUNTA([1]quests!$A:$A),MATCH(D$1,[1]quests!$1:$1,0)-MATCH($B$1,[1]quests!$1:$1,0)+1),MATCH(D$1,[1]quests!$1:$1,0)-MATCH($B$1,[1]quests!$1:$1,0)+1,FALSE)</f>
        <v>緑DL5</v>
      </c>
      <c r="E98">
        <v>3</v>
      </c>
      <c r="F98" s="3" t="str">
        <f ca="1">VLOOKUP($B98&amp;"_"&amp;$E98,OFFSET([1]stages!$A$1,0,0,COUNTA([1]stages!$A:$A),MATCH(F$1,[1]stages!$2:$2,0)-MATCH("temp_stage",[1]stages!$2:$2,0)+1),MATCH(F$1,[1]stages!$2:$2,0)-MATCH("temp_stage",[1]stages!$2:$2,0)+1,FALSE)</f>
        <v>23-3．震える大地</v>
      </c>
      <c r="G98" s="3" t="str">
        <f ca="1">VLOOKUP($B98&amp;"_"&amp;$E98,OFFSET([1]stages!$A$1,0,0,COUNTA([1]stages!$A:$A),MATCH(G$1,[1]stages!$2:$2,0)-MATCH("temp_stage",[1]stages!$2:$2,0)+1),MATCH(G$1,[1]stages!$2:$2,0)-MATCH("temp_stage",[1]stages!$2:$2,0)+1,FALSE)</f>
        <v>緑DL5</v>
      </c>
      <c r="H98" s="17">
        <v>0</v>
      </c>
      <c r="I98">
        <v>39</v>
      </c>
      <c r="J98" s="4" t="s">
        <v>17</v>
      </c>
      <c r="K98" s="27" t="str">
        <f>VLOOKUP(I98,[2]stage_hints!$A:$C,3,FALSE)</f>
        <v>システム適合者を確認</v>
      </c>
      <c r="L98" s="28" t="str">
        <f>VLOOKUP(I98,[2]stage_hints!$A:$D,4,FALSE)</f>
        <v>ALICEが 「アナタ」を呼んでいます</v>
      </c>
      <c r="M98" s="20" t="s">
        <v>24</v>
      </c>
    </row>
    <row r="99" spans="1:13" x14ac:dyDescent="0.15">
      <c r="A99" s="25" t="s">
        <v>33</v>
      </c>
      <c r="B99">
        <v>23</v>
      </c>
      <c r="C99" s="3" t="str">
        <f ca="1">VLOOKUP($B99,OFFSET([1]quests!$A$1,0,0,COUNTA([1]quests!$A:$A),MATCH(C$1,[1]quests!$1:$1,0)-MATCH($B$1,[1]quests!$1:$1,0)+1),MATCH(C$1,[1]quests!$1:$1,0)-MATCH($B$1,[1]quests!$1:$1,0)+1,FALSE)</f>
        <v>23．ファングフォレスト</v>
      </c>
      <c r="D99" s="3" t="str">
        <f ca="1">VLOOKUP($B99,OFFSET([1]quests!$A$1,0,0,COUNTA([1]quests!$A:$A),MATCH(D$1,[1]quests!$1:$1,0)-MATCH($B$1,[1]quests!$1:$1,0)+1),MATCH(D$1,[1]quests!$1:$1,0)-MATCH($B$1,[1]quests!$1:$1,0)+1,FALSE)</f>
        <v>緑DL5</v>
      </c>
      <c r="E99">
        <v>4</v>
      </c>
      <c r="F99" s="3" t="str">
        <f ca="1">VLOOKUP($B99&amp;"_"&amp;$E99,OFFSET([1]stages!$A$1,0,0,COUNTA([1]stages!$A:$A),MATCH(F$1,[1]stages!$2:$2,0)-MATCH("temp_stage",[1]stages!$2:$2,0)+1),MATCH(F$1,[1]stages!$2:$2,0)-MATCH("temp_stage",[1]stages!$2:$2,0)+1,FALSE)</f>
        <v>23-4．森は咬み千切る</v>
      </c>
      <c r="G99" s="3" t="str">
        <f ca="1">VLOOKUP($B99&amp;"_"&amp;$E99,OFFSET([1]stages!$A$1,0,0,COUNTA([1]stages!$A:$A),MATCH(G$1,[1]stages!$2:$2,0)-MATCH("temp_stage",[1]stages!$2:$2,0)+1),MATCH(G$1,[1]stages!$2:$2,0)-MATCH("temp_stage",[1]stages!$2:$2,0)+1,FALSE)</f>
        <v>緑DL5</v>
      </c>
      <c r="H99" s="17">
        <v>0</v>
      </c>
      <c r="I99">
        <v>39</v>
      </c>
      <c r="J99" s="4" t="s">
        <v>17</v>
      </c>
      <c r="K99" s="27" t="str">
        <f>VLOOKUP(I99,[2]stage_hints!$A:$C,3,FALSE)</f>
        <v>システム適合者を確認</v>
      </c>
      <c r="L99" s="28" t="str">
        <f>VLOOKUP(I99,[2]stage_hints!$A:$D,4,FALSE)</f>
        <v>ALICEが 「アナタ」を呼んでいます</v>
      </c>
      <c r="M99" s="20" t="s">
        <v>24</v>
      </c>
    </row>
    <row r="100" spans="1:13" x14ac:dyDescent="0.15">
      <c r="A100" s="25" t="s">
        <v>33</v>
      </c>
      <c r="B100">
        <v>23</v>
      </c>
      <c r="C100" s="3" t="str">
        <f ca="1">VLOOKUP($B100,OFFSET([1]quests!$A$1,0,0,COUNTA([1]quests!$A:$A),MATCH(C$1,[1]quests!$1:$1,0)-MATCH($B$1,[1]quests!$1:$1,0)+1),MATCH(C$1,[1]quests!$1:$1,0)-MATCH($B$1,[1]quests!$1:$1,0)+1,FALSE)</f>
        <v>23．ファングフォレスト</v>
      </c>
      <c r="D100" s="3" t="str">
        <f ca="1">VLOOKUP($B100,OFFSET([1]quests!$A$1,0,0,COUNTA([1]quests!$A:$A),MATCH(D$1,[1]quests!$1:$1,0)-MATCH($B$1,[1]quests!$1:$1,0)+1),MATCH(D$1,[1]quests!$1:$1,0)-MATCH($B$1,[1]quests!$1:$1,0)+1,FALSE)</f>
        <v>緑DL5</v>
      </c>
      <c r="E100">
        <v>5</v>
      </c>
      <c r="F100" s="3" t="str">
        <f ca="1">VLOOKUP($B100&amp;"_"&amp;$E100,OFFSET([1]stages!$A$1,0,0,COUNTA([1]stages!$A:$A),MATCH(F$1,[1]stages!$2:$2,0)-MATCH("temp_stage",[1]stages!$2:$2,0)+1),MATCH(F$1,[1]stages!$2:$2,0)-MATCH("temp_stage",[1]stages!$2:$2,0)+1,FALSE)</f>
        <v>23-5．目醒めの子どもたち</v>
      </c>
      <c r="G100" s="3" t="str">
        <f ca="1">VLOOKUP($B100&amp;"_"&amp;$E100,OFFSET([1]stages!$A$1,0,0,COUNTA([1]stages!$A:$A),MATCH(G$1,[1]stages!$2:$2,0)-MATCH("temp_stage",[1]stages!$2:$2,0)+1),MATCH(G$1,[1]stages!$2:$2,0)-MATCH("temp_stage",[1]stages!$2:$2,0)+1,FALSE)</f>
        <v>緑DL5</v>
      </c>
      <c r="H100" s="17">
        <v>0</v>
      </c>
      <c r="I100">
        <v>39</v>
      </c>
      <c r="J100" s="4" t="s">
        <v>17</v>
      </c>
      <c r="K100" s="27" t="str">
        <f>VLOOKUP(I100,[2]stage_hints!$A:$C,3,FALSE)</f>
        <v>システム適合者を確認</v>
      </c>
      <c r="L100" s="28" t="str">
        <f>VLOOKUP(I100,[2]stage_hints!$A:$D,4,FALSE)</f>
        <v>ALICEが 「アナタ」を呼んでいます</v>
      </c>
      <c r="M100" s="20" t="s">
        <v>24</v>
      </c>
    </row>
    <row r="101" spans="1:13" x14ac:dyDescent="0.15">
      <c r="A101" s="25" t="s">
        <v>33</v>
      </c>
      <c r="B101">
        <v>23</v>
      </c>
      <c r="C101" s="3" t="str">
        <f ca="1">VLOOKUP($B101,OFFSET([1]quests!$A$1,0,0,COUNTA([1]quests!$A:$A),MATCH(C$1,[1]quests!$1:$1,0)-MATCH($B$1,[1]quests!$1:$1,0)+1),MATCH(C$1,[1]quests!$1:$1,0)-MATCH($B$1,[1]quests!$1:$1,0)+1,FALSE)</f>
        <v>23．ファングフォレスト</v>
      </c>
      <c r="D101" s="3" t="str">
        <f ca="1">VLOOKUP($B101,OFFSET([1]quests!$A$1,0,0,COUNTA([1]quests!$A:$A),MATCH(D$1,[1]quests!$1:$1,0)-MATCH($B$1,[1]quests!$1:$1,0)+1),MATCH(D$1,[1]quests!$1:$1,0)-MATCH($B$1,[1]quests!$1:$1,0)+1,FALSE)</f>
        <v>緑DL5</v>
      </c>
      <c r="E101">
        <v>6</v>
      </c>
      <c r="F101" s="3" t="str">
        <f ca="1">VLOOKUP($B101&amp;"_"&amp;$E101,OFFSET([1]stages!$A$1,0,0,COUNTA([1]stages!$A:$A),MATCH(F$1,[1]stages!$2:$2,0)-MATCH("temp_stage",[1]stages!$2:$2,0)+1),MATCH(F$1,[1]stages!$2:$2,0)-MATCH("temp_stage",[1]stages!$2:$2,0)+1,FALSE)</f>
        <v>23-6．【1回のみ】ボーナスステージ</v>
      </c>
      <c r="G101" s="3" t="str">
        <f ca="1">VLOOKUP($B101&amp;"_"&amp;$E101,OFFSET([1]stages!$A$1,0,0,COUNTA([1]stages!$A:$A),MATCH(G$1,[1]stages!$2:$2,0)-MATCH("temp_stage",[1]stages!$2:$2,0)+1),MATCH(G$1,[1]stages!$2:$2,0)-MATCH("temp_stage",[1]stages!$2:$2,0)+1,FALSE)</f>
        <v>緑DL5</v>
      </c>
      <c r="H101" s="17">
        <v>0</v>
      </c>
      <c r="I101">
        <v>39</v>
      </c>
      <c r="J101" s="4" t="s">
        <v>17</v>
      </c>
      <c r="K101" s="27" t="str">
        <f>VLOOKUP(I101,[2]stage_hints!$A:$C,3,FALSE)</f>
        <v>システム適合者を確認</v>
      </c>
      <c r="L101" s="28" t="str">
        <f>VLOOKUP(I101,[2]stage_hints!$A:$D,4,FALSE)</f>
        <v>ALICEが 「アナタ」を呼んでいます</v>
      </c>
      <c r="M101" s="20" t="s">
        <v>24</v>
      </c>
    </row>
    <row r="102" spans="1:13" x14ac:dyDescent="0.15">
      <c r="A102" s="25" t="s">
        <v>33</v>
      </c>
      <c r="B102">
        <v>24</v>
      </c>
      <c r="C102" s="3" t="str">
        <f ca="1">VLOOKUP($B102,OFFSET([1]quests!$A$1,0,0,COUNTA([1]quests!$A:$A),MATCH(C$1,[1]quests!$1:$1,0)-MATCH($B$1,[1]quests!$1:$1,0)+1),MATCH(C$1,[1]quests!$1:$1,0)-MATCH($B$1,[1]quests!$1:$1,0)+1,FALSE)</f>
        <v>24．バトルフィールドヘヴン</v>
      </c>
      <c r="D102" s="3" t="str">
        <f ca="1">VLOOKUP($B102,OFFSET([1]quests!$A$1,0,0,COUNTA([1]quests!$A:$A),MATCH(D$1,[1]quests!$1:$1,0)-MATCH($B$1,[1]quests!$1:$1,0)+1),MATCH(D$1,[1]quests!$1:$1,0)-MATCH($B$1,[1]quests!$1:$1,0)+1,FALSE)</f>
        <v>黄DL5</v>
      </c>
      <c r="E102">
        <v>1</v>
      </c>
      <c r="F102" s="3" t="str">
        <f ca="1">VLOOKUP($B102&amp;"_"&amp;$E102,OFFSET([1]stages!$A$1,0,0,COUNTA([1]stages!$A:$A),MATCH(F$1,[1]stages!$2:$2,0)-MATCH("temp_stage",[1]stages!$2:$2,0)+1),MATCH(F$1,[1]stages!$2:$2,0)-MATCH("temp_stage",[1]stages!$2:$2,0)+1,FALSE)</f>
        <v>24-1．開戦の電磁</v>
      </c>
      <c r="G102" s="3" t="str">
        <f ca="1">VLOOKUP($B102&amp;"_"&amp;$E102,OFFSET([1]stages!$A$1,0,0,COUNTA([1]stages!$A:$A),MATCH(G$1,[1]stages!$2:$2,0)-MATCH("temp_stage",[1]stages!$2:$2,0)+1),MATCH(G$1,[1]stages!$2:$2,0)-MATCH("temp_stage",[1]stages!$2:$2,0)+1,FALSE)</f>
        <v>黄DL5</v>
      </c>
      <c r="H102" s="17">
        <v>0</v>
      </c>
      <c r="I102">
        <v>39</v>
      </c>
      <c r="J102" s="4" t="s">
        <v>17</v>
      </c>
      <c r="K102" s="27" t="str">
        <f>VLOOKUP(I102,[2]stage_hints!$A:$C,3,FALSE)</f>
        <v>システム適合者を確認</v>
      </c>
      <c r="L102" s="28" t="str">
        <f>VLOOKUP(I102,[2]stage_hints!$A:$D,4,FALSE)</f>
        <v>ALICEが 「アナタ」を呼んでいます</v>
      </c>
      <c r="M102" s="20" t="s">
        <v>24</v>
      </c>
    </row>
    <row r="103" spans="1:13" x14ac:dyDescent="0.15">
      <c r="A103" s="25" t="s">
        <v>33</v>
      </c>
      <c r="B103">
        <v>24</v>
      </c>
      <c r="C103" s="3" t="str">
        <f ca="1">VLOOKUP($B103,OFFSET([1]quests!$A$1,0,0,COUNTA([1]quests!$A:$A),MATCH(C$1,[1]quests!$1:$1,0)-MATCH($B$1,[1]quests!$1:$1,0)+1),MATCH(C$1,[1]quests!$1:$1,0)-MATCH($B$1,[1]quests!$1:$1,0)+1,FALSE)</f>
        <v>24．バトルフィールドヘヴン</v>
      </c>
      <c r="D103" s="3" t="str">
        <f ca="1">VLOOKUP($B103,OFFSET([1]quests!$A$1,0,0,COUNTA([1]quests!$A:$A),MATCH(D$1,[1]quests!$1:$1,0)-MATCH($B$1,[1]quests!$1:$1,0)+1),MATCH(D$1,[1]quests!$1:$1,0)-MATCH($B$1,[1]quests!$1:$1,0)+1,FALSE)</f>
        <v>黄DL5</v>
      </c>
      <c r="E103">
        <v>2</v>
      </c>
      <c r="F103" s="3" t="str">
        <f ca="1">VLOOKUP($B103&amp;"_"&amp;$E103,OFFSET([1]stages!$A$1,0,0,COUNTA([1]stages!$A:$A),MATCH(F$1,[1]stages!$2:$2,0)-MATCH("temp_stage",[1]stages!$2:$2,0)+1),MATCH(F$1,[1]stages!$2:$2,0)-MATCH("temp_stage",[1]stages!$2:$2,0)+1,FALSE)</f>
        <v>24-2．奇襲と増援</v>
      </c>
      <c r="G103" s="3" t="str">
        <f ca="1">VLOOKUP($B103&amp;"_"&amp;$E103,OFFSET([1]stages!$A$1,0,0,COUNTA([1]stages!$A:$A),MATCH(G$1,[1]stages!$2:$2,0)-MATCH("temp_stage",[1]stages!$2:$2,0)+1),MATCH(G$1,[1]stages!$2:$2,0)-MATCH("temp_stage",[1]stages!$2:$2,0)+1,FALSE)</f>
        <v>黄DL5</v>
      </c>
      <c r="H103" s="17">
        <v>0</v>
      </c>
      <c r="I103">
        <v>39</v>
      </c>
      <c r="J103" s="4" t="s">
        <v>17</v>
      </c>
      <c r="K103" s="27" t="str">
        <f>VLOOKUP(I103,[2]stage_hints!$A:$C,3,FALSE)</f>
        <v>システム適合者を確認</v>
      </c>
      <c r="L103" s="28" t="str">
        <f>VLOOKUP(I103,[2]stage_hints!$A:$D,4,FALSE)</f>
        <v>ALICEが 「アナタ」を呼んでいます</v>
      </c>
      <c r="M103" s="20" t="s">
        <v>24</v>
      </c>
    </row>
    <row r="104" spans="1:13" x14ac:dyDescent="0.15">
      <c r="A104" s="25" t="s">
        <v>33</v>
      </c>
      <c r="B104">
        <v>24</v>
      </c>
      <c r="C104" s="3" t="str">
        <f ca="1">VLOOKUP($B104,OFFSET([1]quests!$A$1,0,0,COUNTA([1]quests!$A:$A),MATCH(C$1,[1]quests!$1:$1,0)-MATCH($B$1,[1]quests!$1:$1,0)+1),MATCH(C$1,[1]quests!$1:$1,0)-MATCH($B$1,[1]quests!$1:$1,0)+1,FALSE)</f>
        <v>24．バトルフィールドヘヴン</v>
      </c>
      <c r="D104" s="3" t="str">
        <f ca="1">VLOOKUP($B104,OFFSET([1]quests!$A$1,0,0,COUNTA([1]quests!$A:$A),MATCH(D$1,[1]quests!$1:$1,0)-MATCH($B$1,[1]quests!$1:$1,0)+1),MATCH(D$1,[1]quests!$1:$1,0)-MATCH($B$1,[1]quests!$1:$1,0)+1,FALSE)</f>
        <v>黄DL5</v>
      </c>
      <c r="E104">
        <v>3</v>
      </c>
      <c r="F104" s="3" t="str">
        <f ca="1">VLOOKUP($B104&amp;"_"&amp;$E104,OFFSET([1]stages!$A$1,0,0,COUNTA([1]stages!$A:$A),MATCH(F$1,[1]stages!$2:$2,0)-MATCH("temp_stage",[1]stages!$2:$2,0)+1),MATCH(F$1,[1]stages!$2:$2,0)-MATCH("temp_stage",[1]stages!$2:$2,0)+1,FALSE)</f>
        <v>24-3．武器を花に変えて</v>
      </c>
      <c r="G104" s="3" t="str">
        <f ca="1">VLOOKUP($B104&amp;"_"&amp;$E104,OFFSET([1]stages!$A$1,0,0,COUNTA([1]stages!$A:$A),MATCH(G$1,[1]stages!$2:$2,0)-MATCH("temp_stage",[1]stages!$2:$2,0)+1),MATCH(G$1,[1]stages!$2:$2,0)-MATCH("temp_stage",[1]stages!$2:$2,0)+1,FALSE)</f>
        <v>黄DL5</v>
      </c>
      <c r="H104" s="17">
        <v>0</v>
      </c>
      <c r="I104">
        <v>39</v>
      </c>
      <c r="J104" s="4" t="s">
        <v>17</v>
      </c>
      <c r="K104" s="27" t="str">
        <f>VLOOKUP(I104,[2]stage_hints!$A:$C,3,FALSE)</f>
        <v>システム適合者を確認</v>
      </c>
      <c r="L104" s="28" t="str">
        <f>VLOOKUP(I104,[2]stage_hints!$A:$D,4,FALSE)</f>
        <v>ALICEが 「アナタ」を呼んでいます</v>
      </c>
      <c r="M104" s="20" t="s">
        <v>24</v>
      </c>
    </row>
    <row r="105" spans="1:13" x14ac:dyDescent="0.15">
      <c r="A105" s="25" t="s">
        <v>33</v>
      </c>
      <c r="B105">
        <v>24</v>
      </c>
      <c r="C105" s="3" t="str">
        <f ca="1">VLOOKUP($B105,OFFSET([1]quests!$A$1,0,0,COUNTA([1]quests!$A:$A),MATCH(C$1,[1]quests!$1:$1,0)-MATCH($B$1,[1]quests!$1:$1,0)+1),MATCH(C$1,[1]quests!$1:$1,0)-MATCH($B$1,[1]quests!$1:$1,0)+1,FALSE)</f>
        <v>24．バトルフィールドヘヴン</v>
      </c>
      <c r="D105" s="3" t="str">
        <f ca="1">VLOOKUP($B105,OFFSET([1]quests!$A$1,0,0,COUNTA([1]quests!$A:$A),MATCH(D$1,[1]quests!$1:$1,0)-MATCH($B$1,[1]quests!$1:$1,0)+1),MATCH(D$1,[1]quests!$1:$1,0)-MATCH($B$1,[1]quests!$1:$1,0)+1,FALSE)</f>
        <v>黄DL5</v>
      </c>
      <c r="E105">
        <v>4</v>
      </c>
      <c r="F105" s="3" t="str">
        <f ca="1">VLOOKUP($B105&amp;"_"&amp;$E105,OFFSET([1]stages!$A$1,0,0,COUNTA([1]stages!$A:$A),MATCH(F$1,[1]stages!$2:$2,0)-MATCH("temp_stage",[1]stages!$2:$2,0)+1),MATCH(F$1,[1]stages!$2:$2,0)-MATCH("temp_stage",[1]stages!$2:$2,0)+1,FALSE)</f>
        <v>24-4．肉弾の虎将</v>
      </c>
      <c r="G105" s="3" t="str">
        <f ca="1">VLOOKUP($B105&amp;"_"&amp;$E105,OFFSET([1]stages!$A$1,0,0,COUNTA([1]stages!$A:$A),MATCH(G$1,[1]stages!$2:$2,0)-MATCH("temp_stage",[1]stages!$2:$2,0)+1),MATCH(G$1,[1]stages!$2:$2,0)-MATCH("temp_stage",[1]stages!$2:$2,0)+1,FALSE)</f>
        <v>黄DL5</v>
      </c>
      <c r="H105" s="17">
        <v>0</v>
      </c>
      <c r="I105">
        <v>39</v>
      </c>
      <c r="J105" s="4" t="s">
        <v>17</v>
      </c>
      <c r="K105" s="27" t="str">
        <f>VLOOKUP(I105,[2]stage_hints!$A:$C,3,FALSE)</f>
        <v>システム適合者を確認</v>
      </c>
      <c r="L105" s="28" t="str">
        <f>VLOOKUP(I105,[2]stage_hints!$A:$D,4,FALSE)</f>
        <v>ALICEが 「アナタ」を呼んでいます</v>
      </c>
      <c r="M105" s="20" t="s">
        <v>24</v>
      </c>
    </row>
    <row r="106" spans="1:13" x14ac:dyDescent="0.15">
      <c r="A106" s="25" t="s">
        <v>33</v>
      </c>
      <c r="B106">
        <v>24</v>
      </c>
      <c r="C106" s="3" t="str">
        <f ca="1">VLOOKUP($B106,OFFSET([1]quests!$A$1,0,0,COUNTA([1]quests!$A:$A),MATCH(C$1,[1]quests!$1:$1,0)-MATCH($B$1,[1]quests!$1:$1,0)+1),MATCH(C$1,[1]quests!$1:$1,0)-MATCH($B$1,[1]quests!$1:$1,0)+1,FALSE)</f>
        <v>24．バトルフィールドヘヴン</v>
      </c>
      <c r="D106" s="3" t="str">
        <f ca="1">VLOOKUP($B106,OFFSET([1]quests!$A$1,0,0,COUNTA([1]quests!$A:$A),MATCH(D$1,[1]quests!$1:$1,0)-MATCH($B$1,[1]quests!$1:$1,0)+1),MATCH(D$1,[1]quests!$1:$1,0)-MATCH($B$1,[1]quests!$1:$1,0)+1,FALSE)</f>
        <v>黄DL5</v>
      </c>
      <c r="E106">
        <v>5</v>
      </c>
      <c r="F106" s="3" t="str">
        <f ca="1">VLOOKUP($B106&amp;"_"&amp;$E106,OFFSET([1]stages!$A$1,0,0,COUNTA([1]stages!$A:$A),MATCH(F$1,[1]stages!$2:$2,0)-MATCH("temp_stage",[1]stages!$2:$2,0)+1),MATCH(F$1,[1]stages!$2:$2,0)-MATCH("temp_stage",[1]stages!$2:$2,0)+1,FALSE)</f>
        <v>24-5．決戦のヘヴン</v>
      </c>
      <c r="G106" s="3" t="str">
        <f ca="1">VLOOKUP($B106&amp;"_"&amp;$E106,OFFSET([1]stages!$A$1,0,0,COUNTA([1]stages!$A:$A),MATCH(G$1,[1]stages!$2:$2,0)-MATCH("temp_stage",[1]stages!$2:$2,0)+1),MATCH(G$1,[1]stages!$2:$2,0)-MATCH("temp_stage",[1]stages!$2:$2,0)+1,FALSE)</f>
        <v>黄DL5</v>
      </c>
      <c r="H106" s="17">
        <v>0</v>
      </c>
      <c r="I106">
        <v>39</v>
      </c>
      <c r="J106" s="4" t="s">
        <v>17</v>
      </c>
      <c r="K106" s="27" t="str">
        <f>VLOOKUP(I106,[2]stage_hints!$A:$C,3,FALSE)</f>
        <v>システム適合者を確認</v>
      </c>
      <c r="L106" s="28" t="str">
        <f>VLOOKUP(I106,[2]stage_hints!$A:$D,4,FALSE)</f>
        <v>ALICEが 「アナタ」を呼んでいます</v>
      </c>
      <c r="M106" s="20" t="s">
        <v>24</v>
      </c>
    </row>
    <row r="107" spans="1:13" x14ac:dyDescent="0.15">
      <c r="A107" s="25" t="s">
        <v>33</v>
      </c>
      <c r="B107">
        <v>24</v>
      </c>
      <c r="C107" s="3" t="str">
        <f ca="1">VLOOKUP($B107,OFFSET([1]quests!$A$1,0,0,COUNTA([1]quests!$A:$A),MATCH(C$1,[1]quests!$1:$1,0)-MATCH($B$1,[1]quests!$1:$1,0)+1),MATCH(C$1,[1]quests!$1:$1,0)-MATCH($B$1,[1]quests!$1:$1,0)+1,FALSE)</f>
        <v>24．バトルフィールドヘヴン</v>
      </c>
      <c r="D107" s="3" t="str">
        <f ca="1">VLOOKUP($B107,OFFSET([1]quests!$A$1,0,0,COUNTA([1]quests!$A:$A),MATCH(D$1,[1]quests!$1:$1,0)-MATCH($B$1,[1]quests!$1:$1,0)+1),MATCH(D$1,[1]quests!$1:$1,0)-MATCH($B$1,[1]quests!$1:$1,0)+1,FALSE)</f>
        <v>黄DL5</v>
      </c>
      <c r="E107">
        <v>6</v>
      </c>
      <c r="F107" s="3" t="str">
        <f ca="1">VLOOKUP($B107&amp;"_"&amp;$E107,OFFSET([1]stages!$A$1,0,0,COUNTA([1]stages!$A:$A),MATCH(F$1,[1]stages!$2:$2,0)-MATCH("temp_stage",[1]stages!$2:$2,0)+1),MATCH(F$1,[1]stages!$2:$2,0)-MATCH("temp_stage",[1]stages!$2:$2,0)+1,FALSE)</f>
        <v>24-6．【1回のみ】ボーナスステージ</v>
      </c>
      <c r="G107" s="3" t="str">
        <f ca="1">VLOOKUP($B107&amp;"_"&amp;$E107,OFFSET([1]stages!$A$1,0,0,COUNTA([1]stages!$A:$A),MATCH(G$1,[1]stages!$2:$2,0)-MATCH("temp_stage",[1]stages!$2:$2,0)+1),MATCH(G$1,[1]stages!$2:$2,0)-MATCH("temp_stage",[1]stages!$2:$2,0)+1,FALSE)</f>
        <v>黄DL5</v>
      </c>
      <c r="H107" s="17">
        <v>0</v>
      </c>
      <c r="I107">
        <v>39</v>
      </c>
      <c r="J107" s="4" t="s">
        <v>17</v>
      </c>
      <c r="K107" s="27" t="str">
        <f>VLOOKUP(I107,[2]stage_hints!$A:$C,3,FALSE)</f>
        <v>システム適合者を確認</v>
      </c>
      <c r="L107" s="28" t="str">
        <f>VLOOKUP(I107,[2]stage_hints!$A:$D,4,FALSE)</f>
        <v>ALICEが 「アナタ」を呼んでいます</v>
      </c>
      <c r="M107" s="20" t="s">
        <v>24</v>
      </c>
    </row>
    <row r="108" spans="1:13" x14ac:dyDescent="0.15">
      <c r="A108" s="25" t="s">
        <v>33</v>
      </c>
      <c r="B108">
        <v>25</v>
      </c>
      <c r="C108" s="3" t="str">
        <f ca="1">VLOOKUP($B108,OFFSET([1]quests!$A$1,0,0,COUNTA([1]quests!$A:$A),MATCH(C$1,[1]quests!$1:$1,0)-MATCH($B$1,[1]quests!$1:$1,0)+1),MATCH(C$1,[1]quests!$1:$1,0)-MATCH($B$1,[1]quests!$1:$1,0)+1,FALSE)</f>
        <v>25．サディスティックパーティ</v>
      </c>
      <c r="D108" s="3" t="str">
        <f ca="1">VLOOKUP($B108,OFFSET([1]quests!$A$1,0,0,COUNTA([1]quests!$A:$A),MATCH(D$1,[1]quests!$1:$1,0)-MATCH($B$1,[1]quests!$1:$1,0)+1),MATCH(D$1,[1]quests!$1:$1,0)-MATCH($B$1,[1]quests!$1:$1,0)+1,FALSE)</f>
        <v>青DL5</v>
      </c>
      <c r="E108">
        <v>1</v>
      </c>
      <c r="F108" s="3" t="str">
        <f ca="1">VLOOKUP($B108&amp;"_"&amp;$E108,OFFSET([1]stages!$A$1,0,0,COUNTA([1]stages!$A:$A),MATCH(F$1,[1]stages!$2:$2,0)-MATCH("temp_stage",[1]stages!$2:$2,0)+1),MATCH(F$1,[1]stages!$2:$2,0)-MATCH("temp_stage",[1]stages!$2:$2,0)+1,FALSE)</f>
        <v>25-1．血塗られた招待状</v>
      </c>
      <c r="G108" s="3" t="str">
        <f ca="1">VLOOKUP($B108&amp;"_"&amp;$E108,OFFSET([1]stages!$A$1,0,0,COUNTA([1]stages!$A:$A),MATCH(G$1,[1]stages!$2:$2,0)-MATCH("temp_stage",[1]stages!$2:$2,0)+1),MATCH(G$1,[1]stages!$2:$2,0)-MATCH("temp_stage",[1]stages!$2:$2,0)+1,FALSE)</f>
        <v>青DL5</v>
      </c>
      <c r="H108" s="17">
        <v>0</v>
      </c>
      <c r="I108">
        <v>39</v>
      </c>
      <c r="J108" s="4" t="s">
        <v>17</v>
      </c>
      <c r="K108" s="27" t="str">
        <f>VLOOKUP(I108,[2]stage_hints!$A:$C,3,FALSE)</f>
        <v>システム適合者を確認</v>
      </c>
      <c r="L108" s="28" t="str">
        <f>VLOOKUP(I108,[2]stage_hints!$A:$D,4,FALSE)</f>
        <v>ALICEが 「アナタ」を呼んでいます</v>
      </c>
      <c r="M108" s="20" t="s">
        <v>24</v>
      </c>
    </row>
    <row r="109" spans="1:13" x14ac:dyDescent="0.15">
      <c r="A109" s="25" t="s">
        <v>33</v>
      </c>
      <c r="B109">
        <v>25</v>
      </c>
      <c r="C109" s="3" t="str">
        <f ca="1">VLOOKUP($B109,OFFSET([1]quests!$A$1,0,0,COUNTA([1]quests!$A:$A),MATCH(C$1,[1]quests!$1:$1,0)-MATCH($B$1,[1]quests!$1:$1,0)+1),MATCH(C$1,[1]quests!$1:$1,0)-MATCH($B$1,[1]quests!$1:$1,0)+1,FALSE)</f>
        <v>25．サディスティックパーティ</v>
      </c>
      <c r="D109" s="3" t="str">
        <f ca="1">VLOOKUP($B109,OFFSET([1]quests!$A$1,0,0,COUNTA([1]quests!$A:$A),MATCH(D$1,[1]quests!$1:$1,0)-MATCH($B$1,[1]quests!$1:$1,0)+1),MATCH(D$1,[1]quests!$1:$1,0)-MATCH($B$1,[1]quests!$1:$1,0)+1,FALSE)</f>
        <v>青DL5</v>
      </c>
      <c r="E109">
        <v>2</v>
      </c>
      <c r="F109" s="3" t="str">
        <f ca="1">VLOOKUP($B109&amp;"_"&amp;$E109,OFFSET([1]stages!$A$1,0,0,COUNTA([1]stages!$A:$A),MATCH(F$1,[1]stages!$2:$2,0)-MATCH("temp_stage",[1]stages!$2:$2,0)+1),MATCH(F$1,[1]stages!$2:$2,0)-MATCH("temp_stage",[1]stages!$2:$2,0)+1,FALSE)</f>
        <v>25-2．剣の舞</v>
      </c>
      <c r="G109" s="3" t="str">
        <f ca="1">VLOOKUP($B109&amp;"_"&amp;$E109,OFFSET([1]stages!$A$1,0,0,COUNTA([1]stages!$A:$A),MATCH(G$1,[1]stages!$2:$2,0)-MATCH("temp_stage",[1]stages!$2:$2,0)+1),MATCH(G$1,[1]stages!$2:$2,0)-MATCH("temp_stage",[1]stages!$2:$2,0)+1,FALSE)</f>
        <v>青DL5</v>
      </c>
      <c r="H109" s="17">
        <v>0</v>
      </c>
      <c r="I109">
        <v>39</v>
      </c>
      <c r="J109" s="4" t="s">
        <v>17</v>
      </c>
      <c r="K109" s="27" t="str">
        <f>VLOOKUP(I109,[2]stage_hints!$A:$C,3,FALSE)</f>
        <v>システム適合者を確認</v>
      </c>
      <c r="L109" s="28" t="str">
        <f>VLOOKUP(I109,[2]stage_hints!$A:$D,4,FALSE)</f>
        <v>ALICEが 「アナタ」を呼んでいます</v>
      </c>
      <c r="M109" s="20" t="s">
        <v>24</v>
      </c>
    </row>
    <row r="110" spans="1:13" x14ac:dyDescent="0.15">
      <c r="A110" s="25" t="s">
        <v>33</v>
      </c>
      <c r="B110">
        <v>25</v>
      </c>
      <c r="C110" s="3" t="str">
        <f ca="1">VLOOKUP($B110,OFFSET([1]quests!$A$1,0,0,COUNTA([1]quests!$A:$A),MATCH(C$1,[1]quests!$1:$1,0)-MATCH($B$1,[1]quests!$1:$1,0)+1),MATCH(C$1,[1]quests!$1:$1,0)-MATCH($B$1,[1]quests!$1:$1,0)+1,FALSE)</f>
        <v>25．サディスティックパーティ</v>
      </c>
      <c r="D110" s="3" t="str">
        <f ca="1">VLOOKUP($B110,OFFSET([1]quests!$A$1,0,0,COUNTA([1]quests!$A:$A),MATCH(D$1,[1]quests!$1:$1,0)-MATCH($B$1,[1]quests!$1:$1,0)+1),MATCH(D$1,[1]quests!$1:$1,0)-MATCH($B$1,[1]quests!$1:$1,0)+1,FALSE)</f>
        <v>青DL5</v>
      </c>
      <c r="E110">
        <v>3</v>
      </c>
      <c r="F110" s="3" t="str">
        <f ca="1">VLOOKUP($B110&amp;"_"&amp;$E110,OFFSET([1]stages!$A$1,0,0,COUNTA([1]stages!$A:$A),MATCH(F$1,[1]stages!$2:$2,0)-MATCH("temp_stage",[1]stages!$2:$2,0)+1),MATCH(F$1,[1]stages!$2:$2,0)-MATCH("temp_stage",[1]stages!$2:$2,0)+1,FALSE)</f>
        <v>25-3．暗闇との対話</v>
      </c>
      <c r="G110" s="3" t="str">
        <f ca="1">VLOOKUP($B110&amp;"_"&amp;$E110,OFFSET([1]stages!$A$1,0,0,COUNTA([1]stages!$A:$A),MATCH(G$1,[1]stages!$2:$2,0)-MATCH("temp_stage",[1]stages!$2:$2,0)+1),MATCH(G$1,[1]stages!$2:$2,0)-MATCH("temp_stage",[1]stages!$2:$2,0)+1,FALSE)</f>
        <v>青DL5</v>
      </c>
      <c r="H110" s="17">
        <v>0</v>
      </c>
      <c r="I110">
        <v>39</v>
      </c>
      <c r="J110" s="4" t="s">
        <v>17</v>
      </c>
      <c r="K110" s="27" t="str">
        <f>VLOOKUP(I110,[2]stage_hints!$A:$C,3,FALSE)</f>
        <v>システム適合者を確認</v>
      </c>
      <c r="L110" s="28" t="str">
        <f>VLOOKUP(I110,[2]stage_hints!$A:$D,4,FALSE)</f>
        <v>ALICEが 「アナタ」を呼んでいます</v>
      </c>
      <c r="M110" s="20" t="s">
        <v>24</v>
      </c>
    </row>
    <row r="111" spans="1:13" x14ac:dyDescent="0.15">
      <c r="A111" s="25" t="s">
        <v>33</v>
      </c>
      <c r="B111">
        <v>25</v>
      </c>
      <c r="C111" s="3" t="str">
        <f ca="1">VLOOKUP($B111,OFFSET([1]quests!$A$1,0,0,COUNTA([1]quests!$A:$A),MATCH(C$1,[1]quests!$1:$1,0)-MATCH($B$1,[1]quests!$1:$1,0)+1),MATCH(C$1,[1]quests!$1:$1,0)-MATCH($B$1,[1]quests!$1:$1,0)+1,FALSE)</f>
        <v>25．サディスティックパーティ</v>
      </c>
      <c r="D111" s="3" t="str">
        <f ca="1">VLOOKUP($B111,OFFSET([1]quests!$A$1,0,0,COUNTA([1]quests!$A:$A),MATCH(D$1,[1]quests!$1:$1,0)-MATCH($B$1,[1]quests!$1:$1,0)+1),MATCH(D$1,[1]quests!$1:$1,0)-MATCH($B$1,[1]quests!$1:$1,0)+1,FALSE)</f>
        <v>青DL5</v>
      </c>
      <c r="E111">
        <v>4</v>
      </c>
      <c r="F111" s="3" t="str">
        <f ca="1">VLOOKUP($B111&amp;"_"&amp;$E111,OFFSET([1]stages!$A$1,0,0,COUNTA([1]stages!$A:$A),MATCH(F$1,[1]stages!$2:$2,0)-MATCH("temp_stage",[1]stages!$2:$2,0)+1),MATCH(F$1,[1]stages!$2:$2,0)-MATCH("temp_stage",[1]stages!$2:$2,0)+1,FALSE)</f>
        <v>25-4．許されぬ休息</v>
      </c>
      <c r="G111" s="3" t="str">
        <f ca="1">VLOOKUP($B111&amp;"_"&amp;$E111,OFFSET([1]stages!$A$1,0,0,COUNTA([1]stages!$A:$A),MATCH(G$1,[1]stages!$2:$2,0)-MATCH("temp_stage",[1]stages!$2:$2,0)+1),MATCH(G$1,[1]stages!$2:$2,0)-MATCH("temp_stage",[1]stages!$2:$2,0)+1,FALSE)</f>
        <v>青DL5</v>
      </c>
      <c r="H111" s="17">
        <v>0</v>
      </c>
      <c r="I111">
        <v>39</v>
      </c>
      <c r="J111" s="4" t="s">
        <v>17</v>
      </c>
      <c r="K111" s="27" t="str">
        <f>VLOOKUP(I111,[2]stage_hints!$A:$C,3,FALSE)</f>
        <v>システム適合者を確認</v>
      </c>
      <c r="L111" s="28" t="str">
        <f>VLOOKUP(I111,[2]stage_hints!$A:$D,4,FALSE)</f>
        <v>ALICEが 「アナタ」を呼んでいます</v>
      </c>
      <c r="M111" s="20" t="s">
        <v>24</v>
      </c>
    </row>
    <row r="112" spans="1:13" x14ac:dyDescent="0.15">
      <c r="A112" s="25" t="s">
        <v>33</v>
      </c>
      <c r="B112">
        <v>25</v>
      </c>
      <c r="C112" s="3" t="str">
        <f ca="1">VLOOKUP($B112,OFFSET([1]quests!$A$1,0,0,COUNTA([1]quests!$A:$A),MATCH(C$1,[1]quests!$1:$1,0)-MATCH($B$1,[1]quests!$1:$1,0)+1),MATCH(C$1,[1]quests!$1:$1,0)-MATCH($B$1,[1]quests!$1:$1,0)+1,FALSE)</f>
        <v>25．サディスティックパーティ</v>
      </c>
      <c r="D112" s="3" t="str">
        <f ca="1">VLOOKUP($B112,OFFSET([1]quests!$A$1,0,0,COUNTA([1]quests!$A:$A),MATCH(D$1,[1]quests!$1:$1,0)-MATCH($B$1,[1]quests!$1:$1,0)+1),MATCH(D$1,[1]quests!$1:$1,0)-MATCH($B$1,[1]quests!$1:$1,0)+1,FALSE)</f>
        <v>青DL5</v>
      </c>
      <c r="E112">
        <v>5</v>
      </c>
      <c r="F112" s="3" t="str">
        <f ca="1">VLOOKUP($B112&amp;"_"&amp;$E112,OFFSET([1]stages!$A$1,0,0,COUNTA([1]stages!$A:$A),MATCH(F$1,[1]stages!$2:$2,0)-MATCH("temp_stage",[1]stages!$2:$2,0)+1),MATCH(F$1,[1]stages!$2:$2,0)-MATCH("temp_stage",[1]stages!$2:$2,0)+1,FALSE)</f>
        <v>25-5．君はサディスティック</v>
      </c>
      <c r="G112" s="3" t="str">
        <f ca="1">VLOOKUP($B112&amp;"_"&amp;$E112,OFFSET([1]stages!$A$1,0,0,COUNTA([1]stages!$A:$A),MATCH(G$1,[1]stages!$2:$2,0)-MATCH("temp_stage",[1]stages!$2:$2,0)+1),MATCH(G$1,[1]stages!$2:$2,0)-MATCH("temp_stage",[1]stages!$2:$2,0)+1,FALSE)</f>
        <v>青DL5</v>
      </c>
      <c r="H112" s="17">
        <v>0</v>
      </c>
      <c r="I112">
        <v>39</v>
      </c>
      <c r="J112" s="4" t="s">
        <v>17</v>
      </c>
      <c r="K112" s="27" t="str">
        <f>VLOOKUP(I112,[2]stage_hints!$A:$C,3,FALSE)</f>
        <v>システム適合者を確認</v>
      </c>
      <c r="L112" s="28" t="str">
        <f>VLOOKUP(I112,[2]stage_hints!$A:$D,4,FALSE)</f>
        <v>ALICEが 「アナタ」を呼んでいます</v>
      </c>
      <c r="M112" s="20" t="s">
        <v>24</v>
      </c>
    </row>
    <row r="113" spans="1:13" x14ac:dyDescent="0.15">
      <c r="A113" s="25" t="s">
        <v>33</v>
      </c>
      <c r="B113">
        <v>25</v>
      </c>
      <c r="C113" s="3" t="str">
        <f ca="1">VLOOKUP($B113,OFFSET([1]quests!$A$1,0,0,COUNTA([1]quests!$A:$A),MATCH(C$1,[1]quests!$1:$1,0)-MATCH($B$1,[1]quests!$1:$1,0)+1),MATCH(C$1,[1]quests!$1:$1,0)-MATCH($B$1,[1]quests!$1:$1,0)+1,FALSE)</f>
        <v>25．サディスティックパーティ</v>
      </c>
      <c r="D113" s="3" t="str">
        <f ca="1">VLOOKUP($B113,OFFSET([1]quests!$A$1,0,0,COUNTA([1]quests!$A:$A),MATCH(D$1,[1]quests!$1:$1,0)-MATCH($B$1,[1]quests!$1:$1,0)+1),MATCH(D$1,[1]quests!$1:$1,0)-MATCH($B$1,[1]quests!$1:$1,0)+1,FALSE)</f>
        <v>青DL5</v>
      </c>
      <c r="E113">
        <v>6</v>
      </c>
      <c r="F113" s="3" t="str">
        <f ca="1">VLOOKUP($B113&amp;"_"&amp;$E113,OFFSET([1]stages!$A$1,0,0,COUNTA([1]stages!$A:$A),MATCH(F$1,[1]stages!$2:$2,0)-MATCH("temp_stage",[1]stages!$2:$2,0)+1),MATCH(F$1,[1]stages!$2:$2,0)-MATCH("temp_stage",[1]stages!$2:$2,0)+1,FALSE)</f>
        <v>25-6．【1回のみ】ボーナスステージ</v>
      </c>
      <c r="G113" s="3" t="str">
        <f ca="1">VLOOKUP($B113&amp;"_"&amp;$E113,OFFSET([1]stages!$A$1,0,0,COUNTA([1]stages!$A:$A),MATCH(G$1,[1]stages!$2:$2,0)-MATCH("temp_stage",[1]stages!$2:$2,0)+1),MATCH(G$1,[1]stages!$2:$2,0)-MATCH("temp_stage",[1]stages!$2:$2,0)+1,FALSE)</f>
        <v>青DL5</v>
      </c>
      <c r="H113" s="17">
        <v>0</v>
      </c>
      <c r="I113">
        <v>39</v>
      </c>
      <c r="J113" s="4" t="s">
        <v>17</v>
      </c>
      <c r="K113" s="27" t="str">
        <f>VLOOKUP(I113,[2]stage_hints!$A:$C,3,FALSE)</f>
        <v>システム適合者を確認</v>
      </c>
      <c r="L113" s="28" t="str">
        <f>VLOOKUP(I113,[2]stage_hints!$A:$D,4,FALSE)</f>
        <v>ALICEが 「アナタ」を呼んでいます</v>
      </c>
      <c r="M113" s="20" t="s">
        <v>24</v>
      </c>
    </row>
    <row r="114" spans="1:13" x14ac:dyDescent="0.15">
      <c r="A114" s="25" t="s">
        <v>33</v>
      </c>
      <c r="B114">
        <v>26</v>
      </c>
      <c r="C114" s="3" t="str">
        <f ca="1">VLOOKUP($B114,OFFSET([1]quests!$A$1,0,0,COUNTA([1]quests!$A:$A),MATCH(C$1,[1]quests!$1:$1,0)-MATCH($B$1,[1]quests!$1:$1,0)+1),MATCH(C$1,[1]quests!$1:$1,0)-MATCH($B$1,[1]quests!$1:$1,0)+1,FALSE)</f>
        <v>26．クラブ クラッシュビーツ</v>
      </c>
      <c r="D114" s="3" t="str">
        <f ca="1">VLOOKUP($B114,OFFSET([1]quests!$A$1,0,0,COUNTA([1]quests!$A:$A),MATCH(D$1,[1]quests!$1:$1,0)-MATCH($B$1,[1]quests!$1:$1,0)+1),MATCH(D$1,[1]quests!$1:$1,0)-MATCH($B$1,[1]quests!$1:$1,0)+1,FALSE)</f>
        <v>混色DL5</v>
      </c>
      <c r="E114">
        <v>1</v>
      </c>
      <c r="F114" s="3" t="str">
        <f ca="1">VLOOKUP($B114&amp;"_"&amp;$E114,OFFSET([1]stages!$A$1,0,0,COUNTA([1]stages!$A:$A),MATCH(F$1,[1]stages!$2:$2,0)-MATCH("temp_stage",[1]stages!$2:$2,0)+1),MATCH(F$1,[1]stages!$2:$2,0)-MATCH("temp_stage",[1]stages!$2:$2,0)+1,FALSE)</f>
        <v>26-1．無愛想なフロント</v>
      </c>
      <c r="G114" s="3" t="str">
        <f ca="1">VLOOKUP($B114&amp;"_"&amp;$E114,OFFSET([1]stages!$A$1,0,0,COUNTA([1]stages!$A:$A),MATCH(G$1,[1]stages!$2:$2,0)-MATCH("temp_stage",[1]stages!$2:$2,0)+1),MATCH(G$1,[1]stages!$2:$2,0)-MATCH("temp_stage",[1]stages!$2:$2,0)+1,FALSE)</f>
        <v>混色DL5</v>
      </c>
      <c r="H114" s="17">
        <v>0</v>
      </c>
      <c r="I114">
        <v>39</v>
      </c>
      <c r="J114" s="4" t="s">
        <v>17</v>
      </c>
      <c r="K114" s="27" t="str">
        <f>VLOOKUP(I114,[2]stage_hints!$A:$C,3,FALSE)</f>
        <v>システム適合者を確認</v>
      </c>
      <c r="L114" s="28" t="str">
        <f>VLOOKUP(I114,[2]stage_hints!$A:$D,4,FALSE)</f>
        <v>ALICEが 「アナタ」を呼んでいます</v>
      </c>
      <c r="M114" s="20" t="s">
        <v>24</v>
      </c>
    </row>
    <row r="115" spans="1:13" x14ac:dyDescent="0.15">
      <c r="A115" s="25" t="s">
        <v>33</v>
      </c>
      <c r="B115">
        <v>26</v>
      </c>
      <c r="C115" s="3" t="str">
        <f ca="1">VLOOKUP($B115,OFFSET([1]quests!$A$1,0,0,COUNTA([1]quests!$A:$A),MATCH(C$1,[1]quests!$1:$1,0)-MATCH($B$1,[1]quests!$1:$1,0)+1),MATCH(C$1,[1]quests!$1:$1,0)-MATCH($B$1,[1]quests!$1:$1,0)+1,FALSE)</f>
        <v>26．クラブ クラッシュビーツ</v>
      </c>
      <c r="D115" s="3" t="str">
        <f ca="1">VLOOKUP($B115,OFFSET([1]quests!$A$1,0,0,COUNTA([1]quests!$A:$A),MATCH(D$1,[1]quests!$1:$1,0)-MATCH($B$1,[1]quests!$1:$1,0)+1),MATCH(D$1,[1]quests!$1:$1,0)-MATCH($B$1,[1]quests!$1:$1,0)+1,FALSE)</f>
        <v>混色DL5</v>
      </c>
      <c r="E115">
        <v>2</v>
      </c>
      <c r="F115" s="3" t="str">
        <f ca="1">VLOOKUP($B115&amp;"_"&amp;$E115,OFFSET([1]stages!$A$1,0,0,COUNTA([1]stages!$A:$A),MATCH(F$1,[1]stages!$2:$2,0)-MATCH("temp_stage",[1]stages!$2:$2,0)+1),MATCH(F$1,[1]stages!$2:$2,0)-MATCH("temp_stage",[1]stages!$2:$2,0)+1,FALSE)</f>
        <v>26-2．フロアジャック</v>
      </c>
      <c r="G115" s="3" t="str">
        <f ca="1">VLOOKUP($B115&amp;"_"&amp;$E115,OFFSET([1]stages!$A$1,0,0,COUNTA([1]stages!$A:$A),MATCH(G$1,[1]stages!$2:$2,0)-MATCH("temp_stage",[1]stages!$2:$2,0)+1),MATCH(G$1,[1]stages!$2:$2,0)-MATCH("temp_stage",[1]stages!$2:$2,0)+1,FALSE)</f>
        <v>混色DL5</v>
      </c>
      <c r="H115" s="17">
        <v>0</v>
      </c>
      <c r="I115">
        <v>39</v>
      </c>
      <c r="J115" s="4" t="s">
        <v>17</v>
      </c>
      <c r="K115" s="27" t="str">
        <f>VLOOKUP(I115,[2]stage_hints!$A:$C,3,FALSE)</f>
        <v>システム適合者を確認</v>
      </c>
      <c r="L115" s="28" t="str">
        <f>VLOOKUP(I115,[2]stage_hints!$A:$D,4,FALSE)</f>
        <v>ALICEが 「アナタ」を呼んでいます</v>
      </c>
      <c r="M115" s="20" t="s">
        <v>24</v>
      </c>
    </row>
    <row r="116" spans="1:13" x14ac:dyDescent="0.15">
      <c r="A116" s="25" t="s">
        <v>33</v>
      </c>
      <c r="B116">
        <v>26</v>
      </c>
      <c r="C116" s="3" t="str">
        <f ca="1">VLOOKUP($B116,OFFSET([1]quests!$A$1,0,0,COUNTA([1]quests!$A:$A),MATCH(C$1,[1]quests!$1:$1,0)-MATCH($B$1,[1]quests!$1:$1,0)+1),MATCH(C$1,[1]quests!$1:$1,0)-MATCH($B$1,[1]quests!$1:$1,0)+1,FALSE)</f>
        <v>26．クラブ クラッシュビーツ</v>
      </c>
      <c r="D116" s="3" t="str">
        <f ca="1">VLOOKUP($B116,OFFSET([1]quests!$A$1,0,0,COUNTA([1]quests!$A:$A),MATCH(D$1,[1]quests!$1:$1,0)-MATCH($B$1,[1]quests!$1:$1,0)+1),MATCH(D$1,[1]quests!$1:$1,0)-MATCH($B$1,[1]quests!$1:$1,0)+1,FALSE)</f>
        <v>混色DL5</v>
      </c>
      <c r="E116">
        <v>3</v>
      </c>
      <c r="F116" s="3" t="str">
        <f ca="1">VLOOKUP($B116&amp;"_"&amp;$E116,OFFSET([1]stages!$A$1,0,0,COUNTA([1]stages!$A:$A),MATCH(F$1,[1]stages!$2:$2,0)-MATCH("temp_stage",[1]stages!$2:$2,0)+1),MATCH(F$1,[1]stages!$2:$2,0)-MATCH("temp_stage",[1]stages!$2:$2,0)+1,FALSE)</f>
        <v>26-3．荒ぶる電飾</v>
      </c>
      <c r="G116" s="3" t="str">
        <f ca="1">VLOOKUP($B116&amp;"_"&amp;$E116,OFFSET([1]stages!$A$1,0,0,COUNTA([1]stages!$A:$A),MATCH(G$1,[1]stages!$2:$2,0)-MATCH("temp_stage",[1]stages!$2:$2,0)+1),MATCH(G$1,[1]stages!$2:$2,0)-MATCH("temp_stage",[1]stages!$2:$2,0)+1,FALSE)</f>
        <v>混色DL5</v>
      </c>
      <c r="H116" s="17">
        <v>0</v>
      </c>
      <c r="I116">
        <v>39</v>
      </c>
      <c r="J116" s="4" t="s">
        <v>17</v>
      </c>
      <c r="K116" s="27" t="str">
        <f>VLOOKUP(I116,[2]stage_hints!$A:$C,3,FALSE)</f>
        <v>システム適合者を確認</v>
      </c>
      <c r="L116" s="28" t="str">
        <f>VLOOKUP(I116,[2]stage_hints!$A:$D,4,FALSE)</f>
        <v>ALICEが 「アナタ」を呼んでいます</v>
      </c>
      <c r="M116" s="20" t="s">
        <v>24</v>
      </c>
    </row>
    <row r="117" spans="1:13" x14ac:dyDescent="0.15">
      <c r="A117" s="25" t="s">
        <v>33</v>
      </c>
      <c r="B117">
        <v>26</v>
      </c>
      <c r="C117" s="3" t="str">
        <f ca="1">VLOOKUP($B117,OFFSET([1]quests!$A$1,0,0,COUNTA([1]quests!$A:$A),MATCH(C$1,[1]quests!$1:$1,0)-MATCH($B$1,[1]quests!$1:$1,0)+1),MATCH(C$1,[1]quests!$1:$1,0)-MATCH($B$1,[1]quests!$1:$1,0)+1,FALSE)</f>
        <v>26．クラブ クラッシュビーツ</v>
      </c>
      <c r="D117" s="3" t="str">
        <f ca="1">VLOOKUP($B117,OFFSET([1]quests!$A$1,0,0,COUNTA([1]quests!$A:$A),MATCH(D$1,[1]quests!$1:$1,0)-MATCH($B$1,[1]quests!$1:$1,0)+1),MATCH(D$1,[1]quests!$1:$1,0)-MATCH($B$1,[1]quests!$1:$1,0)+1,FALSE)</f>
        <v>混色DL5</v>
      </c>
      <c r="E117">
        <v>4</v>
      </c>
      <c r="F117" s="3" t="str">
        <f ca="1">VLOOKUP($B117&amp;"_"&amp;$E117,OFFSET([1]stages!$A$1,0,0,COUNTA([1]stages!$A:$A),MATCH(F$1,[1]stages!$2:$2,0)-MATCH("temp_stage",[1]stages!$2:$2,0)+1),MATCH(F$1,[1]stages!$2:$2,0)-MATCH("temp_stage",[1]stages!$2:$2,0)+1,FALSE)</f>
        <v>26-4．今夜はダークナイト</v>
      </c>
      <c r="G117" s="3" t="str">
        <f ca="1">VLOOKUP($B117&amp;"_"&amp;$E117,OFFSET([1]stages!$A$1,0,0,COUNTA([1]stages!$A:$A),MATCH(G$1,[1]stages!$2:$2,0)-MATCH("temp_stage",[1]stages!$2:$2,0)+1),MATCH(G$1,[1]stages!$2:$2,0)-MATCH("temp_stage",[1]stages!$2:$2,0)+1,FALSE)</f>
        <v>混色DL5</v>
      </c>
      <c r="H117" s="17">
        <v>0</v>
      </c>
      <c r="I117">
        <v>39</v>
      </c>
      <c r="J117" s="4" t="s">
        <v>17</v>
      </c>
      <c r="K117" s="27" t="str">
        <f>VLOOKUP(I117,[2]stage_hints!$A:$C,3,FALSE)</f>
        <v>システム適合者を確認</v>
      </c>
      <c r="L117" s="28" t="str">
        <f>VLOOKUP(I117,[2]stage_hints!$A:$D,4,FALSE)</f>
        <v>ALICEが 「アナタ」を呼んでいます</v>
      </c>
      <c r="M117" s="20" t="s">
        <v>24</v>
      </c>
    </row>
    <row r="118" spans="1:13" x14ac:dyDescent="0.15">
      <c r="A118" s="25" t="s">
        <v>33</v>
      </c>
      <c r="B118">
        <v>26</v>
      </c>
      <c r="C118" s="3" t="str">
        <f ca="1">VLOOKUP($B118,OFFSET([1]quests!$A$1,0,0,COUNTA([1]quests!$A:$A),MATCH(C$1,[1]quests!$1:$1,0)-MATCH($B$1,[1]quests!$1:$1,0)+1),MATCH(C$1,[1]quests!$1:$1,0)-MATCH($B$1,[1]quests!$1:$1,0)+1,FALSE)</f>
        <v>26．クラブ クラッシュビーツ</v>
      </c>
      <c r="D118" s="3" t="str">
        <f ca="1">VLOOKUP($B118,OFFSET([1]quests!$A$1,0,0,COUNTA([1]quests!$A:$A),MATCH(D$1,[1]quests!$1:$1,0)-MATCH($B$1,[1]quests!$1:$1,0)+1),MATCH(D$1,[1]quests!$1:$1,0)-MATCH($B$1,[1]quests!$1:$1,0)+1,FALSE)</f>
        <v>混色DL5</v>
      </c>
      <c r="E118">
        <v>5</v>
      </c>
      <c r="F118" s="3" t="str">
        <f ca="1">VLOOKUP($B118&amp;"_"&amp;$E118,OFFSET([1]stages!$A$1,0,0,COUNTA([1]stages!$A:$A),MATCH(F$1,[1]stages!$2:$2,0)-MATCH("temp_stage",[1]stages!$2:$2,0)+1),MATCH(F$1,[1]stages!$2:$2,0)-MATCH("temp_stage",[1]stages!$2:$2,0)+1,FALSE)</f>
        <v>26-5．踊る強奪者</v>
      </c>
      <c r="G118" s="3" t="str">
        <f ca="1">VLOOKUP($B118&amp;"_"&amp;$E118,OFFSET([1]stages!$A$1,0,0,COUNTA([1]stages!$A:$A),MATCH(G$1,[1]stages!$2:$2,0)-MATCH("temp_stage",[1]stages!$2:$2,0)+1),MATCH(G$1,[1]stages!$2:$2,0)-MATCH("temp_stage",[1]stages!$2:$2,0)+1,FALSE)</f>
        <v>混色DL5</v>
      </c>
      <c r="H118" s="17">
        <v>0</v>
      </c>
      <c r="I118">
        <v>39</v>
      </c>
      <c r="J118" s="4" t="s">
        <v>17</v>
      </c>
      <c r="K118" s="27" t="str">
        <f>VLOOKUP(I118,[2]stage_hints!$A:$C,3,FALSE)</f>
        <v>システム適合者を確認</v>
      </c>
      <c r="L118" s="28" t="str">
        <f>VLOOKUP(I118,[2]stage_hints!$A:$D,4,FALSE)</f>
        <v>ALICEが 「アナタ」を呼んでいます</v>
      </c>
      <c r="M118" s="20" t="s">
        <v>24</v>
      </c>
    </row>
    <row r="119" spans="1:13" x14ac:dyDescent="0.15">
      <c r="A119" s="25" t="s">
        <v>33</v>
      </c>
      <c r="B119">
        <v>26</v>
      </c>
      <c r="C119" s="3" t="str">
        <f ca="1">VLOOKUP($B119,OFFSET([1]quests!$A$1,0,0,COUNTA([1]quests!$A:$A),MATCH(C$1,[1]quests!$1:$1,0)-MATCH($B$1,[1]quests!$1:$1,0)+1),MATCH(C$1,[1]quests!$1:$1,0)-MATCH($B$1,[1]quests!$1:$1,0)+1,FALSE)</f>
        <v>26．クラブ クラッシュビーツ</v>
      </c>
      <c r="D119" s="3" t="str">
        <f ca="1">VLOOKUP($B119,OFFSET([1]quests!$A$1,0,0,COUNTA([1]quests!$A:$A),MATCH(D$1,[1]quests!$1:$1,0)-MATCH($B$1,[1]quests!$1:$1,0)+1),MATCH(D$1,[1]quests!$1:$1,0)-MATCH($B$1,[1]quests!$1:$1,0)+1,FALSE)</f>
        <v>混色DL5</v>
      </c>
      <c r="E119">
        <v>6</v>
      </c>
      <c r="F119" s="3" t="str">
        <f ca="1">VLOOKUP($B119&amp;"_"&amp;$E119,OFFSET([1]stages!$A$1,0,0,COUNTA([1]stages!$A:$A),MATCH(F$1,[1]stages!$2:$2,0)-MATCH("temp_stage",[1]stages!$2:$2,0)+1),MATCH(F$1,[1]stages!$2:$2,0)-MATCH("temp_stage",[1]stages!$2:$2,0)+1,FALSE)</f>
        <v>26-6．【1回のみ】ボーナスステージ</v>
      </c>
      <c r="G119" s="3" t="str">
        <f ca="1">VLOOKUP($B119&amp;"_"&amp;$E119,OFFSET([1]stages!$A$1,0,0,COUNTA([1]stages!$A:$A),MATCH(G$1,[1]stages!$2:$2,0)-MATCH("temp_stage",[1]stages!$2:$2,0)+1),MATCH(G$1,[1]stages!$2:$2,0)-MATCH("temp_stage",[1]stages!$2:$2,0)+1,FALSE)</f>
        <v>混色DL5</v>
      </c>
      <c r="H119" s="17">
        <v>0</v>
      </c>
      <c r="I119">
        <v>39</v>
      </c>
      <c r="J119" s="4" t="s">
        <v>17</v>
      </c>
      <c r="K119" s="27" t="str">
        <f>VLOOKUP(I119,[2]stage_hints!$A:$C,3,FALSE)</f>
        <v>システム適合者を確認</v>
      </c>
      <c r="L119" s="28" t="str">
        <f>VLOOKUP(I119,[2]stage_hints!$A:$D,4,FALSE)</f>
        <v>ALICEが 「アナタ」を呼んでいます</v>
      </c>
      <c r="M119" s="20" t="s">
        <v>24</v>
      </c>
    </row>
    <row r="120" spans="1:13" x14ac:dyDescent="0.15">
      <c r="A120" s="25" t="s">
        <v>33</v>
      </c>
      <c r="B120">
        <v>10008</v>
      </c>
      <c r="E120">
        <v>1</v>
      </c>
      <c r="H120" s="17">
        <v>0</v>
      </c>
      <c r="I120">
        <v>39</v>
      </c>
      <c r="J120" s="4" t="s">
        <v>17</v>
      </c>
      <c r="K120" s="27" t="str">
        <f>VLOOKUP(I120,[2]stage_hints!$A:$C,3,FALSE)</f>
        <v>システム適合者を確認</v>
      </c>
      <c r="L120" s="28" t="str">
        <f>VLOOKUP(I120,[2]stage_hints!$A:$D,4,FALSE)</f>
        <v>ALICEが 「アナタ」を呼んでいます</v>
      </c>
      <c r="M120" s="20" t="s">
        <v>24</v>
      </c>
    </row>
    <row r="121" spans="1:13" x14ac:dyDescent="0.15">
      <c r="A121" s="25" t="s">
        <v>33</v>
      </c>
      <c r="B121">
        <v>10009</v>
      </c>
      <c r="E121">
        <v>1</v>
      </c>
      <c r="H121" s="17">
        <v>0</v>
      </c>
      <c r="I121">
        <v>39</v>
      </c>
      <c r="J121" s="4" t="s">
        <v>17</v>
      </c>
      <c r="K121" s="27" t="str">
        <f>VLOOKUP(I121,[2]stage_hints!$A:$C,3,FALSE)</f>
        <v>システム適合者を確認</v>
      </c>
      <c r="L121" s="28" t="str">
        <f>VLOOKUP(I121,[2]stage_hints!$A:$D,4,FALSE)</f>
        <v>ALICEが 「アナタ」を呼んでいます</v>
      </c>
      <c r="M121" s="20" t="s">
        <v>24</v>
      </c>
    </row>
    <row r="122" spans="1:13" x14ac:dyDescent="0.15">
      <c r="A122" s="25" t="s">
        <v>33</v>
      </c>
      <c r="B122">
        <v>10010</v>
      </c>
      <c r="E122">
        <v>1</v>
      </c>
      <c r="H122" s="17">
        <v>0</v>
      </c>
      <c r="I122">
        <v>39</v>
      </c>
      <c r="J122" s="4" t="s">
        <v>17</v>
      </c>
      <c r="K122" s="27" t="str">
        <f>VLOOKUP(I122,[2]stage_hints!$A:$C,3,FALSE)</f>
        <v>システム適合者を確認</v>
      </c>
      <c r="L122" s="28" t="str">
        <f>VLOOKUP(I122,[2]stage_hints!$A:$D,4,FALSE)</f>
        <v>ALICEが 「アナタ」を呼んでいます</v>
      </c>
      <c r="M122" s="20" t="s">
        <v>24</v>
      </c>
    </row>
    <row r="123" spans="1:13" x14ac:dyDescent="0.15">
      <c r="A123" s="25" t="s">
        <v>33</v>
      </c>
      <c r="B123">
        <v>10015</v>
      </c>
      <c r="E123">
        <v>1</v>
      </c>
      <c r="H123" s="17">
        <v>0</v>
      </c>
      <c r="I123">
        <v>39</v>
      </c>
      <c r="J123" s="4" t="s">
        <v>17</v>
      </c>
      <c r="K123" s="27" t="str">
        <f>VLOOKUP(I123,[2]stage_hints!$A:$C,3,FALSE)</f>
        <v>システム適合者を確認</v>
      </c>
      <c r="L123" s="28" t="str">
        <f>VLOOKUP(I123,[2]stage_hints!$A:$D,4,FALSE)</f>
        <v>ALICEが 「アナタ」を呼んでいます</v>
      </c>
      <c r="M123" s="20" t="s">
        <v>24</v>
      </c>
    </row>
    <row r="124" spans="1:13" x14ac:dyDescent="0.15">
      <c r="A124" s="25" t="s">
        <v>33</v>
      </c>
      <c r="B124">
        <v>10020</v>
      </c>
      <c r="E124">
        <v>1</v>
      </c>
      <c r="H124" s="17">
        <v>0</v>
      </c>
      <c r="I124">
        <v>39</v>
      </c>
      <c r="J124" s="4" t="s">
        <v>17</v>
      </c>
      <c r="K124" s="27" t="str">
        <f>VLOOKUP(I124,[2]stage_hints!$A:$C,3,FALSE)</f>
        <v>システム適合者を確認</v>
      </c>
      <c r="L124" s="28" t="str">
        <f>VLOOKUP(I124,[2]stage_hints!$A:$D,4,FALSE)</f>
        <v>ALICEが 「アナタ」を呼んでいます</v>
      </c>
      <c r="M124" s="20" t="s">
        <v>24</v>
      </c>
    </row>
    <row r="125" spans="1:13" x14ac:dyDescent="0.15">
      <c r="A125" s="25" t="s">
        <v>33</v>
      </c>
      <c r="B125">
        <v>10025</v>
      </c>
      <c r="E125">
        <v>1</v>
      </c>
      <c r="H125" s="17">
        <v>0</v>
      </c>
      <c r="I125">
        <v>39</v>
      </c>
      <c r="J125" s="4" t="s">
        <v>17</v>
      </c>
      <c r="K125" s="27" t="str">
        <f>VLOOKUP(I125,[2]stage_hints!$A:$C,3,FALSE)</f>
        <v>システム適合者を確認</v>
      </c>
      <c r="L125" s="28" t="str">
        <f>VLOOKUP(I125,[2]stage_hints!$A:$D,4,FALSE)</f>
        <v>ALICEが 「アナタ」を呼んでいます</v>
      </c>
      <c r="M125" s="20" t="s">
        <v>24</v>
      </c>
    </row>
    <row r="126" spans="1:13" x14ac:dyDescent="0.15">
      <c r="A126" s="25" t="s">
        <v>33</v>
      </c>
      <c r="B126">
        <v>10030</v>
      </c>
      <c r="E126">
        <v>1</v>
      </c>
      <c r="H126" s="17">
        <v>0</v>
      </c>
      <c r="I126">
        <v>39</v>
      </c>
      <c r="J126" s="4" t="s">
        <v>17</v>
      </c>
      <c r="K126" s="27" t="str">
        <f>VLOOKUP(I126,[2]stage_hints!$A:$C,3,FALSE)</f>
        <v>システム適合者を確認</v>
      </c>
      <c r="L126" s="28" t="str">
        <f>VLOOKUP(I126,[2]stage_hints!$A:$D,4,FALSE)</f>
        <v>ALICEが 「アナタ」を呼んでいます</v>
      </c>
      <c r="M126" s="20" t="s">
        <v>24</v>
      </c>
    </row>
    <row r="127" spans="1:13" x14ac:dyDescent="0.15">
      <c r="A127" s="25" t="s">
        <v>33</v>
      </c>
      <c r="B127">
        <v>10040</v>
      </c>
      <c r="E127">
        <v>1</v>
      </c>
      <c r="H127" s="17">
        <v>0</v>
      </c>
      <c r="I127">
        <v>39</v>
      </c>
      <c r="J127" s="4" t="s">
        <v>17</v>
      </c>
      <c r="K127" s="27" t="str">
        <f>VLOOKUP(I127,[2]stage_hints!$A:$C,3,FALSE)</f>
        <v>システム適合者を確認</v>
      </c>
      <c r="L127" s="28" t="str">
        <f>VLOOKUP(I127,[2]stage_hints!$A:$D,4,FALSE)</f>
        <v>ALICEが 「アナタ」を呼んでいます</v>
      </c>
      <c r="M127" s="20" t="s">
        <v>24</v>
      </c>
    </row>
    <row r="128" spans="1:13" x14ac:dyDescent="0.15">
      <c r="A128" s="25" t="s">
        <v>33</v>
      </c>
      <c r="B128">
        <v>10045</v>
      </c>
      <c r="E128">
        <v>1</v>
      </c>
      <c r="H128" s="17">
        <v>0</v>
      </c>
      <c r="I128">
        <v>39</v>
      </c>
      <c r="J128" s="4" t="s">
        <v>17</v>
      </c>
      <c r="K128" s="27" t="str">
        <f>VLOOKUP(I128,[2]stage_hints!$A:$C,3,FALSE)</f>
        <v>システム適合者を確認</v>
      </c>
      <c r="L128" s="28" t="str">
        <f>VLOOKUP(I128,[2]stage_hints!$A:$D,4,FALSE)</f>
        <v>ALICEが 「アナタ」を呼んでいます</v>
      </c>
      <c r="M128" s="20" t="s">
        <v>24</v>
      </c>
    </row>
    <row r="129" spans="1:13" x14ac:dyDescent="0.15">
      <c r="A129" s="25" t="s">
        <v>33</v>
      </c>
      <c r="B129">
        <v>10050</v>
      </c>
      <c r="E129">
        <v>1</v>
      </c>
      <c r="H129" s="17">
        <v>0</v>
      </c>
      <c r="I129">
        <v>39</v>
      </c>
      <c r="J129" s="4" t="s">
        <v>17</v>
      </c>
      <c r="K129" s="27" t="str">
        <f>VLOOKUP(I129,[2]stage_hints!$A:$C,3,FALSE)</f>
        <v>システム適合者を確認</v>
      </c>
      <c r="L129" s="28" t="str">
        <f>VLOOKUP(I129,[2]stage_hints!$A:$D,4,FALSE)</f>
        <v>ALICEが 「アナタ」を呼んでいます</v>
      </c>
      <c r="M129" s="20" t="s">
        <v>24</v>
      </c>
    </row>
    <row r="130" spans="1:13" x14ac:dyDescent="0.15">
      <c r="A130" s="25" t="s">
        <v>33</v>
      </c>
      <c r="B130">
        <v>10055</v>
      </c>
      <c r="E130">
        <v>1</v>
      </c>
      <c r="H130" s="17">
        <v>0</v>
      </c>
      <c r="I130">
        <v>39</v>
      </c>
      <c r="J130" s="4" t="s">
        <v>17</v>
      </c>
      <c r="K130" s="27" t="str">
        <f>VLOOKUP(I130,[2]stage_hints!$A:$C,3,FALSE)</f>
        <v>システム適合者を確認</v>
      </c>
      <c r="L130" s="28" t="str">
        <f>VLOOKUP(I130,[2]stage_hints!$A:$D,4,FALSE)</f>
        <v>ALICEが 「アナタ」を呼んでいます</v>
      </c>
      <c r="M130" s="20" t="s">
        <v>24</v>
      </c>
    </row>
    <row r="131" spans="1:13" x14ac:dyDescent="0.15">
      <c r="A131" s="25" t="s">
        <v>33</v>
      </c>
      <c r="B131">
        <v>10060</v>
      </c>
      <c r="E131">
        <v>1</v>
      </c>
      <c r="H131" s="17">
        <v>0</v>
      </c>
      <c r="I131">
        <v>39</v>
      </c>
      <c r="J131" s="4" t="s">
        <v>17</v>
      </c>
      <c r="K131" s="27" t="str">
        <f>VLOOKUP(I131,[2]stage_hints!$A:$C,3,FALSE)</f>
        <v>システム適合者を確認</v>
      </c>
      <c r="L131" s="28" t="str">
        <f>VLOOKUP(I131,[2]stage_hints!$A:$D,4,FALSE)</f>
        <v>ALICEが 「アナタ」を呼んでいます</v>
      </c>
      <c r="M131" s="20" t="s">
        <v>24</v>
      </c>
    </row>
    <row r="132" spans="1:13" x14ac:dyDescent="0.15">
      <c r="A132" s="25" t="s">
        <v>33</v>
      </c>
      <c r="B132">
        <v>11001</v>
      </c>
      <c r="E132">
        <v>1</v>
      </c>
      <c r="H132" s="17">
        <v>0</v>
      </c>
      <c r="I132">
        <v>39</v>
      </c>
      <c r="J132" s="4" t="s">
        <v>17</v>
      </c>
      <c r="K132" s="27" t="str">
        <f>VLOOKUP(I132,[2]stage_hints!$A:$C,3,FALSE)</f>
        <v>システム適合者を確認</v>
      </c>
      <c r="L132" s="28" t="str">
        <f>VLOOKUP(I132,[2]stage_hints!$A:$D,4,FALSE)</f>
        <v>ALICEが 「アナタ」を呼んでいます</v>
      </c>
      <c r="M132" s="20" t="s">
        <v>24</v>
      </c>
    </row>
    <row r="133" spans="1:13" x14ac:dyDescent="0.15">
      <c r="A133" s="25" t="s">
        <v>33</v>
      </c>
      <c r="B133">
        <v>11001</v>
      </c>
      <c r="E133">
        <v>2</v>
      </c>
      <c r="H133" s="17">
        <v>0</v>
      </c>
      <c r="I133">
        <v>39</v>
      </c>
      <c r="J133" s="4" t="s">
        <v>17</v>
      </c>
      <c r="K133" s="27" t="str">
        <f>VLOOKUP(I133,[2]stage_hints!$A:$C,3,FALSE)</f>
        <v>システム適合者を確認</v>
      </c>
      <c r="L133" s="28" t="str">
        <f>VLOOKUP(I133,[2]stage_hints!$A:$D,4,FALSE)</f>
        <v>ALICEが 「アナタ」を呼んでいます</v>
      </c>
      <c r="M133" s="20" t="s">
        <v>24</v>
      </c>
    </row>
    <row r="134" spans="1:13" x14ac:dyDescent="0.15">
      <c r="A134" s="25" t="s">
        <v>33</v>
      </c>
      <c r="B134">
        <v>11001</v>
      </c>
      <c r="E134">
        <v>3</v>
      </c>
      <c r="H134" s="17">
        <v>0</v>
      </c>
      <c r="I134">
        <v>39</v>
      </c>
      <c r="J134" s="4" t="s">
        <v>17</v>
      </c>
      <c r="K134" s="27" t="str">
        <f>VLOOKUP(I134,[2]stage_hints!$A:$C,3,FALSE)</f>
        <v>システム適合者を確認</v>
      </c>
      <c r="L134" s="28" t="str">
        <f>VLOOKUP(I134,[2]stage_hints!$A:$D,4,FALSE)</f>
        <v>ALICEが 「アナタ」を呼んでいます</v>
      </c>
      <c r="M134" s="20" t="s">
        <v>24</v>
      </c>
    </row>
    <row r="135" spans="1:13" x14ac:dyDescent="0.15">
      <c r="A135" s="25" t="s">
        <v>33</v>
      </c>
      <c r="B135">
        <v>11002</v>
      </c>
      <c r="E135">
        <v>1</v>
      </c>
      <c r="H135" s="17">
        <v>0</v>
      </c>
      <c r="I135">
        <v>39</v>
      </c>
      <c r="J135" s="4" t="s">
        <v>17</v>
      </c>
      <c r="K135" s="27" t="str">
        <f>VLOOKUP(I135,[2]stage_hints!$A:$C,3,FALSE)</f>
        <v>システム適合者を確認</v>
      </c>
      <c r="L135" s="28" t="str">
        <f>VLOOKUP(I135,[2]stage_hints!$A:$D,4,FALSE)</f>
        <v>ALICEが 「アナタ」を呼んでいます</v>
      </c>
      <c r="M135" s="20" t="s">
        <v>24</v>
      </c>
    </row>
    <row r="136" spans="1:13" x14ac:dyDescent="0.15">
      <c r="A136" s="25" t="s">
        <v>33</v>
      </c>
      <c r="B136">
        <v>11002</v>
      </c>
      <c r="E136">
        <v>2</v>
      </c>
      <c r="H136" s="17">
        <v>0</v>
      </c>
      <c r="I136">
        <v>39</v>
      </c>
      <c r="J136" s="4" t="s">
        <v>17</v>
      </c>
      <c r="K136" s="27" t="str">
        <f>VLOOKUP(I136,[2]stage_hints!$A:$C,3,FALSE)</f>
        <v>システム適合者を確認</v>
      </c>
      <c r="L136" s="28" t="str">
        <f>VLOOKUP(I136,[2]stage_hints!$A:$D,4,FALSE)</f>
        <v>ALICEが 「アナタ」を呼んでいます</v>
      </c>
      <c r="M136" s="20" t="s">
        <v>24</v>
      </c>
    </row>
    <row r="137" spans="1:13" x14ac:dyDescent="0.15">
      <c r="A137" s="25" t="s">
        <v>33</v>
      </c>
      <c r="B137">
        <v>11002</v>
      </c>
      <c r="E137">
        <v>3</v>
      </c>
      <c r="H137" s="17">
        <v>0</v>
      </c>
      <c r="I137">
        <v>39</v>
      </c>
      <c r="J137" s="4" t="s">
        <v>17</v>
      </c>
      <c r="K137" s="27" t="str">
        <f>VLOOKUP(I137,[2]stage_hints!$A:$C,3,FALSE)</f>
        <v>システム適合者を確認</v>
      </c>
      <c r="L137" s="28" t="str">
        <f>VLOOKUP(I137,[2]stage_hints!$A:$D,4,FALSE)</f>
        <v>ALICEが 「アナタ」を呼んでいます</v>
      </c>
      <c r="M137" s="20" t="s">
        <v>24</v>
      </c>
    </row>
    <row r="138" spans="1:13" x14ac:dyDescent="0.15">
      <c r="A138" s="25" t="s">
        <v>33</v>
      </c>
      <c r="B138">
        <v>11003</v>
      </c>
      <c r="E138">
        <v>1</v>
      </c>
      <c r="H138" s="17">
        <v>0</v>
      </c>
      <c r="I138">
        <v>39</v>
      </c>
      <c r="J138" s="4" t="s">
        <v>17</v>
      </c>
      <c r="K138" s="27" t="str">
        <f>VLOOKUP(I138,[2]stage_hints!$A:$C,3,FALSE)</f>
        <v>システム適合者を確認</v>
      </c>
      <c r="L138" s="28" t="str">
        <f>VLOOKUP(I138,[2]stage_hints!$A:$D,4,FALSE)</f>
        <v>ALICEが 「アナタ」を呼んでいます</v>
      </c>
      <c r="M138" s="20" t="s">
        <v>24</v>
      </c>
    </row>
    <row r="139" spans="1:13" x14ac:dyDescent="0.15">
      <c r="A139" s="25" t="s">
        <v>33</v>
      </c>
      <c r="B139">
        <v>11003</v>
      </c>
      <c r="E139">
        <v>2</v>
      </c>
      <c r="H139" s="17">
        <v>0</v>
      </c>
      <c r="I139">
        <v>39</v>
      </c>
      <c r="J139" s="4" t="s">
        <v>17</v>
      </c>
      <c r="K139" s="27" t="str">
        <f>VLOOKUP(I139,[2]stage_hints!$A:$C,3,FALSE)</f>
        <v>システム適合者を確認</v>
      </c>
      <c r="L139" s="28" t="str">
        <f>VLOOKUP(I139,[2]stage_hints!$A:$D,4,FALSE)</f>
        <v>ALICEが 「アナタ」を呼んでいます</v>
      </c>
      <c r="M139" s="20" t="s">
        <v>24</v>
      </c>
    </row>
    <row r="140" spans="1:13" x14ac:dyDescent="0.15">
      <c r="A140" s="25" t="s">
        <v>33</v>
      </c>
      <c r="B140">
        <v>11003</v>
      </c>
      <c r="E140">
        <v>3</v>
      </c>
      <c r="H140" s="17">
        <v>0</v>
      </c>
      <c r="I140">
        <v>39</v>
      </c>
      <c r="J140" s="4" t="s">
        <v>17</v>
      </c>
      <c r="K140" s="27" t="str">
        <f>VLOOKUP(I140,[2]stage_hints!$A:$C,3,FALSE)</f>
        <v>システム適合者を確認</v>
      </c>
      <c r="L140" s="28" t="str">
        <f>VLOOKUP(I140,[2]stage_hints!$A:$D,4,FALSE)</f>
        <v>ALICEが 「アナタ」を呼んでいます</v>
      </c>
      <c r="M140" s="20" t="s">
        <v>24</v>
      </c>
    </row>
    <row r="141" spans="1:13" x14ac:dyDescent="0.15">
      <c r="A141" s="25" t="s">
        <v>33</v>
      </c>
      <c r="B141">
        <v>11004</v>
      </c>
      <c r="E141">
        <v>1</v>
      </c>
      <c r="H141" s="17">
        <v>0</v>
      </c>
      <c r="I141">
        <v>39</v>
      </c>
      <c r="J141" s="4" t="s">
        <v>17</v>
      </c>
      <c r="K141" s="27" t="str">
        <f>VLOOKUP(I141,[2]stage_hints!$A:$C,3,FALSE)</f>
        <v>システム適合者を確認</v>
      </c>
      <c r="L141" s="28" t="str">
        <f>VLOOKUP(I141,[2]stage_hints!$A:$D,4,FALSE)</f>
        <v>ALICEが 「アナタ」を呼んでいます</v>
      </c>
      <c r="M141" s="20" t="s">
        <v>24</v>
      </c>
    </row>
    <row r="142" spans="1:13" x14ac:dyDescent="0.15">
      <c r="A142" s="25" t="s">
        <v>33</v>
      </c>
      <c r="B142">
        <v>11004</v>
      </c>
      <c r="E142">
        <v>2</v>
      </c>
      <c r="H142" s="17">
        <v>0</v>
      </c>
      <c r="I142">
        <v>39</v>
      </c>
      <c r="J142" s="4" t="s">
        <v>17</v>
      </c>
      <c r="K142" s="27" t="str">
        <f>VLOOKUP(I142,[2]stage_hints!$A:$C,3,FALSE)</f>
        <v>システム適合者を確認</v>
      </c>
      <c r="L142" s="28" t="str">
        <f>VLOOKUP(I142,[2]stage_hints!$A:$D,4,FALSE)</f>
        <v>ALICEが 「アナタ」を呼んでいます</v>
      </c>
      <c r="M142" s="20" t="s">
        <v>24</v>
      </c>
    </row>
    <row r="143" spans="1:13" x14ac:dyDescent="0.15">
      <c r="A143" s="25" t="s">
        <v>33</v>
      </c>
      <c r="B143">
        <v>11004</v>
      </c>
      <c r="E143">
        <v>3</v>
      </c>
      <c r="H143" s="17">
        <v>0</v>
      </c>
      <c r="I143">
        <v>39</v>
      </c>
      <c r="J143" s="4" t="s">
        <v>17</v>
      </c>
      <c r="K143" s="27" t="str">
        <f>VLOOKUP(I143,[2]stage_hints!$A:$C,3,FALSE)</f>
        <v>システム適合者を確認</v>
      </c>
      <c r="L143" s="28" t="str">
        <f>VLOOKUP(I143,[2]stage_hints!$A:$D,4,FALSE)</f>
        <v>ALICEが 「アナタ」を呼んでいます</v>
      </c>
      <c r="M143" s="20" t="s">
        <v>24</v>
      </c>
    </row>
    <row r="144" spans="1:13" x14ac:dyDescent="0.15">
      <c r="A144" s="25" t="s">
        <v>33</v>
      </c>
      <c r="B144">
        <v>11005</v>
      </c>
      <c r="E144">
        <v>1</v>
      </c>
      <c r="H144" s="17">
        <v>0</v>
      </c>
      <c r="I144">
        <v>39</v>
      </c>
      <c r="J144" s="4" t="s">
        <v>17</v>
      </c>
      <c r="K144" s="27" t="str">
        <f>VLOOKUP(I144,[2]stage_hints!$A:$C,3,FALSE)</f>
        <v>システム適合者を確認</v>
      </c>
      <c r="L144" s="28" t="str">
        <f>VLOOKUP(I144,[2]stage_hints!$A:$D,4,FALSE)</f>
        <v>ALICEが 「アナタ」を呼んでいます</v>
      </c>
      <c r="M144" s="20" t="s">
        <v>24</v>
      </c>
    </row>
    <row r="145" spans="1:13" x14ac:dyDescent="0.15">
      <c r="A145" s="25" t="s">
        <v>33</v>
      </c>
      <c r="B145">
        <v>11005</v>
      </c>
      <c r="E145">
        <v>2</v>
      </c>
      <c r="H145" s="17">
        <v>0</v>
      </c>
      <c r="I145">
        <v>39</v>
      </c>
      <c r="J145" s="4" t="s">
        <v>17</v>
      </c>
      <c r="K145" s="27" t="str">
        <f>VLOOKUP(I145,[2]stage_hints!$A:$C,3,FALSE)</f>
        <v>システム適合者を確認</v>
      </c>
      <c r="L145" s="28" t="str">
        <f>VLOOKUP(I145,[2]stage_hints!$A:$D,4,FALSE)</f>
        <v>ALICEが 「アナタ」を呼んでいます</v>
      </c>
      <c r="M145" s="20" t="s">
        <v>24</v>
      </c>
    </row>
    <row r="146" spans="1:13" x14ac:dyDescent="0.15">
      <c r="A146" s="25" t="s">
        <v>33</v>
      </c>
      <c r="B146">
        <v>11005</v>
      </c>
      <c r="E146">
        <v>3</v>
      </c>
      <c r="H146" s="17">
        <v>0</v>
      </c>
      <c r="I146">
        <v>39</v>
      </c>
      <c r="J146" s="4" t="s">
        <v>17</v>
      </c>
      <c r="K146" s="27" t="str">
        <f>VLOOKUP(I146,[2]stage_hints!$A:$C,3,FALSE)</f>
        <v>システム適合者を確認</v>
      </c>
      <c r="L146" s="28" t="str">
        <f>VLOOKUP(I146,[2]stage_hints!$A:$D,4,FALSE)</f>
        <v>ALICEが 「アナタ」を呼んでいます</v>
      </c>
      <c r="M146" s="20" t="s">
        <v>24</v>
      </c>
    </row>
    <row r="147" spans="1:13" x14ac:dyDescent="0.15">
      <c r="A147" s="25" t="s">
        <v>33</v>
      </c>
      <c r="B147">
        <v>11005</v>
      </c>
      <c r="E147">
        <v>4</v>
      </c>
      <c r="H147" s="17">
        <v>0</v>
      </c>
      <c r="I147">
        <v>39</v>
      </c>
      <c r="J147" s="4" t="s">
        <v>17</v>
      </c>
      <c r="K147" s="27" t="str">
        <f>VLOOKUP(I147,[2]stage_hints!$A:$C,3,FALSE)</f>
        <v>システム適合者を確認</v>
      </c>
      <c r="L147" s="28" t="str">
        <f>VLOOKUP(I147,[2]stage_hints!$A:$D,4,FALSE)</f>
        <v>ALICEが 「アナタ」を呼んでいます</v>
      </c>
      <c r="M147" s="20" t="s">
        <v>24</v>
      </c>
    </row>
    <row r="148" spans="1:13" x14ac:dyDescent="0.15">
      <c r="A148" s="25" t="s">
        <v>33</v>
      </c>
      <c r="B148">
        <v>11006</v>
      </c>
      <c r="E148">
        <v>1</v>
      </c>
      <c r="H148" s="17">
        <v>0</v>
      </c>
      <c r="I148">
        <v>39</v>
      </c>
      <c r="J148" s="4" t="s">
        <v>17</v>
      </c>
      <c r="K148" s="27" t="str">
        <f>VLOOKUP(I148,[2]stage_hints!$A:$C,3,FALSE)</f>
        <v>システム適合者を確認</v>
      </c>
      <c r="L148" s="28" t="str">
        <f>VLOOKUP(I148,[2]stage_hints!$A:$D,4,FALSE)</f>
        <v>ALICEが 「アナタ」を呼んでいます</v>
      </c>
      <c r="M148" s="20" t="s">
        <v>24</v>
      </c>
    </row>
    <row r="149" spans="1:13" x14ac:dyDescent="0.15">
      <c r="A149" s="25" t="s">
        <v>33</v>
      </c>
      <c r="B149">
        <v>11006</v>
      </c>
      <c r="E149">
        <v>2</v>
      </c>
      <c r="H149" s="17">
        <v>0</v>
      </c>
      <c r="I149">
        <v>39</v>
      </c>
      <c r="J149" s="4" t="s">
        <v>17</v>
      </c>
      <c r="K149" s="27" t="str">
        <f>VLOOKUP(I149,[2]stage_hints!$A:$C,3,FALSE)</f>
        <v>システム適合者を確認</v>
      </c>
      <c r="L149" s="28" t="str">
        <f>VLOOKUP(I149,[2]stage_hints!$A:$D,4,FALSE)</f>
        <v>ALICEが 「アナタ」を呼んでいます</v>
      </c>
      <c r="M149" s="20" t="s">
        <v>24</v>
      </c>
    </row>
    <row r="150" spans="1:13" x14ac:dyDescent="0.15">
      <c r="A150" s="25" t="s">
        <v>33</v>
      </c>
      <c r="B150">
        <v>11006</v>
      </c>
      <c r="E150">
        <v>3</v>
      </c>
      <c r="H150" s="17">
        <v>0</v>
      </c>
      <c r="I150">
        <v>39</v>
      </c>
      <c r="J150" s="4" t="s">
        <v>17</v>
      </c>
      <c r="K150" s="27" t="str">
        <f>VLOOKUP(I150,[2]stage_hints!$A:$C,3,FALSE)</f>
        <v>システム適合者を確認</v>
      </c>
      <c r="L150" s="28" t="str">
        <f>VLOOKUP(I150,[2]stage_hints!$A:$D,4,FALSE)</f>
        <v>ALICEが 「アナタ」を呼んでいます</v>
      </c>
      <c r="M150" s="20" t="s">
        <v>24</v>
      </c>
    </row>
    <row r="151" spans="1:13" x14ac:dyDescent="0.15">
      <c r="A151" s="25" t="s">
        <v>33</v>
      </c>
      <c r="B151">
        <v>11006</v>
      </c>
      <c r="E151">
        <v>4</v>
      </c>
      <c r="H151" s="17">
        <v>0</v>
      </c>
      <c r="I151">
        <v>39</v>
      </c>
      <c r="J151" s="4" t="s">
        <v>17</v>
      </c>
      <c r="K151" s="27" t="str">
        <f>VLOOKUP(I151,[2]stage_hints!$A:$C,3,FALSE)</f>
        <v>システム適合者を確認</v>
      </c>
      <c r="L151" s="28" t="str">
        <f>VLOOKUP(I151,[2]stage_hints!$A:$D,4,FALSE)</f>
        <v>ALICEが 「アナタ」を呼んでいます</v>
      </c>
      <c r="M151" s="20" t="s">
        <v>24</v>
      </c>
    </row>
    <row r="152" spans="1:13" x14ac:dyDescent="0.15">
      <c r="A152" s="25" t="s">
        <v>33</v>
      </c>
      <c r="B152">
        <v>11016</v>
      </c>
      <c r="E152">
        <v>1</v>
      </c>
      <c r="H152" s="17">
        <v>0</v>
      </c>
      <c r="I152">
        <v>39</v>
      </c>
      <c r="J152" s="4" t="s">
        <v>17</v>
      </c>
      <c r="K152" s="27" t="str">
        <f>VLOOKUP(I152,[2]stage_hints!$A:$C,3,FALSE)</f>
        <v>システム適合者を確認</v>
      </c>
      <c r="L152" s="28" t="str">
        <f>VLOOKUP(I152,[2]stage_hints!$A:$D,4,FALSE)</f>
        <v>ALICEが 「アナタ」を呼んでいます</v>
      </c>
      <c r="M152" s="20" t="s">
        <v>24</v>
      </c>
    </row>
    <row r="153" spans="1:13" x14ac:dyDescent="0.15">
      <c r="A153" s="25" t="s">
        <v>33</v>
      </c>
      <c r="B153">
        <v>11101</v>
      </c>
      <c r="E153">
        <v>1</v>
      </c>
      <c r="H153" s="17">
        <v>0</v>
      </c>
      <c r="I153">
        <v>39</v>
      </c>
      <c r="J153" s="4" t="s">
        <v>17</v>
      </c>
      <c r="K153" s="27" t="str">
        <f>VLOOKUP(I153,[2]stage_hints!$A:$C,3,FALSE)</f>
        <v>システム適合者を確認</v>
      </c>
      <c r="L153" s="28" t="str">
        <f>VLOOKUP(I153,[2]stage_hints!$A:$D,4,FALSE)</f>
        <v>ALICEが 「アナタ」を呼んでいます</v>
      </c>
      <c r="M153" s="20" t="s">
        <v>24</v>
      </c>
    </row>
    <row r="154" spans="1:13" x14ac:dyDescent="0.15">
      <c r="A154" s="25" t="s">
        <v>33</v>
      </c>
      <c r="B154">
        <v>11101</v>
      </c>
      <c r="E154">
        <v>2</v>
      </c>
      <c r="H154" s="17">
        <v>0</v>
      </c>
      <c r="I154">
        <v>39</v>
      </c>
      <c r="J154" s="4" t="s">
        <v>17</v>
      </c>
      <c r="K154" s="27" t="str">
        <f>VLOOKUP(I154,[2]stage_hints!$A:$C,3,FALSE)</f>
        <v>システム適合者を確認</v>
      </c>
      <c r="L154" s="28" t="str">
        <f>VLOOKUP(I154,[2]stage_hints!$A:$D,4,FALSE)</f>
        <v>ALICEが 「アナタ」を呼んでいます</v>
      </c>
      <c r="M154" s="20" t="s">
        <v>24</v>
      </c>
    </row>
    <row r="155" spans="1:13" x14ac:dyDescent="0.15">
      <c r="A155" s="25" t="s">
        <v>33</v>
      </c>
      <c r="B155">
        <v>11101</v>
      </c>
      <c r="E155">
        <v>3</v>
      </c>
      <c r="H155" s="17">
        <v>0</v>
      </c>
      <c r="I155">
        <v>39</v>
      </c>
      <c r="J155" s="4" t="s">
        <v>17</v>
      </c>
      <c r="K155" s="27" t="str">
        <f>VLOOKUP(I155,[2]stage_hints!$A:$C,3,FALSE)</f>
        <v>システム適合者を確認</v>
      </c>
      <c r="L155" s="28" t="str">
        <f>VLOOKUP(I155,[2]stage_hints!$A:$D,4,FALSE)</f>
        <v>ALICEが 「アナタ」を呼んでいます</v>
      </c>
      <c r="M155" s="20" t="s">
        <v>24</v>
      </c>
    </row>
    <row r="156" spans="1:13" x14ac:dyDescent="0.15">
      <c r="A156" s="25" t="s">
        <v>33</v>
      </c>
      <c r="B156">
        <v>11102</v>
      </c>
      <c r="E156">
        <v>1</v>
      </c>
      <c r="H156" s="17">
        <v>0</v>
      </c>
      <c r="I156">
        <v>39</v>
      </c>
      <c r="J156" s="4" t="s">
        <v>17</v>
      </c>
      <c r="K156" s="27" t="str">
        <f>VLOOKUP(I156,[2]stage_hints!$A:$C,3,FALSE)</f>
        <v>システム適合者を確認</v>
      </c>
      <c r="L156" s="28" t="str">
        <f>VLOOKUP(I156,[2]stage_hints!$A:$D,4,FALSE)</f>
        <v>ALICEが 「アナタ」を呼んでいます</v>
      </c>
      <c r="M156" s="20" t="s">
        <v>24</v>
      </c>
    </row>
    <row r="157" spans="1:13" x14ac:dyDescent="0.15">
      <c r="A157" s="25" t="s">
        <v>33</v>
      </c>
      <c r="B157">
        <v>11102</v>
      </c>
      <c r="E157">
        <v>2</v>
      </c>
      <c r="H157" s="17">
        <v>0</v>
      </c>
      <c r="I157">
        <v>39</v>
      </c>
      <c r="J157" s="4" t="s">
        <v>17</v>
      </c>
      <c r="K157" s="27" t="str">
        <f>VLOOKUP(I157,[2]stage_hints!$A:$C,3,FALSE)</f>
        <v>システム適合者を確認</v>
      </c>
      <c r="L157" s="28" t="str">
        <f>VLOOKUP(I157,[2]stage_hints!$A:$D,4,FALSE)</f>
        <v>ALICEが 「アナタ」を呼んでいます</v>
      </c>
      <c r="M157" s="20" t="s">
        <v>24</v>
      </c>
    </row>
    <row r="158" spans="1:13" x14ac:dyDescent="0.15">
      <c r="A158" s="25" t="s">
        <v>33</v>
      </c>
      <c r="B158">
        <v>11102</v>
      </c>
      <c r="E158">
        <v>3</v>
      </c>
      <c r="H158" s="17">
        <v>0</v>
      </c>
      <c r="I158">
        <v>39</v>
      </c>
      <c r="J158" s="4" t="s">
        <v>17</v>
      </c>
      <c r="K158" s="27" t="str">
        <f>VLOOKUP(I158,[2]stage_hints!$A:$C,3,FALSE)</f>
        <v>システム適合者を確認</v>
      </c>
      <c r="L158" s="28" t="str">
        <f>VLOOKUP(I158,[2]stage_hints!$A:$D,4,FALSE)</f>
        <v>ALICEが 「アナタ」を呼んでいます</v>
      </c>
      <c r="M158" s="20" t="s">
        <v>24</v>
      </c>
    </row>
    <row r="159" spans="1:13" x14ac:dyDescent="0.15">
      <c r="A159" s="25" t="s">
        <v>33</v>
      </c>
      <c r="B159">
        <v>11103</v>
      </c>
      <c r="E159">
        <v>1</v>
      </c>
      <c r="H159" s="17">
        <v>0</v>
      </c>
      <c r="I159">
        <v>39</v>
      </c>
      <c r="J159" s="4" t="s">
        <v>17</v>
      </c>
      <c r="K159" s="27" t="str">
        <f>VLOOKUP(I159,[2]stage_hints!$A:$C,3,FALSE)</f>
        <v>システム適合者を確認</v>
      </c>
      <c r="L159" s="28" t="str">
        <f>VLOOKUP(I159,[2]stage_hints!$A:$D,4,FALSE)</f>
        <v>ALICEが 「アナタ」を呼んでいます</v>
      </c>
      <c r="M159" s="20" t="s">
        <v>24</v>
      </c>
    </row>
    <row r="160" spans="1:13" x14ac:dyDescent="0.15">
      <c r="A160" s="25" t="s">
        <v>33</v>
      </c>
      <c r="B160">
        <v>11103</v>
      </c>
      <c r="E160">
        <v>2</v>
      </c>
      <c r="H160" s="17">
        <v>0</v>
      </c>
      <c r="I160">
        <v>39</v>
      </c>
      <c r="J160" s="4" t="s">
        <v>17</v>
      </c>
      <c r="K160" s="27" t="str">
        <f>VLOOKUP(I160,[2]stage_hints!$A:$C,3,FALSE)</f>
        <v>システム適合者を確認</v>
      </c>
      <c r="L160" s="28" t="str">
        <f>VLOOKUP(I160,[2]stage_hints!$A:$D,4,FALSE)</f>
        <v>ALICEが 「アナタ」を呼んでいます</v>
      </c>
      <c r="M160" s="20" t="s">
        <v>24</v>
      </c>
    </row>
    <row r="161" spans="1:13" x14ac:dyDescent="0.15">
      <c r="A161" s="25" t="s">
        <v>33</v>
      </c>
      <c r="B161">
        <v>11103</v>
      </c>
      <c r="E161">
        <v>3</v>
      </c>
      <c r="H161" s="17">
        <v>0</v>
      </c>
      <c r="I161">
        <v>39</v>
      </c>
      <c r="J161" s="4" t="s">
        <v>17</v>
      </c>
      <c r="K161" s="27" t="str">
        <f>VLOOKUP(I161,[2]stage_hints!$A:$C,3,FALSE)</f>
        <v>システム適合者を確認</v>
      </c>
      <c r="L161" s="28" t="str">
        <f>VLOOKUP(I161,[2]stage_hints!$A:$D,4,FALSE)</f>
        <v>ALICEが 「アナタ」を呼んでいます</v>
      </c>
      <c r="M161" s="20" t="s">
        <v>24</v>
      </c>
    </row>
    <row r="162" spans="1:13" x14ac:dyDescent="0.15">
      <c r="A162" s="25" t="s">
        <v>33</v>
      </c>
      <c r="B162">
        <v>11104</v>
      </c>
      <c r="E162">
        <v>1</v>
      </c>
      <c r="H162" s="17">
        <v>0</v>
      </c>
      <c r="I162">
        <v>39</v>
      </c>
      <c r="J162" s="4" t="s">
        <v>17</v>
      </c>
      <c r="K162" s="27" t="str">
        <f>VLOOKUP(I162,[2]stage_hints!$A:$C,3,FALSE)</f>
        <v>システム適合者を確認</v>
      </c>
      <c r="L162" s="28" t="str">
        <f>VLOOKUP(I162,[2]stage_hints!$A:$D,4,FALSE)</f>
        <v>ALICEが 「アナタ」を呼んでいます</v>
      </c>
      <c r="M162" s="20" t="s">
        <v>24</v>
      </c>
    </row>
    <row r="163" spans="1:13" x14ac:dyDescent="0.15">
      <c r="A163" s="25" t="s">
        <v>33</v>
      </c>
      <c r="B163">
        <v>11104</v>
      </c>
      <c r="E163">
        <v>2</v>
      </c>
      <c r="H163" s="17">
        <v>0</v>
      </c>
      <c r="I163">
        <v>39</v>
      </c>
      <c r="J163" s="4" t="s">
        <v>17</v>
      </c>
      <c r="K163" s="27" t="str">
        <f>VLOOKUP(I163,[2]stage_hints!$A:$C,3,FALSE)</f>
        <v>システム適合者を確認</v>
      </c>
      <c r="L163" s="28" t="str">
        <f>VLOOKUP(I163,[2]stage_hints!$A:$D,4,FALSE)</f>
        <v>ALICEが 「アナタ」を呼んでいます</v>
      </c>
      <c r="M163" s="20" t="s">
        <v>24</v>
      </c>
    </row>
    <row r="164" spans="1:13" x14ac:dyDescent="0.15">
      <c r="A164" s="25" t="s">
        <v>33</v>
      </c>
      <c r="B164">
        <v>11104</v>
      </c>
      <c r="E164">
        <v>3</v>
      </c>
      <c r="H164" s="17">
        <v>0</v>
      </c>
      <c r="I164">
        <v>39</v>
      </c>
      <c r="J164" s="4" t="s">
        <v>17</v>
      </c>
      <c r="K164" s="27" t="str">
        <f>VLOOKUP(I164,[2]stage_hints!$A:$C,3,FALSE)</f>
        <v>システム適合者を確認</v>
      </c>
      <c r="L164" s="28" t="str">
        <f>VLOOKUP(I164,[2]stage_hints!$A:$D,4,FALSE)</f>
        <v>ALICEが 「アナタ」を呼んでいます</v>
      </c>
      <c r="M164" s="20" t="s">
        <v>24</v>
      </c>
    </row>
    <row r="165" spans="1:13" x14ac:dyDescent="0.15">
      <c r="A165" s="25" t="s">
        <v>33</v>
      </c>
      <c r="B165">
        <v>11105</v>
      </c>
      <c r="E165">
        <v>1</v>
      </c>
      <c r="H165" s="17">
        <v>0</v>
      </c>
      <c r="I165">
        <v>39</v>
      </c>
      <c r="J165" s="4" t="s">
        <v>17</v>
      </c>
      <c r="K165" s="27" t="str">
        <f>VLOOKUP(I165,[2]stage_hints!$A:$C,3,FALSE)</f>
        <v>システム適合者を確認</v>
      </c>
      <c r="L165" s="28" t="str">
        <f>VLOOKUP(I165,[2]stage_hints!$A:$D,4,FALSE)</f>
        <v>ALICEが 「アナタ」を呼んでいます</v>
      </c>
      <c r="M165" s="20" t="s">
        <v>24</v>
      </c>
    </row>
    <row r="166" spans="1:13" x14ac:dyDescent="0.15">
      <c r="A166" s="25" t="s">
        <v>33</v>
      </c>
      <c r="B166">
        <v>11105</v>
      </c>
      <c r="E166">
        <v>2</v>
      </c>
      <c r="H166" s="17">
        <v>0</v>
      </c>
      <c r="I166">
        <v>39</v>
      </c>
      <c r="J166" s="4" t="s">
        <v>17</v>
      </c>
      <c r="K166" s="27" t="str">
        <f>VLOOKUP(I166,[2]stage_hints!$A:$C,3,FALSE)</f>
        <v>システム適合者を確認</v>
      </c>
      <c r="L166" s="28" t="str">
        <f>VLOOKUP(I166,[2]stage_hints!$A:$D,4,FALSE)</f>
        <v>ALICEが 「アナタ」を呼んでいます</v>
      </c>
      <c r="M166" s="20" t="s">
        <v>24</v>
      </c>
    </row>
    <row r="167" spans="1:13" x14ac:dyDescent="0.15">
      <c r="A167" s="25" t="s">
        <v>33</v>
      </c>
      <c r="B167">
        <v>11105</v>
      </c>
      <c r="E167">
        <v>3</v>
      </c>
      <c r="H167" s="17">
        <v>0</v>
      </c>
      <c r="I167">
        <v>39</v>
      </c>
      <c r="J167" s="4" t="s">
        <v>17</v>
      </c>
      <c r="K167" s="27" t="str">
        <f>VLOOKUP(I167,[2]stage_hints!$A:$C,3,FALSE)</f>
        <v>システム適合者を確認</v>
      </c>
      <c r="L167" s="28" t="str">
        <f>VLOOKUP(I167,[2]stage_hints!$A:$D,4,FALSE)</f>
        <v>ALICEが 「アナタ」を呼んでいます</v>
      </c>
      <c r="M167" s="20" t="s">
        <v>24</v>
      </c>
    </row>
    <row r="168" spans="1:13" x14ac:dyDescent="0.15">
      <c r="A168" s="25" t="s">
        <v>33</v>
      </c>
      <c r="B168">
        <v>11105</v>
      </c>
      <c r="E168">
        <v>4</v>
      </c>
      <c r="H168" s="17">
        <v>0</v>
      </c>
      <c r="I168">
        <v>39</v>
      </c>
      <c r="J168" s="4" t="s">
        <v>17</v>
      </c>
      <c r="K168" s="27" t="str">
        <f>VLOOKUP(I168,[2]stage_hints!$A:$C,3,FALSE)</f>
        <v>システム適合者を確認</v>
      </c>
      <c r="L168" s="28" t="str">
        <f>VLOOKUP(I168,[2]stage_hints!$A:$D,4,FALSE)</f>
        <v>ALICEが 「アナタ」を呼んでいます</v>
      </c>
      <c r="M168" s="20" t="s">
        <v>24</v>
      </c>
    </row>
    <row r="169" spans="1:13" x14ac:dyDescent="0.15">
      <c r="A169" s="25" t="s">
        <v>33</v>
      </c>
      <c r="B169">
        <v>11106</v>
      </c>
      <c r="E169">
        <v>1</v>
      </c>
      <c r="H169" s="17">
        <v>0</v>
      </c>
      <c r="I169">
        <v>39</v>
      </c>
      <c r="J169" s="4" t="s">
        <v>17</v>
      </c>
      <c r="K169" s="27" t="str">
        <f>VLOOKUP(I169,[2]stage_hints!$A:$C,3,FALSE)</f>
        <v>システム適合者を確認</v>
      </c>
      <c r="L169" s="28" t="str">
        <f>VLOOKUP(I169,[2]stage_hints!$A:$D,4,FALSE)</f>
        <v>ALICEが 「アナタ」を呼んでいます</v>
      </c>
      <c r="M169" s="20" t="s">
        <v>24</v>
      </c>
    </row>
    <row r="170" spans="1:13" x14ac:dyDescent="0.15">
      <c r="A170" s="25" t="s">
        <v>33</v>
      </c>
      <c r="B170">
        <v>11106</v>
      </c>
      <c r="E170">
        <v>2</v>
      </c>
      <c r="H170" s="17">
        <v>0</v>
      </c>
      <c r="I170">
        <v>39</v>
      </c>
      <c r="J170" s="4" t="s">
        <v>17</v>
      </c>
      <c r="K170" s="27" t="str">
        <f>VLOOKUP(I170,[2]stage_hints!$A:$C,3,FALSE)</f>
        <v>システム適合者を確認</v>
      </c>
      <c r="L170" s="28" t="str">
        <f>VLOOKUP(I170,[2]stage_hints!$A:$D,4,FALSE)</f>
        <v>ALICEが 「アナタ」を呼んでいます</v>
      </c>
      <c r="M170" s="20" t="s">
        <v>24</v>
      </c>
    </row>
    <row r="171" spans="1:13" x14ac:dyDescent="0.15">
      <c r="A171" s="25" t="s">
        <v>33</v>
      </c>
      <c r="B171">
        <v>11106</v>
      </c>
      <c r="E171">
        <v>3</v>
      </c>
      <c r="H171" s="17">
        <v>0</v>
      </c>
      <c r="I171">
        <v>39</v>
      </c>
      <c r="J171" s="4" t="s">
        <v>17</v>
      </c>
      <c r="K171" s="27" t="str">
        <f>VLOOKUP(I171,[2]stage_hints!$A:$C,3,FALSE)</f>
        <v>システム適合者を確認</v>
      </c>
      <c r="L171" s="28" t="str">
        <f>VLOOKUP(I171,[2]stage_hints!$A:$D,4,FALSE)</f>
        <v>ALICEが 「アナタ」を呼んでいます</v>
      </c>
      <c r="M171" s="20" t="s">
        <v>24</v>
      </c>
    </row>
    <row r="172" spans="1:13" x14ac:dyDescent="0.15">
      <c r="A172" s="25" t="s">
        <v>33</v>
      </c>
      <c r="B172">
        <v>11207</v>
      </c>
      <c r="E172">
        <v>1</v>
      </c>
      <c r="H172" s="17">
        <v>0</v>
      </c>
      <c r="I172">
        <v>39</v>
      </c>
      <c r="J172" s="4" t="s">
        <v>17</v>
      </c>
      <c r="K172" s="27" t="str">
        <f>VLOOKUP(I172,[2]stage_hints!$A:$C,3,FALSE)</f>
        <v>システム適合者を確認</v>
      </c>
      <c r="L172" s="28" t="str">
        <f>VLOOKUP(I172,[2]stage_hints!$A:$D,4,FALSE)</f>
        <v>ALICEが 「アナタ」を呼んでいます</v>
      </c>
      <c r="M172" s="20" t="s">
        <v>24</v>
      </c>
    </row>
    <row r="173" spans="1:13" x14ac:dyDescent="0.15">
      <c r="A173" s="25" t="s">
        <v>33</v>
      </c>
      <c r="B173">
        <v>11207</v>
      </c>
      <c r="E173">
        <v>2</v>
      </c>
      <c r="H173" s="17">
        <v>0</v>
      </c>
      <c r="I173">
        <v>39</v>
      </c>
      <c r="J173" s="4" t="s">
        <v>17</v>
      </c>
      <c r="K173" s="27" t="str">
        <f>VLOOKUP(I173,[2]stage_hints!$A:$C,3,FALSE)</f>
        <v>システム適合者を確認</v>
      </c>
      <c r="L173" s="28" t="str">
        <f>VLOOKUP(I173,[2]stage_hints!$A:$D,4,FALSE)</f>
        <v>ALICEが 「アナタ」を呼んでいます</v>
      </c>
      <c r="M173" s="20" t="s">
        <v>24</v>
      </c>
    </row>
    <row r="174" spans="1:13" x14ac:dyDescent="0.15">
      <c r="A174" s="25" t="s">
        <v>33</v>
      </c>
      <c r="B174">
        <v>11214</v>
      </c>
      <c r="E174">
        <v>1</v>
      </c>
      <c r="H174" s="17">
        <v>0</v>
      </c>
      <c r="I174">
        <v>39</v>
      </c>
      <c r="J174" s="4" t="s">
        <v>17</v>
      </c>
      <c r="K174" s="27" t="str">
        <f>VLOOKUP(I174,[2]stage_hints!$A:$C,3,FALSE)</f>
        <v>システム適合者を確認</v>
      </c>
      <c r="L174" s="28" t="str">
        <f>VLOOKUP(I174,[2]stage_hints!$A:$D,4,FALSE)</f>
        <v>ALICEが 「アナタ」を呼んでいます</v>
      </c>
      <c r="M174" s="20" t="s">
        <v>24</v>
      </c>
    </row>
    <row r="175" spans="1:13" x14ac:dyDescent="0.15">
      <c r="A175" s="25" t="s">
        <v>33</v>
      </c>
      <c r="B175">
        <v>11214</v>
      </c>
      <c r="E175">
        <v>3</v>
      </c>
      <c r="H175" s="17">
        <v>0</v>
      </c>
      <c r="I175">
        <v>39</v>
      </c>
      <c r="J175" s="4" t="s">
        <v>17</v>
      </c>
      <c r="K175" s="27" t="str">
        <f>VLOOKUP(I175,[2]stage_hints!$A:$C,3,FALSE)</f>
        <v>システム適合者を確認</v>
      </c>
      <c r="L175" s="28" t="str">
        <f>VLOOKUP(I175,[2]stage_hints!$A:$D,4,FALSE)</f>
        <v>ALICEが 「アナタ」を呼んでいます</v>
      </c>
      <c r="M175" s="20" t="s">
        <v>24</v>
      </c>
    </row>
    <row r="176" spans="1:13" x14ac:dyDescent="0.15">
      <c r="A176" s="25" t="s">
        <v>33</v>
      </c>
      <c r="B176">
        <v>11216</v>
      </c>
      <c r="E176">
        <v>1</v>
      </c>
      <c r="H176" s="17">
        <v>0</v>
      </c>
      <c r="I176">
        <v>39</v>
      </c>
      <c r="J176" s="4" t="s">
        <v>17</v>
      </c>
      <c r="K176" s="27" t="str">
        <f>VLOOKUP(I176,[2]stage_hints!$A:$C,3,FALSE)</f>
        <v>システム適合者を確認</v>
      </c>
      <c r="L176" s="28" t="str">
        <f>VLOOKUP(I176,[2]stage_hints!$A:$D,4,FALSE)</f>
        <v>ALICEが 「アナタ」を呼んでいます</v>
      </c>
      <c r="M176" s="20" t="s">
        <v>24</v>
      </c>
    </row>
    <row r="177" spans="1:13" x14ac:dyDescent="0.15">
      <c r="A177" s="25" t="s">
        <v>33</v>
      </c>
      <c r="B177">
        <v>11217</v>
      </c>
      <c r="E177">
        <v>1</v>
      </c>
      <c r="H177" s="17">
        <v>0</v>
      </c>
      <c r="I177">
        <v>39</v>
      </c>
      <c r="J177" s="4" t="s">
        <v>17</v>
      </c>
      <c r="K177" s="27" t="str">
        <f>VLOOKUP(I177,[2]stage_hints!$A:$C,3,FALSE)</f>
        <v>システム適合者を確認</v>
      </c>
      <c r="L177" s="28" t="str">
        <f>VLOOKUP(I177,[2]stage_hints!$A:$D,4,FALSE)</f>
        <v>ALICEが 「アナタ」を呼んでいます</v>
      </c>
      <c r="M177" s="20" t="s">
        <v>24</v>
      </c>
    </row>
    <row r="178" spans="1:13" x14ac:dyDescent="0.15">
      <c r="A178" s="25" t="s">
        <v>33</v>
      </c>
      <c r="B178">
        <v>12001</v>
      </c>
      <c r="E178">
        <v>1</v>
      </c>
      <c r="H178" s="17">
        <v>0</v>
      </c>
      <c r="I178">
        <v>39</v>
      </c>
      <c r="J178" s="4" t="s">
        <v>17</v>
      </c>
      <c r="K178" s="27" t="str">
        <f>VLOOKUP(I178,[2]stage_hints!$A:$C,3,FALSE)</f>
        <v>システム適合者を確認</v>
      </c>
      <c r="L178" s="28" t="str">
        <f>VLOOKUP(I178,[2]stage_hints!$A:$D,4,FALSE)</f>
        <v>ALICEが 「アナタ」を呼んでいます</v>
      </c>
      <c r="M178" s="20" t="s">
        <v>24</v>
      </c>
    </row>
    <row r="179" spans="1:13" x14ac:dyDescent="0.15">
      <c r="A179" s="25" t="s">
        <v>33</v>
      </c>
      <c r="B179">
        <v>12001</v>
      </c>
      <c r="E179">
        <v>2</v>
      </c>
      <c r="H179" s="17">
        <v>0</v>
      </c>
      <c r="I179">
        <v>39</v>
      </c>
      <c r="J179" s="4" t="s">
        <v>17</v>
      </c>
      <c r="K179" s="27" t="str">
        <f>VLOOKUP(I179,[2]stage_hints!$A:$C,3,FALSE)</f>
        <v>システム適合者を確認</v>
      </c>
      <c r="L179" s="28" t="str">
        <f>VLOOKUP(I179,[2]stage_hints!$A:$D,4,FALSE)</f>
        <v>ALICEが 「アナタ」を呼んでいます</v>
      </c>
      <c r="M179" s="20" t="s">
        <v>24</v>
      </c>
    </row>
    <row r="180" spans="1:13" x14ac:dyDescent="0.15">
      <c r="A180" s="25" t="s">
        <v>33</v>
      </c>
      <c r="B180">
        <v>12001</v>
      </c>
      <c r="E180">
        <v>3</v>
      </c>
      <c r="H180" s="17">
        <v>0</v>
      </c>
      <c r="I180">
        <v>39</v>
      </c>
      <c r="J180" s="4" t="s">
        <v>17</v>
      </c>
      <c r="K180" s="27" t="str">
        <f>VLOOKUP(I180,[2]stage_hints!$A:$C,3,FALSE)</f>
        <v>システム適合者を確認</v>
      </c>
      <c r="L180" s="28" t="str">
        <f>VLOOKUP(I180,[2]stage_hints!$A:$D,4,FALSE)</f>
        <v>ALICEが 「アナタ」を呼んでいます</v>
      </c>
      <c r="M180" s="20" t="s">
        <v>24</v>
      </c>
    </row>
    <row r="181" spans="1:13" x14ac:dyDescent="0.15">
      <c r="A181" s="25" t="s">
        <v>33</v>
      </c>
      <c r="B181">
        <v>12002</v>
      </c>
      <c r="E181">
        <v>1</v>
      </c>
      <c r="H181" s="17">
        <v>0</v>
      </c>
      <c r="I181">
        <v>39</v>
      </c>
      <c r="J181" s="4" t="s">
        <v>17</v>
      </c>
      <c r="K181" s="27" t="str">
        <f>VLOOKUP(I181,[2]stage_hints!$A:$C,3,FALSE)</f>
        <v>システム適合者を確認</v>
      </c>
      <c r="L181" s="28" t="str">
        <f>VLOOKUP(I181,[2]stage_hints!$A:$D,4,FALSE)</f>
        <v>ALICEが 「アナタ」を呼んでいます</v>
      </c>
      <c r="M181" s="20" t="s">
        <v>24</v>
      </c>
    </row>
    <row r="182" spans="1:13" x14ac:dyDescent="0.15">
      <c r="A182" s="25" t="s">
        <v>33</v>
      </c>
      <c r="B182">
        <v>12003</v>
      </c>
      <c r="E182">
        <v>1</v>
      </c>
      <c r="H182" s="17">
        <v>0</v>
      </c>
      <c r="I182">
        <v>39</v>
      </c>
      <c r="J182" s="4" t="s">
        <v>17</v>
      </c>
      <c r="K182" s="27" t="str">
        <f>VLOOKUP(I182,[2]stage_hints!$A:$C,3,FALSE)</f>
        <v>システム適合者を確認</v>
      </c>
      <c r="L182" s="28" t="str">
        <f>VLOOKUP(I182,[2]stage_hints!$A:$D,4,FALSE)</f>
        <v>ALICEが 「アナタ」を呼んでいます</v>
      </c>
      <c r="M182" s="20" t="s">
        <v>24</v>
      </c>
    </row>
    <row r="183" spans="1:13" x14ac:dyDescent="0.15">
      <c r="A183" s="25" t="s">
        <v>33</v>
      </c>
      <c r="B183">
        <v>12003</v>
      </c>
      <c r="E183">
        <v>2</v>
      </c>
      <c r="H183" s="17">
        <v>0</v>
      </c>
      <c r="I183">
        <v>39</v>
      </c>
      <c r="J183" s="4" t="s">
        <v>17</v>
      </c>
      <c r="K183" s="27" t="str">
        <f>VLOOKUP(I183,[2]stage_hints!$A:$C,3,FALSE)</f>
        <v>システム適合者を確認</v>
      </c>
      <c r="L183" s="28" t="str">
        <f>VLOOKUP(I183,[2]stage_hints!$A:$D,4,FALSE)</f>
        <v>ALICEが 「アナタ」を呼んでいます</v>
      </c>
      <c r="M183" s="20" t="s">
        <v>24</v>
      </c>
    </row>
    <row r="184" spans="1:13" x14ac:dyDescent="0.15">
      <c r="A184" s="25" t="s">
        <v>33</v>
      </c>
      <c r="B184">
        <v>12003</v>
      </c>
      <c r="E184">
        <v>3</v>
      </c>
      <c r="H184" s="17">
        <v>0</v>
      </c>
      <c r="I184">
        <v>39</v>
      </c>
      <c r="J184" s="4" t="s">
        <v>17</v>
      </c>
      <c r="K184" s="27" t="str">
        <f>VLOOKUP(I184,[2]stage_hints!$A:$C,3,FALSE)</f>
        <v>システム適合者を確認</v>
      </c>
      <c r="L184" s="28" t="str">
        <f>VLOOKUP(I184,[2]stage_hints!$A:$D,4,FALSE)</f>
        <v>ALICEが 「アナタ」を呼んでいます</v>
      </c>
      <c r="M184" s="20" t="s">
        <v>24</v>
      </c>
    </row>
    <row r="185" spans="1:13" x14ac:dyDescent="0.15">
      <c r="A185" s="25" t="s">
        <v>33</v>
      </c>
      <c r="B185">
        <v>12003</v>
      </c>
      <c r="E185">
        <v>4</v>
      </c>
      <c r="H185" s="17">
        <v>0</v>
      </c>
      <c r="I185">
        <v>39</v>
      </c>
      <c r="J185" s="4" t="s">
        <v>17</v>
      </c>
      <c r="K185" s="27" t="str">
        <f>VLOOKUP(I185,[2]stage_hints!$A:$C,3,FALSE)</f>
        <v>システム適合者を確認</v>
      </c>
      <c r="L185" s="28" t="str">
        <f>VLOOKUP(I185,[2]stage_hints!$A:$D,4,FALSE)</f>
        <v>ALICEが 「アナタ」を呼んでいます</v>
      </c>
      <c r="M185" s="20" t="s">
        <v>24</v>
      </c>
    </row>
    <row r="186" spans="1:13" x14ac:dyDescent="0.15">
      <c r="A186" s="25" t="s">
        <v>33</v>
      </c>
      <c r="B186">
        <v>13001</v>
      </c>
      <c r="E186">
        <v>1</v>
      </c>
      <c r="H186" s="17">
        <v>0</v>
      </c>
      <c r="I186">
        <v>39</v>
      </c>
      <c r="J186" s="4" t="s">
        <v>17</v>
      </c>
      <c r="K186" s="27" t="str">
        <f>VLOOKUP(I186,[2]stage_hints!$A:$C,3,FALSE)</f>
        <v>システム適合者を確認</v>
      </c>
      <c r="L186" s="28" t="str">
        <f>VLOOKUP(I186,[2]stage_hints!$A:$D,4,FALSE)</f>
        <v>ALICEが 「アナタ」を呼んでいます</v>
      </c>
      <c r="M186" s="20" t="s">
        <v>24</v>
      </c>
    </row>
    <row r="187" spans="1:13" x14ac:dyDescent="0.15">
      <c r="A187" s="25" t="s">
        <v>33</v>
      </c>
      <c r="B187">
        <v>13001</v>
      </c>
      <c r="E187">
        <v>2</v>
      </c>
      <c r="H187" s="17">
        <v>0</v>
      </c>
      <c r="I187">
        <v>39</v>
      </c>
      <c r="J187" s="4" t="s">
        <v>17</v>
      </c>
      <c r="K187" s="27" t="str">
        <f>VLOOKUP(I187,[2]stage_hints!$A:$C,3,FALSE)</f>
        <v>システム適合者を確認</v>
      </c>
      <c r="L187" s="28" t="str">
        <f>VLOOKUP(I187,[2]stage_hints!$A:$D,4,FALSE)</f>
        <v>ALICEが 「アナタ」を呼んでいます</v>
      </c>
      <c r="M187" s="20" t="s">
        <v>24</v>
      </c>
    </row>
    <row r="188" spans="1:13" x14ac:dyDescent="0.15">
      <c r="A188" s="25" t="s">
        <v>33</v>
      </c>
      <c r="B188">
        <v>13001</v>
      </c>
      <c r="E188">
        <v>3</v>
      </c>
      <c r="H188" s="17">
        <v>0</v>
      </c>
      <c r="I188">
        <v>39</v>
      </c>
      <c r="J188" s="4" t="s">
        <v>17</v>
      </c>
      <c r="K188" s="27" t="str">
        <f>VLOOKUP(I188,[2]stage_hints!$A:$C,3,FALSE)</f>
        <v>システム適合者を確認</v>
      </c>
      <c r="L188" s="28" t="str">
        <f>VLOOKUP(I188,[2]stage_hints!$A:$D,4,FALSE)</f>
        <v>ALICEが 「アナタ」を呼んでいます</v>
      </c>
      <c r="M188" s="20" t="s">
        <v>24</v>
      </c>
    </row>
    <row r="189" spans="1:13" x14ac:dyDescent="0.15">
      <c r="A189" s="25" t="s">
        <v>33</v>
      </c>
      <c r="B189">
        <v>13001</v>
      </c>
      <c r="E189">
        <v>4</v>
      </c>
      <c r="H189" s="17">
        <v>0</v>
      </c>
      <c r="I189">
        <v>39</v>
      </c>
      <c r="J189" s="4" t="s">
        <v>17</v>
      </c>
      <c r="K189" s="27" t="str">
        <f>VLOOKUP(I189,[2]stage_hints!$A:$C,3,FALSE)</f>
        <v>システム適合者を確認</v>
      </c>
      <c r="L189" s="28" t="str">
        <f>VLOOKUP(I189,[2]stage_hints!$A:$D,4,FALSE)</f>
        <v>ALICEが 「アナタ」を呼んでいます</v>
      </c>
      <c r="M189" s="20" t="s">
        <v>24</v>
      </c>
    </row>
    <row r="190" spans="1:13" x14ac:dyDescent="0.15">
      <c r="A190" s="25" t="s">
        <v>33</v>
      </c>
      <c r="B190">
        <v>13001</v>
      </c>
      <c r="E190">
        <v>5</v>
      </c>
      <c r="H190" s="17">
        <v>0</v>
      </c>
      <c r="I190">
        <v>39</v>
      </c>
      <c r="J190" s="4" t="s">
        <v>17</v>
      </c>
      <c r="K190" s="27" t="str">
        <f>VLOOKUP(I190,[2]stage_hints!$A:$C,3,FALSE)</f>
        <v>システム適合者を確認</v>
      </c>
      <c r="L190" s="28" t="str">
        <f>VLOOKUP(I190,[2]stage_hints!$A:$D,4,FALSE)</f>
        <v>ALICEが 「アナタ」を呼んでいます</v>
      </c>
      <c r="M190" s="20" t="s">
        <v>24</v>
      </c>
    </row>
    <row r="191" spans="1:13" x14ac:dyDescent="0.15">
      <c r="A191" s="25" t="s">
        <v>33</v>
      </c>
      <c r="B191">
        <v>13001</v>
      </c>
      <c r="E191">
        <v>6</v>
      </c>
      <c r="H191" s="17">
        <v>0</v>
      </c>
      <c r="I191">
        <v>39</v>
      </c>
      <c r="J191" s="4" t="s">
        <v>17</v>
      </c>
      <c r="K191" s="27" t="str">
        <f>VLOOKUP(I191,[2]stage_hints!$A:$C,3,FALSE)</f>
        <v>システム適合者を確認</v>
      </c>
      <c r="L191" s="28" t="str">
        <f>VLOOKUP(I191,[2]stage_hints!$A:$D,4,FALSE)</f>
        <v>ALICEが 「アナタ」を呼んでいます</v>
      </c>
      <c r="M191" s="20" t="s">
        <v>24</v>
      </c>
    </row>
    <row r="192" spans="1:13" x14ac:dyDescent="0.15">
      <c r="A192" s="25" t="s">
        <v>33</v>
      </c>
      <c r="B192">
        <v>13001</v>
      </c>
      <c r="E192">
        <v>7</v>
      </c>
      <c r="H192" s="17">
        <v>0</v>
      </c>
      <c r="I192">
        <v>39</v>
      </c>
      <c r="J192" s="4" t="s">
        <v>17</v>
      </c>
      <c r="K192" s="27" t="str">
        <f>VLOOKUP(I192,[2]stage_hints!$A:$C,3,FALSE)</f>
        <v>システム適合者を確認</v>
      </c>
      <c r="L192" s="28" t="str">
        <f>VLOOKUP(I192,[2]stage_hints!$A:$D,4,FALSE)</f>
        <v>ALICEが 「アナタ」を呼んでいます</v>
      </c>
      <c r="M192" s="20" t="s">
        <v>24</v>
      </c>
    </row>
    <row r="193" spans="1:13" x14ac:dyDescent="0.15">
      <c r="A193" s="25" t="s">
        <v>33</v>
      </c>
      <c r="B193">
        <v>13001</v>
      </c>
      <c r="E193">
        <v>8</v>
      </c>
      <c r="H193" s="17">
        <v>0</v>
      </c>
      <c r="I193">
        <v>39</v>
      </c>
      <c r="J193" s="4" t="s">
        <v>17</v>
      </c>
      <c r="K193" s="27" t="str">
        <f>VLOOKUP(I193,[2]stage_hints!$A:$C,3,FALSE)</f>
        <v>システム適合者を確認</v>
      </c>
      <c r="L193" s="28" t="str">
        <f>VLOOKUP(I193,[2]stage_hints!$A:$D,4,FALSE)</f>
        <v>ALICEが 「アナタ」を呼んでいます</v>
      </c>
      <c r="M193" s="20" t="s">
        <v>24</v>
      </c>
    </row>
    <row r="194" spans="1:13" x14ac:dyDescent="0.15">
      <c r="A194" s="25" t="s">
        <v>33</v>
      </c>
      <c r="B194">
        <v>13001</v>
      </c>
      <c r="E194">
        <v>9</v>
      </c>
      <c r="H194" s="17">
        <v>0</v>
      </c>
      <c r="I194">
        <v>39</v>
      </c>
      <c r="J194" s="4" t="s">
        <v>17</v>
      </c>
      <c r="K194" s="27" t="str">
        <f>VLOOKUP(I194,[2]stage_hints!$A:$C,3,FALSE)</f>
        <v>システム適合者を確認</v>
      </c>
      <c r="L194" s="28" t="str">
        <f>VLOOKUP(I194,[2]stage_hints!$A:$D,4,FALSE)</f>
        <v>ALICEが 「アナタ」を呼んでいます</v>
      </c>
      <c r="M194" s="20" t="s">
        <v>24</v>
      </c>
    </row>
    <row r="195" spans="1:13" x14ac:dyDescent="0.15">
      <c r="A195" s="25" t="s">
        <v>33</v>
      </c>
      <c r="B195">
        <v>13001</v>
      </c>
      <c r="E195">
        <v>10</v>
      </c>
      <c r="H195" s="17">
        <v>0</v>
      </c>
      <c r="I195">
        <v>39</v>
      </c>
      <c r="J195" s="4" t="s">
        <v>17</v>
      </c>
      <c r="K195" s="27" t="str">
        <f>VLOOKUP(I195,[2]stage_hints!$A:$C,3,FALSE)</f>
        <v>システム適合者を確認</v>
      </c>
      <c r="L195" s="28" t="str">
        <f>VLOOKUP(I195,[2]stage_hints!$A:$D,4,FALSE)</f>
        <v>ALICEが 「アナタ」を呼んでいます</v>
      </c>
      <c r="M195" s="20" t="s">
        <v>24</v>
      </c>
    </row>
    <row r="196" spans="1:13" x14ac:dyDescent="0.15">
      <c r="A196" s="25" t="s">
        <v>33</v>
      </c>
      <c r="B196">
        <v>13001</v>
      </c>
      <c r="E196">
        <v>11</v>
      </c>
      <c r="H196" s="17">
        <v>0</v>
      </c>
      <c r="I196">
        <v>39</v>
      </c>
      <c r="J196" s="4" t="s">
        <v>17</v>
      </c>
      <c r="K196" s="27" t="str">
        <f>VLOOKUP(I196,[2]stage_hints!$A:$C,3,FALSE)</f>
        <v>システム適合者を確認</v>
      </c>
      <c r="L196" s="28" t="str">
        <f>VLOOKUP(I196,[2]stage_hints!$A:$D,4,FALSE)</f>
        <v>ALICEが 「アナタ」を呼んでいます</v>
      </c>
      <c r="M196" s="20" t="s">
        <v>24</v>
      </c>
    </row>
    <row r="197" spans="1:13" x14ac:dyDescent="0.15">
      <c r="A197" s="25" t="s">
        <v>33</v>
      </c>
      <c r="B197">
        <v>13001</v>
      </c>
      <c r="E197">
        <v>12</v>
      </c>
      <c r="H197" s="17">
        <v>0</v>
      </c>
      <c r="I197">
        <v>39</v>
      </c>
      <c r="J197" s="4" t="s">
        <v>17</v>
      </c>
      <c r="K197" s="27" t="str">
        <f>VLOOKUP(I197,[2]stage_hints!$A:$C,3,FALSE)</f>
        <v>システム適合者を確認</v>
      </c>
      <c r="L197" s="28" t="str">
        <f>VLOOKUP(I197,[2]stage_hints!$A:$D,4,FALSE)</f>
        <v>ALICEが 「アナタ」を呼んでいます</v>
      </c>
      <c r="M197" s="20" t="s">
        <v>24</v>
      </c>
    </row>
    <row r="198" spans="1:13" x14ac:dyDescent="0.15">
      <c r="A198" s="25" t="s">
        <v>33</v>
      </c>
      <c r="B198">
        <v>13001</v>
      </c>
      <c r="E198">
        <v>13</v>
      </c>
      <c r="H198" s="17">
        <v>0</v>
      </c>
      <c r="I198">
        <v>39</v>
      </c>
      <c r="J198" s="4" t="s">
        <v>17</v>
      </c>
      <c r="K198" s="27" t="str">
        <f>VLOOKUP(I198,[2]stage_hints!$A:$C,3,FALSE)</f>
        <v>システム適合者を確認</v>
      </c>
      <c r="L198" s="28" t="str">
        <f>VLOOKUP(I198,[2]stage_hints!$A:$D,4,FALSE)</f>
        <v>ALICEが 「アナタ」を呼んでいます</v>
      </c>
      <c r="M198" s="20" t="s">
        <v>24</v>
      </c>
    </row>
    <row r="199" spans="1:13" x14ac:dyDescent="0.15">
      <c r="A199" s="25" t="s">
        <v>33</v>
      </c>
      <c r="B199">
        <v>13001</v>
      </c>
      <c r="E199">
        <v>14</v>
      </c>
      <c r="H199" s="17">
        <v>0</v>
      </c>
      <c r="I199">
        <v>39</v>
      </c>
      <c r="J199" s="4" t="s">
        <v>17</v>
      </c>
      <c r="K199" s="27" t="str">
        <f>VLOOKUP(I199,[2]stage_hints!$A:$C,3,FALSE)</f>
        <v>システム適合者を確認</v>
      </c>
      <c r="L199" s="28" t="str">
        <f>VLOOKUP(I199,[2]stage_hints!$A:$D,4,FALSE)</f>
        <v>ALICEが 「アナタ」を呼んでいます</v>
      </c>
      <c r="M199" s="20" t="s">
        <v>24</v>
      </c>
    </row>
    <row r="200" spans="1:13" x14ac:dyDescent="0.15">
      <c r="A200" s="25" t="s">
        <v>33</v>
      </c>
      <c r="B200">
        <v>13001</v>
      </c>
      <c r="E200">
        <v>15</v>
      </c>
      <c r="H200" s="17">
        <v>0</v>
      </c>
      <c r="I200">
        <v>39</v>
      </c>
      <c r="J200" s="4" t="s">
        <v>17</v>
      </c>
      <c r="K200" s="27" t="str">
        <f>VLOOKUP(I200,[2]stage_hints!$A:$C,3,FALSE)</f>
        <v>システム適合者を確認</v>
      </c>
      <c r="L200" s="28" t="str">
        <f>VLOOKUP(I200,[2]stage_hints!$A:$D,4,FALSE)</f>
        <v>ALICEが 「アナタ」を呼んでいます</v>
      </c>
      <c r="M200" s="20" t="s">
        <v>24</v>
      </c>
    </row>
    <row r="201" spans="1:13" x14ac:dyDescent="0.15">
      <c r="A201" s="25" t="s">
        <v>33</v>
      </c>
      <c r="B201">
        <v>13001</v>
      </c>
      <c r="E201">
        <v>16</v>
      </c>
      <c r="H201" s="17">
        <v>0</v>
      </c>
      <c r="I201">
        <v>39</v>
      </c>
      <c r="J201" s="4" t="s">
        <v>17</v>
      </c>
      <c r="K201" s="27" t="str">
        <f>VLOOKUP(I201,[2]stage_hints!$A:$C,3,FALSE)</f>
        <v>システム適合者を確認</v>
      </c>
      <c r="L201" s="28" t="str">
        <f>VLOOKUP(I201,[2]stage_hints!$A:$D,4,FALSE)</f>
        <v>ALICEが 「アナタ」を呼んでいます</v>
      </c>
      <c r="M201" s="20" t="s">
        <v>24</v>
      </c>
    </row>
    <row r="202" spans="1:13" x14ac:dyDescent="0.15">
      <c r="A202" s="25" t="s">
        <v>33</v>
      </c>
      <c r="B202">
        <v>13001</v>
      </c>
      <c r="E202">
        <v>17</v>
      </c>
      <c r="H202" s="17">
        <v>0</v>
      </c>
      <c r="I202">
        <v>39</v>
      </c>
      <c r="J202" s="4" t="s">
        <v>17</v>
      </c>
      <c r="K202" s="27" t="str">
        <f>VLOOKUP(I202,[2]stage_hints!$A:$C,3,FALSE)</f>
        <v>システム適合者を確認</v>
      </c>
      <c r="L202" s="28" t="str">
        <f>VLOOKUP(I202,[2]stage_hints!$A:$D,4,FALSE)</f>
        <v>ALICEが 「アナタ」を呼んでいます</v>
      </c>
      <c r="M202" s="20" t="s">
        <v>24</v>
      </c>
    </row>
    <row r="203" spans="1:13" x14ac:dyDescent="0.15">
      <c r="A203" s="25" t="s">
        <v>33</v>
      </c>
      <c r="B203">
        <v>13001</v>
      </c>
      <c r="E203">
        <v>18</v>
      </c>
      <c r="H203" s="17">
        <v>0</v>
      </c>
      <c r="I203">
        <v>39</v>
      </c>
      <c r="J203" s="4" t="s">
        <v>17</v>
      </c>
      <c r="K203" s="27" t="str">
        <f>VLOOKUP(I203,[2]stage_hints!$A:$C,3,FALSE)</f>
        <v>システム適合者を確認</v>
      </c>
      <c r="L203" s="28" t="str">
        <f>VLOOKUP(I203,[2]stage_hints!$A:$D,4,FALSE)</f>
        <v>ALICEが 「アナタ」を呼んでいます</v>
      </c>
      <c r="M203" s="20" t="s">
        <v>24</v>
      </c>
    </row>
    <row r="204" spans="1:13" x14ac:dyDescent="0.15">
      <c r="A204" s="25" t="s">
        <v>33</v>
      </c>
      <c r="B204">
        <v>13001</v>
      </c>
      <c r="E204">
        <v>19</v>
      </c>
      <c r="H204" s="17">
        <v>0</v>
      </c>
      <c r="I204">
        <v>39</v>
      </c>
      <c r="J204" s="4" t="s">
        <v>17</v>
      </c>
      <c r="K204" s="27" t="str">
        <f>VLOOKUP(I204,[2]stage_hints!$A:$C,3,FALSE)</f>
        <v>システム適合者を確認</v>
      </c>
      <c r="L204" s="28" t="str">
        <f>VLOOKUP(I204,[2]stage_hints!$A:$D,4,FALSE)</f>
        <v>ALICEが 「アナタ」を呼んでいます</v>
      </c>
      <c r="M204" s="20" t="s">
        <v>24</v>
      </c>
    </row>
    <row r="205" spans="1:13" x14ac:dyDescent="0.15">
      <c r="A205" s="25" t="s">
        <v>33</v>
      </c>
      <c r="B205">
        <v>13001</v>
      </c>
      <c r="E205">
        <v>20</v>
      </c>
      <c r="H205" s="17">
        <v>0</v>
      </c>
      <c r="I205">
        <v>39</v>
      </c>
      <c r="J205" s="4" t="s">
        <v>17</v>
      </c>
      <c r="K205" s="27" t="str">
        <f>VLOOKUP(I205,[2]stage_hints!$A:$C,3,FALSE)</f>
        <v>システム適合者を確認</v>
      </c>
      <c r="L205" s="28" t="str">
        <f>VLOOKUP(I205,[2]stage_hints!$A:$D,4,FALSE)</f>
        <v>ALICEが 「アナタ」を呼んでいます</v>
      </c>
      <c r="M205" s="20" t="s">
        <v>24</v>
      </c>
    </row>
    <row r="206" spans="1:13" x14ac:dyDescent="0.15">
      <c r="A206" s="25" t="s">
        <v>33</v>
      </c>
      <c r="B206">
        <v>13001</v>
      </c>
      <c r="E206">
        <v>21</v>
      </c>
      <c r="H206" s="17">
        <v>0</v>
      </c>
      <c r="I206">
        <v>39</v>
      </c>
      <c r="J206" s="4" t="s">
        <v>17</v>
      </c>
      <c r="K206" s="27" t="str">
        <f>VLOOKUP(I206,[2]stage_hints!$A:$C,3,FALSE)</f>
        <v>システム適合者を確認</v>
      </c>
      <c r="L206" s="28" t="str">
        <f>VLOOKUP(I206,[2]stage_hints!$A:$D,4,FALSE)</f>
        <v>ALICEが 「アナタ」を呼んでいます</v>
      </c>
      <c r="M206" s="20" t="s">
        <v>24</v>
      </c>
    </row>
    <row r="207" spans="1:13" x14ac:dyDescent="0.15">
      <c r="A207" s="25" t="s">
        <v>33</v>
      </c>
      <c r="B207">
        <v>13001</v>
      </c>
      <c r="E207">
        <v>22</v>
      </c>
      <c r="H207" s="17">
        <v>0</v>
      </c>
      <c r="I207">
        <v>39</v>
      </c>
      <c r="J207" s="4" t="s">
        <v>17</v>
      </c>
      <c r="K207" s="27" t="str">
        <f>VLOOKUP(I207,[2]stage_hints!$A:$C,3,FALSE)</f>
        <v>システム適合者を確認</v>
      </c>
      <c r="L207" s="28" t="str">
        <f>VLOOKUP(I207,[2]stage_hints!$A:$D,4,FALSE)</f>
        <v>ALICEが 「アナタ」を呼んでいます</v>
      </c>
      <c r="M207" s="20" t="s">
        <v>24</v>
      </c>
    </row>
    <row r="208" spans="1:13" x14ac:dyDescent="0.15">
      <c r="A208" s="25" t="s">
        <v>33</v>
      </c>
      <c r="B208">
        <v>13001</v>
      </c>
      <c r="E208">
        <v>23</v>
      </c>
      <c r="H208" s="17">
        <v>0</v>
      </c>
      <c r="I208">
        <v>39</v>
      </c>
      <c r="J208" s="4" t="s">
        <v>17</v>
      </c>
      <c r="K208" s="27" t="str">
        <f>VLOOKUP(I208,[2]stage_hints!$A:$C,3,FALSE)</f>
        <v>システム適合者を確認</v>
      </c>
      <c r="L208" s="28" t="str">
        <f>VLOOKUP(I208,[2]stage_hints!$A:$D,4,FALSE)</f>
        <v>ALICEが 「アナタ」を呼んでいます</v>
      </c>
      <c r="M208" s="20" t="s">
        <v>24</v>
      </c>
    </row>
    <row r="209" spans="1:13" x14ac:dyDescent="0.15">
      <c r="A209" s="25" t="s">
        <v>33</v>
      </c>
      <c r="B209">
        <v>13001</v>
      </c>
      <c r="E209">
        <v>24</v>
      </c>
      <c r="H209" s="17">
        <v>0</v>
      </c>
      <c r="I209">
        <v>39</v>
      </c>
      <c r="J209" s="4" t="s">
        <v>17</v>
      </c>
      <c r="K209" s="27" t="str">
        <f>VLOOKUP(I209,[2]stage_hints!$A:$C,3,FALSE)</f>
        <v>システム適合者を確認</v>
      </c>
      <c r="L209" s="28" t="str">
        <f>VLOOKUP(I209,[2]stage_hints!$A:$D,4,FALSE)</f>
        <v>ALICEが 「アナタ」を呼んでいます</v>
      </c>
      <c r="M209" s="20" t="s">
        <v>24</v>
      </c>
    </row>
    <row r="210" spans="1:13" x14ac:dyDescent="0.15">
      <c r="A210" s="25" t="s">
        <v>33</v>
      </c>
      <c r="B210">
        <v>13001</v>
      </c>
      <c r="E210">
        <v>25</v>
      </c>
      <c r="H210" s="17">
        <v>0</v>
      </c>
      <c r="I210">
        <v>39</v>
      </c>
      <c r="J210" s="4" t="s">
        <v>17</v>
      </c>
      <c r="K210" s="27" t="str">
        <f>VLOOKUP(I210,[2]stage_hints!$A:$C,3,FALSE)</f>
        <v>システム適合者を確認</v>
      </c>
      <c r="L210" s="28" t="str">
        <f>VLOOKUP(I210,[2]stage_hints!$A:$D,4,FALSE)</f>
        <v>ALICEが 「アナタ」を呼んでいます</v>
      </c>
      <c r="M210" s="20" t="s">
        <v>24</v>
      </c>
    </row>
    <row r="211" spans="1:13" x14ac:dyDescent="0.15">
      <c r="A211" s="25" t="s">
        <v>33</v>
      </c>
      <c r="B211">
        <v>20001</v>
      </c>
      <c r="E211">
        <v>1</v>
      </c>
      <c r="H211" s="17">
        <v>0</v>
      </c>
      <c r="I211">
        <v>39</v>
      </c>
      <c r="J211" s="4" t="s">
        <v>17</v>
      </c>
      <c r="K211" s="27" t="str">
        <f>VLOOKUP(I211,[2]stage_hints!$A:$C,3,FALSE)</f>
        <v>システム適合者を確認</v>
      </c>
      <c r="L211" s="28" t="str">
        <f>VLOOKUP(I211,[2]stage_hints!$A:$D,4,FALSE)</f>
        <v>ALICEが 「アナタ」を呼んでいます</v>
      </c>
      <c r="M211" s="20" t="s">
        <v>24</v>
      </c>
    </row>
    <row r="212" spans="1:13" x14ac:dyDescent="0.15">
      <c r="A212" s="25" t="s">
        <v>33</v>
      </c>
      <c r="B212">
        <v>20001</v>
      </c>
      <c r="E212">
        <v>2</v>
      </c>
      <c r="H212" s="17">
        <v>0</v>
      </c>
      <c r="I212">
        <v>39</v>
      </c>
      <c r="J212" s="4" t="s">
        <v>17</v>
      </c>
      <c r="K212" s="27" t="str">
        <f>VLOOKUP(I212,[2]stage_hints!$A:$C,3,FALSE)</f>
        <v>システム適合者を確認</v>
      </c>
      <c r="L212" s="28" t="str">
        <f>VLOOKUP(I212,[2]stage_hints!$A:$D,4,FALSE)</f>
        <v>ALICEが 「アナタ」を呼んでいます</v>
      </c>
      <c r="M212" s="20" t="s">
        <v>24</v>
      </c>
    </row>
    <row r="213" spans="1:13" x14ac:dyDescent="0.15">
      <c r="A213" s="25" t="s">
        <v>33</v>
      </c>
      <c r="B213">
        <v>20001</v>
      </c>
      <c r="E213">
        <v>3</v>
      </c>
      <c r="H213" s="17">
        <v>0</v>
      </c>
      <c r="I213">
        <v>39</v>
      </c>
      <c r="J213" s="4" t="s">
        <v>17</v>
      </c>
      <c r="K213" s="27" t="str">
        <f>VLOOKUP(I213,[2]stage_hints!$A:$C,3,FALSE)</f>
        <v>システム適合者を確認</v>
      </c>
      <c r="L213" s="28" t="str">
        <f>VLOOKUP(I213,[2]stage_hints!$A:$D,4,FALSE)</f>
        <v>ALICEが 「アナタ」を呼んでいます</v>
      </c>
      <c r="M213" s="20" t="s">
        <v>24</v>
      </c>
    </row>
    <row r="214" spans="1:13" x14ac:dyDescent="0.15">
      <c r="A214" s="25" t="s">
        <v>33</v>
      </c>
      <c r="B214">
        <v>20002</v>
      </c>
      <c r="E214">
        <v>1</v>
      </c>
      <c r="H214" s="17">
        <v>0</v>
      </c>
      <c r="I214">
        <v>39</v>
      </c>
      <c r="J214" s="4" t="s">
        <v>17</v>
      </c>
      <c r="K214" s="27" t="str">
        <f>VLOOKUP(I214,[2]stage_hints!$A:$C,3,FALSE)</f>
        <v>システム適合者を確認</v>
      </c>
      <c r="L214" s="28" t="str">
        <f>VLOOKUP(I214,[2]stage_hints!$A:$D,4,FALSE)</f>
        <v>ALICEが 「アナタ」を呼んでいます</v>
      </c>
      <c r="M214" s="20" t="s">
        <v>24</v>
      </c>
    </row>
    <row r="215" spans="1:13" x14ac:dyDescent="0.15">
      <c r="A215" s="25" t="s">
        <v>33</v>
      </c>
      <c r="B215">
        <v>20002</v>
      </c>
      <c r="E215">
        <v>2</v>
      </c>
      <c r="H215" s="17">
        <v>0</v>
      </c>
      <c r="I215">
        <v>39</v>
      </c>
      <c r="J215" s="4" t="s">
        <v>17</v>
      </c>
      <c r="K215" s="27" t="str">
        <f>VLOOKUP(I215,[2]stage_hints!$A:$C,3,FALSE)</f>
        <v>システム適合者を確認</v>
      </c>
      <c r="L215" s="28" t="str">
        <f>VLOOKUP(I215,[2]stage_hints!$A:$D,4,FALSE)</f>
        <v>ALICEが 「アナタ」を呼んでいます</v>
      </c>
      <c r="M215" s="20" t="s">
        <v>24</v>
      </c>
    </row>
    <row r="216" spans="1:13" x14ac:dyDescent="0.15">
      <c r="A216" s="25" t="s">
        <v>33</v>
      </c>
      <c r="B216">
        <v>20002</v>
      </c>
      <c r="E216">
        <v>3</v>
      </c>
      <c r="H216" s="17">
        <v>0</v>
      </c>
      <c r="I216">
        <v>39</v>
      </c>
      <c r="J216" s="4" t="s">
        <v>17</v>
      </c>
      <c r="K216" s="27" t="str">
        <f>VLOOKUP(I216,[2]stage_hints!$A:$C,3,FALSE)</f>
        <v>システム適合者を確認</v>
      </c>
      <c r="L216" s="28" t="str">
        <f>VLOOKUP(I216,[2]stage_hints!$A:$D,4,FALSE)</f>
        <v>ALICEが 「アナタ」を呼んでいます</v>
      </c>
      <c r="M216" s="20" t="s">
        <v>24</v>
      </c>
    </row>
    <row r="217" spans="1:13" x14ac:dyDescent="0.15">
      <c r="A217" s="25" t="s">
        <v>33</v>
      </c>
      <c r="B217">
        <v>20003</v>
      </c>
      <c r="E217">
        <v>1</v>
      </c>
      <c r="H217" s="17">
        <v>0</v>
      </c>
      <c r="I217">
        <v>39</v>
      </c>
      <c r="J217" s="4" t="s">
        <v>17</v>
      </c>
      <c r="K217" s="27" t="str">
        <f>VLOOKUP(I217,[2]stage_hints!$A:$C,3,FALSE)</f>
        <v>システム適合者を確認</v>
      </c>
      <c r="L217" s="28" t="str">
        <f>VLOOKUP(I217,[2]stage_hints!$A:$D,4,FALSE)</f>
        <v>ALICEが 「アナタ」を呼んでいます</v>
      </c>
      <c r="M217" s="20" t="s">
        <v>24</v>
      </c>
    </row>
    <row r="218" spans="1:13" x14ac:dyDescent="0.15">
      <c r="A218" s="25" t="s">
        <v>33</v>
      </c>
      <c r="B218">
        <v>20003</v>
      </c>
      <c r="E218">
        <v>2</v>
      </c>
      <c r="H218" s="17">
        <v>0</v>
      </c>
      <c r="I218">
        <v>39</v>
      </c>
      <c r="J218" s="4" t="s">
        <v>17</v>
      </c>
      <c r="K218" s="27" t="str">
        <f>VLOOKUP(I218,[2]stage_hints!$A:$C,3,FALSE)</f>
        <v>システム適合者を確認</v>
      </c>
      <c r="L218" s="28" t="str">
        <f>VLOOKUP(I218,[2]stage_hints!$A:$D,4,FALSE)</f>
        <v>ALICEが 「アナタ」を呼んでいます</v>
      </c>
      <c r="M218" s="20" t="s">
        <v>24</v>
      </c>
    </row>
    <row r="219" spans="1:13" x14ac:dyDescent="0.15">
      <c r="A219" s="25" t="s">
        <v>33</v>
      </c>
      <c r="B219">
        <v>20003</v>
      </c>
      <c r="E219">
        <v>3</v>
      </c>
      <c r="H219" s="17">
        <v>0</v>
      </c>
      <c r="I219">
        <v>39</v>
      </c>
      <c r="J219" s="4" t="s">
        <v>17</v>
      </c>
      <c r="K219" s="27" t="str">
        <f>VLOOKUP(I219,[2]stage_hints!$A:$C,3,FALSE)</f>
        <v>システム適合者を確認</v>
      </c>
      <c r="L219" s="28" t="str">
        <f>VLOOKUP(I219,[2]stage_hints!$A:$D,4,FALSE)</f>
        <v>ALICEが 「アナタ」を呼んでいます</v>
      </c>
      <c r="M219" s="20" t="s">
        <v>24</v>
      </c>
    </row>
    <row r="220" spans="1:13" x14ac:dyDescent="0.15">
      <c r="A220" s="25" t="s">
        <v>33</v>
      </c>
      <c r="B220">
        <v>20004</v>
      </c>
      <c r="E220">
        <v>1</v>
      </c>
      <c r="H220" s="17">
        <v>0</v>
      </c>
      <c r="I220">
        <v>39</v>
      </c>
      <c r="J220" s="4" t="s">
        <v>17</v>
      </c>
      <c r="K220" s="27" t="str">
        <f>VLOOKUP(I220,[2]stage_hints!$A:$C,3,FALSE)</f>
        <v>システム適合者を確認</v>
      </c>
      <c r="L220" s="28" t="str">
        <f>VLOOKUP(I220,[2]stage_hints!$A:$D,4,FALSE)</f>
        <v>ALICEが 「アナタ」を呼んでいます</v>
      </c>
      <c r="M220" s="20" t="s">
        <v>24</v>
      </c>
    </row>
    <row r="221" spans="1:13" x14ac:dyDescent="0.15">
      <c r="A221" s="25" t="s">
        <v>33</v>
      </c>
      <c r="B221">
        <v>20004</v>
      </c>
      <c r="E221">
        <v>2</v>
      </c>
      <c r="H221" s="17">
        <v>0</v>
      </c>
      <c r="I221">
        <v>39</v>
      </c>
      <c r="J221" s="4" t="s">
        <v>17</v>
      </c>
      <c r="K221" s="27" t="str">
        <f>VLOOKUP(I221,[2]stage_hints!$A:$C,3,FALSE)</f>
        <v>システム適合者を確認</v>
      </c>
      <c r="L221" s="28" t="str">
        <f>VLOOKUP(I221,[2]stage_hints!$A:$D,4,FALSE)</f>
        <v>ALICEが 「アナタ」を呼んでいます</v>
      </c>
      <c r="M221" s="20" t="s">
        <v>24</v>
      </c>
    </row>
    <row r="222" spans="1:13" x14ac:dyDescent="0.15">
      <c r="A222" s="25" t="s">
        <v>33</v>
      </c>
      <c r="B222">
        <v>20004</v>
      </c>
      <c r="E222">
        <v>3</v>
      </c>
      <c r="H222" s="17">
        <v>0</v>
      </c>
      <c r="I222">
        <v>39</v>
      </c>
      <c r="J222" s="4" t="s">
        <v>17</v>
      </c>
      <c r="K222" s="27" t="str">
        <f>VLOOKUP(I222,[2]stage_hints!$A:$C,3,FALSE)</f>
        <v>システム適合者を確認</v>
      </c>
      <c r="L222" s="28" t="str">
        <f>VLOOKUP(I222,[2]stage_hints!$A:$D,4,FALSE)</f>
        <v>ALICEが 「アナタ」を呼んでいます</v>
      </c>
      <c r="M222" s="20" t="s">
        <v>24</v>
      </c>
    </row>
    <row r="223" spans="1:13" x14ac:dyDescent="0.15">
      <c r="A223" s="25" t="s">
        <v>33</v>
      </c>
      <c r="B223">
        <v>20005</v>
      </c>
      <c r="E223">
        <v>1</v>
      </c>
      <c r="H223" s="17">
        <v>0</v>
      </c>
      <c r="I223">
        <v>39</v>
      </c>
      <c r="J223" s="4" t="s">
        <v>17</v>
      </c>
      <c r="K223" s="27" t="str">
        <f>VLOOKUP(I223,[2]stage_hints!$A:$C,3,FALSE)</f>
        <v>システム適合者を確認</v>
      </c>
      <c r="L223" s="28" t="str">
        <f>VLOOKUP(I223,[2]stage_hints!$A:$D,4,FALSE)</f>
        <v>ALICEが 「アナタ」を呼んでいます</v>
      </c>
      <c r="M223" s="20" t="s">
        <v>24</v>
      </c>
    </row>
    <row r="224" spans="1:13" x14ac:dyDescent="0.15">
      <c r="A224" s="25" t="s">
        <v>33</v>
      </c>
      <c r="B224">
        <v>20005</v>
      </c>
      <c r="E224">
        <v>2</v>
      </c>
      <c r="H224" s="17">
        <v>0</v>
      </c>
      <c r="I224">
        <v>39</v>
      </c>
      <c r="J224" s="4" t="s">
        <v>17</v>
      </c>
      <c r="K224" s="27" t="str">
        <f>VLOOKUP(I224,[2]stage_hints!$A:$C,3,FALSE)</f>
        <v>システム適合者を確認</v>
      </c>
      <c r="L224" s="28" t="str">
        <f>VLOOKUP(I224,[2]stage_hints!$A:$D,4,FALSE)</f>
        <v>ALICEが 「アナタ」を呼んでいます</v>
      </c>
      <c r="M224" s="20" t="s">
        <v>24</v>
      </c>
    </row>
    <row r="225" spans="1:13" x14ac:dyDescent="0.15">
      <c r="A225" s="25" t="s">
        <v>33</v>
      </c>
      <c r="B225">
        <v>20005</v>
      </c>
      <c r="E225">
        <v>3</v>
      </c>
      <c r="H225" s="17">
        <v>0</v>
      </c>
      <c r="I225">
        <v>39</v>
      </c>
      <c r="J225" s="4" t="s">
        <v>17</v>
      </c>
      <c r="K225" s="27" t="str">
        <f>VLOOKUP(I225,[2]stage_hints!$A:$C,3,FALSE)</f>
        <v>システム適合者を確認</v>
      </c>
      <c r="L225" s="28" t="str">
        <f>VLOOKUP(I225,[2]stage_hints!$A:$D,4,FALSE)</f>
        <v>ALICEが 「アナタ」を呼んでいます</v>
      </c>
      <c r="M225" s="20" t="s">
        <v>24</v>
      </c>
    </row>
    <row r="226" spans="1:13" x14ac:dyDescent="0.15">
      <c r="A226" s="25" t="s">
        <v>33</v>
      </c>
      <c r="B226">
        <v>20006</v>
      </c>
      <c r="E226">
        <v>1</v>
      </c>
      <c r="H226" s="17">
        <v>0</v>
      </c>
      <c r="I226">
        <v>39</v>
      </c>
      <c r="J226" s="4" t="s">
        <v>17</v>
      </c>
      <c r="K226" s="27" t="str">
        <f>VLOOKUP(I226,[2]stage_hints!$A:$C,3,FALSE)</f>
        <v>システム適合者を確認</v>
      </c>
      <c r="L226" s="28" t="str">
        <f>VLOOKUP(I226,[2]stage_hints!$A:$D,4,FALSE)</f>
        <v>ALICEが 「アナタ」を呼んでいます</v>
      </c>
      <c r="M226" s="20" t="s">
        <v>24</v>
      </c>
    </row>
    <row r="227" spans="1:13" x14ac:dyDescent="0.15">
      <c r="A227" s="25" t="s">
        <v>33</v>
      </c>
      <c r="B227">
        <v>20006</v>
      </c>
      <c r="E227">
        <v>2</v>
      </c>
      <c r="H227" s="17">
        <v>0</v>
      </c>
      <c r="I227">
        <v>39</v>
      </c>
      <c r="J227" s="4" t="s">
        <v>17</v>
      </c>
      <c r="K227" s="27" t="str">
        <f>VLOOKUP(I227,[2]stage_hints!$A:$C,3,FALSE)</f>
        <v>システム適合者を確認</v>
      </c>
      <c r="L227" s="28" t="str">
        <f>VLOOKUP(I227,[2]stage_hints!$A:$D,4,FALSE)</f>
        <v>ALICEが 「アナタ」を呼んでいます</v>
      </c>
      <c r="M227" s="20" t="s">
        <v>24</v>
      </c>
    </row>
    <row r="228" spans="1:13" x14ac:dyDescent="0.15">
      <c r="A228" s="25" t="s">
        <v>33</v>
      </c>
      <c r="B228">
        <v>20006</v>
      </c>
      <c r="E228">
        <v>3</v>
      </c>
      <c r="H228" s="17">
        <v>0</v>
      </c>
      <c r="I228">
        <v>39</v>
      </c>
      <c r="J228" s="4" t="s">
        <v>17</v>
      </c>
      <c r="K228" s="27" t="str">
        <f>VLOOKUP(I228,[2]stage_hints!$A:$C,3,FALSE)</f>
        <v>システム適合者を確認</v>
      </c>
      <c r="L228" s="28" t="str">
        <f>VLOOKUP(I228,[2]stage_hints!$A:$D,4,FALSE)</f>
        <v>ALICEが 「アナタ」を呼んでいます</v>
      </c>
      <c r="M228" s="20" t="s">
        <v>24</v>
      </c>
    </row>
    <row r="229" spans="1:13" x14ac:dyDescent="0.15">
      <c r="A229" s="25" t="s">
        <v>33</v>
      </c>
      <c r="B229">
        <v>20007</v>
      </c>
      <c r="E229">
        <v>1</v>
      </c>
      <c r="H229" s="17">
        <v>0</v>
      </c>
      <c r="I229">
        <v>39</v>
      </c>
      <c r="J229" s="4" t="s">
        <v>17</v>
      </c>
      <c r="K229" s="27" t="str">
        <f>VLOOKUP(I229,[2]stage_hints!$A:$C,3,FALSE)</f>
        <v>システム適合者を確認</v>
      </c>
      <c r="L229" s="28" t="str">
        <f>VLOOKUP(I229,[2]stage_hints!$A:$D,4,FALSE)</f>
        <v>ALICEが 「アナタ」を呼んでいます</v>
      </c>
      <c r="M229" s="20" t="s">
        <v>24</v>
      </c>
    </row>
    <row r="230" spans="1:13" x14ac:dyDescent="0.15">
      <c r="A230" s="25" t="s">
        <v>33</v>
      </c>
      <c r="B230">
        <v>20007</v>
      </c>
      <c r="E230">
        <v>2</v>
      </c>
      <c r="H230" s="17">
        <v>0</v>
      </c>
      <c r="I230">
        <v>39</v>
      </c>
      <c r="J230" s="4" t="s">
        <v>17</v>
      </c>
      <c r="K230" s="27" t="str">
        <f>VLOOKUP(I230,[2]stage_hints!$A:$C,3,FALSE)</f>
        <v>システム適合者を確認</v>
      </c>
      <c r="L230" s="28" t="str">
        <f>VLOOKUP(I230,[2]stage_hints!$A:$D,4,FALSE)</f>
        <v>ALICEが 「アナタ」を呼んでいます</v>
      </c>
      <c r="M230" s="20" t="s">
        <v>24</v>
      </c>
    </row>
    <row r="231" spans="1:13" x14ac:dyDescent="0.15">
      <c r="A231" s="25" t="s">
        <v>33</v>
      </c>
      <c r="B231">
        <v>20007</v>
      </c>
      <c r="E231">
        <v>3</v>
      </c>
      <c r="H231" s="17">
        <v>0</v>
      </c>
      <c r="I231">
        <v>39</v>
      </c>
      <c r="J231" s="4" t="s">
        <v>17</v>
      </c>
      <c r="K231" s="27" t="str">
        <f>VLOOKUP(I231,[2]stage_hints!$A:$C,3,FALSE)</f>
        <v>システム適合者を確認</v>
      </c>
      <c r="L231" s="28" t="str">
        <f>VLOOKUP(I231,[2]stage_hints!$A:$D,4,FALSE)</f>
        <v>ALICEが 「アナタ」を呼んでいます</v>
      </c>
      <c r="M231" s="20" t="s">
        <v>24</v>
      </c>
    </row>
    <row r="232" spans="1:13" x14ac:dyDescent="0.15">
      <c r="A232" s="25" t="s">
        <v>33</v>
      </c>
      <c r="B232">
        <v>20008</v>
      </c>
      <c r="E232">
        <v>1</v>
      </c>
      <c r="H232" s="17">
        <v>0</v>
      </c>
      <c r="I232">
        <v>39</v>
      </c>
      <c r="J232" s="4" t="s">
        <v>17</v>
      </c>
      <c r="K232" s="27" t="str">
        <f>VLOOKUP(I232,[2]stage_hints!$A:$C,3,FALSE)</f>
        <v>システム適合者を確認</v>
      </c>
      <c r="L232" s="28" t="str">
        <f>VLOOKUP(I232,[2]stage_hints!$A:$D,4,FALSE)</f>
        <v>ALICEが 「アナタ」を呼んでいます</v>
      </c>
      <c r="M232" s="20" t="s">
        <v>24</v>
      </c>
    </row>
    <row r="233" spans="1:13" x14ac:dyDescent="0.15">
      <c r="A233" s="25" t="s">
        <v>33</v>
      </c>
      <c r="B233">
        <v>20008</v>
      </c>
      <c r="E233">
        <v>2</v>
      </c>
      <c r="H233" s="17">
        <v>0</v>
      </c>
      <c r="I233">
        <v>39</v>
      </c>
      <c r="J233" s="4" t="s">
        <v>17</v>
      </c>
      <c r="K233" s="27" t="str">
        <f>VLOOKUP(I233,[2]stage_hints!$A:$C,3,FALSE)</f>
        <v>システム適合者を確認</v>
      </c>
      <c r="L233" s="28" t="str">
        <f>VLOOKUP(I233,[2]stage_hints!$A:$D,4,FALSE)</f>
        <v>ALICEが 「アナタ」を呼んでいます</v>
      </c>
      <c r="M233" s="20" t="s">
        <v>24</v>
      </c>
    </row>
    <row r="234" spans="1:13" x14ac:dyDescent="0.15">
      <c r="A234" s="25" t="s">
        <v>33</v>
      </c>
      <c r="B234">
        <v>20008</v>
      </c>
      <c r="E234">
        <v>3</v>
      </c>
      <c r="H234" s="17">
        <v>0</v>
      </c>
      <c r="I234">
        <v>39</v>
      </c>
      <c r="J234" s="4" t="s">
        <v>17</v>
      </c>
      <c r="K234" s="27" t="str">
        <f>VLOOKUP(I234,[2]stage_hints!$A:$C,3,FALSE)</f>
        <v>システム適合者を確認</v>
      </c>
      <c r="L234" s="28" t="str">
        <f>VLOOKUP(I234,[2]stage_hints!$A:$D,4,FALSE)</f>
        <v>ALICEが 「アナタ」を呼んでいます</v>
      </c>
      <c r="M234" s="20" t="s">
        <v>24</v>
      </c>
    </row>
    <row r="235" spans="1:13" x14ac:dyDescent="0.15">
      <c r="A235" s="25" t="s">
        <v>33</v>
      </c>
      <c r="B235">
        <v>20009</v>
      </c>
      <c r="E235">
        <v>2</v>
      </c>
      <c r="H235" s="17">
        <v>0</v>
      </c>
      <c r="I235">
        <v>39</v>
      </c>
      <c r="J235" s="4" t="s">
        <v>17</v>
      </c>
      <c r="K235" s="27" t="str">
        <f>VLOOKUP(I235,[2]stage_hints!$A:$C,3,FALSE)</f>
        <v>システム適合者を確認</v>
      </c>
      <c r="L235" s="28" t="str">
        <f>VLOOKUP(I235,[2]stage_hints!$A:$D,4,FALSE)</f>
        <v>ALICEが 「アナタ」を呼んでいます</v>
      </c>
      <c r="M235" s="20" t="s">
        <v>24</v>
      </c>
    </row>
    <row r="236" spans="1:13" x14ac:dyDescent="0.15">
      <c r="A236" s="25" t="s">
        <v>33</v>
      </c>
      <c r="B236">
        <v>20009</v>
      </c>
      <c r="E236">
        <v>3</v>
      </c>
      <c r="H236" s="17">
        <v>0</v>
      </c>
      <c r="I236">
        <v>39</v>
      </c>
      <c r="J236" s="4" t="s">
        <v>17</v>
      </c>
      <c r="K236" s="27" t="str">
        <f>VLOOKUP(I236,[2]stage_hints!$A:$C,3,FALSE)</f>
        <v>システム適合者を確認</v>
      </c>
      <c r="L236" s="28" t="str">
        <f>VLOOKUP(I236,[2]stage_hints!$A:$D,4,FALSE)</f>
        <v>ALICEが 「アナタ」を呼んでいます</v>
      </c>
      <c r="M236" s="20" t="s">
        <v>24</v>
      </c>
    </row>
    <row r="237" spans="1:13" x14ac:dyDescent="0.15">
      <c r="A237" s="25" t="s">
        <v>33</v>
      </c>
      <c r="B237">
        <v>20010</v>
      </c>
      <c r="E237">
        <v>1</v>
      </c>
      <c r="H237" s="17">
        <v>0</v>
      </c>
      <c r="I237">
        <v>39</v>
      </c>
      <c r="J237" s="4" t="s">
        <v>17</v>
      </c>
      <c r="K237" s="27" t="str">
        <f>VLOOKUP(I237,[2]stage_hints!$A:$C,3,FALSE)</f>
        <v>システム適合者を確認</v>
      </c>
      <c r="L237" s="28" t="str">
        <f>VLOOKUP(I237,[2]stage_hints!$A:$D,4,FALSE)</f>
        <v>ALICEが 「アナタ」を呼んでいます</v>
      </c>
      <c r="M237" s="20" t="s">
        <v>24</v>
      </c>
    </row>
    <row r="238" spans="1:13" x14ac:dyDescent="0.15">
      <c r="A238" s="25" t="s">
        <v>33</v>
      </c>
      <c r="B238">
        <v>20010</v>
      </c>
      <c r="E238">
        <v>2</v>
      </c>
      <c r="H238" s="17">
        <v>0</v>
      </c>
      <c r="I238">
        <v>39</v>
      </c>
      <c r="J238" s="4" t="s">
        <v>17</v>
      </c>
      <c r="K238" s="27" t="str">
        <f>VLOOKUP(I238,[2]stage_hints!$A:$C,3,FALSE)</f>
        <v>システム適合者を確認</v>
      </c>
      <c r="L238" s="28" t="str">
        <f>VLOOKUP(I238,[2]stage_hints!$A:$D,4,FALSE)</f>
        <v>ALICEが 「アナタ」を呼んでいます</v>
      </c>
      <c r="M238" s="20" t="s">
        <v>24</v>
      </c>
    </row>
    <row r="239" spans="1:13" x14ac:dyDescent="0.15">
      <c r="A239" s="25" t="s">
        <v>33</v>
      </c>
      <c r="B239">
        <v>20010</v>
      </c>
      <c r="E239">
        <v>3</v>
      </c>
      <c r="H239" s="17">
        <v>0</v>
      </c>
      <c r="I239">
        <v>39</v>
      </c>
      <c r="J239" s="4" t="s">
        <v>17</v>
      </c>
      <c r="K239" s="27" t="str">
        <f>VLOOKUP(I239,[2]stage_hints!$A:$C,3,FALSE)</f>
        <v>システム適合者を確認</v>
      </c>
      <c r="L239" s="28" t="str">
        <f>VLOOKUP(I239,[2]stage_hints!$A:$D,4,FALSE)</f>
        <v>ALICEが 「アナタ」を呼んでいます</v>
      </c>
      <c r="M239" s="20" t="s">
        <v>24</v>
      </c>
    </row>
    <row r="240" spans="1:13" x14ac:dyDescent="0.15">
      <c r="A240" s="25" t="s">
        <v>33</v>
      </c>
      <c r="B240">
        <v>20011</v>
      </c>
      <c r="E240">
        <v>1</v>
      </c>
      <c r="H240" s="17">
        <v>0</v>
      </c>
      <c r="I240">
        <v>39</v>
      </c>
      <c r="J240" s="4" t="s">
        <v>17</v>
      </c>
      <c r="K240" s="27" t="str">
        <f>VLOOKUP(I240,[2]stage_hints!$A:$C,3,FALSE)</f>
        <v>システム適合者を確認</v>
      </c>
      <c r="L240" s="28" t="str">
        <f>VLOOKUP(I240,[2]stage_hints!$A:$D,4,FALSE)</f>
        <v>ALICEが 「アナタ」を呼んでいます</v>
      </c>
      <c r="M240" s="20" t="s">
        <v>24</v>
      </c>
    </row>
    <row r="241" spans="1:13" x14ac:dyDescent="0.15">
      <c r="A241" s="25" t="s">
        <v>33</v>
      </c>
      <c r="B241">
        <v>20011</v>
      </c>
      <c r="E241">
        <v>2</v>
      </c>
      <c r="H241" s="17">
        <v>0</v>
      </c>
      <c r="I241">
        <v>39</v>
      </c>
      <c r="J241" s="4" t="s">
        <v>17</v>
      </c>
      <c r="K241" s="27" t="str">
        <f>VLOOKUP(I241,[2]stage_hints!$A:$C,3,FALSE)</f>
        <v>システム適合者を確認</v>
      </c>
      <c r="L241" s="28" t="str">
        <f>VLOOKUP(I241,[2]stage_hints!$A:$D,4,FALSE)</f>
        <v>ALICEが 「アナタ」を呼んでいます</v>
      </c>
      <c r="M241" s="20" t="s">
        <v>24</v>
      </c>
    </row>
    <row r="242" spans="1:13" x14ac:dyDescent="0.15">
      <c r="A242" s="25" t="s">
        <v>33</v>
      </c>
      <c r="B242">
        <v>20011</v>
      </c>
      <c r="E242">
        <v>3</v>
      </c>
      <c r="H242" s="17">
        <v>0</v>
      </c>
      <c r="I242">
        <v>39</v>
      </c>
      <c r="J242" s="4" t="s">
        <v>17</v>
      </c>
      <c r="K242" s="27" t="str">
        <f>VLOOKUP(I242,[2]stage_hints!$A:$C,3,FALSE)</f>
        <v>システム適合者を確認</v>
      </c>
      <c r="L242" s="28" t="str">
        <f>VLOOKUP(I242,[2]stage_hints!$A:$D,4,FALSE)</f>
        <v>ALICEが 「アナタ」を呼んでいます</v>
      </c>
      <c r="M242" s="20" t="s">
        <v>24</v>
      </c>
    </row>
    <row r="243" spans="1:13" x14ac:dyDescent="0.15">
      <c r="A243" s="25" t="s">
        <v>33</v>
      </c>
      <c r="B243">
        <v>20012</v>
      </c>
      <c r="E243">
        <v>1</v>
      </c>
      <c r="H243" s="17">
        <v>0</v>
      </c>
      <c r="I243">
        <v>39</v>
      </c>
      <c r="J243" s="4" t="s">
        <v>17</v>
      </c>
      <c r="K243" s="27" t="str">
        <f>VLOOKUP(I243,[2]stage_hints!$A:$C,3,FALSE)</f>
        <v>システム適合者を確認</v>
      </c>
      <c r="L243" s="28" t="str">
        <f>VLOOKUP(I243,[2]stage_hints!$A:$D,4,FALSE)</f>
        <v>ALICEが 「アナタ」を呼んでいます</v>
      </c>
      <c r="M243" s="20" t="s">
        <v>24</v>
      </c>
    </row>
    <row r="244" spans="1:13" x14ac:dyDescent="0.15">
      <c r="A244" s="25" t="s">
        <v>33</v>
      </c>
      <c r="B244">
        <v>20012</v>
      </c>
      <c r="E244">
        <v>2</v>
      </c>
      <c r="H244" s="17">
        <v>0</v>
      </c>
      <c r="I244">
        <v>39</v>
      </c>
      <c r="J244" s="4" t="s">
        <v>17</v>
      </c>
      <c r="K244" s="27" t="str">
        <f>VLOOKUP(I244,[2]stage_hints!$A:$C,3,FALSE)</f>
        <v>システム適合者を確認</v>
      </c>
      <c r="L244" s="28" t="str">
        <f>VLOOKUP(I244,[2]stage_hints!$A:$D,4,FALSE)</f>
        <v>ALICEが 「アナタ」を呼んでいます</v>
      </c>
      <c r="M244" s="20" t="s">
        <v>24</v>
      </c>
    </row>
    <row r="245" spans="1:13" x14ac:dyDescent="0.15">
      <c r="A245" s="25" t="s">
        <v>33</v>
      </c>
      <c r="B245">
        <v>20012</v>
      </c>
      <c r="E245">
        <v>3</v>
      </c>
      <c r="H245" s="17">
        <v>0</v>
      </c>
      <c r="I245">
        <v>39</v>
      </c>
      <c r="J245" s="4" t="s">
        <v>17</v>
      </c>
      <c r="K245" s="27" t="str">
        <f>VLOOKUP(I245,[2]stage_hints!$A:$C,3,FALSE)</f>
        <v>システム適合者を確認</v>
      </c>
      <c r="L245" s="28" t="str">
        <f>VLOOKUP(I245,[2]stage_hints!$A:$D,4,FALSE)</f>
        <v>ALICEが 「アナタ」を呼んでいます</v>
      </c>
      <c r="M245" s="20" t="s">
        <v>24</v>
      </c>
    </row>
    <row r="246" spans="1:13" x14ac:dyDescent="0.15">
      <c r="A246" s="25" t="s">
        <v>33</v>
      </c>
      <c r="B246">
        <v>30001</v>
      </c>
      <c r="E246">
        <v>1</v>
      </c>
      <c r="H246" s="17">
        <v>0</v>
      </c>
      <c r="I246">
        <v>39</v>
      </c>
      <c r="J246" s="4" t="s">
        <v>17</v>
      </c>
      <c r="K246" s="27" t="str">
        <f>VLOOKUP(I246,[2]stage_hints!$A:$C,3,FALSE)</f>
        <v>システム適合者を確認</v>
      </c>
      <c r="L246" s="28" t="str">
        <f>VLOOKUP(I246,[2]stage_hints!$A:$D,4,FALSE)</f>
        <v>ALICEが 「アナタ」を呼んでいます</v>
      </c>
      <c r="M246" s="20" t="s">
        <v>24</v>
      </c>
    </row>
    <row r="247" spans="1:13" x14ac:dyDescent="0.15">
      <c r="A247" s="25" t="s">
        <v>33</v>
      </c>
      <c r="B247">
        <v>30001</v>
      </c>
      <c r="E247">
        <v>2</v>
      </c>
      <c r="H247" s="17">
        <v>0</v>
      </c>
      <c r="I247">
        <v>39</v>
      </c>
      <c r="J247" s="4" t="s">
        <v>17</v>
      </c>
      <c r="K247" s="27" t="str">
        <f>VLOOKUP(I247,[2]stage_hints!$A:$C,3,FALSE)</f>
        <v>システム適合者を確認</v>
      </c>
      <c r="L247" s="28" t="str">
        <f>VLOOKUP(I247,[2]stage_hints!$A:$D,4,FALSE)</f>
        <v>ALICEが 「アナタ」を呼んでいます</v>
      </c>
      <c r="M247" s="20" t="s">
        <v>24</v>
      </c>
    </row>
    <row r="248" spans="1:13" x14ac:dyDescent="0.15">
      <c r="A248" s="25" t="s">
        <v>33</v>
      </c>
      <c r="B248">
        <v>30001</v>
      </c>
      <c r="E248">
        <v>3</v>
      </c>
      <c r="H248" s="17">
        <v>0</v>
      </c>
      <c r="I248">
        <v>39</v>
      </c>
      <c r="J248" s="4" t="s">
        <v>17</v>
      </c>
      <c r="K248" s="27" t="str">
        <f>VLOOKUP(I248,[2]stage_hints!$A:$C,3,FALSE)</f>
        <v>システム適合者を確認</v>
      </c>
      <c r="L248" s="28" t="str">
        <f>VLOOKUP(I248,[2]stage_hints!$A:$D,4,FALSE)</f>
        <v>ALICEが 「アナタ」を呼んでいます</v>
      </c>
      <c r="M248" s="20" t="s">
        <v>24</v>
      </c>
    </row>
    <row r="249" spans="1:13" x14ac:dyDescent="0.15">
      <c r="A249" s="25" t="s">
        <v>33</v>
      </c>
      <c r="B249">
        <v>30002</v>
      </c>
      <c r="E249">
        <v>1</v>
      </c>
      <c r="H249" s="17">
        <v>0</v>
      </c>
      <c r="I249">
        <v>39</v>
      </c>
      <c r="J249" s="4" t="s">
        <v>17</v>
      </c>
      <c r="K249" s="27" t="str">
        <f>VLOOKUP(I249,[2]stage_hints!$A:$C,3,FALSE)</f>
        <v>システム適合者を確認</v>
      </c>
      <c r="L249" s="28" t="str">
        <f>VLOOKUP(I249,[2]stage_hints!$A:$D,4,FALSE)</f>
        <v>ALICEが 「アナタ」を呼んでいます</v>
      </c>
      <c r="M249" s="20" t="s">
        <v>24</v>
      </c>
    </row>
    <row r="250" spans="1:13" x14ac:dyDescent="0.15">
      <c r="A250" s="25" t="s">
        <v>33</v>
      </c>
      <c r="B250">
        <v>30002</v>
      </c>
      <c r="E250">
        <v>2</v>
      </c>
      <c r="H250" s="17">
        <v>0</v>
      </c>
      <c r="I250">
        <v>39</v>
      </c>
      <c r="J250" s="4" t="s">
        <v>17</v>
      </c>
      <c r="K250" s="27" t="str">
        <f>VLOOKUP(I250,[2]stage_hints!$A:$C,3,FALSE)</f>
        <v>システム適合者を確認</v>
      </c>
      <c r="L250" s="28" t="str">
        <f>VLOOKUP(I250,[2]stage_hints!$A:$D,4,FALSE)</f>
        <v>ALICEが 「アナタ」を呼んでいます</v>
      </c>
      <c r="M250" s="20" t="s">
        <v>24</v>
      </c>
    </row>
    <row r="251" spans="1:13" x14ac:dyDescent="0.15">
      <c r="A251" s="25" t="s">
        <v>33</v>
      </c>
      <c r="B251">
        <v>30002</v>
      </c>
      <c r="E251">
        <v>3</v>
      </c>
      <c r="H251" s="17">
        <v>0</v>
      </c>
      <c r="I251">
        <v>39</v>
      </c>
      <c r="J251" s="4" t="s">
        <v>17</v>
      </c>
      <c r="K251" s="27" t="str">
        <f>VLOOKUP(I251,[2]stage_hints!$A:$C,3,FALSE)</f>
        <v>システム適合者を確認</v>
      </c>
      <c r="L251" s="28" t="str">
        <f>VLOOKUP(I251,[2]stage_hints!$A:$D,4,FALSE)</f>
        <v>ALICEが 「アナタ」を呼んでいます</v>
      </c>
      <c r="M251" s="20" t="s">
        <v>24</v>
      </c>
    </row>
    <row r="252" spans="1:13" x14ac:dyDescent="0.15">
      <c r="A252" s="25" t="s">
        <v>33</v>
      </c>
      <c r="B252">
        <v>30003</v>
      </c>
      <c r="E252">
        <v>1</v>
      </c>
      <c r="H252" s="17">
        <v>0</v>
      </c>
      <c r="I252">
        <v>39</v>
      </c>
      <c r="J252" s="4" t="s">
        <v>17</v>
      </c>
      <c r="K252" s="27" t="str">
        <f>VLOOKUP(I252,[2]stage_hints!$A:$C,3,FALSE)</f>
        <v>システム適合者を確認</v>
      </c>
      <c r="L252" s="28" t="str">
        <f>VLOOKUP(I252,[2]stage_hints!$A:$D,4,FALSE)</f>
        <v>ALICEが 「アナタ」を呼んでいます</v>
      </c>
      <c r="M252" s="20" t="s">
        <v>24</v>
      </c>
    </row>
    <row r="253" spans="1:13" x14ac:dyDescent="0.15">
      <c r="A253" s="25" t="s">
        <v>33</v>
      </c>
      <c r="B253">
        <v>30003</v>
      </c>
      <c r="E253">
        <v>2</v>
      </c>
      <c r="H253" s="17">
        <v>0</v>
      </c>
      <c r="I253">
        <v>39</v>
      </c>
      <c r="J253" s="4" t="s">
        <v>17</v>
      </c>
      <c r="K253" s="27" t="str">
        <f>VLOOKUP(I253,[2]stage_hints!$A:$C,3,FALSE)</f>
        <v>システム適合者を確認</v>
      </c>
      <c r="L253" s="28" t="str">
        <f>VLOOKUP(I253,[2]stage_hints!$A:$D,4,FALSE)</f>
        <v>ALICEが 「アナタ」を呼んでいます</v>
      </c>
      <c r="M253" s="20" t="s">
        <v>24</v>
      </c>
    </row>
    <row r="254" spans="1:13" x14ac:dyDescent="0.15">
      <c r="A254" s="25" t="s">
        <v>33</v>
      </c>
      <c r="B254">
        <v>30003</v>
      </c>
      <c r="E254">
        <v>3</v>
      </c>
      <c r="H254" s="17">
        <v>0</v>
      </c>
      <c r="I254">
        <v>39</v>
      </c>
      <c r="J254" s="4" t="s">
        <v>17</v>
      </c>
      <c r="K254" s="27" t="str">
        <f>VLOOKUP(I254,[2]stage_hints!$A:$C,3,FALSE)</f>
        <v>システム適合者を確認</v>
      </c>
      <c r="L254" s="28" t="str">
        <f>VLOOKUP(I254,[2]stage_hints!$A:$D,4,FALSE)</f>
        <v>ALICEが 「アナタ」を呼んでいます</v>
      </c>
      <c r="M254" s="20" t="s">
        <v>24</v>
      </c>
    </row>
    <row r="255" spans="1:13" x14ac:dyDescent="0.15">
      <c r="A255" s="25" t="s">
        <v>33</v>
      </c>
      <c r="B255">
        <v>30004</v>
      </c>
      <c r="E255">
        <v>1</v>
      </c>
      <c r="H255" s="17">
        <v>0</v>
      </c>
      <c r="I255">
        <v>39</v>
      </c>
      <c r="J255" s="4" t="s">
        <v>17</v>
      </c>
      <c r="K255" s="27" t="str">
        <f>VLOOKUP(I255,[2]stage_hints!$A:$C,3,FALSE)</f>
        <v>システム適合者を確認</v>
      </c>
      <c r="L255" s="28" t="str">
        <f>VLOOKUP(I255,[2]stage_hints!$A:$D,4,FALSE)</f>
        <v>ALICEが 「アナタ」を呼んでいます</v>
      </c>
      <c r="M255" s="20" t="s">
        <v>24</v>
      </c>
    </row>
    <row r="256" spans="1:13" x14ac:dyDescent="0.15">
      <c r="A256" s="25" t="s">
        <v>33</v>
      </c>
      <c r="B256">
        <v>30004</v>
      </c>
      <c r="E256">
        <v>2</v>
      </c>
      <c r="H256" s="17">
        <v>0</v>
      </c>
      <c r="I256">
        <v>39</v>
      </c>
      <c r="J256" s="4" t="s">
        <v>17</v>
      </c>
      <c r="K256" s="27" t="str">
        <f>VLOOKUP(I256,[2]stage_hints!$A:$C,3,FALSE)</f>
        <v>システム適合者を確認</v>
      </c>
      <c r="L256" s="28" t="str">
        <f>VLOOKUP(I256,[2]stage_hints!$A:$D,4,FALSE)</f>
        <v>ALICEが 「アナタ」を呼んでいます</v>
      </c>
      <c r="M256" s="20" t="s">
        <v>24</v>
      </c>
    </row>
    <row r="257" spans="1:13" x14ac:dyDescent="0.15">
      <c r="A257" s="25" t="s">
        <v>33</v>
      </c>
      <c r="B257">
        <v>30004</v>
      </c>
      <c r="E257">
        <v>3</v>
      </c>
      <c r="H257" s="17">
        <v>0</v>
      </c>
      <c r="I257">
        <v>39</v>
      </c>
      <c r="J257" s="4" t="s">
        <v>17</v>
      </c>
      <c r="K257" s="27" t="str">
        <f>VLOOKUP(I257,[2]stage_hints!$A:$C,3,FALSE)</f>
        <v>システム適合者を確認</v>
      </c>
      <c r="L257" s="28" t="str">
        <f>VLOOKUP(I257,[2]stage_hints!$A:$D,4,FALSE)</f>
        <v>ALICEが 「アナタ」を呼んでいます</v>
      </c>
      <c r="M257" s="20" t="s">
        <v>24</v>
      </c>
    </row>
    <row r="258" spans="1:13" x14ac:dyDescent="0.15">
      <c r="A258" s="25" t="s">
        <v>33</v>
      </c>
      <c r="B258">
        <v>30005</v>
      </c>
      <c r="E258">
        <v>1</v>
      </c>
      <c r="H258" s="17">
        <v>0</v>
      </c>
      <c r="I258">
        <v>39</v>
      </c>
      <c r="J258" s="4" t="s">
        <v>17</v>
      </c>
      <c r="K258" s="27" t="str">
        <f>VLOOKUP(I258,[2]stage_hints!$A:$C,3,FALSE)</f>
        <v>システム適合者を確認</v>
      </c>
      <c r="L258" s="28" t="str">
        <f>VLOOKUP(I258,[2]stage_hints!$A:$D,4,FALSE)</f>
        <v>ALICEが 「アナタ」を呼んでいます</v>
      </c>
      <c r="M258" s="20" t="s">
        <v>24</v>
      </c>
    </row>
    <row r="259" spans="1:13" x14ac:dyDescent="0.15">
      <c r="A259" s="25" t="s">
        <v>33</v>
      </c>
      <c r="B259">
        <v>30005</v>
      </c>
      <c r="E259">
        <v>2</v>
      </c>
      <c r="H259" s="17">
        <v>0</v>
      </c>
      <c r="I259">
        <v>39</v>
      </c>
      <c r="J259" s="4" t="s">
        <v>17</v>
      </c>
      <c r="K259" s="27" t="str">
        <f>VLOOKUP(I259,[2]stage_hints!$A:$C,3,FALSE)</f>
        <v>システム適合者を確認</v>
      </c>
      <c r="L259" s="28" t="str">
        <f>VLOOKUP(I259,[2]stage_hints!$A:$D,4,FALSE)</f>
        <v>ALICEが 「アナタ」を呼んでいます</v>
      </c>
      <c r="M259" s="20" t="s">
        <v>24</v>
      </c>
    </row>
    <row r="260" spans="1:13" x14ac:dyDescent="0.15">
      <c r="A260" s="25" t="s">
        <v>33</v>
      </c>
      <c r="B260">
        <v>30005</v>
      </c>
      <c r="E260">
        <v>3</v>
      </c>
      <c r="H260" s="17">
        <v>0</v>
      </c>
      <c r="I260">
        <v>39</v>
      </c>
      <c r="J260" s="4" t="s">
        <v>17</v>
      </c>
      <c r="K260" s="27" t="str">
        <f>VLOOKUP(I260,[2]stage_hints!$A:$C,3,FALSE)</f>
        <v>システム適合者を確認</v>
      </c>
      <c r="L260" s="28" t="str">
        <f>VLOOKUP(I260,[2]stage_hints!$A:$D,4,FALSE)</f>
        <v>ALICEが 「アナタ」を呼んでいます</v>
      </c>
      <c r="M260" s="20" t="s">
        <v>24</v>
      </c>
    </row>
    <row r="261" spans="1:13" x14ac:dyDescent="0.15">
      <c r="A261" s="25" t="s">
        <v>33</v>
      </c>
      <c r="B261">
        <v>30006</v>
      </c>
      <c r="E261">
        <v>1</v>
      </c>
      <c r="H261" s="17">
        <v>0</v>
      </c>
      <c r="I261">
        <v>39</v>
      </c>
      <c r="J261" s="4" t="s">
        <v>17</v>
      </c>
      <c r="K261" s="27" t="str">
        <f>VLOOKUP(I261,[2]stage_hints!$A:$C,3,FALSE)</f>
        <v>システム適合者を確認</v>
      </c>
      <c r="L261" s="28" t="str">
        <f>VLOOKUP(I261,[2]stage_hints!$A:$D,4,FALSE)</f>
        <v>ALICEが 「アナタ」を呼んでいます</v>
      </c>
      <c r="M261" s="20" t="s">
        <v>24</v>
      </c>
    </row>
    <row r="262" spans="1:13" x14ac:dyDescent="0.15">
      <c r="A262" s="25" t="s">
        <v>33</v>
      </c>
      <c r="B262">
        <v>30006</v>
      </c>
      <c r="E262">
        <v>2</v>
      </c>
      <c r="H262" s="17">
        <v>0</v>
      </c>
      <c r="I262">
        <v>39</v>
      </c>
      <c r="J262" s="4" t="s">
        <v>17</v>
      </c>
      <c r="K262" s="27" t="str">
        <f>VLOOKUP(I262,[2]stage_hints!$A:$C,3,FALSE)</f>
        <v>システム適合者を確認</v>
      </c>
      <c r="L262" s="28" t="str">
        <f>VLOOKUP(I262,[2]stage_hints!$A:$D,4,FALSE)</f>
        <v>ALICEが 「アナタ」を呼んでいます</v>
      </c>
      <c r="M262" s="20" t="s">
        <v>24</v>
      </c>
    </row>
    <row r="263" spans="1:13" x14ac:dyDescent="0.15">
      <c r="A263" s="25" t="s">
        <v>33</v>
      </c>
      <c r="B263">
        <v>30006</v>
      </c>
      <c r="E263">
        <v>3</v>
      </c>
      <c r="H263" s="17">
        <v>0</v>
      </c>
      <c r="I263">
        <v>39</v>
      </c>
      <c r="J263" s="4" t="s">
        <v>17</v>
      </c>
      <c r="K263" s="27" t="str">
        <f>VLOOKUP(I263,[2]stage_hints!$A:$C,3,FALSE)</f>
        <v>システム適合者を確認</v>
      </c>
      <c r="L263" s="28" t="str">
        <f>VLOOKUP(I263,[2]stage_hints!$A:$D,4,FALSE)</f>
        <v>ALICEが 「アナタ」を呼んでいます</v>
      </c>
      <c r="M263" s="20" t="s">
        <v>24</v>
      </c>
    </row>
    <row r="264" spans="1:13" x14ac:dyDescent="0.15">
      <c r="A264" s="25" t="s">
        <v>33</v>
      </c>
      <c r="B264">
        <v>30007</v>
      </c>
      <c r="E264">
        <v>1</v>
      </c>
      <c r="H264" s="17">
        <v>0</v>
      </c>
      <c r="I264">
        <v>39</v>
      </c>
      <c r="J264" s="4" t="s">
        <v>17</v>
      </c>
      <c r="K264" s="27" t="str">
        <f>VLOOKUP(I264,[2]stage_hints!$A:$C,3,FALSE)</f>
        <v>システム適合者を確認</v>
      </c>
      <c r="L264" s="28" t="str">
        <f>VLOOKUP(I264,[2]stage_hints!$A:$D,4,FALSE)</f>
        <v>ALICEが 「アナタ」を呼んでいます</v>
      </c>
      <c r="M264" s="20" t="s">
        <v>24</v>
      </c>
    </row>
    <row r="265" spans="1:13" x14ac:dyDescent="0.15">
      <c r="A265" s="25" t="s">
        <v>33</v>
      </c>
      <c r="B265">
        <v>30007</v>
      </c>
      <c r="E265">
        <v>2</v>
      </c>
      <c r="H265" s="17">
        <v>0</v>
      </c>
      <c r="I265">
        <v>39</v>
      </c>
      <c r="J265" s="4" t="s">
        <v>17</v>
      </c>
      <c r="K265" s="27" t="str">
        <f>VLOOKUP(I265,[2]stage_hints!$A:$C,3,FALSE)</f>
        <v>システム適合者を確認</v>
      </c>
      <c r="L265" s="28" t="str">
        <f>VLOOKUP(I265,[2]stage_hints!$A:$D,4,FALSE)</f>
        <v>ALICEが 「アナタ」を呼んでいます</v>
      </c>
      <c r="M265" s="20" t="s">
        <v>24</v>
      </c>
    </row>
    <row r="266" spans="1:13" x14ac:dyDescent="0.15">
      <c r="A266" s="25" t="s">
        <v>33</v>
      </c>
      <c r="B266">
        <v>30007</v>
      </c>
      <c r="E266">
        <v>3</v>
      </c>
      <c r="H266" s="17">
        <v>0</v>
      </c>
      <c r="I266">
        <v>39</v>
      </c>
      <c r="J266" s="4" t="s">
        <v>17</v>
      </c>
      <c r="K266" s="27" t="str">
        <f>VLOOKUP(I266,[2]stage_hints!$A:$C,3,FALSE)</f>
        <v>システム適合者を確認</v>
      </c>
      <c r="L266" s="28" t="str">
        <f>VLOOKUP(I266,[2]stage_hints!$A:$D,4,FALSE)</f>
        <v>ALICEが 「アナタ」を呼んでいます</v>
      </c>
      <c r="M266" s="20" t="s">
        <v>24</v>
      </c>
    </row>
    <row r="267" spans="1:13" x14ac:dyDescent="0.15">
      <c r="A267" s="25" t="s">
        <v>33</v>
      </c>
      <c r="B267">
        <v>30008</v>
      </c>
      <c r="E267">
        <v>1</v>
      </c>
      <c r="H267" s="17">
        <v>0</v>
      </c>
      <c r="I267">
        <v>39</v>
      </c>
      <c r="J267" s="4" t="s">
        <v>17</v>
      </c>
      <c r="K267" s="27" t="str">
        <f>VLOOKUP(I267,[2]stage_hints!$A:$C,3,FALSE)</f>
        <v>システム適合者を確認</v>
      </c>
      <c r="L267" s="28" t="str">
        <f>VLOOKUP(I267,[2]stage_hints!$A:$D,4,FALSE)</f>
        <v>ALICEが 「アナタ」を呼んでいます</v>
      </c>
      <c r="M267" s="20" t="s">
        <v>24</v>
      </c>
    </row>
    <row r="268" spans="1:13" x14ac:dyDescent="0.15">
      <c r="A268" s="25" t="s">
        <v>33</v>
      </c>
      <c r="B268">
        <v>30008</v>
      </c>
      <c r="E268">
        <v>2</v>
      </c>
      <c r="H268" s="17">
        <v>0</v>
      </c>
      <c r="I268">
        <v>39</v>
      </c>
      <c r="J268" s="4" t="s">
        <v>17</v>
      </c>
      <c r="K268" s="27" t="str">
        <f>VLOOKUP(I268,[2]stage_hints!$A:$C,3,FALSE)</f>
        <v>システム適合者を確認</v>
      </c>
      <c r="L268" s="28" t="str">
        <f>VLOOKUP(I268,[2]stage_hints!$A:$D,4,FALSE)</f>
        <v>ALICEが 「アナタ」を呼んでいます</v>
      </c>
      <c r="M268" s="20" t="s">
        <v>24</v>
      </c>
    </row>
    <row r="269" spans="1:13" x14ac:dyDescent="0.15">
      <c r="A269" s="25" t="s">
        <v>33</v>
      </c>
      <c r="B269">
        <v>30008</v>
      </c>
      <c r="E269">
        <v>3</v>
      </c>
      <c r="H269" s="17">
        <v>0</v>
      </c>
      <c r="I269">
        <v>39</v>
      </c>
      <c r="J269" s="4" t="s">
        <v>17</v>
      </c>
      <c r="K269" s="27" t="str">
        <f>VLOOKUP(I269,[2]stage_hints!$A:$C,3,FALSE)</f>
        <v>システム適合者を確認</v>
      </c>
      <c r="L269" s="28" t="str">
        <f>VLOOKUP(I269,[2]stage_hints!$A:$D,4,FALSE)</f>
        <v>ALICEが 「アナタ」を呼んでいます</v>
      </c>
      <c r="M269" s="20" t="s">
        <v>24</v>
      </c>
    </row>
    <row r="270" spans="1:13" x14ac:dyDescent="0.15">
      <c r="A270" s="25" t="s">
        <v>33</v>
      </c>
      <c r="B270">
        <v>30009</v>
      </c>
      <c r="E270">
        <v>1</v>
      </c>
      <c r="H270" s="17">
        <v>0</v>
      </c>
      <c r="I270">
        <v>39</v>
      </c>
      <c r="J270" s="4" t="s">
        <v>17</v>
      </c>
      <c r="K270" s="27" t="str">
        <f>VLOOKUP(I270,[2]stage_hints!$A:$C,3,FALSE)</f>
        <v>システム適合者を確認</v>
      </c>
      <c r="L270" s="28" t="str">
        <f>VLOOKUP(I270,[2]stage_hints!$A:$D,4,FALSE)</f>
        <v>ALICEが 「アナタ」を呼んでいます</v>
      </c>
      <c r="M270" s="20" t="s">
        <v>24</v>
      </c>
    </row>
    <row r="271" spans="1:13" x14ac:dyDescent="0.15">
      <c r="A271" s="25" t="s">
        <v>33</v>
      </c>
      <c r="B271">
        <v>30009</v>
      </c>
      <c r="E271">
        <v>2</v>
      </c>
      <c r="H271" s="17">
        <v>0</v>
      </c>
      <c r="I271">
        <v>39</v>
      </c>
      <c r="J271" s="4" t="s">
        <v>17</v>
      </c>
      <c r="K271" s="27" t="str">
        <f>VLOOKUP(I271,[2]stage_hints!$A:$C,3,FALSE)</f>
        <v>システム適合者を確認</v>
      </c>
      <c r="L271" s="28" t="str">
        <f>VLOOKUP(I271,[2]stage_hints!$A:$D,4,FALSE)</f>
        <v>ALICEが 「アナタ」を呼んでいます</v>
      </c>
      <c r="M271" s="20" t="s">
        <v>24</v>
      </c>
    </row>
    <row r="272" spans="1:13" x14ac:dyDescent="0.15">
      <c r="A272" s="25" t="s">
        <v>33</v>
      </c>
      <c r="B272">
        <v>30010</v>
      </c>
      <c r="E272">
        <v>1</v>
      </c>
      <c r="H272" s="17">
        <v>0</v>
      </c>
      <c r="I272">
        <v>39</v>
      </c>
      <c r="J272" s="4" t="s">
        <v>17</v>
      </c>
      <c r="K272" s="27" t="str">
        <f>VLOOKUP(I272,[2]stage_hints!$A:$C,3,FALSE)</f>
        <v>システム適合者を確認</v>
      </c>
      <c r="L272" s="28" t="str">
        <f>VLOOKUP(I272,[2]stage_hints!$A:$D,4,FALSE)</f>
        <v>ALICEが 「アナタ」を呼んでいます</v>
      </c>
      <c r="M272" s="20" t="s">
        <v>24</v>
      </c>
    </row>
    <row r="273" spans="1:13" x14ac:dyDescent="0.15">
      <c r="A273" s="25" t="s">
        <v>33</v>
      </c>
      <c r="B273">
        <v>30010</v>
      </c>
      <c r="E273">
        <v>2</v>
      </c>
      <c r="H273" s="17">
        <v>0</v>
      </c>
      <c r="I273">
        <v>39</v>
      </c>
      <c r="J273" s="4" t="s">
        <v>17</v>
      </c>
      <c r="K273" s="27" t="str">
        <f>VLOOKUP(I273,[2]stage_hints!$A:$C,3,FALSE)</f>
        <v>システム適合者を確認</v>
      </c>
      <c r="L273" s="28" t="str">
        <f>VLOOKUP(I273,[2]stage_hints!$A:$D,4,FALSE)</f>
        <v>ALICEが 「アナタ」を呼んでいます</v>
      </c>
      <c r="M273" s="20" t="s">
        <v>24</v>
      </c>
    </row>
    <row r="274" spans="1:13" x14ac:dyDescent="0.15">
      <c r="A274" s="25" t="s">
        <v>33</v>
      </c>
      <c r="B274">
        <v>30010</v>
      </c>
      <c r="E274">
        <v>3</v>
      </c>
      <c r="H274" s="17">
        <v>0</v>
      </c>
      <c r="I274">
        <v>39</v>
      </c>
      <c r="J274" s="4" t="s">
        <v>17</v>
      </c>
      <c r="K274" s="27" t="str">
        <f>VLOOKUP(I274,[2]stage_hints!$A:$C,3,FALSE)</f>
        <v>システム適合者を確認</v>
      </c>
      <c r="L274" s="28" t="str">
        <f>VLOOKUP(I274,[2]stage_hints!$A:$D,4,FALSE)</f>
        <v>ALICEが 「アナタ」を呼んでいます</v>
      </c>
      <c r="M274" s="20" t="s">
        <v>24</v>
      </c>
    </row>
    <row r="275" spans="1:13" x14ac:dyDescent="0.15">
      <c r="A275" s="25" t="s">
        <v>33</v>
      </c>
      <c r="B275">
        <v>30011</v>
      </c>
      <c r="E275">
        <v>1</v>
      </c>
      <c r="H275" s="17">
        <v>0</v>
      </c>
      <c r="I275">
        <v>39</v>
      </c>
      <c r="J275" s="4" t="s">
        <v>17</v>
      </c>
      <c r="K275" s="27" t="str">
        <f>VLOOKUP(I275,[2]stage_hints!$A:$C,3,FALSE)</f>
        <v>システム適合者を確認</v>
      </c>
      <c r="L275" s="28" t="str">
        <f>VLOOKUP(I275,[2]stage_hints!$A:$D,4,FALSE)</f>
        <v>ALICEが 「アナタ」を呼んでいます</v>
      </c>
      <c r="M275" s="20" t="s">
        <v>24</v>
      </c>
    </row>
    <row r="276" spans="1:13" x14ac:dyDescent="0.15">
      <c r="A276" s="25" t="s">
        <v>33</v>
      </c>
      <c r="B276">
        <v>30011</v>
      </c>
      <c r="E276">
        <v>2</v>
      </c>
      <c r="H276" s="17">
        <v>0</v>
      </c>
      <c r="I276">
        <v>39</v>
      </c>
      <c r="J276" s="4" t="s">
        <v>17</v>
      </c>
      <c r="K276" s="27" t="str">
        <f>VLOOKUP(I276,[2]stage_hints!$A:$C,3,FALSE)</f>
        <v>システム適合者を確認</v>
      </c>
      <c r="L276" s="28" t="str">
        <f>VLOOKUP(I276,[2]stage_hints!$A:$D,4,FALSE)</f>
        <v>ALICEが 「アナタ」を呼んでいます</v>
      </c>
      <c r="M276" s="20" t="s">
        <v>24</v>
      </c>
    </row>
    <row r="277" spans="1:13" x14ac:dyDescent="0.15">
      <c r="A277" s="25" t="s">
        <v>33</v>
      </c>
      <c r="B277">
        <v>30011</v>
      </c>
      <c r="E277">
        <v>3</v>
      </c>
      <c r="H277" s="17">
        <v>0</v>
      </c>
      <c r="I277">
        <v>39</v>
      </c>
      <c r="J277" s="4" t="s">
        <v>17</v>
      </c>
      <c r="K277" s="27" t="str">
        <f>VLOOKUP(I277,[2]stage_hints!$A:$C,3,FALSE)</f>
        <v>システム適合者を確認</v>
      </c>
      <c r="L277" s="28" t="str">
        <f>VLOOKUP(I277,[2]stage_hints!$A:$D,4,FALSE)</f>
        <v>ALICEが 「アナタ」を呼んでいます</v>
      </c>
      <c r="M277" s="20" t="s">
        <v>24</v>
      </c>
    </row>
    <row r="278" spans="1:13" x14ac:dyDescent="0.15">
      <c r="A278" s="25" t="s">
        <v>33</v>
      </c>
      <c r="B278">
        <v>30012</v>
      </c>
      <c r="E278">
        <v>1</v>
      </c>
      <c r="H278" s="17">
        <v>0</v>
      </c>
      <c r="I278">
        <v>39</v>
      </c>
      <c r="J278" s="4" t="s">
        <v>17</v>
      </c>
      <c r="K278" s="27" t="str">
        <f>VLOOKUP(I278,[2]stage_hints!$A:$C,3,FALSE)</f>
        <v>システム適合者を確認</v>
      </c>
      <c r="L278" s="28" t="str">
        <f>VLOOKUP(I278,[2]stage_hints!$A:$D,4,FALSE)</f>
        <v>ALICEが 「アナタ」を呼んでいます</v>
      </c>
      <c r="M278" s="20" t="s">
        <v>24</v>
      </c>
    </row>
    <row r="279" spans="1:13" x14ac:dyDescent="0.15">
      <c r="A279" s="25" t="s">
        <v>33</v>
      </c>
      <c r="B279">
        <v>30012</v>
      </c>
      <c r="E279">
        <v>2</v>
      </c>
      <c r="H279" s="17">
        <v>0</v>
      </c>
      <c r="I279">
        <v>39</v>
      </c>
      <c r="J279" s="4" t="s">
        <v>17</v>
      </c>
      <c r="K279" s="27" t="str">
        <f>VLOOKUP(I279,[2]stage_hints!$A:$C,3,FALSE)</f>
        <v>システム適合者を確認</v>
      </c>
      <c r="L279" s="28" t="str">
        <f>VLOOKUP(I279,[2]stage_hints!$A:$D,4,FALSE)</f>
        <v>ALICEが 「アナタ」を呼んでいます</v>
      </c>
      <c r="M279" s="20" t="s">
        <v>24</v>
      </c>
    </row>
    <row r="280" spans="1:13" x14ac:dyDescent="0.15">
      <c r="A280" s="25" t="s">
        <v>33</v>
      </c>
      <c r="B280">
        <v>30012</v>
      </c>
      <c r="E280">
        <v>3</v>
      </c>
      <c r="H280" s="17">
        <v>0</v>
      </c>
      <c r="I280">
        <v>39</v>
      </c>
      <c r="J280" s="4" t="s">
        <v>17</v>
      </c>
      <c r="K280" s="27" t="str">
        <f>VLOOKUP(I280,[2]stage_hints!$A:$C,3,FALSE)</f>
        <v>システム適合者を確認</v>
      </c>
      <c r="L280" s="28" t="str">
        <f>VLOOKUP(I280,[2]stage_hints!$A:$D,4,FALSE)</f>
        <v>ALICEが 「アナタ」を呼んでいます</v>
      </c>
      <c r="M280" s="20" t="s">
        <v>24</v>
      </c>
    </row>
    <row r="281" spans="1:13" x14ac:dyDescent="0.15">
      <c r="A281" s="25" t="s">
        <v>33</v>
      </c>
      <c r="B281">
        <v>30013</v>
      </c>
      <c r="E281">
        <v>1</v>
      </c>
      <c r="H281" s="17">
        <v>0</v>
      </c>
      <c r="I281">
        <v>39</v>
      </c>
      <c r="J281" s="4" t="s">
        <v>17</v>
      </c>
      <c r="K281" s="27" t="str">
        <f>VLOOKUP(I281,[2]stage_hints!$A:$C,3,FALSE)</f>
        <v>システム適合者を確認</v>
      </c>
      <c r="L281" s="28" t="str">
        <f>VLOOKUP(I281,[2]stage_hints!$A:$D,4,FALSE)</f>
        <v>ALICEが 「アナタ」を呼んでいます</v>
      </c>
      <c r="M281" s="20" t="s">
        <v>24</v>
      </c>
    </row>
    <row r="282" spans="1:13" x14ac:dyDescent="0.15">
      <c r="A282" s="25" t="s">
        <v>33</v>
      </c>
      <c r="B282">
        <v>30013</v>
      </c>
      <c r="E282">
        <v>2</v>
      </c>
      <c r="H282" s="17">
        <v>0</v>
      </c>
      <c r="I282">
        <v>39</v>
      </c>
      <c r="J282" s="4" t="s">
        <v>17</v>
      </c>
      <c r="K282" s="27" t="str">
        <f>VLOOKUP(I282,[2]stage_hints!$A:$C,3,FALSE)</f>
        <v>システム適合者を確認</v>
      </c>
      <c r="L282" s="28" t="str">
        <f>VLOOKUP(I282,[2]stage_hints!$A:$D,4,FALSE)</f>
        <v>ALICEが 「アナタ」を呼んでいます</v>
      </c>
      <c r="M282" s="20" t="s">
        <v>24</v>
      </c>
    </row>
    <row r="283" spans="1:13" x14ac:dyDescent="0.15">
      <c r="A283" s="25" t="s">
        <v>33</v>
      </c>
      <c r="B283">
        <v>30014</v>
      </c>
      <c r="E283">
        <v>1</v>
      </c>
      <c r="H283" s="17">
        <v>0</v>
      </c>
      <c r="I283">
        <v>39</v>
      </c>
      <c r="J283" s="4" t="s">
        <v>17</v>
      </c>
      <c r="K283" s="27" t="str">
        <f>VLOOKUP(I283,[2]stage_hints!$A:$C,3,FALSE)</f>
        <v>システム適合者を確認</v>
      </c>
      <c r="L283" s="28" t="str">
        <f>VLOOKUP(I283,[2]stage_hints!$A:$D,4,FALSE)</f>
        <v>ALICEが 「アナタ」を呼んでいます</v>
      </c>
      <c r="M283" s="20" t="s">
        <v>24</v>
      </c>
    </row>
    <row r="284" spans="1:13" x14ac:dyDescent="0.15">
      <c r="A284" s="25" t="s">
        <v>33</v>
      </c>
      <c r="B284">
        <v>30014</v>
      </c>
      <c r="E284">
        <v>2</v>
      </c>
      <c r="H284" s="17">
        <v>0</v>
      </c>
      <c r="I284">
        <v>39</v>
      </c>
      <c r="J284" s="4" t="s">
        <v>17</v>
      </c>
      <c r="K284" s="27" t="str">
        <f>VLOOKUP(I284,[2]stage_hints!$A:$C,3,FALSE)</f>
        <v>システム適合者を確認</v>
      </c>
      <c r="L284" s="28" t="str">
        <f>VLOOKUP(I284,[2]stage_hints!$A:$D,4,FALSE)</f>
        <v>ALICEが 「アナタ」を呼んでいます</v>
      </c>
      <c r="M284" s="20" t="s">
        <v>24</v>
      </c>
    </row>
    <row r="285" spans="1:13" x14ac:dyDescent="0.15">
      <c r="A285" s="25" t="s">
        <v>33</v>
      </c>
      <c r="B285">
        <v>30015</v>
      </c>
      <c r="E285">
        <v>1</v>
      </c>
      <c r="H285" s="17">
        <v>0</v>
      </c>
      <c r="I285">
        <v>39</v>
      </c>
      <c r="J285" s="4" t="s">
        <v>17</v>
      </c>
      <c r="K285" s="27" t="str">
        <f>VLOOKUP(I285,[2]stage_hints!$A:$C,3,FALSE)</f>
        <v>システム適合者を確認</v>
      </c>
      <c r="L285" s="28" t="str">
        <f>VLOOKUP(I285,[2]stage_hints!$A:$D,4,FALSE)</f>
        <v>ALICEが 「アナタ」を呼んでいます</v>
      </c>
      <c r="M285" s="20" t="s">
        <v>24</v>
      </c>
    </row>
    <row r="286" spans="1:13" x14ac:dyDescent="0.15">
      <c r="A286" s="25" t="s">
        <v>33</v>
      </c>
      <c r="B286">
        <v>30015</v>
      </c>
      <c r="E286">
        <v>2</v>
      </c>
      <c r="H286" s="17">
        <v>0</v>
      </c>
      <c r="I286">
        <v>39</v>
      </c>
      <c r="J286" s="4" t="s">
        <v>17</v>
      </c>
      <c r="K286" s="27" t="str">
        <f>VLOOKUP(I286,[2]stage_hints!$A:$C,3,FALSE)</f>
        <v>システム適合者を確認</v>
      </c>
      <c r="L286" s="28" t="str">
        <f>VLOOKUP(I286,[2]stage_hints!$A:$D,4,FALSE)</f>
        <v>ALICEが 「アナタ」を呼んでいます</v>
      </c>
      <c r="M286" s="20" t="s">
        <v>24</v>
      </c>
    </row>
    <row r="287" spans="1:13" x14ac:dyDescent="0.15">
      <c r="A287" s="25" t="s">
        <v>33</v>
      </c>
      <c r="B287">
        <v>30016</v>
      </c>
      <c r="E287">
        <v>1</v>
      </c>
      <c r="H287" s="17">
        <v>0</v>
      </c>
      <c r="I287">
        <v>39</v>
      </c>
      <c r="J287" s="4" t="s">
        <v>17</v>
      </c>
      <c r="K287" s="27" t="str">
        <f>VLOOKUP(I287,[2]stage_hints!$A:$C,3,FALSE)</f>
        <v>システム適合者を確認</v>
      </c>
      <c r="L287" s="28" t="str">
        <f>VLOOKUP(I287,[2]stage_hints!$A:$D,4,FALSE)</f>
        <v>ALICEが 「アナタ」を呼んでいます</v>
      </c>
      <c r="M287" s="20" t="s">
        <v>24</v>
      </c>
    </row>
    <row r="288" spans="1:13" x14ac:dyDescent="0.15">
      <c r="A288" s="25" t="s">
        <v>33</v>
      </c>
      <c r="B288">
        <v>30016</v>
      </c>
      <c r="E288">
        <v>2</v>
      </c>
      <c r="H288" s="17">
        <v>0</v>
      </c>
      <c r="I288">
        <v>39</v>
      </c>
      <c r="J288" s="4" t="s">
        <v>17</v>
      </c>
      <c r="K288" s="27" t="str">
        <f>VLOOKUP(I288,[2]stage_hints!$A:$C,3,FALSE)</f>
        <v>システム適合者を確認</v>
      </c>
      <c r="L288" s="28" t="str">
        <f>VLOOKUP(I288,[2]stage_hints!$A:$D,4,FALSE)</f>
        <v>ALICEが 「アナタ」を呼んでいます</v>
      </c>
      <c r="M288" s="20" t="s">
        <v>24</v>
      </c>
    </row>
    <row r="289" spans="1:13" x14ac:dyDescent="0.15">
      <c r="A289" s="25" t="s">
        <v>33</v>
      </c>
      <c r="B289">
        <v>30017</v>
      </c>
      <c r="E289">
        <v>1</v>
      </c>
      <c r="H289" s="17">
        <v>0</v>
      </c>
      <c r="I289">
        <v>39</v>
      </c>
      <c r="J289" s="4" t="s">
        <v>17</v>
      </c>
      <c r="K289" s="27" t="str">
        <f>VLOOKUP(I289,[2]stage_hints!$A:$C,3,FALSE)</f>
        <v>システム適合者を確認</v>
      </c>
      <c r="L289" s="28" t="str">
        <f>VLOOKUP(I289,[2]stage_hints!$A:$D,4,FALSE)</f>
        <v>ALICEが 「アナタ」を呼んでいます</v>
      </c>
      <c r="M289" s="20" t="s">
        <v>24</v>
      </c>
    </row>
    <row r="290" spans="1:13" x14ac:dyDescent="0.15">
      <c r="A290" s="25" t="s">
        <v>33</v>
      </c>
      <c r="B290">
        <v>30017</v>
      </c>
      <c r="E290">
        <v>2</v>
      </c>
      <c r="H290" s="17">
        <v>0</v>
      </c>
      <c r="I290">
        <v>39</v>
      </c>
      <c r="J290" s="4" t="s">
        <v>17</v>
      </c>
      <c r="K290" s="27" t="str">
        <f>VLOOKUP(I290,[2]stage_hints!$A:$C,3,FALSE)</f>
        <v>システム適合者を確認</v>
      </c>
      <c r="L290" s="28" t="str">
        <f>VLOOKUP(I290,[2]stage_hints!$A:$D,4,FALSE)</f>
        <v>ALICEが 「アナタ」を呼んでいます</v>
      </c>
      <c r="M290" s="20" t="s">
        <v>24</v>
      </c>
    </row>
    <row r="291" spans="1:13" x14ac:dyDescent="0.15">
      <c r="A291" s="25" t="s">
        <v>33</v>
      </c>
      <c r="B291">
        <v>30018</v>
      </c>
      <c r="E291">
        <v>1</v>
      </c>
      <c r="H291" s="17">
        <v>0</v>
      </c>
      <c r="I291">
        <v>39</v>
      </c>
      <c r="J291" s="4" t="s">
        <v>17</v>
      </c>
      <c r="K291" s="27" t="str">
        <f>VLOOKUP(I291,[2]stage_hints!$A:$C,3,FALSE)</f>
        <v>システム適合者を確認</v>
      </c>
      <c r="L291" s="28" t="str">
        <f>VLOOKUP(I291,[2]stage_hints!$A:$D,4,FALSE)</f>
        <v>ALICEが 「アナタ」を呼んでいます</v>
      </c>
      <c r="M291" s="20" t="s">
        <v>24</v>
      </c>
    </row>
    <row r="292" spans="1:13" x14ac:dyDescent="0.15">
      <c r="A292" s="25" t="s">
        <v>33</v>
      </c>
      <c r="B292">
        <v>30018</v>
      </c>
      <c r="E292">
        <v>2</v>
      </c>
      <c r="H292" s="17">
        <v>0</v>
      </c>
      <c r="I292">
        <v>39</v>
      </c>
      <c r="J292" s="4" t="s">
        <v>17</v>
      </c>
      <c r="K292" s="27" t="str">
        <f>VLOOKUP(I292,[2]stage_hints!$A:$C,3,FALSE)</f>
        <v>システム適合者を確認</v>
      </c>
      <c r="L292" s="28" t="str">
        <f>VLOOKUP(I292,[2]stage_hints!$A:$D,4,FALSE)</f>
        <v>ALICEが 「アナタ」を呼んでいます</v>
      </c>
      <c r="M292" s="20" t="s">
        <v>24</v>
      </c>
    </row>
    <row r="293" spans="1:13" x14ac:dyDescent="0.15">
      <c r="A293" s="25" t="s">
        <v>33</v>
      </c>
      <c r="B293">
        <v>30019</v>
      </c>
      <c r="E293">
        <v>1</v>
      </c>
      <c r="H293" s="17">
        <v>0</v>
      </c>
      <c r="I293">
        <v>39</v>
      </c>
      <c r="J293" s="4" t="s">
        <v>17</v>
      </c>
      <c r="K293" s="27" t="str">
        <f>VLOOKUP(I293,[2]stage_hints!$A:$C,3,FALSE)</f>
        <v>システム適合者を確認</v>
      </c>
      <c r="L293" s="28" t="str">
        <f>VLOOKUP(I293,[2]stage_hints!$A:$D,4,FALSE)</f>
        <v>ALICEが 「アナタ」を呼んでいます</v>
      </c>
      <c r="M293" s="20" t="s">
        <v>24</v>
      </c>
    </row>
    <row r="294" spans="1:13" x14ac:dyDescent="0.15">
      <c r="A294" s="25" t="s">
        <v>33</v>
      </c>
      <c r="B294">
        <v>30019</v>
      </c>
      <c r="E294">
        <v>2</v>
      </c>
      <c r="H294" s="17">
        <v>0</v>
      </c>
      <c r="I294">
        <v>39</v>
      </c>
      <c r="J294" s="4" t="s">
        <v>17</v>
      </c>
      <c r="K294" s="27" t="str">
        <f>VLOOKUP(I294,[2]stage_hints!$A:$C,3,FALSE)</f>
        <v>システム適合者を確認</v>
      </c>
      <c r="L294" s="28" t="str">
        <f>VLOOKUP(I294,[2]stage_hints!$A:$D,4,FALSE)</f>
        <v>ALICEが 「アナタ」を呼んでいます</v>
      </c>
      <c r="M294" s="20" t="s">
        <v>24</v>
      </c>
    </row>
    <row r="295" spans="1:13" x14ac:dyDescent="0.15">
      <c r="A295" s="25" t="s">
        <v>33</v>
      </c>
      <c r="B295">
        <v>30020</v>
      </c>
      <c r="E295">
        <v>1</v>
      </c>
      <c r="H295" s="17">
        <v>0</v>
      </c>
      <c r="I295">
        <v>39</v>
      </c>
      <c r="J295" s="4" t="s">
        <v>17</v>
      </c>
      <c r="K295" s="27" t="str">
        <f>VLOOKUP(I295,[2]stage_hints!$A:$C,3,FALSE)</f>
        <v>システム適合者を確認</v>
      </c>
      <c r="L295" s="28" t="str">
        <f>VLOOKUP(I295,[2]stage_hints!$A:$D,4,FALSE)</f>
        <v>ALICEが 「アナタ」を呼んでいます</v>
      </c>
      <c r="M295" s="20" t="s">
        <v>24</v>
      </c>
    </row>
    <row r="296" spans="1:13" x14ac:dyDescent="0.15">
      <c r="A296" s="25" t="s">
        <v>33</v>
      </c>
      <c r="B296">
        <v>30020</v>
      </c>
      <c r="E296">
        <v>2</v>
      </c>
      <c r="H296" s="17">
        <v>0</v>
      </c>
      <c r="I296">
        <v>39</v>
      </c>
      <c r="J296" s="4" t="s">
        <v>17</v>
      </c>
      <c r="K296" s="27" t="str">
        <f>VLOOKUP(I296,[2]stage_hints!$A:$C,3,FALSE)</f>
        <v>システム適合者を確認</v>
      </c>
      <c r="L296" s="28" t="str">
        <f>VLOOKUP(I296,[2]stage_hints!$A:$D,4,FALSE)</f>
        <v>ALICEが 「アナタ」を呼んでいます</v>
      </c>
      <c r="M296" s="20" t="s">
        <v>24</v>
      </c>
    </row>
    <row r="297" spans="1:13" x14ac:dyDescent="0.15">
      <c r="A297" s="25" t="s">
        <v>33</v>
      </c>
      <c r="B297">
        <v>30021</v>
      </c>
      <c r="E297">
        <v>1</v>
      </c>
      <c r="H297" s="17">
        <v>0</v>
      </c>
      <c r="I297">
        <v>39</v>
      </c>
      <c r="J297" s="4" t="s">
        <v>17</v>
      </c>
      <c r="K297" s="27" t="str">
        <f>VLOOKUP(I297,[2]stage_hints!$A:$C,3,FALSE)</f>
        <v>システム適合者を確認</v>
      </c>
      <c r="L297" s="28" t="str">
        <f>VLOOKUP(I297,[2]stage_hints!$A:$D,4,FALSE)</f>
        <v>ALICEが 「アナタ」を呼んでいます</v>
      </c>
      <c r="M297" s="20" t="s">
        <v>24</v>
      </c>
    </row>
    <row r="298" spans="1:13" x14ac:dyDescent="0.15">
      <c r="A298" s="25" t="s">
        <v>33</v>
      </c>
      <c r="B298">
        <v>30021</v>
      </c>
      <c r="E298">
        <v>2</v>
      </c>
      <c r="H298" s="17">
        <v>0</v>
      </c>
      <c r="I298">
        <v>39</v>
      </c>
      <c r="J298" s="4" t="s">
        <v>17</v>
      </c>
      <c r="K298" s="27" t="str">
        <f>VLOOKUP(I298,[2]stage_hints!$A:$C,3,FALSE)</f>
        <v>システム適合者を確認</v>
      </c>
      <c r="L298" s="28" t="str">
        <f>VLOOKUP(I298,[2]stage_hints!$A:$D,4,FALSE)</f>
        <v>ALICEが 「アナタ」を呼んでいます</v>
      </c>
      <c r="M298" s="20" t="s">
        <v>24</v>
      </c>
    </row>
    <row r="299" spans="1:13" x14ac:dyDescent="0.15">
      <c r="A299" s="25" t="s">
        <v>33</v>
      </c>
      <c r="B299">
        <v>30021</v>
      </c>
      <c r="E299">
        <v>3</v>
      </c>
      <c r="H299" s="17">
        <v>0</v>
      </c>
      <c r="I299">
        <v>39</v>
      </c>
      <c r="J299" s="4" t="s">
        <v>17</v>
      </c>
      <c r="K299" s="27" t="str">
        <f>VLOOKUP(I299,[2]stage_hints!$A:$C,3,FALSE)</f>
        <v>システム適合者を確認</v>
      </c>
      <c r="L299" s="28" t="str">
        <f>VLOOKUP(I299,[2]stage_hints!$A:$D,4,FALSE)</f>
        <v>ALICEが 「アナタ」を呼んでいます</v>
      </c>
      <c r="M299" s="20" t="s">
        <v>24</v>
      </c>
    </row>
    <row r="300" spans="1:13" x14ac:dyDescent="0.15">
      <c r="A300" s="25" t="s">
        <v>33</v>
      </c>
      <c r="B300">
        <v>30022</v>
      </c>
      <c r="E300">
        <v>1</v>
      </c>
      <c r="H300" s="17">
        <v>0</v>
      </c>
      <c r="I300">
        <v>39</v>
      </c>
      <c r="J300" s="4" t="s">
        <v>17</v>
      </c>
      <c r="K300" s="27" t="str">
        <f>VLOOKUP(I300,[2]stage_hints!$A:$C,3,FALSE)</f>
        <v>システム適合者を確認</v>
      </c>
      <c r="L300" s="28" t="str">
        <f>VLOOKUP(I300,[2]stage_hints!$A:$D,4,FALSE)</f>
        <v>ALICEが 「アナタ」を呼んでいます</v>
      </c>
      <c r="M300" s="20" t="s">
        <v>24</v>
      </c>
    </row>
    <row r="301" spans="1:13" x14ac:dyDescent="0.15">
      <c r="A301" s="25" t="s">
        <v>33</v>
      </c>
      <c r="B301">
        <v>30022</v>
      </c>
      <c r="E301">
        <v>2</v>
      </c>
      <c r="H301" s="17">
        <v>0</v>
      </c>
      <c r="I301">
        <v>39</v>
      </c>
      <c r="J301" s="4" t="s">
        <v>17</v>
      </c>
      <c r="K301" s="27" t="str">
        <f>VLOOKUP(I301,[2]stage_hints!$A:$C,3,FALSE)</f>
        <v>システム適合者を確認</v>
      </c>
      <c r="L301" s="28" t="str">
        <f>VLOOKUP(I301,[2]stage_hints!$A:$D,4,FALSE)</f>
        <v>ALICEが 「アナタ」を呼んでいます</v>
      </c>
      <c r="M301" s="20" t="s">
        <v>24</v>
      </c>
    </row>
    <row r="302" spans="1:13" x14ac:dyDescent="0.15">
      <c r="A302" s="25" t="s">
        <v>33</v>
      </c>
      <c r="B302">
        <v>40001</v>
      </c>
      <c r="E302">
        <v>1</v>
      </c>
      <c r="H302" s="17">
        <v>0</v>
      </c>
      <c r="I302">
        <v>39</v>
      </c>
      <c r="J302" s="4" t="s">
        <v>17</v>
      </c>
      <c r="K302" s="27" t="str">
        <f>VLOOKUP(I302,[2]stage_hints!$A:$C,3,FALSE)</f>
        <v>システム適合者を確認</v>
      </c>
      <c r="L302" s="28" t="str">
        <f>VLOOKUP(I302,[2]stage_hints!$A:$D,4,FALSE)</f>
        <v>ALICEが 「アナタ」を呼んでいます</v>
      </c>
      <c r="M302" s="20" t="s">
        <v>24</v>
      </c>
    </row>
    <row r="303" spans="1:13" x14ac:dyDescent="0.15">
      <c r="A303" s="25" t="s">
        <v>33</v>
      </c>
      <c r="B303">
        <v>40002</v>
      </c>
      <c r="E303">
        <v>1</v>
      </c>
      <c r="H303" s="17">
        <v>0</v>
      </c>
      <c r="I303">
        <v>39</v>
      </c>
      <c r="J303" s="4" t="s">
        <v>17</v>
      </c>
      <c r="K303" s="27" t="str">
        <f>VLOOKUP(I303,[2]stage_hints!$A:$C,3,FALSE)</f>
        <v>システム適合者を確認</v>
      </c>
      <c r="L303" s="28" t="str">
        <f>VLOOKUP(I303,[2]stage_hints!$A:$D,4,FALSE)</f>
        <v>ALICEが 「アナタ」を呼んでいます</v>
      </c>
      <c r="M303" s="20" t="s">
        <v>24</v>
      </c>
    </row>
    <row r="304" spans="1:13" x14ac:dyDescent="0.15">
      <c r="A304" s="25" t="s">
        <v>33</v>
      </c>
      <c r="B304">
        <v>40002</v>
      </c>
      <c r="E304">
        <v>2</v>
      </c>
      <c r="H304" s="17">
        <v>0</v>
      </c>
      <c r="I304">
        <v>39</v>
      </c>
      <c r="J304" s="4" t="s">
        <v>17</v>
      </c>
      <c r="K304" s="27" t="str">
        <f>VLOOKUP(I304,[2]stage_hints!$A:$C,3,FALSE)</f>
        <v>システム適合者を確認</v>
      </c>
      <c r="L304" s="28" t="str">
        <f>VLOOKUP(I304,[2]stage_hints!$A:$D,4,FALSE)</f>
        <v>ALICEが 「アナタ」を呼んでいます</v>
      </c>
      <c r="M304" s="20" t="s">
        <v>24</v>
      </c>
    </row>
    <row r="305" spans="1:13" x14ac:dyDescent="0.15">
      <c r="A305" s="25" t="s">
        <v>33</v>
      </c>
      <c r="B305">
        <v>40002</v>
      </c>
      <c r="E305">
        <v>3</v>
      </c>
      <c r="H305" s="17">
        <v>0</v>
      </c>
      <c r="I305">
        <v>39</v>
      </c>
      <c r="J305" s="4" t="s">
        <v>17</v>
      </c>
      <c r="K305" s="27" t="str">
        <f>VLOOKUP(I305,[2]stage_hints!$A:$C,3,FALSE)</f>
        <v>システム適合者を確認</v>
      </c>
      <c r="L305" s="28" t="str">
        <f>VLOOKUP(I305,[2]stage_hints!$A:$D,4,FALSE)</f>
        <v>ALICEが 「アナタ」を呼んでいます</v>
      </c>
      <c r="M305" s="20" t="s">
        <v>24</v>
      </c>
    </row>
    <row r="306" spans="1:13" x14ac:dyDescent="0.15">
      <c r="A306" s="25" t="s">
        <v>33</v>
      </c>
      <c r="B306">
        <v>40003</v>
      </c>
      <c r="E306">
        <v>1</v>
      </c>
      <c r="H306" s="17">
        <v>0</v>
      </c>
      <c r="I306">
        <v>39</v>
      </c>
      <c r="J306" s="4" t="s">
        <v>17</v>
      </c>
      <c r="K306" s="27" t="str">
        <f>VLOOKUP(I306,[2]stage_hints!$A:$C,3,FALSE)</f>
        <v>システム適合者を確認</v>
      </c>
      <c r="L306" s="28" t="str">
        <f>VLOOKUP(I306,[2]stage_hints!$A:$D,4,FALSE)</f>
        <v>ALICEが 「アナタ」を呼んでいます</v>
      </c>
      <c r="M306" s="20" t="s">
        <v>24</v>
      </c>
    </row>
    <row r="307" spans="1:13" x14ac:dyDescent="0.15">
      <c r="A307" s="25" t="s">
        <v>33</v>
      </c>
      <c r="B307">
        <v>40004</v>
      </c>
      <c r="E307">
        <v>1</v>
      </c>
      <c r="H307" s="17">
        <v>0</v>
      </c>
      <c r="I307">
        <v>39</v>
      </c>
      <c r="J307" s="4" t="s">
        <v>17</v>
      </c>
      <c r="K307" s="27" t="str">
        <f>VLOOKUP(I307,[2]stage_hints!$A:$C,3,FALSE)</f>
        <v>システム適合者を確認</v>
      </c>
      <c r="L307" s="28" t="str">
        <f>VLOOKUP(I307,[2]stage_hints!$A:$D,4,FALSE)</f>
        <v>ALICEが 「アナタ」を呼んでいます</v>
      </c>
      <c r="M307" s="20" t="s">
        <v>24</v>
      </c>
    </row>
    <row r="308" spans="1:13" x14ac:dyDescent="0.15">
      <c r="A308" s="25" t="s">
        <v>33</v>
      </c>
      <c r="B308">
        <v>40005</v>
      </c>
      <c r="E308">
        <v>1</v>
      </c>
      <c r="H308" s="17">
        <v>0</v>
      </c>
      <c r="I308">
        <v>39</v>
      </c>
      <c r="J308" s="4" t="s">
        <v>17</v>
      </c>
      <c r="K308" s="27" t="str">
        <f>VLOOKUP(I308,[2]stage_hints!$A:$C,3,FALSE)</f>
        <v>システム適合者を確認</v>
      </c>
      <c r="L308" s="28" t="str">
        <f>VLOOKUP(I308,[2]stage_hints!$A:$D,4,FALSE)</f>
        <v>ALICEが 「アナタ」を呼んでいます</v>
      </c>
      <c r="M308" s="20" t="s">
        <v>24</v>
      </c>
    </row>
    <row r="309" spans="1:13" x14ac:dyDescent="0.15">
      <c r="A309" s="25" t="s">
        <v>33</v>
      </c>
      <c r="B309">
        <v>40006</v>
      </c>
      <c r="E309">
        <v>1</v>
      </c>
      <c r="H309" s="17">
        <v>0</v>
      </c>
      <c r="I309">
        <v>39</v>
      </c>
      <c r="J309" s="4" t="s">
        <v>17</v>
      </c>
      <c r="K309" s="27" t="str">
        <f>VLOOKUP(I309,[2]stage_hints!$A:$C,3,FALSE)</f>
        <v>システム適合者を確認</v>
      </c>
      <c r="L309" s="28" t="str">
        <f>VLOOKUP(I309,[2]stage_hints!$A:$D,4,FALSE)</f>
        <v>ALICEが 「アナタ」を呼んでいます</v>
      </c>
      <c r="M309" s="20" t="s">
        <v>24</v>
      </c>
    </row>
  </sheetData>
  <phoneticPr fontId="5"/>
  <dataValidations count="1">
    <dataValidation type="list" allowBlank="1" showInputMessage="1" showErrorMessage="1" sqref="A2:A30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output</vt:lpstr>
      <vt:lpstr>stage_hints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¥98</dc:creator>
  <cp:lastModifiedBy>Microsoft Office ユーザー</cp:lastModifiedBy>
  <dcterms:created xsi:type="dcterms:W3CDTF">2013-10-07T08:00:17Z</dcterms:created>
  <dcterms:modified xsi:type="dcterms:W3CDTF">2017-02-16T10:12:56Z</dcterms:modified>
</cp:coreProperties>
</file>