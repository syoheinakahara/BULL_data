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2860" windowHeight="162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awake_materials!$B$1:$I$1</definedName>
    <definedName name="_xlnm._FilterDatabase" localSheetId="3" hidden="1">crash_skills!$A$1:$K$1</definedName>
    <definedName name="_xlnm._FilterDatabase" localSheetId="2" hidden="1">unit_skills!$A$1:$T$1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3" l="1"/>
  <c r="BR2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B2" i="2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2" i="3"/>
  <c r="E25" i="52"/>
  <c r="E24" i="52"/>
  <c r="E97" i="54"/>
  <c r="B97" i="54"/>
  <c r="E92" i="54"/>
  <c r="B92" i="54"/>
  <c r="E91" i="54"/>
  <c r="B91" i="54"/>
  <c r="E84" i="54"/>
  <c r="B84" i="54"/>
  <c r="E79" i="54"/>
  <c r="B79" i="54"/>
  <c r="E75" i="54"/>
  <c r="B75" i="54"/>
  <c r="E74" i="54"/>
  <c r="B74" i="54"/>
  <c r="E73" i="54"/>
  <c r="B73" i="54"/>
  <c r="E66" i="54"/>
  <c r="B66" i="54"/>
  <c r="E60" i="54"/>
  <c r="B60" i="54"/>
  <c r="E59" i="54"/>
  <c r="B59" i="54"/>
  <c r="E54" i="54"/>
  <c r="B54" i="54"/>
  <c r="E53" i="54"/>
  <c r="B53" i="54"/>
  <c r="E47" i="54"/>
  <c r="B47" i="54"/>
  <c r="E46" i="54"/>
  <c r="B46" i="54"/>
  <c r="E40" i="54"/>
  <c r="B40" i="54"/>
  <c r="E39" i="54"/>
  <c r="B39" i="54"/>
  <c r="E38" i="54"/>
  <c r="B38" i="54"/>
  <c r="E90" i="54"/>
  <c r="B90" i="54"/>
  <c r="E30" i="54"/>
  <c r="B30" i="54"/>
  <c r="E29" i="54"/>
  <c r="B29" i="54"/>
  <c r="E23" i="54"/>
  <c r="B23" i="54"/>
  <c r="E22" i="54"/>
  <c r="B22" i="54"/>
  <c r="E16" i="54"/>
  <c r="B16" i="54"/>
  <c r="E15" i="54"/>
  <c r="B15" i="54"/>
  <c r="E10" i="54"/>
  <c r="B10" i="54"/>
  <c r="E9" i="54"/>
  <c r="B9" i="54"/>
  <c r="E8" i="54"/>
  <c r="B8" i="54"/>
  <c r="B11" i="54"/>
  <c r="E11" i="54"/>
  <c r="G11" i="54"/>
  <c r="B12" i="54"/>
  <c r="E12" i="54"/>
  <c r="B13" i="54"/>
  <c r="E13" i="54"/>
  <c r="E96" i="54"/>
  <c r="B96" i="54"/>
  <c r="E95" i="54"/>
  <c r="B95" i="54"/>
  <c r="E94" i="54"/>
  <c r="B94" i="54"/>
  <c r="E93" i="54"/>
  <c r="B93" i="54"/>
  <c r="E89" i="54"/>
  <c r="B89" i="54"/>
  <c r="E88" i="54"/>
  <c r="B88" i="54"/>
  <c r="E87" i="54"/>
  <c r="B87" i="54"/>
  <c r="E86" i="54"/>
  <c r="B86" i="54"/>
  <c r="E85" i="54"/>
  <c r="B85" i="54"/>
  <c r="E83" i="54"/>
  <c r="B83" i="54"/>
  <c r="E82" i="54"/>
  <c r="B82" i="54"/>
  <c r="E81" i="54"/>
  <c r="B81" i="54"/>
  <c r="E80" i="54"/>
  <c r="B80" i="54"/>
  <c r="E78" i="54"/>
  <c r="B78" i="54"/>
  <c r="E77" i="54"/>
  <c r="B77" i="54"/>
  <c r="E76" i="54"/>
  <c r="B76" i="54"/>
  <c r="B25" i="54"/>
  <c r="B20" i="54"/>
  <c r="B19" i="54"/>
  <c r="B18" i="54"/>
  <c r="B2" i="54"/>
  <c r="E72" i="54"/>
  <c r="B72" i="54"/>
  <c r="E71" i="54"/>
  <c r="B71" i="54"/>
  <c r="E70" i="54"/>
  <c r="B70" i="54"/>
  <c r="E69" i="54"/>
  <c r="B69" i="54"/>
  <c r="E68" i="54"/>
  <c r="B68" i="54"/>
  <c r="E67" i="54"/>
  <c r="B67" i="54"/>
  <c r="E65" i="54"/>
  <c r="B65" i="54"/>
  <c r="E64" i="54"/>
  <c r="B64" i="54"/>
  <c r="E63" i="54"/>
  <c r="B63" i="54"/>
  <c r="E62" i="54"/>
  <c r="B62" i="54"/>
  <c r="E61" i="54"/>
  <c r="B61" i="54"/>
  <c r="E58" i="54"/>
  <c r="B58" i="54"/>
  <c r="E57" i="54"/>
  <c r="B57" i="54"/>
  <c r="E56" i="54"/>
  <c r="B56" i="54"/>
  <c r="E55" i="54"/>
  <c r="B55" i="54"/>
  <c r="E52" i="54"/>
  <c r="B52" i="54"/>
  <c r="E51" i="54"/>
  <c r="B51" i="54"/>
  <c r="E50" i="54"/>
  <c r="B50" i="54"/>
  <c r="E49" i="54"/>
  <c r="B49" i="54"/>
  <c r="E48" i="54"/>
  <c r="B48" i="54"/>
  <c r="E45" i="54"/>
  <c r="B45" i="54"/>
  <c r="E44" i="54"/>
  <c r="B44" i="54"/>
  <c r="E43" i="54"/>
  <c r="B43" i="54"/>
  <c r="E42" i="54"/>
  <c r="B42" i="54"/>
  <c r="E41" i="54"/>
  <c r="B41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28" i="54"/>
  <c r="B28" i="54"/>
  <c r="E27" i="54"/>
  <c r="B27" i="54"/>
  <c r="E26" i="54"/>
  <c r="B26" i="54"/>
  <c r="E25" i="54"/>
  <c r="E24" i="54"/>
  <c r="B24" i="54"/>
  <c r="E21" i="54"/>
  <c r="B21" i="54"/>
  <c r="E20" i="54"/>
  <c r="E19" i="54"/>
  <c r="E18" i="54"/>
  <c r="E17" i="54"/>
  <c r="B17" i="54"/>
  <c r="E14" i="54"/>
  <c r="B14" i="54"/>
  <c r="G7" i="54"/>
  <c r="E7" i="54"/>
  <c r="B7" i="54"/>
  <c r="E6" i="54"/>
  <c r="B6" i="54"/>
  <c r="E5" i="54"/>
  <c r="B5" i="54"/>
  <c r="E4" i="54"/>
  <c r="B4" i="54"/>
  <c r="E3" i="54"/>
  <c r="B3" i="54"/>
  <c r="E2" i="54"/>
  <c r="H46" i="3"/>
  <c r="F46" i="3"/>
  <c r="E46" i="3"/>
  <c r="C30" i="23"/>
  <c r="D46" i="3"/>
  <c r="A46" i="3"/>
  <c r="H45" i="3"/>
  <c r="F45" i="3"/>
  <c r="E45" i="3"/>
  <c r="D45" i="3"/>
  <c r="A45" i="3"/>
  <c r="H44" i="3"/>
  <c r="F44" i="3"/>
  <c r="E44" i="3"/>
  <c r="D44" i="3"/>
  <c r="A44" i="3"/>
  <c r="H41" i="3"/>
  <c r="H43" i="3"/>
  <c r="F43" i="3"/>
  <c r="E43" i="3"/>
  <c r="C28" i="23"/>
  <c r="D43" i="3"/>
  <c r="A43" i="3"/>
  <c r="H42" i="3"/>
  <c r="F42" i="3"/>
  <c r="E42" i="3"/>
  <c r="D42" i="3"/>
  <c r="A42" i="3"/>
  <c r="F41" i="3"/>
  <c r="E41" i="3"/>
  <c r="D41" i="3"/>
  <c r="A41" i="3"/>
  <c r="H40" i="3"/>
  <c r="F40" i="3"/>
  <c r="E40" i="3"/>
  <c r="C26" i="23"/>
  <c r="D40" i="3"/>
  <c r="A40" i="3"/>
  <c r="H39" i="3"/>
  <c r="F39" i="3"/>
  <c r="E39" i="3"/>
  <c r="D39" i="3"/>
  <c r="A39" i="3"/>
  <c r="H38" i="3"/>
  <c r="F38" i="3"/>
  <c r="E38" i="3"/>
  <c r="D38" i="3"/>
  <c r="A38" i="3"/>
  <c r="H37" i="3"/>
  <c r="F37" i="3"/>
  <c r="E37" i="3"/>
  <c r="C24" i="23"/>
  <c r="D37" i="3"/>
  <c r="A37" i="3"/>
  <c r="H36" i="3"/>
  <c r="F36" i="3"/>
  <c r="E36" i="3"/>
  <c r="D36" i="3"/>
  <c r="A36" i="3"/>
  <c r="H35" i="3"/>
  <c r="F35" i="3"/>
  <c r="E35" i="3"/>
  <c r="D35" i="3"/>
  <c r="A35" i="3"/>
  <c r="H34" i="3"/>
  <c r="F34" i="3"/>
  <c r="E34" i="3"/>
  <c r="C22" i="23"/>
  <c r="D34" i="3"/>
  <c r="A34" i="3"/>
  <c r="H33" i="3"/>
  <c r="F33" i="3"/>
  <c r="E33" i="3"/>
  <c r="D33" i="3"/>
  <c r="A33" i="3"/>
  <c r="H32" i="3"/>
  <c r="F32" i="3"/>
  <c r="E32" i="3"/>
  <c r="D32" i="3"/>
  <c r="A32" i="3"/>
  <c r="H31" i="3"/>
  <c r="F31" i="3"/>
  <c r="E31" i="3"/>
  <c r="D31" i="3"/>
  <c r="A31" i="3"/>
  <c r="C20" i="23"/>
  <c r="D30" i="3"/>
  <c r="D29" i="3"/>
  <c r="D28" i="3"/>
  <c r="H28" i="3"/>
  <c r="H29" i="3"/>
  <c r="H30" i="3"/>
  <c r="F30" i="3"/>
  <c r="E30" i="3"/>
  <c r="A30" i="3"/>
  <c r="F29" i="3"/>
  <c r="E29" i="3"/>
  <c r="A29" i="3"/>
  <c r="F28" i="3"/>
  <c r="E28" i="3"/>
  <c r="A28" i="3"/>
  <c r="H27" i="3"/>
  <c r="H26" i="3"/>
  <c r="H25" i="3"/>
  <c r="H24" i="3"/>
  <c r="H23" i="3"/>
  <c r="H22" i="3"/>
  <c r="H21" i="3"/>
  <c r="H20" i="3"/>
  <c r="H15" i="3"/>
  <c r="H17" i="3"/>
  <c r="F17" i="3"/>
  <c r="E17" i="3"/>
  <c r="C12" i="23"/>
  <c r="D17" i="3"/>
  <c r="A17" i="3"/>
  <c r="H6" i="3"/>
  <c r="D18" i="3"/>
  <c r="H5" i="3"/>
  <c r="H7" i="3"/>
  <c r="H8" i="3"/>
  <c r="H9" i="3"/>
  <c r="H10" i="3"/>
  <c r="H11" i="3"/>
  <c r="H12" i="3"/>
  <c r="H13" i="3"/>
  <c r="H14" i="3"/>
  <c r="H16" i="3"/>
  <c r="H18" i="3"/>
  <c r="H19" i="3"/>
  <c r="C14" i="23"/>
  <c r="D19" i="3"/>
  <c r="D16" i="3"/>
  <c r="D15" i="3"/>
  <c r="F21" i="3"/>
  <c r="E21" i="3"/>
  <c r="D21" i="3"/>
  <c r="A21" i="3"/>
  <c r="F20" i="3"/>
  <c r="E20" i="3"/>
  <c r="D20" i="3"/>
  <c r="A20" i="3"/>
  <c r="F19" i="3"/>
  <c r="E19" i="3"/>
  <c r="A19" i="3"/>
  <c r="F18" i="3"/>
  <c r="E18" i="3"/>
  <c r="A18" i="3"/>
  <c r="F16" i="3"/>
  <c r="E16" i="3"/>
  <c r="A16" i="3"/>
  <c r="F15" i="3"/>
  <c r="E15" i="3"/>
  <c r="A15" i="3"/>
  <c r="R23" i="23"/>
  <c r="R22" i="23"/>
  <c r="C8" i="23"/>
  <c r="D13" i="3"/>
  <c r="D14" i="3"/>
  <c r="C16" i="23"/>
  <c r="D22" i="3"/>
  <c r="D23" i="3"/>
  <c r="D24" i="3"/>
  <c r="C18" i="23"/>
  <c r="D25" i="3"/>
  <c r="D26" i="3"/>
  <c r="D27" i="3"/>
  <c r="F27" i="3"/>
  <c r="E27" i="3"/>
  <c r="A27" i="3"/>
  <c r="F26" i="3"/>
  <c r="E26" i="3"/>
  <c r="A26" i="3"/>
  <c r="F25" i="3"/>
  <c r="E25" i="3"/>
  <c r="A25" i="3"/>
  <c r="F24" i="3"/>
  <c r="E24" i="3"/>
  <c r="A24" i="3"/>
  <c r="F23" i="3"/>
  <c r="E23" i="3"/>
  <c r="A23" i="3"/>
  <c r="F22" i="3"/>
  <c r="E22" i="3"/>
  <c r="A22" i="3"/>
  <c r="F14" i="3"/>
  <c r="E14" i="3"/>
  <c r="A14" i="3"/>
  <c r="F13" i="3"/>
  <c r="E13" i="3"/>
  <c r="A13" i="3"/>
  <c r="F12" i="3"/>
  <c r="E12" i="3"/>
  <c r="D12" i="3"/>
  <c r="A12" i="3"/>
  <c r="C6" i="23"/>
  <c r="D11" i="3"/>
  <c r="D10" i="3"/>
  <c r="D9" i="3"/>
  <c r="F11" i="3"/>
  <c r="E11" i="3"/>
  <c r="A11" i="3"/>
  <c r="F10" i="3"/>
  <c r="E10" i="3"/>
  <c r="A10" i="3"/>
  <c r="F9" i="3"/>
  <c r="E9" i="3"/>
  <c r="A9" i="3"/>
  <c r="H4" i="3"/>
  <c r="H3" i="3"/>
  <c r="C4" i="23"/>
  <c r="D8" i="3"/>
  <c r="D7" i="3"/>
  <c r="D6" i="3"/>
  <c r="D5" i="3"/>
  <c r="H2" i="3"/>
  <c r="F8" i="3"/>
  <c r="E8" i="3"/>
  <c r="A8" i="3"/>
  <c r="F7" i="3"/>
  <c r="E7" i="3"/>
  <c r="A7" i="3"/>
  <c r="F6" i="3"/>
  <c r="E6" i="3"/>
  <c r="A6" i="3"/>
  <c r="F5" i="3"/>
  <c r="E5" i="3"/>
  <c r="A5" i="3"/>
  <c r="C2" i="23"/>
  <c r="D3" i="3"/>
  <c r="D4" i="3"/>
  <c r="D2" i="3"/>
  <c r="F4" i="3"/>
  <c r="E4" i="3"/>
  <c r="A4" i="3"/>
  <c r="F3" i="3"/>
  <c r="E3" i="3"/>
  <c r="A3" i="3"/>
  <c r="F2" i="3"/>
  <c r="E2" i="3"/>
  <c r="A2" i="3"/>
  <c r="R9" i="23"/>
  <c r="R8" i="23"/>
  <c r="G9" i="23"/>
  <c r="BC9" i="23"/>
  <c r="BD9" i="23"/>
  <c r="S9" i="23"/>
  <c r="AA9" i="23"/>
  <c r="I9" i="23"/>
  <c r="J9" i="23"/>
  <c r="BK9" i="23"/>
  <c r="R3" i="23"/>
  <c r="R2" i="23"/>
  <c r="G20" i="23"/>
  <c r="P20" i="23"/>
  <c r="G21" i="23"/>
  <c r="P21" i="23"/>
  <c r="R17" i="23"/>
  <c r="R16" i="23"/>
  <c r="R18" i="23"/>
  <c r="R19" i="23"/>
  <c r="I3" i="23"/>
  <c r="G3" i="53"/>
  <c r="I4" i="23"/>
  <c r="G4" i="53"/>
  <c r="I5" i="23"/>
  <c r="G5" i="53"/>
  <c r="I6" i="23"/>
  <c r="G6" i="53"/>
  <c r="I7" i="23"/>
  <c r="G7" i="53"/>
  <c r="I8" i="23"/>
  <c r="G8" i="53"/>
  <c r="G9" i="53"/>
  <c r="I10" i="23"/>
  <c r="G10" i="53"/>
  <c r="I11" i="23"/>
  <c r="G11" i="53"/>
  <c r="I12" i="23"/>
  <c r="G12" i="53"/>
  <c r="I13" i="23"/>
  <c r="G13" i="53"/>
  <c r="I14" i="23"/>
  <c r="G14" i="53"/>
  <c r="I15" i="23"/>
  <c r="G15" i="53"/>
  <c r="I16" i="23"/>
  <c r="G16" i="53"/>
  <c r="I17" i="23"/>
  <c r="G17" i="53"/>
  <c r="I18" i="23"/>
  <c r="G18" i="53"/>
  <c r="I19" i="23"/>
  <c r="G19" i="53"/>
  <c r="I20" i="23"/>
  <c r="G20" i="53"/>
  <c r="I21" i="23"/>
  <c r="G21" i="53"/>
  <c r="I22" i="23"/>
  <c r="G22" i="53"/>
  <c r="I23" i="23"/>
  <c r="G23" i="53"/>
  <c r="I24" i="23"/>
  <c r="G24" i="53"/>
  <c r="I25" i="23"/>
  <c r="G25" i="53"/>
  <c r="I26" i="23"/>
  <c r="G26" i="53"/>
  <c r="I27" i="23"/>
  <c r="G27" i="53"/>
  <c r="I28" i="23"/>
  <c r="G28" i="53"/>
  <c r="I29" i="23"/>
  <c r="G29" i="53"/>
  <c r="I30" i="23"/>
  <c r="G30" i="53"/>
  <c r="I31" i="23"/>
  <c r="G31" i="53"/>
  <c r="I2" i="23"/>
  <c r="G2" i="53"/>
  <c r="H2" i="53"/>
  <c r="E3" i="52"/>
  <c r="G15" i="23"/>
  <c r="BC15" i="23"/>
  <c r="BD15" i="23"/>
  <c r="Q15" i="23"/>
  <c r="V15" i="23"/>
  <c r="AD15" i="23"/>
  <c r="M15" i="23"/>
  <c r="BN15" i="23"/>
  <c r="G14" i="23"/>
  <c r="BC14" i="23"/>
  <c r="BD14" i="23"/>
  <c r="Q14" i="23"/>
  <c r="T14" i="23"/>
  <c r="AB14" i="23"/>
  <c r="K14" i="23"/>
  <c r="BL14" i="23"/>
  <c r="T15" i="23"/>
  <c r="AB15" i="23"/>
  <c r="K15" i="23"/>
  <c r="BL15" i="23"/>
  <c r="E14" i="52"/>
  <c r="E12" i="52"/>
  <c r="R12" i="23"/>
  <c r="C3" i="23"/>
  <c r="J3" i="52"/>
  <c r="J4" i="52"/>
  <c r="C5" i="23"/>
  <c r="J5" i="52"/>
  <c r="J6" i="52"/>
  <c r="C7" i="23"/>
  <c r="J7" i="52"/>
  <c r="J8" i="52"/>
  <c r="C9" i="23"/>
  <c r="J9" i="52"/>
  <c r="C10" i="23"/>
  <c r="J10" i="52"/>
  <c r="C11" i="23"/>
  <c r="J11" i="52"/>
  <c r="J12" i="52"/>
  <c r="C13" i="23"/>
  <c r="J13" i="52"/>
  <c r="J14" i="52"/>
  <c r="C15" i="23"/>
  <c r="J15" i="52"/>
  <c r="J16" i="52"/>
  <c r="C17" i="23"/>
  <c r="J17" i="52"/>
  <c r="J18" i="52"/>
  <c r="C19" i="23"/>
  <c r="J19" i="52"/>
  <c r="J20" i="52"/>
  <c r="C21" i="23"/>
  <c r="J21" i="52"/>
  <c r="J22" i="52"/>
  <c r="C23" i="23"/>
  <c r="J23" i="52"/>
  <c r="J24" i="52"/>
  <c r="C25" i="23"/>
  <c r="J25" i="52"/>
  <c r="J26" i="52"/>
  <c r="C27" i="23"/>
  <c r="J27" i="52"/>
  <c r="J28" i="52"/>
  <c r="C29" i="23"/>
  <c r="J29" i="52"/>
  <c r="J30" i="52"/>
  <c r="C31" i="23"/>
  <c r="J31" i="52"/>
  <c r="J2" i="52"/>
  <c r="AE4" i="23"/>
  <c r="AE6" i="23"/>
  <c r="AE8" i="23"/>
  <c r="AE12" i="23"/>
  <c r="AE14" i="23"/>
  <c r="AE16" i="23"/>
  <c r="AE18" i="23"/>
  <c r="AE20" i="23"/>
  <c r="AE22" i="23"/>
  <c r="AE24" i="23"/>
  <c r="AE26" i="23"/>
  <c r="AE28" i="23"/>
  <c r="AE30" i="23"/>
  <c r="AE2" i="23"/>
  <c r="AT3" i="23"/>
  <c r="AT4" i="23"/>
  <c r="AT5" i="23"/>
  <c r="AT6" i="23"/>
  <c r="AT7" i="23"/>
  <c r="AT8" i="23"/>
  <c r="AT9" i="23"/>
  <c r="AT12" i="23"/>
  <c r="AT13" i="23"/>
  <c r="AT14" i="23"/>
  <c r="AT15" i="23"/>
  <c r="AT16" i="23"/>
  <c r="AT17" i="23"/>
  <c r="AT18" i="23"/>
  <c r="AT19" i="23"/>
  <c r="AT20" i="23"/>
  <c r="AT21" i="23"/>
  <c r="AT22" i="23"/>
  <c r="AT23" i="23"/>
  <c r="AT24" i="23"/>
  <c r="AT25" i="23"/>
  <c r="AT26" i="23"/>
  <c r="AT27" i="23"/>
  <c r="AT28" i="23"/>
  <c r="AT29" i="23"/>
  <c r="AT30" i="23"/>
  <c r="AT31" i="23"/>
  <c r="AT2" i="23"/>
  <c r="AP3" i="23"/>
  <c r="AP4" i="23"/>
  <c r="AP5" i="23"/>
  <c r="AP6" i="23"/>
  <c r="AP7" i="23"/>
  <c r="AP8" i="23"/>
  <c r="AP9" i="23"/>
  <c r="AP12" i="23"/>
  <c r="AP13" i="23"/>
  <c r="AP14" i="23"/>
  <c r="AP15" i="23"/>
  <c r="AP16" i="23"/>
  <c r="AP17" i="23"/>
  <c r="AP18" i="23"/>
  <c r="AP19" i="23"/>
  <c r="AP20" i="23"/>
  <c r="AP21" i="23"/>
  <c r="AP22" i="23"/>
  <c r="AP23" i="23"/>
  <c r="AP24" i="23"/>
  <c r="AP25" i="23"/>
  <c r="AP26" i="23"/>
  <c r="AP27" i="23"/>
  <c r="AP28" i="23"/>
  <c r="AP29" i="23"/>
  <c r="AP30" i="23"/>
  <c r="AP31" i="23"/>
  <c r="AP2" i="23"/>
  <c r="B8" i="23"/>
  <c r="H8" i="53"/>
  <c r="AU8" i="23"/>
  <c r="B3" i="23"/>
  <c r="H3" i="53"/>
  <c r="B4" i="23"/>
  <c r="H4" i="53"/>
  <c r="B5" i="23"/>
  <c r="H5" i="53"/>
  <c r="B6" i="23"/>
  <c r="H6" i="53"/>
  <c r="B7" i="23"/>
  <c r="H7" i="53"/>
  <c r="B9" i="23"/>
  <c r="H9" i="53"/>
  <c r="B10" i="23"/>
  <c r="H10" i="53"/>
  <c r="B11" i="23"/>
  <c r="H11" i="53"/>
  <c r="B12" i="23"/>
  <c r="H12" i="53"/>
  <c r="B13" i="23"/>
  <c r="H13" i="53"/>
  <c r="B14" i="23"/>
  <c r="H14" i="53"/>
  <c r="B15" i="23"/>
  <c r="H15" i="53"/>
  <c r="B16" i="23"/>
  <c r="H16" i="53"/>
  <c r="B17" i="23"/>
  <c r="H17" i="53"/>
  <c r="B18" i="23"/>
  <c r="H18" i="53"/>
  <c r="B19" i="23"/>
  <c r="H19" i="53"/>
  <c r="B20" i="23"/>
  <c r="H20" i="53"/>
  <c r="B21" i="23"/>
  <c r="H21" i="53"/>
  <c r="B22" i="23"/>
  <c r="H22" i="53"/>
  <c r="B23" i="23"/>
  <c r="H23" i="53"/>
  <c r="B24" i="23"/>
  <c r="H24" i="53"/>
  <c r="B25" i="23"/>
  <c r="H25" i="53"/>
  <c r="B26" i="23"/>
  <c r="H26" i="53"/>
  <c r="B27" i="23"/>
  <c r="H27" i="53"/>
  <c r="B28" i="23"/>
  <c r="H28" i="53"/>
  <c r="B29" i="23"/>
  <c r="H29" i="53"/>
  <c r="B30" i="23"/>
  <c r="H30" i="53"/>
  <c r="B31" i="23"/>
  <c r="H31" i="53"/>
  <c r="E13" i="52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2" i="52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" i="53"/>
  <c r="E4" i="52"/>
  <c r="H4" i="52"/>
  <c r="E5" i="52"/>
  <c r="H5" i="52"/>
  <c r="E6" i="52"/>
  <c r="H6" i="52"/>
  <c r="E7" i="52"/>
  <c r="H7" i="52"/>
  <c r="E8" i="52"/>
  <c r="H8" i="52"/>
  <c r="E9" i="52"/>
  <c r="H9" i="52"/>
  <c r="E10" i="52"/>
  <c r="H10" i="52"/>
  <c r="E11" i="52"/>
  <c r="H11" i="52"/>
  <c r="H12" i="52"/>
  <c r="H13" i="52"/>
  <c r="H14" i="52"/>
  <c r="E15" i="52"/>
  <c r="H15" i="52"/>
  <c r="E16" i="52"/>
  <c r="H16" i="52"/>
  <c r="E17" i="52"/>
  <c r="H17" i="52"/>
  <c r="E18" i="52"/>
  <c r="H18" i="52"/>
  <c r="E19" i="52"/>
  <c r="H19" i="52"/>
  <c r="E20" i="52"/>
  <c r="H20" i="52"/>
  <c r="E21" i="52"/>
  <c r="H21" i="52"/>
  <c r="E22" i="52"/>
  <c r="H22" i="52"/>
  <c r="E23" i="52"/>
  <c r="H23" i="52"/>
  <c r="H24" i="52"/>
  <c r="H25" i="52"/>
  <c r="E26" i="52"/>
  <c r="H26" i="52"/>
  <c r="E27" i="52"/>
  <c r="H27" i="52"/>
  <c r="E28" i="52"/>
  <c r="H28" i="52"/>
  <c r="E29" i="52"/>
  <c r="H29" i="52"/>
  <c r="E30" i="52"/>
  <c r="H30" i="52"/>
  <c r="E31" i="52"/>
  <c r="H31" i="52"/>
  <c r="H3" i="52"/>
  <c r="D18" i="23"/>
  <c r="E18" i="23"/>
  <c r="F18" i="23"/>
  <c r="G18" i="23"/>
  <c r="J18" i="23"/>
  <c r="K18" i="23"/>
  <c r="L18" i="23"/>
  <c r="M18" i="23"/>
  <c r="N18" i="23"/>
  <c r="O18" i="23"/>
  <c r="P18" i="23"/>
  <c r="S18" i="23"/>
  <c r="T18" i="23"/>
  <c r="U18" i="23"/>
  <c r="V18" i="23"/>
  <c r="X18" i="23"/>
  <c r="Z18" i="23"/>
  <c r="AA18" i="23"/>
  <c r="AB18" i="23"/>
  <c r="AC18" i="23"/>
  <c r="AD18" i="23"/>
  <c r="AF18" i="23"/>
  <c r="AG18" i="23"/>
  <c r="AH18" i="23"/>
  <c r="AI18" i="23"/>
  <c r="AK18" i="23"/>
  <c r="AL18" i="23"/>
  <c r="AM18" i="23"/>
  <c r="AN18" i="23"/>
  <c r="AQ18" i="23"/>
  <c r="AR18" i="23"/>
  <c r="AS18" i="23"/>
  <c r="AU18" i="23"/>
  <c r="AV18" i="23"/>
  <c r="AW18" i="23"/>
  <c r="AX18" i="23"/>
  <c r="BC18" i="23"/>
  <c r="BD18" i="23"/>
  <c r="BE18" i="23"/>
  <c r="BF18" i="23"/>
  <c r="BK18" i="23"/>
  <c r="BG18" i="23"/>
  <c r="BL18" i="23"/>
  <c r="BH18" i="23"/>
  <c r="BM18" i="23"/>
  <c r="BI18" i="23"/>
  <c r="BN18" i="23"/>
  <c r="BJ18" i="23"/>
  <c r="D19" i="23"/>
  <c r="E19" i="23"/>
  <c r="F19" i="23"/>
  <c r="G19" i="23"/>
  <c r="J19" i="23"/>
  <c r="K19" i="23"/>
  <c r="L19" i="23"/>
  <c r="M19" i="23"/>
  <c r="N19" i="23"/>
  <c r="O19" i="23"/>
  <c r="P19" i="23"/>
  <c r="S19" i="23"/>
  <c r="T19" i="23"/>
  <c r="U19" i="23"/>
  <c r="V19" i="23"/>
  <c r="X19" i="23"/>
  <c r="Z19" i="23"/>
  <c r="AA19" i="23"/>
  <c r="AB19" i="23"/>
  <c r="AC19" i="23"/>
  <c r="AD19" i="23"/>
  <c r="AF19" i="23"/>
  <c r="AG19" i="23"/>
  <c r="AH19" i="23"/>
  <c r="AI19" i="23"/>
  <c r="AK19" i="23"/>
  <c r="AL19" i="23"/>
  <c r="AM19" i="23"/>
  <c r="AN19" i="23"/>
  <c r="AQ19" i="23"/>
  <c r="AR19" i="23"/>
  <c r="AS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D20" i="23"/>
  <c r="E20" i="23"/>
  <c r="F20" i="23"/>
  <c r="J20" i="23"/>
  <c r="K20" i="23"/>
  <c r="L20" i="23"/>
  <c r="M20" i="23"/>
  <c r="N20" i="23"/>
  <c r="O20" i="23"/>
  <c r="R20" i="23"/>
  <c r="S20" i="23"/>
  <c r="T20" i="23"/>
  <c r="U20" i="23"/>
  <c r="V20" i="23"/>
  <c r="X20" i="23"/>
  <c r="Y20" i="23"/>
  <c r="Z20" i="23"/>
  <c r="AA20" i="23"/>
  <c r="AB20" i="23"/>
  <c r="AC20" i="23"/>
  <c r="AD20" i="23"/>
  <c r="AF20" i="23"/>
  <c r="AG20" i="23"/>
  <c r="AH20" i="23"/>
  <c r="AI20" i="23"/>
  <c r="AK20" i="23"/>
  <c r="AL20" i="23"/>
  <c r="AM20" i="23"/>
  <c r="AN20" i="23"/>
  <c r="AQ20" i="23"/>
  <c r="AR20" i="23"/>
  <c r="AS20" i="23"/>
  <c r="AU20" i="23"/>
  <c r="AV20" i="23"/>
  <c r="AW20" i="23"/>
  <c r="AX20" i="23"/>
  <c r="BC20" i="23"/>
  <c r="BD20" i="23"/>
  <c r="BE20" i="23"/>
  <c r="BF20" i="23"/>
  <c r="BK20" i="23"/>
  <c r="BG20" i="23"/>
  <c r="BL20" i="23"/>
  <c r="BH20" i="23"/>
  <c r="BM20" i="23"/>
  <c r="BI20" i="23"/>
  <c r="BN20" i="23"/>
  <c r="BJ20" i="23"/>
  <c r="D21" i="23"/>
  <c r="E21" i="23"/>
  <c r="F21" i="23"/>
  <c r="J21" i="23"/>
  <c r="K21" i="23"/>
  <c r="L21" i="23"/>
  <c r="M21" i="23"/>
  <c r="N21" i="23"/>
  <c r="O21" i="23"/>
  <c r="R21" i="23"/>
  <c r="S21" i="23"/>
  <c r="T21" i="23"/>
  <c r="U21" i="23"/>
  <c r="V21" i="23"/>
  <c r="X21" i="23"/>
  <c r="Y21" i="23"/>
  <c r="Z21" i="23"/>
  <c r="AA21" i="23"/>
  <c r="AB21" i="23"/>
  <c r="AC21" i="23"/>
  <c r="AD21" i="23"/>
  <c r="AF21" i="23"/>
  <c r="AG21" i="23"/>
  <c r="AH21" i="23"/>
  <c r="AI21" i="23"/>
  <c r="AK21" i="23"/>
  <c r="AL21" i="23"/>
  <c r="AM21" i="23"/>
  <c r="AN21" i="23"/>
  <c r="AQ21" i="23"/>
  <c r="AR21" i="23"/>
  <c r="AS21" i="23"/>
  <c r="AU21" i="23"/>
  <c r="AV21" i="23"/>
  <c r="AW21" i="23"/>
  <c r="AX21" i="23"/>
  <c r="BC21" i="23"/>
  <c r="BD21" i="23"/>
  <c r="BE21" i="23"/>
  <c r="BF21" i="23"/>
  <c r="BK21" i="23"/>
  <c r="BG21" i="23"/>
  <c r="BL21" i="23"/>
  <c r="BH21" i="23"/>
  <c r="BM21" i="23"/>
  <c r="BI21" i="23"/>
  <c r="BN21" i="23"/>
  <c r="BJ21" i="23"/>
  <c r="D22" i="23"/>
  <c r="E22" i="23"/>
  <c r="F22" i="23"/>
  <c r="G22" i="23"/>
  <c r="J22" i="23"/>
  <c r="K22" i="23"/>
  <c r="L22" i="23"/>
  <c r="M22" i="23"/>
  <c r="N22" i="23"/>
  <c r="O22" i="23"/>
  <c r="P22" i="23"/>
  <c r="S22" i="23"/>
  <c r="T22" i="23"/>
  <c r="U22" i="23"/>
  <c r="V22" i="23"/>
  <c r="X22" i="23"/>
  <c r="Y22" i="23"/>
  <c r="Z22" i="23"/>
  <c r="AA22" i="23"/>
  <c r="AB22" i="23"/>
  <c r="AC22" i="23"/>
  <c r="AD22" i="23"/>
  <c r="AF22" i="23"/>
  <c r="AG22" i="23"/>
  <c r="AH22" i="23"/>
  <c r="AI22" i="23"/>
  <c r="AK22" i="23"/>
  <c r="AL22" i="23"/>
  <c r="AM22" i="23"/>
  <c r="AN22" i="23"/>
  <c r="AQ22" i="23"/>
  <c r="AR22" i="23"/>
  <c r="AS22" i="23"/>
  <c r="AU22" i="23"/>
  <c r="AV22" i="23"/>
  <c r="AW22" i="23"/>
  <c r="AX22" i="23"/>
  <c r="BC22" i="23"/>
  <c r="BD22" i="23"/>
  <c r="BE22" i="23"/>
  <c r="BF22" i="23"/>
  <c r="BK22" i="23"/>
  <c r="BG22" i="23"/>
  <c r="BL22" i="23"/>
  <c r="BH22" i="23"/>
  <c r="BM22" i="23"/>
  <c r="BI22" i="23"/>
  <c r="BN22" i="23"/>
  <c r="BJ22" i="23"/>
  <c r="D23" i="23"/>
  <c r="E23" i="23"/>
  <c r="F23" i="23"/>
  <c r="G23" i="23"/>
  <c r="J23" i="23"/>
  <c r="K23" i="23"/>
  <c r="L23" i="23"/>
  <c r="M23" i="23"/>
  <c r="G9" i="13"/>
  <c r="N23" i="23"/>
  <c r="O23" i="23"/>
  <c r="P23" i="23"/>
  <c r="S23" i="23"/>
  <c r="T23" i="23"/>
  <c r="U23" i="23"/>
  <c r="V23" i="23"/>
  <c r="X23" i="23"/>
  <c r="Y23" i="23"/>
  <c r="Z23" i="23"/>
  <c r="AA23" i="23"/>
  <c r="AB23" i="23"/>
  <c r="AC23" i="23"/>
  <c r="AD23" i="23"/>
  <c r="AF23" i="23"/>
  <c r="AG23" i="23"/>
  <c r="AH23" i="23"/>
  <c r="AI23" i="23"/>
  <c r="AK23" i="23"/>
  <c r="AL23" i="23"/>
  <c r="AM23" i="23"/>
  <c r="AN23" i="23"/>
  <c r="AQ23" i="23"/>
  <c r="AR23" i="23"/>
  <c r="AS23" i="23"/>
  <c r="AU23" i="23"/>
  <c r="AV23" i="23"/>
  <c r="AW23" i="23"/>
  <c r="AX23" i="23"/>
  <c r="BC23" i="23"/>
  <c r="BD23" i="23"/>
  <c r="BE23" i="23"/>
  <c r="BF23" i="23"/>
  <c r="BK23" i="23"/>
  <c r="BG23" i="23"/>
  <c r="BL23" i="23"/>
  <c r="BH23" i="23"/>
  <c r="BM23" i="23"/>
  <c r="BI23" i="23"/>
  <c r="BN23" i="23"/>
  <c r="BJ23" i="23"/>
  <c r="D24" i="23"/>
  <c r="E24" i="23"/>
  <c r="F24" i="23"/>
  <c r="G24" i="23"/>
  <c r="J24" i="23"/>
  <c r="K24" i="23"/>
  <c r="L24" i="23"/>
  <c r="M24" i="23"/>
  <c r="N24" i="23"/>
  <c r="O24" i="23"/>
  <c r="P24" i="23"/>
  <c r="R24" i="23"/>
  <c r="S24" i="23"/>
  <c r="T24" i="23"/>
  <c r="U24" i="23"/>
  <c r="V24" i="23"/>
  <c r="X24" i="23"/>
  <c r="Y24" i="23"/>
  <c r="Z24" i="23"/>
  <c r="AA24" i="23"/>
  <c r="AB24" i="23"/>
  <c r="AC24" i="23"/>
  <c r="AD24" i="23"/>
  <c r="AF24" i="23"/>
  <c r="AG24" i="23"/>
  <c r="AH24" i="23"/>
  <c r="AI24" i="23"/>
  <c r="AK24" i="23"/>
  <c r="AL24" i="23"/>
  <c r="AM24" i="23"/>
  <c r="AN24" i="23"/>
  <c r="AQ24" i="23"/>
  <c r="AR24" i="23"/>
  <c r="AS24" i="23"/>
  <c r="AU24" i="23"/>
  <c r="AV24" i="23"/>
  <c r="AW24" i="23"/>
  <c r="AX24" i="23"/>
  <c r="BC24" i="23"/>
  <c r="BD24" i="23"/>
  <c r="BE24" i="23"/>
  <c r="BF24" i="23"/>
  <c r="BK24" i="23"/>
  <c r="BG24" i="23"/>
  <c r="BL24" i="23"/>
  <c r="BH24" i="23"/>
  <c r="BM24" i="23"/>
  <c r="BI24" i="23"/>
  <c r="BN24" i="23"/>
  <c r="BJ24" i="23"/>
  <c r="D25" i="23"/>
  <c r="E25" i="23"/>
  <c r="F25" i="23"/>
  <c r="G25" i="23"/>
  <c r="J25" i="23"/>
  <c r="K25" i="23"/>
  <c r="L25" i="23"/>
  <c r="M25" i="23"/>
  <c r="N25" i="23"/>
  <c r="O25" i="23"/>
  <c r="P25" i="23"/>
  <c r="R25" i="23"/>
  <c r="S25" i="23"/>
  <c r="T25" i="23"/>
  <c r="U25" i="23"/>
  <c r="V25" i="23"/>
  <c r="X25" i="23"/>
  <c r="Y25" i="23"/>
  <c r="Z25" i="23"/>
  <c r="AA25" i="23"/>
  <c r="AB25" i="23"/>
  <c r="AC25" i="23"/>
  <c r="AD25" i="23"/>
  <c r="AF25" i="23"/>
  <c r="AG25" i="23"/>
  <c r="AH25" i="23"/>
  <c r="AI25" i="23"/>
  <c r="AK25" i="23"/>
  <c r="AL25" i="23"/>
  <c r="AM25" i="23"/>
  <c r="AN25" i="23"/>
  <c r="AQ25" i="23"/>
  <c r="AR25" i="23"/>
  <c r="AS25" i="23"/>
  <c r="AU25" i="23"/>
  <c r="AV25" i="23"/>
  <c r="AW25" i="23"/>
  <c r="AX25" i="23"/>
  <c r="BC25" i="23"/>
  <c r="BD25" i="23"/>
  <c r="BE25" i="23"/>
  <c r="BF25" i="23"/>
  <c r="BK25" i="23"/>
  <c r="BG25" i="23"/>
  <c r="BL25" i="23"/>
  <c r="BH25" i="23"/>
  <c r="BM25" i="23"/>
  <c r="BI25" i="23"/>
  <c r="BN25" i="23"/>
  <c r="BJ25" i="23"/>
  <c r="D26" i="23"/>
  <c r="E26" i="23"/>
  <c r="F26" i="23"/>
  <c r="G26" i="23"/>
  <c r="J26" i="23"/>
  <c r="K26" i="23"/>
  <c r="L26" i="23"/>
  <c r="M26" i="23"/>
  <c r="N26" i="23"/>
  <c r="O26" i="23"/>
  <c r="P26" i="23"/>
  <c r="R26" i="23"/>
  <c r="S26" i="23"/>
  <c r="T26" i="23"/>
  <c r="U26" i="23"/>
  <c r="V26" i="23"/>
  <c r="X26" i="23"/>
  <c r="Y26" i="23"/>
  <c r="Z26" i="23"/>
  <c r="AA26" i="23"/>
  <c r="AB26" i="23"/>
  <c r="AC26" i="23"/>
  <c r="AD26" i="23"/>
  <c r="AF26" i="23"/>
  <c r="AG26" i="23"/>
  <c r="AH26" i="23"/>
  <c r="AI26" i="23"/>
  <c r="AK26" i="23"/>
  <c r="AL26" i="23"/>
  <c r="AM26" i="23"/>
  <c r="AN26" i="23"/>
  <c r="AQ26" i="23"/>
  <c r="AR26" i="23"/>
  <c r="AS26" i="23"/>
  <c r="AU26" i="23"/>
  <c r="AV26" i="23"/>
  <c r="AW26" i="23"/>
  <c r="AX26" i="23"/>
  <c r="BC26" i="23"/>
  <c r="BD26" i="23"/>
  <c r="BE26" i="23"/>
  <c r="BF26" i="23"/>
  <c r="BK26" i="23"/>
  <c r="BG26" i="23"/>
  <c r="BL26" i="23"/>
  <c r="BH26" i="23"/>
  <c r="BM26" i="23"/>
  <c r="BI26" i="23"/>
  <c r="BN26" i="23"/>
  <c r="BJ26" i="23"/>
  <c r="D27" i="23"/>
  <c r="E27" i="23"/>
  <c r="F27" i="23"/>
  <c r="G27" i="23"/>
  <c r="J27" i="23"/>
  <c r="K27" i="23"/>
  <c r="L27" i="23"/>
  <c r="M27" i="23"/>
  <c r="N27" i="23"/>
  <c r="O27" i="23"/>
  <c r="P27" i="23"/>
  <c r="R27" i="23"/>
  <c r="S27" i="23"/>
  <c r="T27" i="23"/>
  <c r="U27" i="23"/>
  <c r="V27" i="23"/>
  <c r="X27" i="23"/>
  <c r="Y27" i="23"/>
  <c r="Z27" i="23"/>
  <c r="AA27" i="23"/>
  <c r="AB27" i="23"/>
  <c r="AC27" i="23"/>
  <c r="AD27" i="23"/>
  <c r="AF27" i="23"/>
  <c r="AG27" i="23"/>
  <c r="AH27" i="23"/>
  <c r="AI27" i="23"/>
  <c r="AK27" i="23"/>
  <c r="AL27" i="23"/>
  <c r="AM27" i="23"/>
  <c r="AN27" i="23"/>
  <c r="AQ27" i="23"/>
  <c r="AR27" i="23"/>
  <c r="AS27" i="23"/>
  <c r="AU27" i="23"/>
  <c r="AV27" i="23"/>
  <c r="AW27" i="23"/>
  <c r="AX27" i="23"/>
  <c r="BC27" i="23"/>
  <c r="BD27" i="23"/>
  <c r="BE27" i="23"/>
  <c r="BF27" i="23"/>
  <c r="BK27" i="23"/>
  <c r="BG27" i="23"/>
  <c r="BL27" i="23"/>
  <c r="BH27" i="23"/>
  <c r="BM27" i="23"/>
  <c r="BI27" i="23"/>
  <c r="BN27" i="23"/>
  <c r="BJ27" i="23"/>
  <c r="D28" i="23"/>
  <c r="E28" i="23"/>
  <c r="F28" i="23"/>
  <c r="G28" i="23"/>
  <c r="J28" i="23"/>
  <c r="K28" i="23"/>
  <c r="L28" i="23"/>
  <c r="M28" i="23"/>
  <c r="N28" i="23"/>
  <c r="O28" i="23"/>
  <c r="P28" i="23"/>
  <c r="R28" i="23"/>
  <c r="S28" i="23"/>
  <c r="T28" i="23"/>
  <c r="U28" i="23"/>
  <c r="V28" i="23"/>
  <c r="X28" i="23"/>
  <c r="Y28" i="23"/>
  <c r="Z28" i="23"/>
  <c r="AA28" i="23"/>
  <c r="AB28" i="23"/>
  <c r="AC28" i="23"/>
  <c r="AD28" i="23"/>
  <c r="AF28" i="23"/>
  <c r="AG28" i="23"/>
  <c r="AH28" i="23"/>
  <c r="AI28" i="23"/>
  <c r="AK28" i="23"/>
  <c r="AL28" i="23"/>
  <c r="AM28" i="23"/>
  <c r="AN28" i="23"/>
  <c r="AQ28" i="23"/>
  <c r="AR28" i="23"/>
  <c r="AS28" i="23"/>
  <c r="AU28" i="23"/>
  <c r="AV28" i="23"/>
  <c r="AW28" i="23"/>
  <c r="AX28" i="23"/>
  <c r="BC28" i="23"/>
  <c r="BD28" i="23"/>
  <c r="BE28" i="23"/>
  <c r="BF28" i="23"/>
  <c r="BK28" i="23"/>
  <c r="BG28" i="23"/>
  <c r="BL28" i="23"/>
  <c r="BH28" i="23"/>
  <c r="BM28" i="23"/>
  <c r="BI28" i="23"/>
  <c r="BN28" i="23"/>
  <c r="BJ28" i="23"/>
  <c r="D29" i="23"/>
  <c r="E29" i="23"/>
  <c r="F29" i="23"/>
  <c r="G29" i="23"/>
  <c r="J29" i="23"/>
  <c r="K29" i="23"/>
  <c r="L29" i="23"/>
  <c r="M29" i="23"/>
  <c r="N29" i="23"/>
  <c r="O29" i="23"/>
  <c r="P29" i="23"/>
  <c r="R29" i="23"/>
  <c r="S29" i="23"/>
  <c r="T29" i="23"/>
  <c r="U29" i="23"/>
  <c r="V29" i="23"/>
  <c r="X29" i="23"/>
  <c r="Y29" i="23"/>
  <c r="Z29" i="23"/>
  <c r="AA29" i="23"/>
  <c r="AB29" i="23"/>
  <c r="AC29" i="23"/>
  <c r="AD29" i="23"/>
  <c r="AF29" i="23"/>
  <c r="AG29" i="23"/>
  <c r="AH29" i="23"/>
  <c r="AI29" i="23"/>
  <c r="AK29" i="23"/>
  <c r="AL29" i="23"/>
  <c r="AM29" i="23"/>
  <c r="AN29" i="23"/>
  <c r="AQ29" i="23"/>
  <c r="AR29" i="23"/>
  <c r="AS29" i="23"/>
  <c r="AU29" i="23"/>
  <c r="AV29" i="23"/>
  <c r="AW29" i="23"/>
  <c r="AX29" i="23"/>
  <c r="BC29" i="23"/>
  <c r="BD29" i="23"/>
  <c r="BE29" i="23"/>
  <c r="BF29" i="23"/>
  <c r="BK29" i="23"/>
  <c r="BG29" i="23"/>
  <c r="BL29" i="23"/>
  <c r="BH29" i="23"/>
  <c r="BM29" i="23"/>
  <c r="BI29" i="23"/>
  <c r="BN29" i="23"/>
  <c r="BJ29" i="23"/>
  <c r="D30" i="23"/>
  <c r="E30" i="23"/>
  <c r="F30" i="23"/>
  <c r="G30" i="23"/>
  <c r="J30" i="23"/>
  <c r="K30" i="23"/>
  <c r="L30" i="23"/>
  <c r="M30" i="23"/>
  <c r="N30" i="23"/>
  <c r="O30" i="23"/>
  <c r="P30" i="23"/>
  <c r="R30" i="23"/>
  <c r="S30" i="23"/>
  <c r="T30" i="23"/>
  <c r="U30" i="23"/>
  <c r="V30" i="23"/>
  <c r="X30" i="23"/>
  <c r="Y30" i="23"/>
  <c r="Z30" i="23"/>
  <c r="AA30" i="23"/>
  <c r="AB30" i="23"/>
  <c r="AC30" i="23"/>
  <c r="AD30" i="23"/>
  <c r="AF30" i="23"/>
  <c r="AG30" i="23"/>
  <c r="AH30" i="23"/>
  <c r="AI30" i="23"/>
  <c r="AK30" i="23"/>
  <c r="AL30" i="23"/>
  <c r="AM30" i="23"/>
  <c r="AN30" i="23"/>
  <c r="AQ30" i="23"/>
  <c r="AR30" i="23"/>
  <c r="AS30" i="23"/>
  <c r="AU30" i="23"/>
  <c r="AV30" i="23"/>
  <c r="AW30" i="23"/>
  <c r="AX30" i="23"/>
  <c r="BC30" i="23"/>
  <c r="BD30" i="23"/>
  <c r="BE30" i="23"/>
  <c r="BF30" i="23"/>
  <c r="BK30" i="23"/>
  <c r="BG30" i="23"/>
  <c r="BL30" i="23"/>
  <c r="BH30" i="23"/>
  <c r="BM30" i="23"/>
  <c r="BI30" i="23"/>
  <c r="BN30" i="23"/>
  <c r="BJ30" i="23"/>
  <c r="D31" i="23"/>
  <c r="E31" i="23"/>
  <c r="F31" i="23"/>
  <c r="G31" i="23"/>
  <c r="J31" i="23"/>
  <c r="K31" i="23"/>
  <c r="L31" i="23"/>
  <c r="M31" i="23"/>
  <c r="N31" i="23"/>
  <c r="O31" i="23"/>
  <c r="P31" i="23"/>
  <c r="R31" i="23"/>
  <c r="S31" i="23"/>
  <c r="T31" i="23"/>
  <c r="U31" i="23"/>
  <c r="V31" i="23"/>
  <c r="X31" i="23"/>
  <c r="Y31" i="23"/>
  <c r="Z31" i="23"/>
  <c r="AA31" i="23"/>
  <c r="AB31" i="23"/>
  <c r="AC31" i="23"/>
  <c r="AD31" i="23"/>
  <c r="AF31" i="23"/>
  <c r="AG31" i="23"/>
  <c r="AH31" i="23"/>
  <c r="AI31" i="23"/>
  <c r="AK31" i="23"/>
  <c r="AL31" i="23"/>
  <c r="AM31" i="23"/>
  <c r="AN31" i="23"/>
  <c r="AQ31" i="23"/>
  <c r="AR31" i="23"/>
  <c r="AS31" i="23"/>
  <c r="AU31" i="23"/>
  <c r="AV31" i="23"/>
  <c r="AW31" i="23"/>
  <c r="AX31" i="23"/>
  <c r="BC31" i="23"/>
  <c r="BD31" i="23"/>
  <c r="BE31" i="23"/>
  <c r="BF31" i="23"/>
  <c r="BK31" i="23"/>
  <c r="BG31" i="23"/>
  <c r="BL31" i="23"/>
  <c r="BH31" i="23"/>
  <c r="BM31" i="23"/>
  <c r="BI31" i="23"/>
  <c r="BN31" i="23"/>
  <c r="BJ31" i="23"/>
  <c r="D4" i="23"/>
  <c r="E4" i="23"/>
  <c r="F4" i="23"/>
  <c r="G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D5" i="23"/>
  <c r="E5" i="23"/>
  <c r="F5" i="23"/>
  <c r="G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D6" i="23"/>
  <c r="E6" i="23"/>
  <c r="F6" i="23"/>
  <c r="G6" i="23"/>
  <c r="J6" i="23"/>
  <c r="K6" i="23"/>
  <c r="L6" i="23"/>
  <c r="M6" i="23"/>
  <c r="N6" i="23"/>
  <c r="O6" i="23"/>
  <c r="R6" i="23"/>
  <c r="S6" i="23"/>
  <c r="T6" i="23"/>
  <c r="U6" i="23"/>
  <c r="V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D7" i="23"/>
  <c r="E7" i="23"/>
  <c r="F7" i="23"/>
  <c r="G7" i="23"/>
  <c r="J7" i="23"/>
  <c r="K7" i="23"/>
  <c r="L7" i="23"/>
  <c r="M7" i="23"/>
  <c r="N7" i="23"/>
  <c r="O7" i="23"/>
  <c r="R7" i="23"/>
  <c r="S7" i="23"/>
  <c r="T7" i="23"/>
  <c r="U7" i="23"/>
  <c r="V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D8" i="23"/>
  <c r="E8" i="23"/>
  <c r="F8" i="23"/>
  <c r="G8" i="23"/>
  <c r="J8" i="23"/>
  <c r="K8" i="23"/>
  <c r="L8" i="23"/>
  <c r="M8" i="23"/>
  <c r="N8" i="23"/>
  <c r="O8" i="23"/>
  <c r="P8" i="23"/>
  <c r="S8" i="23"/>
  <c r="T8" i="23"/>
  <c r="U8" i="23"/>
  <c r="V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D9" i="23"/>
  <c r="E9" i="23"/>
  <c r="F9" i="23"/>
  <c r="K9" i="23"/>
  <c r="L9" i="23"/>
  <c r="M9" i="23"/>
  <c r="N9" i="23"/>
  <c r="O9" i="23"/>
  <c r="P9" i="23"/>
  <c r="T9" i="23"/>
  <c r="U9" i="23"/>
  <c r="V9" i="23"/>
  <c r="X9" i="23"/>
  <c r="Y9" i="23"/>
  <c r="Z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G9" i="23"/>
  <c r="BL9" i="23"/>
  <c r="BH9" i="23"/>
  <c r="BM9" i="23"/>
  <c r="BI9" i="23"/>
  <c r="BN9" i="23"/>
  <c r="BJ9" i="23"/>
  <c r="D10" i="23"/>
  <c r="E10" i="23"/>
  <c r="F10" i="23"/>
  <c r="G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D11" i="23"/>
  <c r="E11" i="23"/>
  <c r="F11" i="23"/>
  <c r="G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D12" i="23"/>
  <c r="E12" i="23"/>
  <c r="F12" i="23"/>
  <c r="G12" i="23"/>
  <c r="J12" i="23"/>
  <c r="K12" i="23"/>
  <c r="L12" i="23"/>
  <c r="M12" i="23"/>
  <c r="N12" i="23"/>
  <c r="O12" i="23"/>
  <c r="P12" i="23"/>
  <c r="S12" i="23"/>
  <c r="T12" i="23"/>
  <c r="U12" i="23"/>
  <c r="V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D13" i="23"/>
  <c r="E13" i="23"/>
  <c r="F13" i="23"/>
  <c r="G13" i="23"/>
  <c r="J13" i="23"/>
  <c r="K13" i="23"/>
  <c r="L13" i="23"/>
  <c r="M13" i="23"/>
  <c r="N13" i="23"/>
  <c r="O13" i="23"/>
  <c r="P13" i="23"/>
  <c r="R13" i="23"/>
  <c r="S13" i="23"/>
  <c r="T13" i="23"/>
  <c r="U13" i="23"/>
  <c r="V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D14" i="23"/>
  <c r="E14" i="23"/>
  <c r="F14" i="23"/>
  <c r="J14" i="23"/>
  <c r="L14" i="23"/>
  <c r="M14" i="23"/>
  <c r="N14" i="23"/>
  <c r="O14" i="23"/>
  <c r="P14" i="23"/>
  <c r="R14" i="23"/>
  <c r="S14" i="23"/>
  <c r="U14" i="23"/>
  <c r="V14" i="23"/>
  <c r="X14" i="23"/>
  <c r="Y14" i="23"/>
  <c r="Z14" i="23"/>
  <c r="AA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E14" i="23"/>
  <c r="BF14" i="23"/>
  <c r="BK14" i="23"/>
  <c r="BG14" i="23"/>
  <c r="BH14" i="23"/>
  <c r="BM14" i="23"/>
  <c r="BI14" i="23"/>
  <c r="BN14" i="23"/>
  <c r="BJ14" i="23"/>
  <c r="D15" i="23"/>
  <c r="E15" i="23"/>
  <c r="F15" i="23"/>
  <c r="J15" i="23"/>
  <c r="L15" i="23"/>
  <c r="N15" i="23"/>
  <c r="O15" i="23"/>
  <c r="P15" i="23"/>
  <c r="R15" i="23"/>
  <c r="S15" i="23"/>
  <c r="U15" i="23"/>
  <c r="X15" i="23"/>
  <c r="Y15" i="23"/>
  <c r="Z15" i="23"/>
  <c r="AA15" i="23"/>
  <c r="AC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E15" i="23"/>
  <c r="BF15" i="23"/>
  <c r="BK15" i="23"/>
  <c r="BG15" i="23"/>
  <c r="BH15" i="23"/>
  <c r="BM15" i="23"/>
  <c r="BI15" i="23"/>
  <c r="BJ15" i="23"/>
  <c r="D16" i="23"/>
  <c r="E16" i="23"/>
  <c r="F16" i="23"/>
  <c r="G16" i="23"/>
  <c r="J16" i="23"/>
  <c r="K16" i="23"/>
  <c r="L16" i="23"/>
  <c r="M16" i="23"/>
  <c r="N16" i="23"/>
  <c r="O16" i="23"/>
  <c r="P16" i="23"/>
  <c r="S16" i="23"/>
  <c r="T16" i="23"/>
  <c r="U16" i="23"/>
  <c r="V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D17" i="23"/>
  <c r="E17" i="23"/>
  <c r="F17" i="23"/>
  <c r="G17" i="23"/>
  <c r="J17" i="23"/>
  <c r="K17" i="23"/>
  <c r="L17" i="23"/>
  <c r="M17" i="23"/>
  <c r="N17" i="23"/>
  <c r="O17" i="23"/>
  <c r="P17" i="23"/>
  <c r="S17" i="23"/>
  <c r="T17" i="23"/>
  <c r="U17" i="23"/>
  <c r="V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G3" i="23"/>
  <c r="P3" i="23"/>
  <c r="G2" i="23"/>
  <c r="P2" i="23"/>
  <c r="G10" i="13"/>
  <c r="G8" i="13"/>
  <c r="G4" i="13"/>
  <c r="G3" i="13"/>
  <c r="G2" i="13"/>
  <c r="D2" i="23"/>
  <c r="E2" i="23"/>
  <c r="F2" i="23"/>
  <c r="J2" i="23"/>
  <c r="K2" i="23"/>
  <c r="L2" i="23"/>
  <c r="M2" i="23"/>
  <c r="N2" i="23"/>
  <c r="O2" i="23"/>
  <c r="S2" i="23"/>
  <c r="T2" i="23"/>
  <c r="U2" i="23"/>
  <c r="V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D3" i="23"/>
  <c r="E3" i="23"/>
  <c r="F3" i="23"/>
  <c r="J3" i="23"/>
  <c r="K3" i="23"/>
  <c r="L3" i="23"/>
  <c r="M3" i="23"/>
  <c r="N3" i="23"/>
  <c r="O3" i="23"/>
  <c r="S3" i="23"/>
  <c r="T3" i="23"/>
  <c r="U3" i="23"/>
  <c r="V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<sst xmlns="http://schemas.openxmlformats.org/spreadsheetml/2006/main" count="1428" uniqueCount="499">
  <si>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</si>
  <si>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</si>
  <si>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</si>
  <si>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</si>
  <si>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</si>
  <si>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</si>
  <si>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</si>
  <si>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</si>
  <si>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</si>
  <si>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</si>
  <si>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</si>
  <si>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</si>
  <si>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</si>
  <si>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</si>
  <si>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</si>
  <si>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</si>
  <si>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</si>
  <si>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</si>
  <si>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</si>
  <si>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</si>
  <si>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</si>
  <si>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</si>
  <si>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</si>
  <si>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</si>
  <si>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</si>
  <si>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</si>
  <si>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</si>
  <si>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</si>
  <si>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</si>
  <si>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</si>
  <si>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</si>
  <si>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</si>
  <si>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</si>
  <si>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</si>
  <si>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</si>
  <si>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</si>
  <si>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</si>
  <si>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</si>
  <si>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</si>
  <si>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</si>
  <si>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</si>
  <si>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</si>
  <si>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</si>
  <si>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</si>
  <si>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</si>
  <si>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</si>
  <si>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</si>
  <si>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</si>
  <si>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</si>
  <si>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</si>
  <si>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</si>
  <si>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</si>
  <si>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</si>
  <si>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</si>
  <si>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</si>
  <si>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</si>
  <si>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</si>
  <si>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</si>
  <si>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</si>
  <si>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</si>
  <si>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</si>
  <si>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</si>
  <si>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</si>
  <si>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</si>
  <si>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</si>
  <si>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</si>
  <si>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</si>
  <si>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</si>
  <si>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</si>
  <si>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</si>
  <si>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</si>
  <si>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</si>
  <si>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</si>
  <si>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</si>
  <si>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</si>
  <si>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</si>
  <si>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</si>
  <si>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</si>
  <si>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</si>
  <si>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</si>
  <si>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</si>
  <si>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</si>
  <si>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</si>
  <si>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</si>
  <si>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</si>
  <si>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</si>
  <si>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</si>
  <si>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</si>
  <si>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</si>
  <si>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</si>
  <si>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</si>
  <si>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</si>
  <si>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</si>
  <si>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</si>
  <si>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</si>
  <si>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</si>
  <si>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</si>
  <si>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</si>
  <si>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</si>
  <si>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</si>
  <si>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</si>
  <si>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</si>
  <si>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</si>
  <si>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</si>
  <si>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</si>
  <si>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</si>
  <si>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</si>
  <si>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</si>
  <si>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</si>
  <si>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</si>
  <si>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</si>
  <si>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</si>
  <si>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</si>
  <si>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</si>
  <si>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</si>
  <si>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</si>
  <si>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</si>
  <si>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</si>
  <si>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</si>
  <si>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</si>
  <si>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</si>
  <si>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</si>
  <si>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</si>
  <si>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</si>
  <si>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</si>
  <si>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</si>
  <si>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</si>
  <si>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</si>
  <si>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</si>
  <si>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</si>
  <si>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</si>
  <si>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</si>
  <si>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</si>
  <si>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</si>
  <si>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</si>
  <si>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</si>
  <si>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</si>
  <si>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</si>
  <si>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</si>
  <si>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</si>
  <si>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</si>
  <si>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</si>
  <si>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</si>
  <si>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</si>
  <si>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</si>
  <si>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</si>
  <si>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</si>
  <si>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</si>
  <si>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</si>
  <si>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</si>
  <si>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</si>
  <si>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</si>
  <si>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</si>
  <si>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</si>
  <si>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</si>
  <si>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</si>
  <si>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</si>
  <si>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</si>
  <si>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</si>
  <si>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</si>
  <si>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</si>
  <si>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</si>
  <si>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</si>
  <si>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</si>
  <si>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</si>
  <si>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</si>
  <si>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</si>
  <si>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</si>
  <si>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</si>
  <si>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</si>
  <si>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</si>
  <si>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</si>
  <si>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</si>
  <si>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</si>
  <si>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</si>
  <si>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</si>
  <si>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</si>
  <si>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</si>
  <si>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</si>
  <si>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</si>
  <si>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</si>
  <si>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</si>
  <si>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</si>
  <si>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</si>
  <si>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</si>
  <si>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</si>
  <si>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</si>
  <si>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frame_type</t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</si>
  <si>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</si>
  <si>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</si>
  <si>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</si>
  <si>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</si>
  <si>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</si>
  <si>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</si>
  <si>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</si>
  <si>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</si>
  <si>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</si>
  <si>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</si>
  <si>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</si>
  <si>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</si>
  <si>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</si>
  <si>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</si>
  <si>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</si>
  <si>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</si>
  <si>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</si>
  <si>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</si>
  <si>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</si>
  <si>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</si>
  <si>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</si>
  <si>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</si>
  <si>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</si>
  <si>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</si>
  <si>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</si>
  <si>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</si>
  <si>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</si>
  <si>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</si>
  <si>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</si>
  <si>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</si>
  <si>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</si>
  <si>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</si>
  <si>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</si>
  <si>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</si>
  <si>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</si>
  <si>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</si>
  <si>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</si>
  <si>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</si>
  <si>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</si>
  <si>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</si>
  <si>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</si>
  <si>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</si>
  <si>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</si>
  <si>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</si>
  <si>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</si>
  <si>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</si>
  <si>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</si>
  <si>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</si>
  <si>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</si>
  <si>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</si>
  <si>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</si>
  <si>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</si>
  <si>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</si>
  <si>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</si>
  <si>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</si>
  <si>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balance</t>
    <phoneticPr fontId="10"/>
  </si>
  <si>
    <t>balance</t>
    <phoneticPr fontId="10"/>
  </si>
  <si>
    <t>[effect:change_block, new_block:crack_bomb, target:jammer,color:block_heart,count:0, val:20, animation:change_block],[effect:change_block, new_block:crack_bomb, target:time_bomb,color:block_heart,count:0, val:20, animation:change_block],[effect:change_block, new_block:block_heart, target:block_blue, count:0, val:0, animation:change_block]</t>
    <phoneticPr fontId="22"/>
  </si>
  <si>
    <t>[effect:change_block, new_block:crack_bomb, target:jammer,color:block_heart,count:0, val:20, animation:change_block],[effect:change_block, new_block:crack_bomb, target:time_bomb,color:block_heart,count:0, val:20, animation:change_block],[effect:change_block, new_block:block_heart, target:block_blue, count:0, val:0, animation:change_block]</t>
    <phoneticPr fontId="22"/>
  </si>
  <si>
    <t>[effect:damage, target:enemy_one, color:red, val:2.25, animation:damage_one_red05]</t>
    <phoneticPr fontId="22"/>
  </si>
  <si>
    <t>恍惚と喜悦のカーニヴァル</t>
  </si>
  <si>
    <t>全方位ぬいぐるみガード</t>
  </si>
  <si>
    <t>アップル・ファンタジア</t>
  </si>
  <si>
    <t>おいしい魔法</t>
  </si>
  <si>
    <t>覚醒素材のためなし</t>
  </si>
  <si>
    <t>ヴェスタリノベーション</t>
  </si>
  <si>
    <t>フレグランス・ノーツ</t>
  </si>
  <si>
    <t>フレグランス・ソング</t>
  </si>
  <si>
    <t>ブリーゼ・クラフト</t>
  </si>
  <si>
    <t>ヴィント・クラフト</t>
  </si>
  <si>
    <t>スプリングハーモニー</t>
  </si>
  <si>
    <t>けろけろジャンプ</t>
  </si>
  <si>
    <t>甘蜜美・タルトタタン</t>
  </si>
  <si>
    <t>アタイはアタイだよっ！</t>
  </si>
  <si>
    <t>自称☆ライバル</t>
  </si>
  <si>
    <t>オレ様オンステージ！</t>
  </si>
  <si>
    <t>バルーン・パレード</t>
  </si>
  <si>
    <t>ポムプリ・ヒップ</t>
  </si>
  <si>
    <t>青パネルをハートパネルに、時限式ダメージパネルとお邪魔パネルをハートのボムパネル(大)に変換</t>
  </si>
  <si>
    <t>ランダムで1つSCパネル(大)に変換+お邪魔パネルを赤パネルに変換</t>
  </si>
  <si>
    <t>ランダムで1つSCパネル(大)に変換+お邪魔パネルを赤ボムパネルに変換</t>
  </si>
  <si>
    <t>3ターンの間敵の防御力をDOWN+緑属性の攻撃力と回復力を特大UP</t>
  </si>
  <si>
    <t>3ターン緑属性のユニットの防御力を特大UP</t>
  </si>
  <si>
    <t>ランダムで4つCパネルに変換</t>
  </si>
  <si>
    <t>3ターン黄属性の攻撃力と防御力を特大UP</t>
  </si>
  <si>
    <t>青パネルをハートパネルに、時限式ダメージパネルとお邪魔パネルをハートのボムパネル(大)に変換</t>
    <phoneticPr fontId="22"/>
  </si>
  <si>
    <t>全体に特大ダメージ</t>
  </si>
  <si>
    <t>1体に特大ダメージ</t>
  </si>
  <si>
    <t>単体に2回中ダメージ</t>
  </si>
  <si>
    <t>サンリオキャラクターズ･マーチ</t>
  </si>
  <si>
    <t>愛雷の囲攻</t>
  </si>
  <si>
    <t>ハッピー・ハローキティ</t>
  </si>
  <si>
    <t>切り身界のNew Wave</t>
  </si>
  <si>
    <t>ラヴハントマシンガン</t>
  </si>
  <si>
    <t>マイメロディ・スマイル</t>
  </si>
  <si>
    <t>デパーチュア・ピース</t>
  </si>
  <si>
    <t>エルブセッション</t>
  </si>
  <si>
    <t>けろけろコーラス♪</t>
  </si>
  <si>
    <t>クロミ様参上！</t>
  </si>
  <si>
    <t>オレ様ナンバーワン！</t>
  </si>
  <si>
    <t>スウィート・パウダー</t>
  </si>
  <si>
    <t>ポムプリ・ローリング</t>
  </si>
  <si>
    <t>甘菓子の舞糖</t>
    <phoneticPr fontId="22"/>
  </si>
  <si>
    <t>1体に中ダメージ
+ヒューマンに効果大</t>
    <phoneticPr fontId="22"/>
  </si>
  <si>
    <t>自身の回復力の最大値に比例して
単体に特大ダメージ</t>
    <rPh sb="3" eb="6">
      <t>カイフクリョク</t>
    </rPh>
    <rPh sb="19" eb="20">
      <t>トクダイ</t>
    </rPh>
    <phoneticPr fontId="22"/>
  </si>
  <si>
    <t>[effect:damage, target:enemy_all, color:yellow, val:1.125, animation:damage_all_yellow04]</t>
    <phoneticPr fontId="22"/>
  </si>
  <si>
    <t>[effect:damage, target:enemy_one, color:blue, val:1.2, animation:damage_one_blue03],[effect:damage, target:enemy_one, color:blue, val:1.2, animation:damage_one_blue03]</t>
    <phoneticPr fontId="22"/>
  </si>
  <si>
    <t>[effect:damage, target:enemy_one, color:blue, val:1.2, animation:damage_one_blue03],[effect:damage, target:enemy_one, color:blue, val:1.2, animation:damage_one_blue03]</t>
    <phoneticPr fontId="22"/>
  </si>
  <si>
    <t>属性</t>
    <rPh sb="0" eb="2">
      <t>ゾクセイ</t>
    </rPh>
    <phoneticPr fontId="22"/>
  </si>
  <si>
    <t>全体超大ダメージ
+2ターン緑属性の回復力UP</t>
    <rPh sb="14" eb="17">
      <t>ミドリゾクセイノ</t>
    </rPh>
    <phoneticPr fontId="22"/>
  </si>
  <si>
    <t>1体に大ダメージ
+残りHPが多いほど威力大UP</t>
    <rPh sb="21" eb="22">
      <t>ダイ</t>
    </rPh>
    <phoneticPr fontId="22"/>
  </si>
  <si>
    <t>[effect:damage_laughter, target:enemy_one, color:red, val1:2.5, val2:2.1, val3:1.75, val4:1.4, val5:1.05, animation:damage_one_red03]</t>
    <phoneticPr fontId="22"/>
  </si>
  <si>
    <t>[effect:damage_heal, target:enemy_one, color:red, val:2.25, animation:damage_one_red04]</t>
    <phoneticPr fontId="22"/>
  </si>
  <si>
    <t>1体に中ダメージ
+黄属性に効果特大</t>
    <rPh sb="16" eb="17">
      <t>トクダイ</t>
    </rPh>
    <phoneticPr fontId="22"/>
  </si>
  <si>
    <t>[effect:damage_anti_color, target:enemy_one, color:yellow, val1:3.375, val2:1.13, animation:damage_one_green04]</t>
    <phoneticPr fontId="22"/>
  </si>
  <si>
    <t>全体に特大ダメージ
+HP大回復</t>
    <rPh sb="13" eb="14">
      <t>ダイ</t>
    </rPh>
    <phoneticPr fontId="22"/>
  </si>
  <si>
    <t>[effect:damage_anti_tribe, target:enemy_one, tribe:human, val1:3.0, val2:1.13, animation:damage_one_blue04]</t>
    <phoneticPr fontId="22"/>
  </si>
  <si>
    <t>[effect:damage_hp, target:enemy_one, color:yellow, val:1.25, animation:damage_one_yellow04]</t>
    <phoneticPr fontId="22"/>
  </si>
  <si>
    <t>自身のHPの最大値に比例して
単体に特大ダメージ</t>
    <rPh sb="18" eb="19">
      <t>トクダイ</t>
    </rPh>
    <phoneticPr fontId="22"/>
  </si>
  <si>
    <t>ランダムでパネルを１つSCパネル(大)に変換し、3ターン回復力特大UP</t>
    <rPh sb="17" eb="18">
      <t>ダイ</t>
    </rPh>
    <phoneticPr fontId="22"/>
  </si>
  <si>
    <t>2ターンタップ回数を1にする代わりに、全てのパネルを緑パネルに変換+1ターンハート出現率大UP</t>
    <phoneticPr fontId="22"/>
  </si>
  <si>
    <t>[effect:enhance_unit, target:unit_ss, turn:3, status:attack, val:0.255, calc:mul, animation:enhance_unit_all_attack03],[effect:enhance_unit, target:unit_ss, turn:3, status:defense, val:1440, calc:add, animation:enhance_unit_all_defense03_unit02]</t>
    <phoneticPr fontId="22"/>
  </si>
  <si>
    <t>[effect:break_enchance_unit, val:0.005, lowest_val:0.2, count :-1, status:attack, turn:3, block:block_heart, target:unit_green, calc:mul, animation:enhance_unit_all_attack04],
[effect:enhance_unit, target:unit_green, turn:3, status:defense, val:1440, calc:add, animation:enhance_unit_all_defense03_unit01]</t>
    <phoneticPr fontId="22"/>
  </si>
  <si>
    <t>[effect:enhance_unit, target:unit_green, turn:3, status:defense, val:2400, calc:add, animation:enhance_unit_all_defense04]</t>
    <phoneticPr fontId="22"/>
  </si>
  <si>
    <t>[effect:enhance_unit, target:unit_yellow, turn:3, status:attack, val:0.255, calc:mul, animation:enhance_unit_all_attack03],
[effect:enhance_unit, target:unit_yellow, turn:3, status:defense, val:1440, calc:add, animation:enhance_unit_all_defense03_unit01]</t>
    <phoneticPr fontId="22"/>
  </si>
  <si>
    <t>[effect:break_enchance_unit, val:0.005, lowest_val:0.2, count :-1, status:attack, turn:3, block:block_heart, target:unit_green, calc:mul, animation:enhance_unit_all_attack04],
[effect:enhance_unit, target:unit_green, turn:3, status:defense, val:960, calc:add, animation:enhance_unit_all_defense03_unit01]</t>
    <phoneticPr fontId="22"/>
  </si>
  <si>
    <t>ハートパネルを全て吸収して3ターン緑属性の攻撃力UP+防御力大UP</t>
    <phoneticPr fontId="22"/>
  </si>
  <si>
    <t>ハートパネルを全て吸収して3ターン緑属性の攻撃力UP+防御力特大UP</t>
    <phoneticPr fontId="22"/>
  </si>
  <si>
    <t>[effect:degrade_unit, target:unit_all, turn:2, status:action, val:5.0, animation:enemy_tap_down],
[effect:force_change_block, new_block:block_green, target:block_all, count:0, val:0, animation:change_block],[effect:change_panel_ratio, turn:1, block_type:heal, val:0.6,animation:block_incidence04]</t>
    <phoneticPr fontId="22"/>
  </si>
  <si>
    <t>technical</t>
    <phoneticPr fontId="10"/>
  </si>
  <si>
    <t>balance</t>
    <phoneticPr fontId="10"/>
  </si>
  <si>
    <t>balance</t>
    <phoneticPr fontId="10"/>
  </si>
  <si>
    <t>NULL</t>
    <phoneticPr fontId="10"/>
  </si>
  <si>
    <t>balance</t>
    <phoneticPr fontId="10"/>
  </si>
  <si>
    <t>heal</t>
    <phoneticPr fontId="10"/>
  </si>
  <si>
    <t>attack</t>
    <phoneticPr fontId="10"/>
  </si>
  <si>
    <t>heal</t>
    <phoneticPr fontId="10"/>
  </si>
  <si>
    <t>hp</t>
    <phoneticPr fontId="10"/>
  </si>
  <si>
    <t>balance</t>
    <phoneticPr fontId="10"/>
  </si>
  <si>
    <t>technical</t>
    <phoneticPr fontId="10"/>
  </si>
  <si>
    <t>hp</t>
    <phoneticPr fontId="10"/>
  </si>
  <si>
    <t>hp</t>
    <phoneticPr fontId="10"/>
  </si>
  <si>
    <t>god</t>
    <phoneticPr fontId="10"/>
  </si>
  <si>
    <t>unknown</t>
  </si>
  <si>
    <t>unknown</t>
    <phoneticPr fontId="10"/>
  </si>
  <si>
    <t>human</t>
    <phoneticPr fontId="10"/>
  </si>
  <si>
    <t>machine</t>
    <phoneticPr fontId="10"/>
  </si>
  <si>
    <t>human</t>
    <phoneticPr fontId="10"/>
  </si>
  <si>
    <t>human</t>
    <phoneticPr fontId="10"/>
  </si>
  <si>
    <t>3ターンサンリオキャラクターズの攻撃力と防御力特大UP</t>
    <phoneticPr fontId="22"/>
  </si>
  <si>
    <t>temp</t>
    <phoneticPr fontId="22"/>
  </si>
  <si>
    <t>skill</t>
  </si>
  <si>
    <t>ja</t>
    <phoneticPr fontId="22"/>
  </si>
  <si>
    <t>giza</t>
    <phoneticPr fontId="22"/>
  </si>
  <si>
    <t>maru</t>
    <phoneticPr fontId="22"/>
  </si>
  <si>
    <t>ja</t>
    <phoneticPr fontId="22"/>
  </si>
  <si>
    <t>giza</t>
    <phoneticPr fontId="22"/>
  </si>
  <si>
    <t>cskill</t>
  </si>
  <si>
    <t>ja</t>
    <phoneticPr fontId="22"/>
  </si>
  <si>
    <t>kumo</t>
    <phoneticPr fontId="22"/>
  </si>
  <si>
    <t>ja</t>
    <phoneticPr fontId="22"/>
  </si>
  <si>
    <t>kumo</t>
    <phoneticPr fontId="22"/>
  </si>
  <si>
    <t>ja</t>
    <phoneticPr fontId="22"/>
  </si>
  <si>
    <t>kumo</t>
    <phoneticPr fontId="22"/>
  </si>
  <si>
    <t>maru</t>
    <phoneticPr fontId="22"/>
  </si>
  <si>
    <t>ja</t>
    <phoneticPr fontId="22"/>
  </si>
  <si>
    <t>maru</t>
    <phoneticPr fontId="22"/>
  </si>
  <si>
    <t>maru</t>
    <phoneticPr fontId="22"/>
  </si>
  <si>
    <t>ja</t>
    <phoneticPr fontId="22"/>
  </si>
  <si>
    <t>ja</t>
    <phoneticPr fontId="22"/>
  </si>
  <si>
    <t>giza</t>
    <phoneticPr fontId="22"/>
  </si>
  <si>
    <t>ja</t>
    <phoneticPr fontId="22"/>
  </si>
  <si>
    <t>giza</t>
    <phoneticPr fontId="22"/>
  </si>
  <si>
    <t>ja</t>
    <phoneticPr fontId="22"/>
  </si>
  <si>
    <t>giza</t>
    <phoneticPr fontId="22"/>
  </si>
  <si>
    <t>さぁ皆の者行くぞ！！</t>
    <rPh sb="2" eb="3">
      <t>ミナノモノ</t>
    </rPh>
    <rPh sb="5" eb="6">
      <t>ユクゾ</t>
    </rPh>
    <phoneticPr fontId="22"/>
  </si>
  <si>
    <t>この楽園、壊しはさせん！</t>
    <rPh sb="2" eb="4">
      <t>ラクエン</t>
    </rPh>
    <rPh sb="5" eb="6">
      <t>コワシハ</t>
    </rPh>
    <phoneticPr fontId="22"/>
  </si>
  <si>
    <t>みんないつも一緒なの！</t>
    <rPh sb="6" eb="8">
      <t>イッショ</t>
    </rPh>
    <phoneticPr fontId="22"/>
  </si>
  <si>
    <t>えーい！ぽかぽか！</t>
    <phoneticPr fontId="22"/>
  </si>
  <si>
    <t>いっぱい遊ぼうね！</t>
  </si>
  <si>
    <t>ぬいぐるみあたーっく！</t>
    <phoneticPr fontId="22"/>
  </si>
  <si>
    <t>やっちゃうぞー！</t>
    <phoneticPr fontId="22"/>
  </si>
  <si>
    <t>みんなお待たせ♪</t>
  </si>
  <si>
    <t>いっしょに踊りましょ！</t>
  </si>
  <si>
    <t>はーい！キティよ♪</t>
    <phoneticPr fontId="22"/>
  </si>
  <si>
    <t>あまいリンゴ召し上がれ♪</t>
    <rPh sb="6" eb="7">
      <t>メシアガレ</t>
    </rPh>
    <phoneticPr fontId="22"/>
  </si>
  <si>
    <t>みんな大好き♪</t>
    <rPh sb="3" eb="5">
      <t>ダイスキ</t>
    </rPh>
    <phoneticPr fontId="22"/>
  </si>
  <si>
    <t>食べて…欲しいな…</t>
    <rPh sb="0" eb="1">
      <t>タベテ</t>
    </rPh>
    <rPh sb="4" eb="5">
      <t>ホシイナ</t>
    </rPh>
    <phoneticPr fontId="22"/>
  </si>
  <si>
    <t>キリミリミリミ♪</t>
  </si>
  <si>
    <t>シャケルン♪ルン♪</t>
  </si>
  <si>
    <t>おいしく食べてくれる…？</t>
    <rPh sb="4" eb="5">
      <t>タベテクレル</t>
    </rPh>
    <phoneticPr fontId="22"/>
  </si>
  <si>
    <t>のこさず食べてね…！</t>
    <phoneticPr fontId="22"/>
  </si>
  <si>
    <t>[effect:damage, target:enemy_all, color:green, val:1.25, animation:damage_all_green04],[effect:enhance_unit, target:unit_green, turn:2, status:heal, val:0.015, calc:mul,animation:enhance_unit_all_heal01_unit01]</t>
    <phoneticPr fontId="22"/>
  </si>
  <si>
    <t>可愛い？…も、もう！</t>
    <rPh sb="0" eb="2">
      <t>カワイイ</t>
    </rPh>
    <phoneticPr fontId="22"/>
  </si>
  <si>
    <t>似合ってるかしら…？</t>
  </si>
  <si>
    <t>少し恥ずかしいわ…</t>
  </si>
  <si>
    <t>少女趣味って言わないで！</t>
    <rPh sb="0" eb="2">
      <t>ショウジョ</t>
    </rPh>
    <rPh sb="2" eb="4">
      <t>シュミ</t>
    </rPh>
    <rPh sb="6" eb="7">
      <t>イワナイデ</t>
    </rPh>
    <phoneticPr fontId="22"/>
  </si>
  <si>
    <t>撃ち抜いちゃうわよ！</t>
    <rPh sb="0" eb="1">
      <t>ウチヌイチャウワヨ</t>
    </rPh>
    <phoneticPr fontId="22"/>
  </si>
  <si>
    <t>えがおに なあれ♪</t>
    <phoneticPr fontId="22"/>
  </si>
  <si>
    <t>みんなのこと だいすきだよ♪</t>
    <phoneticPr fontId="22"/>
  </si>
  <si>
    <t>やるときはやるよ〜♪</t>
  </si>
  <si>
    <t>夢の中にいるみたい…</t>
    <rPh sb="0" eb="1">
      <t>ユメノナカニ</t>
    </rPh>
    <phoneticPr fontId="22"/>
  </si>
  <si>
    <t>心がぽかぽかする…</t>
  </si>
  <si>
    <t>終わりじゃないのね…</t>
    <rPh sb="0" eb="1">
      <t>オワリジャナイノネ</t>
    </rPh>
    <phoneticPr fontId="22"/>
  </si>
  <si>
    <t>なんだか心地が良いわ…</t>
    <rPh sb="4" eb="6">
      <t>ココチガ</t>
    </rPh>
    <rPh sb="7" eb="8">
      <t>イイワ</t>
    </rPh>
    <phoneticPr fontId="22"/>
  </si>
  <si>
    <t>幸せになって良いのかしら</t>
    <rPh sb="0" eb="1">
      <t>シアワセニナッテイイ</t>
    </rPh>
    <phoneticPr fontId="22"/>
  </si>
  <si>
    <t>こいつと一緒ならッ！</t>
    <rPh sb="4" eb="6">
      <t>イッショ</t>
    </rPh>
    <phoneticPr fontId="22"/>
  </si>
  <si>
    <t>たまには悪くねぇな</t>
  </si>
  <si>
    <t>手出しはさせないゼ？</t>
  </si>
  <si>
    <t>休憩は終わりだゼェ！</t>
    <rPh sb="0" eb="2">
      <t>キュウケイハ</t>
    </rPh>
    <rPh sb="3" eb="4">
      <t>オワリ</t>
    </rPh>
    <phoneticPr fontId="22"/>
  </si>
  <si>
    <t>さーてここからだ！</t>
    <phoneticPr fontId="22"/>
  </si>
  <si>
    <t>よーし！いくよぉ〜！！</t>
    <phoneticPr fontId="22"/>
  </si>
  <si>
    <t>さぁ！出番だぁ〜！</t>
    <phoneticPr fontId="22"/>
  </si>
  <si>
    <t>ぼくに任せてー！！</t>
    <rPh sb="3" eb="4">
      <t>マカセテ</t>
    </rPh>
    <phoneticPr fontId="22"/>
  </si>
  <si>
    <t>ぼくがみんなを守るんだ！</t>
    <rPh sb="7" eb="8">
      <t>マモルンダ</t>
    </rPh>
    <phoneticPr fontId="22"/>
  </si>
  <si>
    <t>少しハメを外そうかしら…？</t>
    <rPh sb="0" eb="1">
      <t>スコシ</t>
    </rPh>
    <rPh sb="5" eb="6">
      <t>ハズソウ</t>
    </rPh>
    <phoneticPr fontId="22"/>
  </si>
  <si>
    <t>まぁたまには…ね？</t>
  </si>
  <si>
    <t>実は甘党なのよね…</t>
  </si>
  <si>
    <t>あなたも食べる？</t>
  </si>
  <si>
    <t>太っちゃったらどうしよう…</t>
    <rPh sb="0" eb="1">
      <t>フトッチャッタラ</t>
    </rPh>
    <phoneticPr fontId="22"/>
  </si>
  <si>
    <t>た、食べ過ぎかしら？</t>
    <rPh sb="2" eb="3">
      <t>タベスギ</t>
    </rPh>
    <phoneticPr fontId="22"/>
  </si>
  <si>
    <t>きー！やったわね〜！？</t>
    <phoneticPr fontId="22"/>
  </si>
  <si>
    <t>アタイについてきなっ！</t>
    <phoneticPr fontId="22"/>
  </si>
  <si>
    <t>アタイと勝負だよ！</t>
    <rPh sb="4" eb="6">
      <t>ショウブダヨ</t>
    </rPh>
    <phoneticPr fontId="22"/>
  </si>
  <si>
    <t>好き勝手やってやる！</t>
    <rPh sb="0" eb="1">
      <t>スキカッテ</t>
    </rPh>
    <phoneticPr fontId="22"/>
  </si>
  <si>
    <t>つんつーんだ！</t>
    <phoneticPr fontId="22"/>
  </si>
  <si>
    <t>夢は社長様になることだ！</t>
    <phoneticPr fontId="22"/>
  </si>
  <si>
    <t>わわ〜とんでっちゃうよ〜</t>
    <phoneticPr fontId="22"/>
  </si>
  <si>
    <t>風さん、手伝ってー！</t>
  </si>
  <si>
    <t>たあぁぁぁぁ〜〜！！</t>
  </si>
  <si>
    <t>う〜まけないもん！</t>
    <phoneticPr fontId="22"/>
  </si>
  <si>
    <t>ぼくのお腹でぷれ〜す！</t>
    <phoneticPr fontId="22"/>
  </si>
  <si>
    <t>ぽよよ〜ん♪</t>
    <phoneticPr fontId="22"/>
  </si>
  <si>
    <t>ポムプリダンス〜♪</t>
    <phoneticPr fontId="22"/>
  </si>
  <si>
    <t>風船いっぱいだよ〜</t>
    <rPh sb="0" eb="2">
      <t>フウセンイッパイ</t>
    </rPh>
    <phoneticPr fontId="22"/>
  </si>
  <si>
    <t>kumo</t>
    <phoneticPr fontId="22"/>
  </si>
  <si>
    <t>[effect:hp_spend, val:0.1, animation:spend_hp],[effect:enhance_unit, target:unit_all, turn:4, status:attack, val:0.255, calc:mul, animation:enhance_unit_all_attack03],[effect:regenerate, turn:4, val:1.0, animation:heal_unit]</t>
    <phoneticPr fontId="22"/>
  </si>
  <si>
    <t>[effect:force_change_block, new_block:crash, target:block_all, ignore01:jammer, ignore02:crack_bomb,ignore03:crash ,count:1, val:24, animation:change_block],[effect:enhance_unit, target:unit_all, turn:3, status:heal, val:0.6, calc:mul, animation:enhance_unit_all_heal04]</t>
    <phoneticPr fontId="22"/>
  </si>
  <si>
    <t>[effect:damage_anti_tribe, target:enemy_one, tribe:human, val1:3.0, val2:1.13, animation:damage_one_green04]</t>
    <phoneticPr fontId="22"/>
  </si>
  <si>
    <t>[effect:damage_anti_tribe, target:enemy_one, tribe:human, val1:3.0, val2:1.13, animation:damage_one_green04]</t>
    <phoneticPr fontId="22"/>
  </si>
  <si>
    <t>[effect:force_change_block, new_block:crash, target:block_all, ignore01:crack_bomb,ignore02:crash ,count:4, val:8, animation:change_block]</t>
    <phoneticPr fontId="22"/>
  </si>
  <si>
    <t>HP大回復+4ターン全ユニットの回復力特大UP</t>
    <phoneticPr fontId="22"/>
  </si>
  <si>
    <t>[effect:heal_ratio, val:3, animation:heal04],[effect:enhance_unit, target:unit_all, turn:4, status:heal, val:0.6, calc:mul, animation:enhance_unit_all_heal04]</t>
    <phoneticPr fontId="22"/>
  </si>
  <si>
    <t>[effect:heal_ratio, val:3, animation:heal04],[effect:enhance_unit, target:unit_all, turn:4, status:heal, val:0.6, calc:mul, animation:enhance_unit_all_heal04]</t>
    <phoneticPr fontId="22"/>
  </si>
  <si>
    <t>味方のHPを10%減らし、4ターンHP大回復+攻撃力を特大UP</t>
    <rPh sb="19" eb="20">
      <t>ダイ</t>
    </rPh>
    <phoneticPr fontId="22"/>
  </si>
  <si>
    <t>[effect:damage, target:enemy_all, color:yellow, val:0.96, animation:damage_all_yellow04],
[effect:heal_ratio, val:0.3, animation:heal03_unit01]</t>
    <phoneticPr fontId="22"/>
  </si>
  <si>
    <t>2ターン味方のサンリオキャラクターズに対しての攻撃を50%軽減+3ターン攻撃力と回復力を特大UP</t>
    <phoneticPr fontId="22"/>
  </si>
  <si>
    <t>2ターン味方のサンリオキャラクターズに対しての攻撃を30%軽減+3ターン攻撃力と回復力を特大UP</t>
    <phoneticPr fontId="22"/>
  </si>
  <si>
    <t>[effect:regenerate, turn:4, val:0.405, animation:heal_unit],[effect:enhance_unit, target:unit_all, turn:4, status:heal, val:0.45, calc:mul, animation:enhance_unit_all_heal02_unit01],[effect:change_panel_ratio, turn:4, block_type:heal, val:0.6,animation:block_incidence04]</t>
    <phoneticPr fontId="22"/>
  </si>
  <si>
    <t>実はこんなの結構好きなの</t>
    <rPh sb="0" eb="1">
      <t>ジツハ</t>
    </rPh>
    <rPh sb="6" eb="8">
      <t>ケッコウ</t>
    </rPh>
    <rPh sb="8" eb="9">
      <t>スキナノ</t>
    </rPh>
    <phoneticPr fontId="22"/>
  </si>
  <si>
    <t>めろでぃからぴれぜんと♪</t>
    <phoneticPr fontId="22"/>
  </si>
  <si>
    <t>もっとなかよくなりたいな</t>
    <phoneticPr fontId="22"/>
  </si>
  <si>
    <t>自慢のツンツンヘアーだ！</t>
    <rPh sb="0" eb="2">
      <t>ジマンノ</t>
    </rPh>
    <phoneticPr fontId="22"/>
  </si>
  <si>
    <t>おなかすいたな〜</t>
    <phoneticPr fontId="22"/>
  </si>
  <si>
    <t>アタイにほれるなよ？</t>
    <phoneticPr fontId="22"/>
  </si>
  <si>
    <t>[effect:damage, target:enemy_all, color:green, val:0.96, animation:damage_all_green03],
[effect:heal_ratio, val:0.3, animation:heal03_unit01]</t>
    <phoneticPr fontId="22"/>
  </si>
  <si>
    <t>[effect:damage, target:enemy_all, color:green, val:0.96, animation:damage_all_green03],
[effect:heal_ratio, val:0.3,  animation:heal03_unit01]</t>
    <phoneticPr fontId="22"/>
  </si>
  <si>
    <t>[effect:force_change_block, new_block:crash, target:block_all, ignore01:jammer, ignore02:crack_bomb,ignore03:crash ,count:1, val:24, animation:change_block],[effect:force_change_block, new_block:block_red, target:jammer, ignore01:crash, ignore02:crack_bomb,count:0, val:0, animation:change_block]</t>
    <phoneticPr fontId="22"/>
  </si>
  <si>
    <t>4ターンHP小回復+全ユニットの回復力特大UP+ハート出現率大UP</t>
    <phoneticPr fontId="22"/>
  </si>
  <si>
    <t>4ターンHP小回復+全ユニットの回復力特大UP+ハート出現率大UP</t>
    <phoneticPr fontId="22"/>
  </si>
  <si>
    <t>[effect:force_change_block, new_block:crash, target:block_all, ignore01:jammer, ignore02:crack_bomb,ignore03:crash ,count:1, val:24, animation:change_block],[effect:force_change_block, new_block:crack_bomb, target:jammer,ignore01:crash, ignore02:crack_bomb,color:block_red,count:0, val:12, animation:change_block]</t>
    <phoneticPr fontId="22"/>
  </si>
  <si>
    <t>さあ愛でてやろう！！</t>
  </si>
  <si>
    <t>それ、土産を受け取れ！</t>
  </si>
  <si>
    <t>まだまだ余韻に浸るぞ！</t>
  </si>
  <si>
    <t>ほーれ、もふもふだぞ！！</t>
  </si>
  <si>
    <t>[effect:guard_break, target:enemy_all, turn:3, val:800, calc:add, animation:guard_break02],
[effect:enhance_unit, target:unit_green, turn:3, status:attack, val:0.21, calc:mul, animation:enhance_unit_all_attack04_unit01],[effect:enhance_unit, target:unit_green, turn:3, status:heal, val:0.45, calc:mul, animation:enhance_unit_all_heal04_unit01]</t>
    <phoneticPr fontId="22"/>
  </si>
  <si>
    <t>ランダムで4つCパネルに変換</t>
    <phoneticPr fontId="22"/>
  </si>
  <si>
    <t>1体に大ダメージ
+残りHPが多いほど威力大UP</t>
    <phoneticPr fontId="22"/>
  </si>
  <si>
    <t>[effect:damage_laughter, target:enemy_one, color:blue, val1:3.2, val2:2.6, val3:2.0, val4:1.6, val5:1.2, animation:damage_one_blue04]</t>
    <phoneticPr fontId="22"/>
  </si>
  <si>
    <t>[effect:guard_break, target:enemy_all, turn:3, val:800, calc:add, animation:guard_break02],
[effect:enhance_unit, target:unit_green, turn:3, status:attack, val:0.21, calc:mul, animation:enhance_unit_all_attack04_unit01],[effect:enhance_unit, target:unit_green, turn:3, status:heal, val:0.45, calc:mul, animation:enhance_unit_all_heal04_unit01]</t>
    <phoneticPr fontId="22"/>
  </si>
  <si>
    <t>[effect:reduction, target:unit_ss, turn:2, color:all, val:0.5, animation:reduction_one04],[effect:enhance_unit, target:unit_all, turn:3, status:attack, val:0.21, calc:mul, animation:enhance_unit_all_attack04_unit01],[effect:enhance_unit, target:unit_all, turn:3, status:heal, val:0.45, calc:mul, animation:enhance_unit_all_heal04_unit01]</t>
    <phoneticPr fontId="22"/>
  </si>
  <si>
    <t>[effect:reduction, target:unit_ss, turn:2, color:all, val:0.3, animation:reduction_one04],[effect:enhance_unit, target:unit_all, turn:3, status:attack, val:0.21, calc:mul, animation:enhance_unit_all_attack04_unit01],[effect:enhance_unit, target:unit_all, turn:3, status:heal, val:0.45, calc:mul, animation:enhance_unit_all_heal04_unit01]</t>
    <phoneticPr fontId="22"/>
  </si>
  <si>
    <t>ヒューマンに効果特大の単体大ダメージ
+ゴッドに効果特大の単体大ダメージ</t>
    <phoneticPr fontId="22"/>
  </si>
  <si>
    <t>[effect:damage_anti_tribe, target:enemy_one, tribe:human, val1:2.0, val2:1.2, animation:damage_one_red04],
[effect:damage_anti_tribe, target:enemy_one, tribe:god, val1:2.0, val2:1.2, animation:damage_one_red04]</t>
    <phoneticPr fontId="22"/>
  </si>
  <si>
    <t>[effect:damage_anti_tribe, target:enemy_one, tribe:human, val1:2.0, val2:1.2, animation:damage_one_red04],
[effect:damage_anti_tribe, target:enemy_one, tribe:god, val1:2.0, val2:1.2, animation:damage_one_red04]</t>
    <phoneticPr fontId="22"/>
  </si>
  <si>
    <t>twnsanrio01</t>
    <phoneticPr fontId="22"/>
  </si>
  <si>
    <t>国内</t>
    <phoneticPr fontId="9"/>
  </si>
  <si>
    <t>character_id</t>
    <phoneticPr fontId="22"/>
  </si>
  <si>
    <t>serif_type</t>
    <phoneticPr fontId="22"/>
  </si>
  <si>
    <t>cskill</t>
    <phoneticPr fontId="22"/>
  </si>
  <si>
    <t>skill</t>
    <phoneticPr fontId="22"/>
  </si>
  <si>
    <t>cskill</t>
    <phoneticPr fontId="22"/>
  </si>
  <si>
    <t>skill</t>
    <phoneticPr fontId="22"/>
  </si>
  <si>
    <t>cskill</t>
    <phoneticPr fontId="22"/>
  </si>
  <si>
    <t>skill</t>
    <phoneticPr fontId="22"/>
  </si>
  <si>
    <t>cskill</t>
    <phoneticPr fontId="22"/>
  </si>
  <si>
    <t>skip</t>
    <phoneticPr fontId="22"/>
  </si>
  <si>
    <t>old</t>
  </si>
  <si>
    <t>skip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</si>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</sst>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theme="1"/>
      <name val="MS PGothic"/>
      <family val="3"/>
      <charset val="128"/>
    </font>
    <font>
      <sz val="10"/>
      <color rgb="FFFF0000"/>
      <name val="MS PGothic"/>
      <family val="3"/>
      <charset val="128"/>
    </font>
    <font>
      <sz val="10"/>
      <color rgb="FF000000"/>
      <name val="MS PGothic"/>
      <family val="3"/>
      <charset val="128"/>
    </font>
    <font>
      <sz val="12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27"/>
      </patternFill>
    </fill>
  </fills>
  <borders count="3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4730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3" fillId="19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29" fillId="0" borderId="4" xfId="0" applyFont="1" applyBorder="1"/>
    <xf numFmtId="0" fontId="30" fillId="0" borderId="4" xfId="0" applyFont="1" applyBorder="1"/>
    <xf numFmtId="0" fontId="31" fillId="0" borderId="4" xfId="0" applyFont="1" applyBorder="1" applyAlignment="1">
      <alignment vertical="center"/>
    </xf>
    <xf numFmtId="0" fontId="30" fillId="0" borderId="4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4" xfId="0" applyFont="1" applyBorder="1" applyAlignment="1">
      <alignment wrapText="1"/>
    </xf>
    <xf numFmtId="0" fontId="25" fillId="23" borderId="0" xfId="0" applyFont="1" applyFill="1" applyAlignment="1">
      <alignment vertical="center"/>
    </xf>
    <xf numFmtId="0" fontId="13" fillId="7" borderId="14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left" vertical="center"/>
    </xf>
    <xf numFmtId="0" fontId="13" fillId="23" borderId="4" xfId="0" applyFont="1" applyFill="1" applyBorder="1" applyAlignment="1">
      <alignment horizontal="center" vertical="center"/>
    </xf>
    <xf numFmtId="0" fontId="13" fillId="23" borderId="4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26" borderId="4" xfId="0" applyFont="1" applyFill="1" applyBorder="1"/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12" fillId="27" borderId="4" xfId="0" applyFont="1" applyFill="1" applyBorder="1" applyAlignment="1">
      <alignment horizontal="left" vertical="center" wrapText="1"/>
    </xf>
    <xf numFmtId="0" fontId="0" fillId="0" borderId="4" xfId="0" applyFill="1" applyBorder="1" applyAlignment="1">
      <alignment wrapText="1"/>
    </xf>
    <xf numFmtId="0" fontId="16" fillId="27" borderId="4" xfId="0" applyFont="1" applyFill="1" applyBorder="1" applyAlignment="1">
      <alignment horizontal="left" vertical="center" wrapText="1"/>
    </xf>
    <xf numFmtId="0" fontId="12" fillId="27" borderId="4" xfId="0" applyFont="1" applyFill="1" applyBorder="1" applyAlignment="1">
      <alignment vertical="center" wrapText="1"/>
    </xf>
    <xf numFmtId="0" fontId="0" fillId="22" borderId="4" xfId="0" applyFill="1" applyBorder="1" applyAlignment="1">
      <alignment wrapText="1"/>
    </xf>
    <xf numFmtId="0" fontId="0" fillId="23" borderId="4" xfId="0" applyFill="1" applyBorder="1" applyAlignment="1">
      <alignment wrapText="1"/>
    </xf>
    <xf numFmtId="0" fontId="0" fillId="8" borderId="4" xfId="0" applyFill="1" applyBorder="1" applyAlignment="1">
      <alignment wrapText="1"/>
    </xf>
    <xf numFmtId="0" fontId="16" fillId="0" borderId="0" xfId="0" applyFont="1" applyAlignment="1">
      <alignment horizontal="left" vertical="center" wrapText="1"/>
    </xf>
    <xf numFmtId="0" fontId="0" fillId="0" borderId="4" xfId="0" applyBorder="1" applyAlignment="1">
      <alignment wrapText="1"/>
    </xf>
    <xf numFmtId="0" fontId="16" fillId="0" borderId="4" xfId="0" applyFont="1" applyFill="1" applyBorder="1" applyAlignment="1">
      <alignment horizontal="left" vertical="center" wrapText="1"/>
    </xf>
    <xf numFmtId="0" fontId="32" fillId="28" borderId="4" xfId="0" applyFont="1" applyFill="1" applyBorder="1" applyAlignment="1">
      <alignment horizontal="left" vertical="center"/>
    </xf>
    <xf numFmtId="0" fontId="32" fillId="28" borderId="28" xfId="0" applyFont="1" applyFill="1" applyBorder="1" applyAlignment="1">
      <alignment horizontal="left" vertical="center"/>
    </xf>
    <xf numFmtId="0" fontId="0" fillId="28" borderId="28" xfId="0" applyFill="1" applyBorder="1"/>
    <xf numFmtId="0" fontId="32" fillId="25" borderId="28" xfId="0" applyFont="1" applyFill="1" applyBorder="1" applyAlignment="1">
      <alignment horizontal="left" vertical="center"/>
    </xf>
    <xf numFmtId="0" fontId="0" fillId="25" borderId="4" xfId="0" applyFill="1" applyBorder="1" applyAlignment="1">
      <alignment wrapText="1"/>
    </xf>
    <xf numFmtId="0" fontId="0" fillId="25" borderId="28" xfId="0" applyFill="1" applyBorder="1" applyAlignment="1">
      <alignment horizontal="left" vertical="center"/>
    </xf>
    <xf numFmtId="0" fontId="32" fillId="25" borderId="4" xfId="0" applyFont="1" applyFill="1" applyBorder="1" applyAlignment="1">
      <alignment horizontal="left" vertical="center"/>
    </xf>
    <xf numFmtId="0" fontId="32" fillId="27" borderId="28" xfId="0" applyFont="1" applyFill="1" applyBorder="1" applyAlignment="1">
      <alignment horizontal="left" vertical="center"/>
    </xf>
    <xf numFmtId="0" fontId="0" fillId="27" borderId="28" xfId="0" applyFill="1" applyBorder="1" applyAlignment="1">
      <alignment horizontal="left" vertical="center"/>
    </xf>
    <xf numFmtId="0" fontId="0" fillId="27" borderId="4" xfId="0" applyFill="1" applyBorder="1"/>
    <xf numFmtId="0" fontId="0" fillId="27" borderId="4" xfId="0" applyFill="1" applyBorder="1" applyAlignment="1">
      <alignment horizontal="left" vertical="center" wrapText="1"/>
    </xf>
    <xf numFmtId="0" fontId="32" fillId="29" borderId="28" xfId="0" applyFont="1" applyFill="1" applyBorder="1" applyAlignment="1">
      <alignment horizontal="left" vertical="center"/>
    </xf>
    <xf numFmtId="0" fontId="0" fillId="28" borderId="28" xfId="0" applyFill="1" applyBorder="1" applyAlignment="1">
      <alignment horizontal="left" vertical="center"/>
    </xf>
    <xf numFmtId="0" fontId="0" fillId="28" borderId="4" xfId="0" applyFill="1" applyBorder="1" applyAlignment="1">
      <alignment horizontal="left" vertical="center" wrapText="1"/>
    </xf>
    <xf numFmtId="0" fontId="32" fillId="22" borderId="28" xfId="0" applyFont="1" applyFill="1" applyBorder="1" applyAlignment="1">
      <alignment horizontal="left" vertical="center"/>
    </xf>
    <xf numFmtId="0" fontId="32" fillId="22" borderId="29" xfId="0" applyFont="1" applyFill="1" applyBorder="1" applyAlignment="1">
      <alignment horizontal="left" vertical="center"/>
    </xf>
    <xf numFmtId="0" fontId="0" fillId="22" borderId="4" xfId="0" applyFill="1" applyBorder="1" applyAlignment="1">
      <alignment horizontal="left" vertical="center" wrapText="1"/>
    </xf>
    <xf numFmtId="0" fontId="0" fillId="22" borderId="28" xfId="0" applyFill="1" applyBorder="1" applyAlignment="1">
      <alignment horizontal="left" vertical="center"/>
    </xf>
    <xf numFmtId="0" fontId="0" fillId="22" borderId="4" xfId="0" applyFill="1" applyBorder="1" applyAlignment="1">
      <alignment horizontal="left" vertical="center"/>
    </xf>
    <xf numFmtId="0" fontId="0" fillId="25" borderId="12" xfId="0" applyFill="1" applyBorder="1" applyAlignment="1">
      <alignment horizontal="left" vertical="center" wrapText="1"/>
    </xf>
    <xf numFmtId="0" fontId="32" fillId="25" borderId="30" xfId="0" applyFont="1" applyFill="1" applyBorder="1" applyAlignment="1">
      <alignment horizontal="left" vertical="center"/>
    </xf>
    <xf numFmtId="0" fontId="0" fillId="25" borderId="31" xfId="0" applyFill="1" applyBorder="1" applyAlignment="1">
      <alignment vertical="center" wrapText="1"/>
    </xf>
    <xf numFmtId="0" fontId="24" fillId="0" borderId="4" xfId="0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16" fillId="14" borderId="8" xfId="0" applyFont="1" applyFill="1" applyBorder="1" applyAlignment="1">
      <alignment horizontal="right" vertical="center"/>
    </xf>
    <xf numFmtId="0" fontId="29" fillId="30" borderId="4" xfId="0" applyFont="1" applyFill="1" applyBorder="1" applyAlignment="1">
      <alignment wrapText="1"/>
    </xf>
    <xf numFmtId="0" fontId="25" fillId="30" borderId="7" xfId="0" applyFont="1" applyFill="1" applyBorder="1" applyAlignment="1">
      <alignment vertical="center" wrapText="1"/>
    </xf>
    <xf numFmtId="0" fontId="26" fillId="0" borderId="32" xfId="0" applyFont="1" applyFill="1" applyBorder="1" applyAlignment="1">
      <alignment vertical="center"/>
    </xf>
    <xf numFmtId="0" fontId="13" fillId="31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3" fillId="7" borderId="0" xfId="0" applyFont="1" applyFill="1"/>
  </cellXfs>
  <cellStyles count="4730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externalLink" Target="externalLinks/externalLink4.xml"/><Relationship Id="rId1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event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Miku201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engoku0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ghosts_label"/>
      <sheetName val="コスト"/>
      <sheetName val="レベル"/>
      <sheetName val="経験値"/>
      <sheetName val="RC6SV"/>
      <sheetName val="ビット"/>
      <sheetName val="書き出し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490</v>
          </cell>
        </row>
        <row r="3">
          <cell r="A3">
            <v>491</v>
          </cell>
        </row>
        <row r="4">
          <cell r="A4">
            <v>502</v>
          </cell>
        </row>
        <row r="5">
          <cell r="A5">
            <v>503</v>
          </cell>
        </row>
        <row r="6">
          <cell r="A6">
            <v>504</v>
          </cell>
        </row>
        <row r="7">
          <cell r="A7">
            <v>505</v>
          </cell>
        </row>
        <row r="8">
          <cell r="A8">
            <v>506</v>
          </cell>
        </row>
        <row r="9">
          <cell r="A9">
            <v>507</v>
          </cell>
        </row>
        <row r="10">
          <cell r="A10">
            <v>508</v>
          </cell>
        </row>
        <row r="11">
          <cell r="A11">
            <v>509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unit_serifs_i18n"/>
      <sheetName val="awake_materials"/>
      <sheetName val="書き出し"/>
      <sheetName val="→base値"/>
      <sheetName val="ghosts_label"/>
      <sheetName val="コスト"/>
      <sheetName val="レベル"/>
      <sheetName val="経験値"/>
      <sheetName val="RC6SV"/>
      <sheetName val="ビッ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525</v>
          </cell>
        </row>
        <row r="3">
          <cell r="A3">
            <v>526</v>
          </cell>
        </row>
        <row r="4">
          <cell r="A4">
            <v>527</v>
          </cell>
        </row>
        <row r="5">
          <cell r="A5">
            <v>528</v>
          </cell>
        </row>
        <row r="6">
          <cell r="A6">
            <v>529</v>
          </cell>
        </row>
        <row r="7">
          <cell r="A7">
            <v>530</v>
          </cell>
        </row>
        <row r="8">
          <cell r="A8">
            <v>531</v>
          </cell>
        </row>
        <row r="9">
          <cell r="A9">
            <v>532</v>
          </cell>
        </row>
        <row r="10">
          <cell r="A10">
            <v>533</v>
          </cell>
        </row>
        <row r="11">
          <cell r="A11">
            <v>534</v>
          </cell>
        </row>
        <row r="12">
          <cell r="A12">
            <v>535</v>
          </cell>
        </row>
        <row r="13">
          <cell r="A13">
            <v>536</v>
          </cell>
        </row>
        <row r="14">
          <cell r="A14">
            <v>537</v>
          </cell>
        </row>
        <row r="15">
          <cell r="A15">
            <v>538</v>
          </cell>
        </row>
        <row r="16">
          <cell r="A16">
            <v>539</v>
          </cell>
        </row>
        <row r="17">
          <cell r="A17">
            <v>540</v>
          </cell>
        </row>
        <row r="18">
          <cell r="A18">
            <v>541</v>
          </cell>
        </row>
        <row r="19">
          <cell r="A19">
            <v>542</v>
          </cell>
        </row>
        <row r="20">
          <cell r="A20">
            <v>543</v>
          </cell>
        </row>
        <row r="21">
          <cell r="A21">
            <v>544</v>
          </cell>
        </row>
        <row r="22">
          <cell r="A22">
            <v>545</v>
          </cell>
        </row>
        <row r="23">
          <cell r="A23">
            <v>546</v>
          </cell>
        </row>
        <row r="24">
          <cell r="A24">
            <v>547</v>
          </cell>
        </row>
        <row r="25">
          <cell r="A25">
            <v>548</v>
          </cell>
        </row>
        <row r="26">
          <cell r="A26">
            <v>549</v>
          </cell>
        </row>
        <row r="27">
          <cell r="A27">
            <v>550</v>
          </cell>
        </row>
        <row r="28">
          <cell r="A28">
            <v>551</v>
          </cell>
        </row>
        <row r="29">
          <cell r="A29">
            <v>552</v>
          </cell>
        </row>
        <row r="30">
          <cell r="A30">
            <v>553</v>
          </cell>
        </row>
        <row r="31">
          <cell r="A31">
            <v>554</v>
          </cell>
        </row>
        <row r="32">
          <cell r="A32">
            <v>555</v>
          </cell>
        </row>
        <row r="33">
          <cell r="A33">
            <v>556</v>
          </cell>
        </row>
        <row r="34">
          <cell r="A34">
            <v>557</v>
          </cell>
        </row>
        <row r="35">
          <cell r="A35">
            <v>558</v>
          </cell>
        </row>
        <row r="36">
          <cell r="A36">
            <v>559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720</v>
          </cell>
        </row>
        <row r="3">
          <cell r="A3">
            <v>721</v>
          </cell>
        </row>
        <row r="4">
          <cell r="A4">
            <v>722</v>
          </cell>
        </row>
        <row r="5">
          <cell r="A5">
            <v>723</v>
          </cell>
        </row>
        <row r="6">
          <cell r="A6">
            <v>724</v>
          </cell>
        </row>
        <row r="7">
          <cell r="A7">
            <v>725</v>
          </cell>
        </row>
        <row r="8">
          <cell r="A8">
            <v>726</v>
          </cell>
        </row>
        <row r="9">
          <cell r="A9">
            <v>727</v>
          </cell>
        </row>
        <row r="10">
          <cell r="A10">
            <v>728</v>
          </cell>
        </row>
        <row r="11">
          <cell r="A11">
            <v>729</v>
          </cell>
        </row>
        <row r="12">
          <cell r="A12">
            <v>730</v>
          </cell>
        </row>
        <row r="13">
          <cell r="A13">
            <v>731</v>
          </cell>
        </row>
        <row r="14">
          <cell r="A14">
            <v>732</v>
          </cell>
        </row>
        <row r="15">
          <cell r="A15">
            <v>733</v>
          </cell>
        </row>
        <row r="16">
          <cell r="A16">
            <v>734</v>
          </cell>
        </row>
        <row r="17">
          <cell r="A17">
            <v>735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E13" sqref="E13"/>
    </sheetView>
  </sheetViews>
  <sheetFormatPr baseColWidth="12" defaultRowHeight="15" x14ac:dyDescent="0.15"/>
  <cols>
    <col min="2" max="2" width="14.83203125" bestFit="1" customWidth="1"/>
    <col min="5" max="5" width="31.33203125" customWidth="1"/>
    <col min="6" max="6" width="22.1640625" bestFit="1" customWidth="1"/>
  </cols>
  <sheetData>
    <row r="1" spans="1:23" x14ac:dyDescent="0.15">
      <c r="A1" s="105" t="s">
        <v>125</v>
      </c>
      <c r="B1" s="105" t="s">
        <v>116</v>
      </c>
      <c r="C1" s="105" t="s">
        <v>117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/>
      <c r="I1" s="105"/>
      <c r="J1" s="105"/>
      <c r="K1" s="105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x14ac:dyDescent="0.15">
      <c r="A2" s="107" t="s">
        <v>475</v>
      </c>
      <c r="B2" s="107" t="s">
        <v>129</v>
      </c>
      <c r="C2" s="164" t="s">
        <v>463</v>
      </c>
      <c r="D2" s="107" t="s">
        <v>128</v>
      </c>
      <c r="E2" s="106" t="str">
        <f t="shared" ref="E2:E10" si="0">B2&amp;C2&amp;D2</f>
        <v>units_twnsanrio01.tmp</v>
      </c>
      <c r="F2" s="107" t="s">
        <v>124</v>
      </c>
      <c r="G2" s="61" t="s">
        <v>17</v>
      </c>
      <c r="H2" s="62" t="s">
        <v>96</v>
      </c>
      <c r="I2" s="62" t="s">
        <v>1</v>
      </c>
      <c r="J2" s="62" t="s">
        <v>3</v>
      </c>
      <c r="K2" s="62" t="s">
        <v>2</v>
      </c>
      <c r="L2" s="62" t="s">
        <v>98</v>
      </c>
      <c r="M2" s="62" t="s">
        <v>20</v>
      </c>
      <c r="N2" s="62" t="s">
        <v>103</v>
      </c>
      <c r="O2" s="62" t="s">
        <v>101</v>
      </c>
      <c r="P2" s="62" t="s">
        <v>39</v>
      </c>
      <c r="Q2" s="62" t="s">
        <v>57</v>
      </c>
      <c r="R2" s="107" t="s">
        <v>477</v>
      </c>
      <c r="S2" s="107"/>
      <c r="T2" s="107"/>
      <c r="U2" s="107"/>
      <c r="V2" s="107"/>
      <c r="W2" s="107"/>
    </row>
    <row r="3" spans="1:23" x14ac:dyDescent="0.15">
      <c r="A3" s="107" t="s">
        <v>474</v>
      </c>
      <c r="B3" s="107" t="s">
        <v>130</v>
      </c>
      <c r="C3" s="164" t="s">
        <v>463</v>
      </c>
      <c r="D3" s="107" t="s">
        <v>128</v>
      </c>
      <c r="E3" s="106" t="str">
        <f t="shared" si="0"/>
        <v>awake_materials_twnsanrio01.tmp</v>
      </c>
      <c r="F3" s="107" t="s">
        <v>123</v>
      </c>
      <c r="G3" s="108" t="s">
        <v>38</v>
      </c>
      <c r="H3" s="109" t="s">
        <v>36</v>
      </c>
      <c r="I3" s="109" t="s">
        <v>37</v>
      </c>
      <c r="J3" s="111" t="s">
        <v>126</v>
      </c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3" x14ac:dyDescent="0.15">
      <c r="A4" s="107" t="s">
        <v>474</v>
      </c>
      <c r="B4" s="107" t="s">
        <v>131</v>
      </c>
      <c r="C4" s="164" t="s">
        <v>463</v>
      </c>
      <c r="D4" s="107" t="s">
        <v>132</v>
      </c>
      <c r="E4" s="106" t="str">
        <f t="shared" si="0"/>
        <v>unit_levels_calc_twnsanrio01.tmp</v>
      </c>
      <c r="F4" s="107" t="s">
        <v>122</v>
      </c>
      <c r="G4" s="57" t="s">
        <v>17</v>
      </c>
      <c r="H4" s="58" t="s">
        <v>2</v>
      </c>
      <c r="I4" s="59" t="s">
        <v>79</v>
      </c>
      <c r="J4" s="59" t="s">
        <v>80</v>
      </c>
      <c r="K4" s="59" t="s">
        <v>81</v>
      </c>
      <c r="L4" s="59" t="s">
        <v>82</v>
      </c>
      <c r="M4" s="59" t="s">
        <v>87</v>
      </c>
      <c r="N4" s="59" t="s">
        <v>88</v>
      </c>
      <c r="O4" s="59" t="s">
        <v>89</v>
      </c>
      <c r="P4" s="59" t="s">
        <v>90</v>
      </c>
      <c r="Q4" s="59" t="s">
        <v>91</v>
      </c>
      <c r="R4" s="59" t="s">
        <v>94</v>
      </c>
      <c r="S4" s="59" t="s">
        <v>92</v>
      </c>
      <c r="T4" s="59" t="s">
        <v>93</v>
      </c>
      <c r="U4" s="59" t="s">
        <v>83</v>
      </c>
      <c r="V4" s="59" t="s">
        <v>84</v>
      </c>
      <c r="W4" s="59" t="s">
        <v>85</v>
      </c>
    </row>
    <row r="5" spans="1:23" x14ac:dyDescent="0.15">
      <c r="A5" s="107" t="s">
        <v>474</v>
      </c>
      <c r="B5" s="107" t="s">
        <v>143</v>
      </c>
      <c r="C5" s="164" t="s">
        <v>463</v>
      </c>
      <c r="D5" s="107" t="s">
        <v>144</v>
      </c>
      <c r="E5" s="106" t="str">
        <f t="shared" si="0"/>
        <v>unit_skills_data_twnsanrio01.tmp</v>
      </c>
      <c r="F5" s="107" t="s">
        <v>145</v>
      </c>
      <c r="G5" s="115" t="s">
        <v>20</v>
      </c>
      <c r="H5" s="115" t="s">
        <v>146</v>
      </c>
      <c r="I5" s="115" t="s">
        <v>2</v>
      </c>
      <c r="J5" s="115" t="s">
        <v>147</v>
      </c>
      <c r="K5" s="115" t="s">
        <v>148</v>
      </c>
      <c r="L5" s="115" t="s">
        <v>4</v>
      </c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</row>
    <row r="6" spans="1:23" x14ac:dyDescent="0.15">
      <c r="A6" s="107" t="s">
        <v>474</v>
      </c>
      <c r="B6" s="107" t="s">
        <v>149</v>
      </c>
      <c r="C6" s="164" t="s">
        <v>463</v>
      </c>
      <c r="D6" s="107" t="s">
        <v>128</v>
      </c>
      <c r="E6" s="106" t="str">
        <f t="shared" si="0"/>
        <v>unit_skills_i18n_twnsanrio01.tmp</v>
      </c>
      <c r="F6" s="107" t="s">
        <v>145</v>
      </c>
      <c r="G6" s="115" t="s">
        <v>150</v>
      </c>
      <c r="H6" s="115" t="s">
        <v>134</v>
      </c>
      <c r="I6" s="115" t="s">
        <v>151</v>
      </c>
      <c r="J6" s="115" t="s">
        <v>152</v>
      </c>
      <c r="K6" s="110"/>
      <c r="L6" s="110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</row>
    <row r="7" spans="1:23" x14ac:dyDescent="0.15">
      <c r="A7" s="107" t="s">
        <v>474</v>
      </c>
      <c r="B7" s="107" t="s">
        <v>153</v>
      </c>
      <c r="C7" s="164" t="s">
        <v>463</v>
      </c>
      <c r="D7" s="107" t="s">
        <v>154</v>
      </c>
      <c r="E7" s="106" t="str">
        <f t="shared" si="0"/>
        <v>crash_skills_data_twnsanrio01.tmp</v>
      </c>
      <c r="F7" s="107" t="s">
        <v>155</v>
      </c>
      <c r="G7" s="115" t="s">
        <v>156</v>
      </c>
      <c r="H7" s="115" t="s">
        <v>148</v>
      </c>
      <c r="I7" s="115" t="s">
        <v>4</v>
      </c>
      <c r="J7" s="110"/>
      <c r="K7" s="110"/>
      <c r="L7" s="110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3" x14ac:dyDescent="0.15">
      <c r="A8" s="107" t="s">
        <v>474</v>
      </c>
      <c r="B8" s="107" t="s">
        <v>157</v>
      </c>
      <c r="C8" s="164" t="s">
        <v>463</v>
      </c>
      <c r="D8" s="107" t="s">
        <v>158</v>
      </c>
      <c r="E8" s="106" t="str">
        <f t="shared" si="0"/>
        <v>crash_skills_i18n_twnsanrio01.tmp</v>
      </c>
      <c r="F8" s="107" t="s">
        <v>155</v>
      </c>
      <c r="G8" s="115" t="s">
        <v>159</v>
      </c>
      <c r="H8" s="115" t="s">
        <v>160</v>
      </c>
      <c r="I8" s="115" t="s">
        <v>161</v>
      </c>
      <c r="J8" s="115" t="s">
        <v>162</v>
      </c>
      <c r="K8" s="116"/>
      <c r="L8" s="116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3" x14ac:dyDescent="0.15">
      <c r="A9" s="107" t="s">
        <v>476</v>
      </c>
      <c r="B9" s="110" t="s">
        <v>135</v>
      </c>
      <c r="C9" s="164" t="s">
        <v>463</v>
      </c>
      <c r="D9" s="107" t="s">
        <v>158</v>
      </c>
      <c r="E9" s="106" t="str">
        <f t="shared" si="0"/>
        <v>unit_serifs_data_twnsanrio01.tmp</v>
      </c>
      <c r="F9" s="110" t="s">
        <v>137</v>
      </c>
      <c r="G9" s="114" t="s">
        <v>138</v>
      </c>
      <c r="H9" s="115" t="s">
        <v>139</v>
      </c>
      <c r="I9" s="115" t="s">
        <v>133</v>
      </c>
      <c r="J9" s="113" t="s">
        <v>187</v>
      </c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</row>
    <row r="10" spans="1:23" x14ac:dyDescent="0.15">
      <c r="A10" s="107" t="s">
        <v>476</v>
      </c>
      <c r="B10" s="110" t="s">
        <v>136</v>
      </c>
      <c r="C10" s="164" t="s">
        <v>463</v>
      </c>
      <c r="D10" s="107" t="s">
        <v>158</v>
      </c>
      <c r="E10" s="106" t="str">
        <f t="shared" si="0"/>
        <v>unit_serifs_i18n_twnsanrio01.tmp</v>
      </c>
      <c r="F10" s="110" t="s">
        <v>137</v>
      </c>
      <c r="G10" s="114" t="s">
        <v>140</v>
      </c>
      <c r="H10" s="115" t="s">
        <v>141</v>
      </c>
      <c r="I10" s="115" t="s">
        <v>142</v>
      </c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1"/>
  <sheetViews>
    <sheetView showGridLines="0" workbookViewId="0">
      <pane xSplit="9" ySplit="1" topLeftCell="BP2" activePane="bottomRight" state="frozen"/>
      <selection pane="topRight" activeCell="J1" sqref="J1"/>
      <selection pane="bottomLeft" activeCell="A3" sqref="A3"/>
      <selection pane="bottomRight" activeCell="BP20" sqref="BP2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9" t="s">
        <v>108</v>
      </c>
      <c r="B1" s="81" t="s">
        <v>44</v>
      </c>
      <c r="C1" s="84" t="s">
        <v>27</v>
      </c>
      <c r="D1" s="84" t="s">
        <v>30</v>
      </c>
      <c r="E1" s="84" t="s">
        <v>28</v>
      </c>
      <c r="F1" s="84" t="s">
        <v>29</v>
      </c>
      <c r="G1" s="79" t="s">
        <v>1</v>
      </c>
      <c r="H1" s="82" t="s">
        <v>19</v>
      </c>
      <c r="I1" s="83" t="s">
        <v>0</v>
      </c>
      <c r="J1" s="85" t="s">
        <v>49</v>
      </c>
      <c r="K1" s="85" t="s">
        <v>48</v>
      </c>
      <c r="L1" s="85" t="s">
        <v>50</v>
      </c>
      <c r="M1" s="85" t="s">
        <v>51</v>
      </c>
      <c r="N1" s="79" t="s">
        <v>3</v>
      </c>
      <c r="O1" s="86" t="s">
        <v>2</v>
      </c>
      <c r="P1" s="79" t="s">
        <v>97</v>
      </c>
      <c r="Q1" s="87" t="s">
        <v>18</v>
      </c>
      <c r="R1" s="78" t="s">
        <v>52</v>
      </c>
      <c r="S1" s="88" t="s">
        <v>23</v>
      </c>
      <c r="T1" s="88" t="s">
        <v>24</v>
      </c>
      <c r="U1" s="88" t="s">
        <v>26</v>
      </c>
      <c r="V1" s="88" t="s">
        <v>25</v>
      </c>
      <c r="W1" s="83" t="s">
        <v>32</v>
      </c>
      <c r="X1" s="84" t="s">
        <v>53</v>
      </c>
      <c r="Y1" s="83" t="s">
        <v>33</v>
      </c>
      <c r="Z1" s="84" t="s">
        <v>53</v>
      </c>
      <c r="AA1" s="85" t="s">
        <v>23</v>
      </c>
      <c r="AB1" s="85" t="s">
        <v>24</v>
      </c>
      <c r="AC1" s="85" t="s">
        <v>26</v>
      </c>
      <c r="AD1" s="85" t="s">
        <v>25</v>
      </c>
      <c r="AE1" s="89" t="s">
        <v>100</v>
      </c>
      <c r="AF1" s="78" t="s">
        <v>45</v>
      </c>
      <c r="AG1" s="90" t="s">
        <v>58</v>
      </c>
      <c r="AH1" s="78" t="s">
        <v>45</v>
      </c>
      <c r="AI1" s="90" t="s">
        <v>46</v>
      </c>
      <c r="AJ1" s="80" t="s">
        <v>67</v>
      </c>
      <c r="AK1" s="78" t="s">
        <v>21</v>
      </c>
      <c r="AL1" s="91" t="s">
        <v>68</v>
      </c>
      <c r="AM1" s="92" t="s">
        <v>66</v>
      </c>
      <c r="AN1" s="92" t="s">
        <v>69</v>
      </c>
      <c r="AO1" s="93" t="s">
        <v>31</v>
      </c>
      <c r="AP1" s="89" t="s">
        <v>20</v>
      </c>
      <c r="AQ1" s="94" t="s">
        <v>113</v>
      </c>
      <c r="AR1" s="94" t="s">
        <v>107</v>
      </c>
      <c r="AS1" s="78" t="s">
        <v>104</v>
      </c>
      <c r="AT1" s="89" t="s">
        <v>102</v>
      </c>
      <c r="AU1" s="78" t="s">
        <v>110</v>
      </c>
      <c r="AV1" s="94" t="s">
        <v>107</v>
      </c>
      <c r="AW1" s="78" t="s">
        <v>104</v>
      </c>
      <c r="AX1" s="84" t="s">
        <v>4</v>
      </c>
      <c r="AY1" s="95" t="s">
        <v>54</v>
      </c>
      <c r="AZ1" s="95" t="s">
        <v>55</v>
      </c>
      <c r="BA1" s="95" t="s">
        <v>114</v>
      </c>
      <c r="BB1" s="95" t="s">
        <v>56</v>
      </c>
      <c r="BC1" s="5" t="s">
        <v>22</v>
      </c>
      <c r="BD1" s="98" t="s">
        <v>34</v>
      </c>
      <c r="BE1" s="96" t="s">
        <v>5</v>
      </c>
      <c r="BF1" s="97" t="s">
        <v>6</v>
      </c>
      <c r="BG1" s="99" t="s">
        <v>70</v>
      </c>
      <c r="BH1" s="99" t="s">
        <v>71</v>
      </c>
      <c r="BI1" s="99" t="s">
        <v>72</v>
      </c>
      <c r="BJ1" s="99" t="s">
        <v>73</v>
      </c>
      <c r="BK1" s="100" t="s">
        <v>74</v>
      </c>
      <c r="BL1" s="100" t="s">
        <v>95</v>
      </c>
      <c r="BM1" s="100" t="s">
        <v>75</v>
      </c>
      <c r="BN1" s="100" t="s">
        <v>76</v>
      </c>
      <c r="BO1" s="101" t="s">
        <v>77</v>
      </c>
      <c r="BP1" s="102" t="s">
        <v>78</v>
      </c>
      <c r="BQ1" s="102" t="s">
        <v>86</v>
      </c>
      <c r="BR1" s="12" t="s">
        <v>478</v>
      </c>
    </row>
    <row r="2" spans="1:70" ht="26" customHeight="1" x14ac:dyDescent="0.15">
      <c r="A2" s="220">
        <v>8043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サンリオキャラ大集合+アザゼル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サンリオキャラ大集合+アザゼル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30</v>
      </c>
      <c r="O2" s="11">
        <f ca="1">INDEX(レベル!$A$1:$I$21,MATCH(H2,レベル!$A$1:$A$21,FALSE),MATCH(G2,レベル!$A$1:$I$1,FALSE))</f>
        <v>80</v>
      </c>
      <c r="P2" s="46">
        <f ca="1">IF(G2 &gt;= 6, 99,G2*15)</f>
        <v>75</v>
      </c>
      <c r="Q2" s="55" t="s">
        <v>327</v>
      </c>
      <c r="R2" s="5" t="str">
        <f>VLOOKUP(Q2,[1]character_type_i18n!$A:$H,3,FALSE)</f>
        <v>テクニカルタイプ</v>
      </c>
      <c r="S2" s="11">
        <f>VLOOKUP(Q2,[1]character_type_i18n!$A:$H,4,FALSE)</f>
        <v>0.9</v>
      </c>
      <c r="T2" s="11">
        <f>VLOOKUP(Q2,[1]character_type_i18n!$A:$H,5,FALSE)</f>
        <v>0.9</v>
      </c>
      <c r="U2" s="11">
        <f>VLOOKUP(Q2,[1]character_type_i18n!$A:$H,6,FALSE)</f>
        <v>1</v>
      </c>
      <c r="V2" s="11">
        <f>VLOOKUP(Q2,[1]character_type_i18n!$A:$H,7,FALSE)</f>
        <v>0.9</v>
      </c>
      <c r="W2" s="55" t="s">
        <v>330</v>
      </c>
      <c r="X2" s="5" t="str">
        <f>VLOOKUP(W2,[1]character_tribe_i18n!$A:$H,3,FALSE)</f>
        <v>ゴッド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>VLOOKUP(W2,[1]character_tribe_i18n!$A:$H,4,FALSE)</f>
        <v>0.96</v>
      </c>
      <c r="AB2" s="11">
        <f>VLOOKUP(W2,[1]character_tribe_i18n!$A:$H,5,FALSE)</f>
        <v>1.02</v>
      </c>
      <c r="AC2" s="11">
        <f>VLOOKUP(W2,[1]character_tribe_i18n!$A:$H,6,FALSE)</f>
        <v>1</v>
      </c>
      <c r="AD2" s="11">
        <f>VLOOKUP(W2,[1]character_tribe_i18n!$A:$H,7,FALSE)</f>
        <v>1.02</v>
      </c>
      <c r="AE2" s="9">
        <f>A3</f>
        <v>8044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サンリオキャラ大集合+アザゼル</v>
      </c>
      <c r="AG2" s="5">
        <f t="shared" ref="AG2:AG31" ca="1" si="0">IF(ISNA(MATCH(A2,AE:AE,0)),A2,INDIRECT(ADDRESS(MATCH(A2,AE:AE,0),COLUMN())))</f>
        <v>8043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サンリオキャラ大集合+アザゼル</v>
      </c>
      <c r="AI2" s="11">
        <f ca="1">IF(AE2="NULL","NULL",VLOOKUP(G2,ビット!$A$2:$B$7,2))</f>
        <v>200000</v>
      </c>
      <c r="AJ2" s="6">
        <v>2</v>
      </c>
      <c r="AK2" s="7" t="str">
        <f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3"/>
      <c r="AP2" s="65">
        <f>A2</f>
        <v>8043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恍惚と喜悦のカーニヴァル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2ターンタップ回数を1にする代わりに、全てのパネルを緑パネルに変換+1ターンハート出現率大UP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0">
        <f>A2</f>
        <v>8043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サンリオキャラクターズ･マーチ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全体超大ダメージ_x000D_+2ターン緑属性の回復力UP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6">
        <v>1</v>
      </c>
      <c r="AZ2" s="66">
        <v>1</v>
      </c>
      <c r="BA2" s="66">
        <v>0</v>
      </c>
      <c r="BB2" s="66">
        <v>1</v>
      </c>
      <c r="BC2" s="11">
        <f ca="1">INDEX('RC6SV'!$A$1:$G$20,MATCH(H2,'RC6SV'!$A$1:$A$20,FALSE),MATCH(G2,'RC6SV'!$A$1:$G$1,FALSE))</f>
        <v>9000</v>
      </c>
      <c r="BD2" s="46">
        <f ca="1">ROUND(BC2*IF(AJ2=1,0.95,IF(AJ2=2,1,IF(AJ2,1.05,0))),0)</f>
        <v>9000</v>
      </c>
      <c r="BE2" s="11">
        <f t="shared" ref="BE2:BE31" ca="1" si="1">ROUND(IFERROR(INDIRECT(ADDRESS(MATCH($A2,$AE:$AE,0),MATCH($BC$1,$1:$1,0))),0),0)</f>
        <v>0</v>
      </c>
      <c r="BF2" s="11">
        <f t="shared" ref="BF2:BF31" ca="1" si="2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1983</v>
      </c>
      <c r="BH2" s="16">
        <f ca="1">IF($BE2&lt;=0,ROUND(BL2*0.5,0), ROUND($BE2*T2*AB2*K2*AZ2*0.8*[1]ステータス!$C$2,0))</f>
        <v>1215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1033</v>
      </c>
      <c r="BK2" s="11">
        <f ca="1">ROUND(BD2*S2*AA2*J2*AY2*[1]ステータス!$B$2,0)</f>
        <v>3966</v>
      </c>
      <c r="BL2" s="11">
        <f ca="1">ROUND(BD2*T2*AB2*K2*AZ2*[1]ステータス!$C$2,0)</f>
        <v>2429</v>
      </c>
      <c r="BM2" s="11">
        <f ca="1">ROUND(BD2*U2*AC2*L2*BA2*[1]ステータス!$D$2,0)</f>
        <v>0</v>
      </c>
      <c r="BN2" s="11">
        <f ca="1">ROUND(BD2*V2*AD2*M2*BB2*[1]ステータス!$E$2,0)</f>
        <v>2066</v>
      </c>
      <c r="BO2" s="10">
        <v>0</v>
      </c>
      <c r="BP2" s="10">
        <v>1</v>
      </c>
      <c r="BQ2" s="37" t="s">
        <v>47</v>
      </c>
      <c r="BR2" s="12">
        <f ca="1">VLOOKUP(H2,ghosts_label!$A$2:$B$19,2,FALSE)</f>
        <v>1</v>
      </c>
    </row>
    <row r="3" spans="1:70" ht="26" customHeight="1" x14ac:dyDescent="0.15">
      <c r="A3" s="220">
        <v>8044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サンリオキャラ大集合+アザゼル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サンリオキャラ大集合+アザゼル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45</v>
      </c>
      <c r="O3" s="11">
        <f ca="1">INDEX(レベル!$A$1:$I$21,MATCH(H3,レベル!$A$1:$A$21,FALSE),MATCH(G3,レベル!$A$1:$I$1,FALSE))</f>
        <v>99</v>
      </c>
      <c r="P3" s="46">
        <f ca="1">IF(G3 &gt;= 6, 99,G3*15)</f>
        <v>99</v>
      </c>
      <c r="Q3" s="55" t="s">
        <v>327</v>
      </c>
      <c r="R3" s="5" t="str">
        <f>VLOOKUP(Q3,[1]character_type_i18n!$A:$H,3,FALSE)</f>
        <v>テクニカルタイプ</v>
      </c>
      <c r="S3" s="11">
        <f>VLOOKUP(Q3,[1]character_type_i18n!$A:$H,4,FALSE)</f>
        <v>0.9</v>
      </c>
      <c r="T3" s="11">
        <f>VLOOKUP(Q3,[1]character_type_i18n!$A:$H,5,FALSE)</f>
        <v>0.9</v>
      </c>
      <c r="U3" s="11">
        <f>VLOOKUP(Q3,[1]character_type_i18n!$A:$H,6,FALSE)</f>
        <v>1</v>
      </c>
      <c r="V3" s="11">
        <f>VLOOKUP(Q3,[1]character_type_i18n!$A:$H,7,FALSE)</f>
        <v>0.9</v>
      </c>
      <c r="W3" s="55" t="s">
        <v>330</v>
      </c>
      <c r="X3" s="5" t="str">
        <f>VLOOKUP(W3,[1]character_tribe_i18n!$A:$H,3,FALSE)</f>
        <v>ゴッド</v>
      </c>
      <c r="Y3" s="55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>VLOOKUP(W3,[1]character_tribe_i18n!$A:$H,4,FALSE)</f>
        <v>0.96</v>
      </c>
      <c r="AB3" s="11">
        <f>VLOOKUP(W3,[1]character_tribe_i18n!$A:$H,5,FALSE)</f>
        <v>1.02</v>
      </c>
      <c r="AC3" s="11">
        <f>VLOOKUP(W3,[1]character_tribe_i18n!$A:$H,6,FALSE)</f>
        <v>1</v>
      </c>
      <c r="AD3" s="11">
        <f>VLOOKUP(W3,[1]character_tribe_i18n!$A:$H,7,FALSE)</f>
        <v>1.02</v>
      </c>
      <c r="AE3" s="9" t="s">
        <v>183</v>
      </c>
      <c r="AF3" s="60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8043</v>
      </c>
      <c r="AH3" s="60" t="str">
        <f ca="1">VLOOKUP($AG3,OFFSET([1]characters!$A$1,0,0,COUNTA([1]characters!$A:$A),MATCH(AH$1,[1]characters!$1:$1,0)-MATCH($A$1,[1]characters!$1:$1,0)+1),MATCH(AH$1,[1]characters!$1:$1,0)-MATCH($A$1,[1]characters!$1:$1,0)+1,FALSE)</f>
        <v>サンリオキャラ大集合+アザゼル</v>
      </c>
      <c r="AI3" s="11" t="str">
        <f>IF(AE3="NULL","NULL",VLOOKUP(G3,ビット!$A$2:$B$7,2))</f>
        <v>NULL</v>
      </c>
      <c r="AJ3" s="6">
        <v>2</v>
      </c>
      <c r="AK3" s="7" t="str">
        <f>IF(AJ3=1,"早熟",IF(AJ3=2,"普通",IF(AJ3=3,"晩成","")))</f>
        <v>普通</v>
      </c>
      <c r="AL3" s="11" t="str">
        <f ca="1">INDEX(経験値!$A$1:$I$20,MATCH(H3,経験値!$A$1:$A$20,FALSE),MATCH(G3,経験値!$A$1:$I$1,FALSE))</f>
        <v>required_exp_250</v>
      </c>
      <c r="AM3" s="8">
        <f ca="1">VLOOKUP(G3,経験値!$A$27:$B$31,2)</f>
        <v>6400</v>
      </c>
      <c r="AN3" s="17">
        <f ca="1">VLOOKUP(G3,ビット!$G$2:$H$7,2)</f>
        <v>900</v>
      </c>
      <c r="AO3" s="43"/>
      <c r="AP3" s="65">
        <f t="shared" ref="AP3:AP31" si="3">A3</f>
        <v>8044</v>
      </c>
      <c r="AQ3" s="55" t="str">
        <f ca="1">VLOOKUP($AP3,OFFSET(unit_skills!$A$1,0,0,COUNTA(unit_skills!$A:$A),MATCH(AQ$1,unit_skills!$1:$1,0)-MATCH($AP$1,unit_skills!$1:$1,0)+1),MATCH(AQ$1,unit_skills!$1:$1,0)-MATCH($AP$1,unit_skills!$1:$1,0)+1,FALSE)</f>
        <v>恍惚と喜悦のカーニヴァル</v>
      </c>
      <c r="AR3" s="55" t="str">
        <f ca="1">VLOOKUP($AP3,OFFSET(unit_skills!$A$1,0,0,COUNTA(unit_skills!$A:$A),MATCH(AR$1,unit_skills!$1:$1,0)-MATCH($AP$1,unit_skills!$1:$1,0)+1),MATCH(AR$1,unit_skills!$1:$1,0)-MATCH($AP$1,unit_skills!$1:$1,0)+1,FALSE)</f>
        <v>2ターンタップ回数を1にする代わりに、全てのパネルを緑パネルに変換+1ターンハート出現率大UP</v>
      </c>
      <c r="AS3" s="5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0">
        <f t="shared" ref="AT3:AT31" si="4">A3</f>
        <v>8044</v>
      </c>
      <c r="AU3" s="55" t="str">
        <f ca="1">VLOOKUP($AT3,OFFSET(crash_skills!$A$1,0,0,COUNTA(crash_skills!$A:$A),MATCH(AU$1,crash_skills!$1:$1,0)-MATCH($AT$1,crash_skills!$1:$1,0)+1),MATCH(AU$1,crash_skills!$1:$1,0)-MATCH($AT$1,crash_skills!$1:$1,0)+1,FALSE)</f>
        <v>サンリオキャラクターズ･マーチ</v>
      </c>
      <c r="AV3" s="55" t="str">
        <f ca="1">VLOOKUP($AT3,OFFSET(crash_skills!$A$1,0,0,COUNTA(crash_skills!$A:$A),MATCH(AV$1,crash_skills!$1:$1,0)-MATCH($AT$1,crash_skills!$1:$1,0)+1),MATCH(AV$1,crash_skills!$1:$1,0)-MATCH($AT$1,crash_skills!$1:$1,0)+1,FALSE)</f>
        <v>全体超大ダメージ_x000D_+2ターン緑属性の回復力UP</v>
      </c>
      <c r="AW3" s="5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6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6">
        <v>1.1819999999999999</v>
      </c>
      <c r="AZ3" s="66">
        <v>1.306</v>
      </c>
      <c r="BA3" s="66">
        <v>0</v>
      </c>
      <c r="BB3" s="66">
        <v>1.0660000000000001</v>
      </c>
      <c r="BC3" s="11">
        <f ca="1">INDEX('RC6SV'!$A$1:$G$20,MATCH(H3,'RC6SV'!$A$1:$A$20,FALSE),MATCH(G3,'RC6SV'!$A$1:$G$1,FALSE))</f>
        <v>12000</v>
      </c>
      <c r="BD3" s="46">
        <f ca="1">ROUND(BC3*IF(AJ3=1,0.95,IF(AJ3=2,1,IF(AJ3,1.05,0))),0)</f>
        <v>12000</v>
      </c>
      <c r="BE3" s="11">
        <f t="shared" ca="1" si="1"/>
        <v>9000</v>
      </c>
      <c r="BF3" s="11">
        <f t="shared" ca="1" si="2"/>
        <v>1</v>
      </c>
      <c r="BG3" s="16">
        <f ca="1">IF($BE3&lt;=0,ROUND(BK3*0.5,0), ROUND($BE3*S3*AA3*J3*AY3*0.8*[1]ステータス!$B$2,0))</f>
        <v>3750</v>
      </c>
      <c r="BH3" s="16">
        <f ca="1">IF($BE3&lt;=0,ROUND(BL3*0.5,0), ROUND($BE3*T3*AB3*K3*AZ3*0.8*[1]ステータス!$C$2,0))</f>
        <v>2538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1761</v>
      </c>
      <c r="BK3" s="11">
        <f ca="1">ROUND(BD3*S3*AA3*J3*AY3*[1]ステータス!$B$2,0)</f>
        <v>6250</v>
      </c>
      <c r="BL3" s="11">
        <f ca="1">ROUND(BD3*T3*AB3*K3*AZ3*[1]ステータス!$C$2,0)</f>
        <v>4230</v>
      </c>
      <c r="BM3" s="11">
        <f ca="1">ROUND(BD3*U3*AC3*L3*BA3*[1]ステータス!$D$2,0)</f>
        <v>0</v>
      </c>
      <c r="BN3" s="11">
        <f ca="1">ROUND(BD3*V3*AD3*M3*BB3*[1]ステータス!$E$2,0)</f>
        <v>2936</v>
      </c>
      <c r="BO3" s="10">
        <v>0</v>
      </c>
      <c r="BP3" s="10">
        <v>1</v>
      </c>
      <c r="BQ3" s="37" t="s">
        <v>47</v>
      </c>
      <c r="BR3" s="12">
        <f ca="1">VLOOKUP(H3,ghosts_label!$A$2:$B$19,2,FALSE)</f>
        <v>1</v>
      </c>
    </row>
    <row r="4" spans="1:70" ht="26" customHeight="1" x14ac:dyDescent="0.15">
      <c r="A4" s="220">
        <v>8045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ニムダ_サンリオキャラ混じり</v>
      </c>
      <c r="C4" s="55" t="str">
        <f ca="1">VLOOKUP($A4,OFFSET([1]characters!$A$1,0,0,COUNTA([1]characters!$A:$A),MATCH(C$1,[1]characters!$1:$1,0)-MATCH($A$1,[1]characters!$1:$1,0)+1),MATCH(C$1,[1]characters!$1:$1,0)-MATCH($A$1,[1]characters!$1:$1,0)+1,FALSE)</f>
        <v>ニムダ_サンリオキャラ混じり</v>
      </c>
      <c r="D4" s="5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5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5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5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5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6">
        <f ca="1">IF(G4 &gt;= 6, 99,G4*15)</f>
        <v>60</v>
      </c>
      <c r="Q4" s="55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5" t="s">
        <v>332</v>
      </c>
      <c r="X4" s="5" t="str">
        <f>VLOOKUP(W4,[1]character_tribe_i18n!$A:$H,3,FALSE)</f>
        <v>Unknown</v>
      </c>
      <c r="Y4" s="55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>VLOOKUP(W4,[1]character_tribe_i18n!$A:$H,4,FALSE)</f>
        <v>1</v>
      </c>
      <c r="AB4" s="11">
        <f>VLOOKUP(W4,[1]character_tribe_i18n!$A:$H,5,FALSE)</f>
        <v>1</v>
      </c>
      <c r="AC4" s="11">
        <f>VLOOKUP(W4,[1]character_tribe_i18n!$A:$H,6,FALSE)</f>
        <v>1</v>
      </c>
      <c r="AD4" s="11">
        <f>VLOOKUP(W4,[1]character_tribe_i18n!$A:$H,7,FALSE)</f>
        <v>1</v>
      </c>
      <c r="AE4" s="9">
        <f>A5</f>
        <v>8046</v>
      </c>
      <c r="AF4" s="60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ニムダ_サンリオキャラ混じり</v>
      </c>
      <c r="AG4" s="5">
        <f t="shared" ca="1" si="0"/>
        <v>8045</v>
      </c>
      <c r="AH4" s="60" t="str">
        <f ca="1">VLOOKUP($AG4,OFFSET([1]characters!$A$1,0,0,COUNTA([1]characters!$A:$A),MATCH(AH$1,[1]characters!$1:$1,0)-MATCH($A$1,[1]characters!$1:$1,0)+1),MATCH(AH$1,[1]characters!$1:$1,0)-MATCH($A$1,[1]characters!$1:$1,0)+1,FALSE)</f>
        <v>ニムダ_サンリオキャラ混じり</v>
      </c>
      <c r="AI4" s="11">
        <f ca="1">IF(AE4="NULL","NULL",VLOOKUP(G4,ビット!$A$2:$B$7,2))</f>
        <v>50000</v>
      </c>
      <c r="AJ4" s="6">
        <v>2</v>
      </c>
      <c r="AK4" s="7" t="str">
        <f t="shared" ref="AK4:AK17" si="5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3"/>
      <c r="AP4" s="65">
        <f t="shared" si="3"/>
        <v>8045</v>
      </c>
      <c r="AQ4" s="55" t="str">
        <f ca="1">VLOOKUP($AP4,OFFSET(unit_skills!$A$1,0,0,COUNTA(unit_skills!$A:$A),MATCH(AQ$1,unit_skills!$1:$1,0)-MATCH($AP$1,unit_skills!$1:$1,0)+1),MATCH(AQ$1,unit_skills!$1:$1,0)-MATCH($AP$1,unit_skills!$1:$1,0)+1,FALSE)</f>
        <v>全方位ぬいぐるみガード</v>
      </c>
      <c r="AR4" s="55" t="str">
        <f ca="1">VLOOKUP($AP4,OFFSET(unit_skills!$A$1,0,0,COUNTA(unit_skills!$A:$A),MATCH(AR$1,unit_skills!$1:$1,0)-MATCH($AP$1,unit_skills!$1:$1,0)+1),MATCH(AR$1,unit_skills!$1:$1,0)-MATCH($AP$1,unit_skills!$1:$1,0)+1,FALSE)</f>
        <v>3ターンサンリオキャラクターズの攻撃力と防御力特大UP</v>
      </c>
      <c r="AS4" s="55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0">
        <f t="shared" si="4"/>
        <v>8045</v>
      </c>
      <c r="AU4" s="55" t="str">
        <f ca="1">VLOOKUP($AT4,OFFSET(crash_skills!$A$1,0,0,COUNTA(crash_skills!$A:$A),MATCH(AU$1,crash_skills!$1:$1,0)-MATCH($AT$1,crash_skills!$1:$1,0)+1),MATCH(AU$1,crash_skills!$1:$1,0)-MATCH($AT$1,crash_skills!$1:$1,0)+1,FALSE)</f>
        <v>愛雷の囲攻</v>
      </c>
      <c r="AV4" s="55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</v>
      </c>
      <c r="AW4" s="55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6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6">
        <v>1</v>
      </c>
      <c r="AZ4" s="66">
        <v>1</v>
      </c>
      <c r="BA4" s="66">
        <v>0</v>
      </c>
      <c r="BB4" s="66">
        <v>1</v>
      </c>
      <c r="BC4" s="11">
        <f ca="1">INDEX('RC6SV'!$A$1:$G$20,MATCH(H4,'RC6SV'!$A$1:$A$20,FALSE),MATCH(G4,'RC6SV'!$A$1:$G$1,FALSE))</f>
        <v>5800</v>
      </c>
      <c r="BD4" s="46">
        <f t="shared" ref="BD4:BD17" ca="1" si="6">ROUND(BC4*IF(AJ4=1,0.95,IF(AJ4=2,1,IF(AJ4,1.05,0))),0)</f>
        <v>5800</v>
      </c>
      <c r="BE4" s="11">
        <f t="shared" ca="1" si="1"/>
        <v>0</v>
      </c>
      <c r="BF4" s="11">
        <f t="shared" ca="1" si="2"/>
        <v>1</v>
      </c>
      <c r="BG4" s="16">
        <f ca="1">IF($BE4&lt;=0,ROUND(BK4*0.5,0), ROUND($BE4*S4*AA4*J4*AY4*0.8*[1]ステータス!$B$2,0))</f>
        <v>1279</v>
      </c>
      <c r="BH4" s="16">
        <f ca="1">IF($BE4&lt;=0,ROUND(BL4*0.5,0), ROUND($BE4*T4*AB4*K4*AZ4*0.8*[1]ステータス!$C$2,0))</f>
        <v>791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659</v>
      </c>
      <c r="BK4" s="11">
        <f ca="1">ROUND(BD4*S4*AA4*J4*AY4*[1]ステータス!$B$2,0)</f>
        <v>2558</v>
      </c>
      <c r="BL4" s="11">
        <f ca="1">ROUND(BD4*T4*AB4*K4*AZ4*[1]ステータス!$C$2,0)</f>
        <v>1582</v>
      </c>
      <c r="BM4" s="11">
        <f ca="1">ROUND(BD4*U4*AC4*L4*BA4*[1]ステータス!$D$2,0)</f>
        <v>0</v>
      </c>
      <c r="BN4" s="11">
        <f ca="1">ROUND(BD4*V4*AD4*M4*BB4*[1]ステータス!$E$2,0)</f>
        <v>1318</v>
      </c>
      <c r="BO4" s="10">
        <v>0</v>
      </c>
      <c r="BP4" s="10">
        <v>1</v>
      </c>
      <c r="BQ4" s="37" t="s">
        <v>47</v>
      </c>
      <c r="BR4" s="12">
        <f ca="1">VLOOKUP(H4,ghosts_label!$A$2:$B$19,2,FALSE)</f>
        <v>1</v>
      </c>
    </row>
    <row r="5" spans="1:70" ht="26" customHeight="1" x14ac:dyDescent="0.15">
      <c r="A5" s="220">
        <v>8046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ニムダ_サンリオキャラ混じり</v>
      </c>
      <c r="C5" s="55" t="str">
        <f ca="1">VLOOKUP($A5,OFFSET([1]characters!$A$1,0,0,COUNTA([1]characters!$A:$A),MATCH(C$1,[1]characters!$1:$1,0)-MATCH($A$1,[1]characters!$1:$1,0)+1),MATCH(C$1,[1]characters!$1:$1,0)-MATCH($A$1,[1]characters!$1:$1,0)+1,FALSE)</f>
        <v>ニムダ_サンリオキャラ混じり</v>
      </c>
      <c r="D5" s="5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5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5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5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6">
        <f t="shared" ref="P5:P17" ca="1" si="7">IF(G5 &gt;= 6, 99,G5*15)</f>
        <v>75</v>
      </c>
      <c r="Q5" s="55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5" t="s">
        <v>331</v>
      </c>
      <c r="X5" s="5" t="str">
        <f>VLOOKUP(W5,[1]character_tribe_i18n!$A:$H,3,FALSE)</f>
        <v>Unknown</v>
      </c>
      <c r="Y5" s="55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>VLOOKUP(W5,[1]character_tribe_i18n!$A:$H,4,FALSE)</f>
        <v>1</v>
      </c>
      <c r="AB5" s="11">
        <f>VLOOKUP(W5,[1]character_tribe_i18n!$A:$H,5,FALSE)</f>
        <v>1</v>
      </c>
      <c r="AC5" s="11">
        <f>VLOOKUP(W5,[1]character_tribe_i18n!$A:$H,6,FALSE)</f>
        <v>1</v>
      </c>
      <c r="AD5" s="11">
        <f>VLOOKUP(W5,[1]character_tribe_i18n!$A:$H,7,FALSE)</f>
        <v>1</v>
      </c>
      <c r="AE5" s="9" t="s">
        <v>183</v>
      </c>
      <c r="AF5" s="60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8045</v>
      </c>
      <c r="AH5" s="60" t="str">
        <f ca="1">VLOOKUP($AG5,OFFSET([1]characters!$A$1,0,0,COUNTA([1]characters!$A:$A),MATCH(AH$1,[1]characters!$1:$1,0)-MATCH($A$1,[1]characters!$1:$1,0)+1),MATCH(AH$1,[1]characters!$1:$1,0)-MATCH($A$1,[1]characters!$1:$1,0)+1,FALSE)</f>
        <v>ニムダ_サンリオキャラ混じり</v>
      </c>
      <c r="AI5" s="11" t="str">
        <f>IF(AE5="NULL","NULL",VLOOKUP(G5,ビット!$A$2:$B$7,2))</f>
        <v>NULL</v>
      </c>
      <c r="AJ5" s="6">
        <v>2</v>
      </c>
      <c r="AK5" s="7" t="str">
        <f t="shared" si="5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3"/>
      <c r="AP5" s="65">
        <f t="shared" si="3"/>
        <v>8046</v>
      </c>
      <c r="AQ5" s="55" t="str">
        <f ca="1">VLOOKUP($AP5,OFFSET(unit_skills!$A$1,0,0,COUNTA(unit_skills!$A:$A),MATCH(AQ$1,unit_skills!$1:$1,0)-MATCH($AP$1,unit_skills!$1:$1,0)+1),MATCH(AQ$1,unit_skills!$1:$1,0)-MATCH($AP$1,unit_skills!$1:$1,0)+1,FALSE)</f>
        <v>全方位ぬいぐるみガード</v>
      </c>
      <c r="AR5" s="55" t="str">
        <f ca="1">VLOOKUP($AP5,OFFSET(unit_skills!$A$1,0,0,COUNTA(unit_skills!$A:$A),MATCH(AR$1,unit_skills!$1:$1,0)-MATCH($AP$1,unit_skills!$1:$1,0)+1),MATCH(AR$1,unit_skills!$1:$1,0)-MATCH($AP$1,unit_skills!$1:$1,0)+1,FALSE)</f>
        <v>3ターンサンリオキャラクターズの攻撃力と防御力特大UP</v>
      </c>
      <c r="AS5" s="55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0">
        <f t="shared" si="4"/>
        <v>8046</v>
      </c>
      <c r="AU5" s="55" t="str">
        <f ca="1">VLOOKUP($AT5,OFFSET(crash_skills!$A$1,0,0,COUNTA(crash_skills!$A:$A),MATCH(AU$1,crash_skills!$1:$1,0)-MATCH($AT$1,crash_skills!$1:$1,0)+1),MATCH(AU$1,crash_skills!$1:$1,0)-MATCH($AT$1,crash_skills!$1:$1,0)+1,FALSE)</f>
        <v>愛雷の囲攻</v>
      </c>
      <c r="AV5" s="55" t="str">
        <f ca="1">VLOOKUP($AT5,OFFSET(crash_skills!$A$1,0,0,COUNTA(crash_skills!$A:$A),MATCH(AV$1,crash_skills!$1:$1,0)-MATCH($AT$1,crash_skills!$1:$1,0)+1),MATCH(AV$1,crash_skills!$1:$1,0)-MATCH($AT$1,crash_skills!$1:$1,0)+1,FALSE)</f>
        <v>全体に特大ダメージ</v>
      </c>
      <c r="AW5" s="55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6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6">
        <v>1.1819999999999999</v>
      </c>
      <c r="AZ5" s="66">
        <v>1.306</v>
      </c>
      <c r="BA5" s="66">
        <v>0</v>
      </c>
      <c r="BB5" s="66">
        <v>1.0660000000000001</v>
      </c>
      <c r="BC5" s="11">
        <f ca="1">INDEX('RC6SV'!$A$1:$G$20,MATCH(H5,'RC6SV'!$A$1:$A$20,FALSE),MATCH(G5,'RC6SV'!$A$1:$G$1,FALSE))</f>
        <v>7600</v>
      </c>
      <c r="BD5" s="46">
        <f t="shared" ca="1" si="6"/>
        <v>7600</v>
      </c>
      <c r="BE5" s="11">
        <f t="shared" ca="1" si="1"/>
        <v>5800</v>
      </c>
      <c r="BF5" s="11">
        <f t="shared" ca="1" si="2"/>
        <v>1</v>
      </c>
      <c r="BG5" s="16">
        <f ca="1">IF($BE5&lt;=0,ROUND(BK5*0.5,0), ROUND($BE5*S5*AA5*J5*AY5*0.8*[1]ステータス!$B$2,0))</f>
        <v>2419</v>
      </c>
      <c r="BH5" s="16">
        <f ca="1">IF($BE5&lt;=0,ROUND(BL5*0.5,0), ROUND($BE5*T5*AB5*K5*AZ5*0.8*[1]ステータス!$C$2,0))</f>
        <v>1653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1124</v>
      </c>
      <c r="BK5" s="11">
        <f ca="1">ROUND(BD5*S5*AA5*J5*AY5*[1]ステータス!$B$2,0)</f>
        <v>3962</v>
      </c>
      <c r="BL5" s="11">
        <f ca="1">ROUND(BD5*T5*AB5*K5*AZ5*[1]ステータス!$C$2,0)</f>
        <v>2707</v>
      </c>
      <c r="BM5" s="11">
        <f ca="1">ROUND(BD5*U5*AC5*L5*BA5*[1]ステータス!$D$2,0)</f>
        <v>0</v>
      </c>
      <c r="BN5" s="11">
        <f ca="1">ROUND(BD5*V5*AD5*M5*BB5*[1]ステータス!$E$2,0)</f>
        <v>1841</v>
      </c>
      <c r="BO5" s="10">
        <v>0</v>
      </c>
      <c r="BP5" s="10">
        <v>1</v>
      </c>
      <c r="BQ5" s="37" t="s">
        <v>47</v>
      </c>
      <c r="BR5" s="12">
        <f ca="1">VLOOKUP(H5,ghosts_label!$A$2:$B$19,2,FALSE)</f>
        <v>1</v>
      </c>
    </row>
    <row r="6" spans="1:70" ht="26" customHeight="1" x14ac:dyDescent="0.15">
      <c r="A6" s="220">
        <v>8047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ハローキティ</v>
      </c>
      <c r="C6" s="55" t="str">
        <f ca="1">VLOOKUP($A6,OFFSET([1]characters!$A$1,0,0,COUNTA([1]characters!$A:$A),MATCH(C$1,[1]characters!$1:$1,0)-MATCH($A$1,[1]characters!$1:$1,0)+1),MATCH(C$1,[1]characters!$1:$1,0)-MATCH($A$1,[1]characters!$1:$1,0)+1,FALSE)</f>
        <v>ハローキティ</v>
      </c>
      <c r="D6" s="5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5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5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5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5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217">
        <v>30</v>
      </c>
      <c r="Q6" s="55" t="s">
        <v>326</v>
      </c>
      <c r="R6" s="5" t="str">
        <f>VLOOKUP(Q6,[1]character_type_i18n!$A:$H,3,FALSE)</f>
        <v>バランスタイプ</v>
      </c>
      <c r="S6" s="11">
        <f>VLOOKUP(Q6,[1]character_type_i18n!$A:$H,4,FALSE)</f>
        <v>1</v>
      </c>
      <c r="T6" s="11">
        <f>VLOOKUP(Q6,[1]character_type_i18n!$A:$H,5,FALSE)</f>
        <v>1</v>
      </c>
      <c r="U6" s="11">
        <f>VLOOKUP(Q6,[1]character_type_i18n!$A:$H,6,FALSE)</f>
        <v>1</v>
      </c>
      <c r="V6" s="11">
        <f>VLOOKUP(Q6,[1]character_type_i18n!$A:$H,7,FALSE)</f>
        <v>1</v>
      </c>
      <c r="W6" s="55" t="s">
        <v>331</v>
      </c>
      <c r="X6" s="5" t="str">
        <f>VLOOKUP(W6,[1]character_tribe_i18n!$A:$H,3,FALSE)</f>
        <v>Unknown</v>
      </c>
      <c r="Y6" s="55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>VLOOKUP(W6,[1]character_tribe_i18n!$A:$H,4,FALSE)</f>
        <v>1</v>
      </c>
      <c r="AB6" s="11">
        <f>VLOOKUP(W6,[1]character_tribe_i18n!$A:$H,5,FALSE)</f>
        <v>1</v>
      </c>
      <c r="AC6" s="11">
        <f>VLOOKUP(W6,[1]character_tribe_i18n!$A:$H,6,FALSE)</f>
        <v>1</v>
      </c>
      <c r="AD6" s="11">
        <f>VLOOKUP(W6,[1]character_tribe_i18n!$A:$H,7,FALSE)</f>
        <v>1</v>
      </c>
      <c r="AE6" s="9">
        <f>A7</f>
        <v>8048</v>
      </c>
      <c r="AF6" s="60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ハローキティ</v>
      </c>
      <c r="AG6" s="5">
        <f t="shared" ca="1" si="0"/>
        <v>8047</v>
      </c>
      <c r="AH6" s="60" t="str">
        <f ca="1">VLOOKUP($AG6,OFFSET([1]characters!$A$1,0,0,COUNTA([1]characters!$A:$A),MATCH(AH$1,[1]characters!$1:$1,0)-MATCH($A$1,[1]characters!$1:$1,0)+1),MATCH(AH$1,[1]characters!$1:$1,0)-MATCH($A$1,[1]characters!$1:$1,0)+1,FALSE)</f>
        <v>ハローキティ</v>
      </c>
      <c r="AI6" s="11">
        <f ca="1">IF(AE6="NULL","NULL",VLOOKUP(G6,ビット!$A$2:$B$7,2))</f>
        <v>50000</v>
      </c>
      <c r="AJ6" s="6">
        <v>2</v>
      </c>
      <c r="AK6" s="7" t="str">
        <f t="shared" si="5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3"/>
      <c r="AP6" s="65">
        <f t="shared" si="3"/>
        <v>8047</v>
      </c>
      <c r="AQ6" s="55" t="str">
        <f ca="1">VLOOKUP($AP6,OFFSET(unit_skills!$A$1,0,0,COUNTA(unit_skills!$A:$A),MATCH(AQ$1,unit_skills!$1:$1,0)-MATCH($AP$1,unit_skills!$1:$1,0)+1),MATCH(AQ$1,unit_skills!$1:$1,0)-MATCH($AP$1,unit_skills!$1:$1,0)+1,FALSE)</f>
        <v>アップル・ファンタジア</v>
      </c>
      <c r="AR6" s="55" t="str">
        <f ca="1">VLOOKUP($AP6,OFFSET(unit_skills!$A$1,0,0,COUNTA(unit_skills!$A:$A),MATCH(AR$1,unit_skills!$1:$1,0)-MATCH($AP$1,unit_skills!$1:$1,0)+1),MATCH(AR$1,unit_skills!$1:$1,0)-MATCH($AP$1,unit_skills!$1:$1,0)+1,FALSE)</f>
        <v>ランダムでパネルを１つSCパネル(大)に変換し、3ターン回復力特大UP</v>
      </c>
      <c r="AS6" s="55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0">
        <f t="shared" si="4"/>
        <v>8047</v>
      </c>
      <c r="AU6" s="55" t="str">
        <f ca="1">VLOOKUP($AT6,OFFSET(crash_skills!$A$1,0,0,COUNTA(crash_skills!$A:$A),MATCH(AU$1,crash_skills!$1:$1,0)-MATCH($AT$1,crash_skills!$1:$1,0)+1),MATCH(AU$1,crash_skills!$1:$1,0)-MATCH($AT$1,crash_skills!$1:$1,0)+1,FALSE)</f>
        <v>ハッピー・ハローキティ</v>
      </c>
      <c r="AV6" s="55" t="str">
        <f ca="1">VLOOKUP($AT6,OFFSET(crash_skills!$A$1,0,0,COUNTA(crash_skills!$A:$A),MATCH(AV$1,crash_skills!$1:$1,0)-MATCH($AT$1,crash_skills!$1:$1,0)+1),MATCH(AV$1,crash_skills!$1:$1,0)-MATCH($AT$1,crash_skills!$1:$1,0)+1,FALSE)</f>
        <v>自身の回復力の最大値に比例して_x000D_単体に特大ダメージ</v>
      </c>
      <c r="AW6" s="55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6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6">
        <v>1.1000000000000001</v>
      </c>
      <c r="AZ6" s="66">
        <v>1.01</v>
      </c>
      <c r="BA6" s="66">
        <v>0</v>
      </c>
      <c r="BB6" s="66">
        <v>1.01</v>
      </c>
      <c r="BC6" s="11">
        <f ca="1">INDEX('RC6SV'!$A$1:$G$20,MATCH(H6,'RC6SV'!$A$1:$A$20,FALSE),MATCH(G6,'RC6SV'!$A$1:$G$1,FALSE))</f>
        <v>5800</v>
      </c>
      <c r="BD6" s="46">
        <f t="shared" ca="1" si="6"/>
        <v>5800</v>
      </c>
      <c r="BE6" s="11">
        <f t="shared" ca="1" si="1"/>
        <v>0</v>
      </c>
      <c r="BF6" s="11">
        <f t="shared" ca="1" si="2"/>
        <v>1</v>
      </c>
      <c r="BG6" s="16">
        <f ca="1">IF($BE6&lt;=0,ROUND(BK6*0.5,0), ROUND($BE6*S6*AA6*J6*AY6*0.8*[1]ステータス!$B$2,0))</f>
        <v>1595</v>
      </c>
      <c r="BH6" s="16">
        <f ca="1">IF($BE6&lt;=0,ROUND(BL6*0.5,0), ROUND($BE6*T6*AB6*K6*AZ6*0.8*[1]ステータス!$C$2,0))</f>
        <v>897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718</v>
      </c>
      <c r="BK6" s="11">
        <f ca="1">ROUND(BD6*S6*AA6*J6*AY6*[1]ステータス!$B$2,0)</f>
        <v>3190</v>
      </c>
      <c r="BL6" s="11">
        <f ca="1">ROUND(BD6*T6*AB6*K6*AZ6*[1]ステータス!$C$2,0)</f>
        <v>1793</v>
      </c>
      <c r="BM6" s="11">
        <f ca="1">ROUND(BD6*U6*AC6*L6*BA6*[1]ステータス!$D$2,0)</f>
        <v>0</v>
      </c>
      <c r="BN6" s="11">
        <f ca="1">ROUND(BD6*V6*AD6*M6*BB6*[1]ステータス!$E$2,0)</f>
        <v>1435</v>
      </c>
      <c r="BO6" s="10">
        <v>0</v>
      </c>
      <c r="BP6" s="10">
        <v>1</v>
      </c>
      <c r="BQ6" s="37" t="s">
        <v>47</v>
      </c>
      <c r="BR6" s="12">
        <f ca="1">VLOOKUP(H6,ghosts_label!$A$2:$B$19,2,FALSE)</f>
        <v>1</v>
      </c>
    </row>
    <row r="7" spans="1:70" ht="26" customHeight="1" x14ac:dyDescent="0.15">
      <c r="A7" s="220">
        <v>8048</v>
      </c>
      <c r="B7" s="55" t="str">
        <f ca="1">VLOOKUP($A7,OFFSET([1]characters!$A$1,0,0,COUNTA([1]characters!$A:$A),MATCH(B$1,[1]characters!$1:$1,0)-MATCH($A$1,[1]characters!$1:$1,0)+1),MATCH(B$1,[1]characters!$1:$1,0)-MATCH($A$1,[1]characters!$1:$1,0)+1,FALSE)</f>
        <v>ハローキティ</v>
      </c>
      <c r="C7" s="55" t="str">
        <f ca="1">VLOOKUP($A7,OFFSET([1]characters!$A$1,0,0,COUNTA([1]characters!$A:$A),MATCH(C$1,[1]characters!$1:$1,0)-MATCH($A$1,[1]characters!$1:$1,0)+1),MATCH(C$1,[1]characters!$1:$1,0)-MATCH($A$1,[1]characters!$1:$1,0)+1,FALSE)</f>
        <v>ハローキティ</v>
      </c>
      <c r="D7" s="5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5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5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5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5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217">
        <v>30</v>
      </c>
      <c r="Q7" s="55" t="s">
        <v>326</v>
      </c>
      <c r="R7" s="5" t="str">
        <f>VLOOKUP(Q7,[1]character_type_i18n!$A:$H,3,FALSE)</f>
        <v>バランスタイプ</v>
      </c>
      <c r="S7" s="11">
        <f>VLOOKUP(Q7,[1]character_type_i18n!$A:$H,4,FALSE)</f>
        <v>1</v>
      </c>
      <c r="T7" s="11">
        <f>VLOOKUP(Q7,[1]character_type_i18n!$A:$H,5,FALSE)</f>
        <v>1</v>
      </c>
      <c r="U7" s="11">
        <f>VLOOKUP(Q7,[1]character_type_i18n!$A:$H,6,FALSE)</f>
        <v>1</v>
      </c>
      <c r="V7" s="11">
        <f>VLOOKUP(Q7,[1]character_type_i18n!$A:$H,7,FALSE)</f>
        <v>1</v>
      </c>
      <c r="W7" s="55" t="s">
        <v>331</v>
      </c>
      <c r="X7" s="5" t="str">
        <f>VLOOKUP(W7,[1]character_tribe_i18n!$A:$H,3,FALSE)</f>
        <v>Unknown</v>
      </c>
      <c r="Y7" s="55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>VLOOKUP(W7,[1]character_tribe_i18n!$A:$H,4,FALSE)</f>
        <v>1</v>
      </c>
      <c r="AB7" s="11">
        <f>VLOOKUP(W7,[1]character_tribe_i18n!$A:$H,5,FALSE)</f>
        <v>1</v>
      </c>
      <c r="AC7" s="11">
        <f>VLOOKUP(W7,[1]character_tribe_i18n!$A:$H,6,FALSE)</f>
        <v>1</v>
      </c>
      <c r="AD7" s="11">
        <f>VLOOKUP(W7,[1]character_tribe_i18n!$A:$H,7,FALSE)</f>
        <v>1</v>
      </c>
      <c r="AE7" s="9" t="s">
        <v>183</v>
      </c>
      <c r="AF7" s="60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8047</v>
      </c>
      <c r="AH7" s="60" t="str">
        <f ca="1">VLOOKUP($AG7,OFFSET([1]characters!$A$1,0,0,COUNTA([1]characters!$A:$A),MATCH(AH$1,[1]characters!$1:$1,0)-MATCH($A$1,[1]characters!$1:$1,0)+1),MATCH(AH$1,[1]characters!$1:$1,0)-MATCH($A$1,[1]characters!$1:$1,0)+1,FALSE)</f>
        <v>ハローキティ</v>
      </c>
      <c r="AI7" s="11" t="str">
        <f>IF(AE7="NULL","NULL",VLOOKUP(G7,ビット!$A$2:$B$7,2))</f>
        <v>NULL</v>
      </c>
      <c r="AJ7" s="6">
        <v>2</v>
      </c>
      <c r="AK7" s="7" t="str">
        <f t="shared" si="5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3"/>
      <c r="AP7" s="65">
        <f t="shared" si="3"/>
        <v>8048</v>
      </c>
      <c r="AQ7" s="55" t="str">
        <f ca="1">VLOOKUP($AP7,OFFSET(unit_skills!$A$1,0,0,COUNTA(unit_skills!$A:$A),MATCH(AQ$1,unit_skills!$1:$1,0)-MATCH($AP$1,unit_skills!$1:$1,0)+1),MATCH(AQ$1,unit_skills!$1:$1,0)-MATCH($AP$1,unit_skills!$1:$1,0)+1,FALSE)</f>
        <v>アップル・ファンタジア</v>
      </c>
      <c r="AR7" s="55" t="str">
        <f ca="1">VLOOKUP($AP7,OFFSET(unit_skills!$A$1,0,0,COUNTA(unit_skills!$A:$A),MATCH(AR$1,unit_skills!$1:$1,0)-MATCH($AP$1,unit_skills!$1:$1,0)+1),MATCH(AR$1,unit_skills!$1:$1,0)-MATCH($AP$1,unit_skills!$1:$1,0)+1,FALSE)</f>
        <v>ランダムでパネルを１つSCパネル(大)に変換し、3ターン回復力特大UP</v>
      </c>
      <c r="AS7" s="55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0">
        <f t="shared" si="4"/>
        <v>8048</v>
      </c>
      <c r="AU7" s="55" t="str">
        <f ca="1">VLOOKUP($AT7,OFFSET(crash_skills!$A$1,0,0,COUNTA(crash_skills!$A:$A),MATCH(AU$1,crash_skills!$1:$1,0)-MATCH($AT$1,crash_skills!$1:$1,0)+1),MATCH(AU$1,crash_skills!$1:$1,0)-MATCH($AT$1,crash_skills!$1:$1,0)+1,FALSE)</f>
        <v>ハッピー・ハローキティ</v>
      </c>
      <c r="AV7" s="55" t="str">
        <f ca="1">VLOOKUP($AT7,OFFSET(crash_skills!$A$1,0,0,COUNTA(crash_skills!$A:$A),MATCH(AV$1,crash_skills!$1:$1,0)-MATCH($AT$1,crash_skills!$1:$1,0)+1),MATCH(AV$1,crash_skills!$1:$1,0)-MATCH($AT$1,crash_skills!$1:$1,0)+1,FALSE)</f>
        <v>自身の回復力の最大値に比例して_x000D_単体に特大ダメージ</v>
      </c>
      <c r="AW7" s="55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6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6">
        <v>1.1000000000000001</v>
      </c>
      <c r="AZ7" s="66">
        <v>1.4</v>
      </c>
      <c r="BA7" s="66">
        <v>0</v>
      </c>
      <c r="BB7" s="66">
        <v>1.01</v>
      </c>
      <c r="BC7" s="11">
        <f ca="1">INDEX('RC6SV'!$A$1:$G$20,MATCH(H7,'RC6SV'!$A$1:$A$20,FALSE),MATCH(G7,'RC6SV'!$A$1:$G$1,FALSE))</f>
        <v>7600</v>
      </c>
      <c r="BD7" s="46">
        <f t="shared" ca="1" si="6"/>
        <v>7600</v>
      </c>
      <c r="BE7" s="11">
        <f t="shared" ca="1" si="1"/>
        <v>5800</v>
      </c>
      <c r="BF7" s="11">
        <f t="shared" ca="1" si="2"/>
        <v>1</v>
      </c>
      <c r="BG7" s="16">
        <f ca="1">IF($BE7&lt;=0,ROUND(BK7*0.5,0), ROUND($BE7*S7*AA7*J7*AY7*0.8*[1]ステータス!$B$2,0))</f>
        <v>2552</v>
      </c>
      <c r="BH7" s="16">
        <f ca="1">IF($BE7&lt;=0,ROUND(BL7*0.5,0), ROUND($BE7*T7*AB7*K7*AZ7*0.8*[1]ステータス!$C$2,0))</f>
        <v>1988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1148</v>
      </c>
      <c r="BK7" s="11">
        <f ca="1">ROUND(BD7*S7*AA7*J7*AY7*[1]ステータス!$B$2,0)</f>
        <v>4180</v>
      </c>
      <c r="BL7" s="11">
        <f ca="1">ROUND(BD7*T7*AB7*K7*AZ7*[1]ステータス!$C$2,0)</f>
        <v>3256</v>
      </c>
      <c r="BM7" s="11">
        <f ca="1">ROUND(BD7*U7*AC7*L7*BA7*[1]ステータス!$D$2,0)</f>
        <v>0</v>
      </c>
      <c r="BN7" s="11">
        <f ca="1">ROUND(BD7*V7*AD7*M7*BB7*[1]ステータス!$E$2,0)</f>
        <v>1881</v>
      </c>
      <c r="BO7" s="10">
        <v>0</v>
      </c>
      <c r="BP7" s="10">
        <v>1</v>
      </c>
      <c r="BQ7" s="37" t="s">
        <v>47</v>
      </c>
      <c r="BR7" s="12">
        <f ca="1">VLOOKUP(H7,ghosts_label!$A$2:$B$19,2,FALSE)</f>
        <v>1</v>
      </c>
    </row>
    <row r="8" spans="1:70" ht="26" customHeight="1" x14ac:dyDescent="0.15">
      <c r="A8" s="220">
        <v>8049</v>
      </c>
      <c r="B8" s="55" t="str">
        <f ca="1">VLOOKUP($A8,OFFSET([1]characters!$A$1,0,0,COUNTA([1]characters!$A:$A),MATCH(B$1,[1]characters!$1:$1,0)-MATCH($A$1,[1]characters!$1:$1,0)+1),MATCH(B$1,[1]characters!$1:$1,0)-MATCH($A$1,[1]characters!$1:$1,0)+1,FALSE)</f>
        <v>KIRIMIちゃん</v>
      </c>
      <c r="C8" s="55" t="str">
        <f ca="1">VLOOKUP($A8,OFFSET([1]characters!$A$1,0,0,COUNTA([1]characters!$A:$A),MATCH(C$1,[1]characters!$1:$1,0)-MATCH($A$1,[1]characters!$1:$1,0)+1),MATCH(C$1,[1]characters!$1:$1,0)-MATCH($A$1,[1]characters!$1:$1,0)+1,FALSE)</f>
        <v>KIRIMIちゃん</v>
      </c>
      <c r="D8" s="5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5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5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5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5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5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17</v>
      </c>
      <c r="O8" s="11">
        <f ca="1">INDEX(レベル!$A$1:$I$21,MATCH(H8,レベル!$A$1:$A$21,FALSE),MATCH(G8,レベル!$A$1:$I$1,FALSE))</f>
        <v>60</v>
      </c>
      <c r="P8" s="46">
        <f t="shared" ca="1" si="7"/>
        <v>60</v>
      </c>
      <c r="Q8" s="55" t="s">
        <v>328</v>
      </c>
      <c r="R8" s="5" t="str">
        <f>VLOOKUP(Q8,[1]character_type_i18n!$A:$H,3,FALSE)</f>
        <v>体力タイプ</v>
      </c>
      <c r="S8" s="11">
        <f>VLOOKUP(Q8,[1]character_type_i18n!$A:$H,4,FALSE)</f>
        <v>1.45</v>
      </c>
      <c r="T8" s="11">
        <f>VLOOKUP(Q8,[1]character_type_i18n!$A:$H,5,FALSE)</f>
        <v>0.85</v>
      </c>
      <c r="U8" s="11">
        <f>VLOOKUP(Q8,[1]character_type_i18n!$A:$H,6,FALSE)</f>
        <v>1</v>
      </c>
      <c r="V8" s="11">
        <f>VLOOKUP(Q8,[1]character_type_i18n!$A:$H,7,FALSE)</f>
        <v>0.7</v>
      </c>
      <c r="W8" s="55" t="s">
        <v>331</v>
      </c>
      <c r="X8" s="5" t="str">
        <f>VLOOKUP(W8,[1]character_tribe_i18n!$A:$H,3,FALSE)</f>
        <v>Unknown</v>
      </c>
      <c r="Y8" s="55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>VLOOKUP(W8,[1]character_tribe_i18n!$A:$H,4,FALSE)</f>
        <v>1</v>
      </c>
      <c r="AB8" s="11">
        <f>VLOOKUP(W8,[1]character_tribe_i18n!$A:$H,5,FALSE)</f>
        <v>1</v>
      </c>
      <c r="AC8" s="11">
        <f>VLOOKUP(W8,[1]character_tribe_i18n!$A:$H,6,FALSE)</f>
        <v>1</v>
      </c>
      <c r="AD8" s="11">
        <f>VLOOKUP(W8,[1]character_tribe_i18n!$A:$H,7,FALSE)</f>
        <v>1</v>
      </c>
      <c r="AE8" s="9">
        <f>A9</f>
        <v>8050</v>
      </c>
      <c r="AF8" s="60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KIRIMIちゃん</v>
      </c>
      <c r="AG8" s="5">
        <f t="shared" ca="1" si="0"/>
        <v>8049</v>
      </c>
      <c r="AH8" s="60" t="str">
        <f ca="1">VLOOKUP($AG8,OFFSET([1]characters!$A$1,0,0,COUNTA([1]characters!$A:$A),MATCH(AH$1,[1]characters!$1:$1,0)-MATCH($A$1,[1]characters!$1:$1,0)+1),MATCH(AH$1,[1]characters!$1:$1,0)-MATCH($A$1,[1]characters!$1:$1,0)+1,FALSE)</f>
        <v>KIRIMIちゃん</v>
      </c>
      <c r="AI8" s="11">
        <f ca="1">IF(AE8="NULL","NULL",VLOOKUP(G8,ビット!$A$2:$B$7,2))</f>
        <v>50000</v>
      </c>
      <c r="AJ8" s="6">
        <v>2</v>
      </c>
      <c r="AK8" s="7" t="str">
        <f t="shared" si="5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3"/>
      <c r="AP8" s="65">
        <f t="shared" si="3"/>
        <v>8049</v>
      </c>
      <c r="AQ8" s="55" t="str">
        <f ca="1">VLOOKUP($AP8,OFFSET(unit_skills!$A$1,0,0,COUNTA(unit_skills!$A:$A),MATCH(AQ$1,unit_skills!$1:$1,0)-MATCH($AP$1,unit_skills!$1:$1,0)+1),MATCH(AQ$1,unit_skills!$1:$1,0)-MATCH($AP$1,unit_skills!$1:$1,0)+1,FALSE)</f>
        <v>おいしい魔法</v>
      </c>
      <c r="AR8" s="55" t="str">
        <f ca="1">VLOOKUP($AP8,OFFSET(unit_skills!$A$1,0,0,COUNTA(unit_skills!$A:$A),MATCH(AR$1,unit_skills!$1:$1,0)-MATCH($AP$1,unit_skills!$1:$1,0)+1),MATCH(AR$1,unit_skills!$1:$1,0)-MATCH($AP$1,unit_skills!$1:$1,0)+1,FALSE)</f>
        <v>味方のHPを10%減らし、4ターンHP大回復+攻撃力を特大UP</v>
      </c>
      <c r="AS8" s="55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0">
        <f t="shared" si="4"/>
        <v>8049</v>
      </c>
      <c r="AU8" s="55" t="str">
        <f ca="1">VLOOKUP($AT8,OFFSET(crash_skills!$A$1,0,0,COUNTA(crash_skills!$A:$A),MATCH(AU$1,crash_skills!$1:$1,0)-MATCH($AT$1,crash_skills!$1:$1,0)+1),MATCH(AU$1,crash_skills!$1:$1,0)-MATCH($AT$1,crash_skills!$1:$1,0)+1,FALSE)</f>
        <v>切り身界のNew Wave</v>
      </c>
      <c r="AV8" s="55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8" s="55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6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6">
        <v>1.1000000000000001</v>
      </c>
      <c r="AZ8" s="66">
        <v>1.25</v>
      </c>
      <c r="BA8" s="66">
        <v>0</v>
      </c>
      <c r="BB8" s="66">
        <v>1.03</v>
      </c>
      <c r="BC8" s="11">
        <f ca="1">INDEX('RC6SV'!$A$1:$G$20,MATCH(H8,'RC6SV'!$A$1:$A$20,FALSE),MATCH(G8,'RC6SV'!$A$1:$G$1,FALSE))</f>
        <v>5800</v>
      </c>
      <c r="BD8" s="46">
        <f t="shared" ca="1" si="6"/>
        <v>5800</v>
      </c>
      <c r="BE8" s="11">
        <f t="shared" ca="1" si="1"/>
        <v>0</v>
      </c>
      <c r="BF8" s="11">
        <f t="shared" ca="1" si="2"/>
        <v>1</v>
      </c>
      <c r="BG8" s="16">
        <f ca="1">IF($BE8&lt;=0,ROUND(BK8*0.5,0), ROUND($BE8*S8*AA8*J8*AY8*0.8*[1]ステータス!$B$2,0))</f>
        <v>2313</v>
      </c>
      <c r="BH8" s="16">
        <f ca="1">IF($BE8&lt;=0,ROUND(BL8*0.5,0), ROUND($BE8*T8*AB8*K8*AZ8*0.8*[1]ステータス!$C$2,0))</f>
        <v>943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513</v>
      </c>
      <c r="BK8" s="11">
        <f ca="1">ROUND(BD8*S8*AA8*J8*AY8*[1]ステータス!$B$2,0)</f>
        <v>4626</v>
      </c>
      <c r="BL8" s="11">
        <f ca="1">ROUND(BD8*T8*AB8*K8*AZ8*[1]ステータス!$C$2,0)</f>
        <v>1886</v>
      </c>
      <c r="BM8" s="11">
        <f ca="1">ROUND(BD8*U8*AC8*L8*BA8*[1]ステータス!$D$2,0)</f>
        <v>0</v>
      </c>
      <c r="BN8" s="11">
        <f ca="1">ROUND(BD8*V8*AD8*M8*BB8*[1]ステータス!$E$2,0)</f>
        <v>1025</v>
      </c>
      <c r="BO8" s="10">
        <v>0</v>
      </c>
      <c r="BP8" s="10">
        <v>1</v>
      </c>
      <c r="BQ8" s="37" t="s">
        <v>47</v>
      </c>
      <c r="BR8" s="12">
        <f ca="1">VLOOKUP(H8,ghosts_label!$A$2:$B$19,2,FALSE)</f>
        <v>1</v>
      </c>
    </row>
    <row r="9" spans="1:70" ht="26" customHeight="1" x14ac:dyDescent="0.15">
      <c r="A9" s="220">
        <v>8050</v>
      </c>
      <c r="B9" s="55" t="str">
        <f ca="1">VLOOKUP($A9,OFFSET([1]characters!$A$1,0,0,COUNTA([1]characters!$A:$A),MATCH(B$1,[1]characters!$1:$1,0)-MATCH($A$1,[1]characters!$1:$1,0)+1),MATCH(B$1,[1]characters!$1:$1,0)-MATCH($A$1,[1]characters!$1:$1,0)+1,FALSE)</f>
        <v>KIRIMIちゃん</v>
      </c>
      <c r="C9" s="55" t="str">
        <f ca="1">VLOOKUP($A9,OFFSET([1]characters!$A$1,0,0,COUNTA([1]characters!$A:$A),MATCH(C$1,[1]characters!$1:$1,0)-MATCH($A$1,[1]characters!$1:$1,0)+1),MATCH(C$1,[1]characters!$1:$1,0)-MATCH($A$1,[1]characters!$1:$1,0)+1,FALSE)</f>
        <v>KIRIMIちゃん</v>
      </c>
      <c r="D9" s="55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5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5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5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5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5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26</v>
      </c>
      <c r="O9" s="11">
        <f ca="1">INDEX(レベル!$A$1:$I$21,MATCH(H9,レベル!$A$1:$A$21,FALSE),MATCH(G9,レベル!$A$1:$I$1,FALSE))</f>
        <v>80</v>
      </c>
      <c r="P9" s="46">
        <f t="shared" ca="1" si="7"/>
        <v>75</v>
      </c>
      <c r="Q9" s="55" t="s">
        <v>329</v>
      </c>
      <c r="R9" s="5" t="str">
        <f>VLOOKUP(Q9,[1]character_type_i18n!$A:$H,3,FALSE)</f>
        <v>体力タイプ</v>
      </c>
      <c r="S9" s="11">
        <f>VLOOKUP(Q9,[1]character_type_i18n!$A:$H,4,FALSE)</f>
        <v>1.45</v>
      </c>
      <c r="T9" s="11">
        <f>VLOOKUP(Q9,[1]character_type_i18n!$A:$H,5,FALSE)</f>
        <v>0.85</v>
      </c>
      <c r="U9" s="11">
        <f>VLOOKUP(Q9,[1]character_type_i18n!$A:$H,6,FALSE)</f>
        <v>1</v>
      </c>
      <c r="V9" s="11">
        <f>VLOOKUP(Q9,[1]character_type_i18n!$A:$H,7,FALSE)</f>
        <v>0.7</v>
      </c>
      <c r="W9" s="55" t="s">
        <v>331</v>
      </c>
      <c r="X9" s="5" t="str">
        <f>VLOOKUP(W9,[1]character_tribe_i18n!$A:$H,3,FALSE)</f>
        <v>Unknown</v>
      </c>
      <c r="Y9" s="55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>VLOOKUP(W9,[1]character_tribe_i18n!$A:$H,4,FALSE)</f>
        <v>1</v>
      </c>
      <c r="AB9" s="11">
        <f>VLOOKUP(W9,[1]character_tribe_i18n!$A:$H,5,FALSE)</f>
        <v>1</v>
      </c>
      <c r="AC9" s="11">
        <f>VLOOKUP(W9,[1]character_tribe_i18n!$A:$H,6,FALSE)</f>
        <v>1</v>
      </c>
      <c r="AD9" s="11">
        <f>VLOOKUP(W9,[1]character_tribe_i18n!$A:$H,7,FALSE)</f>
        <v>1</v>
      </c>
      <c r="AE9" s="9" t="s">
        <v>183</v>
      </c>
      <c r="AF9" s="60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8049</v>
      </c>
      <c r="AH9" s="60" t="str">
        <f ca="1">VLOOKUP($AG9,OFFSET([1]characters!$A$1,0,0,COUNTA([1]characters!$A:$A),MATCH(AH$1,[1]characters!$1:$1,0)-MATCH($A$1,[1]characters!$1:$1,0)+1),MATCH(AH$1,[1]characters!$1:$1,0)-MATCH($A$1,[1]characters!$1:$1,0)+1,FALSE)</f>
        <v>KIRIMIちゃん</v>
      </c>
      <c r="AI9" s="11" t="str">
        <f>IF(AE9="NULL","NULL",VLOOKUP(G9,ビット!$A$2:$B$7,2))</f>
        <v>NULL</v>
      </c>
      <c r="AJ9" s="6">
        <v>2</v>
      </c>
      <c r="AK9" s="7" t="str">
        <f t="shared" si="5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3"/>
      <c r="AP9" s="65">
        <f t="shared" si="3"/>
        <v>8050</v>
      </c>
      <c r="AQ9" s="55" t="str">
        <f ca="1">VLOOKUP($AP9,OFFSET(unit_skills!$A$1,0,0,COUNTA(unit_skills!$A:$A),MATCH(AQ$1,unit_skills!$1:$1,0)-MATCH($AP$1,unit_skills!$1:$1,0)+1),MATCH(AQ$1,unit_skills!$1:$1,0)-MATCH($AP$1,unit_skills!$1:$1,0)+1,FALSE)</f>
        <v>おいしい魔法</v>
      </c>
      <c r="AR9" s="55" t="str">
        <f ca="1">VLOOKUP($AP9,OFFSET(unit_skills!$A$1,0,0,COUNTA(unit_skills!$A:$A),MATCH(AR$1,unit_skills!$1:$1,0)-MATCH($AP$1,unit_skills!$1:$1,0)+1),MATCH(AR$1,unit_skills!$1:$1,0)-MATCH($AP$1,unit_skills!$1:$1,0)+1,FALSE)</f>
        <v>味方のHPを10%減らし、4ターンHP大回復+攻撃力を特大UP</v>
      </c>
      <c r="AS9" s="55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0">
        <f t="shared" si="4"/>
        <v>8050</v>
      </c>
      <c r="AU9" s="55" t="str">
        <f ca="1">VLOOKUP($AT9,OFFSET(crash_skills!$A$1,0,0,COUNTA(crash_skills!$A:$A),MATCH(AU$1,crash_skills!$1:$1,0)-MATCH($AT$1,crash_skills!$1:$1,0)+1),MATCH(AU$1,crash_skills!$1:$1,0)-MATCH($AT$1,crash_skills!$1:$1,0)+1,FALSE)</f>
        <v>切り身界のNew Wave</v>
      </c>
      <c r="AV9" s="55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9" s="55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6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6">
        <v>1.2</v>
      </c>
      <c r="AZ9" s="66">
        <v>1.306</v>
      </c>
      <c r="BA9" s="66">
        <v>0</v>
      </c>
      <c r="BB9" s="66">
        <v>1.03</v>
      </c>
      <c r="BC9" s="11">
        <f ca="1">INDEX('RC6SV'!$A$1:$G$20,MATCH(H9,'RC6SV'!$A$1:$A$20,FALSE),MATCH(G9,'RC6SV'!$A$1:$G$1,FALSE))</f>
        <v>7600</v>
      </c>
      <c r="BD9" s="46">
        <f t="shared" ca="1" si="6"/>
        <v>7600</v>
      </c>
      <c r="BE9" s="11">
        <f t="shared" ca="1" si="1"/>
        <v>5800</v>
      </c>
      <c r="BF9" s="11">
        <f t="shared" ca="1" si="2"/>
        <v>1</v>
      </c>
      <c r="BG9" s="16">
        <f ca="1">IF($BE9&lt;=0,ROUND(BK9*0.5,0), ROUND($BE9*S9*AA9*J9*AY9*0.8*[1]ステータス!$B$2,0))</f>
        <v>4037</v>
      </c>
      <c r="BH9" s="16">
        <f ca="1">IF($BE9&lt;=0,ROUND(BL9*0.5,0), ROUND($BE9*T9*AB9*K9*AZ9*0.8*[1]ステータス!$C$2,0))</f>
        <v>1576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820</v>
      </c>
      <c r="BK9" s="11">
        <f ca="1">ROUND(BD9*S9*AA9*J9*AY9*[1]ステータス!$B$2,0)</f>
        <v>6612</v>
      </c>
      <c r="BL9" s="11">
        <f ca="1">ROUND(BD9*T9*AB9*K9*AZ9*[1]ステータス!$C$2,0)</f>
        <v>2582</v>
      </c>
      <c r="BM9" s="11">
        <f ca="1">ROUND(BD9*U9*AC9*L9*BA9*[1]ステータス!$D$2,0)</f>
        <v>0</v>
      </c>
      <c r="BN9" s="11">
        <f ca="1">ROUND(BD9*V9*AD9*M9*BB9*[1]ステータス!$E$2,0)</f>
        <v>1343</v>
      </c>
      <c r="BO9" s="10">
        <v>0</v>
      </c>
      <c r="BP9" s="10">
        <v>1</v>
      </c>
      <c r="BQ9" s="37" t="s">
        <v>47</v>
      </c>
      <c r="BR9" s="12">
        <f ca="1">VLOOKUP(H9,ghosts_label!$A$2:$B$19,2,FALSE)</f>
        <v>1</v>
      </c>
    </row>
    <row r="10" spans="1:70" ht="26" customHeight="1" x14ac:dyDescent="0.15">
      <c r="A10" s="220">
        <v>8051</v>
      </c>
      <c r="B10" s="55" t="str">
        <f ca="1">VLOOKUP($A10,OFFSET([1]characters!$A$1,0,0,COUNTA([1]characters!$A:$A),MATCH(B$1,[1]characters!$1:$1,0)-MATCH($A$1,[1]characters!$1:$1,0)+1),MATCH(B$1,[1]characters!$1:$1,0)-MATCH($A$1,[1]characters!$1:$1,0)+1,FALSE)</f>
        <v>ハローキティのリボン</v>
      </c>
      <c r="C10" s="55" t="str">
        <f ca="1">VLOOKUP($A10,OFFSET([1]characters!$A$1,0,0,COUNTA([1]characters!$A:$A),MATCH(C$1,[1]characters!$1:$1,0)-MATCH($A$1,[1]characters!$1:$1,0)+1),MATCH(C$1,[1]characters!$1:$1,0)-MATCH($A$1,[1]characters!$1:$1,0)+1,FALSE)</f>
        <v>ハローキティのリボン</v>
      </c>
      <c r="D10" s="55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5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5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5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5" t="str">
        <f ca="1">VLOOKUP($A10,OFFSET([1]characters!$A$1,0,0,COUNTA([1]characters!$A:$A),MATCH(H$1,[1]characters!$1:$1,0)-MATCH($A$1,[1]characters!$1:$1,0)+1),MATCH(H$1,[1]characters!$1:$1,0)-MATCH($A$1,[1]characters!$1:$1,0)+1,FALSE)</f>
        <v>Drop2N</v>
      </c>
      <c r="I10" s="55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26</v>
      </c>
      <c r="O10" s="11">
        <f ca="1">INDEX(レベル!$A$1:$I$21,MATCH(H10,レベル!$A$1:$A$21,FALSE),MATCH(G10,レベル!$A$1:$I$1,FALSE))</f>
        <v>80</v>
      </c>
      <c r="P10" s="46">
        <f t="shared" ca="1" si="7"/>
        <v>75</v>
      </c>
      <c r="Q10" s="55" t="str">
        <f ca="1">VLOOKUP($A10,OFFSET([1]characters!$A$1,0,0,COUNTA([1]characters!$A:$A),MATCH(Q$1,[1]characters!$1:$1,0)-MATCH($A$1,[1]characters!$1:$1,0)+1),MATCH(Q$1,[1]characters!$1:$1,0)-MATCH($A$1,[1]characters!$1:$1,0)+1,FALSE)</f>
        <v>evolution</v>
      </c>
      <c r="R10" s="5" t="str">
        <f ca="1">VLOOKUP(Q10,[1]character_type_i18n!$A:$H,3,FALSE)</f>
        <v>覚醒素材タイプ</v>
      </c>
      <c r="S10" s="11">
        <f ca="1">VLOOKUP(Q10,[1]character_type_i18n!$A:$H,4,FALSE)</f>
        <v>0.1</v>
      </c>
      <c r="T10" s="11">
        <f ca="1">VLOOKUP(Q10,[1]character_type_i18n!$A:$H,5,FALSE)</f>
        <v>0.05</v>
      </c>
      <c r="U10" s="11">
        <f ca="1">VLOOKUP(Q10,[1]character_type_i18n!$A:$H,6,FALSE)</f>
        <v>1</v>
      </c>
      <c r="V10" s="11">
        <f ca="1">VLOOKUP(Q10,[1]character_type_i18n!$A:$H,7,FALSE)</f>
        <v>0.05</v>
      </c>
      <c r="W10" s="55" t="s">
        <v>331</v>
      </c>
      <c r="X10" s="5" t="str">
        <f>VLOOKUP(W10,[1]character_tribe_i18n!$A:$H,3,FALSE)</f>
        <v>Unknown</v>
      </c>
      <c r="Y10" s="55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>VLOOKUP(W10,[1]character_tribe_i18n!$A:$H,4,FALSE)</f>
        <v>1</v>
      </c>
      <c r="AB10" s="11">
        <f>VLOOKUP(W10,[1]character_tribe_i18n!$A:$H,5,FALSE)</f>
        <v>1</v>
      </c>
      <c r="AC10" s="11">
        <f>VLOOKUP(W10,[1]character_tribe_i18n!$A:$H,6,FALSE)</f>
        <v>1</v>
      </c>
      <c r="AD10" s="11">
        <f>VLOOKUP(W10,[1]character_tribe_i18n!$A:$H,7,FALSE)</f>
        <v>1</v>
      </c>
      <c r="AE10" s="9" t="s">
        <v>320</v>
      </c>
      <c r="AF10" s="60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0"/>
        <v>8051</v>
      </c>
      <c r="AH10" s="60" t="str">
        <f ca="1">VLOOKUP($AG10,OFFSET([1]characters!$A$1,0,0,COUNTA([1]characters!$A:$A),MATCH(AH$1,[1]characters!$1:$1,0)-MATCH($A$1,[1]characters!$1:$1,0)+1),MATCH(AH$1,[1]characters!$1:$1,0)-MATCH($A$1,[1]characters!$1:$1,0)+1,FALSE)</f>
        <v>ハローキティのリボン</v>
      </c>
      <c r="AI10" s="11" t="str">
        <f>IF(AE10="NULL","NULL",VLOOKUP(G10,ビット!$A$2:$B$7,2))</f>
        <v>NULL</v>
      </c>
      <c r="AJ10" s="6">
        <v>2</v>
      </c>
      <c r="AK10" s="7" t="str">
        <f t="shared" si="5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3"/>
      <c r="AP10" s="65">
        <v>0</v>
      </c>
      <c r="AQ10" s="55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5" t="e">
        <f ca="1">VLOOKUP($AP10,OFFSET(unit_skills!$A$1,0,0,COUNTA(unit_skills!$A:$A),MATCH(AR$1,unit_skills!$1:$1,0)-MATCH($AP$1,unit_skills!$1:$1,0)+1),MATCH(AR$1,unit_skills!$1:$1,0)-MATCH($AP$1,unit_skills!$1:$1,0)+1,FALSE)</f>
        <v>#N/A</v>
      </c>
      <c r="AS10" s="55" t="e">
        <f ca="1">VLOOKUP($AP10,OFFSET(unit_skills!$A$1,0,0,COUNTA(unit_skills!$A:$A),MATCH(AS$1,unit_skills!$1:$1,0)-MATCH($AP$1,unit_skills!$1:$1,0)+1),MATCH(AS$1,unit_skills!$1:$1,0)-MATCH($AP$1,unit_skills!$1:$1,0)+1,FALSE)</f>
        <v>#N/A</v>
      </c>
      <c r="AT10" s="40">
        <v>0</v>
      </c>
      <c r="AU10" s="55" t="e">
        <f ca="1">VLOOKUP($AT10,OFFSET(crash_skills!$A$1,0,0,COUNTA(crash_skills!$A:$A),MATCH(AU$1,crash_skills!$1:$1,0)-MATCH($AT$1,crash_skills!$1:$1,0)+1),MATCH(AU$1,crash_skills!$1:$1,0)-MATCH($AT$1,crash_skills!$1:$1,0)+1,FALSE)</f>
        <v>#N/A</v>
      </c>
      <c r="AV10" s="55" t="e">
        <f ca="1">VLOOKUP($AT10,OFFSET(crash_skills!$A$1,0,0,COUNTA(crash_skills!$A:$A),MATCH(AV$1,crash_skills!$1:$1,0)-MATCH($AT$1,crash_skills!$1:$1,0)+1),MATCH(AV$1,crash_skills!$1:$1,0)-MATCH($AT$1,crash_skills!$1:$1,0)+1,FALSE)</f>
        <v>#N/A</v>
      </c>
      <c r="AW10" s="55" t="e">
        <f ca="1">VLOOKUP($AT10,OFFSET(crash_skills!$A$1,0,0,COUNTA(crash_skills!$A:$A),MATCH(AW$1,crash_skills!$1:$1,0)-MATCH($AT$1,crash_skills!$1:$1,0)+1),MATCH(AW$1,crash_skills!$1:$1,0)-MATCH($AT$1,crash_skills!$1:$1,0)+1,FALSE)</f>
        <v>#N/A</v>
      </c>
      <c r="AX10" s="56">
        <f ca="1">VLOOKUP($A10,OFFSET([1]characters!$A$1,0,0,COUNTA([1]characters!$A:$A),MATCH(AX$1,[1]characters!$1:$1,0)-MATCH($A$1,[1]characters!$1:$1,0)+1),MATCH(AX$1,[1]characters!$1:$1,0)-MATCH($A$1,[1]characters!$1:$1,0)+1,FALSE)</f>
        <v>1</v>
      </c>
      <c r="AY10" s="66">
        <v>1</v>
      </c>
      <c r="AZ10" s="66">
        <v>1</v>
      </c>
      <c r="BA10" s="66">
        <v>0</v>
      </c>
      <c r="BB10" s="66">
        <v>1</v>
      </c>
      <c r="BC10" s="11">
        <f ca="1">INDEX('RC6SV'!$A$1:$G$20,MATCH(H10,'RC6SV'!$A$1:$A$20,FALSE),MATCH(G10,'RC6SV'!$A$1:$G$1,FALSE))</f>
        <v>7600</v>
      </c>
      <c r="BD10" s="46">
        <f t="shared" ca="1" si="6"/>
        <v>7600</v>
      </c>
      <c r="BE10" s="11">
        <f t="shared" ca="1" si="1"/>
        <v>0</v>
      </c>
      <c r="BF10" s="11">
        <f t="shared" ca="1" si="2"/>
        <v>1</v>
      </c>
      <c r="BG10" s="16">
        <f ca="1">IF($BE10&lt;=0,ROUND(BK10*0.5,0), ROUND($BE10*S10*AA10*J10*AY10*0.8*[1]ステータス!$B$2,0))</f>
        <v>190</v>
      </c>
      <c r="BH10" s="16">
        <f ca="1">IF($BE10&lt;=0,ROUND(BL10*0.5,0), ROUND($BE10*T10*AB10*K10*AZ10*0.8*[1]ステータス!$C$2,0))</f>
        <v>58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47</v>
      </c>
      <c r="BK10" s="11">
        <f ca="1">ROUND(BD10*S10*AA10*J10*AY10*[1]ステータス!$B$2,0)</f>
        <v>380</v>
      </c>
      <c r="BL10" s="11">
        <f ca="1">ROUND(BD10*T10*AB10*K10*AZ10*[1]ステータス!$C$2,0)</f>
        <v>116</v>
      </c>
      <c r="BM10" s="11">
        <f ca="1">ROUND(BD10*U10*AC10*L10*BA10*[1]ステータス!$D$2,0)</f>
        <v>0</v>
      </c>
      <c r="BN10" s="11">
        <f ca="1">ROUND(BD10*V10*AD10*M10*BB10*[1]ステータス!$E$2,0)</f>
        <v>93</v>
      </c>
      <c r="BO10" s="10">
        <v>0</v>
      </c>
      <c r="BP10" s="10">
        <v>1</v>
      </c>
      <c r="BQ10" s="37" t="s">
        <v>47</v>
      </c>
      <c r="BR10" s="12">
        <f ca="1">VLOOKUP(H10,ghosts_label!$A$2:$B$19,2,FALSE)</f>
        <v>1</v>
      </c>
    </row>
    <row r="11" spans="1:70" ht="26" customHeight="1" x14ac:dyDescent="0.15">
      <c r="A11" s="220">
        <v>8052</v>
      </c>
      <c r="B11" s="55" t="str">
        <f ca="1">VLOOKUP($A11,OFFSET([1]characters!$A$1,0,0,COUNTA([1]characters!$A:$A),MATCH(B$1,[1]characters!$1:$1,0)-MATCH($A$1,[1]characters!$1:$1,0)+1),MATCH(B$1,[1]characters!$1:$1,0)-MATCH($A$1,[1]characters!$1:$1,0)+1,FALSE)</f>
        <v>ママの作ったアップルパイ</v>
      </c>
      <c r="C11" s="55" t="str">
        <f ca="1">VLOOKUP($A11,OFFSET([1]characters!$A$1,0,0,COUNTA([1]characters!$A:$A),MATCH(C$1,[1]characters!$1:$1,0)-MATCH($A$1,[1]characters!$1:$1,0)+1),MATCH(C$1,[1]characters!$1:$1,0)-MATCH($A$1,[1]characters!$1:$1,0)+1,FALSE)</f>
        <v>ママの作ったアップルパイ</v>
      </c>
      <c r="D11" s="55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5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5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5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5" t="str">
        <f ca="1">VLOOKUP($A11,OFFSET([1]characters!$A$1,0,0,COUNTA([1]characters!$A:$A),MATCH(H$1,[1]characters!$1:$1,0)-MATCH($A$1,[1]characters!$1:$1,0)+1),MATCH(H$1,[1]characters!$1:$1,0)-MATCH($A$1,[1]characters!$1:$1,0)+1,FALSE)</f>
        <v>Drop2N</v>
      </c>
      <c r="I11" s="55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17</v>
      </c>
      <c r="O11" s="11">
        <f ca="1">INDEX(レベル!$A$1:$I$21,MATCH(H11,レベル!$A$1:$A$21,FALSE),MATCH(G11,レベル!$A$1:$I$1,FALSE))</f>
        <v>60</v>
      </c>
      <c r="P11" s="46">
        <f t="shared" ca="1" si="7"/>
        <v>60</v>
      </c>
      <c r="Q11" s="55" t="str">
        <f ca="1">VLOOKUP($A11,OFFSET([1]characters!$A$1,0,0,COUNTA([1]characters!$A:$A),MATCH(Q$1,[1]characters!$1:$1,0)-MATCH($A$1,[1]characters!$1:$1,0)+1),MATCH(Q$1,[1]characters!$1:$1,0)-MATCH($A$1,[1]characters!$1:$1,0)+1,FALSE)</f>
        <v>evolution</v>
      </c>
      <c r="R11" s="5" t="str">
        <f ca="1">VLOOKUP(Q11,[1]character_type_i18n!$A:$H,3,FALSE)</f>
        <v>覚醒素材タイプ</v>
      </c>
      <c r="S11" s="11">
        <f ca="1">VLOOKUP(Q11,[1]character_type_i18n!$A:$H,4,FALSE)</f>
        <v>0.1</v>
      </c>
      <c r="T11" s="11">
        <f ca="1">VLOOKUP(Q11,[1]character_type_i18n!$A:$H,5,FALSE)</f>
        <v>0.05</v>
      </c>
      <c r="U11" s="11">
        <f ca="1">VLOOKUP(Q11,[1]character_type_i18n!$A:$H,6,FALSE)</f>
        <v>1</v>
      </c>
      <c r="V11" s="11">
        <f ca="1">VLOOKUP(Q11,[1]character_type_i18n!$A:$H,7,FALSE)</f>
        <v>0.05</v>
      </c>
      <c r="W11" s="55" t="s">
        <v>331</v>
      </c>
      <c r="X11" s="5" t="str">
        <f>VLOOKUP(W11,[1]character_tribe_i18n!$A:$H,3,FALSE)</f>
        <v>Unknown</v>
      </c>
      <c r="Y11" s="55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>VLOOKUP(W11,[1]character_tribe_i18n!$A:$H,4,FALSE)</f>
        <v>1</v>
      </c>
      <c r="AB11" s="11">
        <f>VLOOKUP(W11,[1]character_tribe_i18n!$A:$H,5,FALSE)</f>
        <v>1</v>
      </c>
      <c r="AC11" s="11">
        <f>VLOOKUP(W11,[1]character_tribe_i18n!$A:$H,6,FALSE)</f>
        <v>1</v>
      </c>
      <c r="AD11" s="11">
        <f>VLOOKUP(W11,[1]character_tribe_i18n!$A:$H,7,FALSE)</f>
        <v>1</v>
      </c>
      <c r="AE11" s="9" t="s">
        <v>183</v>
      </c>
      <c r="AF11" s="60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8052</v>
      </c>
      <c r="AH11" s="60" t="str">
        <f ca="1">VLOOKUP($AG11,OFFSET([1]characters!$A$1,0,0,COUNTA([1]characters!$A:$A),MATCH(AH$1,[1]characters!$1:$1,0)-MATCH($A$1,[1]characters!$1:$1,0)+1),MATCH(AH$1,[1]characters!$1:$1,0)-MATCH($A$1,[1]characters!$1:$1,0)+1,FALSE)</f>
        <v>ママの作ったアップルパイ</v>
      </c>
      <c r="AI11" s="11" t="str">
        <f>IF(AE11="NULL","NULL",VLOOKUP(G11,ビット!$A$2:$B$7,2))</f>
        <v>NULL</v>
      </c>
      <c r="AJ11" s="6">
        <v>2</v>
      </c>
      <c r="AK11" s="7" t="str">
        <f t="shared" si="5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3400</v>
      </c>
      <c r="AN11" s="17">
        <f ca="1">VLOOKUP(G11,ビット!$G$2:$H$7,2)</f>
        <v>600</v>
      </c>
      <c r="AO11" s="43"/>
      <c r="AP11" s="65">
        <v>0</v>
      </c>
      <c r="AQ11" s="55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5" t="e">
        <f ca="1">VLOOKUP($AP11,OFFSET(unit_skills!$A$1,0,0,COUNTA(unit_skills!$A:$A),MATCH(AR$1,unit_skills!$1:$1,0)-MATCH($AP$1,unit_skills!$1:$1,0)+1),MATCH(AR$1,unit_skills!$1:$1,0)-MATCH($AP$1,unit_skills!$1:$1,0)+1,FALSE)</f>
        <v>#N/A</v>
      </c>
      <c r="AS11" s="55" t="e">
        <f ca="1">VLOOKUP($AP11,OFFSET(unit_skills!$A$1,0,0,COUNTA(unit_skills!$A:$A),MATCH(AS$1,unit_skills!$1:$1,0)-MATCH($AP$1,unit_skills!$1:$1,0)+1),MATCH(AS$1,unit_skills!$1:$1,0)-MATCH($AP$1,unit_skills!$1:$1,0)+1,FALSE)</f>
        <v>#N/A</v>
      </c>
      <c r="AT11" s="40">
        <v>0</v>
      </c>
      <c r="AU11" s="55" t="e">
        <f ca="1">VLOOKUP($AT11,OFFSET(crash_skills!$A$1,0,0,COUNTA(crash_skills!$A:$A),MATCH(AU$1,crash_skills!$1:$1,0)-MATCH($AT$1,crash_skills!$1:$1,0)+1),MATCH(AU$1,crash_skills!$1:$1,0)-MATCH($AT$1,crash_skills!$1:$1,0)+1,FALSE)</f>
        <v>#N/A</v>
      </c>
      <c r="AV11" s="55" t="e">
        <f ca="1">VLOOKUP($AT11,OFFSET(crash_skills!$A$1,0,0,COUNTA(crash_skills!$A:$A),MATCH(AV$1,crash_skills!$1:$1,0)-MATCH($AT$1,crash_skills!$1:$1,0)+1),MATCH(AV$1,crash_skills!$1:$1,0)-MATCH($AT$1,crash_skills!$1:$1,0)+1,FALSE)</f>
        <v>#N/A</v>
      </c>
      <c r="AW11" s="55" t="e">
        <f ca="1">VLOOKUP($AT11,OFFSET(crash_skills!$A$1,0,0,COUNTA(crash_skills!$A:$A),MATCH(AW$1,crash_skills!$1:$1,0)-MATCH($AT$1,crash_skills!$1:$1,0)+1),MATCH(AW$1,crash_skills!$1:$1,0)-MATCH($AT$1,crash_skills!$1:$1,0)+1,FALSE)</f>
        <v>#N/A</v>
      </c>
      <c r="AX11" s="56">
        <f ca="1">VLOOKUP($A11,OFFSET([1]characters!$A$1,0,0,COUNTA([1]characters!$A:$A),MATCH(AX$1,[1]characters!$1:$1,0)-MATCH($A$1,[1]characters!$1:$1,0)+1),MATCH(AX$1,[1]characters!$1:$1,0)-MATCH($A$1,[1]characters!$1:$1,0)+1,FALSE)</f>
        <v>1</v>
      </c>
      <c r="AY11" s="66">
        <v>1</v>
      </c>
      <c r="AZ11" s="66">
        <v>1</v>
      </c>
      <c r="BA11" s="66">
        <v>0</v>
      </c>
      <c r="BB11" s="66">
        <v>1</v>
      </c>
      <c r="BC11" s="11">
        <f ca="1">INDEX('RC6SV'!$A$1:$G$20,MATCH(H11,'RC6SV'!$A$1:$A$20,FALSE),MATCH(G11,'RC6SV'!$A$1:$G$1,FALSE))</f>
        <v>5800</v>
      </c>
      <c r="BD11" s="46">
        <f t="shared" ca="1" si="6"/>
        <v>5800</v>
      </c>
      <c r="BE11" s="11">
        <f t="shared" ca="1" si="1"/>
        <v>0</v>
      </c>
      <c r="BF11" s="11">
        <f t="shared" ca="1" si="2"/>
        <v>1</v>
      </c>
      <c r="BG11" s="16">
        <f ca="1">IF($BE11&lt;=0,ROUND(BK11*0.5,0), ROUND($BE11*S11*AA11*J11*AY11*0.8*[1]ステータス!$B$2,0))</f>
        <v>145</v>
      </c>
      <c r="BH11" s="16">
        <f ca="1">IF($BE11&lt;=0,ROUND(BL11*0.5,0), ROUND($BE11*T11*AB11*K11*AZ11*0.8*[1]ステータス!$C$2,0))</f>
        <v>45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36</v>
      </c>
      <c r="BK11" s="11">
        <f ca="1">ROUND(BD11*S11*AA11*J11*AY11*[1]ステータス!$B$2,0)</f>
        <v>290</v>
      </c>
      <c r="BL11" s="11">
        <f ca="1">ROUND(BD11*T11*AB11*K11*AZ11*[1]ステータス!$C$2,0)</f>
        <v>89</v>
      </c>
      <c r="BM11" s="11">
        <f ca="1">ROUND(BD11*U11*AC11*L11*BA11*[1]ステータス!$D$2,0)</f>
        <v>0</v>
      </c>
      <c r="BN11" s="11">
        <f ca="1">ROUND(BD11*V11*AD11*M11*BB11*[1]ステータス!$E$2,0)</f>
        <v>71</v>
      </c>
      <c r="BO11" s="10">
        <v>0</v>
      </c>
      <c r="BP11" s="10">
        <v>1</v>
      </c>
      <c r="BQ11" s="37" t="s">
        <v>47</v>
      </c>
      <c r="BR11" s="12">
        <f ca="1">VLOOKUP(H11,ghosts_label!$A$2:$B$19,2,FALSE)</f>
        <v>1</v>
      </c>
    </row>
    <row r="12" spans="1:70" ht="26" customHeight="1" x14ac:dyDescent="0.15">
      <c r="A12" s="220">
        <v>8053</v>
      </c>
      <c r="B12" s="55" t="str">
        <f ca="1">VLOOKUP($A12,OFFSET([1]characters!$A$1,0,0,COUNTA([1]characters!$A:$A),MATCH(B$1,[1]characters!$1:$1,0)-MATCH($A$1,[1]characters!$1:$1,0)+1),MATCH(B$1,[1]characters!$1:$1,0)-MATCH($A$1,[1]characters!$1:$1,0)+1,FALSE)</f>
        <v>D.R.T.H__キティコスプレ</v>
      </c>
      <c r="C12" s="55" t="str">
        <f ca="1">VLOOKUP($A12,OFFSET([1]characters!$A$1,0,0,COUNTA([1]characters!$A:$A),MATCH(C$1,[1]characters!$1:$1,0)-MATCH($A$1,[1]characters!$1:$1,0)+1),MATCH(C$1,[1]characters!$1:$1,0)-MATCH($A$1,[1]characters!$1:$1,0)+1,FALSE)</f>
        <v>D.R.T.H__キティコスプレ</v>
      </c>
      <c r="D12" s="55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5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5" t="str">
        <f ca="1">VLOOKUP($A12,OFFSET([1]characters!$A$1,0,0,COUNTA([1]characters!$A:$A),MATCH(F$1,[1]characters!$1:$1,0)-MATCH($A$1,[1]characters!$1:$1,0)+1),MATCH(F$1,[1]characters!$1:$1,0)-MATCH($A$1,[1]characters!$1:$1,0)+1,FALSE)</f>
        <v>女性</v>
      </c>
      <c r="G12" s="55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5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5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1">
        <f ca="1">VLOOKUP(I12,[1]属性!$A:$E,2,FALSE)</f>
        <v>1</v>
      </c>
      <c r="K12" s="11">
        <f ca="1">VLOOKUP(I12,[1]属性!$A:$E,3,FALSE)</f>
        <v>1.02</v>
      </c>
      <c r="L12" s="11">
        <f ca="1">VLOOKUP(I12,[1]属性!$A:$E,4,FALSE)</f>
        <v>1</v>
      </c>
      <c r="M12" s="11">
        <f ca="1">VLOOKUP(I12,[1]属性!$A:$E,5,FALSE)</f>
        <v>0.98</v>
      </c>
      <c r="N12" s="11">
        <f ca="1">INDEX(コスト!$A$1:$I$20,MATCH(H12,コスト!$A$1:$A$20,FALSE),MATCH(G12,コスト!$A$1:$I$1,FALSE))</f>
        <v>35</v>
      </c>
      <c r="O12" s="11">
        <f ca="1">INDEX(レベル!$A$1:$I$21,MATCH(H12,レベル!$A$1:$A$21,FALSE),MATCH(G12,レベル!$A$1:$I$1,FALSE))</f>
        <v>80</v>
      </c>
      <c r="P12" s="46">
        <f t="shared" ca="1" si="7"/>
        <v>75</v>
      </c>
      <c r="Q12" s="55" t="s">
        <v>244</v>
      </c>
      <c r="R12" s="5" t="str">
        <f>VLOOKUP(Q12,[1]character_type_i18n!$A:$H,3,FALSE)</f>
        <v>バランスタイプ</v>
      </c>
      <c r="S12" s="11">
        <f>VLOOKUP(Q12,[1]character_type_i18n!$A:$H,4,FALSE)</f>
        <v>1</v>
      </c>
      <c r="T12" s="11">
        <f>VLOOKUP(Q12,[1]character_type_i18n!$A:$H,5,FALSE)</f>
        <v>1</v>
      </c>
      <c r="U12" s="11">
        <f>VLOOKUP(Q12,[1]character_type_i18n!$A:$H,6,FALSE)</f>
        <v>1</v>
      </c>
      <c r="V12" s="11">
        <f>VLOOKUP(Q12,[1]character_type_i18n!$A:$H,7,FALSE)</f>
        <v>1</v>
      </c>
      <c r="W12" s="55" t="s">
        <v>335</v>
      </c>
      <c r="X12" s="5" t="str">
        <f>VLOOKUP(W12,[1]character_tribe_i18n!$A:$H,3,FALSE)</f>
        <v>ヒューマン</v>
      </c>
      <c r="Y12" s="55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>VLOOKUP(W12,[1]character_tribe_i18n!$A:$H,4,FALSE)</f>
        <v>0.94</v>
      </c>
      <c r="AB12" s="11">
        <f>VLOOKUP(W12,[1]character_tribe_i18n!$A:$H,5,FALSE)</f>
        <v>0.99</v>
      </c>
      <c r="AC12" s="11">
        <f>VLOOKUP(W12,[1]character_tribe_i18n!$A:$H,6,FALSE)</f>
        <v>1</v>
      </c>
      <c r="AD12" s="11">
        <f>VLOOKUP(W12,[1]character_tribe_i18n!$A:$H,7,FALSE)</f>
        <v>1.07</v>
      </c>
      <c r="AE12" s="9">
        <f>A13</f>
        <v>8054</v>
      </c>
      <c r="AF12" s="60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D.R.T.H__キティコスプレ</v>
      </c>
      <c r="AG12" s="5">
        <f t="shared" ca="1" si="0"/>
        <v>8053</v>
      </c>
      <c r="AH12" s="60" t="str">
        <f ca="1">VLOOKUP($AG12,OFFSET([1]characters!$A$1,0,0,COUNTA([1]characters!$A:$A),MATCH(AH$1,[1]characters!$1:$1,0)-MATCH($A$1,[1]characters!$1:$1,0)+1),MATCH(AH$1,[1]characters!$1:$1,0)-MATCH($A$1,[1]characters!$1:$1,0)+1,FALSE)</f>
        <v>D.R.T.H__キティコスプレ</v>
      </c>
      <c r="AI12" s="11">
        <f ca="1">IF(AE12="NULL","NULL",VLOOKUP(G12,ビット!$A$2:$B$7,2))</f>
        <v>200000</v>
      </c>
      <c r="AJ12" s="6">
        <v>2</v>
      </c>
      <c r="AK12" s="7" t="str">
        <f t="shared" si="5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3"/>
      <c r="AP12" s="65">
        <f t="shared" si="3"/>
        <v>8053</v>
      </c>
      <c r="AQ12" s="55" t="str">
        <f ca="1">VLOOKUP($AP12,OFFSET(unit_skills!$A$1,0,0,COUNTA(unit_skills!$A:$A),MATCH(AQ$1,unit_skills!$1:$1,0)-MATCH($AP$1,unit_skills!$1:$1,0)+1),MATCH(AQ$1,unit_skills!$1:$1,0)-MATCH($AP$1,unit_skills!$1:$1,0)+1,FALSE)</f>
        <v>ヴェスタリノベーション</v>
      </c>
      <c r="AR12" s="55" t="str">
        <f ca="1">VLOOKUP($AP12,OFFSET(unit_skills!$A$1,0,0,COUNTA(unit_skills!$A:$A),MATCH(AR$1,unit_skills!$1:$1,0)-MATCH($AP$1,unit_skills!$1:$1,0)+1),MATCH(AR$1,unit_skills!$1:$1,0)-MATCH($AP$1,unit_skills!$1:$1,0)+1,FALSE)</f>
        <v>青パネルをハートパネルに、時限式ダメージパネルとお邪魔パネルをハートのボムパネル(大)に変換</v>
      </c>
      <c r="AS12" s="55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0">
        <f t="shared" si="4"/>
        <v>8053</v>
      </c>
      <c r="AU12" s="55" t="str">
        <f ca="1">VLOOKUP($AT12,OFFSET(crash_skills!$A$1,0,0,COUNTA(crash_skills!$A:$A),MATCH(AU$1,crash_skills!$1:$1,0)-MATCH($AT$1,crash_skills!$1:$1,0)+1),MATCH(AU$1,crash_skills!$1:$1,0)-MATCH($AT$1,crash_skills!$1:$1,0)+1,FALSE)</f>
        <v>ラヴハントマシンガン</v>
      </c>
      <c r="AV12" s="55" t="str">
        <f ca="1">VLOOKUP($AT12,OFFSET(crash_skills!$A$1,0,0,COUNTA(crash_skills!$A:$A),MATCH(AV$1,crash_skills!$1:$1,0)-MATCH($AT$1,crash_skills!$1:$1,0)+1),MATCH(AV$1,crash_skills!$1:$1,0)-MATCH($AT$1,crash_skills!$1:$1,0)+1,FALSE)</f>
        <v>ヒューマンに効果特大の単体大ダメージ_x000D_+ゴッドに効果特大の単体大ダメージ</v>
      </c>
      <c r="AW12" s="55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6">
        <f ca="1">VLOOKUP($A12,OFFSET([1]characters!$A$1,0,0,COUNTA([1]characters!$A:$A),MATCH(AX$1,[1]characters!$1:$1,0)-MATCH($A$1,[1]characters!$1:$1,0)+1),MATCH(AX$1,[1]characters!$1:$1,0)-MATCH($A$1,[1]characters!$1:$1,0)+1,FALSE)</f>
        <v>1</v>
      </c>
      <c r="AY12" s="66">
        <v>1.01</v>
      </c>
      <c r="AZ12" s="66">
        <v>1.01</v>
      </c>
      <c r="BA12" s="66">
        <v>0</v>
      </c>
      <c r="BB12" s="66">
        <v>1.01</v>
      </c>
      <c r="BC12" s="11">
        <f ca="1">INDEX('RC6SV'!$A$1:$G$20,MATCH(H12,'RC6SV'!$A$1:$A$20,FALSE),MATCH(G12,'RC6SV'!$A$1:$G$1,FALSE))</f>
        <v>9500</v>
      </c>
      <c r="BD12" s="46">
        <f t="shared" ca="1" si="6"/>
        <v>9500</v>
      </c>
      <c r="BE12" s="11">
        <f t="shared" ca="1" si="1"/>
        <v>0</v>
      </c>
      <c r="BF12" s="11">
        <f t="shared" ca="1" si="2"/>
        <v>1</v>
      </c>
      <c r="BG12" s="16">
        <f ca="1">IF($BE12&lt;=0,ROUND(BK12*0.5,0), ROUND($BE12*S12*AA12*J12*AY12*0.8*[1]ステータス!$B$2,0))</f>
        <v>2255</v>
      </c>
      <c r="BH12" s="16">
        <f ca="1">IF($BE12&lt;=0,ROUND(BL12*0.5,0), ROUND($BE12*T12*AB12*K12*AZ12*0.8*[1]ステータス!$C$2,0))</f>
        <v>1454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1258</v>
      </c>
      <c r="BK12" s="11">
        <f ca="1">ROUND(BD12*S12*AA12*J12*AY12*[1]ステータス!$B$2,0)</f>
        <v>4510</v>
      </c>
      <c r="BL12" s="11">
        <f ca="1">ROUND(BD12*T12*AB12*K12*AZ12*[1]ステータス!$C$2,0)</f>
        <v>2907</v>
      </c>
      <c r="BM12" s="11">
        <f ca="1">ROUND(BD12*U12*AC12*L12*BA12*[1]ステータス!$D$2,0)</f>
        <v>0</v>
      </c>
      <c r="BN12" s="11">
        <f ca="1">ROUND(BD12*V12*AD12*M12*BB12*[1]ステータス!$E$2,0)</f>
        <v>2515</v>
      </c>
      <c r="BO12" s="10">
        <v>0</v>
      </c>
      <c r="BP12" s="10">
        <v>1</v>
      </c>
      <c r="BQ12" s="37" t="s">
        <v>47</v>
      </c>
      <c r="BR12" s="12">
        <v>1833</v>
      </c>
    </row>
    <row r="13" spans="1:70" ht="26" customHeight="1" x14ac:dyDescent="0.15">
      <c r="A13" s="220">
        <v>8054</v>
      </c>
      <c r="B13" s="55" t="str">
        <f ca="1">VLOOKUP($A13,OFFSET([1]characters!$A$1,0,0,COUNTA([1]characters!$A:$A),MATCH(B$1,[1]characters!$1:$1,0)-MATCH($A$1,[1]characters!$1:$1,0)+1),MATCH(B$1,[1]characters!$1:$1,0)-MATCH($A$1,[1]characters!$1:$1,0)+1,FALSE)</f>
        <v>D.R.T.H__キティコスプレ</v>
      </c>
      <c r="C13" s="55" t="str">
        <f ca="1">VLOOKUP($A13,OFFSET([1]characters!$A$1,0,0,COUNTA([1]characters!$A:$A),MATCH(C$1,[1]characters!$1:$1,0)-MATCH($A$1,[1]characters!$1:$1,0)+1),MATCH(C$1,[1]characters!$1:$1,0)-MATCH($A$1,[1]characters!$1:$1,0)+1,FALSE)</f>
        <v>D.R.T.H__キティコスプレ</v>
      </c>
      <c r="D13" s="55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5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5" t="str">
        <f ca="1">VLOOKUP($A13,OFFSET([1]characters!$A$1,0,0,COUNTA([1]characters!$A:$A),MATCH(F$1,[1]characters!$1:$1,0)-MATCH($A$1,[1]characters!$1:$1,0)+1),MATCH(F$1,[1]characters!$1:$1,0)-MATCH($A$1,[1]characters!$1:$1,0)+1,FALSE)</f>
        <v>女性</v>
      </c>
      <c r="G13" s="55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5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5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1">
        <f ca="1">VLOOKUP(I13,[1]属性!$A:$E,2,FALSE)</f>
        <v>1</v>
      </c>
      <c r="K13" s="11">
        <f ca="1">VLOOKUP(I13,[1]属性!$A:$E,3,FALSE)</f>
        <v>1.02</v>
      </c>
      <c r="L13" s="11">
        <f ca="1">VLOOKUP(I13,[1]属性!$A:$E,4,FALSE)</f>
        <v>1</v>
      </c>
      <c r="M13" s="11">
        <f ca="1">VLOOKUP(I13,[1]属性!$A:$E,5,FALSE)</f>
        <v>0.98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6">
        <f t="shared" ca="1" si="7"/>
        <v>99</v>
      </c>
      <c r="Q13" s="55" t="s">
        <v>243</v>
      </c>
      <c r="R13" s="5" t="str">
        <f>VLOOKUP(Q13,[1]character_type_i18n!$A:$H,3,FALSE)</f>
        <v>バランスタイプ</v>
      </c>
      <c r="S13" s="11">
        <f>VLOOKUP(Q13,[1]character_type_i18n!$A:$H,4,FALSE)</f>
        <v>1</v>
      </c>
      <c r="T13" s="11">
        <f>VLOOKUP(Q13,[1]character_type_i18n!$A:$H,5,FALSE)</f>
        <v>1</v>
      </c>
      <c r="U13" s="11">
        <f>VLOOKUP(Q13,[1]character_type_i18n!$A:$H,6,FALSE)</f>
        <v>1</v>
      </c>
      <c r="V13" s="11">
        <f>VLOOKUP(Q13,[1]character_type_i18n!$A:$H,7,FALSE)</f>
        <v>1</v>
      </c>
      <c r="W13" s="55" t="s">
        <v>336</v>
      </c>
      <c r="X13" s="5" t="str">
        <f>VLOOKUP(W13,[1]character_tribe_i18n!$A:$H,3,FALSE)</f>
        <v>ヒューマン</v>
      </c>
      <c r="Y13" s="55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>VLOOKUP(W13,[1]character_tribe_i18n!$A:$H,4,FALSE)</f>
        <v>0.94</v>
      </c>
      <c r="AB13" s="11">
        <f>VLOOKUP(W13,[1]character_tribe_i18n!$A:$H,5,FALSE)</f>
        <v>0.99</v>
      </c>
      <c r="AC13" s="11">
        <f>VLOOKUP(W13,[1]character_tribe_i18n!$A:$H,6,FALSE)</f>
        <v>1</v>
      </c>
      <c r="AD13" s="11">
        <f>VLOOKUP(W13,[1]character_tribe_i18n!$A:$H,7,FALSE)</f>
        <v>1.07</v>
      </c>
      <c r="AE13" s="9" t="s">
        <v>183</v>
      </c>
      <c r="AF13" s="60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8053</v>
      </c>
      <c r="AH13" s="60" t="str">
        <f ca="1">VLOOKUP($AG13,OFFSET([1]characters!$A$1,0,0,COUNTA([1]characters!$A:$A),MATCH(AH$1,[1]characters!$1:$1,0)-MATCH($A$1,[1]characters!$1:$1,0)+1),MATCH(AH$1,[1]characters!$1:$1,0)-MATCH($A$1,[1]characters!$1:$1,0)+1,FALSE)</f>
        <v>D.R.T.H__キティコスプレ</v>
      </c>
      <c r="AI13" s="11" t="str">
        <f>IF(AE13="NULL","NULL",VLOOKUP(G13,ビット!$A$2:$B$7,2))</f>
        <v>NULL</v>
      </c>
      <c r="AJ13" s="6">
        <v>2</v>
      </c>
      <c r="AK13" s="7" t="str">
        <f t="shared" si="5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3"/>
      <c r="AP13" s="65">
        <f t="shared" si="3"/>
        <v>8054</v>
      </c>
      <c r="AQ13" s="55" t="str">
        <f ca="1">VLOOKUP($AP13,OFFSET(unit_skills!$A$1,0,0,COUNTA(unit_skills!$A:$A),MATCH(AQ$1,unit_skills!$1:$1,0)-MATCH($AP$1,unit_skills!$1:$1,0)+1),MATCH(AQ$1,unit_skills!$1:$1,0)-MATCH($AP$1,unit_skills!$1:$1,0)+1,FALSE)</f>
        <v>ヴェスタリノベーション</v>
      </c>
      <c r="AR13" s="55" t="str">
        <f ca="1">VLOOKUP($AP13,OFFSET(unit_skills!$A$1,0,0,COUNTA(unit_skills!$A:$A),MATCH(AR$1,unit_skills!$1:$1,0)-MATCH($AP$1,unit_skills!$1:$1,0)+1),MATCH(AR$1,unit_skills!$1:$1,0)-MATCH($AP$1,unit_skills!$1:$1,0)+1,FALSE)</f>
        <v>青パネルをハートパネルに、時限式ダメージパネルとお邪魔パネルをハートのボムパネル(大)に変換</v>
      </c>
      <c r="AS13" s="55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0">
        <f t="shared" si="4"/>
        <v>8054</v>
      </c>
      <c r="AU13" s="55" t="str">
        <f ca="1">VLOOKUP($AT13,OFFSET(crash_skills!$A$1,0,0,COUNTA(crash_skills!$A:$A),MATCH(AU$1,crash_skills!$1:$1,0)-MATCH($AT$1,crash_skills!$1:$1,0)+1),MATCH(AU$1,crash_skills!$1:$1,0)-MATCH($AT$1,crash_skills!$1:$1,0)+1,FALSE)</f>
        <v>ラヴハントマシンガン</v>
      </c>
      <c r="AV13" s="55" t="str">
        <f ca="1">VLOOKUP($AT13,OFFSET(crash_skills!$A$1,0,0,COUNTA(crash_skills!$A:$A),MATCH(AV$1,crash_skills!$1:$1,0)-MATCH($AT$1,crash_skills!$1:$1,0)+1),MATCH(AV$1,crash_skills!$1:$1,0)-MATCH($AT$1,crash_skills!$1:$1,0)+1,FALSE)</f>
        <v>ヒューマンに効果特大の単体大ダメージ_x000D_+ゴッドに効果特大の単体大ダメージ</v>
      </c>
      <c r="AW13" s="55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6">
        <f ca="1">VLOOKUP($A13,OFFSET([1]characters!$A$1,0,0,COUNTA([1]characters!$A:$A),MATCH(AX$1,[1]characters!$1:$1,0)-MATCH($A$1,[1]characters!$1:$1,0)+1),MATCH(AX$1,[1]characters!$1:$1,0)-MATCH($A$1,[1]characters!$1:$1,0)+1,FALSE)</f>
        <v>1</v>
      </c>
      <c r="AY13" s="66">
        <v>1.01</v>
      </c>
      <c r="AZ13" s="66">
        <v>1.01</v>
      </c>
      <c r="BA13" s="66">
        <v>0</v>
      </c>
      <c r="BB13" s="66">
        <v>1.01</v>
      </c>
      <c r="BC13" s="11">
        <f ca="1">INDEX('RC6SV'!$A$1:$G$20,MATCH(H13,'RC6SV'!$A$1:$A$20,FALSE),MATCH(G13,'RC6SV'!$A$1:$G$1,FALSE))</f>
        <v>13000</v>
      </c>
      <c r="BD13" s="46">
        <f t="shared" ca="1" si="6"/>
        <v>13000</v>
      </c>
      <c r="BE13" s="11">
        <f t="shared" ca="1" si="1"/>
        <v>9500</v>
      </c>
      <c r="BF13" s="11">
        <f t="shared" ca="1" si="2"/>
        <v>1</v>
      </c>
      <c r="BG13" s="16">
        <f ca="1">IF($BE13&lt;=0,ROUND(BK13*0.5,0), ROUND($BE13*S13*AA13*J13*AY13*0.8*[1]ステータス!$B$2,0))</f>
        <v>3608</v>
      </c>
      <c r="BH13" s="16">
        <f ca="1">IF($BE13&lt;=0,ROUND(BL13*0.5,0), ROUND($BE13*T13*AB13*K13*AZ13*0.8*[1]ステータス!$C$2,0))</f>
        <v>2325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2012</v>
      </c>
      <c r="BK13" s="11">
        <f ca="1">ROUND(BD13*S13*AA13*J13*AY13*[1]ステータス!$B$2,0)</f>
        <v>6171</v>
      </c>
      <c r="BL13" s="11">
        <f ca="1">ROUND(BD13*T13*AB13*K13*AZ13*[1]ステータス!$C$2,0)</f>
        <v>3978</v>
      </c>
      <c r="BM13" s="11">
        <f ca="1">ROUND(BD13*U13*AC13*L13*BA13*[1]ステータス!$D$2,0)</f>
        <v>0</v>
      </c>
      <c r="BN13" s="11">
        <f ca="1">ROUND(BD13*V13*AD13*M13*BB13*[1]ステータス!$E$2,0)</f>
        <v>3442</v>
      </c>
      <c r="BO13" s="10">
        <v>0</v>
      </c>
      <c r="BP13" s="10">
        <v>1</v>
      </c>
      <c r="BQ13" s="37" t="s">
        <v>47</v>
      </c>
      <c r="BR13" s="12">
        <v>1833</v>
      </c>
    </row>
    <row r="14" spans="1:70" ht="26" customHeight="1" x14ac:dyDescent="0.15">
      <c r="A14" s="220">
        <v>8055</v>
      </c>
      <c r="B14" s="55" t="str">
        <f ca="1">VLOOKUP($A14,OFFSET([1]characters!$A$1,0,0,COUNTA([1]characters!$A:$A),MATCH(B$1,[1]characters!$1:$1,0)-MATCH($A$1,[1]characters!$1:$1,0)+1),MATCH(B$1,[1]characters!$1:$1,0)-MATCH($A$1,[1]characters!$1:$1,0)+1,FALSE)</f>
        <v>マイメロディ</v>
      </c>
      <c r="C14" s="55" t="str">
        <f ca="1">VLOOKUP($A14,OFFSET([1]characters!$A$1,0,0,COUNTA([1]characters!$A:$A),MATCH(C$1,[1]characters!$1:$1,0)-MATCH($A$1,[1]characters!$1:$1,0)+1),MATCH(C$1,[1]characters!$1:$1,0)-MATCH($A$1,[1]characters!$1:$1,0)+1,FALSE)</f>
        <v>マイメロディ</v>
      </c>
      <c r="D14" s="55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5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5" t="str">
        <f ca="1">VLOOKUP($A14,OFFSET([1]characters!$A$1,0,0,COUNTA([1]characters!$A:$A),MATCH(F$1,[1]characters!$1:$1,0)-MATCH($A$1,[1]characters!$1:$1,0)+1),MATCH(F$1,[1]characters!$1:$1,0)-MATCH($A$1,[1]characters!$1:$1,0)+1,FALSE)</f>
        <v>女性</v>
      </c>
      <c r="G14" s="55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5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5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11">
        <f ca="1">VLOOKUP(I14,[1]属性!$A:$E,2,FALSE)</f>
        <v>1</v>
      </c>
      <c r="K14" s="11">
        <f ca="1">VLOOKUP(I14,[1]属性!$A:$E,3,FALSE)</f>
        <v>1.02</v>
      </c>
      <c r="L14" s="11">
        <f ca="1">VLOOKUP(I14,[1]属性!$A:$E,4,FALSE)</f>
        <v>1</v>
      </c>
      <c r="M14" s="11">
        <f ca="1">VLOOKUP(I14,[1]属性!$A:$E,5,FALSE)</f>
        <v>0.98</v>
      </c>
      <c r="N14" s="11">
        <f ca="1">INDEX(コスト!$A$1:$I$20,MATCH(H14,コスト!$A$1:$A$20,FALSE),MATCH(G14,コスト!$A$1:$I$1,FALSE))</f>
        <v>20</v>
      </c>
      <c r="O14" s="11">
        <f ca="1">INDEX(レベル!$A$1:$I$21,MATCH(H14,レベル!$A$1:$A$21,FALSE),MATCH(G14,レベル!$A$1:$I$1,FALSE))</f>
        <v>60</v>
      </c>
      <c r="P14" s="46">
        <f t="shared" ca="1" si="7"/>
        <v>60</v>
      </c>
      <c r="Q14" s="55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5" t="s">
        <v>331</v>
      </c>
      <c r="X14" s="5" t="str">
        <f>VLOOKUP(W14,[1]character_tribe_i18n!$A:$H,3,FALSE)</f>
        <v>Unknown</v>
      </c>
      <c r="Y14" s="55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>VLOOKUP(W14,[1]character_tribe_i18n!$A:$H,4,FALSE)</f>
        <v>1</v>
      </c>
      <c r="AB14" s="11">
        <f>VLOOKUP(W14,[1]character_tribe_i18n!$A:$H,5,FALSE)</f>
        <v>1</v>
      </c>
      <c r="AC14" s="11">
        <f>VLOOKUP(W14,[1]character_tribe_i18n!$A:$H,6,FALSE)</f>
        <v>1</v>
      </c>
      <c r="AD14" s="11">
        <f>VLOOKUP(W14,[1]character_tribe_i18n!$A:$H,7,FALSE)</f>
        <v>1</v>
      </c>
      <c r="AE14" s="9">
        <f>A15</f>
        <v>8056</v>
      </c>
      <c r="AF14" s="60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マイメロディ</v>
      </c>
      <c r="AG14" s="5">
        <f t="shared" ca="1" si="0"/>
        <v>8055</v>
      </c>
      <c r="AH14" s="60" t="str">
        <f ca="1">VLOOKUP($AG14,OFFSET([1]characters!$A$1,0,0,COUNTA([1]characters!$A:$A),MATCH(AH$1,[1]characters!$1:$1,0)-MATCH($A$1,[1]characters!$1:$1,0)+1),MATCH(AH$1,[1]characters!$1:$1,0)-MATCH($A$1,[1]characters!$1:$1,0)+1,FALSE)</f>
        <v>マイメロディ</v>
      </c>
      <c r="AI14" s="11">
        <f ca="1">IF(AE14="NULL","NULL",VLOOKUP(G14,ビット!$A$2:$B$7,2))</f>
        <v>50000</v>
      </c>
      <c r="AJ14" s="6">
        <v>2</v>
      </c>
      <c r="AK14" s="7" t="str">
        <f t="shared" si="5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3400</v>
      </c>
      <c r="AN14" s="17">
        <f ca="1">VLOOKUP(G14,ビット!$G$2:$H$7,2)</f>
        <v>600</v>
      </c>
      <c r="AO14" s="43"/>
      <c r="AP14" s="65">
        <f t="shared" si="3"/>
        <v>8055</v>
      </c>
      <c r="AQ14" s="55" t="str">
        <f ca="1">VLOOKUP($AP14,OFFSET(unit_skills!$A$1,0,0,COUNTA(unit_skills!$A:$A),MATCH(AQ$1,unit_skills!$1:$1,0)-MATCH($AP$1,unit_skills!$1:$1,0)+1),MATCH(AQ$1,unit_skills!$1:$1,0)-MATCH($AP$1,unit_skills!$1:$1,0)+1,FALSE)</f>
        <v>フレグランス・ノーツ</v>
      </c>
      <c r="AR14" s="55" t="str">
        <f ca="1">VLOOKUP($AP14,OFFSET(unit_skills!$A$1,0,0,COUNTA(unit_skills!$A:$A),MATCH(AR$1,unit_skills!$1:$1,0)-MATCH($AP$1,unit_skills!$1:$1,0)+1),MATCH(AR$1,unit_skills!$1:$1,0)-MATCH($AP$1,unit_skills!$1:$1,0)+1,FALSE)</f>
        <v>ランダムで1つSCパネル(大)に変換+お邪魔パネルを赤パネルに変換</v>
      </c>
      <c r="AS14" s="55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0">
        <f t="shared" si="4"/>
        <v>8055</v>
      </c>
      <c r="AU14" s="55" t="str">
        <f ca="1">VLOOKUP($AT14,OFFSET(crash_skills!$A$1,0,0,COUNTA(crash_skills!$A:$A),MATCH(AU$1,crash_skills!$1:$1,0)-MATCH($AT$1,crash_skills!$1:$1,0)+1),MATCH(AU$1,crash_skills!$1:$1,0)-MATCH($AT$1,crash_skills!$1:$1,0)+1,FALSE)</f>
        <v>マイメロディ・スマイル</v>
      </c>
      <c r="AV14" s="55" t="str">
        <f ca="1">VLOOKUP($AT14,OFFSET(crash_skills!$A$1,0,0,COUNTA(crash_skills!$A:$A),MATCH(AV$1,crash_skills!$1:$1,0)-MATCH($AT$1,crash_skills!$1:$1,0)+1),MATCH(AV$1,crash_skills!$1:$1,0)-MATCH($AT$1,crash_skills!$1:$1,0)+1,FALSE)</f>
        <v>1体に特大ダメージ</v>
      </c>
      <c r="AW14" s="55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6">
        <f ca="1">VLOOKUP($A14,OFFSET([1]characters!$A$1,0,0,COUNTA([1]characters!$A:$A),MATCH(AX$1,[1]characters!$1:$1,0)-MATCH($A$1,[1]characters!$1:$1,0)+1),MATCH(AX$1,[1]characters!$1:$1,0)-MATCH($A$1,[1]characters!$1:$1,0)+1,FALSE)</f>
        <v>1</v>
      </c>
      <c r="AY14" s="66">
        <v>1.07</v>
      </c>
      <c r="AZ14" s="66">
        <v>1.17</v>
      </c>
      <c r="BA14" s="66">
        <v>0</v>
      </c>
      <c r="BB14" s="66">
        <v>1.03</v>
      </c>
      <c r="BC14" s="11">
        <f ca="1">INDEX('RC6SV'!$A$1:$G$20,MATCH(H14,'RC6SV'!$A$1:$A$20,FALSE),MATCH(G14,'RC6SV'!$A$1:$G$1,FALSE))</f>
        <v>7000</v>
      </c>
      <c r="BD14" s="46">
        <f t="shared" ca="1" si="6"/>
        <v>7000</v>
      </c>
      <c r="BE14" s="11">
        <f t="shared" ca="1" si="1"/>
        <v>0</v>
      </c>
      <c r="BF14" s="11">
        <f t="shared" ca="1" si="2"/>
        <v>1</v>
      </c>
      <c r="BG14" s="16">
        <f ca="1">IF($BE14&lt;=0,ROUND(BK14*0.5,0), ROUND($BE14*S14*AA14*J14*AY14*0.8*[1]ステータス!$B$2,0))</f>
        <v>1873</v>
      </c>
      <c r="BH14" s="16">
        <f ca="1">IF($BE14&lt;=0,ROUND(BL14*0.5,0), ROUND($BE14*T14*AB14*K14*AZ14*0.8*[1]ステータス!$C$2,0))</f>
        <v>1667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592</v>
      </c>
      <c r="BK14" s="11">
        <f ca="1">ROUND(BD14*S14*AA14*J14*AY14*[1]ステータス!$B$2,0)</f>
        <v>3745</v>
      </c>
      <c r="BL14" s="11">
        <f ca="1">ROUND(BD14*T14*AB14*K14*AZ14*[1]ステータス!$C$2,0)</f>
        <v>3333</v>
      </c>
      <c r="BM14" s="11">
        <f ca="1">ROUND(BD14*U14*AC14*L14*BA14*[1]ステータス!$D$2,0)</f>
        <v>0</v>
      </c>
      <c r="BN14" s="11">
        <f ca="1">ROUND(BD14*V14*AD14*M14*BB14*[1]ステータス!$E$2,0)</f>
        <v>1184</v>
      </c>
      <c r="BO14" s="10">
        <v>0</v>
      </c>
      <c r="BP14" s="10">
        <v>1</v>
      </c>
      <c r="BQ14" s="37" t="s">
        <v>47</v>
      </c>
      <c r="BR14" s="12">
        <v>233</v>
      </c>
    </row>
    <row r="15" spans="1:70" ht="26" customHeight="1" x14ac:dyDescent="0.15">
      <c r="A15" s="220">
        <v>8056</v>
      </c>
      <c r="B15" s="55" t="str">
        <f ca="1">VLOOKUP($A15,OFFSET([1]characters!$A$1,0,0,COUNTA([1]characters!$A:$A),MATCH(B$1,[1]characters!$1:$1,0)-MATCH($A$1,[1]characters!$1:$1,0)+1),MATCH(B$1,[1]characters!$1:$1,0)-MATCH($A$1,[1]characters!$1:$1,0)+1,FALSE)</f>
        <v>マイメロディ</v>
      </c>
      <c r="C15" s="55" t="str">
        <f ca="1">VLOOKUP($A15,OFFSET([1]characters!$A$1,0,0,COUNTA([1]characters!$A:$A),MATCH(C$1,[1]characters!$1:$1,0)-MATCH($A$1,[1]characters!$1:$1,0)+1),MATCH(C$1,[1]characters!$1:$1,0)-MATCH($A$1,[1]characters!$1:$1,0)+1,FALSE)</f>
        <v>マイメロディ</v>
      </c>
      <c r="D15" s="55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5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5" t="str">
        <f ca="1">VLOOKUP($A15,OFFSET([1]characters!$A$1,0,0,COUNTA([1]characters!$A:$A),MATCH(F$1,[1]characters!$1:$1,0)-MATCH($A$1,[1]characters!$1:$1,0)+1),MATCH(F$1,[1]characters!$1:$1,0)-MATCH($A$1,[1]characters!$1:$1,0)+1,FALSE)</f>
        <v>女性</v>
      </c>
      <c r="G15" s="55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5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5" t="str">
        <f ca="1">VLOOKUP($A15,OFFSET([1]characters!$A$1,0,0,COUNTA([1]characters!$A:$A),MATCH(I$1,[1]characters!$1:$1,0)-MATCH($A$1,[1]characters!$1:$1,0)+1),MATCH(I$1,[1]characters!$1:$1,0)-MATCH($A$1,[1]characters!$1:$1,0)+1,FALSE)</f>
        <v>red</v>
      </c>
      <c r="J15" s="11">
        <f ca="1">VLOOKUP(I15,[1]属性!$A:$E,2,FALSE)</f>
        <v>1</v>
      </c>
      <c r="K15" s="11">
        <f ca="1">VLOOKUP(I15,[1]属性!$A:$E,3,FALSE)</f>
        <v>1.02</v>
      </c>
      <c r="L15" s="11">
        <f ca="1">VLOOKUP(I15,[1]属性!$A:$E,4,FALSE)</f>
        <v>1</v>
      </c>
      <c r="M15" s="11">
        <f ca="1">VLOOKUP(I15,[1]属性!$A:$E,5,FALSE)</f>
        <v>0.98</v>
      </c>
      <c r="N15" s="11">
        <f ca="1">INDEX(コスト!$A$1:$I$20,MATCH(H15,コスト!$A$1:$A$20,FALSE),MATCH(G15,コスト!$A$1:$I$1,FALSE))</f>
        <v>30</v>
      </c>
      <c r="O15" s="11">
        <f ca="1">INDEX(レベル!$A$1:$I$21,MATCH(H15,レベル!$A$1:$A$21,FALSE),MATCH(G15,レベル!$A$1:$I$1,FALSE))</f>
        <v>80</v>
      </c>
      <c r="P15" s="46">
        <f t="shared" ca="1" si="7"/>
        <v>75</v>
      </c>
      <c r="Q15" s="55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5" t="s">
        <v>331</v>
      </c>
      <c r="X15" s="5" t="str">
        <f>VLOOKUP(W15,[1]character_tribe_i18n!$A:$H,3,FALSE)</f>
        <v>Unknown</v>
      </c>
      <c r="Y15" s="55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>VLOOKUP(W15,[1]character_tribe_i18n!$A:$H,4,FALSE)</f>
        <v>1</v>
      </c>
      <c r="AB15" s="11">
        <f>VLOOKUP(W15,[1]character_tribe_i18n!$A:$H,5,FALSE)</f>
        <v>1</v>
      </c>
      <c r="AC15" s="11">
        <f>VLOOKUP(W15,[1]character_tribe_i18n!$A:$H,6,FALSE)</f>
        <v>1</v>
      </c>
      <c r="AD15" s="11">
        <f>VLOOKUP(W15,[1]character_tribe_i18n!$A:$H,7,FALSE)</f>
        <v>1</v>
      </c>
      <c r="AE15" s="9" t="s">
        <v>183</v>
      </c>
      <c r="AF15" s="60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8055</v>
      </c>
      <c r="AH15" s="60" t="str">
        <f ca="1">VLOOKUP($AG15,OFFSET([1]characters!$A$1,0,0,COUNTA([1]characters!$A:$A),MATCH(AH$1,[1]characters!$1:$1,0)-MATCH($A$1,[1]characters!$1:$1,0)+1),MATCH(AH$1,[1]characters!$1:$1,0)-MATCH($A$1,[1]characters!$1:$1,0)+1,FALSE)</f>
        <v>マイメロディ</v>
      </c>
      <c r="AI15" s="11" t="str">
        <f>IF(AE15="NULL","NULL",VLOOKUP(G15,ビット!$A$2:$B$7,2))</f>
        <v>NULL</v>
      </c>
      <c r="AJ15" s="6">
        <v>2</v>
      </c>
      <c r="AK15" s="7" t="str">
        <f t="shared" si="5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6400</v>
      </c>
      <c r="AN15" s="17">
        <f ca="1">VLOOKUP(G15,ビット!$G$2:$H$7,2)</f>
        <v>900</v>
      </c>
      <c r="AO15" s="43"/>
      <c r="AP15" s="65">
        <f t="shared" si="3"/>
        <v>8056</v>
      </c>
      <c r="AQ15" s="55" t="str">
        <f ca="1">VLOOKUP($AP15,OFFSET(unit_skills!$A$1,0,0,COUNTA(unit_skills!$A:$A),MATCH(AQ$1,unit_skills!$1:$1,0)-MATCH($AP$1,unit_skills!$1:$1,0)+1),MATCH(AQ$1,unit_skills!$1:$1,0)-MATCH($AP$1,unit_skills!$1:$1,0)+1,FALSE)</f>
        <v>フレグランス・ソング</v>
      </c>
      <c r="AR15" s="55" t="str">
        <f ca="1">VLOOKUP($AP15,OFFSET(unit_skills!$A$1,0,0,COUNTA(unit_skills!$A:$A),MATCH(AR$1,unit_skills!$1:$1,0)-MATCH($AP$1,unit_skills!$1:$1,0)+1),MATCH(AR$1,unit_skills!$1:$1,0)-MATCH($AP$1,unit_skills!$1:$1,0)+1,FALSE)</f>
        <v>ランダムで1つSCパネル(大)に変換+お邪魔パネルを赤ボムパネルに変換</v>
      </c>
      <c r="AS15" s="55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0">
        <f t="shared" si="4"/>
        <v>8056</v>
      </c>
      <c r="AU15" s="55" t="str">
        <f ca="1">VLOOKUP($AT15,OFFSET(crash_skills!$A$1,0,0,COUNTA(crash_skills!$A:$A),MATCH(AU$1,crash_skills!$1:$1,0)-MATCH($AT$1,crash_skills!$1:$1,0)+1),MATCH(AU$1,crash_skills!$1:$1,0)-MATCH($AT$1,crash_skills!$1:$1,0)+1,FALSE)</f>
        <v>マイメロディ・スマイル</v>
      </c>
      <c r="AV15" s="55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</v>
      </c>
      <c r="AW15" s="55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6">
        <f ca="1">VLOOKUP($A15,OFFSET([1]characters!$A$1,0,0,COUNTA([1]characters!$A:$A),MATCH(AX$1,[1]characters!$1:$1,0)-MATCH($A$1,[1]characters!$1:$1,0)+1),MATCH(AX$1,[1]characters!$1:$1,0)-MATCH($A$1,[1]characters!$1:$1,0)+1,FALSE)</f>
        <v>1</v>
      </c>
      <c r="AY15" s="66">
        <v>1.07</v>
      </c>
      <c r="AZ15" s="66">
        <v>1.17</v>
      </c>
      <c r="BA15" s="66">
        <v>0</v>
      </c>
      <c r="BB15" s="66">
        <v>1.03</v>
      </c>
      <c r="BC15" s="11">
        <f ca="1">INDEX('RC6SV'!$A$1:$G$20,MATCH(H15,'RC6SV'!$A$1:$A$20,FALSE),MATCH(G15,'RC6SV'!$A$1:$G$1,FALSE))</f>
        <v>9000</v>
      </c>
      <c r="BD15" s="46">
        <f t="shared" ca="1" si="6"/>
        <v>9000</v>
      </c>
      <c r="BE15" s="11">
        <f t="shared" ca="1" si="1"/>
        <v>7000</v>
      </c>
      <c r="BF15" s="11">
        <f t="shared" ca="1" si="2"/>
        <v>1</v>
      </c>
      <c r="BG15" s="16">
        <f ca="1">IF($BE15&lt;=0,ROUND(BK15*0.5,0), ROUND($BE15*S15*AA15*J15*AY15*0.8*[1]ステータス!$B$2,0))</f>
        <v>2996</v>
      </c>
      <c r="BH15" s="16">
        <f ca="1">IF($BE15&lt;=0,ROUND(BL15*0.5,0), ROUND($BE15*T15*AB15*K15*AZ15*0.8*[1]ステータス!$C$2,0))</f>
        <v>2667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947</v>
      </c>
      <c r="BK15" s="11">
        <f ca="1">ROUND(BD15*S15*AA15*J15*AY15*[1]ステータス!$B$2,0)</f>
        <v>4815</v>
      </c>
      <c r="BL15" s="11">
        <f ca="1">ROUND(BD15*T15*AB15*K15*AZ15*[1]ステータス!$C$2,0)</f>
        <v>4285</v>
      </c>
      <c r="BM15" s="11">
        <f ca="1">ROUND(BD15*U15*AC15*L15*BA15*[1]ステータス!$D$2,0)</f>
        <v>0</v>
      </c>
      <c r="BN15" s="11">
        <f ca="1">ROUND(BD15*V15*AD15*M15*BB15*[1]ステータス!$E$2,0)</f>
        <v>1522</v>
      </c>
      <c r="BO15" s="10">
        <v>0</v>
      </c>
      <c r="BP15" s="10">
        <v>1</v>
      </c>
      <c r="BQ15" s="37" t="s">
        <v>47</v>
      </c>
      <c r="BR15" s="12">
        <v>233</v>
      </c>
    </row>
    <row r="16" spans="1:70" ht="26" customHeight="1" x14ac:dyDescent="0.15">
      <c r="A16" s="220">
        <v>8057</v>
      </c>
      <c r="B16" s="55" t="str">
        <f ca="1">VLOOKUP($A16,OFFSET([1]characters!$A$1,0,0,COUNTA([1]characters!$A:$A),MATCH(B$1,[1]characters!$1:$1,0)-MATCH($A$1,[1]characters!$1:$1,0)+1),MATCH(B$1,[1]characters!$1:$1,0)-MATCH($A$1,[1]characters!$1:$1,0)+1,FALSE)</f>
        <v>ニーベルゲン_シナモロールコスプレ</v>
      </c>
      <c r="C16" s="55" t="str">
        <f ca="1">VLOOKUP($A16,OFFSET([1]characters!$A$1,0,0,COUNTA([1]characters!$A:$A),MATCH(C$1,[1]characters!$1:$1,0)-MATCH($A$1,[1]characters!$1:$1,0)+1),MATCH(C$1,[1]characters!$1:$1,0)-MATCH($A$1,[1]characters!$1:$1,0)+1,FALSE)</f>
        <v>ニーベルゲン_シナモロールコスプレ</v>
      </c>
      <c r="D16" s="55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5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5" t="str">
        <f ca="1">VLOOKUP($A16,OFFSET([1]characters!$A$1,0,0,COUNTA([1]characters!$A:$A),MATCH(F$1,[1]characters!$1:$1,0)-MATCH($A$1,[1]characters!$1:$1,0)+1),MATCH(F$1,[1]characters!$1:$1,0)-MATCH($A$1,[1]characters!$1:$1,0)+1,FALSE)</f>
        <v>女性</v>
      </c>
      <c r="G16" s="55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5" t="str">
        <f ca="1">VLOOKUP($A16,OFFSET([1]characters!$A$1,0,0,COUNTA([1]characters!$A:$A),MATCH(H$1,[1]characters!$1:$1,0)-MATCH($A$1,[1]characters!$1:$1,0)+1),MATCH(H$1,[1]characters!$1:$1,0)-MATCH($A$1,[1]characters!$1:$1,0)+1,FALSE)</f>
        <v>PremiumS</v>
      </c>
      <c r="I16" s="55" t="str">
        <f ca="1">VLOOKUP($A16,OFFSET([1]characters!$A$1,0,0,COUNTA([1]characters!$A:$A),MATCH(I$1,[1]characters!$1:$1,0)-MATCH($A$1,[1]characters!$1:$1,0)+1),MATCH(I$1,[1]characters!$1:$1,0)-MATCH($A$1,[1]characters!$1:$1,0)+1,FALSE)</f>
        <v>green</v>
      </c>
      <c r="J16" s="11">
        <f ca="1">VLOOKUP(I16,[1]属性!$A:$E,2,FALSE)</f>
        <v>1.02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</v>
      </c>
      <c r="N16" s="11">
        <f ca="1">INDEX(コスト!$A$1:$I$20,MATCH(H16,コスト!$A$1:$A$20,FALSE),MATCH(G16,コスト!$A$1:$I$1,FALSE))</f>
        <v>20</v>
      </c>
      <c r="O16" s="11">
        <f ca="1">INDEX(レベル!$A$1:$I$21,MATCH(H16,レベル!$A$1:$A$21,FALSE),MATCH(G16,レベル!$A$1:$I$1,FALSE))</f>
        <v>60</v>
      </c>
      <c r="P16" s="46">
        <f t="shared" ca="1" si="7"/>
        <v>60</v>
      </c>
      <c r="Q16" s="55" t="s">
        <v>318</v>
      </c>
      <c r="R16" s="5" t="str">
        <f>VLOOKUP(Q16,[1]character_type_i18n!$A:$H,3,FALSE)</f>
        <v>バランスタイプ</v>
      </c>
      <c r="S16" s="11">
        <f>VLOOKUP(Q16,[1]character_type_i18n!$A:$H,4,FALSE)</f>
        <v>1</v>
      </c>
      <c r="T16" s="11">
        <f>VLOOKUP(Q16,[1]character_type_i18n!$A:$H,5,FALSE)</f>
        <v>1</v>
      </c>
      <c r="U16" s="11">
        <f>VLOOKUP(Q16,[1]character_type_i18n!$A:$H,6,FALSE)</f>
        <v>1</v>
      </c>
      <c r="V16" s="11">
        <f>VLOOKUP(Q16,[1]character_type_i18n!$A:$H,7,FALSE)</f>
        <v>1</v>
      </c>
      <c r="W16" s="55" t="s">
        <v>331</v>
      </c>
      <c r="X16" s="5" t="str">
        <f>VLOOKUP(W16,[1]character_tribe_i18n!$A:$H,3,FALSE)</f>
        <v>Unknown</v>
      </c>
      <c r="Y16" s="55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>VLOOKUP(W16,[1]character_tribe_i18n!$A:$H,4,FALSE)</f>
        <v>1</v>
      </c>
      <c r="AB16" s="11">
        <f>VLOOKUP(W16,[1]character_tribe_i18n!$A:$H,5,FALSE)</f>
        <v>1</v>
      </c>
      <c r="AC16" s="11">
        <f>VLOOKUP(W16,[1]character_tribe_i18n!$A:$H,6,FALSE)</f>
        <v>1</v>
      </c>
      <c r="AD16" s="11">
        <f>VLOOKUP(W16,[1]character_tribe_i18n!$A:$H,7,FALSE)</f>
        <v>1</v>
      </c>
      <c r="AE16" s="9">
        <f>A17</f>
        <v>8058</v>
      </c>
      <c r="AF16" s="60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ニーベルゲン_シナモロールコスプレ</v>
      </c>
      <c r="AG16" s="5">
        <f t="shared" ca="1" si="0"/>
        <v>8057</v>
      </c>
      <c r="AH16" s="60" t="str">
        <f ca="1">VLOOKUP($AG16,OFFSET([1]characters!$A$1,0,0,COUNTA([1]characters!$A:$A),MATCH(AH$1,[1]characters!$1:$1,0)-MATCH($A$1,[1]characters!$1:$1,0)+1),MATCH(AH$1,[1]characters!$1:$1,0)-MATCH($A$1,[1]characters!$1:$1,0)+1,FALSE)</f>
        <v>ニーベルゲン_シナモロールコスプレ</v>
      </c>
      <c r="AI16" s="11">
        <f ca="1">IF(AE16="NULL","NULL",VLOOKUP(G16,ビット!$A$2:$B$7,2))</f>
        <v>50000</v>
      </c>
      <c r="AJ16" s="6">
        <v>2</v>
      </c>
      <c r="AK16" s="7" t="str">
        <f t="shared" si="5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3400</v>
      </c>
      <c r="AN16" s="17">
        <f ca="1">VLOOKUP(G16,ビット!$G$2:$H$7,2)</f>
        <v>600</v>
      </c>
      <c r="AO16" s="43"/>
      <c r="AP16" s="65">
        <f t="shared" si="3"/>
        <v>8057</v>
      </c>
      <c r="AQ16" s="55" t="str">
        <f ca="1">VLOOKUP($AP16,OFFSET(unit_skills!$A$1,0,0,COUNTA(unit_skills!$A:$A),MATCH(AQ$1,unit_skills!$1:$1,0)-MATCH($AP$1,unit_skills!$1:$1,0)+1),MATCH(AQ$1,unit_skills!$1:$1,0)-MATCH($AP$1,unit_skills!$1:$1,0)+1,FALSE)</f>
        <v>ブリーゼ・クラフト</v>
      </c>
      <c r="AR16" s="55" t="str">
        <f ca="1">VLOOKUP($AP16,OFFSET(unit_skills!$A$1,0,0,COUNTA(unit_skills!$A:$A),MATCH(AR$1,unit_skills!$1:$1,0)-MATCH($AP$1,unit_skills!$1:$1,0)+1),MATCH(AR$1,unit_skills!$1:$1,0)-MATCH($AP$1,unit_skills!$1:$1,0)+1,FALSE)</f>
        <v>ハートパネルを全て吸収して3ターン緑属性の攻撃力UP+防御力大UP</v>
      </c>
      <c r="AS16" s="55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0">
        <f t="shared" si="4"/>
        <v>8057</v>
      </c>
      <c r="AU16" s="55" t="str">
        <f ca="1">VLOOKUP($AT16,OFFSET(crash_skills!$A$1,0,0,COUNTA(crash_skills!$A:$A),MATCH(AU$1,crash_skills!$1:$1,0)-MATCH($AT$1,crash_skills!$1:$1,0)+1),MATCH(AU$1,crash_skills!$1:$1,0)-MATCH($AT$1,crash_skills!$1:$1,0)+1,FALSE)</f>
        <v>デパーチュア・ピース</v>
      </c>
      <c r="AV16" s="55" t="str">
        <f ca="1">VLOOKUP($AT16,OFFSET(crash_skills!$A$1,0,0,COUNTA(crash_skills!$A:$A),MATCH(AV$1,crash_skills!$1:$1,0)-MATCH($AT$1,crash_skills!$1:$1,0)+1),MATCH(AV$1,crash_skills!$1:$1,0)-MATCH($AT$1,crash_skills!$1:$1,0)+1,FALSE)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16" s="55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6">
        <f ca="1">VLOOKUP($A16,OFFSET([1]characters!$A$1,0,0,COUNTA([1]characters!$A:$A),MATCH(AX$1,[1]characters!$1:$1,0)-MATCH($A$1,[1]characters!$1:$1,0)+1),MATCH(AX$1,[1]characters!$1:$1,0)-MATCH($A$1,[1]characters!$1:$1,0)+1,FALSE)</f>
        <v>1</v>
      </c>
      <c r="AY16" s="66">
        <v>1</v>
      </c>
      <c r="AZ16" s="66">
        <v>1.1000000000000001</v>
      </c>
      <c r="BA16" s="66">
        <v>0</v>
      </c>
      <c r="BB16" s="66">
        <v>1</v>
      </c>
      <c r="BC16" s="11">
        <f ca="1">INDEX('RC6SV'!$A$1:$G$20,MATCH(H16,'RC6SV'!$A$1:$A$20,FALSE),MATCH(G16,'RC6SV'!$A$1:$G$1,FALSE))</f>
        <v>7000</v>
      </c>
      <c r="BD16" s="46">
        <f t="shared" ca="1" si="6"/>
        <v>7000</v>
      </c>
      <c r="BE16" s="11">
        <f t="shared" ca="1" si="1"/>
        <v>0</v>
      </c>
      <c r="BF16" s="11">
        <f t="shared" ca="1" si="2"/>
        <v>1</v>
      </c>
      <c r="BG16" s="16">
        <f ca="1">IF($BE16&lt;=0,ROUND(BK16*0.5,0), ROUND($BE16*S16*AA16*J16*AY16*0.8*[1]ステータス!$B$2,0))</f>
        <v>1785</v>
      </c>
      <c r="BH16" s="16">
        <f ca="1">IF($BE16&lt;=0,ROUND(BL16*0.5,0), ROUND($BE16*T16*AB16*K16*AZ16*0.8*[1]ステータス!$C$2,0))</f>
        <v>1132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875</v>
      </c>
      <c r="BK16" s="11">
        <f ca="1">ROUND(BD16*S16*AA16*J16*AY16*[1]ステータス!$B$2,0)</f>
        <v>3570</v>
      </c>
      <c r="BL16" s="11">
        <f ca="1">ROUND(BD16*T16*AB16*K16*AZ16*[1]ステータス!$C$2,0)</f>
        <v>2264</v>
      </c>
      <c r="BM16" s="11">
        <f ca="1">ROUND(BD16*U16*AC16*L16*BA16*[1]ステータス!$D$2,0)</f>
        <v>0</v>
      </c>
      <c r="BN16" s="11">
        <f ca="1">ROUND(BD16*V16*AD16*M16*BB16*[1]ステータス!$E$2,0)</f>
        <v>1750</v>
      </c>
      <c r="BO16" s="10">
        <v>0</v>
      </c>
      <c r="BP16" s="10">
        <v>1</v>
      </c>
      <c r="BQ16" s="37" t="s">
        <v>47</v>
      </c>
      <c r="BR16" s="12">
        <v>233</v>
      </c>
    </row>
    <row r="17" spans="1:70" ht="26" customHeight="1" x14ac:dyDescent="0.15">
      <c r="A17" s="220">
        <v>8058</v>
      </c>
      <c r="B17" s="55" t="str">
        <f ca="1">VLOOKUP($A17,OFFSET([1]characters!$A$1,0,0,COUNTA([1]characters!$A:$A),MATCH(B$1,[1]characters!$1:$1,0)-MATCH($A$1,[1]characters!$1:$1,0)+1),MATCH(B$1,[1]characters!$1:$1,0)-MATCH($A$1,[1]characters!$1:$1,0)+1,FALSE)</f>
        <v>ニーベルゲン_シナモロールコスプレ</v>
      </c>
      <c r="C17" s="55" t="str">
        <f ca="1">VLOOKUP($A17,OFFSET([1]characters!$A$1,0,0,COUNTA([1]characters!$A:$A),MATCH(C$1,[1]characters!$1:$1,0)-MATCH($A$1,[1]characters!$1:$1,0)+1),MATCH(C$1,[1]characters!$1:$1,0)-MATCH($A$1,[1]characters!$1:$1,0)+1,FALSE)</f>
        <v>ニーベルゲン_シナモロールコスプレ</v>
      </c>
      <c r="D17" s="55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5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5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5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5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5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11">
        <f ca="1">VLOOKUP(I17,[1]属性!$A:$E,2,FALSE)</f>
        <v>1.02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</v>
      </c>
      <c r="N17" s="11">
        <f ca="1">INDEX(コスト!$A$1:$I$20,MATCH(H17,コスト!$A$1:$A$20,FALSE),MATCH(G17,コスト!$A$1:$I$1,FALSE))</f>
        <v>30</v>
      </c>
      <c r="O17" s="11">
        <f ca="1">INDEX(レベル!$A$1:$I$21,MATCH(H17,レベル!$A$1:$A$21,FALSE),MATCH(G17,レベル!$A$1:$I$1,FALSE))</f>
        <v>80</v>
      </c>
      <c r="P17" s="46">
        <f t="shared" ca="1" si="7"/>
        <v>75</v>
      </c>
      <c r="Q17" s="55" t="s">
        <v>319</v>
      </c>
      <c r="R17" s="5" t="str">
        <f>VLOOKUP(Q17,[1]character_type_i18n!$A:$H,3,FALSE)</f>
        <v>バランスタイプ</v>
      </c>
      <c r="S17" s="11">
        <f>VLOOKUP(Q17,[1]character_type_i18n!$A:$H,4,FALSE)</f>
        <v>1</v>
      </c>
      <c r="T17" s="11">
        <f>VLOOKUP(Q17,[1]character_type_i18n!$A:$H,5,FALSE)</f>
        <v>1</v>
      </c>
      <c r="U17" s="11">
        <f>VLOOKUP(Q17,[1]character_type_i18n!$A:$H,6,FALSE)</f>
        <v>1</v>
      </c>
      <c r="V17" s="11">
        <f>VLOOKUP(Q17,[1]character_type_i18n!$A:$H,7,FALSE)</f>
        <v>1</v>
      </c>
      <c r="W17" s="55" t="s">
        <v>331</v>
      </c>
      <c r="X17" s="5" t="str">
        <f>VLOOKUP(W17,[1]character_tribe_i18n!$A:$H,3,FALSE)</f>
        <v>Unknown</v>
      </c>
      <c r="Y17" s="55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>VLOOKUP(W17,[1]character_tribe_i18n!$A:$H,4,FALSE)</f>
        <v>1</v>
      </c>
      <c r="AB17" s="11">
        <f>VLOOKUP(W17,[1]character_tribe_i18n!$A:$H,5,FALSE)</f>
        <v>1</v>
      </c>
      <c r="AC17" s="11">
        <f>VLOOKUP(W17,[1]character_tribe_i18n!$A:$H,6,FALSE)</f>
        <v>1</v>
      </c>
      <c r="AD17" s="11">
        <f>VLOOKUP(W17,[1]character_tribe_i18n!$A:$H,7,FALSE)</f>
        <v>1</v>
      </c>
      <c r="AE17" s="9" t="s">
        <v>183</v>
      </c>
      <c r="AF17" s="60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0"/>
        <v>8057</v>
      </c>
      <c r="AH17" s="60" t="str">
        <f ca="1">VLOOKUP($AG17,OFFSET([1]characters!$A$1,0,0,COUNTA([1]characters!$A:$A),MATCH(AH$1,[1]characters!$1:$1,0)-MATCH($A$1,[1]characters!$1:$1,0)+1),MATCH(AH$1,[1]characters!$1:$1,0)-MATCH($A$1,[1]characters!$1:$1,0)+1,FALSE)</f>
        <v>ニーベルゲン_シナモロールコスプレ</v>
      </c>
      <c r="AI17" s="11" t="str">
        <f>IF(AE17="NULL","NULL",VLOOKUP(G17,ビット!$A$2:$B$7,2))</f>
        <v>NULL</v>
      </c>
      <c r="AJ17" s="6">
        <v>2</v>
      </c>
      <c r="AK17" s="7" t="str">
        <f t="shared" si="5"/>
        <v>普通</v>
      </c>
      <c r="AL17" s="11" t="str">
        <f ca="1">INDEX(経験値!$A$1:$I$20,MATCH(H17,経験値!$A$1:$A$20,FALSE),MATCH(G17,経験値!$A$1:$I$1,FALSE))</f>
        <v>required_exp_200</v>
      </c>
      <c r="AM17" s="8">
        <f ca="1">VLOOKUP(G17,経験値!$A$27:$B$31,2)</f>
        <v>6400</v>
      </c>
      <c r="AN17" s="17">
        <f ca="1">VLOOKUP(G17,ビット!$G$2:$H$7,2)</f>
        <v>900</v>
      </c>
      <c r="AO17" s="43"/>
      <c r="AP17" s="65">
        <f t="shared" si="3"/>
        <v>8058</v>
      </c>
      <c r="AQ17" s="55" t="str">
        <f ca="1">VLOOKUP($AP17,OFFSET(unit_skills!$A$1,0,0,COUNTA(unit_skills!$A:$A),MATCH(AQ$1,unit_skills!$1:$1,0)-MATCH($AP$1,unit_skills!$1:$1,0)+1),MATCH(AQ$1,unit_skills!$1:$1,0)-MATCH($AP$1,unit_skills!$1:$1,0)+1,FALSE)</f>
        <v>ヴィント・クラフト</v>
      </c>
      <c r="AR17" s="55" t="str">
        <f ca="1">VLOOKUP($AP17,OFFSET(unit_skills!$A$1,0,0,COUNTA(unit_skills!$A:$A),MATCH(AR$1,unit_skills!$1:$1,0)-MATCH($AP$1,unit_skills!$1:$1,0)+1),MATCH(AR$1,unit_skills!$1:$1,0)-MATCH($AP$1,unit_skills!$1:$1,0)+1,FALSE)</f>
        <v>ハートパネルを全て吸収して3ターン緑属性の攻撃力UP+防御力特大UP</v>
      </c>
      <c r="AS17" s="55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0">
        <f t="shared" si="4"/>
        <v>8058</v>
      </c>
      <c r="AU17" s="55" t="str">
        <f ca="1">VLOOKUP($AT17,OFFSET(crash_skills!$A$1,0,0,COUNTA(crash_skills!$A:$A),MATCH(AU$1,crash_skills!$1:$1,0)-MATCH($AT$1,crash_skills!$1:$1,0)+1),MATCH(AU$1,crash_skills!$1:$1,0)-MATCH($AT$1,crash_skills!$1:$1,0)+1,FALSE)</f>
        <v>デパーチュア・ピース</v>
      </c>
      <c r="AV17" s="55" t="str">
        <f ca="1">VLOOKUP($AT17,OFFSET(crash_skills!$A$1,0,0,COUNTA(crash_skills!$A:$A),MATCH(AV$1,crash_skills!$1:$1,0)-MATCH($AT$1,crash_skills!$1:$1,0)+1),MATCH(AV$1,crash_skills!$1:$1,0)-MATCH($AT$1,crash_skills!$1:$1,0)+1,FALSE)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17" s="55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6">
        <f ca="1">VLOOKUP($A17,OFFSET([1]characters!$A$1,0,0,COUNTA([1]characters!$A:$A),MATCH(AX$1,[1]characters!$1:$1,0)-MATCH($A$1,[1]characters!$1:$1,0)+1),MATCH(AX$1,[1]characters!$1:$1,0)-MATCH($A$1,[1]characters!$1:$1,0)+1,FALSE)</f>
        <v>1</v>
      </c>
      <c r="AY17" s="66">
        <v>1</v>
      </c>
      <c r="AZ17" s="66">
        <v>1.1000000000000001</v>
      </c>
      <c r="BA17" s="66">
        <v>0</v>
      </c>
      <c r="BB17" s="66">
        <v>1</v>
      </c>
      <c r="BC17" s="11">
        <f ca="1">INDEX('RC6SV'!$A$1:$G$20,MATCH(H17,'RC6SV'!$A$1:$A$20,FALSE),MATCH(G17,'RC6SV'!$A$1:$G$1,FALSE))</f>
        <v>9000</v>
      </c>
      <c r="BD17" s="46">
        <f t="shared" ca="1" si="6"/>
        <v>9000</v>
      </c>
      <c r="BE17" s="11">
        <f t="shared" ca="1" si="1"/>
        <v>7000</v>
      </c>
      <c r="BF17" s="11">
        <f t="shared" ca="1" si="2"/>
        <v>1</v>
      </c>
      <c r="BG17" s="16">
        <f ca="1">IF($BE17&lt;=0,ROUND(BK17*0.5,0), ROUND($BE17*S17*AA17*J17*AY17*0.8*[1]ステータス!$B$2,0))</f>
        <v>2856</v>
      </c>
      <c r="BH17" s="16">
        <f ca="1">IF($BE17&lt;=0,ROUND(BL17*0.5,0), ROUND($BE17*T17*AB17*K17*AZ17*0.8*[1]ステータス!$C$2,0))</f>
        <v>1811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1400</v>
      </c>
      <c r="BK17" s="11">
        <f ca="1">ROUND(BD17*S17*AA17*J17*AY17*[1]ステータス!$B$2,0)</f>
        <v>4590</v>
      </c>
      <c r="BL17" s="11">
        <f ca="1">ROUND(BD17*T17*AB17*K17*AZ17*[1]ステータス!$C$2,0)</f>
        <v>2911</v>
      </c>
      <c r="BM17" s="11">
        <f ca="1">ROUND(BD17*U17*AC17*L17*BA17*[1]ステータス!$D$2,0)</f>
        <v>0</v>
      </c>
      <c r="BN17" s="11">
        <f ca="1">ROUND(BD17*V17*AD17*M17*BB17*[1]ステータス!$E$2,0)</f>
        <v>2250</v>
      </c>
      <c r="BO17" s="10">
        <v>0</v>
      </c>
      <c r="BP17" s="10">
        <v>1</v>
      </c>
      <c r="BQ17" s="37" t="s">
        <v>47</v>
      </c>
      <c r="BR17" s="12">
        <v>233</v>
      </c>
    </row>
    <row r="18" spans="1:70" ht="26" customHeight="1" x14ac:dyDescent="0.15">
      <c r="A18" s="220">
        <v>8059</v>
      </c>
      <c r="B18" s="55" t="str">
        <f ca="1">VLOOKUP($A18,OFFSET([1]characters!$A$1,0,0,COUNTA([1]characters!$A:$A),MATCH(B$1,[1]characters!$1:$1,0)-MATCH($A$1,[1]characters!$1:$1,0)+1),MATCH(B$1,[1]characters!$1:$1,0)-MATCH($A$1,[1]characters!$1:$1,0)+1,FALSE)</f>
        <v>カカシ_マイメロディコスプレ</v>
      </c>
      <c r="C18" s="55" t="str">
        <f ca="1">VLOOKUP($A18,OFFSET([1]characters!$A$1,0,0,COUNTA([1]characters!$A:$A),MATCH(C$1,[1]characters!$1:$1,0)-MATCH($A$1,[1]characters!$1:$1,0)+1),MATCH(C$1,[1]characters!$1:$1,0)-MATCH($A$1,[1]characters!$1:$1,0)+1,FALSE)</f>
        <v>カカシ_マイメロディコスプレ</v>
      </c>
      <c r="D18" s="55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5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5" t="str">
        <f ca="1">VLOOKUP($A18,OFFSET([1]characters!$A$1,0,0,COUNTA([1]characters!$A:$A),MATCH(F$1,[1]characters!$1:$1,0)-MATCH($A$1,[1]characters!$1:$1,0)+1),MATCH(F$1,[1]characters!$1:$1,0)-MATCH($A$1,[1]characters!$1:$1,0)+1,FALSE)</f>
        <v>女性</v>
      </c>
      <c r="G18" s="55">
        <f ca="1">VLOOKUP($A18,OFFSET([1]characters!$A$1,0,0,COUNTA([1]characters!$A:$A),MATCH(G$1,[1]characters!$1:$1,0)-MATCH($A$1,[1]characters!$1:$1,0)+1),MATCH(G$1,[1]characters!$1:$1,0)-MATCH($A$1,[1]characters!$1:$1,0)+1,FALSE)</f>
        <v>4</v>
      </c>
      <c r="H18" s="55" t="str">
        <f ca="1">VLOOKUP($A18,OFFSET([1]characters!$A$1,0,0,COUNTA([1]characters!$A:$A),MATCH(H$1,[1]characters!$1:$1,0)-MATCH($A$1,[1]characters!$1:$1,0)+1),MATCH(H$1,[1]characters!$1:$1,0)-MATCH($A$1,[1]characters!$1:$1,0)+1,FALSE)</f>
        <v>PremiumS</v>
      </c>
      <c r="I18" s="55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1">
        <f ca="1">VLOOKUP(I18,[1]属性!$A:$E,2,FALSE)</f>
        <v>1.02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</v>
      </c>
      <c r="N18" s="11">
        <f ca="1">INDEX(コスト!$A$1:$I$20,MATCH(H18,コスト!$A$1:$A$20,FALSE),MATCH(G18,コスト!$A$1:$I$1,FALSE))</f>
        <v>20</v>
      </c>
      <c r="O18" s="11">
        <f ca="1">INDEX(レベル!$A$1:$I$21,MATCH(H18,レベル!$A$1:$A$21,FALSE),MATCH(G18,レベル!$A$1:$I$1,FALSE))</f>
        <v>60</v>
      </c>
      <c r="P18" s="46">
        <f t="shared" ref="P18:P31" ca="1" si="8">IF(G18 &gt;= 6, 99,G18*15)</f>
        <v>60</v>
      </c>
      <c r="Q18" s="55" t="s">
        <v>317</v>
      </c>
      <c r="R18" s="5" t="str">
        <f>VLOOKUP(Q18,[1]character_type_i18n!$A:$H,3,FALSE)</f>
        <v>テクニカルタイプ</v>
      </c>
      <c r="S18" s="11">
        <f>VLOOKUP(Q18,[1]character_type_i18n!$A:$H,4,FALSE)</f>
        <v>0.9</v>
      </c>
      <c r="T18" s="11">
        <f>VLOOKUP(Q18,[1]character_type_i18n!$A:$H,5,FALSE)</f>
        <v>0.9</v>
      </c>
      <c r="U18" s="11">
        <f>VLOOKUP(Q18,[1]character_type_i18n!$A:$H,6,FALSE)</f>
        <v>1</v>
      </c>
      <c r="V18" s="11">
        <f>VLOOKUP(Q18,[1]character_type_i18n!$A:$H,7,FALSE)</f>
        <v>0.9</v>
      </c>
      <c r="W18" s="55" t="s">
        <v>333</v>
      </c>
      <c r="X18" s="5" t="str">
        <f>VLOOKUP(W18,[1]character_tribe_i18n!$A:$H,3,FALSE)</f>
        <v>ヒューマン</v>
      </c>
      <c r="Y18" s="55" t="s">
        <v>334</v>
      </c>
      <c r="Z18" s="5" t="str">
        <f>VLOOKUP(Y18,[1]character_tribe_i18n!$A:$H,3,FALSE)</f>
        <v>マシン</v>
      </c>
      <c r="AA18" s="11">
        <f>VLOOKUP(W18,[1]character_tribe_i18n!$A:$H,4,FALSE)</f>
        <v>0.94</v>
      </c>
      <c r="AB18" s="11">
        <f>VLOOKUP(W18,[1]character_tribe_i18n!$A:$H,5,FALSE)</f>
        <v>0.99</v>
      </c>
      <c r="AC18" s="11">
        <f>VLOOKUP(W18,[1]character_tribe_i18n!$A:$H,6,FALSE)</f>
        <v>1</v>
      </c>
      <c r="AD18" s="11">
        <f>VLOOKUP(W18,[1]character_tribe_i18n!$A:$H,7,FALSE)</f>
        <v>1.07</v>
      </c>
      <c r="AE18" s="9">
        <f>A19</f>
        <v>8060</v>
      </c>
      <c r="AF18" s="60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>カカシ_マイメロディコスプレ</v>
      </c>
      <c r="AG18" s="5">
        <f t="shared" ca="1" si="0"/>
        <v>8059</v>
      </c>
      <c r="AH18" s="60" t="str">
        <f ca="1">VLOOKUP($AG18,OFFSET([1]characters!$A$1,0,0,COUNTA([1]characters!$A:$A),MATCH(AH$1,[1]characters!$1:$1,0)-MATCH($A$1,[1]characters!$1:$1,0)+1),MATCH(AH$1,[1]characters!$1:$1,0)-MATCH($A$1,[1]characters!$1:$1,0)+1,FALSE)</f>
        <v>カカシ_マイメロディコスプレ</v>
      </c>
      <c r="AI18" s="11">
        <f ca="1">IF(AE18="NULL","NULL",VLOOKUP(G18,ビット!$A$2:$B$7,2))</f>
        <v>50000</v>
      </c>
      <c r="AJ18" s="6">
        <v>2</v>
      </c>
      <c r="AK18" s="7" t="str">
        <f t="shared" ref="AK18:AK31" si="9">IF(AJ18=1,"早熟",IF(AJ18=2,"普通",IF(AJ18=3,"晩成","")))</f>
        <v>普通</v>
      </c>
      <c r="AL18" s="11" t="str">
        <f ca="1">INDEX(経験値!$A$1:$I$20,MATCH(H18,経験値!$A$1:$A$20,FALSE),MATCH(G18,経験値!$A$1:$I$1,FALSE))</f>
        <v>required_exp_200</v>
      </c>
      <c r="AM18" s="8">
        <f ca="1">VLOOKUP(G18,経験値!$A$27:$B$31,2)</f>
        <v>3400</v>
      </c>
      <c r="AN18" s="17">
        <f ca="1">VLOOKUP(G18,ビット!$G$2:$H$7,2)</f>
        <v>600</v>
      </c>
      <c r="AO18" s="43"/>
      <c r="AP18" s="65">
        <f t="shared" si="3"/>
        <v>8059</v>
      </c>
      <c r="AQ18" s="55" t="str">
        <f ca="1">VLOOKUP($AP18,OFFSET(unit_skills!$A$1,0,0,COUNTA(unit_skills!$A:$A),MATCH(AQ$1,unit_skills!$1:$1,0)-MATCH($AP$1,unit_skills!$1:$1,0)+1),MATCH(AQ$1,unit_skills!$1:$1,0)-MATCH($AP$1,unit_skills!$1:$1,0)+1,FALSE)</f>
        <v>スプリングハーモニー</v>
      </c>
      <c r="AR18" s="55" t="str">
        <f ca="1">VLOOKUP($AP18,OFFSET(unit_skills!$A$1,0,0,COUNTA(unit_skills!$A:$A),MATCH(AR$1,unit_skills!$1:$1,0)-MATCH($AP$1,unit_skills!$1:$1,0)+1),MATCH(AR$1,unit_skills!$1:$1,0)-MATCH($AP$1,unit_skills!$1:$1,0)+1,FALSE)</f>
        <v>3ターンの間敵の防御力をDOWN+緑属性の攻撃力と回復力を特大UP</v>
      </c>
      <c r="AS18" s="55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40">
        <f t="shared" si="4"/>
        <v>8059</v>
      </c>
      <c r="AU18" s="55" t="str">
        <f ca="1">VLOOKUP($AT18,OFFSET(crash_skills!$A$1,0,0,COUNTA(crash_skills!$A:$A),MATCH(AU$1,crash_skills!$1:$1,0)-MATCH($AT$1,crash_skills!$1:$1,0)+1),MATCH(AU$1,crash_skills!$1:$1,0)-MATCH($AT$1,crash_skills!$1:$1,0)+1,FALSE)</f>
        <v>エルブセッション</v>
      </c>
      <c r="AV18" s="55" t="str">
        <f ca="1">VLOOKUP($AT18,OFFSET(crash_skills!$A$1,0,0,COUNTA(crash_skills!$A:$A),MATCH(AV$1,crash_skills!$1:$1,0)-MATCH($AT$1,crash_skills!$1:$1,0)+1),MATCH(AV$1,crash_skills!$1:$1,0)-MATCH($AT$1,crash_skills!$1:$1,0)+1,FALSE)</f>
        <v>1体に中ダメージ_x000D_+黄属性に効果特大</v>
      </c>
      <c r="AW18" s="55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6">
        <f ca="1">VLOOKUP($A18,OFFSET([1]characters!$A$1,0,0,COUNTA([1]characters!$A:$A),MATCH(AX$1,[1]characters!$1:$1,0)-MATCH($A$1,[1]characters!$1:$1,0)+1),MATCH(AX$1,[1]characters!$1:$1,0)-MATCH($A$1,[1]characters!$1:$1,0)+1,FALSE)</f>
        <v>1</v>
      </c>
      <c r="AY18" s="66">
        <v>1.05</v>
      </c>
      <c r="AZ18" s="66">
        <v>1.1000000000000001</v>
      </c>
      <c r="BA18" s="66">
        <v>0</v>
      </c>
      <c r="BB18" s="66">
        <v>1.02</v>
      </c>
      <c r="BC18" s="11">
        <f ca="1">INDEX('RC6SV'!$A$1:$G$20,MATCH(H18,'RC6SV'!$A$1:$A$20,FALSE),MATCH(G18,'RC6SV'!$A$1:$G$1,FALSE))</f>
        <v>7000</v>
      </c>
      <c r="BD18" s="46">
        <f t="shared" ref="BD18:BD31" ca="1" si="10">ROUND(BC18*IF(AJ18=1,0.95,IF(AJ18=2,1,IF(AJ18,1.05,0))),0)</f>
        <v>7000</v>
      </c>
      <c r="BE18" s="11">
        <f t="shared" ca="1" si="1"/>
        <v>0</v>
      </c>
      <c r="BF18" s="11">
        <f t="shared" ca="1" si="2"/>
        <v>1</v>
      </c>
      <c r="BG18" s="16">
        <f ca="1">IF($BE18&lt;=0,ROUND(BK18*0.5,0), ROUND($BE18*S18*AA18*J18*AY18*0.8*[1]ステータス!$B$2,0))</f>
        <v>1586</v>
      </c>
      <c r="BH18" s="16">
        <f ca="1">IF($BE18&lt;=0,ROUND(BL18*0.5,0), ROUND($BE18*T18*AB18*K18*AZ18*0.8*[1]ステータス!$C$2,0))</f>
        <v>1009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860</v>
      </c>
      <c r="BK18" s="11">
        <f ca="1">ROUND(BD18*S18*AA18*J18*AY18*[1]ステータス!$B$2,0)</f>
        <v>3171</v>
      </c>
      <c r="BL18" s="11">
        <f ca="1">ROUND(BD18*T18*AB18*K18*AZ18*[1]ステータス!$C$2,0)</f>
        <v>2017</v>
      </c>
      <c r="BM18" s="11">
        <f ca="1">ROUND(BD18*U18*AC18*L18*BA18*[1]ステータス!$D$2,0)</f>
        <v>0</v>
      </c>
      <c r="BN18" s="11">
        <f ca="1">ROUND(BD18*V18*AD18*M18*BB18*[1]ステータス!$E$2,0)</f>
        <v>1719</v>
      </c>
      <c r="BO18" s="10">
        <v>0</v>
      </c>
      <c r="BP18" s="10">
        <v>1</v>
      </c>
      <c r="BQ18" s="37" t="s">
        <v>47</v>
      </c>
      <c r="BR18" s="12">
        <v>233</v>
      </c>
    </row>
    <row r="19" spans="1:70" ht="26" customHeight="1" x14ac:dyDescent="0.15">
      <c r="A19" s="220">
        <v>8060</v>
      </c>
      <c r="B19" s="55" t="str">
        <f ca="1">VLOOKUP($A19,OFFSET([1]characters!$A$1,0,0,COUNTA([1]characters!$A:$A),MATCH(B$1,[1]characters!$1:$1,0)-MATCH($A$1,[1]characters!$1:$1,0)+1),MATCH(B$1,[1]characters!$1:$1,0)-MATCH($A$1,[1]characters!$1:$1,0)+1,FALSE)</f>
        <v>カカシ_マイメロディコスプレ</v>
      </c>
      <c r="C19" s="55" t="str">
        <f ca="1">VLOOKUP($A19,OFFSET([1]characters!$A$1,0,0,COUNTA([1]characters!$A:$A),MATCH(C$1,[1]characters!$1:$1,0)-MATCH($A$1,[1]characters!$1:$1,0)+1),MATCH(C$1,[1]characters!$1:$1,0)-MATCH($A$1,[1]characters!$1:$1,0)+1,FALSE)</f>
        <v>カカシ_マイメロディコスプレ</v>
      </c>
      <c r="D19" s="55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5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5" t="str">
        <f ca="1">VLOOKUP($A19,OFFSET([1]characters!$A$1,0,0,COUNTA([1]characters!$A:$A),MATCH(F$1,[1]characters!$1:$1,0)-MATCH($A$1,[1]characters!$1:$1,0)+1),MATCH(F$1,[1]characters!$1:$1,0)-MATCH($A$1,[1]characters!$1:$1,0)+1,FALSE)</f>
        <v>女性</v>
      </c>
      <c r="G19" s="55">
        <f ca="1">VLOOKUP($A19,OFFSET([1]characters!$A$1,0,0,COUNTA([1]characters!$A:$A),MATCH(G$1,[1]characters!$1:$1,0)-MATCH($A$1,[1]characters!$1:$1,0)+1),MATCH(G$1,[1]characters!$1:$1,0)-MATCH($A$1,[1]characters!$1:$1,0)+1,FALSE)</f>
        <v>5</v>
      </c>
      <c r="H19" s="55" t="str">
        <f ca="1">VLOOKUP($A19,OFFSET([1]characters!$A$1,0,0,COUNTA([1]characters!$A:$A),MATCH(H$1,[1]characters!$1:$1,0)-MATCH($A$1,[1]characters!$1:$1,0)+1),MATCH(H$1,[1]characters!$1:$1,0)-MATCH($A$1,[1]characters!$1:$1,0)+1,FALSE)</f>
        <v>PremiumS</v>
      </c>
      <c r="I19" s="55" t="str">
        <f ca="1">VLOOKUP($A19,OFFSET([1]characters!$A$1,0,0,COUNTA([1]characters!$A:$A),MATCH(I$1,[1]characters!$1:$1,0)-MATCH($A$1,[1]characters!$1:$1,0)+1),MATCH(I$1,[1]characters!$1:$1,0)-MATCH($A$1,[1]characters!$1:$1,0)+1,FALSE)</f>
        <v>green</v>
      </c>
      <c r="J19" s="11">
        <f ca="1">VLOOKUP(I19,[1]属性!$A:$E,2,FALSE)</f>
        <v>1.02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</v>
      </c>
      <c r="N19" s="11">
        <f ca="1">INDEX(コスト!$A$1:$I$20,MATCH(H19,コスト!$A$1:$A$20,FALSE),MATCH(G19,コスト!$A$1:$I$1,FALSE))</f>
        <v>30</v>
      </c>
      <c r="O19" s="11">
        <f ca="1">INDEX(レベル!$A$1:$I$21,MATCH(H19,レベル!$A$1:$A$21,FALSE),MATCH(G19,レベル!$A$1:$I$1,FALSE))</f>
        <v>80</v>
      </c>
      <c r="P19" s="46">
        <f t="shared" ca="1" si="8"/>
        <v>75</v>
      </c>
      <c r="Q19" s="55" t="s">
        <v>317</v>
      </c>
      <c r="R19" s="5" t="str">
        <f>VLOOKUP(Q19,[1]character_type_i18n!$A:$H,3,FALSE)</f>
        <v>テクニカルタイプ</v>
      </c>
      <c r="S19" s="11">
        <f>VLOOKUP(Q19,[1]character_type_i18n!$A:$H,4,FALSE)</f>
        <v>0.9</v>
      </c>
      <c r="T19" s="11">
        <f>VLOOKUP(Q19,[1]character_type_i18n!$A:$H,5,FALSE)</f>
        <v>0.9</v>
      </c>
      <c r="U19" s="11">
        <f>VLOOKUP(Q19,[1]character_type_i18n!$A:$H,6,FALSE)</f>
        <v>1</v>
      </c>
      <c r="V19" s="11">
        <f>VLOOKUP(Q19,[1]character_type_i18n!$A:$H,7,FALSE)</f>
        <v>0.9</v>
      </c>
      <c r="W19" s="55" t="s">
        <v>333</v>
      </c>
      <c r="X19" s="5" t="str">
        <f>VLOOKUP(W19,[1]character_tribe_i18n!$A:$H,3,FALSE)</f>
        <v>ヒューマン</v>
      </c>
      <c r="Y19" s="55" t="s">
        <v>334</v>
      </c>
      <c r="Z19" s="5" t="str">
        <f>VLOOKUP(Y19,[1]character_tribe_i18n!$A:$H,3,FALSE)</f>
        <v>マシン</v>
      </c>
      <c r="AA19" s="11">
        <f>VLOOKUP(W19,[1]character_tribe_i18n!$A:$H,4,FALSE)</f>
        <v>0.94</v>
      </c>
      <c r="AB19" s="11">
        <f>VLOOKUP(W19,[1]character_tribe_i18n!$A:$H,5,FALSE)</f>
        <v>0.99</v>
      </c>
      <c r="AC19" s="11">
        <f>VLOOKUP(W19,[1]character_tribe_i18n!$A:$H,6,FALSE)</f>
        <v>1</v>
      </c>
      <c r="AD19" s="11">
        <f>VLOOKUP(W19,[1]character_tribe_i18n!$A:$H,7,FALSE)</f>
        <v>1.07</v>
      </c>
      <c r="AE19" s="9" t="s">
        <v>183</v>
      </c>
      <c r="AF19" s="60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0"/>
        <v>8059</v>
      </c>
      <c r="AH19" s="60" t="str">
        <f ca="1">VLOOKUP($AG19,OFFSET([1]characters!$A$1,0,0,COUNTA([1]characters!$A:$A),MATCH(AH$1,[1]characters!$1:$1,0)-MATCH($A$1,[1]characters!$1:$1,0)+1),MATCH(AH$1,[1]characters!$1:$1,0)-MATCH($A$1,[1]characters!$1:$1,0)+1,FALSE)</f>
        <v>カカシ_マイメロディコスプレ</v>
      </c>
      <c r="AI19" s="11" t="str">
        <f>IF(AE19="NULL","NULL",VLOOKUP(G19,ビット!$A$2:$B$7,2))</f>
        <v>NULL</v>
      </c>
      <c r="AJ19" s="6">
        <v>2</v>
      </c>
      <c r="AK19" s="7" t="str">
        <f t="shared" si="9"/>
        <v>普通</v>
      </c>
      <c r="AL19" s="11" t="str">
        <f ca="1">INDEX(経験値!$A$1:$I$20,MATCH(H19,経験値!$A$1:$A$20,FALSE),MATCH(G19,経験値!$A$1:$I$1,FALSE))</f>
        <v>required_exp_200</v>
      </c>
      <c r="AM19" s="8">
        <f ca="1">VLOOKUP(G19,経験値!$A$27:$B$31,2)</f>
        <v>6400</v>
      </c>
      <c r="AN19" s="17">
        <f ca="1">VLOOKUP(G19,ビット!$G$2:$H$7,2)</f>
        <v>900</v>
      </c>
      <c r="AO19" s="43"/>
      <c r="AP19" s="65">
        <f t="shared" si="3"/>
        <v>8060</v>
      </c>
      <c r="AQ19" s="55" t="str">
        <f ca="1">VLOOKUP($AP19,OFFSET(unit_skills!$A$1,0,0,COUNTA(unit_skills!$A:$A),MATCH(AQ$1,unit_skills!$1:$1,0)-MATCH($AP$1,unit_skills!$1:$1,0)+1),MATCH(AQ$1,unit_skills!$1:$1,0)-MATCH($AP$1,unit_skills!$1:$1,0)+1,FALSE)</f>
        <v>スプリングハーモニー</v>
      </c>
      <c r="AR19" s="55" t="str">
        <f ca="1">VLOOKUP($AP19,OFFSET(unit_skills!$A$1,0,0,COUNTA(unit_skills!$A:$A),MATCH(AR$1,unit_skills!$1:$1,0)-MATCH($AP$1,unit_skills!$1:$1,0)+1),MATCH(AR$1,unit_skills!$1:$1,0)-MATCH($AP$1,unit_skills!$1:$1,0)+1,FALSE)</f>
        <v>3ターンの間敵の防御力をDOWN+緑属性の攻撃力と回復力を特大UP</v>
      </c>
      <c r="AS19" s="55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40">
        <f t="shared" si="4"/>
        <v>8060</v>
      </c>
      <c r="AU19" s="55" t="str">
        <f ca="1">VLOOKUP($AT19,OFFSET(crash_skills!$A$1,0,0,COUNTA(crash_skills!$A:$A),MATCH(AU$1,crash_skills!$1:$1,0)-MATCH($AT$1,crash_skills!$1:$1,0)+1),MATCH(AU$1,crash_skills!$1:$1,0)-MATCH($AT$1,crash_skills!$1:$1,0)+1,FALSE)</f>
        <v>エルブセッション</v>
      </c>
      <c r="AV19" s="55" t="str">
        <f ca="1">VLOOKUP($AT19,OFFSET(crash_skills!$A$1,0,0,COUNTA(crash_skills!$A:$A),MATCH(AV$1,crash_skills!$1:$1,0)-MATCH($AT$1,crash_skills!$1:$1,0)+1),MATCH(AV$1,crash_skills!$1:$1,0)-MATCH($AT$1,crash_skills!$1:$1,0)+1,FALSE)</f>
        <v>1体に中ダメージ_x000D_+黄属性に効果特大</v>
      </c>
      <c r="AW19" s="55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6">
        <f ca="1">VLOOKUP($A19,OFFSET([1]characters!$A$1,0,0,COUNTA([1]characters!$A:$A),MATCH(AX$1,[1]characters!$1:$1,0)-MATCH($A$1,[1]characters!$1:$1,0)+1),MATCH(AX$1,[1]characters!$1:$1,0)-MATCH($A$1,[1]characters!$1:$1,0)+1,FALSE)</f>
        <v>1</v>
      </c>
      <c r="AY19" s="66">
        <v>1.05</v>
      </c>
      <c r="AZ19" s="66">
        <v>1.1000000000000001</v>
      </c>
      <c r="BA19" s="66">
        <v>0</v>
      </c>
      <c r="BB19" s="66">
        <v>1.02</v>
      </c>
      <c r="BC19" s="11">
        <f ca="1">INDEX('RC6SV'!$A$1:$G$20,MATCH(H19,'RC6SV'!$A$1:$A$20,FALSE),MATCH(G19,'RC6SV'!$A$1:$G$1,FALSE))</f>
        <v>9000</v>
      </c>
      <c r="BD19" s="46">
        <f t="shared" ca="1" si="10"/>
        <v>9000</v>
      </c>
      <c r="BE19" s="11">
        <f t="shared" ca="1" si="1"/>
        <v>7000</v>
      </c>
      <c r="BF19" s="11">
        <f t="shared" ca="1" si="2"/>
        <v>1</v>
      </c>
      <c r="BG19" s="16">
        <f ca="1">IF($BE19&lt;=0,ROUND(BK19*0.5,0), ROUND($BE19*S19*AA19*J19*AY19*0.8*[1]ステータス!$B$2,0))</f>
        <v>2537</v>
      </c>
      <c r="BH19" s="16">
        <f ca="1">IF($BE19&lt;=0,ROUND(BL19*0.5,0), ROUND($BE19*T19*AB19*K19*AZ19*0.8*[1]ステータス!$C$2,0))</f>
        <v>1614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1375</v>
      </c>
      <c r="BK19" s="11">
        <f ca="1">ROUND(BD19*S19*AA19*J19*AY19*[1]ステータス!$B$2,0)</f>
        <v>4077</v>
      </c>
      <c r="BL19" s="11">
        <f ca="1">ROUND(BD19*T19*AB19*K19*AZ19*[1]ステータス!$C$2,0)</f>
        <v>2593</v>
      </c>
      <c r="BM19" s="11">
        <f ca="1">ROUND(BD19*U19*AC19*L19*BA19*[1]ステータス!$D$2,0)</f>
        <v>0</v>
      </c>
      <c r="BN19" s="11">
        <f ca="1">ROUND(BD19*V19*AD19*M19*BB19*[1]ステータス!$E$2,0)</f>
        <v>2210</v>
      </c>
      <c r="BO19" s="10">
        <v>0</v>
      </c>
      <c r="BP19" s="10">
        <v>1</v>
      </c>
      <c r="BQ19" s="37" t="s">
        <v>47</v>
      </c>
      <c r="BR19" s="12">
        <v>233</v>
      </c>
    </row>
    <row r="20" spans="1:70" ht="26" customHeight="1" x14ac:dyDescent="0.15">
      <c r="A20" s="220">
        <v>8061</v>
      </c>
      <c r="B20" s="55" t="str">
        <f ca="1">VLOOKUP($A20,OFFSET([1]characters!$A$1,0,0,COUNTA([1]characters!$A:$A),MATCH(B$1,[1]characters!$1:$1,0)-MATCH($A$1,[1]characters!$1:$1,0)+1),MATCH(B$1,[1]characters!$1:$1,0)-MATCH($A$1,[1]characters!$1:$1,0)+1,FALSE)</f>
        <v>ケロケロけろっぴ</v>
      </c>
      <c r="C20" s="55" t="str">
        <f ca="1">VLOOKUP($A20,OFFSET([1]characters!$A$1,0,0,COUNTA([1]characters!$A:$A),MATCH(C$1,[1]characters!$1:$1,0)-MATCH($A$1,[1]characters!$1:$1,0)+1),MATCH(C$1,[1]characters!$1:$1,0)-MATCH($A$1,[1]characters!$1:$1,0)+1,FALSE)</f>
        <v>ケロケロけろっぴ</v>
      </c>
      <c r="D20" s="55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5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5" t="str">
        <f ca="1">VLOOKUP($A20,OFFSET([1]characters!$A$1,0,0,COUNTA([1]characters!$A:$A),MATCH(F$1,[1]characters!$1:$1,0)-MATCH($A$1,[1]characters!$1:$1,0)+1),MATCH(F$1,[1]characters!$1:$1,0)-MATCH($A$1,[1]characters!$1:$1,0)+1,FALSE)</f>
        <v>女性</v>
      </c>
      <c r="G20" s="55">
        <f ca="1">VLOOKUP($A20,OFFSET([1]characters!$A$1,0,0,COUNTA([1]characters!$A:$A),MATCH(G$1,[1]characters!$1:$1,0)-MATCH($A$1,[1]characters!$1:$1,0)+1),MATCH(G$1,[1]characters!$1:$1,0)-MATCH($A$1,[1]characters!$1:$1,0)+1,FALSE)</f>
        <v>3</v>
      </c>
      <c r="H20" s="55" t="str">
        <f ca="1">VLOOKUP($A20,OFFSET([1]characters!$A$1,0,0,COUNTA([1]characters!$A:$A),MATCH(H$1,[1]characters!$1:$1,0)-MATCH($A$1,[1]characters!$1:$1,0)+1),MATCH(H$1,[1]characters!$1:$1,0)-MATCH($A$1,[1]characters!$1:$1,0)+1,FALSE)</f>
        <v>PremiumS</v>
      </c>
      <c r="I20" s="55" t="str">
        <f ca="1">VLOOKUP($A20,OFFSET([1]characters!$A$1,0,0,COUNTA([1]characters!$A:$A),MATCH(I$1,[1]characters!$1:$1,0)-MATCH($A$1,[1]characters!$1:$1,0)+1),MATCH(I$1,[1]characters!$1:$1,0)-MATCH($A$1,[1]characters!$1:$1,0)+1,FALSE)</f>
        <v>green</v>
      </c>
      <c r="J20" s="11">
        <f ca="1">VLOOKUP(I20,[1]属性!$A:$E,2,FALSE)</f>
        <v>1.02</v>
      </c>
      <c r="K20" s="11">
        <f ca="1">VLOOKUP(I20,[1]属性!$A:$E,3,FALSE)</f>
        <v>0.98</v>
      </c>
      <c r="L20" s="11">
        <f ca="1">VLOOKUP(I20,[1]属性!$A:$E,4,FALSE)</f>
        <v>1</v>
      </c>
      <c r="M20" s="11">
        <f ca="1">VLOOKUP(I20,[1]属性!$A:$E,5,FALSE)</f>
        <v>1</v>
      </c>
      <c r="N20" s="11">
        <f ca="1">INDEX(コスト!$A$1:$I$20,MATCH(H20,コスト!$A$1:$A$20,FALSE),MATCH(G20,コスト!$A$1:$I$1,FALSE))</f>
        <v>10</v>
      </c>
      <c r="O20" s="11">
        <f ca="1">INDEX(レベル!$A$1:$I$21,MATCH(H20,レベル!$A$1:$A$21,FALSE),MATCH(G20,レベル!$A$1:$I$1,FALSE))</f>
        <v>40</v>
      </c>
      <c r="P20" s="46">
        <f t="shared" ca="1" si="8"/>
        <v>45</v>
      </c>
      <c r="Q20" s="55" t="s">
        <v>321</v>
      </c>
      <c r="R20" s="5" t="str">
        <f>VLOOKUP(Q20,[1]character_type_i18n!$A:$H,3,FALSE)</f>
        <v>バランスタイプ</v>
      </c>
      <c r="S20" s="11">
        <f>VLOOKUP(Q20,[1]character_type_i18n!$A:$H,4,FALSE)</f>
        <v>1</v>
      </c>
      <c r="T20" s="11">
        <f>VLOOKUP(Q20,[1]character_type_i18n!$A:$H,5,FALSE)</f>
        <v>1</v>
      </c>
      <c r="U20" s="11">
        <f>VLOOKUP(Q20,[1]character_type_i18n!$A:$H,6,FALSE)</f>
        <v>1</v>
      </c>
      <c r="V20" s="11">
        <f>VLOOKUP(Q20,[1]character_type_i18n!$A:$H,7,FALSE)</f>
        <v>1</v>
      </c>
      <c r="W20" s="55" t="s">
        <v>331</v>
      </c>
      <c r="X20" s="5" t="str">
        <f>VLOOKUP(W20,[1]character_tribe_i18n!$A:$H,3,FALSE)</f>
        <v>Unknown</v>
      </c>
      <c r="Y20" s="55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>VLOOKUP(W20,[1]character_tribe_i18n!$A:$H,4,FALSE)</f>
        <v>1</v>
      </c>
      <c r="AB20" s="11">
        <f>VLOOKUP(W20,[1]character_tribe_i18n!$A:$H,5,FALSE)</f>
        <v>1</v>
      </c>
      <c r="AC20" s="11">
        <f>VLOOKUP(W20,[1]character_tribe_i18n!$A:$H,6,FALSE)</f>
        <v>1</v>
      </c>
      <c r="AD20" s="11">
        <f>VLOOKUP(W20,[1]character_tribe_i18n!$A:$H,7,FALSE)</f>
        <v>1</v>
      </c>
      <c r="AE20" s="9">
        <f>A21</f>
        <v>8062</v>
      </c>
      <c r="AF20" s="60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>ケロケロけろっぴ</v>
      </c>
      <c r="AG20" s="5">
        <f t="shared" ca="1" si="0"/>
        <v>8061</v>
      </c>
      <c r="AH20" s="60" t="str">
        <f ca="1">VLOOKUP($AG20,OFFSET([1]characters!$A$1,0,0,COUNTA([1]characters!$A:$A),MATCH(AH$1,[1]characters!$1:$1,0)-MATCH($A$1,[1]characters!$1:$1,0)+1),MATCH(AH$1,[1]characters!$1:$1,0)-MATCH($A$1,[1]characters!$1:$1,0)+1,FALSE)</f>
        <v>ケロケロけろっぴ</v>
      </c>
      <c r="AI20" s="11">
        <f ca="1">IF(AE20="NULL","NULL",VLOOKUP(G20,ビット!$A$2:$B$7,2))</f>
        <v>20000</v>
      </c>
      <c r="AJ20" s="6">
        <v>2</v>
      </c>
      <c r="AK20" s="7" t="str">
        <f t="shared" si="9"/>
        <v>普通</v>
      </c>
      <c r="AL20" s="11" t="str">
        <f ca="1">INDEX(経験値!$A$1:$I$20,MATCH(H20,経験値!$A$1:$A$20,FALSE),MATCH(G20,経験値!$A$1:$I$1,FALSE))</f>
        <v>required_exp_200</v>
      </c>
      <c r="AM20" s="8">
        <f ca="1">VLOOKUP(G20,経験値!$A$27:$B$31,2)</f>
        <v>1500</v>
      </c>
      <c r="AN20" s="17">
        <f ca="1">VLOOKUP(G20,ビット!$G$2:$H$7,2)</f>
        <v>300</v>
      </c>
      <c r="AO20" s="43"/>
      <c r="AP20" s="65">
        <f t="shared" si="3"/>
        <v>8061</v>
      </c>
      <c r="AQ20" s="55" t="str">
        <f ca="1">VLOOKUP($AP20,OFFSET(unit_skills!$A$1,0,0,COUNTA(unit_skills!$A:$A),MATCH(AQ$1,unit_skills!$1:$1,0)-MATCH($AP$1,unit_skills!$1:$1,0)+1),MATCH(AQ$1,unit_skills!$1:$1,0)-MATCH($AP$1,unit_skills!$1:$1,0)+1,FALSE)</f>
        <v>けろけろジャンプ</v>
      </c>
      <c r="AR20" s="55" t="str">
        <f ca="1">VLOOKUP($AP20,OFFSET(unit_skills!$A$1,0,0,COUNTA(unit_skills!$A:$A),MATCH(AR$1,unit_skills!$1:$1,0)-MATCH($AP$1,unit_skills!$1:$1,0)+1),MATCH(AR$1,unit_skills!$1:$1,0)-MATCH($AP$1,unit_skills!$1:$1,0)+1,FALSE)</f>
        <v>3ターン緑属性のユニットの防御力を特大UP</v>
      </c>
      <c r="AS20" s="55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40">
        <f t="shared" si="4"/>
        <v>8061</v>
      </c>
      <c r="AU20" s="55" t="str">
        <f ca="1">VLOOKUP($AT20,OFFSET(crash_skills!$A$1,0,0,COUNTA(crash_skills!$A:$A),MATCH(AU$1,crash_skills!$1:$1,0)-MATCH($AT$1,crash_skills!$1:$1,0)+1),MATCH(AU$1,crash_skills!$1:$1,0)-MATCH($AT$1,crash_skills!$1:$1,0)+1,FALSE)</f>
        <v>けろけろコーラス♪</v>
      </c>
      <c r="AV20" s="55" t="str">
        <f ca="1">VLOOKUP($AT20,OFFSET(crash_skills!$A$1,0,0,COUNTA(crash_skills!$A:$A),MATCH(AV$1,crash_skills!$1:$1,0)-MATCH($AT$1,crash_skills!$1:$1,0)+1),MATCH(AV$1,crash_skills!$1:$1,0)-MATCH($AT$1,crash_skills!$1:$1,0)+1,FALSE)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0" s="55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6">
        <f ca="1">VLOOKUP($A20,OFFSET([1]characters!$A$1,0,0,COUNTA([1]characters!$A:$A),MATCH(AX$1,[1]characters!$1:$1,0)-MATCH($A$1,[1]characters!$1:$1,0)+1),MATCH(AX$1,[1]characters!$1:$1,0)-MATCH($A$1,[1]characters!$1:$1,0)+1,FALSE)</f>
        <v>1</v>
      </c>
      <c r="AY20" s="66">
        <v>1.1819999999999999</v>
      </c>
      <c r="AZ20" s="66">
        <v>1.306</v>
      </c>
      <c r="BA20" s="66">
        <v>0</v>
      </c>
      <c r="BB20" s="66">
        <v>1.0660000000000001</v>
      </c>
      <c r="BC20" s="11">
        <f ca="1">INDEX('RC6SV'!$A$1:$G$20,MATCH(H20,'RC6SV'!$A$1:$A$20,FALSE),MATCH(G20,'RC6SV'!$A$1:$G$1,FALSE))</f>
        <v>5000</v>
      </c>
      <c r="BD20" s="46">
        <f t="shared" ca="1" si="10"/>
        <v>5000</v>
      </c>
      <c r="BE20" s="11">
        <f t="shared" ca="1" si="1"/>
        <v>0</v>
      </c>
      <c r="BF20" s="11">
        <f t="shared" ca="1" si="2"/>
        <v>1</v>
      </c>
      <c r="BG20" s="16">
        <f ca="1">IF($BE20&lt;=0,ROUND(BK20*0.5,0), ROUND($BE20*S20*AA20*J20*AY20*0.8*[1]ステータス!$B$2,0))</f>
        <v>1507</v>
      </c>
      <c r="BH20" s="16">
        <f ca="1">IF($BE20&lt;=0,ROUND(BL20*0.5,0), ROUND($BE20*T20*AB20*K20*AZ20*0.8*[1]ステータス!$C$2,0))</f>
        <v>960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667</v>
      </c>
      <c r="BK20" s="11">
        <f ca="1">ROUND(BD20*S20*AA20*J20*AY20*[1]ステータス!$B$2,0)</f>
        <v>3014</v>
      </c>
      <c r="BL20" s="11">
        <f ca="1">ROUND(BD20*T20*AB20*K20*AZ20*[1]ステータス!$C$2,0)</f>
        <v>1920</v>
      </c>
      <c r="BM20" s="11">
        <f ca="1">ROUND(BD20*U20*AC20*L20*BA20*[1]ステータス!$D$2,0)</f>
        <v>0</v>
      </c>
      <c r="BN20" s="11">
        <f ca="1">ROUND(BD20*V20*AD20*M20*BB20*[1]ステータス!$E$2,0)</f>
        <v>1333</v>
      </c>
      <c r="BO20" s="10">
        <v>0</v>
      </c>
      <c r="BP20" s="10">
        <v>1</v>
      </c>
      <c r="BQ20" s="37" t="s">
        <v>47</v>
      </c>
      <c r="BR20" s="12">
        <v>233</v>
      </c>
    </row>
    <row r="21" spans="1:70" ht="26" customHeight="1" x14ac:dyDescent="0.15">
      <c r="A21" s="220">
        <v>8062</v>
      </c>
      <c r="B21" s="55" t="str">
        <f ca="1">VLOOKUP($A21,OFFSET([1]characters!$A$1,0,0,COUNTA([1]characters!$A:$A),MATCH(B$1,[1]characters!$1:$1,0)-MATCH($A$1,[1]characters!$1:$1,0)+1),MATCH(B$1,[1]characters!$1:$1,0)-MATCH($A$1,[1]characters!$1:$1,0)+1,FALSE)</f>
        <v>ケロケロけろっぴ</v>
      </c>
      <c r="C21" s="55" t="str">
        <f ca="1">VLOOKUP($A21,OFFSET([1]characters!$A$1,0,0,COUNTA([1]characters!$A:$A),MATCH(C$1,[1]characters!$1:$1,0)-MATCH($A$1,[1]characters!$1:$1,0)+1),MATCH(C$1,[1]characters!$1:$1,0)-MATCH($A$1,[1]characters!$1:$1,0)+1,FALSE)</f>
        <v>ケロケロけろっぴ</v>
      </c>
      <c r="D21" s="55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5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5" t="str">
        <f ca="1">VLOOKUP($A21,OFFSET([1]characters!$A$1,0,0,COUNTA([1]characters!$A:$A),MATCH(F$1,[1]characters!$1:$1,0)-MATCH($A$1,[1]characters!$1:$1,0)+1),MATCH(F$1,[1]characters!$1:$1,0)-MATCH($A$1,[1]characters!$1:$1,0)+1,FALSE)</f>
        <v>女性</v>
      </c>
      <c r="G21" s="55">
        <f ca="1">VLOOKUP($A21,OFFSET([1]characters!$A$1,0,0,COUNTA([1]characters!$A:$A),MATCH(G$1,[1]characters!$1:$1,0)-MATCH($A$1,[1]characters!$1:$1,0)+1),MATCH(G$1,[1]characters!$1:$1,0)-MATCH($A$1,[1]characters!$1:$1,0)+1,FALSE)</f>
        <v>4</v>
      </c>
      <c r="H21" s="55" t="str">
        <f ca="1">VLOOKUP($A21,OFFSET([1]characters!$A$1,0,0,COUNTA([1]characters!$A:$A),MATCH(H$1,[1]characters!$1:$1,0)-MATCH($A$1,[1]characters!$1:$1,0)+1),MATCH(H$1,[1]characters!$1:$1,0)-MATCH($A$1,[1]characters!$1:$1,0)+1,FALSE)</f>
        <v>PremiumS</v>
      </c>
      <c r="I21" s="55" t="str">
        <f ca="1">VLOOKUP($A21,OFFSET([1]characters!$A$1,0,0,COUNTA([1]characters!$A:$A),MATCH(I$1,[1]characters!$1:$1,0)-MATCH($A$1,[1]characters!$1:$1,0)+1),MATCH(I$1,[1]characters!$1:$1,0)-MATCH($A$1,[1]characters!$1:$1,0)+1,FALSE)</f>
        <v>green</v>
      </c>
      <c r="J21" s="11">
        <f ca="1">VLOOKUP(I21,[1]属性!$A:$E,2,FALSE)</f>
        <v>1.02</v>
      </c>
      <c r="K21" s="11">
        <f ca="1">VLOOKUP(I21,[1]属性!$A:$E,3,FALSE)</f>
        <v>0.98</v>
      </c>
      <c r="L21" s="11">
        <f ca="1">VLOOKUP(I21,[1]属性!$A:$E,4,FALSE)</f>
        <v>1</v>
      </c>
      <c r="M21" s="11">
        <f ca="1">VLOOKUP(I21,[1]属性!$A:$E,5,FALSE)</f>
        <v>1</v>
      </c>
      <c r="N21" s="11">
        <f ca="1">INDEX(コスト!$A$1:$I$20,MATCH(H21,コスト!$A$1:$A$20,FALSE),MATCH(G21,コスト!$A$1:$I$1,FALSE))</f>
        <v>20</v>
      </c>
      <c r="O21" s="11">
        <f ca="1">INDEX(レベル!$A$1:$I$21,MATCH(H21,レベル!$A$1:$A$21,FALSE),MATCH(G21,レベル!$A$1:$I$1,FALSE))</f>
        <v>60</v>
      </c>
      <c r="P21" s="46">
        <f t="shared" ca="1" si="8"/>
        <v>60</v>
      </c>
      <c r="Q21" s="55" t="s">
        <v>321</v>
      </c>
      <c r="R21" s="5" t="str">
        <f>VLOOKUP(Q21,[1]character_type_i18n!$A:$H,3,FALSE)</f>
        <v>バランスタイプ</v>
      </c>
      <c r="S21" s="11">
        <f>VLOOKUP(Q21,[1]character_type_i18n!$A:$H,4,FALSE)</f>
        <v>1</v>
      </c>
      <c r="T21" s="11">
        <f>VLOOKUP(Q21,[1]character_type_i18n!$A:$H,5,FALSE)</f>
        <v>1</v>
      </c>
      <c r="U21" s="11">
        <f>VLOOKUP(Q21,[1]character_type_i18n!$A:$H,6,FALSE)</f>
        <v>1</v>
      </c>
      <c r="V21" s="11">
        <f>VLOOKUP(Q21,[1]character_type_i18n!$A:$H,7,FALSE)</f>
        <v>1</v>
      </c>
      <c r="W21" s="55" t="s">
        <v>331</v>
      </c>
      <c r="X21" s="5" t="str">
        <f>VLOOKUP(W21,[1]character_tribe_i18n!$A:$H,3,FALSE)</f>
        <v>Unknown</v>
      </c>
      <c r="Y21" s="55" t="str">
        <f ca="1">VLOOKUP($A21,OFFSET([1]characters!$A$1,0,0,COUNTA([1]characters!$A:$A),MATCH(Y$1,[1]characters!$1:$1,0)-MATCH($A$1,[1]characters!$1:$1,0)+1),MATCH(Y$1,[1]characters!$1:$1,0)-MATCH($A$1,[1]characters!$1:$1,0)+1,FALSE)</f>
        <v>none</v>
      </c>
      <c r="Z21" s="5" t="str">
        <f ca="1">VLOOKUP(Y21,[1]character_tribe_i18n!$A:$H,3,FALSE)</f>
        <v>種族なし</v>
      </c>
      <c r="AA21" s="11">
        <f>VLOOKUP(W21,[1]character_tribe_i18n!$A:$H,4,FALSE)</f>
        <v>1</v>
      </c>
      <c r="AB21" s="11">
        <f>VLOOKUP(W21,[1]character_tribe_i18n!$A:$H,5,FALSE)</f>
        <v>1</v>
      </c>
      <c r="AC21" s="11">
        <f>VLOOKUP(W21,[1]character_tribe_i18n!$A:$H,6,FALSE)</f>
        <v>1</v>
      </c>
      <c r="AD21" s="11">
        <f>VLOOKUP(W21,[1]character_tribe_i18n!$A:$H,7,FALSE)</f>
        <v>1</v>
      </c>
      <c r="AE21" s="9" t="s">
        <v>183</v>
      </c>
      <c r="AF21" s="60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/>
      </c>
      <c r="AG21" s="5">
        <f t="shared" ca="1" si="0"/>
        <v>8061</v>
      </c>
      <c r="AH21" s="60" t="str">
        <f ca="1">VLOOKUP($AG21,OFFSET([1]characters!$A$1,0,0,COUNTA([1]characters!$A:$A),MATCH(AH$1,[1]characters!$1:$1,0)-MATCH($A$1,[1]characters!$1:$1,0)+1),MATCH(AH$1,[1]characters!$1:$1,0)-MATCH($A$1,[1]characters!$1:$1,0)+1,FALSE)</f>
        <v>ケロケロけろっぴ</v>
      </c>
      <c r="AI21" s="11" t="str">
        <f>IF(AE21="NULL","NULL",VLOOKUP(G21,ビット!$A$2:$B$7,2))</f>
        <v>NULL</v>
      </c>
      <c r="AJ21" s="6">
        <v>2</v>
      </c>
      <c r="AK21" s="7" t="str">
        <f t="shared" si="9"/>
        <v>普通</v>
      </c>
      <c r="AL21" s="11" t="str">
        <f ca="1">INDEX(経験値!$A$1:$I$20,MATCH(H21,経験値!$A$1:$A$20,FALSE),MATCH(G21,経験値!$A$1:$I$1,FALSE))</f>
        <v>required_exp_200</v>
      </c>
      <c r="AM21" s="8">
        <f ca="1">VLOOKUP(G21,経験値!$A$27:$B$31,2)</f>
        <v>3400</v>
      </c>
      <c r="AN21" s="17">
        <f ca="1">VLOOKUP(G21,ビット!$G$2:$H$7,2)</f>
        <v>600</v>
      </c>
      <c r="AO21" s="43"/>
      <c r="AP21" s="65">
        <f t="shared" si="3"/>
        <v>8062</v>
      </c>
      <c r="AQ21" s="55" t="str">
        <f ca="1">VLOOKUP($AP21,OFFSET(unit_skills!$A$1,0,0,COUNTA(unit_skills!$A:$A),MATCH(AQ$1,unit_skills!$1:$1,0)-MATCH($AP$1,unit_skills!$1:$1,0)+1),MATCH(AQ$1,unit_skills!$1:$1,0)-MATCH($AP$1,unit_skills!$1:$1,0)+1,FALSE)</f>
        <v>けろけろジャンプ</v>
      </c>
      <c r="AR21" s="55" t="str">
        <f ca="1">VLOOKUP($AP21,OFFSET(unit_skills!$A$1,0,0,COUNTA(unit_skills!$A:$A),MATCH(AR$1,unit_skills!$1:$1,0)-MATCH($AP$1,unit_skills!$1:$1,0)+1),MATCH(AR$1,unit_skills!$1:$1,0)-MATCH($AP$1,unit_skills!$1:$1,0)+1,FALSE)</f>
        <v>3ターン緑属性のユニットの防御力を特大UP</v>
      </c>
      <c r="AS21" s="55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40">
        <f t="shared" si="4"/>
        <v>8062</v>
      </c>
      <c r="AU21" s="55" t="str">
        <f ca="1">VLOOKUP($AT21,OFFSET(crash_skills!$A$1,0,0,COUNTA(crash_skills!$A:$A),MATCH(AU$1,crash_skills!$1:$1,0)-MATCH($AT$1,crash_skills!$1:$1,0)+1),MATCH(AU$1,crash_skills!$1:$1,0)-MATCH($AT$1,crash_skills!$1:$1,0)+1,FALSE)</f>
        <v>けろけろコーラス♪</v>
      </c>
      <c r="AV21" s="55" t="str">
        <f ca="1">VLOOKUP($AT21,OFFSET(crash_skills!$A$1,0,0,COUNTA(crash_skills!$A:$A),MATCH(AV$1,crash_skills!$1:$1,0)-MATCH($AT$1,crash_skills!$1:$1,0)+1),MATCH(AV$1,crash_skills!$1:$1,0)-MATCH($AT$1,crash_skills!$1:$1,0)+1,FALSE)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1" s="55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6">
        <f ca="1">VLOOKUP($A21,OFFSET([1]characters!$A$1,0,0,COUNTA([1]characters!$A:$A),MATCH(AX$1,[1]characters!$1:$1,0)-MATCH($A$1,[1]characters!$1:$1,0)+1),MATCH(AX$1,[1]characters!$1:$1,0)-MATCH($A$1,[1]characters!$1:$1,0)+1,FALSE)</f>
        <v>1</v>
      </c>
      <c r="AY21" s="66">
        <v>1.1819999999999999</v>
      </c>
      <c r="AZ21" s="66">
        <v>1.306</v>
      </c>
      <c r="BA21" s="66">
        <v>0</v>
      </c>
      <c r="BB21" s="66">
        <v>1.0660000000000001</v>
      </c>
      <c r="BC21" s="11">
        <f ca="1">INDEX('RC6SV'!$A$1:$G$20,MATCH(H21,'RC6SV'!$A$1:$A$20,FALSE),MATCH(G21,'RC6SV'!$A$1:$G$1,FALSE))</f>
        <v>7000</v>
      </c>
      <c r="BD21" s="46">
        <f t="shared" ca="1" si="10"/>
        <v>7000</v>
      </c>
      <c r="BE21" s="11">
        <f t="shared" ca="1" si="1"/>
        <v>5000</v>
      </c>
      <c r="BF21" s="11">
        <f t="shared" ca="1" si="2"/>
        <v>1</v>
      </c>
      <c r="BG21" s="16">
        <f ca="1">IF($BE21&lt;=0,ROUND(BK21*0.5,0), ROUND($BE21*S21*AA21*J21*AY21*0.8*[1]ステータス!$B$2,0))</f>
        <v>2411</v>
      </c>
      <c r="BH21" s="16">
        <f ca="1">IF($BE21&lt;=0,ROUND(BL21*0.5,0), ROUND($BE21*T21*AB21*K21*AZ21*0.8*[1]ステータス!$C$2,0))</f>
        <v>1536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1066</v>
      </c>
      <c r="BK21" s="11">
        <f ca="1">ROUND(BD21*S21*AA21*J21*AY21*[1]ステータス!$B$2,0)</f>
        <v>4220</v>
      </c>
      <c r="BL21" s="11">
        <f ca="1">ROUND(BD21*T21*AB21*K21*AZ21*[1]ステータス!$C$2,0)</f>
        <v>2688</v>
      </c>
      <c r="BM21" s="11">
        <f ca="1">ROUND(BD21*U21*AC21*L21*BA21*[1]ステータス!$D$2,0)</f>
        <v>0</v>
      </c>
      <c r="BN21" s="11">
        <f ca="1">ROUND(BD21*V21*AD21*M21*BB21*[1]ステータス!$E$2,0)</f>
        <v>1866</v>
      </c>
      <c r="BO21" s="10">
        <v>0</v>
      </c>
      <c r="BP21" s="10">
        <v>1</v>
      </c>
      <c r="BQ21" s="37" t="s">
        <v>47</v>
      </c>
      <c r="BR21" s="12">
        <v>233</v>
      </c>
    </row>
    <row r="22" spans="1:70" ht="26" customHeight="1" x14ac:dyDescent="0.15">
      <c r="A22" s="220">
        <v>8063</v>
      </c>
      <c r="B22" s="55" t="str">
        <f ca="1">VLOOKUP($A22,OFFSET([1]characters!$A$1,0,0,COUNTA([1]characters!$A:$A),MATCH(B$1,[1]characters!$1:$1,0)-MATCH($A$1,[1]characters!$1:$1,0)+1),MATCH(B$1,[1]characters!$1:$1,0)-MATCH($A$1,[1]characters!$1:$1,0)+1,FALSE)</f>
        <v>モルドレッド_ポムポムプリンコスプレ</v>
      </c>
      <c r="C22" s="55" t="str">
        <f ca="1">VLOOKUP($A22,OFFSET([1]characters!$A$1,0,0,COUNTA([1]characters!$A:$A),MATCH(C$1,[1]characters!$1:$1,0)-MATCH($A$1,[1]characters!$1:$1,0)+1),MATCH(C$1,[1]characters!$1:$1,0)-MATCH($A$1,[1]characters!$1:$1,0)+1,FALSE)</f>
        <v>モルドレッド_ポムポムプリンコスプレ</v>
      </c>
      <c r="D22" s="55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5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5" t="str">
        <f ca="1">VLOOKUP($A22,OFFSET([1]characters!$A$1,0,0,COUNTA([1]characters!$A:$A),MATCH(F$1,[1]characters!$1:$1,0)-MATCH($A$1,[1]characters!$1:$1,0)+1),MATCH(F$1,[1]characters!$1:$1,0)-MATCH($A$1,[1]characters!$1:$1,0)+1,FALSE)</f>
        <v>女性</v>
      </c>
      <c r="G22" s="55">
        <f ca="1">VLOOKUP($A22,OFFSET([1]characters!$A$1,0,0,COUNTA([1]characters!$A:$A),MATCH(G$1,[1]characters!$1:$1,0)-MATCH($A$1,[1]characters!$1:$1,0)+1),MATCH(G$1,[1]characters!$1:$1,0)-MATCH($A$1,[1]characters!$1:$1,0)+1,FALSE)</f>
        <v>5</v>
      </c>
      <c r="H22" s="55" t="str">
        <f ca="1">VLOOKUP($A22,OFFSET([1]characters!$A$1,0,0,COUNTA([1]characters!$A:$A),MATCH(H$1,[1]characters!$1:$1,0)-MATCH($A$1,[1]characters!$1:$1,0)+1),MATCH(H$1,[1]characters!$1:$1,0)-MATCH($A$1,[1]characters!$1:$1,0)+1,FALSE)</f>
        <v>PremiumSS</v>
      </c>
      <c r="I22" s="55" t="str">
        <f ca="1">VLOOKUP($A22,OFFSET([1]characters!$A$1,0,0,COUNTA([1]characters!$A:$A),MATCH(I$1,[1]characters!$1:$1,0)-MATCH($A$1,[1]characters!$1:$1,0)+1),MATCH(I$1,[1]characters!$1:$1,0)-MATCH($A$1,[1]characters!$1:$1,0)+1,FALSE)</f>
        <v>blue</v>
      </c>
      <c r="J22" s="11">
        <f ca="1">VLOOKUP(I22,[1]属性!$A:$E,2,FALSE)</f>
        <v>1</v>
      </c>
      <c r="K22" s="11">
        <f ca="1">VLOOKUP(I22,[1]属性!$A:$E,3,FALSE)</f>
        <v>0.98</v>
      </c>
      <c r="L22" s="11">
        <f ca="1">VLOOKUP(I22,[1]属性!$A:$E,4,FALSE)</f>
        <v>1</v>
      </c>
      <c r="M22" s="11">
        <f ca="1">VLOOKUP(I22,[1]属性!$A:$E,5,FALSE)</f>
        <v>1.02</v>
      </c>
      <c r="N22" s="11">
        <f ca="1">INDEX(コスト!$A$1:$I$20,MATCH(H22,コスト!$A$1:$A$20,FALSE),MATCH(G22,コスト!$A$1:$I$1,FALSE))</f>
        <v>35</v>
      </c>
      <c r="O22" s="11">
        <f ca="1">INDEX(レベル!$A$1:$I$21,MATCH(H22,レベル!$A$1:$A$21,FALSE),MATCH(G22,レベル!$A$1:$I$1,FALSE))</f>
        <v>80</v>
      </c>
      <c r="P22" s="46">
        <f t="shared" ca="1" si="8"/>
        <v>75</v>
      </c>
      <c r="Q22" s="55" t="s">
        <v>322</v>
      </c>
      <c r="R22" s="5" t="str">
        <f>VLOOKUP(Q22,[1]character_type_i18n!$A:$H,3,FALSE)</f>
        <v>回復タイプ</v>
      </c>
      <c r="S22" s="11">
        <f>VLOOKUP(Q22,[1]character_type_i18n!$A:$H,4,FALSE)</f>
        <v>0.8</v>
      </c>
      <c r="T22" s="11">
        <f>VLOOKUP(Q22,[1]character_type_i18n!$A:$H,5,FALSE)</f>
        <v>0.78</v>
      </c>
      <c r="U22" s="11">
        <f>VLOOKUP(Q22,[1]character_type_i18n!$A:$H,6,FALSE)</f>
        <v>1</v>
      </c>
      <c r="V22" s="11">
        <f>VLOOKUP(Q22,[1]character_type_i18n!$A:$H,7,FALSE)</f>
        <v>1.42</v>
      </c>
      <c r="W22" s="55" t="s">
        <v>335</v>
      </c>
      <c r="X22" s="5" t="str">
        <f>VLOOKUP(W22,[1]character_tribe_i18n!$A:$H,3,FALSE)</f>
        <v>ヒューマン</v>
      </c>
      <c r="Y22" s="55" t="str">
        <f ca="1">VLOOKUP($A22,OFFSET([1]characters!$A$1,0,0,COUNTA([1]characters!$A:$A),MATCH(Y$1,[1]characters!$1:$1,0)-MATCH($A$1,[1]characters!$1:$1,0)+1),MATCH(Y$1,[1]characters!$1:$1,0)-MATCH($A$1,[1]characters!$1:$1,0)+1,FALSE)</f>
        <v>none</v>
      </c>
      <c r="Z22" s="5" t="str">
        <f ca="1">VLOOKUP(Y22,[1]character_tribe_i18n!$A:$H,3,FALSE)</f>
        <v>種族なし</v>
      </c>
      <c r="AA22" s="11">
        <f>VLOOKUP(W22,[1]character_tribe_i18n!$A:$H,4,FALSE)</f>
        <v>0.94</v>
      </c>
      <c r="AB22" s="11">
        <f>VLOOKUP(W22,[1]character_tribe_i18n!$A:$H,5,FALSE)</f>
        <v>0.99</v>
      </c>
      <c r="AC22" s="11">
        <f>VLOOKUP(W22,[1]character_tribe_i18n!$A:$H,6,FALSE)</f>
        <v>1</v>
      </c>
      <c r="AD22" s="11">
        <f>VLOOKUP(W22,[1]character_tribe_i18n!$A:$H,7,FALSE)</f>
        <v>1.07</v>
      </c>
      <c r="AE22" s="9">
        <f>A23</f>
        <v>8064</v>
      </c>
      <c r="AF22" s="60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>モルドレッド_ポムポムプリンコスプレ</v>
      </c>
      <c r="AG22" s="5">
        <f t="shared" ca="1" si="0"/>
        <v>8063</v>
      </c>
      <c r="AH22" s="60" t="str">
        <f ca="1">VLOOKUP($AG22,OFFSET([1]characters!$A$1,0,0,COUNTA([1]characters!$A:$A),MATCH(AH$1,[1]characters!$1:$1,0)-MATCH($A$1,[1]characters!$1:$1,0)+1),MATCH(AH$1,[1]characters!$1:$1,0)-MATCH($A$1,[1]characters!$1:$1,0)+1,FALSE)</f>
        <v>モルドレッド_ポムポムプリンコスプレ</v>
      </c>
      <c r="AI22" s="11">
        <f ca="1">IF(AE22="NULL","NULL",VLOOKUP(G22,ビット!$A$2:$B$7,2))</f>
        <v>200000</v>
      </c>
      <c r="AJ22" s="6">
        <v>2</v>
      </c>
      <c r="AK22" s="7" t="str">
        <f t="shared" si="9"/>
        <v>普通</v>
      </c>
      <c r="AL22" s="11" t="str">
        <f ca="1">INDEX(経験値!$A$1:$I$20,MATCH(H22,経験値!$A$1:$A$20,FALSE),MATCH(G22,経験値!$A$1:$I$1,FALSE))</f>
        <v>required_exp_200</v>
      </c>
      <c r="AM22" s="8">
        <f ca="1">VLOOKUP(G22,経験値!$A$27:$B$31,2)</f>
        <v>6400</v>
      </c>
      <c r="AN22" s="17">
        <f ca="1">VLOOKUP(G22,ビット!$G$2:$H$7,2)</f>
        <v>900</v>
      </c>
      <c r="AO22" s="43"/>
      <c r="AP22" s="65">
        <f t="shared" si="3"/>
        <v>8063</v>
      </c>
      <c r="AQ22" s="55" t="str">
        <f ca="1">VLOOKUP($AP22,OFFSET(unit_skills!$A$1,0,0,COUNTA(unit_skills!$A:$A),MATCH(AQ$1,unit_skills!$1:$1,0)-MATCH($AP$1,unit_skills!$1:$1,0)+1),MATCH(AQ$1,unit_skills!$1:$1,0)-MATCH($AP$1,unit_skills!$1:$1,0)+1,FALSE)</f>
        <v>甘蜜美・タルトタタン</v>
      </c>
      <c r="AR22" s="55" t="str">
        <f ca="1">VLOOKUP($AP22,OFFSET(unit_skills!$A$1,0,0,COUNTA(unit_skills!$A:$A),MATCH(AR$1,unit_skills!$1:$1,0)-MATCH($AP$1,unit_skills!$1:$1,0)+1),MATCH(AR$1,unit_skills!$1:$1,0)-MATCH($AP$1,unit_skills!$1:$1,0)+1,FALSE)</f>
        <v>4ターンHP小回復+全ユニットの回復力特大UP+ハート出現率大UP</v>
      </c>
      <c r="AS22" s="55">
        <f ca="1">VLOOKUP($AP22,OFFSET(unit_skills!$A$1,0,0,COUNTA(unit_skills!$A:$A),MATCH(AS$1,unit_skills!$1:$1,0)-MATCH($AP$1,unit_skills!$1:$1,0)+1),MATCH(AS$1,unit_skills!$1:$1,0)-MATCH($AP$1,unit_skills!$1:$1,0)+1,FALSE)</f>
        <v>0</v>
      </c>
      <c r="AT22" s="40">
        <f t="shared" si="4"/>
        <v>8063</v>
      </c>
      <c r="AU22" s="55" t="str">
        <f ca="1">VLOOKUP($AT22,OFFSET(crash_skills!$A$1,0,0,COUNTA(crash_skills!$A:$A),MATCH(AU$1,crash_skills!$1:$1,0)-MATCH($AT$1,crash_skills!$1:$1,0)+1),MATCH(AU$1,crash_skills!$1:$1,0)-MATCH($AT$1,crash_skills!$1:$1,0)+1,FALSE)</f>
        <v>甘菓子の舞糖</v>
      </c>
      <c r="AV22" s="55" t="str">
        <f ca="1">VLOOKUP($AT22,OFFSET(crash_skills!$A$1,0,0,COUNTA(crash_skills!$A:$A),MATCH(AV$1,crash_skills!$1:$1,0)-MATCH($AT$1,crash_skills!$1:$1,0)+1),MATCH(AV$1,crash_skills!$1:$1,0)-MATCH($AT$1,crash_skills!$1:$1,0)+1,FALSE)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22" s="55">
        <f ca="1">VLOOKUP($AT22,OFFSET(crash_skills!$A$1,0,0,COUNTA(crash_skills!$A:$A),MATCH(AW$1,crash_skills!$1:$1,0)-MATCH($AT$1,crash_skills!$1:$1,0)+1),MATCH(AW$1,crash_skills!$1:$1,0)-MATCH($AT$1,crash_skills!$1:$1,0)+1,FALSE)</f>
        <v>0</v>
      </c>
      <c r="AX22" s="56">
        <f ca="1">VLOOKUP($A22,OFFSET([1]characters!$A$1,0,0,COUNTA([1]characters!$A:$A),MATCH(AX$1,[1]characters!$1:$1,0)-MATCH($A$1,[1]characters!$1:$1,0)+1),MATCH(AX$1,[1]characters!$1:$1,0)-MATCH($A$1,[1]characters!$1:$1,0)+1,FALSE)</f>
        <v>1</v>
      </c>
      <c r="AY22" s="66">
        <v>1.18</v>
      </c>
      <c r="AZ22" s="66">
        <v>1.28</v>
      </c>
      <c r="BA22" s="66">
        <v>0</v>
      </c>
      <c r="BB22" s="66">
        <v>0.97</v>
      </c>
      <c r="BC22" s="11">
        <f ca="1">INDEX('RC6SV'!$A$1:$G$20,MATCH(H22,'RC6SV'!$A$1:$A$20,FALSE),MATCH(G22,'RC6SV'!$A$1:$G$1,FALSE))</f>
        <v>9500</v>
      </c>
      <c r="BD22" s="46">
        <f t="shared" ca="1" si="10"/>
        <v>9500</v>
      </c>
      <c r="BE22" s="11">
        <f t="shared" ca="1" si="1"/>
        <v>0</v>
      </c>
      <c r="BF22" s="11">
        <f t="shared" ca="1" si="2"/>
        <v>1</v>
      </c>
      <c r="BG22" s="16">
        <f ca="1">IF($BE22&lt;=0,ROUND(BK22*0.5,0), ROUND($BE22*S22*AA22*J22*AY22*0.8*[1]ステータス!$B$2,0))</f>
        <v>2108</v>
      </c>
      <c r="BH22" s="16">
        <f ca="1">IF($BE22&lt;=0,ROUND(BL22*0.5,0), ROUND($BE22*T22*AB22*K22*AZ22*0.8*[1]ステータス!$C$2,0))</f>
        <v>1381</v>
      </c>
      <c r="BI22" s="16">
        <f ca="1">IF($BE22&lt;=0,ROUND(BM22*0.5,0), ROUND($BE22*U22*AC22*L22*BA22*0.8*[1]ステータス!$D$2,0))</f>
        <v>0</v>
      </c>
      <c r="BJ22" s="16">
        <f ca="1">IF($BE22&lt;=0,ROUND(BN22*0.5,0), ROUND($BE22*V22*AD22*M22*BB22*0.8*[1]ステータス!$E$2,0))</f>
        <v>1785</v>
      </c>
      <c r="BK22" s="11">
        <f ca="1">ROUND(BD22*S22*AA22*J22*AY22*[1]ステータス!$B$2,0)</f>
        <v>4215</v>
      </c>
      <c r="BL22" s="11">
        <f ca="1">ROUND(BD22*T22*AB22*K22*AZ22*[1]ステータス!$C$2,0)</f>
        <v>2761</v>
      </c>
      <c r="BM22" s="11">
        <f ca="1">ROUND(BD22*U22*AC22*L22*BA22*[1]ステータス!$D$2,0)</f>
        <v>0</v>
      </c>
      <c r="BN22" s="11">
        <f ca="1">ROUND(BD22*V22*AD22*M22*BB22*[1]ステータス!$E$2,0)</f>
        <v>3570</v>
      </c>
      <c r="BO22" s="10">
        <v>0</v>
      </c>
      <c r="BP22" s="10">
        <v>1</v>
      </c>
      <c r="BQ22" s="37" t="s">
        <v>47</v>
      </c>
      <c r="BR22" s="12">
        <v>1833</v>
      </c>
    </row>
    <row r="23" spans="1:70" ht="26" customHeight="1" x14ac:dyDescent="0.15">
      <c r="A23" s="220">
        <v>8064</v>
      </c>
      <c r="B23" s="55" t="str">
        <f ca="1">VLOOKUP($A23,OFFSET([1]characters!$A$1,0,0,COUNTA([1]characters!$A:$A),MATCH(B$1,[1]characters!$1:$1,0)-MATCH($A$1,[1]characters!$1:$1,0)+1),MATCH(B$1,[1]characters!$1:$1,0)-MATCH($A$1,[1]characters!$1:$1,0)+1,FALSE)</f>
        <v>モルドレッド_ポムポムプリンコスプレ</v>
      </c>
      <c r="C23" s="55" t="str">
        <f ca="1">VLOOKUP($A23,OFFSET([1]characters!$A$1,0,0,COUNTA([1]characters!$A:$A),MATCH(C$1,[1]characters!$1:$1,0)-MATCH($A$1,[1]characters!$1:$1,0)+1),MATCH(C$1,[1]characters!$1:$1,0)-MATCH($A$1,[1]characters!$1:$1,0)+1,FALSE)</f>
        <v>モルドレッド_ポムポムプリンコスプレ</v>
      </c>
      <c r="D23" s="55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5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5" t="str">
        <f ca="1">VLOOKUP($A23,OFFSET([1]characters!$A$1,0,0,COUNTA([1]characters!$A:$A),MATCH(F$1,[1]characters!$1:$1,0)-MATCH($A$1,[1]characters!$1:$1,0)+1),MATCH(F$1,[1]characters!$1:$1,0)-MATCH($A$1,[1]characters!$1:$1,0)+1,FALSE)</f>
        <v>女性</v>
      </c>
      <c r="G23" s="55">
        <f ca="1">VLOOKUP($A23,OFFSET([1]characters!$A$1,0,0,COUNTA([1]characters!$A:$A),MATCH(G$1,[1]characters!$1:$1,0)-MATCH($A$1,[1]characters!$1:$1,0)+1),MATCH(G$1,[1]characters!$1:$1,0)-MATCH($A$1,[1]characters!$1:$1,0)+1,FALSE)</f>
        <v>6</v>
      </c>
      <c r="H23" s="55" t="str">
        <f ca="1">VLOOKUP($A23,OFFSET([1]characters!$A$1,0,0,COUNTA([1]characters!$A:$A),MATCH(H$1,[1]characters!$1:$1,0)-MATCH($A$1,[1]characters!$1:$1,0)+1),MATCH(H$1,[1]characters!$1:$1,0)-MATCH($A$1,[1]characters!$1:$1,0)+1,FALSE)</f>
        <v>PremiumSS</v>
      </c>
      <c r="I23" s="55" t="str">
        <f ca="1">VLOOKUP($A23,OFFSET([1]characters!$A$1,0,0,COUNTA([1]characters!$A:$A),MATCH(I$1,[1]characters!$1:$1,0)-MATCH($A$1,[1]characters!$1:$1,0)+1),MATCH(I$1,[1]characters!$1:$1,0)-MATCH($A$1,[1]characters!$1:$1,0)+1,FALSE)</f>
        <v>blue</v>
      </c>
      <c r="J23" s="11">
        <f ca="1">VLOOKUP(I23,[1]属性!$A:$E,2,FALSE)</f>
        <v>1</v>
      </c>
      <c r="K23" s="11">
        <f ca="1">VLOOKUP(I23,[1]属性!$A:$E,3,FALSE)</f>
        <v>0.98</v>
      </c>
      <c r="L23" s="11">
        <f ca="1">VLOOKUP(I23,[1]属性!$A:$E,4,FALSE)</f>
        <v>1</v>
      </c>
      <c r="M23" s="11">
        <f ca="1">VLOOKUP(I23,[1]属性!$A:$E,5,FALSE)</f>
        <v>1.02</v>
      </c>
      <c r="N23" s="11">
        <f ca="1">INDEX(コスト!$A$1:$I$20,MATCH(H23,コスト!$A$1:$A$20,FALSE),MATCH(G23,コスト!$A$1:$I$1,FALSE))</f>
        <v>50</v>
      </c>
      <c r="O23" s="11">
        <f ca="1">INDEX(レベル!$A$1:$I$21,MATCH(H23,レベル!$A$1:$A$21,FALSE),MATCH(G23,レベル!$A$1:$I$1,FALSE))</f>
        <v>99</v>
      </c>
      <c r="P23" s="46">
        <f t="shared" ca="1" si="8"/>
        <v>99</v>
      </c>
      <c r="Q23" s="55" t="s">
        <v>322</v>
      </c>
      <c r="R23" s="5" t="str">
        <f>VLOOKUP(Q23,[1]character_type_i18n!$A:$H,3,FALSE)</f>
        <v>回復タイプ</v>
      </c>
      <c r="S23" s="11">
        <f>VLOOKUP(Q23,[1]character_type_i18n!$A:$H,4,FALSE)</f>
        <v>0.8</v>
      </c>
      <c r="T23" s="11">
        <f>VLOOKUP(Q23,[1]character_type_i18n!$A:$H,5,FALSE)</f>
        <v>0.78</v>
      </c>
      <c r="U23" s="11">
        <f>VLOOKUP(Q23,[1]character_type_i18n!$A:$H,6,FALSE)</f>
        <v>1</v>
      </c>
      <c r="V23" s="11">
        <f>VLOOKUP(Q23,[1]character_type_i18n!$A:$H,7,FALSE)</f>
        <v>1.42</v>
      </c>
      <c r="W23" s="55" t="s">
        <v>335</v>
      </c>
      <c r="X23" s="5" t="str">
        <f>VLOOKUP(W23,[1]character_tribe_i18n!$A:$H,3,FALSE)</f>
        <v>ヒューマン</v>
      </c>
      <c r="Y23" s="55" t="str">
        <f ca="1">VLOOKUP($A23,OFFSET([1]characters!$A$1,0,0,COUNTA([1]characters!$A:$A),MATCH(Y$1,[1]characters!$1:$1,0)-MATCH($A$1,[1]characters!$1:$1,0)+1),MATCH(Y$1,[1]characters!$1:$1,0)-MATCH($A$1,[1]characters!$1:$1,0)+1,FALSE)</f>
        <v>none</v>
      </c>
      <c r="Z23" s="5" t="str">
        <f ca="1">VLOOKUP(Y23,[1]character_tribe_i18n!$A:$H,3,FALSE)</f>
        <v>種族なし</v>
      </c>
      <c r="AA23" s="11">
        <f>VLOOKUP(W23,[1]character_tribe_i18n!$A:$H,4,FALSE)</f>
        <v>0.94</v>
      </c>
      <c r="AB23" s="11">
        <f>VLOOKUP(W23,[1]character_tribe_i18n!$A:$H,5,FALSE)</f>
        <v>0.99</v>
      </c>
      <c r="AC23" s="11">
        <f>VLOOKUP(W23,[1]character_tribe_i18n!$A:$H,6,FALSE)</f>
        <v>1</v>
      </c>
      <c r="AD23" s="11">
        <f>VLOOKUP(W23,[1]character_tribe_i18n!$A:$H,7,FALSE)</f>
        <v>1.07</v>
      </c>
      <c r="AE23" s="9" t="s">
        <v>183</v>
      </c>
      <c r="AF23" s="60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/>
      </c>
      <c r="AG23" s="5">
        <f t="shared" ca="1" si="0"/>
        <v>8063</v>
      </c>
      <c r="AH23" s="60" t="str">
        <f ca="1">VLOOKUP($AG23,OFFSET([1]characters!$A$1,0,0,COUNTA([1]characters!$A:$A),MATCH(AH$1,[1]characters!$1:$1,0)-MATCH($A$1,[1]characters!$1:$1,0)+1),MATCH(AH$1,[1]characters!$1:$1,0)-MATCH($A$1,[1]characters!$1:$1,0)+1,FALSE)</f>
        <v>モルドレッド_ポムポムプリンコスプレ</v>
      </c>
      <c r="AI23" s="11" t="str">
        <f>IF(AE23="NULL","NULL",VLOOKUP(G23,ビット!$A$2:$B$7,2))</f>
        <v>NULL</v>
      </c>
      <c r="AJ23" s="6">
        <v>2</v>
      </c>
      <c r="AK23" s="7" t="str">
        <f t="shared" si="9"/>
        <v>普通</v>
      </c>
      <c r="AL23" s="11" t="str">
        <f ca="1">INDEX(経験値!$A$1:$I$20,MATCH(H23,経験値!$A$1:$A$20,FALSE),MATCH(G23,経験値!$A$1:$I$1,FALSE))</f>
        <v>required_exp_250</v>
      </c>
      <c r="AM23" s="8">
        <f ca="1">VLOOKUP(G23,経験値!$A$27:$B$31,2)</f>
        <v>6400</v>
      </c>
      <c r="AN23" s="17">
        <f ca="1">VLOOKUP(G23,ビット!$G$2:$H$7,2)</f>
        <v>900</v>
      </c>
      <c r="AO23" s="43"/>
      <c r="AP23" s="65">
        <f t="shared" si="3"/>
        <v>8064</v>
      </c>
      <c r="AQ23" s="55" t="str">
        <f ca="1">VLOOKUP($AP23,OFFSET(unit_skills!$A$1,0,0,COUNTA(unit_skills!$A:$A),MATCH(AQ$1,unit_skills!$1:$1,0)-MATCH($AP$1,unit_skills!$1:$1,0)+1),MATCH(AQ$1,unit_skills!$1:$1,0)-MATCH($AP$1,unit_skills!$1:$1,0)+1,FALSE)</f>
        <v>甘蜜美・タルトタタン</v>
      </c>
      <c r="AR23" s="55" t="str">
        <f ca="1">VLOOKUP($AP23,OFFSET(unit_skills!$A$1,0,0,COUNTA(unit_skills!$A:$A),MATCH(AR$1,unit_skills!$1:$1,0)-MATCH($AP$1,unit_skills!$1:$1,0)+1),MATCH(AR$1,unit_skills!$1:$1,0)-MATCH($AP$1,unit_skills!$1:$1,0)+1,FALSE)</f>
        <v>4ターンHP小回復+全ユニットの回復力特大UP+ハート出現率大UP</v>
      </c>
      <c r="AS23" s="55">
        <f ca="1">VLOOKUP($AP23,OFFSET(unit_skills!$A$1,0,0,COUNTA(unit_skills!$A:$A),MATCH(AS$1,unit_skills!$1:$1,0)-MATCH($AP$1,unit_skills!$1:$1,0)+1),MATCH(AS$1,unit_skills!$1:$1,0)-MATCH($AP$1,unit_skills!$1:$1,0)+1,FALSE)</f>
        <v>0</v>
      </c>
      <c r="AT23" s="40">
        <f t="shared" si="4"/>
        <v>8064</v>
      </c>
      <c r="AU23" s="55" t="str">
        <f ca="1">VLOOKUP($AT23,OFFSET(crash_skills!$A$1,0,0,COUNTA(crash_skills!$A:$A),MATCH(AU$1,crash_skills!$1:$1,0)-MATCH($AT$1,crash_skills!$1:$1,0)+1),MATCH(AU$1,crash_skills!$1:$1,0)-MATCH($AT$1,crash_skills!$1:$1,0)+1,FALSE)</f>
        <v>甘菓子の舞糖</v>
      </c>
      <c r="AV23" s="55" t="str">
        <f ca="1">VLOOKUP($AT23,OFFSET(crash_skills!$A$1,0,0,COUNTA(crash_skills!$A:$A),MATCH(AV$1,crash_skills!$1:$1,0)-MATCH($AT$1,crash_skills!$1:$1,0)+1),MATCH(AV$1,crash_skills!$1:$1,0)-MATCH($AT$1,crash_skills!$1:$1,0)+1,FALSE)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23" s="55">
        <f ca="1">VLOOKUP($AT23,OFFSET(crash_skills!$A$1,0,0,COUNTA(crash_skills!$A:$A),MATCH(AW$1,crash_skills!$1:$1,0)-MATCH($AT$1,crash_skills!$1:$1,0)+1),MATCH(AW$1,crash_skills!$1:$1,0)-MATCH($AT$1,crash_skills!$1:$1,0)+1,FALSE)</f>
        <v>0</v>
      </c>
      <c r="AX23" s="56">
        <f ca="1">VLOOKUP($A23,OFFSET([1]characters!$A$1,0,0,COUNTA([1]characters!$A:$A),MATCH(AX$1,[1]characters!$1:$1,0)-MATCH($A$1,[1]characters!$1:$1,0)+1),MATCH(AX$1,[1]characters!$1:$1,0)-MATCH($A$1,[1]characters!$1:$1,0)+1,FALSE)</f>
        <v>1</v>
      </c>
      <c r="AY23" s="66">
        <v>1.1000000000000001</v>
      </c>
      <c r="AZ23" s="66">
        <v>1.2</v>
      </c>
      <c r="BA23" s="66">
        <v>0</v>
      </c>
      <c r="BB23" s="66">
        <v>0.96</v>
      </c>
      <c r="BC23" s="11">
        <f ca="1">INDEX('RC6SV'!$A$1:$G$20,MATCH(H23,'RC6SV'!$A$1:$A$20,FALSE),MATCH(G23,'RC6SV'!$A$1:$G$1,FALSE))</f>
        <v>13000</v>
      </c>
      <c r="BD23" s="46">
        <f t="shared" ca="1" si="10"/>
        <v>13000</v>
      </c>
      <c r="BE23" s="11">
        <f t="shared" ca="1" si="1"/>
        <v>9500</v>
      </c>
      <c r="BF23" s="11">
        <f t="shared" ca="1" si="2"/>
        <v>1</v>
      </c>
      <c r="BG23" s="16">
        <f ca="1">IF($BE23&lt;=0,ROUND(BK23*0.5,0), ROUND($BE23*S23*AA23*J23*AY23*0.8*[1]ステータス!$B$2,0))</f>
        <v>3143</v>
      </c>
      <c r="BH23" s="16">
        <f ca="1">IF($BE23&lt;=0,ROUND(BL23*0.5,0), ROUND($BE23*T23*AB23*K23*AZ23*0.8*[1]ステータス!$C$2,0))</f>
        <v>2070</v>
      </c>
      <c r="BI23" s="16">
        <f ca="1">IF($BE23&lt;=0,ROUND(BM23*0.5,0), ROUND($BE23*U23*AC23*L23*BA23*0.8*[1]ステータス!$D$2,0))</f>
        <v>0</v>
      </c>
      <c r="BJ23" s="16">
        <f ca="1">IF($BE23&lt;=0,ROUND(BN23*0.5,0), ROUND($BE23*V23*AD23*M23*BB23*0.8*[1]ステータス!$E$2,0))</f>
        <v>2827</v>
      </c>
      <c r="BK23" s="11">
        <f ca="1">ROUND(BD23*S23*AA23*J23*AY23*[1]ステータス!$B$2,0)</f>
        <v>5377</v>
      </c>
      <c r="BL23" s="11">
        <f ca="1">ROUND(BD23*T23*AB23*K23*AZ23*[1]ステータス!$C$2,0)</f>
        <v>3542</v>
      </c>
      <c r="BM23" s="11">
        <f ca="1">ROUND(BD23*U23*AC23*L23*BA23*[1]ステータス!$D$2,0)</f>
        <v>0</v>
      </c>
      <c r="BN23" s="11">
        <f ca="1">ROUND(BD23*V23*AD23*M23*BB23*[1]ステータス!$E$2,0)</f>
        <v>4835</v>
      </c>
      <c r="BO23" s="10">
        <v>0</v>
      </c>
      <c r="BP23" s="10">
        <v>1</v>
      </c>
      <c r="BQ23" s="37" t="s">
        <v>47</v>
      </c>
      <c r="BR23" s="12">
        <v>1833</v>
      </c>
    </row>
    <row r="24" spans="1:70" ht="26" customHeight="1" x14ac:dyDescent="0.15">
      <c r="A24" s="220">
        <v>8065</v>
      </c>
      <c r="B24" s="55" t="str">
        <f ca="1">VLOOKUP($A24,OFFSET([1]characters!$A$1,0,0,COUNTA([1]characters!$A:$A),MATCH(B$1,[1]characters!$1:$1,0)-MATCH($A$1,[1]characters!$1:$1,0)+1),MATCH(B$1,[1]characters!$1:$1,0)-MATCH($A$1,[1]characters!$1:$1,0)+1,FALSE)</f>
        <v>クロミ</v>
      </c>
      <c r="C24" s="55" t="str">
        <f ca="1">VLOOKUP($A24,OFFSET([1]characters!$A$1,0,0,COUNTA([1]characters!$A:$A),MATCH(C$1,[1]characters!$1:$1,0)-MATCH($A$1,[1]characters!$1:$1,0)+1),MATCH(C$1,[1]characters!$1:$1,0)-MATCH($A$1,[1]characters!$1:$1,0)+1,FALSE)</f>
        <v>クロミ</v>
      </c>
      <c r="D24" s="55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5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5" t="str">
        <f ca="1">VLOOKUP($A24,OFFSET([1]characters!$A$1,0,0,COUNTA([1]characters!$A:$A),MATCH(F$1,[1]characters!$1:$1,0)-MATCH($A$1,[1]characters!$1:$1,0)+1),MATCH(F$1,[1]characters!$1:$1,0)-MATCH($A$1,[1]characters!$1:$1,0)+1,FALSE)</f>
        <v>女性</v>
      </c>
      <c r="G24" s="55">
        <f ca="1">VLOOKUP($A24,OFFSET([1]characters!$A$1,0,0,COUNTA([1]characters!$A:$A),MATCH(G$1,[1]characters!$1:$1,0)-MATCH($A$1,[1]characters!$1:$1,0)+1),MATCH(G$1,[1]characters!$1:$1,0)-MATCH($A$1,[1]characters!$1:$1,0)+1,FALSE)</f>
        <v>3</v>
      </c>
      <c r="H24" s="55" t="str">
        <f ca="1">VLOOKUP($A24,OFFSET([1]characters!$A$1,0,0,COUNTA([1]characters!$A:$A),MATCH(H$1,[1]characters!$1:$1,0)-MATCH($A$1,[1]characters!$1:$1,0)+1),MATCH(H$1,[1]characters!$1:$1,0)-MATCH($A$1,[1]characters!$1:$1,0)+1,FALSE)</f>
        <v>PremiumS</v>
      </c>
      <c r="I24" s="55" t="str">
        <f ca="1">VLOOKUP($A24,OFFSET([1]characters!$A$1,0,0,COUNTA([1]characters!$A:$A),MATCH(I$1,[1]characters!$1:$1,0)-MATCH($A$1,[1]characters!$1:$1,0)+1),MATCH(I$1,[1]characters!$1:$1,0)-MATCH($A$1,[1]characters!$1:$1,0)+1,FALSE)</f>
        <v>blue</v>
      </c>
      <c r="J24" s="11">
        <f ca="1">VLOOKUP(I24,[1]属性!$A:$E,2,FALSE)</f>
        <v>1</v>
      </c>
      <c r="K24" s="11">
        <f ca="1">VLOOKUP(I24,[1]属性!$A:$E,3,FALSE)</f>
        <v>0.98</v>
      </c>
      <c r="L24" s="11">
        <f ca="1">VLOOKUP(I24,[1]属性!$A:$E,4,FALSE)</f>
        <v>1</v>
      </c>
      <c r="M24" s="11">
        <f ca="1">VLOOKUP(I24,[1]属性!$A:$E,5,FALSE)</f>
        <v>1.02</v>
      </c>
      <c r="N24" s="11">
        <f ca="1">INDEX(コスト!$A$1:$I$20,MATCH(H24,コスト!$A$1:$A$20,FALSE),MATCH(G24,コスト!$A$1:$I$1,FALSE))</f>
        <v>10</v>
      </c>
      <c r="O24" s="11">
        <f ca="1">INDEX(レベル!$A$1:$I$21,MATCH(H24,レベル!$A$1:$A$21,FALSE),MATCH(G24,レベル!$A$1:$I$1,FALSE))</f>
        <v>40</v>
      </c>
      <c r="P24" s="46">
        <f t="shared" ca="1" si="8"/>
        <v>45</v>
      </c>
      <c r="Q24" s="55" t="s">
        <v>244</v>
      </c>
      <c r="R24" s="5" t="str">
        <f>VLOOKUP(Q24,[1]character_type_i18n!$A:$H,3,FALSE)</f>
        <v>バランスタイプ</v>
      </c>
      <c r="S24" s="11">
        <f>VLOOKUP(Q24,[1]character_type_i18n!$A:$H,4,FALSE)</f>
        <v>1</v>
      </c>
      <c r="T24" s="11">
        <f>VLOOKUP(Q24,[1]character_type_i18n!$A:$H,5,FALSE)</f>
        <v>1</v>
      </c>
      <c r="U24" s="11">
        <f>VLOOKUP(Q24,[1]character_type_i18n!$A:$H,6,FALSE)</f>
        <v>1</v>
      </c>
      <c r="V24" s="11">
        <f>VLOOKUP(Q24,[1]character_type_i18n!$A:$H,7,FALSE)</f>
        <v>1</v>
      </c>
      <c r="W24" s="55" t="s">
        <v>331</v>
      </c>
      <c r="X24" s="5" t="str">
        <f>VLOOKUP(W24,[1]character_tribe_i18n!$A:$H,3,FALSE)</f>
        <v>Unknown</v>
      </c>
      <c r="Y24" s="55" t="str">
        <f ca="1">VLOOKUP($A24,OFFSET([1]characters!$A$1,0,0,COUNTA([1]characters!$A:$A),MATCH(Y$1,[1]characters!$1:$1,0)-MATCH($A$1,[1]characters!$1:$1,0)+1),MATCH(Y$1,[1]characters!$1:$1,0)-MATCH($A$1,[1]characters!$1:$1,0)+1,FALSE)</f>
        <v>none</v>
      </c>
      <c r="Z24" s="5" t="str">
        <f ca="1">VLOOKUP(Y24,[1]character_tribe_i18n!$A:$H,3,FALSE)</f>
        <v>種族なし</v>
      </c>
      <c r="AA24" s="11">
        <f>VLOOKUP(W24,[1]character_tribe_i18n!$A:$H,4,FALSE)</f>
        <v>1</v>
      </c>
      <c r="AB24" s="11">
        <f>VLOOKUP(W24,[1]character_tribe_i18n!$A:$H,5,FALSE)</f>
        <v>1</v>
      </c>
      <c r="AC24" s="11">
        <f>VLOOKUP(W24,[1]character_tribe_i18n!$A:$H,6,FALSE)</f>
        <v>1</v>
      </c>
      <c r="AD24" s="11">
        <f>VLOOKUP(W24,[1]character_tribe_i18n!$A:$H,7,FALSE)</f>
        <v>1</v>
      </c>
      <c r="AE24" s="9">
        <f>A25</f>
        <v>8066</v>
      </c>
      <c r="AF24" s="60" t="str">
        <f ca="1">IF(AE24="NULL","",VLOOKUP($AE24,OFFSET([1]characters!$A$1,0,0,COUNTA([1]characters!$A:$A),MATCH(AF$1,[1]characters!$1:$1,0)-MATCH($A$1,[1]characters!$1:$1,0)+1),MATCH(AF$1,[1]characters!$1:$1,0)-MATCH($A$1,[1]characters!$1:$1,0)+1,FALSE))</f>
        <v>クロミ</v>
      </c>
      <c r="AG24" s="5">
        <f t="shared" ca="1" si="0"/>
        <v>8065</v>
      </c>
      <c r="AH24" s="60" t="str">
        <f ca="1">VLOOKUP($AG24,OFFSET([1]characters!$A$1,0,0,COUNTA([1]characters!$A:$A),MATCH(AH$1,[1]characters!$1:$1,0)-MATCH($A$1,[1]characters!$1:$1,0)+1),MATCH(AH$1,[1]characters!$1:$1,0)-MATCH($A$1,[1]characters!$1:$1,0)+1,FALSE)</f>
        <v>クロミ</v>
      </c>
      <c r="AI24" s="11">
        <f ca="1">IF(AE24="NULL","NULL",VLOOKUP(G24,ビット!$A$2:$B$7,2))</f>
        <v>20000</v>
      </c>
      <c r="AJ24" s="6">
        <v>2</v>
      </c>
      <c r="AK24" s="7" t="str">
        <f t="shared" si="9"/>
        <v>普通</v>
      </c>
      <c r="AL24" s="11" t="str">
        <f ca="1">INDEX(経験値!$A$1:$I$20,MATCH(H24,経験値!$A$1:$A$20,FALSE),MATCH(G24,経験値!$A$1:$I$1,FALSE))</f>
        <v>required_exp_200</v>
      </c>
      <c r="AM24" s="8">
        <f ca="1">VLOOKUP(G24,経験値!$A$27:$B$31,2)</f>
        <v>1500</v>
      </c>
      <c r="AN24" s="17">
        <f ca="1">VLOOKUP(G24,ビット!$G$2:$H$7,2)</f>
        <v>300</v>
      </c>
      <c r="AO24" s="43"/>
      <c r="AP24" s="65">
        <f t="shared" si="3"/>
        <v>8065</v>
      </c>
      <c r="AQ24" s="55" t="str">
        <f ca="1">VLOOKUP($AP24,OFFSET(unit_skills!$A$1,0,0,COUNTA(unit_skills!$A:$A),MATCH(AQ$1,unit_skills!$1:$1,0)-MATCH($AP$1,unit_skills!$1:$1,0)+1),MATCH(AQ$1,unit_skills!$1:$1,0)-MATCH($AP$1,unit_skills!$1:$1,0)+1,FALSE)</f>
        <v>アタイはアタイだよっ！</v>
      </c>
      <c r="AR24" s="55" t="str">
        <f ca="1">VLOOKUP($AP24,OFFSET(unit_skills!$A$1,0,0,COUNTA(unit_skills!$A:$A),MATCH(AR$1,unit_skills!$1:$1,0)-MATCH($AP$1,unit_skills!$1:$1,0)+1),MATCH(AR$1,unit_skills!$1:$1,0)-MATCH($AP$1,unit_skills!$1:$1,0)+1,FALSE)</f>
        <v>2ターン味方のサンリオキャラクターズに対しての攻撃を30%軽減+3ターン攻撃力と回復力を特大UP</v>
      </c>
      <c r="AS24" s="55">
        <f ca="1">VLOOKUP($AP24,OFFSET(unit_skills!$A$1,0,0,COUNTA(unit_skills!$A:$A),MATCH(AS$1,unit_skills!$1:$1,0)-MATCH($AP$1,unit_skills!$1:$1,0)+1),MATCH(AS$1,unit_skills!$1:$1,0)-MATCH($AP$1,unit_skills!$1:$1,0)+1,FALSE)</f>
        <v>0</v>
      </c>
      <c r="AT24" s="40">
        <f t="shared" si="4"/>
        <v>8065</v>
      </c>
      <c r="AU24" s="55" t="str">
        <f ca="1">VLOOKUP($AT24,OFFSET(crash_skills!$A$1,0,0,COUNTA(crash_skills!$A:$A),MATCH(AU$1,crash_skills!$1:$1,0)-MATCH($AT$1,crash_skills!$1:$1,0)+1),MATCH(AU$1,crash_skills!$1:$1,0)-MATCH($AT$1,crash_skills!$1:$1,0)+1,FALSE)</f>
        <v>クロミ様参上！</v>
      </c>
      <c r="AV24" s="55" t="str">
        <f ca="1">VLOOKUP($AT24,OFFSET(crash_skills!$A$1,0,0,COUNTA(crash_skills!$A:$A),MATCH(AV$1,crash_skills!$1:$1,0)-MATCH($AT$1,crash_skills!$1:$1,0)+1),MATCH(AV$1,crash_skills!$1:$1,0)-MATCH($AT$1,crash_skills!$1:$1,0)+1,FALSE)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24" s="55">
        <f ca="1">VLOOKUP($AT24,OFFSET(crash_skills!$A$1,0,0,COUNTA(crash_skills!$A:$A),MATCH(AW$1,crash_skills!$1:$1,0)-MATCH($AT$1,crash_skills!$1:$1,0)+1),MATCH(AW$1,crash_skills!$1:$1,0)-MATCH($AT$1,crash_skills!$1:$1,0)+1,FALSE)</f>
        <v>0</v>
      </c>
      <c r="AX24" s="56">
        <f ca="1">VLOOKUP($A24,OFFSET([1]characters!$A$1,0,0,COUNTA([1]characters!$A:$A),MATCH(AX$1,[1]characters!$1:$1,0)-MATCH($A$1,[1]characters!$1:$1,0)+1),MATCH(AX$1,[1]characters!$1:$1,0)-MATCH($A$1,[1]characters!$1:$1,0)+1,FALSE)</f>
        <v>1</v>
      </c>
      <c r="AY24" s="66">
        <v>1.1819999999999999</v>
      </c>
      <c r="AZ24" s="66">
        <v>1.306</v>
      </c>
      <c r="BA24" s="66">
        <v>0</v>
      </c>
      <c r="BB24" s="66">
        <v>1.0660000000000001</v>
      </c>
      <c r="BC24" s="11">
        <f ca="1">INDEX('RC6SV'!$A$1:$G$20,MATCH(H24,'RC6SV'!$A$1:$A$20,FALSE),MATCH(G24,'RC6SV'!$A$1:$G$1,FALSE))</f>
        <v>5000</v>
      </c>
      <c r="BD24" s="46">
        <f t="shared" ca="1" si="10"/>
        <v>5000</v>
      </c>
      <c r="BE24" s="11">
        <f t="shared" ca="1" si="1"/>
        <v>0</v>
      </c>
      <c r="BF24" s="11">
        <f t="shared" ca="1" si="2"/>
        <v>1</v>
      </c>
      <c r="BG24" s="16">
        <f ca="1">IF($BE24&lt;=0,ROUND(BK24*0.5,0), ROUND($BE24*S24*AA24*J24*AY24*0.8*[1]ステータス!$B$2,0))</f>
        <v>1478</v>
      </c>
      <c r="BH24" s="16">
        <f ca="1">IF($BE24&lt;=0,ROUND(BL24*0.5,0), ROUND($BE24*T24*AB24*K24*AZ24*0.8*[1]ステータス!$C$2,0))</f>
        <v>960</v>
      </c>
      <c r="BI24" s="16">
        <f ca="1">IF($BE24&lt;=0,ROUND(BM24*0.5,0), ROUND($BE24*U24*AC24*L24*BA24*0.8*[1]ステータス!$D$2,0))</f>
        <v>0</v>
      </c>
      <c r="BJ24" s="16">
        <f ca="1">IF($BE24&lt;=0,ROUND(BN24*0.5,0), ROUND($BE24*V24*AD24*M24*BB24*0.8*[1]ステータス!$E$2,0))</f>
        <v>680</v>
      </c>
      <c r="BK24" s="11">
        <f ca="1">ROUND(BD24*S24*AA24*J24*AY24*[1]ステータス!$B$2,0)</f>
        <v>2955</v>
      </c>
      <c r="BL24" s="11">
        <f ca="1">ROUND(BD24*T24*AB24*K24*AZ24*[1]ステータス!$C$2,0)</f>
        <v>1920</v>
      </c>
      <c r="BM24" s="11">
        <f ca="1">ROUND(BD24*U24*AC24*L24*BA24*[1]ステータス!$D$2,0)</f>
        <v>0</v>
      </c>
      <c r="BN24" s="11">
        <f ca="1">ROUND(BD24*V24*AD24*M24*BB24*[1]ステータス!$E$2,0)</f>
        <v>1359</v>
      </c>
      <c r="BO24" s="10">
        <v>0</v>
      </c>
      <c r="BP24" s="10">
        <v>1</v>
      </c>
      <c r="BQ24" s="37" t="s">
        <v>47</v>
      </c>
      <c r="BR24" s="12">
        <v>233</v>
      </c>
    </row>
    <row r="25" spans="1:70" ht="26" customHeight="1" x14ac:dyDescent="0.15">
      <c r="A25" s="220">
        <v>8066</v>
      </c>
      <c r="B25" s="55" t="str">
        <f ca="1">VLOOKUP($A25,OFFSET([1]characters!$A$1,0,0,COUNTA([1]characters!$A:$A),MATCH(B$1,[1]characters!$1:$1,0)-MATCH($A$1,[1]characters!$1:$1,0)+1),MATCH(B$1,[1]characters!$1:$1,0)-MATCH($A$1,[1]characters!$1:$1,0)+1,FALSE)</f>
        <v>クロミ</v>
      </c>
      <c r="C25" s="55" t="str">
        <f ca="1">VLOOKUP($A25,OFFSET([1]characters!$A$1,0,0,COUNTA([1]characters!$A:$A),MATCH(C$1,[1]characters!$1:$1,0)-MATCH($A$1,[1]characters!$1:$1,0)+1),MATCH(C$1,[1]characters!$1:$1,0)-MATCH($A$1,[1]characters!$1:$1,0)+1,FALSE)</f>
        <v>クロミ</v>
      </c>
      <c r="D25" s="55" t="str">
        <f ca="1">VLOOKUP($A25,OFFSET([1]characters!$A$1,0,0,COUNTA([1]characters!$A:$A),MATCH(D$1,[1]characters!$1:$1,0)-MATCH($A$1,[1]characters!$1:$1,0)+1),MATCH(D$1,[1]characters!$1:$1,0)-MATCH($A$1,[1]characters!$1:$1,0)+1,FALSE)</f>
        <v>執行者</v>
      </c>
      <c r="E25" s="55" t="str">
        <f ca="1">VLOOKUP($A25,OFFSET([1]characters!$A$1,0,0,COUNTA([1]characters!$A:$A),MATCH(E$1,[1]characters!$1:$1,0)-MATCH($A$1,[1]characters!$1:$1,0)+1),MATCH(E$1,[1]characters!$1:$1,0)-MATCH($A$1,[1]characters!$1:$1,0)+1,FALSE)</f>
        <v>格好いい</v>
      </c>
      <c r="F25" s="55" t="str">
        <f ca="1">VLOOKUP($A25,OFFSET([1]characters!$A$1,0,0,COUNTA([1]characters!$A:$A),MATCH(F$1,[1]characters!$1:$1,0)-MATCH($A$1,[1]characters!$1:$1,0)+1),MATCH(F$1,[1]characters!$1:$1,0)-MATCH($A$1,[1]characters!$1:$1,0)+1,FALSE)</f>
        <v>女性</v>
      </c>
      <c r="G25" s="55">
        <f ca="1">VLOOKUP($A25,OFFSET([1]characters!$A$1,0,0,COUNTA([1]characters!$A:$A),MATCH(G$1,[1]characters!$1:$1,0)-MATCH($A$1,[1]characters!$1:$1,0)+1),MATCH(G$1,[1]characters!$1:$1,0)-MATCH($A$1,[1]characters!$1:$1,0)+1,FALSE)</f>
        <v>4</v>
      </c>
      <c r="H25" s="55" t="str">
        <f ca="1">VLOOKUP($A25,OFFSET([1]characters!$A$1,0,0,COUNTA([1]characters!$A:$A),MATCH(H$1,[1]characters!$1:$1,0)-MATCH($A$1,[1]characters!$1:$1,0)+1),MATCH(H$1,[1]characters!$1:$1,0)-MATCH($A$1,[1]characters!$1:$1,0)+1,FALSE)</f>
        <v>PremiumS</v>
      </c>
      <c r="I25" s="55" t="str">
        <f ca="1">VLOOKUP($A25,OFFSET([1]characters!$A$1,0,0,COUNTA([1]characters!$A:$A),MATCH(I$1,[1]characters!$1:$1,0)-MATCH($A$1,[1]characters!$1:$1,0)+1),MATCH(I$1,[1]characters!$1:$1,0)-MATCH($A$1,[1]characters!$1:$1,0)+1,FALSE)</f>
        <v>blue</v>
      </c>
      <c r="J25" s="11">
        <f ca="1">VLOOKUP(I25,[1]属性!$A:$E,2,FALSE)</f>
        <v>1</v>
      </c>
      <c r="K25" s="11">
        <f ca="1">VLOOKUP(I25,[1]属性!$A:$E,3,FALSE)</f>
        <v>0.98</v>
      </c>
      <c r="L25" s="11">
        <f ca="1">VLOOKUP(I25,[1]属性!$A:$E,4,FALSE)</f>
        <v>1</v>
      </c>
      <c r="M25" s="11">
        <f ca="1">VLOOKUP(I25,[1]属性!$A:$E,5,FALSE)</f>
        <v>1.02</v>
      </c>
      <c r="N25" s="11">
        <f ca="1">INDEX(コスト!$A$1:$I$20,MATCH(H25,コスト!$A$1:$A$20,FALSE),MATCH(G25,コスト!$A$1:$I$1,FALSE))</f>
        <v>20</v>
      </c>
      <c r="O25" s="11">
        <f ca="1">INDEX(レベル!$A$1:$I$21,MATCH(H25,レベル!$A$1:$A$21,FALSE),MATCH(G25,レベル!$A$1:$I$1,FALSE))</f>
        <v>60</v>
      </c>
      <c r="P25" s="46">
        <f t="shared" ca="1" si="8"/>
        <v>60</v>
      </c>
      <c r="Q25" s="55" t="s">
        <v>243</v>
      </c>
      <c r="R25" s="5" t="str">
        <f>VLOOKUP(Q25,[1]character_type_i18n!$A:$H,3,FALSE)</f>
        <v>バランスタイプ</v>
      </c>
      <c r="S25" s="11">
        <f>VLOOKUP(Q25,[1]character_type_i18n!$A:$H,4,FALSE)</f>
        <v>1</v>
      </c>
      <c r="T25" s="11">
        <f>VLOOKUP(Q25,[1]character_type_i18n!$A:$H,5,FALSE)</f>
        <v>1</v>
      </c>
      <c r="U25" s="11">
        <f>VLOOKUP(Q25,[1]character_type_i18n!$A:$H,6,FALSE)</f>
        <v>1</v>
      </c>
      <c r="V25" s="11">
        <f>VLOOKUP(Q25,[1]character_type_i18n!$A:$H,7,FALSE)</f>
        <v>1</v>
      </c>
      <c r="W25" s="55" t="s">
        <v>331</v>
      </c>
      <c r="X25" s="5" t="str">
        <f>VLOOKUP(W25,[1]character_tribe_i18n!$A:$H,3,FALSE)</f>
        <v>Unknown</v>
      </c>
      <c r="Y25" s="55" t="str">
        <f ca="1">VLOOKUP($A25,OFFSET([1]characters!$A$1,0,0,COUNTA([1]characters!$A:$A),MATCH(Y$1,[1]characters!$1:$1,0)-MATCH($A$1,[1]characters!$1:$1,0)+1),MATCH(Y$1,[1]characters!$1:$1,0)-MATCH($A$1,[1]characters!$1:$1,0)+1,FALSE)</f>
        <v>none</v>
      </c>
      <c r="Z25" s="5" t="str">
        <f ca="1">VLOOKUP(Y25,[1]character_tribe_i18n!$A:$H,3,FALSE)</f>
        <v>種族なし</v>
      </c>
      <c r="AA25" s="11">
        <f>VLOOKUP(W25,[1]character_tribe_i18n!$A:$H,4,FALSE)</f>
        <v>1</v>
      </c>
      <c r="AB25" s="11">
        <f>VLOOKUP(W25,[1]character_tribe_i18n!$A:$H,5,FALSE)</f>
        <v>1</v>
      </c>
      <c r="AC25" s="11">
        <f>VLOOKUP(W25,[1]character_tribe_i18n!$A:$H,6,FALSE)</f>
        <v>1</v>
      </c>
      <c r="AD25" s="11">
        <f>VLOOKUP(W25,[1]character_tribe_i18n!$A:$H,7,FALSE)</f>
        <v>1</v>
      </c>
      <c r="AE25" s="9" t="s">
        <v>183</v>
      </c>
      <c r="AF25" s="60" t="str">
        <f ca="1">IF(AE25="NULL","",VLOOKUP($AE25,OFFSET([1]characters!$A$1,0,0,COUNTA([1]characters!$A:$A),MATCH(AF$1,[1]characters!$1:$1,0)-MATCH($A$1,[1]characters!$1:$1,0)+1),MATCH(AF$1,[1]characters!$1:$1,0)-MATCH($A$1,[1]characters!$1:$1,0)+1,FALSE))</f>
        <v/>
      </c>
      <c r="AG25" s="5">
        <f t="shared" ca="1" si="0"/>
        <v>8065</v>
      </c>
      <c r="AH25" s="60" t="str">
        <f ca="1">VLOOKUP($AG25,OFFSET([1]characters!$A$1,0,0,COUNTA([1]characters!$A:$A),MATCH(AH$1,[1]characters!$1:$1,0)-MATCH($A$1,[1]characters!$1:$1,0)+1),MATCH(AH$1,[1]characters!$1:$1,0)-MATCH($A$1,[1]characters!$1:$1,0)+1,FALSE)</f>
        <v>クロミ</v>
      </c>
      <c r="AI25" s="11" t="str">
        <f>IF(AE25="NULL","NULL",VLOOKUP(G25,ビット!$A$2:$B$7,2))</f>
        <v>NULL</v>
      </c>
      <c r="AJ25" s="6">
        <v>2</v>
      </c>
      <c r="AK25" s="7" t="str">
        <f t="shared" si="9"/>
        <v>普通</v>
      </c>
      <c r="AL25" s="11" t="str">
        <f ca="1">INDEX(経験値!$A$1:$I$20,MATCH(H25,経験値!$A$1:$A$20,FALSE),MATCH(G25,経験値!$A$1:$I$1,FALSE))</f>
        <v>required_exp_200</v>
      </c>
      <c r="AM25" s="8">
        <f ca="1">VLOOKUP(G25,経験値!$A$27:$B$31,2)</f>
        <v>3400</v>
      </c>
      <c r="AN25" s="17">
        <f ca="1">VLOOKUP(G25,ビット!$G$2:$H$7,2)</f>
        <v>600</v>
      </c>
      <c r="AO25" s="43"/>
      <c r="AP25" s="65">
        <f t="shared" si="3"/>
        <v>8066</v>
      </c>
      <c r="AQ25" s="55" t="str">
        <f ca="1">VLOOKUP($AP25,OFFSET(unit_skills!$A$1,0,0,COUNTA(unit_skills!$A:$A),MATCH(AQ$1,unit_skills!$1:$1,0)-MATCH($AP$1,unit_skills!$1:$1,0)+1),MATCH(AQ$1,unit_skills!$1:$1,0)-MATCH($AP$1,unit_skills!$1:$1,0)+1,FALSE)</f>
        <v>自称☆ライバル</v>
      </c>
      <c r="AR25" s="55" t="str">
        <f ca="1">VLOOKUP($AP25,OFFSET(unit_skills!$A$1,0,0,COUNTA(unit_skills!$A:$A),MATCH(AR$1,unit_skills!$1:$1,0)-MATCH($AP$1,unit_skills!$1:$1,0)+1),MATCH(AR$1,unit_skills!$1:$1,0)-MATCH($AP$1,unit_skills!$1:$1,0)+1,FALSE)</f>
        <v>2ターン味方のサンリオキャラクターズに対しての攻撃を50%軽減+3ターン攻撃力と回復力を特大UP</v>
      </c>
      <c r="AS25" s="55">
        <f ca="1">VLOOKUP($AP25,OFFSET(unit_skills!$A$1,0,0,COUNTA(unit_skills!$A:$A),MATCH(AS$1,unit_skills!$1:$1,0)-MATCH($AP$1,unit_skills!$1:$1,0)+1),MATCH(AS$1,unit_skills!$1:$1,0)-MATCH($AP$1,unit_skills!$1:$1,0)+1,FALSE)</f>
        <v>0</v>
      </c>
      <c r="AT25" s="40">
        <f t="shared" si="4"/>
        <v>8066</v>
      </c>
      <c r="AU25" s="55" t="str">
        <f ca="1">VLOOKUP($AT25,OFFSET(crash_skills!$A$1,0,0,COUNTA(crash_skills!$A:$A),MATCH(AU$1,crash_skills!$1:$1,0)-MATCH($AT$1,crash_skills!$1:$1,0)+1),MATCH(AU$1,crash_skills!$1:$1,0)-MATCH($AT$1,crash_skills!$1:$1,0)+1,FALSE)</f>
        <v>クロミ様参上！</v>
      </c>
      <c r="AV25" s="55" t="str">
        <f ca="1">VLOOKUP($AT25,OFFSET(crash_skills!$A$1,0,0,COUNTA(crash_skills!$A:$A),MATCH(AV$1,crash_skills!$1:$1,0)-MATCH($AT$1,crash_skills!$1:$1,0)+1),MATCH(AV$1,crash_skills!$1:$1,0)-MATCH($AT$1,crash_skills!$1:$1,0)+1,FALSE)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25" s="55">
        <f ca="1">VLOOKUP($AT25,OFFSET(crash_skills!$A$1,0,0,COUNTA(crash_skills!$A:$A),MATCH(AW$1,crash_skills!$1:$1,0)-MATCH($AT$1,crash_skills!$1:$1,0)+1),MATCH(AW$1,crash_skills!$1:$1,0)-MATCH($AT$1,crash_skills!$1:$1,0)+1,FALSE)</f>
        <v>0</v>
      </c>
      <c r="AX25" s="56">
        <f ca="1">VLOOKUP($A25,OFFSET([1]characters!$A$1,0,0,COUNTA([1]characters!$A:$A),MATCH(AX$1,[1]characters!$1:$1,0)-MATCH($A$1,[1]characters!$1:$1,0)+1),MATCH(AX$1,[1]characters!$1:$1,0)-MATCH($A$1,[1]characters!$1:$1,0)+1,FALSE)</f>
        <v>1</v>
      </c>
      <c r="AY25" s="66">
        <v>1.1819999999999999</v>
      </c>
      <c r="AZ25" s="66">
        <v>1.306</v>
      </c>
      <c r="BA25" s="66">
        <v>0</v>
      </c>
      <c r="BB25" s="66">
        <v>1.0660000000000001</v>
      </c>
      <c r="BC25" s="11">
        <f ca="1">INDEX('RC6SV'!$A$1:$G$20,MATCH(H25,'RC6SV'!$A$1:$A$20,FALSE),MATCH(G25,'RC6SV'!$A$1:$G$1,FALSE))</f>
        <v>7000</v>
      </c>
      <c r="BD25" s="46">
        <f t="shared" ca="1" si="10"/>
        <v>7000</v>
      </c>
      <c r="BE25" s="11">
        <f t="shared" ca="1" si="1"/>
        <v>5000</v>
      </c>
      <c r="BF25" s="11">
        <f t="shared" ca="1" si="2"/>
        <v>1</v>
      </c>
      <c r="BG25" s="16">
        <f ca="1">IF($BE25&lt;=0,ROUND(BK25*0.5,0), ROUND($BE25*S25*AA25*J25*AY25*0.8*[1]ステータス!$B$2,0))</f>
        <v>2364</v>
      </c>
      <c r="BH25" s="16">
        <f ca="1">IF($BE25&lt;=0,ROUND(BL25*0.5,0), ROUND($BE25*T25*AB25*K25*AZ25*0.8*[1]ステータス!$C$2,0))</f>
        <v>1536</v>
      </c>
      <c r="BI25" s="16">
        <f ca="1">IF($BE25&lt;=0,ROUND(BM25*0.5,0), ROUND($BE25*U25*AC25*L25*BA25*0.8*[1]ステータス!$D$2,0))</f>
        <v>0</v>
      </c>
      <c r="BJ25" s="16">
        <f ca="1">IF($BE25&lt;=0,ROUND(BN25*0.5,0), ROUND($BE25*V25*AD25*M25*BB25*0.8*[1]ステータス!$E$2,0))</f>
        <v>1087</v>
      </c>
      <c r="BK25" s="11">
        <f ca="1">ROUND(BD25*S25*AA25*J25*AY25*[1]ステータス!$B$2,0)</f>
        <v>4137</v>
      </c>
      <c r="BL25" s="11">
        <f ca="1">ROUND(BD25*T25*AB25*K25*AZ25*[1]ステータス!$C$2,0)</f>
        <v>2688</v>
      </c>
      <c r="BM25" s="11">
        <f ca="1">ROUND(BD25*U25*AC25*L25*BA25*[1]ステータス!$D$2,0)</f>
        <v>0</v>
      </c>
      <c r="BN25" s="11">
        <f ca="1">ROUND(BD25*V25*AD25*M25*BB25*[1]ステータス!$E$2,0)</f>
        <v>1903</v>
      </c>
      <c r="BO25" s="10">
        <v>0</v>
      </c>
      <c r="BP25" s="10">
        <v>1</v>
      </c>
      <c r="BQ25" s="37" t="s">
        <v>47</v>
      </c>
      <c r="BR25" s="12">
        <v>233</v>
      </c>
    </row>
    <row r="26" spans="1:70" ht="26" customHeight="1" x14ac:dyDescent="0.15">
      <c r="A26" s="220">
        <v>8067</v>
      </c>
      <c r="B26" s="55" t="str">
        <f ca="1">VLOOKUP($A26,OFFSET([1]characters!$A$1,0,0,COUNTA([1]characters!$A:$A),MATCH(B$1,[1]characters!$1:$1,0)-MATCH($A$1,[1]characters!$1:$1,0)+1),MATCH(B$1,[1]characters!$1:$1,0)-MATCH($A$1,[1]characters!$1:$1,0)+1,FALSE)</f>
        <v>バッドばつ丸</v>
      </c>
      <c r="C26" s="55" t="str">
        <f ca="1">VLOOKUP($A26,OFFSET([1]characters!$A$1,0,0,COUNTA([1]characters!$A:$A),MATCH(C$1,[1]characters!$1:$1,0)-MATCH($A$1,[1]characters!$1:$1,0)+1),MATCH(C$1,[1]characters!$1:$1,0)-MATCH($A$1,[1]characters!$1:$1,0)+1,FALSE)</f>
        <v>バッドばつ丸</v>
      </c>
      <c r="D26" s="55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5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5" t="str">
        <f ca="1">VLOOKUP($A26,OFFSET([1]characters!$A$1,0,0,COUNTA([1]characters!$A:$A),MATCH(F$1,[1]characters!$1:$1,0)-MATCH($A$1,[1]characters!$1:$1,0)+1),MATCH(F$1,[1]characters!$1:$1,0)-MATCH($A$1,[1]characters!$1:$1,0)+1,FALSE)</f>
        <v>女性</v>
      </c>
      <c r="G26" s="55">
        <f ca="1">VLOOKUP($A26,OFFSET([1]characters!$A$1,0,0,COUNTA([1]characters!$A:$A),MATCH(G$1,[1]characters!$1:$1,0)-MATCH($A$1,[1]characters!$1:$1,0)+1),MATCH(G$1,[1]characters!$1:$1,0)-MATCH($A$1,[1]characters!$1:$1,0)+1,FALSE)</f>
        <v>3</v>
      </c>
      <c r="H26" s="55" t="str">
        <f ca="1">VLOOKUP($A26,OFFSET([1]characters!$A$1,0,0,COUNTA([1]characters!$A:$A),MATCH(H$1,[1]characters!$1:$1,0)-MATCH($A$1,[1]characters!$1:$1,0)+1),MATCH(H$1,[1]characters!$1:$1,0)-MATCH($A$1,[1]characters!$1:$1,0)+1,FALSE)</f>
        <v>PremiumS</v>
      </c>
      <c r="I26" s="55" t="str">
        <f ca="1">VLOOKUP($A26,OFFSET([1]characters!$A$1,0,0,COUNTA([1]characters!$A:$A),MATCH(I$1,[1]characters!$1:$1,0)-MATCH($A$1,[1]characters!$1:$1,0)+1),MATCH(I$1,[1]characters!$1:$1,0)-MATCH($A$1,[1]characters!$1:$1,0)+1,FALSE)</f>
        <v>blue</v>
      </c>
      <c r="J26" s="11">
        <f ca="1">VLOOKUP(I26,[1]属性!$A:$E,2,FALSE)</f>
        <v>1</v>
      </c>
      <c r="K26" s="11">
        <f ca="1">VLOOKUP(I26,[1]属性!$A:$E,3,FALSE)</f>
        <v>0.98</v>
      </c>
      <c r="L26" s="11">
        <f ca="1">VLOOKUP(I26,[1]属性!$A:$E,4,FALSE)</f>
        <v>1</v>
      </c>
      <c r="M26" s="11">
        <f ca="1">VLOOKUP(I26,[1]属性!$A:$E,5,FALSE)</f>
        <v>1.02</v>
      </c>
      <c r="N26" s="11">
        <f ca="1">INDEX(コスト!$A$1:$I$20,MATCH(H26,コスト!$A$1:$A$20,FALSE),MATCH(G26,コスト!$A$1:$I$1,FALSE))</f>
        <v>10</v>
      </c>
      <c r="O26" s="11">
        <f ca="1">INDEX(レベル!$A$1:$I$21,MATCH(H26,レベル!$A$1:$A$21,FALSE),MATCH(G26,レベル!$A$1:$I$1,FALSE))</f>
        <v>40</v>
      </c>
      <c r="P26" s="46">
        <f t="shared" ca="1" si="8"/>
        <v>45</v>
      </c>
      <c r="Q26" s="55" t="s">
        <v>323</v>
      </c>
      <c r="R26" s="5" t="str">
        <f>VLOOKUP(Q26,[1]character_type_i18n!$A:$H,3,FALSE)</f>
        <v>攻撃タイプ</v>
      </c>
      <c r="S26" s="11">
        <f>VLOOKUP(Q26,[1]character_type_i18n!$A:$H,4,FALSE)</f>
        <v>1</v>
      </c>
      <c r="T26" s="11">
        <f>VLOOKUP(Q26,[1]character_type_i18n!$A:$H,5,FALSE)</f>
        <v>1.33</v>
      </c>
      <c r="U26" s="11">
        <f>VLOOKUP(Q26,[1]character_type_i18n!$A:$H,6,FALSE)</f>
        <v>1</v>
      </c>
      <c r="V26" s="11">
        <f>VLOOKUP(Q26,[1]character_type_i18n!$A:$H,7,FALSE)</f>
        <v>0.67</v>
      </c>
      <c r="W26" s="55" t="s">
        <v>331</v>
      </c>
      <c r="X26" s="5" t="str">
        <f>VLOOKUP(W26,[1]character_tribe_i18n!$A:$H,3,FALSE)</f>
        <v>Unknown</v>
      </c>
      <c r="Y26" s="55" t="str">
        <f ca="1">VLOOKUP($A26,OFFSET([1]characters!$A$1,0,0,COUNTA([1]characters!$A:$A),MATCH(Y$1,[1]characters!$1:$1,0)-MATCH($A$1,[1]characters!$1:$1,0)+1),MATCH(Y$1,[1]characters!$1:$1,0)-MATCH($A$1,[1]characters!$1:$1,0)+1,FALSE)</f>
        <v>none</v>
      </c>
      <c r="Z26" s="5" t="str">
        <f ca="1">VLOOKUP(Y26,[1]character_tribe_i18n!$A:$H,3,FALSE)</f>
        <v>種族なし</v>
      </c>
      <c r="AA26" s="11">
        <f>VLOOKUP(W26,[1]character_tribe_i18n!$A:$H,4,FALSE)</f>
        <v>1</v>
      </c>
      <c r="AB26" s="11">
        <f>VLOOKUP(W26,[1]character_tribe_i18n!$A:$H,5,FALSE)</f>
        <v>1</v>
      </c>
      <c r="AC26" s="11">
        <f>VLOOKUP(W26,[1]character_tribe_i18n!$A:$H,6,FALSE)</f>
        <v>1</v>
      </c>
      <c r="AD26" s="11">
        <f>VLOOKUP(W26,[1]character_tribe_i18n!$A:$H,7,FALSE)</f>
        <v>1</v>
      </c>
      <c r="AE26" s="9">
        <f>A27</f>
        <v>8068</v>
      </c>
      <c r="AF26" s="60" t="str">
        <f ca="1">IF(AE26="NULL","",VLOOKUP($AE26,OFFSET([1]characters!$A$1,0,0,COUNTA([1]characters!$A:$A),MATCH(AF$1,[1]characters!$1:$1,0)-MATCH($A$1,[1]characters!$1:$1,0)+1),MATCH(AF$1,[1]characters!$1:$1,0)-MATCH($A$1,[1]characters!$1:$1,0)+1,FALSE))</f>
        <v>バッドばつ丸</v>
      </c>
      <c r="AG26" s="5">
        <f t="shared" ca="1" si="0"/>
        <v>8067</v>
      </c>
      <c r="AH26" s="60" t="str">
        <f ca="1">VLOOKUP($AG26,OFFSET([1]characters!$A$1,0,0,COUNTA([1]characters!$A:$A),MATCH(AH$1,[1]characters!$1:$1,0)-MATCH($A$1,[1]characters!$1:$1,0)+1),MATCH(AH$1,[1]characters!$1:$1,0)-MATCH($A$1,[1]characters!$1:$1,0)+1,FALSE)</f>
        <v>バッドばつ丸</v>
      </c>
      <c r="AI26" s="11">
        <f ca="1">IF(AE26="NULL","NULL",VLOOKUP(G26,ビット!$A$2:$B$7,2))</f>
        <v>20000</v>
      </c>
      <c r="AJ26" s="6">
        <v>2</v>
      </c>
      <c r="AK26" s="7" t="str">
        <f t="shared" si="9"/>
        <v>普通</v>
      </c>
      <c r="AL26" s="11" t="str">
        <f ca="1">INDEX(経験値!$A$1:$I$20,MATCH(H26,経験値!$A$1:$A$20,FALSE),MATCH(G26,経験値!$A$1:$I$1,FALSE))</f>
        <v>required_exp_200</v>
      </c>
      <c r="AM26" s="8">
        <f ca="1">VLOOKUP(G26,経験値!$A$27:$B$31,2)</f>
        <v>1500</v>
      </c>
      <c r="AN26" s="17">
        <f ca="1">VLOOKUP(G26,ビット!$G$2:$H$7,2)</f>
        <v>300</v>
      </c>
      <c r="AO26" s="43"/>
      <c r="AP26" s="65">
        <f t="shared" si="3"/>
        <v>8067</v>
      </c>
      <c r="AQ26" s="55" t="str">
        <f ca="1">VLOOKUP($AP26,OFFSET(unit_skills!$A$1,0,0,COUNTA(unit_skills!$A:$A),MATCH(AQ$1,unit_skills!$1:$1,0)-MATCH($AP$1,unit_skills!$1:$1,0)+1),MATCH(AQ$1,unit_skills!$1:$1,0)-MATCH($AP$1,unit_skills!$1:$1,0)+1,FALSE)</f>
        <v>オレ様オンステージ！</v>
      </c>
      <c r="AR26" s="55" t="str">
        <f ca="1">VLOOKUP($AP26,OFFSET(unit_skills!$A$1,0,0,COUNTA(unit_skills!$A:$A),MATCH(AR$1,unit_skills!$1:$1,0)-MATCH($AP$1,unit_skills!$1:$1,0)+1),MATCH(AR$1,unit_skills!$1:$1,0)-MATCH($AP$1,unit_skills!$1:$1,0)+1,FALSE)</f>
        <v>ランダムで4つCパネルに変換</v>
      </c>
      <c r="AS26" s="55">
        <f ca="1">VLOOKUP($AP26,OFFSET(unit_skills!$A$1,0,0,COUNTA(unit_skills!$A:$A),MATCH(AS$1,unit_skills!$1:$1,0)-MATCH($AP$1,unit_skills!$1:$1,0)+1),MATCH(AS$1,unit_skills!$1:$1,0)-MATCH($AP$1,unit_skills!$1:$1,0)+1,FALSE)</f>
        <v>0</v>
      </c>
      <c r="AT26" s="40">
        <f t="shared" si="4"/>
        <v>8067</v>
      </c>
      <c r="AU26" s="55" t="str">
        <f ca="1">VLOOKUP($AT26,OFFSET(crash_skills!$A$1,0,0,COUNTA(crash_skills!$A:$A),MATCH(AU$1,crash_skills!$1:$1,0)-MATCH($AT$1,crash_skills!$1:$1,0)+1),MATCH(AU$1,crash_skills!$1:$1,0)-MATCH($AT$1,crash_skills!$1:$1,0)+1,FALSE)</f>
        <v>オレ様ナンバーワン！</v>
      </c>
      <c r="AV26" s="55" t="str">
        <f ca="1">VLOOKUP($AT26,OFFSET(crash_skills!$A$1,0,0,COUNTA(crash_skills!$A:$A),MATCH(AV$1,crash_skills!$1:$1,0)-MATCH($AT$1,crash_skills!$1:$1,0)+1),MATCH(AV$1,crash_skills!$1:$1,0)-MATCH($AT$1,crash_skills!$1:$1,0)+1,FALSE)</f>
        <v>単体に2回中ダメージ</v>
      </c>
      <c r="AW26" s="55">
        <f ca="1">VLOOKUP($AT26,OFFSET(crash_skills!$A$1,0,0,COUNTA(crash_skills!$A:$A),MATCH(AW$1,crash_skills!$1:$1,0)-MATCH($AT$1,crash_skills!$1:$1,0)+1),MATCH(AW$1,crash_skills!$1:$1,0)-MATCH($AT$1,crash_skills!$1:$1,0)+1,FALSE)</f>
        <v>0</v>
      </c>
      <c r="AX26" s="56">
        <f ca="1">VLOOKUP($A26,OFFSET([1]characters!$A$1,0,0,COUNTA([1]characters!$A:$A),MATCH(AX$1,[1]characters!$1:$1,0)-MATCH($A$1,[1]characters!$1:$1,0)+1),MATCH(AX$1,[1]characters!$1:$1,0)-MATCH($A$1,[1]characters!$1:$1,0)+1,FALSE)</f>
        <v>1</v>
      </c>
      <c r="AY26" s="66">
        <v>1.1819999999999999</v>
      </c>
      <c r="AZ26" s="66">
        <v>1.306</v>
      </c>
      <c r="BA26" s="66">
        <v>0</v>
      </c>
      <c r="BB26" s="66">
        <v>1.0660000000000001</v>
      </c>
      <c r="BC26" s="11">
        <f ca="1">INDEX('RC6SV'!$A$1:$G$20,MATCH(H26,'RC6SV'!$A$1:$A$20,FALSE),MATCH(G26,'RC6SV'!$A$1:$G$1,FALSE))</f>
        <v>5000</v>
      </c>
      <c r="BD26" s="46">
        <f t="shared" ca="1" si="10"/>
        <v>5000</v>
      </c>
      <c r="BE26" s="11">
        <f t="shared" ca="1" si="1"/>
        <v>0</v>
      </c>
      <c r="BF26" s="11">
        <f t="shared" ca="1" si="2"/>
        <v>1</v>
      </c>
      <c r="BG26" s="16">
        <f ca="1">IF($BE26&lt;=0,ROUND(BK26*0.5,0), ROUND($BE26*S26*AA26*J26*AY26*0.8*[1]ステータス!$B$2,0))</f>
        <v>1478</v>
      </c>
      <c r="BH26" s="16">
        <f ca="1">IF($BE26&lt;=0,ROUND(BL26*0.5,0), ROUND($BE26*T26*AB26*K26*AZ26*0.8*[1]ステータス!$C$2,0))</f>
        <v>1277</v>
      </c>
      <c r="BI26" s="16">
        <f ca="1">IF($BE26&lt;=0,ROUND(BM26*0.5,0), ROUND($BE26*U26*AC26*L26*BA26*0.8*[1]ステータス!$D$2,0))</f>
        <v>0</v>
      </c>
      <c r="BJ26" s="16">
        <f ca="1">IF($BE26&lt;=0,ROUND(BN26*0.5,0), ROUND($BE26*V26*AD26*M26*BB26*0.8*[1]ステータス!$E$2,0))</f>
        <v>456</v>
      </c>
      <c r="BK26" s="11">
        <f ca="1">ROUND(BD26*S26*AA26*J26*AY26*[1]ステータス!$B$2,0)</f>
        <v>2955</v>
      </c>
      <c r="BL26" s="11">
        <f ca="1">ROUND(BD26*T26*AB26*K26*AZ26*[1]ステータス!$C$2,0)</f>
        <v>2553</v>
      </c>
      <c r="BM26" s="11">
        <f ca="1">ROUND(BD26*U26*AC26*L26*BA26*[1]ステータス!$D$2,0)</f>
        <v>0</v>
      </c>
      <c r="BN26" s="11">
        <f ca="1">ROUND(BD26*V26*AD26*M26*BB26*[1]ステータス!$E$2,0)</f>
        <v>911</v>
      </c>
      <c r="BO26" s="10">
        <v>0</v>
      </c>
      <c r="BP26" s="10">
        <v>1</v>
      </c>
      <c r="BQ26" s="37" t="s">
        <v>47</v>
      </c>
      <c r="BR26" s="12">
        <v>233</v>
      </c>
    </row>
    <row r="27" spans="1:70" ht="26" customHeight="1" x14ac:dyDescent="0.15">
      <c r="A27" s="220">
        <v>8068</v>
      </c>
      <c r="B27" s="55" t="str">
        <f ca="1">VLOOKUP($A27,OFFSET([1]characters!$A$1,0,0,COUNTA([1]characters!$A:$A),MATCH(B$1,[1]characters!$1:$1,0)-MATCH($A$1,[1]characters!$1:$1,0)+1),MATCH(B$1,[1]characters!$1:$1,0)-MATCH($A$1,[1]characters!$1:$1,0)+1,FALSE)</f>
        <v>バッドばつ丸</v>
      </c>
      <c r="C27" s="55" t="str">
        <f ca="1">VLOOKUP($A27,OFFSET([1]characters!$A$1,0,0,COUNTA([1]characters!$A:$A),MATCH(C$1,[1]characters!$1:$1,0)-MATCH($A$1,[1]characters!$1:$1,0)+1),MATCH(C$1,[1]characters!$1:$1,0)-MATCH($A$1,[1]characters!$1:$1,0)+1,FALSE)</f>
        <v>バッドばつ丸</v>
      </c>
      <c r="D27" s="55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5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5" t="str">
        <f ca="1">VLOOKUP($A27,OFFSET([1]characters!$A$1,0,0,COUNTA([1]characters!$A:$A),MATCH(F$1,[1]characters!$1:$1,0)-MATCH($A$1,[1]characters!$1:$1,0)+1),MATCH(F$1,[1]characters!$1:$1,0)-MATCH($A$1,[1]characters!$1:$1,0)+1,FALSE)</f>
        <v>女性</v>
      </c>
      <c r="G27" s="55">
        <f ca="1">VLOOKUP($A27,OFFSET([1]characters!$A$1,0,0,COUNTA([1]characters!$A:$A),MATCH(G$1,[1]characters!$1:$1,0)-MATCH($A$1,[1]characters!$1:$1,0)+1),MATCH(G$1,[1]characters!$1:$1,0)-MATCH($A$1,[1]characters!$1:$1,0)+1,FALSE)</f>
        <v>4</v>
      </c>
      <c r="H27" s="55" t="str">
        <f ca="1">VLOOKUP($A27,OFFSET([1]characters!$A$1,0,0,COUNTA([1]characters!$A:$A),MATCH(H$1,[1]characters!$1:$1,0)-MATCH($A$1,[1]characters!$1:$1,0)+1),MATCH(H$1,[1]characters!$1:$1,0)-MATCH($A$1,[1]characters!$1:$1,0)+1,FALSE)</f>
        <v>PremiumS</v>
      </c>
      <c r="I27" s="55" t="str">
        <f ca="1">VLOOKUP($A27,OFFSET([1]characters!$A$1,0,0,COUNTA([1]characters!$A:$A),MATCH(I$1,[1]characters!$1:$1,0)-MATCH($A$1,[1]characters!$1:$1,0)+1),MATCH(I$1,[1]characters!$1:$1,0)-MATCH($A$1,[1]characters!$1:$1,0)+1,FALSE)</f>
        <v>blue</v>
      </c>
      <c r="J27" s="11">
        <f ca="1">VLOOKUP(I27,[1]属性!$A:$E,2,FALSE)</f>
        <v>1</v>
      </c>
      <c r="K27" s="11">
        <f ca="1">VLOOKUP(I27,[1]属性!$A:$E,3,FALSE)</f>
        <v>0.98</v>
      </c>
      <c r="L27" s="11">
        <f ca="1">VLOOKUP(I27,[1]属性!$A:$E,4,FALSE)</f>
        <v>1</v>
      </c>
      <c r="M27" s="11">
        <f ca="1">VLOOKUP(I27,[1]属性!$A:$E,5,FALSE)</f>
        <v>1.02</v>
      </c>
      <c r="N27" s="11">
        <f ca="1">INDEX(コスト!$A$1:$I$20,MATCH(H27,コスト!$A$1:$A$20,FALSE),MATCH(G27,コスト!$A$1:$I$1,FALSE))</f>
        <v>20</v>
      </c>
      <c r="O27" s="11">
        <f ca="1">INDEX(レベル!$A$1:$I$21,MATCH(H27,レベル!$A$1:$A$21,FALSE),MATCH(G27,レベル!$A$1:$I$1,FALSE))</f>
        <v>60</v>
      </c>
      <c r="P27" s="46">
        <f t="shared" ca="1" si="8"/>
        <v>60</v>
      </c>
      <c r="Q27" s="55" t="s">
        <v>323</v>
      </c>
      <c r="R27" s="5" t="str">
        <f>VLOOKUP(Q27,[1]character_type_i18n!$A:$H,3,FALSE)</f>
        <v>攻撃タイプ</v>
      </c>
      <c r="S27" s="11">
        <f>VLOOKUP(Q27,[1]character_type_i18n!$A:$H,4,FALSE)</f>
        <v>1</v>
      </c>
      <c r="T27" s="11">
        <f>VLOOKUP(Q27,[1]character_type_i18n!$A:$H,5,FALSE)</f>
        <v>1.33</v>
      </c>
      <c r="U27" s="11">
        <f>VLOOKUP(Q27,[1]character_type_i18n!$A:$H,6,FALSE)</f>
        <v>1</v>
      </c>
      <c r="V27" s="11">
        <f>VLOOKUP(Q27,[1]character_type_i18n!$A:$H,7,FALSE)</f>
        <v>0.67</v>
      </c>
      <c r="W27" s="55" t="s">
        <v>331</v>
      </c>
      <c r="X27" s="5" t="str">
        <f>VLOOKUP(W27,[1]character_tribe_i18n!$A:$H,3,FALSE)</f>
        <v>Unknown</v>
      </c>
      <c r="Y27" s="55" t="str">
        <f ca="1">VLOOKUP($A27,OFFSET([1]characters!$A$1,0,0,COUNTA([1]characters!$A:$A),MATCH(Y$1,[1]characters!$1:$1,0)-MATCH($A$1,[1]characters!$1:$1,0)+1),MATCH(Y$1,[1]characters!$1:$1,0)-MATCH($A$1,[1]characters!$1:$1,0)+1,FALSE)</f>
        <v>none</v>
      </c>
      <c r="Z27" s="5" t="str">
        <f ca="1">VLOOKUP(Y27,[1]character_tribe_i18n!$A:$H,3,FALSE)</f>
        <v>種族なし</v>
      </c>
      <c r="AA27" s="11">
        <f>VLOOKUP(W27,[1]character_tribe_i18n!$A:$H,4,FALSE)</f>
        <v>1</v>
      </c>
      <c r="AB27" s="11">
        <f>VLOOKUP(W27,[1]character_tribe_i18n!$A:$H,5,FALSE)</f>
        <v>1</v>
      </c>
      <c r="AC27" s="11">
        <f>VLOOKUP(W27,[1]character_tribe_i18n!$A:$H,6,FALSE)</f>
        <v>1</v>
      </c>
      <c r="AD27" s="11">
        <f>VLOOKUP(W27,[1]character_tribe_i18n!$A:$H,7,FALSE)</f>
        <v>1</v>
      </c>
      <c r="AE27" s="9" t="s">
        <v>183</v>
      </c>
      <c r="AF27" s="60" t="str">
        <f ca="1">IF(AE27="NULL","",VLOOKUP($AE27,OFFSET([1]characters!$A$1,0,0,COUNTA([1]characters!$A:$A),MATCH(AF$1,[1]characters!$1:$1,0)-MATCH($A$1,[1]characters!$1:$1,0)+1),MATCH(AF$1,[1]characters!$1:$1,0)-MATCH($A$1,[1]characters!$1:$1,0)+1,FALSE))</f>
        <v/>
      </c>
      <c r="AG27" s="5">
        <f t="shared" ca="1" si="0"/>
        <v>8067</v>
      </c>
      <c r="AH27" s="60" t="str">
        <f ca="1">VLOOKUP($AG27,OFFSET([1]characters!$A$1,0,0,COUNTA([1]characters!$A:$A),MATCH(AH$1,[1]characters!$1:$1,0)-MATCH($A$1,[1]characters!$1:$1,0)+1),MATCH(AH$1,[1]characters!$1:$1,0)-MATCH($A$1,[1]characters!$1:$1,0)+1,FALSE)</f>
        <v>バッドばつ丸</v>
      </c>
      <c r="AI27" s="11" t="str">
        <f>IF(AE27="NULL","NULL",VLOOKUP(G27,ビット!$A$2:$B$7,2))</f>
        <v>NULL</v>
      </c>
      <c r="AJ27" s="6">
        <v>2</v>
      </c>
      <c r="AK27" s="7" t="str">
        <f t="shared" si="9"/>
        <v>普通</v>
      </c>
      <c r="AL27" s="11" t="str">
        <f ca="1">INDEX(経験値!$A$1:$I$20,MATCH(H27,経験値!$A$1:$A$20,FALSE),MATCH(G27,経験値!$A$1:$I$1,FALSE))</f>
        <v>required_exp_200</v>
      </c>
      <c r="AM27" s="8">
        <f ca="1">VLOOKUP(G27,経験値!$A$27:$B$31,2)</f>
        <v>3400</v>
      </c>
      <c r="AN27" s="17">
        <f ca="1">VLOOKUP(G27,ビット!$G$2:$H$7,2)</f>
        <v>600</v>
      </c>
      <c r="AO27" s="43"/>
      <c r="AP27" s="65">
        <f t="shared" si="3"/>
        <v>8068</v>
      </c>
      <c r="AQ27" s="55" t="str">
        <f ca="1">VLOOKUP($AP27,OFFSET(unit_skills!$A$1,0,0,COUNTA(unit_skills!$A:$A),MATCH(AQ$1,unit_skills!$1:$1,0)-MATCH($AP$1,unit_skills!$1:$1,0)+1),MATCH(AQ$1,unit_skills!$1:$1,0)-MATCH($AP$1,unit_skills!$1:$1,0)+1,FALSE)</f>
        <v>オレ様オンステージ！</v>
      </c>
      <c r="AR27" s="55" t="str">
        <f ca="1">VLOOKUP($AP27,OFFSET(unit_skills!$A$1,0,0,COUNTA(unit_skills!$A:$A),MATCH(AR$1,unit_skills!$1:$1,0)-MATCH($AP$1,unit_skills!$1:$1,0)+1),MATCH(AR$1,unit_skills!$1:$1,0)-MATCH($AP$1,unit_skills!$1:$1,0)+1,FALSE)</f>
        <v>ランダムで4つCパネルに変換</v>
      </c>
      <c r="AS27" s="55">
        <f ca="1">VLOOKUP($AP27,OFFSET(unit_skills!$A$1,0,0,COUNTA(unit_skills!$A:$A),MATCH(AS$1,unit_skills!$1:$1,0)-MATCH($AP$1,unit_skills!$1:$1,0)+1),MATCH(AS$1,unit_skills!$1:$1,0)-MATCH($AP$1,unit_skills!$1:$1,0)+1,FALSE)</f>
        <v>0</v>
      </c>
      <c r="AT27" s="40">
        <f t="shared" si="4"/>
        <v>8068</v>
      </c>
      <c r="AU27" s="55" t="str">
        <f ca="1">VLOOKUP($AT27,OFFSET(crash_skills!$A$1,0,0,COUNTA(crash_skills!$A:$A),MATCH(AU$1,crash_skills!$1:$1,0)-MATCH($AT$1,crash_skills!$1:$1,0)+1),MATCH(AU$1,crash_skills!$1:$1,0)-MATCH($AT$1,crash_skills!$1:$1,0)+1,FALSE)</f>
        <v>オレ様ナンバーワン！</v>
      </c>
      <c r="AV27" s="55" t="str">
        <f ca="1">VLOOKUP($AT27,OFFSET(crash_skills!$A$1,0,0,COUNTA(crash_skills!$A:$A),MATCH(AV$1,crash_skills!$1:$1,0)-MATCH($AT$1,crash_skills!$1:$1,0)+1),MATCH(AV$1,crash_skills!$1:$1,0)-MATCH($AT$1,crash_skills!$1:$1,0)+1,FALSE)</f>
        <v>単体に2回中ダメージ</v>
      </c>
      <c r="AW27" s="55">
        <f ca="1">VLOOKUP($AT27,OFFSET(crash_skills!$A$1,0,0,COUNTA(crash_skills!$A:$A),MATCH(AW$1,crash_skills!$1:$1,0)-MATCH($AT$1,crash_skills!$1:$1,0)+1),MATCH(AW$1,crash_skills!$1:$1,0)-MATCH($AT$1,crash_skills!$1:$1,0)+1,FALSE)</f>
        <v>0</v>
      </c>
      <c r="AX27" s="56">
        <f ca="1">VLOOKUP($A27,OFFSET([1]characters!$A$1,0,0,COUNTA([1]characters!$A:$A),MATCH(AX$1,[1]characters!$1:$1,0)-MATCH($A$1,[1]characters!$1:$1,0)+1),MATCH(AX$1,[1]characters!$1:$1,0)-MATCH($A$1,[1]characters!$1:$1,0)+1,FALSE)</f>
        <v>1</v>
      </c>
      <c r="AY27" s="66">
        <v>1.1819999999999999</v>
      </c>
      <c r="AZ27" s="66">
        <v>1.306</v>
      </c>
      <c r="BA27" s="66">
        <v>0</v>
      </c>
      <c r="BB27" s="66">
        <v>1.0660000000000001</v>
      </c>
      <c r="BC27" s="11">
        <f ca="1">INDEX('RC6SV'!$A$1:$G$20,MATCH(H27,'RC6SV'!$A$1:$A$20,FALSE),MATCH(G27,'RC6SV'!$A$1:$G$1,FALSE))</f>
        <v>7000</v>
      </c>
      <c r="BD27" s="46">
        <f t="shared" ca="1" si="10"/>
        <v>7000</v>
      </c>
      <c r="BE27" s="11">
        <f t="shared" ca="1" si="1"/>
        <v>5000</v>
      </c>
      <c r="BF27" s="11">
        <f t="shared" ca="1" si="2"/>
        <v>1</v>
      </c>
      <c r="BG27" s="16">
        <f ca="1">IF($BE27&lt;=0,ROUND(BK27*0.5,0), ROUND($BE27*S27*AA27*J27*AY27*0.8*[1]ステータス!$B$2,0))</f>
        <v>2364</v>
      </c>
      <c r="BH27" s="16">
        <f ca="1">IF($BE27&lt;=0,ROUND(BL27*0.5,0), ROUND($BE27*T27*AB27*K27*AZ27*0.8*[1]ステータス!$C$2,0))</f>
        <v>2043</v>
      </c>
      <c r="BI27" s="16">
        <f ca="1">IF($BE27&lt;=0,ROUND(BM27*0.5,0), ROUND($BE27*U27*AC27*L27*BA27*0.8*[1]ステータス!$D$2,0))</f>
        <v>0</v>
      </c>
      <c r="BJ27" s="16">
        <f ca="1">IF($BE27&lt;=0,ROUND(BN27*0.5,0), ROUND($BE27*V27*AD27*M27*BB27*0.8*[1]ステータス!$E$2,0))</f>
        <v>729</v>
      </c>
      <c r="BK27" s="11">
        <f ca="1">ROUND(BD27*S27*AA27*J27*AY27*[1]ステータス!$B$2,0)</f>
        <v>4137</v>
      </c>
      <c r="BL27" s="11">
        <f ca="1">ROUND(BD27*T27*AB27*K27*AZ27*[1]ステータス!$C$2,0)</f>
        <v>3575</v>
      </c>
      <c r="BM27" s="11">
        <f ca="1">ROUND(BD27*U27*AC27*L27*BA27*[1]ステータス!$D$2,0)</f>
        <v>0</v>
      </c>
      <c r="BN27" s="11">
        <f ca="1">ROUND(BD27*V27*AD27*M27*BB27*[1]ステータス!$E$2,0)</f>
        <v>1275</v>
      </c>
      <c r="BO27" s="10">
        <v>0</v>
      </c>
      <c r="BP27" s="10">
        <v>1</v>
      </c>
      <c r="BQ27" s="37" t="s">
        <v>47</v>
      </c>
      <c r="BR27" s="12">
        <v>233</v>
      </c>
    </row>
    <row r="28" spans="1:70" ht="26" customHeight="1" x14ac:dyDescent="0.15">
      <c r="A28" s="220">
        <v>8069</v>
      </c>
      <c r="B28" s="55" t="str">
        <f ca="1">VLOOKUP($A28,OFFSET([1]characters!$A$1,0,0,COUNTA([1]characters!$A:$A),MATCH(B$1,[1]characters!$1:$1,0)-MATCH($A$1,[1]characters!$1:$1,0)+1),MATCH(B$1,[1]characters!$1:$1,0)-MATCH($A$1,[1]characters!$1:$1,0)+1,FALSE)</f>
        <v>シナモロール</v>
      </c>
      <c r="C28" s="55" t="str">
        <f ca="1">VLOOKUP($A28,OFFSET([1]characters!$A$1,0,0,COUNTA([1]characters!$A:$A),MATCH(C$1,[1]characters!$1:$1,0)-MATCH($A$1,[1]characters!$1:$1,0)+1),MATCH(C$1,[1]characters!$1:$1,0)-MATCH($A$1,[1]characters!$1:$1,0)+1,FALSE)</f>
        <v>シナモロール</v>
      </c>
      <c r="D28" s="55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5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5" t="str">
        <f ca="1">VLOOKUP($A28,OFFSET([1]characters!$A$1,0,0,COUNTA([1]characters!$A:$A),MATCH(F$1,[1]characters!$1:$1,0)-MATCH($A$1,[1]characters!$1:$1,0)+1),MATCH(F$1,[1]characters!$1:$1,0)-MATCH($A$1,[1]characters!$1:$1,0)+1,FALSE)</f>
        <v>女性</v>
      </c>
      <c r="G28" s="55">
        <f ca="1">VLOOKUP($A28,OFFSET([1]characters!$A$1,0,0,COUNTA([1]characters!$A:$A),MATCH(G$1,[1]characters!$1:$1,0)-MATCH($A$1,[1]characters!$1:$1,0)+1),MATCH(G$1,[1]characters!$1:$1,0)-MATCH($A$1,[1]characters!$1:$1,0)+1,FALSE)</f>
        <v>4</v>
      </c>
      <c r="H28" s="55" t="str">
        <f ca="1">VLOOKUP($A28,OFFSET([1]characters!$A$1,0,0,COUNTA([1]characters!$A:$A),MATCH(H$1,[1]characters!$1:$1,0)-MATCH($A$1,[1]characters!$1:$1,0)+1),MATCH(H$1,[1]characters!$1:$1,0)-MATCH($A$1,[1]characters!$1:$1,0)+1,FALSE)</f>
        <v>PremiumS</v>
      </c>
      <c r="I28" s="55" t="str">
        <f ca="1">VLOOKUP($A28,OFFSET([1]characters!$A$1,0,0,COUNTA([1]characters!$A:$A),MATCH(I$1,[1]characters!$1:$1,0)-MATCH($A$1,[1]characters!$1:$1,0)+1),MATCH(I$1,[1]characters!$1:$1,0)-MATCH($A$1,[1]characters!$1:$1,0)+1,FALSE)</f>
        <v>yellow</v>
      </c>
      <c r="J28" s="11">
        <f ca="1">VLOOKUP(I28,[1]属性!$A:$E,2,FALSE)</f>
        <v>0.98</v>
      </c>
      <c r="K28" s="11">
        <f ca="1">VLOOKUP(I28,[1]属性!$A:$E,3,FALSE)</f>
        <v>1.01</v>
      </c>
      <c r="L28" s="11">
        <f ca="1">VLOOKUP(I28,[1]属性!$A:$E,4,FALSE)</f>
        <v>1</v>
      </c>
      <c r="M28" s="11">
        <f ca="1">VLOOKUP(I28,[1]属性!$A:$E,5,FALSE)</f>
        <v>1.01</v>
      </c>
      <c r="N28" s="11">
        <f ca="1">INDEX(コスト!$A$1:$I$20,MATCH(H28,コスト!$A$1:$A$20,FALSE),MATCH(G28,コスト!$A$1:$I$1,FALSE))</f>
        <v>20</v>
      </c>
      <c r="O28" s="11">
        <f ca="1">INDEX(レベル!$A$1:$I$21,MATCH(H28,レベル!$A$1:$A$21,FALSE),MATCH(G28,レベル!$A$1:$I$1,FALSE))</f>
        <v>60</v>
      </c>
      <c r="P28" s="46">
        <f t="shared" ca="1" si="8"/>
        <v>60</v>
      </c>
      <c r="Q28" s="55" t="s">
        <v>324</v>
      </c>
      <c r="R28" s="5" t="str">
        <f>VLOOKUP(Q28,[1]character_type_i18n!$A:$H,3,FALSE)</f>
        <v>回復タイプ</v>
      </c>
      <c r="S28" s="11">
        <f>VLOOKUP(Q28,[1]character_type_i18n!$A:$H,4,FALSE)</f>
        <v>0.8</v>
      </c>
      <c r="T28" s="11">
        <f>VLOOKUP(Q28,[1]character_type_i18n!$A:$H,5,FALSE)</f>
        <v>0.78</v>
      </c>
      <c r="U28" s="11">
        <f>VLOOKUP(Q28,[1]character_type_i18n!$A:$H,6,FALSE)</f>
        <v>1</v>
      </c>
      <c r="V28" s="11">
        <f>VLOOKUP(Q28,[1]character_type_i18n!$A:$H,7,FALSE)</f>
        <v>1.42</v>
      </c>
      <c r="W28" s="55" t="s">
        <v>331</v>
      </c>
      <c r="X28" s="5" t="str">
        <f>VLOOKUP(W28,[1]character_tribe_i18n!$A:$H,3,FALSE)</f>
        <v>Unknown</v>
      </c>
      <c r="Y28" s="55" t="str">
        <f ca="1">VLOOKUP($A28,OFFSET([1]characters!$A$1,0,0,COUNTA([1]characters!$A:$A),MATCH(Y$1,[1]characters!$1:$1,0)-MATCH($A$1,[1]characters!$1:$1,0)+1),MATCH(Y$1,[1]characters!$1:$1,0)-MATCH($A$1,[1]characters!$1:$1,0)+1,FALSE)</f>
        <v>none</v>
      </c>
      <c r="Z28" s="5" t="str">
        <f ca="1">VLOOKUP(Y28,[1]character_tribe_i18n!$A:$H,3,FALSE)</f>
        <v>種族なし</v>
      </c>
      <c r="AA28" s="11">
        <f>VLOOKUP(W28,[1]character_tribe_i18n!$A:$H,4,FALSE)</f>
        <v>1</v>
      </c>
      <c r="AB28" s="11">
        <f>VLOOKUP(W28,[1]character_tribe_i18n!$A:$H,5,FALSE)</f>
        <v>1</v>
      </c>
      <c r="AC28" s="11">
        <f>VLOOKUP(W28,[1]character_tribe_i18n!$A:$H,6,FALSE)</f>
        <v>1</v>
      </c>
      <c r="AD28" s="11">
        <f>VLOOKUP(W28,[1]character_tribe_i18n!$A:$H,7,FALSE)</f>
        <v>1</v>
      </c>
      <c r="AE28" s="9">
        <f>A29</f>
        <v>8070</v>
      </c>
      <c r="AF28" s="60" t="str">
        <f ca="1">IF(AE28="NULL","",VLOOKUP($AE28,OFFSET([1]characters!$A$1,0,0,COUNTA([1]characters!$A:$A),MATCH(AF$1,[1]characters!$1:$1,0)-MATCH($A$1,[1]characters!$1:$1,0)+1),MATCH(AF$1,[1]characters!$1:$1,0)-MATCH($A$1,[1]characters!$1:$1,0)+1,FALSE))</f>
        <v>シナモロール</v>
      </c>
      <c r="AG28" s="5">
        <f t="shared" ca="1" si="0"/>
        <v>8069</v>
      </c>
      <c r="AH28" s="60" t="str">
        <f ca="1">VLOOKUP($AG28,OFFSET([1]characters!$A$1,0,0,COUNTA([1]characters!$A:$A),MATCH(AH$1,[1]characters!$1:$1,0)-MATCH($A$1,[1]characters!$1:$1,0)+1),MATCH(AH$1,[1]characters!$1:$1,0)-MATCH($A$1,[1]characters!$1:$1,0)+1,FALSE)</f>
        <v>シナモロール</v>
      </c>
      <c r="AI28" s="11">
        <f ca="1">IF(AE28="NULL","NULL",VLOOKUP(G28,ビット!$A$2:$B$7,2))</f>
        <v>50000</v>
      </c>
      <c r="AJ28" s="6">
        <v>2</v>
      </c>
      <c r="AK28" s="7" t="str">
        <f t="shared" si="9"/>
        <v>普通</v>
      </c>
      <c r="AL28" s="11" t="str">
        <f ca="1">INDEX(経験値!$A$1:$I$20,MATCH(H28,経験値!$A$1:$A$20,FALSE),MATCH(G28,経験値!$A$1:$I$1,FALSE))</f>
        <v>required_exp_200</v>
      </c>
      <c r="AM28" s="8">
        <f ca="1">VLOOKUP(G28,経験値!$A$27:$B$31,2)</f>
        <v>3400</v>
      </c>
      <c r="AN28" s="17">
        <f ca="1">VLOOKUP(G28,ビット!$G$2:$H$7,2)</f>
        <v>600</v>
      </c>
      <c r="AO28" s="43"/>
      <c r="AP28" s="65">
        <f t="shared" si="3"/>
        <v>8069</v>
      </c>
      <c r="AQ28" s="55" t="str">
        <f ca="1">VLOOKUP($AP28,OFFSET(unit_skills!$A$1,0,0,COUNTA(unit_skills!$A:$A),MATCH(AQ$1,unit_skills!$1:$1,0)-MATCH($AP$1,unit_skills!$1:$1,0)+1),MATCH(AQ$1,unit_skills!$1:$1,0)-MATCH($AP$1,unit_skills!$1:$1,0)+1,FALSE)</f>
        <v>バルーン・パレード</v>
      </c>
      <c r="AR28" s="55" t="str">
        <f ca="1">VLOOKUP($AP28,OFFSET(unit_skills!$A$1,0,0,COUNTA(unit_skills!$A:$A),MATCH(AR$1,unit_skills!$1:$1,0)-MATCH($AP$1,unit_skills!$1:$1,0)+1),MATCH(AR$1,unit_skills!$1:$1,0)-MATCH($AP$1,unit_skills!$1:$1,0)+1,FALSE)</f>
        <v>HP大回復+4ターン全ユニットの回復力特大UP</v>
      </c>
      <c r="AS28" s="55">
        <f ca="1">VLOOKUP($AP28,OFFSET(unit_skills!$A$1,0,0,COUNTA(unit_skills!$A:$A),MATCH(AS$1,unit_skills!$1:$1,0)-MATCH($AP$1,unit_skills!$1:$1,0)+1),MATCH(AS$1,unit_skills!$1:$1,0)-MATCH($AP$1,unit_skills!$1:$1,0)+1,FALSE)</f>
        <v>0</v>
      </c>
      <c r="AT28" s="40">
        <f t="shared" si="4"/>
        <v>8069</v>
      </c>
      <c r="AU28" s="55" t="str">
        <f ca="1">VLOOKUP($AT28,OFFSET(crash_skills!$A$1,0,0,COUNTA(crash_skills!$A:$A),MATCH(AU$1,crash_skills!$1:$1,0)-MATCH($AT$1,crash_skills!$1:$1,0)+1),MATCH(AU$1,crash_skills!$1:$1,0)-MATCH($AT$1,crash_skills!$1:$1,0)+1,FALSE)</f>
        <v>スウィート・パウダー</v>
      </c>
      <c r="AV28" s="55" t="str">
        <f ca="1">VLOOKUP($AT28,OFFSET(crash_skills!$A$1,0,0,COUNTA(crash_skills!$A:$A),MATCH(AV$1,crash_skills!$1:$1,0)-MATCH($AT$1,crash_skills!$1:$1,0)+1),MATCH(AV$1,crash_skills!$1:$1,0)-MATCH($AT$1,crash_skills!$1:$1,0)+1,FALSE)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8" s="55">
        <f ca="1">VLOOKUP($AT28,OFFSET(crash_skills!$A$1,0,0,COUNTA(crash_skills!$A:$A),MATCH(AW$1,crash_skills!$1:$1,0)-MATCH($AT$1,crash_skills!$1:$1,0)+1),MATCH(AW$1,crash_skills!$1:$1,0)-MATCH($AT$1,crash_skills!$1:$1,0)+1,FALSE)</f>
        <v>0</v>
      </c>
      <c r="AX28" s="56">
        <f ca="1">VLOOKUP($A28,OFFSET([1]characters!$A$1,0,0,COUNTA([1]characters!$A:$A),MATCH(AX$1,[1]characters!$1:$1,0)-MATCH($A$1,[1]characters!$1:$1,0)+1),MATCH(AX$1,[1]characters!$1:$1,0)-MATCH($A$1,[1]characters!$1:$1,0)+1,FALSE)</f>
        <v>1</v>
      </c>
      <c r="AY28" s="66">
        <v>1.1819999999999999</v>
      </c>
      <c r="AZ28" s="66">
        <v>1.306</v>
      </c>
      <c r="BA28" s="66">
        <v>0</v>
      </c>
      <c r="BB28" s="66">
        <v>1.0660000000000001</v>
      </c>
      <c r="BC28" s="11">
        <f ca="1">INDEX('RC6SV'!$A$1:$G$20,MATCH(H28,'RC6SV'!$A$1:$A$20,FALSE),MATCH(G28,'RC6SV'!$A$1:$G$1,FALSE))</f>
        <v>7000</v>
      </c>
      <c r="BD28" s="46">
        <f t="shared" ca="1" si="10"/>
        <v>7000</v>
      </c>
      <c r="BE28" s="11">
        <f t="shared" ca="1" si="1"/>
        <v>0</v>
      </c>
      <c r="BF28" s="11">
        <f t="shared" ca="1" si="2"/>
        <v>1</v>
      </c>
      <c r="BG28" s="16">
        <f ca="1">IF($BE28&lt;=0,ROUND(BK28*0.5,0), ROUND($BE28*S28*AA28*J28*AY28*0.8*[1]ステータス!$B$2,0))</f>
        <v>1622</v>
      </c>
      <c r="BH28" s="16">
        <f ca="1">IF($BE28&lt;=0,ROUND(BL28*0.5,0), ROUND($BE28*T28*AB28*K28*AZ28*0.8*[1]ステータス!$C$2,0))</f>
        <v>1081</v>
      </c>
      <c r="BI28" s="16">
        <f ca="1">IF($BE28&lt;=0,ROUND(BM28*0.5,0), ROUND($BE28*U28*AC28*L28*BA28*0.8*[1]ステータス!$D$2,0))</f>
        <v>0</v>
      </c>
      <c r="BJ28" s="16">
        <f ca="1">IF($BE28&lt;=0,ROUND(BN28*0.5,0), ROUND($BE28*V28*AD28*M28*BB28*0.8*[1]ステータス!$E$2,0))</f>
        <v>1338</v>
      </c>
      <c r="BK28" s="11">
        <f ca="1">ROUND(BD28*S28*AA28*J28*AY28*[1]ステータス!$B$2,0)</f>
        <v>3243</v>
      </c>
      <c r="BL28" s="11">
        <f ca="1">ROUND(BD28*T28*AB28*K28*AZ28*[1]ステータス!$C$2,0)</f>
        <v>2161</v>
      </c>
      <c r="BM28" s="11">
        <f ca="1">ROUND(BD28*U28*AC28*L28*BA28*[1]ステータス!$D$2,0)</f>
        <v>0</v>
      </c>
      <c r="BN28" s="11">
        <f ca="1">ROUND(BD28*V28*AD28*M28*BB28*[1]ステータス!$E$2,0)</f>
        <v>2676</v>
      </c>
      <c r="BO28" s="10">
        <v>0</v>
      </c>
      <c r="BP28" s="10">
        <v>1</v>
      </c>
      <c r="BQ28" s="37" t="s">
        <v>47</v>
      </c>
      <c r="BR28" s="12">
        <v>233</v>
      </c>
    </row>
    <row r="29" spans="1:70" ht="26" customHeight="1" x14ac:dyDescent="0.15">
      <c r="A29" s="220">
        <v>8070</v>
      </c>
      <c r="B29" s="55" t="str">
        <f ca="1">VLOOKUP($A29,OFFSET([1]characters!$A$1,0,0,COUNTA([1]characters!$A:$A),MATCH(B$1,[1]characters!$1:$1,0)-MATCH($A$1,[1]characters!$1:$1,0)+1),MATCH(B$1,[1]characters!$1:$1,0)-MATCH($A$1,[1]characters!$1:$1,0)+1,FALSE)</f>
        <v>シナモロール</v>
      </c>
      <c r="C29" s="55" t="str">
        <f ca="1">VLOOKUP($A29,OFFSET([1]characters!$A$1,0,0,COUNTA([1]characters!$A:$A),MATCH(C$1,[1]characters!$1:$1,0)-MATCH($A$1,[1]characters!$1:$1,0)+1),MATCH(C$1,[1]characters!$1:$1,0)-MATCH($A$1,[1]characters!$1:$1,0)+1,FALSE)</f>
        <v>シナモロール</v>
      </c>
      <c r="D29" s="55" t="str">
        <f ca="1">VLOOKUP($A29,OFFSET([1]characters!$A$1,0,0,COUNTA([1]characters!$A:$A),MATCH(D$1,[1]characters!$1:$1,0)-MATCH($A$1,[1]characters!$1:$1,0)+1),MATCH(D$1,[1]characters!$1:$1,0)-MATCH($A$1,[1]characters!$1:$1,0)+1,FALSE)</f>
        <v>執行者</v>
      </c>
      <c r="E29" s="55" t="str">
        <f ca="1">VLOOKUP($A29,OFFSET([1]characters!$A$1,0,0,COUNTA([1]characters!$A:$A),MATCH(E$1,[1]characters!$1:$1,0)-MATCH($A$1,[1]characters!$1:$1,0)+1),MATCH(E$1,[1]characters!$1:$1,0)-MATCH($A$1,[1]characters!$1:$1,0)+1,FALSE)</f>
        <v>格好いい</v>
      </c>
      <c r="F29" s="55" t="str">
        <f ca="1">VLOOKUP($A29,OFFSET([1]characters!$A$1,0,0,COUNTA([1]characters!$A:$A),MATCH(F$1,[1]characters!$1:$1,0)-MATCH($A$1,[1]characters!$1:$1,0)+1),MATCH(F$1,[1]characters!$1:$1,0)-MATCH($A$1,[1]characters!$1:$1,0)+1,FALSE)</f>
        <v>女性</v>
      </c>
      <c r="G29" s="55">
        <f ca="1">VLOOKUP($A29,OFFSET([1]characters!$A$1,0,0,COUNTA([1]characters!$A:$A),MATCH(G$1,[1]characters!$1:$1,0)-MATCH($A$1,[1]characters!$1:$1,0)+1),MATCH(G$1,[1]characters!$1:$1,0)-MATCH($A$1,[1]characters!$1:$1,0)+1,FALSE)</f>
        <v>5</v>
      </c>
      <c r="H29" s="55" t="str">
        <f ca="1">VLOOKUP($A29,OFFSET([1]characters!$A$1,0,0,COUNTA([1]characters!$A:$A),MATCH(H$1,[1]characters!$1:$1,0)-MATCH($A$1,[1]characters!$1:$1,0)+1),MATCH(H$1,[1]characters!$1:$1,0)-MATCH($A$1,[1]characters!$1:$1,0)+1,FALSE)</f>
        <v>PremiumS</v>
      </c>
      <c r="I29" s="55" t="str">
        <f ca="1">VLOOKUP($A29,OFFSET([1]characters!$A$1,0,0,COUNTA([1]characters!$A:$A),MATCH(I$1,[1]characters!$1:$1,0)-MATCH($A$1,[1]characters!$1:$1,0)+1),MATCH(I$1,[1]characters!$1:$1,0)-MATCH($A$1,[1]characters!$1:$1,0)+1,FALSE)</f>
        <v>yellow</v>
      </c>
      <c r="J29" s="11">
        <f ca="1">VLOOKUP(I29,[1]属性!$A:$E,2,FALSE)</f>
        <v>0.98</v>
      </c>
      <c r="K29" s="11">
        <f ca="1">VLOOKUP(I29,[1]属性!$A:$E,3,FALSE)</f>
        <v>1.01</v>
      </c>
      <c r="L29" s="11">
        <f ca="1">VLOOKUP(I29,[1]属性!$A:$E,4,FALSE)</f>
        <v>1</v>
      </c>
      <c r="M29" s="11">
        <f ca="1">VLOOKUP(I29,[1]属性!$A:$E,5,FALSE)</f>
        <v>1.01</v>
      </c>
      <c r="N29" s="11">
        <f ca="1">INDEX(コスト!$A$1:$I$20,MATCH(H29,コスト!$A$1:$A$20,FALSE),MATCH(G29,コスト!$A$1:$I$1,FALSE))</f>
        <v>30</v>
      </c>
      <c r="O29" s="11">
        <f ca="1">INDEX(レベル!$A$1:$I$21,MATCH(H29,レベル!$A$1:$A$21,FALSE),MATCH(G29,レベル!$A$1:$I$1,FALSE))</f>
        <v>80</v>
      </c>
      <c r="P29" s="46">
        <f t="shared" ca="1" si="8"/>
        <v>75</v>
      </c>
      <c r="Q29" s="55" t="s">
        <v>324</v>
      </c>
      <c r="R29" s="5" t="str">
        <f>VLOOKUP(Q29,[1]character_type_i18n!$A:$H,3,FALSE)</f>
        <v>回復タイプ</v>
      </c>
      <c r="S29" s="11">
        <f>VLOOKUP(Q29,[1]character_type_i18n!$A:$H,4,FALSE)</f>
        <v>0.8</v>
      </c>
      <c r="T29" s="11">
        <f>VLOOKUP(Q29,[1]character_type_i18n!$A:$H,5,FALSE)</f>
        <v>0.78</v>
      </c>
      <c r="U29" s="11">
        <f>VLOOKUP(Q29,[1]character_type_i18n!$A:$H,6,FALSE)</f>
        <v>1</v>
      </c>
      <c r="V29" s="11">
        <f>VLOOKUP(Q29,[1]character_type_i18n!$A:$H,7,FALSE)</f>
        <v>1.42</v>
      </c>
      <c r="W29" s="55" t="s">
        <v>331</v>
      </c>
      <c r="X29" s="5" t="str">
        <f>VLOOKUP(W29,[1]character_tribe_i18n!$A:$H,3,FALSE)</f>
        <v>Unknown</v>
      </c>
      <c r="Y29" s="55" t="str">
        <f ca="1">VLOOKUP($A29,OFFSET([1]characters!$A$1,0,0,COUNTA([1]characters!$A:$A),MATCH(Y$1,[1]characters!$1:$1,0)-MATCH($A$1,[1]characters!$1:$1,0)+1),MATCH(Y$1,[1]characters!$1:$1,0)-MATCH($A$1,[1]characters!$1:$1,0)+1,FALSE)</f>
        <v>none</v>
      </c>
      <c r="Z29" s="5" t="str">
        <f ca="1">VLOOKUP(Y29,[1]character_tribe_i18n!$A:$H,3,FALSE)</f>
        <v>種族なし</v>
      </c>
      <c r="AA29" s="11">
        <f>VLOOKUP(W29,[1]character_tribe_i18n!$A:$H,4,FALSE)</f>
        <v>1</v>
      </c>
      <c r="AB29" s="11">
        <f>VLOOKUP(W29,[1]character_tribe_i18n!$A:$H,5,FALSE)</f>
        <v>1</v>
      </c>
      <c r="AC29" s="11">
        <f>VLOOKUP(W29,[1]character_tribe_i18n!$A:$H,6,FALSE)</f>
        <v>1</v>
      </c>
      <c r="AD29" s="11">
        <f>VLOOKUP(W29,[1]character_tribe_i18n!$A:$H,7,FALSE)</f>
        <v>1</v>
      </c>
      <c r="AE29" s="9" t="s">
        <v>183</v>
      </c>
      <c r="AF29" s="60" t="str">
        <f ca="1">IF(AE29="NULL","",VLOOKUP($AE29,OFFSET([1]characters!$A$1,0,0,COUNTA([1]characters!$A:$A),MATCH(AF$1,[1]characters!$1:$1,0)-MATCH($A$1,[1]characters!$1:$1,0)+1),MATCH(AF$1,[1]characters!$1:$1,0)-MATCH($A$1,[1]characters!$1:$1,0)+1,FALSE))</f>
        <v/>
      </c>
      <c r="AG29" s="5">
        <f t="shared" ca="1" si="0"/>
        <v>8069</v>
      </c>
      <c r="AH29" s="60" t="str">
        <f ca="1">VLOOKUP($AG29,OFFSET([1]characters!$A$1,0,0,COUNTA([1]characters!$A:$A),MATCH(AH$1,[1]characters!$1:$1,0)-MATCH($A$1,[1]characters!$1:$1,0)+1),MATCH(AH$1,[1]characters!$1:$1,0)-MATCH($A$1,[1]characters!$1:$1,0)+1,FALSE)</f>
        <v>シナモロール</v>
      </c>
      <c r="AI29" s="11" t="str">
        <f>IF(AE29="NULL","NULL",VLOOKUP(G29,ビット!$A$2:$B$7,2))</f>
        <v>NULL</v>
      </c>
      <c r="AJ29" s="6">
        <v>2</v>
      </c>
      <c r="AK29" s="7" t="str">
        <f t="shared" si="9"/>
        <v>普通</v>
      </c>
      <c r="AL29" s="11" t="str">
        <f ca="1">INDEX(経験値!$A$1:$I$20,MATCH(H29,経験値!$A$1:$A$20,FALSE),MATCH(G29,経験値!$A$1:$I$1,FALSE))</f>
        <v>required_exp_200</v>
      </c>
      <c r="AM29" s="8">
        <f ca="1">VLOOKUP(G29,経験値!$A$27:$B$31,2)</f>
        <v>6400</v>
      </c>
      <c r="AN29" s="17">
        <f ca="1">VLOOKUP(G29,ビット!$G$2:$H$7,2)</f>
        <v>900</v>
      </c>
      <c r="AO29" s="43"/>
      <c r="AP29" s="65">
        <f t="shared" si="3"/>
        <v>8070</v>
      </c>
      <c r="AQ29" s="55" t="str">
        <f ca="1">VLOOKUP($AP29,OFFSET(unit_skills!$A$1,0,0,COUNTA(unit_skills!$A:$A),MATCH(AQ$1,unit_skills!$1:$1,0)-MATCH($AP$1,unit_skills!$1:$1,0)+1),MATCH(AQ$1,unit_skills!$1:$1,0)-MATCH($AP$1,unit_skills!$1:$1,0)+1,FALSE)</f>
        <v>バルーン・パレード</v>
      </c>
      <c r="AR29" s="55" t="str">
        <f ca="1">VLOOKUP($AP29,OFFSET(unit_skills!$A$1,0,0,COUNTA(unit_skills!$A:$A),MATCH(AR$1,unit_skills!$1:$1,0)-MATCH($AP$1,unit_skills!$1:$1,0)+1),MATCH(AR$1,unit_skills!$1:$1,0)-MATCH($AP$1,unit_skills!$1:$1,0)+1,FALSE)</f>
        <v>HP大回復+4ターン全ユニットの回復力特大UP</v>
      </c>
      <c r="AS29" s="55">
        <f ca="1">VLOOKUP($AP29,OFFSET(unit_skills!$A$1,0,0,COUNTA(unit_skills!$A:$A),MATCH(AS$1,unit_skills!$1:$1,0)-MATCH($AP$1,unit_skills!$1:$1,0)+1),MATCH(AS$1,unit_skills!$1:$1,0)-MATCH($AP$1,unit_skills!$1:$1,0)+1,FALSE)</f>
        <v>0</v>
      </c>
      <c r="AT29" s="40">
        <f t="shared" si="4"/>
        <v>8070</v>
      </c>
      <c r="AU29" s="55" t="str">
        <f ca="1">VLOOKUP($AT29,OFFSET(crash_skills!$A$1,0,0,COUNTA(crash_skills!$A:$A),MATCH(AU$1,crash_skills!$1:$1,0)-MATCH($AT$1,crash_skills!$1:$1,0)+1),MATCH(AU$1,crash_skills!$1:$1,0)-MATCH($AT$1,crash_skills!$1:$1,0)+1,FALSE)</f>
        <v>スウィート・パウダー</v>
      </c>
      <c r="AV29" s="55" t="str">
        <f ca="1">VLOOKUP($AT29,OFFSET(crash_skills!$A$1,0,0,COUNTA(crash_skills!$A:$A),MATCH(AV$1,crash_skills!$1:$1,0)-MATCH($AT$1,crash_skills!$1:$1,0)+1),MATCH(AV$1,crash_skills!$1:$1,0)-MATCH($AT$1,crash_skills!$1:$1,0)+1,FALSE)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9" s="55">
        <f ca="1">VLOOKUP($AT29,OFFSET(crash_skills!$A$1,0,0,COUNTA(crash_skills!$A:$A),MATCH(AW$1,crash_skills!$1:$1,0)-MATCH($AT$1,crash_skills!$1:$1,0)+1),MATCH(AW$1,crash_skills!$1:$1,0)-MATCH($AT$1,crash_skills!$1:$1,0)+1,FALSE)</f>
        <v>0</v>
      </c>
      <c r="AX29" s="56">
        <f ca="1">VLOOKUP($A29,OFFSET([1]characters!$A$1,0,0,COUNTA([1]characters!$A:$A),MATCH(AX$1,[1]characters!$1:$1,0)-MATCH($A$1,[1]characters!$1:$1,0)+1),MATCH(AX$1,[1]characters!$1:$1,0)-MATCH($A$1,[1]characters!$1:$1,0)+1,FALSE)</f>
        <v>1</v>
      </c>
      <c r="AY29" s="66">
        <v>1.1819999999999999</v>
      </c>
      <c r="AZ29" s="66">
        <v>1.306</v>
      </c>
      <c r="BA29" s="66">
        <v>0</v>
      </c>
      <c r="BB29" s="66">
        <v>1.0660000000000001</v>
      </c>
      <c r="BC29" s="11">
        <f ca="1">INDEX('RC6SV'!$A$1:$G$20,MATCH(H29,'RC6SV'!$A$1:$A$20,FALSE),MATCH(G29,'RC6SV'!$A$1:$G$1,FALSE))</f>
        <v>9000</v>
      </c>
      <c r="BD29" s="46">
        <f t="shared" ca="1" si="10"/>
        <v>9000</v>
      </c>
      <c r="BE29" s="11">
        <f t="shared" ca="1" si="1"/>
        <v>7000</v>
      </c>
      <c r="BF29" s="11">
        <f t="shared" ca="1" si="2"/>
        <v>1</v>
      </c>
      <c r="BG29" s="16">
        <f ca="1">IF($BE29&lt;=0,ROUND(BK29*0.5,0), ROUND($BE29*S29*AA29*J29*AY29*0.8*[1]ステータス!$B$2,0))</f>
        <v>2595</v>
      </c>
      <c r="BH29" s="16">
        <f ca="1">IF($BE29&lt;=0,ROUND(BL29*0.5,0), ROUND($BE29*T29*AB29*K29*AZ29*0.8*[1]ステータス!$C$2,0))</f>
        <v>1728</v>
      </c>
      <c r="BI29" s="16">
        <f ca="1">IF($BE29&lt;=0,ROUND(BM29*0.5,0), ROUND($BE29*U29*AC29*L29*BA29*0.8*[1]ステータス!$D$2,0))</f>
        <v>0</v>
      </c>
      <c r="BJ29" s="16">
        <f ca="1">IF($BE29&lt;=0,ROUND(BN29*0.5,0), ROUND($BE29*V29*AD29*M29*BB29*0.8*[1]ステータス!$E$2,0))</f>
        <v>2140</v>
      </c>
      <c r="BK29" s="11">
        <f ca="1">ROUND(BD29*S29*AA29*J29*AY29*[1]ステータス!$B$2,0)</f>
        <v>4170</v>
      </c>
      <c r="BL29" s="11">
        <f ca="1">ROUND(BD29*T29*AB29*K29*AZ29*[1]ステータス!$C$2,0)</f>
        <v>2778</v>
      </c>
      <c r="BM29" s="11">
        <f ca="1">ROUND(BD29*U29*AC29*L29*BA29*[1]ステータス!$D$2,0)</f>
        <v>0</v>
      </c>
      <c r="BN29" s="11">
        <f ca="1">ROUND(BD29*V29*AD29*M29*BB29*[1]ステータス!$E$2,0)</f>
        <v>3440</v>
      </c>
      <c r="BO29" s="10">
        <v>0</v>
      </c>
      <c r="BP29" s="10">
        <v>1</v>
      </c>
      <c r="BQ29" s="37" t="s">
        <v>47</v>
      </c>
      <c r="BR29" s="12">
        <v>233</v>
      </c>
    </row>
    <row r="30" spans="1:70" ht="26" customHeight="1" x14ac:dyDescent="0.15">
      <c r="A30" s="220">
        <v>8071</v>
      </c>
      <c r="B30" s="55" t="str">
        <f ca="1">VLOOKUP($A30,OFFSET([1]characters!$A$1,0,0,COUNTA([1]characters!$A:$A),MATCH(B$1,[1]characters!$1:$1,0)-MATCH($A$1,[1]characters!$1:$1,0)+1),MATCH(B$1,[1]characters!$1:$1,0)-MATCH($A$1,[1]characters!$1:$1,0)+1,FALSE)</f>
        <v>ポムポムプリン</v>
      </c>
      <c r="C30" s="55" t="str">
        <f ca="1">VLOOKUP($A30,OFFSET([1]characters!$A$1,0,0,COUNTA([1]characters!$A:$A),MATCH(C$1,[1]characters!$1:$1,0)-MATCH($A$1,[1]characters!$1:$1,0)+1),MATCH(C$1,[1]characters!$1:$1,0)-MATCH($A$1,[1]characters!$1:$1,0)+1,FALSE)</f>
        <v>ポムポムプリン</v>
      </c>
      <c r="D30" s="55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5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5" t="str">
        <f ca="1">VLOOKUP($A30,OFFSET([1]characters!$A$1,0,0,COUNTA([1]characters!$A:$A),MATCH(F$1,[1]characters!$1:$1,0)-MATCH($A$1,[1]characters!$1:$1,0)+1),MATCH(F$1,[1]characters!$1:$1,0)-MATCH($A$1,[1]characters!$1:$1,0)+1,FALSE)</f>
        <v>女性</v>
      </c>
      <c r="G30" s="55">
        <f ca="1">VLOOKUP($A30,OFFSET([1]characters!$A$1,0,0,COUNTA([1]characters!$A:$A),MATCH(G$1,[1]characters!$1:$1,0)-MATCH($A$1,[1]characters!$1:$1,0)+1),MATCH(G$1,[1]characters!$1:$1,0)-MATCH($A$1,[1]characters!$1:$1,0)+1,FALSE)</f>
        <v>3</v>
      </c>
      <c r="H30" s="55" t="str">
        <f ca="1">VLOOKUP($A30,OFFSET([1]characters!$A$1,0,0,COUNTA([1]characters!$A:$A),MATCH(H$1,[1]characters!$1:$1,0)-MATCH($A$1,[1]characters!$1:$1,0)+1),MATCH(H$1,[1]characters!$1:$1,0)-MATCH($A$1,[1]characters!$1:$1,0)+1,FALSE)</f>
        <v>PremiumS</v>
      </c>
      <c r="I30" s="55" t="str">
        <f ca="1">VLOOKUP($A30,OFFSET([1]characters!$A$1,0,0,COUNTA([1]characters!$A:$A),MATCH(I$1,[1]characters!$1:$1,0)-MATCH($A$1,[1]characters!$1:$1,0)+1),MATCH(I$1,[1]characters!$1:$1,0)-MATCH($A$1,[1]characters!$1:$1,0)+1,FALSE)</f>
        <v>yellow</v>
      </c>
      <c r="J30" s="11">
        <f ca="1">VLOOKUP(I30,[1]属性!$A:$E,2,FALSE)</f>
        <v>0.98</v>
      </c>
      <c r="K30" s="11">
        <f ca="1">VLOOKUP(I30,[1]属性!$A:$E,3,FALSE)</f>
        <v>1.01</v>
      </c>
      <c r="L30" s="11">
        <f ca="1">VLOOKUP(I30,[1]属性!$A:$E,4,FALSE)</f>
        <v>1</v>
      </c>
      <c r="M30" s="11">
        <f ca="1">VLOOKUP(I30,[1]属性!$A:$E,5,FALSE)</f>
        <v>1.01</v>
      </c>
      <c r="N30" s="11">
        <f ca="1">INDEX(コスト!$A$1:$I$20,MATCH(H30,コスト!$A$1:$A$20,FALSE),MATCH(G30,コスト!$A$1:$I$1,FALSE))</f>
        <v>10</v>
      </c>
      <c r="O30" s="11">
        <f ca="1">INDEX(レベル!$A$1:$I$21,MATCH(H30,レベル!$A$1:$A$21,FALSE),MATCH(G30,レベル!$A$1:$I$1,FALSE))</f>
        <v>40</v>
      </c>
      <c r="P30" s="46">
        <f t="shared" ca="1" si="8"/>
        <v>45</v>
      </c>
      <c r="Q30" s="55" t="s">
        <v>325</v>
      </c>
      <c r="R30" s="5" t="str">
        <f>VLOOKUP(Q30,[1]character_type_i18n!$A:$H,3,FALSE)</f>
        <v>体力タイプ</v>
      </c>
      <c r="S30" s="11">
        <f>VLOOKUP(Q30,[1]character_type_i18n!$A:$H,4,FALSE)</f>
        <v>1.45</v>
      </c>
      <c r="T30" s="11">
        <f>VLOOKUP(Q30,[1]character_type_i18n!$A:$H,5,FALSE)</f>
        <v>0.85</v>
      </c>
      <c r="U30" s="11">
        <f>VLOOKUP(Q30,[1]character_type_i18n!$A:$H,6,FALSE)</f>
        <v>1</v>
      </c>
      <c r="V30" s="11">
        <f>VLOOKUP(Q30,[1]character_type_i18n!$A:$H,7,FALSE)</f>
        <v>0.7</v>
      </c>
      <c r="W30" s="55" t="s">
        <v>331</v>
      </c>
      <c r="X30" s="5" t="str">
        <f>VLOOKUP(W30,[1]character_tribe_i18n!$A:$H,3,FALSE)</f>
        <v>Unknown</v>
      </c>
      <c r="Y30" s="55" t="str">
        <f ca="1">VLOOKUP($A30,OFFSET([1]characters!$A$1,0,0,COUNTA([1]characters!$A:$A),MATCH(Y$1,[1]characters!$1:$1,0)-MATCH($A$1,[1]characters!$1:$1,0)+1),MATCH(Y$1,[1]characters!$1:$1,0)-MATCH($A$1,[1]characters!$1:$1,0)+1,FALSE)</f>
        <v>none</v>
      </c>
      <c r="Z30" s="5" t="str">
        <f ca="1">VLOOKUP(Y30,[1]character_tribe_i18n!$A:$H,3,FALSE)</f>
        <v>種族なし</v>
      </c>
      <c r="AA30" s="11">
        <f>VLOOKUP(W30,[1]character_tribe_i18n!$A:$H,4,FALSE)</f>
        <v>1</v>
      </c>
      <c r="AB30" s="11">
        <f>VLOOKUP(W30,[1]character_tribe_i18n!$A:$H,5,FALSE)</f>
        <v>1</v>
      </c>
      <c r="AC30" s="11">
        <f>VLOOKUP(W30,[1]character_tribe_i18n!$A:$H,6,FALSE)</f>
        <v>1</v>
      </c>
      <c r="AD30" s="11">
        <f>VLOOKUP(W30,[1]character_tribe_i18n!$A:$H,7,FALSE)</f>
        <v>1</v>
      </c>
      <c r="AE30" s="9">
        <f>A31</f>
        <v>8072</v>
      </c>
      <c r="AF30" s="60" t="str">
        <f ca="1">IF(AE30="NULL","",VLOOKUP($AE30,OFFSET([1]characters!$A$1,0,0,COUNTA([1]characters!$A:$A),MATCH(AF$1,[1]characters!$1:$1,0)-MATCH($A$1,[1]characters!$1:$1,0)+1),MATCH(AF$1,[1]characters!$1:$1,0)-MATCH($A$1,[1]characters!$1:$1,0)+1,FALSE))</f>
        <v>ポムポムプリン</v>
      </c>
      <c r="AG30" s="5">
        <f t="shared" ca="1" si="0"/>
        <v>8071</v>
      </c>
      <c r="AH30" s="60" t="str">
        <f ca="1">VLOOKUP($AG30,OFFSET([1]characters!$A$1,0,0,COUNTA([1]characters!$A:$A),MATCH(AH$1,[1]characters!$1:$1,0)-MATCH($A$1,[1]characters!$1:$1,0)+1),MATCH(AH$1,[1]characters!$1:$1,0)-MATCH($A$1,[1]characters!$1:$1,0)+1,FALSE)</f>
        <v>ポムポムプリン</v>
      </c>
      <c r="AI30" s="11">
        <f ca="1">IF(AE30="NULL","NULL",VLOOKUP(G30,ビット!$A$2:$B$7,2))</f>
        <v>20000</v>
      </c>
      <c r="AJ30" s="6">
        <v>2</v>
      </c>
      <c r="AK30" s="7" t="str">
        <f t="shared" si="9"/>
        <v>普通</v>
      </c>
      <c r="AL30" s="11" t="str">
        <f ca="1">INDEX(経験値!$A$1:$I$20,MATCH(H30,経験値!$A$1:$A$20,FALSE),MATCH(G30,経験値!$A$1:$I$1,FALSE))</f>
        <v>required_exp_200</v>
      </c>
      <c r="AM30" s="8">
        <f ca="1">VLOOKUP(G30,経験値!$A$27:$B$31,2)</f>
        <v>1500</v>
      </c>
      <c r="AN30" s="17">
        <f ca="1">VLOOKUP(G30,ビット!$G$2:$H$7,2)</f>
        <v>300</v>
      </c>
      <c r="AO30" s="43"/>
      <c r="AP30" s="65">
        <f t="shared" si="3"/>
        <v>8071</v>
      </c>
      <c r="AQ30" s="55" t="str">
        <f ca="1">VLOOKUP($AP30,OFFSET(unit_skills!$A$1,0,0,COUNTA(unit_skills!$A:$A),MATCH(AQ$1,unit_skills!$1:$1,0)-MATCH($AP$1,unit_skills!$1:$1,0)+1),MATCH(AQ$1,unit_skills!$1:$1,0)-MATCH($AP$1,unit_skills!$1:$1,0)+1,FALSE)</f>
        <v>ポムプリ・ヒップ</v>
      </c>
      <c r="AR30" s="55" t="str">
        <f ca="1">VLOOKUP($AP30,OFFSET(unit_skills!$A$1,0,0,COUNTA(unit_skills!$A:$A),MATCH(AR$1,unit_skills!$1:$1,0)-MATCH($AP$1,unit_skills!$1:$1,0)+1),MATCH(AR$1,unit_skills!$1:$1,0)-MATCH($AP$1,unit_skills!$1:$1,0)+1,FALSE)</f>
        <v>3ターン黄属性の攻撃力と防御力を特大UP</v>
      </c>
      <c r="AS30" s="55">
        <f ca="1">VLOOKUP($AP30,OFFSET(unit_skills!$A$1,0,0,COUNTA(unit_skills!$A:$A),MATCH(AS$1,unit_skills!$1:$1,0)-MATCH($AP$1,unit_skills!$1:$1,0)+1),MATCH(AS$1,unit_skills!$1:$1,0)-MATCH($AP$1,unit_skills!$1:$1,0)+1,FALSE)</f>
        <v>0</v>
      </c>
      <c r="AT30" s="40">
        <f t="shared" si="4"/>
        <v>8071</v>
      </c>
      <c r="AU30" s="55" t="str">
        <f ca="1">VLOOKUP($AT30,OFFSET(crash_skills!$A$1,0,0,COUNTA(crash_skills!$A:$A),MATCH(AU$1,crash_skills!$1:$1,0)-MATCH($AT$1,crash_skills!$1:$1,0)+1),MATCH(AU$1,crash_skills!$1:$1,0)-MATCH($AT$1,crash_skills!$1:$1,0)+1,FALSE)</f>
        <v>ポムプリ・ローリング</v>
      </c>
      <c r="AV30" s="55" t="str">
        <f ca="1">VLOOKUP($AT30,OFFSET(crash_skills!$A$1,0,0,COUNTA(crash_skills!$A:$A),MATCH(AV$1,crash_skills!$1:$1,0)-MATCH($AT$1,crash_skills!$1:$1,0)+1),MATCH(AV$1,crash_skills!$1:$1,0)-MATCH($AT$1,crash_skills!$1:$1,0)+1,FALSE)</f>
        <v>自身のHPの最大値に比例して_x000D_単体に特大ダメージ</v>
      </c>
      <c r="AW30" s="55">
        <f ca="1">VLOOKUP($AT30,OFFSET(crash_skills!$A$1,0,0,COUNTA(crash_skills!$A:$A),MATCH(AW$1,crash_skills!$1:$1,0)-MATCH($AT$1,crash_skills!$1:$1,0)+1),MATCH(AW$1,crash_skills!$1:$1,0)-MATCH($AT$1,crash_skills!$1:$1,0)+1,FALSE)</f>
        <v>0</v>
      </c>
      <c r="AX30" s="56">
        <f ca="1">VLOOKUP($A30,OFFSET([1]characters!$A$1,0,0,COUNTA([1]characters!$A:$A),MATCH(AX$1,[1]characters!$1:$1,0)-MATCH($A$1,[1]characters!$1:$1,0)+1),MATCH(AX$1,[1]characters!$1:$1,0)-MATCH($A$1,[1]characters!$1:$1,0)+1,FALSE)</f>
        <v>1</v>
      </c>
      <c r="AY30" s="66">
        <v>1.1819999999999999</v>
      </c>
      <c r="AZ30" s="66">
        <v>1.306</v>
      </c>
      <c r="BA30" s="66">
        <v>0</v>
      </c>
      <c r="BB30" s="66">
        <v>1.0660000000000001</v>
      </c>
      <c r="BC30" s="11">
        <f ca="1">INDEX('RC6SV'!$A$1:$G$20,MATCH(H30,'RC6SV'!$A$1:$A$20,FALSE),MATCH(G30,'RC6SV'!$A$1:$G$1,FALSE))</f>
        <v>5000</v>
      </c>
      <c r="BD30" s="46">
        <f t="shared" ca="1" si="10"/>
        <v>5000</v>
      </c>
      <c r="BE30" s="11">
        <f t="shared" ca="1" si="1"/>
        <v>0</v>
      </c>
      <c r="BF30" s="11">
        <f t="shared" ca="1" si="2"/>
        <v>1</v>
      </c>
      <c r="BG30" s="16">
        <f ca="1">IF($BE30&lt;=0,ROUND(BK30*0.5,0), ROUND($BE30*S30*AA30*J30*AY30*0.8*[1]ステータス!$B$2,0))</f>
        <v>2100</v>
      </c>
      <c r="BH30" s="16">
        <f ca="1">IF($BE30&lt;=0,ROUND(BL30*0.5,0), ROUND($BE30*T30*AB30*K30*AZ30*0.8*[1]ステータス!$C$2,0))</f>
        <v>841</v>
      </c>
      <c r="BI30" s="16">
        <f ca="1">IF($BE30&lt;=0,ROUND(BM30*0.5,0), ROUND($BE30*U30*AC30*L30*BA30*0.8*[1]ステータス!$D$2,0))</f>
        <v>0</v>
      </c>
      <c r="BJ30" s="16">
        <f ca="1">IF($BE30&lt;=0,ROUND(BN30*0.5,0), ROUND($BE30*V30*AD30*M30*BB30*0.8*[1]ステータス!$E$2,0))</f>
        <v>471</v>
      </c>
      <c r="BK30" s="11">
        <f ca="1">ROUND(BD30*S30*AA30*J30*AY30*[1]ステータス!$B$2,0)</f>
        <v>4199</v>
      </c>
      <c r="BL30" s="11">
        <f ca="1">ROUND(BD30*T30*AB30*K30*AZ30*[1]ステータス!$C$2,0)</f>
        <v>1682</v>
      </c>
      <c r="BM30" s="11">
        <f ca="1">ROUND(BD30*U30*AC30*L30*BA30*[1]ステータス!$D$2,0)</f>
        <v>0</v>
      </c>
      <c r="BN30" s="11">
        <f ca="1">ROUND(BD30*V30*AD30*M30*BB30*[1]ステータス!$E$2,0)</f>
        <v>942</v>
      </c>
      <c r="BO30" s="10">
        <v>0</v>
      </c>
      <c r="BP30" s="10">
        <v>1</v>
      </c>
      <c r="BQ30" s="37" t="s">
        <v>47</v>
      </c>
      <c r="BR30" s="12">
        <v>233</v>
      </c>
    </row>
    <row r="31" spans="1:70" ht="26" customHeight="1" x14ac:dyDescent="0.15">
      <c r="A31" s="220">
        <v>8072</v>
      </c>
      <c r="B31" s="55" t="str">
        <f ca="1">VLOOKUP($A31,OFFSET([1]characters!$A$1,0,0,COUNTA([1]characters!$A:$A),MATCH(B$1,[1]characters!$1:$1,0)-MATCH($A$1,[1]characters!$1:$1,0)+1),MATCH(B$1,[1]characters!$1:$1,0)-MATCH($A$1,[1]characters!$1:$1,0)+1,FALSE)</f>
        <v>ポムポムプリン</v>
      </c>
      <c r="C31" s="55" t="str">
        <f ca="1">VLOOKUP($A31,OFFSET([1]characters!$A$1,0,0,COUNTA([1]characters!$A:$A),MATCH(C$1,[1]characters!$1:$1,0)-MATCH($A$1,[1]characters!$1:$1,0)+1),MATCH(C$1,[1]characters!$1:$1,0)-MATCH($A$1,[1]characters!$1:$1,0)+1,FALSE)</f>
        <v>ポムポムプリン</v>
      </c>
      <c r="D31" s="55" t="str">
        <f ca="1">VLOOKUP($A31,OFFSET([1]characters!$A$1,0,0,COUNTA([1]characters!$A:$A),MATCH(D$1,[1]characters!$1:$1,0)-MATCH($A$1,[1]characters!$1:$1,0)+1),MATCH(D$1,[1]characters!$1:$1,0)-MATCH($A$1,[1]characters!$1:$1,0)+1,FALSE)</f>
        <v>執行者</v>
      </c>
      <c r="E31" s="55" t="str">
        <f ca="1">VLOOKUP($A31,OFFSET([1]characters!$A$1,0,0,COUNTA([1]characters!$A:$A),MATCH(E$1,[1]characters!$1:$1,0)-MATCH($A$1,[1]characters!$1:$1,0)+1),MATCH(E$1,[1]characters!$1:$1,0)-MATCH($A$1,[1]characters!$1:$1,0)+1,FALSE)</f>
        <v>格好いい</v>
      </c>
      <c r="F31" s="55" t="str">
        <f ca="1">VLOOKUP($A31,OFFSET([1]characters!$A$1,0,0,COUNTA([1]characters!$A:$A),MATCH(F$1,[1]characters!$1:$1,0)-MATCH($A$1,[1]characters!$1:$1,0)+1),MATCH(F$1,[1]characters!$1:$1,0)-MATCH($A$1,[1]characters!$1:$1,0)+1,FALSE)</f>
        <v>女性</v>
      </c>
      <c r="G31" s="55">
        <f ca="1">VLOOKUP($A31,OFFSET([1]characters!$A$1,0,0,COUNTA([1]characters!$A:$A),MATCH(G$1,[1]characters!$1:$1,0)-MATCH($A$1,[1]characters!$1:$1,0)+1),MATCH(G$1,[1]characters!$1:$1,0)-MATCH($A$1,[1]characters!$1:$1,0)+1,FALSE)</f>
        <v>4</v>
      </c>
      <c r="H31" s="55" t="str">
        <f ca="1">VLOOKUP($A31,OFFSET([1]characters!$A$1,0,0,COUNTA([1]characters!$A:$A),MATCH(H$1,[1]characters!$1:$1,0)-MATCH($A$1,[1]characters!$1:$1,0)+1),MATCH(H$1,[1]characters!$1:$1,0)-MATCH($A$1,[1]characters!$1:$1,0)+1,FALSE)</f>
        <v>PremiumS</v>
      </c>
      <c r="I31" s="55" t="str">
        <f ca="1">VLOOKUP($A31,OFFSET([1]characters!$A$1,0,0,COUNTA([1]characters!$A:$A),MATCH(I$1,[1]characters!$1:$1,0)-MATCH($A$1,[1]characters!$1:$1,0)+1),MATCH(I$1,[1]characters!$1:$1,0)-MATCH($A$1,[1]characters!$1:$1,0)+1,FALSE)</f>
        <v>yellow</v>
      </c>
      <c r="J31" s="11">
        <f ca="1">VLOOKUP(I31,[1]属性!$A:$E,2,FALSE)</f>
        <v>0.98</v>
      </c>
      <c r="K31" s="11">
        <f ca="1">VLOOKUP(I31,[1]属性!$A:$E,3,FALSE)</f>
        <v>1.01</v>
      </c>
      <c r="L31" s="11">
        <f ca="1">VLOOKUP(I31,[1]属性!$A:$E,4,FALSE)</f>
        <v>1</v>
      </c>
      <c r="M31" s="11">
        <f ca="1">VLOOKUP(I31,[1]属性!$A:$E,5,FALSE)</f>
        <v>1.01</v>
      </c>
      <c r="N31" s="11">
        <f ca="1">INDEX(コスト!$A$1:$I$20,MATCH(H31,コスト!$A$1:$A$20,FALSE),MATCH(G31,コスト!$A$1:$I$1,FALSE))</f>
        <v>20</v>
      </c>
      <c r="O31" s="11">
        <f ca="1">INDEX(レベル!$A$1:$I$21,MATCH(H31,レベル!$A$1:$A$21,FALSE),MATCH(G31,レベル!$A$1:$I$1,FALSE))</f>
        <v>60</v>
      </c>
      <c r="P31" s="46">
        <f t="shared" ca="1" si="8"/>
        <v>60</v>
      </c>
      <c r="Q31" s="55" t="s">
        <v>325</v>
      </c>
      <c r="R31" s="5" t="str">
        <f>VLOOKUP(Q31,[1]character_type_i18n!$A:$H,3,FALSE)</f>
        <v>体力タイプ</v>
      </c>
      <c r="S31" s="11">
        <f>VLOOKUP(Q31,[1]character_type_i18n!$A:$H,4,FALSE)</f>
        <v>1.45</v>
      </c>
      <c r="T31" s="11">
        <f>VLOOKUP(Q31,[1]character_type_i18n!$A:$H,5,FALSE)</f>
        <v>0.85</v>
      </c>
      <c r="U31" s="11">
        <f>VLOOKUP(Q31,[1]character_type_i18n!$A:$H,6,FALSE)</f>
        <v>1</v>
      </c>
      <c r="V31" s="11">
        <f>VLOOKUP(Q31,[1]character_type_i18n!$A:$H,7,FALSE)</f>
        <v>0.7</v>
      </c>
      <c r="W31" s="55" t="s">
        <v>331</v>
      </c>
      <c r="X31" s="5" t="str">
        <f>VLOOKUP(W31,[1]character_tribe_i18n!$A:$H,3,FALSE)</f>
        <v>Unknown</v>
      </c>
      <c r="Y31" s="55" t="str">
        <f ca="1">VLOOKUP($A31,OFFSET([1]characters!$A$1,0,0,COUNTA([1]characters!$A:$A),MATCH(Y$1,[1]characters!$1:$1,0)-MATCH($A$1,[1]characters!$1:$1,0)+1),MATCH(Y$1,[1]characters!$1:$1,0)-MATCH($A$1,[1]characters!$1:$1,0)+1,FALSE)</f>
        <v>none</v>
      </c>
      <c r="Z31" s="5" t="str">
        <f ca="1">VLOOKUP(Y31,[1]character_tribe_i18n!$A:$H,3,FALSE)</f>
        <v>種族なし</v>
      </c>
      <c r="AA31" s="11">
        <f>VLOOKUP(W31,[1]character_tribe_i18n!$A:$H,4,FALSE)</f>
        <v>1</v>
      </c>
      <c r="AB31" s="11">
        <f>VLOOKUP(W31,[1]character_tribe_i18n!$A:$H,5,FALSE)</f>
        <v>1</v>
      </c>
      <c r="AC31" s="11">
        <f>VLOOKUP(W31,[1]character_tribe_i18n!$A:$H,6,FALSE)</f>
        <v>1</v>
      </c>
      <c r="AD31" s="11">
        <f>VLOOKUP(W31,[1]character_tribe_i18n!$A:$H,7,FALSE)</f>
        <v>1</v>
      </c>
      <c r="AE31" s="9" t="s">
        <v>183</v>
      </c>
      <c r="AF31" s="60" t="str">
        <f ca="1">IF(AE31="NULL","",VLOOKUP($AE31,OFFSET([1]characters!$A$1,0,0,COUNTA([1]characters!$A:$A),MATCH(AF$1,[1]characters!$1:$1,0)-MATCH($A$1,[1]characters!$1:$1,0)+1),MATCH(AF$1,[1]characters!$1:$1,0)-MATCH($A$1,[1]characters!$1:$1,0)+1,FALSE))</f>
        <v/>
      </c>
      <c r="AG31" s="5">
        <f t="shared" ca="1" si="0"/>
        <v>8071</v>
      </c>
      <c r="AH31" s="60" t="str">
        <f ca="1">VLOOKUP($AG31,OFFSET([1]characters!$A$1,0,0,COUNTA([1]characters!$A:$A),MATCH(AH$1,[1]characters!$1:$1,0)-MATCH($A$1,[1]characters!$1:$1,0)+1),MATCH(AH$1,[1]characters!$1:$1,0)-MATCH($A$1,[1]characters!$1:$1,0)+1,FALSE)</f>
        <v>ポムポムプリン</v>
      </c>
      <c r="AI31" s="11" t="str">
        <f>IF(AE31="NULL","NULL",VLOOKUP(G31,ビット!$A$2:$B$7,2))</f>
        <v>NULL</v>
      </c>
      <c r="AJ31" s="6">
        <v>2</v>
      </c>
      <c r="AK31" s="7" t="str">
        <f t="shared" si="9"/>
        <v>普通</v>
      </c>
      <c r="AL31" s="11" t="str">
        <f ca="1">INDEX(経験値!$A$1:$I$20,MATCH(H31,経験値!$A$1:$A$20,FALSE),MATCH(G31,経験値!$A$1:$I$1,FALSE))</f>
        <v>required_exp_200</v>
      </c>
      <c r="AM31" s="8">
        <f ca="1">VLOOKUP(G31,経験値!$A$27:$B$31,2)</f>
        <v>3400</v>
      </c>
      <c r="AN31" s="17">
        <f ca="1">VLOOKUP(G31,ビット!$G$2:$H$7,2)</f>
        <v>600</v>
      </c>
      <c r="AO31" s="43"/>
      <c r="AP31" s="65">
        <f t="shared" si="3"/>
        <v>8072</v>
      </c>
      <c r="AQ31" s="55" t="str">
        <f ca="1">VLOOKUP($AP31,OFFSET(unit_skills!$A$1,0,0,COUNTA(unit_skills!$A:$A),MATCH(AQ$1,unit_skills!$1:$1,0)-MATCH($AP$1,unit_skills!$1:$1,0)+1),MATCH(AQ$1,unit_skills!$1:$1,0)-MATCH($AP$1,unit_skills!$1:$1,0)+1,FALSE)</f>
        <v>ポムプリ・ヒップ</v>
      </c>
      <c r="AR31" s="55" t="str">
        <f ca="1">VLOOKUP($AP31,OFFSET(unit_skills!$A$1,0,0,COUNTA(unit_skills!$A:$A),MATCH(AR$1,unit_skills!$1:$1,0)-MATCH($AP$1,unit_skills!$1:$1,0)+1),MATCH(AR$1,unit_skills!$1:$1,0)-MATCH($AP$1,unit_skills!$1:$1,0)+1,FALSE)</f>
        <v>3ターン黄属性の攻撃力と防御力を特大UP</v>
      </c>
      <c r="AS31" s="55">
        <f ca="1">VLOOKUP($AP31,OFFSET(unit_skills!$A$1,0,0,COUNTA(unit_skills!$A:$A),MATCH(AS$1,unit_skills!$1:$1,0)-MATCH($AP$1,unit_skills!$1:$1,0)+1),MATCH(AS$1,unit_skills!$1:$1,0)-MATCH($AP$1,unit_skills!$1:$1,0)+1,FALSE)</f>
        <v>0</v>
      </c>
      <c r="AT31" s="40">
        <f t="shared" si="4"/>
        <v>8072</v>
      </c>
      <c r="AU31" s="55" t="str">
        <f ca="1">VLOOKUP($AT31,OFFSET(crash_skills!$A$1,0,0,COUNTA(crash_skills!$A:$A),MATCH(AU$1,crash_skills!$1:$1,0)-MATCH($AT$1,crash_skills!$1:$1,0)+1),MATCH(AU$1,crash_skills!$1:$1,0)-MATCH($AT$1,crash_skills!$1:$1,0)+1,FALSE)</f>
        <v>ポムプリ・ローリング</v>
      </c>
      <c r="AV31" s="55" t="str">
        <f ca="1">VLOOKUP($AT31,OFFSET(crash_skills!$A$1,0,0,COUNTA(crash_skills!$A:$A),MATCH(AV$1,crash_skills!$1:$1,0)-MATCH($AT$1,crash_skills!$1:$1,0)+1),MATCH(AV$1,crash_skills!$1:$1,0)-MATCH($AT$1,crash_skills!$1:$1,0)+1,FALSE)</f>
        <v>自身のHPの最大値に比例して_x000D_単体に特大ダメージ</v>
      </c>
      <c r="AW31" s="55">
        <f ca="1">VLOOKUP($AT31,OFFSET(crash_skills!$A$1,0,0,COUNTA(crash_skills!$A:$A),MATCH(AW$1,crash_skills!$1:$1,0)-MATCH($AT$1,crash_skills!$1:$1,0)+1),MATCH(AW$1,crash_skills!$1:$1,0)-MATCH($AT$1,crash_skills!$1:$1,0)+1,FALSE)</f>
        <v>0</v>
      </c>
      <c r="AX31" s="56">
        <f ca="1">VLOOKUP($A31,OFFSET([1]characters!$A$1,0,0,COUNTA([1]characters!$A:$A),MATCH(AX$1,[1]characters!$1:$1,0)-MATCH($A$1,[1]characters!$1:$1,0)+1),MATCH(AX$1,[1]characters!$1:$1,0)-MATCH($A$1,[1]characters!$1:$1,0)+1,FALSE)</f>
        <v>1</v>
      </c>
      <c r="AY31" s="66">
        <v>1.1819999999999999</v>
      </c>
      <c r="AZ31" s="66">
        <v>1.306</v>
      </c>
      <c r="BA31" s="66">
        <v>0</v>
      </c>
      <c r="BB31" s="66">
        <v>1.0660000000000001</v>
      </c>
      <c r="BC31" s="11">
        <f ca="1">INDEX('RC6SV'!$A$1:$G$20,MATCH(H31,'RC6SV'!$A$1:$A$20,FALSE),MATCH(G31,'RC6SV'!$A$1:$G$1,FALSE))</f>
        <v>7000</v>
      </c>
      <c r="BD31" s="46">
        <f t="shared" ca="1" si="10"/>
        <v>7000</v>
      </c>
      <c r="BE31" s="11">
        <f t="shared" ca="1" si="1"/>
        <v>5000</v>
      </c>
      <c r="BF31" s="11">
        <f t="shared" ca="1" si="2"/>
        <v>1</v>
      </c>
      <c r="BG31" s="16">
        <f ca="1">IF($BE31&lt;=0,ROUND(BK31*0.5,0), ROUND($BE31*S31*AA31*J31*AY31*0.8*[1]ステータス!$B$2,0))</f>
        <v>3359</v>
      </c>
      <c r="BH31" s="16">
        <f ca="1">IF($BE31&lt;=0,ROUND(BL31*0.5,0), ROUND($BE31*T31*AB31*K31*AZ31*0.8*[1]ステータス!$C$2,0))</f>
        <v>1345</v>
      </c>
      <c r="BI31" s="16">
        <f ca="1">IF($BE31&lt;=0,ROUND(BM31*0.5,0), ROUND($BE31*U31*AC31*L31*BA31*0.8*[1]ステータス!$D$2,0))</f>
        <v>0</v>
      </c>
      <c r="BJ31" s="16">
        <f ca="1">IF($BE31&lt;=0,ROUND(BN31*0.5,0), ROUND($BE31*V31*AD31*M31*BB31*0.8*[1]ステータス!$E$2,0))</f>
        <v>754</v>
      </c>
      <c r="BK31" s="11">
        <f ca="1">ROUND(BD31*S31*AA31*J31*AY31*[1]ステータス!$B$2,0)</f>
        <v>5879</v>
      </c>
      <c r="BL31" s="11">
        <f ca="1">ROUND(BD31*T31*AB31*K31*AZ31*[1]ステータス!$C$2,0)</f>
        <v>2355</v>
      </c>
      <c r="BM31" s="11">
        <f ca="1">ROUND(BD31*U31*AC31*L31*BA31*[1]ステータス!$D$2,0)</f>
        <v>0</v>
      </c>
      <c r="BN31" s="11">
        <f ca="1">ROUND(BD31*V31*AD31*M31*BB31*[1]ステータス!$E$2,0)</f>
        <v>1319</v>
      </c>
      <c r="BO31" s="10">
        <v>0</v>
      </c>
      <c r="BP31" s="10">
        <v>1</v>
      </c>
      <c r="BQ31" s="37" t="s">
        <v>47</v>
      </c>
      <c r="BR31" s="12">
        <v>233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T31"/>
  <sheetViews>
    <sheetView showGridLines="0" workbookViewId="0">
      <pane xSplit="4" ySplit="1" topLeftCell="H14" activePane="bottomRight" state="frozen"/>
      <selection pane="topRight" activeCell="D1" sqref="D1"/>
      <selection pane="bottomLeft" activeCell="A2" sqref="A2"/>
      <selection pane="bottomRight" activeCell="A2" sqref="A2:A31"/>
    </sheetView>
  </sheetViews>
  <sheetFormatPr baseColWidth="12" defaultColWidth="13" defaultRowHeight="21" customHeight="1" outlineLevelCol="1" x14ac:dyDescent="0.15"/>
  <cols>
    <col min="1" max="1" width="16.1640625" style="129" bestFit="1" customWidth="1"/>
    <col min="2" max="2" width="13" style="129" bestFit="1" customWidth="1"/>
    <col min="3" max="3" width="21.83203125" style="129" customWidth="1"/>
    <col min="4" max="4" width="51" style="129" customWidth="1"/>
    <col min="5" max="5" width="9" style="129" customWidth="1"/>
    <col min="6" max="6" width="7.83203125" style="129" bestFit="1" customWidth="1"/>
    <col min="7" max="7" width="8.1640625" style="129" bestFit="1" customWidth="1"/>
    <col min="8" max="8" width="13.6640625" style="129" bestFit="1" customWidth="1"/>
    <col min="9" max="11" width="51.6640625" style="129" customWidth="1"/>
    <col min="12" max="12" width="10.83203125" style="129" customWidth="1" outlineLevel="1"/>
    <col min="13" max="18" width="9.5" style="128" customWidth="1" outlineLevel="1"/>
    <col min="19" max="19" width="20.33203125" style="129" customWidth="1" outlineLevel="1"/>
    <col min="20" max="20" width="10.33203125" style="129" bestFit="1" customWidth="1"/>
    <col min="21" max="16384" width="13" style="129"/>
  </cols>
  <sheetData>
    <row r="1" spans="1:20" s="128" customFormat="1" ht="21" customHeight="1" x14ac:dyDescent="0.15">
      <c r="A1" s="117" t="s">
        <v>20</v>
      </c>
      <c r="B1" s="118" t="s">
        <v>134</v>
      </c>
      <c r="C1" s="119" t="s">
        <v>40</v>
      </c>
      <c r="D1" s="120" t="s">
        <v>163</v>
      </c>
      <c r="E1" s="120" t="s">
        <v>164</v>
      </c>
      <c r="F1" s="117" t="s">
        <v>146</v>
      </c>
      <c r="G1" s="121" t="s">
        <v>2</v>
      </c>
      <c r="H1" s="121" t="s">
        <v>165</v>
      </c>
      <c r="I1" s="121" t="s">
        <v>166</v>
      </c>
      <c r="J1" s="122" t="s">
        <v>184</v>
      </c>
      <c r="K1" s="122" t="s">
        <v>184</v>
      </c>
      <c r="L1" s="121" t="s">
        <v>4</v>
      </c>
      <c r="M1" s="123" t="s">
        <v>167</v>
      </c>
      <c r="N1" s="124" t="s">
        <v>168</v>
      </c>
      <c r="O1" s="124" t="s">
        <v>169</v>
      </c>
      <c r="P1" s="124" t="s">
        <v>170</v>
      </c>
      <c r="Q1" s="124" t="s">
        <v>171</v>
      </c>
      <c r="R1" s="125" t="s">
        <v>172</v>
      </c>
      <c r="S1" s="126" t="s">
        <v>173</v>
      </c>
      <c r="T1" s="127" t="s">
        <v>174</v>
      </c>
    </row>
    <row r="2" spans="1:20" ht="21" customHeight="1" x14ac:dyDescent="0.15">
      <c r="A2" s="220">
        <v>8043</v>
      </c>
      <c r="B2" s="132" t="s">
        <v>185</v>
      </c>
      <c r="C2" s="169" t="s">
        <v>248</v>
      </c>
      <c r="D2" s="171" t="s">
        <v>308</v>
      </c>
      <c r="E2" s="134">
        <f>LEN(D2)</f>
        <v>47</v>
      </c>
      <c r="F2" s="116">
        <v>12</v>
      </c>
      <c r="G2" s="116">
        <v>5</v>
      </c>
      <c r="H2" s="135">
        <f>2001</f>
        <v>2001</v>
      </c>
      <c r="I2" s="135" t="s">
        <v>316</v>
      </c>
      <c r="J2" s="55" t="str">
        <f ca="1">VLOOKUP(A2,units!A:G,3)</f>
        <v>サンリオキャラ大集合+アザゼル</v>
      </c>
      <c r="K2" s="55" t="str">
        <f ca="1">VLOOKUP(A2,units!A:G,2)</f>
        <v>サンリオキャラ大集合+アザゼル</v>
      </c>
      <c r="L2" s="136">
        <v>3</v>
      </c>
      <c r="M2" s="137"/>
      <c r="N2" s="138"/>
      <c r="O2" s="138"/>
      <c r="P2" s="138"/>
      <c r="Q2" s="138"/>
      <c r="R2" s="138"/>
      <c r="S2" s="133"/>
      <c r="T2" s="139"/>
    </row>
    <row r="3" spans="1:20" ht="21" customHeight="1" x14ac:dyDescent="0.15">
      <c r="A3" s="220">
        <v>8044</v>
      </c>
      <c r="B3" s="132" t="s">
        <v>185</v>
      </c>
      <c r="C3" s="169" t="s">
        <v>248</v>
      </c>
      <c r="D3" s="171" t="s">
        <v>308</v>
      </c>
      <c r="E3" s="134">
        <f>LEN(D3)</f>
        <v>47</v>
      </c>
      <c r="F3" s="116">
        <v>12</v>
      </c>
      <c r="G3" s="116">
        <v>5</v>
      </c>
      <c r="H3" s="135">
        <f>2001</f>
        <v>2001</v>
      </c>
      <c r="I3" s="135" t="s">
        <v>316</v>
      </c>
      <c r="J3" s="55" t="str">
        <f ca="1">VLOOKUP(A3,units!A:G,3)</f>
        <v>サンリオキャラ大集合+アザゼル</v>
      </c>
      <c r="K3" s="55" t="str">
        <f ca="1">VLOOKUP(A3,units!A:G,2)</f>
        <v>サンリオキャラ大集合+アザゼル</v>
      </c>
      <c r="L3" s="136">
        <v>3</v>
      </c>
      <c r="M3" s="137"/>
      <c r="N3" s="138"/>
      <c r="O3" s="138"/>
      <c r="P3" s="138"/>
      <c r="Q3" s="138"/>
      <c r="R3" s="138"/>
      <c r="S3" s="133"/>
      <c r="T3" s="139"/>
    </row>
    <row r="4" spans="1:20" ht="21" customHeight="1" x14ac:dyDescent="0.15">
      <c r="A4" s="220">
        <v>8045</v>
      </c>
      <c r="B4" s="132" t="s">
        <v>185</v>
      </c>
      <c r="C4" s="169" t="s">
        <v>249</v>
      </c>
      <c r="D4" s="171" t="s">
        <v>337</v>
      </c>
      <c r="E4" s="134">
        <f>LEN(D4)</f>
        <v>27</v>
      </c>
      <c r="F4" s="116">
        <v>10</v>
      </c>
      <c r="G4" s="116">
        <v>5</v>
      </c>
      <c r="H4" s="135">
        <f>2001</f>
        <v>2001</v>
      </c>
      <c r="I4" s="135" t="s">
        <v>309</v>
      </c>
      <c r="J4" s="55" t="str">
        <f ca="1">VLOOKUP(A4,units!A:G,3)</f>
        <v>ニムダ_サンリオキャラ混じり</v>
      </c>
      <c r="K4" s="55" t="str">
        <f ca="1">VLOOKUP(A4,units!A:G,2)</f>
        <v>ニムダ_サンリオキャラ混じり</v>
      </c>
      <c r="L4" s="136">
        <v>3</v>
      </c>
      <c r="M4" s="137"/>
      <c r="N4" s="138"/>
      <c r="O4" s="138"/>
      <c r="P4" s="138"/>
      <c r="Q4" s="138"/>
      <c r="R4" s="138"/>
      <c r="S4" s="133"/>
      <c r="T4" s="139"/>
    </row>
    <row r="5" spans="1:20" ht="21" customHeight="1" x14ac:dyDescent="0.15">
      <c r="A5" s="220">
        <v>8046</v>
      </c>
      <c r="B5" s="132" t="s">
        <v>185</v>
      </c>
      <c r="C5" s="169" t="s">
        <v>249</v>
      </c>
      <c r="D5" s="171" t="s">
        <v>337</v>
      </c>
      <c r="E5" s="134">
        <f t="shared" ref="E5:E31" si="0">LEN(D5)</f>
        <v>27</v>
      </c>
      <c r="F5" s="116">
        <v>10</v>
      </c>
      <c r="G5" s="116">
        <v>5</v>
      </c>
      <c r="H5" s="135">
        <f>2001</f>
        <v>2001</v>
      </c>
      <c r="I5" s="135" t="s">
        <v>309</v>
      </c>
      <c r="J5" s="55" t="str">
        <f ca="1">VLOOKUP(A5,units!A:G,3)</f>
        <v>ニムダ_サンリオキャラ混じり</v>
      </c>
      <c r="K5" s="55" t="str">
        <f ca="1">VLOOKUP(A5,units!A:G,2)</f>
        <v>ニムダ_サンリオキャラ混じり</v>
      </c>
      <c r="L5" s="136">
        <v>3</v>
      </c>
      <c r="M5" s="137"/>
      <c r="N5" s="138"/>
      <c r="O5" s="138"/>
      <c r="P5" s="138"/>
      <c r="Q5" s="138"/>
      <c r="R5" s="138"/>
      <c r="S5" s="133"/>
      <c r="T5" s="139"/>
    </row>
    <row r="6" spans="1:20" ht="21" customHeight="1" x14ac:dyDescent="0.15">
      <c r="A6" s="220">
        <v>8047</v>
      </c>
      <c r="B6" s="132" t="s">
        <v>185</v>
      </c>
      <c r="C6" s="169" t="s">
        <v>250</v>
      </c>
      <c r="D6" s="171" t="s">
        <v>307</v>
      </c>
      <c r="E6" s="134">
        <f t="shared" si="0"/>
        <v>35</v>
      </c>
      <c r="F6" s="116">
        <v>10</v>
      </c>
      <c r="G6" s="116">
        <v>5</v>
      </c>
      <c r="H6" s="135">
        <f>2001</f>
        <v>2001</v>
      </c>
      <c r="I6" s="135" t="s">
        <v>425</v>
      </c>
      <c r="J6" s="55" t="str">
        <f ca="1">VLOOKUP(A6,units!A:G,3)</f>
        <v>ハローキティ</v>
      </c>
      <c r="K6" s="55" t="str">
        <f ca="1">VLOOKUP(A6,units!A:G,2)</f>
        <v>ハローキティ</v>
      </c>
      <c r="L6" s="136">
        <v>3</v>
      </c>
      <c r="M6" s="137"/>
      <c r="N6" s="138"/>
      <c r="O6" s="138"/>
      <c r="P6" s="138"/>
      <c r="Q6" s="138"/>
      <c r="R6" s="138"/>
      <c r="S6" s="133"/>
      <c r="T6" s="139"/>
    </row>
    <row r="7" spans="1:20" ht="21" customHeight="1" x14ac:dyDescent="0.15">
      <c r="A7" s="220">
        <v>8048</v>
      </c>
      <c r="B7" s="132" t="s">
        <v>185</v>
      </c>
      <c r="C7" s="169" t="s">
        <v>250</v>
      </c>
      <c r="D7" s="171" t="s">
        <v>307</v>
      </c>
      <c r="E7" s="134">
        <f t="shared" si="0"/>
        <v>35</v>
      </c>
      <c r="F7" s="116">
        <v>10</v>
      </c>
      <c r="G7" s="116">
        <v>5</v>
      </c>
      <c r="H7" s="135">
        <f>2001</f>
        <v>2001</v>
      </c>
      <c r="I7" s="135" t="s">
        <v>425</v>
      </c>
      <c r="J7" s="55" t="str">
        <f ca="1">VLOOKUP(A7,units!A:G,3)</f>
        <v>ハローキティ</v>
      </c>
      <c r="K7" s="55" t="str">
        <f ca="1">VLOOKUP(A7,units!A:G,2)</f>
        <v>ハローキティ</v>
      </c>
      <c r="L7" s="136">
        <v>3</v>
      </c>
      <c r="M7" s="137"/>
      <c r="N7" s="138"/>
      <c r="O7" s="138"/>
      <c r="P7" s="138"/>
      <c r="Q7" s="138"/>
      <c r="R7" s="138"/>
      <c r="S7" s="133"/>
      <c r="T7" s="139"/>
    </row>
    <row r="8" spans="1:20" ht="21" customHeight="1" x14ac:dyDescent="0.15">
      <c r="A8" s="220">
        <v>8049</v>
      </c>
      <c r="B8" s="132" t="s">
        <v>185</v>
      </c>
      <c r="C8" s="169" t="s">
        <v>251</v>
      </c>
      <c r="D8" s="171" t="s">
        <v>432</v>
      </c>
      <c r="E8" s="134">
        <f t="shared" si="0"/>
        <v>31</v>
      </c>
      <c r="F8" s="116">
        <v>12</v>
      </c>
      <c r="G8" s="116">
        <v>5</v>
      </c>
      <c r="H8" s="135">
        <f>2001</f>
        <v>2001</v>
      </c>
      <c r="I8" s="135" t="s">
        <v>424</v>
      </c>
      <c r="J8" s="55" t="str">
        <f ca="1">VLOOKUP(A8,units!A:G,3)</f>
        <v>KIRIMIちゃん</v>
      </c>
      <c r="K8" s="55" t="str">
        <f ca="1">VLOOKUP(A8,units!A:G,2)</f>
        <v>KIRIMIちゃん</v>
      </c>
      <c r="L8" s="136">
        <v>3</v>
      </c>
      <c r="M8" s="137"/>
      <c r="N8" s="138"/>
      <c r="O8" s="138"/>
      <c r="P8" s="138"/>
      <c r="Q8" s="138"/>
      <c r="R8" s="138"/>
      <c r="S8" s="133"/>
      <c r="T8" s="139"/>
    </row>
    <row r="9" spans="1:20" ht="21" customHeight="1" x14ac:dyDescent="0.15">
      <c r="A9" s="220">
        <v>8050</v>
      </c>
      <c r="B9" s="132" t="s">
        <v>185</v>
      </c>
      <c r="C9" s="169" t="s">
        <v>251</v>
      </c>
      <c r="D9" s="171" t="s">
        <v>432</v>
      </c>
      <c r="E9" s="134">
        <f t="shared" si="0"/>
        <v>31</v>
      </c>
      <c r="F9" s="116">
        <v>12</v>
      </c>
      <c r="G9" s="116">
        <v>5</v>
      </c>
      <c r="H9" s="135">
        <f>2001</f>
        <v>2001</v>
      </c>
      <c r="I9" s="135" t="s">
        <v>424</v>
      </c>
      <c r="J9" s="55" t="str">
        <f ca="1">VLOOKUP(A9,units!A:G,3)</f>
        <v>KIRIMIちゃん</v>
      </c>
      <c r="K9" s="55" t="str">
        <f ca="1">VLOOKUP(A9,units!A:G,2)</f>
        <v>KIRIMIちゃん</v>
      </c>
      <c r="L9" s="136">
        <v>3</v>
      </c>
      <c r="M9" s="137"/>
      <c r="N9" s="138"/>
      <c r="O9" s="138"/>
      <c r="P9" s="138"/>
      <c r="Q9" s="138"/>
      <c r="R9" s="138"/>
      <c r="S9" s="133"/>
      <c r="T9" s="139"/>
    </row>
    <row r="10" spans="1:20" ht="21" customHeight="1" x14ac:dyDescent="0.15">
      <c r="A10" s="220">
        <v>8051</v>
      </c>
      <c r="B10" s="132" t="s">
        <v>185</v>
      </c>
      <c r="C10" s="170" t="s">
        <v>252</v>
      </c>
      <c r="D10" s="170" t="s">
        <v>252</v>
      </c>
      <c r="E10" s="134">
        <f t="shared" si="0"/>
        <v>9</v>
      </c>
      <c r="F10" s="116">
        <v>18</v>
      </c>
      <c r="G10" s="116">
        <v>5</v>
      </c>
      <c r="H10" s="135">
        <f>2001</f>
        <v>2001</v>
      </c>
      <c r="I10" s="135"/>
      <c r="J10" s="55" t="str">
        <f ca="1">VLOOKUP(A10,units!A:G,3)</f>
        <v>ハローキティのリボン</v>
      </c>
      <c r="K10" s="55" t="str">
        <f ca="1">VLOOKUP(A10,units!A:G,2)</f>
        <v>ハローキティのリボン</v>
      </c>
      <c r="L10" s="136">
        <v>3</v>
      </c>
      <c r="M10" s="137"/>
      <c r="N10" s="138"/>
      <c r="O10" s="138"/>
      <c r="P10" s="138"/>
      <c r="Q10" s="138"/>
      <c r="R10" s="138"/>
      <c r="S10" s="133"/>
      <c r="T10" s="139"/>
    </row>
    <row r="11" spans="1:20" ht="21" customHeight="1" x14ac:dyDescent="0.15">
      <c r="A11" s="220">
        <v>8052</v>
      </c>
      <c r="B11" s="132" t="s">
        <v>185</v>
      </c>
      <c r="C11" s="170" t="s">
        <v>252</v>
      </c>
      <c r="D11" s="170" t="s">
        <v>252</v>
      </c>
      <c r="E11" s="134">
        <f t="shared" si="0"/>
        <v>9</v>
      </c>
      <c r="F11" s="116">
        <v>18</v>
      </c>
      <c r="G11" s="116">
        <v>5</v>
      </c>
      <c r="H11" s="135">
        <f>2001</f>
        <v>2001</v>
      </c>
      <c r="I11" s="135"/>
      <c r="J11" s="55" t="str">
        <f ca="1">VLOOKUP(A11,units!A:G,3)</f>
        <v>ママの作ったアップルパイ</v>
      </c>
      <c r="K11" s="55" t="str">
        <f ca="1">VLOOKUP(A11,units!A:G,2)</f>
        <v>ママの作ったアップルパイ</v>
      </c>
      <c r="L11" s="136">
        <v>3</v>
      </c>
      <c r="M11" s="137"/>
      <c r="N11" s="138"/>
      <c r="O11" s="138"/>
      <c r="P11" s="138"/>
      <c r="Q11" s="138"/>
      <c r="R11" s="138"/>
      <c r="S11" s="133"/>
      <c r="T11" s="139"/>
    </row>
    <row r="12" spans="1:20" ht="40" customHeight="1" x14ac:dyDescent="0.15">
      <c r="A12" s="220">
        <v>8053</v>
      </c>
      <c r="B12" s="132" t="s">
        <v>185</v>
      </c>
      <c r="C12" s="169" t="s">
        <v>253</v>
      </c>
      <c r="D12" s="171" t="s">
        <v>266</v>
      </c>
      <c r="E12" s="134">
        <f>LEN(D12)</f>
        <v>46</v>
      </c>
      <c r="F12" s="116">
        <v>10</v>
      </c>
      <c r="G12" s="116">
        <v>5</v>
      </c>
      <c r="H12" s="135">
        <f>2001</f>
        <v>2001</v>
      </c>
      <c r="I12" s="165" t="s">
        <v>246</v>
      </c>
      <c r="J12" s="55" t="str">
        <f ca="1">VLOOKUP(A12,units!A:G,3)</f>
        <v>D.R.T.H__キティコスプレ</v>
      </c>
      <c r="K12" s="55" t="str">
        <f ca="1">VLOOKUP(A12,units!A:G,2)</f>
        <v>D.R.T.H__キティコスプレ</v>
      </c>
      <c r="L12" s="136">
        <v>3</v>
      </c>
      <c r="M12" s="137"/>
      <c r="N12" s="138"/>
      <c r="O12" s="138"/>
      <c r="P12" s="138"/>
      <c r="Q12" s="138"/>
      <c r="R12" s="138"/>
      <c r="S12" s="133"/>
      <c r="T12" s="139"/>
    </row>
    <row r="13" spans="1:20" ht="50" customHeight="1" x14ac:dyDescent="0.15">
      <c r="A13" s="220">
        <v>8054</v>
      </c>
      <c r="B13" s="132" t="s">
        <v>185</v>
      </c>
      <c r="C13" s="169" t="s">
        <v>253</v>
      </c>
      <c r="D13" s="171" t="s">
        <v>273</v>
      </c>
      <c r="E13" s="134">
        <f>LEN(D13)</f>
        <v>46</v>
      </c>
      <c r="F13" s="116">
        <v>10</v>
      </c>
      <c r="G13" s="116">
        <v>5</v>
      </c>
      <c r="H13" s="135">
        <f>2001</f>
        <v>2001</v>
      </c>
      <c r="I13" s="165" t="s">
        <v>245</v>
      </c>
      <c r="J13" s="55" t="str">
        <f ca="1">VLOOKUP(A13,units!A:G,3)</f>
        <v>D.R.T.H__キティコスプレ</v>
      </c>
      <c r="K13" s="55" t="str">
        <f ca="1">VLOOKUP(A13,units!A:G,2)</f>
        <v>D.R.T.H__キティコスプレ</v>
      </c>
      <c r="L13" s="136">
        <v>3</v>
      </c>
      <c r="M13" s="137"/>
      <c r="N13" s="138"/>
      <c r="O13" s="138"/>
      <c r="P13" s="138"/>
      <c r="Q13" s="138"/>
      <c r="R13" s="138"/>
      <c r="S13" s="133"/>
      <c r="T13" s="139"/>
    </row>
    <row r="14" spans="1:20" ht="21" customHeight="1" x14ac:dyDescent="0.15">
      <c r="A14" s="220">
        <v>8055</v>
      </c>
      <c r="B14" s="132" t="s">
        <v>185</v>
      </c>
      <c r="C14" s="169" t="s">
        <v>254</v>
      </c>
      <c r="D14" s="171" t="s">
        <v>267</v>
      </c>
      <c r="E14" s="134">
        <f t="shared" si="0"/>
        <v>33</v>
      </c>
      <c r="F14" s="116">
        <v>12</v>
      </c>
      <c r="G14" s="116">
        <v>5</v>
      </c>
      <c r="H14" s="135">
        <f>2001</f>
        <v>2001</v>
      </c>
      <c r="I14" s="135" t="s">
        <v>445</v>
      </c>
      <c r="J14" s="55" t="str">
        <f ca="1">VLOOKUP(A14,units!A:G,3)</f>
        <v>マイメロディ</v>
      </c>
      <c r="K14" s="55" t="str">
        <f ca="1">VLOOKUP(A14,units!A:G,2)</f>
        <v>マイメロディ</v>
      </c>
      <c r="L14" s="136">
        <v>3</v>
      </c>
      <c r="M14" s="137"/>
      <c r="N14" s="138"/>
      <c r="O14" s="138"/>
      <c r="P14" s="138"/>
      <c r="Q14" s="138"/>
      <c r="R14" s="138"/>
      <c r="S14" s="133"/>
      <c r="T14" s="139"/>
    </row>
    <row r="15" spans="1:20" ht="21" customHeight="1" x14ac:dyDescent="0.15">
      <c r="A15" s="220">
        <v>8056</v>
      </c>
      <c r="B15" s="132" t="s">
        <v>185</v>
      </c>
      <c r="C15" s="169" t="s">
        <v>255</v>
      </c>
      <c r="D15" s="171" t="s">
        <v>268</v>
      </c>
      <c r="E15" s="134">
        <f t="shared" si="0"/>
        <v>35</v>
      </c>
      <c r="F15" s="116">
        <v>12</v>
      </c>
      <c r="G15" s="116">
        <v>5</v>
      </c>
      <c r="H15" s="135">
        <f>2001</f>
        <v>2001</v>
      </c>
      <c r="I15" s="135" t="s">
        <v>448</v>
      </c>
      <c r="J15" s="55" t="str">
        <f ca="1">VLOOKUP(A15,units!A:G,3)</f>
        <v>マイメロディ</v>
      </c>
      <c r="K15" s="55" t="str">
        <f ca="1">VLOOKUP(A15,units!A:G,2)</f>
        <v>マイメロディ</v>
      </c>
      <c r="L15" s="136">
        <v>3</v>
      </c>
      <c r="M15" s="137"/>
      <c r="N15" s="138"/>
      <c r="O15" s="138"/>
      <c r="P15" s="138"/>
      <c r="Q15" s="138"/>
      <c r="R15" s="138"/>
      <c r="S15" s="133"/>
      <c r="T15" s="139"/>
    </row>
    <row r="16" spans="1:20" ht="21" customHeight="1" x14ac:dyDescent="0.15">
      <c r="A16" s="220">
        <v>8057</v>
      </c>
      <c r="B16" s="132" t="s">
        <v>185</v>
      </c>
      <c r="C16" s="171" t="s">
        <v>256</v>
      </c>
      <c r="D16" s="171" t="s">
        <v>314</v>
      </c>
      <c r="E16" s="134">
        <f t="shared" si="0"/>
        <v>33</v>
      </c>
      <c r="F16" s="116">
        <v>10</v>
      </c>
      <c r="G16" s="116">
        <v>5</v>
      </c>
      <c r="H16" s="135">
        <f>2001</f>
        <v>2001</v>
      </c>
      <c r="I16" s="135" t="s">
        <v>313</v>
      </c>
      <c r="J16" s="55" t="str">
        <f ca="1">VLOOKUP(A16,units!A:G,3)</f>
        <v>ニーベルゲン_シナモロールコスプレ</v>
      </c>
      <c r="K16" s="55" t="str">
        <f ca="1">VLOOKUP(A16,units!A:G,2)</f>
        <v>ニーベルゲン_シナモロールコスプレ</v>
      </c>
      <c r="L16" s="136">
        <v>3</v>
      </c>
      <c r="M16" s="137"/>
      <c r="N16" s="138"/>
      <c r="O16" s="138"/>
      <c r="P16" s="138"/>
      <c r="Q16" s="138"/>
      <c r="R16" s="138"/>
      <c r="S16" s="133"/>
      <c r="T16" s="139"/>
    </row>
    <row r="17" spans="1:20" ht="21" customHeight="1" x14ac:dyDescent="0.15">
      <c r="A17" s="220">
        <v>8058</v>
      </c>
      <c r="B17" s="132" t="s">
        <v>185</v>
      </c>
      <c r="C17" s="171" t="s">
        <v>257</v>
      </c>
      <c r="D17" s="171" t="s">
        <v>315</v>
      </c>
      <c r="E17" s="134">
        <f t="shared" si="0"/>
        <v>34</v>
      </c>
      <c r="F17" s="116">
        <v>12</v>
      </c>
      <c r="G17" s="116">
        <v>5</v>
      </c>
      <c r="H17" s="135">
        <f>2001</f>
        <v>2001</v>
      </c>
      <c r="I17" s="135" t="s">
        <v>310</v>
      </c>
      <c r="J17" s="55" t="str">
        <f ca="1">VLOOKUP(A17,units!A:G,3)</f>
        <v>ニーベルゲン_シナモロールコスプレ</v>
      </c>
      <c r="K17" s="55" t="str">
        <f ca="1">VLOOKUP(A17,units!A:G,2)</f>
        <v>ニーベルゲン_シナモロールコスプレ</v>
      </c>
      <c r="L17" s="136">
        <v>3</v>
      </c>
      <c r="M17" s="137"/>
      <c r="N17" s="138"/>
      <c r="O17" s="138"/>
      <c r="P17" s="138"/>
      <c r="Q17" s="138"/>
      <c r="R17" s="138"/>
      <c r="S17" s="133"/>
      <c r="T17" s="139"/>
    </row>
    <row r="18" spans="1:20" ht="21" customHeight="1" x14ac:dyDescent="0.15">
      <c r="A18" s="220">
        <v>8059</v>
      </c>
      <c r="B18" s="132" t="s">
        <v>185</v>
      </c>
      <c r="C18" s="171" t="s">
        <v>258</v>
      </c>
      <c r="D18" s="171" t="s">
        <v>269</v>
      </c>
      <c r="E18" s="134">
        <f t="shared" si="0"/>
        <v>33</v>
      </c>
      <c r="F18" s="116">
        <v>14</v>
      </c>
      <c r="G18" s="116">
        <v>5</v>
      </c>
      <c r="H18" s="135">
        <f>2001</f>
        <v>2001</v>
      </c>
      <c r="I18" s="135" t="s">
        <v>453</v>
      </c>
      <c r="J18" s="55" t="str">
        <f ca="1">VLOOKUP(A18,units!A:G,3)</f>
        <v>カカシ_マイメロディコスプレ</v>
      </c>
      <c r="K18" s="55" t="str">
        <f ca="1">VLOOKUP(A18,units!A:G,2)</f>
        <v>カカシ_マイメロディコスプレ</v>
      </c>
      <c r="L18" s="136">
        <v>3</v>
      </c>
      <c r="M18" s="137"/>
      <c r="N18" s="138"/>
      <c r="O18" s="138"/>
      <c r="P18" s="138"/>
      <c r="Q18" s="138"/>
      <c r="R18" s="138"/>
      <c r="S18" s="133"/>
      <c r="T18" s="139"/>
    </row>
    <row r="19" spans="1:20" ht="21" customHeight="1" x14ac:dyDescent="0.15">
      <c r="A19" s="220">
        <v>8060</v>
      </c>
      <c r="B19" s="132" t="s">
        <v>185</v>
      </c>
      <c r="C19" s="171" t="s">
        <v>258</v>
      </c>
      <c r="D19" s="171" t="s">
        <v>269</v>
      </c>
      <c r="E19" s="134">
        <f t="shared" si="0"/>
        <v>33</v>
      </c>
      <c r="F19" s="116">
        <v>14</v>
      </c>
      <c r="G19" s="116">
        <v>5</v>
      </c>
      <c r="H19" s="135">
        <f>2001</f>
        <v>2001</v>
      </c>
      <c r="I19" s="135" t="s">
        <v>457</v>
      </c>
      <c r="J19" s="55" t="str">
        <f ca="1">VLOOKUP(A19,units!A:G,3)</f>
        <v>カカシ_マイメロディコスプレ</v>
      </c>
      <c r="K19" s="55" t="str">
        <f ca="1">VLOOKUP(A19,units!A:G,2)</f>
        <v>カカシ_マイメロディコスプレ</v>
      </c>
      <c r="L19" s="136">
        <v>3</v>
      </c>
      <c r="M19" s="137"/>
      <c r="N19" s="138"/>
      <c r="O19" s="138"/>
      <c r="P19" s="138"/>
      <c r="Q19" s="138"/>
      <c r="R19" s="138"/>
      <c r="S19" s="133"/>
      <c r="T19" s="139"/>
    </row>
    <row r="20" spans="1:20" ht="21" customHeight="1" x14ac:dyDescent="0.15">
      <c r="A20" s="220">
        <v>8061</v>
      </c>
      <c r="B20" s="132" t="s">
        <v>185</v>
      </c>
      <c r="C20" s="171" t="s">
        <v>259</v>
      </c>
      <c r="D20" s="171" t="s">
        <v>270</v>
      </c>
      <c r="E20" s="134">
        <f t="shared" si="0"/>
        <v>21</v>
      </c>
      <c r="F20" s="116">
        <v>13</v>
      </c>
      <c r="G20" s="116">
        <v>5</v>
      </c>
      <c r="H20" s="135">
        <f>2001</f>
        <v>2001</v>
      </c>
      <c r="I20" s="135" t="s">
        <v>311</v>
      </c>
      <c r="J20" s="55" t="str">
        <f ca="1">VLOOKUP(A20,units!A:G,3)</f>
        <v>ケロケロけろっぴ</v>
      </c>
      <c r="K20" s="55" t="str">
        <f ca="1">VLOOKUP(A20,units!A:G,2)</f>
        <v>ケロケロけろっぴ</v>
      </c>
      <c r="L20" s="136">
        <v>3</v>
      </c>
      <c r="M20" s="137"/>
      <c r="N20" s="138"/>
      <c r="O20" s="138"/>
      <c r="P20" s="138"/>
      <c r="Q20" s="138"/>
      <c r="R20" s="138"/>
      <c r="S20" s="133"/>
      <c r="T20" s="139"/>
    </row>
    <row r="21" spans="1:20" ht="21" customHeight="1" x14ac:dyDescent="0.15">
      <c r="A21" s="220">
        <v>8062</v>
      </c>
      <c r="B21" s="132" t="s">
        <v>185</v>
      </c>
      <c r="C21" s="171" t="s">
        <v>259</v>
      </c>
      <c r="D21" s="171" t="s">
        <v>270</v>
      </c>
      <c r="E21" s="134">
        <f t="shared" si="0"/>
        <v>21</v>
      </c>
      <c r="F21" s="116">
        <v>13</v>
      </c>
      <c r="G21" s="116">
        <v>5</v>
      </c>
      <c r="H21" s="135">
        <f>2001</f>
        <v>2001</v>
      </c>
      <c r="I21" s="135" t="s">
        <v>311</v>
      </c>
      <c r="J21" s="55" t="str">
        <f ca="1">VLOOKUP(A21,units!A:G,3)</f>
        <v>ケロケロけろっぴ</v>
      </c>
      <c r="K21" s="55" t="str">
        <f ca="1">VLOOKUP(A21,units!A:G,2)</f>
        <v>ケロケロけろっぴ</v>
      </c>
      <c r="L21" s="136">
        <v>3</v>
      </c>
      <c r="M21" s="137"/>
      <c r="N21" s="138"/>
      <c r="O21" s="138"/>
      <c r="P21" s="138"/>
      <c r="Q21" s="138"/>
      <c r="R21" s="138"/>
      <c r="S21" s="133"/>
      <c r="T21" s="139"/>
    </row>
    <row r="22" spans="1:20" ht="21" customHeight="1" x14ac:dyDescent="0.15">
      <c r="A22" s="220">
        <v>8063</v>
      </c>
      <c r="B22" s="132" t="s">
        <v>185</v>
      </c>
      <c r="C22" s="171" t="s">
        <v>260</v>
      </c>
      <c r="D22" s="171" t="s">
        <v>446</v>
      </c>
      <c r="E22" s="134">
        <f t="shared" si="0"/>
        <v>33</v>
      </c>
      <c r="F22" s="116">
        <v>12</v>
      </c>
      <c r="G22" s="116">
        <v>5</v>
      </c>
      <c r="H22" s="135">
        <f>2001</f>
        <v>2001</v>
      </c>
      <c r="I22" s="135" t="s">
        <v>436</v>
      </c>
      <c r="J22" s="55" t="str">
        <f ca="1">VLOOKUP(A22,units!A:G,3)</f>
        <v>モルドレッド_ポムポムプリンコスプレ</v>
      </c>
      <c r="K22" s="55" t="str">
        <f ca="1">VLOOKUP(A22,units!A:G,2)</f>
        <v>モルドレッド_ポムポムプリンコスプレ</v>
      </c>
      <c r="L22" s="136">
        <v>3</v>
      </c>
      <c r="M22" s="137"/>
      <c r="N22" s="138"/>
      <c r="O22" s="138"/>
      <c r="P22" s="138"/>
      <c r="Q22" s="138"/>
      <c r="R22" s="138"/>
      <c r="S22" s="133"/>
      <c r="T22" s="139"/>
    </row>
    <row r="23" spans="1:20" ht="21" customHeight="1" x14ac:dyDescent="0.15">
      <c r="A23" s="220">
        <v>8064</v>
      </c>
      <c r="B23" s="132" t="s">
        <v>185</v>
      </c>
      <c r="C23" s="171" t="s">
        <v>260</v>
      </c>
      <c r="D23" s="171" t="s">
        <v>447</v>
      </c>
      <c r="E23" s="134">
        <f t="shared" si="0"/>
        <v>33</v>
      </c>
      <c r="F23" s="116">
        <v>12</v>
      </c>
      <c r="G23" s="116">
        <v>5</v>
      </c>
      <c r="H23" s="135">
        <f>2001</f>
        <v>2001</v>
      </c>
      <c r="I23" s="135" t="s">
        <v>436</v>
      </c>
      <c r="J23" s="55" t="str">
        <f ca="1">VLOOKUP(A23,units!A:G,3)</f>
        <v>モルドレッド_ポムポムプリンコスプレ</v>
      </c>
      <c r="K23" s="55" t="str">
        <f ca="1">VLOOKUP(A23,units!A:G,2)</f>
        <v>モルドレッド_ポムポムプリンコスプレ</v>
      </c>
      <c r="L23" s="136">
        <v>3</v>
      </c>
      <c r="M23" s="137"/>
      <c r="N23" s="138"/>
      <c r="O23" s="138"/>
      <c r="P23" s="138"/>
      <c r="Q23" s="138"/>
      <c r="R23" s="138"/>
      <c r="S23" s="133"/>
      <c r="T23" s="139"/>
    </row>
    <row r="24" spans="1:20" ht="21" customHeight="1" x14ac:dyDescent="0.15">
      <c r="A24" s="220">
        <v>8065</v>
      </c>
      <c r="B24" s="132" t="s">
        <v>185</v>
      </c>
      <c r="C24" s="171" t="s">
        <v>261</v>
      </c>
      <c r="D24" s="171" t="s">
        <v>435</v>
      </c>
      <c r="E24" s="134">
        <f>LEN(D24)</f>
        <v>48</v>
      </c>
      <c r="F24" s="116">
        <v>14</v>
      </c>
      <c r="G24" s="116">
        <v>5</v>
      </c>
      <c r="H24" s="135">
        <f>2001</f>
        <v>2001</v>
      </c>
      <c r="I24" s="135" t="s">
        <v>459</v>
      </c>
      <c r="J24" s="55" t="str">
        <f ca="1">VLOOKUP(A24,units!A:G,3)</f>
        <v>クロミ</v>
      </c>
      <c r="K24" s="55" t="str">
        <f ca="1">VLOOKUP(A24,units!A:G,2)</f>
        <v>クロミ</v>
      </c>
      <c r="L24" s="136">
        <v>3</v>
      </c>
      <c r="M24" s="137"/>
      <c r="N24" s="138"/>
      <c r="O24" s="138"/>
      <c r="P24" s="138"/>
      <c r="Q24" s="138"/>
      <c r="R24" s="138"/>
      <c r="S24" s="133"/>
      <c r="T24" s="139"/>
    </row>
    <row r="25" spans="1:20" ht="21" customHeight="1" x14ac:dyDescent="0.15">
      <c r="A25" s="220">
        <v>8066</v>
      </c>
      <c r="B25" s="132" t="s">
        <v>185</v>
      </c>
      <c r="C25" s="171" t="s">
        <v>262</v>
      </c>
      <c r="D25" s="171" t="s">
        <v>434</v>
      </c>
      <c r="E25" s="134">
        <f>LEN(D25)</f>
        <v>48</v>
      </c>
      <c r="F25" s="116">
        <v>14</v>
      </c>
      <c r="G25" s="116">
        <v>5</v>
      </c>
      <c r="H25" s="135">
        <f>2001</f>
        <v>2001</v>
      </c>
      <c r="I25" s="135" t="s">
        <v>458</v>
      </c>
      <c r="J25" s="55" t="str">
        <f ca="1">VLOOKUP(A25,units!A:G,3)</f>
        <v>クロミ</v>
      </c>
      <c r="K25" s="55" t="str">
        <f ca="1">VLOOKUP(A25,units!A:G,2)</f>
        <v>クロミ</v>
      </c>
      <c r="L25" s="136">
        <v>3</v>
      </c>
      <c r="M25" s="137"/>
      <c r="N25" s="138"/>
      <c r="O25" s="138"/>
      <c r="P25" s="138"/>
      <c r="Q25" s="138"/>
      <c r="R25" s="138"/>
      <c r="S25" s="133"/>
      <c r="T25" s="139"/>
    </row>
    <row r="26" spans="1:20" ht="21" customHeight="1" x14ac:dyDescent="0.15">
      <c r="A26" s="220">
        <v>8067</v>
      </c>
      <c r="B26" s="132" t="s">
        <v>185</v>
      </c>
      <c r="C26" s="169" t="s">
        <v>263</v>
      </c>
      <c r="D26" s="171" t="s">
        <v>454</v>
      </c>
      <c r="E26" s="134">
        <f t="shared" si="0"/>
        <v>14</v>
      </c>
      <c r="F26" s="116">
        <v>9</v>
      </c>
      <c r="G26" s="116">
        <v>5</v>
      </c>
      <c r="H26" s="135">
        <f>2001</f>
        <v>2001</v>
      </c>
      <c r="I26" s="135" t="s">
        <v>428</v>
      </c>
      <c r="J26" s="55" t="str">
        <f ca="1">VLOOKUP(A26,units!A:G,3)</f>
        <v>バッドばつ丸</v>
      </c>
      <c r="K26" s="55" t="str">
        <f ca="1">VLOOKUP(A26,units!A:G,2)</f>
        <v>バッドばつ丸</v>
      </c>
      <c r="L26" s="136">
        <v>3</v>
      </c>
      <c r="M26" s="137"/>
      <c r="N26" s="138"/>
      <c r="O26" s="138"/>
      <c r="P26" s="138"/>
      <c r="Q26" s="138"/>
      <c r="R26" s="138"/>
      <c r="S26" s="133"/>
      <c r="T26" s="139"/>
    </row>
    <row r="27" spans="1:20" ht="21" customHeight="1" x14ac:dyDescent="0.15">
      <c r="A27" s="220">
        <v>8068</v>
      </c>
      <c r="B27" s="132" t="s">
        <v>185</v>
      </c>
      <c r="C27" s="169" t="s">
        <v>263</v>
      </c>
      <c r="D27" s="171" t="s">
        <v>271</v>
      </c>
      <c r="E27" s="134">
        <f t="shared" si="0"/>
        <v>14</v>
      </c>
      <c r="F27" s="116">
        <v>9</v>
      </c>
      <c r="G27" s="116">
        <v>5</v>
      </c>
      <c r="H27" s="135">
        <f>2001</f>
        <v>2001</v>
      </c>
      <c r="I27" s="135" t="s">
        <v>428</v>
      </c>
      <c r="J27" s="55" t="str">
        <f ca="1">VLOOKUP(A27,units!A:G,3)</f>
        <v>バッドばつ丸</v>
      </c>
      <c r="K27" s="55" t="str">
        <f ca="1">VLOOKUP(A27,units!A:G,2)</f>
        <v>バッドばつ丸</v>
      </c>
      <c r="L27" s="136">
        <v>3</v>
      </c>
      <c r="M27" s="137"/>
      <c r="N27" s="138"/>
      <c r="O27" s="138"/>
      <c r="P27" s="138"/>
      <c r="Q27" s="138"/>
      <c r="R27" s="138"/>
      <c r="S27" s="133"/>
      <c r="T27" s="139"/>
    </row>
    <row r="28" spans="1:20" ht="21" customHeight="1" x14ac:dyDescent="0.15">
      <c r="A28" s="220">
        <v>8069</v>
      </c>
      <c r="B28" s="132" t="s">
        <v>185</v>
      </c>
      <c r="C28" s="169" t="s">
        <v>264</v>
      </c>
      <c r="D28" s="171" t="s">
        <v>429</v>
      </c>
      <c r="E28" s="134">
        <f t="shared" si="0"/>
        <v>23</v>
      </c>
      <c r="F28" s="116">
        <v>12</v>
      </c>
      <c r="G28" s="116">
        <v>5</v>
      </c>
      <c r="H28" s="135">
        <f>2001</f>
        <v>2001</v>
      </c>
      <c r="I28" s="135" t="s">
        <v>431</v>
      </c>
      <c r="J28" s="55" t="str">
        <f ca="1">VLOOKUP(A28,units!A:G,3)</f>
        <v>シナモロール</v>
      </c>
      <c r="K28" s="55" t="str">
        <f ca="1">VLOOKUP(A28,units!A:G,2)</f>
        <v>シナモロール</v>
      </c>
      <c r="L28" s="136">
        <v>3</v>
      </c>
      <c r="M28" s="137"/>
      <c r="N28" s="138"/>
      <c r="O28" s="138"/>
      <c r="P28" s="138"/>
      <c r="Q28" s="138"/>
      <c r="R28" s="138"/>
      <c r="S28" s="133"/>
      <c r="T28" s="139"/>
    </row>
    <row r="29" spans="1:20" ht="21" customHeight="1" x14ac:dyDescent="0.15">
      <c r="A29" s="220">
        <v>8070</v>
      </c>
      <c r="B29" s="132" t="s">
        <v>185</v>
      </c>
      <c r="C29" s="169" t="s">
        <v>264</v>
      </c>
      <c r="D29" s="171" t="s">
        <v>429</v>
      </c>
      <c r="E29" s="134">
        <f t="shared" si="0"/>
        <v>23</v>
      </c>
      <c r="F29" s="116">
        <v>12</v>
      </c>
      <c r="G29" s="116">
        <v>5</v>
      </c>
      <c r="H29" s="135">
        <f>2001</f>
        <v>2001</v>
      </c>
      <c r="I29" s="135" t="s">
        <v>430</v>
      </c>
      <c r="J29" s="55" t="str">
        <f ca="1">VLOOKUP(A29,units!A:G,3)</f>
        <v>シナモロール</v>
      </c>
      <c r="K29" s="55" t="str">
        <f ca="1">VLOOKUP(A29,units!A:G,2)</f>
        <v>シナモロール</v>
      </c>
      <c r="L29" s="136">
        <v>3</v>
      </c>
      <c r="M29" s="137"/>
      <c r="N29" s="138"/>
      <c r="O29" s="138"/>
      <c r="P29" s="138"/>
      <c r="Q29" s="138"/>
      <c r="R29" s="138"/>
      <c r="S29" s="133"/>
      <c r="T29" s="139"/>
    </row>
    <row r="30" spans="1:20" ht="21" customHeight="1" x14ac:dyDescent="0.15">
      <c r="A30" s="220">
        <v>8071</v>
      </c>
      <c r="B30" s="132" t="s">
        <v>185</v>
      </c>
      <c r="C30" s="169" t="s">
        <v>265</v>
      </c>
      <c r="D30" s="171" t="s">
        <v>272</v>
      </c>
      <c r="E30" s="134">
        <f t="shared" si="0"/>
        <v>20</v>
      </c>
      <c r="F30" s="116">
        <v>12</v>
      </c>
      <c r="G30" s="116">
        <v>5</v>
      </c>
      <c r="H30" s="135">
        <f>2001</f>
        <v>2001</v>
      </c>
      <c r="I30" s="135" t="s">
        <v>312</v>
      </c>
      <c r="J30" s="55" t="str">
        <f ca="1">VLOOKUP(A30,units!A:G,3)</f>
        <v>ポムポムプリン</v>
      </c>
      <c r="K30" s="55" t="str">
        <f ca="1">VLOOKUP(A30,units!A:G,2)</f>
        <v>ポムポムプリン</v>
      </c>
      <c r="L30" s="136">
        <v>3</v>
      </c>
      <c r="M30" s="137"/>
      <c r="N30" s="138"/>
      <c r="O30" s="138"/>
      <c r="P30" s="138"/>
      <c r="Q30" s="138"/>
      <c r="R30" s="138"/>
      <c r="S30" s="133"/>
      <c r="T30" s="139"/>
    </row>
    <row r="31" spans="1:20" ht="21" customHeight="1" x14ac:dyDescent="0.15">
      <c r="A31" s="220">
        <v>8072</v>
      </c>
      <c r="B31" s="132" t="s">
        <v>185</v>
      </c>
      <c r="C31" s="169" t="s">
        <v>265</v>
      </c>
      <c r="D31" s="171" t="s">
        <v>272</v>
      </c>
      <c r="E31" s="134">
        <f t="shared" si="0"/>
        <v>20</v>
      </c>
      <c r="F31" s="116">
        <v>12</v>
      </c>
      <c r="G31" s="116">
        <v>5</v>
      </c>
      <c r="H31" s="135">
        <f>2001</f>
        <v>2001</v>
      </c>
      <c r="I31" s="135" t="s">
        <v>312</v>
      </c>
      <c r="J31" s="55" t="str">
        <f ca="1">VLOOKUP(A31,units!A:G,3)</f>
        <v>ポムポムプリン</v>
      </c>
      <c r="K31" s="55" t="str">
        <f ca="1">VLOOKUP(A31,units!A:G,2)</f>
        <v>ポムポムプリン</v>
      </c>
      <c r="L31" s="136">
        <v>3</v>
      </c>
      <c r="M31" s="137"/>
      <c r="N31" s="138"/>
      <c r="O31" s="138"/>
      <c r="P31" s="138"/>
      <c r="Q31" s="138"/>
      <c r="R31" s="138"/>
      <c r="S31" s="133"/>
      <c r="T31" s="139"/>
    </row>
  </sheetData>
  <sheetProtection selectLockedCells="1" selectUnlockedCells="1"/>
  <autoFilter ref="A1:T1">
    <sortState ref="A2:T432">
      <sortCondition ref="A1:A432"/>
    </sortState>
  </autoFilter>
  <phoneticPr fontId="22"/>
  <conditionalFormatting sqref="E1 E32:E1048576">
    <cfRule type="cellIs" dxfId="27" priority="8" operator="greaterThan">
      <formula>41</formula>
    </cfRule>
  </conditionalFormatting>
  <conditionalFormatting sqref="E2 E4 E6 E8 E10 E12 E14 E16 E18 E20 E22 E24 E26 E28 E30">
    <cfRule type="cellIs" dxfId="26" priority="2" operator="greaterThan">
      <formula>41</formula>
    </cfRule>
  </conditionalFormatting>
  <conditionalFormatting sqref="E3 E5 E7 E9 E11 E13 E15 E17 E19 E21 E23 E25 E27 E29 E31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T31"/>
  <sheetViews>
    <sheetView showGridLines="0" workbookViewId="0">
      <pane xSplit="4" ySplit="1" topLeftCell="E17" activePane="bottomRight" state="frozen"/>
      <selection pane="topRight" activeCell="D1" sqref="D1"/>
      <selection pane="bottomLeft" activeCell="A3" sqref="A3"/>
      <selection pane="bottomRight" activeCell="A2" sqref="A2:A31"/>
    </sheetView>
  </sheetViews>
  <sheetFormatPr baseColWidth="12" defaultColWidth="13" defaultRowHeight="21" customHeight="1" x14ac:dyDescent="0.15"/>
  <cols>
    <col min="1" max="2" width="12.1640625" style="129" customWidth="1"/>
    <col min="3" max="3" width="32.6640625" style="130" customWidth="1"/>
    <col min="4" max="4" width="29.33203125" style="130" customWidth="1"/>
    <col min="5" max="5" width="10.5" style="130" customWidth="1"/>
    <col min="6" max="6" width="59.1640625" style="130" customWidth="1"/>
    <col min="7" max="7" width="11" style="173" customWidth="1"/>
    <col min="8" max="8" width="59.1640625" style="130" customWidth="1"/>
    <col min="9" max="9" width="6.83203125" style="129" bestFit="1" customWidth="1"/>
    <col min="10" max="10" width="20.33203125" style="129" customWidth="1"/>
    <col min="11" max="11" width="5" style="129" bestFit="1" customWidth="1"/>
    <col min="12" max="16384" width="13" style="129"/>
  </cols>
  <sheetData>
    <row r="1" spans="1:20" ht="21" customHeight="1" x14ac:dyDescent="0.15">
      <c r="A1" s="117" t="s">
        <v>182</v>
      </c>
      <c r="B1" s="118" t="s">
        <v>181</v>
      </c>
      <c r="C1" s="119" t="s">
        <v>180</v>
      </c>
      <c r="D1" s="120" t="s">
        <v>179</v>
      </c>
      <c r="E1" s="120" t="s">
        <v>178</v>
      </c>
      <c r="F1" s="121" t="s">
        <v>177</v>
      </c>
      <c r="G1" s="176" t="s">
        <v>296</v>
      </c>
      <c r="H1" s="174" t="s">
        <v>184</v>
      </c>
      <c r="I1" s="121" t="s">
        <v>176</v>
      </c>
      <c r="J1" s="122" t="s">
        <v>175</v>
      </c>
      <c r="K1" s="126" t="s">
        <v>174</v>
      </c>
    </row>
    <row r="2" spans="1:20" ht="21" customHeight="1" x14ac:dyDescent="0.15">
      <c r="A2" s="220">
        <v>8043</v>
      </c>
      <c r="B2" s="132" t="s">
        <v>186</v>
      </c>
      <c r="C2" s="169" t="s">
        <v>277</v>
      </c>
      <c r="D2" s="172" t="s">
        <v>297</v>
      </c>
      <c r="E2" s="134">
        <f>LEN(D2)</f>
        <v>23</v>
      </c>
      <c r="F2" s="116" t="s">
        <v>380</v>
      </c>
      <c r="G2" s="177" t="str">
        <f ca="1">VLOOKUP(A2,units!A:I,9)</f>
        <v>green</v>
      </c>
      <c r="H2" s="175" t="str">
        <f ca="1">VLOOKUP(A2,units!A:G,2)</f>
        <v>サンリオキャラ大集合+アザゼル</v>
      </c>
      <c r="I2" s="135">
        <v>3</v>
      </c>
      <c r="J2" s="135"/>
      <c r="K2" s="140"/>
      <c r="L2" s="136">
        <v>1</v>
      </c>
      <c r="M2" s="137"/>
      <c r="N2" s="138"/>
      <c r="O2" s="138"/>
      <c r="P2" s="138"/>
      <c r="Q2" s="138"/>
      <c r="R2" s="138"/>
      <c r="S2" s="133"/>
      <c r="T2" s="139"/>
    </row>
    <row r="3" spans="1:20" ht="21" customHeight="1" x14ac:dyDescent="0.15">
      <c r="A3" s="220">
        <v>8044</v>
      </c>
      <c r="B3" s="132" t="s">
        <v>186</v>
      </c>
      <c r="C3" s="169" t="s">
        <v>277</v>
      </c>
      <c r="D3" s="172" t="s">
        <v>297</v>
      </c>
      <c r="E3" s="134">
        <f>LEN(D3)</f>
        <v>23</v>
      </c>
      <c r="F3" s="116" t="s">
        <v>380</v>
      </c>
      <c r="G3" s="177" t="str">
        <f ca="1">VLOOKUP(A3,units!A:I,9)</f>
        <v>green</v>
      </c>
      <c r="H3" s="175" t="str">
        <f ca="1">VLOOKUP(A3,units!A:G,2)</f>
        <v>サンリオキャラ大集合+アザゼル</v>
      </c>
      <c r="I3" s="135">
        <v>3</v>
      </c>
      <c r="J3" s="135"/>
      <c r="K3" s="140"/>
      <c r="L3" s="136">
        <v>1</v>
      </c>
      <c r="M3" s="137"/>
      <c r="N3" s="138"/>
      <c r="O3" s="138"/>
      <c r="P3" s="138"/>
      <c r="Q3" s="138"/>
      <c r="R3" s="138"/>
      <c r="S3" s="133"/>
      <c r="T3" s="139"/>
    </row>
    <row r="4" spans="1:20" ht="21" customHeight="1" x14ac:dyDescent="0.15">
      <c r="A4" s="220">
        <v>8045</v>
      </c>
      <c r="B4" s="132" t="s">
        <v>186</v>
      </c>
      <c r="C4" s="169" t="s">
        <v>278</v>
      </c>
      <c r="D4" s="167" t="s">
        <v>274</v>
      </c>
      <c r="E4" s="134">
        <f>LEN(D4)</f>
        <v>9</v>
      </c>
      <c r="F4" s="116" t="s">
        <v>293</v>
      </c>
      <c r="G4" s="177" t="str">
        <f ca="1">VLOOKUP(A4,units!A:I,9)</f>
        <v>yellow</v>
      </c>
      <c r="H4" s="175" t="str">
        <f ca="1">VLOOKUP(A4,units!A:G,2)</f>
        <v>ニムダ_サンリオキャラ混じり</v>
      </c>
      <c r="I4" s="135">
        <v>3</v>
      </c>
      <c r="J4" s="135"/>
      <c r="K4" s="140"/>
      <c r="L4" s="136">
        <v>1</v>
      </c>
      <c r="M4" s="137"/>
      <c r="N4" s="138"/>
      <c r="O4" s="138"/>
      <c r="P4" s="138"/>
      <c r="Q4" s="138"/>
      <c r="R4" s="138"/>
      <c r="S4" s="133"/>
      <c r="T4" s="139"/>
    </row>
    <row r="5" spans="1:20" ht="21" customHeight="1" x14ac:dyDescent="0.15">
      <c r="A5" s="220">
        <v>8046</v>
      </c>
      <c r="B5" s="132" t="s">
        <v>186</v>
      </c>
      <c r="C5" s="169" t="s">
        <v>278</v>
      </c>
      <c r="D5" s="167" t="s">
        <v>274</v>
      </c>
      <c r="E5" s="134">
        <f t="shared" ref="E5:E31" si="0">LEN(D5)</f>
        <v>9</v>
      </c>
      <c r="F5" s="116" t="s">
        <v>293</v>
      </c>
      <c r="G5" s="177" t="str">
        <f ca="1">VLOOKUP(A5,units!A:I,9)</f>
        <v>yellow</v>
      </c>
      <c r="H5" s="175" t="str">
        <f ca="1">VLOOKUP(A5,units!A:G,2)</f>
        <v>ニムダ_サンリオキャラ混じり</v>
      </c>
      <c r="I5" s="135">
        <v>3</v>
      </c>
      <c r="J5" s="135"/>
      <c r="K5" s="140"/>
      <c r="L5" s="136">
        <v>1</v>
      </c>
      <c r="M5" s="137"/>
      <c r="N5" s="138"/>
      <c r="O5" s="138"/>
      <c r="P5" s="138"/>
      <c r="Q5" s="138"/>
      <c r="R5" s="138"/>
      <c r="S5" s="133"/>
      <c r="T5" s="139"/>
    </row>
    <row r="6" spans="1:20" ht="21" customHeight="1" x14ac:dyDescent="0.15">
      <c r="A6" s="220">
        <v>8047</v>
      </c>
      <c r="B6" s="132" t="s">
        <v>186</v>
      </c>
      <c r="C6" s="169" t="s">
        <v>279</v>
      </c>
      <c r="D6" s="172" t="s">
        <v>292</v>
      </c>
      <c r="E6" s="134">
        <f t="shared" si="0"/>
        <v>25</v>
      </c>
      <c r="F6" s="116" t="s">
        <v>300</v>
      </c>
      <c r="G6" s="177" t="str">
        <f ca="1">VLOOKUP(A6,units!A:I,9)</f>
        <v>red</v>
      </c>
      <c r="H6" s="175" t="str">
        <f ca="1">VLOOKUP(A6,units!A:G,2)</f>
        <v>ハローキティ</v>
      </c>
      <c r="I6" s="135">
        <v>3</v>
      </c>
      <c r="J6" s="135"/>
      <c r="K6" s="140"/>
      <c r="L6" s="136">
        <v>1</v>
      </c>
      <c r="M6" s="137"/>
      <c r="N6" s="138"/>
      <c r="O6" s="138"/>
      <c r="P6" s="138"/>
      <c r="Q6" s="138"/>
      <c r="R6" s="138"/>
      <c r="S6" s="133"/>
      <c r="T6" s="139"/>
    </row>
    <row r="7" spans="1:20" ht="21" customHeight="1" x14ac:dyDescent="0.15">
      <c r="A7" s="220">
        <v>8048</v>
      </c>
      <c r="B7" s="132" t="s">
        <v>186</v>
      </c>
      <c r="C7" s="169" t="s">
        <v>279</v>
      </c>
      <c r="D7" s="172" t="s">
        <v>292</v>
      </c>
      <c r="E7" s="134">
        <f t="shared" si="0"/>
        <v>25</v>
      </c>
      <c r="F7" s="116" t="s">
        <v>300</v>
      </c>
      <c r="G7" s="177" t="str">
        <f ca="1">VLOOKUP(A7,units!A:I,9)</f>
        <v>red</v>
      </c>
      <c r="H7" s="175" t="str">
        <f ca="1">VLOOKUP(A7,units!A:G,2)</f>
        <v>ハローキティ</v>
      </c>
      <c r="I7" s="135">
        <v>3</v>
      </c>
      <c r="J7" s="135"/>
      <c r="K7" s="140"/>
      <c r="L7" s="136">
        <v>1</v>
      </c>
      <c r="M7" s="137"/>
      <c r="N7" s="138"/>
      <c r="O7" s="138"/>
      <c r="P7" s="138"/>
      <c r="Q7" s="138"/>
      <c r="R7" s="138"/>
      <c r="S7" s="133"/>
      <c r="T7" s="139"/>
    </row>
    <row r="8" spans="1:20" ht="21" customHeight="1" x14ac:dyDescent="0.15">
      <c r="A8" s="220">
        <v>8049</v>
      </c>
      <c r="B8" s="132" t="s">
        <v>186</v>
      </c>
      <c r="C8" s="169" t="s">
        <v>280</v>
      </c>
      <c r="D8" s="172" t="s">
        <v>298</v>
      </c>
      <c r="E8" s="134">
        <f t="shared" si="0"/>
        <v>24</v>
      </c>
      <c r="F8" s="116" t="s">
        <v>299</v>
      </c>
      <c r="G8" s="177" t="str">
        <f ca="1">VLOOKUP(A8,units!A:I,9)</f>
        <v>red</v>
      </c>
      <c r="H8" s="175" t="str">
        <f ca="1">VLOOKUP(A8,units!A:G,2)</f>
        <v>KIRIMIちゃん</v>
      </c>
      <c r="I8" s="135">
        <v>3</v>
      </c>
      <c r="J8" s="135"/>
      <c r="K8" s="140"/>
      <c r="L8" s="136">
        <v>1</v>
      </c>
      <c r="M8" s="137"/>
      <c r="N8" s="138"/>
      <c r="O8" s="138"/>
      <c r="P8" s="138"/>
      <c r="Q8" s="138"/>
      <c r="R8" s="138"/>
      <c r="S8" s="133"/>
      <c r="T8" s="139"/>
    </row>
    <row r="9" spans="1:20" ht="21" customHeight="1" x14ac:dyDescent="0.15">
      <c r="A9" s="220">
        <v>8050</v>
      </c>
      <c r="B9" s="132" t="s">
        <v>186</v>
      </c>
      <c r="C9" s="169" t="s">
        <v>280</v>
      </c>
      <c r="D9" s="172" t="s">
        <v>298</v>
      </c>
      <c r="E9" s="134">
        <f t="shared" si="0"/>
        <v>24</v>
      </c>
      <c r="F9" s="116" t="s">
        <v>299</v>
      </c>
      <c r="G9" s="177" t="str">
        <f ca="1">VLOOKUP(A9,units!A:I,9)</f>
        <v>red</v>
      </c>
      <c r="H9" s="175" t="str">
        <f ca="1">VLOOKUP(A9,units!A:G,2)</f>
        <v>KIRIMIちゃん</v>
      </c>
      <c r="I9" s="135">
        <v>3</v>
      </c>
      <c r="J9" s="135"/>
      <c r="K9" s="140"/>
      <c r="L9" s="136">
        <v>1</v>
      </c>
      <c r="M9" s="137"/>
      <c r="N9" s="138"/>
      <c r="O9" s="138"/>
      <c r="P9" s="138"/>
      <c r="Q9" s="138"/>
      <c r="R9" s="138"/>
      <c r="S9" s="133"/>
      <c r="T9" s="139"/>
    </row>
    <row r="10" spans="1:20" ht="21" customHeight="1" x14ac:dyDescent="0.15">
      <c r="A10" s="220">
        <v>8051</v>
      </c>
      <c r="B10" s="132" t="s">
        <v>186</v>
      </c>
      <c r="C10" s="170" t="s">
        <v>252</v>
      </c>
      <c r="D10" s="168" t="s">
        <v>252</v>
      </c>
      <c r="E10" s="134">
        <f t="shared" si="0"/>
        <v>9</v>
      </c>
      <c r="F10" s="116"/>
      <c r="G10" s="177" t="str">
        <f ca="1">VLOOKUP(A10,units!A:I,9)</f>
        <v>red</v>
      </c>
      <c r="H10" s="175" t="str">
        <f ca="1">VLOOKUP(A10,units!A:G,2)</f>
        <v>ハローキティのリボン</v>
      </c>
      <c r="I10" s="135">
        <v>3</v>
      </c>
      <c r="J10" s="135"/>
      <c r="K10" s="140"/>
      <c r="L10" s="136">
        <v>1</v>
      </c>
      <c r="M10" s="137"/>
      <c r="N10" s="138"/>
      <c r="O10" s="138"/>
      <c r="P10" s="138"/>
      <c r="Q10" s="138"/>
      <c r="R10" s="138"/>
      <c r="S10" s="133"/>
      <c r="T10" s="139"/>
    </row>
    <row r="11" spans="1:20" ht="21" customHeight="1" x14ac:dyDescent="0.15">
      <c r="A11" s="220">
        <v>8052</v>
      </c>
      <c r="B11" s="132" t="s">
        <v>186</v>
      </c>
      <c r="C11" s="170" t="s">
        <v>252</v>
      </c>
      <c r="D11" s="168" t="s">
        <v>252</v>
      </c>
      <c r="E11" s="134">
        <f t="shared" si="0"/>
        <v>9</v>
      </c>
      <c r="F11" s="116"/>
      <c r="G11" s="177" t="str">
        <f ca="1">VLOOKUP(A11,units!A:I,9)</f>
        <v>red</v>
      </c>
      <c r="H11" s="175" t="str">
        <f ca="1">VLOOKUP(A11,units!A:G,2)</f>
        <v>ママの作ったアップルパイ</v>
      </c>
      <c r="I11" s="135">
        <v>3</v>
      </c>
      <c r="J11" s="135"/>
      <c r="K11" s="140"/>
      <c r="L11" s="136">
        <v>1</v>
      </c>
      <c r="M11" s="137"/>
      <c r="N11" s="138"/>
      <c r="O11" s="138"/>
      <c r="P11" s="138"/>
      <c r="Q11" s="138"/>
      <c r="R11" s="138"/>
      <c r="S11" s="133"/>
      <c r="T11" s="139"/>
    </row>
    <row r="12" spans="1:20" ht="63" customHeight="1" x14ac:dyDescent="0.15">
      <c r="A12" s="220">
        <v>8053</v>
      </c>
      <c r="B12" s="132" t="s">
        <v>186</v>
      </c>
      <c r="C12" s="169" t="s">
        <v>281</v>
      </c>
      <c r="D12" s="218" t="s">
        <v>460</v>
      </c>
      <c r="E12" s="134">
        <f t="shared" si="0"/>
        <v>36</v>
      </c>
      <c r="F12" s="219" t="s">
        <v>461</v>
      </c>
      <c r="G12" s="177" t="str">
        <f ca="1">VLOOKUP(A12,units!A:I,9)</f>
        <v>red</v>
      </c>
      <c r="H12" s="175" t="str">
        <f ca="1">VLOOKUP(A12,units!A:G,2)</f>
        <v>D.R.T.H__キティコスプレ</v>
      </c>
      <c r="I12" s="135">
        <v>3</v>
      </c>
      <c r="J12" s="135"/>
      <c r="K12" s="140"/>
      <c r="L12" s="136">
        <v>1</v>
      </c>
      <c r="M12" s="137"/>
      <c r="N12" s="138"/>
      <c r="O12" s="138"/>
      <c r="P12" s="138"/>
      <c r="Q12" s="138"/>
      <c r="R12" s="138"/>
      <c r="S12" s="133"/>
      <c r="T12" s="139"/>
    </row>
    <row r="13" spans="1:20" ht="63" customHeight="1" x14ac:dyDescent="0.15">
      <c r="A13" s="220">
        <v>8054</v>
      </c>
      <c r="B13" s="132" t="s">
        <v>186</v>
      </c>
      <c r="C13" s="169" t="s">
        <v>281</v>
      </c>
      <c r="D13" s="218" t="s">
        <v>460</v>
      </c>
      <c r="E13" s="134">
        <f t="shared" si="0"/>
        <v>36</v>
      </c>
      <c r="F13" s="219" t="s">
        <v>462</v>
      </c>
      <c r="G13" s="177" t="str">
        <f ca="1">VLOOKUP(A13,units!A:I,9)</f>
        <v>red</v>
      </c>
      <c r="H13" s="175" t="str">
        <f ca="1">VLOOKUP(A13,units!A:G,2)</f>
        <v>D.R.T.H__キティコスプレ</v>
      </c>
      <c r="I13" s="135">
        <v>3</v>
      </c>
      <c r="J13" s="135"/>
      <c r="K13" s="140"/>
      <c r="L13" s="136">
        <v>1</v>
      </c>
      <c r="M13" s="137"/>
      <c r="N13" s="138"/>
      <c r="O13" s="138"/>
      <c r="P13" s="138"/>
      <c r="Q13" s="138"/>
      <c r="R13" s="138"/>
      <c r="S13" s="133"/>
      <c r="T13" s="139"/>
    </row>
    <row r="14" spans="1:20" ht="21" customHeight="1" x14ac:dyDescent="0.15">
      <c r="A14" s="220">
        <v>8055</v>
      </c>
      <c r="B14" s="132" t="s">
        <v>186</v>
      </c>
      <c r="C14" s="171" t="s">
        <v>282</v>
      </c>
      <c r="D14" s="167" t="s">
        <v>275</v>
      </c>
      <c r="E14" s="134">
        <f t="shared" si="0"/>
        <v>9</v>
      </c>
      <c r="F14" s="116" t="s">
        <v>247</v>
      </c>
      <c r="G14" s="177" t="str">
        <f ca="1">VLOOKUP(A14,units!A:I,9)</f>
        <v>red</v>
      </c>
      <c r="H14" s="175" t="str">
        <f ca="1">VLOOKUP(A14,units!A:G,2)</f>
        <v>マイメロディ</v>
      </c>
      <c r="I14" s="135">
        <v>3</v>
      </c>
      <c r="J14" s="135"/>
      <c r="K14" s="140"/>
      <c r="L14" s="136">
        <v>1</v>
      </c>
      <c r="M14" s="137"/>
      <c r="N14" s="138"/>
      <c r="O14" s="138"/>
      <c r="P14" s="138"/>
      <c r="Q14" s="138"/>
      <c r="R14" s="138"/>
      <c r="S14" s="133"/>
      <c r="T14" s="139"/>
    </row>
    <row r="15" spans="1:20" ht="21" customHeight="1" x14ac:dyDescent="0.15">
      <c r="A15" s="220">
        <v>8056</v>
      </c>
      <c r="B15" s="132" t="s">
        <v>186</v>
      </c>
      <c r="C15" s="171" t="s">
        <v>282</v>
      </c>
      <c r="D15" s="167" t="s">
        <v>275</v>
      </c>
      <c r="E15" s="134">
        <f t="shared" si="0"/>
        <v>9</v>
      </c>
      <c r="F15" s="116" t="s">
        <v>247</v>
      </c>
      <c r="G15" s="177" t="str">
        <f ca="1">VLOOKUP(A15,units!A:I,9)</f>
        <v>red</v>
      </c>
      <c r="H15" s="175" t="str">
        <f ca="1">VLOOKUP(A15,units!A:G,2)</f>
        <v>マイメロディ</v>
      </c>
      <c r="I15" s="135">
        <v>3</v>
      </c>
      <c r="J15" s="135"/>
      <c r="K15" s="140"/>
      <c r="L15" s="136">
        <v>1</v>
      </c>
      <c r="M15" s="137"/>
      <c r="N15" s="138"/>
      <c r="O15" s="138"/>
      <c r="P15" s="138"/>
      <c r="Q15" s="138"/>
      <c r="R15" s="138"/>
      <c r="S15" s="133"/>
      <c r="T15" s="139"/>
    </row>
    <row r="16" spans="1:20" ht="21" customHeight="1" x14ac:dyDescent="0.15">
      <c r="A16" s="220">
        <v>8057</v>
      </c>
      <c r="B16" s="132" t="s">
        <v>186</v>
      </c>
      <c r="C16" s="171" t="s">
        <v>283</v>
      </c>
      <c r="D16" s="172" t="s">
        <v>291</v>
      </c>
      <c r="E16" s="134">
        <f t="shared" si="0"/>
        <v>19</v>
      </c>
      <c r="F16" s="116" t="s">
        <v>426</v>
      </c>
      <c r="G16" s="177" t="str">
        <f ca="1">VLOOKUP(A16,units!A:I,9)</f>
        <v>green</v>
      </c>
      <c r="H16" s="175" t="str">
        <f ca="1">VLOOKUP(A16,units!A:G,2)</f>
        <v>ニーベルゲン_シナモロールコスプレ</v>
      </c>
      <c r="I16" s="135">
        <v>3</v>
      </c>
      <c r="J16" s="135"/>
      <c r="K16" s="140"/>
      <c r="L16" s="136">
        <v>1</v>
      </c>
      <c r="M16" s="137"/>
      <c r="N16" s="138"/>
      <c r="O16" s="138"/>
      <c r="P16" s="138"/>
      <c r="Q16" s="138"/>
      <c r="R16" s="138"/>
      <c r="S16" s="133"/>
      <c r="T16" s="139"/>
    </row>
    <row r="17" spans="1:20" ht="21" customHeight="1" x14ac:dyDescent="0.15">
      <c r="A17" s="220">
        <v>8058</v>
      </c>
      <c r="B17" s="132" t="s">
        <v>186</v>
      </c>
      <c r="C17" s="171" t="s">
        <v>283</v>
      </c>
      <c r="D17" s="172" t="s">
        <v>291</v>
      </c>
      <c r="E17" s="134">
        <f t="shared" si="0"/>
        <v>19</v>
      </c>
      <c r="F17" s="116" t="s">
        <v>427</v>
      </c>
      <c r="G17" s="177" t="str">
        <f ca="1">VLOOKUP(A17,units!A:I,9)</f>
        <v>green</v>
      </c>
      <c r="H17" s="175" t="str">
        <f ca="1">VLOOKUP(A17,units!A:G,2)</f>
        <v>ニーベルゲン_シナモロールコスプレ</v>
      </c>
      <c r="I17" s="135">
        <v>3</v>
      </c>
      <c r="J17" s="135"/>
      <c r="K17" s="140"/>
      <c r="L17" s="136">
        <v>1</v>
      </c>
      <c r="M17" s="137"/>
      <c r="N17" s="138"/>
      <c r="O17" s="138"/>
      <c r="P17" s="138"/>
      <c r="Q17" s="138"/>
      <c r="R17" s="138"/>
      <c r="S17" s="133"/>
      <c r="T17" s="139"/>
    </row>
    <row r="18" spans="1:20" ht="21" customHeight="1" x14ac:dyDescent="0.15">
      <c r="A18" s="220">
        <v>8059</v>
      </c>
      <c r="B18" s="132" t="s">
        <v>186</v>
      </c>
      <c r="C18" s="171" t="s">
        <v>284</v>
      </c>
      <c r="D18" s="172" t="s">
        <v>301</v>
      </c>
      <c r="E18" s="134">
        <f t="shared" si="0"/>
        <v>18</v>
      </c>
      <c r="F18" s="116" t="s">
        <v>302</v>
      </c>
      <c r="G18" s="177" t="str">
        <f ca="1">VLOOKUP(A18,units!A:I,9)</f>
        <v>green</v>
      </c>
      <c r="H18" s="175" t="str">
        <f ca="1">VLOOKUP(A18,units!A:G,2)</f>
        <v>カカシ_マイメロディコスプレ</v>
      </c>
      <c r="I18" s="135">
        <v>3</v>
      </c>
      <c r="J18" s="135"/>
      <c r="K18" s="140"/>
      <c r="L18" s="136">
        <v>1</v>
      </c>
      <c r="M18" s="137"/>
      <c r="N18" s="138"/>
      <c r="O18" s="138"/>
      <c r="P18" s="138"/>
      <c r="Q18" s="138"/>
      <c r="R18" s="138"/>
      <c r="S18" s="133"/>
      <c r="T18" s="139"/>
    </row>
    <row r="19" spans="1:20" ht="21" customHeight="1" x14ac:dyDescent="0.15">
      <c r="A19" s="220">
        <v>8060</v>
      </c>
      <c r="B19" s="132" t="s">
        <v>186</v>
      </c>
      <c r="C19" s="171" t="s">
        <v>284</v>
      </c>
      <c r="D19" s="172" t="s">
        <v>301</v>
      </c>
      <c r="E19" s="134">
        <f t="shared" si="0"/>
        <v>18</v>
      </c>
      <c r="F19" s="116" t="s">
        <v>302</v>
      </c>
      <c r="G19" s="177" t="str">
        <f ca="1">VLOOKUP(A19,units!A:I,9)</f>
        <v>green</v>
      </c>
      <c r="H19" s="175" t="str">
        <f ca="1">VLOOKUP(A19,units!A:G,2)</f>
        <v>カカシ_マイメロディコスプレ</v>
      </c>
      <c r="I19" s="135">
        <v>3</v>
      </c>
      <c r="J19" s="135"/>
      <c r="K19" s="140"/>
      <c r="L19" s="136">
        <v>1</v>
      </c>
      <c r="M19" s="137"/>
      <c r="N19" s="138"/>
      <c r="O19" s="138"/>
      <c r="P19" s="138"/>
      <c r="Q19" s="138"/>
      <c r="R19" s="138"/>
      <c r="S19" s="133"/>
      <c r="T19" s="139"/>
    </row>
    <row r="20" spans="1:20" ht="21" customHeight="1" x14ac:dyDescent="0.15">
      <c r="A20" s="220">
        <v>8061</v>
      </c>
      <c r="B20" s="132" t="s">
        <v>186</v>
      </c>
      <c r="C20" s="171" t="s">
        <v>285</v>
      </c>
      <c r="D20" s="172" t="s">
        <v>303</v>
      </c>
      <c r="E20" s="134">
        <f t="shared" si="0"/>
        <v>16</v>
      </c>
      <c r="F20" s="178" t="s">
        <v>443</v>
      </c>
      <c r="G20" s="177" t="str">
        <f ca="1">VLOOKUP(A20,units!A:I,9)</f>
        <v>green</v>
      </c>
      <c r="H20" s="175" t="str">
        <f ca="1">VLOOKUP(A20,units!A:G,2)</f>
        <v>ケロケロけろっぴ</v>
      </c>
      <c r="I20" s="135">
        <v>3</v>
      </c>
      <c r="J20" s="135"/>
      <c r="K20" s="140"/>
      <c r="L20" s="136">
        <v>1</v>
      </c>
      <c r="M20" s="137"/>
      <c r="N20" s="138"/>
      <c r="O20" s="138"/>
      <c r="P20" s="138"/>
      <c r="Q20" s="138"/>
      <c r="R20" s="138"/>
      <c r="S20" s="133"/>
      <c r="T20" s="139"/>
    </row>
    <row r="21" spans="1:20" ht="21" customHeight="1" x14ac:dyDescent="0.15">
      <c r="A21" s="220">
        <v>8062</v>
      </c>
      <c r="B21" s="132" t="s">
        <v>186</v>
      </c>
      <c r="C21" s="171" t="s">
        <v>285</v>
      </c>
      <c r="D21" s="172" t="s">
        <v>303</v>
      </c>
      <c r="E21" s="134">
        <f t="shared" si="0"/>
        <v>16</v>
      </c>
      <c r="F21" s="178" t="s">
        <v>444</v>
      </c>
      <c r="G21" s="177" t="str">
        <f ca="1">VLOOKUP(A21,units!A:I,9)</f>
        <v>green</v>
      </c>
      <c r="H21" s="175" t="str">
        <f ca="1">VLOOKUP(A21,units!A:G,2)</f>
        <v>ケロケロけろっぴ</v>
      </c>
      <c r="I21" s="135">
        <v>3</v>
      </c>
      <c r="J21" s="135"/>
      <c r="K21" s="140"/>
      <c r="L21" s="136">
        <v>1</v>
      </c>
      <c r="M21" s="137"/>
      <c r="N21" s="138"/>
      <c r="O21" s="138"/>
      <c r="P21" s="138"/>
      <c r="Q21" s="138"/>
      <c r="R21" s="138"/>
      <c r="S21" s="133"/>
      <c r="T21" s="139"/>
    </row>
    <row r="22" spans="1:20" ht="21" customHeight="1" x14ac:dyDescent="0.15">
      <c r="A22" s="220">
        <v>8063</v>
      </c>
      <c r="B22" s="132" t="s">
        <v>186</v>
      </c>
      <c r="C22" s="171" t="s">
        <v>290</v>
      </c>
      <c r="D22" s="133" t="s">
        <v>455</v>
      </c>
      <c r="E22" s="134">
        <f t="shared" si="0"/>
        <v>24</v>
      </c>
      <c r="F22" s="166" t="s">
        <v>456</v>
      </c>
      <c r="G22" s="177" t="str">
        <f ca="1">VLOOKUP(A22,units!A:I,9)</f>
        <v>blue</v>
      </c>
      <c r="H22" s="175" t="str">
        <f ca="1">VLOOKUP(A22,units!A:G,2)</f>
        <v>モルドレッド_ポムポムプリンコスプレ</v>
      </c>
      <c r="I22" s="135">
        <v>3</v>
      </c>
      <c r="J22" s="135"/>
      <c r="K22" s="140"/>
      <c r="L22" s="136">
        <v>1</v>
      </c>
      <c r="M22" s="137"/>
      <c r="N22" s="138"/>
      <c r="O22" s="138"/>
      <c r="P22" s="138"/>
      <c r="Q22" s="138"/>
      <c r="R22" s="138"/>
      <c r="S22" s="133"/>
      <c r="T22" s="139"/>
    </row>
    <row r="23" spans="1:20" ht="21" customHeight="1" x14ac:dyDescent="0.15">
      <c r="A23" s="220">
        <v>8064</v>
      </c>
      <c r="B23" s="132" t="s">
        <v>186</v>
      </c>
      <c r="C23" s="171" t="s">
        <v>290</v>
      </c>
      <c r="D23" s="133" t="s">
        <v>455</v>
      </c>
      <c r="E23" s="134">
        <f t="shared" si="0"/>
        <v>24</v>
      </c>
      <c r="F23" s="166" t="s">
        <v>456</v>
      </c>
      <c r="G23" s="177" t="str">
        <f ca="1">VLOOKUP(A23,units!A:I,9)</f>
        <v>blue</v>
      </c>
      <c r="H23" s="175" t="str">
        <f ca="1">VLOOKUP(A23,units!A:G,2)</f>
        <v>モルドレッド_ポムポムプリンコスプレ</v>
      </c>
      <c r="I23" s="135">
        <v>3</v>
      </c>
      <c r="J23" s="135"/>
      <c r="K23" s="140"/>
      <c r="L23" s="136">
        <v>1</v>
      </c>
      <c r="M23" s="137"/>
      <c r="N23" s="138"/>
      <c r="O23" s="138"/>
      <c r="P23" s="138"/>
      <c r="Q23" s="138"/>
      <c r="R23" s="138"/>
      <c r="S23" s="133"/>
      <c r="T23" s="139"/>
    </row>
    <row r="24" spans="1:20" ht="21" customHeight="1" x14ac:dyDescent="0.15">
      <c r="A24" s="220">
        <v>8065</v>
      </c>
      <c r="B24" s="132" t="s">
        <v>186</v>
      </c>
      <c r="C24" s="169" t="s">
        <v>286</v>
      </c>
      <c r="D24" s="172" t="s">
        <v>291</v>
      </c>
      <c r="E24" s="134">
        <f t="shared" si="0"/>
        <v>19</v>
      </c>
      <c r="F24" s="116" t="s">
        <v>304</v>
      </c>
      <c r="G24" s="177" t="str">
        <f ca="1">VLOOKUP(A24,units!A:I,9)</f>
        <v>blue</v>
      </c>
      <c r="H24" s="175" t="str">
        <f ca="1">VLOOKUP(A24,units!A:G,2)</f>
        <v>クロミ</v>
      </c>
      <c r="I24" s="135">
        <v>3</v>
      </c>
      <c r="J24" s="135"/>
      <c r="K24" s="140"/>
      <c r="L24" s="136">
        <v>1</v>
      </c>
      <c r="M24" s="137"/>
      <c r="N24" s="138"/>
      <c r="O24" s="138"/>
      <c r="P24" s="138"/>
      <c r="Q24" s="138"/>
      <c r="R24" s="138"/>
      <c r="S24" s="133"/>
      <c r="T24" s="139"/>
    </row>
    <row r="25" spans="1:20" ht="21" customHeight="1" x14ac:dyDescent="0.15">
      <c r="A25" s="220">
        <v>8066</v>
      </c>
      <c r="B25" s="132" t="s">
        <v>186</v>
      </c>
      <c r="C25" s="169" t="s">
        <v>286</v>
      </c>
      <c r="D25" s="172" t="s">
        <v>291</v>
      </c>
      <c r="E25" s="134">
        <f t="shared" si="0"/>
        <v>19</v>
      </c>
      <c r="F25" s="116" t="s">
        <v>304</v>
      </c>
      <c r="G25" s="177" t="str">
        <f ca="1">VLOOKUP(A25,units!A:I,9)</f>
        <v>blue</v>
      </c>
      <c r="H25" s="175" t="str">
        <f ca="1">VLOOKUP(A25,units!A:G,2)</f>
        <v>クロミ</v>
      </c>
      <c r="I25" s="135">
        <v>3</v>
      </c>
      <c r="J25" s="135"/>
      <c r="K25" s="140"/>
      <c r="L25" s="136">
        <v>1</v>
      </c>
      <c r="M25" s="137"/>
      <c r="N25" s="138"/>
      <c r="O25" s="138"/>
      <c r="P25" s="138"/>
      <c r="Q25" s="138"/>
      <c r="R25" s="138"/>
      <c r="S25" s="133"/>
      <c r="T25" s="139"/>
    </row>
    <row r="26" spans="1:20" ht="21" customHeight="1" x14ac:dyDescent="0.15">
      <c r="A26" s="220">
        <v>8067</v>
      </c>
      <c r="B26" s="132" t="s">
        <v>186</v>
      </c>
      <c r="C26" s="169" t="s">
        <v>287</v>
      </c>
      <c r="D26" s="167" t="s">
        <v>276</v>
      </c>
      <c r="E26" s="134">
        <f t="shared" si="0"/>
        <v>10</v>
      </c>
      <c r="F26" s="116" t="s">
        <v>295</v>
      </c>
      <c r="G26" s="177" t="str">
        <f ca="1">VLOOKUP(A26,units!A:I,9)</f>
        <v>blue</v>
      </c>
      <c r="H26" s="175" t="str">
        <f ca="1">VLOOKUP(A26,units!A:G,2)</f>
        <v>バッドばつ丸</v>
      </c>
      <c r="I26" s="135">
        <v>3</v>
      </c>
      <c r="J26" s="135"/>
      <c r="K26" s="140"/>
      <c r="L26" s="136">
        <v>1</v>
      </c>
      <c r="M26" s="137"/>
      <c r="N26" s="138"/>
      <c r="O26" s="138"/>
      <c r="P26" s="138"/>
      <c r="Q26" s="138"/>
      <c r="R26" s="138"/>
      <c r="S26" s="133"/>
      <c r="T26" s="139"/>
    </row>
    <row r="27" spans="1:20" ht="21" customHeight="1" x14ac:dyDescent="0.15">
      <c r="A27" s="220">
        <v>8068</v>
      </c>
      <c r="B27" s="132" t="s">
        <v>186</v>
      </c>
      <c r="C27" s="169" t="s">
        <v>287</v>
      </c>
      <c r="D27" s="167" t="s">
        <v>276</v>
      </c>
      <c r="E27" s="134">
        <f t="shared" si="0"/>
        <v>10</v>
      </c>
      <c r="F27" s="116" t="s">
        <v>294</v>
      </c>
      <c r="G27" s="177" t="str">
        <f ca="1">VLOOKUP(A27,units!A:I,9)</f>
        <v>blue</v>
      </c>
      <c r="H27" s="175" t="str">
        <f ca="1">VLOOKUP(A27,units!A:G,2)</f>
        <v>バッドばつ丸</v>
      </c>
      <c r="I27" s="135">
        <v>3</v>
      </c>
      <c r="J27" s="135"/>
      <c r="K27" s="140"/>
      <c r="L27" s="136">
        <v>1</v>
      </c>
      <c r="M27" s="137"/>
      <c r="N27" s="138"/>
      <c r="O27" s="138"/>
      <c r="P27" s="138"/>
      <c r="Q27" s="138"/>
      <c r="R27" s="138"/>
      <c r="S27" s="133"/>
      <c r="T27" s="139"/>
    </row>
    <row r="28" spans="1:20" ht="21" customHeight="1" x14ac:dyDescent="0.15">
      <c r="A28" s="220">
        <v>8069</v>
      </c>
      <c r="B28" s="132" t="s">
        <v>186</v>
      </c>
      <c r="C28" s="169" t="s">
        <v>288</v>
      </c>
      <c r="D28" s="172" t="s">
        <v>303</v>
      </c>
      <c r="E28" s="134">
        <f t="shared" si="0"/>
        <v>16</v>
      </c>
      <c r="F28" s="178" t="s">
        <v>433</v>
      </c>
      <c r="G28" s="177" t="str">
        <f ca="1">VLOOKUP(A28,units!A:I,9)</f>
        <v>yellow</v>
      </c>
      <c r="H28" s="175" t="str">
        <f ca="1">VLOOKUP(A28,units!A:G,2)</f>
        <v>シナモロール</v>
      </c>
      <c r="I28" s="135">
        <v>3</v>
      </c>
      <c r="J28" s="135"/>
      <c r="K28" s="140"/>
      <c r="L28" s="136">
        <v>1</v>
      </c>
      <c r="M28" s="137"/>
      <c r="N28" s="138"/>
      <c r="O28" s="138"/>
      <c r="P28" s="138"/>
      <c r="Q28" s="138"/>
      <c r="R28" s="138"/>
      <c r="S28" s="133"/>
      <c r="T28" s="139"/>
    </row>
    <row r="29" spans="1:20" ht="21" customHeight="1" x14ac:dyDescent="0.15">
      <c r="A29" s="220">
        <v>8070</v>
      </c>
      <c r="B29" s="132" t="s">
        <v>186</v>
      </c>
      <c r="C29" s="169" t="s">
        <v>288</v>
      </c>
      <c r="D29" s="172" t="s">
        <v>303</v>
      </c>
      <c r="E29" s="134">
        <f t="shared" si="0"/>
        <v>16</v>
      </c>
      <c r="F29" s="178" t="s">
        <v>433</v>
      </c>
      <c r="G29" s="177" t="str">
        <f ca="1">VLOOKUP(A29,units!A:I,9)</f>
        <v>yellow</v>
      </c>
      <c r="H29" s="175" t="str">
        <f ca="1">VLOOKUP(A29,units!A:G,2)</f>
        <v>シナモロール</v>
      </c>
      <c r="I29" s="135">
        <v>3</v>
      </c>
      <c r="J29" s="135"/>
      <c r="K29" s="140"/>
      <c r="L29" s="136">
        <v>1</v>
      </c>
      <c r="M29" s="137"/>
      <c r="N29" s="138"/>
      <c r="O29" s="138"/>
      <c r="P29" s="138"/>
      <c r="Q29" s="138"/>
      <c r="R29" s="138"/>
      <c r="S29" s="133"/>
      <c r="T29" s="139"/>
    </row>
    <row r="30" spans="1:20" ht="21" customHeight="1" x14ac:dyDescent="0.15">
      <c r="A30" s="220">
        <v>8071</v>
      </c>
      <c r="B30" s="132" t="s">
        <v>186</v>
      </c>
      <c r="C30" s="169" t="s">
        <v>289</v>
      </c>
      <c r="D30" s="172" t="s">
        <v>306</v>
      </c>
      <c r="E30" s="134">
        <f t="shared" si="0"/>
        <v>24</v>
      </c>
      <c r="F30" s="116" t="s">
        <v>305</v>
      </c>
      <c r="G30" s="177" t="str">
        <f ca="1">VLOOKUP(A30,units!A:I,9)</f>
        <v>yellow</v>
      </c>
      <c r="H30" s="175" t="str">
        <f ca="1">VLOOKUP(A30,units!A:G,2)</f>
        <v>ポムポムプリン</v>
      </c>
      <c r="I30" s="135">
        <v>3</v>
      </c>
      <c r="J30" s="135"/>
      <c r="K30" s="140"/>
      <c r="L30" s="136">
        <v>1</v>
      </c>
      <c r="M30" s="137"/>
      <c r="N30" s="138"/>
      <c r="O30" s="138"/>
      <c r="P30" s="138"/>
      <c r="Q30" s="138"/>
      <c r="R30" s="138"/>
      <c r="S30" s="133"/>
      <c r="T30" s="139"/>
    </row>
    <row r="31" spans="1:20" ht="21" customHeight="1" x14ac:dyDescent="0.15">
      <c r="A31" s="220">
        <v>8072</v>
      </c>
      <c r="B31" s="132" t="s">
        <v>186</v>
      </c>
      <c r="C31" s="169" t="s">
        <v>289</v>
      </c>
      <c r="D31" s="172" t="s">
        <v>306</v>
      </c>
      <c r="E31" s="134">
        <f t="shared" si="0"/>
        <v>24</v>
      </c>
      <c r="F31" s="116" t="s">
        <v>305</v>
      </c>
      <c r="G31" s="177" t="str">
        <f ca="1">VLOOKUP(A31,units!A:I,9)</f>
        <v>yellow</v>
      </c>
      <c r="H31" s="175" t="str">
        <f ca="1">VLOOKUP(A31,units!A:G,2)</f>
        <v>ポムポムプリン</v>
      </c>
      <c r="I31" s="135">
        <v>3</v>
      </c>
      <c r="J31" s="135"/>
      <c r="K31" s="140"/>
      <c r="L31" s="136">
        <v>1</v>
      </c>
      <c r="M31" s="137"/>
      <c r="N31" s="138"/>
      <c r="O31" s="138"/>
      <c r="P31" s="138"/>
      <c r="Q31" s="138"/>
      <c r="R31" s="138"/>
      <c r="S31" s="133"/>
      <c r="T31" s="139"/>
    </row>
  </sheetData>
  <sheetProtection selectLockedCells="1" selectUnlockedCells="1"/>
  <autoFilter ref="A1:K1"/>
  <phoneticPr fontId="22"/>
  <conditionalFormatting sqref="E2 E4 E6 E8 E10 E12 E14 E16 E18 E20 E22 E24 E26 E28 E30">
    <cfRule type="cellIs" dxfId="24" priority="2" operator="greaterThan">
      <formula>41</formula>
    </cfRule>
  </conditionalFormatting>
  <conditionalFormatting sqref="E3 E5 E7 E9 E11 E13 E15 E17 E19 E21 E23 E25 E27 E29 E31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97"/>
  <sheetViews>
    <sheetView topLeftCell="A38" workbookViewId="0">
      <selection activeCell="C102" sqref="C102"/>
    </sheetView>
  </sheetViews>
  <sheetFormatPr baseColWidth="12" defaultRowHeight="15" outlineLevelCol="1" x14ac:dyDescent="0.15"/>
  <cols>
    <col min="2" max="2" width="33.6640625" style="141" customWidth="1"/>
    <col min="4" max="4" width="12.83203125" style="141" customWidth="1" outlineLevel="1"/>
    <col min="5" max="5" width="12.83203125" style="141"/>
    <col min="8" max="8" width="26.33203125" customWidth="1"/>
  </cols>
  <sheetData>
    <row r="1" spans="1:8" x14ac:dyDescent="0.15">
      <c r="A1" s="187" t="s">
        <v>465</v>
      </c>
      <c r="B1" s="188" t="s">
        <v>151</v>
      </c>
      <c r="C1" s="187" t="s">
        <v>466</v>
      </c>
      <c r="D1" s="188" t="s">
        <v>338</v>
      </c>
      <c r="E1" s="188" t="s">
        <v>139</v>
      </c>
      <c r="F1" s="189" t="s">
        <v>181</v>
      </c>
      <c r="G1" s="187" t="s">
        <v>187</v>
      </c>
      <c r="H1" s="189" t="s">
        <v>188</v>
      </c>
    </row>
    <row r="2" spans="1:8" x14ac:dyDescent="0.15">
      <c r="A2" s="190">
        <v>8043</v>
      </c>
      <c r="B2" s="188" t="str">
        <f>VLOOKUP(A2,[1]characters!$A:$C,3,FALSE)</f>
        <v>サンリオキャラ大集合+アザゼル</v>
      </c>
      <c r="C2" s="191" t="s">
        <v>339</v>
      </c>
      <c r="D2" s="188"/>
      <c r="E2" s="188" t="str">
        <f>A2&amp;+(COUNTIF(A$2:A2,A2)-1)</f>
        <v>80430</v>
      </c>
      <c r="F2" s="191" t="s">
        <v>340</v>
      </c>
      <c r="G2" s="184" t="s">
        <v>341</v>
      </c>
      <c r="H2" s="194" t="s">
        <v>363</v>
      </c>
    </row>
    <row r="3" spans="1:8" x14ac:dyDescent="0.15">
      <c r="A3" s="190">
        <v>8043</v>
      </c>
      <c r="B3" s="188" t="str">
        <f>VLOOKUP(A3,[1]characters!$A:$C,3,FALSE)</f>
        <v>サンリオキャラ大集合+アザゼル</v>
      </c>
      <c r="C3" s="191" t="s">
        <v>467</v>
      </c>
      <c r="D3" s="188"/>
      <c r="E3" s="188" t="str">
        <f>A3&amp;+(COUNTIF(A$2:A3,A3)-1)</f>
        <v>80431</v>
      </c>
      <c r="F3" s="191" t="s">
        <v>340</v>
      </c>
      <c r="G3" s="184" t="s">
        <v>341</v>
      </c>
      <c r="H3" s="183" t="s">
        <v>450</v>
      </c>
    </row>
    <row r="4" spans="1:8" x14ac:dyDescent="0.15">
      <c r="A4" s="190">
        <v>8043</v>
      </c>
      <c r="B4" s="188" t="str">
        <f>VLOOKUP(A4,[1]characters!$A:$C,3,FALSE)</f>
        <v>サンリオキャラ大集合+アザゼル</v>
      </c>
      <c r="C4" s="191" t="s">
        <v>467</v>
      </c>
      <c r="D4" s="188"/>
      <c r="E4" s="188" t="str">
        <f>A4&amp;+(COUNTIF(A$2:A4,A4)-1)</f>
        <v>80432</v>
      </c>
      <c r="F4" s="191" t="s">
        <v>340</v>
      </c>
      <c r="G4" s="192" t="s">
        <v>342</v>
      </c>
      <c r="H4" s="183" t="s">
        <v>451</v>
      </c>
    </row>
    <row r="5" spans="1:8" x14ac:dyDescent="0.15">
      <c r="A5" s="190">
        <v>8043</v>
      </c>
      <c r="B5" s="188" t="str">
        <f>VLOOKUP(A5,[1]characters!$A:$C,3,FALSE)</f>
        <v>サンリオキャラ大集合+アザゼル</v>
      </c>
      <c r="C5" s="191" t="s">
        <v>467</v>
      </c>
      <c r="D5" s="188"/>
      <c r="E5" s="188" t="str">
        <f>A5&amp;+(COUNTIF(A$2:A5,A5)-1)</f>
        <v>80433</v>
      </c>
      <c r="F5" s="191" t="s">
        <v>343</v>
      </c>
      <c r="G5" s="192" t="s">
        <v>360</v>
      </c>
      <c r="H5" s="186" t="s">
        <v>449</v>
      </c>
    </row>
    <row r="6" spans="1:8" x14ac:dyDescent="0.15">
      <c r="A6" s="190">
        <v>8044</v>
      </c>
      <c r="B6" s="188" t="str">
        <f>VLOOKUP(A6,[1]characters!$A:$C,3,FALSE)</f>
        <v>サンリオキャラ大集合+アザゼル</v>
      </c>
      <c r="C6" s="191" t="s">
        <v>468</v>
      </c>
      <c r="D6" s="188"/>
      <c r="E6" s="188" t="str">
        <f>A6&amp;+(COUNTIF(A$2:A6,A6)-1)</f>
        <v>80440</v>
      </c>
      <c r="F6" s="191" t="s">
        <v>343</v>
      </c>
      <c r="G6" s="184" t="s">
        <v>344</v>
      </c>
      <c r="H6" s="195" t="s">
        <v>364</v>
      </c>
    </row>
    <row r="7" spans="1:8" x14ac:dyDescent="0.15">
      <c r="A7" s="190">
        <v>8044</v>
      </c>
      <c r="B7" s="188" t="str">
        <f>VLOOKUP(A7,[1]characters!$A:$C,3,FALSE)</f>
        <v>サンリオキャラ大集合+アザゼル</v>
      </c>
      <c r="C7" s="191" t="s">
        <v>467</v>
      </c>
      <c r="D7" s="188"/>
      <c r="E7" s="188" t="str">
        <f>A7&amp;+(COUNTIF(A$2:A7,A7)-1)</f>
        <v>80441</v>
      </c>
      <c r="F7" s="191" t="s">
        <v>343</v>
      </c>
      <c r="G7" s="184" t="str">
        <f>G4</f>
        <v>maru</v>
      </c>
      <c r="H7" s="193" t="s">
        <v>452</v>
      </c>
    </row>
    <row r="8" spans="1:8" x14ac:dyDescent="0.15">
      <c r="A8" s="190">
        <v>8044</v>
      </c>
      <c r="B8" s="188" t="str">
        <f>VLOOKUP(A8,[1]characters!$A:$C,3,FALSE)</f>
        <v>サンリオキャラ大集合+アザゼル</v>
      </c>
      <c r="C8" s="191" t="s">
        <v>467</v>
      </c>
      <c r="D8" s="188"/>
      <c r="E8" s="188" t="str">
        <f>A8&amp;+(COUNTIF(A$2:A8,A8)-1)</f>
        <v>80442</v>
      </c>
      <c r="F8" s="191" t="s">
        <v>340</v>
      </c>
      <c r="G8" s="184" t="s">
        <v>341</v>
      </c>
      <c r="H8" s="183" t="s">
        <v>450</v>
      </c>
    </row>
    <row r="9" spans="1:8" x14ac:dyDescent="0.15">
      <c r="A9" s="190">
        <v>8044</v>
      </c>
      <c r="B9" s="188" t="str">
        <f>VLOOKUP(A9,[1]characters!$A:$C,3,FALSE)</f>
        <v>サンリオキャラ大集合+アザゼル</v>
      </c>
      <c r="C9" s="191" t="s">
        <v>467</v>
      </c>
      <c r="D9" s="188"/>
      <c r="E9" s="188" t="str">
        <f>A9&amp;+(COUNTIF(A$2:A9,A9)-1)</f>
        <v>80443</v>
      </c>
      <c r="F9" s="191" t="s">
        <v>340</v>
      </c>
      <c r="G9" s="192" t="s">
        <v>342</v>
      </c>
      <c r="H9" s="183" t="s">
        <v>451</v>
      </c>
    </row>
    <row r="10" spans="1:8" x14ac:dyDescent="0.15">
      <c r="A10" s="190">
        <v>8044</v>
      </c>
      <c r="B10" s="188" t="str">
        <f>VLOOKUP(A10,[1]characters!$A:$C,3,FALSE)</f>
        <v>サンリオキャラ大集合+アザゼル</v>
      </c>
      <c r="C10" s="191" t="s">
        <v>467</v>
      </c>
      <c r="D10" s="188"/>
      <c r="E10" s="188" t="str">
        <f>A10&amp;+(COUNTIF(A$2:A10,A10)-1)</f>
        <v>80444</v>
      </c>
      <c r="F10" s="191" t="s">
        <v>340</v>
      </c>
      <c r="G10" s="192" t="s">
        <v>344</v>
      </c>
      <c r="H10" s="186" t="s">
        <v>449</v>
      </c>
    </row>
    <row r="11" spans="1:8" x14ac:dyDescent="0.15">
      <c r="A11" s="190">
        <v>8045</v>
      </c>
      <c r="B11" s="188" t="str">
        <f>VLOOKUP(A11,[1]characters!$A:$C,3,FALSE)</f>
        <v>ニムダ_サンリオキャラ混じり</v>
      </c>
      <c r="C11" s="191" t="s">
        <v>339</v>
      </c>
      <c r="D11" s="188"/>
      <c r="E11" s="188" t="str">
        <f>A11&amp;+(COUNTIF(A$2:A11,A11)-1)</f>
        <v>80450</v>
      </c>
      <c r="F11" s="191" t="s">
        <v>346</v>
      </c>
      <c r="G11" s="184" t="str">
        <f>G5</f>
        <v>giza</v>
      </c>
      <c r="H11" s="196" t="s">
        <v>365</v>
      </c>
    </row>
    <row r="12" spans="1:8" x14ac:dyDescent="0.15">
      <c r="A12" s="190">
        <v>8045</v>
      </c>
      <c r="B12" s="188" t="str">
        <f>VLOOKUP(A12,[1]characters!$A:$C,3,FALSE)</f>
        <v>ニムダ_サンリオキャラ混じり</v>
      </c>
      <c r="C12" s="191" t="s">
        <v>467</v>
      </c>
      <c r="D12" s="188"/>
      <c r="E12" s="188" t="str">
        <f>A12&amp;+(COUNTIF(A$2:A12,A12)-1)</f>
        <v>80451</v>
      </c>
      <c r="F12" s="191" t="s">
        <v>340</v>
      </c>
      <c r="G12" s="185" t="s">
        <v>347</v>
      </c>
      <c r="H12" s="197" t="s">
        <v>366</v>
      </c>
    </row>
    <row r="13" spans="1:8" x14ac:dyDescent="0.15">
      <c r="A13" s="190">
        <v>8045</v>
      </c>
      <c r="B13" s="188" t="str">
        <f>VLOOKUP(A13,[1]characters!$A:$C,3,FALSE)</f>
        <v>ニムダ_サンリオキャラ混じり</v>
      </c>
      <c r="C13" s="191" t="s">
        <v>467</v>
      </c>
      <c r="D13" s="188"/>
      <c r="E13" s="188" t="str">
        <f>A13&amp;+(COUNTIF(A$2:A13,A13)-1)</f>
        <v>80452</v>
      </c>
      <c r="F13" s="191" t="s">
        <v>348</v>
      </c>
      <c r="G13" s="185" t="s">
        <v>349</v>
      </c>
      <c r="H13" s="183" t="s">
        <v>367</v>
      </c>
    </row>
    <row r="14" spans="1:8" x14ac:dyDescent="0.15">
      <c r="A14" s="190">
        <v>8046</v>
      </c>
      <c r="B14" s="188" t="str">
        <f>VLOOKUP(A14,[1]characters!$A:$C,3,FALSE)</f>
        <v>ニムダ_サンリオキャラ混じり</v>
      </c>
      <c r="C14" s="191" t="s">
        <v>468</v>
      </c>
      <c r="D14" s="188"/>
      <c r="E14" s="188" t="str">
        <f>A14&amp;+(COUNTIF(A$2:A14,A14)-1)</f>
        <v>80460</v>
      </c>
      <c r="F14" s="191" t="s">
        <v>350</v>
      </c>
      <c r="G14" s="185" t="s">
        <v>351</v>
      </c>
      <c r="H14" s="198" t="s">
        <v>368</v>
      </c>
    </row>
    <row r="15" spans="1:8" x14ac:dyDescent="0.15">
      <c r="A15" s="190">
        <v>8046</v>
      </c>
      <c r="B15" s="188" t="str">
        <f>VLOOKUP(A15,[1]characters!$A:$C,3,FALSE)</f>
        <v>ニムダ_サンリオキャラ混じり</v>
      </c>
      <c r="C15" s="191" t="s">
        <v>467</v>
      </c>
      <c r="D15" s="188"/>
      <c r="E15" s="188" t="str">
        <f>A15&amp;+(COUNTIF(A$2:A15,A15)-1)</f>
        <v>80461</v>
      </c>
      <c r="F15" s="191" t="s">
        <v>340</v>
      </c>
      <c r="G15" s="185" t="s">
        <v>347</v>
      </c>
      <c r="H15" s="197" t="s">
        <v>366</v>
      </c>
    </row>
    <row r="16" spans="1:8" x14ac:dyDescent="0.15">
      <c r="A16" s="190">
        <v>8046</v>
      </c>
      <c r="B16" s="188" t="str">
        <f>VLOOKUP(A16,[1]characters!$A:$C,3,FALSE)</f>
        <v>ニムダ_サンリオキャラ混じり</v>
      </c>
      <c r="C16" s="191" t="s">
        <v>467</v>
      </c>
      <c r="D16" s="188"/>
      <c r="E16" s="188" t="str">
        <f>A16&amp;+(COUNTIF(A$2:A16,A16)-1)</f>
        <v>80462</v>
      </c>
      <c r="F16" s="191" t="s">
        <v>185</v>
      </c>
      <c r="G16" s="185" t="s">
        <v>347</v>
      </c>
      <c r="H16" s="183" t="s">
        <v>367</v>
      </c>
    </row>
    <row r="17" spans="1:8" x14ac:dyDescent="0.15">
      <c r="A17" s="190">
        <v>8046</v>
      </c>
      <c r="B17" s="188" t="str">
        <f>VLOOKUP(A17,[1]characters!$A:$C,3,FALSE)</f>
        <v>ニムダ_サンリオキャラ混じり</v>
      </c>
      <c r="C17" s="191" t="s">
        <v>467</v>
      </c>
      <c r="D17" s="188"/>
      <c r="E17" s="188" t="str">
        <f>A17&amp;+(COUNTIF(A$2:A17,A17)-1)</f>
        <v>80463</v>
      </c>
      <c r="F17" s="191" t="s">
        <v>340</v>
      </c>
      <c r="G17" s="185" t="s">
        <v>347</v>
      </c>
      <c r="H17" s="199" t="s">
        <v>369</v>
      </c>
    </row>
    <row r="18" spans="1:8" x14ac:dyDescent="0.15">
      <c r="A18" s="190">
        <v>8047</v>
      </c>
      <c r="B18" s="188" t="str">
        <f>VLOOKUP(A18,[1]characters!$A:$C,3,FALSE)</f>
        <v>ハローキティ</v>
      </c>
      <c r="C18" s="191" t="s">
        <v>468</v>
      </c>
      <c r="D18" s="188"/>
      <c r="E18" s="188" t="str">
        <f>A18&amp;+(COUNTIF(A$2:A18,A18)-1)</f>
        <v>80470</v>
      </c>
      <c r="F18" s="191" t="s">
        <v>350</v>
      </c>
      <c r="G18" s="185" t="s">
        <v>347</v>
      </c>
      <c r="H18" s="200" t="s">
        <v>372</v>
      </c>
    </row>
    <row r="19" spans="1:8" x14ac:dyDescent="0.15">
      <c r="A19" s="190">
        <v>8047</v>
      </c>
      <c r="B19" s="188" t="str">
        <f>VLOOKUP(A19,[1]characters!$A:$C,3,FALSE)</f>
        <v>ハローキティ</v>
      </c>
      <c r="C19" s="191" t="s">
        <v>469</v>
      </c>
      <c r="D19" s="188"/>
      <c r="E19" s="188" t="str">
        <f>A19&amp;+(COUNTIF(A$2:A19,A19)-1)</f>
        <v>80471</v>
      </c>
      <c r="F19" s="191" t="s">
        <v>340</v>
      </c>
      <c r="G19" s="185" t="s">
        <v>347</v>
      </c>
      <c r="H19" s="183" t="s">
        <v>370</v>
      </c>
    </row>
    <row r="20" spans="1:8" x14ac:dyDescent="0.15">
      <c r="A20" s="190">
        <v>8047</v>
      </c>
      <c r="B20" s="188" t="str">
        <f>VLOOKUP(A20,[1]characters!$A:$C,3,FALSE)</f>
        <v>ハローキティ</v>
      </c>
      <c r="C20" s="191" t="s">
        <v>345</v>
      </c>
      <c r="D20" s="188"/>
      <c r="E20" s="188" t="str">
        <f>A20&amp;+(COUNTIF(A$2:A20,A20)-1)</f>
        <v>80472</v>
      </c>
      <c r="F20" s="191" t="s">
        <v>340</v>
      </c>
      <c r="G20" s="185" t="s">
        <v>347</v>
      </c>
      <c r="H20" s="185" t="s">
        <v>371</v>
      </c>
    </row>
    <row r="21" spans="1:8" x14ac:dyDescent="0.15">
      <c r="A21" s="190">
        <v>8048</v>
      </c>
      <c r="B21" s="188" t="str">
        <f>VLOOKUP(A21,[1]characters!$A:$C,3,FALSE)</f>
        <v>ハローキティ</v>
      </c>
      <c r="C21" s="191" t="s">
        <v>339</v>
      </c>
      <c r="D21" s="188"/>
      <c r="E21" s="188" t="str">
        <f>A21&amp;+(COUNTIF(A$2:A21,A21)-1)</f>
        <v>80480</v>
      </c>
      <c r="F21" s="191" t="s">
        <v>340</v>
      </c>
      <c r="G21" s="185" t="s">
        <v>342</v>
      </c>
      <c r="H21" s="201" t="s">
        <v>373</v>
      </c>
    </row>
    <row r="22" spans="1:8" x14ac:dyDescent="0.15">
      <c r="A22" s="190">
        <v>8048</v>
      </c>
      <c r="B22" s="188" t="str">
        <f>VLOOKUP(A22,[1]characters!$A:$C,3,FALSE)</f>
        <v>ハローキティ</v>
      </c>
      <c r="C22" s="191" t="s">
        <v>469</v>
      </c>
      <c r="D22" s="188"/>
      <c r="E22" s="188" t="str">
        <f>A22&amp;+(COUNTIF(A$2:A22,A22)-1)</f>
        <v>80481</v>
      </c>
      <c r="F22" s="191" t="s">
        <v>340</v>
      </c>
      <c r="G22" s="185" t="s">
        <v>347</v>
      </c>
      <c r="H22" s="183" t="s">
        <v>370</v>
      </c>
    </row>
    <row r="23" spans="1:8" x14ac:dyDescent="0.15">
      <c r="A23" s="190">
        <v>8048</v>
      </c>
      <c r="B23" s="188" t="str">
        <f>VLOOKUP(A23,[1]characters!$A:$C,3,FALSE)</f>
        <v>ハローキティ</v>
      </c>
      <c r="C23" s="191" t="s">
        <v>345</v>
      </c>
      <c r="D23" s="188"/>
      <c r="E23" s="188" t="str">
        <f>A23&amp;+(COUNTIF(A$2:A23,A23)-1)</f>
        <v>80482</v>
      </c>
      <c r="F23" s="191" t="s">
        <v>340</v>
      </c>
      <c r="G23" s="185" t="s">
        <v>347</v>
      </c>
      <c r="H23" s="185" t="s">
        <v>371</v>
      </c>
    </row>
    <row r="24" spans="1:8" x14ac:dyDescent="0.15">
      <c r="A24" s="190">
        <v>8048</v>
      </c>
      <c r="B24" s="188" t="str">
        <f>VLOOKUP(A24,[1]characters!$A:$C,3,FALSE)</f>
        <v>ハローキティ</v>
      </c>
      <c r="C24" s="191" t="s">
        <v>469</v>
      </c>
      <c r="D24" s="188"/>
      <c r="E24" s="188" t="str">
        <f>A24&amp;+(COUNTIF(A$2:A24,A24)-1)</f>
        <v>80483</v>
      </c>
      <c r="F24" s="191" t="s">
        <v>348</v>
      </c>
      <c r="G24" s="185" t="s">
        <v>352</v>
      </c>
      <c r="H24" s="202" t="s">
        <v>374</v>
      </c>
    </row>
    <row r="25" spans="1:8" x14ac:dyDescent="0.15">
      <c r="A25" s="190">
        <v>8049</v>
      </c>
      <c r="B25" s="188" t="str">
        <f>VLOOKUP(A25,[1]characters!$A:$C,3,FALSE)</f>
        <v>KIRIMIちゃん</v>
      </c>
      <c r="C25" s="191" t="s">
        <v>470</v>
      </c>
      <c r="D25" s="188"/>
      <c r="E25" s="188" t="str">
        <f>A25&amp;+(COUNTIF(A$2:A25,A25)-1)</f>
        <v>80490</v>
      </c>
      <c r="F25" s="191" t="s">
        <v>353</v>
      </c>
      <c r="G25" s="185" t="s">
        <v>354</v>
      </c>
      <c r="H25" s="201" t="s">
        <v>375</v>
      </c>
    </row>
    <row r="26" spans="1:8" x14ac:dyDescent="0.15">
      <c r="A26" s="190">
        <v>8049</v>
      </c>
      <c r="B26" s="188" t="str">
        <f>VLOOKUP(A26,[1]characters!$A:$C,3,FALSE)</f>
        <v>KIRIMIちゃん</v>
      </c>
      <c r="C26" s="191" t="s">
        <v>469</v>
      </c>
      <c r="D26" s="188"/>
      <c r="E26" s="188" t="str">
        <f>A26&amp;+(COUNTIF(A$2:A26,A26)-1)</f>
        <v>80491</v>
      </c>
      <c r="F26" s="191" t="s">
        <v>340</v>
      </c>
      <c r="G26" s="185" t="s">
        <v>423</v>
      </c>
      <c r="H26" s="183" t="s">
        <v>376</v>
      </c>
    </row>
    <row r="27" spans="1:8" x14ac:dyDescent="0.15">
      <c r="A27" s="190">
        <v>8049</v>
      </c>
      <c r="B27" s="188" t="str">
        <f>VLOOKUP(A27,[1]characters!$A:$C,3,FALSE)</f>
        <v>KIRIMIちゃん</v>
      </c>
      <c r="C27" s="191" t="s">
        <v>469</v>
      </c>
      <c r="D27" s="188"/>
      <c r="E27" s="188" t="str">
        <f>A27&amp;+(COUNTIF(A$2:A27,A27)-1)</f>
        <v>80492</v>
      </c>
      <c r="F27" s="191" t="s">
        <v>350</v>
      </c>
      <c r="G27" s="185" t="s">
        <v>423</v>
      </c>
      <c r="H27" s="186" t="s">
        <v>377</v>
      </c>
    </row>
    <row r="28" spans="1:8" x14ac:dyDescent="0.15">
      <c r="A28" s="190">
        <v>8050</v>
      </c>
      <c r="B28" s="188" t="str">
        <f>VLOOKUP(A28,[1]characters!$A:$C,3,FALSE)</f>
        <v>KIRIMIちゃん</v>
      </c>
      <c r="C28" s="191" t="s">
        <v>470</v>
      </c>
      <c r="D28" s="188"/>
      <c r="E28" s="188" t="str">
        <f>A28&amp;+(COUNTIF(A$2:A28,A28)-1)</f>
        <v>80500</v>
      </c>
      <c r="F28" s="191" t="s">
        <v>348</v>
      </c>
      <c r="G28" s="185" t="s">
        <v>352</v>
      </c>
      <c r="H28" s="200" t="s">
        <v>378</v>
      </c>
    </row>
    <row r="29" spans="1:8" x14ac:dyDescent="0.15">
      <c r="A29" s="190">
        <v>8050</v>
      </c>
      <c r="B29" s="188" t="str">
        <f>VLOOKUP(A29,[1]characters!$A:$C,3,FALSE)</f>
        <v>KIRIMIちゃん</v>
      </c>
      <c r="C29" s="191" t="s">
        <v>469</v>
      </c>
      <c r="D29" s="188"/>
      <c r="E29" s="188" t="str">
        <f>A29&amp;+(COUNTIF(A$2:A29,A29)-1)</f>
        <v>80501</v>
      </c>
      <c r="F29" s="191" t="s">
        <v>340</v>
      </c>
      <c r="G29" s="185" t="s">
        <v>342</v>
      </c>
      <c r="H29" s="183" t="s">
        <v>376</v>
      </c>
    </row>
    <row r="30" spans="1:8" x14ac:dyDescent="0.15">
      <c r="A30" s="190">
        <v>8050</v>
      </c>
      <c r="B30" s="188" t="str">
        <f>VLOOKUP(A30,[1]characters!$A:$C,3,FALSE)</f>
        <v>KIRIMIちゃん</v>
      </c>
      <c r="C30" s="191" t="s">
        <v>469</v>
      </c>
      <c r="D30" s="188"/>
      <c r="E30" s="188" t="str">
        <f>A30&amp;+(COUNTIF(A$2:A30,A30)-1)</f>
        <v>80502</v>
      </c>
      <c r="F30" s="191" t="s">
        <v>185</v>
      </c>
      <c r="G30" s="185" t="s">
        <v>342</v>
      </c>
      <c r="H30" s="186" t="s">
        <v>377</v>
      </c>
    </row>
    <row r="31" spans="1:8" x14ac:dyDescent="0.15">
      <c r="A31" s="190">
        <v>8050</v>
      </c>
      <c r="B31" s="188" t="str">
        <f>VLOOKUP(A31,[1]characters!$A:$C,3,FALSE)</f>
        <v>KIRIMIちゃん</v>
      </c>
      <c r="C31" s="191" t="s">
        <v>345</v>
      </c>
      <c r="D31" s="188"/>
      <c r="E31" s="188" t="str">
        <f>A31&amp;+(COUNTIF(A$2:A31,A31)-1)</f>
        <v>80503</v>
      </c>
      <c r="F31" s="191" t="s">
        <v>350</v>
      </c>
      <c r="G31" s="185" t="s">
        <v>355</v>
      </c>
      <c r="H31" s="203" t="s">
        <v>379</v>
      </c>
    </row>
    <row r="32" spans="1:8" ht="34" customHeight="1" x14ac:dyDescent="0.15">
      <c r="A32" s="190">
        <v>8053</v>
      </c>
      <c r="B32" s="188" t="str">
        <f>VLOOKUP(A32,[1]characters!$A:$C,3,FALSE)</f>
        <v>D.R.T.H__キティコスプレ</v>
      </c>
      <c r="C32" s="191" t="s">
        <v>470</v>
      </c>
      <c r="D32" s="188"/>
      <c r="E32" s="188" t="str">
        <f>A32&amp;+(COUNTIF(A$2:A32,A32)-1)</f>
        <v>80530</v>
      </c>
      <c r="F32" s="191" t="s">
        <v>340</v>
      </c>
      <c r="G32" s="185" t="s">
        <v>342</v>
      </c>
      <c r="H32" s="200" t="s">
        <v>381</v>
      </c>
    </row>
    <row r="33" spans="1:8" x14ac:dyDescent="0.15">
      <c r="A33" s="190">
        <v>8053</v>
      </c>
      <c r="B33" s="188" t="str">
        <f>VLOOKUP(A33,[1]characters!$A:$C,3,FALSE)</f>
        <v>D.R.T.H__キティコスプレ</v>
      </c>
      <c r="C33" s="191" t="s">
        <v>469</v>
      </c>
      <c r="D33" s="188"/>
      <c r="E33" s="188" t="str">
        <f>A33&amp;+(COUNTIF(A$2:A33,A33)-1)</f>
        <v>80531</v>
      </c>
      <c r="F33" s="191" t="s">
        <v>340</v>
      </c>
      <c r="G33" s="185" t="s">
        <v>342</v>
      </c>
      <c r="H33" s="183" t="s">
        <v>382</v>
      </c>
    </row>
    <row r="34" spans="1:8" x14ac:dyDescent="0.15">
      <c r="A34" s="190">
        <v>8053</v>
      </c>
      <c r="B34" s="188" t="str">
        <f>VLOOKUP(A34,[1]characters!$A:$C,3,FALSE)</f>
        <v>D.R.T.H__キティコスプレ</v>
      </c>
      <c r="C34" s="191" t="s">
        <v>469</v>
      </c>
      <c r="D34" s="188"/>
      <c r="E34" s="188" t="str">
        <f>A34&amp;+(COUNTIF(A$2:A34,A34)-1)</f>
        <v>80532</v>
      </c>
      <c r="F34" s="191" t="s">
        <v>356</v>
      </c>
      <c r="G34" s="185" t="s">
        <v>342</v>
      </c>
      <c r="H34" s="215" t="s">
        <v>437</v>
      </c>
    </row>
    <row r="35" spans="1:8" x14ac:dyDescent="0.15">
      <c r="A35" s="190">
        <v>8053</v>
      </c>
      <c r="B35" s="188" t="str">
        <f>VLOOKUP(A35,[1]characters!$A:$C,3,FALSE)</f>
        <v>D.R.T.H__キティコスプレ</v>
      </c>
      <c r="C35" s="191" t="s">
        <v>469</v>
      </c>
      <c r="D35" s="188"/>
      <c r="E35" s="188" t="str">
        <f>A35&amp;+(COUNTIF(A$2:A35,A35)-1)</f>
        <v>80533</v>
      </c>
      <c r="F35" s="191" t="s">
        <v>340</v>
      </c>
      <c r="G35" s="185" t="s">
        <v>342</v>
      </c>
      <c r="H35" s="183" t="s">
        <v>383</v>
      </c>
    </row>
    <row r="36" spans="1:8" ht="20" customHeight="1" x14ac:dyDescent="0.15">
      <c r="A36" s="190">
        <v>8054</v>
      </c>
      <c r="B36" s="188" t="str">
        <f>VLOOKUP(A36,[1]characters!$A:$C,3,FALSE)</f>
        <v>D.R.T.H__キティコスプレ</v>
      </c>
      <c r="C36" s="191" t="s">
        <v>470</v>
      </c>
      <c r="D36" s="188"/>
      <c r="E36" s="188" t="str">
        <f>A36&amp;+(COUNTIF(A$2:A36,A36)-1)</f>
        <v>80540</v>
      </c>
      <c r="F36" s="191" t="s">
        <v>340</v>
      </c>
      <c r="G36" s="185" t="s">
        <v>341</v>
      </c>
      <c r="H36" s="201" t="s">
        <v>385</v>
      </c>
    </row>
    <row r="37" spans="1:8" ht="24" customHeight="1" x14ac:dyDescent="0.15">
      <c r="A37" s="190">
        <v>8054</v>
      </c>
      <c r="B37" s="188" t="str">
        <f>VLOOKUP(A37,[1]characters!$A:$C,3,FALSE)</f>
        <v>D.R.T.H__キティコスプレ</v>
      </c>
      <c r="C37" s="191" t="s">
        <v>345</v>
      </c>
      <c r="D37" s="188"/>
      <c r="E37" s="188" t="str">
        <f>A37&amp;+(COUNTIF(A$2:A37,A37)-1)</f>
        <v>80541</v>
      </c>
      <c r="F37" s="191" t="s">
        <v>340</v>
      </c>
      <c r="G37" s="185" t="s">
        <v>341</v>
      </c>
      <c r="H37" s="203" t="s">
        <v>384</v>
      </c>
    </row>
    <row r="38" spans="1:8" x14ac:dyDescent="0.15">
      <c r="A38" s="190">
        <v>8054</v>
      </c>
      <c r="B38" s="188" t="str">
        <f>VLOOKUP(A38,[1]characters!$A:$C,3,FALSE)</f>
        <v>D.R.T.H__キティコスプレ</v>
      </c>
      <c r="C38" s="191" t="s">
        <v>469</v>
      </c>
      <c r="D38" s="188"/>
      <c r="E38" s="188" t="str">
        <f>A38&amp;+(COUNTIF(A$2:A38,A38)-1)</f>
        <v>80542</v>
      </c>
      <c r="F38" s="191" t="s">
        <v>340</v>
      </c>
      <c r="G38" s="185" t="s">
        <v>342</v>
      </c>
      <c r="H38" s="183" t="s">
        <v>382</v>
      </c>
    </row>
    <row r="39" spans="1:8" x14ac:dyDescent="0.15">
      <c r="A39" s="190">
        <v>8054</v>
      </c>
      <c r="B39" s="188" t="str">
        <f>VLOOKUP(A39,[1]characters!$A:$C,3,FALSE)</f>
        <v>D.R.T.H__キティコスプレ</v>
      </c>
      <c r="C39" s="191" t="s">
        <v>469</v>
      </c>
      <c r="D39" s="188"/>
      <c r="E39" s="188" t="str">
        <f>A39&amp;+(COUNTIF(A$2:A39,A39)-1)</f>
        <v>80543</v>
      </c>
      <c r="F39" s="191" t="s">
        <v>185</v>
      </c>
      <c r="G39" s="185" t="s">
        <v>342</v>
      </c>
      <c r="H39" s="215" t="s">
        <v>437</v>
      </c>
    </row>
    <row r="40" spans="1:8" x14ac:dyDescent="0.15">
      <c r="A40" s="190">
        <v>8054</v>
      </c>
      <c r="B40" s="188" t="str">
        <f>VLOOKUP(A40,[1]characters!$A:$C,3,FALSE)</f>
        <v>D.R.T.H__キティコスプレ</v>
      </c>
      <c r="C40" s="191" t="s">
        <v>469</v>
      </c>
      <c r="D40" s="188"/>
      <c r="E40" s="188" t="str">
        <f>A40&amp;+(COUNTIF(A$2:A40,A40)-1)</f>
        <v>80544</v>
      </c>
      <c r="F40" s="191" t="s">
        <v>340</v>
      </c>
      <c r="G40" s="185" t="s">
        <v>342</v>
      </c>
      <c r="H40" s="183" t="s">
        <v>383</v>
      </c>
    </row>
    <row r="41" spans="1:8" x14ac:dyDescent="0.15">
      <c r="A41" s="190">
        <v>8055</v>
      </c>
      <c r="B41" s="188" t="str">
        <f>VLOOKUP(A41,[1]characters!$A:$C,3,FALSE)</f>
        <v>マイメロディ</v>
      </c>
      <c r="C41" s="191" t="s">
        <v>470</v>
      </c>
      <c r="D41" s="188"/>
      <c r="E41" s="188" t="str">
        <f>A41&amp;+(COUNTIF(A$2:A41,A41)-1)</f>
        <v>80550</v>
      </c>
      <c r="F41" s="191" t="s">
        <v>340</v>
      </c>
      <c r="G41" s="185" t="s">
        <v>423</v>
      </c>
      <c r="H41" s="200" t="s">
        <v>386</v>
      </c>
    </row>
    <row r="42" spans="1:8" x14ac:dyDescent="0.15">
      <c r="A42" s="190">
        <v>8055</v>
      </c>
      <c r="B42" s="188" t="str">
        <f>VLOOKUP(A42,[1]characters!$A:$C,3,FALSE)</f>
        <v>マイメロディ</v>
      </c>
      <c r="C42" s="191" t="s">
        <v>469</v>
      </c>
      <c r="D42" s="188"/>
      <c r="E42" s="188" t="str">
        <f>A42&amp;+(COUNTIF(A$2:A42,A42)-1)</f>
        <v>80551</v>
      </c>
      <c r="F42" s="191" t="s">
        <v>340</v>
      </c>
      <c r="G42" s="185" t="s">
        <v>423</v>
      </c>
      <c r="H42" s="183" t="s">
        <v>388</v>
      </c>
    </row>
    <row r="43" spans="1:8" x14ac:dyDescent="0.15">
      <c r="A43" s="190">
        <v>8055</v>
      </c>
      <c r="B43" s="188" t="str">
        <f>VLOOKUP(A43,[1]characters!$A:$C,3,FALSE)</f>
        <v>マイメロディ</v>
      </c>
      <c r="C43" s="191" t="s">
        <v>469</v>
      </c>
      <c r="D43" s="188"/>
      <c r="E43" s="188" t="str">
        <f>A43&amp;+(COUNTIF(A$2:A43,A43)-1)</f>
        <v>80552</v>
      </c>
      <c r="F43" s="191" t="s">
        <v>350</v>
      </c>
      <c r="G43" s="185" t="s">
        <v>423</v>
      </c>
      <c r="H43" s="216" t="s">
        <v>438</v>
      </c>
    </row>
    <row r="44" spans="1:8" x14ac:dyDescent="0.15">
      <c r="A44" s="190">
        <v>8056</v>
      </c>
      <c r="B44" s="188" t="str">
        <f>VLOOKUP(A44,[1]characters!$A:$C,3,FALSE)</f>
        <v>マイメロディ</v>
      </c>
      <c r="C44" s="191" t="s">
        <v>470</v>
      </c>
      <c r="D44" s="188"/>
      <c r="E44" s="188" t="str">
        <f>A44&amp;+(COUNTIF(A$2:A44,A44)-1)</f>
        <v>80560</v>
      </c>
      <c r="F44" s="191" t="s">
        <v>340</v>
      </c>
      <c r="G44" s="185" t="s">
        <v>423</v>
      </c>
      <c r="H44" s="204" t="s">
        <v>387</v>
      </c>
    </row>
    <row r="45" spans="1:8" x14ac:dyDescent="0.15">
      <c r="A45" s="190">
        <v>8056</v>
      </c>
      <c r="B45" s="188" t="str">
        <f>VLOOKUP(A45,[1]characters!$A:$C,3,FALSE)</f>
        <v>マイメロディ</v>
      </c>
      <c r="C45" s="191" t="s">
        <v>469</v>
      </c>
      <c r="D45" s="188"/>
      <c r="E45" s="188" t="str">
        <f>A45&amp;+(COUNTIF(A$2:A45,A45)-1)</f>
        <v>80561</v>
      </c>
      <c r="F45" s="191" t="s">
        <v>340</v>
      </c>
      <c r="G45" s="185" t="s">
        <v>423</v>
      </c>
      <c r="H45" s="216" t="s">
        <v>439</v>
      </c>
    </row>
    <row r="46" spans="1:8" x14ac:dyDescent="0.15">
      <c r="A46" s="190">
        <v>8056</v>
      </c>
      <c r="B46" s="188" t="str">
        <f>VLOOKUP(A46,[1]characters!$A:$C,3,FALSE)</f>
        <v>マイメロディ</v>
      </c>
      <c r="C46" s="191" t="s">
        <v>469</v>
      </c>
      <c r="D46" s="188"/>
      <c r="E46" s="188" t="str">
        <f>A46&amp;+(COUNTIF(A$2:A46,A46)-1)</f>
        <v>80562</v>
      </c>
      <c r="F46" s="191" t="s">
        <v>340</v>
      </c>
      <c r="G46" s="185" t="s">
        <v>423</v>
      </c>
      <c r="H46" s="183" t="s">
        <v>388</v>
      </c>
    </row>
    <row r="47" spans="1:8" x14ac:dyDescent="0.15">
      <c r="A47" s="190">
        <v>8056</v>
      </c>
      <c r="B47" s="188" t="str">
        <f>VLOOKUP(A47,[1]characters!$A:$C,3,FALSE)</f>
        <v>マイメロディ</v>
      </c>
      <c r="C47" s="191" t="s">
        <v>469</v>
      </c>
      <c r="D47" s="188"/>
      <c r="E47" s="188" t="str">
        <f>A47&amp;+(COUNTIF(A$2:A47,A47)-1)</f>
        <v>80563</v>
      </c>
      <c r="F47" s="191" t="s">
        <v>185</v>
      </c>
      <c r="G47" s="185" t="s">
        <v>423</v>
      </c>
      <c r="H47" s="216" t="s">
        <v>438</v>
      </c>
    </row>
    <row r="48" spans="1:8" x14ac:dyDescent="0.15">
      <c r="A48" s="190">
        <v>8057</v>
      </c>
      <c r="B48" s="188" t="str">
        <f>VLOOKUP(A48,[1]characters!$A:$C,3,FALSE)</f>
        <v>ニーベルゲン_シナモロールコスプレ</v>
      </c>
      <c r="C48" s="191" t="s">
        <v>470</v>
      </c>
      <c r="D48" s="188"/>
      <c r="E48" s="188" t="str">
        <f>A48&amp;+(COUNTIF(A$2:A48,A48)-1)</f>
        <v>80570</v>
      </c>
      <c r="F48" s="191" t="s">
        <v>340</v>
      </c>
      <c r="G48" s="185" t="s">
        <v>342</v>
      </c>
      <c r="H48" s="205" t="s">
        <v>389</v>
      </c>
    </row>
    <row r="49" spans="1:8" x14ac:dyDescent="0.15">
      <c r="A49" s="190">
        <v>8057</v>
      </c>
      <c r="B49" s="188" t="str">
        <f>VLOOKUP(A49,[1]characters!$A:$C,3,FALSE)</f>
        <v>ニーベルゲン_シナモロールコスプレ</v>
      </c>
      <c r="C49" s="191" t="s">
        <v>469</v>
      </c>
      <c r="D49" s="188"/>
      <c r="E49" s="188" t="str">
        <f>A49&amp;+(COUNTIF(A$2:A49,A49)-1)</f>
        <v>80571</v>
      </c>
      <c r="F49" s="191" t="s">
        <v>340</v>
      </c>
      <c r="G49" s="185" t="s">
        <v>342</v>
      </c>
      <c r="H49" s="183" t="s">
        <v>390</v>
      </c>
    </row>
    <row r="50" spans="1:8" x14ac:dyDescent="0.15">
      <c r="A50" s="190">
        <v>8057</v>
      </c>
      <c r="B50" s="188" t="str">
        <f>VLOOKUP(A50,[1]characters!$A:$C,3,FALSE)</f>
        <v>ニーベルゲン_シナモロールコスプレ</v>
      </c>
      <c r="C50" s="191" t="s">
        <v>469</v>
      </c>
      <c r="D50" s="188"/>
      <c r="E50" s="188" t="str">
        <f>A50&amp;+(COUNTIF(A$2:A50,A50)-1)</f>
        <v>80572</v>
      </c>
      <c r="F50" s="191" t="s">
        <v>340</v>
      </c>
      <c r="G50" s="185" t="s">
        <v>342</v>
      </c>
      <c r="H50" s="186" t="s">
        <v>391</v>
      </c>
    </row>
    <row r="51" spans="1:8" x14ac:dyDescent="0.15">
      <c r="A51" s="190">
        <v>8058</v>
      </c>
      <c r="B51" s="188" t="str">
        <f>VLOOKUP(A51,[1]characters!$A:$C,3,FALSE)</f>
        <v>ニーベルゲン_シナモロールコスプレ</v>
      </c>
      <c r="C51" s="191" t="s">
        <v>339</v>
      </c>
      <c r="D51" s="188"/>
      <c r="E51" s="188" t="str">
        <f>A51&amp;+(COUNTIF(A$2:A51,A51)-1)</f>
        <v>80580</v>
      </c>
      <c r="F51" s="191" t="s">
        <v>340</v>
      </c>
      <c r="G51" s="185" t="s">
        <v>342</v>
      </c>
      <c r="H51" s="205" t="s">
        <v>392</v>
      </c>
    </row>
    <row r="52" spans="1:8" x14ac:dyDescent="0.15">
      <c r="A52" s="190">
        <v>8058</v>
      </c>
      <c r="B52" s="188" t="str">
        <f>VLOOKUP(A52,[1]characters!$A:$C,3,FALSE)</f>
        <v>ニーベルゲン_シナモロールコスプレ</v>
      </c>
      <c r="C52" s="191" t="s">
        <v>469</v>
      </c>
      <c r="D52" s="188"/>
      <c r="E52" s="188" t="str">
        <f>A52&amp;+(COUNTIF(A$2:A52,A52)-1)</f>
        <v>80581</v>
      </c>
      <c r="F52" s="191" t="s">
        <v>346</v>
      </c>
      <c r="G52" s="185" t="s">
        <v>342</v>
      </c>
      <c r="H52" s="206" t="s">
        <v>393</v>
      </c>
    </row>
    <row r="53" spans="1:8" x14ac:dyDescent="0.15">
      <c r="A53" s="190">
        <v>8058</v>
      </c>
      <c r="B53" s="188" t="str">
        <f>VLOOKUP(A53,[1]characters!$A:$C,3,FALSE)</f>
        <v>ニーベルゲン_シナモロールコスプレ</v>
      </c>
      <c r="C53" s="191" t="s">
        <v>469</v>
      </c>
      <c r="D53" s="188"/>
      <c r="E53" s="188" t="str">
        <f>A53&amp;+(COUNTIF(A$2:A53,A53)-1)</f>
        <v>80582</v>
      </c>
      <c r="F53" s="191" t="s">
        <v>340</v>
      </c>
      <c r="G53" s="185" t="s">
        <v>342</v>
      </c>
      <c r="H53" s="183" t="s">
        <v>390</v>
      </c>
    </row>
    <row r="54" spans="1:8" x14ac:dyDescent="0.15">
      <c r="A54" s="190">
        <v>8058</v>
      </c>
      <c r="B54" s="188" t="str">
        <f>VLOOKUP(A54,[1]characters!$A:$C,3,FALSE)</f>
        <v>ニーベルゲン_シナモロールコスプレ</v>
      </c>
      <c r="C54" s="191" t="s">
        <v>469</v>
      </c>
      <c r="D54" s="188"/>
      <c r="E54" s="188" t="str">
        <f>A54&amp;+(COUNTIF(A$2:A54,A54)-1)</f>
        <v>80583</v>
      </c>
      <c r="F54" s="191" t="s">
        <v>340</v>
      </c>
      <c r="G54" s="185" t="s">
        <v>342</v>
      </c>
      <c r="H54" s="186" t="s">
        <v>391</v>
      </c>
    </row>
    <row r="55" spans="1:8" x14ac:dyDescent="0.15">
      <c r="A55" s="190">
        <v>8059</v>
      </c>
      <c r="B55" s="188" t="str">
        <f>VLOOKUP(A55,[1]characters!$A:$C,3,FALSE)</f>
        <v>カカシ_マイメロディコスプレ</v>
      </c>
      <c r="C55" s="191" t="s">
        <v>339</v>
      </c>
      <c r="D55" s="188"/>
      <c r="E55" s="188" t="str">
        <f>A55&amp;+(COUNTIF(A$2:A55,A55)-1)</f>
        <v>80590</v>
      </c>
      <c r="F55" s="191" t="s">
        <v>340</v>
      </c>
      <c r="G55" s="185" t="s">
        <v>342</v>
      </c>
      <c r="H55" s="194" t="s">
        <v>394</v>
      </c>
    </row>
    <row r="56" spans="1:8" x14ac:dyDescent="0.15">
      <c r="A56" s="190">
        <v>8059</v>
      </c>
      <c r="B56" s="188" t="str">
        <f>VLOOKUP(A56,[1]characters!$A:$C,3,FALSE)</f>
        <v>カカシ_マイメロディコスプレ</v>
      </c>
      <c r="C56" s="191" t="s">
        <v>469</v>
      </c>
      <c r="D56" s="188"/>
      <c r="E56" s="188" t="str">
        <f>A56&amp;+(COUNTIF(A$2:A56,A56)-1)</f>
        <v>80591</v>
      </c>
      <c r="F56" s="191" t="s">
        <v>340</v>
      </c>
      <c r="G56" s="185" t="s">
        <v>342</v>
      </c>
      <c r="H56" s="186" t="s">
        <v>395</v>
      </c>
    </row>
    <row r="57" spans="1:8" x14ac:dyDescent="0.15">
      <c r="A57" s="190">
        <v>8059</v>
      </c>
      <c r="B57" s="188" t="str">
        <f>VLOOKUP(A57,[1]characters!$A:$C,3,FALSE)</f>
        <v>カカシ_マイメロディコスプレ</v>
      </c>
      <c r="C57" s="191" t="s">
        <v>469</v>
      </c>
      <c r="D57" s="188"/>
      <c r="E57" s="188" t="str">
        <f>A57&amp;+(COUNTIF(A$2:A57,A57)-1)</f>
        <v>80592</v>
      </c>
      <c r="F57" s="191" t="s">
        <v>340</v>
      </c>
      <c r="G57" s="185" t="s">
        <v>342</v>
      </c>
      <c r="H57" s="183" t="s">
        <v>396</v>
      </c>
    </row>
    <row r="58" spans="1:8" x14ac:dyDescent="0.15">
      <c r="A58" s="190">
        <v>8060</v>
      </c>
      <c r="B58" s="188" t="str">
        <f>VLOOKUP(A58,[1]characters!$A:$C,3,FALSE)</f>
        <v>カカシ_マイメロディコスプレ</v>
      </c>
      <c r="C58" s="191" t="s">
        <v>339</v>
      </c>
      <c r="D58" s="188"/>
      <c r="E58" s="188" t="str">
        <f>A58&amp;+(COUNTIF(A$2:A58,A58)-1)</f>
        <v>80600</v>
      </c>
      <c r="F58" s="191" t="s">
        <v>340</v>
      </c>
      <c r="G58" s="185" t="s">
        <v>341</v>
      </c>
      <c r="H58" s="194" t="s">
        <v>397</v>
      </c>
    </row>
    <row r="59" spans="1:8" x14ac:dyDescent="0.15">
      <c r="A59" s="190">
        <v>8060</v>
      </c>
      <c r="B59" s="188" t="str">
        <f>VLOOKUP(A59,[1]characters!$A:$C,3,FALSE)</f>
        <v>カカシ_マイメロディコスプレ</v>
      </c>
      <c r="C59" s="191" t="s">
        <v>469</v>
      </c>
      <c r="D59" s="188"/>
      <c r="E59" s="188" t="str">
        <f>A59&amp;+(COUNTIF(A$2:A59,A59)-1)</f>
        <v>80601</v>
      </c>
      <c r="F59" s="191" t="s">
        <v>340</v>
      </c>
      <c r="G59" s="185" t="s">
        <v>342</v>
      </c>
      <c r="H59" s="186" t="s">
        <v>395</v>
      </c>
    </row>
    <row r="60" spans="1:8" x14ac:dyDescent="0.15">
      <c r="A60" s="190">
        <v>8060</v>
      </c>
      <c r="B60" s="188" t="str">
        <f>VLOOKUP(A60,[1]characters!$A:$C,3,FALSE)</f>
        <v>カカシ_マイメロディコスプレ</v>
      </c>
      <c r="C60" s="191" t="s">
        <v>469</v>
      </c>
      <c r="D60" s="188"/>
      <c r="E60" s="188" t="str">
        <f>A60&amp;+(COUNTIF(A$2:A60,A60)-1)</f>
        <v>80602</v>
      </c>
      <c r="F60" s="191" t="s">
        <v>340</v>
      </c>
      <c r="G60" s="185" t="s">
        <v>342</v>
      </c>
      <c r="H60" s="183" t="s">
        <v>396</v>
      </c>
    </row>
    <row r="61" spans="1:8" x14ac:dyDescent="0.15">
      <c r="A61" s="190">
        <v>8060</v>
      </c>
      <c r="B61" s="188" t="str">
        <f>VLOOKUP(A61,[1]characters!$A:$C,3,FALSE)</f>
        <v>カカシ_マイメロディコスプレ</v>
      </c>
      <c r="C61" s="191" t="s">
        <v>469</v>
      </c>
      <c r="D61" s="188"/>
      <c r="E61" s="188" t="str">
        <f>A61&amp;+(COUNTIF(A$2:A61,A61)-1)</f>
        <v>80603</v>
      </c>
      <c r="F61" s="191" t="s">
        <v>357</v>
      </c>
      <c r="G61" s="185" t="s">
        <v>358</v>
      </c>
      <c r="H61" s="206" t="s">
        <v>398</v>
      </c>
    </row>
    <row r="62" spans="1:8" ht="40" customHeight="1" x14ac:dyDescent="0.15">
      <c r="A62" s="190">
        <v>8061</v>
      </c>
      <c r="B62" s="188" t="str">
        <f>VLOOKUP(A62,[1]characters!$A:$C,3,FALSE)</f>
        <v>ケロケロけろっぴ</v>
      </c>
      <c r="C62" s="191" t="s">
        <v>470</v>
      </c>
      <c r="D62" s="188"/>
      <c r="E62" s="188" t="str">
        <f>A62&amp;+(COUNTIF(A$2:A62,A62)-1)</f>
        <v>80610</v>
      </c>
      <c r="F62" s="191" t="s">
        <v>340</v>
      </c>
      <c r="G62" s="192" t="s">
        <v>342</v>
      </c>
      <c r="H62" s="194" t="s">
        <v>399</v>
      </c>
    </row>
    <row r="63" spans="1:8" x14ac:dyDescent="0.15">
      <c r="A63" s="190">
        <v>8061</v>
      </c>
      <c r="B63" s="188" t="str">
        <f>VLOOKUP(A63,[1]characters!$A:$C,3,FALSE)</f>
        <v>ケロケロけろっぴ</v>
      </c>
      <c r="C63" s="191" t="s">
        <v>471</v>
      </c>
      <c r="D63" s="188"/>
      <c r="E63" s="188" t="str">
        <f>A63&amp;+(COUNTIF(A$2:A63,A63)-1)</f>
        <v>80611</v>
      </c>
      <c r="F63" s="191" t="s">
        <v>359</v>
      </c>
      <c r="G63" s="185" t="s">
        <v>360</v>
      </c>
      <c r="H63" s="206" t="s">
        <v>400</v>
      </c>
    </row>
    <row r="64" spans="1:8" x14ac:dyDescent="0.15">
      <c r="A64" s="190">
        <v>8062</v>
      </c>
      <c r="B64" s="188" t="str">
        <f>VLOOKUP(A64,[1]characters!$A:$C,3,FALSE)</f>
        <v>ケロケロけろっぴ</v>
      </c>
      <c r="C64" s="191" t="s">
        <v>472</v>
      </c>
      <c r="D64" s="188"/>
      <c r="E64" s="188" t="str">
        <f>A64&amp;+(COUNTIF(A$2:A64,A64)-1)</f>
        <v>80620</v>
      </c>
      <c r="F64" s="191" t="s">
        <v>361</v>
      </c>
      <c r="G64" s="185" t="s">
        <v>362</v>
      </c>
      <c r="H64" s="194" t="s">
        <v>401</v>
      </c>
    </row>
    <row r="65" spans="1:8" x14ac:dyDescent="0.15">
      <c r="A65" s="190">
        <v>8062</v>
      </c>
      <c r="B65" s="188" t="str">
        <f>VLOOKUP(A65,[1]characters!$A:$C,3,FALSE)</f>
        <v>ケロケロけろっぴ</v>
      </c>
      <c r="C65" s="191" t="s">
        <v>473</v>
      </c>
      <c r="D65" s="188"/>
      <c r="E65" s="188" t="str">
        <f>A65&amp;+(COUNTIF(A$2:A65,A65)-1)</f>
        <v>80621</v>
      </c>
      <c r="F65" s="191" t="s">
        <v>340</v>
      </c>
      <c r="G65" s="185" t="s">
        <v>341</v>
      </c>
      <c r="H65" s="206" t="s">
        <v>402</v>
      </c>
    </row>
    <row r="66" spans="1:8" x14ac:dyDescent="0.15">
      <c r="A66" s="190">
        <v>8062</v>
      </c>
      <c r="B66" s="188" t="str">
        <f>VLOOKUP(A66,[1]characters!$A:$C,3,FALSE)</f>
        <v>ケロケロけろっぴ</v>
      </c>
      <c r="C66" s="191" t="s">
        <v>473</v>
      </c>
      <c r="D66" s="188"/>
      <c r="E66" s="188" t="str">
        <f>A66&amp;+(COUNTIF(A$2:A66,A66)-1)</f>
        <v>80622</v>
      </c>
      <c r="F66" s="191" t="s">
        <v>185</v>
      </c>
      <c r="G66" s="185" t="s">
        <v>358</v>
      </c>
      <c r="H66" s="206" t="s">
        <v>400</v>
      </c>
    </row>
    <row r="67" spans="1:8" x14ac:dyDescent="0.15">
      <c r="A67" s="190">
        <v>8063</v>
      </c>
      <c r="B67" s="188" t="str">
        <f>VLOOKUP(A67,[1]characters!$A:$C,3,FALSE)</f>
        <v>モルドレッド_ポムポムプリンコスプレ</v>
      </c>
      <c r="C67" s="191" t="s">
        <v>470</v>
      </c>
      <c r="D67" s="188"/>
      <c r="E67" s="188" t="str">
        <f>A67&amp;+(COUNTIF(A$2:A67,A67)-1)</f>
        <v>80630</v>
      </c>
      <c r="F67" s="191" t="s">
        <v>340</v>
      </c>
      <c r="G67" s="185" t="s">
        <v>342</v>
      </c>
      <c r="H67" s="207" t="s">
        <v>403</v>
      </c>
    </row>
    <row r="68" spans="1:8" x14ac:dyDescent="0.15">
      <c r="A68" s="190">
        <v>8063</v>
      </c>
      <c r="B68" s="188" t="str">
        <f>VLOOKUP(A68,[1]characters!$A:$C,3,FALSE)</f>
        <v>モルドレッド_ポムポムプリンコスプレ</v>
      </c>
      <c r="C68" s="191" t="s">
        <v>469</v>
      </c>
      <c r="D68" s="188"/>
      <c r="E68" s="188" t="str">
        <f>A68&amp;+(COUNTIF(A$2:A68,A68)-1)</f>
        <v>80631</v>
      </c>
      <c r="F68" s="191" t="s">
        <v>340</v>
      </c>
      <c r="G68" s="185" t="s">
        <v>342</v>
      </c>
      <c r="H68" s="186" t="s">
        <v>404</v>
      </c>
    </row>
    <row r="69" spans="1:8" x14ac:dyDescent="0.15">
      <c r="A69" s="190">
        <v>8063</v>
      </c>
      <c r="B69" s="188" t="str">
        <f>VLOOKUP(A69,[1]characters!$A:$C,3,FALSE)</f>
        <v>モルドレッド_ポムポムプリンコスプレ</v>
      </c>
      <c r="C69" s="191" t="s">
        <v>469</v>
      </c>
      <c r="D69" s="188"/>
      <c r="E69" s="188" t="str">
        <f>A69&amp;+(COUNTIF(A$2:A69,A69)-1)</f>
        <v>80632</v>
      </c>
      <c r="F69" s="191" t="s">
        <v>340</v>
      </c>
      <c r="G69" s="185" t="s">
        <v>342</v>
      </c>
      <c r="H69" s="183" t="s">
        <v>405</v>
      </c>
    </row>
    <row r="70" spans="1:8" x14ac:dyDescent="0.15">
      <c r="A70" s="190">
        <v>8063</v>
      </c>
      <c r="B70" s="188" t="str">
        <f>VLOOKUP(A70,[1]characters!$A:$C,3,FALSE)</f>
        <v>モルドレッド_ポムポムプリンコスプレ</v>
      </c>
      <c r="C70" s="191" t="s">
        <v>469</v>
      </c>
      <c r="D70" s="188"/>
      <c r="E70" s="188" t="str">
        <f>A70&amp;+(COUNTIF(A$2:A70,A70)-1)</f>
        <v>80633</v>
      </c>
      <c r="F70" s="191" t="s">
        <v>340</v>
      </c>
      <c r="G70" s="185" t="s">
        <v>342</v>
      </c>
      <c r="H70" s="184" t="s">
        <v>406</v>
      </c>
    </row>
    <row r="71" spans="1:8" x14ac:dyDescent="0.15">
      <c r="A71" s="190">
        <v>8064</v>
      </c>
      <c r="B71" s="188" t="str">
        <f>VLOOKUP(A71,[1]characters!$A:$C,3,FALSE)</f>
        <v>モルドレッド_ポムポムプリンコスプレ</v>
      </c>
      <c r="C71" s="191" t="s">
        <v>470</v>
      </c>
      <c r="D71" s="188"/>
      <c r="E71" s="188" t="str">
        <f>A71&amp;+(COUNTIF(A$2:A71,A71)-1)</f>
        <v>80640</v>
      </c>
      <c r="F71" s="191" t="s">
        <v>340</v>
      </c>
      <c r="G71" s="185" t="s">
        <v>342</v>
      </c>
      <c r="H71" s="208" t="s">
        <v>407</v>
      </c>
    </row>
    <row r="72" spans="1:8" x14ac:dyDescent="0.15">
      <c r="A72" s="190">
        <v>8064</v>
      </c>
      <c r="B72" s="188" t="str">
        <f>VLOOKUP(A72,[1]characters!$A:$C,3,FALSE)</f>
        <v>モルドレッド_ポムポムプリンコスプレ</v>
      </c>
      <c r="C72" s="191" t="s">
        <v>345</v>
      </c>
      <c r="D72" s="188"/>
      <c r="E72" s="188" t="str">
        <f>A72&amp;+(COUNTIF(A$2:A72,A72)-1)</f>
        <v>80641</v>
      </c>
      <c r="F72" s="191" t="s">
        <v>340</v>
      </c>
      <c r="G72" s="192" t="s">
        <v>342</v>
      </c>
      <c r="H72" s="209" t="s">
        <v>408</v>
      </c>
    </row>
    <row r="73" spans="1:8" x14ac:dyDescent="0.15">
      <c r="A73" s="190">
        <v>8064</v>
      </c>
      <c r="B73" s="188" t="str">
        <f>VLOOKUP(A73,[1]characters!$A:$C,3,FALSE)</f>
        <v>モルドレッド_ポムポムプリンコスプレ</v>
      </c>
      <c r="C73" s="191" t="s">
        <v>469</v>
      </c>
      <c r="D73" s="188"/>
      <c r="E73" s="188" t="str">
        <f>A73&amp;+(COUNTIF(A$2:A73,A73)-1)</f>
        <v>80642</v>
      </c>
      <c r="F73" s="191" t="s">
        <v>340</v>
      </c>
      <c r="G73" s="185" t="s">
        <v>342</v>
      </c>
      <c r="H73" s="186" t="s">
        <v>404</v>
      </c>
    </row>
    <row r="74" spans="1:8" x14ac:dyDescent="0.15">
      <c r="A74" s="190">
        <v>8064</v>
      </c>
      <c r="B74" s="188" t="str">
        <f>VLOOKUP(A74,[1]characters!$A:$C,3,FALSE)</f>
        <v>モルドレッド_ポムポムプリンコスプレ</v>
      </c>
      <c r="C74" s="191" t="s">
        <v>469</v>
      </c>
      <c r="D74" s="188"/>
      <c r="E74" s="188" t="str">
        <f>A74&amp;+(COUNTIF(A$2:A74,A74)-1)</f>
        <v>80643</v>
      </c>
      <c r="F74" s="191" t="s">
        <v>340</v>
      </c>
      <c r="G74" s="185" t="s">
        <v>342</v>
      </c>
      <c r="H74" s="183" t="s">
        <v>405</v>
      </c>
    </row>
    <row r="75" spans="1:8" x14ac:dyDescent="0.15">
      <c r="A75" s="190">
        <v>8064</v>
      </c>
      <c r="B75" s="188" t="str">
        <f>VLOOKUP(A75,[1]characters!$A:$C,3,FALSE)</f>
        <v>モルドレッド_ポムポムプリンコスプレ</v>
      </c>
      <c r="C75" s="191" t="s">
        <v>469</v>
      </c>
      <c r="D75" s="188"/>
      <c r="E75" s="188" t="str">
        <f>A75&amp;+(COUNTIF(A$2:A75,A75)-1)</f>
        <v>80644</v>
      </c>
      <c r="F75" s="191" t="s">
        <v>340</v>
      </c>
      <c r="G75" s="185" t="s">
        <v>342</v>
      </c>
      <c r="H75" s="184" t="s">
        <v>406</v>
      </c>
    </row>
    <row r="76" spans="1:8" ht="40" customHeight="1" x14ac:dyDescent="0.15">
      <c r="A76" s="190">
        <v>8065</v>
      </c>
      <c r="B76" s="188" t="str">
        <f>VLOOKUP(A76,[1]characters!$A:$C,3,FALSE)</f>
        <v>クロミ</v>
      </c>
      <c r="C76" s="191" t="s">
        <v>470</v>
      </c>
      <c r="D76" s="188"/>
      <c r="E76" s="188" t="str">
        <f>A76&amp;+(COUNTIF(A$2:A76,A76)-1)</f>
        <v>80650</v>
      </c>
      <c r="F76" s="191" t="s">
        <v>340</v>
      </c>
      <c r="G76" s="192" t="s">
        <v>342</v>
      </c>
      <c r="H76" s="210" t="s">
        <v>442</v>
      </c>
    </row>
    <row r="77" spans="1:8" x14ac:dyDescent="0.15">
      <c r="A77" s="190">
        <v>8065</v>
      </c>
      <c r="B77" s="188" t="str">
        <f>VLOOKUP(A77,[1]characters!$A:$C,3,FALSE)</f>
        <v>クロミ</v>
      </c>
      <c r="C77" s="191" t="s">
        <v>469</v>
      </c>
      <c r="D77" s="188"/>
      <c r="E77" s="188" t="str">
        <f>A77&amp;+(COUNTIF(A$2:A77,A77)-1)</f>
        <v>80651</v>
      </c>
      <c r="F77" s="191" t="s">
        <v>359</v>
      </c>
      <c r="G77" s="185" t="s">
        <v>360</v>
      </c>
      <c r="H77" s="211" t="s">
        <v>409</v>
      </c>
    </row>
    <row r="78" spans="1:8" x14ac:dyDescent="0.15">
      <c r="A78" s="190">
        <v>8066</v>
      </c>
      <c r="B78" s="188" t="str">
        <f>VLOOKUP(A78,[1]characters!$A:$C,3,FALSE)</f>
        <v>クロミ</v>
      </c>
      <c r="C78" s="191" t="s">
        <v>470</v>
      </c>
      <c r="D78" s="188"/>
      <c r="E78" s="188" t="str">
        <f>A78&amp;+(COUNTIF(A$2:A78,A78)-1)</f>
        <v>80660</v>
      </c>
      <c r="F78" s="191" t="s">
        <v>361</v>
      </c>
      <c r="G78" s="185" t="s">
        <v>362</v>
      </c>
      <c r="H78" s="208" t="s">
        <v>410</v>
      </c>
    </row>
    <row r="79" spans="1:8" x14ac:dyDescent="0.15">
      <c r="A79" s="190">
        <v>8066</v>
      </c>
      <c r="B79" s="188" t="str">
        <f>VLOOKUP(A79,[1]characters!$A:$C,3,FALSE)</f>
        <v>クロミ</v>
      </c>
      <c r="C79" s="191" t="s">
        <v>469</v>
      </c>
      <c r="D79" s="188"/>
      <c r="E79" s="188" t="str">
        <f>A79&amp;+(COUNTIF(A$2:A79,A79)-1)</f>
        <v>80661</v>
      </c>
      <c r="F79" s="191" t="s">
        <v>185</v>
      </c>
      <c r="G79" s="185" t="s">
        <v>358</v>
      </c>
      <c r="H79" s="211" t="s">
        <v>409</v>
      </c>
    </row>
    <row r="80" spans="1:8" x14ac:dyDescent="0.15">
      <c r="A80" s="190">
        <v>8066</v>
      </c>
      <c r="B80" s="188" t="str">
        <f>VLOOKUP(A80,[1]characters!$A:$C,3,FALSE)</f>
        <v>クロミ</v>
      </c>
      <c r="C80" s="191" t="s">
        <v>469</v>
      </c>
      <c r="D80" s="188"/>
      <c r="E80" s="188" t="str">
        <f>A80&amp;+(COUNTIF(A$2:A80,A80)-1)</f>
        <v>80662</v>
      </c>
      <c r="F80" s="191" t="s">
        <v>340</v>
      </c>
      <c r="G80" s="185" t="s">
        <v>341</v>
      </c>
      <c r="H80" s="211" t="s">
        <v>411</v>
      </c>
    </row>
    <row r="81" spans="1:8" x14ac:dyDescent="0.15">
      <c r="A81" s="190">
        <v>8067</v>
      </c>
      <c r="B81" s="188" t="str">
        <f>VLOOKUP(A81,[1]characters!$A:$C,3,FALSE)</f>
        <v>バッドばつ丸</v>
      </c>
      <c r="C81" s="191" t="s">
        <v>470</v>
      </c>
      <c r="D81" s="188"/>
      <c r="E81" s="188" t="str">
        <f>A81&amp;+(COUNTIF(A$2:A81,A81)-1)</f>
        <v>80670</v>
      </c>
      <c r="F81" s="191" t="s">
        <v>340</v>
      </c>
      <c r="G81" s="185" t="s">
        <v>341</v>
      </c>
      <c r="H81" s="208" t="s">
        <v>412</v>
      </c>
    </row>
    <row r="82" spans="1:8" x14ac:dyDescent="0.15">
      <c r="A82" s="190">
        <v>8067</v>
      </c>
      <c r="B82" s="188" t="str">
        <f>VLOOKUP(A82,[1]characters!$A:$C,3,FALSE)</f>
        <v>バッドばつ丸</v>
      </c>
      <c r="C82" s="191" t="s">
        <v>469</v>
      </c>
      <c r="D82" s="188"/>
      <c r="E82" s="188" t="str">
        <f>A82&amp;+(COUNTIF(A$2:A82,A82)-1)</f>
        <v>80671</v>
      </c>
      <c r="F82" s="191" t="s">
        <v>340</v>
      </c>
      <c r="G82" s="185" t="s">
        <v>341</v>
      </c>
      <c r="H82" s="216" t="s">
        <v>440</v>
      </c>
    </row>
    <row r="83" spans="1:8" x14ac:dyDescent="0.15">
      <c r="A83" s="190">
        <v>8068</v>
      </c>
      <c r="B83" s="188" t="str">
        <f>VLOOKUP(A83,[1]characters!$A:$C,3,FALSE)</f>
        <v>バッドばつ丸</v>
      </c>
      <c r="C83" s="191" t="s">
        <v>470</v>
      </c>
      <c r="D83" s="188"/>
      <c r="E83" s="188" t="str">
        <f>A83&amp;+(COUNTIF(A$2:A83,A83)-1)</f>
        <v>80680</v>
      </c>
      <c r="F83" s="191" t="s">
        <v>340</v>
      </c>
      <c r="G83" s="185" t="s">
        <v>341</v>
      </c>
      <c r="H83" s="210" t="s">
        <v>413</v>
      </c>
    </row>
    <row r="84" spans="1:8" x14ac:dyDescent="0.15">
      <c r="A84" s="190">
        <v>8068</v>
      </c>
      <c r="B84" s="188" t="str">
        <f>VLOOKUP(A84,[1]characters!$A:$C,3,FALSE)</f>
        <v>バッドばつ丸</v>
      </c>
      <c r="C84" s="191" t="s">
        <v>469</v>
      </c>
      <c r="D84" s="188"/>
      <c r="E84" s="188" t="str">
        <f>A84&amp;+(COUNTIF(A$2:A84,A84)-1)</f>
        <v>80681</v>
      </c>
      <c r="F84" s="191" t="s">
        <v>340</v>
      </c>
      <c r="G84" s="185" t="s">
        <v>341</v>
      </c>
      <c r="H84" s="216" t="s">
        <v>440</v>
      </c>
    </row>
    <row r="85" spans="1:8" x14ac:dyDescent="0.15">
      <c r="A85" s="190">
        <v>8068</v>
      </c>
      <c r="B85" s="188" t="str">
        <f>VLOOKUP(A85,[1]characters!$A:$C,3,FALSE)</f>
        <v>バッドばつ丸</v>
      </c>
      <c r="C85" s="191" t="s">
        <v>467</v>
      </c>
      <c r="D85" s="188"/>
      <c r="E85" s="188" t="str">
        <f>A85&amp;+(COUNTIF(A$2:A85,A85)-1)</f>
        <v>80682</v>
      </c>
      <c r="F85" s="191" t="s">
        <v>340</v>
      </c>
      <c r="G85" s="185" t="s">
        <v>341</v>
      </c>
      <c r="H85" s="209" t="s">
        <v>414</v>
      </c>
    </row>
    <row r="86" spans="1:8" x14ac:dyDescent="0.15">
      <c r="A86" s="190">
        <v>8069</v>
      </c>
      <c r="B86" s="188" t="str">
        <f>VLOOKUP(A86,[1]characters!$A:$C,3,FALSE)</f>
        <v>シナモロール</v>
      </c>
      <c r="C86" s="191" t="s">
        <v>468</v>
      </c>
      <c r="D86" s="188"/>
      <c r="E86" s="188" t="str">
        <f>A86&amp;+(COUNTIF(A$2:A86,A86)-1)</f>
        <v>80690</v>
      </c>
      <c r="F86" s="191" t="s">
        <v>340</v>
      </c>
      <c r="G86" s="185" t="s">
        <v>423</v>
      </c>
      <c r="H86" s="196" t="s">
        <v>415</v>
      </c>
    </row>
    <row r="87" spans="1:8" x14ac:dyDescent="0.15">
      <c r="A87" s="190">
        <v>8069</v>
      </c>
      <c r="B87" s="188" t="str">
        <f>VLOOKUP(A87,[1]characters!$A:$C,3,FALSE)</f>
        <v>シナモロール</v>
      </c>
      <c r="C87" s="191" t="s">
        <v>345</v>
      </c>
      <c r="D87" s="188"/>
      <c r="E87" s="188" t="str">
        <f>A87&amp;+(COUNTIF(A$2:A87,A87)-1)</f>
        <v>80691</v>
      </c>
      <c r="F87" s="191" t="s">
        <v>340</v>
      </c>
      <c r="G87" s="185" t="s">
        <v>423</v>
      </c>
      <c r="H87" s="184" t="s">
        <v>416</v>
      </c>
    </row>
    <row r="88" spans="1:8" x14ac:dyDescent="0.15">
      <c r="A88" s="190">
        <v>8069</v>
      </c>
      <c r="B88" s="188" t="str">
        <f>VLOOKUP(A88,[1]characters!$A:$C,3,FALSE)</f>
        <v>シナモロール</v>
      </c>
      <c r="C88" s="191" t="s">
        <v>345</v>
      </c>
      <c r="D88" s="188"/>
      <c r="E88" s="188" t="str">
        <f>A88&amp;+(COUNTIF(A$2:A88,A88)-1)</f>
        <v>80692</v>
      </c>
      <c r="F88" s="191" t="s">
        <v>340</v>
      </c>
      <c r="G88" s="185" t="s">
        <v>423</v>
      </c>
      <c r="H88" s="184" t="s">
        <v>417</v>
      </c>
    </row>
    <row r="89" spans="1:8" x14ac:dyDescent="0.15">
      <c r="A89" s="190">
        <v>8070</v>
      </c>
      <c r="B89" s="188" t="str">
        <f>VLOOKUP(A89,[1]characters!$A:$C,3,FALSE)</f>
        <v>シナモロール</v>
      </c>
      <c r="C89" s="191" t="s">
        <v>468</v>
      </c>
      <c r="D89" s="188"/>
      <c r="E89" s="188" t="str">
        <f>A89&amp;+(COUNTIF(A$2:A89,A89)-1)</f>
        <v>80700</v>
      </c>
      <c r="F89" s="191" t="s">
        <v>340</v>
      </c>
      <c r="G89" s="185" t="s">
        <v>423</v>
      </c>
      <c r="H89" s="198" t="s">
        <v>418</v>
      </c>
    </row>
    <row r="90" spans="1:8" x14ac:dyDescent="0.15">
      <c r="A90" s="190">
        <v>8070</v>
      </c>
      <c r="B90" s="188" t="str">
        <f>VLOOKUP(A90,[1]characters!$A:$C,3,FALSE)</f>
        <v>シナモロール</v>
      </c>
      <c r="C90" s="191" t="s">
        <v>345</v>
      </c>
      <c r="D90" s="188"/>
      <c r="E90" s="188" t="str">
        <f>A90&amp;+(COUNTIF(A$2:A90,A90)-1)</f>
        <v>80701</v>
      </c>
      <c r="F90" s="191" t="s">
        <v>340</v>
      </c>
      <c r="G90" s="185" t="s">
        <v>423</v>
      </c>
      <c r="H90" s="198" t="s">
        <v>422</v>
      </c>
    </row>
    <row r="91" spans="1:8" x14ac:dyDescent="0.15">
      <c r="A91" s="190">
        <v>8070</v>
      </c>
      <c r="B91" s="188" t="str">
        <f>VLOOKUP(A91,[1]characters!$A:$C,3,FALSE)</f>
        <v>シナモロール</v>
      </c>
      <c r="C91" s="191" t="s">
        <v>345</v>
      </c>
      <c r="D91" s="188"/>
      <c r="E91" s="188" t="str">
        <f>A91&amp;+(COUNTIF(A$2:A91,A91)-1)</f>
        <v>80702</v>
      </c>
      <c r="F91" s="191" t="s">
        <v>340</v>
      </c>
      <c r="G91" s="185" t="s">
        <v>423</v>
      </c>
      <c r="H91" s="184" t="s">
        <v>416</v>
      </c>
    </row>
    <row r="92" spans="1:8" x14ac:dyDescent="0.15">
      <c r="A92" s="190">
        <v>8070</v>
      </c>
      <c r="B92" s="188" t="str">
        <f>VLOOKUP(A92,[1]characters!$A:$C,3,FALSE)</f>
        <v>シナモロール</v>
      </c>
      <c r="C92" s="191" t="s">
        <v>345</v>
      </c>
      <c r="D92" s="188"/>
      <c r="E92" s="188" t="str">
        <f>A92&amp;+(COUNTIF(A$2:A92,A92)-1)</f>
        <v>80703</v>
      </c>
      <c r="F92" s="191" t="s">
        <v>340</v>
      </c>
      <c r="G92" s="185" t="s">
        <v>423</v>
      </c>
      <c r="H92" s="184" t="s">
        <v>417</v>
      </c>
    </row>
    <row r="93" spans="1:8" x14ac:dyDescent="0.15">
      <c r="A93" s="190">
        <v>8071</v>
      </c>
      <c r="B93" s="188" t="str">
        <f>VLOOKUP(A93,[1]characters!$A:$C,3,FALSE)</f>
        <v>ポムポムプリン</v>
      </c>
      <c r="C93" s="191" t="s">
        <v>468</v>
      </c>
      <c r="D93" s="188"/>
      <c r="E93" s="188" t="str">
        <f>A93&amp;+(COUNTIF(A$2:A93,A93)-1)</f>
        <v>80710</v>
      </c>
      <c r="F93" s="191" t="s">
        <v>340</v>
      </c>
      <c r="G93" s="185" t="s">
        <v>423</v>
      </c>
      <c r="H93" s="198" t="s">
        <v>419</v>
      </c>
    </row>
    <row r="94" spans="1:8" x14ac:dyDescent="0.15">
      <c r="A94" s="190">
        <v>8071</v>
      </c>
      <c r="B94" s="188" t="str">
        <f>VLOOKUP(A94,[1]characters!$A:$C,3,FALSE)</f>
        <v>ポムポムプリン</v>
      </c>
      <c r="C94" s="191" t="s">
        <v>345</v>
      </c>
      <c r="D94" s="188"/>
      <c r="E94" s="188" t="str">
        <f>A94&amp;+(COUNTIF(A$2:A94,A94)-1)</f>
        <v>80711</v>
      </c>
      <c r="F94" s="191" t="s">
        <v>340</v>
      </c>
      <c r="G94" s="185" t="s">
        <v>423</v>
      </c>
      <c r="H94" s="212" t="s">
        <v>420</v>
      </c>
    </row>
    <row r="95" spans="1:8" ht="16" thickBot="1" x14ac:dyDescent="0.2">
      <c r="A95" s="190">
        <v>8072</v>
      </c>
      <c r="B95" s="188" t="str">
        <f>VLOOKUP(A95,[1]characters!$A:$C,3,FALSE)</f>
        <v>ポムポムプリン</v>
      </c>
      <c r="C95" s="191" t="s">
        <v>468</v>
      </c>
      <c r="D95" s="188"/>
      <c r="E95" s="188" t="str">
        <f>A95&amp;+(COUNTIF(A$2:A95,A95)-1)</f>
        <v>80720</v>
      </c>
      <c r="F95" s="191" t="s">
        <v>340</v>
      </c>
      <c r="G95" s="185" t="s">
        <v>423</v>
      </c>
      <c r="H95" s="213" t="s">
        <v>421</v>
      </c>
    </row>
    <row r="96" spans="1:8" x14ac:dyDescent="0.15">
      <c r="A96" s="190">
        <v>8072</v>
      </c>
      <c r="B96" s="188" t="str">
        <f>VLOOKUP(A96,[1]characters!$A:$C,3,FALSE)</f>
        <v>ポムポムプリン</v>
      </c>
      <c r="C96" s="191" t="s">
        <v>345</v>
      </c>
      <c r="D96" s="188"/>
      <c r="E96" s="188" t="str">
        <f>A96&amp;+(COUNTIF(A$2:A96,A96)-1)</f>
        <v>80721</v>
      </c>
      <c r="F96" s="191" t="s">
        <v>340</v>
      </c>
      <c r="G96" s="192" t="s">
        <v>342</v>
      </c>
      <c r="H96" s="214" t="s">
        <v>441</v>
      </c>
    </row>
    <row r="97" spans="1:8" x14ac:dyDescent="0.15">
      <c r="A97" s="190">
        <v>8072</v>
      </c>
      <c r="B97" s="188" t="str">
        <f>VLOOKUP(A97,[1]characters!$A:$C,3,FALSE)</f>
        <v>ポムポムプリン</v>
      </c>
      <c r="C97" s="191" t="s">
        <v>345</v>
      </c>
      <c r="D97" s="188"/>
      <c r="E97" s="188" t="str">
        <f>A97&amp;+(COUNTIF(A$2:A97,A97)-1)</f>
        <v>80722</v>
      </c>
      <c r="F97" s="191" t="s">
        <v>340</v>
      </c>
      <c r="G97" s="185" t="s">
        <v>423</v>
      </c>
      <c r="H97" s="212" t="s">
        <v>420</v>
      </c>
    </row>
  </sheetData>
  <phoneticPr fontId="22"/>
  <dataValidations count="2">
    <dataValidation type="list" allowBlank="1" showInputMessage="1" showErrorMessage="1" sqref="G41:G47 G76:G80 G54:G57 G2:G6 G59:G66 G38:G39 G86:G97 G12:G34 G50:G52 G72 G8:G10">
      <formula1>"maru,giza,kumo"</formula1>
    </dataValidation>
    <dataValidation type="list" allowBlank="1" showInputMessage="1" showErrorMessage="1" sqref="C2:C9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J46"/>
  <sheetViews>
    <sheetView showGridLines="0" workbookViewId="0">
      <pane ySplit="1" topLeftCell="A3" activePane="bottomLeft" state="frozen"/>
      <selection pane="bottomLeft" activeCell="F9" sqref="F9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19.1640625" style="22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21.33203125" style="2" bestFit="1" customWidth="1"/>
    <col min="8" max="8" width="13.5" style="2" bestFit="1" customWidth="1"/>
    <col min="9" max="9" width="17" style="1" bestFit="1" customWidth="1"/>
    <col min="10" max="16384" width="13" style="2"/>
  </cols>
  <sheetData>
    <row r="1" spans="1:10" ht="21" customHeight="1" x14ac:dyDescent="0.15">
      <c r="A1" s="63" t="s">
        <v>99</v>
      </c>
      <c r="B1" s="41" t="s">
        <v>38</v>
      </c>
      <c r="C1" s="221" t="s">
        <v>464</v>
      </c>
      <c r="D1" s="19" t="s">
        <v>40</v>
      </c>
      <c r="E1" s="19" t="s">
        <v>42</v>
      </c>
      <c r="F1" s="19" t="s">
        <v>43</v>
      </c>
      <c r="G1" s="42" t="s">
        <v>36</v>
      </c>
      <c r="H1" s="19" t="s">
        <v>41</v>
      </c>
      <c r="I1" s="18" t="s">
        <v>37</v>
      </c>
      <c r="J1" s="112" t="s">
        <v>127</v>
      </c>
    </row>
    <row r="2" spans="1:10" ht="21" customHeight="1" x14ac:dyDescent="0.15">
      <c r="A2" s="63" t="str">
        <f>B2&amp;"_"&amp;G2</f>
        <v>8043_837</v>
      </c>
      <c r="B2" s="179">
        <f>C2+7144</f>
        <v>8043</v>
      </c>
      <c r="C2" s="222">
        <v>899</v>
      </c>
      <c r="D2" s="180" t="str">
        <f ca="1">VLOOKUP(B2,units!A:C,3)</f>
        <v>サンリオキャラ大集合+アザゼル</v>
      </c>
      <c r="E2" s="180" t="e">
        <f ca="1">VLOOKUP($B2,OFFSET([2]units!$A$1,0,0,COUNTA([2]units!$A:$A),MATCH(E$1,[2]units!$1:$1,0)-COLUMN(INDIRECT("character_id"))+1),MATCH(E$1,[2]units!$1:$1,0)-COLUMN(INDIRECT("character_id"))+1,FALSE)</f>
        <v>#VALUE!</v>
      </c>
      <c r="F2" s="180" t="e">
        <f ca="1">VLOOKUP($B2,OFFSET([2]units!$A$1,0,0,COUNTA([2]units!$A:$A),MATCH(F$1,[2]units!$1:$1,0)-COLUMN(INDIRECT("character_id"))+1),MATCH(F$1,[2]units!$1:$1,0)-COLUMN(INDIRECT("character_id"))+1,FALSE)</f>
        <v>#VALUE!</v>
      </c>
      <c r="G2" s="179">
        <v>837</v>
      </c>
      <c r="H2" s="180" t="str">
        <f>VLOOKUP(G2,[1]characters!$A:$C,3,FALSE)</f>
        <v>リトルハンプティ</v>
      </c>
      <c r="I2" s="181">
        <v>1</v>
      </c>
      <c r="J2" s="182">
        <v>1</v>
      </c>
    </row>
    <row r="3" spans="1:10" ht="21" customHeight="1" x14ac:dyDescent="0.15">
      <c r="A3" s="63" t="str">
        <f>B3&amp;"_"&amp;G3</f>
        <v>8043_8051</v>
      </c>
      <c r="B3" s="179">
        <f>C3+7144</f>
        <v>8043</v>
      </c>
      <c r="C3" s="222">
        <v>899</v>
      </c>
      <c r="D3" s="180" t="str">
        <f ca="1">VLOOKUP(B3,units!A:C,3)</f>
        <v>サンリオキャラ大集合+アザゼル</v>
      </c>
      <c r="E3" s="180" t="e">
        <f ca="1">VLOOKUP($B3,OFFSET([2]units!$A$1,0,0,COUNTA([2]units!$A:$A),MATCH(E$1,[2]units!$1:$1,0)-COLUMN(INDIRECT("character_id"))+1),MATCH(E$1,[2]units!$1:$1,0)-COLUMN(INDIRECT("character_id"))+1,FALSE)</f>
        <v>#VALUE!</v>
      </c>
      <c r="F3" s="180" t="e">
        <f ca="1">VLOOKUP($B3,OFFSET([2]units!$A$1,0,0,COUNTA([2]units!$A:$A),MATCH(F$1,[2]units!$1:$1,0)-COLUMN(INDIRECT("character_id"))+1),MATCH(F$1,[2]units!$1:$1,0)-COLUMN(INDIRECT("character_id"))+1,FALSE)</f>
        <v>#VALUE!</v>
      </c>
      <c r="G3" s="179">
        <v>8051</v>
      </c>
      <c r="H3" s="180" t="str">
        <f>VLOOKUP(G3,[1]characters!$A:$C,3,FALSE)</f>
        <v>ハローキティのリボン</v>
      </c>
      <c r="I3" s="181">
        <v>1</v>
      </c>
      <c r="J3" s="182">
        <v>4</v>
      </c>
    </row>
    <row r="4" spans="1:10" ht="21" customHeight="1" x14ac:dyDescent="0.15">
      <c r="A4" s="63" t="str">
        <f>B4&amp;"_"&amp;G4</f>
        <v>8043_8052</v>
      </c>
      <c r="B4" s="179">
        <f t="shared" ref="B4:B46" si="0">C4+7144</f>
        <v>8043</v>
      </c>
      <c r="C4" s="222">
        <v>899</v>
      </c>
      <c r="D4" s="180" t="str">
        <f ca="1">VLOOKUP(B4,units!A:C,3)</f>
        <v>サンリオキャラ大集合+アザゼル</v>
      </c>
      <c r="E4" s="180" t="e">
        <f ca="1">VLOOKUP($B4,OFFSET([2]units!$A$1,0,0,COUNTA([2]units!$A:$A),MATCH(E$1,[2]units!$1:$1,0)-COLUMN(INDIRECT("character_id"))+1),MATCH(E$1,[2]units!$1:$1,0)-COLUMN(INDIRECT("character_id"))+1,FALSE)</f>
        <v>#VALUE!</v>
      </c>
      <c r="F4" s="180" t="e">
        <f ca="1">VLOOKUP($B4,OFFSET([2]units!$A$1,0,0,COUNTA([2]units!$A:$A),MATCH(F$1,[2]units!$1:$1,0)-COLUMN(INDIRECT("character_id"))+1),MATCH(F$1,[2]units!$1:$1,0)-COLUMN(INDIRECT("character_id"))+1,FALSE)</f>
        <v>#VALUE!</v>
      </c>
      <c r="G4" s="179">
        <v>8052</v>
      </c>
      <c r="H4" s="180" t="str">
        <f>VLOOKUP(G4,[1]characters!$A:$C,3,FALSE)</f>
        <v>ママの作ったアップルパイ</v>
      </c>
      <c r="I4" s="181">
        <v>1</v>
      </c>
      <c r="J4" s="182">
        <v>4</v>
      </c>
    </row>
    <row r="5" spans="1:10" x14ac:dyDescent="0.15">
      <c r="A5" s="63" t="str">
        <f t="shared" ref="A5:A11" si="1">B5&amp;"_"&amp;G5</f>
        <v>8045_8051</v>
      </c>
      <c r="B5" s="179">
        <f t="shared" si="0"/>
        <v>8045</v>
      </c>
      <c r="C5" s="222">
        <v>901</v>
      </c>
      <c r="D5" s="180" t="str">
        <f ca="1">VLOOKUP(B5,units!A:C,3)</f>
        <v>ニムダ_サンリオキャラ混じり</v>
      </c>
      <c r="E5" s="180" t="e">
        <f ca="1">VLOOKUP($B5,OFFSET([3]units!$A$1,0,0,COUNTA([3]units!$A:$A),MATCH(E$1,[3]units!$1:$1,0)-COLUMN(INDIRECT("character_id"))+1),MATCH(E$1,[3]units!$1:$1,0)-COLUMN(INDIRECT("character_id"))+1,FALSE)</f>
        <v>#VALUE!</v>
      </c>
      <c r="F5" s="180" t="e">
        <f ca="1">VLOOKUP($B5,OFFSET([3]units!$A$1,0,0,COUNTA([3]units!$A:$A),MATCH(F$1,[3]units!$1:$1,0)-COLUMN(INDIRECT("character_id"))+1),MATCH(F$1,[3]units!$1:$1,0)-COLUMN(INDIRECT("character_id"))+1,FALSE)</f>
        <v>#VALUE!</v>
      </c>
      <c r="G5" s="179">
        <v>8051</v>
      </c>
      <c r="H5" s="180" t="str">
        <f>VLOOKUP(G5,[1]characters!$A:$C,3,FALSE)</f>
        <v>ハローキティのリボン</v>
      </c>
      <c r="I5" s="181">
        <v>1</v>
      </c>
      <c r="J5" s="182">
        <v>3</v>
      </c>
    </row>
    <row r="6" spans="1:10" x14ac:dyDescent="0.15">
      <c r="A6" s="63" t="str">
        <f t="shared" si="1"/>
        <v>8045_8052</v>
      </c>
      <c r="B6" s="179">
        <f t="shared" si="0"/>
        <v>8045</v>
      </c>
      <c r="C6" s="222">
        <v>901</v>
      </c>
      <c r="D6" s="180" t="str">
        <f ca="1">VLOOKUP(B6,units!A:C,3)</f>
        <v>ニムダ_サンリオキャラ混じり</v>
      </c>
      <c r="E6" s="180" t="e">
        <f ca="1">VLOOKUP($B6,OFFSET([3]units!$A$1,0,0,COUNTA([3]units!$A:$A),MATCH(E$1,[3]units!$1:$1,0)-COLUMN(INDIRECT("character_id"))+1),MATCH(E$1,[3]units!$1:$1,0)-COLUMN(INDIRECT("character_id"))+1,FALSE)</f>
        <v>#VALUE!</v>
      </c>
      <c r="F6" s="180" t="e">
        <f ca="1">VLOOKUP($B6,OFFSET([3]units!$A$1,0,0,COUNTA([3]units!$A:$A),MATCH(F$1,[3]units!$1:$1,0)-COLUMN(INDIRECT("character_id"))+1),MATCH(F$1,[3]units!$1:$1,0)-COLUMN(INDIRECT("character_id"))+1,FALSE)</f>
        <v>#VALUE!</v>
      </c>
      <c r="G6" s="179">
        <v>8052</v>
      </c>
      <c r="H6" s="180" t="str">
        <f>VLOOKUP(G6,[1]characters!$A:$C,3,FALSE)</f>
        <v>ママの作ったアップルパイ</v>
      </c>
      <c r="I6" s="181">
        <v>1</v>
      </c>
      <c r="J6" s="182">
        <v>3</v>
      </c>
    </row>
    <row r="7" spans="1:10" x14ac:dyDescent="0.15">
      <c r="A7" s="63" t="str">
        <f t="shared" si="1"/>
        <v>8045_114</v>
      </c>
      <c r="B7" s="179">
        <f t="shared" si="0"/>
        <v>8045</v>
      </c>
      <c r="C7" s="222">
        <v>901</v>
      </c>
      <c r="D7" s="180" t="str">
        <f ca="1">VLOOKUP(B7,units!A:C,3)</f>
        <v>ニムダ_サンリオキャラ混じり</v>
      </c>
      <c r="E7" s="180" t="e">
        <f ca="1">VLOOKUP($B7,OFFSET([3]units!$A$1,0,0,COUNTA([3]units!$A:$A),MATCH(E$1,[3]units!$1:$1,0)-COLUMN(INDIRECT("character_id"))+1),MATCH(E$1,[3]units!$1:$1,0)-COLUMN(INDIRECT("character_id"))+1,FALSE)</f>
        <v>#VALUE!</v>
      </c>
      <c r="F7" s="180" t="e">
        <f ca="1">VLOOKUP($B7,OFFSET([3]units!$A$1,0,0,COUNTA([3]units!$A:$A),MATCH(F$1,[3]units!$1:$1,0)-COLUMN(INDIRECT("character_id"))+1),MATCH(F$1,[3]units!$1:$1,0)-COLUMN(INDIRECT("character_id"))+1,FALSE)</f>
        <v>#VALUE!</v>
      </c>
      <c r="G7" s="179">
        <v>114</v>
      </c>
      <c r="H7" s="180" t="str">
        <f>VLOOKUP(G7,[1]characters!$A:$C,3,FALSE)</f>
        <v>イエローラビット</v>
      </c>
      <c r="I7" s="181">
        <v>1</v>
      </c>
      <c r="J7" s="182">
        <v>1</v>
      </c>
    </row>
    <row r="8" spans="1:10" x14ac:dyDescent="0.15">
      <c r="A8" s="63" t="str">
        <f t="shared" si="1"/>
        <v>8045_113</v>
      </c>
      <c r="B8" s="179">
        <f t="shared" si="0"/>
        <v>8045</v>
      </c>
      <c r="C8" s="222">
        <v>901</v>
      </c>
      <c r="D8" s="180" t="str">
        <f ca="1">VLOOKUP(B8,units!A:C,3)</f>
        <v>ニムダ_サンリオキャラ混じり</v>
      </c>
      <c r="E8" s="180" t="e">
        <f ca="1">VLOOKUP($B8,OFFSET([3]units!$A$1,0,0,COUNTA([3]units!$A:$A),MATCH(E$1,[3]units!$1:$1,0)-COLUMN(INDIRECT("character_id"))+1),MATCH(E$1,[3]units!$1:$1,0)-COLUMN(INDIRECT("character_id"))+1,FALSE)</f>
        <v>#VALUE!</v>
      </c>
      <c r="F8" s="180" t="e">
        <f ca="1">VLOOKUP($B8,OFFSET([3]units!$A$1,0,0,COUNTA([3]units!$A:$A),MATCH(F$1,[3]units!$1:$1,0)-COLUMN(INDIRECT("character_id"))+1),MATCH(F$1,[3]units!$1:$1,0)-COLUMN(INDIRECT("character_id"))+1,FALSE)</f>
        <v>#VALUE!</v>
      </c>
      <c r="G8" s="179">
        <v>113</v>
      </c>
      <c r="H8" s="180" t="str">
        <f>VLOOKUP(G8,[1]characters!$A:$C,3,FALSE)</f>
        <v>イエローチェシャ</v>
      </c>
      <c r="I8" s="181">
        <v>1</v>
      </c>
      <c r="J8" s="182">
        <v>1</v>
      </c>
    </row>
    <row r="9" spans="1:10" x14ac:dyDescent="0.15">
      <c r="A9" s="63" t="str">
        <f t="shared" si="1"/>
        <v>8047_8051</v>
      </c>
      <c r="B9" s="179">
        <f t="shared" si="0"/>
        <v>8047</v>
      </c>
      <c r="C9" s="222">
        <v>903</v>
      </c>
      <c r="D9" s="180" t="str">
        <f ca="1">VLOOKUP(B9,units!A:C,3)</f>
        <v>ハローキティ</v>
      </c>
      <c r="E9" s="180" t="e">
        <f ca="1">VLOOKUP($B9,OFFSET([3]units!$A$1,0,0,COUNTA([3]units!$A:$A),MATCH(E$1,[3]units!$1:$1,0)-COLUMN(INDIRECT("character_id"))+1),MATCH(E$1,[3]units!$1:$1,0)-COLUMN(INDIRECT("character_id"))+1,FALSE)</f>
        <v>#VALUE!</v>
      </c>
      <c r="F9" s="180" t="e">
        <f ca="1">VLOOKUP($B9,OFFSET([3]units!$A$1,0,0,COUNTA([3]units!$A:$A),MATCH(F$1,[3]units!$1:$1,0)-COLUMN(INDIRECT("character_id"))+1),MATCH(F$1,[3]units!$1:$1,0)-COLUMN(INDIRECT("character_id"))+1,FALSE)</f>
        <v>#VALUE!</v>
      </c>
      <c r="G9" s="179">
        <v>8051</v>
      </c>
      <c r="H9" s="180" t="str">
        <f>VLOOKUP(G9,[1]characters!$A:$C,3,FALSE)</f>
        <v>ハローキティのリボン</v>
      </c>
      <c r="I9" s="181">
        <v>1</v>
      </c>
      <c r="J9" s="182">
        <v>2</v>
      </c>
    </row>
    <row r="10" spans="1:10" x14ac:dyDescent="0.15">
      <c r="A10" s="63" t="str">
        <f t="shared" si="1"/>
        <v>8047_8052</v>
      </c>
      <c r="B10" s="179">
        <f t="shared" si="0"/>
        <v>8047</v>
      </c>
      <c r="C10" s="222">
        <v>903</v>
      </c>
      <c r="D10" s="180" t="str">
        <f ca="1">VLOOKUP(B10,units!A:C,3)</f>
        <v>ハローキティ</v>
      </c>
      <c r="E10" s="180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180" t="e">
        <f ca="1">VLOOKUP($B10,OFFSET([3]units!$A$1,0,0,COUNTA([3]units!$A:$A),MATCH(F$1,[3]units!$1:$1,0)-COLUMN(INDIRECT("character_id"))+1),MATCH(F$1,[3]units!$1:$1,0)-COLUMN(INDIRECT("character_id"))+1,FALSE)</f>
        <v>#VALUE!</v>
      </c>
      <c r="G10" s="179">
        <v>8052</v>
      </c>
      <c r="H10" s="180" t="str">
        <f>VLOOKUP(G10,[1]characters!$A:$C,3,FALSE)</f>
        <v>ママの作ったアップルパイ</v>
      </c>
      <c r="I10" s="181">
        <v>1</v>
      </c>
      <c r="J10" s="182">
        <v>2</v>
      </c>
    </row>
    <row r="11" spans="1:10" x14ac:dyDescent="0.15">
      <c r="A11" s="63" t="str">
        <f t="shared" si="1"/>
        <v>8047_103</v>
      </c>
      <c r="B11" s="179">
        <f t="shared" si="0"/>
        <v>8047</v>
      </c>
      <c r="C11" s="222">
        <v>903</v>
      </c>
      <c r="D11" s="180" t="str">
        <f ca="1">VLOOKUP(B11,units!A:C,3)</f>
        <v>ハローキティ</v>
      </c>
      <c r="E11" s="180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180" t="e">
        <f ca="1">VLOOKUP($B11,OFFSET([3]units!$A$1,0,0,COUNTA([3]units!$A:$A),MATCH(F$1,[3]units!$1:$1,0)-COLUMN(INDIRECT("character_id"))+1),MATCH(F$1,[3]units!$1:$1,0)-COLUMN(INDIRECT("character_id"))+1,FALSE)</f>
        <v>#VALUE!</v>
      </c>
      <c r="G11" s="179">
        <v>103</v>
      </c>
      <c r="H11" s="180" t="str">
        <f>VLOOKUP(G11,[1]characters!$A:$C,3,FALSE)</f>
        <v>レッドキャタップ</v>
      </c>
      <c r="I11" s="181">
        <v>1</v>
      </c>
      <c r="J11" s="182">
        <v>1</v>
      </c>
    </row>
    <row r="12" spans="1:10" x14ac:dyDescent="0.15">
      <c r="A12" s="63" t="str">
        <f t="shared" ref="A12:A34" si="2">B12&amp;"_"&amp;G12</f>
        <v>8049_8051</v>
      </c>
      <c r="B12" s="179">
        <f t="shared" si="0"/>
        <v>8049</v>
      </c>
      <c r="C12" s="222">
        <v>905</v>
      </c>
      <c r="D12" s="180" t="str">
        <f ca="1">VLOOKUP(B12,units!A:C,3)</f>
        <v>KIRIMIちゃん</v>
      </c>
      <c r="E12" s="180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180" t="e">
        <f ca="1">VLOOKUP($B12,OFFSET([3]units!$A$1,0,0,COUNTA([3]units!$A:$A),MATCH(F$1,[3]units!$1:$1,0)-COLUMN(INDIRECT("character_id"))+1),MATCH(F$1,[3]units!$1:$1,0)-COLUMN(INDIRECT("character_id"))+1,FALSE)</f>
        <v>#VALUE!</v>
      </c>
      <c r="G12" s="179">
        <v>8051</v>
      </c>
      <c r="H12" s="180" t="str">
        <f>VLOOKUP(G12,[1]characters!$A:$C,3,FALSE)</f>
        <v>ハローキティのリボン</v>
      </c>
      <c r="I12" s="181">
        <v>1</v>
      </c>
      <c r="J12" s="182">
        <v>2</v>
      </c>
    </row>
    <row r="13" spans="1:10" x14ac:dyDescent="0.15">
      <c r="A13" s="63" t="str">
        <f t="shared" si="2"/>
        <v>8049_8052</v>
      </c>
      <c r="B13" s="179">
        <f t="shared" si="0"/>
        <v>8049</v>
      </c>
      <c r="C13" s="222">
        <v>905</v>
      </c>
      <c r="D13" s="180" t="str">
        <f ca="1">VLOOKUP(B13,units!A:C,3)</f>
        <v>KIRIMIちゃん</v>
      </c>
      <c r="E13" s="180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180" t="e">
        <f ca="1">VLOOKUP($B13,OFFSET([3]units!$A$1,0,0,COUNTA([3]units!$A:$A),MATCH(F$1,[3]units!$1:$1,0)-COLUMN(INDIRECT("character_id"))+1),MATCH(F$1,[3]units!$1:$1,0)-COLUMN(INDIRECT("character_id"))+1,FALSE)</f>
        <v>#VALUE!</v>
      </c>
      <c r="G13" s="179">
        <v>8052</v>
      </c>
      <c r="H13" s="180" t="str">
        <f>VLOOKUP(G13,[1]characters!$A:$C,3,FALSE)</f>
        <v>ママの作ったアップルパイ</v>
      </c>
      <c r="I13" s="181">
        <v>1</v>
      </c>
      <c r="J13" s="182">
        <v>2</v>
      </c>
    </row>
    <row r="14" spans="1:10" x14ac:dyDescent="0.15">
      <c r="A14" s="63" t="str">
        <f t="shared" si="2"/>
        <v>8049_103</v>
      </c>
      <c r="B14" s="179">
        <f t="shared" si="0"/>
        <v>8049</v>
      </c>
      <c r="C14" s="222">
        <v>905</v>
      </c>
      <c r="D14" s="180" t="str">
        <f ca="1">VLOOKUP(B14,units!A:C,3)</f>
        <v>KIRIMIちゃん</v>
      </c>
      <c r="E14" s="180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180" t="e">
        <f ca="1">VLOOKUP($B14,OFFSET([3]units!$A$1,0,0,COUNTA([3]units!$A:$A),MATCH(F$1,[3]units!$1:$1,0)-COLUMN(INDIRECT("character_id"))+1),MATCH(F$1,[3]units!$1:$1,0)-COLUMN(INDIRECT("character_id"))+1,FALSE)</f>
        <v>#VALUE!</v>
      </c>
      <c r="G14" s="179">
        <v>103</v>
      </c>
      <c r="H14" s="180" t="str">
        <f>VLOOKUP(G14,[1]characters!$A:$C,3,FALSE)</f>
        <v>レッドキャタップ</v>
      </c>
      <c r="I14" s="181">
        <v>1</v>
      </c>
      <c r="J14" s="182">
        <v>1</v>
      </c>
    </row>
    <row r="15" spans="1:10" ht="21" customHeight="1" x14ac:dyDescent="0.15">
      <c r="A15" s="63" t="str">
        <f t="shared" ref="A15:A21" si="3">B15&amp;"_"&amp;G15</f>
        <v>8053_837</v>
      </c>
      <c r="B15" s="179">
        <f t="shared" si="0"/>
        <v>8053</v>
      </c>
      <c r="C15" s="222">
        <v>909</v>
      </c>
      <c r="D15" s="180" t="str">
        <f ca="1">VLOOKUP(B15,units!A:C,3)</f>
        <v>D.R.T.H__キティコスプレ</v>
      </c>
      <c r="E15" s="180" t="e">
        <f ca="1">VLOOKUP($B15,OFFSET([4]units!$A$1,0,0,COUNTA([4]units!$A:$A),MATCH(E$1,[4]units!$1:$1,0)-COLUMN(INDIRECT("character_id"))+1),MATCH(E$1,[4]units!$1:$1,0)-COLUMN(INDIRECT("character_id"))+1,FALSE)</f>
        <v>#VALUE!</v>
      </c>
      <c r="F15" s="180" t="e">
        <f ca="1">VLOOKUP($B15,OFFSET([4]units!$A$1,0,0,COUNTA([4]units!$A:$A),MATCH(F$1,[4]units!$1:$1,0)-COLUMN(INDIRECT("character_id"))+1),MATCH(F$1,[4]units!$1:$1,0)-COLUMN(INDIRECT("character_id"))+1,FALSE)</f>
        <v>#VALUE!</v>
      </c>
      <c r="G15" s="179">
        <v>837</v>
      </c>
      <c r="H15" s="180" t="str">
        <f>VLOOKUP(G15,[1]characters!$A:$C,3,FALSE)</f>
        <v>リトルハンプティ</v>
      </c>
      <c r="I15" s="181">
        <v>1</v>
      </c>
      <c r="J15" s="182">
        <v>1</v>
      </c>
    </row>
    <row r="16" spans="1:10" ht="21" customHeight="1" x14ac:dyDescent="0.15">
      <c r="A16" s="63" t="str">
        <f t="shared" si="3"/>
        <v>8053_8051</v>
      </c>
      <c r="B16" s="179">
        <f t="shared" si="0"/>
        <v>8053</v>
      </c>
      <c r="C16" s="222">
        <v>909</v>
      </c>
      <c r="D16" s="180" t="str">
        <f ca="1">VLOOKUP(B16,units!A:C,3)</f>
        <v>D.R.T.H__キティコスプレ</v>
      </c>
      <c r="E16" s="180" t="e">
        <f ca="1">VLOOKUP($B16,OFFSET([4]units!$A$1,0,0,COUNTA([4]units!$A:$A),MATCH(E$1,[4]units!$1:$1,0)-COLUMN(INDIRECT("character_id"))+1),MATCH(E$1,[4]units!$1:$1,0)-COLUMN(INDIRECT("character_id"))+1,FALSE)</f>
        <v>#VALUE!</v>
      </c>
      <c r="F16" s="180" t="e">
        <f ca="1">VLOOKUP($B16,OFFSET([4]units!$A$1,0,0,COUNTA([4]units!$A:$A),MATCH(F$1,[4]units!$1:$1,0)-COLUMN(INDIRECT("character_id"))+1),MATCH(F$1,[4]units!$1:$1,0)-COLUMN(INDIRECT("character_id"))+1,FALSE)</f>
        <v>#VALUE!</v>
      </c>
      <c r="G16" s="179">
        <v>8051</v>
      </c>
      <c r="H16" s="180" t="str">
        <f>VLOOKUP(G16,[1]characters!$A:$C,3,FALSE)</f>
        <v>ハローキティのリボン</v>
      </c>
      <c r="I16" s="181">
        <v>1</v>
      </c>
      <c r="J16" s="182">
        <v>2</v>
      </c>
    </row>
    <row r="17" spans="1:10" ht="21" customHeight="1" x14ac:dyDescent="0.15">
      <c r="A17" s="63" t="str">
        <f t="shared" ref="A17" si="4">B17&amp;"_"&amp;G17</f>
        <v>8053_8052</v>
      </c>
      <c r="B17" s="179">
        <f t="shared" si="0"/>
        <v>8053</v>
      </c>
      <c r="C17" s="222">
        <v>909</v>
      </c>
      <c r="D17" s="180" t="str">
        <f ca="1">VLOOKUP(B17,units!A:C,3)</f>
        <v>D.R.T.H__キティコスプレ</v>
      </c>
      <c r="E17" s="180" t="e">
        <f ca="1">VLOOKUP($B17,OFFSET([4]units!$A$1,0,0,COUNTA([4]units!$A:$A),MATCH(E$1,[4]units!$1:$1,0)-COLUMN(INDIRECT("character_id"))+1),MATCH(E$1,[4]units!$1:$1,0)-COLUMN(INDIRECT("character_id"))+1,FALSE)</f>
        <v>#VALUE!</v>
      </c>
      <c r="F17" s="180" t="e">
        <f ca="1">VLOOKUP($B17,OFFSET([4]units!$A$1,0,0,COUNTA([4]units!$A:$A),MATCH(F$1,[4]units!$1:$1,0)-COLUMN(INDIRECT("character_id"))+1),MATCH(F$1,[4]units!$1:$1,0)-COLUMN(INDIRECT("character_id"))+1,FALSE)</f>
        <v>#VALUE!</v>
      </c>
      <c r="G17" s="179">
        <v>8052</v>
      </c>
      <c r="H17" s="180" t="str">
        <f>VLOOKUP(G17,[1]characters!$A:$C,3,FALSE)</f>
        <v>ママの作ったアップルパイ</v>
      </c>
      <c r="I17" s="181">
        <v>1</v>
      </c>
      <c r="J17" s="182">
        <v>2</v>
      </c>
    </row>
    <row r="18" spans="1:10" ht="21" customHeight="1" x14ac:dyDescent="0.15">
      <c r="A18" s="63" t="str">
        <f t="shared" si="3"/>
        <v>8053_103</v>
      </c>
      <c r="B18" s="179">
        <f t="shared" si="0"/>
        <v>8053</v>
      </c>
      <c r="C18" s="222">
        <v>909</v>
      </c>
      <c r="D18" s="180" t="str">
        <f ca="1">VLOOKUP(B18,units!A:C,3)</f>
        <v>D.R.T.H__キティコスプレ</v>
      </c>
      <c r="E18" s="180" t="e">
        <f ca="1">VLOOKUP($B18,OFFSET([4]units!$A$1,0,0,COUNTA([4]units!$A:$A),MATCH(E$1,[4]units!$1:$1,0)-COLUMN(INDIRECT("character_id"))+1),MATCH(E$1,[4]units!$1:$1,0)-COLUMN(INDIRECT("character_id"))+1,FALSE)</f>
        <v>#VALUE!</v>
      </c>
      <c r="F18" s="180" t="e">
        <f ca="1">VLOOKUP($B18,OFFSET([4]units!$A$1,0,0,COUNTA([4]units!$A:$A),MATCH(F$1,[4]units!$1:$1,0)-COLUMN(INDIRECT("character_id"))+1),MATCH(F$1,[4]units!$1:$1,0)-COLUMN(INDIRECT("character_id"))+1,FALSE)</f>
        <v>#VALUE!</v>
      </c>
      <c r="G18" s="179">
        <v>103</v>
      </c>
      <c r="H18" s="180" t="str">
        <f>VLOOKUP(G18,[1]characters!$A:$C,3,FALSE)</f>
        <v>レッドキャタップ</v>
      </c>
      <c r="I18" s="181">
        <v>1</v>
      </c>
      <c r="J18" s="182">
        <v>1</v>
      </c>
    </row>
    <row r="19" spans="1:10" ht="21" customHeight="1" x14ac:dyDescent="0.15">
      <c r="A19" s="63" t="str">
        <f t="shared" si="3"/>
        <v>8055_8051</v>
      </c>
      <c r="B19" s="179">
        <f t="shared" si="0"/>
        <v>8055</v>
      </c>
      <c r="C19" s="222">
        <v>911</v>
      </c>
      <c r="D19" s="180" t="str">
        <f ca="1">VLOOKUP(B19,units!A:C,3)</f>
        <v>マイメロディ</v>
      </c>
      <c r="E19" s="180" t="e">
        <f ca="1">VLOOKUP($B19,OFFSET([4]units!$A$1,0,0,COUNTA([4]units!$A:$A),MATCH(E$1,[4]units!$1:$1,0)-COLUMN(INDIRECT("character_id"))+1),MATCH(E$1,[4]units!$1:$1,0)-COLUMN(INDIRECT("character_id"))+1,FALSE)</f>
        <v>#VALUE!</v>
      </c>
      <c r="F19" s="180" t="e">
        <f ca="1">VLOOKUP($B19,OFFSET([4]units!$A$1,0,0,COUNTA([4]units!$A:$A),MATCH(F$1,[4]units!$1:$1,0)-COLUMN(INDIRECT("character_id"))+1),MATCH(F$1,[4]units!$1:$1,0)-COLUMN(INDIRECT("character_id"))+1,FALSE)</f>
        <v>#VALUE!</v>
      </c>
      <c r="G19" s="179">
        <v>8051</v>
      </c>
      <c r="H19" s="180" t="str">
        <f>VLOOKUP(G19,[1]characters!$A:$C,3,FALSE)</f>
        <v>ハローキティのリボン</v>
      </c>
      <c r="I19" s="181">
        <v>1</v>
      </c>
      <c r="J19" s="182">
        <v>2</v>
      </c>
    </row>
    <row r="20" spans="1:10" ht="21" customHeight="1" x14ac:dyDescent="0.15">
      <c r="A20" s="63" t="str">
        <f t="shared" si="3"/>
        <v>8055_103</v>
      </c>
      <c r="B20" s="179">
        <f t="shared" si="0"/>
        <v>8055</v>
      </c>
      <c r="C20" s="222">
        <v>911</v>
      </c>
      <c r="D20" s="180" t="str">
        <f ca="1">VLOOKUP(B20,units!A:C,3)</f>
        <v>マイメロディ</v>
      </c>
      <c r="E20" s="180" t="e">
        <f ca="1">VLOOKUP($B20,OFFSET([4]units!$A$1,0,0,COUNTA([4]units!$A:$A),MATCH(E$1,[4]units!$1:$1,0)-COLUMN(INDIRECT("character_id"))+1),MATCH(E$1,[4]units!$1:$1,0)-COLUMN(INDIRECT("character_id"))+1,FALSE)</f>
        <v>#VALUE!</v>
      </c>
      <c r="F20" s="180" t="e">
        <f ca="1">VLOOKUP($B20,OFFSET([4]units!$A$1,0,0,COUNTA([4]units!$A:$A),MATCH(F$1,[4]units!$1:$1,0)-COLUMN(INDIRECT("character_id"))+1),MATCH(F$1,[4]units!$1:$1,0)-COLUMN(INDIRECT("character_id"))+1,FALSE)</f>
        <v>#VALUE!</v>
      </c>
      <c r="G20" s="179">
        <v>103</v>
      </c>
      <c r="H20" s="180" t="str">
        <f>VLOOKUP(G20,[1]characters!$A:$C,3,FALSE)</f>
        <v>レッドキャタップ</v>
      </c>
      <c r="I20" s="181">
        <v>2</v>
      </c>
      <c r="J20" s="182">
        <v>1</v>
      </c>
    </row>
    <row r="21" spans="1:10" ht="21" customHeight="1" x14ac:dyDescent="0.15">
      <c r="A21" s="63" t="str">
        <f t="shared" si="3"/>
        <v>8055_102</v>
      </c>
      <c r="B21" s="179">
        <f t="shared" si="0"/>
        <v>8055</v>
      </c>
      <c r="C21" s="222">
        <v>911</v>
      </c>
      <c r="D21" s="180" t="str">
        <f ca="1">VLOOKUP(B21,units!A:C,3)</f>
        <v>マイメロディ</v>
      </c>
      <c r="E21" s="180" t="e">
        <f ca="1">VLOOKUP($B21,OFFSET([4]units!$A$1,0,0,COUNTA([4]units!$A:$A),MATCH(E$1,[4]units!$1:$1,0)-COLUMN(INDIRECT("character_id"))+1),MATCH(E$1,[4]units!$1:$1,0)-COLUMN(INDIRECT("character_id"))+1,FALSE)</f>
        <v>#VALUE!</v>
      </c>
      <c r="F21" s="180" t="e">
        <f ca="1">VLOOKUP($B21,OFFSET([4]units!$A$1,0,0,COUNTA([4]units!$A:$A),MATCH(F$1,[4]units!$1:$1,0)-COLUMN(INDIRECT("character_id"))+1),MATCH(F$1,[4]units!$1:$1,0)-COLUMN(INDIRECT("character_id"))+1,FALSE)</f>
        <v>#VALUE!</v>
      </c>
      <c r="G21" s="179">
        <v>102</v>
      </c>
      <c r="H21" s="180" t="str">
        <f>VLOOKUP(G21,[1]characters!$A:$C,3,FALSE)</f>
        <v>レッドラビット</v>
      </c>
      <c r="I21" s="181">
        <v>1</v>
      </c>
      <c r="J21" s="182">
        <v>1</v>
      </c>
    </row>
    <row r="22" spans="1:10" ht="21" customHeight="1" x14ac:dyDescent="0.15">
      <c r="A22" s="63" t="str">
        <f t="shared" si="2"/>
        <v>8057_8052</v>
      </c>
      <c r="B22" s="179">
        <f t="shared" si="0"/>
        <v>8057</v>
      </c>
      <c r="C22" s="222">
        <v>913</v>
      </c>
      <c r="D22" s="180" t="str">
        <f ca="1">VLOOKUP(B22,units!A:C,3)</f>
        <v>ニーベルゲン_シナモロールコスプレ</v>
      </c>
      <c r="E22" s="180" t="e">
        <f ca="1">VLOOKUP($B22,OFFSET([4]units!$A$1,0,0,COUNTA([4]units!$A:$A),MATCH(E$1,[4]units!$1:$1,0)-COLUMN(INDIRECT("character_id"))+1),MATCH(E$1,[4]units!$1:$1,0)-COLUMN(INDIRECT("character_id"))+1,FALSE)</f>
        <v>#VALUE!</v>
      </c>
      <c r="F22" s="180" t="e">
        <f ca="1">VLOOKUP($B22,OFFSET([4]units!$A$1,0,0,COUNTA([4]units!$A:$A),MATCH(F$1,[4]units!$1:$1,0)-COLUMN(INDIRECT("character_id"))+1),MATCH(F$1,[4]units!$1:$1,0)-COLUMN(INDIRECT("character_id"))+1,FALSE)</f>
        <v>#VALUE!</v>
      </c>
      <c r="G22" s="179">
        <v>8052</v>
      </c>
      <c r="H22" s="180" t="str">
        <f>VLOOKUP(G22,[1]characters!$A:$C,3,FALSE)</f>
        <v>ママの作ったアップルパイ</v>
      </c>
      <c r="I22" s="181">
        <v>1</v>
      </c>
      <c r="J22" s="182">
        <v>2</v>
      </c>
    </row>
    <row r="23" spans="1:10" ht="21" customHeight="1" x14ac:dyDescent="0.15">
      <c r="A23" s="63" t="str">
        <f t="shared" si="2"/>
        <v>8057_107</v>
      </c>
      <c r="B23" s="179">
        <f t="shared" si="0"/>
        <v>8057</v>
      </c>
      <c r="C23" s="222">
        <v>913</v>
      </c>
      <c r="D23" s="180" t="str">
        <f ca="1">VLOOKUP(B23,units!A:C,3)</f>
        <v>ニーベルゲン_シナモロールコスプレ</v>
      </c>
      <c r="E23" s="180" t="e">
        <f ca="1">VLOOKUP($B23,OFFSET([4]units!$A$1,0,0,COUNTA([4]units!$A:$A),MATCH(E$1,[4]units!$1:$1,0)-COLUMN(INDIRECT("character_id"))+1),MATCH(E$1,[4]units!$1:$1,0)-COLUMN(INDIRECT("character_id"))+1,FALSE)</f>
        <v>#VALUE!</v>
      </c>
      <c r="F23" s="180" t="e">
        <f ca="1">VLOOKUP($B23,OFFSET([4]units!$A$1,0,0,COUNTA([4]units!$A:$A),MATCH(F$1,[4]units!$1:$1,0)-COLUMN(INDIRECT("character_id"))+1),MATCH(F$1,[4]units!$1:$1,0)-COLUMN(INDIRECT("character_id"))+1,FALSE)</f>
        <v>#VALUE!</v>
      </c>
      <c r="G23" s="179">
        <v>107</v>
      </c>
      <c r="H23" s="180" t="str">
        <f>VLOOKUP(G23,[1]characters!$A:$C,3,FALSE)</f>
        <v>グリーンキャタップ</v>
      </c>
      <c r="I23" s="181">
        <v>2</v>
      </c>
      <c r="J23" s="182">
        <v>1</v>
      </c>
    </row>
    <row r="24" spans="1:10" ht="21" customHeight="1" x14ac:dyDescent="0.15">
      <c r="A24" s="63" t="str">
        <f t="shared" si="2"/>
        <v>8057_106</v>
      </c>
      <c r="B24" s="179">
        <f t="shared" si="0"/>
        <v>8057</v>
      </c>
      <c r="C24" s="222">
        <v>913</v>
      </c>
      <c r="D24" s="180" t="str">
        <f ca="1">VLOOKUP(B24,units!A:C,3)</f>
        <v>ニーベルゲン_シナモロールコスプレ</v>
      </c>
      <c r="E24" s="180" t="e">
        <f ca="1">VLOOKUP($B24,OFFSET([4]units!$A$1,0,0,COUNTA([4]units!$A:$A),MATCH(E$1,[4]units!$1:$1,0)-COLUMN(INDIRECT("character_id"))+1),MATCH(E$1,[4]units!$1:$1,0)-COLUMN(INDIRECT("character_id"))+1,FALSE)</f>
        <v>#VALUE!</v>
      </c>
      <c r="F24" s="180" t="e">
        <f ca="1">VLOOKUP($B24,OFFSET([4]units!$A$1,0,0,COUNTA([4]units!$A:$A),MATCH(F$1,[4]units!$1:$1,0)-COLUMN(INDIRECT("character_id"))+1),MATCH(F$1,[4]units!$1:$1,0)-COLUMN(INDIRECT("character_id"))+1,FALSE)</f>
        <v>#VALUE!</v>
      </c>
      <c r="G24" s="179">
        <v>106</v>
      </c>
      <c r="H24" s="180" t="str">
        <f>VLOOKUP(G24,[1]characters!$A:$C,3,FALSE)</f>
        <v>グリーンラビット</v>
      </c>
      <c r="I24" s="181">
        <v>1</v>
      </c>
      <c r="J24" s="182">
        <v>1</v>
      </c>
    </row>
    <row r="25" spans="1:10" ht="21" customHeight="1" x14ac:dyDescent="0.15">
      <c r="A25" s="63" t="str">
        <f t="shared" si="2"/>
        <v>8059_8052</v>
      </c>
      <c r="B25" s="179">
        <f t="shared" si="0"/>
        <v>8059</v>
      </c>
      <c r="C25" s="222">
        <v>915</v>
      </c>
      <c r="D25" s="180" t="str">
        <f ca="1">VLOOKUP(B25,units!A:C,3)</f>
        <v>カカシ_マイメロディコスプレ</v>
      </c>
      <c r="E25" s="180" t="e">
        <f ca="1">VLOOKUP($B25,OFFSET([4]units!$A$1,0,0,COUNTA([4]units!$A:$A),MATCH(E$1,[4]units!$1:$1,0)-COLUMN(INDIRECT("character_id"))+1),MATCH(E$1,[4]units!$1:$1,0)-COLUMN(INDIRECT("character_id"))+1,FALSE)</f>
        <v>#VALUE!</v>
      </c>
      <c r="F25" s="180" t="e">
        <f ca="1">VLOOKUP($B25,OFFSET([4]units!$A$1,0,0,COUNTA([4]units!$A:$A),MATCH(F$1,[4]units!$1:$1,0)-COLUMN(INDIRECT("character_id"))+1),MATCH(F$1,[4]units!$1:$1,0)-COLUMN(INDIRECT("character_id"))+1,FALSE)</f>
        <v>#VALUE!</v>
      </c>
      <c r="G25" s="179">
        <v>8052</v>
      </c>
      <c r="H25" s="180" t="str">
        <f>VLOOKUP(G25,[1]characters!$A:$C,3,FALSE)</f>
        <v>ママの作ったアップルパイ</v>
      </c>
      <c r="I25" s="181">
        <v>1</v>
      </c>
      <c r="J25" s="182">
        <v>2</v>
      </c>
    </row>
    <row r="26" spans="1:10" ht="21" customHeight="1" x14ac:dyDescent="0.15">
      <c r="A26" s="63" t="str">
        <f t="shared" si="2"/>
        <v>8059_107</v>
      </c>
      <c r="B26" s="179">
        <f t="shared" si="0"/>
        <v>8059</v>
      </c>
      <c r="C26" s="222">
        <v>915</v>
      </c>
      <c r="D26" s="180" t="str">
        <f ca="1">VLOOKUP(B26,units!A:C,3)</f>
        <v>カカシ_マイメロディコスプレ</v>
      </c>
      <c r="E26" s="180" t="e">
        <f ca="1">VLOOKUP($B26,OFFSET([4]units!$A$1,0,0,COUNTA([4]units!$A:$A),MATCH(E$1,[4]units!$1:$1,0)-COLUMN(INDIRECT("character_id"))+1),MATCH(E$1,[4]units!$1:$1,0)-COLUMN(INDIRECT("character_id"))+1,FALSE)</f>
        <v>#VALUE!</v>
      </c>
      <c r="F26" s="180" t="e">
        <f ca="1">VLOOKUP($B26,OFFSET([4]units!$A$1,0,0,COUNTA([4]units!$A:$A),MATCH(F$1,[4]units!$1:$1,0)-COLUMN(INDIRECT("character_id"))+1),MATCH(F$1,[4]units!$1:$1,0)-COLUMN(INDIRECT("character_id"))+1,FALSE)</f>
        <v>#VALUE!</v>
      </c>
      <c r="G26" s="179">
        <v>107</v>
      </c>
      <c r="H26" s="180" t="str">
        <f>VLOOKUP(G26,[1]characters!$A:$C,3,FALSE)</f>
        <v>グリーンキャタップ</v>
      </c>
      <c r="I26" s="181">
        <v>2</v>
      </c>
      <c r="J26" s="182">
        <v>1</v>
      </c>
    </row>
    <row r="27" spans="1:10" ht="21" customHeight="1" x14ac:dyDescent="0.15">
      <c r="A27" s="63" t="str">
        <f t="shared" si="2"/>
        <v>8059_106</v>
      </c>
      <c r="B27" s="179">
        <f t="shared" si="0"/>
        <v>8059</v>
      </c>
      <c r="C27" s="222">
        <v>915</v>
      </c>
      <c r="D27" s="180" t="str">
        <f ca="1">VLOOKUP(B27,units!A:C,3)</f>
        <v>カカシ_マイメロディコスプレ</v>
      </c>
      <c r="E27" s="180" t="e">
        <f ca="1">VLOOKUP($B27,OFFSET([4]units!$A$1,0,0,COUNTA([4]units!$A:$A),MATCH(E$1,[4]units!$1:$1,0)-COLUMN(INDIRECT("character_id"))+1),MATCH(E$1,[4]units!$1:$1,0)-COLUMN(INDIRECT("character_id"))+1,FALSE)</f>
        <v>#VALUE!</v>
      </c>
      <c r="F27" s="180" t="e">
        <f ca="1">VLOOKUP($B27,OFFSET([4]units!$A$1,0,0,COUNTA([4]units!$A:$A),MATCH(F$1,[4]units!$1:$1,0)-COLUMN(INDIRECT("character_id"))+1),MATCH(F$1,[4]units!$1:$1,0)-COLUMN(INDIRECT("character_id"))+1,FALSE)</f>
        <v>#VALUE!</v>
      </c>
      <c r="G27" s="179">
        <v>106</v>
      </c>
      <c r="H27" s="180" t="str">
        <f>VLOOKUP(G27,[1]characters!$A:$C,3,FALSE)</f>
        <v>グリーンラビット</v>
      </c>
      <c r="I27" s="181">
        <v>1</v>
      </c>
      <c r="J27" s="182">
        <v>1</v>
      </c>
    </row>
    <row r="28" spans="1:10" x14ac:dyDescent="0.15">
      <c r="A28" s="63" t="str">
        <f t="shared" si="2"/>
        <v>8061_107</v>
      </c>
      <c r="B28" s="179">
        <f t="shared" si="0"/>
        <v>8061</v>
      </c>
      <c r="C28" s="222">
        <v>917</v>
      </c>
      <c r="D28" s="180" t="str">
        <f ca="1">VLOOKUP(B28,units!A:C,3)</f>
        <v>ケロケロけろっぴ</v>
      </c>
      <c r="E28" s="180" t="e">
        <f ca="1">VLOOKUP($B28,OFFSET([5]units!$A$1,0,0,COUNTA([5]units!$A:$A),MATCH(E$1,[5]units!$1:$1,0)-COLUMN(INDIRECT("character_id"))+1),MATCH(E$1,[5]units!$1:$1,0)-COLUMN(INDIRECT("character_id"))+1,FALSE)</f>
        <v>#VALUE!</v>
      </c>
      <c r="F28" s="180" t="e">
        <f ca="1">VLOOKUP($B28,OFFSET([5]units!$A$1,0,0,COUNTA([5]units!$A:$A),MATCH(F$1,[5]units!$1:$1,0)-COLUMN(INDIRECT("character_id"))+1),MATCH(F$1,[5]units!$1:$1,0)-COLUMN(INDIRECT("character_id"))+1,FALSE)</f>
        <v>#VALUE!</v>
      </c>
      <c r="G28" s="179">
        <v>107</v>
      </c>
      <c r="H28" s="180" t="str">
        <f>VLOOKUP(G28,[1]characters!$A:$C,3,FALSE)</f>
        <v>グリーンキャタップ</v>
      </c>
      <c r="I28" s="181">
        <v>1</v>
      </c>
      <c r="J28" s="182">
        <v>1</v>
      </c>
    </row>
    <row r="29" spans="1:10" x14ac:dyDescent="0.15">
      <c r="A29" s="63" t="str">
        <f t="shared" si="2"/>
        <v>8061_106</v>
      </c>
      <c r="B29" s="179">
        <f t="shared" si="0"/>
        <v>8061</v>
      </c>
      <c r="C29" s="222">
        <v>917</v>
      </c>
      <c r="D29" s="180" t="str">
        <f ca="1">VLOOKUP(B29,units!A:C,3)</f>
        <v>ケロケロけろっぴ</v>
      </c>
      <c r="E29" s="180" t="e">
        <f ca="1">VLOOKUP($B29,OFFSET([5]units!$A$1,0,0,COUNTA([5]units!$A:$A),MATCH(E$1,[5]units!$1:$1,0)-COLUMN(INDIRECT("character_id"))+1),MATCH(E$1,[5]units!$1:$1,0)-COLUMN(INDIRECT("character_id"))+1,FALSE)</f>
        <v>#VALUE!</v>
      </c>
      <c r="F29" s="180" t="e">
        <f ca="1">VLOOKUP($B29,OFFSET([5]units!$A$1,0,0,COUNTA([5]units!$A:$A),MATCH(F$1,[5]units!$1:$1,0)-COLUMN(INDIRECT("character_id"))+1),MATCH(F$1,[5]units!$1:$1,0)-COLUMN(INDIRECT("character_id"))+1,FALSE)</f>
        <v>#VALUE!</v>
      </c>
      <c r="G29" s="179">
        <v>106</v>
      </c>
      <c r="H29" s="180" t="str">
        <f>VLOOKUP(G29,[1]characters!$A:$C,3,FALSE)</f>
        <v>グリーンラビット</v>
      </c>
      <c r="I29" s="181">
        <v>1</v>
      </c>
      <c r="J29" s="182">
        <v>1</v>
      </c>
    </row>
    <row r="30" spans="1:10" x14ac:dyDescent="0.15">
      <c r="A30" s="63" t="str">
        <f t="shared" si="2"/>
        <v>8061_105</v>
      </c>
      <c r="B30" s="179">
        <f t="shared" si="0"/>
        <v>8061</v>
      </c>
      <c r="C30" s="222">
        <v>917</v>
      </c>
      <c r="D30" s="180" t="str">
        <f ca="1">VLOOKUP(B30,units!A:C,3)</f>
        <v>ケロケロけろっぴ</v>
      </c>
      <c r="E30" s="180" t="e">
        <f ca="1">VLOOKUP($B30,OFFSET([5]units!$A$1,0,0,COUNTA([5]units!$A:$A),MATCH(E$1,[5]units!$1:$1,0)-COLUMN(INDIRECT("character_id"))+1),MATCH(E$1,[5]units!$1:$1,0)-COLUMN(INDIRECT("character_id"))+1,FALSE)</f>
        <v>#VALUE!</v>
      </c>
      <c r="F30" s="180" t="e">
        <f ca="1">VLOOKUP($B30,OFFSET([5]units!$A$1,0,0,COUNTA([5]units!$A:$A),MATCH(F$1,[5]units!$1:$1,0)-COLUMN(INDIRECT("character_id"))+1),MATCH(F$1,[5]units!$1:$1,0)-COLUMN(INDIRECT("character_id"))+1,FALSE)</f>
        <v>#VALUE!</v>
      </c>
      <c r="G30" s="179">
        <v>105</v>
      </c>
      <c r="H30" s="180" t="str">
        <f>VLOOKUP(G30,[1]characters!$A:$C,3,FALSE)</f>
        <v>グリーンチェシャ</v>
      </c>
      <c r="I30" s="181">
        <v>3</v>
      </c>
      <c r="J30" s="182">
        <v>1</v>
      </c>
    </row>
    <row r="31" spans="1:10" ht="21" customHeight="1" x14ac:dyDescent="0.15">
      <c r="A31" s="63" t="str">
        <f t="shared" si="2"/>
        <v>8063_837</v>
      </c>
      <c r="B31" s="179">
        <f t="shared" si="0"/>
        <v>8063</v>
      </c>
      <c r="C31" s="222">
        <v>919</v>
      </c>
      <c r="D31" s="180" t="str">
        <f ca="1">VLOOKUP(B31,units!A:C,3)</f>
        <v>モルドレッド_ポムポムプリンコスプレ</v>
      </c>
      <c r="E31" s="180" t="e">
        <f ca="1">VLOOKUP($B31,OFFSET([4]units!$A$1,0,0,COUNTA([4]units!$A:$A),MATCH(E$1,[4]units!$1:$1,0)-COLUMN(INDIRECT("character_id"))+1),MATCH(E$1,[4]units!$1:$1,0)-COLUMN(INDIRECT("character_id"))+1,FALSE)</f>
        <v>#VALUE!</v>
      </c>
      <c r="F31" s="180" t="e">
        <f ca="1">VLOOKUP($B31,OFFSET([4]units!$A$1,0,0,COUNTA([4]units!$A:$A),MATCH(F$1,[4]units!$1:$1,0)-COLUMN(INDIRECT("character_id"))+1),MATCH(F$1,[4]units!$1:$1,0)-COLUMN(INDIRECT("character_id"))+1,FALSE)</f>
        <v>#VALUE!</v>
      </c>
      <c r="G31" s="179">
        <v>837</v>
      </c>
      <c r="H31" s="180" t="str">
        <f>VLOOKUP(G31,[1]characters!$A:$C,3,FALSE)</f>
        <v>リトルハンプティ</v>
      </c>
      <c r="I31" s="181">
        <v>1</v>
      </c>
      <c r="J31" s="182">
        <v>1</v>
      </c>
    </row>
    <row r="32" spans="1:10" ht="21" customHeight="1" x14ac:dyDescent="0.15">
      <c r="A32" s="63" t="str">
        <f t="shared" si="2"/>
        <v>8063_8051</v>
      </c>
      <c r="B32" s="179">
        <f t="shared" si="0"/>
        <v>8063</v>
      </c>
      <c r="C32" s="222">
        <v>919</v>
      </c>
      <c r="D32" s="180" t="str">
        <f ca="1">VLOOKUP(B32,units!A:C,3)</f>
        <v>モルドレッド_ポムポムプリンコスプレ</v>
      </c>
      <c r="E32" s="180" t="e">
        <f ca="1">VLOOKUP($B32,OFFSET([4]units!$A$1,0,0,COUNTA([4]units!$A:$A),MATCH(E$1,[4]units!$1:$1,0)-COLUMN(INDIRECT("character_id"))+1),MATCH(E$1,[4]units!$1:$1,0)-COLUMN(INDIRECT("character_id"))+1,FALSE)</f>
        <v>#VALUE!</v>
      </c>
      <c r="F32" s="180" t="e">
        <f ca="1">VLOOKUP($B32,OFFSET([4]units!$A$1,0,0,COUNTA([4]units!$A:$A),MATCH(F$1,[4]units!$1:$1,0)-COLUMN(INDIRECT("character_id"))+1),MATCH(F$1,[4]units!$1:$1,0)-COLUMN(INDIRECT("character_id"))+1,FALSE)</f>
        <v>#VALUE!</v>
      </c>
      <c r="G32" s="179">
        <v>8051</v>
      </c>
      <c r="H32" s="180" t="str">
        <f>VLOOKUP(G32,[1]characters!$A:$C,3,FALSE)</f>
        <v>ハローキティのリボン</v>
      </c>
      <c r="I32" s="181">
        <v>1</v>
      </c>
      <c r="J32" s="182">
        <v>2</v>
      </c>
    </row>
    <row r="33" spans="1:10" ht="21" customHeight="1" x14ac:dyDescent="0.15">
      <c r="A33" s="63" t="str">
        <f t="shared" si="2"/>
        <v>8063_8052</v>
      </c>
      <c r="B33" s="179">
        <f t="shared" si="0"/>
        <v>8063</v>
      </c>
      <c r="C33" s="222">
        <v>919</v>
      </c>
      <c r="D33" s="180" t="str">
        <f ca="1">VLOOKUP(B33,units!A:C,3)</f>
        <v>モルドレッド_ポムポムプリンコスプレ</v>
      </c>
      <c r="E33" s="180" t="e">
        <f ca="1">VLOOKUP($B33,OFFSET([4]units!$A$1,0,0,COUNTA([4]units!$A:$A),MATCH(E$1,[4]units!$1:$1,0)-COLUMN(INDIRECT("character_id"))+1),MATCH(E$1,[4]units!$1:$1,0)-COLUMN(INDIRECT("character_id"))+1,FALSE)</f>
        <v>#VALUE!</v>
      </c>
      <c r="F33" s="180" t="e">
        <f ca="1">VLOOKUP($B33,OFFSET([4]units!$A$1,0,0,COUNTA([4]units!$A:$A),MATCH(F$1,[4]units!$1:$1,0)-COLUMN(INDIRECT("character_id"))+1),MATCH(F$1,[4]units!$1:$1,0)-COLUMN(INDIRECT("character_id"))+1,FALSE)</f>
        <v>#VALUE!</v>
      </c>
      <c r="G33" s="179">
        <v>8052</v>
      </c>
      <c r="H33" s="180" t="str">
        <f>VLOOKUP(G33,[1]characters!$A:$C,3,FALSE)</f>
        <v>ママの作ったアップルパイ</v>
      </c>
      <c r="I33" s="181">
        <v>1</v>
      </c>
      <c r="J33" s="182">
        <v>2</v>
      </c>
    </row>
    <row r="34" spans="1:10" ht="21" customHeight="1" x14ac:dyDescent="0.15">
      <c r="A34" s="63" t="str">
        <f t="shared" si="2"/>
        <v>8063_111</v>
      </c>
      <c r="B34" s="179">
        <f t="shared" si="0"/>
        <v>8063</v>
      </c>
      <c r="C34" s="222">
        <v>919</v>
      </c>
      <c r="D34" s="180" t="str">
        <f ca="1">VLOOKUP(B34,units!A:C,3)</f>
        <v>モルドレッド_ポムポムプリンコスプレ</v>
      </c>
      <c r="E34" s="180" t="e">
        <f ca="1">VLOOKUP($B34,OFFSET([4]units!$A$1,0,0,COUNTA([4]units!$A:$A),MATCH(E$1,[4]units!$1:$1,0)-COLUMN(INDIRECT("character_id"))+1),MATCH(E$1,[4]units!$1:$1,0)-COLUMN(INDIRECT("character_id"))+1,FALSE)</f>
        <v>#VALUE!</v>
      </c>
      <c r="F34" s="180" t="e">
        <f ca="1">VLOOKUP($B34,OFFSET([4]units!$A$1,0,0,COUNTA([4]units!$A:$A),MATCH(F$1,[4]units!$1:$1,0)-COLUMN(INDIRECT("character_id"))+1),MATCH(F$1,[4]units!$1:$1,0)-COLUMN(INDIRECT("character_id"))+1,FALSE)</f>
        <v>#VALUE!</v>
      </c>
      <c r="G34" s="179">
        <v>111</v>
      </c>
      <c r="H34" s="180" t="str">
        <f>VLOOKUP(G34,[1]characters!$A:$C,3,FALSE)</f>
        <v>ブルーキャタップ</v>
      </c>
      <c r="I34" s="181">
        <v>1</v>
      </c>
      <c r="J34" s="182">
        <v>1</v>
      </c>
    </row>
    <row r="35" spans="1:10" x14ac:dyDescent="0.15">
      <c r="A35" s="63" t="str">
        <f t="shared" ref="A35:A37" si="5">B35&amp;"_"&amp;G35</f>
        <v>8065_111</v>
      </c>
      <c r="B35" s="179">
        <f t="shared" si="0"/>
        <v>8065</v>
      </c>
      <c r="C35" s="222">
        <v>921</v>
      </c>
      <c r="D35" s="180" t="str">
        <f ca="1">VLOOKUP(B35,units!A:C,3)</f>
        <v>クロミ</v>
      </c>
      <c r="E35" s="180" t="e">
        <f ca="1">VLOOKUP($B35,OFFSET([5]units!$A$1,0,0,COUNTA([5]units!$A:$A),MATCH(E$1,[5]units!$1:$1,0)-COLUMN(INDIRECT("character_id"))+1),MATCH(E$1,[5]units!$1:$1,0)-COLUMN(INDIRECT("character_id"))+1,FALSE)</f>
        <v>#VALUE!</v>
      </c>
      <c r="F35" s="180" t="e">
        <f ca="1">VLOOKUP($B35,OFFSET([5]units!$A$1,0,0,COUNTA([5]units!$A:$A),MATCH(F$1,[5]units!$1:$1,0)-COLUMN(INDIRECT("character_id"))+1),MATCH(F$1,[5]units!$1:$1,0)-COLUMN(INDIRECT("character_id"))+1,FALSE)</f>
        <v>#VALUE!</v>
      </c>
      <c r="G35" s="179">
        <v>111</v>
      </c>
      <c r="H35" s="180" t="str">
        <f>VLOOKUP(G35,[1]characters!$A:$C,3,FALSE)</f>
        <v>ブルーキャタップ</v>
      </c>
      <c r="I35" s="181">
        <v>1</v>
      </c>
      <c r="J35" s="182">
        <v>1</v>
      </c>
    </row>
    <row r="36" spans="1:10" x14ac:dyDescent="0.15">
      <c r="A36" s="63" t="str">
        <f t="shared" si="5"/>
        <v>8065_110</v>
      </c>
      <c r="B36" s="179">
        <f t="shared" si="0"/>
        <v>8065</v>
      </c>
      <c r="C36" s="222">
        <v>921</v>
      </c>
      <c r="D36" s="180" t="str">
        <f ca="1">VLOOKUP(B36,units!A:C,3)</f>
        <v>クロミ</v>
      </c>
      <c r="E36" s="180" t="e">
        <f ca="1">VLOOKUP($B36,OFFSET([5]units!$A$1,0,0,COUNTA([5]units!$A:$A),MATCH(E$1,[5]units!$1:$1,0)-COLUMN(INDIRECT("character_id"))+1),MATCH(E$1,[5]units!$1:$1,0)-COLUMN(INDIRECT("character_id"))+1,FALSE)</f>
        <v>#VALUE!</v>
      </c>
      <c r="F36" s="180" t="e">
        <f ca="1">VLOOKUP($B36,OFFSET([5]units!$A$1,0,0,COUNTA([5]units!$A:$A),MATCH(F$1,[5]units!$1:$1,0)-COLUMN(INDIRECT("character_id"))+1),MATCH(F$1,[5]units!$1:$1,0)-COLUMN(INDIRECT("character_id"))+1,FALSE)</f>
        <v>#VALUE!</v>
      </c>
      <c r="G36" s="179">
        <v>110</v>
      </c>
      <c r="H36" s="180" t="str">
        <f>VLOOKUP(G36,[1]characters!$A:$C,3,FALSE)</f>
        <v>ブルーラビット</v>
      </c>
      <c r="I36" s="181">
        <v>1</v>
      </c>
      <c r="J36" s="182">
        <v>1</v>
      </c>
    </row>
    <row r="37" spans="1:10" x14ac:dyDescent="0.15">
      <c r="A37" s="63" t="str">
        <f t="shared" si="5"/>
        <v>8065_109</v>
      </c>
      <c r="B37" s="179">
        <f t="shared" si="0"/>
        <v>8065</v>
      </c>
      <c r="C37" s="222">
        <v>921</v>
      </c>
      <c r="D37" s="180" t="str">
        <f ca="1">VLOOKUP(B37,units!A:C,3)</f>
        <v>クロミ</v>
      </c>
      <c r="E37" s="180" t="e">
        <f ca="1">VLOOKUP($B37,OFFSET([5]units!$A$1,0,0,COUNTA([5]units!$A:$A),MATCH(E$1,[5]units!$1:$1,0)-COLUMN(INDIRECT("character_id"))+1),MATCH(E$1,[5]units!$1:$1,0)-COLUMN(INDIRECT("character_id"))+1,FALSE)</f>
        <v>#VALUE!</v>
      </c>
      <c r="F37" s="180" t="e">
        <f ca="1">VLOOKUP($B37,OFFSET([5]units!$A$1,0,0,COUNTA([5]units!$A:$A),MATCH(F$1,[5]units!$1:$1,0)-COLUMN(INDIRECT("character_id"))+1),MATCH(F$1,[5]units!$1:$1,0)-COLUMN(INDIRECT("character_id"))+1,FALSE)</f>
        <v>#VALUE!</v>
      </c>
      <c r="G37" s="179">
        <v>109</v>
      </c>
      <c r="H37" s="180" t="str">
        <f>VLOOKUP(G37,[1]characters!$A:$C,3,FALSE)</f>
        <v>ブルーチェシャ</v>
      </c>
      <c r="I37" s="181">
        <v>3</v>
      </c>
      <c r="J37" s="182">
        <v>1</v>
      </c>
    </row>
    <row r="38" spans="1:10" x14ac:dyDescent="0.15">
      <c r="A38" s="63" t="str">
        <f t="shared" ref="A38:A43" si="6">B38&amp;"_"&amp;G38</f>
        <v>8067_111</v>
      </c>
      <c r="B38" s="179">
        <f t="shared" si="0"/>
        <v>8067</v>
      </c>
      <c r="C38" s="222">
        <v>923</v>
      </c>
      <c r="D38" s="180" t="str">
        <f ca="1">VLOOKUP(B38,units!A:C,3)</f>
        <v>バッドばつ丸</v>
      </c>
      <c r="E38" s="180" t="e">
        <f ca="1">VLOOKUP($B38,OFFSET([5]units!$A$1,0,0,COUNTA([5]units!$A:$A),MATCH(E$1,[5]units!$1:$1,0)-COLUMN(INDIRECT("character_id"))+1),MATCH(E$1,[5]units!$1:$1,0)-COLUMN(INDIRECT("character_id"))+1,FALSE)</f>
        <v>#VALUE!</v>
      </c>
      <c r="F38" s="180" t="e">
        <f ca="1">VLOOKUP($B38,OFFSET([5]units!$A$1,0,0,COUNTA([5]units!$A:$A),MATCH(F$1,[5]units!$1:$1,0)-COLUMN(INDIRECT("character_id"))+1),MATCH(F$1,[5]units!$1:$1,0)-COLUMN(INDIRECT("character_id"))+1,FALSE)</f>
        <v>#VALUE!</v>
      </c>
      <c r="G38" s="179">
        <v>111</v>
      </c>
      <c r="H38" s="180" t="str">
        <f>VLOOKUP(G38,[1]characters!$A:$C,3,FALSE)</f>
        <v>ブルーキャタップ</v>
      </c>
      <c r="I38" s="181">
        <v>1</v>
      </c>
      <c r="J38" s="182">
        <v>1</v>
      </c>
    </row>
    <row r="39" spans="1:10" x14ac:dyDescent="0.15">
      <c r="A39" s="63" t="str">
        <f t="shared" si="6"/>
        <v>8067_110</v>
      </c>
      <c r="B39" s="179">
        <f t="shared" si="0"/>
        <v>8067</v>
      </c>
      <c r="C39" s="222">
        <v>923</v>
      </c>
      <c r="D39" s="180" t="str">
        <f ca="1">VLOOKUP(B39,units!A:C,3)</f>
        <v>バッドばつ丸</v>
      </c>
      <c r="E39" s="180" t="e">
        <f ca="1">VLOOKUP($B39,OFFSET([5]units!$A$1,0,0,COUNTA([5]units!$A:$A),MATCH(E$1,[5]units!$1:$1,0)-COLUMN(INDIRECT("character_id"))+1),MATCH(E$1,[5]units!$1:$1,0)-COLUMN(INDIRECT("character_id"))+1,FALSE)</f>
        <v>#VALUE!</v>
      </c>
      <c r="F39" s="180" t="e">
        <f ca="1">VLOOKUP($B39,OFFSET([5]units!$A$1,0,0,COUNTA([5]units!$A:$A),MATCH(F$1,[5]units!$1:$1,0)-COLUMN(INDIRECT("character_id"))+1),MATCH(F$1,[5]units!$1:$1,0)-COLUMN(INDIRECT("character_id"))+1,FALSE)</f>
        <v>#VALUE!</v>
      </c>
      <c r="G39" s="179">
        <v>110</v>
      </c>
      <c r="H39" s="180" t="str">
        <f>VLOOKUP(G39,[1]characters!$A:$C,3,FALSE)</f>
        <v>ブルーラビット</v>
      </c>
      <c r="I39" s="181">
        <v>1</v>
      </c>
      <c r="J39" s="182">
        <v>1</v>
      </c>
    </row>
    <row r="40" spans="1:10" x14ac:dyDescent="0.15">
      <c r="A40" s="63" t="str">
        <f t="shared" si="6"/>
        <v>8067_109</v>
      </c>
      <c r="B40" s="179">
        <f t="shared" si="0"/>
        <v>8067</v>
      </c>
      <c r="C40" s="222">
        <v>923</v>
      </c>
      <c r="D40" s="180" t="str">
        <f ca="1">VLOOKUP(B40,units!A:C,3)</f>
        <v>バッドばつ丸</v>
      </c>
      <c r="E40" s="180" t="e">
        <f ca="1">VLOOKUP($B40,OFFSET([5]units!$A$1,0,0,COUNTA([5]units!$A:$A),MATCH(E$1,[5]units!$1:$1,0)-COLUMN(INDIRECT("character_id"))+1),MATCH(E$1,[5]units!$1:$1,0)-COLUMN(INDIRECT("character_id"))+1,FALSE)</f>
        <v>#VALUE!</v>
      </c>
      <c r="F40" s="180" t="e">
        <f ca="1">VLOOKUP($B40,OFFSET([5]units!$A$1,0,0,COUNTA([5]units!$A:$A),MATCH(F$1,[5]units!$1:$1,0)-COLUMN(INDIRECT("character_id"))+1),MATCH(F$1,[5]units!$1:$1,0)-COLUMN(INDIRECT("character_id"))+1,FALSE)</f>
        <v>#VALUE!</v>
      </c>
      <c r="G40" s="179">
        <v>109</v>
      </c>
      <c r="H40" s="180" t="str">
        <f>VLOOKUP(G40,[1]characters!$A:$C,3,FALSE)</f>
        <v>ブルーチェシャ</v>
      </c>
      <c r="I40" s="181">
        <v>3</v>
      </c>
      <c r="J40" s="182">
        <v>1</v>
      </c>
    </row>
    <row r="41" spans="1:10" ht="21" customHeight="1" x14ac:dyDescent="0.15">
      <c r="A41" s="63" t="str">
        <f t="shared" si="6"/>
        <v>8069_8052</v>
      </c>
      <c r="B41" s="179">
        <f t="shared" si="0"/>
        <v>8069</v>
      </c>
      <c r="C41" s="222">
        <v>925</v>
      </c>
      <c r="D41" s="180" t="str">
        <f ca="1">VLOOKUP(B41,units!A:C,3)</f>
        <v>シナモロール</v>
      </c>
      <c r="E41" s="180" t="e">
        <f ca="1">VLOOKUP($B41,OFFSET([4]units!$A$1,0,0,COUNTA([4]units!$A:$A),MATCH(E$1,[4]units!$1:$1,0)-COLUMN(INDIRECT("character_id"))+1),MATCH(E$1,[4]units!$1:$1,0)-COLUMN(INDIRECT("character_id"))+1,FALSE)</f>
        <v>#VALUE!</v>
      </c>
      <c r="F41" s="180" t="e">
        <f ca="1">VLOOKUP($B41,OFFSET([4]units!$A$1,0,0,COUNTA([4]units!$A:$A),MATCH(F$1,[4]units!$1:$1,0)-COLUMN(INDIRECT("character_id"))+1),MATCH(F$1,[4]units!$1:$1,0)-COLUMN(INDIRECT("character_id"))+1,FALSE)</f>
        <v>#VALUE!</v>
      </c>
      <c r="G41" s="179">
        <v>8052</v>
      </c>
      <c r="H41" s="180" t="str">
        <f>VLOOKUP(G41,[1]characters!$A:$C,3,FALSE)</f>
        <v>ママの作ったアップルパイ</v>
      </c>
      <c r="I41" s="181">
        <v>1</v>
      </c>
      <c r="J41" s="182">
        <v>2</v>
      </c>
    </row>
    <row r="42" spans="1:10" ht="21" customHeight="1" x14ac:dyDescent="0.15">
      <c r="A42" s="63" t="str">
        <f t="shared" si="6"/>
        <v>8069_115</v>
      </c>
      <c r="B42" s="179">
        <f t="shared" si="0"/>
        <v>8069</v>
      </c>
      <c r="C42" s="222">
        <v>925</v>
      </c>
      <c r="D42" s="180" t="str">
        <f ca="1">VLOOKUP(B42,units!A:C,3)</f>
        <v>シナモロール</v>
      </c>
      <c r="E42" s="180" t="e">
        <f ca="1">VLOOKUP($B42,OFFSET([4]units!$A$1,0,0,COUNTA([4]units!$A:$A),MATCH(E$1,[4]units!$1:$1,0)-COLUMN(INDIRECT("character_id"))+1),MATCH(E$1,[4]units!$1:$1,0)-COLUMN(INDIRECT("character_id"))+1,FALSE)</f>
        <v>#VALUE!</v>
      </c>
      <c r="F42" s="180" t="e">
        <f ca="1">VLOOKUP($B42,OFFSET([4]units!$A$1,0,0,COUNTA([4]units!$A:$A),MATCH(F$1,[4]units!$1:$1,0)-COLUMN(INDIRECT("character_id"))+1),MATCH(F$1,[4]units!$1:$1,0)-COLUMN(INDIRECT("character_id"))+1,FALSE)</f>
        <v>#VALUE!</v>
      </c>
      <c r="G42" s="179">
        <v>115</v>
      </c>
      <c r="H42" s="180" t="str">
        <f>VLOOKUP(G42,[1]characters!$A:$C,3,FALSE)</f>
        <v>イエローキャタップ</v>
      </c>
      <c r="I42" s="181">
        <v>2</v>
      </c>
      <c r="J42" s="182">
        <v>1</v>
      </c>
    </row>
    <row r="43" spans="1:10" ht="21" customHeight="1" x14ac:dyDescent="0.15">
      <c r="A43" s="63" t="str">
        <f t="shared" si="6"/>
        <v>8069_114</v>
      </c>
      <c r="B43" s="179">
        <f t="shared" si="0"/>
        <v>8069</v>
      </c>
      <c r="C43" s="222">
        <v>925</v>
      </c>
      <c r="D43" s="180" t="str">
        <f ca="1">VLOOKUP(B43,units!A:C,3)</f>
        <v>シナモロール</v>
      </c>
      <c r="E43" s="180" t="e">
        <f ca="1">VLOOKUP($B43,OFFSET([4]units!$A$1,0,0,COUNTA([4]units!$A:$A),MATCH(E$1,[4]units!$1:$1,0)-COLUMN(INDIRECT("character_id"))+1),MATCH(E$1,[4]units!$1:$1,0)-COLUMN(INDIRECT("character_id"))+1,FALSE)</f>
        <v>#VALUE!</v>
      </c>
      <c r="F43" s="180" t="e">
        <f ca="1">VLOOKUP($B43,OFFSET([4]units!$A$1,0,0,COUNTA([4]units!$A:$A),MATCH(F$1,[4]units!$1:$1,0)-COLUMN(INDIRECT("character_id"))+1),MATCH(F$1,[4]units!$1:$1,0)-COLUMN(INDIRECT("character_id"))+1,FALSE)</f>
        <v>#VALUE!</v>
      </c>
      <c r="G43" s="179">
        <v>114</v>
      </c>
      <c r="H43" s="180" t="str">
        <f>VLOOKUP(G43,[1]characters!$A:$C,3,FALSE)</f>
        <v>イエローラビット</v>
      </c>
      <c r="I43" s="181">
        <v>1</v>
      </c>
      <c r="J43" s="182">
        <v>1</v>
      </c>
    </row>
    <row r="44" spans="1:10" x14ac:dyDescent="0.15">
      <c r="A44" s="63" t="str">
        <f t="shared" ref="A44:A46" si="7">B44&amp;"_"&amp;G44</f>
        <v>8071_115</v>
      </c>
      <c r="B44" s="179">
        <f t="shared" si="0"/>
        <v>8071</v>
      </c>
      <c r="C44" s="222">
        <v>927</v>
      </c>
      <c r="D44" s="180" t="str">
        <f ca="1">VLOOKUP(B44,units!A:C,3)</f>
        <v>ポムポムプリン</v>
      </c>
      <c r="E44" s="180" t="e">
        <f ca="1">VLOOKUP($B44,OFFSET([5]units!$A$1,0,0,COUNTA([5]units!$A:$A),MATCH(E$1,[5]units!$1:$1,0)-COLUMN(INDIRECT("character_id"))+1),MATCH(E$1,[5]units!$1:$1,0)-COLUMN(INDIRECT("character_id"))+1,FALSE)</f>
        <v>#VALUE!</v>
      </c>
      <c r="F44" s="180" t="e">
        <f ca="1">VLOOKUP($B44,OFFSET([5]units!$A$1,0,0,COUNTA([5]units!$A:$A),MATCH(F$1,[5]units!$1:$1,0)-COLUMN(INDIRECT("character_id"))+1),MATCH(F$1,[5]units!$1:$1,0)-COLUMN(INDIRECT("character_id"))+1,FALSE)</f>
        <v>#VALUE!</v>
      </c>
      <c r="G44" s="179">
        <v>115</v>
      </c>
      <c r="H44" s="180" t="str">
        <f>VLOOKUP(G44,[1]characters!$A:$C,3,FALSE)</f>
        <v>イエローキャタップ</v>
      </c>
      <c r="I44" s="181">
        <v>1</v>
      </c>
      <c r="J44" s="182">
        <v>1</v>
      </c>
    </row>
    <row r="45" spans="1:10" x14ac:dyDescent="0.15">
      <c r="A45" s="63" t="str">
        <f t="shared" si="7"/>
        <v>8071_114</v>
      </c>
      <c r="B45" s="179">
        <f t="shared" si="0"/>
        <v>8071</v>
      </c>
      <c r="C45" s="222">
        <v>927</v>
      </c>
      <c r="D45" s="180" t="str">
        <f ca="1">VLOOKUP(B45,units!A:C,3)</f>
        <v>ポムポムプリン</v>
      </c>
      <c r="E45" s="180" t="e">
        <f ca="1">VLOOKUP($B45,OFFSET([5]units!$A$1,0,0,COUNTA([5]units!$A:$A),MATCH(E$1,[5]units!$1:$1,0)-COLUMN(INDIRECT("character_id"))+1),MATCH(E$1,[5]units!$1:$1,0)-COLUMN(INDIRECT("character_id"))+1,FALSE)</f>
        <v>#VALUE!</v>
      </c>
      <c r="F45" s="180" t="e">
        <f ca="1">VLOOKUP($B45,OFFSET([5]units!$A$1,0,0,COUNTA([5]units!$A:$A),MATCH(F$1,[5]units!$1:$1,0)-COLUMN(INDIRECT("character_id"))+1),MATCH(F$1,[5]units!$1:$1,0)-COLUMN(INDIRECT("character_id"))+1,FALSE)</f>
        <v>#VALUE!</v>
      </c>
      <c r="G45" s="179">
        <v>114</v>
      </c>
      <c r="H45" s="180" t="str">
        <f>VLOOKUP(G45,[1]characters!$A:$C,3,FALSE)</f>
        <v>イエローラビット</v>
      </c>
      <c r="I45" s="181">
        <v>1</v>
      </c>
      <c r="J45" s="182">
        <v>1</v>
      </c>
    </row>
    <row r="46" spans="1:10" x14ac:dyDescent="0.15">
      <c r="A46" s="63" t="str">
        <f t="shared" si="7"/>
        <v>8071_113</v>
      </c>
      <c r="B46" s="179">
        <f t="shared" si="0"/>
        <v>8071</v>
      </c>
      <c r="C46" s="222">
        <v>927</v>
      </c>
      <c r="D46" s="180" t="str">
        <f ca="1">VLOOKUP(B46,units!A:C,3)</f>
        <v>ポムポムプリン</v>
      </c>
      <c r="E46" s="180" t="e">
        <f ca="1">VLOOKUP($B46,OFFSET([5]units!$A$1,0,0,COUNTA([5]units!$A:$A),MATCH(E$1,[5]units!$1:$1,0)-COLUMN(INDIRECT("character_id"))+1),MATCH(E$1,[5]units!$1:$1,0)-COLUMN(INDIRECT("character_id"))+1,FALSE)</f>
        <v>#VALUE!</v>
      </c>
      <c r="F46" s="180" t="e">
        <f ca="1">VLOOKUP($B46,OFFSET([5]units!$A$1,0,0,COUNTA([5]units!$A:$A),MATCH(F$1,[5]units!$1:$1,0)-COLUMN(INDIRECT("character_id"))+1),MATCH(F$1,[5]units!$1:$1,0)-COLUMN(INDIRECT("character_id"))+1,FALSE)</f>
        <v>#VALUE!</v>
      </c>
      <c r="G46" s="179">
        <v>113</v>
      </c>
      <c r="H46" s="180" t="str">
        <f>VLOOKUP(G46,[1]characters!$A:$C,3,FALSE)</f>
        <v>イエローチェシャ</v>
      </c>
      <c r="I46" s="181">
        <v>3</v>
      </c>
      <c r="J46" s="182">
        <v>1</v>
      </c>
    </row>
  </sheetData>
  <sheetProtection selectLockedCells="1" selectUnlockedCells="1"/>
  <autoFilter ref="B1:I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D35" sqref="D35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C11" sqref="C11"/>
    </sheetView>
  </sheetViews>
  <sheetFormatPr baseColWidth="12" defaultRowHeight="15" x14ac:dyDescent="0.15"/>
  <sheetData>
    <row r="1" spans="1:2" x14ac:dyDescent="0.15">
      <c r="A1" t="s">
        <v>479</v>
      </c>
      <c r="B1" t="s">
        <v>480</v>
      </c>
    </row>
    <row r="2" spans="1:2" x14ac:dyDescent="0.15">
      <c r="A2" t="s">
        <v>481</v>
      </c>
      <c r="B2">
        <v>1</v>
      </c>
    </row>
    <row r="3" spans="1:2" x14ac:dyDescent="0.15">
      <c r="A3" t="s">
        <v>482</v>
      </c>
      <c r="B3">
        <v>1</v>
      </c>
    </row>
    <row r="4" spans="1:2" x14ac:dyDescent="0.15">
      <c r="A4" t="s">
        <v>483</v>
      </c>
      <c r="B4">
        <v>1</v>
      </c>
    </row>
    <row r="5" spans="1:2" x14ac:dyDescent="0.15">
      <c r="A5" t="s">
        <v>484</v>
      </c>
      <c r="B5">
        <v>1</v>
      </c>
    </row>
    <row r="6" spans="1:2" x14ac:dyDescent="0.15">
      <c r="A6" t="s">
        <v>485</v>
      </c>
      <c r="B6">
        <v>1</v>
      </c>
    </row>
    <row r="7" spans="1:2" x14ac:dyDescent="0.15">
      <c r="A7" t="s">
        <v>486</v>
      </c>
      <c r="B7">
        <v>1</v>
      </c>
    </row>
    <row r="8" spans="1:2" x14ac:dyDescent="0.15">
      <c r="A8" t="s">
        <v>487</v>
      </c>
      <c r="B8">
        <v>1</v>
      </c>
    </row>
    <row r="9" spans="1:2" x14ac:dyDescent="0.15">
      <c r="A9" t="s">
        <v>488</v>
      </c>
      <c r="B9">
        <v>1</v>
      </c>
    </row>
    <row r="10" spans="1:2" x14ac:dyDescent="0.15">
      <c r="A10" t="s">
        <v>489</v>
      </c>
      <c r="B10">
        <v>1</v>
      </c>
    </row>
    <row r="11" spans="1:2" x14ac:dyDescent="0.15">
      <c r="A11" t="s">
        <v>490</v>
      </c>
      <c r="B11">
        <v>1</v>
      </c>
    </row>
    <row r="12" spans="1:2" x14ac:dyDescent="0.15">
      <c r="A12" t="s">
        <v>491</v>
      </c>
      <c r="B12">
        <v>1</v>
      </c>
    </row>
    <row r="13" spans="1:2" x14ac:dyDescent="0.15">
      <c r="A13" t="s">
        <v>492</v>
      </c>
      <c r="B13">
        <v>0</v>
      </c>
    </row>
    <row r="14" spans="1:2" x14ac:dyDescent="0.15">
      <c r="A14" t="s">
        <v>493</v>
      </c>
      <c r="B14">
        <v>500</v>
      </c>
    </row>
    <row r="15" spans="1:2" x14ac:dyDescent="0.15">
      <c r="A15" t="s">
        <v>494</v>
      </c>
      <c r="B15">
        <v>600</v>
      </c>
    </row>
    <row r="16" spans="1:2" x14ac:dyDescent="0.15">
      <c r="A16" t="s">
        <v>495</v>
      </c>
      <c r="B16">
        <v>700</v>
      </c>
    </row>
    <row r="17" spans="1:2" x14ac:dyDescent="0.15">
      <c r="A17" t="s">
        <v>496</v>
      </c>
      <c r="B17">
        <v>5500</v>
      </c>
    </row>
    <row r="18" spans="1:2" x14ac:dyDescent="0.15">
      <c r="A18" t="s">
        <v>497</v>
      </c>
      <c r="B18">
        <v>6000</v>
      </c>
    </row>
    <row r="19" spans="1:2" x14ac:dyDescent="0.15">
      <c r="A19" t="s">
        <v>498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224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3" t="s">
        <v>225</v>
      </c>
      <c r="B2" s="144"/>
      <c r="C2" s="145"/>
      <c r="D2" s="146" t="s">
        <v>226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227</v>
      </c>
      <c r="B3" s="147"/>
      <c r="C3" s="148"/>
      <c r="D3" s="149" t="s">
        <v>226</v>
      </c>
      <c r="E3" s="149">
        <v>25</v>
      </c>
      <c r="F3" s="149">
        <v>35</v>
      </c>
      <c r="G3" s="146">
        <f>15+F3</f>
        <v>50</v>
      </c>
      <c r="H3" s="148"/>
      <c r="I3" s="148"/>
    </row>
    <row r="4" spans="1:9" s="4" customFormat="1" ht="21" customHeight="1" x14ac:dyDescent="0.15">
      <c r="A4" s="143" t="s">
        <v>228</v>
      </c>
      <c r="B4" s="150"/>
      <c r="C4" s="151"/>
      <c r="D4" s="152">
        <v>10</v>
      </c>
      <c r="E4" s="152">
        <v>20</v>
      </c>
      <c r="F4" s="152">
        <v>30</v>
      </c>
      <c r="G4" s="152">
        <f>15+F4</f>
        <v>45</v>
      </c>
      <c r="H4" s="151"/>
      <c r="I4" s="151"/>
    </row>
    <row r="5" spans="1:9" s="4" customFormat="1" ht="21" customHeight="1" x14ac:dyDescent="0.15">
      <c r="A5" s="162" t="s">
        <v>229</v>
      </c>
      <c r="B5" s="157"/>
      <c r="C5" s="158"/>
      <c r="D5" s="27">
        <v>9</v>
      </c>
      <c r="E5" s="27">
        <v>18</v>
      </c>
      <c r="F5" s="27">
        <v>28</v>
      </c>
      <c r="G5" s="38">
        <v>38</v>
      </c>
      <c r="H5" s="158"/>
      <c r="I5" s="158"/>
    </row>
    <row r="6" spans="1:9" s="4" customFormat="1" ht="21" customHeight="1" x14ac:dyDescent="0.15">
      <c r="A6" s="162" t="s">
        <v>230</v>
      </c>
      <c r="B6" s="157"/>
      <c r="C6" s="158"/>
      <c r="D6" s="27">
        <v>7</v>
      </c>
      <c r="E6" s="27">
        <v>16</v>
      </c>
      <c r="F6" s="67" t="s">
        <v>11</v>
      </c>
      <c r="G6" s="67" t="s">
        <v>11</v>
      </c>
      <c r="H6" s="158"/>
      <c r="I6" s="158"/>
    </row>
    <row r="7" spans="1:9" ht="21" customHeight="1" x14ac:dyDescent="0.15">
      <c r="A7" s="72" t="s">
        <v>231</v>
      </c>
      <c r="B7" s="45" t="s">
        <v>11</v>
      </c>
      <c r="C7" s="45" t="s">
        <v>11</v>
      </c>
      <c r="D7" s="38" t="s">
        <v>226</v>
      </c>
      <c r="E7" s="38" t="s">
        <v>226</v>
      </c>
      <c r="F7" s="38" t="s">
        <v>226</v>
      </c>
      <c r="G7" s="38" t="s">
        <v>226</v>
      </c>
      <c r="H7" s="38" t="s">
        <v>226</v>
      </c>
      <c r="I7" s="38" t="s">
        <v>226</v>
      </c>
    </row>
    <row r="8" spans="1:9" ht="21" customHeight="1" x14ac:dyDescent="0.15">
      <c r="A8" s="73" t="s">
        <v>232</v>
      </c>
      <c r="B8" s="45" t="s">
        <v>11</v>
      </c>
      <c r="C8" s="45" t="s">
        <v>11</v>
      </c>
      <c r="D8" s="38" t="s">
        <v>226</v>
      </c>
      <c r="E8" s="38">
        <v>30</v>
      </c>
      <c r="F8" s="38">
        <v>40</v>
      </c>
      <c r="G8" s="38">
        <f>15+F8</f>
        <v>55</v>
      </c>
      <c r="H8" s="38" t="s">
        <v>226</v>
      </c>
      <c r="I8" s="38" t="s">
        <v>226</v>
      </c>
    </row>
    <row r="9" spans="1:9" s="44" customFormat="1" ht="21" customHeight="1" x14ac:dyDescent="0.15">
      <c r="A9" s="74" t="s">
        <v>233</v>
      </c>
      <c r="B9" s="27" t="s">
        <v>11</v>
      </c>
      <c r="C9" s="27" t="s">
        <v>11</v>
      </c>
      <c r="D9" s="104" t="s">
        <v>226</v>
      </c>
      <c r="E9" s="104">
        <v>25</v>
      </c>
      <c r="F9" s="104">
        <v>35</v>
      </c>
      <c r="G9" s="38">
        <f>15+F9</f>
        <v>50</v>
      </c>
      <c r="H9" s="104" t="s">
        <v>226</v>
      </c>
      <c r="I9" s="104" t="s">
        <v>226</v>
      </c>
    </row>
    <row r="10" spans="1:9" ht="21" customHeight="1" x14ac:dyDescent="0.15">
      <c r="A10" s="74" t="s">
        <v>9</v>
      </c>
      <c r="B10" s="67" t="s">
        <v>11</v>
      </c>
      <c r="C10" s="67" t="s">
        <v>11</v>
      </c>
      <c r="D10" s="27">
        <v>10</v>
      </c>
      <c r="E10" s="27">
        <v>20</v>
      </c>
      <c r="F10" s="27">
        <v>30</v>
      </c>
      <c r="G10" s="38">
        <f>15+F10</f>
        <v>45</v>
      </c>
      <c r="H10" s="67" t="s">
        <v>11</v>
      </c>
      <c r="I10" s="67" t="s">
        <v>11</v>
      </c>
    </row>
    <row r="11" spans="1:9" ht="21" customHeight="1" x14ac:dyDescent="0.15">
      <c r="A11" s="74" t="s">
        <v>234</v>
      </c>
      <c r="B11" s="67" t="s">
        <v>11</v>
      </c>
      <c r="C11" s="67" t="s">
        <v>11</v>
      </c>
      <c r="D11" s="27">
        <v>9</v>
      </c>
      <c r="E11" s="27">
        <v>18</v>
      </c>
      <c r="F11" s="27">
        <v>28</v>
      </c>
      <c r="G11" s="38">
        <v>38</v>
      </c>
      <c r="H11" s="67" t="s">
        <v>11</v>
      </c>
      <c r="I11" s="67" t="s">
        <v>11</v>
      </c>
    </row>
    <row r="12" spans="1:9" ht="21" customHeight="1" x14ac:dyDescent="0.15">
      <c r="A12" s="74" t="s">
        <v>235</v>
      </c>
      <c r="B12" s="67" t="s">
        <v>11</v>
      </c>
      <c r="C12" s="67" t="s">
        <v>11</v>
      </c>
      <c r="D12" s="27">
        <v>7</v>
      </c>
      <c r="E12" s="27">
        <v>16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103" t="s">
        <v>236</v>
      </c>
      <c r="B13" s="67" t="s">
        <v>11</v>
      </c>
      <c r="C13" s="67" t="s">
        <v>11</v>
      </c>
      <c r="D13" s="27">
        <v>8</v>
      </c>
      <c r="E13" s="27">
        <v>17</v>
      </c>
      <c r="F13" s="27">
        <v>26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237</v>
      </c>
      <c r="B14" s="67" t="s">
        <v>11</v>
      </c>
      <c r="C14" s="67" t="s">
        <v>11</v>
      </c>
      <c r="D14" s="27">
        <v>8</v>
      </c>
      <c r="E14" s="27">
        <v>17</v>
      </c>
      <c r="F14" s="27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238</v>
      </c>
      <c r="B15" s="67" t="s">
        <v>11</v>
      </c>
      <c r="C15" s="67" t="s">
        <v>11</v>
      </c>
      <c r="D15" s="27">
        <v>6</v>
      </c>
      <c r="E15" s="27">
        <v>14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239</v>
      </c>
      <c r="B16" s="67" t="s">
        <v>11</v>
      </c>
      <c r="C16" s="27">
        <v>4</v>
      </c>
      <c r="D16" s="27">
        <v>6</v>
      </c>
      <c r="E16" s="27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8</v>
      </c>
      <c r="B17" s="27">
        <v>2</v>
      </c>
      <c r="C17" s="27">
        <v>4</v>
      </c>
      <c r="D17" s="27">
        <v>6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5" t="s">
        <v>7</v>
      </c>
      <c r="B18" s="30">
        <v>1</v>
      </c>
      <c r="C18" s="30">
        <v>2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240</v>
      </c>
      <c r="B19" s="25">
        <v>1</v>
      </c>
      <c r="C19" s="25">
        <v>1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6" t="s">
        <v>241</v>
      </c>
      <c r="B20" s="25">
        <v>99</v>
      </c>
      <c r="C20" s="25">
        <v>99</v>
      </c>
      <c r="D20" s="25">
        <v>99</v>
      </c>
      <c r="E20" s="25">
        <v>99</v>
      </c>
      <c r="F20" s="25">
        <v>99</v>
      </c>
      <c r="G20" s="25">
        <v>99</v>
      </c>
      <c r="H20" s="25">
        <v>99</v>
      </c>
      <c r="I20" s="2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43" t="s">
        <v>225</v>
      </c>
      <c r="B2" s="159"/>
      <c r="C2" s="145"/>
      <c r="D2" s="153" t="s">
        <v>109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43" t="s">
        <v>227</v>
      </c>
      <c r="B3" s="160"/>
      <c r="C3" s="148"/>
      <c r="D3" s="153" t="s">
        <v>109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43" t="s">
        <v>221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229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230</v>
      </c>
      <c r="B6" s="157"/>
      <c r="C6" s="158"/>
      <c r="D6" s="153">
        <v>40</v>
      </c>
      <c r="E6" s="153">
        <v>60</v>
      </c>
      <c r="F6" s="153" t="s">
        <v>109</v>
      </c>
      <c r="G6" s="153" t="s">
        <v>109</v>
      </c>
      <c r="H6" s="158"/>
      <c r="I6" s="158"/>
    </row>
    <row r="7" spans="1:9" ht="21" customHeight="1" x14ac:dyDescent="0.15">
      <c r="A7" s="72" t="s">
        <v>197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9" ht="21" customHeight="1" x14ac:dyDescent="0.15">
      <c r="A8" s="73" t="s">
        <v>232</v>
      </c>
      <c r="B8" s="39" t="s">
        <v>109</v>
      </c>
      <c r="C8" s="39" t="s">
        <v>109</v>
      </c>
      <c r="D8" s="39" t="s">
        <v>109</v>
      </c>
      <c r="E8" s="39">
        <v>60</v>
      </c>
      <c r="F8" s="39">
        <v>80</v>
      </c>
      <c r="G8" s="39">
        <v>99</v>
      </c>
      <c r="H8" s="39" t="s">
        <v>109</v>
      </c>
      <c r="I8" s="39" t="s">
        <v>109</v>
      </c>
    </row>
    <row r="9" spans="1:9" s="44" customFormat="1" ht="21" customHeight="1" x14ac:dyDescent="0.15">
      <c r="A9" s="74" t="s">
        <v>233</v>
      </c>
      <c r="B9" s="64" t="s">
        <v>109</v>
      </c>
      <c r="C9" s="64" t="s">
        <v>109</v>
      </c>
      <c r="D9" s="64" t="s">
        <v>109</v>
      </c>
      <c r="E9" s="64">
        <v>60</v>
      </c>
      <c r="F9" s="64">
        <v>80</v>
      </c>
      <c r="G9" s="64">
        <v>99</v>
      </c>
      <c r="H9" s="64" t="s">
        <v>109</v>
      </c>
      <c r="I9" s="64" t="s">
        <v>109</v>
      </c>
    </row>
    <row r="10" spans="1:9" ht="21" customHeight="1" x14ac:dyDescent="0.15">
      <c r="A10" s="74" t="s">
        <v>9</v>
      </c>
      <c r="B10" s="69" t="s">
        <v>109</v>
      </c>
      <c r="C10" s="69" t="s">
        <v>109</v>
      </c>
      <c r="D10" s="35">
        <v>40</v>
      </c>
      <c r="E10" s="35">
        <v>60</v>
      </c>
      <c r="F10" s="35">
        <v>80</v>
      </c>
      <c r="G10" s="39">
        <v>99</v>
      </c>
      <c r="H10" s="69" t="s">
        <v>109</v>
      </c>
      <c r="I10" s="69" t="s">
        <v>109</v>
      </c>
    </row>
    <row r="11" spans="1:9" ht="21" customHeight="1" x14ac:dyDescent="0.15">
      <c r="A11" s="74" t="s">
        <v>200</v>
      </c>
      <c r="B11" s="69" t="s">
        <v>109</v>
      </c>
      <c r="C11" s="69" t="s">
        <v>109</v>
      </c>
      <c r="D11" s="35">
        <v>40</v>
      </c>
      <c r="E11" s="35">
        <v>60</v>
      </c>
      <c r="F11" s="35">
        <v>80</v>
      </c>
      <c r="G11" s="64">
        <v>99</v>
      </c>
      <c r="H11" s="69" t="s">
        <v>109</v>
      </c>
      <c r="I11" s="69" t="s">
        <v>109</v>
      </c>
    </row>
    <row r="12" spans="1:9" ht="21" customHeight="1" x14ac:dyDescent="0.15">
      <c r="A12" s="74" t="s">
        <v>196</v>
      </c>
      <c r="B12" s="69" t="s">
        <v>109</v>
      </c>
      <c r="C12" s="69" t="s">
        <v>109</v>
      </c>
      <c r="D12" s="35">
        <v>40</v>
      </c>
      <c r="E12" s="35">
        <v>60</v>
      </c>
      <c r="F12" s="69" t="s">
        <v>109</v>
      </c>
      <c r="G12" s="69" t="s">
        <v>109</v>
      </c>
      <c r="H12" s="69" t="s">
        <v>109</v>
      </c>
      <c r="I12" s="69" t="s">
        <v>109</v>
      </c>
    </row>
    <row r="13" spans="1:9" ht="21" customHeight="1" x14ac:dyDescent="0.15">
      <c r="A13" s="103" t="s">
        <v>236</v>
      </c>
      <c r="B13" s="69" t="s">
        <v>109</v>
      </c>
      <c r="C13" s="69" t="s">
        <v>109</v>
      </c>
      <c r="D13" s="35">
        <v>40</v>
      </c>
      <c r="E13" s="35">
        <v>60</v>
      </c>
      <c r="F13" s="35">
        <v>80</v>
      </c>
      <c r="G13" s="69" t="s">
        <v>109</v>
      </c>
      <c r="H13" s="69" t="s">
        <v>109</v>
      </c>
      <c r="I13" s="69" t="s">
        <v>109</v>
      </c>
    </row>
    <row r="14" spans="1:9" ht="21" customHeight="1" x14ac:dyDescent="0.15">
      <c r="A14" s="74" t="s">
        <v>237</v>
      </c>
      <c r="B14" s="69" t="s">
        <v>109</v>
      </c>
      <c r="C14" s="69" t="s">
        <v>109</v>
      </c>
      <c r="D14" s="35">
        <v>40</v>
      </c>
      <c r="E14" s="35">
        <v>60</v>
      </c>
      <c r="F14" s="35">
        <v>80</v>
      </c>
      <c r="G14" s="69" t="s">
        <v>109</v>
      </c>
      <c r="H14" s="69" t="s">
        <v>109</v>
      </c>
      <c r="I14" s="69" t="s">
        <v>109</v>
      </c>
    </row>
    <row r="15" spans="1:9" ht="21" customHeight="1" x14ac:dyDescent="0.15">
      <c r="A15" s="74" t="s">
        <v>105</v>
      </c>
      <c r="B15" s="69" t="s">
        <v>109</v>
      </c>
      <c r="C15" s="35">
        <v>30</v>
      </c>
      <c r="D15" s="35">
        <v>40</v>
      </c>
      <c r="E15" s="35">
        <v>60</v>
      </c>
      <c r="F15" s="69" t="s">
        <v>109</v>
      </c>
      <c r="G15" s="69" t="s">
        <v>109</v>
      </c>
      <c r="H15" s="69" t="s">
        <v>109</v>
      </c>
      <c r="I15" s="69" t="s">
        <v>109</v>
      </c>
    </row>
    <row r="16" spans="1:9" ht="21" customHeight="1" x14ac:dyDescent="0.15">
      <c r="A16" s="74" t="s">
        <v>239</v>
      </c>
      <c r="B16" s="69" t="s">
        <v>109</v>
      </c>
      <c r="C16" s="35">
        <v>30</v>
      </c>
      <c r="D16" s="35">
        <v>40</v>
      </c>
      <c r="E16" s="35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8</v>
      </c>
      <c r="B17" s="35">
        <v>15</v>
      </c>
      <c r="C17" s="35">
        <v>30</v>
      </c>
      <c r="D17" s="35">
        <v>40</v>
      </c>
      <c r="E17" s="69" t="s">
        <v>109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5" t="s">
        <v>7</v>
      </c>
      <c r="B18" s="35">
        <v>15</v>
      </c>
      <c r="C18" s="35">
        <v>30</v>
      </c>
      <c r="D18" s="35">
        <v>40</v>
      </c>
      <c r="E18" s="69" t="s">
        <v>206</v>
      </c>
      <c r="F18" s="69" t="s">
        <v>206</v>
      </c>
      <c r="G18" s="69" t="s">
        <v>206</v>
      </c>
      <c r="H18" s="69" t="s">
        <v>206</v>
      </c>
      <c r="I18" s="69" t="s">
        <v>206</v>
      </c>
    </row>
    <row r="19" spans="1:9" ht="21" customHeight="1" x14ac:dyDescent="0.15">
      <c r="A19" s="76" t="s">
        <v>240</v>
      </c>
      <c r="B19" s="35">
        <v>10</v>
      </c>
      <c r="C19" s="35">
        <v>20</v>
      </c>
      <c r="D19" s="69" t="s">
        <v>206</v>
      </c>
      <c r="E19" s="69" t="s">
        <v>206</v>
      </c>
      <c r="F19" s="69" t="s">
        <v>206</v>
      </c>
      <c r="G19" s="69" t="s">
        <v>206</v>
      </c>
      <c r="H19" s="69" t="s">
        <v>206</v>
      </c>
      <c r="I19" s="69" t="s">
        <v>206</v>
      </c>
    </row>
    <row r="20" spans="1:9" ht="21" customHeight="1" x14ac:dyDescent="0.15">
      <c r="A20" s="36" t="s">
        <v>241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s="4" customFormat="1" ht="21" customHeight="1" x14ac:dyDescent="0.15">
      <c r="A2" s="143" t="s">
        <v>225</v>
      </c>
      <c r="B2" s="144"/>
      <c r="C2" s="145"/>
      <c r="D2" s="153" t="s">
        <v>109</v>
      </c>
      <c r="E2" s="154" t="s">
        <v>59</v>
      </c>
      <c r="F2" s="154" t="s">
        <v>59</v>
      </c>
      <c r="G2" s="154" t="s">
        <v>242</v>
      </c>
      <c r="H2" s="145"/>
      <c r="I2" s="145"/>
    </row>
    <row r="3" spans="1:11" s="4" customFormat="1" ht="21" customHeight="1" x14ac:dyDescent="0.15">
      <c r="A3" s="143" t="s">
        <v>227</v>
      </c>
      <c r="B3" s="147"/>
      <c r="C3" s="148"/>
      <c r="D3" s="154" t="s">
        <v>59</v>
      </c>
      <c r="E3" s="154" t="s">
        <v>59</v>
      </c>
      <c r="F3" s="154" t="s">
        <v>59</v>
      </c>
      <c r="G3" s="154" t="s">
        <v>220</v>
      </c>
      <c r="H3" s="148"/>
      <c r="I3" s="148"/>
    </row>
    <row r="4" spans="1:11" s="4" customFormat="1" ht="21" customHeight="1" x14ac:dyDescent="0.15">
      <c r="A4" s="143" t="s">
        <v>221</v>
      </c>
      <c r="B4" s="150"/>
      <c r="C4" s="151"/>
      <c r="D4" s="155" t="s">
        <v>59</v>
      </c>
      <c r="E4" s="155" t="s">
        <v>59</v>
      </c>
      <c r="F4" s="155" t="s">
        <v>59</v>
      </c>
      <c r="G4" s="154" t="s">
        <v>220</v>
      </c>
      <c r="H4" s="151"/>
      <c r="I4" s="151"/>
    </row>
    <row r="5" spans="1:11" s="4" customFormat="1" ht="21" customHeight="1" x14ac:dyDescent="0.15">
      <c r="A5" s="162" t="s">
        <v>229</v>
      </c>
      <c r="B5" s="157"/>
      <c r="C5" s="158"/>
      <c r="D5" s="155" t="s">
        <v>59</v>
      </c>
      <c r="E5" s="155" t="s">
        <v>59</v>
      </c>
      <c r="F5" s="155" t="s">
        <v>59</v>
      </c>
      <c r="G5" s="154" t="s">
        <v>210</v>
      </c>
      <c r="H5" s="158"/>
      <c r="I5" s="158"/>
    </row>
    <row r="6" spans="1:11" s="4" customFormat="1" ht="21" customHeight="1" x14ac:dyDescent="0.15">
      <c r="A6" s="162" t="s">
        <v>230</v>
      </c>
      <c r="B6" s="157"/>
      <c r="C6" s="158"/>
      <c r="D6" s="163" t="s">
        <v>60</v>
      </c>
      <c r="E6" s="163" t="s">
        <v>60</v>
      </c>
      <c r="F6" s="153" t="s">
        <v>109</v>
      </c>
      <c r="G6" s="153" t="s">
        <v>109</v>
      </c>
      <c r="H6" s="158"/>
      <c r="I6" s="158"/>
    </row>
    <row r="7" spans="1:11" ht="21" customHeight="1" x14ac:dyDescent="0.15">
      <c r="A7" s="72" t="s">
        <v>197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11" ht="21" customHeight="1" x14ac:dyDescent="0.15">
      <c r="A8" s="73" t="s">
        <v>232</v>
      </c>
      <c r="B8" s="39" t="s">
        <v>109</v>
      </c>
      <c r="C8" s="39" t="s">
        <v>109</v>
      </c>
      <c r="D8" s="39" t="s">
        <v>207</v>
      </c>
      <c r="E8" s="50" t="s">
        <v>115</v>
      </c>
      <c r="F8" s="50" t="s">
        <v>115</v>
      </c>
      <c r="G8" s="50" t="s">
        <v>208</v>
      </c>
      <c r="H8" s="39" t="s">
        <v>207</v>
      </c>
      <c r="I8" s="39" t="s">
        <v>109</v>
      </c>
    </row>
    <row r="9" spans="1:11" s="44" customFormat="1" ht="21" customHeight="1" x14ac:dyDescent="0.15">
      <c r="A9" s="74" t="s">
        <v>233</v>
      </c>
      <c r="B9" s="64" t="s">
        <v>109</v>
      </c>
      <c r="C9" s="64" t="s">
        <v>109</v>
      </c>
      <c r="D9" s="64" t="s">
        <v>109</v>
      </c>
      <c r="E9" s="50" t="s">
        <v>59</v>
      </c>
      <c r="F9" s="50" t="s">
        <v>59</v>
      </c>
      <c r="G9" s="50" t="s">
        <v>115</v>
      </c>
      <c r="H9" s="64" t="s">
        <v>209</v>
      </c>
      <c r="I9" s="64" t="s">
        <v>209</v>
      </c>
    </row>
    <row r="10" spans="1:11" ht="21" customHeight="1" x14ac:dyDescent="0.15">
      <c r="A10" s="74" t="s">
        <v>9</v>
      </c>
      <c r="B10" s="69" t="s">
        <v>109</v>
      </c>
      <c r="C10" s="69" t="s">
        <v>109</v>
      </c>
      <c r="D10" s="50" t="s">
        <v>59</v>
      </c>
      <c r="E10" s="50" t="s">
        <v>59</v>
      </c>
      <c r="F10" s="50" t="s">
        <v>59</v>
      </c>
      <c r="G10" s="50" t="s">
        <v>210</v>
      </c>
      <c r="H10" s="69" t="s">
        <v>209</v>
      </c>
      <c r="I10" s="69" t="s">
        <v>209</v>
      </c>
      <c r="K10" s="26" t="s">
        <v>12</v>
      </c>
    </row>
    <row r="11" spans="1:11" ht="21" customHeight="1" x14ac:dyDescent="0.15">
      <c r="A11" s="74" t="s">
        <v>200</v>
      </c>
      <c r="B11" s="69" t="s">
        <v>109</v>
      </c>
      <c r="C11" s="69" t="s">
        <v>109</v>
      </c>
      <c r="D11" s="51" t="s">
        <v>59</v>
      </c>
      <c r="E11" s="51" t="s">
        <v>59</v>
      </c>
      <c r="F11" s="51" t="s">
        <v>59</v>
      </c>
      <c r="G11" s="50" t="s">
        <v>210</v>
      </c>
      <c r="H11" s="69" t="s">
        <v>209</v>
      </c>
      <c r="I11" s="69" t="s">
        <v>209</v>
      </c>
      <c r="K11" s="28" t="s">
        <v>13</v>
      </c>
    </row>
    <row r="12" spans="1:11" ht="21" customHeight="1" x14ac:dyDescent="0.15">
      <c r="A12" s="74" t="s">
        <v>196</v>
      </c>
      <c r="B12" s="69" t="s">
        <v>109</v>
      </c>
      <c r="C12" s="69" t="s">
        <v>109</v>
      </c>
      <c r="D12" s="52" t="s">
        <v>60</v>
      </c>
      <c r="E12" s="52" t="s">
        <v>60</v>
      </c>
      <c r="F12" s="69" t="s">
        <v>109</v>
      </c>
      <c r="G12" s="69" t="s">
        <v>109</v>
      </c>
      <c r="H12" s="69" t="s">
        <v>109</v>
      </c>
      <c r="I12" s="69" t="s">
        <v>109</v>
      </c>
      <c r="K12" s="70" t="s">
        <v>35</v>
      </c>
    </row>
    <row r="13" spans="1:11" ht="21" customHeight="1" x14ac:dyDescent="0.15">
      <c r="A13" s="103" t="s">
        <v>236</v>
      </c>
      <c r="B13" s="69" t="s">
        <v>109</v>
      </c>
      <c r="C13" s="69" t="s">
        <v>109</v>
      </c>
      <c r="D13" s="53" t="s">
        <v>59</v>
      </c>
      <c r="E13" s="53" t="s">
        <v>59</v>
      </c>
      <c r="F13" s="53" t="s">
        <v>59</v>
      </c>
      <c r="G13" s="69" t="s">
        <v>109</v>
      </c>
      <c r="H13" s="69" t="s">
        <v>109</v>
      </c>
      <c r="I13" s="69" t="s">
        <v>109</v>
      </c>
      <c r="K13" s="71"/>
    </row>
    <row r="14" spans="1:11" ht="21" customHeight="1" x14ac:dyDescent="0.15">
      <c r="A14" s="74" t="s">
        <v>237</v>
      </c>
      <c r="B14" s="69" t="s">
        <v>109</v>
      </c>
      <c r="C14" s="69" t="s">
        <v>109</v>
      </c>
      <c r="D14" s="53" t="s">
        <v>59</v>
      </c>
      <c r="E14" s="53" t="s">
        <v>59</v>
      </c>
      <c r="F14" s="53" t="s">
        <v>59</v>
      </c>
      <c r="G14" s="69" t="s">
        <v>109</v>
      </c>
      <c r="H14" s="69" t="s">
        <v>109</v>
      </c>
      <c r="I14" s="69" t="s">
        <v>109</v>
      </c>
    </row>
    <row r="15" spans="1:11" ht="21" customHeight="1" x14ac:dyDescent="0.15">
      <c r="A15" s="74" t="s">
        <v>105</v>
      </c>
      <c r="B15" s="69" t="s">
        <v>109</v>
      </c>
      <c r="C15" s="69" t="s">
        <v>109</v>
      </c>
      <c r="D15" s="53" t="s">
        <v>60</v>
      </c>
      <c r="E15" s="53" t="s">
        <v>60</v>
      </c>
      <c r="F15" s="69" t="s">
        <v>109</v>
      </c>
      <c r="G15" s="69" t="s">
        <v>109</v>
      </c>
      <c r="H15" s="69" t="s">
        <v>109</v>
      </c>
      <c r="I15" s="69" t="s">
        <v>109</v>
      </c>
    </row>
    <row r="16" spans="1:11" ht="21" customHeight="1" x14ac:dyDescent="0.15">
      <c r="A16" s="74" t="s">
        <v>239</v>
      </c>
      <c r="B16" s="69" t="s">
        <v>109</v>
      </c>
      <c r="C16" s="53" t="s">
        <v>60</v>
      </c>
      <c r="D16" s="53" t="s">
        <v>60</v>
      </c>
      <c r="E16" s="53" t="s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8</v>
      </c>
      <c r="B17" s="54" t="s">
        <v>61</v>
      </c>
      <c r="C17" s="54" t="s">
        <v>61</v>
      </c>
      <c r="D17" s="54" t="s">
        <v>61</v>
      </c>
      <c r="E17" s="69" t="s">
        <v>109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5" t="s">
        <v>7</v>
      </c>
      <c r="B18" s="49" t="s">
        <v>62</v>
      </c>
      <c r="C18" s="49" t="s">
        <v>62</v>
      </c>
      <c r="D18" s="69" t="s">
        <v>109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6" t="s">
        <v>240</v>
      </c>
      <c r="B19" s="51" t="s">
        <v>63</v>
      </c>
      <c r="C19" s="51" t="s">
        <v>63</v>
      </c>
      <c r="D19" s="69" t="s">
        <v>109</v>
      </c>
      <c r="E19" s="69" t="s">
        <v>109</v>
      </c>
      <c r="F19" s="69" t="s">
        <v>109</v>
      </c>
      <c r="G19" s="69" t="s">
        <v>109</v>
      </c>
      <c r="H19" s="69" t="s">
        <v>109</v>
      </c>
      <c r="I19" s="69" t="s">
        <v>109</v>
      </c>
    </row>
    <row r="20" spans="1:9" ht="21" customHeight="1" x14ac:dyDescent="0.15">
      <c r="A20" s="36" t="s">
        <v>241</v>
      </c>
      <c r="B20" s="77" t="s">
        <v>47</v>
      </c>
      <c r="C20" s="77" t="s">
        <v>47</v>
      </c>
      <c r="D20" s="77" t="s">
        <v>47</v>
      </c>
      <c r="E20" s="77" t="s">
        <v>47</v>
      </c>
      <c r="F20" s="77" t="s">
        <v>47</v>
      </c>
      <c r="G20" s="77" t="s">
        <v>47</v>
      </c>
      <c r="H20" s="77" t="s">
        <v>47</v>
      </c>
      <c r="I20" s="77" t="s">
        <v>47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64</v>
      </c>
      <c r="B26" s="20" t="s">
        <v>65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3" t="s">
        <v>218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219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221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222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223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2" t="s">
        <v>197</v>
      </c>
      <c r="B7" s="45" t="s">
        <v>11</v>
      </c>
      <c r="C7" s="45" t="s">
        <v>11</v>
      </c>
      <c r="D7" s="45" t="s">
        <v>11</v>
      </c>
      <c r="E7" s="45" t="s">
        <v>11</v>
      </c>
      <c r="F7" s="45" t="s">
        <v>11</v>
      </c>
      <c r="G7" s="45" t="s">
        <v>11</v>
      </c>
      <c r="H7" s="45" t="s">
        <v>11</v>
      </c>
      <c r="I7" s="45" t="s">
        <v>11</v>
      </c>
    </row>
    <row r="8" spans="1:9" ht="21" customHeight="1" x14ac:dyDescent="0.15">
      <c r="A8" s="73" t="s">
        <v>198</v>
      </c>
      <c r="B8" s="45" t="s">
        <v>11</v>
      </c>
      <c r="C8" s="45" t="s">
        <v>11</v>
      </c>
      <c r="D8" s="45" t="s">
        <v>11</v>
      </c>
      <c r="E8" s="45">
        <v>8000</v>
      </c>
      <c r="F8" s="27">
        <v>10000</v>
      </c>
      <c r="G8" s="45">
        <v>14000</v>
      </c>
      <c r="H8" s="45" t="s">
        <v>11</v>
      </c>
      <c r="I8" s="45" t="s">
        <v>11</v>
      </c>
    </row>
    <row r="9" spans="1:9" s="44" customFormat="1" ht="21" customHeight="1" x14ac:dyDescent="0.15">
      <c r="A9" s="74" t="s">
        <v>199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45">
        <v>13000</v>
      </c>
      <c r="H9" s="27" t="s">
        <v>11</v>
      </c>
      <c r="I9" s="27" t="s">
        <v>11</v>
      </c>
    </row>
    <row r="10" spans="1:9" ht="21" customHeight="1" x14ac:dyDescent="0.15">
      <c r="A10" s="74" t="s">
        <v>9</v>
      </c>
      <c r="B10" s="67" t="s">
        <v>11</v>
      </c>
      <c r="C10" s="67" t="s">
        <v>11</v>
      </c>
      <c r="D10" s="27">
        <v>5000</v>
      </c>
      <c r="E10" s="27">
        <v>7000</v>
      </c>
      <c r="F10" s="27">
        <v>9000</v>
      </c>
      <c r="G10" s="45">
        <v>12000</v>
      </c>
      <c r="H10" s="67" t="s">
        <v>11</v>
      </c>
      <c r="I10" s="67" t="s">
        <v>11</v>
      </c>
    </row>
    <row r="11" spans="1:9" ht="21" customHeight="1" x14ac:dyDescent="0.15">
      <c r="A11" s="74" t="s">
        <v>200</v>
      </c>
      <c r="B11" s="67" t="s">
        <v>11</v>
      </c>
      <c r="C11" s="67" t="s">
        <v>11</v>
      </c>
      <c r="D11" s="27">
        <v>4900</v>
      </c>
      <c r="E11" s="27">
        <v>6700</v>
      </c>
      <c r="F11" s="27">
        <v>8500</v>
      </c>
      <c r="G11" s="45">
        <v>11000</v>
      </c>
      <c r="H11" s="67" t="s">
        <v>11</v>
      </c>
      <c r="I11" s="67" t="s">
        <v>11</v>
      </c>
    </row>
    <row r="12" spans="1:9" ht="21" customHeight="1" x14ac:dyDescent="0.15">
      <c r="A12" s="74" t="s">
        <v>106</v>
      </c>
      <c r="B12" s="67" t="s">
        <v>11</v>
      </c>
      <c r="C12" s="67" t="s">
        <v>11</v>
      </c>
      <c r="D12" s="27">
        <v>4800</v>
      </c>
      <c r="E12" s="27">
        <v>6600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74" t="s">
        <v>201</v>
      </c>
      <c r="B13" s="67" t="s">
        <v>11</v>
      </c>
      <c r="C13" s="67" t="s">
        <v>11</v>
      </c>
      <c r="D13" s="67" t="s">
        <v>11</v>
      </c>
      <c r="E13" s="27">
        <v>6300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202</v>
      </c>
      <c r="B14" s="67" t="s">
        <v>11</v>
      </c>
      <c r="C14" s="67" t="s">
        <v>11</v>
      </c>
      <c r="D14" s="27">
        <v>4600</v>
      </c>
      <c r="E14" s="27">
        <v>5800</v>
      </c>
      <c r="F14" s="27">
        <v>7600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105</v>
      </c>
      <c r="B15" s="67" t="s">
        <v>11</v>
      </c>
      <c r="C15" s="67" t="s">
        <v>11</v>
      </c>
      <c r="D15" s="27">
        <v>4400</v>
      </c>
      <c r="E15" s="27">
        <v>5600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203</v>
      </c>
      <c r="B16" s="67" t="s">
        <v>11</v>
      </c>
      <c r="C16" s="27">
        <v>3000</v>
      </c>
      <c r="D16" s="27">
        <v>4200</v>
      </c>
      <c r="E16" s="27">
        <v>5400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8</v>
      </c>
      <c r="B17" s="27">
        <v>2000</v>
      </c>
      <c r="C17" s="27">
        <v>2800</v>
      </c>
      <c r="D17" s="27">
        <v>4000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5" t="s">
        <v>7</v>
      </c>
      <c r="B18" s="27">
        <v>1750</v>
      </c>
      <c r="C18" s="27">
        <v>2550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204</v>
      </c>
      <c r="B19" s="27">
        <v>1500</v>
      </c>
      <c r="C19" s="27">
        <v>2300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6" t="s">
        <v>205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111</v>
      </c>
      <c r="G1" s="22" t="s">
        <v>112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189</v>
      </c>
      <c r="B2" s="12">
        <v>591</v>
      </c>
    </row>
    <row r="3" spans="1:4" x14ac:dyDescent="0.15">
      <c r="A3" t="s">
        <v>190</v>
      </c>
      <c r="B3" s="131">
        <v>592</v>
      </c>
    </row>
    <row r="4" spans="1:4" x14ac:dyDescent="0.15">
      <c r="A4" t="s">
        <v>191</v>
      </c>
      <c r="B4" s="131">
        <v>593</v>
      </c>
    </row>
    <row r="7" spans="1:4" x14ac:dyDescent="0.15">
      <c r="A7" t="s">
        <v>192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211</v>
      </c>
    </row>
    <row r="13" spans="1:4" x14ac:dyDescent="0.15">
      <c r="B13" t="s">
        <v>215</v>
      </c>
      <c r="C13" t="s">
        <v>216</v>
      </c>
      <c r="D13" t="s">
        <v>217</v>
      </c>
    </row>
    <row r="14" spans="1:4" x14ac:dyDescent="0.15">
      <c r="A14" t="s">
        <v>213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194</v>
      </c>
    </row>
    <row r="36" spans="1:1" x14ac:dyDescent="0.15">
      <c r="A36" t="str">
        <f>IFERROR(VLOOKUP($B$2,crash_skills!A:J,3),"なし")</f>
        <v>なし</v>
      </c>
    </row>
    <row r="37" spans="1:1" x14ac:dyDescent="0.15">
      <c r="A37" t="str">
        <f>IFERROR(VLOOKUP($B$2,crash_skills!A:J,4),"なし")</f>
        <v>なし</v>
      </c>
    </row>
    <row r="38" spans="1:1" x14ac:dyDescent="0.15">
      <c r="A38" t="str">
        <f>IFERROR(VLOOKUP($B$2,crash_skills!A:J,6),"なし")</f>
        <v>なし</v>
      </c>
    </row>
    <row r="40" spans="1:1" x14ac:dyDescent="0.15">
      <c r="A40" t="str">
        <f>IFERROR(VLOOKUP($B$3,crash_skills!A:J,3),"なし")</f>
        <v>なし</v>
      </c>
    </row>
    <row r="41" spans="1:1" x14ac:dyDescent="0.15">
      <c r="A41" t="str">
        <f>IFERROR(VLOOKUP($B$3,crash_skills!A:J,4),"なし")</f>
        <v>なし</v>
      </c>
    </row>
    <row r="42" spans="1:1" x14ac:dyDescent="0.15">
      <c r="A42" t="str">
        <f>IFERROR(VLOOKUP($B$3,crash_skills!A:J,6),"なし")</f>
        <v>なし</v>
      </c>
    </row>
    <row r="44" spans="1:1" x14ac:dyDescent="0.15">
      <c r="A44" t="str">
        <f>IFERROR(VLOOKUP($B$4,crash_skills!A:J,3),"なし")</f>
        <v>なし</v>
      </c>
    </row>
    <row r="45" spans="1:1" x14ac:dyDescent="0.15">
      <c r="A45" t="str">
        <f>IFERROR(VLOOKUP($B$4,crash_skills!A:J,4),"なし")</f>
        <v>なし</v>
      </c>
    </row>
    <row r="46" spans="1:1" x14ac:dyDescent="0.15">
      <c r="A46" t="str">
        <f>IFERROR(VLOOKUP($B$4,crash_skills!A:J,6),"なし")</f>
        <v>なし</v>
      </c>
    </row>
    <row r="48" spans="1:1" x14ac:dyDescent="0.15">
      <c r="A48" t="s">
        <v>195</v>
      </c>
    </row>
    <row r="49" spans="1:1" x14ac:dyDescent="0.15">
      <c r="A49" t="str">
        <f>IFERROR(VLOOKUP($B$3,awake_materials!A:J,2),"なし")</f>
        <v>なし</v>
      </c>
    </row>
    <row r="50" spans="1:1" x14ac:dyDescent="0.15">
      <c r="A50" t="str">
        <f>IFERROR(VLOOKUP($B$3,awake_materials!A:J,2),"なし")</f>
        <v>なし</v>
      </c>
    </row>
    <row r="51" spans="1:1" x14ac:dyDescent="0.15">
      <c r="A51" t="str">
        <f>IFERROR(VLOOKUP($B$3,awake_materials!A:J,2),"なし")</f>
        <v>なし</v>
      </c>
    </row>
    <row r="52" spans="1:1" x14ac:dyDescent="0.15">
      <c r="A52" t="str">
        <f>IFERROR(VLOOKUP($B$3,awake_materials!A:J,2),"なし")</f>
        <v>なし</v>
      </c>
    </row>
    <row r="53" spans="1:1" x14ac:dyDescent="0.15">
      <c r="A53" t="str">
        <f>IFERROR(VLOOKUP($B$3,awake_materials!A:J,2),"なし")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2017-06-06T10:06:43Z</dcterms:modified>
</cp:coreProperties>
</file>