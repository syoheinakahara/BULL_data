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0" yWindow="460" windowWidth="28640" windowHeight="17460" tabRatio="740" activeTab="8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3" i="19" l="1"/>
  <c r="K53" i="19"/>
  <c r="G53" i="19"/>
  <c r="F53" i="19"/>
  <c r="D53" i="19"/>
  <c r="C53" i="19"/>
  <c r="L52" i="19"/>
  <c r="K52" i="19"/>
  <c r="G52" i="19"/>
  <c r="F52" i="19"/>
  <c r="D52" i="19"/>
  <c r="C52" i="19"/>
  <c r="L51" i="19"/>
  <c r="K51" i="19"/>
  <c r="G51" i="19"/>
  <c r="F51" i="19"/>
  <c r="D51" i="19"/>
  <c r="C51" i="19"/>
  <c r="L50" i="19"/>
  <c r="K50" i="19"/>
  <c r="G50" i="19"/>
  <c r="F50" i="19"/>
  <c r="D50" i="19"/>
  <c r="C50" i="19"/>
  <c r="L49" i="19"/>
  <c r="K49" i="19"/>
  <c r="G49" i="19"/>
  <c r="F49" i="19"/>
  <c r="D49" i="19"/>
  <c r="C49" i="19"/>
  <c r="L48" i="19"/>
  <c r="K48" i="19"/>
  <c r="G48" i="19"/>
  <c r="F48" i="19"/>
  <c r="D48" i="19"/>
  <c r="C48" i="19"/>
  <c r="L47" i="19"/>
  <c r="K47" i="19"/>
  <c r="G47" i="19"/>
  <c r="F47" i="19"/>
  <c r="D47" i="19"/>
  <c r="C47" i="19"/>
  <c r="L46" i="19"/>
  <c r="K46" i="19"/>
  <c r="G46" i="19"/>
  <c r="F46" i="19"/>
  <c r="D46" i="19"/>
  <c r="C46" i="19"/>
  <c r="L45" i="19"/>
  <c r="K45" i="19"/>
  <c r="G45" i="19"/>
  <c r="F45" i="19"/>
  <c r="D45" i="19"/>
  <c r="C45" i="19"/>
  <c r="L44" i="19"/>
  <c r="K44" i="19"/>
  <c r="G44" i="19"/>
  <c r="F44" i="19"/>
  <c r="D44" i="19"/>
  <c r="C44" i="19"/>
  <c r="L43" i="19"/>
  <c r="K43" i="19"/>
  <c r="G43" i="19"/>
  <c r="F43" i="19"/>
  <c r="D43" i="19"/>
  <c r="C43" i="19"/>
  <c r="L42" i="19"/>
  <c r="K42" i="19"/>
  <c r="G42" i="19"/>
  <c r="F42" i="19"/>
  <c r="D42" i="19"/>
  <c r="C42" i="19"/>
  <c r="L41" i="19"/>
  <c r="K41" i="19"/>
  <c r="G41" i="19"/>
  <c r="F41" i="19"/>
  <c r="D41" i="19"/>
  <c r="C41" i="19"/>
  <c r="L40" i="19"/>
  <c r="K40" i="19"/>
  <c r="G40" i="19"/>
  <c r="F40" i="19"/>
  <c r="D40" i="19"/>
  <c r="C40" i="19"/>
  <c r="L39" i="19"/>
  <c r="K39" i="19"/>
  <c r="G39" i="19"/>
  <c r="F39" i="19"/>
  <c r="D39" i="19"/>
  <c r="C39" i="19"/>
  <c r="L38" i="19"/>
  <c r="K38" i="19"/>
  <c r="G38" i="19"/>
  <c r="F38" i="19"/>
  <c r="D38" i="19"/>
  <c r="C38" i="19"/>
  <c r="L37" i="19"/>
  <c r="K37" i="19"/>
  <c r="G37" i="19"/>
  <c r="F37" i="19"/>
  <c r="D37" i="19"/>
  <c r="C37" i="19"/>
  <c r="L36" i="19"/>
  <c r="K36" i="19"/>
  <c r="G36" i="19"/>
  <c r="F36" i="19"/>
  <c r="D36" i="19"/>
  <c r="C36" i="19"/>
  <c r="L35" i="19"/>
  <c r="K35" i="19"/>
  <c r="G35" i="19"/>
  <c r="F35" i="19"/>
  <c r="D35" i="19"/>
  <c r="C35" i="19"/>
  <c r="L34" i="19"/>
  <c r="K34" i="19"/>
  <c r="G34" i="19"/>
  <c r="F34" i="19"/>
  <c r="D34" i="19"/>
  <c r="C34" i="19"/>
  <c r="L33" i="19"/>
  <c r="K33" i="19"/>
  <c r="G33" i="19"/>
  <c r="F33" i="19"/>
  <c r="D33" i="19"/>
  <c r="C33" i="19"/>
  <c r="L32" i="19"/>
  <c r="K32" i="19"/>
  <c r="G32" i="19"/>
  <c r="F32" i="19"/>
  <c r="D32" i="19"/>
  <c r="C32" i="19"/>
  <c r="L31" i="19"/>
  <c r="K31" i="19"/>
  <c r="G31" i="19"/>
  <c r="F31" i="19"/>
  <c r="D31" i="19"/>
  <c r="C31" i="19"/>
  <c r="L30" i="19"/>
  <c r="K30" i="19"/>
  <c r="G30" i="19"/>
  <c r="F30" i="19"/>
  <c r="D30" i="19"/>
  <c r="C30" i="19"/>
  <c r="L29" i="19"/>
  <c r="K29" i="19"/>
  <c r="G29" i="19"/>
  <c r="F29" i="19"/>
  <c r="D29" i="19"/>
  <c r="C29" i="19"/>
  <c r="L28" i="19"/>
  <c r="K28" i="19"/>
  <c r="G28" i="19"/>
  <c r="F28" i="19"/>
  <c r="D28" i="19"/>
  <c r="C28" i="19"/>
  <c r="C71" i="18"/>
  <c r="D71" i="18"/>
  <c r="C70" i="18"/>
  <c r="D70" i="18"/>
  <c r="C69" i="18"/>
  <c r="D69" i="18"/>
  <c r="C68" i="18"/>
  <c r="D68" i="18"/>
  <c r="C67" i="18"/>
  <c r="D67" i="18"/>
  <c r="C66" i="18"/>
  <c r="D66" i="18"/>
  <c r="C65" i="18"/>
  <c r="D65" i="18"/>
  <c r="C64" i="18"/>
  <c r="D64" i="18"/>
  <c r="C63" i="18"/>
  <c r="D63" i="18"/>
  <c r="C62" i="18"/>
  <c r="D62" i="18"/>
  <c r="C61" i="18"/>
  <c r="D61" i="18"/>
  <c r="C60" i="18"/>
  <c r="D60" i="18"/>
  <c r="C59" i="18"/>
  <c r="D59" i="18"/>
  <c r="C58" i="18"/>
  <c r="D58" i="18"/>
  <c r="C57" i="18"/>
  <c r="D57" i="18"/>
  <c r="C56" i="18"/>
  <c r="D56" i="18"/>
  <c r="C55" i="18"/>
  <c r="D55" i="18"/>
  <c r="C54" i="18"/>
  <c r="D54" i="18"/>
  <c r="C53" i="18"/>
  <c r="D53" i="18"/>
  <c r="C52" i="18"/>
  <c r="D52" i="18"/>
  <c r="C51" i="18"/>
  <c r="D51" i="18"/>
  <c r="C50" i="18"/>
  <c r="D50" i="18"/>
  <c r="C49" i="18"/>
  <c r="D49" i="18"/>
  <c r="C48" i="18"/>
  <c r="D48" i="18"/>
  <c r="C47" i="18"/>
  <c r="D47" i="18"/>
  <c r="C46" i="18"/>
  <c r="D46" i="18"/>
  <c r="C45" i="18"/>
  <c r="D45" i="18"/>
  <c r="C44" i="18"/>
  <c r="D44" i="18"/>
  <c r="E11" i="9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G21" i="2"/>
  <c r="A21" i="2"/>
  <c r="G22" i="2"/>
  <c r="A22" i="2"/>
  <c r="G23" i="2"/>
  <c r="A23" i="2"/>
  <c r="G24" i="2"/>
  <c r="A24" i="2"/>
  <c r="G25" i="2"/>
  <c r="A25" i="2"/>
  <c r="G26" i="2"/>
  <c r="A26" i="2"/>
  <c r="G27" i="2"/>
  <c r="A27" i="2"/>
  <c r="G28" i="2"/>
  <c r="A28" i="2"/>
  <c r="G29" i="2"/>
  <c r="A29" i="2"/>
  <c r="G30" i="2"/>
  <c r="A30" i="2"/>
  <c r="G31" i="2"/>
  <c r="A31" i="2"/>
  <c r="G32" i="2"/>
  <c r="A32" i="2"/>
  <c r="G33" i="2"/>
  <c r="A33" i="2"/>
  <c r="G34" i="2"/>
  <c r="A34" i="2"/>
  <c r="G35" i="2"/>
  <c r="A35" i="2"/>
  <c r="G36" i="2"/>
  <c r="A36" i="2"/>
  <c r="G37" i="2"/>
  <c r="A37" i="2"/>
  <c r="G38" i="2"/>
  <c r="A38" i="2"/>
  <c r="G39" i="2"/>
  <c r="A39" i="2"/>
  <c r="G40" i="2"/>
  <c r="A40" i="2"/>
  <c r="G41" i="2"/>
  <c r="A41" i="2"/>
  <c r="G42" i="2"/>
  <c r="A42" i="2"/>
  <c r="G43" i="2"/>
  <c r="A43" i="2"/>
  <c r="G44" i="2"/>
  <c r="A44" i="2"/>
  <c r="G45" i="2"/>
  <c r="A45" i="2"/>
  <c r="G46" i="2"/>
  <c r="A46" i="2"/>
  <c r="G47" i="2"/>
  <c r="A47" i="2"/>
  <c r="G48" i="2"/>
  <c r="A48" i="2"/>
  <c r="G49" i="2"/>
  <c r="A49" i="2"/>
  <c r="G50" i="2"/>
  <c r="A50" i="2"/>
  <c r="G51" i="2"/>
  <c r="A51" i="2"/>
  <c r="G52" i="2"/>
  <c r="A52" i="2"/>
  <c r="G53" i="2"/>
  <c r="A53" i="2"/>
  <c r="G54" i="2"/>
  <c r="A54" i="2"/>
  <c r="G55" i="2"/>
  <c r="A55" i="2"/>
  <c r="G56" i="2"/>
  <c r="A56" i="2"/>
  <c r="G57" i="2"/>
  <c r="A57" i="2"/>
  <c r="G58" i="2"/>
  <c r="A58" i="2"/>
  <c r="G59" i="2"/>
  <c r="A59" i="2"/>
  <c r="G60" i="2"/>
  <c r="A60" i="2"/>
  <c r="G61" i="2"/>
  <c r="A61" i="2"/>
  <c r="AB157" i="1"/>
  <c r="AD157" i="1"/>
  <c r="AG157" i="1"/>
  <c r="AE157" i="1"/>
  <c r="AC157" i="1"/>
  <c r="E17" i="9"/>
  <c r="V157" i="1"/>
  <c r="Q157" i="1"/>
  <c r="P157" i="1"/>
  <c r="O157" i="1"/>
  <c r="N157" i="1"/>
  <c r="M157" i="1"/>
  <c r="H157" i="1"/>
  <c r="J157" i="1"/>
  <c r="I157" i="1"/>
  <c r="D157" i="1"/>
  <c r="F157" i="1"/>
  <c r="E157" i="1"/>
  <c r="A157" i="1"/>
  <c r="AB156" i="1"/>
  <c r="AD156" i="1"/>
  <c r="AG156" i="1"/>
  <c r="AE156" i="1"/>
  <c r="AC156" i="1"/>
  <c r="V156" i="1"/>
  <c r="Q156" i="1"/>
  <c r="P156" i="1"/>
  <c r="O156" i="1"/>
  <c r="N156" i="1"/>
  <c r="M156" i="1"/>
  <c r="H156" i="1"/>
  <c r="J156" i="1"/>
  <c r="I156" i="1"/>
  <c r="D156" i="1"/>
  <c r="F156" i="1"/>
  <c r="E156" i="1"/>
  <c r="A156" i="1"/>
  <c r="AB155" i="1"/>
  <c r="AD155" i="1"/>
  <c r="AG155" i="1"/>
  <c r="AE155" i="1"/>
  <c r="AC155" i="1"/>
  <c r="V155" i="1"/>
  <c r="Q155" i="1"/>
  <c r="P155" i="1"/>
  <c r="O155" i="1"/>
  <c r="N155" i="1"/>
  <c r="M155" i="1"/>
  <c r="H155" i="1"/>
  <c r="J155" i="1"/>
  <c r="I155" i="1"/>
  <c r="D155" i="1"/>
  <c r="F155" i="1"/>
  <c r="E155" i="1"/>
  <c r="A155" i="1"/>
  <c r="AB154" i="1"/>
  <c r="AD154" i="1"/>
  <c r="AG154" i="1"/>
  <c r="AE154" i="1"/>
  <c r="AC154" i="1"/>
  <c r="V154" i="1"/>
  <c r="Q154" i="1"/>
  <c r="P154" i="1"/>
  <c r="O154" i="1"/>
  <c r="N154" i="1"/>
  <c r="M154" i="1"/>
  <c r="H154" i="1"/>
  <c r="J154" i="1"/>
  <c r="I154" i="1"/>
  <c r="D154" i="1"/>
  <c r="F154" i="1"/>
  <c r="E154" i="1"/>
  <c r="A154" i="1"/>
  <c r="AB153" i="1"/>
  <c r="AD153" i="1"/>
  <c r="AG153" i="1"/>
  <c r="AE153" i="1"/>
  <c r="AC153" i="1"/>
  <c r="V153" i="1"/>
  <c r="Q153" i="1"/>
  <c r="P153" i="1"/>
  <c r="O153" i="1"/>
  <c r="N153" i="1"/>
  <c r="M153" i="1"/>
  <c r="H153" i="1"/>
  <c r="J153" i="1"/>
  <c r="I153" i="1"/>
  <c r="D153" i="1"/>
  <c r="F153" i="1"/>
  <c r="E153" i="1"/>
  <c r="A153" i="1"/>
  <c r="AB152" i="1"/>
  <c r="AD152" i="1"/>
  <c r="AG152" i="1"/>
  <c r="AE152" i="1"/>
  <c r="AC152" i="1"/>
  <c r="AA152" i="1"/>
  <c r="W152" i="1"/>
  <c r="V152" i="1"/>
  <c r="Q152" i="1"/>
  <c r="P152" i="1"/>
  <c r="O152" i="1"/>
  <c r="N152" i="1"/>
  <c r="M152" i="1"/>
  <c r="H152" i="1"/>
  <c r="J152" i="1"/>
  <c r="I152" i="1"/>
  <c r="D152" i="1"/>
  <c r="F152" i="1"/>
  <c r="E152" i="1"/>
  <c r="A152" i="1"/>
  <c r="AB151" i="1"/>
  <c r="AD151" i="1"/>
  <c r="AG151" i="1"/>
  <c r="AE151" i="1"/>
  <c r="AC151" i="1"/>
  <c r="AA151" i="1"/>
  <c r="W151" i="1"/>
  <c r="V151" i="1"/>
  <c r="Q151" i="1"/>
  <c r="P151" i="1"/>
  <c r="O151" i="1"/>
  <c r="N151" i="1"/>
  <c r="M151" i="1"/>
  <c r="H151" i="1"/>
  <c r="J151" i="1"/>
  <c r="I151" i="1"/>
  <c r="D151" i="1"/>
  <c r="F151" i="1"/>
  <c r="E151" i="1"/>
  <c r="A151" i="1"/>
  <c r="AB150" i="1"/>
  <c r="AD150" i="1"/>
  <c r="AG150" i="1"/>
  <c r="AE150" i="1"/>
  <c r="AC150" i="1"/>
  <c r="AA150" i="1"/>
  <c r="W150" i="1"/>
  <c r="V150" i="1"/>
  <c r="Q150" i="1"/>
  <c r="P150" i="1"/>
  <c r="O150" i="1"/>
  <c r="N150" i="1"/>
  <c r="M150" i="1"/>
  <c r="H150" i="1"/>
  <c r="J150" i="1"/>
  <c r="I150" i="1"/>
  <c r="D150" i="1"/>
  <c r="F150" i="1"/>
  <c r="E150" i="1"/>
  <c r="A150" i="1"/>
  <c r="AB149" i="1"/>
  <c r="AD149" i="1"/>
  <c r="AG149" i="1"/>
  <c r="AE149" i="1"/>
  <c r="AC149" i="1"/>
  <c r="AA149" i="1"/>
  <c r="E16" i="9"/>
  <c r="V149" i="1"/>
  <c r="Q149" i="1"/>
  <c r="P149" i="1"/>
  <c r="O149" i="1"/>
  <c r="N149" i="1"/>
  <c r="M149" i="1"/>
  <c r="H149" i="1"/>
  <c r="J149" i="1"/>
  <c r="I149" i="1"/>
  <c r="D149" i="1"/>
  <c r="F149" i="1"/>
  <c r="E149" i="1"/>
  <c r="A149" i="1"/>
  <c r="AB148" i="1"/>
  <c r="AD148" i="1"/>
  <c r="AG148" i="1"/>
  <c r="AE148" i="1"/>
  <c r="AC148" i="1"/>
  <c r="AA148" i="1"/>
  <c r="W148" i="1"/>
  <c r="V148" i="1"/>
  <c r="Q148" i="1"/>
  <c r="P148" i="1"/>
  <c r="O148" i="1"/>
  <c r="N148" i="1"/>
  <c r="M148" i="1"/>
  <c r="H148" i="1"/>
  <c r="J148" i="1"/>
  <c r="I148" i="1"/>
  <c r="D148" i="1"/>
  <c r="F148" i="1"/>
  <c r="E148" i="1"/>
  <c r="A148" i="1"/>
  <c r="AB147" i="1"/>
  <c r="AD147" i="1"/>
  <c r="AG147" i="1"/>
  <c r="AE147" i="1"/>
  <c r="AC147" i="1"/>
  <c r="AA147" i="1"/>
  <c r="W147" i="1"/>
  <c r="V147" i="1"/>
  <c r="Q147" i="1"/>
  <c r="P147" i="1"/>
  <c r="O147" i="1"/>
  <c r="N147" i="1"/>
  <c r="M147" i="1"/>
  <c r="H147" i="1"/>
  <c r="J147" i="1"/>
  <c r="I147" i="1"/>
  <c r="D147" i="1"/>
  <c r="F147" i="1"/>
  <c r="E147" i="1"/>
  <c r="A147" i="1"/>
  <c r="AB146" i="1"/>
  <c r="AD146" i="1"/>
  <c r="AG146" i="1"/>
  <c r="AE146" i="1"/>
  <c r="AC146" i="1"/>
  <c r="V146" i="1"/>
  <c r="Q146" i="1"/>
  <c r="P146" i="1"/>
  <c r="O146" i="1"/>
  <c r="N146" i="1"/>
  <c r="M146" i="1"/>
  <c r="H146" i="1"/>
  <c r="J146" i="1"/>
  <c r="I146" i="1"/>
  <c r="D146" i="1"/>
  <c r="F146" i="1"/>
  <c r="E146" i="1"/>
  <c r="A146" i="1"/>
  <c r="AB145" i="1"/>
  <c r="AD145" i="1"/>
  <c r="AG145" i="1"/>
  <c r="AE145" i="1"/>
  <c r="AC145" i="1"/>
  <c r="V145" i="1"/>
  <c r="Q145" i="1"/>
  <c r="P145" i="1"/>
  <c r="O145" i="1"/>
  <c r="N145" i="1"/>
  <c r="M145" i="1"/>
  <c r="H145" i="1"/>
  <c r="J145" i="1"/>
  <c r="I145" i="1"/>
  <c r="D145" i="1"/>
  <c r="F145" i="1"/>
  <c r="E145" i="1"/>
  <c r="A145" i="1"/>
  <c r="AB144" i="1"/>
  <c r="AD144" i="1"/>
  <c r="AG144" i="1"/>
  <c r="AE144" i="1"/>
  <c r="AC144" i="1"/>
  <c r="V144" i="1"/>
  <c r="Q144" i="1"/>
  <c r="P144" i="1"/>
  <c r="O144" i="1"/>
  <c r="N144" i="1"/>
  <c r="M144" i="1"/>
  <c r="H144" i="1"/>
  <c r="J144" i="1"/>
  <c r="I144" i="1"/>
  <c r="D144" i="1"/>
  <c r="F144" i="1"/>
  <c r="E144" i="1"/>
  <c r="A144" i="1"/>
  <c r="AB143" i="1"/>
  <c r="AD143" i="1"/>
  <c r="AG143" i="1"/>
  <c r="AE143" i="1"/>
  <c r="AC143" i="1"/>
  <c r="V143" i="1"/>
  <c r="Q143" i="1"/>
  <c r="P143" i="1"/>
  <c r="O143" i="1"/>
  <c r="N143" i="1"/>
  <c r="M143" i="1"/>
  <c r="H143" i="1"/>
  <c r="J143" i="1"/>
  <c r="I143" i="1"/>
  <c r="D143" i="1"/>
  <c r="F143" i="1"/>
  <c r="E143" i="1"/>
  <c r="A143" i="1"/>
  <c r="E10" i="9"/>
  <c r="AB142" i="1"/>
  <c r="AD142" i="1"/>
  <c r="AG142" i="1"/>
  <c r="AE142" i="1"/>
  <c r="AC142" i="1"/>
  <c r="E14" i="9"/>
  <c r="V142" i="1"/>
  <c r="Q142" i="1"/>
  <c r="P142" i="1"/>
  <c r="O142" i="1"/>
  <c r="N142" i="1"/>
  <c r="M142" i="1"/>
  <c r="H142" i="1"/>
  <c r="J142" i="1"/>
  <c r="I142" i="1"/>
  <c r="D142" i="1"/>
  <c r="F142" i="1"/>
  <c r="E142" i="1"/>
  <c r="A142" i="1"/>
  <c r="AB141" i="1"/>
  <c r="AD141" i="1"/>
  <c r="AG141" i="1"/>
  <c r="AE141" i="1"/>
  <c r="AC141" i="1"/>
  <c r="V141" i="1"/>
  <c r="Q141" i="1"/>
  <c r="P141" i="1"/>
  <c r="O141" i="1"/>
  <c r="N141" i="1"/>
  <c r="M141" i="1"/>
  <c r="H141" i="1"/>
  <c r="J141" i="1"/>
  <c r="I141" i="1"/>
  <c r="D141" i="1"/>
  <c r="F141" i="1"/>
  <c r="E141" i="1"/>
  <c r="A141" i="1"/>
  <c r="AB140" i="1"/>
  <c r="AD140" i="1"/>
  <c r="AG140" i="1"/>
  <c r="AE140" i="1"/>
  <c r="AC140" i="1"/>
  <c r="E19" i="9"/>
  <c r="V140" i="1"/>
  <c r="Q140" i="1"/>
  <c r="P140" i="1"/>
  <c r="O140" i="1"/>
  <c r="N140" i="1"/>
  <c r="M140" i="1"/>
  <c r="H140" i="1"/>
  <c r="J140" i="1"/>
  <c r="I140" i="1"/>
  <c r="D140" i="1"/>
  <c r="F140" i="1"/>
  <c r="E140" i="1"/>
  <c r="A140" i="1"/>
  <c r="AB139" i="1"/>
  <c r="AD139" i="1"/>
  <c r="AG139" i="1"/>
  <c r="AE139" i="1"/>
  <c r="AC139" i="1"/>
  <c r="V139" i="1"/>
  <c r="Q139" i="1"/>
  <c r="P139" i="1"/>
  <c r="O139" i="1"/>
  <c r="N139" i="1"/>
  <c r="M139" i="1"/>
  <c r="H139" i="1"/>
  <c r="J139" i="1"/>
  <c r="I139" i="1"/>
  <c r="D139" i="1"/>
  <c r="F139" i="1"/>
  <c r="E139" i="1"/>
  <c r="A139" i="1"/>
  <c r="AB138" i="1"/>
  <c r="AD138" i="1"/>
  <c r="AG138" i="1"/>
  <c r="AE138" i="1"/>
  <c r="AC138" i="1"/>
  <c r="V138" i="1"/>
  <c r="Q138" i="1"/>
  <c r="P138" i="1"/>
  <c r="O138" i="1"/>
  <c r="N138" i="1"/>
  <c r="M138" i="1"/>
  <c r="H138" i="1"/>
  <c r="J138" i="1"/>
  <c r="I138" i="1"/>
  <c r="D138" i="1"/>
  <c r="F138" i="1"/>
  <c r="E138" i="1"/>
  <c r="A138" i="1"/>
  <c r="AB137" i="1"/>
  <c r="AD137" i="1"/>
  <c r="AG137" i="1"/>
  <c r="AE137" i="1"/>
  <c r="AC137" i="1"/>
  <c r="AA137" i="1"/>
  <c r="W137" i="1"/>
  <c r="V137" i="1"/>
  <c r="Q137" i="1"/>
  <c r="P137" i="1"/>
  <c r="O137" i="1"/>
  <c r="N137" i="1"/>
  <c r="M137" i="1"/>
  <c r="H137" i="1"/>
  <c r="J137" i="1"/>
  <c r="I137" i="1"/>
  <c r="D137" i="1"/>
  <c r="F137" i="1"/>
  <c r="E137" i="1"/>
  <c r="A137" i="1"/>
  <c r="AB136" i="1"/>
  <c r="AD136" i="1"/>
  <c r="AG136" i="1"/>
  <c r="AE136" i="1"/>
  <c r="AC136" i="1"/>
  <c r="AA136" i="1"/>
  <c r="W136" i="1"/>
  <c r="V136" i="1"/>
  <c r="Q136" i="1"/>
  <c r="P136" i="1"/>
  <c r="O136" i="1"/>
  <c r="N136" i="1"/>
  <c r="M136" i="1"/>
  <c r="H136" i="1"/>
  <c r="J136" i="1"/>
  <c r="I136" i="1"/>
  <c r="D136" i="1"/>
  <c r="F136" i="1"/>
  <c r="E136" i="1"/>
  <c r="A136" i="1"/>
  <c r="AB135" i="1"/>
  <c r="AD135" i="1"/>
  <c r="AG135" i="1"/>
  <c r="AE135" i="1"/>
  <c r="AC135" i="1"/>
  <c r="AA135" i="1"/>
  <c r="W135" i="1"/>
  <c r="V135" i="1"/>
  <c r="Q135" i="1"/>
  <c r="P135" i="1"/>
  <c r="O135" i="1"/>
  <c r="N135" i="1"/>
  <c r="M135" i="1"/>
  <c r="H135" i="1"/>
  <c r="J135" i="1"/>
  <c r="I135" i="1"/>
  <c r="D135" i="1"/>
  <c r="F135" i="1"/>
  <c r="E135" i="1"/>
  <c r="A135" i="1"/>
  <c r="AB134" i="1"/>
  <c r="AD134" i="1"/>
  <c r="AG134" i="1"/>
  <c r="AE134" i="1"/>
  <c r="AC134" i="1"/>
  <c r="AA134" i="1"/>
  <c r="E12" i="9"/>
  <c r="V134" i="1"/>
  <c r="Q134" i="1"/>
  <c r="P134" i="1"/>
  <c r="O134" i="1"/>
  <c r="N134" i="1"/>
  <c r="M134" i="1"/>
  <c r="H134" i="1"/>
  <c r="J134" i="1"/>
  <c r="I134" i="1"/>
  <c r="D134" i="1"/>
  <c r="F134" i="1"/>
  <c r="E134" i="1"/>
  <c r="A134" i="1"/>
  <c r="AB133" i="1"/>
  <c r="AD133" i="1"/>
  <c r="AG133" i="1"/>
  <c r="AE133" i="1"/>
  <c r="AC133" i="1"/>
  <c r="AA133" i="1"/>
  <c r="W133" i="1"/>
  <c r="V133" i="1"/>
  <c r="Q133" i="1"/>
  <c r="P133" i="1"/>
  <c r="O133" i="1"/>
  <c r="N133" i="1"/>
  <c r="M133" i="1"/>
  <c r="H133" i="1"/>
  <c r="J133" i="1"/>
  <c r="I133" i="1"/>
  <c r="D133" i="1"/>
  <c r="F133" i="1"/>
  <c r="E133" i="1"/>
  <c r="A133" i="1"/>
  <c r="AB132" i="1"/>
  <c r="AD132" i="1"/>
  <c r="AG132" i="1"/>
  <c r="AE132" i="1"/>
  <c r="AC132" i="1"/>
  <c r="AA132" i="1"/>
  <c r="W132" i="1"/>
  <c r="V132" i="1"/>
  <c r="Q132" i="1"/>
  <c r="P132" i="1"/>
  <c r="O132" i="1"/>
  <c r="N132" i="1"/>
  <c r="M132" i="1"/>
  <c r="H132" i="1"/>
  <c r="J132" i="1"/>
  <c r="I132" i="1"/>
  <c r="D132" i="1"/>
  <c r="F132" i="1"/>
  <c r="E132" i="1"/>
  <c r="A132" i="1"/>
  <c r="AB131" i="1"/>
  <c r="AD131" i="1"/>
  <c r="AG131" i="1"/>
  <c r="AE131" i="1"/>
  <c r="AC131" i="1"/>
  <c r="V131" i="1"/>
  <c r="Q131" i="1"/>
  <c r="P131" i="1"/>
  <c r="O131" i="1"/>
  <c r="N131" i="1"/>
  <c r="M131" i="1"/>
  <c r="H131" i="1"/>
  <c r="J131" i="1"/>
  <c r="I131" i="1"/>
  <c r="D131" i="1"/>
  <c r="F131" i="1"/>
  <c r="E131" i="1"/>
  <c r="A131" i="1"/>
  <c r="AB130" i="1"/>
  <c r="AD130" i="1"/>
  <c r="AG130" i="1"/>
  <c r="AE130" i="1"/>
  <c r="AC130" i="1"/>
  <c r="V130" i="1"/>
  <c r="Q130" i="1"/>
  <c r="P130" i="1"/>
  <c r="O130" i="1"/>
  <c r="N130" i="1"/>
  <c r="M130" i="1"/>
  <c r="H130" i="1"/>
  <c r="J130" i="1"/>
  <c r="I130" i="1"/>
  <c r="D130" i="1"/>
  <c r="F130" i="1"/>
  <c r="E130" i="1"/>
  <c r="A130" i="1"/>
  <c r="AB129" i="1"/>
  <c r="AD129" i="1"/>
  <c r="AG129" i="1"/>
  <c r="AE129" i="1"/>
  <c r="AC129" i="1"/>
  <c r="V129" i="1"/>
  <c r="P129" i="1"/>
  <c r="O129" i="1"/>
  <c r="N129" i="1"/>
  <c r="M129" i="1"/>
  <c r="H129" i="1"/>
  <c r="J129" i="1"/>
  <c r="I129" i="1"/>
  <c r="D129" i="1"/>
  <c r="F129" i="1"/>
  <c r="E129" i="1"/>
  <c r="A129" i="1"/>
  <c r="AB128" i="1"/>
  <c r="AD128" i="1"/>
  <c r="AG128" i="1"/>
  <c r="AE128" i="1"/>
  <c r="AC128" i="1"/>
  <c r="V128" i="1"/>
  <c r="Q128" i="1"/>
  <c r="P128" i="1"/>
  <c r="O128" i="1"/>
  <c r="N128" i="1"/>
  <c r="M128" i="1"/>
  <c r="H128" i="1"/>
  <c r="J128" i="1"/>
  <c r="I128" i="1"/>
  <c r="D128" i="1"/>
  <c r="F128" i="1"/>
  <c r="E128" i="1"/>
  <c r="A128" i="1"/>
  <c r="E3" i="9"/>
  <c r="AB127" i="1"/>
  <c r="AD127" i="1"/>
  <c r="AG127" i="1"/>
  <c r="AE127" i="1"/>
  <c r="AC127" i="1"/>
  <c r="E7" i="9"/>
  <c r="V127" i="1"/>
  <c r="Q127" i="1"/>
  <c r="P127" i="1"/>
  <c r="O127" i="1"/>
  <c r="N127" i="1"/>
  <c r="M127" i="1"/>
  <c r="H127" i="1"/>
  <c r="J127" i="1"/>
  <c r="I127" i="1"/>
  <c r="D127" i="1"/>
  <c r="F127" i="1"/>
  <c r="E127" i="1"/>
  <c r="A127" i="1"/>
  <c r="AB126" i="1"/>
  <c r="AD126" i="1"/>
  <c r="AG126" i="1"/>
  <c r="AE126" i="1"/>
  <c r="AC126" i="1"/>
  <c r="V126" i="1"/>
  <c r="Q126" i="1"/>
  <c r="P126" i="1"/>
  <c r="O126" i="1"/>
  <c r="N126" i="1"/>
  <c r="M126" i="1"/>
  <c r="H126" i="1"/>
  <c r="J126" i="1"/>
  <c r="I126" i="1"/>
  <c r="D126" i="1"/>
  <c r="F126" i="1"/>
  <c r="E126" i="1"/>
  <c r="A126" i="1"/>
  <c r="AB125" i="1"/>
  <c r="AD125" i="1"/>
  <c r="AG125" i="1"/>
  <c r="AE125" i="1"/>
  <c r="AC125" i="1"/>
  <c r="AA125" i="1"/>
  <c r="V125" i="1"/>
  <c r="Q125" i="1"/>
  <c r="P125" i="1"/>
  <c r="O125" i="1"/>
  <c r="N125" i="1"/>
  <c r="M125" i="1"/>
  <c r="H125" i="1"/>
  <c r="J125" i="1"/>
  <c r="I125" i="1"/>
  <c r="D125" i="1"/>
  <c r="F125" i="1"/>
  <c r="E125" i="1"/>
  <c r="A125" i="1"/>
  <c r="AB124" i="1"/>
  <c r="AD124" i="1"/>
  <c r="AG124" i="1"/>
  <c r="AE124" i="1"/>
  <c r="AC124" i="1"/>
  <c r="V124" i="1"/>
  <c r="Q124" i="1"/>
  <c r="P124" i="1"/>
  <c r="O124" i="1"/>
  <c r="N124" i="1"/>
  <c r="M124" i="1"/>
  <c r="H124" i="1"/>
  <c r="J124" i="1"/>
  <c r="I124" i="1"/>
  <c r="D124" i="1"/>
  <c r="F124" i="1"/>
  <c r="E124" i="1"/>
  <c r="A124" i="1"/>
  <c r="AB123" i="1"/>
  <c r="AD123" i="1"/>
  <c r="AG123" i="1"/>
  <c r="AE123" i="1"/>
  <c r="AC123" i="1"/>
  <c r="V123" i="1"/>
  <c r="Q123" i="1"/>
  <c r="P123" i="1"/>
  <c r="O123" i="1"/>
  <c r="N123" i="1"/>
  <c r="M123" i="1"/>
  <c r="H123" i="1"/>
  <c r="J123" i="1"/>
  <c r="I123" i="1"/>
  <c r="D123" i="1"/>
  <c r="F123" i="1"/>
  <c r="E123" i="1"/>
  <c r="A123" i="1"/>
  <c r="AB122" i="1"/>
  <c r="AD122" i="1"/>
  <c r="AG122" i="1"/>
  <c r="AE122" i="1"/>
  <c r="AC122" i="1"/>
  <c r="AA122" i="1"/>
  <c r="W122" i="1"/>
  <c r="V122" i="1"/>
  <c r="Q122" i="1"/>
  <c r="P122" i="1"/>
  <c r="O122" i="1"/>
  <c r="N122" i="1"/>
  <c r="M122" i="1"/>
  <c r="H122" i="1"/>
  <c r="J122" i="1"/>
  <c r="I122" i="1"/>
  <c r="D122" i="1"/>
  <c r="F122" i="1"/>
  <c r="E122" i="1"/>
  <c r="A122" i="1"/>
  <c r="AB121" i="1"/>
  <c r="AD121" i="1"/>
  <c r="AG121" i="1"/>
  <c r="AE121" i="1"/>
  <c r="AC121" i="1"/>
  <c r="AA121" i="1"/>
  <c r="W121" i="1"/>
  <c r="V121" i="1"/>
  <c r="Q121" i="1"/>
  <c r="P121" i="1"/>
  <c r="O121" i="1"/>
  <c r="N121" i="1"/>
  <c r="M121" i="1"/>
  <c r="H121" i="1"/>
  <c r="J121" i="1"/>
  <c r="I121" i="1"/>
  <c r="D121" i="1"/>
  <c r="F121" i="1"/>
  <c r="E121" i="1"/>
  <c r="A121" i="1"/>
  <c r="AB120" i="1"/>
  <c r="AD120" i="1"/>
  <c r="AG120" i="1"/>
  <c r="AE120" i="1"/>
  <c r="AC120" i="1"/>
  <c r="AA120" i="1"/>
  <c r="W120" i="1"/>
  <c r="V120" i="1"/>
  <c r="Q120" i="1"/>
  <c r="P120" i="1"/>
  <c r="O120" i="1"/>
  <c r="N120" i="1"/>
  <c r="M120" i="1"/>
  <c r="H120" i="1"/>
  <c r="J120" i="1"/>
  <c r="I120" i="1"/>
  <c r="D120" i="1"/>
  <c r="F120" i="1"/>
  <c r="E120" i="1"/>
  <c r="A120" i="1"/>
  <c r="AB119" i="1"/>
  <c r="AD119" i="1"/>
  <c r="AG119" i="1"/>
  <c r="AE119" i="1"/>
  <c r="AC119" i="1"/>
  <c r="AA119" i="1"/>
  <c r="E4" i="9"/>
  <c r="V119" i="1"/>
  <c r="Q119" i="1"/>
  <c r="P119" i="1"/>
  <c r="O119" i="1"/>
  <c r="N119" i="1"/>
  <c r="M119" i="1"/>
  <c r="H119" i="1"/>
  <c r="J119" i="1"/>
  <c r="I119" i="1"/>
  <c r="D119" i="1"/>
  <c r="F119" i="1"/>
  <c r="E119" i="1"/>
  <c r="A119" i="1"/>
  <c r="AB118" i="1"/>
  <c r="AD118" i="1"/>
  <c r="AG118" i="1"/>
  <c r="AE118" i="1"/>
  <c r="AC118" i="1"/>
  <c r="AA118" i="1"/>
  <c r="W118" i="1"/>
  <c r="V118" i="1"/>
  <c r="Q118" i="1"/>
  <c r="P118" i="1"/>
  <c r="O118" i="1"/>
  <c r="N118" i="1"/>
  <c r="M118" i="1"/>
  <c r="H118" i="1"/>
  <c r="J118" i="1"/>
  <c r="I118" i="1"/>
  <c r="D118" i="1"/>
  <c r="F118" i="1"/>
  <c r="E118" i="1"/>
  <c r="A118" i="1"/>
  <c r="AB117" i="1"/>
  <c r="AD117" i="1"/>
  <c r="AG117" i="1"/>
  <c r="AE117" i="1"/>
  <c r="AC117" i="1"/>
  <c r="AA117" i="1"/>
  <c r="W117" i="1"/>
  <c r="V117" i="1"/>
  <c r="Q117" i="1"/>
  <c r="P117" i="1"/>
  <c r="O117" i="1"/>
  <c r="N117" i="1"/>
  <c r="M117" i="1"/>
  <c r="H117" i="1"/>
  <c r="J117" i="1"/>
  <c r="I117" i="1"/>
  <c r="D117" i="1"/>
  <c r="F117" i="1"/>
  <c r="E117" i="1"/>
  <c r="A117" i="1"/>
  <c r="AB116" i="1"/>
  <c r="AD116" i="1"/>
  <c r="AG116" i="1"/>
  <c r="AE116" i="1"/>
  <c r="AC116" i="1"/>
  <c r="V116" i="1"/>
  <c r="Q116" i="1"/>
  <c r="P116" i="1"/>
  <c r="O116" i="1"/>
  <c r="N116" i="1"/>
  <c r="M116" i="1"/>
  <c r="H116" i="1"/>
  <c r="J116" i="1"/>
  <c r="I116" i="1"/>
  <c r="D116" i="1"/>
  <c r="F116" i="1"/>
  <c r="E116" i="1"/>
  <c r="A116" i="1"/>
  <c r="AB115" i="1"/>
  <c r="AD115" i="1"/>
  <c r="AG115" i="1"/>
  <c r="AE115" i="1"/>
  <c r="AC115" i="1"/>
  <c r="V115" i="1"/>
  <c r="Q115" i="1"/>
  <c r="P115" i="1"/>
  <c r="O115" i="1"/>
  <c r="N115" i="1"/>
  <c r="M115" i="1"/>
  <c r="H115" i="1"/>
  <c r="J115" i="1"/>
  <c r="I115" i="1"/>
  <c r="D115" i="1"/>
  <c r="F115" i="1"/>
  <c r="E115" i="1"/>
  <c r="A115" i="1"/>
  <c r="AB114" i="1"/>
  <c r="AD114" i="1"/>
  <c r="AG114" i="1"/>
  <c r="AE114" i="1"/>
  <c r="AC114" i="1"/>
  <c r="V114" i="1"/>
  <c r="Q114" i="1"/>
  <c r="P114" i="1"/>
  <c r="O114" i="1"/>
  <c r="N114" i="1"/>
  <c r="M114" i="1"/>
  <c r="H114" i="1"/>
  <c r="J114" i="1"/>
  <c r="I114" i="1"/>
  <c r="D114" i="1"/>
  <c r="F114" i="1"/>
  <c r="E114" i="1"/>
  <c r="A114" i="1"/>
  <c r="AB113" i="1"/>
  <c r="AD113" i="1"/>
  <c r="AG113" i="1"/>
  <c r="AE113" i="1"/>
  <c r="AC113" i="1"/>
  <c r="V113" i="1"/>
  <c r="Q113" i="1"/>
  <c r="P113" i="1"/>
  <c r="O113" i="1"/>
  <c r="N113" i="1"/>
  <c r="M113" i="1"/>
  <c r="H113" i="1"/>
  <c r="J113" i="1"/>
  <c r="I113" i="1"/>
  <c r="D113" i="1"/>
  <c r="F113" i="1"/>
  <c r="E113" i="1"/>
  <c r="A113" i="1"/>
  <c r="E2" i="9"/>
  <c r="AB112" i="1"/>
  <c r="AD112" i="1"/>
  <c r="AG112" i="1"/>
  <c r="AE112" i="1"/>
  <c r="AC112" i="1"/>
  <c r="E5" i="9"/>
  <c r="V112" i="1"/>
  <c r="Q112" i="1"/>
  <c r="P112" i="1"/>
  <c r="O112" i="1"/>
  <c r="N112" i="1"/>
  <c r="M112" i="1"/>
  <c r="H112" i="1"/>
  <c r="J112" i="1"/>
  <c r="I112" i="1"/>
  <c r="D112" i="1"/>
  <c r="F112" i="1"/>
  <c r="E112" i="1"/>
  <c r="A112" i="1"/>
  <c r="AB111" i="1"/>
  <c r="AD111" i="1"/>
  <c r="AG111" i="1"/>
  <c r="AE111" i="1"/>
  <c r="AC111" i="1"/>
  <c r="V111" i="1"/>
  <c r="Q111" i="1"/>
  <c r="P111" i="1"/>
  <c r="O111" i="1"/>
  <c r="N111" i="1"/>
  <c r="M111" i="1"/>
  <c r="H111" i="1"/>
  <c r="J111" i="1"/>
  <c r="I111" i="1"/>
  <c r="D111" i="1"/>
  <c r="F111" i="1"/>
  <c r="E111" i="1"/>
  <c r="A111" i="1"/>
  <c r="AB110" i="1"/>
  <c r="AD110" i="1"/>
  <c r="AG110" i="1"/>
  <c r="AE110" i="1"/>
  <c r="AC110" i="1"/>
  <c r="E9" i="9"/>
  <c r="V110" i="1"/>
  <c r="Q110" i="1"/>
  <c r="P110" i="1"/>
  <c r="O110" i="1"/>
  <c r="N110" i="1"/>
  <c r="M110" i="1"/>
  <c r="H110" i="1"/>
  <c r="J110" i="1"/>
  <c r="I110" i="1"/>
  <c r="D110" i="1"/>
  <c r="F110" i="1"/>
  <c r="E110" i="1"/>
  <c r="A110" i="1"/>
  <c r="AB109" i="1"/>
  <c r="AD109" i="1"/>
  <c r="AG109" i="1"/>
  <c r="AE109" i="1"/>
  <c r="AC109" i="1"/>
  <c r="V109" i="1"/>
  <c r="Q109" i="1"/>
  <c r="P109" i="1"/>
  <c r="O109" i="1"/>
  <c r="N109" i="1"/>
  <c r="M109" i="1"/>
  <c r="H109" i="1"/>
  <c r="J109" i="1"/>
  <c r="I109" i="1"/>
  <c r="D109" i="1"/>
  <c r="F109" i="1"/>
  <c r="E109" i="1"/>
  <c r="A109" i="1"/>
  <c r="AB108" i="1"/>
  <c r="AD108" i="1"/>
  <c r="AG108" i="1"/>
  <c r="AE108" i="1"/>
  <c r="AC108" i="1"/>
  <c r="V108" i="1"/>
  <c r="Q108" i="1"/>
  <c r="P108" i="1"/>
  <c r="O108" i="1"/>
  <c r="N108" i="1"/>
  <c r="M108" i="1"/>
  <c r="H108" i="1"/>
  <c r="J108" i="1"/>
  <c r="I108" i="1"/>
  <c r="D108" i="1"/>
  <c r="F108" i="1"/>
  <c r="E108" i="1"/>
  <c r="A108" i="1"/>
  <c r="AB107" i="1"/>
  <c r="AD107" i="1"/>
  <c r="AG107" i="1"/>
  <c r="AE107" i="1"/>
  <c r="AC107" i="1"/>
  <c r="AA107" i="1"/>
  <c r="W107" i="1"/>
  <c r="V107" i="1"/>
  <c r="Q107" i="1"/>
  <c r="P107" i="1"/>
  <c r="O107" i="1"/>
  <c r="N107" i="1"/>
  <c r="M107" i="1"/>
  <c r="H107" i="1"/>
  <c r="J107" i="1"/>
  <c r="I107" i="1"/>
  <c r="D107" i="1"/>
  <c r="F107" i="1"/>
  <c r="E107" i="1"/>
  <c r="A107" i="1"/>
  <c r="AB106" i="1"/>
  <c r="AD106" i="1"/>
  <c r="AG106" i="1"/>
  <c r="AE106" i="1"/>
  <c r="AC106" i="1"/>
  <c r="AA106" i="1"/>
  <c r="W106" i="1"/>
  <c r="V106" i="1"/>
  <c r="Q106" i="1"/>
  <c r="P106" i="1"/>
  <c r="O106" i="1"/>
  <c r="N106" i="1"/>
  <c r="M106" i="1"/>
  <c r="H106" i="1"/>
  <c r="J106" i="1"/>
  <c r="I106" i="1"/>
  <c r="D106" i="1"/>
  <c r="F106" i="1"/>
  <c r="E106" i="1"/>
  <c r="A106" i="1"/>
  <c r="AB105" i="1"/>
  <c r="AD105" i="1"/>
  <c r="AG105" i="1"/>
  <c r="AE105" i="1"/>
  <c r="AC105" i="1"/>
  <c r="AA105" i="1"/>
  <c r="W105" i="1"/>
  <c r="V105" i="1"/>
  <c r="Q105" i="1"/>
  <c r="P105" i="1"/>
  <c r="O105" i="1"/>
  <c r="N105" i="1"/>
  <c r="M105" i="1"/>
  <c r="H105" i="1"/>
  <c r="J105" i="1"/>
  <c r="I105" i="1"/>
  <c r="D105" i="1"/>
  <c r="F105" i="1"/>
  <c r="E105" i="1"/>
  <c r="A105" i="1"/>
  <c r="AB104" i="1"/>
  <c r="AD104" i="1"/>
  <c r="AG104" i="1"/>
  <c r="AE104" i="1"/>
  <c r="AC104" i="1"/>
  <c r="AA104" i="1"/>
  <c r="W104" i="1"/>
  <c r="V104" i="1"/>
  <c r="Q104" i="1"/>
  <c r="P104" i="1"/>
  <c r="O104" i="1"/>
  <c r="N104" i="1"/>
  <c r="M104" i="1"/>
  <c r="H104" i="1"/>
  <c r="J104" i="1"/>
  <c r="I104" i="1"/>
  <c r="D104" i="1"/>
  <c r="F104" i="1"/>
  <c r="E104" i="1"/>
  <c r="A104" i="1"/>
  <c r="AB103" i="1"/>
  <c r="AD103" i="1"/>
  <c r="AG103" i="1"/>
  <c r="AE103" i="1"/>
  <c r="AC103" i="1"/>
  <c r="AA103" i="1"/>
  <c r="W103" i="1"/>
  <c r="V103" i="1"/>
  <c r="Q103" i="1"/>
  <c r="P103" i="1"/>
  <c r="O103" i="1"/>
  <c r="N103" i="1"/>
  <c r="M103" i="1"/>
  <c r="H103" i="1"/>
  <c r="J103" i="1"/>
  <c r="I103" i="1"/>
  <c r="D103" i="1"/>
  <c r="F103" i="1"/>
  <c r="E103" i="1"/>
  <c r="A103" i="1"/>
  <c r="AB102" i="1"/>
  <c r="AD102" i="1"/>
  <c r="AG102" i="1"/>
  <c r="AE102" i="1"/>
  <c r="AC102" i="1"/>
  <c r="AA102" i="1"/>
  <c r="W102" i="1"/>
  <c r="V102" i="1"/>
  <c r="Q102" i="1"/>
  <c r="P102" i="1"/>
  <c r="O102" i="1"/>
  <c r="N102" i="1"/>
  <c r="M102" i="1"/>
  <c r="H102" i="1"/>
  <c r="J102" i="1"/>
  <c r="I102" i="1"/>
  <c r="D102" i="1"/>
  <c r="F102" i="1"/>
  <c r="E102" i="1"/>
  <c r="A102" i="1"/>
  <c r="AB101" i="1"/>
  <c r="AD101" i="1"/>
  <c r="AG101" i="1"/>
  <c r="AE101" i="1"/>
  <c r="AC101" i="1"/>
  <c r="V101" i="1"/>
  <c r="Q101" i="1"/>
  <c r="P101" i="1"/>
  <c r="O101" i="1"/>
  <c r="N101" i="1"/>
  <c r="M101" i="1"/>
  <c r="H101" i="1"/>
  <c r="J101" i="1"/>
  <c r="I101" i="1"/>
  <c r="D101" i="1"/>
  <c r="F101" i="1"/>
  <c r="E101" i="1"/>
  <c r="A101" i="1"/>
  <c r="AB100" i="1"/>
  <c r="AD100" i="1"/>
  <c r="AG100" i="1"/>
  <c r="AE100" i="1"/>
  <c r="AC100" i="1"/>
  <c r="V100" i="1"/>
  <c r="Q100" i="1"/>
  <c r="P100" i="1"/>
  <c r="O100" i="1"/>
  <c r="N100" i="1"/>
  <c r="M100" i="1"/>
  <c r="H100" i="1"/>
  <c r="J100" i="1"/>
  <c r="I100" i="1"/>
  <c r="D100" i="1"/>
  <c r="F100" i="1"/>
  <c r="E100" i="1"/>
  <c r="A100" i="1"/>
  <c r="AB99" i="1"/>
  <c r="AD99" i="1"/>
  <c r="AG99" i="1"/>
  <c r="AE99" i="1"/>
  <c r="AC99" i="1"/>
  <c r="V99" i="1"/>
  <c r="P99" i="1"/>
  <c r="O99" i="1"/>
  <c r="N99" i="1"/>
  <c r="M99" i="1"/>
  <c r="H99" i="1"/>
  <c r="J99" i="1"/>
  <c r="I99" i="1"/>
  <c r="D99" i="1"/>
  <c r="F99" i="1"/>
  <c r="E99" i="1"/>
  <c r="A99" i="1"/>
  <c r="AB98" i="1"/>
  <c r="AD98" i="1"/>
  <c r="AG98" i="1"/>
  <c r="AE98" i="1"/>
  <c r="AC98" i="1"/>
  <c r="V98" i="1"/>
  <c r="Q98" i="1"/>
  <c r="P98" i="1"/>
  <c r="O98" i="1"/>
  <c r="N98" i="1"/>
  <c r="M98" i="1"/>
  <c r="H98" i="1"/>
  <c r="J98" i="1"/>
  <c r="I98" i="1"/>
  <c r="D98" i="1"/>
  <c r="F98" i="1"/>
  <c r="E98" i="1"/>
  <c r="A98" i="1"/>
  <c r="H49" i="2"/>
  <c r="E49" i="2"/>
  <c r="D49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B49" i="2"/>
  <c r="H48" i="2"/>
  <c r="E48" i="2"/>
  <c r="D48" i="2"/>
  <c r="B48" i="2"/>
  <c r="H47" i="2"/>
  <c r="E47" i="2"/>
  <c r="D47" i="2"/>
  <c r="B47" i="2"/>
  <c r="H46" i="2"/>
  <c r="E46" i="2"/>
  <c r="D46" i="2"/>
  <c r="B46" i="2"/>
  <c r="H45" i="2"/>
  <c r="E45" i="2"/>
  <c r="D45" i="2"/>
  <c r="B45" i="2"/>
  <c r="H44" i="2"/>
  <c r="E44" i="2"/>
  <c r="D44" i="2"/>
  <c r="B44" i="2"/>
  <c r="H43" i="2"/>
  <c r="E43" i="2"/>
  <c r="D43" i="2"/>
  <c r="B43" i="2"/>
  <c r="H42" i="2"/>
  <c r="E42" i="2"/>
  <c r="D42" i="2"/>
  <c r="B42" i="2"/>
  <c r="H41" i="2"/>
  <c r="E41" i="2"/>
  <c r="D41" i="2"/>
  <c r="B41" i="2"/>
  <c r="H40" i="2"/>
  <c r="E40" i="2"/>
  <c r="D40" i="2"/>
  <c r="B40" i="2"/>
  <c r="H39" i="2"/>
  <c r="E39" i="2"/>
  <c r="D39" i="2"/>
  <c r="B39" i="2"/>
  <c r="H38" i="2"/>
  <c r="E38" i="2"/>
  <c r="D38" i="2"/>
  <c r="B38" i="2"/>
  <c r="B44" i="21"/>
  <c r="B45" i="21"/>
  <c r="B46" i="21"/>
  <c r="B47" i="21"/>
  <c r="B48" i="21"/>
  <c r="B49" i="21"/>
  <c r="B38" i="21"/>
  <c r="B39" i="21"/>
  <c r="B40" i="21"/>
  <c r="B41" i="21"/>
  <c r="B42" i="21"/>
  <c r="B43" i="21"/>
  <c r="I49" i="21"/>
  <c r="J49" i="21"/>
  <c r="G49" i="21"/>
  <c r="F49" i="21"/>
  <c r="D49" i="21"/>
  <c r="C49" i="21"/>
  <c r="I48" i="21"/>
  <c r="J48" i="21"/>
  <c r="G48" i="21"/>
  <c r="F48" i="21"/>
  <c r="D48" i="21"/>
  <c r="C48" i="21"/>
  <c r="I47" i="21"/>
  <c r="J47" i="21"/>
  <c r="G47" i="21"/>
  <c r="F47" i="21"/>
  <c r="D47" i="21"/>
  <c r="C47" i="21"/>
  <c r="I46" i="21"/>
  <c r="J46" i="21"/>
  <c r="G46" i="21"/>
  <c r="F46" i="21"/>
  <c r="D46" i="21"/>
  <c r="C46" i="21"/>
  <c r="I45" i="21"/>
  <c r="J45" i="21"/>
  <c r="G45" i="21"/>
  <c r="F45" i="21"/>
  <c r="D45" i="21"/>
  <c r="C45" i="21"/>
  <c r="I44" i="21"/>
  <c r="J44" i="21"/>
  <c r="G44" i="21"/>
  <c r="F44" i="21"/>
  <c r="D44" i="21"/>
  <c r="C44" i="21"/>
  <c r="I43" i="21"/>
  <c r="J43" i="21"/>
  <c r="G43" i="21"/>
  <c r="F43" i="21"/>
  <c r="D43" i="21"/>
  <c r="C43" i="21"/>
  <c r="I42" i="21"/>
  <c r="J42" i="21"/>
  <c r="G42" i="21"/>
  <c r="F42" i="21"/>
  <c r="D42" i="21"/>
  <c r="C42" i="21"/>
  <c r="I41" i="21"/>
  <c r="J41" i="21"/>
  <c r="G41" i="21"/>
  <c r="F41" i="21"/>
  <c r="D41" i="21"/>
  <c r="C41" i="21"/>
  <c r="I40" i="21"/>
  <c r="J40" i="21"/>
  <c r="G40" i="21"/>
  <c r="F40" i="21"/>
  <c r="D40" i="21"/>
  <c r="C40" i="21"/>
  <c r="I39" i="21"/>
  <c r="J39" i="21"/>
  <c r="G39" i="21"/>
  <c r="F39" i="21"/>
  <c r="D39" i="21"/>
  <c r="C39" i="21"/>
  <c r="I38" i="21"/>
  <c r="J38" i="21"/>
  <c r="G38" i="21"/>
  <c r="F38" i="21"/>
  <c r="D38" i="21"/>
  <c r="C38" i="21"/>
  <c r="B32" i="21"/>
  <c r="B33" i="21"/>
  <c r="B34" i="21"/>
  <c r="B35" i="21"/>
  <c r="B36" i="21"/>
  <c r="B37" i="21"/>
  <c r="B26" i="21"/>
  <c r="B27" i="21"/>
  <c r="B28" i="21"/>
  <c r="B29" i="21"/>
  <c r="B30" i="21"/>
  <c r="B31" i="21"/>
  <c r="I37" i="21"/>
  <c r="J37" i="21"/>
  <c r="G37" i="21"/>
  <c r="F37" i="21"/>
  <c r="D37" i="21"/>
  <c r="C37" i="21"/>
  <c r="I36" i="21"/>
  <c r="J36" i="21"/>
  <c r="G36" i="21"/>
  <c r="F36" i="21"/>
  <c r="D36" i="21"/>
  <c r="C36" i="21"/>
  <c r="I35" i="21"/>
  <c r="J35" i="21"/>
  <c r="G35" i="21"/>
  <c r="F35" i="21"/>
  <c r="D35" i="21"/>
  <c r="C35" i="21"/>
  <c r="I34" i="21"/>
  <c r="J34" i="21"/>
  <c r="G34" i="21"/>
  <c r="F34" i="21"/>
  <c r="D34" i="21"/>
  <c r="C34" i="21"/>
  <c r="I33" i="21"/>
  <c r="J33" i="21"/>
  <c r="G33" i="21"/>
  <c r="F33" i="21"/>
  <c r="D33" i="21"/>
  <c r="C33" i="21"/>
  <c r="I32" i="21"/>
  <c r="J32" i="21"/>
  <c r="G32" i="21"/>
  <c r="F32" i="21"/>
  <c r="D32" i="21"/>
  <c r="C32" i="21"/>
  <c r="I31" i="21"/>
  <c r="J31" i="21"/>
  <c r="G31" i="21"/>
  <c r="F31" i="21"/>
  <c r="D31" i="21"/>
  <c r="C31" i="21"/>
  <c r="I30" i="21"/>
  <c r="J30" i="21"/>
  <c r="G30" i="21"/>
  <c r="F30" i="21"/>
  <c r="D30" i="21"/>
  <c r="C30" i="21"/>
  <c r="I29" i="21"/>
  <c r="J29" i="21"/>
  <c r="G29" i="21"/>
  <c r="F29" i="21"/>
  <c r="D29" i="21"/>
  <c r="C29" i="21"/>
  <c r="I28" i="21"/>
  <c r="J28" i="21"/>
  <c r="G28" i="21"/>
  <c r="F28" i="21"/>
  <c r="D28" i="21"/>
  <c r="C28" i="21"/>
  <c r="I27" i="21"/>
  <c r="J27" i="21"/>
  <c r="G27" i="21"/>
  <c r="F27" i="21"/>
  <c r="D27" i="21"/>
  <c r="C27" i="21"/>
  <c r="I26" i="21"/>
  <c r="J26" i="21"/>
  <c r="G26" i="21"/>
  <c r="F26" i="21"/>
  <c r="D26" i="21"/>
  <c r="C26" i="21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19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06" i="19"/>
  <c r="H61" i="2"/>
  <c r="E61" i="2"/>
  <c r="D61" i="2"/>
  <c r="B61" i="2"/>
  <c r="H60" i="2"/>
  <c r="E60" i="2"/>
  <c r="D60" i="2"/>
  <c r="B60" i="2"/>
  <c r="H59" i="2"/>
  <c r="E59" i="2"/>
  <c r="D59" i="2"/>
  <c r="B59" i="2"/>
  <c r="H58" i="2"/>
  <c r="E58" i="2"/>
  <c r="D58" i="2"/>
  <c r="B58" i="2"/>
  <c r="H57" i="2"/>
  <c r="E57" i="2"/>
  <c r="D57" i="2"/>
  <c r="B57" i="2"/>
  <c r="H56" i="2"/>
  <c r="E56" i="2"/>
  <c r="D56" i="2"/>
  <c r="B56" i="2"/>
  <c r="H55" i="2"/>
  <c r="E55" i="2"/>
  <c r="D55" i="2"/>
  <c r="B55" i="2"/>
  <c r="H54" i="2"/>
  <c r="E54" i="2"/>
  <c r="D54" i="2"/>
  <c r="B54" i="2"/>
  <c r="H53" i="2"/>
  <c r="E53" i="2"/>
  <c r="D53" i="2"/>
  <c r="B53" i="2"/>
  <c r="H52" i="2"/>
  <c r="E52" i="2"/>
  <c r="D52" i="2"/>
  <c r="B52" i="2"/>
  <c r="H51" i="2"/>
  <c r="E51" i="2"/>
  <c r="D51" i="2"/>
  <c r="B51" i="2"/>
  <c r="H50" i="2"/>
  <c r="E50" i="2"/>
  <c r="D50" i="2"/>
  <c r="B50" i="2"/>
  <c r="L131" i="19"/>
  <c r="K131" i="19"/>
  <c r="G131" i="19"/>
  <c r="F131" i="19"/>
  <c r="D131" i="19"/>
  <c r="C131" i="19"/>
  <c r="L130" i="19"/>
  <c r="K130" i="19"/>
  <c r="G130" i="19"/>
  <c r="F130" i="19"/>
  <c r="D130" i="19"/>
  <c r="C130" i="19"/>
  <c r="L129" i="19"/>
  <c r="K129" i="19"/>
  <c r="G129" i="19"/>
  <c r="F129" i="19"/>
  <c r="D129" i="19"/>
  <c r="C129" i="19"/>
  <c r="L128" i="19"/>
  <c r="K128" i="19"/>
  <c r="G128" i="19"/>
  <c r="F128" i="19"/>
  <c r="D128" i="19"/>
  <c r="C128" i="19"/>
  <c r="L127" i="19"/>
  <c r="K127" i="19"/>
  <c r="G127" i="19"/>
  <c r="F127" i="19"/>
  <c r="D127" i="19"/>
  <c r="C127" i="19"/>
  <c r="L126" i="19"/>
  <c r="K126" i="19"/>
  <c r="G126" i="19"/>
  <c r="F126" i="19"/>
  <c r="D126" i="19"/>
  <c r="C126" i="19"/>
  <c r="L125" i="19"/>
  <c r="K125" i="19"/>
  <c r="G125" i="19"/>
  <c r="F125" i="19"/>
  <c r="D125" i="19"/>
  <c r="C125" i="19"/>
  <c r="L124" i="19"/>
  <c r="K124" i="19"/>
  <c r="G124" i="19"/>
  <c r="F124" i="19"/>
  <c r="D124" i="19"/>
  <c r="C124" i="19"/>
  <c r="L123" i="19"/>
  <c r="K123" i="19"/>
  <c r="G123" i="19"/>
  <c r="F123" i="19"/>
  <c r="D123" i="19"/>
  <c r="C123" i="19"/>
  <c r="L122" i="19"/>
  <c r="K122" i="19"/>
  <c r="G122" i="19"/>
  <c r="F122" i="19"/>
  <c r="D122" i="19"/>
  <c r="C122" i="19"/>
  <c r="L121" i="19"/>
  <c r="K121" i="19"/>
  <c r="G121" i="19"/>
  <c r="F121" i="19"/>
  <c r="D121" i="19"/>
  <c r="C121" i="19"/>
  <c r="L120" i="19"/>
  <c r="K120" i="19"/>
  <c r="G120" i="19"/>
  <c r="F120" i="19"/>
  <c r="D120" i="19"/>
  <c r="C120" i="19"/>
  <c r="L119" i="19"/>
  <c r="K119" i="19"/>
  <c r="G119" i="19"/>
  <c r="F119" i="19"/>
  <c r="D119" i="19"/>
  <c r="C119" i="19"/>
  <c r="L118" i="19"/>
  <c r="K118" i="19"/>
  <c r="G118" i="19"/>
  <c r="F118" i="19"/>
  <c r="D118" i="19"/>
  <c r="C118" i="19"/>
  <c r="L117" i="19"/>
  <c r="K117" i="19"/>
  <c r="G117" i="19"/>
  <c r="F117" i="19"/>
  <c r="D117" i="19"/>
  <c r="C117" i="19"/>
  <c r="L116" i="19"/>
  <c r="K116" i="19"/>
  <c r="G116" i="19"/>
  <c r="F116" i="19"/>
  <c r="D116" i="19"/>
  <c r="C116" i="19"/>
  <c r="L115" i="19"/>
  <c r="K115" i="19"/>
  <c r="G115" i="19"/>
  <c r="F115" i="19"/>
  <c r="D115" i="19"/>
  <c r="C115" i="19"/>
  <c r="L114" i="19"/>
  <c r="K114" i="19"/>
  <c r="G114" i="19"/>
  <c r="F114" i="19"/>
  <c r="D114" i="19"/>
  <c r="C114" i="19"/>
  <c r="L113" i="19"/>
  <c r="K113" i="19"/>
  <c r="G113" i="19"/>
  <c r="F113" i="19"/>
  <c r="D113" i="19"/>
  <c r="C113" i="19"/>
  <c r="L112" i="19"/>
  <c r="K112" i="19"/>
  <c r="G112" i="19"/>
  <c r="F112" i="19"/>
  <c r="D112" i="19"/>
  <c r="C112" i="19"/>
  <c r="L111" i="19"/>
  <c r="K111" i="19"/>
  <c r="G111" i="19"/>
  <c r="F111" i="19"/>
  <c r="D111" i="19"/>
  <c r="C111" i="19"/>
  <c r="L110" i="19"/>
  <c r="K110" i="19"/>
  <c r="G110" i="19"/>
  <c r="F110" i="19"/>
  <c r="D110" i="19"/>
  <c r="C110" i="19"/>
  <c r="L109" i="19"/>
  <c r="K109" i="19"/>
  <c r="G109" i="19"/>
  <c r="F109" i="19"/>
  <c r="D109" i="19"/>
  <c r="C109" i="19"/>
  <c r="L108" i="19"/>
  <c r="K108" i="19"/>
  <c r="G108" i="19"/>
  <c r="F108" i="19"/>
  <c r="D108" i="19"/>
  <c r="C108" i="19"/>
  <c r="L107" i="19"/>
  <c r="K107" i="19"/>
  <c r="G107" i="19"/>
  <c r="F107" i="19"/>
  <c r="D107" i="19"/>
  <c r="C107" i="19"/>
  <c r="L106" i="19"/>
  <c r="K106" i="19"/>
  <c r="G106" i="19"/>
  <c r="F106" i="19"/>
  <c r="D106" i="19"/>
  <c r="C106" i="19"/>
  <c r="C85" i="18"/>
  <c r="D85" i="18"/>
  <c r="C84" i="18"/>
  <c r="D84" i="18"/>
  <c r="C83" i="18"/>
  <c r="D83" i="18"/>
  <c r="C82" i="18"/>
  <c r="D82" i="18"/>
  <c r="C81" i="18"/>
  <c r="D81" i="18"/>
  <c r="C80" i="18"/>
  <c r="D80" i="18"/>
  <c r="C79" i="18"/>
  <c r="D79" i="18"/>
  <c r="C78" i="18"/>
  <c r="D78" i="18"/>
  <c r="C77" i="18"/>
  <c r="D77" i="18"/>
  <c r="C76" i="18"/>
  <c r="D76" i="18"/>
  <c r="C75" i="18"/>
  <c r="D75" i="18"/>
  <c r="C74" i="18"/>
  <c r="D74" i="18"/>
  <c r="C73" i="18"/>
  <c r="D73" i="18"/>
  <c r="C72" i="18"/>
  <c r="D72" i="18"/>
  <c r="AB189" i="1"/>
  <c r="AD189" i="1"/>
  <c r="AG189" i="1"/>
  <c r="AE189" i="1"/>
  <c r="AC189" i="1"/>
  <c r="V189" i="1"/>
  <c r="Q189" i="1"/>
  <c r="P189" i="1"/>
  <c r="O189" i="1"/>
  <c r="N189" i="1"/>
  <c r="M189" i="1"/>
  <c r="J189" i="1"/>
  <c r="I189" i="1"/>
  <c r="D189" i="1"/>
  <c r="F189" i="1"/>
  <c r="E189" i="1"/>
  <c r="A189" i="1"/>
  <c r="AB188" i="1"/>
  <c r="AD188" i="1"/>
  <c r="AG188" i="1"/>
  <c r="AE188" i="1"/>
  <c r="AC188" i="1"/>
  <c r="V188" i="1"/>
  <c r="Q188" i="1"/>
  <c r="P188" i="1"/>
  <c r="O188" i="1"/>
  <c r="N188" i="1"/>
  <c r="M188" i="1"/>
  <c r="J188" i="1"/>
  <c r="I188" i="1"/>
  <c r="D188" i="1"/>
  <c r="F188" i="1"/>
  <c r="E188" i="1"/>
  <c r="A188" i="1"/>
  <c r="AB187" i="1"/>
  <c r="AD187" i="1"/>
  <c r="AG187" i="1"/>
  <c r="AE187" i="1"/>
  <c r="AC187" i="1"/>
  <c r="V187" i="1"/>
  <c r="Q187" i="1"/>
  <c r="P187" i="1"/>
  <c r="O187" i="1"/>
  <c r="N187" i="1"/>
  <c r="M187" i="1"/>
  <c r="J187" i="1"/>
  <c r="I187" i="1"/>
  <c r="D187" i="1"/>
  <c r="F187" i="1"/>
  <c r="E187" i="1"/>
  <c r="A187" i="1"/>
  <c r="AB186" i="1"/>
  <c r="AD186" i="1"/>
  <c r="AG186" i="1"/>
  <c r="AE186" i="1"/>
  <c r="AC186" i="1"/>
  <c r="V186" i="1"/>
  <c r="Q186" i="1"/>
  <c r="P186" i="1"/>
  <c r="O186" i="1"/>
  <c r="N186" i="1"/>
  <c r="M186" i="1"/>
  <c r="J186" i="1"/>
  <c r="I186" i="1"/>
  <c r="D186" i="1"/>
  <c r="F186" i="1"/>
  <c r="E186" i="1"/>
  <c r="A186" i="1"/>
  <c r="AB185" i="1"/>
  <c r="AD185" i="1"/>
  <c r="AG185" i="1"/>
  <c r="AE185" i="1"/>
  <c r="AC185" i="1"/>
  <c r="V185" i="1"/>
  <c r="Q185" i="1"/>
  <c r="P185" i="1"/>
  <c r="O185" i="1"/>
  <c r="N185" i="1"/>
  <c r="M185" i="1"/>
  <c r="J185" i="1"/>
  <c r="I185" i="1"/>
  <c r="D185" i="1"/>
  <c r="F185" i="1"/>
  <c r="E185" i="1"/>
  <c r="A185" i="1"/>
  <c r="AB184" i="1"/>
  <c r="AD184" i="1"/>
  <c r="AG184" i="1"/>
  <c r="AE184" i="1"/>
  <c r="AC184" i="1"/>
  <c r="V184" i="1"/>
  <c r="Q184" i="1"/>
  <c r="P184" i="1"/>
  <c r="O184" i="1"/>
  <c r="N184" i="1"/>
  <c r="M184" i="1"/>
  <c r="J184" i="1"/>
  <c r="I184" i="1"/>
  <c r="D184" i="1"/>
  <c r="F184" i="1"/>
  <c r="E184" i="1"/>
  <c r="A184" i="1"/>
  <c r="AB183" i="1"/>
  <c r="AD183" i="1"/>
  <c r="AG183" i="1"/>
  <c r="AE183" i="1"/>
  <c r="AC183" i="1"/>
  <c r="AA183" i="1"/>
  <c r="W183" i="1"/>
  <c r="V183" i="1"/>
  <c r="Q183" i="1"/>
  <c r="P183" i="1"/>
  <c r="O183" i="1"/>
  <c r="N183" i="1"/>
  <c r="M183" i="1"/>
  <c r="J183" i="1"/>
  <c r="I183" i="1"/>
  <c r="D183" i="1"/>
  <c r="F183" i="1"/>
  <c r="E183" i="1"/>
  <c r="A183" i="1"/>
  <c r="AB182" i="1"/>
  <c r="AD182" i="1"/>
  <c r="AG182" i="1"/>
  <c r="AE182" i="1"/>
  <c r="AC182" i="1"/>
  <c r="AA182" i="1"/>
  <c r="W182" i="1"/>
  <c r="V182" i="1"/>
  <c r="Q182" i="1"/>
  <c r="P182" i="1"/>
  <c r="O182" i="1"/>
  <c r="N182" i="1"/>
  <c r="M182" i="1"/>
  <c r="J182" i="1"/>
  <c r="I182" i="1"/>
  <c r="D182" i="1"/>
  <c r="F182" i="1"/>
  <c r="E182" i="1"/>
  <c r="A182" i="1"/>
  <c r="AB181" i="1"/>
  <c r="AD181" i="1"/>
  <c r="AG181" i="1"/>
  <c r="AE181" i="1"/>
  <c r="AC181" i="1"/>
  <c r="AA181" i="1"/>
  <c r="W181" i="1"/>
  <c r="V181" i="1"/>
  <c r="Q181" i="1"/>
  <c r="P181" i="1"/>
  <c r="O181" i="1"/>
  <c r="N181" i="1"/>
  <c r="M181" i="1"/>
  <c r="J181" i="1"/>
  <c r="I181" i="1"/>
  <c r="D181" i="1"/>
  <c r="F181" i="1"/>
  <c r="E181" i="1"/>
  <c r="A181" i="1"/>
  <c r="AB180" i="1"/>
  <c r="AD180" i="1"/>
  <c r="AG180" i="1"/>
  <c r="AE180" i="1"/>
  <c r="AC180" i="1"/>
  <c r="AA180" i="1"/>
  <c r="V180" i="1"/>
  <c r="Q180" i="1"/>
  <c r="P180" i="1"/>
  <c r="O180" i="1"/>
  <c r="N180" i="1"/>
  <c r="M180" i="1"/>
  <c r="J180" i="1"/>
  <c r="I180" i="1"/>
  <c r="D180" i="1"/>
  <c r="F180" i="1"/>
  <c r="E180" i="1"/>
  <c r="A180" i="1"/>
  <c r="AB179" i="1"/>
  <c r="AD179" i="1"/>
  <c r="AG179" i="1"/>
  <c r="AE179" i="1"/>
  <c r="AC179" i="1"/>
  <c r="AA179" i="1"/>
  <c r="W179" i="1"/>
  <c r="V179" i="1"/>
  <c r="Q179" i="1"/>
  <c r="P179" i="1"/>
  <c r="O179" i="1"/>
  <c r="N179" i="1"/>
  <c r="M179" i="1"/>
  <c r="J179" i="1"/>
  <c r="I179" i="1"/>
  <c r="D179" i="1"/>
  <c r="F179" i="1"/>
  <c r="E179" i="1"/>
  <c r="A179" i="1"/>
  <c r="AB178" i="1"/>
  <c r="AD178" i="1"/>
  <c r="AG178" i="1"/>
  <c r="AE178" i="1"/>
  <c r="AC178" i="1"/>
  <c r="AA178" i="1"/>
  <c r="W178" i="1"/>
  <c r="V178" i="1"/>
  <c r="Q178" i="1"/>
  <c r="P178" i="1"/>
  <c r="O178" i="1"/>
  <c r="N178" i="1"/>
  <c r="M178" i="1"/>
  <c r="J178" i="1"/>
  <c r="I178" i="1"/>
  <c r="D178" i="1"/>
  <c r="F178" i="1"/>
  <c r="E178" i="1"/>
  <c r="A178" i="1"/>
  <c r="AB177" i="1"/>
  <c r="AD177" i="1"/>
  <c r="AG177" i="1"/>
  <c r="AE177" i="1"/>
  <c r="AC177" i="1"/>
  <c r="V177" i="1"/>
  <c r="Q177" i="1"/>
  <c r="P177" i="1"/>
  <c r="O177" i="1"/>
  <c r="N177" i="1"/>
  <c r="M177" i="1"/>
  <c r="J177" i="1"/>
  <c r="I177" i="1"/>
  <c r="D177" i="1"/>
  <c r="F177" i="1"/>
  <c r="E177" i="1"/>
  <c r="A177" i="1"/>
  <c r="AB176" i="1"/>
  <c r="AD176" i="1"/>
  <c r="AG176" i="1"/>
  <c r="AE176" i="1"/>
  <c r="AC176" i="1"/>
  <c r="V176" i="1"/>
  <c r="Q176" i="1"/>
  <c r="P176" i="1"/>
  <c r="O176" i="1"/>
  <c r="N176" i="1"/>
  <c r="M176" i="1"/>
  <c r="J176" i="1"/>
  <c r="I176" i="1"/>
  <c r="D176" i="1"/>
  <c r="F176" i="1"/>
  <c r="E176" i="1"/>
  <c r="A176" i="1"/>
  <c r="AB175" i="1"/>
  <c r="AD175" i="1"/>
  <c r="AG175" i="1"/>
  <c r="AE175" i="1"/>
  <c r="AC175" i="1"/>
  <c r="V175" i="1"/>
  <c r="Q175" i="1"/>
  <c r="P175" i="1"/>
  <c r="O175" i="1"/>
  <c r="N175" i="1"/>
  <c r="M175" i="1"/>
  <c r="J175" i="1"/>
  <c r="I175" i="1"/>
  <c r="D175" i="1"/>
  <c r="F175" i="1"/>
  <c r="E175" i="1"/>
  <c r="A175" i="1"/>
  <c r="AB174" i="1"/>
  <c r="AD174" i="1"/>
  <c r="AG174" i="1"/>
  <c r="AE174" i="1"/>
  <c r="AC174" i="1"/>
  <c r="V174" i="1"/>
  <c r="Q174" i="1"/>
  <c r="P174" i="1"/>
  <c r="O174" i="1"/>
  <c r="N174" i="1"/>
  <c r="M174" i="1"/>
  <c r="J174" i="1"/>
  <c r="I174" i="1"/>
  <c r="D174" i="1"/>
  <c r="F174" i="1"/>
  <c r="E174" i="1"/>
  <c r="A174" i="1"/>
  <c r="AB173" i="1"/>
  <c r="AD173" i="1"/>
  <c r="AG173" i="1"/>
  <c r="AE173" i="1"/>
  <c r="AC173" i="1"/>
  <c r="V173" i="1"/>
  <c r="Q173" i="1"/>
  <c r="P173" i="1"/>
  <c r="O173" i="1"/>
  <c r="N173" i="1"/>
  <c r="M173" i="1"/>
  <c r="J173" i="1"/>
  <c r="I173" i="1"/>
  <c r="D173" i="1"/>
  <c r="F173" i="1"/>
  <c r="E173" i="1"/>
  <c r="A173" i="1"/>
  <c r="AB172" i="1"/>
  <c r="AD172" i="1"/>
  <c r="AG172" i="1"/>
  <c r="AE172" i="1"/>
  <c r="AC172" i="1"/>
  <c r="V172" i="1"/>
  <c r="Q172" i="1"/>
  <c r="P172" i="1"/>
  <c r="O172" i="1"/>
  <c r="N172" i="1"/>
  <c r="M172" i="1"/>
  <c r="J172" i="1"/>
  <c r="I172" i="1"/>
  <c r="D172" i="1"/>
  <c r="F172" i="1"/>
  <c r="E172" i="1"/>
  <c r="A172" i="1"/>
  <c r="AB171" i="1"/>
  <c r="AD171" i="1"/>
  <c r="AG171" i="1"/>
  <c r="AE171" i="1"/>
  <c r="AC171" i="1"/>
  <c r="V171" i="1"/>
  <c r="Q171" i="1"/>
  <c r="P171" i="1"/>
  <c r="O171" i="1"/>
  <c r="N171" i="1"/>
  <c r="M171" i="1"/>
  <c r="J171" i="1"/>
  <c r="I171" i="1"/>
  <c r="D171" i="1"/>
  <c r="F171" i="1"/>
  <c r="E171" i="1"/>
  <c r="A171" i="1"/>
  <c r="AB170" i="1"/>
  <c r="AD170" i="1"/>
  <c r="AG170" i="1"/>
  <c r="AE170" i="1"/>
  <c r="AC170" i="1"/>
  <c r="V170" i="1"/>
  <c r="Q170" i="1"/>
  <c r="P170" i="1"/>
  <c r="O170" i="1"/>
  <c r="N170" i="1"/>
  <c r="M170" i="1"/>
  <c r="J170" i="1"/>
  <c r="I170" i="1"/>
  <c r="D170" i="1"/>
  <c r="F170" i="1"/>
  <c r="E170" i="1"/>
  <c r="A170" i="1"/>
  <c r="AB169" i="1"/>
  <c r="AD169" i="1"/>
  <c r="AG169" i="1"/>
  <c r="AE169" i="1"/>
  <c r="AC169" i="1"/>
  <c r="V169" i="1"/>
  <c r="Q169" i="1"/>
  <c r="P169" i="1"/>
  <c r="O169" i="1"/>
  <c r="N169" i="1"/>
  <c r="M169" i="1"/>
  <c r="J169" i="1"/>
  <c r="I169" i="1"/>
  <c r="D169" i="1"/>
  <c r="F169" i="1"/>
  <c r="E169" i="1"/>
  <c r="A169" i="1"/>
  <c r="AB168" i="1"/>
  <c r="AD168" i="1"/>
  <c r="AG168" i="1"/>
  <c r="AE168" i="1"/>
  <c r="AC168" i="1"/>
  <c r="V168" i="1"/>
  <c r="Q168" i="1"/>
  <c r="P168" i="1"/>
  <c r="O168" i="1"/>
  <c r="N168" i="1"/>
  <c r="M168" i="1"/>
  <c r="J168" i="1"/>
  <c r="I168" i="1"/>
  <c r="D168" i="1"/>
  <c r="F168" i="1"/>
  <c r="E168" i="1"/>
  <c r="A168" i="1"/>
  <c r="AB167" i="1"/>
  <c r="AD167" i="1"/>
  <c r="AG167" i="1"/>
  <c r="AE167" i="1"/>
  <c r="AC167" i="1"/>
  <c r="AA167" i="1"/>
  <c r="W167" i="1"/>
  <c r="V167" i="1"/>
  <c r="Q167" i="1"/>
  <c r="P167" i="1"/>
  <c r="O167" i="1"/>
  <c r="N167" i="1"/>
  <c r="M167" i="1"/>
  <c r="J167" i="1"/>
  <c r="I167" i="1"/>
  <c r="D167" i="1"/>
  <c r="F167" i="1"/>
  <c r="E167" i="1"/>
  <c r="A167" i="1"/>
  <c r="AB166" i="1"/>
  <c r="AD166" i="1"/>
  <c r="AG166" i="1"/>
  <c r="AE166" i="1"/>
  <c r="AC166" i="1"/>
  <c r="AA166" i="1"/>
  <c r="W166" i="1"/>
  <c r="V166" i="1"/>
  <c r="Q166" i="1"/>
  <c r="P166" i="1"/>
  <c r="O166" i="1"/>
  <c r="N166" i="1"/>
  <c r="M166" i="1"/>
  <c r="J166" i="1"/>
  <c r="I166" i="1"/>
  <c r="D166" i="1"/>
  <c r="F166" i="1"/>
  <c r="E166" i="1"/>
  <c r="A166" i="1"/>
  <c r="AB165" i="1"/>
  <c r="AD165" i="1"/>
  <c r="AG165" i="1"/>
  <c r="AE165" i="1"/>
  <c r="AC165" i="1"/>
  <c r="AA165" i="1"/>
  <c r="W165" i="1"/>
  <c r="V165" i="1"/>
  <c r="Q165" i="1"/>
  <c r="P165" i="1"/>
  <c r="O165" i="1"/>
  <c r="N165" i="1"/>
  <c r="M165" i="1"/>
  <c r="J165" i="1"/>
  <c r="I165" i="1"/>
  <c r="D165" i="1"/>
  <c r="F165" i="1"/>
  <c r="E165" i="1"/>
  <c r="A165" i="1"/>
  <c r="AB164" i="1"/>
  <c r="AD164" i="1"/>
  <c r="AG164" i="1"/>
  <c r="AE164" i="1"/>
  <c r="AC164" i="1"/>
  <c r="AA164" i="1"/>
  <c r="V164" i="1"/>
  <c r="Q164" i="1"/>
  <c r="P164" i="1"/>
  <c r="O164" i="1"/>
  <c r="N164" i="1"/>
  <c r="M164" i="1"/>
  <c r="J164" i="1"/>
  <c r="I164" i="1"/>
  <c r="D164" i="1"/>
  <c r="F164" i="1"/>
  <c r="E164" i="1"/>
  <c r="A164" i="1"/>
  <c r="AB163" i="1"/>
  <c r="AD163" i="1"/>
  <c r="AG163" i="1"/>
  <c r="AE163" i="1"/>
  <c r="AC163" i="1"/>
  <c r="AA163" i="1"/>
  <c r="W163" i="1"/>
  <c r="V163" i="1"/>
  <c r="Q163" i="1"/>
  <c r="P163" i="1"/>
  <c r="O163" i="1"/>
  <c r="N163" i="1"/>
  <c r="M163" i="1"/>
  <c r="J163" i="1"/>
  <c r="I163" i="1"/>
  <c r="D163" i="1"/>
  <c r="F163" i="1"/>
  <c r="E163" i="1"/>
  <c r="A163" i="1"/>
  <c r="AB162" i="1"/>
  <c r="AD162" i="1"/>
  <c r="AG162" i="1"/>
  <c r="AE162" i="1"/>
  <c r="AC162" i="1"/>
  <c r="AA162" i="1"/>
  <c r="W162" i="1"/>
  <c r="V162" i="1"/>
  <c r="Q162" i="1"/>
  <c r="P162" i="1"/>
  <c r="O162" i="1"/>
  <c r="N162" i="1"/>
  <c r="M162" i="1"/>
  <c r="J162" i="1"/>
  <c r="I162" i="1"/>
  <c r="D162" i="1"/>
  <c r="F162" i="1"/>
  <c r="E162" i="1"/>
  <c r="A162" i="1"/>
  <c r="AB161" i="1"/>
  <c r="AD161" i="1"/>
  <c r="AG161" i="1"/>
  <c r="AE161" i="1"/>
  <c r="AC161" i="1"/>
  <c r="V161" i="1"/>
  <c r="Q161" i="1"/>
  <c r="P161" i="1"/>
  <c r="O161" i="1"/>
  <c r="N161" i="1"/>
  <c r="M161" i="1"/>
  <c r="J161" i="1"/>
  <c r="I161" i="1"/>
  <c r="D161" i="1"/>
  <c r="F161" i="1"/>
  <c r="E161" i="1"/>
  <c r="A161" i="1"/>
  <c r="AB160" i="1"/>
  <c r="AD160" i="1"/>
  <c r="AG160" i="1"/>
  <c r="AE160" i="1"/>
  <c r="AC160" i="1"/>
  <c r="V160" i="1"/>
  <c r="Q160" i="1"/>
  <c r="P160" i="1"/>
  <c r="O160" i="1"/>
  <c r="N160" i="1"/>
  <c r="M160" i="1"/>
  <c r="J160" i="1"/>
  <c r="I160" i="1"/>
  <c r="D160" i="1"/>
  <c r="F160" i="1"/>
  <c r="E160" i="1"/>
  <c r="A160" i="1"/>
  <c r="AB159" i="1"/>
  <c r="AD159" i="1"/>
  <c r="AG159" i="1"/>
  <c r="AE159" i="1"/>
  <c r="AC159" i="1"/>
  <c r="V159" i="1"/>
  <c r="P159" i="1"/>
  <c r="O159" i="1"/>
  <c r="N159" i="1"/>
  <c r="M159" i="1"/>
  <c r="J159" i="1"/>
  <c r="I159" i="1"/>
  <c r="D159" i="1"/>
  <c r="F159" i="1"/>
  <c r="E159" i="1"/>
  <c r="A159" i="1"/>
  <c r="AB158" i="1"/>
  <c r="AD158" i="1"/>
  <c r="AG158" i="1"/>
  <c r="AE158" i="1"/>
  <c r="AC158" i="1"/>
  <c r="V158" i="1"/>
  <c r="Q158" i="1"/>
  <c r="P158" i="1"/>
  <c r="O158" i="1"/>
  <c r="N158" i="1"/>
  <c r="M158" i="1"/>
  <c r="J158" i="1"/>
  <c r="I158" i="1"/>
  <c r="D158" i="1"/>
  <c r="F158" i="1"/>
  <c r="E158" i="1"/>
  <c r="A158" i="1"/>
  <c r="H15" i="9"/>
  <c r="V79" i="1"/>
  <c r="V77" i="1"/>
  <c r="V78" i="1"/>
  <c r="V68" i="1"/>
  <c r="V66" i="1"/>
  <c r="V76" i="1"/>
  <c r="J19" i="11"/>
  <c r="O19" i="9"/>
  <c r="N19" i="9"/>
  <c r="M19" i="9"/>
  <c r="L19" i="9"/>
  <c r="K19" i="9"/>
  <c r="J19" i="9"/>
  <c r="I19" i="9"/>
  <c r="H19" i="9"/>
  <c r="G19" i="9"/>
  <c r="D19" i="9"/>
  <c r="A19" i="9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C43" i="18"/>
  <c r="D43" i="18"/>
  <c r="C42" i="18"/>
  <c r="D42" i="18"/>
  <c r="C41" i="18"/>
  <c r="D41" i="18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L105" i="19"/>
  <c r="K105" i="19"/>
  <c r="G105" i="19"/>
  <c r="F105" i="19"/>
  <c r="D105" i="19"/>
  <c r="C105" i="19"/>
  <c r="L104" i="19"/>
  <c r="K104" i="19"/>
  <c r="G104" i="19"/>
  <c r="F104" i="19"/>
  <c r="D104" i="19"/>
  <c r="C104" i="19"/>
  <c r="L103" i="19"/>
  <c r="K103" i="19"/>
  <c r="G103" i="19"/>
  <c r="F103" i="19"/>
  <c r="D103" i="19"/>
  <c r="C103" i="19"/>
  <c r="L102" i="19"/>
  <c r="K102" i="19"/>
  <c r="G102" i="19"/>
  <c r="F102" i="19"/>
  <c r="D102" i="19"/>
  <c r="C102" i="19"/>
  <c r="L101" i="19"/>
  <c r="K101" i="19"/>
  <c r="G101" i="19"/>
  <c r="F101" i="19"/>
  <c r="D101" i="19"/>
  <c r="C101" i="19"/>
  <c r="L100" i="19"/>
  <c r="K100" i="19"/>
  <c r="G100" i="19"/>
  <c r="F100" i="19"/>
  <c r="D100" i="19"/>
  <c r="C100" i="19"/>
  <c r="L99" i="19"/>
  <c r="K99" i="19"/>
  <c r="G99" i="19"/>
  <c r="F99" i="19"/>
  <c r="D99" i="19"/>
  <c r="C99" i="19"/>
  <c r="L98" i="19"/>
  <c r="K98" i="19"/>
  <c r="G98" i="19"/>
  <c r="F98" i="19"/>
  <c r="D98" i="19"/>
  <c r="C98" i="19"/>
  <c r="L97" i="19"/>
  <c r="K97" i="19"/>
  <c r="G97" i="19"/>
  <c r="F97" i="19"/>
  <c r="D97" i="19"/>
  <c r="C97" i="19"/>
  <c r="L96" i="19"/>
  <c r="K96" i="19"/>
  <c r="G96" i="19"/>
  <c r="F96" i="19"/>
  <c r="D96" i="19"/>
  <c r="C96" i="19"/>
  <c r="L95" i="19"/>
  <c r="K95" i="19"/>
  <c r="G95" i="19"/>
  <c r="F95" i="19"/>
  <c r="D95" i="19"/>
  <c r="C95" i="19"/>
  <c r="L94" i="19"/>
  <c r="K94" i="19"/>
  <c r="G94" i="19"/>
  <c r="F94" i="19"/>
  <c r="D94" i="19"/>
  <c r="C94" i="19"/>
  <c r="L93" i="19"/>
  <c r="K93" i="19"/>
  <c r="G93" i="19"/>
  <c r="F93" i="19"/>
  <c r="D93" i="19"/>
  <c r="C93" i="19"/>
  <c r="L92" i="19"/>
  <c r="K92" i="19"/>
  <c r="G92" i="19"/>
  <c r="F92" i="19"/>
  <c r="D92" i="19"/>
  <c r="C92" i="19"/>
  <c r="L91" i="19"/>
  <c r="K91" i="19"/>
  <c r="G91" i="19"/>
  <c r="F91" i="19"/>
  <c r="D91" i="19"/>
  <c r="C91" i="19"/>
  <c r="L90" i="19"/>
  <c r="K90" i="19"/>
  <c r="G90" i="19"/>
  <c r="F90" i="19"/>
  <c r="D90" i="19"/>
  <c r="C90" i="19"/>
  <c r="L89" i="19"/>
  <c r="K89" i="19"/>
  <c r="G89" i="19"/>
  <c r="F89" i="19"/>
  <c r="D89" i="19"/>
  <c r="C89" i="19"/>
  <c r="L88" i="19"/>
  <c r="K88" i="19"/>
  <c r="G88" i="19"/>
  <c r="F88" i="19"/>
  <c r="D88" i="19"/>
  <c r="C88" i="19"/>
  <c r="L87" i="19"/>
  <c r="K87" i="19"/>
  <c r="G87" i="19"/>
  <c r="F87" i="19"/>
  <c r="D87" i="19"/>
  <c r="C87" i="19"/>
  <c r="L86" i="19"/>
  <c r="K86" i="19"/>
  <c r="G86" i="19"/>
  <c r="F86" i="19"/>
  <c r="D86" i="19"/>
  <c r="C86" i="19"/>
  <c r="L85" i="19"/>
  <c r="K85" i="19"/>
  <c r="G85" i="19"/>
  <c r="F85" i="19"/>
  <c r="D85" i="19"/>
  <c r="C85" i="19"/>
  <c r="L84" i="19"/>
  <c r="K84" i="19"/>
  <c r="G84" i="19"/>
  <c r="F84" i="19"/>
  <c r="D84" i="19"/>
  <c r="C84" i="19"/>
  <c r="L83" i="19"/>
  <c r="K83" i="19"/>
  <c r="G83" i="19"/>
  <c r="F83" i="19"/>
  <c r="D83" i="19"/>
  <c r="C83" i="19"/>
  <c r="L82" i="19"/>
  <c r="K82" i="19"/>
  <c r="G82" i="19"/>
  <c r="F82" i="19"/>
  <c r="D82" i="19"/>
  <c r="C82" i="19"/>
  <c r="L81" i="19"/>
  <c r="K81" i="19"/>
  <c r="G81" i="19"/>
  <c r="F81" i="19"/>
  <c r="D81" i="19"/>
  <c r="C81" i="19"/>
  <c r="L80" i="19"/>
  <c r="K80" i="19"/>
  <c r="G80" i="19"/>
  <c r="F80" i="19"/>
  <c r="D80" i="19"/>
  <c r="C80" i="19"/>
  <c r="W11" i="1"/>
  <c r="V11" i="1"/>
  <c r="V2" i="1"/>
  <c r="V4" i="1"/>
  <c r="V12" i="1"/>
  <c r="V14" i="1"/>
  <c r="V16" i="1"/>
  <c r="V24" i="1"/>
  <c r="V36" i="1"/>
  <c r="V34" i="1"/>
  <c r="V32" i="1"/>
  <c r="V44" i="1"/>
  <c r="V46" i="1"/>
  <c r="V48" i="1"/>
  <c r="V56" i="1"/>
  <c r="V64" i="1"/>
  <c r="V96" i="1"/>
  <c r="V80" i="1"/>
  <c r="V72" i="1"/>
  <c r="V88" i="1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D17" i="9"/>
  <c r="A17" i="9"/>
  <c r="J16" i="11"/>
  <c r="O16" i="9"/>
  <c r="N16" i="9"/>
  <c r="M16" i="9"/>
  <c r="L16" i="9"/>
  <c r="K16" i="9"/>
  <c r="J16" i="9"/>
  <c r="I16" i="9"/>
  <c r="H16" i="9"/>
  <c r="G16" i="9"/>
  <c r="D16" i="9"/>
  <c r="A16" i="9"/>
  <c r="J15" i="11"/>
  <c r="O15" i="9"/>
  <c r="N15" i="9"/>
  <c r="M15" i="9"/>
  <c r="L15" i="9"/>
  <c r="K15" i="9"/>
  <c r="J15" i="9"/>
  <c r="I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D12" i="9"/>
  <c r="A12" i="9"/>
  <c r="J11" i="11"/>
  <c r="O11" i="9"/>
  <c r="N11" i="9"/>
  <c r="M11" i="9"/>
  <c r="L11" i="9"/>
  <c r="K11" i="9"/>
  <c r="J11" i="9"/>
  <c r="I11" i="9"/>
  <c r="H11" i="9"/>
  <c r="G11" i="9"/>
  <c r="D11" i="9"/>
  <c r="A11" i="9"/>
  <c r="J10" i="11"/>
  <c r="O10" i="9"/>
  <c r="N10" i="9"/>
  <c r="M10" i="9"/>
  <c r="L10" i="9"/>
  <c r="K10" i="9"/>
  <c r="J10" i="9"/>
  <c r="I10" i="9"/>
  <c r="H10" i="9"/>
  <c r="G10" i="9"/>
  <c r="D10" i="9"/>
  <c r="A10" i="9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AB97" i="1"/>
  <c r="AD97" i="1"/>
  <c r="AG97" i="1"/>
  <c r="AE97" i="1"/>
  <c r="AC97" i="1"/>
  <c r="V97" i="1"/>
  <c r="Q97" i="1"/>
  <c r="P97" i="1"/>
  <c r="O97" i="1"/>
  <c r="N97" i="1"/>
  <c r="M97" i="1"/>
  <c r="J97" i="1"/>
  <c r="I97" i="1"/>
  <c r="D97" i="1"/>
  <c r="F97" i="1"/>
  <c r="E97" i="1"/>
  <c r="A97" i="1"/>
  <c r="AB96" i="1"/>
  <c r="AD96" i="1"/>
  <c r="AG96" i="1"/>
  <c r="AE96" i="1"/>
  <c r="AC96" i="1"/>
  <c r="Q96" i="1"/>
  <c r="P96" i="1"/>
  <c r="O96" i="1"/>
  <c r="N96" i="1"/>
  <c r="M96" i="1"/>
  <c r="J96" i="1"/>
  <c r="I96" i="1"/>
  <c r="D96" i="1"/>
  <c r="F96" i="1"/>
  <c r="E96" i="1"/>
  <c r="A96" i="1"/>
  <c r="AB95" i="1"/>
  <c r="AD95" i="1"/>
  <c r="AG95" i="1"/>
  <c r="AE95" i="1"/>
  <c r="AC95" i="1"/>
  <c r="V95" i="1"/>
  <c r="Q95" i="1"/>
  <c r="P95" i="1"/>
  <c r="O95" i="1"/>
  <c r="N95" i="1"/>
  <c r="M95" i="1"/>
  <c r="J95" i="1"/>
  <c r="I95" i="1"/>
  <c r="D95" i="1"/>
  <c r="F95" i="1"/>
  <c r="E95" i="1"/>
  <c r="A95" i="1"/>
  <c r="AB94" i="1"/>
  <c r="AD94" i="1"/>
  <c r="AG94" i="1"/>
  <c r="AE94" i="1"/>
  <c r="AC94" i="1"/>
  <c r="V94" i="1"/>
  <c r="Q94" i="1"/>
  <c r="P94" i="1"/>
  <c r="O94" i="1"/>
  <c r="N94" i="1"/>
  <c r="M94" i="1"/>
  <c r="J94" i="1"/>
  <c r="I94" i="1"/>
  <c r="D94" i="1"/>
  <c r="F94" i="1"/>
  <c r="E94" i="1"/>
  <c r="A94" i="1"/>
  <c r="AB93" i="1"/>
  <c r="AD93" i="1"/>
  <c r="AG93" i="1"/>
  <c r="AE93" i="1"/>
  <c r="AC93" i="1"/>
  <c r="V93" i="1"/>
  <c r="Q93" i="1"/>
  <c r="P93" i="1"/>
  <c r="O93" i="1"/>
  <c r="N93" i="1"/>
  <c r="M93" i="1"/>
  <c r="J93" i="1"/>
  <c r="I93" i="1"/>
  <c r="D93" i="1"/>
  <c r="F93" i="1"/>
  <c r="E93" i="1"/>
  <c r="A93" i="1"/>
  <c r="AB92" i="1"/>
  <c r="AD92" i="1"/>
  <c r="AG92" i="1"/>
  <c r="AE92" i="1"/>
  <c r="AC92" i="1"/>
  <c r="V92" i="1"/>
  <c r="Q92" i="1"/>
  <c r="P92" i="1"/>
  <c r="O92" i="1"/>
  <c r="N92" i="1"/>
  <c r="M92" i="1"/>
  <c r="J92" i="1"/>
  <c r="I92" i="1"/>
  <c r="D92" i="1"/>
  <c r="F92" i="1"/>
  <c r="E92" i="1"/>
  <c r="A92" i="1"/>
  <c r="AB91" i="1"/>
  <c r="AD91" i="1"/>
  <c r="AG91" i="1"/>
  <c r="AE91" i="1"/>
  <c r="AC91" i="1"/>
  <c r="AA91" i="1"/>
  <c r="W91" i="1"/>
  <c r="V91" i="1"/>
  <c r="Q91" i="1"/>
  <c r="P91" i="1"/>
  <c r="O91" i="1"/>
  <c r="N91" i="1"/>
  <c r="M91" i="1"/>
  <c r="J91" i="1"/>
  <c r="I91" i="1"/>
  <c r="D91" i="1"/>
  <c r="F91" i="1"/>
  <c r="E91" i="1"/>
  <c r="A91" i="1"/>
  <c r="AB90" i="1"/>
  <c r="AD90" i="1"/>
  <c r="AG90" i="1"/>
  <c r="AE90" i="1"/>
  <c r="AC90" i="1"/>
  <c r="AA90" i="1"/>
  <c r="W90" i="1"/>
  <c r="V90" i="1"/>
  <c r="Q90" i="1"/>
  <c r="P90" i="1"/>
  <c r="O90" i="1"/>
  <c r="N90" i="1"/>
  <c r="M90" i="1"/>
  <c r="J90" i="1"/>
  <c r="I90" i="1"/>
  <c r="D90" i="1"/>
  <c r="F90" i="1"/>
  <c r="E90" i="1"/>
  <c r="A90" i="1"/>
  <c r="AB89" i="1"/>
  <c r="AD89" i="1"/>
  <c r="AG89" i="1"/>
  <c r="AE89" i="1"/>
  <c r="AC89" i="1"/>
  <c r="AA89" i="1"/>
  <c r="W89" i="1"/>
  <c r="V89" i="1"/>
  <c r="Q89" i="1"/>
  <c r="P89" i="1"/>
  <c r="O89" i="1"/>
  <c r="N89" i="1"/>
  <c r="M89" i="1"/>
  <c r="J89" i="1"/>
  <c r="I89" i="1"/>
  <c r="D89" i="1"/>
  <c r="F89" i="1"/>
  <c r="E89" i="1"/>
  <c r="A89" i="1"/>
  <c r="AB88" i="1"/>
  <c r="AD88" i="1"/>
  <c r="AG88" i="1"/>
  <c r="AE88" i="1"/>
  <c r="AC88" i="1"/>
  <c r="AA88" i="1"/>
  <c r="Q88" i="1"/>
  <c r="P88" i="1"/>
  <c r="O88" i="1"/>
  <c r="N88" i="1"/>
  <c r="M88" i="1"/>
  <c r="J88" i="1"/>
  <c r="I88" i="1"/>
  <c r="D88" i="1"/>
  <c r="F88" i="1"/>
  <c r="E88" i="1"/>
  <c r="A88" i="1"/>
  <c r="AB87" i="1"/>
  <c r="AD87" i="1"/>
  <c r="AG87" i="1"/>
  <c r="AE87" i="1"/>
  <c r="AC87" i="1"/>
  <c r="AA87" i="1"/>
  <c r="W87" i="1"/>
  <c r="V87" i="1"/>
  <c r="Q87" i="1"/>
  <c r="P87" i="1"/>
  <c r="O87" i="1"/>
  <c r="N87" i="1"/>
  <c r="M87" i="1"/>
  <c r="J87" i="1"/>
  <c r="I87" i="1"/>
  <c r="D87" i="1"/>
  <c r="F87" i="1"/>
  <c r="E87" i="1"/>
  <c r="A87" i="1"/>
  <c r="AB86" i="1"/>
  <c r="AD86" i="1"/>
  <c r="AG86" i="1"/>
  <c r="AE86" i="1"/>
  <c r="AC86" i="1"/>
  <c r="AA86" i="1"/>
  <c r="W86" i="1"/>
  <c r="V86" i="1"/>
  <c r="Q86" i="1"/>
  <c r="P86" i="1"/>
  <c r="O86" i="1"/>
  <c r="N86" i="1"/>
  <c r="M86" i="1"/>
  <c r="J86" i="1"/>
  <c r="I86" i="1"/>
  <c r="D86" i="1"/>
  <c r="F86" i="1"/>
  <c r="E86" i="1"/>
  <c r="A86" i="1"/>
  <c r="AB85" i="1"/>
  <c r="AD85" i="1"/>
  <c r="AG85" i="1"/>
  <c r="AE85" i="1"/>
  <c r="AC85" i="1"/>
  <c r="V85" i="1"/>
  <c r="Q85" i="1"/>
  <c r="P85" i="1"/>
  <c r="O85" i="1"/>
  <c r="N85" i="1"/>
  <c r="M85" i="1"/>
  <c r="J85" i="1"/>
  <c r="I85" i="1"/>
  <c r="D85" i="1"/>
  <c r="F85" i="1"/>
  <c r="E85" i="1"/>
  <c r="A85" i="1"/>
  <c r="AB84" i="1"/>
  <c r="AD84" i="1"/>
  <c r="AG84" i="1"/>
  <c r="AE84" i="1"/>
  <c r="AC84" i="1"/>
  <c r="V84" i="1"/>
  <c r="Q84" i="1"/>
  <c r="P84" i="1"/>
  <c r="O84" i="1"/>
  <c r="N84" i="1"/>
  <c r="M84" i="1"/>
  <c r="J84" i="1"/>
  <c r="I84" i="1"/>
  <c r="D84" i="1"/>
  <c r="F84" i="1"/>
  <c r="E84" i="1"/>
  <c r="A84" i="1"/>
  <c r="AB83" i="1"/>
  <c r="AD83" i="1"/>
  <c r="AG83" i="1"/>
  <c r="AE83" i="1"/>
  <c r="AC83" i="1"/>
  <c r="V83" i="1"/>
  <c r="Q83" i="1"/>
  <c r="P83" i="1"/>
  <c r="O83" i="1"/>
  <c r="N83" i="1"/>
  <c r="M83" i="1"/>
  <c r="J83" i="1"/>
  <c r="I83" i="1"/>
  <c r="D83" i="1"/>
  <c r="F83" i="1"/>
  <c r="E83" i="1"/>
  <c r="A83" i="1"/>
  <c r="AB82" i="1"/>
  <c r="AD82" i="1"/>
  <c r="AG82" i="1"/>
  <c r="AE82" i="1"/>
  <c r="AC82" i="1"/>
  <c r="V82" i="1"/>
  <c r="Q82" i="1"/>
  <c r="P82" i="1"/>
  <c r="O82" i="1"/>
  <c r="N82" i="1"/>
  <c r="M82" i="1"/>
  <c r="J82" i="1"/>
  <c r="I82" i="1"/>
  <c r="D82" i="1"/>
  <c r="F82" i="1"/>
  <c r="E82" i="1"/>
  <c r="A82" i="1"/>
  <c r="AB81" i="1"/>
  <c r="AD81" i="1"/>
  <c r="AG81" i="1"/>
  <c r="AE81" i="1"/>
  <c r="AC81" i="1"/>
  <c r="V81" i="1"/>
  <c r="Q81" i="1"/>
  <c r="P81" i="1"/>
  <c r="O81" i="1"/>
  <c r="N81" i="1"/>
  <c r="M81" i="1"/>
  <c r="J81" i="1"/>
  <c r="I81" i="1"/>
  <c r="D81" i="1"/>
  <c r="F81" i="1"/>
  <c r="E81" i="1"/>
  <c r="A81" i="1"/>
  <c r="AB80" i="1"/>
  <c r="AD80" i="1"/>
  <c r="AG80" i="1"/>
  <c r="AE80" i="1"/>
  <c r="AC80" i="1"/>
  <c r="Q80" i="1"/>
  <c r="P80" i="1"/>
  <c r="O80" i="1"/>
  <c r="N80" i="1"/>
  <c r="M80" i="1"/>
  <c r="J80" i="1"/>
  <c r="I80" i="1"/>
  <c r="D80" i="1"/>
  <c r="F80" i="1"/>
  <c r="E80" i="1"/>
  <c r="A80" i="1"/>
  <c r="AB79" i="1"/>
  <c r="AD79" i="1"/>
  <c r="AG79" i="1"/>
  <c r="AE79" i="1"/>
  <c r="AC79" i="1"/>
  <c r="Q79" i="1"/>
  <c r="P79" i="1"/>
  <c r="O79" i="1"/>
  <c r="N79" i="1"/>
  <c r="M79" i="1"/>
  <c r="J79" i="1"/>
  <c r="I79" i="1"/>
  <c r="D79" i="1"/>
  <c r="F79" i="1"/>
  <c r="E79" i="1"/>
  <c r="A79" i="1"/>
  <c r="AB78" i="1"/>
  <c r="AD78" i="1"/>
  <c r="AG78" i="1"/>
  <c r="AE78" i="1"/>
  <c r="AC78" i="1"/>
  <c r="Q78" i="1"/>
  <c r="P78" i="1"/>
  <c r="O78" i="1"/>
  <c r="N78" i="1"/>
  <c r="M78" i="1"/>
  <c r="J78" i="1"/>
  <c r="I78" i="1"/>
  <c r="D78" i="1"/>
  <c r="F78" i="1"/>
  <c r="E78" i="1"/>
  <c r="A78" i="1"/>
  <c r="AB77" i="1"/>
  <c r="AD77" i="1"/>
  <c r="AG77" i="1"/>
  <c r="AE77" i="1"/>
  <c r="AC77" i="1"/>
  <c r="Q77" i="1"/>
  <c r="P77" i="1"/>
  <c r="O77" i="1"/>
  <c r="N77" i="1"/>
  <c r="M77" i="1"/>
  <c r="J77" i="1"/>
  <c r="I77" i="1"/>
  <c r="D77" i="1"/>
  <c r="F77" i="1"/>
  <c r="E77" i="1"/>
  <c r="A77" i="1"/>
  <c r="AB76" i="1"/>
  <c r="AD76" i="1"/>
  <c r="AG76" i="1"/>
  <c r="AE76" i="1"/>
  <c r="AC76" i="1"/>
  <c r="Q76" i="1"/>
  <c r="P76" i="1"/>
  <c r="O76" i="1"/>
  <c r="N76" i="1"/>
  <c r="M76" i="1"/>
  <c r="J76" i="1"/>
  <c r="I76" i="1"/>
  <c r="D76" i="1"/>
  <c r="F76" i="1"/>
  <c r="E76" i="1"/>
  <c r="A76" i="1"/>
  <c r="AB75" i="1"/>
  <c r="AD75" i="1"/>
  <c r="AG75" i="1"/>
  <c r="AE75" i="1"/>
  <c r="AC75" i="1"/>
  <c r="AA75" i="1"/>
  <c r="W75" i="1"/>
  <c r="V75" i="1"/>
  <c r="Q75" i="1"/>
  <c r="P75" i="1"/>
  <c r="O75" i="1"/>
  <c r="N75" i="1"/>
  <c r="M75" i="1"/>
  <c r="J75" i="1"/>
  <c r="I75" i="1"/>
  <c r="D75" i="1"/>
  <c r="F75" i="1"/>
  <c r="E75" i="1"/>
  <c r="A75" i="1"/>
  <c r="AB74" i="1"/>
  <c r="AD74" i="1"/>
  <c r="AG74" i="1"/>
  <c r="AE74" i="1"/>
  <c r="AC74" i="1"/>
  <c r="AA74" i="1"/>
  <c r="W74" i="1"/>
  <c r="V74" i="1"/>
  <c r="Q74" i="1"/>
  <c r="P74" i="1"/>
  <c r="O74" i="1"/>
  <c r="N74" i="1"/>
  <c r="M74" i="1"/>
  <c r="J74" i="1"/>
  <c r="I74" i="1"/>
  <c r="D74" i="1"/>
  <c r="F74" i="1"/>
  <c r="E74" i="1"/>
  <c r="A74" i="1"/>
  <c r="AB73" i="1"/>
  <c r="AD73" i="1"/>
  <c r="AG73" i="1"/>
  <c r="AE73" i="1"/>
  <c r="AC73" i="1"/>
  <c r="AA73" i="1"/>
  <c r="W73" i="1"/>
  <c r="V73" i="1"/>
  <c r="Q73" i="1"/>
  <c r="P73" i="1"/>
  <c r="O73" i="1"/>
  <c r="N73" i="1"/>
  <c r="M73" i="1"/>
  <c r="J73" i="1"/>
  <c r="I73" i="1"/>
  <c r="D73" i="1"/>
  <c r="F73" i="1"/>
  <c r="E73" i="1"/>
  <c r="A73" i="1"/>
  <c r="AB72" i="1"/>
  <c r="AD72" i="1"/>
  <c r="AG72" i="1"/>
  <c r="AE72" i="1"/>
  <c r="AC72" i="1"/>
  <c r="AA72" i="1"/>
  <c r="Q72" i="1"/>
  <c r="P72" i="1"/>
  <c r="O72" i="1"/>
  <c r="N72" i="1"/>
  <c r="M72" i="1"/>
  <c r="J72" i="1"/>
  <c r="I72" i="1"/>
  <c r="D72" i="1"/>
  <c r="F72" i="1"/>
  <c r="E72" i="1"/>
  <c r="A72" i="1"/>
  <c r="AB71" i="1"/>
  <c r="AD71" i="1"/>
  <c r="AG71" i="1"/>
  <c r="AE71" i="1"/>
  <c r="AC71" i="1"/>
  <c r="AA71" i="1"/>
  <c r="W71" i="1"/>
  <c r="V71" i="1"/>
  <c r="Q71" i="1"/>
  <c r="P71" i="1"/>
  <c r="O71" i="1"/>
  <c r="N71" i="1"/>
  <c r="M71" i="1"/>
  <c r="J71" i="1"/>
  <c r="I71" i="1"/>
  <c r="D71" i="1"/>
  <c r="F71" i="1"/>
  <c r="E71" i="1"/>
  <c r="A71" i="1"/>
  <c r="AB70" i="1"/>
  <c r="AD70" i="1"/>
  <c r="AG70" i="1"/>
  <c r="AE70" i="1"/>
  <c r="AC70" i="1"/>
  <c r="AA70" i="1"/>
  <c r="W70" i="1"/>
  <c r="V70" i="1"/>
  <c r="Q70" i="1"/>
  <c r="P70" i="1"/>
  <c r="O70" i="1"/>
  <c r="N70" i="1"/>
  <c r="M70" i="1"/>
  <c r="J70" i="1"/>
  <c r="I70" i="1"/>
  <c r="D70" i="1"/>
  <c r="F70" i="1"/>
  <c r="E70" i="1"/>
  <c r="A70" i="1"/>
  <c r="AB69" i="1"/>
  <c r="AD69" i="1"/>
  <c r="AG69" i="1"/>
  <c r="AE69" i="1"/>
  <c r="AC69" i="1"/>
  <c r="V69" i="1"/>
  <c r="Q69" i="1"/>
  <c r="P69" i="1"/>
  <c r="O69" i="1"/>
  <c r="N69" i="1"/>
  <c r="M69" i="1"/>
  <c r="J69" i="1"/>
  <c r="I69" i="1"/>
  <c r="D69" i="1"/>
  <c r="F69" i="1"/>
  <c r="E69" i="1"/>
  <c r="A69" i="1"/>
  <c r="AB68" i="1"/>
  <c r="AD68" i="1"/>
  <c r="AG68" i="1"/>
  <c r="AE68" i="1"/>
  <c r="AC68" i="1"/>
  <c r="Q68" i="1"/>
  <c r="P68" i="1"/>
  <c r="O68" i="1"/>
  <c r="N68" i="1"/>
  <c r="M68" i="1"/>
  <c r="J68" i="1"/>
  <c r="I68" i="1"/>
  <c r="D68" i="1"/>
  <c r="F68" i="1"/>
  <c r="E68" i="1"/>
  <c r="A68" i="1"/>
  <c r="AB67" i="1"/>
  <c r="AD67" i="1"/>
  <c r="AG67" i="1"/>
  <c r="AE67" i="1"/>
  <c r="AC67" i="1"/>
  <c r="V67" i="1"/>
  <c r="P67" i="1"/>
  <c r="O67" i="1"/>
  <c r="N67" i="1"/>
  <c r="M67" i="1"/>
  <c r="J67" i="1"/>
  <c r="I67" i="1"/>
  <c r="D67" i="1"/>
  <c r="F67" i="1"/>
  <c r="E67" i="1"/>
  <c r="A67" i="1"/>
  <c r="AB66" i="1"/>
  <c r="AD66" i="1"/>
  <c r="AG66" i="1"/>
  <c r="AE66" i="1"/>
  <c r="AC66" i="1"/>
  <c r="Q66" i="1"/>
  <c r="P66" i="1"/>
  <c r="O66" i="1"/>
  <c r="N66" i="1"/>
  <c r="M66" i="1"/>
  <c r="J66" i="1"/>
  <c r="I66" i="1"/>
  <c r="D66" i="1"/>
  <c r="F66" i="1"/>
  <c r="E66" i="1"/>
  <c r="A66" i="1"/>
  <c r="H37" i="2"/>
  <c r="E37" i="2"/>
  <c r="D37" i="2"/>
  <c r="B37" i="2"/>
  <c r="H36" i="2"/>
  <c r="E36" i="2"/>
  <c r="D36" i="2"/>
  <c r="B36" i="2"/>
  <c r="H35" i="2"/>
  <c r="E35" i="2"/>
  <c r="D35" i="2"/>
  <c r="B35" i="2"/>
  <c r="H34" i="2"/>
  <c r="E34" i="2"/>
  <c r="D34" i="2"/>
  <c r="B34" i="2"/>
  <c r="H33" i="2"/>
  <c r="E33" i="2"/>
  <c r="D33" i="2"/>
  <c r="B33" i="2"/>
  <c r="H32" i="2"/>
  <c r="E32" i="2"/>
  <c r="D32" i="2"/>
  <c r="B32" i="2"/>
  <c r="H31" i="2"/>
  <c r="E31" i="2"/>
  <c r="D31" i="2"/>
  <c r="B31" i="2"/>
  <c r="H30" i="2"/>
  <c r="E30" i="2"/>
  <c r="D30" i="2"/>
  <c r="B30" i="2"/>
  <c r="H29" i="2"/>
  <c r="E29" i="2"/>
  <c r="D29" i="2"/>
  <c r="B29" i="2"/>
  <c r="H28" i="2"/>
  <c r="E28" i="2"/>
  <c r="D28" i="2"/>
  <c r="B28" i="2"/>
  <c r="H27" i="2"/>
  <c r="E27" i="2"/>
  <c r="D27" i="2"/>
  <c r="B27" i="2"/>
  <c r="H26" i="2"/>
  <c r="E26" i="2"/>
  <c r="D26" i="2"/>
  <c r="B26" i="2"/>
  <c r="D34" i="1"/>
  <c r="F34" i="1"/>
  <c r="B25" i="21"/>
  <c r="B24" i="21"/>
  <c r="B23" i="21"/>
  <c r="B22" i="21"/>
  <c r="B21" i="21"/>
  <c r="B19" i="21"/>
  <c r="B18" i="21"/>
  <c r="B17" i="21"/>
  <c r="B16" i="21"/>
  <c r="B15" i="21"/>
  <c r="B13" i="21"/>
  <c r="B12" i="21"/>
  <c r="B11" i="21"/>
  <c r="B10" i="21"/>
  <c r="B9" i="21"/>
  <c r="B20" i="21"/>
  <c r="B14" i="21"/>
  <c r="B8" i="21"/>
  <c r="I25" i="21"/>
  <c r="J25" i="21"/>
  <c r="G25" i="21"/>
  <c r="F25" i="21"/>
  <c r="D25" i="21"/>
  <c r="C25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68" i="19"/>
  <c r="B69" i="19"/>
  <c r="B70" i="19"/>
  <c r="B71" i="19"/>
  <c r="B72" i="19"/>
  <c r="B73" i="19"/>
  <c r="B74" i="19"/>
  <c r="B75" i="19"/>
  <c r="B76" i="19"/>
  <c r="B77" i="19"/>
  <c r="B78" i="19"/>
  <c r="B79" i="19"/>
  <c r="B67" i="19"/>
  <c r="B66" i="19"/>
  <c r="B55" i="19"/>
  <c r="B56" i="19"/>
  <c r="B57" i="19"/>
  <c r="B58" i="19"/>
  <c r="B59" i="19"/>
  <c r="B60" i="19"/>
  <c r="B61" i="19"/>
  <c r="B62" i="19"/>
  <c r="B63" i="19"/>
  <c r="B64" i="19"/>
  <c r="B65" i="19"/>
  <c r="B54" i="19"/>
  <c r="L79" i="19"/>
  <c r="K79" i="19"/>
  <c r="G79" i="19"/>
  <c r="F79" i="19"/>
  <c r="D79" i="19"/>
  <c r="C79" i="19"/>
  <c r="L78" i="19"/>
  <c r="K78" i="19"/>
  <c r="G78" i="19"/>
  <c r="F78" i="19"/>
  <c r="D78" i="19"/>
  <c r="C78" i="19"/>
  <c r="L77" i="19"/>
  <c r="K77" i="19"/>
  <c r="G77" i="19"/>
  <c r="F77" i="19"/>
  <c r="D77" i="19"/>
  <c r="C77" i="19"/>
  <c r="L76" i="19"/>
  <c r="K76" i="19"/>
  <c r="G76" i="19"/>
  <c r="F76" i="19"/>
  <c r="D76" i="19"/>
  <c r="C76" i="19"/>
  <c r="L75" i="19"/>
  <c r="K75" i="19"/>
  <c r="G75" i="19"/>
  <c r="F75" i="19"/>
  <c r="D75" i="19"/>
  <c r="C75" i="19"/>
  <c r="L74" i="19"/>
  <c r="K74" i="19"/>
  <c r="G74" i="19"/>
  <c r="F74" i="19"/>
  <c r="D74" i="19"/>
  <c r="C74" i="19"/>
  <c r="L73" i="19"/>
  <c r="K73" i="19"/>
  <c r="G73" i="19"/>
  <c r="F73" i="19"/>
  <c r="D73" i="19"/>
  <c r="C73" i="19"/>
  <c r="L72" i="19"/>
  <c r="K72" i="19"/>
  <c r="G72" i="19"/>
  <c r="F72" i="19"/>
  <c r="D72" i="19"/>
  <c r="C72" i="19"/>
  <c r="L71" i="19"/>
  <c r="K71" i="19"/>
  <c r="G71" i="19"/>
  <c r="F71" i="19"/>
  <c r="D71" i="19"/>
  <c r="C71" i="19"/>
  <c r="L70" i="19"/>
  <c r="K70" i="19"/>
  <c r="G70" i="19"/>
  <c r="F70" i="19"/>
  <c r="D70" i="19"/>
  <c r="C70" i="19"/>
  <c r="L69" i="19"/>
  <c r="K69" i="19"/>
  <c r="G69" i="19"/>
  <c r="F69" i="19"/>
  <c r="D69" i="19"/>
  <c r="C69" i="19"/>
  <c r="L68" i="19"/>
  <c r="K68" i="19"/>
  <c r="G68" i="19"/>
  <c r="F68" i="19"/>
  <c r="D68" i="19"/>
  <c r="C68" i="19"/>
  <c r="L67" i="19"/>
  <c r="K67" i="19"/>
  <c r="G67" i="19"/>
  <c r="F67" i="19"/>
  <c r="D67" i="19"/>
  <c r="C67" i="19"/>
  <c r="L66" i="19"/>
  <c r="K66" i="19"/>
  <c r="G66" i="19"/>
  <c r="F66" i="19"/>
  <c r="D66" i="19"/>
  <c r="C66" i="19"/>
  <c r="L65" i="19"/>
  <c r="K65" i="19"/>
  <c r="G65" i="19"/>
  <c r="F65" i="19"/>
  <c r="D65" i="19"/>
  <c r="C65" i="19"/>
  <c r="L64" i="19"/>
  <c r="K64" i="19"/>
  <c r="G64" i="19"/>
  <c r="F64" i="19"/>
  <c r="D64" i="19"/>
  <c r="C64" i="19"/>
  <c r="L63" i="19"/>
  <c r="K63" i="19"/>
  <c r="G63" i="19"/>
  <c r="F63" i="19"/>
  <c r="D63" i="19"/>
  <c r="C63" i="19"/>
  <c r="L62" i="19"/>
  <c r="K62" i="19"/>
  <c r="G62" i="19"/>
  <c r="F62" i="19"/>
  <c r="D62" i="19"/>
  <c r="C62" i="19"/>
  <c r="L61" i="19"/>
  <c r="K61" i="19"/>
  <c r="G61" i="19"/>
  <c r="F61" i="19"/>
  <c r="D61" i="19"/>
  <c r="C61" i="19"/>
  <c r="L60" i="19"/>
  <c r="K60" i="19"/>
  <c r="G60" i="19"/>
  <c r="F60" i="19"/>
  <c r="D60" i="19"/>
  <c r="C60" i="19"/>
  <c r="L59" i="19"/>
  <c r="K59" i="19"/>
  <c r="G59" i="19"/>
  <c r="F59" i="19"/>
  <c r="D59" i="19"/>
  <c r="C59" i="19"/>
  <c r="L58" i="19"/>
  <c r="K58" i="19"/>
  <c r="G58" i="19"/>
  <c r="F58" i="19"/>
  <c r="D58" i="19"/>
  <c r="C58" i="19"/>
  <c r="L57" i="19"/>
  <c r="K57" i="19"/>
  <c r="G57" i="19"/>
  <c r="F57" i="19"/>
  <c r="D57" i="19"/>
  <c r="C57" i="19"/>
  <c r="L56" i="19"/>
  <c r="K56" i="19"/>
  <c r="G56" i="19"/>
  <c r="F56" i="19"/>
  <c r="D56" i="19"/>
  <c r="C56" i="19"/>
  <c r="L55" i="19"/>
  <c r="K55" i="19"/>
  <c r="G55" i="19"/>
  <c r="F55" i="19"/>
  <c r="D55" i="19"/>
  <c r="C55" i="19"/>
  <c r="L54" i="19"/>
  <c r="K54" i="19"/>
  <c r="G54" i="19"/>
  <c r="F54" i="19"/>
  <c r="D54" i="19"/>
  <c r="C54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15" i="19"/>
  <c r="L27" i="19"/>
  <c r="K27" i="19"/>
  <c r="G27" i="19"/>
  <c r="F27" i="19"/>
  <c r="D27" i="19"/>
  <c r="C27" i="19"/>
  <c r="L26" i="19"/>
  <c r="K26" i="19"/>
  <c r="G26" i="19"/>
  <c r="F26" i="19"/>
  <c r="D26" i="19"/>
  <c r="C26" i="19"/>
  <c r="L25" i="19"/>
  <c r="K25" i="19"/>
  <c r="G25" i="19"/>
  <c r="F25" i="19"/>
  <c r="D25" i="19"/>
  <c r="C25" i="19"/>
  <c r="L24" i="19"/>
  <c r="K24" i="19"/>
  <c r="G24" i="19"/>
  <c r="F24" i="19"/>
  <c r="D24" i="19"/>
  <c r="C24" i="19"/>
  <c r="L23" i="19"/>
  <c r="K23" i="19"/>
  <c r="G23" i="19"/>
  <c r="F23" i="19"/>
  <c r="D23" i="19"/>
  <c r="C23" i="19"/>
  <c r="L22" i="19"/>
  <c r="K22" i="19"/>
  <c r="G22" i="19"/>
  <c r="F22" i="19"/>
  <c r="D22" i="19"/>
  <c r="C22" i="19"/>
  <c r="L21" i="19"/>
  <c r="K21" i="19"/>
  <c r="G21" i="19"/>
  <c r="F21" i="19"/>
  <c r="D21" i="19"/>
  <c r="C21" i="19"/>
  <c r="L20" i="19"/>
  <c r="K20" i="19"/>
  <c r="G20" i="19"/>
  <c r="F20" i="19"/>
  <c r="D20" i="19"/>
  <c r="C20" i="19"/>
  <c r="L19" i="19"/>
  <c r="K19" i="19"/>
  <c r="G19" i="19"/>
  <c r="F19" i="19"/>
  <c r="D19" i="19"/>
  <c r="C19" i="19"/>
  <c r="L18" i="19"/>
  <c r="K18" i="19"/>
  <c r="G18" i="19"/>
  <c r="F18" i="19"/>
  <c r="D18" i="19"/>
  <c r="C18" i="19"/>
  <c r="L17" i="19"/>
  <c r="K17" i="19"/>
  <c r="G17" i="19"/>
  <c r="F17" i="19"/>
  <c r="D17" i="19"/>
  <c r="C17" i="19"/>
  <c r="L16" i="19"/>
  <c r="K16" i="19"/>
  <c r="G16" i="19"/>
  <c r="F16" i="19"/>
  <c r="D16" i="19"/>
  <c r="C16" i="19"/>
  <c r="L15" i="19"/>
  <c r="K15" i="19"/>
  <c r="G15" i="19"/>
  <c r="F15" i="19"/>
  <c r="D15" i="19"/>
  <c r="C15" i="19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AB65" i="1"/>
  <c r="AD65" i="1"/>
  <c r="AG65" i="1"/>
  <c r="AE65" i="1"/>
  <c r="AC65" i="1"/>
  <c r="V65" i="1"/>
  <c r="Q65" i="1"/>
  <c r="P65" i="1"/>
  <c r="O65" i="1"/>
  <c r="N65" i="1"/>
  <c r="M65" i="1"/>
  <c r="J65" i="1"/>
  <c r="I65" i="1"/>
  <c r="D65" i="1"/>
  <c r="F65" i="1"/>
  <c r="E65" i="1"/>
  <c r="A65" i="1"/>
  <c r="AB64" i="1"/>
  <c r="AD64" i="1"/>
  <c r="AG64" i="1"/>
  <c r="AE64" i="1"/>
  <c r="AC64" i="1"/>
  <c r="Q64" i="1"/>
  <c r="P64" i="1"/>
  <c r="O64" i="1"/>
  <c r="N64" i="1"/>
  <c r="M64" i="1"/>
  <c r="J64" i="1"/>
  <c r="I64" i="1"/>
  <c r="D64" i="1"/>
  <c r="F64" i="1"/>
  <c r="E64" i="1"/>
  <c r="A64" i="1"/>
  <c r="AB63" i="1"/>
  <c r="AD63" i="1"/>
  <c r="AG63" i="1"/>
  <c r="AE63" i="1"/>
  <c r="AC63" i="1"/>
  <c r="V63" i="1"/>
  <c r="Q63" i="1"/>
  <c r="P63" i="1"/>
  <c r="O63" i="1"/>
  <c r="N63" i="1"/>
  <c r="M63" i="1"/>
  <c r="J63" i="1"/>
  <c r="I63" i="1"/>
  <c r="D63" i="1"/>
  <c r="F63" i="1"/>
  <c r="E63" i="1"/>
  <c r="A63" i="1"/>
  <c r="AB62" i="1"/>
  <c r="AD62" i="1"/>
  <c r="AG62" i="1"/>
  <c r="AE62" i="1"/>
  <c r="AC62" i="1"/>
  <c r="AA62" i="1"/>
  <c r="V62" i="1"/>
  <c r="Q62" i="1"/>
  <c r="P62" i="1"/>
  <c r="O62" i="1"/>
  <c r="N62" i="1"/>
  <c r="M62" i="1"/>
  <c r="J62" i="1"/>
  <c r="I62" i="1"/>
  <c r="D62" i="1"/>
  <c r="F62" i="1"/>
  <c r="E62" i="1"/>
  <c r="A62" i="1"/>
  <c r="AB61" i="1"/>
  <c r="AD61" i="1"/>
  <c r="AG61" i="1"/>
  <c r="AE61" i="1"/>
  <c r="AC61" i="1"/>
  <c r="V61" i="1"/>
  <c r="Q61" i="1"/>
  <c r="P61" i="1"/>
  <c r="O61" i="1"/>
  <c r="N61" i="1"/>
  <c r="M61" i="1"/>
  <c r="J61" i="1"/>
  <c r="I61" i="1"/>
  <c r="D61" i="1"/>
  <c r="F61" i="1"/>
  <c r="E61" i="1"/>
  <c r="A61" i="1"/>
  <c r="AB60" i="1"/>
  <c r="AD60" i="1"/>
  <c r="AG60" i="1"/>
  <c r="AE60" i="1"/>
  <c r="AC60" i="1"/>
  <c r="V60" i="1"/>
  <c r="Q60" i="1"/>
  <c r="P60" i="1"/>
  <c r="O60" i="1"/>
  <c r="N60" i="1"/>
  <c r="M60" i="1"/>
  <c r="J60" i="1"/>
  <c r="I60" i="1"/>
  <c r="D60" i="1"/>
  <c r="F60" i="1"/>
  <c r="E60" i="1"/>
  <c r="A60" i="1"/>
  <c r="AB59" i="1"/>
  <c r="AD59" i="1"/>
  <c r="AG59" i="1"/>
  <c r="AE59" i="1"/>
  <c r="AC59" i="1"/>
  <c r="AA59" i="1"/>
  <c r="W59" i="1"/>
  <c r="V59" i="1"/>
  <c r="Q59" i="1"/>
  <c r="P59" i="1"/>
  <c r="O59" i="1"/>
  <c r="N59" i="1"/>
  <c r="M59" i="1"/>
  <c r="J59" i="1"/>
  <c r="I59" i="1"/>
  <c r="D59" i="1"/>
  <c r="F59" i="1"/>
  <c r="E59" i="1"/>
  <c r="A59" i="1"/>
  <c r="AB58" i="1"/>
  <c r="AD58" i="1"/>
  <c r="AG58" i="1"/>
  <c r="AE58" i="1"/>
  <c r="AC58" i="1"/>
  <c r="AA58" i="1"/>
  <c r="W58" i="1"/>
  <c r="V58" i="1"/>
  <c r="Q58" i="1"/>
  <c r="P58" i="1"/>
  <c r="O58" i="1"/>
  <c r="N58" i="1"/>
  <c r="M58" i="1"/>
  <c r="J58" i="1"/>
  <c r="I58" i="1"/>
  <c r="D58" i="1"/>
  <c r="F58" i="1"/>
  <c r="E58" i="1"/>
  <c r="A58" i="1"/>
  <c r="AB57" i="1"/>
  <c r="AD57" i="1"/>
  <c r="AG57" i="1"/>
  <c r="AE57" i="1"/>
  <c r="AC57" i="1"/>
  <c r="AA57" i="1"/>
  <c r="W57" i="1"/>
  <c r="V57" i="1"/>
  <c r="Q57" i="1"/>
  <c r="P57" i="1"/>
  <c r="O57" i="1"/>
  <c r="N57" i="1"/>
  <c r="M57" i="1"/>
  <c r="J57" i="1"/>
  <c r="I57" i="1"/>
  <c r="D57" i="1"/>
  <c r="F57" i="1"/>
  <c r="E57" i="1"/>
  <c r="A57" i="1"/>
  <c r="AB56" i="1"/>
  <c r="AD56" i="1"/>
  <c r="AG56" i="1"/>
  <c r="AE56" i="1"/>
  <c r="AC56" i="1"/>
  <c r="AA56" i="1"/>
  <c r="Q56" i="1"/>
  <c r="P56" i="1"/>
  <c r="O56" i="1"/>
  <c r="N56" i="1"/>
  <c r="M56" i="1"/>
  <c r="J56" i="1"/>
  <c r="I56" i="1"/>
  <c r="D56" i="1"/>
  <c r="F56" i="1"/>
  <c r="E56" i="1"/>
  <c r="A56" i="1"/>
  <c r="AB55" i="1"/>
  <c r="AD55" i="1"/>
  <c r="AG55" i="1"/>
  <c r="AE55" i="1"/>
  <c r="AC55" i="1"/>
  <c r="AA55" i="1"/>
  <c r="W55" i="1"/>
  <c r="V55" i="1"/>
  <c r="Q55" i="1"/>
  <c r="P55" i="1"/>
  <c r="O55" i="1"/>
  <c r="N55" i="1"/>
  <c r="M55" i="1"/>
  <c r="J55" i="1"/>
  <c r="I55" i="1"/>
  <c r="D55" i="1"/>
  <c r="F55" i="1"/>
  <c r="E55" i="1"/>
  <c r="A55" i="1"/>
  <c r="AB54" i="1"/>
  <c r="AD54" i="1"/>
  <c r="AG54" i="1"/>
  <c r="AE54" i="1"/>
  <c r="AC54" i="1"/>
  <c r="AA54" i="1"/>
  <c r="W54" i="1"/>
  <c r="V54" i="1"/>
  <c r="Q54" i="1"/>
  <c r="P54" i="1"/>
  <c r="O54" i="1"/>
  <c r="N54" i="1"/>
  <c r="M54" i="1"/>
  <c r="J54" i="1"/>
  <c r="I54" i="1"/>
  <c r="D54" i="1"/>
  <c r="F54" i="1"/>
  <c r="E54" i="1"/>
  <c r="A54" i="1"/>
  <c r="AB53" i="1"/>
  <c r="AD53" i="1"/>
  <c r="AG53" i="1"/>
  <c r="AE53" i="1"/>
  <c r="AC53" i="1"/>
  <c r="V53" i="1"/>
  <c r="Q53" i="1"/>
  <c r="P53" i="1"/>
  <c r="O53" i="1"/>
  <c r="N53" i="1"/>
  <c r="M53" i="1"/>
  <c r="J53" i="1"/>
  <c r="I53" i="1"/>
  <c r="D53" i="1"/>
  <c r="F53" i="1"/>
  <c r="E53" i="1"/>
  <c r="A53" i="1"/>
  <c r="AB52" i="1"/>
  <c r="AD52" i="1"/>
  <c r="AG52" i="1"/>
  <c r="AE52" i="1"/>
  <c r="AC52" i="1"/>
  <c r="V52" i="1"/>
  <c r="Q52" i="1"/>
  <c r="P52" i="1"/>
  <c r="O52" i="1"/>
  <c r="N52" i="1"/>
  <c r="M52" i="1"/>
  <c r="J52" i="1"/>
  <c r="I52" i="1"/>
  <c r="D52" i="1"/>
  <c r="F52" i="1"/>
  <c r="E52" i="1"/>
  <c r="A52" i="1"/>
  <c r="AB51" i="1"/>
  <c r="AD51" i="1"/>
  <c r="AG51" i="1"/>
  <c r="AE51" i="1"/>
  <c r="AC51" i="1"/>
  <c r="V51" i="1"/>
  <c r="Q51" i="1"/>
  <c r="P51" i="1"/>
  <c r="O51" i="1"/>
  <c r="N51" i="1"/>
  <c r="M51" i="1"/>
  <c r="J51" i="1"/>
  <c r="I51" i="1"/>
  <c r="D51" i="1"/>
  <c r="F51" i="1"/>
  <c r="E51" i="1"/>
  <c r="A51" i="1"/>
  <c r="AB50" i="1"/>
  <c r="AD50" i="1"/>
  <c r="AG50" i="1"/>
  <c r="AE50" i="1"/>
  <c r="AC50" i="1"/>
  <c r="V50" i="1"/>
  <c r="Q50" i="1"/>
  <c r="P50" i="1"/>
  <c r="O50" i="1"/>
  <c r="N50" i="1"/>
  <c r="M50" i="1"/>
  <c r="J50" i="1"/>
  <c r="I50" i="1"/>
  <c r="D50" i="1"/>
  <c r="F50" i="1"/>
  <c r="E50" i="1"/>
  <c r="A50" i="1"/>
  <c r="AB49" i="1"/>
  <c r="AD49" i="1"/>
  <c r="AG49" i="1"/>
  <c r="AE49" i="1"/>
  <c r="AC49" i="1"/>
  <c r="AA49" i="1"/>
  <c r="V49" i="1"/>
  <c r="Q49" i="1"/>
  <c r="P49" i="1"/>
  <c r="O49" i="1"/>
  <c r="N49" i="1"/>
  <c r="M49" i="1"/>
  <c r="J49" i="1"/>
  <c r="I49" i="1"/>
  <c r="D49" i="1"/>
  <c r="F49" i="1"/>
  <c r="E49" i="1"/>
  <c r="A49" i="1"/>
  <c r="AB48" i="1"/>
  <c r="AD48" i="1"/>
  <c r="AG48" i="1"/>
  <c r="AE48" i="1"/>
  <c r="AC48" i="1"/>
  <c r="Q48" i="1"/>
  <c r="P48" i="1"/>
  <c r="O48" i="1"/>
  <c r="N48" i="1"/>
  <c r="M48" i="1"/>
  <c r="J48" i="1"/>
  <c r="I48" i="1"/>
  <c r="D48" i="1"/>
  <c r="F48" i="1"/>
  <c r="E48" i="1"/>
  <c r="A48" i="1"/>
  <c r="AB47" i="1"/>
  <c r="AD47" i="1"/>
  <c r="AG47" i="1"/>
  <c r="AE47" i="1"/>
  <c r="AC47" i="1"/>
  <c r="V47" i="1"/>
  <c r="Q47" i="1"/>
  <c r="P47" i="1"/>
  <c r="O47" i="1"/>
  <c r="N47" i="1"/>
  <c r="M47" i="1"/>
  <c r="J47" i="1"/>
  <c r="I47" i="1"/>
  <c r="D47" i="1"/>
  <c r="F47" i="1"/>
  <c r="E47" i="1"/>
  <c r="A47" i="1"/>
  <c r="AB46" i="1"/>
  <c r="AD46" i="1"/>
  <c r="AG46" i="1"/>
  <c r="AE46" i="1"/>
  <c r="AC46" i="1"/>
  <c r="Q46" i="1"/>
  <c r="P46" i="1"/>
  <c r="O46" i="1"/>
  <c r="N46" i="1"/>
  <c r="M46" i="1"/>
  <c r="J46" i="1"/>
  <c r="I46" i="1"/>
  <c r="D46" i="1"/>
  <c r="F46" i="1"/>
  <c r="E46" i="1"/>
  <c r="A46" i="1"/>
  <c r="AB45" i="1"/>
  <c r="AD45" i="1"/>
  <c r="AG45" i="1"/>
  <c r="AE45" i="1"/>
  <c r="AC45" i="1"/>
  <c r="V45" i="1"/>
  <c r="Q45" i="1"/>
  <c r="P45" i="1"/>
  <c r="O45" i="1"/>
  <c r="N45" i="1"/>
  <c r="M45" i="1"/>
  <c r="J45" i="1"/>
  <c r="I45" i="1"/>
  <c r="D45" i="1"/>
  <c r="F45" i="1"/>
  <c r="E45" i="1"/>
  <c r="A45" i="1"/>
  <c r="AB44" i="1"/>
  <c r="AD44" i="1"/>
  <c r="AG44" i="1"/>
  <c r="AE44" i="1"/>
  <c r="AC44" i="1"/>
  <c r="Q44" i="1"/>
  <c r="P44" i="1"/>
  <c r="O44" i="1"/>
  <c r="N44" i="1"/>
  <c r="M44" i="1"/>
  <c r="J44" i="1"/>
  <c r="I44" i="1"/>
  <c r="D44" i="1"/>
  <c r="F44" i="1"/>
  <c r="E44" i="1"/>
  <c r="A44" i="1"/>
  <c r="AB43" i="1"/>
  <c r="AD43" i="1"/>
  <c r="AG43" i="1"/>
  <c r="AE43" i="1"/>
  <c r="AC43" i="1"/>
  <c r="AA43" i="1"/>
  <c r="W43" i="1"/>
  <c r="V43" i="1"/>
  <c r="Q43" i="1"/>
  <c r="P43" i="1"/>
  <c r="O43" i="1"/>
  <c r="N43" i="1"/>
  <c r="M43" i="1"/>
  <c r="J43" i="1"/>
  <c r="I43" i="1"/>
  <c r="D43" i="1"/>
  <c r="F43" i="1"/>
  <c r="E43" i="1"/>
  <c r="A43" i="1"/>
  <c r="AB42" i="1"/>
  <c r="AD42" i="1"/>
  <c r="AG42" i="1"/>
  <c r="AE42" i="1"/>
  <c r="AC42" i="1"/>
  <c r="AA42" i="1"/>
  <c r="W42" i="1"/>
  <c r="V42" i="1"/>
  <c r="Q42" i="1"/>
  <c r="P42" i="1"/>
  <c r="O42" i="1"/>
  <c r="N42" i="1"/>
  <c r="M42" i="1"/>
  <c r="J42" i="1"/>
  <c r="I42" i="1"/>
  <c r="D42" i="1"/>
  <c r="F42" i="1"/>
  <c r="E42" i="1"/>
  <c r="A42" i="1"/>
  <c r="AB41" i="1"/>
  <c r="AD41" i="1"/>
  <c r="AG41" i="1"/>
  <c r="AE41" i="1"/>
  <c r="AC41" i="1"/>
  <c r="AA41" i="1"/>
  <c r="W41" i="1"/>
  <c r="V41" i="1"/>
  <c r="Q41" i="1"/>
  <c r="P41" i="1"/>
  <c r="O41" i="1"/>
  <c r="N41" i="1"/>
  <c r="M41" i="1"/>
  <c r="J41" i="1"/>
  <c r="I41" i="1"/>
  <c r="D41" i="1"/>
  <c r="F41" i="1"/>
  <c r="E41" i="1"/>
  <c r="A41" i="1"/>
  <c r="AB40" i="1"/>
  <c r="AD40" i="1"/>
  <c r="AG40" i="1"/>
  <c r="AE40" i="1"/>
  <c r="AC40" i="1"/>
  <c r="AA40" i="1"/>
  <c r="W40" i="1"/>
  <c r="V40" i="1"/>
  <c r="Q40" i="1"/>
  <c r="P40" i="1"/>
  <c r="O40" i="1"/>
  <c r="N40" i="1"/>
  <c r="M40" i="1"/>
  <c r="J40" i="1"/>
  <c r="I40" i="1"/>
  <c r="D40" i="1"/>
  <c r="F40" i="1"/>
  <c r="E40" i="1"/>
  <c r="A40" i="1"/>
  <c r="AB39" i="1"/>
  <c r="AD39" i="1"/>
  <c r="AG39" i="1"/>
  <c r="AE39" i="1"/>
  <c r="AC39" i="1"/>
  <c r="AA39" i="1"/>
  <c r="W39" i="1"/>
  <c r="V39" i="1"/>
  <c r="Q39" i="1"/>
  <c r="P39" i="1"/>
  <c r="O39" i="1"/>
  <c r="N39" i="1"/>
  <c r="M39" i="1"/>
  <c r="J39" i="1"/>
  <c r="I39" i="1"/>
  <c r="D39" i="1"/>
  <c r="F39" i="1"/>
  <c r="E39" i="1"/>
  <c r="A39" i="1"/>
  <c r="AB38" i="1"/>
  <c r="AD38" i="1"/>
  <c r="AG38" i="1"/>
  <c r="AE38" i="1"/>
  <c r="AC38" i="1"/>
  <c r="AA38" i="1"/>
  <c r="W38" i="1"/>
  <c r="V38" i="1"/>
  <c r="Q38" i="1"/>
  <c r="P38" i="1"/>
  <c r="O38" i="1"/>
  <c r="N38" i="1"/>
  <c r="M38" i="1"/>
  <c r="J38" i="1"/>
  <c r="I38" i="1"/>
  <c r="D38" i="1"/>
  <c r="F38" i="1"/>
  <c r="E38" i="1"/>
  <c r="A38" i="1"/>
  <c r="AB37" i="1"/>
  <c r="AD37" i="1"/>
  <c r="AG37" i="1"/>
  <c r="AE37" i="1"/>
  <c r="AC37" i="1"/>
  <c r="V37" i="1"/>
  <c r="Q37" i="1"/>
  <c r="P37" i="1"/>
  <c r="O37" i="1"/>
  <c r="N37" i="1"/>
  <c r="M37" i="1"/>
  <c r="J37" i="1"/>
  <c r="I37" i="1"/>
  <c r="D37" i="1"/>
  <c r="F37" i="1"/>
  <c r="E37" i="1"/>
  <c r="A37" i="1"/>
  <c r="AB36" i="1"/>
  <c r="AD36" i="1"/>
  <c r="AG36" i="1"/>
  <c r="AE36" i="1"/>
  <c r="AC36" i="1"/>
  <c r="Q36" i="1"/>
  <c r="P36" i="1"/>
  <c r="O36" i="1"/>
  <c r="N36" i="1"/>
  <c r="M36" i="1"/>
  <c r="J36" i="1"/>
  <c r="I36" i="1"/>
  <c r="D36" i="1"/>
  <c r="F36" i="1"/>
  <c r="E36" i="1"/>
  <c r="A36" i="1"/>
  <c r="AB35" i="1"/>
  <c r="AD35" i="1"/>
  <c r="AG35" i="1"/>
  <c r="AE35" i="1"/>
  <c r="AC35" i="1"/>
  <c r="V35" i="1"/>
  <c r="P35" i="1"/>
  <c r="O35" i="1"/>
  <c r="N35" i="1"/>
  <c r="M35" i="1"/>
  <c r="J35" i="1"/>
  <c r="I35" i="1"/>
  <c r="D35" i="1"/>
  <c r="F35" i="1"/>
  <c r="E35" i="1"/>
  <c r="A35" i="1"/>
  <c r="AB34" i="1"/>
  <c r="AD34" i="1"/>
  <c r="AG34" i="1"/>
  <c r="AE34" i="1"/>
  <c r="AC34" i="1"/>
  <c r="Q34" i="1"/>
  <c r="P34" i="1"/>
  <c r="O34" i="1"/>
  <c r="N34" i="1"/>
  <c r="M34" i="1"/>
  <c r="J34" i="1"/>
  <c r="I34" i="1"/>
  <c r="E34" i="1"/>
  <c r="A34" i="1"/>
  <c r="H25" i="2"/>
  <c r="E25" i="2"/>
  <c r="D25" i="2"/>
  <c r="B25" i="2"/>
  <c r="H24" i="2"/>
  <c r="E24" i="2"/>
  <c r="D24" i="2"/>
  <c r="B24" i="2"/>
  <c r="H23" i="2"/>
  <c r="E23" i="2"/>
  <c r="D23" i="2"/>
  <c r="B23" i="2"/>
  <c r="H22" i="2"/>
  <c r="E22" i="2"/>
  <c r="D22" i="2"/>
  <c r="B22" i="2"/>
  <c r="H21" i="2"/>
  <c r="E21" i="2"/>
  <c r="D21" i="2"/>
  <c r="B21" i="2"/>
  <c r="H20" i="2"/>
  <c r="E20" i="2"/>
  <c r="D20" i="2"/>
  <c r="B20" i="2"/>
  <c r="H19" i="2"/>
  <c r="E19" i="2"/>
  <c r="D19" i="2"/>
  <c r="B19" i="2"/>
  <c r="H18" i="2"/>
  <c r="E18" i="2"/>
  <c r="D18" i="2"/>
  <c r="B18" i="2"/>
  <c r="H17" i="2"/>
  <c r="E17" i="2"/>
  <c r="D17" i="2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C2" i="18"/>
  <c r="D2" i="18"/>
  <c r="Q2" i="1"/>
  <c r="J9" i="11"/>
  <c r="O9" i="9"/>
  <c r="N9" i="9"/>
  <c r="M9" i="9"/>
  <c r="L9" i="9"/>
  <c r="K9" i="9"/>
  <c r="J9" i="9"/>
  <c r="I9" i="9"/>
  <c r="H9" i="9"/>
  <c r="G9" i="9"/>
  <c r="D9" i="9"/>
  <c r="A9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V30" i="1"/>
  <c r="V28" i="1"/>
  <c r="W27" i="1"/>
  <c r="V27" i="1"/>
  <c r="W26" i="1"/>
  <c r="V26" i="1"/>
  <c r="W25" i="1"/>
  <c r="V25" i="1"/>
  <c r="W23" i="1"/>
  <c r="V23" i="1"/>
  <c r="W22" i="1"/>
  <c r="V22" i="1"/>
  <c r="V20" i="1"/>
  <c r="V18" i="1"/>
  <c r="W10" i="1"/>
  <c r="V10" i="1"/>
  <c r="W9" i="1"/>
  <c r="V9" i="1"/>
  <c r="W8" i="1"/>
  <c r="V8" i="1"/>
  <c r="W7" i="1"/>
  <c r="V7" i="1"/>
  <c r="W6" i="1"/>
  <c r="V6" i="1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J3" i="11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O3" i="9"/>
  <c r="N3" i="9"/>
  <c r="M3" i="9"/>
  <c r="L3" i="9"/>
  <c r="K3" i="9"/>
  <c r="J3" i="9"/>
  <c r="I3" i="9"/>
  <c r="H3" i="9"/>
  <c r="G3" i="9"/>
  <c r="D3" i="9"/>
  <c r="A3" i="9"/>
  <c r="AB33" i="1"/>
  <c r="AD33" i="1"/>
  <c r="AG33" i="1"/>
  <c r="AE33" i="1"/>
  <c r="AC33" i="1"/>
  <c r="V33" i="1"/>
  <c r="Q33" i="1"/>
  <c r="P33" i="1"/>
  <c r="O33" i="1"/>
  <c r="N33" i="1"/>
  <c r="M33" i="1"/>
  <c r="J33" i="1"/>
  <c r="I33" i="1"/>
  <c r="D33" i="1"/>
  <c r="F33" i="1"/>
  <c r="E33" i="1"/>
  <c r="A33" i="1"/>
  <c r="AB32" i="1"/>
  <c r="AD32" i="1"/>
  <c r="AG32" i="1"/>
  <c r="AE32" i="1"/>
  <c r="AC32" i="1"/>
  <c r="Q32" i="1"/>
  <c r="P32" i="1"/>
  <c r="O32" i="1"/>
  <c r="N32" i="1"/>
  <c r="M32" i="1"/>
  <c r="J32" i="1"/>
  <c r="I32" i="1"/>
  <c r="D32" i="1"/>
  <c r="F32" i="1"/>
  <c r="E32" i="1"/>
  <c r="A32" i="1"/>
  <c r="AB31" i="1"/>
  <c r="AD31" i="1"/>
  <c r="AG31" i="1"/>
  <c r="AE31" i="1"/>
  <c r="AC31" i="1"/>
  <c r="V31" i="1"/>
  <c r="Q31" i="1"/>
  <c r="P31" i="1"/>
  <c r="O31" i="1"/>
  <c r="N31" i="1"/>
  <c r="M31" i="1"/>
  <c r="J31" i="1"/>
  <c r="I31" i="1"/>
  <c r="D31" i="1"/>
  <c r="F31" i="1"/>
  <c r="E31" i="1"/>
  <c r="A31" i="1"/>
  <c r="AB30" i="1"/>
  <c r="AD30" i="1"/>
  <c r="AG30" i="1"/>
  <c r="AE30" i="1"/>
  <c r="AC30" i="1"/>
  <c r="AA30" i="1"/>
  <c r="Q30" i="1"/>
  <c r="P30" i="1"/>
  <c r="O30" i="1"/>
  <c r="N30" i="1"/>
  <c r="M30" i="1"/>
  <c r="J30" i="1"/>
  <c r="I30" i="1"/>
  <c r="D30" i="1"/>
  <c r="F30" i="1"/>
  <c r="E30" i="1"/>
  <c r="A30" i="1"/>
  <c r="AB29" i="1"/>
  <c r="AD29" i="1"/>
  <c r="AG29" i="1"/>
  <c r="AE29" i="1"/>
  <c r="AC29" i="1"/>
  <c r="V29" i="1"/>
  <c r="Q29" i="1"/>
  <c r="P29" i="1"/>
  <c r="O29" i="1"/>
  <c r="N29" i="1"/>
  <c r="M29" i="1"/>
  <c r="J29" i="1"/>
  <c r="I29" i="1"/>
  <c r="D29" i="1"/>
  <c r="F29" i="1"/>
  <c r="E29" i="1"/>
  <c r="A29" i="1"/>
  <c r="AB28" i="1"/>
  <c r="AD28" i="1"/>
  <c r="AG28" i="1"/>
  <c r="AE28" i="1"/>
  <c r="AC28" i="1"/>
  <c r="Q28" i="1"/>
  <c r="P28" i="1"/>
  <c r="O28" i="1"/>
  <c r="N28" i="1"/>
  <c r="M28" i="1"/>
  <c r="J28" i="1"/>
  <c r="I28" i="1"/>
  <c r="D28" i="1"/>
  <c r="F28" i="1"/>
  <c r="E28" i="1"/>
  <c r="A28" i="1"/>
  <c r="AB27" i="1"/>
  <c r="AD27" i="1"/>
  <c r="AG27" i="1"/>
  <c r="AE27" i="1"/>
  <c r="AC27" i="1"/>
  <c r="AA27" i="1"/>
  <c r="Q27" i="1"/>
  <c r="P27" i="1"/>
  <c r="O27" i="1"/>
  <c r="N27" i="1"/>
  <c r="M27" i="1"/>
  <c r="J27" i="1"/>
  <c r="I27" i="1"/>
  <c r="D27" i="1"/>
  <c r="F27" i="1"/>
  <c r="E27" i="1"/>
  <c r="A27" i="1"/>
  <c r="AB26" i="1"/>
  <c r="AD26" i="1"/>
  <c r="AG26" i="1"/>
  <c r="AE26" i="1"/>
  <c r="AC26" i="1"/>
  <c r="AA26" i="1"/>
  <c r="Q26" i="1"/>
  <c r="P26" i="1"/>
  <c r="O26" i="1"/>
  <c r="N26" i="1"/>
  <c r="M26" i="1"/>
  <c r="J26" i="1"/>
  <c r="I26" i="1"/>
  <c r="D26" i="1"/>
  <c r="F26" i="1"/>
  <c r="E26" i="1"/>
  <c r="A26" i="1"/>
  <c r="AB25" i="1"/>
  <c r="AD25" i="1"/>
  <c r="AG25" i="1"/>
  <c r="AE25" i="1"/>
  <c r="AC25" i="1"/>
  <c r="AA25" i="1"/>
  <c r="Q25" i="1"/>
  <c r="P25" i="1"/>
  <c r="O25" i="1"/>
  <c r="N25" i="1"/>
  <c r="M25" i="1"/>
  <c r="J25" i="1"/>
  <c r="I25" i="1"/>
  <c r="D25" i="1"/>
  <c r="F25" i="1"/>
  <c r="E25" i="1"/>
  <c r="A25" i="1"/>
  <c r="AB24" i="1"/>
  <c r="AD24" i="1"/>
  <c r="AG24" i="1"/>
  <c r="AE24" i="1"/>
  <c r="AC24" i="1"/>
  <c r="AA24" i="1"/>
  <c r="Q24" i="1"/>
  <c r="P24" i="1"/>
  <c r="O24" i="1"/>
  <c r="N24" i="1"/>
  <c r="M24" i="1"/>
  <c r="J24" i="1"/>
  <c r="I24" i="1"/>
  <c r="D24" i="1"/>
  <c r="F24" i="1"/>
  <c r="E24" i="1"/>
  <c r="A24" i="1"/>
  <c r="AB23" i="1"/>
  <c r="AD23" i="1"/>
  <c r="AG23" i="1"/>
  <c r="AE23" i="1"/>
  <c r="AC23" i="1"/>
  <c r="AA23" i="1"/>
  <c r="Q23" i="1"/>
  <c r="P23" i="1"/>
  <c r="O23" i="1"/>
  <c r="N23" i="1"/>
  <c r="M23" i="1"/>
  <c r="J23" i="1"/>
  <c r="I23" i="1"/>
  <c r="D23" i="1"/>
  <c r="F23" i="1"/>
  <c r="E23" i="1"/>
  <c r="A23" i="1"/>
  <c r="AB22" i="1"/>
  <c r="AD22" i="1"/>
  <c r="AG22" i="1"/>
  <c r="AE22" i="1"/>
  <c r="AC22" i="1"/>
  <c r="AA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V21" i="1"/>
  <c r="Q21" i="1"/>
  <c r="P21" i="1"/>
  <c r="O21" i="1"/>
  <c r="N21" i="1"/>
  <c r="M21" i="1"/>
  <c r="J21" i="1"/>
  <c r="I21" i="1"/>
  <c r="D21" i="1"/>
  <c r="F21" i="1"/>
  <c r="E21" i="1"/>
  <c r="A21" i="1"/>
  <c r="AB20" i="1"/>
  <c r="AD20" i="1"/>
  <c r="AG20" i="1"/>
  <c r="AE20" i="1"/>
  <c r="AC20" i="1"/>
  <c r="Q20" i="1"/>
  <c r="P20" i="1"/>
  <c r="O20" i="1"/>
  <c r="N20" i="1"/>
  <c r="M20" i="1"/>
  <c r="J20" i="1"/>
  <c r="I20" i="1"/>
  <c r="D20" i="1"/>
  <c r="F20" i="1"/>
  <c r="E20" i="1"/>
  <c r="A20" i="1"/>
  <c r="AB19" i="1"/>
  <c r="AD19" i="1"/>
  <c r="AG19" i="1"/>
  <c r="AE19" i="1"/>
  <c r="AC19" i="1"/>
  <c r="V19" i="1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AA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AA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AA10" i="1"/>
  <c r="Q10" i="1"/>
  <c r="P10" i="1"/>
  <c r="O10" i="1"/>
  <c r="N10" i="1"/>
  <c r="M10" i="1"/>
  <c r="J10" i="1"/>
  <c r="I10" i="1"/>
  <c r="D10" i="1"/>
  <c r="F10" i="1"/>
  <c r="E10" i="1"/>
  <c r="A10" i="1"/>
  <c r="AB9" i="1"/>
  <c r="AD9" i="1"/>
  <c r="AG9" i="1"/>
  <c r="AE9" i="1"/>
  <c r="AC9" i="1"/>
  <c r="AA9" i="1"/>
  <c r="Q9" i="1"/>
  <c r="P9" i="1"/>
  <c r="O9" i="1"/>
  <c r="N9" i="1"/>
  <c r="M9" i="1"/>
  <c r="J9" i="1"/>
  <c r="I9" i="1"/>
  <c r="D9" i="1"/>
  <c r="F9" i="1"/>
  <c r="E9" i="1"/>
  <c r="A9" i="1"/>
  <c r="AB8" i="1"/>
  <c r="AD8" i="1"/>
  <c r="AG8" i="1"/>
  <c r="AE8" i="1"/>
  <c r="AC8" i="1"/>
  <c r="AA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AA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AA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J4" i="1"/>
  <c r="I4" i="1"/>
  <c r="D4" i="1"/>
  <c r="F4" i="1"/>
  <c r="E4" i="1"/>
  <c r="A4" i="1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Y2" i="7"/>
  <c r="E9" i="16"/>
  <c r="X2" i="7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P3" i="1"/>
  <c r="O3" i="1"/>
  <c r="N3" i="1"/>
  <c r="M3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<sst xmlns="http://schemas.openxmlformats.org/spreadsheetml/2006/main" count="1575" uniqueCount="307">
  <si>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</si>
  <si>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</si>
  <si>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</si>
  <si>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</si>
  <si>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</si>
  <si>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</si>
  <si>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</si>
  <si>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</si>
  <si>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</si>
  <si>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</si>
  <si>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</si>
  <si>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</si>
  <si>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</si>
  <si>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</si>
  <si>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</si>
  <si>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</si>
  <si>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</si>
  <si>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</si>
  <si>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</si>
  <si>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</si>
  <si>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</si>
  <si>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</si>
  <si>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</si>
  <si>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</si>
  <si>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</si>
  <si>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</si>
  <si>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</si>
  <si>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</si>
  <si>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</si>
  <si>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</si>
  <si>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</si>
  <si>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</si>
  <si>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</si>
  <si>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</si>
  <si>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</si>
  <si>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</si>
  <si>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</si>
  <si>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</si>
  <si>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</si>
  <si>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</si>
  <si>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</si>
  <si>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</si>
  <si>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</si>
  <si>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</si>
  <si>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</si>
  <si>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</si>
  <si>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</si>
  <si>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</si>
  <si>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</si>
  <si>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</si>
  <si>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</si>
  <si>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</si>
  <si>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</si>
  <si>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</si>
  <si>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</si>
  <si>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</si>
  <si>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</si>
  <si>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</si>
  <si>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</si>
  <si>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</si>
  <si>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</si>
  <si>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</si>
  <si>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</si>
  <si>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</si>
  <si>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</si>
  <si>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</si>
  <si>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</si>
  <si>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</si>
  <si>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</si>
  <si>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</si>
  <si>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</si>
  <si>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</si>
  <si>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</si>
  <si>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</si>
  <si>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</si>
  <si>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</si>
  <si>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</si>
  <si>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</si>
  <si>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</si>
  <si>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</si>
  <si>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</si>
  <si>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</si>
  <si>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</si>
  <si>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</si>
  <si>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</si>
  <si>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</si>
  <si>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</si>
  <si>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</si>
  <si>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</si>
  <si>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</si>
  <si>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</si>
  <si>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</si>
  <si>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</si>
  <si>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</si>
  <si>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</si>
  <si>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</si>
  <si>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</si>
  <si>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</si>
  <si>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</si>
  <si>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</si>
  <si>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</si>
  <si>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</si>
  <si>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</si>
  <si>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</si>
  <si>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</si>
  <si>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</si>
  <si>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</si>
  <si>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</si>
  <si>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</si>
  <si>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</si>
  <si>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</si>
  <si>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</si>
  <si>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</si>
  <si>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</si>
  <si>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</si>
  <si>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</si>
  <si>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</si>
  <si>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</si>
  <si>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</si>
  <si>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</si>
  <si>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</si>
  <si>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</si>
  <si>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</si>
  <si>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</si>
  <si>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</si>
  <si>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</si>
  <si>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</si>
  <si>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</si>
  <si>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</si>
  <si>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</si>
  <si>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</si>
  <si>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</si>
  <si>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</si>
  <si>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</si>
  <si>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</si>
  <si>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</si>
  <si>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</si>
  <si>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</si>
  <si>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</si>
  <si>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</si>
  <si>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</si>
  <si>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</si>
  <si>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</si>
  <si>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</si>
  <si>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</si>
  <si>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</si>
  <si>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</si>
  <si>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</si>
  <si>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</si>
  <si>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</si>
  <si>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</si>
  <si>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</si>
  <si>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</si>
  <si>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</si>
  <si>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</si>
  <si>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</si>
  <si>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</si>
  <si>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</si>
  <si>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</si>
  <si>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</si>
  <si>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</si>
  <si>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</si>
  <si>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</si>
  <si>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</si>
  <si>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</si>
  <si>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</si>
  <si>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</si>
  <si>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</si>
  <si>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</si>
  <si>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</si>
  <si>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</si>
  <si>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</si>
  <si>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</si>
  <si>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</si>
  <si>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</si>
  <si>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</si>
  <si>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</si>
  <si>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</si>
  <si>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</si>
  <si>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</si>
  <si>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</si>
  <si>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</si>
  <si>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</si>
  <si>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</si>
  <si>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</si>
  <si>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</si>
  <si>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</si>
  <si>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</si>
  <si>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</si>
  <si>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</si>
  <si>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</si>
  <si>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</si>
  <si>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</si>
  <si>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</si>
  <si>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</si>
  <si>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</si>
  <si>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</si>
  <si>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</si>
  <si>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</si>
  <si>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</si>
  <si>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</si>
  <si>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</si>
  <si>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</si>
  <si>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</si>
  <si>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</si>
  <si>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</si>
  <si>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</si>
  <si>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</si>
  <si>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</si>
  <si>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</si>
  <si>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全体攻撃</t>
    <rPh sb="0" eb="4">
      <t>ゼンタイコウゲキ</t>
    </rPh>
    <phoneticPr fontId="5"/>
  </si>
  <si>
    <t>ja</t>
  </si>
  <si>
    <t>ドゥッードゥッー</t>
  </si>
  <si>
    <t>キュピィィーッ</t>
  </si>
  <si>
    <t>null</t>
  </si>
  <si>
    <t>unit</t>
  </si>
  <si>
    <t>week2</t>
    <phoneticPr fontId="5"/>
  </si>
  <si>
    <t>old</t>
  </si>
  <si>
    <t>ja</t>
    <phoneticPr fontId="5"/>
  </si>
  <si>
    <t>火遊び</t>
    <rPh sb="0" eb="3">
      <t>ヒアソb</t>
    </rPh>
    <phoneticPr fontId="5"/>
  </si>
  <si>
    <t>赤パネル吸収攻撃</t>
    <rPh sb="0" eb="1">
      <t>アk</t>
    </rPh>
    <rPh sb="4" eb="6">
      <t>キュウシュ</t>
    </rPh>
    <rPh sb="6" eb="8">
      <t>コウゲk</t>
    </rPh>
    <phoneticPr fontId="5"/>
  </si>
  <si>
    <t>タイチ</t>
    <phoneticPr fontId="5"/>
  </si>
  <si>
    <t>[effect:dis_heart, turn:4, animation:enemy_dis_heart]</t>
    <phoneticPr fontId="5"/>
  </si>
  <si>
    <t>ja</t>
    <phoneticPr fontId="5"/>
  </si>
  <si>
    <t>回復封じ</t>
    <rPh sb="0" eb="4">
      <t>カ</t>
    </rPh>
    <phoneticPr fontId="5"/>
  </si>
  <si>
    <t>4ターンハートパネルで回復できない！</t>
    <phoneticPr fontId="5"/>
  </si>
  <si>
    <t>バショー</t>
    <phoneticPr fontId="5"/>
  </si>
  <si>
    <t>[effect:virus, turn:5, target:unit_all, rate:1, val:0.07, animation:enemy_virus]</t>
    <phoneticPr fontId="5"/>
  </si>
  <si>
    <t>5ターンウィルス状態</t>
    <rPh sb="8" eb="10">
      <t>ジョウタイ</t>
    </rPh>
    <phoneticPr fontId="5"/>
  </si>
  <si>
    <t>劇性試薬カンタレラ</t>
    <phoneticPr fontId="5"/>
  </si>
  <si>
    <t>3ターンスキルバインド</t>
    <phoneticPr fontId="5"/>
  </si>
  <si>
    <t>ドドドードー</t>
    <phoneticPr fontId="5"/>
  </si>
  <si>
    <t>グワーグワー</t>
    <phoneticPr fontId="5"/>
  </si>
  <si>
    <t>行動速度上昇</t>
    <rPh sb="0" eb="2">
      <t>コウドウヒンド</t>
    </rPh>
    <rPh sb="2" eb="4">
      <t>ソクド</t>
    </rPh>
    <rPh sb="4" eb="6">
      <t>ジョウショウ</t>
    </rPh>
    <phoneticPr fontId="5"/>
  </si>
  <si>
    <t>[effect:hungup, target:unit_all, turn:3, rate:1],[effect:critical, val:1]</t>
    <phoneticPr fontId="5"/>
  </si>
  <si>
    <t>[effect:spread, val:0.4]</t>
    <phoneticPr fontId="5"/>
  </si>
  <si>
    <t>[effect:freq_turn, target:myself, turn:-1, val:1, animation:enemy_freq_turn]</t>
    <phoneticPr fontId="5"/>
  </si>
  <si>
    <t>[effect:break_attack, val:0.17, lowest_val:1500, count:10, block:block_red, target:unit_one]</t>
    <phoneticPr fontId="5"/>
  </si>
  <si>
    <t>マヨビーム</t>
  </si>
  <si>
    <t>2ターンパネルの色が分からなくなる！</t>
  </si>
  <si>
    <t>[effect:dark, turn:2,target:unit_all,animation:enemy_dark]</t>
  </si>
  <si>
    <t>fix_count</t>
    <phoneticPr fontId="5"/>
  </si>
  <si>
    <t>ゆららのスキルは
赤属性ユニットに対するカウンターです
属性をよく確認してから攻撃しましょう</t>
    <phoneticPr fontId="5"/>
  </si>
  <si>
    <t>バショーのスキルは
ハートパネルで回復できなくするものです
体力に注意して戦いましょう</t>
    <phoneticPr fontId="5"/>
  </si>
  <si>
    <t>チカは一定ターン毎に
ウィルスを付与するスキルを使用します
早めに倒しましょう</t>
    <phoneticPr fontId="5"/>
  </si>
  <si>
    <t>ゆららがスキルを使用した時
赤属性ユニットしか居ない場合は
TurnSkip機能を使用する方法もあります</t>
    <phoneticPr fontId="5"/>
  </si>
  <si>
    <t>バショーのスキルは
一定の確率で使用してきます
早めに倒しましょう</t>
    <phoneticPr fontId="5"/>
  </si>
  <si>
    <t>グリフォンに一定のダメージを与えると
行動速度が上昇します
先に隣接するエネミーを倒しましょう</t>
    <phoneticPr fontId="5"/>
  </si>
  <si>
    <t>ガンテツのスキルは
暗闇状態を付与します
注意しましょう</t>
    <phoneticPr fontId="5"/>
  </si>
  <si>
    <t>タイチのスキルは
赤パネルを吸収した強力な攻撃です
注意しましょう</t>
    <phoneticPr fontId="5"/>
  </si>
  <si>
    <t>ヒュドラは攻撃準備が完了すると
超大ダメージを与えるスキルを使用します
スキルを駆使して対応しましょう</t>
    <phoneticPr fontId="5"/>
  </si>
  <si>
    <t>タイチは赤パネル吸収攻撃スキルを
一定の確率で使用してきます
一度防いでも安心せずに戦いましょう</t>
    <phoneticPr fontId="5"/>
  </si>
  <si>
    <t>ガンテツの暗闇化させるスキルは
回避や回復する方法がありません
油断せずに戦いましょう</t>
    <phoneticPr fontId="5"/>
  </si>
  <si>
    <t>ドードーは一定のターン毎に
スキルバインドを使用します
油断せずに戦いましょう</t>
    <phoneticPr fontId="5"/>
  </si>
  <si>
    <t>[effect:crash_condition, target:unit_all, val:3, turn:3, animation:enemy_crash_extend]</t>
    <phoneticPr fontId="5"/>
  </si>
  <si>
    <t>ホトケノコトバ</t>
  </si>
  <si>
    <t>ホトケノコトバ</t>
    <phoneticPr fontId="5"/>
  </si>
  <si>
    <t>3ターンCパネル生成延長</t>
    <rPh sb="8" eb="10">
      <t>セイセイ</t>
    </rPh>
    <rPh sb="10" eb="12">
      <t>エンチョウ</t>
    </rPh>
    <phoneticPr fontId="5"/>
  </si>
  <si>
    <t>[effect:rush, count:4, val:0.6]</t>
    <phoneticPr fontId="5"/>
  </si>
  <si>
    <t>4連続攻撃</t>
    <rPh sb="1" eb="3">
      <t>レンゾク</t>
    </rPh>
    <rPh sb="3" eb="5">
      <t>コウゲキ</t>
    </rPh>
    <phoneticPr fontId="5"/>
  </si>
  <si>
    <t>[effect:nothing]</t>
    <phoneticPr fontId="5"/>
  </si>
  <si>
    <t>雷電蓄積</t>
    <rPh sb="0" eb="2">
      <t>ライデン</t>
    </rPh>
    <rPh sb="2" eb="4">
      <t>チクセキ</t>
    </rPh>
    <phoneticPr fontId="6"/>
  </si>
  <si>
    <t>雷電放出</t>
    <rPh sb="0" eb="2">
      <t>ライデン</t>
    </rPh>
    <rPh sb="2" eb="4">
      <t>ホウシュツ</t>
    </rPh>
    <phoneticPr fontId="5"/>
  </si>
  <si>
    <t>次のターン強力な攻撃</t>
    <rPh sb="0" eb="1">
      <t>ツギ</t>
    </rPh>
    <rPh sb="5" eb="7">
      <t>キョウリョク</t>
    </rPh>
    <rPh sb="8" eb="10">
      <t>コウゲキ</t>
    </rPh>
    <phoneticPr fontId="5"/>
  </si>
  <si>
    <t>チュ〜</t>
  </si>
  <si>
    <t>チュ〜</t>
    <phoneticPr fontId="5"/>
  </si>
  <si>
    <t>チュ〜チュ〜</t>
  </si>
  <si>
    <t>チュ〜チュ〜</t>
    <phoneticPr fontId="5"/>
  </si>
  <si>
    <t>毒霧</t>
    <rPh sb="0" eb="1">
      <t>ドク</t>
    </rPh>
    <rPh sb="1" eb="2">
      <t>キリ</t>
    </rPh>
    <phoneticPr fontId="5"/>
  </si>
  <si>
    <t>1ターン強力なウィルス状態</t>
    <rPh sb="4" eb="6">
      <t>キョウリョク</t>
    </rPh>
    <rPh sb="11" eb="13">
      <t>ジョウタイ</t>
    </rPh>
    <phoneticPr fontId="5"/>
  </si>
  <si>
    <t>[effect:virus, turn:1, target:unit_all, rate:1, val:0.1, animation:enemy_virus]</t>
    <phoneticPr fontId="5"/>
  </si>
  <si>
    <t>[effect:spread, val:0.6]</t>
    <phoneticPr fontId="5"/>
  </si>
  <si>
    <t>水流の拘束</t>
    <rPh sb="0" eb="2">
      <t>スイリュウ</t>
    </rPh>
    <rPh sb="3" eb="5">
      <t>kousoku</t>
    </rPh>
    <phoneticPr fontId="5"/>
  </si>
  <si>
    <t>全体攻撃＋中確率で2ターンスキルバインド効果</t>
    <rPh sb="0" eb="4">
      <t>ゼンタイコウゲキ</t>
    </rPh>
    <rPh sb="5" eb="6">
      <t>チュウ</t>
    </rPh>
    <rPh sb="6" eb="8">
      <t>カクリツ</t>
    </rPh>
    <rPh sb="20" eb="22">
      <t>コウカ</t>
    </rPh>
    <phoneticPr fontId="5"/>
  </si>
  <si>
    <t>グエッ</t>
  </si>
  <si>
    <t>グエッ</t>
    <phoneticPr fontId="5"/>
  </si>
  <si>
    <t>シャーシャー</t>
  </si>
  <si>
    <t>シャーシャー</t>
    <phoneticPr fontId="5"/>
  </si>
  <si>
    <t>中確率で2ターン睡眠効果</t>
  </si>
  <si>
    <t>全体攻撃</t>
  </si>
  <si>
    <t>全体攻撃</t>
    <phoneticPr fontId="5"/>
  </si>
  <si>
    <t>2ターンの間時限式ダメージパネルが確率で出現する</t>
  </si>
  <si>
    <t>全体攻撃＋1体スリープ</t>
    <phoneticPr fontId="5"/>
  </si>
  <si>
    <t>[effect:spread, val:0.4]</t>
    <phoneticPr fontId="5"/>
  </si>
  <si>
    <t>クレイモア</t>
  </si>
  <si>
    <t>時限式ダメージパネル出現</t>
    <rPh sb="0" eb="3">
      <t>ジゲンシキ</t>
    </rPh>
    <rPh sb="10" eb="12">
      <t>シュツゲン</t>
    </rPh>
    <phoneticPr fontId="2"/>
  </si>
  <si>
    <t>[effect:change_block, new_block:time_bomb, target:block_all, count:3, val:0.3, animation:change_block]</t>
    <phoneticPr fontId="5"/>
  </si>
  <si>
    <t>[effect:spread, val:0.39]</t>
    <phoneticPr fontId="5"/>
  </si>
  <si>
    <t>[effect:spread, val:0.3],[effect:hungup, target:unit_all, turn:2, rate:0.5]</t>
    <phoneticPr fontId="5"/>
  </si>
  <si>
    <t>[effect:sleep, target:unit_one, turn:2, rate:1, animation:sleep01],[effect:spread, val:0.39]</t>
    <phoneticPr fontId="5"/>
  </si>
  <si>
    <t>2ターン時限式ダメージパネルが確率で生成</t>
    <rPh sb="15" eb="17">
      <t>カクリツ</t>
    </rPh>
    <phoneticPr fontId="5"/>
  </si>
  <si>
    <t>トトのスキルは
時限式パネルを出現させます
注意しましょう</t>
    <phoneticPr fontId="5"/>
  </si>
  <si>
    <t>コウネンのスキルは
Cパネルの生成延長です
注意しましょう</t>
    <phoneticPr fontId="5"/>
  </si>
  <si>
    <t>フェルニゲシュは
2ターンに1度4連続攻撃を行います
スキルを駆使して対応しましょう</t>
    <phoneticPr fontId="5"/>
  </si>
  <si>
    <t>トトが出現させる時限式パネルは
放置すると思わぬ大ダメージを受けます
忘れずに対応を行いましょう</t>
    <phoneticPr fontId="5"/>
  </si>
  <si>
    <t>コウネンのCパネル生成延長スキルは
Cパネルが大変作り辛くなります
油断せずに戦いましょう</t>
    <phoneticPr fontId="5"/>
  </si>
  <si>
    <t>ネズミは一定のターン毎に
全体攻撃＋スリープのスキルを使用します
油断せずに戦いましょう</t>
    <phoneticPr fontId="5"/>
  </si>
  <si>
    <t>ノエルのスキルは
プレイヤーのタップ回数を減少させます
注意しましょう</t>
    <phoneticPr fontId="5"/>
  </si>
  <si>
    <t>影丸のスキルで
1ターン強力なウィルス状態にしてきます
注意しましょう</t>
    <phoneticPr fontId="5"/>
  </si>
  <si>
    <t>クラーケンのスキルは
全体攻撃＋中確率でのスキルバインドです
油断せずに戦いましょう</t>
    <phoneticPr fontId="5"/>
  </si>
  <si>
    <t>ノエルのタップ数減少スキルは
効果が3ターン継続します
油断せずに戦いましょう</t>
    <phoneticPr fontId="5"/>
  </si>
  <si>
    <t>ウミガメはスキルで
時限式パネルを確率で生成します
油断せずに戦いましょう</t>
    <phoneticPr fontId="5"/>
  </si>
  <si>
    <t>影丸は行動頻度が早いため
油断すると何度も攻撃を受けてしまいます
早めに対応しましょう</t>
    <rPh sb="5" eb="7">
      <t>ヒンドガ</t>
    </rPh>
    <phoneticPr fontId="5"/>
  </si>
  <si>
    <t>old</t>
    <phoneticPr fontId="5"/>
  </si>
  <si>
    <t>old</t>
    <phoneticPr fontId="5"/>
  </si>
  <si>
    <t>時限式ダメージパネル生成</t>
    <rPh sb="0" eb="3">
      <t>ジゲンシキ</t>
    </rPh>
    <rPh sb="10" eb="12">
      <t>セ</t>
    </rPh>
    <phoneticPr fontId="2"/>
  </si>
  <si>
    <t>[effect:drop_block, block_type:time_bomb, block_color:block_blue, color:block_all, val:0.04, rate:0.3, turn:2, min_time_count:3, max_time_count:4, animation:time_bomb_influence04]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</si>
</sst>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rgb="FFE2EFDA"/>
        <bgColor rgb="FF000000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14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31" borderId="7" xfId="0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0" fillId="31" borderId="7" xfId="0" applyFill="1" applyBorder="1"/>
    <xf numFmtId="0" fontId="0" fillId="32" borderId="7" xfId="0" applyFill="1" applyBorder="1"/>
    <xf numFmtId="0" fontId="0" fillId="0" borderId="7" xfId="0" applyFill="1" applyBorder="1"/>
    <xf numFmtId="0" fontId="27" fillId="33" borderId="7" xfId="0" applyFont="1" applyFill="1" applyBorder="1"/>
    <xf numFmtId="38" fontId="16" fillId="0" borderId="7" xfId="628" applyFont="1" applyFill="1" applyBorder="1" applyAlignment="1">
      <alignment wrapText="1"/>
    </xf>
    <xf numFmtId="0" fontId="4" fillId="34" borderId="7" xfId="0" applyFont="1" applyFill="1" applyBorder="1" applyAlignment="1">
      <alignment horizontal="center" vertical="center"/>
    </xf>
    <xf numFmtId="0" fontId="4" fillId="35" borderId="7" xfId="0" applyFont="1" applyFill="1" applyBorder="1" applyAlignment="1">
      <alignment horizontal="center" vertical="center"/>
    </xf>
    <xf numFmtId="0" fontId="16" fillId="32" borderId="7" xfId="0" applyFont="1" applyFill="1" applyBorder="1" applyAlignment="1">
      <alignment vertical="center"/>
    </xf>
    <xf numFmtId="0" fontId="6" fillId="36" borderId="3" xfId="0" applyFont="1" applyFill="1" applyBorder="1" applyAlignment="1">
      <alignment vertical="center"/>
    </xf>
    <xf numFmtId="0" fontId="11" fillId="37" borderId="7" xfId="0" applyFont="1" applyFill="1" applyBorder="1" applyAlignment="1">
      <alignment vertical="center"/>
    </xf>
    <xf numFmtId="0" fontId="0" fillId="38" borderId="7" xfId="0" applyFill="1" applyBorder="1"/>
    <xf numFmtId="0" fontId="0" fillId="35" borderId="7" xfId="0" applyFill="1" applyBorder="1"/>
  </cellXfs>
  <cellStyles count="114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赤字強調" xfId="431"/>
    <cellStyle name="青字強調" xfId="43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41013</v>
          </cell>
        </row>
        <row r="197">
          <cell r="A197">
            <v>41014</v>
          </cell>
        </row>
        <row r="198">
          <cell r="A198">
            <v>47001</v>
          </cell>
        </row>
        <row r="199">
          <cell r="A199">
            <v>47002</v>
          </cell>
        </row>
        <row r="200">
          <cell r="A200">
            <v>49001</v>
          </cell>
        </row>
        <row r="201">
          <cell r="A201">
            <v>49002</v>
          </cell>
        </row>
        <row r="202">
          <cell r="A202">
            <v>49003</v>
          </cell>
        </row>
        <row r="203">
          <cell r="A203">
            <v>49004</v>
          </cell>
        </row>
        <row r="204">
          <cell r="A204">
            <v>49005</v>
          </cell>
        </row>
        <row r="205">
          <cell r="A205">
            <v>49006</v>
          </cell>
        </row>
        <row r="206">
          <cell r="A206">
            <v>50001</v>
          </cell>
        </row>
        <row r="207">
          <cell r="A207">
            <v>50002</v>
          </cell>
        </row>
        <row r="208">
          <cell r="A208">
            <v>50003</v>
          </cell>
        </row>
        <row r="209">
          <cell r="A209">
            <v>50004</v>
          </cell>
        </row>
        <row r="210">
          <cell r="A210">
            <v>50005</v>
          </cell>
        </row>
        <row r="211">
          <cell r="A211">
            <v>50006</v>
          </cell>
        </row>
        <row r="212">
          <cell r="A212">
            <v>51001</v>
          </cell>
        </row>
        <row r="213">
          <cell r="A213">
            <v>51002</v>
          </cell>
        </row>
        <row r="214">
          <cell r="A214">
            <v>60001</v>
          </cell>
        </row>
        <row r="215">
          <cell r="A215">
            <v>60002</v>
          </cell>
        </row>
        <row r="216">
          <cell r="A216">
            <v>60003</v>
          </cell>
        </row>
        <row r="217">
          <cell r="A217">
            <v>60004</v>
          </cell>
        </row>
        <row r="218">
          <cell r="A218">
            <v>60005</v>
          </cell>
        </row>
        <row r="219">
          <cell r="A219">
            <v>60006</v>
          </cell>
        </row>
        <row r="220">
          <cell r="A220">
            <v>60007</v>
          </cell>
        </row>
        <row r="221">
          <cell r="A221">
            <v>60010</v>
          </cell>
        </row>
        <row r="222">
          <cell r="A222">
            <v>60011</v>
          </cell>
        </row>
        <row r="223">
          <cell r="A223">
            <v>61011</v>
          </cell>
        </row>
        <row r="224">
          <cell r="A224">
            <v>60012</v>
          </cell>
        </row>
        <row r="225">
          <cell r="A225">
            <v>60013</v>
          </cell>
        </row>
        <row r="226">
          <cell r="A226">
            <v>65534</v>
          </cell>
        </row>
        <row r="227">
          <cell r="A227">
            <v>65535</v>
          </cell>
        </row>
        <row r="228">
          <cell r="A228">
            <v>60021</v>
          </cell>
        </row>
        <row r="229">
          <cell r="A229">
            <v>60022</v>
          </cell>
        </row>
        <row r="230">
          <cell r="A230">
            <v>60023</v>
          </cell>
        </row>
        <row r="231">
          <cell r="A2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30038_1</v>
          </cell>
        </row>
        <row r="524">
          <cell r="A524" t="str">
            <v>30038_2</v>
          </cell>
        </row>
        <row r="525">
          <cell r="A525" t="str">
            <v>30038_3</v>
          </cell>
        </row>
        <row r="526">
          <cell r="A526" t="str">
            <v>39001_1</v>
          </cell>
        </row>
        <row r="527">
          <cell r="A527" t="str">
            <v>39001_2</v>
          </cell>
        </row>
        <row r="528">
          <cell r="A528" t="str">
            <v>39001_3</v>
          </cell>
        </row>
        <row r="529">
          <cell r="A529" t="str">
            <v>39001_4</v>
          </cell>
        </row>
        <row r="530">
          <cell r="A530" t="str">
            <v>39001_5</v>
          </cell>
        </row>
        <row r="531">
          <cell r="A531" t="str">
            <v>39002_1</v>
          </cell>
        </row>
        <row r="532">
          <cell r="A532" t="str">
            <v>39002_2</v>
          </cell>
        </row>
        <row r="533">
          <cell r="A533" t="str">
            <v>39002_3</v>
          </cell>
        </row>
        <row r="534">
          <cell r="A534" t="str">
            <v>39002_4</v>
          </cell>
        </row>
        <row r="535">
          <cell r="A535" t="str">
            <v>39003_1</v>
          </cell>
        </row>
        <row r="536">
          <cell r="A536" t="str">
            <v>39003_2</v>
          </cell>
        </row>
        <row r="537">
          <cell r="A537" t="str">
            <v>39003_3</v>
          </cell>
        </row>
        <row r="538">
          <cell r="A538" t="str">
            <v>39003_4</v>
          </cell>
        </row>
        <row r="539">
          <cell r="A539" t="str">
            <v>39004_1</v>
          </cell>
        </row>
        <row r="540">
          <cell r="A540" t="str">
            <v>39004_2</v>
          </cell>
        </row>
        <row r="541">
          <cell r="A541" t="str">
            <v>39004_3</v>
          </cell>
        </row>
        <row r="542">
          <cell r="A542" t="str">
            <v>39004_4</v>
          </cell>
        </row>
        <row r="543">
          <cell r="A543" t="str">
            <v>39005_1</v>
          </cell>
        </row>
        <row r="544">
          <cell r="A544" t="str">
            <v>39005_2</v>
          </cell>
        </row>
        <row r="545">
          <cell r="A545" t="str">
            <v>39005_3</v>
          </cell>
        </row>
        <row r="546">
          <cell r="A546" t="str">
            <v>39005_4</v>
          </cell>
        </row>
        <row r="547">
          <cell r="A547" t="str">
            <v>39005_5</v>
          </cell>
        </row>
        <row r="548">
          <cell r="A548" t="str">
            <v>39006_1</v>
          </cell>
        </row>
        <row r="549">
          <cell r="A549" t="str">
            <v>39006_2</v>
          </cell>
        </row>
        <row r="550">
          <cell r="A550" t="str">
            <v>39006_3</v>
          </cell>
        </row>
        <row r="551">
          <cell r="A551" t="str">
            <v>39006_4</v>
          </cell>
        </row>
        <row r="552">
          <cell r="A552" t="str">
            <v>40001_1</v>
          </cell>
        </row>
        <row r="553">
          <cell r="A553" t="str">
            <v>40002_1</v>
          </cell>
        </row>
        <row r="554">
          <cell r="A554" t="str">
            <v>40002_2</v>
          </cell>
        </row>
        <row r="555">
          <cell r="A555" t="str">
            <v>40002_3</v>
          </cell>
        </row>
        <row r="556">
          <cell r="A556" t="str">
            <v>40003_1</v>
          </cell>
        </row>
        <row r="557">
          <cell r="A557" t="str">
            <v>40004_1</v>
          </cell>
        </row>
        <row r="558">
          <cell r="A558" t="str">
            <v>40005_1</v>
          </cell>
        </row>
        <row r="559">
          <cell r="A559" t="str">
            <v>40006_1</v>
          </cell>
        </row>
        <row r="560">
          <cell r="A560" t="str">
            <v>40007_1</v>
          </cell>
        </row>
        <row r="561">
          <cell r="A561" t="str">
            <v>40008_1</v>
          </cell>
        </row>
        <row r="562">
          <cell r="A562" t="str">
            <v>40009_1</v>
          </cell>
        </row>
        <row r="563">
          <cell r="A563" t="str">
            <v>40010_1</v>
          </cell>
        </row>
        <row r="564">
          <cell r="A564" t="str">
            <v>40011_1</v>
          </cell>
        </row>
        <row r="565">
          <cell r="A565" t="str">
            <v>40012_1</v>
          </cell>
        </row>
        <row r="566">
          <cell r="A566" t="str">
            <v>40013_1</v>
          </cell>
        </row>
        <row r="567">
          <cell r="A567" t="str">
            <v>40014_1</v>
          </cell>
        </row>
        <row r="568">
          <cell r="A568" t="str">
            <v>40015_1</v>
          </cell>
        </row>
        <row r="569">
          <cell r="A569" t="str">
            <v>40016_1</v>
          </cell>
        </row>
        <row r="570">
          <cell r="A570" t="str">
            <v>40016_2</v>
          </cell>
        </row>
        <row r="571">
          <cell r="A571" t="str">
            <v>40017_1</v>
          </cell>
        </row>
        <row r="572">
          <cell r="A572" t="str">
            <v>40017_2</v>
          </cell>
        </row>
        <row r="573">
          <cell r="A573" t="str">
            <v>40017_3</v>
          </cell>
        </row>
        <row r="574">
          <cell r="A574" t="str">
            <v>40018_1</v>
          </cell>
        </row>
        <row r="575">
          <cell r="A575" t="str">
            <v>40018_2</v>
          </cell>
        </row>
        <row r="576">
          <cell r="A576" t="str">
            <v>40018_3</v>
          </cell>
        </row>
        <row r="577">
          <cell r="A577" t="str">
            <v>40019_1</v>
          </cell>
        </row>
        <row r="578">
          <cell r="A578" t="str">
            <v>40019_2</v>
          </cell>
        </row>
        <row r="579">
          <cell r="A579" t="str">
            <v>40019_3</v>
          </cell>
        </row>
        <row r="580">
          <cell r="A580" t="str">
            <v>40021_1</v>
          </cell>
        </row>
        <row r="581">
          <cell r="A581" t="str">
            <v>40021_2</v>
          </cell>
        </row>
        <row r="582">
          <cell r="A582" t="str">
            <v>40022_1</v>
          </cell>
        </row>
        <row r="583">
          <cell r="A583" t="str">
            <v>40022_2</v>
          </cell>
        </row>
        <row r="584">
          <cell r="A584" t="str">
            <v>48001_1</v>
          </cell>
        </row>
        <row r="585">
          <cell r="A585" t="str">
            <v>48002_1</v>
          </cell>
        </row>
        <row r="586">
          <cell r="A586" t="str">
            <v>48002_2</v>
          </cell>
        </row>
        <row r="587">
          <cell r="A587" t="str">
            <v>48002_3</v>
          </cell>
        </row>
        <row r="588">
          <cell r="A588" t="str">
            <v>41001_1</v>
          </cell>
        </row>
        <row r="589">
          <cell r="A589" t="str">
            <v>41001_2</v>
          </cell>
        </row>
        <row r="590">
          <cell r="A590" t="str">
            <v>41001_3</v>
          </cell>
        </row>
        <row r="591">
          <cell r="A591" t="str">
            <v>41002_1</v>
          </cell>
        </row>
        <row r="592">
          <cell r="A592" t="str">
            <v>41002_2</v>
          </cell>
        </row>
        <row r="593">
          <cell r="A593" t="str">
            <v>41002_3</v>
          </cell>
        </row>
        <row r="594">
          <cell r="A594" t="str">
            <v>41003_1</v>
          </cell>
        </row>
        <row r="595">
          <cell r="A595" t="str">
            <v>41003_2</v>
          </cell>
        </row>
        <row r="596">
          <cell r="A596" t="str">
            <v>41003_3</v>
          </cell>
        </row>
        <row r="597">
          <cell r="A597" t="str">
            <v>41004_1</v>
          </cell>
        </row>
        <row r="598">
          <cell r="A598" t="str">
            <v>41004_2</v>
          </cell>
        </row>
        <row r="599">
          <cell r="A599" t="str">
            <v>41004_3</v>
          </cell>
        </row>
        <row r="600">
          <cell r="A600" t="str">
            <v>41005_1</v>
          </cell>
        </row>
        <row r="601">
          <cell r="A601" t="str">
            <v>41005_2</v>
          </cell>
        </row>
        <row r="602">
          <cell r="A602" t="str">
            <v>41005_3</v>
          </cell>
        </row>
        <row r="603">
          <cell r="A603" t="str">
            <v>41006_1</v>
          </cell>
        </row>
        <row r="604">
          <cell r="A604" t="str">
            <v>41006_2</v>
          </cell>
        </row>
        <row r="605">
          <cell r="A605" t="str">
            <v>41006_3</v>
          </cell>
        </row>
        <row r="606">
          <cell r="A606" t="str">
            <v>41007_1</v>
          </cell>
        </row>
        <row r="607">
          <cell r="A607" t="str">
            <v>41007_2</v>
          </cell>
        </row>
        <row r="608">
          <cell r="A608" t="str">
            <v>41007_3</v>
          </cell>
        </row>
        <row r="609">
          <cell r="A609" t="str">
            <v>41008_1</v>
          </cell>
        </row>
        <row r="610">
          <cell r="A610" t="str">
            <v>41008_2</v>
          </cell>
        </row>
        <row r="611">
          <cell r="A611" t="str">
            <v>41008_3</v>
          </cell>
        </row>
        <row r="612">
          <cell r="A612" t="str">
            <v>41009_1</v>
          </cell>
        </row>
        <row r="613">
          <cell r="A613" t="str">
            <v>41009_2</v>
          </cell>
        </row>
        <row r="614">
          <cell r="A614" t="str">
            <v>41009_3</v>
          </cell>
        </row>
        <row r="615">
          <cell r="A615" t="str">
            <v>41010_1</v>
          </cell>
        </row>
        <row r="616">
          <cell r="A616" t="str">
            <v>41010_2</v>
          </cell>
        </row>
        <row r="617">
          <cell r="A617" t="str">
            <v>41010_3</v>
          </cell>
        </row>
        <row r="618">
          <cell r="A618" t="str">
            <v>41011_1</v>
          </cell>
        </row>
        <row r="619">
          <cell r="A619" t="str">
            <v>41011_2</v>
          </cell>
        </row>
        <row r="620">
          <cell r="A620" t="str">
            <v>41012_1</v>
          </cell>
        </row>
        <row r="621">
          <cell r="A621" t="str">
            <v>41012_2</v>
          </cell>
        </row>
        <row r="622">
          <cell r="A622" t="str">
            <v>41013_1</v>
          </cell>
        </row>
        <row r="623">
          <cell r="A623" t="str">
            <v>41013_2</v>
          </cell>
        </row>
        <row r="624">
          <cell r="A624" t="str">
            <v>41014_1</v>
          </cell>
        </row>
        <row r="625">
          <cell r="A625" t="str">
            <v>41014_2</v>
          </cell>
        </row>
        <row r="626">
          <cell r="A626" t="str">
            <v>47001_1</v>
          </cell>
        </row>
        <row r="627">
          <cell r="A627" t="str">
            <v>47001_2</v>
          </cell>
        </row>
        <row r="628">
          <cell r="A628" t="str">
            <v>47002_1</v>
          </cell>
        </row>
        <row r="629">
          <cell r="A629" t="str">
            <v>47002_2</v>
          </cell>
        </row>
        <row r="630">
          <cell r="A630" t="str">
            <v>49001_1</v>
          </cell>
        </row>
        <row r="631">
          <cell r="A631" t="str">
            <v>49002_1</v>
          </cell>
        </row>
        <row r="632">
          <cell r="A632" t="str">
            <v>49002_2</v>
          </cell>
        </row>
        <row r="633">
          <cell r="A633" t="str">
            <v>49003_1</v>
          </cell>
        </row>
        <row r="634">
          <cell r="A634" t="str">
            <v>49003_2</v>
          </cell>
        </row>
        <row r="635">
          <cell r="A635" t="str">
            <v>49004_1</v>
          </cell>
        </row>
        <row r="636">
          <cell r="A636" t="str">
            <v>49004_2</v>
          </cell>
        </row>
        <row r="637">
          <cell r="A637" t="str">
            <v>49004_3</v>
          </cell>
        </row>
        <row r="638">
          <cell r="A638" t="str">
            <v>49005_1</v>
          </cell>
        </row>
        <row r="639">
          <cell r="A639" t="str">
            <v>49006_1</v>
          </cell>
        </row>
        <row r="640">
          <cell r="A640" t="str">
            <v>49006_2</v>
          </cell>
        </row>
        <row r="641">
          <cell r="A641" t="str">
            <v>50001_1</v>
          </cell>
        </row>
        <row r="642">
          <cell r="A642" t="str">
            <v>50002_1</v>
          </cell>
        </row>
        <row r="643">
          <cell r="A643" t="str">
            <v>50003_1</v>
          </cell>
        </row>
        <row r="644">
          <cell r="A644" t="str">
            <v>50004_1</v>
          </cell>
        </row>
        <row r="645">
          <cell r="A645" t="str">
            <v>50005_1</v>
          </cell>
        </row>
        <row r="646">
          <cell r="A646" t="str">
            <v>50006_1</v>
          </cell>
        </row>
        <row r="647">
          <cell r="A647" t="str">
            <v>51001_1</v>
          </cell>
        </row>
        <row r="648">
          <cell r="A648" t="str">
            <v>51002_1</v>
          </cell>
        </row>
        <row r="649">
          <cell r="A649" t="str">
            <v>60001_1</v>
          </cell>
        </row>
        <row r="650">
          <cell r="A650" t="str">
            <v>60002_1</v>
          </cell>
        </row>
        <row r="651">
          <cell r="A651" t="str">
            <v>60002_2</v>
          </cell>
        </row>
        <row r="652">
          <cell r="A652" t="str">
            <v>60003_1</v>
          </cell>
        </row>
        <row r="653">
          <cell r="A653" t="str">
            <v>60003_2</v>
          </cell>
        </row>
        <row r="654">
          <cell r="A654" t="str">
            <v>60003_3</v>
          </cell>
        </row>
        <row r="655">
          <cell r="A655" t="str">
            <v>60004_1</v>
          </cell>
        </row>
        <row r="656">
          <cell r="A656" t="str">
            <v>60005_1</v>
          </cell>
        </row>
        <row r="657">
          <cell r="A657" t="str">
            <v>60006_1</v>
          </cell>
        </row>
        <row r="658">
          <cell r="A658" t="str">
            <v>60006_2</v>
          </cell>
        </row>
        <row r="659">
          <cell r="A659" t="str">
            <v>60006_3</v>
          </cell>
        </row>
        <row r="660">
          <cell r="A660" t="str">
            <v>60007_1</v>
          </cell>
        </row>
        <row r="661">
          <cell r="A661" t="str">
            <v>60007_2</v>
          </cell>
        </row>
        <row r="662">
          <cell r="A662" t="str">
            <v>60007_3</v>
          </cell>
        </row>
        <row r="663">
          <cell r="A663" t="str">
            <v>60010_1</v>
          </cell>
        </row>
        <row r="664">
          <cell r="A664" t="str">
            <v>60011_1</v>
          </cell>
        </row>
        <row r="665">
          <cell r="A665" t="str">
            <v>60011_2</v>
          </cell>
        </row>
        <row r="666">
          <cell r="A666" t="str">
            <v>61011_1</v>
          </cell>
        </row>
        <row r="667">
          <cell r="A667" t="str">
            <v>60012_1</v>
          </cell>
        </row>
        <row r="668">
          <cell r="A668" t="str">
            <v>60013_1</v>
          </cell>
        </row>
        <row r="669">
          <cell r="A669" t="str">
            <v>60013_2</v>
          </cell>
        </row>
        <row r="670">
          <cell r="A670" t="str">
            <v>60013_3</v>
          </cell>
        </row>
        <row r="671">
          <cell r="A671" t="str">
            <v>65535_1</v>
          </cell>
        </row>
        <row r="672">
          <cell r="A672" t="str">
            <v>65535_2</v>
          </cell>
        </row>
        <row r="673">
          <cell r="A673" t="str">
            <v>65535_3</v>
          </cell>
        </row>
        <row r="674">
          <cell r="A674" t="str">
            <v>65535_4</v>
          </cell>
        </row>
        <row r="675">
          <cell r="A675" t="str">
            <v>65535_5</v>
          </cell>
        </row>
        <row r="676">
          <cell r="A676" t="str">
            <v>65535_6</v>
          </cell>
        </row>
        <row r="677">
          <cell r="A677" t="str">
            <v>65535_7</v>
          </cell>
        </row>
        <row r="678">
          <cell r="A678" t="str">
            <v>65535_8</v>
          </cell>
        </row>
        <row r="679">
          <cell r="A679" t="str">
            <v>60021_3</v>
          </cell>
        </row>
        <row r="680">
          <cell r="A680" t="str">
            <v>60022_3</v>
          </cell>
        </row>
        <row r="681">
          <cell r="A681" t="str">
            <v>60023_3</v>
          </cell>
        </row>
        <row r="682">
          <cell r="A682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0" sqref="A10:XFD10"/>
    </sheetView>
  </sheetViews>
  <sheetFormatPr baseColWidth="12" defaultRowHeight="15" x14ac:dyDescent="0.15"/>
  <cols>
    <col min="2" max="2" width="18.1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127</v>
      </c>
      <c r="B1" s="55" t="s">
        <v>98</v>
      </c>
      <c r="C1" s="55" t="s">
        <v>99</v>
      </c>
      <c r="D1" s="55" t="s">
        <v>100</v>
      </c>
      <c r="E1" s="55" t="s">
        <v>101</v>
      </c>
      <c r="F1" s="55" t="s">
        <v>102</v>
      </c>
      <c r="G1" s="55" t="s">
        <v>103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217</v>
      </c>
      <c r="B2" s="57" t="s">
        <v>104</v>
      </c>
      <c r="C2" s="62" t="s">
        <v>216</v>
      </c>
      <c r="D2" s="57" t="s">
        <v>105</v>
      </c>
      <c r="E2" s="56" t="str">
        <f>B2&amp;C2&amp;D2</f>
        <v>floors_week2.tmp</v>
      </c>
      <c r="F2" s="57" t="s">
        <v>106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217</v>
      </c>
      <c r="B3" s="57" t="s">
        <v>107</v>
      </c>
      <c r="C3" s="62" t="s">
        <v>216</v>
      </c>
      <c r="D3" s="57" t="s">
        <v>105</v>
      </c>
      <c r="E3" s="56" t="str">
        <f>B3&amp;C3&amp;D3</f>
        <v>enemy_habitats_week2.tmp</v>
      </c>
      <c r="F3" s="57" t="s">
        <v>108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174</v>
      </c>
    </row>
    <row r="4" spans="1:30" x14ac:dyDescent="0.15">
      <c r="A4" s="61" t="s">
        <v>217</v>
      </c>
      <c r="B4" s="57" t="s">
        <v>109</v>
      </c>
      <c r="C4" s="62" t="s">
        <v>216</v>
      </c>
      <c r="D4" s="57" t="s">
        <v>105</v>
      </c>
      <c r="E4" s="56" t="str">
        <f>B4&amp;C4&amp;D4</f>
        <v>enemy_habitat_S_week2.tmp</v>
      </c>
      <c r="F4" s="57" t="s">
        <v>110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217</v>
      </c>
      <c r="B5" s="57" t="s">
        <v>111</v>
      </c>
      <c r="C5" s="62" t="s">
        <v>216</v>
      </c>
      <c r="D5" s="57" t="s">
        <v>105</v>
      </c>
      <c r="E5" s="56" t="str">
        <f>B5&amp;C5&amp;D5</f>
        <v>enemy_skill_sets_week2.tmp</v>
      </c>
      <c r="F5" s="57" t="s">
        <v>112</v>
      </c>
      <c r="G5" s="59" t="s">
        <v>22</v>
      </c>
      <c r="H5" s="59" t="s">
        <v>97</v>
      </c>
      <c r="I5" s="59" t="s">
        <v>92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217</v>
      </c>
      <c r="B6" s="57" t="s">
        <v>113</v>
      </c>
      <c r="C6" s="62" t="s">
        <v>216</v>
      </c>
      <c r="D6" s="57" t="s">
        <v>114</v>
      </c>
      <c r="E6" s="56" t="str">
        <f t="shared" ref="E6:E10" si="0">B6&amp;C6&amp;D6</f>
        <v>enemy_skills_tmp_week2.tmp</v>
      </c>
      <c r="F6" s="57" t="s">
        <v>88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217</v>
      </c>
      <c r="B7" s="57" t="s">
        <v>115</v>
      </c>
      <c r="C7" s="62" t="s">
        <v>216</v>
      </c>
      <c r="D7" s="57" t="s">
        <v>105</v>
      </c>
      <c r="E7" s="56" t="str">
        <f>B7&amp;C7&amp;D7</f>
        <v>enemy_skills_i18n_week2.tmp</v>
      </c>
      <c r="F7" s="57" t="s">
        <v>116</v>
      </c>
      <c r="G7" s="58" t="s">
        <v>78</v>
      </c>
      <c r="H7" s="58" t="s">
        <v>89</v>
      </c>
      <c r="I7" s="58" t="s">
        <v>90</v>
      </c>
      <c r="J7" s="58" t="s">
        <v>91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217</v>
      </c>
      <c r="B8" s="57" t="s">
        <v>117</v>
      </c>
      <c r="C8" s="62" t="s">
        <v>216</v>
      </c>
      <c r="D8" s="57" t="s">
        <v>118</v>
      </c>
      <c r="E8" s="56" t="str">
        <f t="shared" si="0"/>
        <v>enemy_skill_triggers_week2.tmp</v>
      </c>
      <c r="F8" s="57" t="s">
        <v>119</v>
      </c>
      <c r="G8" s="58" t="s">
        <v>92</v>
      </c>
      <c r="H8" s="58" t="s">
        <v>93</v>
      </c>
      <c r="I8" s="58" t="s">
        <v>94</v>
      </c>
      <c r="J8" s="58" t="s">
        <v>95</v>
      </c>
      <c r="K8" s="58" t="s">
        <v>120</v>
      </c>
      <c r="L8" s="58" t="s">
        <v>96</v>
      </c>
      <c r="M8" s="58" t="s">
        <v>121</v>
      </c>
      <c r="N8" s="58" t="s">
        <v>122</v>
      </c>
      <c r="O8" s="58" t="s">
        <v>123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217</v>
      </c>
      <c r="B9" s="67" t="s">
        <v>173</v>
      </c>
      <c r="C9" s="62" t="s">
        <v>216</v>
      </c>
      <c r="D9" s="67" t="s">
        <v>167</v>
      </c>
      <c r="E9" s="68" t="str">
        <f t="shared" si="0"/>
        <v>stage_bug_bonuses_week2.tmp</v>
      </c>
      <c r="F9" s="67" t="s">
        <v>168</v>
      </c>
      <c r="G9" s="64" t="s">
        <v>147</v>
      </c>
      <c r="H9" s="64" t="s">
        <v>169</v>
      </c>
      <c r="I9" s="64" t="s">
        <v>170</v>
      </c>
      <c r="J9" s="66" t="s">
        <v>171</v>
      </c>
      <c r="K9" s="64" t="s">
        <v>172</v>
      </c>
      <c r="L9" s="64" t="s">
        <v>153</v>
      </c>
      <c r="M9" s="64" t="s">
        <v>154</v>
      </c>
      <c r="N9" s="64" t="s">
        <v>155</v>
      </c>
      <c r="O9" s="64" t="s">
        <v>156</v>
      </c>
      <c r="P9" s="64" t="s">
        <v>157</v>
      </c>
      <c r="Q9" s="64" t="s">
        <v>158</v>
      </c>
      <c r="R9" s="64" t="s">
        <v>159</v>
      </c>
      <c r="S9" s="64" t="s">
        <v>160</v>
      </c>
      <c r="T9" s="64" t="s">
        <v>161</v>
      </c>
      <c r="U9" s="64" t="s">
        <v>162</v>
      </c>
      <c r="V9" s="64" t="s">
        <v>163</v>
      </c>
      <c r="W9" s="64" t="s">
        <v>164</v>
      </c>
    </row>
    <row r="10" spans="1:30" s="76" customFormat="1" x14ac:dyDescent="0.15">
      <c r="A10" s="61" t="s">
        <v>217</v>
      </c>
      <c r="B10" s="67" t="s">
        <v>197</v>
      </c>
      <c r="C10" s="62" t="s">
        <v>216</v>
      </c>
      <c r="D10" s="67" t="s">
        <v>176</v>
      </c>
      <c r="E10" s="68" t="str">
        <f t="shared" si="0"/>
        <v>stage_hints_data_c_week2.tmp</v>
      </c>
      <c r="F10" s="67" t="s">
        <v>205</v>
      </c>
      <c r="G10" s="73" t="s">
        <v>177</v>
      </c>
      <c r="H10" s="73" t="s">
        <v>169</v>
      </c>
      <c r="I10" s="74" t="s">
        <v>178</v>
      </c>
      <c r="J10" s="66" t="s">
        <v>179</v>
      </c>
      <c r="K10" s="75" t="s">
        <v>180</v>
      </c>
    </row>
    <row r="11" spans="1:30" s="76" customFormat="1" x14ac:dyDescent="0.15">
      <c r="A11" s="61" t="s">
        <v>303</v>
      </c>
      <c r="B11" s="67" t="s">
        <v>198</v>
      </c>
      <c r="C11" s="62" t="s">
        <v>216</v>
      </c>
      <c r="D11" s="67" t="s">
        <v>167</v>
      </c>
      <c r="E11" s="68" t="str">
        <f t="shared" ref="E11:E12" si="1">B11&amp;C11&amp;D11</f>
        <v>stage_hints_data_f_week2.tmp</v>
      </c>
      <c r="F11" s="67" t="s">
        <v>207</v>
      </c>
      <c r="G11" s="73" t="s">
        <v>177</v>
      </c>
      <c r="H11" s="73" t="s">
        <v>169</v>
      </c>
      <c r="I11" s="74" t="s">
        <v>178</v>
      </c>
      <c r="J11" s="66" t="s">
        <v>179</v>
      </c>
      <c r="K11" s="75" t="s">
        <v>180</v>
      </c>
    </row>
    <row r="12" spans="1:30" s="76" customFormat="1" x14ac:dyDescent="0.15">
      <c r="A12" s="61" t="s">
        <v>304</v>
      </c>
      <c r="B12" s="67" t="s">
        <v>199</v>
      </c>
      <c r="C12" s="62" t="s">
        <v>216</v>
      </c>
      <c r="D12" s="67" t="s">
        <v>167</v>
      </c>
      <c r="E12" s="68" t="str">
        <f t="shared" si="1"/>
        <v>stage_hints_i18n_week2.tmp</v>
      </c>
      <c r="F12" s="67" t="s">
        <v>208</v>
      </c>
      <c r="G12" s="74" t="s">
        <v>200</v>
      </c>
      <c r="H12" s="96" t="s">
        <v>201</v>
      </c>
      <c r="I12" s="73" t="s">
        <v>202</v>
      </c>
      <c r="J12" s="97" t="s">
        <v>203</v>
      </c>
      <c r="K12" s="75" t="s">
        <v>204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1"/>
  <sheetViews>
    <sheetView showGridLines="0" workbookViewId="0">
      <pane ySplit="1" topLeftCell="A32" activePane="bottomLeft" state="frozen"/>
      <selection activeCell="V2" sqref="V2:X34"/>
      <selection pane="bottomLeft" activeCell="D43" sqref="D4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8.5" style="3" bestFit="1" customWidth="1" outlineLevel="1"/>
    <col min="5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11002_10-1</v>
      </c>
      <c r="B2" s="16" t="str">
        <f>IF(COUNTIF(enemy_habitats!$H:$H,A2),"OK","NG")</f>
        <v>OK</v>
      </c>
      <c r="C2" s="7">
        <v>11002</v>
      </c>
      <c r="D2" s="11" t="str">
        <f ca="1">VLOOKUP($C2,OFFSET([2]quests!$A$1,0,0,COUNTA([2]quests!$A:$A),MATCH(D$1,[2]quests!$1:$1,0)-MATCH($C$1,[2]quests!$1:$1,0)+1),MATCH(D$1,[2]quests!$1:$1,0)-MATCH($C$1,[2]quests!$1:$1,0)+1,FALSE)</f>
        <v>【火曜限定】 赤の素材</v>
      </c>
      <c r="E2" s="18" t="str">
        <f ca="1">VLOOKUP($C2,OFFSET([2]quests!$A$1,0,0,COUNTA([2]quests!$A:$A),MATCH(E$1,[2]quests!$1:$1,0)-MATCH($C$1,[2]quests!$1:$1,0)+1),MATCH(E$1,[2]quests!$1:$1,0)-MATCH($C$1,[2]quests!$1:$1,0)+1,FALSE)</f>
        <v>火曜クエスト</v>
      </c>
      <c r="F2" s="21">
        <v>10</v>
      </c>
      <c r="G2" s="23" t="str">
        <f>C2&amp;"_"&amp;F2</f>
        <v>11002_10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【超絶級】炎上のドードー</v>
      </c>
      <c r="I2" s="21">
        <v>1</v>
      </c>
      <c r="J2" s="12">
        <v>30</v>
      </c>
      <c r="K2" s="12">
        <v>45</v>
      </c>
    </row>
    <row r="3" spans="1:11" ht="21" customHeight="1" x14ac:dyDescent="0.15">
      <c r="A3" s="16" t="str">
        <f t="shared" ref="A3:A13" si="0">G3&amp;"-"&amp;I3</f>
        <v>11002_10-2</v>
      </c>
      <c r="B3" s="16" t="str">
        <f>IF(COUNTIF(enemy_habitats!$H:$H,A3),"OK","NG")</f>
        <v>OK</v>
      </c>
      <c r="C3" s="7">
        <v>11002</v>
      </c>
      <c r="D3" s="11" t="str">
        <f ca="1">VLOOKUP($C3,OFFSET([2]quests!$A$1,0,0,COUNTA([2]quests!$A:$A),MATCH(D$1,[2]quests!$1:$1,0)-MATCH($C$1,[2]quests!$1:$1,0)+1),MATCH(D$1,[2]quests!$1:$1,0)-MATCH($C$1,[2]quests!$1:$1,0)+1,FALSE)</f>
        <v>【火曜限定】 赤の素材</v>
      </c>
      <c r="E3" s="18" t="str">
        <f ca="1">VLOOKUP($C3,OFFSET([2]quests!$A$1,0,0,COUNTA([2]quests!$A:$A),MATCH(E$1,[2]quests!$1:$1,0)-MATCH($C$1,[2]quests!$1:$1,0)+1),MATCH(E$1,[2]quests!$1:$1,0)-MATCH($C$1,[2]quests!$1:$1,0)+1,FALSE)</f>
        <v>火曜クエスト</v>
      </c>
      <c r="F3" s="21">
        <v>10</v>
      </c>
      <c r="G3" s="23" t="str">
        <f t="shared" ref="G3:G13" si="1">C3&amp;"_"&amp;F3</f>
        <v>11002_10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【超絶級】炎上のドードー</v>
      </c>
      <c r="I3" s="21">
        <v>2</v>
      </c>
      <c r="J3" s="12">
        <v>45</v>
      </c>
      <c r="K3" s="12">
        <v>60</v>
      </c>
    </row>
    <row r="4" spans="1:11" ht="21" customHeight="1" x14ac:dyDescent="0.15">
      <c r="A4" s="16" t="str">
        <f t="shared" si="0"/>
        <v>11002_10-3</v>
      </c>
      <c r="B4" s="16" t="str">
        <f>IF(COUNTIF(enemy_habitats!$H:$H,A4),"OK","NG")</f>
        <v>OK</v>
      </c>
      <c r="C4" s="7">
        <v>11002</v>
      </c>
      <c r="D4" s="11" t="str">
        <f ca="1">VLOOKUP($C4,OFFSET([2]quests!$A$1,0,0,COUNTA([2]quests!$A:$A),MATCH(D$1,[2]quests!$1:$1,0)-MATCH($C$1,[2]quests!$1:$1,0)+1),MATCH(D$1,[2]quests!$1:$1,0)-MATCH($C$1,[2]quests!$1:$1,0)+1,FALSE)</f>
        <v>【火曜限定】 赤の素材</v>
      </c>
      <c r="E4" s="18" t="str">
        <f ca="1">VLOOKUP($C4,OFFSET([2]quests!$A$1,0,0,COUNTA([2]quests!$A:$A),MATCH(E$1,[2]quests!$1:$1,0)-MATCH($C$1,[2]quests!$1:$1,0)+1),MATCH(E$1,[2]quests!$1:$1,0)-MATCH($C$1,[2]quests!$1:$1,0)+1,FALSE)</f>
        <v>火曜クエスト</v>
      </c>
      <c r="F4" s="21">
        <v>10</v>
      </c>
      <c r="G4" s="23" t="str">
        <f t="shared" si="1"/>
        <v>11002_10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【超絶級】炎上のドードー</v>
      </c>
      <c r="I4" s="21">
        <v>3</v>
      </c>
      <c r="J4" s="12">
        <v>50</v>
      </c>
      <c r="K4" s="12">
        <v>60</v>
      </c>
    </row>
    <row r="5" spans="1:11" ht="21" customHeight="1" x14ac:dyDescent="0.15">
      <c r="A5" s="16" t="str">
        <f t="shared" si="0"/>
        <v>11002_10-4</v>
      </c>
      <c r="B5" s="16" t="str">
        <f>IF(COUNTIF(enemy_habitats!$H:$H,A5),"OK","NG")</f>
        <v>OK</v>
      </c>
      <c r="C5" s="7">
        <v>11002</v>
      </c>
      <c r="D5" s="11" t="str">
        <f ca="1">VLOOKUP($C5,OFFSET([2]quests!$A$1,0,0,COUNTA([2]quests!$A:$A),MATCH(D$1,[2]quests!$1:$1,0)-MATCH($C$1,[2]quests!$1:$1,0)+1),MATCH(D$1,[2]quests!$1:$1,0)-MATCH($C$1,[2]quests!$1:$1,0)+1,FALSE)</f>
        <v>【火曜限定】 赤の素材</v>
      </c>
      <c r="E5" s="18" t="str">
        <f ca="1">VLOOKUP($C5,OFFSET([2]quests!$A$1,0,0,COUNTA([2]quests!$A:$A),MATCH(E$1,[2]quests!$1:$1,0)-MATCH($C$1,[2]quests!$1:$1,0)+1),MATCH(E$1,[2]quests!$1:$1,0)-MATCH($C$1,[2]quests!$1:$1,0)+1,FALSE)</f>
        <v>火曜クエスト</v>
      </c>
      <c r="F5" s="21">
        <v>10</v>
      </c>
      <c r="G5" s="23" t="str">
        <f t="shared" si="1"/>
        <v>11002_10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【超絶級】炎上のドードー</v>
      </c>
      <c r="I5" s="21">
        <v>4</v>
      </c>
      <c r="J5" s="12">
        <v>45</v>
      </c>
      <c r="K5" s="12">
        <v>60</v>
      </c>
    </row>
    <row r="6" spans="1:11" ht="21" customHeight="1" x14ac:dyDescent="0.15">
      <c r="A6" s="16" t="str">
        <f t="shared" si="0"/>
        <v>11002_10-5</v>
      </c>
      <c r="B6" s="16" t="str">
        <f>IF(COUNTIF(enemy_habitats!$H:$H,A6),"OK","NG")</f>
        <v>OK</v>
      </c>
      <c r="C6" s="7">
        <v>11002</v>
      </c>
      <c r="D6" s="11" t="str">
        <f ca="1">VLOOKUP($C6,OFFSET([2]quests!$A$1,0,0,COUNTA([2]quests!$A:$A),MATCH(D$1,[2]quests!$1:$1,0)-MATCH($C$1,[2]quests!$1:$1,0)+1),MATCH(D$1,[2]quests!$1:$1,0)-MATCH($C$1,[2]quests!$1:$1,0)+1,FALSE)</f>
        <v>【火曜限定】 赤の素材</v>
      </c>
      <c r="E6" s="18" t="str">
        <f ca="1">VLOOKUP($C6,OFFSET([2]quests!$A$1,0,0,COUNTA([2]quests!$A:$A),MATCH(E$1,[2]quests!$1:$1,0)-MATCH($C$1,[2]quests!$1:$1,0)+1),MATCH(E$1,[2]quests!$1:$1,0)-MATCH($C$1,[2]quests!$1:$1,0)+1,FALSE)</f>
        <v>火曜クエスト</v>
      </c>
      <c r="F6" s="21">
        <v>10</v>
      </c>
      <c r="G6" s="23" t="str">
        <f t="shared" si="1"/>
        <v>11002_10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【超絶級】炎上のドードー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11002_10-6</v>
      </c>
      <c r="B7" s="16" t="str">
        <f>IF(COUNTIF(enemy_habitats!$H:$H,A7),"OK","NG")</f>
        <v>OK</v>
      </c>
      <c r="C7" s="7">
        <v>11002</v>
      </c>
      <c r="D7" s="11" t="str">
        <f ca="1">VLOOKUP($C7,OFFSET([2]quests!$A$1,0,0,COUNTA([2]quests!$A:$A),MATCH(D$1,[2]quests!$1:$1,0)-MATCH($C$1,[2]quests!$1:$1,0)+1),MATCH(D$1,[2]quests!$1:$1,0)-MATCH($C$1,[2]quests!$1:$1,0)+1,FALSE)</f>
        <v>【火曜限定】 赤の素材</v>
      </c>
      <c r="E7" s="18" t="str">
        <f ca="1">VLOOKUP($C7,OFFSET([2]quests!$A$1,0,0,COUNTA([2]quests!$A:$A),MATCH(E$1,[2]quests!$1:$1,0)-MATCH($C$1,[2]quests!$1:$1,0)+1),MATCH(E$1,[2]quests!$1:$1,0)-MATCH($C$1,[2]quests!$1:$1,0)+1,FALSE)</f>
        <v>火曜クエスト</v>
      </c>
      <c r="F7" s="21">
        <v>10</v>
      </c>
      <c r="G7" s="23" t="str">
        <f t="shared" si="1"/>
        <v>11002_10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【超絶級】炎上のドードー</v>
      </c>
      <c r="I7" s="21">
        <v>6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11004_10-1</v>
      </c>
      <c r="B8" s="16" t="str">
        <f>IF(COUNTIF(enemy_habitats!$H:$H,A8),"OK","NG")</f>
        <v>OK</v>
      </c>
      <c r="C8" s="7">
        <v>11004</v>
      </c>
      <c r="D8" s="11" t="str">
        <f ca="1">VLOOKUP($C8,OFFSET([2]quests!$A$1,0,0,COUNTA([2]quests!$A:$A),MATCH(D$1,[2]quests!$1:$1,0)-MATCH($C$1,[2]quests!$1:$1,0)+1),MATCH(D$1,[2]quests!$1:$1,0)-MATCH($C$1,[2]quests!$1:$1,0)+1,FALSE)</f>
        <v>【木曜限定】 緑の素材</v>
      </c>
      <c r="E8" s="18" t="str">
        <f ca="1">VLOOKUP($C8,OFFSET([2]quests!$A$1,0,0,COUNTA([2]quests!$A:$A),MATCH(E$1,[2]quests!$1:$1,0)-MATCH($C$1,[2]quests!$1:$1,0)+1),MATCH(E$1,[2]quests!$1:$1,0)-MATCH($C$1,[2]quests!$1:$1,0)+1,FALSE)</f>
        <v>木曜クエスト</v>
      </c>
      <c r="F8" s="21">
        <v>10</v>
      </c>
      <c r="G8" s="23" t="str">
        <f t="shared" si="1"/>
        <v>11004_10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【超絶級】千風のグリフォン</v>
      </c>
      <c r="I8" s="21">
        <v>1</v>
      </c>
      <c r="J8" s="12">
        <v>30</v>
      </c>
      <c r="K8" s="12">
        <v>45</v>
      </c>
    </row>
    <row r="9" spans="1:11" ht="21" customHeight="1" x14ac:dyDescent="0.15">
      <c r="A9" s="16" t="str">
        <f t="shared" si="0"/>
        <v>11004_10-2</v>
      </c>
      <c r="B9" s="16" t="str">
        <f>IF(COUNTIF(enemy_habitats!$H:$H,A9),"OK","NG")</f>
        <v>OK</v>
      </c>
      <c r="C9" s="7">
        <v>11004</v>
      </c>
      <c r="D9" s="11" t="str">
        <f ca="1">VLOOKUP($C9,OFFSET([2]quests!$A$1,0,0,COUNTA([2]quests!$A:$A),MATCH(D$1,[2]quests!$1:$1,0)-MATCH($C$1,[2]quests!$1:$1,0)+1),MATCH(D$1,[2]quests!$1:$1,0)-MATCH($C$1,[2]quests!$1:$1,0)+1,FALSE)</f>
        <v>【木曜限定】 緑の素材</v>
      </c>
      <c r="E9" s="18" t="str">
        <f ca="1">VLOOKUP($C9,OFFSET([2]quests!$A$1,0,0,COUNTA([2]quests!$A:$A),MATCH(E$1,[2]quests!$1:$1,0)-MATCH($C$1,[2]quests!$1:$1,0)+1),MATCH(E$1,[2]quests!$1:$1,0)-MATCH($C$1,[2]quests!$1:$1,0)+1,FALSE)</f>
        <v>木曜クエスト</v>
      </c>
      <c r="F9" s="21">
        <v>10</v>
      </c>
      <c r="G9" s="23" t="str">
        <f t="shared" si="1"/>
        <v>11004_10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【超絶級】千風のグリフォン</v>
      </c>
      <c r="I9" s="21">
        <v>2</v>
      </c>
      <c r="J9" s="12">
        <v>45</v>
      </c>
      <c r="K9" s="12">
        <v>60</v>
      </c>
    </row>
    <row r="10" spans="1:11" ht="21" customHeight="1" x14ac:dyDescent="0.15">
      <c r="A10" s="16" t="str">
        <f t="shared" si="0"/>
        <v>11004_10-3</v>
      </c>
      <c r="B10" s="16" t="str">
        <f>IF(COUNTIF(enemy_habitats!$H:$H,A10),"OK","NG")</f>
        <v>OK</v>
      </c>
      <c r="C10" s="7">
        <v>11004</v>
      </c>
      <c r="D10" s="11" t="str">
        <f ca="1">VLOOKUP($C10,OFFSET([2]quests!$A$1,0,0,COUNTA([2]quests!$A:$A),MATCH(D$1,[2]quests!$1:$1,0)-MATCH($C$1,[2]quests!$1:$1,0)+1),MATCH(D$1,[2]quests!$1:$1,0)-MATCH($C$1,[2]quests!$1:$1,0)+1,FALSE)</f>
        <v>【木曜限定】 緑の素材</v>
      </c>
      <c r="E10" s="18" t="str">
        <f ca="1">VLOOKUP($C10,OFFSET([2]quests!$A$1,0,0,COUNTA([2]quests!$A:$A),MATCH(E$1,[2]quests!$1:$1,0)-MATCH($C$1,[2]quests!$1:$1,0)+1),MATCH(E$1,[2]quests!$1:$1,0)-MATCH($C$1,[2]quests!$1:$1,0)+1,FALSE)</f>
        <v>木曜クエスト</v>
      </c>
      <c r="F10" s="21">
        <v>10</v>
      </c>
      <c r="G10" s="23" t="str">
        <f t="shared" si="1"/>
        <v>11004_10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【超絶級】千風のグリフォン</v>
      </c>
      <c r="I10" s="21">
        <v>3</v>
      </c>
      <c r="J10" s="12">
        <v>50</v>
      </c>
      <c r="K10" s="12">
        <v>60</v>
      </c>
    </row>
    <row r="11" spans="1:11" ht="21" customHeight="1" x14ac:dyDescent="0.15">
      <c r="A11" s="16" t="str">
        <f t="shared" si="0"/>
        <v>11004_10-4</v>
      </c>
      <c r="B11" s="16" t="str">
        <f>IF(COUNTIF(enemy_habitats!$H:$H,A11),"OK","NG")</f>
        <v>OK</v>
      </c>
      <c r="C11" s="7">
        <v>11004</v>
      </c>
      <c r="D11" s="11" t="str">
        <f ca="1">VLOOKUP($C11,OFFSET([2]quests!$A$1,0,0,COUNTA([2]quests!$A:$A),MATCH(D$1,[2]quests!$1:$1,0)-MATCH($C$1,[2]quests!$1:$1,0)+1),MATCH(D$1,[2]quests!$1:$1,0)-MATCH($C$1,[2]quests!$1:$1,0)+1,FALSE)</f>
        <v>【木曜限定】 緑の素材</v>
      </c>
      <c r="E11" s="18" t="str">
        <f ca="1">VLOOKUP($C11,OFFSET([2]quests!$A$1,0,0,COUNTA([2]quests!$A:$A),MATCH(E$1,[2]quests!$1:$1,0)-MATCH($C$1,[2]quests!$1:$1,0)+1),MATCH(E$1,[2]quests!$1:$1,0)-MATCH($C$1,[2]quests!$1:$1,0)+1,FALSE)</f>
        <v>木曜クエスト</v>
      </c>
      <c r="F11" s="21">
        <v>10</v>
      </c>
      <c r="G11" s="23" t="str">
        <f t="shared" si="1"/>
        <v>11004_10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【超絶級】千風のグリフォン</v>
      </c>
      <c r="I11" s="21">
        <v>4</v>
      </c>
      <c r="J11" s="12">
        <v>45</v>
      </c>
      <c r="K11" s="12">
        <v>60</v>
      </c>
    </row>
    <row r="12" spans="1:11" ht="21" customHeight="1" x14ac:dyDescent="0.15">
      <c r="A12" s="16" t="str">
        <f t="shared" si="0"/>
        <v>11004_10-5</v>
      </c>
      <c r="B12" s="16" t="str">
        <f>IF(COUNTIF(enemy_habitats!$H:$H,A12),"OK","NG")</f>
        <v>OK</v>
      </c>
      <c r="C12" s="7">
        <v>11004</v>
      </c>
      <c r="D12" s="11" t="str">
        <f ca="1">VLOOKUP($C12,OFFSET([2]quests!$A$1,0,0,COUNTA([2]quests!$A:$A),MATCH(D$1,[2]quests!$1:$1,0)-MATCH($C$1,[2]quests!$1:$1,0)+1),MATCH(D$1,[2]quests!$1:$1,0)-MATCH($C$1,[2]quests!$1:$1,0)+1,FALSE)</f>
        <v>【木曜限定】 緑の素材</v>
      </c>
      <c r="E12" s="18" t="str">
        <f ca="1">VLOOKUP($C12,OFFSET([2]quests!$A$1,0,0,COUNTA([2]quests!$A:$A),MATCH(E$1,[2]quests!$1:$1,0)-MATCH($C$1,[2]quests!$1:$1,0)+1),MATCH(E$1,[2]quests!$1:$1,0)-MATCH($C$1,[2]quests!$1:$1,0)+1,FALSE)</f>
        <v>木曜クエスト</v>
      </c>
      <c r="F12" s="21">
        <v>10</v>
      </c>
      <c r="G12" s="23" t="str">
        <f t="shared" si="1"/>
        <v>11004_10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【超絶級】千風のグリフォン</v>
      </c>
      <c r="I12" s="21">
        <v>5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11004_10-6</v>
      </c>
      <c r="B13" s="16" t="str">
        <f>IF(COUNTIF(enemy_habitats!$H:$H,A13),"OK","NG")</f>
        <v>OK</v>
      </c>
      <c r="C13" s="7">
        <v>11004</v>
      </c>
      <c r="D13" s="11" t="str">
        <f ca="1">VLOOKUP($C13,OFFSET([2]quests!$A$1,0,0,COUNTA([2]quests!$A:$A),MATCH(D$1,[2]quests!$1:$1,0)-MATCH($C$1,[2]quests!$1:$1,0)+1),MATCH(D$1,[2]quests!$1:$1,0)-MATCH($C$1,[2]quests!$1:$1,0)+1,FALSE)</f>
        <v>【木曜限定】 緑の素材</v>
      </c>
      <c r="E13" s="18" t="str">
        <f ca="1">VLOOKUP($C13,OFFSET([2]quests!$A$1,0,0,COUNTA([2]quests!$A:$A),MATCH(E$1,[2]quests!$1:$1,0)-MATCH($C$1,[2]quests!$1:$1,0)+1),MATCH(E$1,[2]quests!$1:$1,0)-MATCH($C$1,[2]quests!$1:$1,0)+1,FALSE)</f>
        <v>木曜クエスト</v>
      </c>
      <c r="F13" s="21">
        <v>10</v>
      </c>
      <c r="G13" s="23" t="str">
        <f t="shared" si="1"/>
        <v>11004_10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【超絶級】千風のグリフォン</v>
      </c>
      <c r="I13" s="21">
        <v>6</v>
      </c>
      <c r="J13" s="12">
        <v>60</v>
      </c>
      <c r="K13" s="12">
        <v>60</v>
      </c>
    </row>
    <row r="14" spans="1:11" ht="21" customHeight="1" x14ac:dyDescent="0.15">
      <c r="A14" s="16" t="str">
        <f>G14&amp;"-"&amp;I14</f>
        <v>11102_10-1</v>
      </c>
      <c r="B14" s="16" t="str">
        <f>IF(COUNTIF(enemy_habitats!$H:$H,A14),"OK","NG")</f>
        <v>OK</v>
      </c>
      <c r="C14" s="7">
        <v>11102</v>
      </c>
      <c r="D14" s="11" t="str">
        <f ca="1">VLOOKUP($C14,OFFSET([2]quests!$A$1,0,0,COUNTA([2]quests!$A:$A),MATCH(D$1,[2]quests!$1:$1,0)-MATCH($C$1,[2]quests!$1:$1,0)+1),MATCH(D$1,[2]quests!$1:$1,0)-MATCH($C$1,[2]quests!$1:$1,0)+1,FALSE)</f>
        <v>【期間限定】 赤の素材</v>
      </c>
      <c r="E14" s="18" t="str">
        <f ca="1">VLOOKUP($C14,OFFSET([2]quests!$A$1,0,0,COUNTA([2]quests!$A:$A),MATCH(E$1,[2]quests!$1:$1,0)-MATCH($C$1,[2]quests!$1:$1,0)+1),MATCH(E$1,[2]quests!$1:$1,0)-MATCH($C$1,[2]quests!$1:$1,0)+1,FALSE)</f>
        <v>火曜クエスト</v>
      </c>
      <c r="F14" s="21">
        <v>10</v>
      </c>
      <c r="G14" s="23" t="str">
        <f>C14&amp;"_"&amp;F14</f>
        <v>11102_10</v>
      </c>
      <c r="H14" s="15" t="str">
        <f ca="1">VLOOKUP($G14,OFFSET([2]stages!$A$1,0,0,COUNTA([2]stages!$A:$A),MATCH(H$1,[2]stages!$2:$2,0)-MATCH($G$1,[2]stages!$2:$2,0)+1),MATCH(H$1,[2]stages!$2:$2,0)-MATCH($G$1,[2]stages!$2:$2,0)+1,FALSE)</f>
        <v>【超絶級】炎上のドードー</v>
      </c>
      <c r="I14" s="21">
        <v>1</v>
      </c>
      <c r="J14" s="12">
        <v>30</v>
      </c>
      <c r="K14" s="12">
        <v>45</v>
      </c>
    </row>
    <row r="15" spans="1:11" ht="21" customHeight="1" x14ac:dyDescent="0.15">
      <c r="A15" s="16" t="str">
        <f t="shared" ref="A15:A25" si="2">G15&amp;"-"&amp;I15</f>
        <v>11102_10-2</v>
      </c>
      <c r="B15" s="16" t="str">
        <f>IF(COUNTIF(enemy_habitats!$H:$H,A15),"OK","NG")</f>
        <v>OK</v>
      </c>
      <c r="C15" s="7">
        <v>11102</v>
      </c>
      <c r="D15" s="11" t="str">
        <f ca="1">VLOOKUP($C15,OFFSET([2]quests!$A$1,0,0,COUNTA([2]quests!$A:$A),MATCH(D$1,[2]quests!$1:$1,0)-MATCH($C$1,[2]quests!$1:$1,0)+1),MATCH(D$1,[2]quests!$1:$1,0)-MATCH($C$1,[2]quests!$1:$1,0)+1,FALSE)</f>
        <v>【期間限定】 赤の素材</v>
      </c>
      <c r="E15" s="18" t="str">
        <f ca="1">VLOOKUP($C15,OFFSET([2]quests!$A$1,0,0,COUNTA([2]quests!$A:$A),MATCH(E$1,[2]quests!$1:$1,0)-MATCH($C$1,[2]quests!$1:$1,0)+1),MATCH(E$1,[2]quests!$1:$1,0)-MATCH($C$1,[2]quests!$1:$1,0)+1,FALSE)</f>
        <v>火曜クエスト</v>
      </c>
      <c r="F15" s="21">
        <v>10</v>
      </c>
      <c r="G15" s="23" t="str">
        <f t="shared" ref="G15:G25" si="3">C15&amp;"_"&amp;F15</f>
        <v>11102_10</v>
      </c>
      <c r="H15" s="15" t="str">
        <f ca="1">VLOOKUP($G15,OFFSET([2]stages!$A$1,0,0,COUNTA([2]stages!$A:$A),MATCH(H$1,[2]stages!$2:$2,0)-MATCH($G$1,[2]stages!$2:$2,0)+1),MATCH(H$1,[2]stages!$2:$2,0)-MATCH($G$1,[2]stages!$2:$2,0)+1,FALSE)</f>
        <v>【超絶級】炎上のドードー</v>
      </c>
      <c r="I15" s="21">
        <v>2</v>
      </c>
      <c r="J15" s="12">
        <v>45</v>
      </c>
      <c r="K15" s="12">
        <v>60</v>
      </c>
    </row>
    <row r="16" spans="1:11" ht="21" customHeight="1" x14ac:dyDescent="0.15">
      <c r="A16" s="16" t="str">
        <f t="shared" si="2"/>
        <v>11102_10-3</v>
      </c>
      <c r="B16" s="16" t="str">
        <f>IF(COUNTIF(enemy_habitats!$H:$H,A16),"OK","NG")</f>
        <v>OK</v>
      </c>
      <c r="C16" s="7">
        <v>11102</v>
      </c>
      <c r="D16" s="11" t="str">
        <f ca="1">VLOOKUP($C16,OFFSET([2]quests!$A$1,0,0,COUNTA([2]quests!$A:$A),MATCH(D$1,[2]quests!$1:$1,0)-MATCH($C$1,[2]quests!$1:$1,0)+1),MATCH(D$1,[2]quests!$1:$1,0)-MATCH($C$1,[2]quests!$1:$1,0)+1,FALSE)</f>
        <v>【期間限定】 赤の素材</v>
      </c>
      <c r="E16" s="18" t="str">
        <f ca="1">VLOOKUP($C16,OFFSET([2]quests!$A$1,0,0,COUNTA([2]quests!$A:$A),MATCH(E$1,[2]quests!$1:$1,0)-MATCH($C$1,[2]quests!$1:$1,0)+1),MATCH(E$1,[2]quests!$1:$1,0)-MATCH($C$1,[2]quests!$1:$1,0)+1,FALSE)</f>
        <v>火曜クエスト</v>
      </c>
      <c r="F16" s="21">
        <v>10</v>
      </c>
      <c r="G16" s="23" t="str">
        <f t="shared" si="3"/>
        <v>11102_10</v>
      </c>
      <c r="H16" s="15" t="str">
        <f ca="1">VLOOKUP($G16,OFFSET([2]stages!$A$1,0,0,COUNTA([2]stages!$A:$A),MATCH(H$1,[2]stages!$2:$2,0)-MATCH($G$1,[2]stages!$2:$2,0)+1),MATCH(H$1,[2]stages!$2:$2,0)-MATCH($G$1,[2]stages!$2:$2,0)+1,FALSE)</f>
        <v>【超絶級】炎上のドードー</v>
      </c>
      <c r="I16" s="21">
        <v>3</v>
      </c>
      <c r="J16" s="12">
        <v>50</v>
      </c>
      <c r="K16" s="12">
        <v>60</v>
      </c>
    </row>
    <row r="17" spans="1:11" ht="21" customHeight="1" x14ac:dyDescent="0.15">
      <c r="A17" s="16" t="str">
        <f t="shared" si="2"/>
        <v>11102_10-4</v>
      </c>
      <c r="B17" s="16" t="str">
        <f>IF(COUNTIF(enemy_habitats!$H:$H,A17),"OK","NG")</f>
        <v>OK</v>
      </c>
      <c r="C17" s="7">
        <v>11102</v>
      </c>
      <c r="D17" s="11" t="str">
        <f ca="1">VLOOKUP($C17,OFFSET([2]quests!$A$1,0,0,COUNTA([2]quests!$A:$A),MATCH(D$1,[2]quests!$1:$1,0)-MATCH($C$1,[2]quests!$1:$1,0)+1),MATCH(D$1,[2]quests!$1:$1,0)-MATCH($C$1,[2]quests!$1:$1,0)+1,FALSE)</f>
        <v>【期間限定】 赤の素材</v>
      </c>
      <c r="E17" s="18" t="str">
        <f ca="1">VLOOKUP($C17,OFFSET([2]quests!$A$1,0,0,COUNTA([2]quests!$A:$A),MATCH(E$1,[2]quests!$1:$1,0)-MATCH($C$1,[2]quests!$1:$1,0)+1),MATCH(E$1,[2]quests!$1:$1,0)-MATCH($C$1,[2]quests!$1:$1,0)+1,FALSE)</f>
        <v>火曜クエスト</v>
      </c>
      <c r="F17" s="21">
        <v>10</v>
      </c>
      <c r="G17" s="23" t="str">
        <f t="shared" si="3"/>
        <v>11102_10</v>
      </c>
      <c r="H17" s="15" t="str">
        <f ca="1">VLOOKUP($G17,OFFSET([2]stages!$A$1,0,0,COUNTA([2]stages!$A:$A),MATCH(H$1,[2]stages!$2:$2,0)-MATCH($G$1,[2]stages!$2:$2,0)+1),MATCH(H$1,[2]stages!$2:$2,0)-MATCH($G$1,[2]stages!$2:$2,0)+1,FALSE)</f>
        <v>【超絶級】炎上のドードー</v>
      </c>
      <c r="I17" s="21">
        <v>4</v>
      </c>
      <c r="J17" s="12">
        <v>45</v>
      </c>
      <c r="K17" s="12">
        <v>60</v>
      </c>
    </row>
    <row r="18" spans="1:11" ht="21" customHeight="1" x14ac:dyDescent="0.15">
      <c r="A18" s="16" t="str">
        <f t="shared" si="2"/>
        <v>11102_10-5</v>
      </c>
      <c r="B18" s="16" t="str">
        <f>IF(COUNTIF(enemy_habitats!$H:$H,A18),"OK","NG")</f>
        <v>OK</v>
      </c>
      <c r="C18" s="7">
        <v>11102</v>
      </c>
      <c r="D18" s="11" t="str">
        <f ca="1">VLOOKUP($C18,OFFSET([2]quests!$A$1,0,0,COUNTA([2]quests!$A:$A),MATCH(D$1,[2]quests!$1:$1,0)-MATCH($C$1,[2]quests!$1:$1,0)+1),MATCH(D$1,[2]quests!$1:$1,0)-MATCH($C$1,[2]quests!$1:$1,0)+1,FALSE)</f>
        <v>【期間限定】 赤の素材</v>
      </c>
      <c r="E18" s="18" t="str">
        <f ca="1">VLOOKUP($C18,OFFSET([2]quests!$A$1,0,0,COUNTA([2]quests!$A:$A),MATCH(E$1,[2]quests!$1:$1,0)-MATCH($C$1,[2]quests!$1:$1,0)+1),MATCH(E$1,[2]quests!$1:$1,0)-MATCH($C$1,[2]quests!$1:$1,0)+1,FALSE)</f>
        <v>火曜クエスト</v>
      </c>
      <c r="F18" s="21">
        <v>10</v>
      </c>
      <c r="G18" s="23" t="str">
        <f t="shared" si="3"/>
        <v>11102_10</v>
      </c>
      <c r="H18" s="15" t="str">
        <f ca="1">VLOOKUP($G18,OFFSET([2]stages!$A$1,0,0,COUNTA([2]stages!$A:$A),MATCH(H$1,[2]stages!$2:$2,0)-MATCH($G$1,[2]stages!$2:$2,0)+1),MATCH(H$1,[2]stages!$2:$2,0)-MATCH($G$1,[2]stages!$2:$2,0)+1,FALSE)</f>
        <v>【超絶級】炎上のドードー</v>
      </c>
      <c r="I18" s="21">
        <v>5</v>
      </c>
      <c r="J18" s="12">
        <v>60</v>
      </c>
      <c r="K18" s="12">
        <v>60</v>
      </c>
    </row>
    <row r="19" spans="1:11" ht="21" customHeight="1" x14ac:dyDescent="0.15">
      <c r="A19" s="16" t="str">
        <f t="shared" si="2"/>
        <v>11102_10-6</v>
      </c>
      <c r="B19" s="16" t="str">
        <f>IF(COUNTIF(enemy_habitats!$H:$H,A19),"OK","NG")</f>
        <v>OK</v>
      </c>
      <c r="C19" s="7">
        <v>11102</v>
      </c>
      <c r="D19" s="11" t="str">
        <f ca="1">VLOOKUP($C19,OFFSET([2]quests!$A$1,0,0,COUNTA([2]quests!$A:$A),MATCH(D$1,[2]quests!$1:$1,0)-MATCH($C$1,[2]quests!$1:$1,0)+1),MATCH(D$1,[2]quests!$1:$1,0)-MATCH($C$1,[2]quests!$1:$1,0)+1,FALSE)</f>
        <v>【期間限定】 赤の素材</v>
      </c>
      <c r="E19" s="18" t="str">
        <f ca="1">VLOOKUP($C19,OFFSET([2]quests!$A$1,0,0,COUNTA([2]quests!$A:$A),MATCH(E$1,[2]quests!$1:$1,0)-MATCH($C$1,[2]quests!$1:$1,0)+1),MATCH(E$1,[2]quests!$1:$1,0)-MATCH($C$1,[2]quests!$1:$1,0)+1,FALSE)</f>
        <v>火曜クエスト</v>
      </c>
      <c r="F19" s="21">
        <v>10</v>
      </c>
      <c r="G19" s="23" t="str">
        <f t="shared" si="3"/>
        <v>11102_10</v>
      </c>
      <c r="H19" s="15" t="str">
        <f ca="1">VLOOKUP($G19,OFFSET([2]stages!$A$1,0,0,COUNTA([2]stages!$A:$A),MATCH(H$1,[2]stages!$2:$2,0)-MATCH($G$1,[2]stages!$2:$2,0)+1),MATCH(H$1,[2]stages!$2:$2,0)-MATCH($G$1,[2]stages!$2:$2,0)+1,FALSE)</f>
        <v>【超絶級】炎上のドードー</v>
      </c>
      <c r="I19" s="21">
        <v>6</v>
      </c>
      <c r="J19" s="12">
        <v>60</v>
      </c>
      <c r="K19" s="12">
        <v>60</v>
      </c>
    </row>
    <row r="20" spans="1:11" ht="21" customHeight="1" x14ac:dyDescent="0.15">
      <c r="A20" s="16" t="str">
        <f t="shared" si="2"/>
        <v>11104_10-1</v>
      </c>
      <c r="B20" s="16" t="str">
        <f>IF(COUNTIF(enemy_habitats!$H:$H,A20),"OK","NG")</f>
        <v>OK</v>
      </c>
      <c r="C20" s="7">
        <v>11104</v>
      </c>
      <c r="D20" s="11" t="str">
        <f ca="1">VLOOKUP($C20,OFFSET([2]quests!$A$1,0,0,COUNTA([2]quests!$A:$A),MATCH(D$1,[2]quests!$1:$1,0)-MATCH($C$1,[2]quests!$1:$1,0)+1),MATCH(D$1,[2]quests!$1:$1,0)-MATCH($C$1,[2]quests!$1:$1,0)+1,FALSE)</f>
        <v>【期間限定】 緑の素材</v>
      </c>
      <c r="E20" s="18" t="str">
        <f ca="1">VLOOKUP($C20,OFFSET([2]quests!$A$1,0,0,COUNTA([2]quests!$A:$A),MATCH(E$1,[2]quests!$1:$1,0)-MATCH($C$1,[2]quests!$1:$1,0)+1),MATCH(E$1,[2]quests!$1:$1,0)-MATCH($C$1,[2]quests!$1:$1,0)+1,FALSE)</f>
        <v>木曜クエスト</v>
      </c>
      <c r="F20" s="21">
        <v>10</v>
      </c>
      <c r="G20" s="23" t="str">
        <f t="shared" si="3"/>
        <v>11104_10</v>
      </c>
      <c r="H20" s="15" t="str">
        <f ca="1">VLOOKUP($G20,OFFSET([2]stages!$A$1,0,0,COUNTA([2]stages!$A:$A),MATCH(H$1,[2]stages!$2:$2,0)-MATCH($G$1,[2]stages!$2:$2,0)+1),MATCH(H$1,[2]stages!$2:$2,0)-MATCH($G$1,[2]stages!$2:$2,0)+1,FALSE)</f>
        <v>【超絶級】千風のグリフォン</v>
      </c>
      <c r="I20" s="21">
        <v>1</v>
      </c>
      <c r="J20" s="12">
        <v>30</v>
      </c>
      <c r="K20" s="12">
        <v>45</v>
      </c>
    </row>
    <row r="21" spans="1:11" ht="21" customHeight="1" x14ac:dyDescent="0.15">
      <c r="A21" s="16" t="str">
        <f t="shared" si="2"/>
        <v>11104_10-2</v>
      </c>
      <c r="B21" s="16" t="str">
        <f>IF(COUNTIF(enemy_habitats!$H:$H,A21),"OK","NG")</f>
        <v>OK</v>
      </c>
      <c r="C21" s="7">
        <v>11104</v>
      </c>
      <c r="D21" s="11" t="str">
        <f ca="1">VLOOKUP($C21,OFFSET([2]quests!$A$1,0,0,COUNTA([2]quests!$A:$A),MATCH(D$1,[2]quests!$1:$1,0)-MATCH($C$1,[2]quests!$1:$1,0)+1),MATCH(D$1,[2]quests!$1:$1,0)-MATCH($C$1,[2]quests!$1:$1,0)+1,FALSE)</f>
        <v>【期間限定】 緑の素材</v>
      </c>
      <c r="E21" s="18" t="str">
        <f ca="1">VLOOKUP($C21,OFFSET([2]quests!$A$1,0,0,COUNTA([2]quests!$A:$A),MATCH(E$1,[2]quests!$1:$1,0)-MATCH($C$1,[2]quests!$1:$1,0)+1),MATCH(E$1,[2]quests!$1:$1,0)-MATCH($C$1,[2]quests!$1:$1,0)+1,FALSE)</f>
        <v>木曜クエスト</v>
      </c>
      <c r="F21" s="21">
        <v>10</v>
      </c>
      <c r="G21" s="23" t="str">
        <f t="shared" si="3"/>
        <v>11104_10</v>
      </c>
      <c r="H21" s="15" t="str">
        <f ca="1">VLOOKUP($G21,OFFSET([2]stages!$A$1,0,0,COUNTA([2]stages!$A:$A),MATCH(H$1,[2]stages!$2:$2,0)-MATCH($G$1,[2]stages!$2:$2,0)+1),MATCH(H$1,[2]stages!$2:$2,0)-MATCH($G$1,[2]stages!$2:$2,0)+1,FALSE)</f>
        <v>【超絶級】千風のグリフォン</v>
      </c>
      <c r="I21" s="21">
        <v>2</v>
      </c>
      <c r="J21" s="12">
        <v>45</v>
      </c>
      <c r="K21" s="12">
        <v>60</v>
      </c>
    </row>
    <row r="22" spans="1:11" ht="21" customHeight="1" x14ac:dyDescent="0.15">
      <c r="A22" s="16" t="str">
        <f t="shared" si="2"/>
        <v>11104_10-3</v>
      </c>
      <c r="B22" s="16" t="str">
        <f>IF(COUNTIF(enemy_habitats!$H:$H,A22),"OK","NG")</f>
        <v>OK</v>
      </c>
      <c r="C22" s="7">
        <v>11104</v>
      </c>
      <c r="D22" s="11" t="str">
        <f ca="1">VLOOKUP($C22,OFFSET([2]quests!$A$1,0,0,COUNTA([2]quests!$A:$A),MATCH(D$1,[2]quests!$1:$1,0)-MATCH($C$1,[2]quests!$1:$1,0)+1),MATCH(D$1,[2]quests!$1:$1,0)-MATCH($C$1,[2]quests!$1:$1,0)+1,FALSE)</f>
        <v>【期間限定】 緑の素材</v>
      </c>
      <c r="E22" s="18" t="str">
        <f ca="1">VLOOKUP($C22,OFFSET([2]quests!$A$1,0,0,COUNTA([2]quests!$A:$A),MATCH(E$1,[2]quests!$1:$1,0)-MATCH($C$1,[2]quests!$1:$1,0)+1),MATCH(E$1,[2]quests!$1:$1,0)-MATCH($C$1,[2]quests!$1:$1,0)+1,FALSE)</f>
        <v>木曜クエスト</v>
      </c>
      <c r="F22" s="21">
        <v>10</v>
      </c>
      <c r="G22" s="23" t="str">
        <f t="shared" si="3"/>
        <v>11104_10</v>
      </c>
      <c r="H22" s="15" t="str">
        <f ca="1">VLOOKUP($G22,OFFSET([2]stages!$A$1,0,0,COUNTA([2]stages!$A:$A),MATCH(H$1,[2]stages!$2:$2,0)-MATCH($G$1,[2]stages!$2:$2,0)+1),MATCH(H$1,[2]stages!$2:$2,0)-MATCH($G$1,[2]stages!$2:$2,0)+1,FALSE)</f>
        <v>【超絶級】千風のグリフォン</v>
      </c>
      <c r="I22" s="21">
        <v>3</v>
      </c>
      <c r="J22" s="12">
        <v>50</v>
      </c>
      <c r="K22" s="12">
        <v>60</v>
      </c>
    </row>
    <row r="23" spans="1:11" ht="21" customHeight="1" x14ac:dyDescent="0.15">
      <c r="A23" s="16" t="str">
        <f t="shared" si="2"/>
        <v>11104_10-4</v>
      </c>
      <c r="B23" s="16" t="str">
        <f>IF(COUNTIF(enemy_habitats!$H:$H,A23),"OK","NG")</f>
        <v>OK</v>
      </c>
      <c r="C23" s="7">
        <v>11104</v>
      </c>
      <c r="D23" s="11" t="str">
        <f ca="1">VLOOKUP($C23,OFFSET([2]quests!$A$1,0,0,COUNTA([2]quests!$A:$A),MATCH(D$1,[2]quests!$1:$1,0)-MATCH($C$1,[2]quests!$1:$1,0)+1),MATCH(D$1,[2]quests!$1:$1,0)-MATCH($C$1,[2]quests!$1:$1,0)+1,FALSE)</f>
        <v>【期間限定】 緑の素材</v>
      </c>
      <c r="E23" s="18" t="str">
        <f ca="1">VLOOKUP($C23,OFFSET([2]quests!$A$1,0,0,COUNTA([2]quests!$A:$A),MATCH(E$1,[2]quests!$1:$1,0)-MATCH($C$1,[2]quests!$1:$1,0)+1),MATCH(E$1,[2]quests!$1:$1,0)-MATCH($C$1,[2]quests!$1:$1,0)+1,FALSE)</f>
        <v>木曜クエスト</v>
      </c>
      <c r="F23" s="21">
        <v>10</v>
      </c>
      <c r="G23" s="23" t="str">
        <f t="shared" si="3"/>
        <v>11104_10</v>
      </c>
      <c r="H23" s="15" t="str">
        <f ca="1">VLOOKUP($G23,OFFSET([2]stages!$A$1,0,0,COUNTA([2]stages!$A:$A),MATCH(H$1,[2]stages!$2:$2,0)-MATCH($G$1,[2]stages!$2:$2,0)+1),MATCH(H$1,[2]stages!$2:$2,0)-MATCH($G$1,[2]stages!$2:$2,0)+1,FALSE)</f>
        <v>【超絶級】千風のグリフォン</v>
      </c>
      <c r="I23" s="21">
        <v>4</v>
      </c>
      <c r="J23" s="12">
        <v>45</v>
      </c>
      <c r="K23" s="12">
        <v>60</v>
      </c>
    </row>
    <row r="24" spans="1:11" ht="21" customHeight="1" x14ac:dyDescent="0.15">
      <c r="A24" s="16" t="str">
        <f t="shared" si="2"/>
        <v>11104_10-5</v>
      </c>
      <c r="B24" s="16" t="str">
        <f>IF(COUNTIF(enemy_habitats!$H:$H,A24),"OK","NG")</f>
        <v>OK</v>
      </c>
      <c r="C24" s="7">
        <v>11104</v>
      </c>
      <c r="D24" s="11" t="str">
        <f ca="1">VLOOKUP($C24,OFFSET([2]quests!$A$1,0,0,COUNTA([2]quests!$A:$A),MATCH(D$1,[2]quests!$1:$1,0)-MATCH($C$1,[2]quests!$1:$1,0)+1),MATCH(D$1,[2]quests!$1:$1,0)-MATCH($C$1,[2]quests!$1:$1,0)+1,FALSE)</f>
        <v>【期間限定】 緑の素材</v>
      </c>
      <c r="E24" s="18" t="str">
        <f ca="1">VLOOKUP($C24,OFFSET([2]quests!$A$1,0,0,COUNTA([2]quests!$A:$A),MATCH(E$1,[2]quests!$1:$1,0)-MATCH($C$1,[2]quests!$1:$1,0)+1),MATCH(E$1,[2]quests!$1:$1,0)-MATCH($C$1,[2]quests!$1:$1,0)+1,FALSE)</f>
        <v>木曜クエスト</v>
      </c>
      <c r="F24" s="21">
        <v>10</v>
      </c>
      <c r="G24" s="23" t="str">
        <f t="shared" si="3"/>
        <v>11104_10</v>
      </c>
      <c r="H24" s="15" t="str">
        <f ca="1">VLOOKUP($G24,OFFSET([2]stages!$A$1,0,0,COUNTA([2]stages!$A:$A),MATCH(H$1,[2]stages!$2:$2,0)-MATCH($G$1,[2]stages!$2:$2,0)+1),MATCH(H$1,[2]stages!$2:$2,0)-MATCH($G$1,[2]stages!$2:$2,0)+1,FALSE)</f>
        <v>【超絶級】千風のグリフォン</v>
      </c>
      <c r="I24" s="21">
        <v>5</v>
      </c>
      <c r="J24" s="12">
        <v>60</v>
      </c>
      <c r="K24" s="12">
        <v>60</v>
      </c>
    </row>
    <row r="25" spans="1:11" ht="21" customHeight="1" x14ac:dyDescent="0.15">
      <c r="A25" s="16" t="str">
        <f t="shared" si="2"/>
        <v>11104_10-6</v>
      </c>
      <c r="B25" s="16" t="str">
        <f>IF(COUNTIF(enemy_habitats!$H:$H,A25),"OK","NG")</f>
        <v>OK</v>
      </c>
      <c r="C25" s="7">
        <v>11104</v>
      </c>
      <c r="D25" s="11" t="str">
        <f ca="1">VLOOKUP($C25,OFFSET([2]quests!$A$1,0,0,COUNTA([2]quests!$A:$A),MATCH(D$1,[2]quests!$1:$1,0)-MATCH($C$1,[2]quests!$1:$1,0)+1),MATCH(D$1,[2]quests!$1:$1,0)-MATCH($C$1,[2]quests!$1:$1,0)+1,FALSE)</f>
        <v>【期間限定】 緑の素材</v>
      </c>
      <c r="E25" s="18" t="str">
        <f ca="1">VLOOKUP($C25,OFFSET([2]quests!$A$1,0,0,COUNTA([2]quests!$A:$A),MATCH(E$1,[2]quests!$1:$1,0)-MATCH($C$1,[2]quests!$1:$1,0)+1),MATCH(E$1,[2]quests!$1:$1,0)-MATCH($C$1,[2]quests!$1:$1,0)+1,FALSE)</f>
        <v>木曜クエスト</v>
      </c>
      <c r="F25" s="21">
        <v>10</v>
      </c>
      <c r="G25" s="23" t="str">
        <f t="shared" si="3"/>
        <v>11104_10</v>
      </c>
      <c r="H25" s="15" t="str">
        <f ca="1">VLOOKUP($G25,OFFSET([2]stages!$A$1,0,0,COUNTA([2]stages!$A:$A),MATCH(H$1,[2]stages!$2:$2,0)-MATCH($G$1,[2]stages!$2:$2,0)+1),MATCH(H$1,[2]stages!$2:$2,0)-MATCH($G$1,[2]stages!$2:$2,0)+1,FALSE)</f>
        <v>【超絶級】千風のグリフォン</v>
      </c>
      <c r="I25" s="21">
        <v>6</v>
      </c>
      <c r="J25" s="12">
        <v>60</v>
      </c>
      <c r="K25" s="12">
        <v>60</v>
      </c>
    </row>
    <row r="26" spans="1:11" ht="21" customHeight="1" x14ac:dyDescent="0.15">
      <c r="A26" s="16" t="str">
        <f>G26&amp;"-"&amp;I26</f>
        <v>11001_10-1</v>
      </c>
      <c r="B26" s="16" t="str">
        <f>IF(COUNTIF(enemy_habitats!$H:$H,A26),"OK","NG")</f>
        <v>OK</v>
      </c>
      <c r="C26" s="7">
        <v>11001</v>
      </c>
      <c r="D26" s="11" t="str">
        <f ca="1">VLOOKUP($C26,OFFSET([2]quests!$A$1,0,0,COUNTA([2]quests!$A:$A),MATCH(D$1,[2]quests!$1:$1,0)-MATCH($C$1,[2]quests!$1:$1,0)+1),MATCH(D$1,[2]quests!$1:$1,0)-MATCH($C$1,[2]quests!$1:$1,0)+1,FALSE)</f>
        <v>【月曜限定】 黄の素材</v>
      </c>
      <c r="E26" s="18" t="str">
        <f ca="1">VLOOKUP($C26,OFFSET([2]quests!$A$1,0,0,COUNTA([2]quests!$A:$A),MATCH(E$1,[2]quests!$1:$1,0)-MATCH($C$1,[2]quests!$1:$1,0)+1),MATCH(E$1,[2]quests!$1:$1,0)-MATCH($C$1,[2]quests!$1:$1,0)+1,FALSE)</f>
        <v>月曜クエスト</v>
      </c>
      <c r="F26" s="21">
        <v>10</v>
      </c>
      <c r="G26" s="23" t="str">
        <f>C26&amp;"_"&amp;F26</f>
        <v>11001_10</v>
      </c>
      <c r="H26" s="15" t="str">
        <f ca="1">VLOOKUP($G26,OFFSET([2]stages!$A$1,0,0,COUNTA([2]stages!$A:$A),MATCH(H$1,[2]stages!$2:$2,0)-MATCH($G$1,[2]stages!$2:$2,0)+1),MATCH(H$1,[2]stages!$2:$2,0)-MATCH($G$1,[2]stages!$2:$2,0)+1,FALSE)</f>
        <v>【超絶級】醒電の眠りネズミ</v>
      </c>
      <c r="I26" s="21">
        <v>1</v>
      </c>
      <c r="J26" s="12">
        <v>30</v>
      </c>
      <c r="K26" s="12">
        <v>45</v>
      </c>
    </row>
    <row r="27" spans="1:11" ht="21" customHeight="1" x14ac:dyDescent="0.15">
      <c r="A27" s="16" t="str">
        <f t="shared" ref="A27:A37" si="4">G27&amp;"-"&amp;I27</f>
        <v>11001_10-2</v>
      </c>
      <c r="B27" s="16" t="str">
        <f>IF(COUNTIF(enemy_habitats!$H:$H,A27),"OK","NG")</f>
        <v>OK</v>
      </c>
      <c r="C27" s="7">
        <v>11001</v>
      </c>
      <c r="D27" s="11" t="str">
        <f ca="1">VLOOKUP($C27,OFFSET([2]quests!$A$1,0,0,COUNTA([2]quests!$A:$A),MATCH(D$1,[2]quests!$1:$1,0)-MATCH($C$1,[2]quests!$1:$1,0)+1),MATCH(D$1,[2]quests!$1:$1,0)-MATCH($C$1,[2]quests!$1:$1,0)+1,FALSE)</f>
        <v>【月曜限定】 黄の素材</v>
      </c>
      <c r="E27" s="18" t="str">
        <f ca="1">VLOOKUP($C27,OFFSET([2]quests!$A$1,0,0,COUNTA([2]quests!$A:$A),MATCH(E$1,[2]quests!$1:$1,0)-MATCH($C$1,[2]quests!$1:$1,0)+1),MATCH(E$1,[2]quests!$1:$1,0)-MATCH($C$1,[2]quests!$1:$1,0)+1,FALSE)</f>
        <v>月曜クエスト</v>
      </c>
      <c r="F27" s="21">
        <v>10</v>
      </c>
      <c r="G27" s="23" t="str">
        <f t="shared" ref="G27:G37" si="5">C27&amp;"_"&amp;F27</f>
        <v>11001_10</v>
      </c>
      <c r="H27" s="15" t="str">
        <f ca="1">VLOOKUP($G27,OFFSET([2]stages!$A$1,0,0,COUNTA([2]stages!$A:$A),MATCH(H$1,[2]stages!$2:$2,0)-MATCH($G$1,[2]stages!$2:$2,0)+1),MATCH(H$1,[2]stages!$2:$2,0)-MATCH($G$1,[2]stages!$2:$2,0)+1,FALSE)</f>
        <v>【超絶級】醒電の眠りネズミ</v>
      </c>
      <c r="I27" s="21">
        <v>2</v>
      </c>
      <c r="J27" s="12">
        <v>45</v>
      </c>
      <c r="K27" s="12">
        <v>60</v>
      </c>
    </row>
    <row r="28" spans="1:11" ht="21" customHeight="1" x14ac:dyDescent="0.15">
      <c r="A28" s="16" t="str">
        <f t="shared" si="4"/>
        <v>11001_10-3</v>
      </c>
      <c r="B28" s="16" t="str">
        <f>IF(COUNTIF(enemy_habitats!$H:$H,A28),"OK","NG")</f>
        <v>OK</v>
      </c>
      <c r="C28" s="7">
        <v>11001</v>
      </c>
      <c r="D28" s="11" t="str">
        <f ca="1">VLOOKUP($C28,OFFSET([2]quests!$A$1,0,0,COUNTA([2]quests!$A:$A),MATCH(D$1,[2]quests!$1:$1,0)-MATCH($C$1,[2]quests!$1:$1,0)+1),MATCH(D$1,[2]quests!$1:$1,0)-MATCH($C$1,[2]quests!$1:$1,0)+1,FALSE)</f>
        <v>【月曜限定】 黄の素材</v>
      </c>
      <c r="E28" s="18" t="str">
        <f ca="1">VLOOKUP($C28,OFFSET([2]quests!$A$1,0,0,COUNTA([2]quests!$A:$A),MATCH(E$1,[2]quests!$1:$1,0)-MATCH($C$1,[2]quests!$1:$1,0)+1),MATCH(E$1,[2]quests!$1:$1,0)-MATCH($C$1,[2]quests!$1:$1,0)+1,FALSE)</f>
        <v>月曜クエスト</v>
      </c>
      <c r="F28" s="21">
        <v>10</v>
      </c>
      <c r="G28" s="23" t="str">
        <f t="shared" si="5"/>
        <v>11001_10</v>
      </c>
      <c r="H28" s="15" t="str">
        <f ca="1">VLOOKUP($G28,OFFSET([2]stages!$A$1,0,0,COUNTA([2]stages!$A:$A),MATCH(H$1,[2]stages!$2:$2,0)-MATCH($G$1,[2]stages!$2:$2,0)+1),MATCH(H$1,[2]stages!$2:$2,0)-MATCH($G$1,[2]stages!$2:$2,0)+1,FALSE)</f>
        <v>【超絶級】醒電の眠りネズミ</v>
      </c>
      <c r="I28" s="21">
        <v>3</v>
      </c>
      <c r="J28" s="12">
        <v>50</v>
      </c>
      <c r="K28" s="12">
        <v>60</v>
      </c>
    </row>
    <row r="29" spans="1:11" ht="21" customHeight="1" x14ac:dyDescent="0.15">
      <c r="A29" s="16" t="str">
        <f t="shared" si="4"/>
        <v>11001_10-4</v>
      </c>
      <c r="B29" s="16" t="str">
        <f>IF(COUNTIF(enemy_habitats!$H:$H,A29),"OK","NG")</f>
        <v>OK</v>
      </c>
      <c r="C29" s="7">
        <v>11001</v>
      </c>
      <c r="D29" s="11" t="str">
        <f ca="1">VLOOKUP($C29,OFFSET([2]quests!$A$1,0,0,COUNTA([2]quests!$A:$A),MATCH(D$1,[2]quests!$1:$1,0)-MATCH($C$1,[2]quests!$1:$1,0)+1),MATCH(D$1,[2]quests!$1:$1,0)-MATCH($C$1,[2]quests!$1:$1,0)+1,FALSE)</f>
        <v>【月曜限定】 黄の素材</v>
      </c>
      <c r="E29" s="18" t="str">
        <f ca="1">VLOOKUP($C29,OFFSET([2]quests!$A$1,0,0,COUNTA([2]quests!$A:$A),MATCH(E$1,[2]quests!$1:$1,0)-MATCH($C$1,[2]quests!$1:$1,0)+1),MATCH(E$1,[2]quests!$1:$1,0)-MATCH($C$1,[2]quests!$1:$1,0)+1,FALSE)</f>
        <v>月曜クエスト</v>
      </c>
      <c r="F29" s="21">
        <v>10</v>
      </c>
      <c r="G29" s="23" t="str">
        <f t="shared" si="5"/>
        <v>11001_10</v>
      </c>
      <c r="H29" s="15" t="str">
        <f ca="1">VLOOKUP($G29,OFFSET([2]stages!$A$1,0,0,COUNTA([2]stages!$A:$A),MATCH(H$1,[2]stages!$2:$2,0)-MATCH($G$1,[2]stages!$2:$2,0)+1),MATCH(H$1,[2]stages!$2:$2,0)-MATCH($G$1,[2]stages!$2:$2,0)+1,FALSE)</f>
        <v>【超絶級】醒電の眠りネズミ</v>
      </c>
      <c r="I29" s="21">
        <v>4</v>
      </c>
      <c r="J29" s="12">
        <v>45</v>
      </c>
      <c r="K29" s="12">
        <v>60</v>
      </c>
    </row>
    <row r="30" spans="1:11" ht="21" customHeight="1" x14ac:dyDescent="0.15">
      <c r="A30" s="16" t="str">
        <f t="shared" si="4"/>
        <v>11001_10-5</v>
      </c>
      <c r="B30" s="16" t="str">
        <f>IF(COUNTIF(enemy_habitats!$H:$H,A30),"OK","NG")</f>
        <v>OK</v>
      </c>
      <c r="C30" s="7">
        <v>11001</v>
      </c>
      <c r="D30" s="11" t="str">
        <f ca="1">VLOOKUP($C30,OFFSET([2]quests!$A$1,0,0,COUNTA([2]quests!$A:$A),MATCH(D$1,[2]quests!$1:$1,0)-MATCH($C$1,[2]quests!$1:$1,0)+1),MATCH(D$1,[2]quests!$1:$1,0)-MATCH($C$1,[2]quests!$1:$1,0)+1,FALSE)</f>
        <v>【月曜限定】 黄の素材</v>
      </c>
      <c r="E30" s="18" t="str">
        <f ca="1">VLOOKUP($C30,OFFSET([2]quests!$A$1,0,0,COUNTA([2]quests!$A:$A),MATCH(E$1,[2]quests!$1:$1,0)-MATCH($C$1,[2]quests!$1:$1,0)+1),MATCH(E$1,[2]quests!$1:$1,0)-MATCH($C$1,[2]quests!$1:$1,0)+1,FALSE)</f>
        <v>月曜クエスト</v>
      </c>
      <c r="F30" s="21">
        <v>10</v>
      </c>
      <c r="G30" s="23" t="str">
        <f t="shared" si="5"/>
        <v>11001_10</v>
      </c>
      <c r="H30" s="15" t="str">
        <f ca="1">VLOOKUP($G30,OFFSET([2]stages!$A$1,0,0,COUNTA([2]stages!$A:$A),MATCH(H$1,[2]stages!$2:$2,0)-MATCH($G$1,[2]stages!$2:$2,0)+1),MATCH(H$1,[2]stages!$2:$2,0)-MATCH($G$1,[2]stages!$2:$2,0)+1,FALSE)</f>
        <v>【超絶級】醒電の眠りネズミ</v>
      </c>
      <c r="I30" s="21">
        <v>5</v>
      </c>
      <c r="J30" s="12">
        <v>60</v>
      </c>
      <c r="K30" s="12">
        <v>60</v>
      </c>
    </row>
    <row r="31" spans="1:11" ht="21" customHeight="1" x14ac:dyDescent="0.15">
      <c r="A31" s="16" t="str">
        <f t="shared" si="4"/>
        <v>11001_10-6</v>
      </c>
      <c r="B31" s="16" t="str">
        <f>IF(COUNTIF(enemy_habitats!$H:$H,A31),"OK","NG")</f>
        <v>OK</v>
      </c>
      <c r="C31" s="7">
        <v>11001</v>
      </c>
      <c r="D31" s="11" t="str">
        <f ca="1">VLOOKUP($C31,OFFSET([2]quests!$A$1,0,0,COUNTA([2]quests!$A:$A),MATCH(D$1,[2]quests!$1:$1,0)-MATCH($C$1,[2]quests!$1:$1,0)+1),MATCH(D$1,[2]quests!$1:$1,0)-MATCH($C$1,[2]quests!$1:$1,0)+1,FALSE)</f>
        <v>【月曜限定】 黄の素材</v>
      </c>
      <c r="E31" s="18" t="str">
        <f ca="1">VLOOKUP($C31,OFFSET([2]quests!$A$1,0,0,COUNTA([2]quests!$A:$A),MATCH(E$1,[2]quests!$1:$1,0)-MATCH($C$1,[2]quests!$1:$1,0)+1),MATCH(E$1,[2]quests!$1:$1,0)-MATCH($C$1,[2]quests!$1:$1,0)+1,FALSE)</f>
        <v>月曜クエスト</v>
      </c>
      <c r="F31" s="21">
        <v>10</v>
      </c>
      <c r="G31" s="23" t="str">
        <f t="shared" si="5"/>
        <v>11001_10</v>
      </c>
      <c r="H31" s="15" t="str">
        <f ca="1">VLOOKUP($G31,OFFSET([2]stages!$A$1,0,0,COUNTA([2]stages!$A:$A),MATCH(H$1,[2]stages!$2:$2,0)-MATCH($G$1,[2]stages!$2:$2,0)+1),MATCH(H$1,[2]stages!$2:$2,0)-MATCH($G$1,[2]stages!$2:$2,0)+1,FALSE)</f>
        <v>【超絶級】醒電の眠りネズミ</v>
      </c>
      <c r="I31" s="21">
        <v>6</v>
      </c>
      <c r="J31" s="12">
        <v>60</v>
      </c>
      <c r="K31" s="12">
        <v>60</v>
      </c>
    </row>
    <row r="32" spans="1:11" ht="21" customHeight="1" x14ac:dyDescent="0.15">
      <c r="A32" s="16" t="str">
        <f t="shared" si="4"/>
        <v>11003_10-1</v>
      </c>
      <c r="B32" s="16" t="str">
        <f>IF(COUNTIF(enemy_habitats!$H:$H,A32),"OK","NG")</f>
        <v>OK</v>
      </c>
      <c r="C32" s="7">
        <v>11003</v>
      </c>
      <c r="D32" s="11" t="str">
        <f ca="1">VLOOKUP($C32,OFFSET([2]quests!$A$1,0,0,COUNTA([2]quests!$A:$A),MATCH(D$1,[2]quests!$1:$1,0)-MATCH($C$1,[2]quests!$1:$1,0)+1),MATCH(D$1,[2]quests!$1:$1,0)-MATCH($C$1,[2]quests!$1:$1,0)+1,FALSE)</f>
        <v>【水曜限定】 青の素材</v>
      </c>
      <c r="E32" s="18" t="str">
        <f ca="1">VLOOKUP($C32,OFFSET([2]quests!$A$1,0,0,COUNTA([2]quests!$A:$A),MATCH(E$1,[2]quests!$1:$1,0)-MATCH($C$1,[2]quests!$1:$1,0)+1),MATCH(E$1,[2]quests!$1:$1,0)-MATCH($C$1,[2]quests!$1:$1,0)+1,FALSE)</f>
        <v>水曜クエスト</v>
      </c>
      <c r="F32" s="21">
        <v>10</v>
      </c>
      <c r="G32" s="23" t="str">
        <f t="shared" si="5"/>
        <v>11003_10</v>
      </c>
      <c r="H32" s="15" t="str">
        <f ca="1">VLOOKUP($G32,OFFSET([2]stages!$A$1,0,0,COUNTA([2]stages!$A:$A),MATCH(H$1,[2]stages!$2:$2,0)-MATCH($G$1,[2]stages!$2:$2,0)+1),MATCH(H$1,[2]stages!$2:$2,0)-MATCH($G$1,[2]stages!$2:$2,0)+1,FALSE)</f>
        <v>【超絶級】深淵の代用ウミガメ</v>
      </c>
      <c r="I32" s="21">
        <v>1</v>
      </c>
      <c r="J32" s="12">
        <v>30</v>
      </c>
      <c r="K32" s="12">
        <v>45</v>
      </c>
    </row>
    <row r="33" spans="1:11" ht="21" customHeight="1" x14ac:dyDescent="0.15">
      <c r="A33" s="16" t="str">
        <f t="shared" si="4"/>
        <v>11003_10-2</v>
      </c>
      <c r="B33" s="16" t="str">
        <f>IF(COUNTIF(enemy_habitats!$H:$H,A33),"OK","NG")</f>
        <v>OK</v>
      </c>
      <c r="C33" s="7">
        <v>11003</v>
      </c>
      <c r="D33" s="11" t="str">
        <f ca="1">VLOOKUP($C33,OFFSET([2]quests!$A$1,0,0,COUNTA([2]quests!$A:$A),MATCH(D$1,[2]quests!$1:$1,0)-MATCH($C$1,[2]quests!$1:$1,0)+1),MATCH(D$1,[2]quests!$1:$1,0)-MATCH($C$1,[2]quests!$1:$1,0)+1,FALSE)</f>
        <v>【水曜限定】 青の素材</v>
      </c>
      <c r="E33" s="18" t="str">
        <f ca="1">VLOOKUP($C33,OFFSET([2]quests!$A$1,0,0,COUNTA([2]quests!$A:$A),MATCH(E$1,[2]quests!$1:$1,0)-MATCH($C$1,[2]quests!$1:$1,0)+1),MATCH(E$1,[2]quests!$1:$1,0)-MATCH($C$1,[2]quests!$1:$1,0)+1,FALSE)</f>
        <v>水曜クエスト</v>
      </c>
      <c r="F33" s="21">
        <v>10</v>
      </c>
      <c r="G33" s="23" t="str">
        <f t="shared" si="5"/>
        <v>11003_10</v>
      </c>
      <c r="H33" s="15" t="str">
        <f ca="1">VLOOKUP($G33,OFFSET([2]stages!$A$1,0,0,COUNTA([2]stages!$A:$A),MATCH(H$1,[2]stages!$2:$2,0)-MATCH($G$1,[2]stages!$2:$2,0)+1),MATCH(H$1,[2]stages!$2:$2,0)-MATCH($G$1,[2]stages!$2:$2,0)+1,FALSE)</f>
        <v>【超絶級】深淵の代用ウミガメ</v>
      </c>
      <c r="I33" s="21">
        <v>2</v>
      </c>
      <c r="J33" s="12">
        <v>45</v>
      </c>
      <c r="K33" s="12">
        <v>60</v>
      </c>
    </row>
    <row r="34" spans="1:11" ht="21" customHeight="1" x14ac:dyDescent="0.15">
      <c r="A34" s="16" t="str">
        <f t="shared" si="4"/>
        <v>11003_10-3</v>
      </c>
      <c r="B34" s="16" t="str">
        <f>IF(COUNTIF(enemy_habitats!$H:$H,A34),"OK","NG")</f>
        <v>OK</v>
      </c>
      <c r="C34" s="7">
        <v>11003</v>
      </c>
      <c r="D34" s="11" t="str">
        <f ca="1">VLOOKUP($C34,OFFSET([2]quests!$A$1,0,0,COUNTA([2]quests!$A:$A),MATCH(D$1,[2]quests!$1:$1,0)-MATCH($C$1,[2]quests!$1:$1,0)+1),MATCH(D$1,[2]quests!$1:$1,0)-MATCH($C$1,[2]quests!$1:$1,0)+1,FALSE)</f>
        <v>【水曜限定】 青の素材</v>
      </c>
      <c r="E34" s="18" t="str">
        <f ca="1">VLOOKUP($C34,OFFSET([2]quests!$A$1,0,0,COUNTA([2]quests!$A:$A),MATCH(E$1,[2]quests!$1:$1,0)-MATCH($C$1,[2]quests!$1:$1,0)+1),MATCH(E$1,[2]quests!$1:$1,0)-MATCH($C$1,[2]quests!$1:$1,0)+1,FALSE)</f>
        <v>水曜クエスト</v>
      </c>
      <c r="F34" s="21">
        <v>10</v>
      </c>
      <c r="G34" s="23" t="str">
        <f t="shared" si="5"/>
        <v>11003_10</v>
      </c>
      <c r="H34" s="15" t="str">
        <f ca="1">VLOOKUP($G34,OFFSET([2]stages!$A$1,0,0,COUNTA([2]stages!$A:$A),MATCH(H$1,[2]stages!$2:$2,0)-MATCH($G$1,[2]stages!$2:$2,0)+1),MATCH(H$1,[2]stages!$2:$2,0)-MATCH($G$1,[2]stages!$2:$2,0)+1,FALSE)</f>
        <v>【超絶級】深淵の代用ウミガメ</v>
      </c>
      <c r="I34" s="21">
        <v>3</v>
      </c>
      <c r="J34" s="12">
        <v>50</v>
      </c>
      <c r="K34" s="12">
        <v>60</v>
      </c>
    </row>
    <row r="35" spans="1:11" ht="21" customHeight="1" x14ac:dyDescent="0.15">
      <c r="A35" s="16" t="str">
        <f t="shared" si="4"/>
        <v>11003_10-4</v>
      </c>
      <c r="B35" s="16" t="str">
        <f>IF(COUNTIF(enemy_habitats!$H:$H,A35),"OK","NG")</f>
        <v>OK</v>
      </c>
      <c r="C35" s="7">
        <v>11003</v>
      </c>
      <c r="D35" s="11" t="str">
        <f ca="1">VLOOKUP($C35,OFFSET([2]quests!$A$1,0,0,COUNTA([2]quests!$A:$A),MATCH(D$1,[2]quests!$1:$1,0)-MATCH($C$1,[2]quests!$1:$1,0)+1),MATCH(D$1,[2]quests!$1:$1,0)-MATCH($C$1,[2]quests!$1:$1,0)+1,FALSE)</f>
        <v>【水曜限定】 青の素材</v>
      </c>
      <c r="E35" s="18" t="str">
        <f ca="1">VLOOKUP($C35,OFFSET([2]quests!$A$1,0,0,COUNTA([2]quests!$A:$A),MATCH(E$1,[2]quests!$1:$1,0)-MATCH($C$1,[2]quests!$1:$1,0)+1),MATCH(E$1,[2]quests!$1:$1,0)-MATCH($C$1,[2]quests!$1:$1,0)+1,FALSE)</f>
        <v>水曜クエスト</v>
      </c>
      <c r="F35" s="21">
        <v>10</v>
      </c>
      <c r="G35" s="23" t="str">
        <f t="shared" si="5"/>
        <v>11003_10</v>
      </c>
      <c r="H35" s="15" t="str">
        <f ca="1">VLOOKUP($G35,OFFSET([2]stages!$A$1,0,0,COUNTA([2]stages!$A:$A),MATCH(H$1,[2]stages!$2:$2,0)-MATCH($G$1,[2]stages!$2:$2,0)+1),MATCH(H$1,[2]stages!$2:$2,0)-MATCH($G$1,[2]stages!$2:$2,0)+1,FALSE)</f>
        <v>【超絶級】深淵の代用ウミガメ</v>
      </c>
      <c r="I35" s="21">
        <v>4</v>
      </c>
      <c r="J35" s="12">
        <v>45</v>
      </c>
      <c r="K35" s="12">
        <v>60</v>
      </c>
    </row>
    <row r="36" spans="1:11" ht="21" customHeight="1" x14ac:dyDescent="0.15">
      <c r="A36" s="16" t="str">
        <f t="shared" si="4"/>
        <v>11003_10-5</v>
      </c>
      <c r="B36" s="16" t="str">
        <f>IF(COUNTIF(enemy_habitats!$H:$H,A36),"OK","NG")</f>
        <v>OK</v>
      </c>
      <c r="C36" s="7">
        <v>11003</v>
      </c>
      <c r="D36" s="11" t="str">
        <f ca="1">VLOOKUP($C36,OFFSET([2]quests!$A$1,0,0,COUNTA([2]quests!$A:$A),MATCH(D$1,[2]quests!$1:$1,0)-MATCH($C$1,[2]quests!$1:$1,0)+1),MATCH(D$1,[2]quests!$1:$1,0)-MATCH($C$1,[2]quests!$1:$1,0)+1,FALSE)</f>
        <v>【水曜限定】 青の素材</v>
      </c>
      <c r="E36" s="18" t="str">
        <f ca="1">VLOOKUP($C36,OFFSET([2]quests!$A$1,0,0,COUNTA([2]quests!$A:$A),MATCH(E$1,[2]quests!$1:$1,0)-MATCH($C$1,[2]quests!$1:$1,0)+1),MATCH(E$1,[2]quests!$1:$1,0)-MATCH($C$1,[2]quests!$1:$1,0)+1,FALSE)</f>
        <v>水曜クエスト</v>
      </c>
      <c r="F36" s="21">
        <v>10</v>
      </c>
      <c r="G36" s="23" t="str">
        <f t="shared" si="5"/>
        <v>11003_10</v>
      </c>
      <c r="H36" s="15" t="str">
        <f ca="1">VLOOKUP($G36,OFFSET([2]stages!$A$1,0,0,COUNTA([2]stages!$A:$A),MATCH(H$1,[2]stages!$2:$2,0)-MATCH($G$1,[2]stages!$2:$2,0)+1),MATCH(H$1,[2]stages!$2:$2,0)-MATCH($G$1,[2]stages!$2:$2,0)+1,FALSE)</f>
        <v>【超絶級】深淵の代用ウミガメ</v>
      </c>
      <c r="I36" s="21">
        <v>5</v>
      </c>
      <c r="J36" s="12">
        <v>60</v>
      </c>
      <c r="K36" s="12">
        <v>60</v>
      </c>
    </row>
    <row r="37" spans="1:11" ht="21" customHeight="1" x14ac:dyDescent="0.15">
      <c r="A37" s="16" t="str">
        <f t="shared" si="4"/>
        <v>11003_10-6</v>
      </c>
      <c r="B37" s="16" t="str">
        <f>IF(COUNTIF(enemy_habitats!$H:$H,A37),"OK","NG")</f>
        <v>OK</v>
      </c>
      <c r="C37" s="7">
        <v>11003</v>
      </c>
      <c r="D37" s="11" t="str">
        <f ca="1">VLOOKUP($C37,OFFSET([2]quests!$A$1,0,0,COUNTA([2]quests!$A:$A),MATCH(D$1,[2]quests!$1:$1,0)-MATCH($C$1,[2]quests!$1:$1,0)+1),MATCH(D$1,[2]quests!$1:$1,0)-MATCH($C$1,[2]quests!$1:$1,0)+1,FALSE)</f>
        <v>【水曜限定】 青の素材</v>
      </c>
      <c r="E37" s="18" t="str">
        <f ca="1">VLOOKUP($C37,OFFSET([2]quests!$A$1,0,0,COUNTA([2]quests!$A:$A),MATCH(E$1,[2]quests!$1:$1,0)-MATCH($C$1,[2]quests!$1:$1,0)+1),MATCH(E$1,[2]quests!$1:$1,0)-MATCH($C$1,[2]quests!$1:$1,0)+1,FALSE)</f>
        <v>水曜クエスト</v>
      </c>
      <c r="F37" s="21">
        <v>10</v>
      </c>
      <c r="G37" s="23" t="str">
        <f t="shared" si="5"/>
        <v>11003_10</v>
      </c>
      <c r="H37" s="15" t="str">
        <f ca="1">VLOOKUP($G37,OFFSET([2]stages!$A$1,0,0,COUNTA([2]stages!$A:$A),MATCH(H$1,[2]stages!$2:$2,0)-MATCH($G$1,[2]stages!$2:$2,0)+1),MATCH(H$1,[2]stages!$2:$2,0)-MATCH($G$1,[2]stages!$2:$2,0)+1,FALSE)</f>
        <v>【超絶級】深淵の代用ウミガメ</v>
      </c>
      <c r="I37" s="21">
        <v>6</v>
      </c>
      <c r="J37" s="12">
        <v>60</v>
      </c>
      <c r="K37" s="12">
        <v>60</v>
      </c>
    </row>
    <row r="38" spans="1:11" ht="21" customHeight="1" x14ac:dyDescent="0.15">
      <c r="A38" s="16" t="str">
        <f>G38&amp;"-"&amp;I38</f>
        <v>11007_5-1</v>
      </c>
      <c r="B38" s="16" t="str">
        <f>IF(COUNTIF(enemy_habitats!$H:$H,A38),"OK","NG")</f>
        <v>OK</v>
      </c>
      <c r="C38" s="7">
        <v>11007</v>
      </c>
      <c r="D38" s="11" t="str">
        <f ca="1">VLOOKUP($C38,OFFSET([2]quests!$A$1,0,0,COUNTA([2]quests!$A:$A),MATCH(D$1,[2]quests!$1:$1,0)-MATCH($C$1,[2]quests!$1:$1,0)+1),MATCH(D$1,[2]quests!$1:$1,0)-MATCH($C$1,[2]quests!$1:$1,0)+1,FALSE)</f>
        <v>【土曜限定】 赤と緑の素材</v>
      </c>
      <c r="E38" s="18" t="str">
        <f ca="1">VLOOKUP($C38,OFFSET([2]quests!$A$1,0,0,COUNTA([2]quests!$A:$A),MATCH(E$1,[2]quests!$1:$1,0)-MATCH($C$1,[2]quests!$1:$1,0)+1),MATCH(E$1,[2]quests!$1:$1,0)-MATCH($C$1,[2]quests!$1:$1,0)+1,FALSE)</f>
        <v>土曜クエスト</v>
      </c>
      <c r="F38" s="21">
        <v>5</v>
      </c>
      <c r="G38" s="23" t="str">
        <f>C38&amp;"_"&amp;F38</f>
        <v>11007_5</v>
      </c>
      <c r="H38" s="15" t="str">
        <f ca="1">VLOOKUP($G38,OFFSET([2]stages!$A$1,0,0,COUNTA([2]stages!$A:$A),MATCH(H$1,[2]stages!$2:$2,0)-MATCH($G$1,[2]stages!$2:$2,0)+1),MATCH(H$1,[2]stages!$2:$2,0)-MATCH($G$1,[2]stages!$2:$2,0)+1,FALSE)</f>
        <v>【超絶級】ドードーとグリフォン</v>
      </c>
      <c r="I38" s="21">
        <v>1</v>
      </c>
      <c r="J38" s="12">
        <v>30</v>
      </c>
      <c r="K38" s="12">
        <v>45</v>
      </c>
    </row>
    <row r="39" spans="1:11" ht="21" customHeight="1" x14ac:dyDescent="0.15">
      <c r="A39" s="16" t="str">
        <f t="shared" ref="A39:A49" si="6">G39&amp;"-"&amp;I39</f>
        <v>11007_5-2</v>
      </c>
      <c r="B39" s="16" t="str">
        <f>IF(COUNTIF(enemy_habitats!$H:$H,A39),"OK","NG")</f>
        <v>OK</v>
      </c>
      <c r="C39" s="7">
        <v>11007</v>
      </c>
      <c r="D39" s="11" t="str">
        <f ca="1">VLOOKUP($C39,OFFSET([2]quests!$A$1,0,0,COUNTA([2]quests!$A:$A),MATCH(D$1,[2]quests!$1:$1,0)-MATCH($C$1,[2]quests!$1:$1,0)+1),MATCH(D$1,[2]quests!$1:$1,0)-MATCH($C$1,[2]quests!$1:$1,0)+1,FALSE)</f>
        <v>【土曜限定】 赤と緑の素材</v>
      </c>
      <c r="E39" s="18" t="str">
        <f ca="1">VLOOKUP($C39,OFFSET([2]quests!$A$1,0,0,COUNTA([2]quests!$A:$A),MATCH(E$1,[2]quests!$1:$1,0)-MATCH($C$1,[2]quests!$1:$1,0)+1),MATCH(E$1,[2]quests!$1:$1,0)-MATCH($C$1,[2]quests!$1:$1,0)+1,FALSE)</f>
        <v>土曜クエスト</v>
      </c>
      <c r="F39" s="21">
        <v>5</v>
      </c>
      <c r="G39" s="23" t="str">
        <f t="shared" ref="G39:G49" si="7">C39&amp;"_"&amp;F39</f>
        <v>11007_5</v>
      </c>
      <c r="H39" s="15" t="str">
        <f ca="1">VLOOKUP($G39,OFFSET([2]stages!$A$1,0,0,COUNTA([2]stages!$A:$A),MATCH(H$1,[2]stages!$2:$2,0)-MATCH($G$1,[2]stages!$2:$2,0)+1),MATCH(H$1,[2]stages!$2:$2,0)-MATCH($G$1,[2]stages!$2:$2,0)+1,FALSE)</f>
        <v>【超絶級】ドードーとグリフォン</v>
      </c>
      <c r="I39" s="21">
        <v>2</v>
      </c>
      <c r="J39" s="12">
        <v>45</v>
      </c>
      <c r="K39" s="12">
        <v>60</v>
      </c>
    </row>
    <row r="40" spans="1:11" ht="21" customHeight="1" x14ac:dyDescent="0.15">
      <c r="A40" s="16" t="str">
        <f t="shared" si="6"/>
        <v>11007_5-3</v>
      </c>
      <c r="B40" s="16" t="str">
        <f>IF(COUNTIF(enemy_habitats!$H:$H,A40),"OK","NG")</f>
        <v>OK</v>
      </c>
      <c r="C40" s="7">
        <v>11007</v>
      </c>
      <c r="D40" s="11" t="str">
        <f ca="1">VLOOKUP($C40,OFFSET([2]quests!$A$1,0,0,COUNTA([2]quests!$A:$A),MATCH(D$1,[2]quests!$1:$1,0)-MATCH($C$1,[2]quests!$1:$1,0)+1),MATCH(D$1,[2]quests!$1:$1,0)-MATCH($C$1,[2]quests!$1:$1,0)+1,FALSE)</f>
        <v>【土曜限定】 赤と緑の素材</v>
      </c>
      <c r="E40" s="18" t="str">
        <f ca="1">VLOOKUP($C40,OFFSET([2]quests!$A$1,0,0,COUNTA([2]quests!$A:$A),MATCH(E$1,[2]quests!$1:$1,0)-MATCH($C$1,[2]quests!$1:$1,0)+1),MATCH(E$1,[2]quests!$1:$1,0)-MATCH($C$1,[2]quests!$1:$1,0)+1,FALSE)</f>
        <v>土曜クエスト</v>
      </c>
      <c r="F40" s="21">
        <v>5</v>
      </c>
      <c r="G40" s="23" t="str">
        <f t="shared" si="7"/>
        <v>11007_5</v>
      </c>
      <c r="H40" s="15" t="str">
        <f ca="1">VLOOKUP($G40,OFFSET([2]stages!$A$1,0,0,COUNTA([2]stages!$A:$A),MATCH(H$1,[2]stages!$2:$2,0)-MATCH($G$1,[2]stages!$2:$2,0)+1),MATCH(H$1,[2]stages!$2:$2,0)-MATCH($G$1,[2]stages!$2:$2,0)+1,FALSE)</f>
        <v>【超絶級】ドードーとグリフォン</v>
      </c>
      <c r="I40" s="21">
        <v>3</v>
      </c>
      <c r="J40" s="12">
        <v>50</v>
      </c>
      <c r="K40" s="12">
        <v>60</v>
      </c>
    </row>
    <row r="41" spans="1:11" ht="21" customHeight="1" x14ac:dyDescent="0.15">
      <c r="A41" s="16" t="str">
        <f t="shared" si="6"/>
        <v>11007_5-4</v>
      </c>
      <c r="B41" s="16" t="str">
        <f>IF(COUNTIF(enemy_habitats!$H:$H,A41),"OK","NG")</f>
        <v>OK</v>
      </c>
      <c r="C41" s="7">
        <v>11007</v>
      </c>
      <c r="D41" s="11" t="str">
        <f ca="1">VLOOKUP($C41,OFFSET([2]quests!$A$1,0,0,COUNTA([2]quests!$A:$A),MATCH(D$1,[2]quests!$1:$1,0)-MATCH($C$1,[2]quests!$1:$1,0)+1),MATCH(D$1,[2]quests!$1:$1,0)-MATCH($C$1,[2]quests!$1:$1,0)+1,FALSE)</f>
        <v>【土曜限定】 赤と緑の素材</v>
      </c>
      <c r="E41" s="18" t="str">
        <f ca="1">VLOOKUP($C41,OFFSET([2]quests!$A$1,0,0,COUNTA([2]quests!$A:$A),MATCH(E$1,[2]quests!$1:$1,0)-MATCH($C$1,[2]quests!$1:$1,0)+1),MATCH(E$1,[2]quests!$1:$1,0)-MATCH($C$1,[2]quests!$1:$1,0)+1,FALSE)</f>
        <v>土曜クエスト</v>
      </c>
      <c r="F41" s="21">
        <v>5</v>
      </c>
      <c r="G41" s="23" t="str">
        <f t="shared" si="7"/>
        <v>11007_5</v>
      </c>
      <c r="H41" s="15" t="str">
        <f ca="1">VLOOKUP($G41,OFFSET([2]stages!$A$1,0,0,COUNTA([2]stages!$A:$A),MATCH(H$1,[2]stages!$2:$2,0)-MATCH($G$1,[2]stages!$2:$2,0)+1),MATCH(H$1,[2]stages!$2:$2,0)-MATCH($G$1,[2]stages!$2:$2,0)+1,FALSE)</f>
        <v>【超絶級】ドードーとグリフォン</v>
      </c>
      <c r="I41" s="21">
        <v>4</v>
      </c>
      <c r="J41" s="12">
        <v>45</v>
      </c>
      <c r="K41" s="12">
        <v>60</v>
      </c>
    </row>
    <row r="42" spans="1:11" ht="21" customHeight="1" x14ac:dyDescent="0.15">
      <c r="A42" s="16" t="str">
        <f t="shared" si="6"/>
        <v>11007_5-5</v>
      </c>
      <c r="B42" s="16" t="str">
        <f>IF(COUNTIF(enemy_habitats!$H:$H,A42),"OK","NG")</f>
        <v>OK</v>
      </c>
      <c r="C42" s="7">
        <v>11007</v>
      </c>
      <c r="D42" s="11" t="str">
        <f ca="1">VLOOKUP($C42,OFFSET([2]quests!$A$1,0,0,COUNTA([2]quests!$A:$A),MATCH(D$1,[2]quests!$1:$1,0)-MATCH($C$1,[2]quests!$1:$1,0)+1),MATCH(D$1,[2]quests!$1:$1,0)-MATCH($C$1,[2]quests!$1:$1,0)+1,FALSE)</f>
        <v>【土曜限定】 赤と緑の素材</v>
      </c>
      <c r="E42" s="18" t="str">
        <f ca="1">VLOOKUP($C42,OFFSET([2]quests!$A$1,0,0,COUNTA([2]quests!$A:$A),MATCH(E$1,[2]quests!$1:$1,0)-MATCH($C$1,[2]quests!$1:$1,0)+1),MATCH(E$1,[2]quests!$1:$1,0)-MATCH($C$1,[2]quests!$1:$1,0)+1,FALSE)</f>
        <v>土曜クエスト</v>
      </c>
      <c r="F42" s="21">
        <v>5</v>
      </c>
      <c r="G42" s="23" t="str">
        <f t="shared" si="7"/>
        <v>11007_5</v>
      </c>
      <c r="H42" s="15" t="str">
        <f ca="1">VLOOKUP($G42,OFFSET([2]stages!$A$1,0,0,COUNTA([2]stages!$A:$A),MATCH(H$1,[2]stages!$2:$2,0)-MATCH($G$1,[2]stages!$2:$2,0)+1),MATCH(H$1,[2]stages!$2:$2,0)-MATCH($G$1,[2]stages!$2:$2,0)+1,FALSE)</f>
        <v>【超絶級】ドードーとグリフォン</v>
      </c>
      <c r="I42" s="21">
        <v>5</v>
      </c>
      <c r="J42" s="12">
        <v>60</v>
      </c>
      <c r="K42" s="12">
        <v>60</v>
      </c>
    </row>
    <row r="43" spans="1:11" ht="21" customHeight="1" x14ac:dyDescent="0.15">
      <c r="A43" s="16" t="str">
        <f t="shared" si="6"/>
        <v>11007_5-6</v>
      </c>
      <c r="B43" s="16" t="str">
        <f>IF(COUNTIF(enemy_habitats!$H:$H,A43),"OK","NG")</f>
        <v>OK</v>
      </c>
      <c r="C43" s="7">
        <v>11007</v>
      </c>
      <c r="D43" s="11" t="str">
        <f ca="1">VLOOKUP($C43,OFFSET([2]quests!$A$1,0,0,COUNTA([2]quests!$A:$A),MATCH(D$1,[2]quests!$1:$1,0)-MATCH($C$1,[2]quests!$1:$1,0)+1),MATCH(D$1,[2]quests!$1:$1,0)-MATCH($C$1,[2]quests!$1:$1,0)+1,FALSE)</f>
        <v>【土曜限定】 赤と緑の素材</v>
      </c>
      <c r="E43" s="18" t="str">
        <f ca="1">VLOOKUP($C43,OFFSET([2]quests!$A$1,0,0,COUNTA([2]quests!$A:$A),MATCH(E$1,[2]quests!$1:$1,0)-MATCH($C$1,[2]quests!$1:$1,0)+1),MATCH(E$1,[2]quests!$1:$1,0)-MATCH($C$1,[2]quests!$1:$1,0)+1,FALSE)</f>
        <v>土曜クエスト</v>
      </c>
      <c r="F43" s="21">
        <v>5</v>
      </c>
      <c r="G43" s="23" t="str">
        <f t="shared" si="7"/>
        <v>11007_5</v>
      </c>
      <c r="H43" s="15" t="str">
        <f ca="1">VLOOKUP($G43,OFFSET([2]stages!$A$1,0,0,COUNTA([2]stages!$A:$A),MATCH(H$1,[2]stages!$2:$2,0)-MATCH($G$1,[2]stages!$2:$2,0)+1),MATCH(H$1,[2]stages!$2:$2,0)-MATCH($G$1,[2]stages!$2:$2,0)+1,FALSE)</f>
        <v>【超絶級】ドードーとグリフォン</v>
      </c>
      <c r="I43" s="21">
        <v>6</v>
      </c>
      <c r="J43" s="12">
        <v>60</v>
      </c>
      <c r="K43" s="12">
        <v>60</v>
      </c>
    </row>
    <row r="44" spans="1:11" ht="21" customHeight="1" x14ac:dyDescent="0.15">
      <c r="A44" s="16" t="str">
        <f t="shared" si="6"/>
        <v>11008_5-1</v>
      </c>
      <c r="B44" s="16" t="str">
        <f>IF(COUNTIF(enemy_habitats!$H:$H,A44),"OK","NG")</f>
        <v>OK</v>
      </c>
      <c r="C44" s="7">
        <v>11008</v>
      </c>
      <c r="D44" s="11" t="str">
        <f ca="1">VLOOKUP($C44,OFFSET([2]quests!$A$1,0,0,COUNTA([2]quests!$A:$A),MATCH(D$1,[2]quests!$1:$1,0)-MATCH($C$1,[2]quests!$1:$1,0)+1),MATCH(D$1,[2]quests!$1:$1,0)-MATCH($C$1,[2]quests!$1:$1,0)+1,FALSE)</f>
        <v>【日曜限定】 青と黄の素材</v>
      </c>
      <c r="E44" s="18" t="str">
        <f ca="1">VLOOKUP($C44,OFFSET([2]quests!$A$1,0,0,COUNTA([2]quests!$A:$A),MATCH(E$1,[2]quests!$1:$1,0)-MATCH($C$1,[2]quests!$1:$1,0)+1),MATCH(E$1,[2]quests!$1:$1,0)-MATCH($C$1,[2]quests!$1:$1,0)+1,FALSE)</f>
        <v>日曜クエスト</v>
      </c>
      <c r="F44" s="21">
        <v>5</v>
      </c>
      <c r="G44" s="23" t="str">
        <f t="shared" si="7"/>
        <v>11008_5</v>
      </c>
      <c r="H44" s="15" t="str">
        <f ca="1">VLOOKUP($G44,OFFSET([2]stages!$A$1,0,0,COUNTA([2]stages!$A:$A),MATCH(H$1,[2]stages!$2:$2,0)-MATCH($G$1,[2]stages!$2:$2,0)+1),MATCH(H$1,[2]stages!$2:$2,0)-MATCH($G$1,[2]stages!$2:$2,0)+1,FALSE)</f>
        <v>【超絶級】ウミガメとネズミ</v>
      </c>
      <c r="I44" s="21">
        <v>1</v>
      </c>
      <c r="J44" s="12">
        <v>30</v>
      </c>
      <c r="K44" s="12">
        <v>45</v>
      </c>
    </row>
    <row r="45" spans="1:11" ht="21" customHeight="1" x14ac:dyDescent="0.15">
      <c r="A45" s="16" t="str">
        <f t="shared" si="6"/>
        <v>11008_5-2</v>
      </c>
      <c r="B45" s="16" t="str">
        <f>IF(COUNTIF(enemy_habitats!$H:$H,A45),"OK","NG")</f>
        <v>OK</v>
      </c>
      <c r="C45" s="7">
        <v>11008</v>
      </c>
      <c r="D45" s="11" t="str">
        <f ca="1">VLOOKUP($C45,OFFSET([2]quests!$A$1,0,0,COUNTA([2]quests!$A:$A),MATCH(D$1,[2]quests!$1:$1,0)-MATCH($C$1,[2]quests!$1:$1,0)+1),MATCH(D$1,[2]quests!$1:$1,0)-MATCH($C$1,[2]quests!$1:$1,0)+1,FALSE)</f>
        <v>【日曜限定】 青と黄の素材</v>
      </c>
      <c r="E45" s="18" t="str">
        <f ca="1">VLOOKUP($C45,OFFSET([2]quests!$A$1,0,0,COUNTA([2]quests!$A:$A),MATCH(E$1,[2]quests!$1:$1,0)-MATCH($C$1,[2]quests!$1:$1,0)+1),MATCH(E$1,[2]quests!$1:$1,0)-MATCH($C$1,[2]quests!$1:$1,0)+1,FALSE)</f>
        <v>日曜クエスト</v>
      </c>
      <c r="F45" s="21">
        <v>5</v>
      </c>
      <c r="G45" s="23" t="str">
        <f t="shared" si="7"/>
        <v>11008_5</v>
      </c>
      <c r="H45" s="15" t="str">
        <f ca="1">VLOOKUP($G45,OFFSET([2]stages!$A$1,0,0,COUNTA([2]stages!$A:$A),MATCH(H$1,[2]stages!$2:$2,0)-MATCH($G$1,[2]stages!$2:$2,0)+1),MATCH(H$1,[2]stages!$2:$2,0)-MATCH($G$1,[2]stages!$2:$2,0)+1,FALSE)</f>
        <v>【超絶級】ウミガメとネズミ</v>
      </c>
      <c r="I45" s="21">
        <v>2</v>
      </c>
      <c r="J45" s="12">
        <v>45</v>
      </c>
      <c r="K45" s="12">
        <v>60</v>
      </c>
    </row>
    <row r="46" spans="1:11" ht="21" customHeight="1" x14ac:dyDescent="0.15">
      <c r="A46" s="16" t="str">
        <f t="shared" si="6"/>
        <v>11008_5-3</v>
      </c>
      <c r="B46" s="16" t="str">
        <f>IF(COUNTIF(enemy_habitats!$H:$H,A46),"OK","NG")</f>
        <v>OK</v>
      </c>
      <c r="C46" s="7">
        <v>11008</v>
      </c>
      <c r="D46" s="11" t="str">
        <f ca="1">VLOOKUP($C46,OFFSET([2]quests!$A$1,0,0,COUNTA([2]quests!$A:$A),MATCH(D$1,[2]quests!$1:$1,0)-MATCH($C$1,[2]quests!$1:$1,0)+1),MATCH(D$1,[2]quests!$1:$1,0)-MATCH($C$1,[2]quests!$1:$1,0)+1,FALSE)</f>
        <v>【日曜限定】 青と黄の素材</v>
      </c>
      <c r="E46" s="18" t="str">
        <f ca="1">VLOOKUP($C46,OFFSET([2]quests!$A$1,0,0,COUNTA([2]quests!$A:$A),MATCH(E$1,[2]quests!$1:$1,0)-MATCH($C$1,[2]quests!$1:$1,0)+1),MATCH(E$1,[2]quests!$1:$1,0)-MATCH($C$1,[2]quests!$1:$1,0)+1,FALSE)</f>
        <v>日曜クエスト</v>
      </c>
      <c r="F46" s="21">
        <v>5</v>
      </c>
      <c r="G46" s="23" t="str">
        <f t="shared" si="7"/>
        <v>11008_5</v>
      </c>
      <c r="H46" s="15" t="str">
        <f ca="1">VLOOKUP($G46,OFFSET([2]stages!$A$1,0,0,COUNTA([2]stages!$A:$A),MATCH(H$1,[2]stages!$2:$2,0)-MATCH($G$1,[2]stages!$2:$2,0)+1),MATCH(H$1,[2]stages!$2:$2,0)-MATCH($G$1,[2]stages!$2:$2,0)+1,FALSE)</f>
        <v>【超絶級】ウミガメとネズミ</v>
      </c>
      <c r="I46" s="21">
        <v>3</v>
      </c>
      <c r="J46" s="12">
        <v>50</v>
      </c>
      <c r="K46" s="12">
        <v>60</v>
      </c>
    </row>
    <row r="47" spans="1:11" ht="21" customHeight="1" x14ac:dyDescent="0.15">
      <c r="A47" s="16" t="str">
        <f t="shared" si="6"/>
        <v>11008_5-4</v>
      </c>
      <c r="B47" s="16" t="str">
        <f>IF(COUNTIF(enemy_habitats!$H:$H,A47),"OK","NG")</f>
        <v>OK</v>
      </c>
      <c r="C47" s="7">
        <v>11008</v>
      </c>
      <c r="D47" s="11" t="str">
        <f ca="1">VLOOKUP($C47,OFFSET([2]quests!$A$1,0,0,COUNTA([2]quests!$A:$A),MATCH(D$1,[2]quests!$1:$1,0)-MATCH($C$1,[2]quests!$1:$1,0)+1),MATCH(D$1,[2]quests!$1:$1,0)-MATCH($C$1,[2]quests!$1:$1,0)+1,FALSE)</f>
        <v>【日曜限定】 青と黄の素材</v>
      </c>
      <c r="E47" s="18" t="str">
        <f ca="1">VLOOKUP($C47,OFFSET([2]quests!$A$1,0,0,COUNTA([2]quests!$A:$A),MATCH(E$1,[2]quests!$1:$1,0)-MATCH($C$1,[2]quests!$1:$1,0)+1),MATCH(E$1,[2]quests!$1:$1,0)-MATCH($C$1,[2]quests!$1:$1,0)+1,FALSE)</f>
        <v>日曜クエスト</v>
      </c>
      <c r="F47" s="21">
        <v>5</v>
      </c>
      <c r="G47" s="23" t="str">
        <f t="shared" si="7"/>
        <v>11008_5</v>
      </c>
      <c r="H47" s="15" t="str">
        <f ca="1">VLOOKUP($G47,OFFSET([2]stages!$A$1,0,0,COUNTA([2]stages!$A:$A),MATCH(H$1,[2]stages!$2:$2,0)-MATCH($G$1,[2]stages!$2:$2,0)+1),MATCH(H$1,[2]stages!$2:$2,0)-MATCH($G$1,[2]stages!$2:$2,0)+1,FALSE)</f>
        <v>【超絶級】ウミガメとネズミ</v>
      </c>
      <c r="I47" s="21">
        <v>4</v>
      </c>
      <c r="J47" s="12">
        <v>45</v>
      </c>
      <c r="K47" s="12">
        <v>60</v>
      </c>
    </row>
    <row r="48" spans="1:11" ht="21" customHeight="1" x14ac:dyDescent="0.15">
      <c r="A48" s="16" t="str">
        <f t="shared" si="6"/>
        <v>11008_5-5</v>
      </c>
      <c r="B48" s="16" t="str">
        <f>IF(COUNTIF(enemy_habitats!$H:$H,A48),"OK","NG")</f>
        <v>OK</v>
      </c>
      <c r="C48" s="7">
        <v>11008</v>
      </c>
      <c r="D48" s="11" t="str">
        <f ca="1">VLOOKUP($C48,OFFSET([2]quests!$A$1,0,0,COUNTA([2]quests!$A:$A),MATCH(D$1,[2]quests!$1:$1,0)-MATCH($C$1,[2]quests!$1:$1,0)+1),MATCH(D$1,[2]quests!$1:$1,0)-MATCH($C$1,[2]quests!$1:$1,0)+1,FALSE)</f>
        <v>【日曜限定】 青と黄の素材</v>
      </c>
      <c r="E48" s="18" t="str">
        <f ca="1">VLOOKUP($C48,OFFSET([2]quests!$A$1,0,0,COUNTA([2]quests!$A:$A),MATCH(E$1,[2]quests!$1:$1,0)-MATCH($C$1,[2]quests!$1:$1,0)+1),MATCH(E$1,[2]quests!$1:$1,0)-MATCH($C$1,[2]quests!$1:$1,0)+1,FALSE)</f>
        <v>日曜クエスト</v>
      </c>
      <c r="F48" s="21">
        <v>5</v>
      </c>
      <c r="G48" s="23" t="str">
        <f t="shared" si="7"/>
        <v>11008_5</v>
      </c>
      <c r="H48" s="15" t="str">
        <f ca="1">VLOOKUP($G48,OFFSET([2]stages!$A$1,0,0,COUNTA([2]stages!$A:$A),MATCH(H$1,[2]stages!$2:$2,0)-MATCH($G$1,[2]stages!$2:$2,0)+1),MATCH(H$1,[2]stages!$2:$2,0)-MATCH($G$1,[2]stages!$2:$2,0)+1,FALSE)</f>
        <v>【超絶級】ウミガメとネズミ</v>
      </c>
      <c r="I48" s="21">
        <v>5</v>
      </c>
      <c r="J48" s="12">
        <v>60</v>
      </c>
      <c r="K48" s="12">
        <v>60</v>
      </c>
    </row>
    <row r="49" spans="1:11" ht="21" customHeight="1" x14ac:dyDescent="0.15">
      <c r="A49" s="16" t="str">
        <f t="shared" si="6"/>
        <v>11008_5-6</v>
      </c>
      <c r="B49" s="16" t="str">
        <f>IF(COUNTIF(enemy_habitats!$H:$H,A49),"OK","NG")</f>
        <v>OK</v>
      </c>
      <c r="C49" s="7">
        <v>11008</v>
      </c>
      <c r="D49" s="11" t="str">
        <f ca="1">VLOOKUP($C49,OFFSET([2]quests!$A$1,0,0,COUNTA([2]quests!$A:$A),MATCH(D$1,[2]quests!$1:$1,0)-MATCH($C$1,[2]quests!$1:$1,0)+1),MATCH(D$1,[2]quests!$1:$1,0)-MATCH($C$1,[2]quests!$1:$1,0)+1,FALSE)</f>
        <v>【日曜限定】 青と黄の素材</v>
      </c>
      <c r="E49" s="18" t="str">
        <f ca="1">VLOOKUP($C49,OFFSET([2]quests!$A$1,0,0,COUNTA([2]quests!$A:$A),MATCH(E$1,[2]quests!$1:$1,0)-MATCH($C$1,[2]quests!$1:$1,0)+1),MATCH(E$1,[2]quests!$1:$1,0)-MATCH($C$1,[2]quests!$1:$1,0)+1,FALSE)</f>
        <v>日曜クエスト</v>
      </c>
      <c r="F49" s="21">
        <v>5</v>
      </c>
      <c r="G49" s="23" t="str">
        <f t="shared" si="7"/>
        <v>11008_5</v>
      </c>
      <c r="H49" s="15" t="str">
        <f ca="1">VLOOKUP($G49,OFFSET([2]stages!$A$1,0,0,COUNTA([2]stages!$A:$A),MATCH(H$1,[2]stages!$2:$2,0)-MATCH($G$1,[2]stages!$2:$2,0)+1),MATCH(H$1,[2]stages!$2:$2,0)-MATCH($G$1,[2]stages!$2:$2,0)+1,FALSE)</f>
        <v>【超絶級】ウミガメとネズミ</v>
      </c>
      <c r="I49" s="21">
        <v>6</v>
      </c>
      <c r="J49" s="12">
        <v>60</v>
      </c>
      <c r="K49" s="12">
        <v>60</v>
      </c>
    </row>
    <row r="50" spans="1:11" ht="21" customHeight="1" x14ac:dyDescent="0.15">
      <c r="A50" s="16" t="str">
        <f>G50&amp;"-"&amp;I50</f>
        <v>11101_10-1</v>
      </c>
      <c r="B50" s="16" t="str">
        <f>IF(COUNTIF(enemy_habitats!$H:$H,A50),"OK","NG")</f>
        <v>OK</v>
      </c>
      <c r="C50" s="7">
        <v>11101</v>
      </c>
      <c r="D50" s="11" t="str">
        <f ca="1">VLOOKUP($C50,OFFSET([2]quests!$A$1,0,0,COUNTA([2]quests!$A:$A),MATCH(D$1,[2]quests!$1:$1,0)-MATCH($C$1,[2]quests!$1:$1,0)+1),MATCH(D$1,[2]quests!$1:$1,0)-MATCH($C$1,[2]quests!$1:$1,0)+1,FALSE)</f>
        <v>【期間限定】 黄の素材</v>
      </c>
      <c r="E50" s="18" t="str">
        <f ca="1">VLOOKUP($C50,OFFSET([2]quests!$A$1,0,0,COUNTA([2]quests!$A:$A),MATCH(E$1,[2]quests!$1:$1,0)-MATCH($C$1,[2]quests!$1:$1,0)+1),MATCH(E$1,[2]quests!$1:$1,0)-MATCH($C$1,[2]quests!$1:$1,0)+1,FALSE)</f>
        <v>月曜クエスト</v>
      </c>
      <c r="F50" s="21">
        <v>10</v>
      </c>
      <c r="G50" s="23" t="str">
        <f>C50&amp;"_"&amp;F50</f>
        <v>11101_10</v>
      </c>
      <c r="H50" s="15" t="str">
        <f ca="1">VLOOKUP($G50,OFFSET([2]stages!$A$1,0,0,COUNTA([2]stages!$A:$A),MATCH(H$1,[2]stages!$2:$2,0)-MATCH($G$1,[2]stages!$2:$2,0)+1),MATCH(H$1,[2]stages!$2:$2,0)-MATCH($G$1,[2]stages!$2:$2,0)+1,FALSE)</f>
        <v>【超絶級】醒電の眠りネズミ</v>
      </c>
      <c r="I50" s="21">
        <v>1</v>
      </c>
      <c r="J50" s="12">
        <v>30</v>
      </c>
      <c r="K50" s="12">
        <v>45</v>
      </c>
    </row>
    <row r="51" spans="1:11" ht="21" customHeight="1" x14ac:dyDescent="0.15">
      <c r="A51" s="16" t="str">
        <f t="shared" ref="A51:A61" si="8">G51&amp;"-"&amp;I51</f>
        <v>11101_10-2</v>
      </c>
      <c r="B51" s="16" t="str">
        <f>IF(COUNTIF(enemy_habitats!$H:$H,A51),"OK","NG")</f>
        <v>OK</v>
      </c>
      <c r="C51" s="7">
        <v>11101</v>
      </c>
      <c r="D51" s="11" t="str">
        <f ca="1">VLOOKUP($C51,OFFSET([2]quests!$A$1,0,0,COUNTA([2]quests!$A:$A),MATCH(D$1,[2]quests!$1:$1,0)-MATCH($C$1,[2]quests!$1:$1,0)+1),MATCH(D$1,[2]quests!$1:$1,0)-MATCH($C$1,[2]quests!$1:$1,0)+1,FALSE)</f>
        <v>【期間限定】 黄の素材</v>
      </c>
      <c r="E51" s="18" t="str">
        <f ca="1">VLOOKUP($C51,OFFSET([2]quests!$A$1,0,0,COUNTA([2]quests!$A:$A),MATCH(E$1,[2]quests!$1:$1,0)-MATCH($C$1,[2]quests!$1:$1,0)+1),MATCH(E$1,[2]quests!$1:$1,0)-MATCH($C$1,[2]quests!$1:$1,0)+1,FALSE)</f>
        <v>月曜クエスト</v>
      </c>
      <c r="F51" s="21">
        <v>10</v>
      </c>
      <c r="G51" s="23" t="str">
        <f t="shared" ref="G51:G61" si="9">C51&amp;"_"&amp;F51</f>
        <v>11101_10</v>
      </c>
      <c r="H51" s="15" t="str">
        <f ca="1">VLOOKUP($G51,OFFSET([2]stages!$A$1,0,0,COUNTA([2]stages!$A:$A),MATCH(H$1,[2]stages!$2:$2,0)-MATCH($G$1,[2]stages!$2:$2,0)+1),MATCH(H$1,[2]stages!$2:$2,0)-MATCH($G$1,[2]stages!$2:$2,0)+1,FALSE)</f>
        <v>【超絶級】醒電の眠りネズミ</v>
      </c>
      <c r="I51" s="21">
        <v>2</v>
      </c>
      <c r="J51" s="12">
        <v>45</v>
      </c>
      <c r="K51" s="12">
        <v>60</v>
      </c>
    </row>
    <row r="52" spans="1:11" ht="21" customHeight="1" x14ac:dyDescent="0.15">
      <c r="A52" s="16" t="str">
        <f t="shared" si="8"/>
        <v>11101_10-3</v>
      </c>
      <c r="B52" s="16" t="str">
        <f>IF(COUNTIF(enemy_habitats!$H:$H,A52),"OK","NG")</f>
        <v>OK</v>
      </c>
      <c r="C52" s="7">
        <v>11101</v>
      </c>
      <c r="D52" s="11" t="str">
        <f ca="1">VLOOKUP($C52,OFFSET([2]quests!$A$1,0,0,COUNTA([2]quests!$A:$A),MATCH(D$1,[2]quests!$1:$1,0)-MATCH($C$1,[2]quests!$1:$1,0)+1),MATCH(D$1,[2]quests!$1:$1,0)-MATCH($C$1,[2]quests!$1:$1,0)+1,FALSE)</f>
        <v>【期間限定】 黄の素材</v>
      </c>
      <c r="E52" s="18" t="str">
        <f ca="1">VLOOKUP($C52,OFFSET([2]quests!$A$1,0,0,COUNTA([2]quests!$A:$A),MATCH(E$1,[2]quests!$1:$1,0)-MATCH($C$1,[2]quests!$1:$1,0)+1),MATCH(E$1,[2]quests!$1:$1,0)-MATCH($C$1,[2]quests!$1:$1,0)+1,FALSE)</f>
        <v>月曜クエスト</v>
      </c>
      <c r="F52" s="21">
        <v>10</v>
      </c>
      <c r="G52" s="23" t="str">
        <f t="shared" si="9"/>
        <v>11101_10</v>
      </c>
      <c r="H52" s="15" t="str">
        <f ca="1">VLOOKUP($G52,OFFSET([2]stages!$A$1,0,0,COUNTA([2]stages!$A:$A),MATCH(H$1,[2]stages!$2:$2,0)-MATCH($G$1,[2]stages!$2:$2,0)+1),MATCH(H$1,[2]stages!$2:$2,0)-MATCH($G$1,[2]stages!$2:$2,0)+1,FALSE)</f>
        <v>【超絶級】醒電の眠りネズミ</v>
      </c>
      <c r="I52" s="21">
        <v>3</v>
      </c>
      <c r="J52" s="12">
        <v>50</v>
      </c>
      <c r="K52" s="12">
        <v>60</v>
      </c>
    </row>
    <row r="53" spans="1:11" ht="21" customHeight="1" x14ac:dyDescent="0.15">
      <c r="A53" s="16" t="str">
        <f t="shared" si="8"/>
        <v>11101_10-4</v>
      </c>
      <c r="B53" s="16" t="str">
        <f>IF(COUNTIF(enemy_habitats!$H:$H,A53),"OK","NG")</f>
        <v>OK</v>
      </c>
      <c r="C53" s="7">
        <v>11101</v>
      </c>
      <c r="D53" s="11" t="str">
        <f ca="1">VLOOKUP($C53,OFFSET([2]quests!$A$1,0,0,COUNTA([2]quests!$A:$A),MATCH(D$1,[2]quests!$1:$1,0)-MATCH($C$1,[2]quests!$1:$1,0)+1),MATCH(D$1,[2]quests!$1:$1,0)-MATCH($C$1,[2]quests!$1:$1,0)+1,FALSE)</f>
        <v>【期間限定】 黄の素材</v>
      </c>
      <c r="E53" s="18" t="str">
        <f ca="1">VLOOKUP($C53,OFFSET([2]quests!$A$1,0,0,COUNTA([2]quests!$A:$A),MATCH(E$1,[2]quests!$1:$1,0)-MATCH($C$1,[2]quests!$1:$1,0)+1),MATCH(E$1,[2]quests!$1:$1,0)-MATCH($C$1,[2]quests!$1:$1,0)+1,FALSE)</f>
        <v>月曜クエスト</v>
      </c>
      <c r="F53" s="21">
        <v>10</v>
      </c>
      <c r="G53" s="23" t="str">
        <f t="shared" si="9"/>
        <v>11101_10</v>
      </c>
      <c r="H53" s="15" t="str">
        <f ca="1">VLOOKUP($G53,OFFSET([2]stages!$A$1,0,0,COUNTA([2]stages!$A:$A),MATCH(H$1,[2]stages!$2:$2,0)-MATCH($G$1,[2]stages!$2:$2,0)+1),MATCH(H$1,[2]stages!$2:$2,0)-MATCH($G$1,[2]stages!$2:$2,0)+1,FALSE)</f>
        <v>【超絶級】醒電の眠りネズミ</v>
      </c>
      <c r="I53" s="21">
        <v>4</v>
      </c>
      <c r="J53" s="12">
        <v>45</v>
      </c>
      <c r="K53" s="12">
        <v>60</v>
      </c>
    </row>
    <row r="54" spans="1:11" ht="21" customHeight="1" x14ac:dyDescent="0.15">
      <c r="A54" s="16" t="str">
        <f t="shared" si="8"/>
        <v>11101_10-5</v>
      </c>
      <c r="B54" s="16" t="str">
        <f>IF(COUNTIF(enemy_habitats!$H:$H,A54),"OK","NG")</f>
        <v>OK</v>
      </c>
      <c r="C54" s="7">
        <v>11101</v>
      </c>
      <c r="D54" s="11" t="str">
        <f ca="1">VLOOKUP($C54,OFFSET([2]quests!$A$1,0,0,COUNTA([2]quests!$A:$A),MATCH(D$1,[2]quests!$1:$1,0)-MATCH($C$1,[2]quests!$1:$1,0)+1),MATCH(D$1,[2]quests!$1:$1,0)-MATCH($C$1,[2]quests!$1:$1,0)+1,FALSE)</f>
        <v>【期間限定】 黄の素材</v>
      </c>
      <c r="E54" s="18" t="str">
        <f ca="1">VLOOKUP($C54,OFFSET([2]quests!$A$1,0,0,COUNTA([2]quests!$A:$A),MATCH(E$1,[2]quests!$1:$1,0)-MATCH($C$1,[2]quests!$1:$1,0)+1),MATCH(E$1,[2]quests!$1:$1,0)-MATCH($C$1,[2]quests!$1:$1,0)+1,FALSE)</f>
        <v>月曜クエスト</v>
      </c>
      <c r="F54" s="21">
        <v>10</v>
      </c>
      <c r="G54" s="23" t="str">
        <f t="shared" si="9"/>
        <v>11101_10</v>
      </c>
      <c r="H54" s="15" t="str">
        <f ca="1">VLOOKUP($G54,OFFSET([2]stages!$A$1,0,0,COUNTA([2]stages!$A:$A),MATCH(H$1,[2]stages!$2:$2,0)-MATCH($G$1,[2]stages!$2:$2,0)+1),MATCH(H$1,[2]stages!$2:$2,0)-MATCH($G$1,[2]stages!$2:$2,0)+1,FALSE)</f>
        <v>【超絶級】醒電の眠りネズミ</v>
      </c>
      <c r="I54" s="21">
        <v>5</v>
      </c>
      <c r="J54" s="12">
        <v>60</v>
      </c>
      <c r="K54" s="12">
        <v>60</v>
      </c>
    </row>
    <row r="55" spans="1:11" ht="21" customHeight="1" x14ac:dyDescent="0.15">
      <c r="A55" s="16" t="str">
        <f t="shared" si="8"/>
        <v>11101_10-6</v>
      </c>
      <c r="B55" s="16" t="str">
        <f>IF(COUNTIF(enemy_habitats!$H:$H,A55),"OK","NG")</f>
        <v>OK</v>
      </c>
      <c r="C55" s="7">
        <v>11101</v>
      </c>
      <c r="D55" s="11" t="str">
        <f ca="1">VLOOKUP($C55,OFFSET([2]quests!$A$1,0,0,COUNTA([2]quests!$A:$A),MATCH(D$1,[2]quests!$1:$1,0)-MATCH($C$1,[2]quests!$1:$1,0)+1),MATCH(D$1,[2]quests!$1:$1,0)-MATCH($C$1,[2]quests!$1:$1,0)+1,FALSE)</f>
        <v>【期間限定】 黄の素材</v>
      </c>
      <c r="E55" s="18" t="str">
        <f ca="1">VLOOKUP($C55,OFFSET([2]quests!$A$1,0,0,COUNTA([2]quests!$A:$A),MATCH(E$1,[2]quests!$1:$1,0)-MATCH($C$1,[2]quests!$1:$1,0)+1),MATCH(E$1,[2]quests!$1:$1,0)-MATCH($C$1,[2]quests!$1:$1,0)+1,FALSE)</f>
        <v>月曜クエスト</v>
      </c>
      <c r="F55" s="21">
        <v>10</v>
      </c>
      <c r="G55" s="23" t="str">
        <f t="shared" si="9"/>
        <v>11101_10</v>
      </c>
      <c r="H55" s="15" t="str">
        <f ca="1">VLOOKUP($G55,OFFSET([2]stages!$A$1,0,0,COUNTA([2]stages!$A:$A),MATCH(H$1,[2]stages!$2:$2,0)-MATCH($G$1,[2]stages!$2:$2,0)+1),MATCH(H$1,[2]stages!$2:$2,0)-MATCH($G$1,[2]stages!$2:$2,0)+1,FALSE)</f>
        <v>【超絶級】醒電の眠りネズミ</v>
      </c>
      <c r="I55" s="21">
        <v>6</v>
      </c>
      <c r="J55" s="12">
        <v>60</v>
      </c>
      <c r="K55" s="12">
        <v>60</v>
      </c>
    </row>
    <row r="56" spans="1:11" ht="21" customHeight="1" x14ac:dyDescent="0.15">
      <c r="A56" s="16" t="str">
        <f t="shared" si="8"/>
        <v>11103_10-1</v>
      </c>
      <c r="B56" s="16" t="str">
        <f>IF(COUNTIF(enemy_habitats!$H:$H,A56),"OK","NG")</f>
        <v>OK</v>
      </c>
      <c r="C56" s="7">
        <v>11103</v>
      </c>
      <c r="D56" s="11" t="str">
        <f ca="1">VLOOKUP($C56,OFFSET([2]quests!$A$1,0,0,COUNTA([2]quests!$A:$A),MATCH(D$1,[2]quests!$1:$1,0)-MATCH($C$1,[2]quests!$1:$1,0)+1),MATCH(D$1,[2]quests!$1:$1,0)-MATCH($C$1,[2]quests!$1:$1,0)+1,FALSE)</f>
        <v>【期間限定】 青の素材</v>
      </c>
      <c r="E56" s="18" t="str">
        <f ca="1">VLOOKUP($C56,OFFSET([2]quests!$A$1,0,0,COUNTA([2]quests!$A:$A),MATCH(E$1,[2]quests!$1:$1,0)-MATCH($C$1,[2]quests!$1:$1,0)+1),MATCH(E$1,[2]quests!$1:$1,0)-MATCH($C$1,[2]quests!$1:$1,0)+1,FALSE)</f>
        <v>水曜クエスト</v>
      </c>
      <c r="F56" s="21">
        <v>10</v>
      </c>
      <c r="G56" s="23" t="str">
        <f t="shared" si="9"/>
        <v>11103_10</v>
      </c>
      <c r="H56" s="15" t="str">
        <f ca="1">VLOOKUP($G56,OFFSET([2]stages!$A$1,0,0,COUNTA([2]stages!$A:$A),MATCH(H$1,[2]stages!$2:$2,0)-MATCH($G$1,[2]stages!$2:$2,0)+1),MATCH(H$1,[2]stages!$2:$2,0)-MATCH($G$1,[2]stages!$2:$2,0)+1,FALSE)</f>
        <v>【超絶級】深淵の代用ウミガメ</v>
      </c>
      <c r="I56" s="21">
        <v>1</v>
      </c>
      <c r="J56" s="12">
        <v>30</v>
      </c>
      <c r="K56" s="12">
        <v>45</v>
      </c>
    </row>
    <row r="57" spans="1:11" ht="21" customHeight="1" x14ac:dyDescent="0.15">
      <c r="A57" s="16" t="str">
        <f t="shared" si="8"/>
        <v>11103_10-2</v>
      </c>
      <c r="B57" s="16" t="str">
        <f>IF(COUNTIF(enemy_habitats!$H:$H,A57),"OK","NG")</f>
        <v>OK</v>
      </c>
      <c r="C57" s="7">
        <v>11103</v>
      </c>
      <c r="D57" s="11" t="str">
        <f ca="1">VLOOKUP($C57,OFFSET([2]quests!$A$1,0,0,COUNTA([2]quests!$A:$A),MATCH(D$1,[2]quests!$1:$1,0)-MATCH($C$1,[2]quests!$1:$1,0)+1),MATCH(D$1,[2]quests!$1:$1,0)-MATCH($C$1,[2]quests!$1:$1,0)+1,FALSE)</f>
        <v>【期間限定】 青の素材</v>
      </c>
      <c r="E57" s="18" t="str">
        <f ca="1">VLOOKUP($C57,OFFSET([2]quests!$A$1,0,0,COUNTA([2]quests!$A:$A),MATCH(E$1,[2]quests!$1:$1,0)-MATCH($C$1,[2]quests!$1:$1,0)+1),MATCH(E$1,[2]quests!$1:$1,0)-MATCH($C$1,[2]quests!$1:$1,0)+1,FALSE)</f>
        <v>水曜クエスト</v>
      </c>
      <c r="F57" s="21">
        <v>10</v>
      </c>
      <c r="G57" s="23" t="str">
        <f t="shared" si="9"/>
        <v>11103_10</v>
      </c>
      <c r="H57" s="15" t="str">
        <f ca="1">VLOOKUP($G57,OFFSET([2]stages!$A$1,0,0,COUNTA([2]stages!$A:$A),MATCH(H$1,[2]stages!$2:$2,0)-MATCH($G$1,[2]stages!$2:$2,0)+1),MATCH(H$1,[2]stages!$2:$2,0)-MATCH($G$1,[2]stages!$2:$2,0)+1,FALSE)</f>
        <v>【超絶級】深淵の代用ウミガメ</v>
      </c>
      <c r="I57" s="21">
        <v>2</v>
      </c>
      <c r="J57" s="12">
        <v>45</v>
      </c>
      <c r="K57" s="12">
        <v>60</v>
      </c>
    </row>
    <row r="58" spans="1:11" ht="21" customHeight="1" x14ac:dyDescent="0.15">
      <c r="A58" s="16" t="str">
        <f t="shared" si="8"/>
        <v>11103_10-3</v>
      </c>
      <c r="B58" s="16" t="str">
        <f>IF(COUNTIF(enemy_habitats!$H:$H,A58),"OK","NG")</f>
        <v>OK</v>
      </c>
      <c r="C58" s="7">
        <v>11103</v>
      </c>
      <c r="D58" s="11" t="str">
        <f ca="1">VLOOKUP($C58,OFFSET([2]quests!$A$1,0,0,COUNTA([2]quests!$A:$A),MATCH(D$1,[2]quests!$1:$1,0)-MATCH($C$1,[2]quests!$1:$1,0)+1),MATCH(D$1,[2]quests!$1:$1,0)-MATCH($C$1,[2]quests!$1:$1,0)+1,FALSE)</f>
        <v>【期間限定】 青の素材</v>
      </c>
      <c r="E58" s="18" t="str">
        <f ca="1">VLOOKUP($C58,OFFSET([2]quests!$A$1,0,0,COUNTA([2]quests!$A:$A),MATCH(E$1,[2]quests!$1:$1,0)-MATCH($C$1,[2]quests!$1:$1,0)+1),MATCH(E$1,[2]quests!$1:$1,0)-MATCH($C$1,[2]quests!$1:$1,0)+1,FALSE)</f>
        <v>水曜クエスト</v>
      </c>
      <c r="F58" s="21">
        <v>10</v>
      </c>
      <c r="G58" s="23" t="str">
        <f t="shared" si="9"/>
        <v>11103_10</v>
      </c>
      <c r="H58" s="15" t="str">
        <f ca="1">VLOOKUP($G58,OFFSET([2]stages!$A$1,0,0,COUNTA([2]stages!$A:$A),MATCH(H$1,[2]stages!$2:$2,0)-MATCH($G$1,[2]stages!$2:$2,0)+1),MATCH(H$1,[2]stages!$2:$2,0)-MATCH($G$1,[2]stages!$2:$2,0)+1,FALSE)</f>
        <v>【超絶級】深淵の代用ウミガメ</v>
      </c>
      <c r="I58" s="21">
        <v>3</v>
      </c>
      <c r="J58" s="12">
        <v>50</v>
      </c>
      <c r="K58" s="12">
        <v>60</v>
      </c>
    </row>
    <row r="59" spans="1:11" ht="21" customHeight="1" x14ac:dyDescent="0.15">
      <c r="A59" s="16" t="str">
        <f t="shared" si="8"/>
        <v>11103_10-4</v>
      </c>
      <c r="B59" s="16" t="str">
        <f>IF(COUNTIF(enemy_habitats!$H:$H,A59),"OK","NG")</f>
        <v>OK</v>
      </c>
      <c r="C59" s="7">
        <v>11103</v>
      </c>
      <c r="D59" s="11" t="str">
        <f ca="1">VLOOKUP($C59,OFFSET([2]quests!$A$1,0,0,COUNTA([2]quests!$A:$A),MATCH(D$1,[2]quests!$1:$1,0)-MATCH($C$1,[2]quests!$1:$1,0)+1),MATCH(D$1,[2]quests!$1:$1,0)-MATCH($C$1,[2]quests!$1:$1,0)+1,FALSE)</f>
        <v>【期間限定】 青の素材</v>
      </c>
      <c r="E59" s="18" t="str">
        <f ca="1">VLOOKUP($C59,OFFSET([2]quests!$A$1,0,0,COUNTA([2]quests!$A:$A),MATCH(E$1,[2]quests!$1:$1,0)-MATCH($C$1,[2]quests!$1:$1,0)+1),MATCH(E$1,[2]quests!$1:$1,0)-MATCH($C$1,[2]quests!$1:$1,0)+1,FALSE)</f>
        <v>水曜クエスト</v>
      </c>
      <c r="F59" s="21">
        <v>10</v>
      </c>
      <c r="G59" s="23" t="str">
        <f t="shared" si="9"/>
        <v>11103_10</v>
      </c>
      <c r="H59" s="15" t="str">
        <f ca="1">VLOOKUP($G59,OFFSET([2]stages!$A$1,0,0,COUNTA([2]stages!$A:$A),MATCH(H$1,[2]stages!$2:$2,0)-MATCH($G$1,[2]stages!$2:$2,0)+1),MATCH(H$1,[2]stages!$2:$2,0)-MATCH($G$1,[2]stages!$2:$2,0)+1,FALSE)</f>
        <v>【超絶級】深淵の代用ウミガメ</v>
      </c>
      <c r="I59" s="21">
        <v>4</v>
      </c>
      <c r="J59" s="12">
        <v>45</v>
      </c>
      <c r="K59" s="12">
        <v>60</v>
      </c>
    </row>
    <row r="60" spans="1:11" ht="21" customHeight="1" x14ac:dyDescent="0.15">
      <c r="A60" s="16" t="str">
        <f t="shared" si="8"/>
        <v>11103_10-5</v>
      </c>
      <c r="B60" s="16" t="str">
        <f>IF(COUNTIF(enemy_habitats!$H:$H,A60),"OK","NG")</f>
        <v>OK</v>
      </c>
      <c r="C60" s="7">
        <v>11103</v>
      </c>
      <c r="D60" s="11" t="str">
        <f ca="1">VLOOKUP($C60,OFFSET([2]quests!$A$1,0,0,COUNTA([2]quests!$A:$A),MATCH(D$1,[2]quests!$1:$1,0)-MATCH($C$1,[2]quests!$1:$1,0)+1),MATCH(D$1,[2]quests!$1:$1,0)-MATCH($C$1,[2]quests!$1:$1,0)+1,FALSE)</f>
        <v>【期間限定】 青の素材</v>
      </c>
      <c r="E60" s="18" t="str">
        <f ca="1">VLOOKUP($C60,OFFSET([2]quests!$A$1,0,0,COUNTA([2]quests!$A:$A),MATCH(E$1,[2]quests!$1:$1,0)-MATCH($C$1,[2]quests!$1:$1,0)+1),MATCH(E$1,[2]quests!$1:$1,0)-MATCH($C$1,[2]quests!$1:$1,0)+1,FALSE)</f>
        <v>水曜クエスト</v>
      </c>
      <c r="F60" s="21">
        <v>10</v>
      </c>
      <c r="G60" s="23" t="str">
        <f t="shared" si="9"/>
        <v>11103_10</v>
      </c>
      <c r="H60" s="15" t="str">
        <f ca="1">VLOOKUP($G60,OFFSET([2]stages!$A$1,0,0,COUNTA([2]stages!$A:$A),MATCH(H$1,[2]stages!$2:$2,0)-MATCH($G$1,[2]stages!$2:$2,0)+1),MATCH(H$1,[2]stages!$2:$2,0)-MATCH($G$1,[2]stages!$2:$2,0)+1,FALSE)</f>
        <v>【超絶級】深淵の代用ウミガメ</v>
      </c>
      <c r="I60" s="21">
        <v>5</v>
      </c>
      <c r="J60" s="12">
        <v>60</v>
      </c>
      <c r="K60" s="12">
        <v>60</v>
      </c>
    </row>
    <row r="61" spans="1:11" ht="21" customHeight="1" x14ac:dyDescent="0.15">
      <c r="A61" s="16" t="str">
        <f t="shared" si="8"/>
        <v>11103_10-6</v>
      </c>
      <c r="B61" s="16" t="str">
        <f>IF(COUNTIF(enemy_habitats!$H:$H,A61),"OK","NG")</f>
        <v>OK</v>
      </c>
      <c r="C61" s="7">
        <v>11103</v>
      </c>
      <c r="D61" s="11" t="str">
        <f ca="1">VLOOKUP($C61,OFFSET([2]quests!$A$1,0,0,COUNTA([2]quests!$A:$A),MATCH(D$1,[2]quests!$1:$1,0)-MATCH($C$1,[2]quests!$1:$1,0)+1),MATCH(D$1,[2]quests!$1:$1,0)-MATCH($C$1,[2]quests!$1:$1,0)+1,FALSE)</f>
        <v>【期間限定】 青の素材</v>
      </c>
      <c r="E61" s="18" t="str">
        <f ca="1">VLOOKUP($C61,OFFSET([2]quests!$A$1,0,0,COUNTA([2]quests!$A:$A),MATCH(E$1,[2]quests!$1:$1,0)-MATCH($C$1,[2]quests!$1:$1,0)+1),MATCH(E$1,[2]quests!$1:$1,0)-MATCH($C$1,[2]quests!$1:$1,0)+1,FALSE)</f>
        <v>水曜クエスト</v>
      </c>
      <c r="F61" s="21">
        <v>10</v>
      </c>
      <c r="G61" s="23" t="str">
        <f t="shared" si="9"/>
        <v>11103_10</v>
      </c>
      <c r="H61" s="15" t="str">
        <f ca="1">VLOOKUP($G61,OFFSET([2]stages!$A$1,0,0,COUNTA([2]stages!$A:$A),MATCH(H$1,[2]stages!$2:$2,0)-MATCH($G$1,[2]stages!$2:$2,0)+1),MATCH(H$1,[2]stages!$2:$2,0)-MATCH($G$1,[2]stages!$2:$2,0)+1,FALSE)</f>
        <v>【超絶級】深淵の代用ウミガメ</v>
      </c>
      <c r="I61" s="21">
        <v>6</v>
      </c>
      <c r="J61" s="12">
        <v>60</v>
      </c>
      <c r="K6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89"/>
  <sheetViews>
    <sheetView showGridLines="0" workbookViewId="0">
      <pane xSplit="17" ySplit="1" topLeftCell="R141" activePane="bottomRight" state="frozen"/>
      <selection pane="topRight" activeCell="R1" sqref="R1"/>
      <selection pane="bottomLeft" activeCell="A2" sqref="A2"/>
      <selection pane="bottomRight" activeCell="A158" sqref="A158:XFD15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22.5" style="3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6.83203125" style="3" customWidth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40.16406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241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175</v>
      </c>
    </row>
    <row r="2" spans="1:40" ht="21" customHeight="1" x14ac:dyDescent="0.15">
      <c r="A2" s="16" t="str">
        <f>B2&amp;"_"&amp;C2&amp;"-"&amp;G2&amp;"/"&amp;L2&amp;"&lt;lv"&amp;R2&amp;"&gt;s"&amp;AA2</f>
        <v>11002_10-1/360&lt;lv52&gt;s2</v>
      </c>
      <c r="B2" s="22">
        <v>11002</v>
      </c>
      <c r="C2" s="21">
        <v>10</v>
      </c>
      <c r="D2" s="2" t="str">
        <f>B2&amp;"_"&amp;C2</f>
        <v>11002_10</v>
      </c>
      <c r="E2" s="4" t="str">
        <f ca="1">VLOOKUP($B2,OFFSET([2]quests!$A$1,0,0,COUNTA([2]quests!$A:$A),MATCH(E$1,[2]quests!$1:$1,0)-MATCH($B$1,[2]quests!$1:$1,0)+1),MATCH(E$1,[2]quests!$1:$1,0)-MATCH($B$1,[2]quests!$1:$1,0)+1,FALSE)</f>
        <v>【火曜限定】 赤の素材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【超絶級】炎上のドードー</v>
      </c>
      <c r="G2" s="21">
        <v>1</v>
      </c>
      <c r="H2" s="15" t="str">
        <f>B2&amp;"_"&amp;C2&amp;"-"&amp;G2</f>
        <v>11002_10-1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100" t="s">
        <v>209</v>
      </c>
      <c r="L2" s="98">
        <v>360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ガンテツ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52</v>
      </c>
      <c r="S2" s="25">
        <v>1.2</v>
      </c>
      <c r="T2" s="25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2" s="4">
        <v>1122206</v>
      </c>
      <c r="X2" s="6">
        <v>1</v>
      </c>
      <c r="Y2" s="6">
        <v>100</v>
      </c>
      <c r="Z2" s="6">
        <v>0</v>
      </c>
      <c r="AA2" s="17">
        <v>2</v>
      </c>
      <c r="AB2" s="24">
        <f>L2</f>
        <v>360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" s="7">
        <v>1</v>
      </c>
      <c r="AG2" s="24">
        <f ca="1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>B3&amp;"_"&amp;C3&amp;"-"&amp;G3&amp;"/"&amp;L3&amp;"&lt;lv"&amp;R3&amp;"&gt;s"&amp;AA3</f>
        <v>11002_10-1/370&lt;lv52&gt;s1</v>
      </c>
      <c r="B3" s="22">
        <v>11002</v>
      </c>
      <c r="C3" s="21">
        <v>10</v>
      </c>
      <c r="D3" s="2" t="str">
        <f>B3&amp;"_"&amp;C3</f>
        <v>11002_10</v>
      </c>
      <c r="E3" s="4" t="str">
        <f ca="1">VLOOKUP($B3,OFFSET([2]quests!$A$1,0,0,COUNTA([2]quests!$A:$A),MATCH(E$1,[2]quests!$1:$1,0)-MATCH($B$1,[2]quests!$1:$1,0)+1),MATCH(E$1,[2]quests!$1:$1,0)-MATCH($B$1,[2]quests!$1:$1,0)+1,FALSE)</f>
        <v>【火曜限定】 赤の素材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【超絶級】炎上のドードー</v>
      </c>
      <c r="G3" s="21">
        <v>1</v>
      </c>
      <c r="H3" s="15" t="str">
        <f>B3&amp;"_"&amp;C3&amp;"-"&amp;G3</f>
        <v>11002_10-1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100" t="s">
        <v>209</v>
      </c>
      <c r="L3" s="98">
        <v>370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タイチ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v>25</v>
      </c>
      <c r="R3" s="5">
        <v>52</v>
      </c>
      <c r="S3" s="25">
        <v>1.7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3" s="4">
        <v>1122201</v>
      </c>
      <c r="X3" s="6">
        <v>1</v>
      </c>
      <c r="Y3" s="6">
        <v>100</v>
      </c>
      <c r="Z3" s="6">
        <v>0</v>
      </c>
      <c r="AA3" s="17">
        <v>1</v>
      </c>
      <c r="AB3" s="24">
        <f>L3</f>
        <v>370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7">
        <v>1</v>
      </c>
      <c r="AG3" s="24">
        <f ca="1">AD3</f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ref="A4:A33" si="0">B4&amp;"_"&amp;C4&amp;"-"&amp;G4&amp;"/"&amp;L4&amp;"&lt;lv"&amp;R4&amp;"&gt;s"&amp;AA4</f>
        <v>11002_10-2/360&lt;lv52&gt;s2</v>
      </c>
      <c r="B4" s="22">
        <v>11002</v>
      </c>
      <c r="C4" s="21">
        <v>10</v>
      </c>
      <c r="D4" s="2" t="str">
        <f t="shared" ref="D4:D33" si="1">B4&amp;"_"&amp;C4</f>
        <v>11002_10</v>
      </c>
      <c r="E4" s="4" t="str">
        <f ca="1">VLOOKUP($B4,OFFSET([2]quests!$A$1,0,0,COUNTA([2]quests!$A:$A),MATCH(E$1,[2]quests!$1:$1,0)-MATCH($B$1,[2]quests!$1:$1,0)+1),MATCH(E$1,[2]quests!$1:$1,0)-MATCH($B$1,[2]quests!$1:$1,0)+1,FALSE)</f>
        <v>【火曜限定】 赤の素材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【超絶級】炎上のドードー</v>
      </c>
      <c r="G4" s="21">
        <v>2</v>
      </c>
      <c r="H4" s="15" t="str">
        <f t="shared" ref="H4:H33" si="2">B4&amp;"_"&amp;C4&amp;"-"&amp;G4</f>
        <v>11002_10-2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00" t="s">
        <v>209</v>
      </c>
      <c r="L4" s="98">
        <v>360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ガンテツ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52</v>
      </c>
      <c r="S4" s="25">
        <v>1.2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4" s="4">
        <v>1122206</v>
      </c>
      <c r="X4" s="6">
        <v>2</v>
      </c>
      <c r="Y4" s="6">
        <v>100</v>
      </c>
      <c r="Z4" s="6">
        <v>0</v>
      </c>
      <c r="AA4" s="17">
        <v>2</v>
      </c>
      <c r="AB4" s="24">
        <f t="shared" ref="AB4:AB33" si="3">L4</f>
        <v>360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t="shared" ref="AG4:AG33" ca="1" si="4">AD4</f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11002_10-2/370&lt;lv52&gt;s1</v>
      </c>
      <c r="B5" s="22">
        <v>11002</v>
      </c>
      <c r="C5" s="21">
        <v>10</v>
      </c>
      <c r="D5" s="2" t="str">
        <f t="shared" si="1"/>
        <v>11002_10</v>
      </c>
      <c r="E5" s="4" t="str">
        <f ca="1">VLOOKUP($B5,OFFSET([2]quests!$A$1,0,0,COUNTA([2]quests!$A:$A),MATCH(E$1,[2]quests!$1:$1,0)-MATCH($B$1,[2]quests!$1:$1,0)+1),MATCH(E$1,[2]quests!$1:$1,0)-MATCH($B$1,[2]quests!$1:$1,0)+1,FALSE)</f>
        <v>【火曜限定】 赤の素材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【超絶級】炎上のドードー</v>
      </c>
      <c r="G5" s="21">
        <v>2</v>
      </c>
      <c r="H5" s="15" t="str">
        <f t="shared" si="2"/>
        <v>11002_10-2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00" t="s">
        <v>209</v>
      </c>
      <c r="L5" s="98">
        <v>370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タイチ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52</v>
      </c>
      <c r="S5" s="25">
        <v>1.7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5" s="4">
        <v>1122201</v>
      </c>
      <c r="X5" s="6">
        <v>1</v>
      </c>
      <c r="Y5" s="6">
        <v>100</v>
      </c>
      <c r="Z5" s="6">
        <v>0</v>
      </c>
      <c r="AA5" s="17">
        <v>1</v>
      </c>
      <c r="AB5" s="24">
        <f t="shared" si="3"/>
        <v>370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4">
        <f t="shared" ca="1" si="4"/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ca="1" si="0"/>
        <v>11002_10-2/332&lt;lv2&gt;s1</v>
      </c>
      <c r="B6" s="22">
        <v>11002</v>
      </c>
      <c r="C6" s="21">
        <v>10</v>
      </c>
      <c r="D6" s="2" t="str">
        <f t="shared" si="1"/>
        <v>11002_10</v>
      </c>
      <c r="E6" s="4" t="str">
        <f ca="1">VLOOKUP($B6,OFFSET([2]quests!$A$1,0,0,COUNTA([2]quests!$A:$A),MATCH(E$1,[2]quests!$1:$1,0)-MATCH($B$1,[2]quests!$1:$1,0)+1),MATCH(E$1,[2]quests!$1:$1,0)-MATCH($B$1,[2]quests!$1:$1,0)+1,FALSE)</f>
        <v>【火曜限定】 赤の素材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【超絶級】炎上のドードー</v>
      </c>
      <c r="G6" s="21">
        <v>2</v>
      </c>
      <c r="H6" s="15" t="str">
        <f t="shared" si="2"/>
        <v>11002_10-2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00" t="s">
        <v>209</v>
      </c>
      <c r="L6" s="98">
        <v>332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炎のメタルピヨピヨ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2</v>
      </c>
      <c r="S6" s="25">
        <v>2</v>
      </c>
      <c r="T6" s="25">
        <v>99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0</v>
      </c>
      <c r="Y6" s="6">
        <v>20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1</v>
      </c>
      <c r="AB6" s="24">
        <f t="shared" si="3"/>
        <v>332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7">
        <v>1</v>
      </c>
      <c r="AG6" s="24">
        <f t="shared" ca="1" si="4"/>
        <v>3</v>
      </c>
      <c r="AH6" s="8">
        <v>10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ca="1" si="0"/>
        <v>11002_10-2/333&lt;lv2&gt;s2</v>
      </c>
      <c r="B7" s="22">
        <v>11002</v>
      </c>
      <c r="C7" s="21">
        <v>10</v>
      </c>
      <c r="D7" s="2" t="str">
        <f t="shared" si="1"/>
        <v>11002_10</v>
      </c>
      <c r="E7" s="4" t="str">
        <f ca="1">VLOOKUP($B7,OFFSET([2]quests!$A$1,0,0,COUNTA([2]quests!$A:$A),MATCH(E$1,[2]quests!$1:$1,0)-MATCH($B$1,[2]quests!$1:$1,0)+1),MATCH(E$1,[2]quests!$1:$1,0)-MATCH($B$1,[2]quests!$1:$1,0)+1,FALSE)</f>
        <v>【火曜限定】 赤の素材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【超絶級】炎上のドードー</v>
      </c>
      <c r="G7" s="21">
        <v>2</v>
      </c>
      <c r="H7" s="15" t="str">
        <f t="shared" si="2"/>
        <v>11002_10-2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00" t="s">
        <v>209</v>
      </c>
      <c r="L7" s="98">
        <v>333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炎のメタルチック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2</v>
      </c>
      <c r="S7" s="25">
        <v>2</v>
      </c>
      <c r="T7" s="25">
        <v>99</v>
      </c>
      <c r="U7" s="5">
        <v>0</v>
      </c>
      <c r="V7" s="4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4">
        <f ca="1">VLOOKUP($L7,OFFSET([3]enemies!$A$1,0,0,COUNTA([3]enemies!$A:$A),MATCH(W$1,[3]enemies!$1:$1,0)-MATCH($L$1,[3]enemies!$1:$1,0)+1),MATCH(W$1,[3]enemies!$1:$1,0)-MATCH($L$1,[3]enemies!$1:$1,0)+1,FALSE)</f>
        <v>0</v>
      </c>
      <c r="X7" s="6">
        <v>0</v>
      </c>
      <c r="Y7" s="6">
        <v>10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333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ca="1" si="4"/>
        <v>4</v>
      </c>
      <c r="AH7" s="8">
        <v>5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ca="1" si="0"/>
        <v>11002_10-3/287&lt;lv60&gt;s2</v>
      </c>
      <c r="B8" s="22">
        <v>11002</v>
      </c>
      <c r="C8" s="21">
        <v>10</v>
      </c>
      <c r="D8" s="2" t="str">
        <f t="shared" si="1"/>
        <v>11002_10</v>
      </c>
      <c r="E8" s="4" t="str">
        <f ca="1">VLOOKUP($B8,OFFSET([2]quests!$A$1,0,0,COUNTA([2]quests!$A:$A),MATCH(E$1,[2]quests!$1:$1,0)-MATCH($B$1,[2]quests!$1:$1,0)+1),MATCH(E$1,[2]quests!$1:$1,0)-MATCH($B$1,[2]quests!$1:$1,0)+1,FALSE)</f>
        <v>【火曜限定】 赤の素材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【超絶級】炎上のドードー</v>
      </c>
      <c r="G8" s="21">
        <v>3</v>
      </c>
      <c r="H8" s="15" t="str">
        <f t="shared" si="2"/>
        <v>11002_10-3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00" t="s">
        <v>209</v>
      </c>
      <c r="L8" s="98">
        <v>287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ヒュドラ・フルオープン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5">
        <v>1.6</v>
      </c>
      <c r="T8" s="25">
        <v>1</v>
      </c>
      <c r="U8" s="5">
        <v>0</v>
      </c>
      <c r="V8" s="4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発射準備開始</v>
      </c>
      <c r="W8" s="4">
        <f ca="1">VLOOKUP($L8,OFFSET([3]enemies!$A$1,0,0,COUNTA([3]enemies!$A:$A),MATCH(W$1,[3]enemies!$1:$1,0)-MATCH($L$1,[3]enemies!$1:$1,0)+1),MATCH(W$1,[3]enemies!$1:$1,0)-MATCH($L$1,[3]enemies!$1:$1,0)+1,FALSE)</f>
        <v>286</v>
      </c>
      <c r="X8" s="6">
        <v>0</v>
      </c>
      <c r="Y8" s="6">
        <v>80</v>
      </c>
      <c r="Z8" s="6">
        <v>1</v>
      </c>
      <c r="AA8" s="17">
        <f ca="1">VLOOKUP($L8,OFFSET([3]enemies!$A$1,0,0,COUNTA([3]enemies!$A:$A),MATCH(AA$1,[3]enemies!$1:$1,0)-MATCH($L$1,[3]enemies!$1:$1,0)+1),MATCH(AA$1,[3]enemies!$1:$1,0)-MATCH($L$1,[3]enemies!$1:$1,0)+1,FALSE)</f>
        <v>2</v>
      </c>
      <c r="AB8" s="24">
        <f t="shared" si="3"/>
        <v>287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ヒュドラ・フルオープン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ca="1" si="0"/>
        <v>11002_10-3/334&lt;lv2&gt;s3</v>
      </c>
      <c r="B9" s="22">
        <v>11002</v>
      </c>
      <c r="C9" s="21">
        <v>10</v>
      </c>
      <c r="D9" s="2" t="str">
        <f t="shared" si="1"/>
        <v>11002_10</v>
      </c>
      <c r="E9" s="4" t="str">
        <f ca="1">VLOOKUP($B9,OFFSET([2]quests!$A$1,0,0,COUNTA([2]quests!$A:$A),MATCH(E$1,[2]quests!$1:$1,0)-MATCH($B$1,[2]quests!$1:$1,0)+1),MATCH(E$1,[2]quests!$1:$1,0)-MATCH($B$1,[2]quests!$1:$1,0)+1,FALSE)</f>
        <v>【火曜限定】 赤の素材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【超絶級】炎上のドードー</v>
      </c>
      <c r="G9" s="21">
        <v>3</v>
      </c>
      <c r="H9" s="15" t="str">
        <f t="shared" si="2"/>
        <v>11002_10-3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100" t="s">
        <v>209</v>
      </c>
      <c r="L9" s="98">
        <v>334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炎のメタルダック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2</v>
      </c>
      <c r="S9" s="25">
        <v>2</v>
      </c>
      <c r="T9" s="25">
        <v>99</v>
      </c>
      <c r="U9" s="5">
        <v>0</v>
      </c>
      <c r="V9" s="4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4">
        <f ca="1">VLOOKUP($L9,OFFSET([3]enemies!$A$1,0,0,COUNTA([3]enemies!$A:$A),MATCH(W$1,[3]enemies!$1:$1,0)-MATCH($L$1,[3]enemies!$1:$1,0)+1),MATCH(W$1,[3]enemies!$1:$1,0)-MATCH($L$1,[3]enemies!$1:$1,0)+1,FALSE)</f>
        <v>0</v>
      </c>
      <c r="X9" s="6">
        <v>0</v>
      </c>
      <c r="Y9" s="6">
        <v>20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si="3"/>
        <v>334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ca="1" si="4"/>
        <v>5</v>
      </c>
      <c r="AH9" s="8">
        <v>5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ca="1" si="0"/>
        <v>11002_10-3/332&lt;lv2&gt;s1</v>
      </c>
      <c r="B10" s="22">
        <v>11002</v>
      </c>
      <c r="C10" s="21">
        <v>10</v>
      </c>
      <c r="D10" s="2" t="str">
        <f t="shared" si="1"/>
        <v>11002_10</v>
      </c>
      <c r="E10" s="4" t="str">
        <f ca="1">VLOOKUP($B10,OFFSET([2]quests!$A$1,0,0,COUNTA([2]quests!$A:$A),MATCH(E$1,[2]quests!$1:$1,0)-MATCH($B$1,[2]quests!$1:$1,0)+1),MATCH(E$1,[2]quests!$1:$1,0)-MATCH($B$1,[2]quests!$1:$1,0)+1,FALSE)</f>
        <v>【火曜限定】 赤の素材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【超絶級】炎上のドードー</v>
      </c>
      <c r="G10" s="21">
        <v>3</v>
      </c>
      <c r="H10" s="15" t="str">
        <f t="shared" si="2"/>
        <v>11002_10-3</v>
      </c>
      <c r="I10" s="4">
        <f ca="1">VLOOKUP($H10,OFFSET(floors!$A$1,0,0,COUNTA(floors!$A:$A),MATCH(I$1,floors!$1:$1,0)-MATCH($H$1,floors!$1:$1,0)+1),MATCH(I$1,floors!$1:$1,0)-MATCH($H$1,floors!$1:$1,0)+1,FALSE)</f>
        <v>50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100" t="s">
        <v>209</v>
      </c>
      <c r="L10" s="98">
        <v>332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炎のメタルピヨピヨ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2</v>
      </c>
      <c r="S10" s="25">
        <v>2</v>
      </c>
      <c r="T10" s="25">
        <v>99</v>
      </c>
      <c r="U10" s="5">
        <v>0</v>
      </c>
      <c r="V10" s="4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4">
        <f ca="1">VLOOKUP($L10,OFFSET([3]enemies!$A$1,0,0,COUNTA([3]enemies!$A:$A),MATCH(W$1,[3]enemies!$1:$1,0)-MATCH($L$1,[3]enemies!$1:$1,0)+1),MATCH(W$1,[3]enemies!$1:$1,0)-MATCH($L$1,[3]enemies!$1:$1,0)+1,FALSE)</f>
        <v>0</v>
      </c>
      <c r="X10" s="6">
        <v>1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1</v>
      </c>
      <c r="AB10" s="24">
        <f t="shared" si="3"/>
        <v>332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7">
        <v>1</v>
      </c>
      <c r="AG10" s="24">
        <f t="shared" ca="1" si="4"/>
        <v>3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ca="1" si="0"/>
        <v>11002_10-3/333&lt;lv2&gt;s2</v>
      </c>
      <c r="B11" s="22">
        <v>11002</v>
      </c>
      <c r="C11" s="21">
        <v>10</v>
      </c>
      <c r="D11" s="2" t="str">
        <f t="shared" si="1"/>
        <v>11002_10</v>
      </c>
      <c r="E11" s="4" t="str">
        <f ca="1">VLOOKUP($B11,OFFSET([2]quests!$A$1,0,0,COUNTA([2]quests!$A:$A),MATCH(E$1,[2]quests!$1:$1,0)-MATCH($B$1,[2]quests!$1:$1,0)+1),MATCH(E$1,[2]quests!$1:$1,0)-MATCH($B$1,[2]quests!$1:$1,0)+1,FALSE)</f>
        <v>【火曜限定】 赤の素材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【超絶級】炎上のドードー</v>
      </c>
      <c r="G11" s="21">
        <v>3</v>
      </c>
      <c r="H11" s="15" t="str">
        <f t="shared" si="2"/>
        <v>11002_10-3</v>
      </c>
      <c r="I11" s="4">
        <f ca="1">VLOOKUP($H11,OFFSET(floors!$A$1,0,0,COUNTA(floors!$A:$A),MATCH(I$1,floors!$1:$1,0)-MATCH($H$1,floors!$1:$1,0)+1),MATCH(I$1,floors!$1:$1,0)-MATCH($H$1,floors!$1:$1,0)+1,FALSE)</f>
        <v>50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100" t="s">
        <v>209</v>
      </c>
      <c r="L11" s="98">
        <v>333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炎のメタルチック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2</v>
      </c>
      <c r="S11" s="25">
        <v>2</v>
      </c>
      <c r="T11" s="25">
        <v>99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4">
        <f ca="1">VLOOKUP($L11,OFFSET([3]enemies!$A$1,0,0,COUNTA([3]enemies!$A:$A),MATCH(W$1,[3]enemies!$1:$1,0)-MATCH($L$1,[3]enemies!$1:$1,0)+1),MATCH(W$1,[3]enemies!$1:$1,0)-MATCH($L$1,[3]enemies!$1:$1,0)+1,FALSE)</f>
        <v>0</v>
      </c>
      <c r="X11" s="6">
        <v>1</v>
      </c>
      <c r="Y11" s="6">
        <v>100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2</v>
      </c>
      <c r="AB11" s="24">
        <f t="shared" si="3"/>
        <v>333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7">
        <v>1</v>
      </c>
      <c r="AG11" s="24">
        <f t="shared" ca="1" si="4"/>
        <v>4</v>
      </c>
      <c r="AH11" s="8">
        <v>10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si="0"/>
        <v>11002_10-4/360&lt;lv52&gt;s2</v>
      </c>
      <c r="B12" s="22">
        <v>11002</v>
      </c>
      <c r="C12" s="21">
        <v>10</v>
      </c>
      <c r="D12" s="2" t="str">
        <f t="shared" si="1"/>
        <v>11002_10</v>
      </c>
      <c r="E12" s="4" t="str">
        <f ca="1">VLOOKUP($B12,OFFSET([2]quests!$A$1,0,0,COUNTA([2]quests!$A:$A),MATCH(E$1,[2]quests!$1:$1,0)-MATCH($B$1,[2]quests!$1:$1,0)+1),MATCH(E$1,[2]quests!$1:$1,0)-MATCH($B$1,[2]quests!$1:$1,0)+1,FALSE)</f>
        <v>【火曜限定】 赤の素材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【超絶級】炎上のドードー</v>
      </c>
      <c r="G12" s="21">
        <v>4</v>
      </c>
      <c r="H12" s="15" t="str">
        <f t="shared" si="2"/>
        <v>11002_10-4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100" t="s">
        <v>209</v>
      </c>
      <c r="L12" s="98">
        <v>360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ガンテツ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52</v>
      </c>
      <c r="S12" s="25">
        <v>1.2</v>
      </c>
      <c r="T12" s="25">
        <v>1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12" s="4">
        <v>1122206</v>
      </c>
      <c r="X12" s="6">
        <v>2</v>
      </c>
      <c r="Y12" s="6">
        <v>100</v>
      </c>
      <c r="Z12" s="6">
        <v>0</v>
      </c>
      <c r="AA12" s="17">
        <v>2</v>
      </c>
      <c r="AB12" s="24">
        <f t="shared" si="3"/>
        <v>360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" s="7">
        <v>1</v>
      </c>
      <c r="AG12" s="24">
        <f t="shared" ca="1" si="4"/>
        <v>2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si="0"/>
        <v>11002_10-4/370&lt;lv52&gt;s1</v>
      </c>
      <c r="B13" s="22">
        <v>11002</v>
      </c>
      <c r="C13" s="21">
        <v>10</v>
      </c>
      <c r="D13" s="2" t="str">
        <f t="shared" si="1"/>
        <v>11002_10</v>
      </c>
      <c r="E13" s="4" t="str">
        <f ca="1">VLOOKUP($B13,OFFSET([2]quests!$A$1,0,0,COUNTA([2]quests!$A:$A),MATCH(E$1,[2]quests!$1:$1,0)-MATCH($B$1,[2]quests!$1:$1,0)+1),MATCH(E$1,[2]quests!$1:$1,0)-MATCH($B$1,[2]quests!$1:$1,0)+1,FALSE)</f>
        <v>【火曜限定】 赤の素材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【超絶級】炎上のドードー</v>
      </c>
      <c r="G13" s="21">
        <v>4</v>
      </c>
      <c r="H13" s="15" t="str">
        <f t="shared" si="2"/>
        <v>11002_10-4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100" t="s">
        <v>209</v>
      </c>
      <c r="L13" s="98">
        <v>370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タイチ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52</v>
      </c>
      <c r="S13" s="25">
        <v>1.7</v>
      </c>
      <c r="T13" s="25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13" s="4">
        <v>1122201</v>
      </c>
      <c r="X13" s="6">
        <v>1</v>
      </c>
      <c r="Y13" s="6">
        <v>100</v>
      </c>
      <c r="Z13" s="6">
        <v>0</v>
      </c>
      <c r="AA13" s="17">
        <v>1</v>
      </c>
      <c r="AB13" s="24">
        <f t="shared" si="3"/>
        <v>370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7">
        <v>1</v>
      </c>
      <c r="AG13" s="24">
        <f t="shared" ca="1" si="4"/>
        <v>2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si="0"/>
        <v>11002_10-5/360&lt;lv52&gt;s2</v>
      </c>
      <c r="B14" s="22">
        <v>11002</v>
      </c>
      <c r="C14" s="21">
        <v>10</v>
      </c>
      <c r="D14" s="2" t="str">
        <f t="shared" si="1"/>
        <v>11002_10</v>
      </c>
      <c r="E14" s="4" t="str">
        <f ca="1">VLOOKUP($B14,OFFSET([2]quests!$A$1,0,0,COUNTA([2]quests!$A:$A),MATCH(E$1,[2]quests!$1:$1,0)-MATCH($B$1,[2]quests!$1:$1,0)+1),MATCH(E$1,[2]quests!$1:$1,0)-MATCH($B$1,[2]quests!$1:$1,0)+1,FALSE)</f>
        <v>【火曜限定】 赤の素材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【超絶級】炎上のドードー</v>
      </c>
      <c r="G14" s="21">
        <v>5</v>
      </c>
      <c r="H14" s="15" t="str">
        <f t="shared" si="2"/>
        <v>11002_10-5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100" t="s">
        <v>209</v>
      </c>
      <c r="L14" s="98">
        <v>360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ガンテツ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52</v>
      </c>
      <c r="S14" s="25">
        <v>1.2</v>
      </c>
      <c r="T14" s="25">
        <v>1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14" s="4">
        <v>1122206</v>
      </c>
      <c r="X14" s="6">
        <v>2</v>
      </c>
      <c r="Y14" s="6">
        <v>100</v>
      </c>
      <c r="Z14" s="6">
        <v>0</v>
      </c>
      <c r="AA14" s="17">
        <v>2</v>
      </c>
      <c r="AB14" s="24">
        <f t="shared" si="3"/>
        <v>360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" s="7">
        <v>1</v>
      </c>
      <c r="AG14" s="24">
        <f t="shared" ca="1" si="4"/>
        <v>2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si="0"/>
        <v>11002_10-5/370&lt;lv52&gt;s1</v>
      </c>
      <c r="B15" s="22">
        <v>11002</v>
      </c>
      <c r="C15" s="21">
        <v>10</v>
      </c>
      <c r="D15" s="2" t="str">
        <f t="shared" si="1"/>
        <v>11002_10</v>
      </c>
      <c r="E15" s="4" t="str">
        <f ca="1">VLOOKUP($B15,OFFSET([2]quests!$A$1,0,0,COUNTA([2]quests!$A:$A),MATCH(E$1,[2]quests!$1:$1,0)-MATCH($B$1,[2]quests!$1:$1,0)+1),MATCH(E$1,[2]quests!$1:$1,0)-MATCH($B$1,[2]quests!$1:$1,0)+1,FALSE)</f>
        <v>【火曜限定】 赤の素材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【超絶級】炎上のドードー</v>
      </c>
      <c r="G15" s="21">
        <v>5</v>
      </c>
      <c r="H15" s="15" t="str">
        <f t="shared" si="2"/>
        <v>11002_10-5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100" t="s">
        <v>209</v>
      </c>
      <c r="L15" s="98">
        <v>370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タイチ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52</v>
      </c>
      <c r="S15" s="25">
        <v>1.7</v>
      </c>
      <c r="T15" s="25">
        <v>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15" s="4">
        <v>1122201</v>
      </c>
      <c r="X15" s="6">
        <v>1</v>
      </c>
      <c r="Y15" s="6">
        <v>100</v>
      </c>
      <c r="Z15" s="6">
        <v>0</v>
      </c>
      <c r="AA15" s="17">
        <v>1</v>
      </c>
      <c r="AB15" s="24">
        <f t="shared" si="3"/>
        <v>370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" s="7">
        <v>1</v>
      </c>
      <c r="AG15" s="24">
        <f t="shared" ca="1" si="4"/>
        <v>2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si="0"/>
        <v>11002_10-6/356&lt;lv50&gt;s2</v>
      </c>
      <c r="B16" s="22">
        <v>11002</v>
      </c>
      <c r="C16" s="21">
        <v>10</v>
      </c>
      <c r="D16" s="2" t="str">
        <f t="shared" si="1"/>
        <v>11002_10</v>
      </c>
      <c r="E16" s="4" t="str">
        <f ca="1">VLOOKUP($B16,OFFSET([2]quests!$A$1,0,0,COUNTA([2]quests!$A:$A),MATCH(E$1,[2]quests!$1:$1,0)-MATCH($B$1,[2]quests!$1:$1,0)+1),MATCH(E$1,[2]quests!$1:$1,0)-MATCH($B$1,[2]quests!$1:$1,0)+1,FALSE)</f>
        <v>【火曜限定】 赤の素材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【超絶級】炎上のドードー</v>
      </c>
      <c r="G16" s="21">
        <v>6</v>
      </c>
      <c r="H16" s="15" t="str">
        <f t="shared" si="2"/>
        <v>11002_10-6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100" t="s">
        <v>209</v>
      </c>
      <c r="L16" s="98">
        <v>356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炎上のドードー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50</v>
      </c>
      <c r="S16" s="25">
        <v>99</v>
      </c>
      <c r="T16" s="25">
        <v>46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6" s="4">
        <v>1122204</v>
      </c>
      <c r="X16" s="6">
        <v>1</v>
      </c>
      <c r="Y16" s="6">
        <v>100</v>
      </c>
      <c r="Z16" s="6">
        <v>1</v>
      </c>
      <c r="AA16" s="17">
        <v>2</v>
      </c>
      <c r="AB16" s="24">
        <f t="shared" si="3"/>
        <v>356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炎上のドードー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5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" s="7">
        <v>1</v>
      </c>
      <c r="AG16" s="24">
        <f t="shared" ca="1" si="4"/>
        <v>5</v>
      </c>
      <c r="AH16" s="8">
        <v>100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ca="1" si="0"/>
        <v>11002_10-6/371&lt;lv52&gt;s2</v>
      </c>
      <c r="B17" s="22">
        <v>11002</v>
      </c>
      <c r="C17" s="21">
        <v>10</v>
      </c>
      <c r="D17" s="2" t="str">
        <f t="shared" si="1"/>
        <v>11002_10</v>
      </c>
      <c r="E17" s="4" t="str">
        <f ca="1">VLOOKUP($B17,OFFSET([2]quests!$A$1,0,0,COUNTA([2]quests!$A:$A),MATCH(E$1,[2]quests!$1:$1,0)-MATCH($B$1,[2]quests!$1:$1,0)+1),MATCH(E$1,[2]quests!$1:$1,0)-MATCH($B$1,[2]quests!$1:$1,0)+1,FALSE)</f>
        <v>【火曜限定】 赤の素材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【超絶級】炎上のドードー</v>
      </c>
      <c r="G17" s="21">
        <v>6</v>
      </c>
      <c r="H17" s="15" t="str">
        <f t="shared" si="2"/>
        <v>11002_10-6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100" t="s">
        <v>209</v>
      </c>
      <c r="L17" s="98">
        <v>371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行灯達磨 タイチ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52</v>
      </c>
      <c r="S17" s="25">
        <v>1.7</v>
      </c>
      <c r="T17" s="25">
        <v>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17" s="4">
        <v>1122201</v>
      </c>
      <c r="X17" s="6">
        <v>2</v>
      </c>
      <c r="Y17" s="6">
        <v>100</v>
      </c>
      <c r="Z17" s="6">
        <v>0</v>
      </c>
      <c r="AA17" s="17">
        <f ca="1">VLOOKUP($L17,OFFSET([3]enemies!$A$1,0,0,COUNTA([3]enemies!$A:$A),MATCH(AA$1,[3]enemies!$1:$1,0)-MATCH($L$1,[3]enemies!$1:$1,0)+1),MATCH(AA$1,[3]enemies!$1:$1,0)-MATCH($L$1,[3]enemies!$1:$1,0)+1,FALSE)</f>
        <v>2</v>
      </c>
      <c r="AB17" s="24">
        <f t="shared" si="3"/>
        <v>371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行灯達磨 タイチ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7">
        <v>1</v>
      </c>
      <c r="AG17" s="24">
        <f t="shared" ca="1" si="4"/>
        <v>3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si="0"/>
        <v>11004_10-1/362&lt;lv52&gt;s2</v>
      </c>
      <c r="B18" s="22">
        <v>11004</v>
      </c>
      <c r="C18" s="21">
        <v>10</v>
      </c>
      <c r="D18" s="2" t="str">
        <f t="shared" si="1"/>
        <v>11004_10</v>
      </c>
      <c r="E18" s="4" t="str">
        <f ca="1">VLOOKUP($B18,OFFSET([2]quests!$A$1,0,0,COUNTA([2]quests!$A:$A),MATCH(E$1,[2]quests!$1:$1,0)-MATCH($B$1,[2]quests!$1:$1,0)+1),MATCH(E$1,[2]quests!$1:$1,0)-MATCH($B$1,[2]quests!$1:$1,0)+1,FALSE)</f>
        <v>【木曜限定】 緑の素材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【超絶級】千風のグリフォン</v>
      </c>
      <c r="G18" s="21">
        <v>1</v>
      </c>
      <c r="H18" s="15" t="str">
        <f t="shared" si="2"/>
        <v>11004_10-1</v>
      </c>
      <c r="I18" s="4">
        <f ca="1">VLOOKUP($H18,OFFSET(floors!$A$1,0,0,COUNTA(floors!$A:$A),MATCH(I$1,floors!$1:$1,0)-MATCH($H$1,floors!$1:$1,0)+1),MATCH(I$1,floors!$1:$1,0)-MATCH($H$1,floors!$1:$1,0)+1,FALSE)</f>
        <v>30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100" t="s">
        <v>209</v>
      </c>
      <c r="L18" s="99">
        <v>362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ゆらら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52</v>
      </c>
      <c r="S18" s="25">
        <v>1.8</v>
      </c>
      <c r="T18" s="25">
        <v>1.2</v>
      </c>
      <c r="U18" s="5">
        <v>0</v>
      </c>
      <c r="V18" s="4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18" s="4">
        <v>362</v>
      </c>
      <c r="X18" s="6">
        <v>0</v>
      </c>
      <c r="Y18" s="6">
        <v>100</v>
      </c>
      <c r="Z18" s="6">
        <v>0</v>
      </c>
      <c r="AA18" s="17">
        <v>2</v>
      </c>
      <c r="AB18" s="24">
        <f t="shared" si="3"/>
        <v>362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" s="7">
        <v>1</v>
      </c>
      <c r="AG18" s="24">
        <f t="shared" ca="1" si="4"/>
        <v>2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si="0"/>
        <v>11004_10-1/372&lt;lv52&gt;s1</v>
      </c>
      <c r="B19" s="22">
        <v>11004</v>
      </c>
      <c r="C19" s="21">
        <v>10</v>
      </c>
      <c r="D19" s="2" t="str">
        <f t="shared" si="1"/>
        <v>11004_10</v>
      </c>
      <c r="E19" s="4" t="str">
        <f ca="1">VLOOKUP($B19,OFFSET([2]quests!$A$1,0,0,COUNTA([2]quests!$A:$A),MATCH(E$1,[2]quests!$1:$1,0)-MATCH($B$1,[2]quests!$1:$1,0)+1),MATCH(E$1,[2]quests!$1:$1,0)-MATCH($B$1,[2]quests!$1:$1,0)+1,FALSE)</f>
        <v>【木曜限定】 緑の素材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【超絶級】千風のグリフォン</v>
      </c>
      <c r="G19" s="21">
        <v>1</v>
      </c>
      <c r="H19" s="15" t="str">
        <f t="shared" si="2"/>
        <v>11004_10-1</v>
      </c>
      <c r="I19" s="4">
        <f ca="1">VLOOKUP($H19,OFFSET(floors!$A$1,0,0,COUNTA(floors!$A:$A),MATCH(I$1,floors!$1:$1,0)-MATCH($H$1,floors!$1:$1,0)+1),MATCH(I$1,floors!$1:$1,0)-MATCH($H$1,floors!$1:$1,0)+1,FALSE)</f>
        <v>30</v>
      </c>
      <c r="J19" s="4">
        <f ca="1">VLOOKUP($H19,OFFSET(floors!$A$1,0,0,COUNTA(floors!$A:$A),MATCH(J$1,floors!$1:$1,0)-MATCH($H$1,floors!$1:$1,0)+1),MATCH(J$1,floors!$1:$1,0)-MATCH($H$1,floors!$1:$1,0)+1,FALSE)</f>
        <v>45</v>
      </c>
      <c r="K19" s="100" t="s">
        <v>209</v>
      </c>
      <c r="L19" s="99">
        <v>372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バショー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52</v>
      </c>
      <c r="S19" s="25">
        <v>1.9</v>
      </c>
      <c r="T19" s="25">
        <v>1.2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19" s="4">
        <v>1122202</v>
      </c>
      <c r="X19" s="6">
        <v>0</v>
      </c>
      <c r="Y19" s="6">
        <v>100</v>
      </c>
      <c r="Z19" s="6">
        <v>0</v>
      </c>
      <c r="AA19" s="17">
        <v>1</v>
      </c>
      <c r="AB19" s="24">
        <f t="shared" si="3"/>
        <v>372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9" s="7">
        <v>1</v>
      </c>
      <c r="AG19" s="24">
        <f t="shared" ca="1" si="4"/>
        <v>2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 x14ac:dyDescent="0.15">
      <c r="A20" s="16" t="str">
        <f t="shared" si="0"/>
        <v>11004_10-2/362&lt;lv52&gt;s2</v>
      </c>
      <c r="B20" s="22">
        <v>11004</v>
      </c>
      <c r="C20" s="21">
        <v>10</v>
      </c>
      <c r="D20" s="2" t="str">
        <f t="shared" si="1"/>
        <v>11004_10</v>
      </c>
      <c r="E20" s="4" t="str">
        <f ca="1">VLOOKUP($B20,OFFSET([2]quests!$A$1,0,0,COUNTA([2]quests!$A:$A),MATCH(E$1,[2]quests!$1:$1,0)-MATCH($B$1,[2]quests!$1:$1,0)+1),MATCH(E$1,[2]quests!$1:$1,0)-MATCH($B$1,[2]quests!$1:$1,0)+1,FALSE)</f>
        <v>【木曜限定】 緑の素材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【超絶級】千風のグリフォン</v>
      </c>
      <c r="G20" s="21">
        <v>2</v>
      </c>
      <c r="H20" s="15" t="str">
        <f t="shared" si="2"/>
        <v>11004_10-2</v>
      </c>
      <c r="I20" s="4">
        <f ca="1">VLOOKUP($H20,OFFSET(floors!$A$1,0,0,COUNTA(floors!$A:$A),MATCH(I$1,floors!$1:$1,0)-MATCH($H$1,floors!$1:$1,0)+1),MATCH(I$1,floors!$1:$1,0)-MATCH($H$1,floors!$1:$1,0)+1,FALSE)</f>
        <v>45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100" t="s">
        <v>209</v>
      </c>
      <c r="L20" s="99">
        <v>362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ゆらら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52</v>
      </c>
      <c r="S20" s="25">
        <v>1.8</v>
      </c>
      <c r="T20" s="25">
        <v>1.2</v>
      </c>
      <c r="U20" s="5">
        <v>0</v>
      </c>
      <c r="V20" s="4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20" s="4">
        <v>362</v>
      </c>
      <c r="X20" s="6">
        <v>0</v>
      </c>
      <c r="Y20" s="6">
        <v>100</v>
      </c>
      <c r="Z20" s="6">
        <v>0</v>
      </c>
      <c r="AA20" s="17">
        <v>2</v>
      </c>
      <c r="AB20" s="24">
        <f t="shared" si="3"/>
        <v>362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Drop1S</v>
      </c>
      <c r="AF20" s="7">
        <v>1</v>
      </c>
      <c r="AG20" s="24">
        <f t="shared" ca="1" si="4"/>
        <v>2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 x14ac:dyDescent="0.15">
      <c r="A21" s="16" t="str">
        <f t="shared" si="0"/>
        <v>11004_10-2/372&lt;lv52&gt;s1</v>
      </c>
      <c r="B21" s="22">
        <v>11004</v>
      </c>
      <c r="C21" s="21">
        <v>10</v>
      </c>
      <c r="D21" s="2" t="str">
        <f t="shared" si="1"/>
        <v>11004_10</v>
      </c>
      <c r="E21" s="4" t="str">
        <f ca="1">VLOOKUP($B21,OFFSET([2]quests!$A$1,0,0,COUNTA([2]quests!$A:$A),MATCH(E$1,[2]quests!$1:$1,0)-MATCH($B$1,[2]quests!$1:$1,0)+1),MATCH(E$1,[2]quests!$1:$1,0)-MATCH($B$1,[2]quests!$1:$1,0)+1,FALSE)</f>
        <v>【木曜限定】 緑の素材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【超絶級】千風のグリフォン</v>
      </c>
      <c r="G21" s="21">
        <v>2</v>
      </c>
      <c r="H21" s="15" t="str">
        <f t="shared" si="2"/>
        <v>11004_10-2</v>
      </c>
      <c r="I21" s="4">
        <f ca="1">VLOOKUP($H21,OFFSET(floors!$A$1,0,0,COUNTA(floors!$A:$A),MATCH(I$1,floors!$1:$1,0)-MATCH($H$1,floors!$1:$1,0)+1),MATCH(I$1,floors!$1:$1,0)-MATCH($H$1,floors!$1:$1,0)+1,FALSE)</f>
        <v>45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100" t="s">
        <v>209</v>
      </c>
      <c r="L21" s="99">
        <v>372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バショー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52</v>
      </c>
      <c r="S21" s="25">
        <v>1.9</v>
      </c>
      <c r="T21" s="25">
        <v>1.2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21" s="4">
        <v>1122202</v>
      </c>
      <c r="X21" s="6">
        <v>0</v>
      </c>
      <c r="Y21" s="6">
        <v>100</v>
      </c>
      <c r="Z21" s="6">
        <v>0</v>
      </c>
      <c r="AA21" s="17">
        <v>1</v>
      </c>
      <c r="AB21" s="24">
        <f t="shared" si="3"/>
        <v>372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Drop1S</v>
      </c>
      <c r="AF21" s="7">
        <v>1</v>
      </c>
      <c r="AG21" s="24">
        <f t="shared" ca="1" si="4"/>
        <v>2</v>
      </c>
      <c r="AH21" s="8">
        <v>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 x14ac:dyDescent="0.15">
      <c r="A22" s="16" t="str">
        <f t="shared" ca="1" si="0"/>
        <v>11004_10-2/336&lt;lv2&gt;s1</v>
      </c>
      <c r="B22" s="22">
        <v>11004</v>
      </c>
      <c r="C22" s="21">
        <v>10</v>
      </c>
      <c r="D22" s="2" t="str">
        <f t="shared" si="1"/>
        <v>11004_10</v>
      </c>
      <c r="E22" s="4" t="str">
        <f ca="1">VLOOKUP($B22,OFFSET([2]quests!$A$1,0,0,COUNTA([2]quests!$A:$A),MATCH(E$1,[2]quests!$1:$1,0)-MATCH($B$1,[2]quests!$1:$1,0)+1),MATCH(E$1,[2]quests!$1:$1,0)-MATCH($B$1,[2]quests!$1:$1,0)+1,FALSE)</f>
        <v>【木曜限定】 緑の素材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【超絶級】千風のグリフォン</v>
      </c>
      <c r="G22" s="21">
        <v>2</v>
      </c>
      <c r="H22" s="15" t="str">
        <f t="shared" si="2"/>
        <v>11004_10-2</v>
      </c>
      <c r="I22" s="4">
        <f ca="1">VLOOKUP($H22,OFFSET(floors!$A$1,0,0,COUNTA(floors!$A:$A),MATCH(I$1,floors!$1:$1,0)-MATCH($H$1,floors!$1:$1,0)+1),MATCH(I$1,floors!$1:$1,0)-MATCH($H$1,floors!$1:$1,0)+1,FALSE)</f>
        <v>45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100" t="s">
        <v>209</v>
      </c>
      <c r="L22" s="99">
        <v>336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森のメタルピヨピヨ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2</v>
      </c>
      <c r="S22" s="25">
        <v>2</v>
      </c>
      <c r="T22" s="25">
        <v>99</v>
      </c>
      <c r="U22" s="5">
        <v>0</v>
      </c>
      <c r="V22" s="4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4">
        <f ca="1">VLOOKUP($L22,OFFSET([3]enemies!$A$1,0,0,COUNTA([3]enemies!$A:$A),MATCH(W$1,[3]enemies!$1:$1,0)-MATCH($L$1,[3]enemies!$1:$1,0)+1),MATCH(W$1,[3]enemies!$1:$1,0)-MATCH($L$1,[3]enemies!$1:$1,0)+1,FALSE)</f>
        <v>0</v>
      </c>
      <c r="X22" s="6">
        <v>0</v>
      </c>
      <c r="Y22" s="6">
        <v>20</v>
      </c>
      <c r="Z22" s="6">
        <v>0</v>
      </c>
      <c r="AA22" s="17">
        <f ca="1">VLOOKUP($L22,OFFSET([3]enemies!$A$1,0,0,COUNTA([3]enemies!$A:$A),MATCH(AA$1,[3]enemies!$1:$1,0)-MATCH($L$1,[3]enemies!$1:$1,0)+1),MATCH(AA$1,[3]enemies!$1:$1,0)-MATCH($L$1,[3]enemies!$1:$1,0)+1,FALSE)</f>
        <v>1</v>
      </c>
      <c r="AB22" s="24">
        <f t="shared" si="3"/>
        <v>336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3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7">
        <v>1</v>
      </c>
      <c r="AG22" s="24">
        <f t="shared" ca="1" si="4"/>
        <v>3</v>
      </c>
      <c r="AH22" s="8">
        <v>10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 x14ac:dyDescent="0.15">
      <c r="A23" s="16" t="str">
        <f t="shared" ca="1" si="0"/>
        <v>11004_10-2/337&lt;lv2&gt;s2</v>
      </c>
      <c r="B23" s="22">
        <v>11004</v>
      </c>
      <c r="C23" s="21">
        <v>10</v>
      </c>
      <c r="D23" s="2" t="str">
        <f t="shared" si="1"/>
        <v>11004_10</v>
      </c>
      <c r="E23" s="4" t="str">
        <f ca="1">VLOOKUP($B23,OFFSET([2]quests!$A$1,0,0,COUNTA([2]quests!$A:$A),MATCH(E$1,[2]quests!$1:$1,0)-MATCH($B$1,[2]quests!$1:$1,0)+1),MATCH(E$1,[2]quests!$1:$1,0)-MATCH($B$1,[2]quests!$1:$1,0)+1,FALSE)</f>
        <v>【木曜限定】 緑の素材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【超絶級】千風のグリフォン</v>
      </c>
      <c r="G23" s="21">
        <v>2</v>
      </c>
      <c r="H23" s="15" t="str">
        <f t="shared" si="2"/>
        <v>11004_10-2</v>
      </c>
      <c r="I23" s="4">
        <f ca="1">VLOOKUP($H23,OFFSET(floors!$A$1,0,0,COUNTA(floors!$A:$A),MATCH(I$1,floors!$1:$1,0)-MATCH($H$1,floors!$1:$1,0)+1),MATCH(I$1,floors!$1:$1,0)-MATCH($H$1,floors!$1:$1,0)+1,FALSE)</f>
        <v>45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100" t="s">
        <v>209</v>
      </c>
      <c r="L23" s="99">
        <v>337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森のメタルチック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2</v>
      </c>
      <c r="S23" s="25">
        <v>2</v>
      </c>
      <c r="T23" s="25">
        <v>99</v>
      </c>
      <c r="U23" s="5">
        <v>0</v>
      </c>
      <c r="V23" s="4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4">
        <f ca="1">VLOOKUP($L23,OFFSET([3]enemies!$A$1,0,0,COUNTA([3]enemies!$A:$A),MATCH(W$1,[3]enemies!$1:$1,0)-MATCH($L$1,[3]enemies!$1:$1,0)+1),MATCH(W$1,[3]enemies!$1:$1,0)-MATCH($L$1,[3]enemies!$1:$1,0)+1,FALSE)</f>
        <v>0</v>
      </c>
      <c r="X23" s="6">
        <v>0</v>
      </c>
      <c r="Y23" s="6">
        <v>10</v>
      </c>
      <c r="Z23" s="6">
        <v>0</v>
      </c>
      <c r="AA23" s="17">
        <f ca="1">VLOOKUP($L23,OFFSET([3]enemies!$A$1,0,0,COUNTA([3]enemies!$A:$A),MATCH(AA$1,[3]enemies!$1:$1,0)-MATCH($L$1,[3]enemies!$1:$1,0)+1),MATCH(AA$1,[3]enemies!$1:$1,0)-MATCH($L$1,[3]enemies!$1:$1,0)+1,FALSE)</f>
        <v>2</v>
      </c>
      <c r="AB23" s="24">
        <f t="shared" si="3"/>
        <v>337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7">
        <v>1</v>
      </c>
      <c r="AG23" s="24">
        <f t="shared" ca="1" si="4"/>
        <v>4</v>
      </c>
      <c r="AH23" s="8">
        <v>5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 x14ac:dyDescent="0.15">
      <c r="A24" s="16" t="str">
        <f t="shared" ca="1" si="0"/>
        <v>11004_10-3/301&lt;lv60&gt;s2</v>
      </c>
      <c r="B24" s="22">
        <v>11004</v>
      </c>
      <c r="C24" s="21">
        <v>10</v>
      </c>
      <c r="D24" s="2" t="str">
        <f t="shared" si="1"/>
        <v>11004_10</v>
      </c>
      <c r="E24" s="4" t="str">
        <f ca="1">VLOOKUP($B24,OFFSET([2]quests!$A$1,0,0,COUNTA([2]quests!$A:$A),MATCH(E$1,[2]quests!$1:$1,0)-MATCH($B$1,[2]quests!$1:$1,0)+1),MATCH(E$1,[2]quests!$1:$1,0)-MATCH($B$1,[2]quests!$1:$1,0)+1,FALSE)</f>
        <v>【木曜限定】 緑の素材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【超絶級】千風のグリフォン</v>
      </c>
      <c r="G24" s="21">
        <v>3</v>
      </c>
      <c r="H24" s="15" t="str">
        <f t="shared" si="2"/>
        <v>11004_10-3</v>
      </c>
      <c r="I24" s="4">
        <f ca="1">VLOOKUP($H24,OFFSET(floors!$A$1,0,0,COUNTA(floors!$A:$A),MATCH(I$1,floors!$1:$1,0)-MATCH($H$1,floors!$1:$1,0)+1),MATCH(I$1,floors!$1:$1,0)-MATCH($H$1,floors!$1:$1,0)+1,FALSE)</f>
        <v>50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100" t="s">
        <v>209</v>
      </c>
      <c r="L24" s="99">
        <v>301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宿痾の葬送 チカ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Drop2W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human</v>
      </c>
      <c r="Q24" s="17">
        <f ca="1">VLOOKUP($L24,OFFSET([3]enemies!$A$1,0,0,COUNTA([3]enemies!$A:$A),MATCH(Q$1,[3]enemies!$1:$1,0)-MATCH($L$1,[3]enemies!$1:$1,0)+1),MATCH(Q$1,[3]enemies!$1:$1,0)-MATCH($L$1,[3]enemies!$1:$1,0)+1,FALSE)</f>
        <v>30</v>
      </c>
      <c r="R24" s="5">
        <v>60</v>
      </c>
      <c r="S24" s="25">
        <v>1.3</v>
      </c>
      <c r="T24" s="25">
        <v>1.4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5ターンウィルス状態</v>
      </c>
      <c r="W24" s="4">
        <v>1122203</v>
      </c>
      <c r="X24" s="6">
        <v>0</v>
      </c>
      <c r="Y24" s="6">
        <v>80</v>
      </c>
      <c r="Z24" s="6">
        <v>1</v>
      </c>
      <c r="AA24" s="17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f t="shared" si="3"/>
        <v>301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宿痾の葬送 チカ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Drop2W</v>
      </c>
      <c r="AF24" s="7">
        <v>1</v>
      </c>
      <c r="AG24" s="24">
        <f t="shared" ca="1" si="4"/>
        <v>4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ht="21" customHeight="1" x14ac:dyDescent="0.15">
      <c r="A25" s="16" t="str">
        <f t="shared" ca="1" si="0"/>
        <v>11004_10-3/338&lt;lv2&gt;s3</v>
      </c>
      <c r="B25" s="22">
        <v>11004</v>
      </c>
      <c r="C25" s="21">
        <v>10</v>
      </c>
      <c r="D25" s="2" t="str">
        <f t="shared" si="1"/>
        <v>11004_10</v>
      </c>
      <c r="E25" s="4" t="str">
        <f ca="1">VLOOKUP($B25,OFFSET([2]quests!$A$1,0,0,COUNTA([2]quests!$A:$A),MATCH(E$1,[2]quests!$1:$1,0)-MATCH($B$1,[2]quests!$1:$1,0)+1),MATCH(E$1,[2]quests!$1:$1,0)-MATCH($B$1,[2]quests!$1:$1,0)+1,FALSE)</f>
        <v>【木曜限定】 緑の素材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【超絶級】千風のグリフォン</v>
      </c>
      <c r="G25" s="21">
        <v>3</v>
      </c>
      <c r="H25" s="15" t="str">
        <f t="shared" si="2"/>
        <v>11004_10-3</v>
      </c>
      <c r="I25" s="4">
        <f ca="1">VLOOKUP($H25,OFFSET(floors!$A$1,0,0,COUNTA(floors!$A:$A),MATCH(I$1,floors!$1:$1,0)-MATCH($H$1,floors!$1:$1,0)+1),MATCH(I$1,floors!$1:$1,0)-MATCH($H$1,floors!$1:$1,0)+1,FALSE)</f>
        <v>50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100" t="s">
        <v>209</v>
      </c>
      <c r="L25" s="99">
        <v>338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森のメタルダック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7">
        <f ca="1">VLOOKUP($L25,OFFSET([3]enemies!$A$1,0,0,COUNTA([3]enemies!$A:$A),MATCH(Q$1,[3]enemies!$1:$1,0)-MATCH($L$1,[3]enemies!$1:$1,0)+1),MATCH(Q$1,[3]enemies!$1:$1,0)-MATCH($L$1,[3]enemies!$1:$1,0)+1,FALSE)</f>
        <v>20</v>
      </c>
      <c r="R25" s="5">
        <v>2</v>
      </c>
      <c r="S25" s="25">
        <v>2</v>
      </c>
      <c r="T25" s="25">
        <v>99</v>
      </c>
      <c r="U25" s="5">
        <v>0</v>
      </c>
      <c r="V25" s="4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4">
        <f ca="1">VLOOKUP($L25,OFFSET([3]enemies!$A$1,0,0,COUNTA([3]enemies!$A:$A),MATCH(W$1,[3]enemies!$1:$1,0)-MATCH($L$1,[3]enemies!$1:$1,0)+1),MATCH(W$1,[3]enemies!$1:$1,0)-MATCH($L$1,[3]enemies!$1:$1,0)+1,FALSE)</f>
        <v>0</v>
      </c>
      <c r="X25" s="6">
        <v>0</v>
      </c>
      <c r="Y25" s="6">
        <v>20</v>
      </c>
      <c r="Z25" s="6">
        <v>1</v>
      </c>
      <c r="AA25" s="17">
        <f ca="1">VLOOKUP($L25,OFFSET([3]enemies!$A$1,0,0,COUNTA([3]enemies!$A:$A),MATCH(AA$1,[3]enemies!$1:$1,0)-MATCH($L$1,[3]enemies!$1:$1,0)+1),MATCH(AA$1,[3]enemies!$1:$1,0)-MATCH($L$1,[3]enemies!$1:$1,0)+1,FALSE)</f>
        <v>3</v>
      </c>
      <c r="AB25" s="24">
        <f t="shared" si="3"/>
        <v>338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5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7">
        <v>1</v>
      </c>
      <c r="AG25" s="24">
        <f t="shared" ca="1" si="4"/>
        <v>5</v>
      </c>
      <c r="AH25" s="8">
        <v>5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9">
        <v>1</v>
      </c>
    </row>
    <row r="26" spans="1:40" ht="21" customHeight="1" x14ac:dyDescent="0.15">
      <c r="A26" s="16" t="str">
        <f t="shared" ca="1" si="0"/>
        <v>11004_10-3/336&lt;lv2&gt;s1</v>
      </c>
      <c r="B26" s="22">
        <v>11004</v>
      </c>
      <c r="C26" s="21">
        <v>10</v>
      </c>
      <c r="D26" s="2" t="str">
        <f t="shared" si="1"/>
        <v>11004_10</v>
      </c>
      <c r="E26" s="4" t="str">
        <f ca="1">VLOOKUP($B26,OFFSET([2]quests!$A$1,0,0,COUNTA([2]quests!$A:$A),MATCH(E$1,[2]quests!$1:$1,0)-MATCH($B$1,[2]quests!$1:$1,0)+1),MATCH(E$1,[2]quests!$1:$1,0)-MATCH($B$1,[2]quests!$1:$1,0)+1,FALSE)</f>
        <v>【木曜限定】 緑の素材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【超絶級】千風のグリフォン</v>
      </c>
      <c r="G26" s="21">
        <v>3</v>
      </c>
      <c r="H26" s="15" t="str">
        <f t="shared" si="2"/>
        <v>11004_10-3</v>
      </c>
      <c r="I26" s="4">
        <f ca="1">VLOOKUP($H26,OFFSET(floors!$A$1,0,0,COUNTA(floors!$A:$A),MATCH(I$1,floors!$1:$1,0)-MATCH($H$1,floors!$1:$1,0)+1),MATCH(I$1,floors!$1:$1,0)-MATCH($H$1,floors!$1:$1,0)+1,FALSE)</f>
        <v>50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100" t="s">
        <v>209</v>
      </c>
      <c r="L26" s="99">
        <v>336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森のメタルピヨピヨ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green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2</v>
      </c>
      <c r="S26" s="25">
        <v>2</v>
      </c>
      <c r="T26" s="25">
        <v>99</v>
      </c>
      <c r="U26" s="5">
        <v>0</v>
      </c>
      <c r="V26" s="4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" s="4">
        <f ca="1">VLOOKUP($L26,OFFSET([3]enemies!$A$1,0,0,COUNTA([3]enemies!$A:$A),MATCH(W$1,[3]enemies!$1:$1,0)-MATCH($L$1,[3]enemies!$1:$1,0)+1),MATCH(W$1,[3]enemies!$1:$1,0)-MATCH($L$1,[3]enemies!$1:$1,0)+1,FALSE)</f>
        <v>0</v>
      </c>
      <c r="X26" s="6">
        <v>1</v>
      </c>
      <c r="Y26" s="6">
        <v>100</v>
      </c>
      <c r="Z26" s="6">
        <v>0</v>
      </c>
      <c r="AA26" s="17">
        <f ca="1">VLOOKUP($L26,OFFSET([3]enemies!$A$1,0,0,COUNTA([3]enemies!$A:$A),MATCH(AA$1,[3]enemies!$1:$1,0)-MATCH($L$1,[3]enemies!$1:$1,0)+1),MATCH(AA$1,[3]enemies!$1:$1,0)-MATCH($L$1,[3]enemies!$1:$1,0)+1,FALSE)</f>
        <v>1</v>
      </c>
      <c r="AB26" s="24">
        <f t="shared" si="3"/>
        <v>336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3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7">
        <v>1</v>
      </c>
      <c r="AG26" s="24">
        <f t="shared" ca="1" si="4"/>
        <v>3</v>
      </c>
      <c r="AH26" s="8">
        <v>20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9">
        <v>1</v>
      </c>
    </row>
    <row r="27" spans="1:40" ht="21" customHeight="1" x14ac:dyDescent="0.15">
      <c r="A27" s="16" t="str">
        <f t="shared" ca="1" si="0"/>
        <v>11004_10-3/337&lt;lv2&gt;s2</v>
      </c>
      <c r="B27" s="22">
        <v>11004</v>
      </c>
      <c r="C27" s="21">
        <v>10</v>
      </c>
      <c r="D27" s="2" t="str">
        <f t="shared" si="1"/>
        <v>11004_10</v>
      </c>
      <c r="E27" s="4" t="str">
        <f ca="1">VLOOKUP($B27,OFFSET([2]quests!$A$1,0,0,COUNTA([2]quests!$A:$A),MATCH(E$1,[2]quests!$1:$1,0)-MATCH($B$1,[2]quests!$1:$1,0)+1),MATCH(E$1,[2]quests!$1:$1,0)-MATCH($B$1,[2]quests!$1:$1,0)+1,FALSE)</f>
        <v>【木曜限定】 緑の素材</v>
      </c>
      <c r="F27" s="4" t="str">
        <f ca="1">VLOOKUP($D27,OFFSET([2]stages!$A$1,0,0,COUNTA([2]stages!$A:$A),MATCH(F$1,[2]stages!$2:$2,0)-MATCH($D$1,[2]stages!$2:$2,0)+1),MATCH(F$1,[2]stages!$2:$2,0)-MATCH($D$1,[2]stages!$2:$2,0)+1,FALSE)</f>
        <v>【超絶級】千風のグリフォン</v>
      </c>
      <c r="G27" s="21">
        <v>3</v>
      </c>
      <c r="H27" s="15" t="str">
        <f t="shared" si="2"/>
        <v>11004_10-3</v>
      </c>
      <c r="I27" s="4">
        <f ca="1">VLOOKUP($H27,OFFSET(floors!$A$1,0,0,COUNTA(floors!$A:$A),MATCH(I$1,floors!$1:$1,0)-MATCH($H$1,floors!$1:$1,0)+1),MATCH(I$1,floors!$1:$1,0)-MATCH($H$1,floors!$1:$1,0)+1,FALSE)</f>
        <v>50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100" t="s">
        <v>209</v>
      </c>
      <c r="L27" s="99">
        <v>337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森のメタルチック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2</v>
      </c>
      <c r="S27" s="25">
        <v>2</v>
      </c>
      <c r="T27" s="25">
        <v>99</v>
      </c>
      <c r="U27" s="5">
        <v>0</v>
      </c>
      <c r="V27" s="4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4">
        <f ca="1">VLOOKUP($L27,OFFSET([3]enemies!$A$1,0,0,COUNTA([3]enemies!$A:$A),MATCH(W$1,[3]enemies!$1:$1,0)-MATCH($L$1,[3]enemies!$1:$1,0)+1),MATCH(W$1,[3]enemies!$1:$1,0)-MATCH($L$1,[3]enemies!$1:$1,0)+1,FALSE)</f>
        <v>0</v>
      </c>
      <c r="X27" s="6">
        <v>1</v>
      </c>
      <c r="Y27" s="6">
        <v>100</v>
      </c>
      <c r="Z27" s="6">
        <v>0</v>
      </c>
      <c r="AA27" s="17">
        <f ca="1">VLOOKUP($L27,OFFSET([3]enemies!$A$1,0,0,COUNTA([3]enemies!$A:$A),MATCH(AA$1,[3]enemies!$1:$1,0)-MATCH($L$1,[3]enemies!$1:$1,0)+1),MATCH(AA$1,[3]enemies!$1:$1,0)-MATCH($L$1,[3]enemies!$1:$1,0)+1,FALSE)</f>
        <v>2</v>
      </c>
      <c r="AB27" s="24">
        <f t="shared" si="3"/>
        <v>337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4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7" s="7">
        <v>1</v>
      </c>
      <c r="AG27" s="24">
        <f t="shared" ca="1" si="4"/>
        <v>4</v>
      </c>
      <c r="AH27" s="8">
        <v>10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9">
        <v>1</v>
      </c>
    </row>
    <row r="28" spans="1:40" ht="21" customHeight="1" x14ac:dyDescent="0.15">
      <c r="A28" s="16" t="str">
        <f t="shared" si="0"/>
        <v>11004_10-4/362&lt;lv52&gt;s2</v>
      </c>
      <c r="B28" s="22">
        <v>11004</v>
      </c>
      <c r="C28" s="21">
        <v>10</v>
      </c>
      <c r="D28" s="2" t="str">
        <f t="shared" si="1"/>
        <v>11004_10</v>
      </c>
      <c r="E28" s="4" t="str">
        <f ca="1">VLOOKUP($B28,OFFSET([2]quests!$A$1,0,0,COUNTA([2]quests!$A:$A),MATCH(E$1,[2]quests!$1:$1,0)-MATCH($B$1,[2]quests!$1:$1,0)+1),MATCH(E$1,[2]quests!$1:$1,0)-MATCH($B$1,[2]quests!$1:$1,0)+1,FALSE)</f>
        <v>【木曜限定】 緑の素材</v>
      </c>
      <c r="F28" s="4" t="str">
        <f ca="1">VLOOKUP($D28,OFFSET([2]stages!$A$1,0,0,COUNTA([2]stages!$A:$A),MATCH(F$1,[2]stages!$2:$2,0)-MATCH($D$1,[2]stages!$2:$2,0)+1),MATCH(F$1,[2]stages!$2:$2,0)-MATCH($D$1,[2]stages!$2:$2,0)+1,FALSE)</f>
        <v>【超絶級】千風のグリフォン</v>
      </c>
      <c r="G28" s="21">
        <v>4</v>
      </c>
      <c r="H28" s="15" t="str">
        <f t="shared" si="2"/>
        <v>11004_10-4</v>
      </c>
      <c r="I28" s="4">
        <f ca="1">VLOOKUP($H28,OFFSET(floors!$A$1,0,0,COUNTA(floors!$A:$A),MATCH(I$1,floors!$1:$1,0)-MATCH($H$1,floors!$1:$1,0)+1),MATCH(I$1,floors!$1:$1,0)-MATCH($H$1,floors!$1:$1,0)+1,FALSE)</f>
        <v>45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100" t="s">
        <v>209</v>
      </c>
      <c r="L28" s="99">
        <v>362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ゆらら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Drop1S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52</v>
      </c>
      <c r="S28" s="25">
        <v>1.8</v>
      </c>
      <c r="T28" s="25">
        <v>1.2</v>
      </c>
      <c r="U28" s="5">
        <v>0</v>
      </c>
      <c r="V28" s="4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28" s="4">
        <v>362</v>
      </c>
      <c r="X28" s="6">
        <v>0</v>
      </c>
      <c r="Y28" s="6">
        <v>100</v>
      </c>
      <c r="Z28" s="6">
        <v>0</v>
      </c>
      <c r="AA28" s="17">
        <v>2</v>
      </c>
      <c r="AB28" s="24">
        <f t="shared" si="3"/>
        <v>362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2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28" s="7">
        <v>1</v>
      </c>
      <c r="AG28" s="24">
        <f t="shared" ca="1" si="4"/>
        <v>2</v>
      </c>
      <c r="AH28" s="8">
        <v>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9">
        <v>1</v>
      </c>
    </row>
    <row r="29" spans="1:40" ht="21" customHeight="1" x14ac:dyDescent="0.15">
      <c r="A29" s="16" t="str">
        <f t="shared" si="0"/>
        <v>11004_10-4/372&lt;lv52&gt;s1</v>
      </c>
      <c r="B29" s="22">
        <v>11004</v>
      </c>
      <c r="C29" s="21">
        <v>10</v>
      </c>
      <c r="D29" s="2" t="str">
        <f t="shared" si="1"/>
        <v>11004_10</v>
      </c>
      <c r="E29" s="4" t="str">
        <f ca="1">VLOOKUP($B29,OFFSET([2]quests!$A$1,0,0,COUNTA([2]quests!$A:$A),MATCH(E$1,[2]quests!$1:$1,0)-MATCH($B$1,[2]quests!$1:$1,0)+1),MATCH(E$1,[2]quests!$1:$1,0)-MATCH($B$1,[2]quests!$1:$1,0)+1,FALSE)</f>
        <v>【木曜限定】 緑の素材</v>
      </c>
      <c r="F29" s="4" t="str">
        <f ca="1">VLOOKUP($D29,OFFSET([2]stages!$A$1,0,0,COUNTA([2]stages!$A:$A),MATCH(F$1,[2]stages!$2:$2,0)-MATCH($D$1,[2]stages!$2:$2,0)+1),MATCH(F$1,[2]stages!$2:$2,0)-MATCH($D$1,[2]stages!$2:$2,0)+1,FALSE)</f>
        <v>【超絶級】千風のグリフォン</v>
      </c>
      <c r="G29" s="21">
        <v>4</v>
      </c>
      <c r="H29" s="15" t="str">
        <f t="shared" si="2"/>
        <v>11004_10-4</v>
      </c>
      <c r="I29" s="4">
        <f ca="1">VLOOKUP($H29,OFFSET(floors!$A$1,0,0,COUNTA(floors!$A:$A),MATCH(I$1,floors!$1:$1,0)-MATCH($H$1,floors!$1:$1,0)+1),MATCH(I$1,floors!$1:$1,0)-MATCH($H$1,floors!$1:$1,0)+1,FALSE)</f>
        <v>45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100" t="s">
        <v>209</v>
      </c>
      <c r="L29" s="99">
        <v>372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バショー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green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52</v>
      </c>
      <c r="S29" s="25">
        <v>1.9</v>
      </c>
      <c r="T29" s="25">
        <v>1.2</v>
      </c>
      <c r="U29" s="5">
        <v>0</v>
      </c>
      <c r="V29" s="4" t="str">
        <f ca="1">VLOOKUP($W29,OFFSET(enemy_skill_sets!$B$1,0,0,COUNTA(enemy_skill_sets!$B:$B),MATCH(M$1,enemy_skill_sets!$1:$1,0)-MATCH($W$1,enemy_skill_sets!$1:$1,0)+2),MATCH(M$1,enemy_skill_sets!$1:$1,0)-MATCH($W$1,enemy_skill_sets!$1:$1,0)+2,FALSE)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29" s="4">
        <v>1122202</v>
      </c>
      <c r="X29" s="6">
        <v>0</v>
      </c>
      <c r="Y29" s="6">
        <v>100</v>
      </c>
      <c r="Z29" s="6">
        <v>0</v>
      </c>
      <c r="AA29" s="17">
        <v>1</v>
      </c>
      <c r="AB29" s="24">
        <f t="shared" si="3"/>
        <v>372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2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Drop1S</v>
      </c>
      <c r="AF29" s="7">
        <v>1</v>
      </c>
      <c r="AG29" s="24">
        <f t="shared" ca="1" si="4"/>
        <v>2</v>
      </c>
      <c r="AH29" s="8">
        <v>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9">
        <v>1</v>
      </c>
    </row>
    <row r="30" spans="1:40" ht="21" customHeight="1" x14ac:dyDescent="0.15">
      <c r="A30" s="16" t="str">
        <f t="shared" ca="1" si="0"/>
        <v>11004_10-5/362&lt;lv52&gt;s3</v>
      </c>
      <c r="B30" s="22">
        <v>11004</v>
      </c>
      <c r="C30" s="21">
        <v>10</v>
      </c>
      <c r="D30" s="2" t="str">
        <f t="shared" si="1"/>
        <v>11004_10</v>
      </c>
      <c r="E30" s="4" t="str">
        <f ca="1">VLOOKUP($B30,OFFSET([2]quests!$A$1,0,0,COUNTA([2]quests!$A:$A),MATCH(E$1,[2]quests!$1:$1,0)-MATCH($B$1,[2]quests!$1:$1,0)+1),MATCH(E$1,[2]quests!$1:$1,0)-MATCH($B$1,[2]quests!$1:$1,0)+1,FALSE)</f>
        <v>【木曜限定】 緑の素材</v>
      </c>
      <c r="F30" s="4" t="str">
        <f ca="1">VLOOKUP($D30,OFFSET([2]stages!$A$1,0,0,COUNTA([2]stages!$A:$A),MATCH(F$1,[2]stages!$2:$2,0)-MATCH($D$1,[2]stages!$2:$2,0)+1),MATCH(F$1,[2]stages!$2:$2,0)-MATCH($D$1,[2]stages!$2:$2,0)+1,FALSE)</f>
        <v>【超絶級】千風のグリフォン</v>
      </c>
      <c r="G30" s="21">
        <v>5</v>
      </c>
      <c r="H30" s="15" t="str">
        <f t="shared" si="2"/>
        <v>11004_10-5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100" t="s">
        <v>209</v>
      </c>
      <c r="L30" s="99">
        <v>362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ゆらら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Drop1S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animal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52</v>
      </c>
      <c r="S30" s="25">
        <v>1.8</v>
      </c>
      <c r="T30" s="25">
        <v>1.2</v>
      </c>
      <c r="U30" s="5">
        <v>0</v>
      </c>
      <c r="V30" s="4" t="str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30" s="4">
        <v>362</v>
      </c>
      <c r="X30" s="6">
        <v>0</v>
      </c>
      <c r="Y30" s="6">
        <v>100</v>
      </c>
      <c r="Z30" s="6">
        <v>0</v>
      </c>
      <c r="AA30" s="17">
        <f ca="1">VLOOKUP($L30,OFFSET([3]enemies!$A$1,0,0,COUNTA([3]enemies!$A:$A),MATCH(AA$1,[3]enemies!$1:$1,0)-MATCH($L$1,[3]enemies!$1:$1,0)+1),MATCH(AA$1,[3]enemies!$1:$1,0)-MATCH($L$1,[3]enemies!$1:$1,0)+1,FALSE)</f>
        <v>3</v>
      </c>
      <c r="AB30" s="24">
        <f t="shared" si="3"/>
        <v>362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Drop1S</v>
      </c>
      <c r="AF30" s="7">
        <v>1</v>
      </c>
      <c r="AG30" s="24">
        <f t="shared" ca="1" si="4"/>
        <v>2</v>
      </c>
      <c r="AH30" s="8">
        <v>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9">
        <v>1</v>
      </c>
    </row>
    <row r="31" spans="1:40" ht="21" customHeight="1" x14ac:dyDescent="0.15">
      <c r="A31" s="16" t="str">
        <f t="shared" si="0"/>
        <v>11004_10-5/372&lt;lv52&gt;s1</v>
      </c>
      <c r="B31" s="22">
        <v>11004</v>
      </c>
      <c r="C31" s="21">
        <v>10</v>
      </c>
      <c r="D31" s="2" t="str">
        <f t="shared" si="1"/>
        <v>11004_10</v>
      </c>
      <c r="E31" s="4" t="str">
        <f ca="1">VLOOKUP($B31,OFFSET([2]quests!$A$1,0,0,COUNTA([2]quests!$A:$A),MATCH(E$1,[2]quests!$1:$1,0)-MATCH($B$1,[2]quests!$1:$1,0)+1),MATCH(E$1,[2]quests!$1:$1,0)-MATCH($B$1,[2]quests!$1:$1,0)+1,FALSE)</f>
        <v>【木曜限定】 緑の素材</v>
      </c>
      <c r="F31" s="4" t="str">
        <f ca="1">VLOOKUP($D31,OFFSET([2]stages!$A$1,0,0,COUNTA([2]stages!$A:$A),MATCH(F$1,[2]stages!$2:$2,0)-MATCH($D$1,[2]stages!$2:$2,0)+1),MATCH(F$1,[2]stages!$2:$2,0)-MATCH($D$1,[2]stages!$2:$2,0)+1,FALSE)</f>
        <v>【超絶級】千風のグリフォン</v>
      </c>
      <c r="G31" s="21">
        <v>5</v>
      </c>
      <c r="H31" s="15" t="str">
        <f t="shared" si="2"/>
        <v>11004_10-5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100" t="s">
        <v>209</v>
      </c>
      <c r="L31" s="99">
        <v>372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バショー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green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Drop1S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7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52</v>
      </c>
      <c r="S31" s="25">
        <v>1.9</v>
      </c>
      <c r="T31" s="25">
        <v>1.2</v>
      </c>
      <c r="U31" s="5">
        <v>0</v>
      </c>
      <c r="V31" s="4" t="str">
        <f ca="1">VLOOKUP($W31,OFFSET(enemy_skill_sets!$B$1,0,0,COUNTA(enemy_skill_sets!$B:$B),MATCH(M$1,enemy_skill_sets!$1:$1,0)-MATCH($W$1,enemy_skill_sets!$1:$1,0)+2),MATCH(M$1,enemy_skill_sets!$1:$1,0)-MATCH($W$1,enemy_skill_sets!$1:$1,0)+2,FALSE)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31" s="4">
        <v>1122202</v>
      </c>
      <c r="X31" s="6">
        <v>0</v>
      </c>
      <c r="Y31" s="6">
        <v>100</v>
      </c>
      <c r="Z31" s="6">
        <v>0</v>
      </c>
      <c r="AA31" s="17">
        <v>1</v>
      </c>
      <c r="AB31" s="24">
        <f t="shared" si="3"/>
        <v>372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Drop1S</v>
      </c>
      <c r="AF31" s="7">
        <v>1</v>
      </c>
      <c r="AG31" s="24">
        <f t="shared" ca="1" si="4"/>
        <v>2</v>
      </c>
      <c r="AH31" s="8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9">
        <v>1</v>
      </c>
    </row>
    <row r="32" spans="1:40" ht="21" customHeight="1" x14ac:dyDescent="0.15">
      <c r="A32" s="16" t="str">
        <f t="shared" si="0"/>
        <v>11004_10-6/357&lt;lv50&gt;s2</v>
      </c>
      <c r="B32" s="22">
        <v>11004</v>
      </c>
      <c r="C32" s="21">
        <v>10</v>
      </c>
      <c r="D32" s="2" t="str">
        <f t="shared" si="1"/>
        <v>11004_10</v>
      </c>
      <c r="E32" s="4" t="str">
        <f ca="1">VLOOKUP($B32,OFFSET([2]quests!$A$1,0,0,COUNTA([2]quests!$A:$A),MATCH(E$1,[2]quests!$1:$1,0)-MATCH($B$1,[2]quests!$1:$1,0)+1),MATCH(E$1,[2]quests!$1:$1,0)-MATCH($B$1,[2]quests!$1:$1,0)+1,FALSE)</f>
        <v>【木曜限定】 緑の素材</v>
      </c>
      <c r="F32" s="4" t="str">
        <f ca="1">VLOOKUP($D32,OFFSET([2]stages!$A$1,0,0,COUNTA([2]stages!$A:$A),MATCH(F$1,[2]stages!$2:$2,0)-MATCH($D$1,[2]stages!$2:$2,0)+1),MATCH(F$1,[2]stages!$2:$2,0)-MATCH($D$1,[2]stages!$2:$2,0)+1,FALSE)</f>
        <v>【超絶級】千風のグリフォン</v>
      </c>
      <c r="G32" s="21">
        <v>6</v>
      </c>
      <c r="H32" s="15" t="str">
        <f t="shared" si="2"/>
        <v>11004_10-6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100" t="s">
        <v>209</v>
      </c>
      <c r="L32" s="99">
        <v>357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千風のグリフォン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green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7">
        <f ca="1">VLOOKUP($L32,OFFSET([3]enemies!$A$1,0,0,COUNTA([3]enemies!$A:$A),MATCH(Q$1,[3]enemies!$1:$1,0)-MATCH($L$1,[3]enemies!$1:$1,0)+1),MATCH(Q$1,[3]enemies!$1:$1,0)-MATCH($L$1,[3]enemies!$1:$1,0)+1,FALSE)</f>
        <v>20</v>
      </c>
      <c r="R32" s="5">
        <v>50</v>
      </c>
      <c r="S32" s="25">
        <v>99</v>
      </c>
      <c r="T32" s="25">
        <v>46</v>
      </c>
      <c r="U32" s="5">
        <v>0</v>
      </c>
      <c r="V32" s="4" t="str">
        <f ca="1">VLOOKUP($W32,OFFSET(enemy_skill_sets!$B$1,0,0,COUNTA(enemy_skill_sets!$B:$B),MATCH(M$1,enemy_skill_sets!$1:$1,0)-MATCH($W$1,enemy_skill_sets!$1:$1,0)+2),MATCH(M$1,enemy_skill_sets!$1:$1,0)-MATCH($W$1,enemy_skill_sets!$1:$1,0)+2,FALSE)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2" s="4">
        <v>1122205</v>
      </c>
      <c r="X32" s="6">
        <v>1</v>
      </c>
      <c r="Y32" s="6">
        <v>100</v>
      </c>
      <c r="Z32" s="6">
        <v>1</v>
      </c>
      <c r="AA32" s="17">
        <v>2</v>
      </c>
      <c r="AB32" s="24">
        <f t="shared" si="3"/>
        <v>357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千風のグリフォン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5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2" s="7">
        <v>1</v>
      </c>
      <c r="AG32" s="24">
        <f t="shared" ca="1" si="4"/>
        <v>5</v>
      </c>
      <c r="AH32" s="8">
        <v>100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9">
        <v>1</v>
      </c>
    </row>
    <row r="33" spans="1:40" ht="21" customHeight="1" x14ac:dyDescent="0.15">
      <c r="A33" s="16" t="str">
        <f t="shared" si="0"/>
        <v>11004_10-6/373&lt;lv52&gt;s2</v>
      </c>
      <c r="B33" s="22">
        <v>11004</v>
      </c>
      <c r="C33" s="21">
        <v>10</v>
      </c>
      <c r="D33" s="2" t="str">
        <f t="shared" si="1"/>
        <v>11004_10</v>
      </c>
      <c r="E33" s="4" t="str">
        <f ca="1">VLOOKUP($B33,OFFSET([2]quests!$A$1,0,0,COUNTA([2]quests!$A:$A),MATCH(E$1,[2]quests!$1:$1,0)-MATCH($B$1,[2]quests!$1:$1,0)+1),MATCH(E$1,[2]quests!$1:$1,0)-MATCH($B$1,[2]quests!$1:$1,0)+1,FALSE)</f>
        <v>【木曜限定】 緑の素材</v>
      </c>
      <c r="F33" s="4" t="str">
        <f ca="1">VLOOKUP($D33,OFFSET([2]stages!$A$1,0,0,COUNTA([2]stages!$A:$A),MATCH(F$1,[2]stages!$2:$2,0)-MATCH($D$1,[2]stages!$2:$2,0)+1),MATCH(F$1,[2]stages!$2:$2,0)-MATCH($D$1,[2]stages!$2:$2,0)+1,FALSE)</f>
        <v>【超絶級】千風のグリフォン</v>
      </c>
      <c r="G33" s="21">
        <v>6</v>
      </c>
      <c r="H33" s="15" t="str">
        <f t="shared" si="2"/>
        <v>11004_10-6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100" t="s">
        <v>209</v>
      </c>
      <c r="L33" s="99">
        <v>373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夢幻俳聖 バショー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green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Drop1S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7">
        <f ca="1">VLOOKUP($L33,OFFSET([3]enemies!$A$1,0,0,COUNTA([3]enemies!$A:$A),MATCH(Q$1,[3]enemies!$1:$1,0)-MATCH($L$1,[3]enemies!$1:$1,0)+1),MATCH(Q$1,[3]enemies!$1:$1,0)-MATCH($L$1,[3]enemies!$1:$1,0)+1,FALSE)</f>
        <v>20</v>
      </c>
      <c r="R33" s="5">
        <v>52</v>
      </c>
      <c r="S33" s="25">
        <v>1.9</v>
      </c>
      <c r="T33" s="25">
        <v>1.2</v>
      </c>
      <c r="U33" s="5">
        <v>0</v>
      </c>
      <c r="V33" s="4" t="str">
        <f ca="1">VLOOKUP($W33,OFFSET(enemy_skill_sets!$B$1,0,0,COUNTA(enemy_skill_sets!$B:$B),MATCH(M$1,enemy_skill_sets!$1:$1,0)-MATCH($W$1,enemy_skill_sets!$1:$1,0)+2),MATCH(M$1,enemy_skill_sets!$1:$1,0)-MATCH($W$1,enemy_skill_sets!$1:$1,0)+2,FALSE)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33" s="4">
        <v>1122202</v>
      </c>
      <c r="X33" s="6">
        <v>2</v>
      </c>
      <c r="Y33" s="6">
        <v>100</v>
      </c>
      <c r="Z33" s="6">
        <v>0</v>
      </c>
      <c r="AA33" s="17">
        <v>2</v>
      </c>
      <c r="AB33" s="24">
        <f t="shared" si="3"/>
        <v>373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夢幻俳聖 バショー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3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3" s="7">
        <v>1</v>
      </c>
      <c r="AG33" s="24">
        <f t="shared" ca="1" si="4"/>
        <v>3</v>
      </c>
      <c r="AH33" s="8">
        <v>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  <c r="AN33" s="69">
        <v>1</v>
      </c>
    </row>
    <row r="34" spans="1:40" ht="21" customHeight="1" x14ac:dyDescent="0.15">
      <c r="A34" s="16" t="str">
        <f>B34&amp;"_"&amp;C34&amp;"-"&amp;G34&amp;"/"&amp;L34&amp;"&lt;lv"&amp;R34&amp;"&gt;s"&amp;AA34</f>
        <v>11102_10-1/360&lt;lv52&gt;s2</v>
      </c>
      <c r="B34" s="22">
        <v>11102</v>
      </c>
      <c r="C34" s="21">
        <v>10</v>
      </c>
      <c r="D34" s="2" t="str">
        <f>B34&amp;"_"&amp;C34</f>
        <v>11102_10</v>
      </c>
      <c r="E34" s="4" t="str">
        <f ca="1">VLOOKUP($B34,OFFSET([2]quests!$A$1,0,0,COUNTA([2]quests!$A:$A),MATCH(E$1,[2]quests!$1:$1,0)-MATCH($B$1,[2]quests!$1:$1,0)+1),MATCH(E$1,[2]quests!$1:$1,0)-MATCH($B$1,[2]quests!$1:$1,0)+1,FALSE)</f>
        <v>【期間限定】 赤の素材</v>
      </c>
      <c r="F34" s="4" t="str">
        <f ca="1">VLOOKUP($D34,OFFSET([2]stages!$A$1,0,0,COUNTA([2]stages!$A:$A),MATCH(F$1,[2]stages!$2:$2,0)-MATCH($D$1,[2]stages!$2:$2,0)+1),MATCH(F$1,[2]stages!$2:$2,0)-MATCH($D$1,[2]stages!$2:$2,0)+1,FALSE)</f>
        <v>【超絶級】炎上のドードー</v>
      </c>
      <c r="G34" s="21">
        <v>1</v>
      </c>
      <c r="H34" s="15" t="str">
        <f>B34&amp;"_"&amp;C34&amp;"-"&amp;G34</f>
        <v>11102_10-1</v>
      </c>
      <c r="I34" s="4">
        <f ca="1">VLOOKUP($H34,OFFSET(floors!$A$1,0,0,COUNTA(floors!$A:$A),MATCH(I$1,floors!$1:$1,0)-MATCH($H$1,floors!$1:$1,0)+1),MATCH(I$1,floors!$1:$1,0)-MATCH($H$1,floors!$1:$1,0)+1,FALSE)</f>
        <v>30</v>
      </c>
      <c r="J34" s="4">
        <f ca="1">VLOOKUP($H34,OFFSET(floors!$A$1,0,0,COUNTA(floors!$A:$A),MATCH(J$1,floors!$1:$1,0)-MATCH($H$1,floors!$1:$1,0)+1),MATCH(J$1,floors!$1:$1,0)-MATCH($H$1,floors!$1:$1,0)+1,FALSE)</f>
        <v>45</v>
      </c>
      <c r="K34" s="100" t="s">
        <v>209</v>
      </c>
      <c r="L34" s="98">
        <v>360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ガンテツ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red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Drop1S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animal</v>
      </c>
      <c r="Q34" s="17">
        <f ca="1">VLOOKUP($L34,OFFSET([3]enemies!$A$1,0,0,COUNTA([3]enemies!$A:$A),MATCH(Q$1,[3]enemies!$1:$1,0)-MATCH($L$1,[3]enemies!$1:$1,0)+1),MATCH(Q$1,[3]enemies!$1:$1,0)-MATCH($L$1,[3]enemies!$1:$1,0)+1,FALSE)</f>
        <v>15</v>
      </c>
      <c r="R34" s="5">
        <v>52</v>
      </c>
      <c r="S34" s="25">
        <v>1.2</v>
      </c>
      <c r="T34" s="25">
        <v>1</v>
      </c>
      <c r="U34" s="5">
        <v>0</v>
      </c>
      <c r="V34" s="4" t="str">
        <f ca="1">VLOOKUP($W34,OFFSET(enemy_skill_sets!$B$1,0,0,COUNTA(enemy_skill_sets!$B:$B),MATCH(M$1,enemy_skill_sets!$1:$1,0)-MATCH($W$1,enemy_skill_sets!$1:$1,0)+2),MATCH(M$1,enemy_skill_sets!$1:$1,0)-MATCH($W$1,enemy_skill_sets!$1:$1,0)+2,FALSE)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34" s="4">
        <v>1122206</v>
      </c>
      <c r="X34" s="6">
        <v>1</v>
      </c>
      <c r="Y34" s="6">
        <v>100</v>
      </c>
      <c r="Z34" s="6">
        <v>0</v>
      </c>
      <c r="AA34" s="17">
        <v>2</v>
      </c>
      <c r="AB34" s="24">
        <f>L34</f>
        <v>360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2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Drop1S</v>
      </c>
      <c r="AF34" s="7">
        <v>1</v>
      </c>
      <c r="AG34" s="24">
        <f ca="1">AD34</f>
        <v>2</v>
      </c>
      <c r="AH34" s="8">
        <v>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  <c r="AN34" s="69">
        <v>1</v>
      </c>
    </row>
    <row r="35" spans="1:40" ht="21" customHeight="1" x14ac:dyDescent="0.15">
      <c r="A35" s="16" t="str">
        <f>B35&amp;"_"&amp;C35&amp;"-"&amp;G35&amp;"/"&amp;L35&amp;"&lt;lv"&amp;R35&amp;"&gt;s"&amp;AA35</f>
        <v>11102_10-1/370&lt;lv52&gt;s1</v>
      </c>
      <c r="B35" s="22">
        <v>11102</v>
      </c>
      <c r="C35" s="21">
        <v>10</v>
      </c>
      <c r="D35" s="2" t="str">
        <f>B35&amp;"_"&amp;C35</f>
        <v>11102_10</v>
      </c>
      <c r="E35" s="4" t="str">
        <f ca="1">VLOOKUP($B35,OFFSET([2]quests!$A$1,0,0,COUNTA([2]quests!$A:$A),MATCH(E$1,[2]quests!$1:$1,0)-MATCH($B$1,[2]quests!$1:$1,0)+1),MATCH(E$1,[2]quests!$1:$1,0)-MATCH($B$1,[2]quests!$1:$1,0)+1,FALSE)</f>
        <v>【期間限定】 赤の素材</v>
      </c>
      <c r="F35" s="4" t="str">
        <f ca="1">VLOOKUP($D35,OFFSET([2]stages!$A$1,0,0,COUNTA([2]stages!$A:$A),MATCH(F$1,[2]stages!$2:$2,0)-MATCH($D$1,[2]stages!$2:$2,0)+1),MATCH(F$1,[2]stages!$2:$2,0)-MATCH($D$1,[2]stages!$2:$2,0)+1,FALSE)</f>
        <v>【超絶級】炎上のドードー</v>
      </c>
      <c r="G35" s="21">
        <v>1</v>
      </c>
      <c r="H35" s="15" t="str">
        <f>B35&amp;"_"&amp;C35&amp;"-"&amp;G35</f>
        <v>11102_10-1</v>
      </c>
      <c r="I35" s="4">
        <f ca="1">VLOOKUP($H35,OFFSET(floors!$A$1,0,0,COUNTA(floors!$A:$A),MATCH(I$1,floors!$1:$1,0)-MATCH($H$1,floors!$1:$1,0)+1),MATCH(I$1,floors!$1:$1,0)-MATCH($H$1,floors!$1:$1,0)+1,FALSE)</f>
        <v>30</v>
      </c>
      <c r="J35" s="4">
        <f ca="1">VLOOKUP($H35,OFFSET(floors!$A$1,0,0,COUNTA(floors!$A:$A),MATCH(J$1,floors!$1:$1,0)-MATCH($H$1,floors!$1:$1,0)+1),MATCH(J$1,floors!$1:$1,0)-MATCH($H$1,floors!$1:$1,0)+1,FALSE)</f>
        <v>45</v>
      </c>
      <c r="K35" s="100" t="s">
        <v>209</v>
      </c>
      <c r="L35" s="98">
        <v>370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タイチ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red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Drop1S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17">
        <v>25</v>
      </c>
      <c r="R35" s="5">
        <v>52</v>
      </c>
      <c r="S35" s="25">
        <v>1.7</v>
      </c>
      <c r="T35" s="25">
        <v>1</v>
      </c>
      <c r="U35" s="5">
        <v>0</v>
      </c>
      <c r="V35" s="4" t="str">
        <f ca="1">VLOOKUP($W35,OFFSET(enemy_skill_sets!$B$1,0,0,COUNTA(enemy_skill_sets!$B:$B),MATCH(M$1,enemy_skill_sets!$1:$1,0)-MATCH($W$1,enemy_skill_sets!$1:$1,0)+2),MATCH(M$1,enemy_skill_sets!$1:$1,0)-MATCH($W$1,enemy_skill_sets!$1:$1,0)+2,FALSE)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35" s="4">
        <v>1122201</v>
      </c>
      <c r="X35" s="6">
        <v>1</v>
      </c>
      <c r="Y35" s="6">
        <v>100</v>
      </c>
      <c r="Z35" s="6">
        <v>0</v>
      </c>
      <c r="AA35" s="17">
        <v>1</v>
      </c>
      <c r="AB35" s="24">
        <f>L35</f>
        <v>370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2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Drop1S</v>
      </c>
      <c r="AF35" s="7">
        <v>1</v>
      </c>
      <c r="AG35" s="24">
        <f ca="1">AD35</f>
        <v>2</v>
      </c>
      <c r="AH35" s="8">
        <v>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  <c r="AN35" s="69">
        <v>1</v>
      </c>
    </row>
    <row r="36" spans="1:40" ht="21" customHeight="1" x14ac:dyDescent="0.15">
      <c r="A36" s="16" t="str">
        <f t="shared" ref="A36:A65" si="5">B36&amp;"_"&amp;C36&amp;"-"&amp;G36&amp;"/"&amp;L36&amp;"&lt;lv"&amp;R36&amp;"&gt;s"&amp;AA36</f>
        <v>11102_10-2/360&lt;lv52&gt;s2</v>
      </c>
      <c r="B36" s="22">
        <v>11102</v>
      </c>
      <c r="C36" s="21">
        <v>10</v>
      </c>
      <c r="D36" s="2" t="str">
        <f t="shared" ref="D36:D65" si="6">B36&amp;"_"&amp;C36</f>
        <v>11102_10</v>
      </c>
      <c r="E36" s="4" t="str">
        <f ca="1">VLOOKUP($B36,OFFSET([2]quests!$A$1,0,0,COUNTA([2]quests!$A:$A),MATCH(E$1,[2]quests!$1:$1,0)-MATCH($B$1,[2]quests!$1:$1,0)+1),MATCH(E$1,[2]quests!$1:$1,0)-MATCH($B$1,[2]quests!$1:$1,0)+1,FALSE)</f>
        <v>【期間限定】 赤の素材</v>
      </c>
      <c r="F36" s="4" t="str">
        <f ca="1">VLOOKUP($D36,OFFSET([2]stages!$A$1,0,0,COUNTA([2]stages!$A:$A),MATCH(F$1,[2]stages!$2:$2,0)-MATCH($D$1,[2]stages!$2:$2,0)+1),MATCH(F$1,[2]stages!$2:$2,0)-MATCH($D$1,[2]stages!$2:$2,0)+1,FALSE)</f>
        <v>【超絶級】炎上のドードー</v>
      </c>
      <c r="G36" s="21">
        <v>2</v>
      </c>
      <c r="H36" s="15" t="str">
        <f t="shared" ref="H36:H65" si="7">B36&amp;"_"&amp;C36&amp;"-"&amp;G36</f>
        <v>11102_10-2</v>
      </c>
      <c r="I36" s="4">
        <f ca="1">VLOOKUP($H36,OFFSET(floors!$A$1,0,0,COUNTA(floors!$A:$A),MATCH(I$1,floors!$1:$1,0)-MATCH($H$1,floors!$1:$1,0)+1),MATCH(I$1,floors!$1:$1,0)-MATCH($H$1,floors!$1:$1,0)+1,FALSE)</f>
        <v>45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100" t="s">
        <v>209</v>
      </c>
      <c r="L36" s="98">
        <v>360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ガンテツ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red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Drop1S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animal</v>
      </c>
      <c r="Q36" s="17">
        <f ca="1">VLOOKUP($L36,OFFSET([3]enemies!$A$1,0,0,COUNTA([3]enemies!$A:$A),MATCH(Q$1,[3]enemies!$1:$1,0)-MATCH($L$1,[3]enemies!$1:$1,0)+1),MATCH(Q$1,[3]enemies!$1:$1,0)-MATCH($L$1,[3]enemies!$1:$1,0)+1,FALSE)</f>
        <v>15</v>
      </c>
      <c r="R36" s="5">
        <v>52</v>
      </c>
      <c r="S36" s="25">
        <v>1.2</v>
      </c>
      <c r="T36" s="25">
        <v>1</v>
      </c>
      <c r="U36" s="5">
        <v>0</v>
      </c>
      <c r="V36" s="4" t="str">
        <f ca="1">VLOOKUP($W36,OFFSET(enemy_skill_sets!$B$1,0,0,COUNTA(enemy_skill_sets!$B:$B),MATCH(M$1,enemy_skill_sets!$1:$1,0)-MATCH($W$1,enemy_skill_sets!$1:$1,0)+2),MATCH(M$1,enemy_skill_sets!$1:$1,0)-MATCH($W$1,enemy_skill_sets!$1:$1,0)+2,FALSE)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36" s="4">
        <v>1122206</v>
      </c>
      <c r="X36" s="6">
        <v>2</v>
      </c>
      <c r="Y36" s="6">
        <v>100</v>
      </c>
      <c r="Z36" s="6">
        <v>0</v>
      </c>
      <c r="AA36" s="17">
        <v>2</v>
      </c>
      <c r="AB36" s="24">
        <f t="shared" ref="AB36:AB65" si="8">L36</f>
        <v>360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2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Drop1S</v>
      </c>
      <c r="AF36" s="7">
        <v>1</v>
      </c>
      <c r="AG36" s="24">
        <f t="shared" ref="AG36:AG65" ca="1" si="9">AD36</f>
        <v>2</v>
      </c>
      <c r="AH36" s="8">
        <v>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  <c r="AN36" s="69">
        <v>1</v>
      </c>
    </row>
    <row r="37" spans="1:40" ht="21" customHeight="1" x14ac:dyDescent="0.15">
      <c r="A37" s="16" t="str">
        <f t="shared" si="5"/>
        <v>11102_10-2/370&lt;lv52&gt;s1</v>
      </c>
      <c r="B37" s="22">
        <v>11102</v>
      </c>
      <c r="C37" s="21">
        <v>10</v>
      </c>
      <c r="D37" s="2" t="str">
        <f t="shared" si="6"/>
        <v>11102_10</v>
      </c>
      <c r="E37" s="4" t="str">
        <f ca="1">VLOOKUP($B37,OFFSET([2]quests!$A$1,0,0,COUNTA([2]quests!$A:$A),MATCH(E$1,[2]quests!$1:$1,0)-MATCH($B$1,[2]quests!$1:$1,0)+1),MATCH(E$1,[2]quests!$1:$1,0)-MATCH($B$1,[2]quests!$1:$1,0)+1,FALSE)</f>
        <v>【期間限定】 赤の素材</v>
      </c>
      <c r="F37" s="4" t="str">
        <f ca="1">VLOOKUP($D37,OFFSET([2]stages!$A$1,0,0,COUNTA([2]stages!$A:$A),MATCH(F$1,[2]stages!$2:$2,0)-MATCH($D$1,[2]stages!$2:$2,0)+1),MATCH(F$1,[2]stages!$2:$2,0)-MATCH($D$1,[2]stages!$2:$2,0)+1,FALSE)</f>
        <v>【超絶級】炎上のドードー</v>
      </c>
      <c r="G37" s="21">
        <v>2</v>
      </c>
      <c r="H37" s="15" t="str">
        <f t="shared" si="7"/>
        <v>11102_10-2</v>
      </c>
      <c r="I37" s="4">
        <f ca="1">VLOOKUP($H37,OFFSET(floors!$A$1,0,0,COUNTA(floors!$A:$A),MATCH(I$1,floors!$1:$1,0)-MATCH($H$1,floors!$1:$1,0)+1),MATCH(I$1,floors!$1:$1,0)-MATCH($H$1,floors!$1:$1,0)+1,FALSE)</f>
        <v>45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100" t="s">
        <v>209</v>
      </c>
      <c r="L37" s="98">
        <v>370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タイチ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red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Drop1S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7">
        <f ca="1">VLOOKUP($L37,OFFSET([3]enemies!$A$1,0,0,COUNTA([3]enemies!$A:$A),MATCH(Q$1,[3]enemies!$1:$1,0)-MATCH($L$1,[3]enemies!$1:$1,0)+1),MATCH(Q$1,[3]enemies!$1:$1,0)-MATCH($L$1,[3]enemies!$1:$1,0)+1,FALSE)</f>
        <v>15</v>
      </c>
      <c r="R37" s="5">
        <v>52</v>
      </c>
      <c r="S37" s="25">
        <v>1.7</v>
      </c>
      <c r="T37" s="25">
        <v>1</v>
      </c>
      <c r="U37" s="5">
        <v>0</v>
      </c>
      <c r="V37" s="4" t="str">
        <f ca="1">VLOOKUP($W37,OFFSET(enemy_skill_sets!$B$1,0,0,COUNTA(enemy_skill_sets!$B:$B),MATCH(M$1,enemy_skill_sets!$1:$1,0)-MATCH($W$1,enemy_skill_sets!$1:$1,0)+2),MATCH(M$1,enemy_skill_sets!$1:$1,0)-MATCH($W$1,enemy_skill_sets!$1:$1,0)+2,FALSE)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37" s="4">
        <v>1122201</v>
      </c>
      <c r="X37" s="6">
        <v>1</v>
      </c>
      <c r="Y37" s="6">
        <v>100</v>
      </c>
      <c r="Z37" s="6">
        <v>0</v>
      </c>
      <c r="AA37" s="17">
        <v>1</v>
      </c>
      <c r="AB37" s="24">
        <f t="shared" si="8"/>
        <v>370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2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Drop1S</v>
      </c>
      <c r="AF37" s="7">
        <v>1</v>
      </c>
      <c r="AG37" s="24">
        <f t="shared" ca="1" si="9"/>
        <v>2</v>
      </c>
      <c r="AH37" s="8">
        <v>0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  <c r="AN37" s="69">
        <v>1</v>
      </c>
    </row>
    <row r="38" spans="1:40" ht="21" customHeight="1" x14ac:dyDescent="0.15">
      <c r="A38" s="16" t="str">
        <f t="shared" ca="1" si="5"/>
        <v>11102_10-2/332&lt;lv2&gt;s1</v>
      </c>
      <c r="B38" s="22">
        <v>11102</v>
      </c>
      <c r="C38" s="21">
        <v>10</v>
      </c>
      <c r="D38" s="2" t="str">
        <f t="shared" si="6"/>
        <v>11102_10</v>
      </c>
      <c r="E38" s="4" t="str">
        <f ca="1">VLOOKUP($B38,OFFSET([2]quests!$A$1,0,0,COUNTA([2]quests!$A:$A),MATCH(E$1,[2]quests!$1:$1,0)-MATCH($B$1,[2]quests!$1:$1,0)+1),MATCH(E$1,[2]quests!$1:$1,0)-MATCH($B$1,[2]quests!$1:$1,0)+1,FALSE)</f>
        <v>【期間限定】 赤の素材</v>
      </c>
      <c r="F38" s="4" t="str">
        <f ca="1">VLOOKUP($D38,OFFSET([2]stages!$A$1,0,0,COUNTA([2]stages!$A:$A),MATCH(F$1,[2]stages!$2:$2,0)-MATCH($D$1,[2]stages!$2:$2,0)+1),MATCH(F$1,[2]stages!$2:$2,0)-MATCH($D$1,[2]stages!$2:$2,0)+1,FALSE)</f>
        <v>【超絶級】炎上のドードー</v>
      </c>
      <c r="G38" s="21">
        <v>2</v>
      </c>
      <c r="H38" s="15" t="str">
        <f t="shared" si="7"/>
        <v>11102_10-2</v>
      </c>
      <c r="I38" s="4">
        <f ca="1">VLOOKUP($H38,OFFSET(floors!$A$1,0,0,COUNTA(floors!$A:$A),MATCH(I$1,floors!$1:$1,0)-MATCH($H$1,floors!$1:$1,0)+1),MATCH(I$1,floors!$1:$1,0)-MATCH($H$1,floors!$1:$1,0)+1,FALSE)</f>
        <v>45</v>
      </c>
      <c r="J38" s="4">
        <f ca="1">VLOOKUP($H38,OFFSET(floors!$A$1,0,0,COUNTA(floors!$A:$A),MATCH(J$1,floors!$1:$1,0)-MATCH($H$1,floors!$1:$1,0)+1),MATCH(J$1,floors!$1:$1,0)-MATCH($H$1,floors!$1:$1,0)+1,FALSE)</f>
        <v>60</v>
      </c>
      <c r="K38" s="100" t="s">
        <v>209</v>
      </c>
      <c r="L38" s="98">
        <v>332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炎のメタルピヨピヨ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red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Material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7">
        <f ca="1">VLOOKUP($L38,OFFSET([3]enemies!$A$1,0,0,COUNTA([3]enemies!$A:$A),MATCH(Q$1,[3]enemies!$1:$1,0)-MATCH($L$1,[3]enemies!$1:$1,0)+1),MATCH(Q$1,[3]enemies!$1:$1,0)-MATCH($L$1,[3]enemies!$1:$1,0)+1,FALSE)</f>
        <v>15</v>
      </c>
      <c r="R38" s="5">
        <v>2</v>
      </c>
      <c r="S38" s="25">
        <v>2</v>
      </c>
      <c r="T38" s="25">
        <v>99</v>
      </c>
      <c r="U38" s="5">
        <v>0</v>
      </c>
      <c r="V38" s="4" t="str">
        <f ca="1">VLOOKUP($W38,OFFSET([5]enemy_skill_sets!$B$1,0,0,COUNTA([5]enemy_skill_sets!$B:$B),MATCH(M$1,[5]enemy_skill_sets!$1:$1,0)-MATCH($W$1,[5]enemy_skill_sets!$1:$1,0)+2),MATCH(M$1,[5]enemy_skill_sets!$1:$1,0)-MATCH($W$1,[5]enemy_skill_sets!$1:$1,0)+2,FALSE)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8" s="4">
        <f ca="1">VLOOKUP($L38,OFFSET([3]enemies!$A$1,0,0,COUNTA([3]enemies!$A:$A),MATCH(W$1,[3]enemies!$1:$1,0)-MATCH($L$1,[3]enemies!$1:$1,0)+1),MATCH(W$1,[3]enemies!$1:$1,0)-MATCH($L$1,[3]enemies!$1:$1,0)+1,FALSE)</f>
        <v>0</v>
      </c>
      <c r="X38" s="6">
        <v>0</v>
      </c>
      <c r="Y38" s="6">
        <v>20</v>
      </c>
      <c r="Z38" s="6">
        <v>0</v>
      </c>
      <c r="AA38" s="17">
        <f ca="1">VLOOKUP($L38,OFFSET([3]enemies!$A$1,0,0,COUNTA([3]enemies!$A:$A),MATCH(AA$1,[3]enemies!$1:$1,0)-MATCH($L$1,[3]enemies!$1:$1,0)+1),MATCH(AA$1,[3]enemies!$1:$1,0)-MATCH($L$1,[3]enemies!$1:$1,0)+1,FALSE)</f>
        <v>1</v>
      </c>
      <c r="AB38" s="24">
        <f t="shared" si="8"/>
        <v>332</v>
      </c>
      <c r="AC38" s="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38" s="4">
        <f ca="1">VLOOKUP($AB38,OFFSET([4]characters!$A$1,0,0,COUNTA([4]characters!$A:$A),MATCH(AD$1,[4]characters!$1:$1,0)-MATCH("character_id",[4]characters!$1:$1,0)+1),MATCH(AD$1,[4]characters!$1:$1,0)-MATCH("character_id",[4]characters!$1:$1,0)+1,FALSE)</f>
        <v>3</v>
      </c>
      <c r="AE38" s="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8" s="7">
        <v>1</v>
      </c>
      <c r="AG38" s="24">
        <f t="shared" ca="1" si="9"/>
        <v>3</v>
      </c>
      <c r="AH38" s="8">
        <v>10</v>
      </c>
      <c r="AI38" s="7">
        <v>0</v>
      </c>
      <c r="AJ38" s="7">
        <v>0</v>
      </c>
      <c r="AK38" s="7">
        <v>0</v>
      </c>
      <c r="AL38" s="7">
        <v>0</v>
      </c>
      <c r="AM38" s="7">
        <v>1</v>
      </c>
      <c r="AN38" s="69">
        <v>1</v>
      </c>
    </row>
    <row r="39" spans="1:40" ht="21" customHeight="1" x14ac:dyDescent="0.15">
      <c r="A39" s="16" t="str">
        <f t="shared" ca="1" si="5"/>
        <v>11102_10-2/333&lt;lv2&gt;s2</v>
      </c>
      <c r="B39" s="22">
        <v>11102</v>
      </c>
      <c r="C39" s="21">
        <v>10</v>
      </c>
      <c r="D39" s="2" t="str">
        <f t="shared" si="6"/>
        <v>11102_10</v>
      </c>
      <c r="E39" s="4" t="str">
        <f ca="1">VLOOKUP($B39,OFFSET([2]quests!$A$1,0,0,COUNTA([2]quests!$A:$A),MATCH(E$1,[2]quests!$1:$1,0)-MATCH($B$1,[2]quests!$1:$1,0)+1),MATCH(E$1,[2]quests!$1:$1,0)-MATCH($B$1,[2]quests!$1:$1,0)+1,FALSE)</f>
        <v>【期間限定】 赤の素材</v>
      </c>
      <c r="F39" s="4" t="str">
        <f ca="1">VLOOKUP($D39,OFFSET([2]stages!$A$1,0,0,COUNTA([2]stages!$A:$A),MATCH(F$1,[2]stages!$2:$2,0)-MATCH($D$1,[2]stages!$2:$2,0)+1),MATCH(F$1,[2]stages!$2:$2,0)-MATCH($D$1,[2]stages!$2:$2,0)+1,FALSE)</f>
        <v>【超絶級】炎上のドードー</v>
      </c>
      <c r="G39" s="21">
        <v>2</v>
      </c>
      <c r="H39" s="15" t="str">
        <f t="shared" si="7"/>
        <v>11102_10-2</v>
      </c>
      <c r="I39" s="4">
        <f ca="1">VLOOKUP($H39,OFFSET(floors!$A$1,0,0,COUNTA(floors!$A:$A),MATCH(I$1,floors!$1:$1,0)-MATCH($H$1,floors!$1:$1,0)+1),MATCH(I$1,floors!$1:$1,0)-MATCH($H$1,floors!$1:$1,0)+1,FALSE)</f>
        <v>45</v>
      </c>
      <c r="J39" s="4">
        <f ca="1">VLOOKUP($H39,OFFSET(floors!$A$1,0,0,COUNTA(floors!$A:$A),MATCH(J$1,floors!$1:$1,0)-MATCH($H$1,floors!$1:$1,0)+1),MATCH(J$1,floors!$1:$1,0)-MATCH($H$1,floors!$1:$1,0)+1,FALSE)</f>
        <v>60</v>
      </c>
      <c r="K39" s="100" t="s">
        <v>209</v>
      </c>
      <c r="L39" s="98">
        <v>333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炎のメタルチック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red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7">
        <f ca="1">VLOOKUP($L39,OFFSET([3]enemies!$A$1,0,0,COUNTA([3]enemies!$A:$A),MATCH(Q$1,[3]enemies!$1:$1,0)-MATCH($L$1,[3]enemies!$1:$1,0)+1),MATCH(Q$1,[3]enemies!$1:$1,0)-MATCH($L$1,[3]enemies!$1:$1,0)+1,FALSE)</f>
        <v>15</v>
      </c>
      <c r="R39" s="5">
        <v>2</v>
      </c>
      <c r="S39" s="25">
        <v>2</v>
      </c>
      <c r="T39" s="25">
        <v>99</v>
      </c>
      <c r="U39" s="5">
        <v>0</v>
      </c>
      <c r="V39" s="4" t="str">
        <f ca="1">VLOOKUP($W39,OFFSET([5]enemy_skill_sets!$B$1,0,0,COUNTA([5]enemy_skill_sets!$B:$B),MATCH(M$1,[5]enemy_skill_sets!$1:$1,0)-MATCH($W$1,[5]enemy_skill_sets!$1:$1,0)+2),MATCH(M$1,[5]enemy_skill_sets!$1:$1,0)-MATCH($W$1,[5]enemy_skill_sets!$1:$1,0)+2,FALSE)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9" s="4">
        <f ca="1">VLOOKUP($L39,OFFSET([3]enemies!$A$1,0,0,COUNTA([3]enemies!$A:$A),MATCH(W$1,[3]enemies!$1:$1,0)-MATCH($L$1,[3]enemies!$1:$1,0)+1),MATCH(W$1,[3]enemies!$1:$1,0)-MATCH($L$1,[3]enemies!$1:$1,0)+1,FALSE)</f>
        <v>0</v>
      </c>
      <c r="X39" s="6">
        <v>0</v>
      </c>
      <c r="Y39" s="6">
        <v>10</v>
      </c>
      <c r="Z39" s="6">
        <v>0</v>
      </c>
      <c r="AA39" s="17">
        <f ca="1">VLOOKUP($L39,OFFSET([3]enemies!$A$1,0,0,COUNTA([3]enemies!$A:$A),MATCH(AA$1,[3]enemies!$1:$1,0)-MATCH($L$1,[3]enemies!$1:$1,0)+1),MATCH(AA$1,[3]enemies!$1:$1,0)-MATCH($L$1,[3]enemies!$1:$1,0)+1,FALSE)</f>
        <v>2</v>
      </c>
      <c r="AB39" s="24">
        <f t="shared" si="8"/>
        <v>333</v>
      </c>
      <c r="AC39" s="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39" s="4">
        <f ca="1">VLOOKUP($AB39,OFFSET([4]characters!$A$1,0,0,COUNTA([4]characters!$A:$A),MATCH(AD$1,[4]characters!$1:$1,0)-MATCH("character_id",[4]characters!$1:$1,0)+1),MATCH(AD$1,[4]characters!$1:$1,0)-MATCH("character_id",[4]characters!$1:$1,0)+1,FALSE)</f>
        <v>4</v>
      </c>
      <c r="AE39" s="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9" s="7">
        <v>1</v>
      </c>
      <c r="AG39" s="24">
        <f t="shared" ca="1" si="9"/>
        <v>4</v>
      </c>
      <c r="AH39" s="8">
        <v>5</v>
      </c>
      <c r="AI39" s="7">
        <v>0</v>
      </c>
      <c r="AJ39" s="7">
        <v>0</v>
      </c>
      <c r="AK39" s="7">
        <v>0</v>
      </c>
      <c r="AL39" s="7">
        <v>0</v>
      </c>
      <c r="AM39" s="7">
        <v>1</v>
      </c>
      <c r="AN39" s="69">
        <v>1</v>
      </c>
    </row>
    <row r="40" spans="1:40" ht="21" customHeight="1" x14ac:dyDescent="0.15">
      <c r="A40" s="16" t="str">
        <f t="shared" ca="1" si="5"/>
        <v>11102_10-3/287&lt;lv60&gt;s2</v>
      </c>
      <c r="B40" s="22">
        <v>11102</v>
      </c>
      <c r="C40" s="21">
        <v>10</v>
      </c>
      <c r="D40" s="2" t="str">
        <f t="shared" si="6"/>
        <v>11102_10</v>
      </c>
      <c r="E40" s="4" t="str">
        <f ca="1">VLOOKUP($B40,OFFSET([2]quests!$A$1,0,0,COUNTA([2]quests!$A:$A),MATCH(E$1,[2]quests!$1:$1,0)-MATCH($B$1,[2]quests!$1:$1,0)+1),MATCH(E$1,[2]quests!$1:$1,0)-MATCH($B$1,[2]quests!$1:$1,0)+1,FALSE)</f>
        <v>【期間限定】 赤の素材</v>
      </c>
      <c r="F40" s="4" t="str">
        <f ca="1">VLOOKUP($D40,OFFSET([2]stages!$A$1,0,0,COUNTA([2]stages!$A:$A),MATCH(F$1,[2]stages!$2:$2,0)-MATCH($D$1,[2]stages!$2:$2,0)+1),MATCH(F$1,[2]stages!$2:$2,0)-MATCH($D$1,[2]stages!$2:$2,0)+1,FALSE)</f>
        <v>【超絶級】炎上のドードー</v>
      </c>
      <c r="G40" s="21">
        <v>3</v>
      </c>
      <c r="H40" s="15" t="str">
        <f t="shared" si="7"/>
        <v>11102_10-3</v>
      </c>
      <c r="I40" s="4">
        <f ca="1">VLOOKUP($H40,OFFSET(floors!$A$1,0,0,COUNTA(floors!$A:$A),MATCH(I$1,floors!$1:$1,0)-MATCH($H$1,floors!$1:$1,0)+1),MATCH(I$1,floors!$1:$1,0)-MATCH($H$1,floors!$1:$1,0)+1,FALSE)</f>
        <v>50</v>
      </c>
      <c r="J40" s="4">
        <f ca="1">VLOOKUP($H40,OFFSET(floors!$A$1,0,0,COUNTA(floors!$A:$A),MATCH(J$1,floors!$1:$1,0)-MATCH($H$1,floors!$1:$1,0)+1),MATCH(J$1,floors!$1:$1,0)-MATCH($H$1,floors!$1:$1,0)+1,FALSE)</f>
        <v>60</v>
      </c>
      <c r="K40" s="100" t="s">
        <v>209</v>
      </c>
      <c r="L40" s="98">
        <v>287</v>
      </c>
      <c r="M40" s="17" t="str">
        <f ca="1">VLOOKUP($L40,OFFSET([3]enemies!$A$1,0,0,COUNTA([3]enemies!$A:$A),MATCH(M$1,[3]enemies!$1:$1,0)-MATCH($L$1,[3]enemies!$1:$1,0)+1),MATCH(M$1,[3]enemies!$1:$1,0)-MATCH($L$1,[3]enemies!$1:$1,0)+1,FALSE)</f>
        <v>ヒュドラ・フルオープン</v>
      </c>
      <c r="N40" s="17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17" t="str">
        <f ca="1">VLOOKUP($L40,OFFSET([4]characters!$A$1,0,0,COUNTA([4]characters!$A:$A),MATCH(O$1,[4]characters!$1:$1,0)-MATCH($L$1,[4]characters!$1:$1,0)+1),MATCH(O$1,[4]characters!$1:$1,0)-MATCH($L$1,[4]characters!$1:$1,0)+1,FALSE)</f>
        <v>DropWizW</v>
      </c>
      <c r="P40" s="17" t="str">
        <f ca="1">VLOOKUP($L40,OFFSET([3]enemies!$A$1,0,0,COUNTA([3]enemies!$A:$A),MATCH(P$1,[3]enemies!$1:$1,0)-MATCH($L$1,[3]enemies!$1:$1,0)+1),MATCH(P$1,[3]enemies!$1:$1,0)-MATCH($L$1,[3]enemies!$1:$1,0)+1,FALSE)</f>
        <v>dragon</v>
      </c>
      <c r="Q40" s="17">
        <f ca="1">VLOOKUP($L40,OFFSET([3]enemies!$A$1,0,0,COUNTA([3]enemies!$A:$A),MATCH(Q$1,[3]enemies!$1:$1,0)-MATCH($L$1,[3]enemies!$1:$1,0)+1),MATCH(Q$1,[3]enemies!$1:$1,0)-MATCH($L$1,[3]enemies!$1:$1,0)+1,FALSE)</f>
        <v>30</v>
      </c>
      <c r="R40" s="5">
        <v>60</v>
      </c>
      <c r="S40" s="25">
        <v>1.6</v>
      </c>
      <c r="T40" s="25">
        <v>1</v>
      </c>
      <c r="U40" s="5">
        <v>0</v>
      </c>
      <c r="V40" s="4" t="str">
        <f ca="1">VLOOKUP($W40,OFFSET([5]enemy_skill_sets!$B$1,0,0,COUNTA([5]enemy_skill_sets!$B:$B),MATCH(M$1,[5]enemy_skill_sets!$1:$1,0)-MATCH($W$1,[5]enemy_skill_sets!$1:$1,0)+2),MATCH(M$1,[5]enemy_skill_sets!$1:$1,0)-MATCH($W$1,[5]enemy_skill_sets!$1:$1,0)+2,FALSE)</f>
        <v>発射準備開始</v>
      </c>
      <c r="W40" s="4">
        <f ca="1">VLOOKUP($L40,OFFSET([3]enemies!$A$1,0,0,COUNTA([3]enemies!$A:$A),MATCH(W$1,[3]enemies!$1:$1,0)-MATCH($L$1,[3]enemies!$1:$1,0)+1),MATCH(W$1,[3]enemies!$1:$1,0)-MATCH($L$1,[3]enemies!$1:$1,0)+1,FALSE)</f>
        <v>286</v>
      </c>
      <c r="X40" s="6">
        <v>0</v>
      </c>
      <c r="Y40" s="6">
        <v>80</v>
      </c>
      <c r="Z40" s="6">
        <v>1</v>
      </c>
      <c r="AA40" s="17">
        <f ca="1">VLOOKUP($L40,OFFSET([3]enemies!$A$1,0,0,COUNTA([3]enemies!$A:$A),MATCH(AA$1,[3]enemies!$1:$1,0)-MATCH($L$1,[3]enemies!$1:$1,0)+1),MATCH(AA$1,[3]enemies!$1:$1,0)-MATCH($L$1,[3]enemies!$1:$1,0)+1,FALSE)</f>
        <v>2</v>
      </c>
      <c r="AB40" s="24">
        <f t="shared" si="8"/>
        <v>287</v>
      </c>
      <c r="AC40" s="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ヒュドラ・フルオープン</v>
      </c>
      <c r="AD40" s="4">
        <f ca="1">VLOOKUP($AB40,OFFSET([4]characters!$A$1,0,0,COUNTA([4]characters!$A:$A),MATCH(AD$1,[4]characters!$1:$1,0)-MATCH("character_id",[4]characters!$1:$1,0)+1),MATCH(AD$1,[4]characters!$1:$1,0)-MATCH("character_id",[4]characters!$1:$1,0)+1,FALSE)</f>
        <v>4</v>
      </c>
      <c r="AE40" s="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40" s="7">
        <v>1</v>
      </c>
      <c r="AG40" s="24">
        <f t="shared" ca="1" si="9"/>
        <v>4</v>
      </c>
      <c r="AH40" s="8">
        <v>0</v>
      </c>
      <c r="AI40" s="7">
        <v>0</v>
      </c>
      <c r="AJ40" s="7">
        <v>0</v>
      </c>
      <c r="AK40" s="7">
        <v>0</v>
      </c>
      <c r="AL40" s="7">
        <v>0</v>
      </c>
      <c r="AM40" s="7">
        <v>1</v>
      </c>
      <c r="AN40" s="69">
        <v>1</v>
      </c>
    </row>
    <row r="41" spans="1:40" ht="21" customHeight="1" x14ac:dyDescent="0.15">
      <c r="A41" s="16" t="str">
        <f t="shared" ca="1" si="5"/>
        <v>11102_10-3/334&lt;lv2&gt;s3</v>
      </c>
      <c r="B41" s="22">
        <v>11102</v>
      </c>
      <c r="C41" s="21">
        <v>10</v>
      </c>
      <c r="D41" s="2" t="str">
        <f t="shared" si="6"/>
        <v>11102_10</v>
      </c>
      <c r="E41" s="4" t="str">
        <f ca="1">VLOOKUP($B41,OFFSET([2]quests!$A$1,0,0,COUNTA([2]quests!$A:$A),MATCH(E$1,[2]quests!$1:$1,0)-MATCH($B$1,[2]quests!$1:$1,0)+1),MATCH(E$1,[2]quests!$1:$1,0)-MATCH($B$1,[2]quests!$1:$1,0)+1,FALSE)</f>
        <v>【期間限定】 赤の素材</v>
      </c>
      <c r="F41" s="4" t="str">
        <f ca="1">VLOOKUP($D41,OFFSET([2]stages!$A$1,0,0,COUNTA([2]stages!$A:$A),MATCH(F$1,[2]stages!$2:$2,0)-MATCH($D$1,[2]stages!$2:$2,0)+1),MATCH(F$1,[2]stages!$2:$2,0)-MATCH($D$1,[2]stages!$2:$2,0)+1,FALSE)</f>
        <v>【超絶級】炎上のドードー</v>
      </c>
      <c r="G41" s="21">
        <v>3</v>
      </c>
      <c r="H41" s="15" t="str">
        <f t="shared" si="7"/>
        <v>11102_10-3</v>
      </c>
      <c r="I41" s="4">
        <f ca="1">VLOOKUP($H41,OFFSET(floors!$A$1,0,0,COUNTA(floors!$A:$A),MATCH(I$1,floors!$1:$1,0)-MATCH($H$1,floors!$1:$1,0)+1),MATCH(I$1,floors!$1:$1,0)-MATCH($H$1,floors!$1:$1,0)+1,FALSE)</f>
        <v>50</v>
      </c>
      <c r="J41" s="4">
        <f ca="1">VLOOKUP($H41,OFFSET(floors!$A$1,0,0,COUNTA(floors!$A:$A),MATCH(J$1,floors!$1:$1,0)-MATCH($H$1,floors!$1:$1,0)+1),MATCH(J$1,floors!$1:$1,0)-MATCH($H$1,floors!$1:$1,0)+1,FALSE)</f>
        <v>60</v>
      </c>
      <c r="K41" s="100" t="s">
        <v>209</v>
      </c>
      <c r="L41" s="98">
        <v>334</v>
      </c>
      <c r="M41" s="17" t="str">
        <f ca="1">VLOOKUP($L41,OFFSET([3]enemies!$A$1,0,0,COUNTA([3]enemies!$A:$A),MATCH(M$1,[3]enemies!$1:$1,0)-MATCH($L$1,[3]enemies!$1:$1,0)+1),MATCH(M$1,[3]enemies!$1:$1,0)-MATCH($L$1,[3]enemies!$1:$1,0)+1,FALSE)</f>
        <v>炎のメタルダック</v>
      </c>
      <c r="N41" s="17" t="str">
        <f ca="1">VLOOKUP($L41,OFFSET([3]enemies!$A$1,0,0,COUNTA([3]enemies!$A:$A),MATCH(N$1,[3]enemies!$1:$1,0)-MATCH($L$1,[3]enemies!$1:$1,0)+1),MATCH(N$1,[3]enemies!$1:$1,0)-MATCH($L$1,[3]enemies!$1:$1,0)+1,FALSE)</f>
        <v>red</v>
      </c>
      <c r="O41" s="17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17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7">
        <f ca="1">VLOOKUP($L41,OFFSET([3]enemies!$A$1,0,0,COUNTA([3]enemies!$A:$A),MATCH(Q$1,[3]enemies!$1:$1,0)-MATCH($L$1,[3]enemies!$1:$1,0)+1),MATCH(Q$1,[3]enemies!$1:$1,0)-MATCH($L$1,[3]enemies!$1:$1,0)+1,FALSE)</f>
        <v>20</v>
      </c>
      <c r="R41" s="5">
        <v>2</v>
      </c>
      <c r="S41" s="25">
        <v>2</v>
      </c>
      <c r="T41" s="25">
        <v>99</v>
      </c>
      <c r="U41" s="5">
        <v>0</v>
      </c>
      <c r="V41" s="4" t="str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1" s="4">
        <f ca="1">VLOOKUP($L41,OFFSET([3]enemies!$A$1,0,0,COUNTA([3]enemies!$A:$A),MATCH(W$1,[3]enemies!$1:$1,0)-MATCH($L$1,[3]enemies!$1:$1,0)+1),MATCH(W$1,[3]enemies!$1:$1,0)-MATCH($L$1,[3]enemies!$1:$1,0)+1,FALSE)</f>
        <v>0</v>
      </c>
      <c r="X41" s="6">
        <v>0</v>
      </c>
      <c r="Y41" s="6">
        <v>20</v>
      </c>
      <c r="Z41" s="6">
        <v>1</v>
      </c>
      <c r="AA41" s="17">
        <f ca="1">VLOOKUP($L41,OFFSET([3]enemies!$A$1,0,0,COUNTA([3]enemies!$A:$A),MATCH(AA$1,[3]enemies!$1:$1,0)-MATCH($L$1,[3]enemies!$1:$1,0)+1),MATCH(AA$1,[3]enemies!$1:$1,0)-MATCH($L$1,[3]enemies!$1:$1,0)+1,FALSE)</f>
        <v>3</v>
      </c>
      <c r="AB41" s="24">
        <f t="shared" si="8"/>
        <v>334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5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7">
        <v>1</v>
      </c>
      <c r="AG41" s="24">
        <f t="shared" ca="1" si="9"/>
        <v>5</v>
      </c>
      <c r="AH41" s="8">
        <v>5</v>
      </c>
      <c r="AI41" s="7">
        <v>0</v>
      </c>
      <c r="AJ41" s="7">
        <v>0</v>
      </c>
      <c r="AK41" s="7">
        <v>0</v>
      </c>
      <c r="AL41" s="7">
        <v>0</v>
      </c>
      <c r="AM41" s="7">
        <v>1</v>
      </c>
      <c r="AN41" s="69">
        <v>1</v>
      </c>
    </row>
    <row r="42" spans="1:40" ht="21" customHeight="1" x14ac:dyDescent="0.15">
      <c r="A42" s="16" t="str">
        <f t="shared" ca="1" si="5"/>
        <v>11102_10-3/332&lt;lv2&gt;s1</v>
      </c>
      <c r="B42" s="22">
        <v>11102</v>
      </c>
      <c r="C42" s="21">
        <v>10</v>
      </c>
      <c r="D42" s="2" t="str">
        <f t="shared" si="6"/>
        <v>11102_10</v>
      </c>
      <c r="E42" s="4" t="str">
        <f ca="1">VLOOKUP($B42,OFFSET([2]quests!$A$1,0,0,COUNTA([2]quests!$A:$A),MATCH(E$1,[2]quests!$1:$1,0)-MATCH($B$1,[2]quests!$1:$1,0)+1),MATCH(E$1,[2]quests!$1:$1,0)-MATCH($B$1,[2]quests!$1:$1,0)+1,FALSE)</f>
        <v>【期間限定】 赤の素材</v>
      </c>
      <c r="F42" s="4" t="str">
        <f ca="1">VLOOKUP($D42,OFFSET([2]stages!$A$1,0,0,COUNTA([2]stages!$A:$A),MATCH(F$1,[2]stages!$2:$2,0)-MATCH($D$1,[2]stages!$2:$2,0)+1),MATCH(F$1,[2]stages!$2:$2,0)-MATCH($D$1,[2]stages!$2:$2,0)+1,FALSE)</f>
        <v>【超絶級】炎上のドードー</v>
      </c>
      <c r="G42" s="21">
        <v>3</v>
      </c>
      <c r="H42" s="15" t="str">
        <f t="shared" si="7"/>
        <v>11102_10-3</v>
      </c>
      <c r="I42" s="4">
        <f ca="1">VLOOKUP($H42,OFFSET(floors!$A$1,0,0,COUNTA(floors!$A:$A),MATCH(I$1,floors!$1:$1,0)-MATCH($H$1,floors!$1:$1,0)+1),MATCH(I$1,floors!$1:$1,0)-MATCH($H$1,floors!$1:$1,0)+1,FALSE)</f>
        <v>50</v>
      </c>
      <c r="J42" s="4">
        <f ca="1">VLOOKUP($H42,OFFSET(floors!$A$1,0,0,COUNTA(floors!$A:$A),MATCH(J$1,floors!$1:$1,0)-MATCH($H$1,floors!$1:$1,0)+1),MATCH(J$1,floors!$1:$1,0)-MATCH($H$1,floors!$1:$1,0)+1,FALSE)</f>
        <v>60</v>
      </c>
      <c r="K42" s="100" t="s">
        <v>209</v>
      </c>
      <c r="L42" s="98">
        <v>332</v>
      </c>
      <c r="M42" s="17" t="str">
        <f ca="1">VLOOKUP($L42,OFFSET([3]enemies!$A$1,0,0,COUNTA([3]enemies!$A:$A),MATCH(M$1,[3]enemies!$1:$1,0)-MATCH($L$1,[3]enemies!$1:$1,0)+1),MATCH(M$1,[3]enemies!$1:$1,0)-MATCH($L$1,[3]enemies!$1:$1,0)+1,FALSE)</f>
        <v>炎のメタルピヨピヨ</v>
      </c>
      <c r="N42" s="17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17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17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7">
        <f ca="1">VLOOKUP($L42,OFFSET([3]enemies!$A$1,0,0,COUNTA([3]enemies!$A:$A),MATCH(Q$1,[3]enemies!$1:$1,0)-MATCH($L$1,[3]enemies!$1:$1,0)+1),MATCH(Q$1,[3]enemies!$1:$1,0)-MATCH($L$1,[3]enemies!$1:$1,0)+1,FALSE)</f>
        <v>15</v>
      </c>
      <c r="R42" s="5">
        <v>2</v>
      </c>
      <c r="S42" s="25">
        <v>2</v>
      </c>
      <c r="T42" s="25">
        <v>99</v>
      </c>
      <c r="U42" s="5">
        <v>0</v>
      </c>
      <c r="V42" s="4" t="str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2" s="4">
        <f ca="1">VLOOKUP($L42,OFFSET([3]enemies!$A$1,0,0,COUNTA([3]enemies!$A:$A),MATCH(W$1,[3]enemies!$1:$1,0)-MATCH($L$1,[3]enemies!$1:$1,0)+1),MATCH(W$1,[3]enemies!$1:$1,0)-MATCH($L$1,[3]enemies!$1:$1,0)+1,FALSE)</f>
        <v>0</v>
      </c>
      <c r="X42" s="6">
        <v>1</v>
      </c>
      <c r="Y42" s="6">
        <v>100</v>
      </c>
      <c r="Z42" s="6">
        <v>0</v>
      </c>
      <c r="AA42" s="17">
        <f ca="1">VLOOKUP($L42,OFFSET([3]enemies!$A$1,0,0,COUNTA([3]enemies!$A:$A),MATCH(AA$1,[3]enemies!$1:$1,0)-MATCH($L$1,[3]enemies!$1:$1,0)+1),MATCH(AA$1,[3]enemies!$1:$1,0)-MATCH($L$1,[3]enemies!$1:$1,0)+1,FALSE)</f>
        <v>1</v>
      </c>
      <c r="AB42" s="24">
        <f t="shared" si="8"/>
        <v>332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3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7">
        <v>1</v>
      </c>
      <c r="AG42" s="24">
        <f t="shared" ca="1" si="9"/>
        <v>3</v>
      </c>
      <c r="AH42" s="8">
        <v>20</v>
      </c>
      <c r="AI42" s="7">
        <v>0</v>
      </c>
      <c r="AJ42" s="7">
        <v>0</v>
      </c>
      <c r="AK42" s="7">
        <v>0</v>
      </c>
      <c r="AL42" s="7">
        <v>0</v>
      </c>
      <c r="AM42" s="7">
        <v>1</v>
      </c>
      <c r="AN42" s="69">
        <v>1</v>
      </c>
    </row>
    <row r="43" spans="1:40" ht="21" customHeight="1" x14ac:dyDescent="0.15">
      <c r="A43" s="16" t="str">
        <f t="shared" ca="1" si="5"/>
        <v>11102_10-3/333&lt;lv2&gt;s2</v>
      </c>
      <c r="B43" s="22">
        <v>11102</v>
      </c>
      <c r="C43" s="21">
        <v>10</v>
      </c>
      <c r="D43" s="2" t="str">
        <f t="shared" si="6"/>
        <v>11102_10</v>
      </c>
      <c r="E43" s="4" t="str">
        <f ca="1">VLOOKUP($B43,OFFSET([2]quests!$A$1,0,0,COUNTA([2]quests!$A:$A),MATCH(E$1,[2]quests!$1:$1,0)-MATCH($B$1,[2]quests!$1:$1,0)+1),MATCH(E$1,[2]quests!$1:$1,0)-MATCH($B$1,[2]quests!$1:$1,0)+1,FALSE)</f>
        <v>【期間限定】 赤の素材</v>
      </c>
      <c r="F43" s="4" t="str">
        <f ca="1">VLOOKUP($D43,OFFSET([2]stages!$A$1,0,0,COUNTA([2]stages!$A:$A),MATCH(F$1,[2]stages!$2:$2,0)-MATCH($D$1,[2]stages!$2:$2,0)+1),MATCH(F$1,[2]stages!$2:$2,0)-MATCH($D$1,[2]stages!$2:$2,0)+1,FALSE)</f>
        <v>【超絶級】炎上のドードー</v>
      </c>
      <c r="G43" s="21">
        <v>3</v>
      </c>
      <c r="H43" s="15" t="str">
        <f t="shared" si="7"/>
        <v>11102_10-3</v>
      </c>
      <c r="I43" s="4">
        <f ca="1">VLOOKUP($H43,OFFSET(floors!$A$1,0,0,COUNTA(floors!$A:$A),MATCH(I$1,floors!$1:$1,0)-MATCH($H$1,floors!$1:$1,0)+1),MATCH(I$1,floors!$1:$1,0)-MATCH($H$1,floors!$1:$1,0)+1,FALSE)</f>
        <v>50</v>
      </c>
      <c r="J43" s="4">
        <f ca="1">VLOOKUP($H43,OFFSET(floors!$A$1,0,0,COUNTA(floors!$A:$A),MATCH(J$1,floors!$1:$1,0)-MATCH($H$1,floors!$1:$1,0)+1),MATCH(J$1,floors!$1:$1,0)-MATCH($H$1,floors!$1:$1,0)+1,FALSE)</f>
        <v>60</v>
      </c>
      <c r="K43" s="100" t="s">
        <v>209</v>
      </c>
      <c r="L43" s="98">
        <v>333</v>
      </c>
      <c r="M43" s="17" t="str">
        <f ca="1">VLOOKUP($L43,OFFSET([3]enemies!$A$1,0,0,COUNTA([3]enemies!$A:$A),MATCH(M$1,[3]enemies!$1:$1,0)-MATCH($L$1,[3]enemies!$1:$1,0)+1),MATCH(M$1,[3]enemies!$1:$1,0)-MATCH($L$1,[3]enemies!$1:$1,0)+1,FALSE)</f>
        <v>炎のメタルチック</v>
      </c>
      <c r="N43" s="17" t="str">
        <f ca="1">VLOOKUP($L43,OFFSET([3]enemies!$A$1,0,0,COUNTA([3]enemies!$A:$A),MATCH(N$1,[3]enemies!$1:$1,0)-MATCH($L$1,[3]enemies!$1:$1,0)+1),MATCH(N$1,[3]enemies!$1:$1,0)-MATCH($L$1,[3]enemies!$1:$1,0)+1,FALSE)</f>
        <v>red</v>
      </c>
      <c r="O43" s="17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17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7">
        <f ca="1">VLOOKUP($L43,OFFSET([3]enemies!$A$1,0,0,COUNTA([3]enemies!$A:$A),MATCH(Q$1,[3]enemies!$1:$1,0)-MATCH($L$1,[3]enemies!$1:$1,0)+1),MATCH(Q$1,[3]enemies!$1:$1,0)-MATCH($L$1,[3]enemies!$1:$1,0)+1,FALSE)</f>
        <v>15</v>
      </c>
      <c r="R43" s="5">
        <v>2</v>
      </c>
      <c r="S43" s="25">
        <v>2</v>
      </c>
      <c r="T43" s="25">
        <v>99</v>
      </c>
      <c r="U43" s="5">
        <v>0</v>
      </c>
      <c r="V43" s="4" t="str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3" s="4">
        <f ca="1">VLOOKUP($L43,OFFSET([3]enemies!$A$1,0,0,COUNTA([3]enemies!$A:$A),MATCH(W$1,[3]enemies!$1:$1,0)-MATCH($L$1,[3]enemies!$1:$1,0)+1),MATCH(W$1,[3]enemies!$1:$1,0)-MATCH($L$1,[3]enemies!$1:$1,0)+1,FALSE)</f>
        <v>0</v>
      </c>
      <c r="X43" s="6">
        <v>1</v>
      </c>
      <c r="Y43" s="6">
        <v>100</v>
      </c>
      <c r="Z43" s="6">
        <v>0</v>
      </c>
      <c r="AA43" s="17">
        <f ca="1">VLOOKUP($L43,OFFSET([3]enemies!$A$1,0,0,COUNTA([3]enemies!$A:$A),MATCH(AA$1,[3]enemies!$1:$1,0)-MATCH($L$1,[3]enemies!$1:$1,0)+1),MATCH(AA$1,[3]enemies!$1:$1,0)-MATCH($L$1,[3]enemies!$1:$1,0)+1,FALSE)</f>
        <v>2</v>
      </c>
      <c r="AB43" s="24">
        <f t="shared" si="8"/>
        <v>333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4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7">
        <v>1</v>
      </c>
      <c r="AG43" s="24">
        <f t="shared" ca="1" si="9"/>
        <v>4</v>
      </c>
      <c r="AH43" s="8">
        <v>10</v>
      </c>
      <c r="AI43" s="7">
        <v>0</v>
      </c>
      <c r="AJ43" s="7">
        <v>0</v>
      </c>
      <c r="AK43" s="7">
        <v>0</v>
      </c>
      <c r="AL43" s="7">
        <v>0</v>
      </c>
      <c r="AM43" s="7">
        <v>1</v>
      </c>
      <c r="AN43" s="69">
        <v>1</v>
      </c>
    </row>
    <row r="44" spans="1:40" ht="21" customHeight="1" x14ac:dyDescent="0.15">
      <c r="A44" s="16" t="str">
        <f t="shared" si="5"/>
        <v>11102_10-4/360&lt;lv52&gt;s2</v>
      </c>
      <c r="B44" s="22">
        <v>11102</v>
      </c>
      <c r="C44" s="21">
        <v>10</v>
      </c>
      <c r="D44" s="2" t="str">
        <f t="shared" si="6"/>
        <v>11102_10</v>
      </c>
      <c r="E44" s="4" t="str">
        <f ca="1">VLOOKUP($B44,OFFSET([2]quests!$A$1,0,0,COUNTA([2]quests!$A:$A),MATCH(E$1,[2]quests!$1:$1,0)-MATCH($B$1,[2]quests!$1:$1,0)+1),MATCH(E$1,[2]quests!$1:$1,0)-MATCH($B$1,[2]quests!$1:$1,0)+1,FALSE)</f>
        <v>【期間限定】 赤の素材</v>
      </c>
      <c r="F44" s="4" t="str">
        <f ca="1">VLOOKUP($D44,OFFSET([2]stages!$A$1,0,0,COUNTA([2]stages!$A:$A),MATCH(F$1,[2]stages!$2:$2,0)-MATCH($D$1,[2]stages!$2:$2,0)+1),MATCH(F$1,[2]stages!$2:$2,0)-MATCH($D$1,[2]stages!$2:$2,0)+1,FALSE)</f>
        <v>【超絶級】炎上のドードー</v>
      </c>
      <c r="G44" s="21">
        <v>4</v>
      </c>
      <c r="H44" s="15" t="str">
        <f t="shared" si="7"/>
        <v>11102_10-4</v>
      </c>
      <c r="I44" s="4">
        <f ca="1">VLOOKUP($H44,OFFSET(floors!$A$1,0,0,COUNTA(floors!$A:$A),MATCH(I$1,floors!$1:$1,0)-MATCH($H$1,floors!$1:$1,0)+1),MATCH(I$1,floors!$1:$1,0)-MATCH($H$1,floors!$1:$1,0)+1,FALSE)</f>
        <v>45</v>
      </c>
      <c r="J44" s="4">
        <f ca="1">VLOOKUP($H44,OFFSET(floors!$A$1,0,0,COUNTA(floors!$A:$A),MATCH(J$1,floors!$1:$1,0)-MATCH($H$1,floors!$1:$1,0)+1),MATCH(J$1,floors!$1:$1,0)-MATCH($H$1,floors!$1:$1,0)+1,FALSE)</f>
        <v>60</v>
      </c>
      <c r="K44" s="100" t="s">
        <v>209</v>
      </c>
      <c r="L44" s="98">
        <v>360</v>
      </c>
      <c r="M44" s="17" t="str">
        <f ca="1">VLOOKUP($L44,OFFSET([3]enemies!$A$1,0,0,COUNTA([3]enemies!$A:$A),MATCH(M$1,[3]enemies!$1:$1,0)-MATCH($L$1,[3]enemies!$1:$1,0)+1),MATCH(M$1,[3]enemies!$1:$1,0)-MATCH($L$1,[3]enemies!$1:$1,0)+1,FALSE)</f>
        <v>ガンテツ</v>
      </c>
      <c r="N44" s="17" t="str">
        <f ca="1">VLOOKUP($L44,OFFSET([3]enemies!$A$1,0,0,COUNTA([3]enemies!$A:$A),MATCH(N$1,[3]enemies!$1:$1,0)-MATCH($L$1,[3]enemies!$1:$1,0)+1),MATCH(N$1,[3]enemies!$1:$1,0)-MATCH($L$1,[3]enemies!$1:$1,0)+1,FALSE)</f>
        <v>red</v>
      </c>
      <c r="O44" s="17" t="str">
        <f ca="1">VLOOKUP($L44,OFFSET([4]characters!$A$1,0,0,COUNTA([4]characters!$A:$A),MATCH(O$1,[4]characters!$1:$1,0)-MATCH($L$1,[4]characters!$1:$1,0)+1),MATCH(O$1,[4]characters!$1:$1,0)-MATCH($L$1,[4]characters!$1:$1,0)+1,FALSE)</f>
        <v>Drop1S</v>
      </c>
      <c r="P44" s="17" t="str">
        <f ca="1">VLOOKUP($L44,OFFSET([3]enemies!$A$1,0,0,COUNTA([3]enemies!$A:$A),MATCH(P$1,[3]enemies!$1:$1,0)-MATCH($L$1,[3]enemies!$1:$1,0)+1),MATCH(P$1,[3]enemies!$1:$1,0)-MATCH($L$1,[3]enemies!$1:$1,0)+1,FALSE)</f>
        <v>animal</v>
      </c>
      <c r="Q44" s="17">
        <f ca="1">VLOOKUP($L44,OFFSET([3]enemies!$A$1,0,0,COUNTA([3]enemies!$A:$A),MATCH(Q$1,[3]enemies!$1:$1,0)-MATCH($L$1,[3]enemies!$1:$1,0)+1),MATCH(Q$1,[3]enemies!$1:$1,0)-MATCH($L$1,[3]enemies!$1:$1,0)+1,FALSE)</f>
        <v>15</v>
      </c>
      <c r="R44" s="5">
        <v>52</v>
      </c>
      <c r="S44" s="25">
        <v>1.2</v>
      </c>
      <c r="T44" s="25">
        <v>1</v>
      </c>
      <c r="U44" s="5">
        <v>0</v>
      </c>
      <c r="V44" s="4" t="str">
        <f ca="1">VLOOKUP($W44,OFFSET(enemy_skill_sets!$B$1,0,0,COUNTA(enemy_skill_sets!$B:$B),MATCH(M$1,enemy_skill_sets!$1:$1,0)-MATCH($W$1,enemy_skill_sets!$1:$1,0)+2),MATCH(M$1,enemy_skill_sets!$1:$1,0)-MATCH($W$1,enemy_skill_sets!$1:$1,0)+2,FALSE)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44" s="4">
        <v>1122206</v>
      </c>
      <c r="X44" s="6">
        <v>2</v>
      </c>
      <c r="Y44" s="6">
        <v>100</v>
      </c>
      <c r="Z44" s="6">
        <v>0</v>
      </c>
      <c r="AA44" s="17">
        <v>2</v>
      </c>
      <c r="AB44" s="24">
        <f t="shared" si="8"/>
        <v>360</v>
      </c>
      <c r="AC44" s="4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44" s="4">
        <f ca="1">VLOOKUP($AB44,OFFSET([4]characters!$A$1,0,0,COUNTA([4]characters!$A:$A),MATCH(AD$1,[4]characters!$1:$1,0)-MATCH("character_id",[4]characters!$1:$1,0)+1),MATCH(AD$1,[4]characters!$1:$1,0)-MATCH("character_id",[4]characters!$1:$1,0)+1,FALSE)</f>
        <v>2</v>
      </c>
      <c r="AE44" s="4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4" s="7">
        <v>1</v>
      </c>
      <c r="AG44" s="24">
        <f t="shared" ca="1" si="9"/>
        <v>2</v>
      </c>
      <c r="AH44" s="8">
        <v>0</v>
      </c>
      <c r="AI44" s="7">
        <v>0</v>
      </c>
      <c r="AJ44" s="7">
        <v>0</v>
      </c>
      <c r="AK44" s="7">
        <v>0</v>
      </c>
      <c r="AL44" s="7">
        <v>0</v>
      </c>
      <c r="AM44" s="7">
        <v>1</v>
      </c>
      <c r="AN44" s="69">
        <v>1</v>
      </c>
    </row>
    <row r="45" spans="1:40" ht="21" customHeight="1" x14ac:dyDescent="0.15">
      <c r="A45" s="16" t="str">
        <f t="shared" si="5"/>
        <v>11102_10-4/370&lt;lv52&gt;s1</v>
      </c>
      <c r="B45" s="22">
        <v>11102</v>
      </c>
      <c r="C45" s="21">
        <v>10</v>
      </c>
      <c r="D45" s="2" t="str">
        <f t="shared" si="6"/>
        <v>11102_10</v>
      </c>
      <c r="E45" s="4" t="str">
        <f ca="1">VLOOKUP($B45,OFFSET([2]quests!$A$1,0,0,COUNTA([2]quests!$A:$A),MATCH(E$1,[2]quests!$1:$1,0)-MATCH($B$1,[2]quests!$1:$1,0)+1),MATCH(E$1,[2]quests!$1:$1,0)-MATCH($B$1,[2]quests!$1:$1,0)+1,FALSE)</f>
        <v>【期間限定】 赤の素材</v>
      </c>
      <c r="F45" s="4" t="str">
        <f ca="1">VLOOKUP($D45,OFFSET([2]stages!$A$1,0,0,COUNTA([2]stages!$A:$A),MATCH(F$1,[2]stages!$2:$2,0)-MATCH($D$1,[2]stages!$2:$2,0)+1),MATCH(F$1,[2]stages!$2:$2,0)-MATCH($D$1,[2]stages!$2:$2,0)+1,FALSE)</f>
        <v>【超絶級】炎上のドードー</v>
      </c>
      <c r="G45" s="21">
        <v>4</v>
      </c>
      <c r="H45" s="15" t="str">
        <f t="shared" si="7"/>
        <v>11102_10-4</v>
      </c>
      <c r="I45" s="4">
        <f ca="1">VLOOKUP($H45,OFFSET(floors!$A$1,0,0,COUNTA(floors!$A:$A),MATCH(I$1,floors!$1:$1,0)-MATCH($H$1,floors!$1:$1,0)+1),MATCH(I$1,floors!$1:$1,0)-MATCH($H$1,floors!$1:$1,0)+1,FALSE)</f>
        <v>45</v>
      </c>
      <c r="J45" s="4">
        <f ca="1">VLOOKUP($H45,OFFSET(floors!$A$1,0,0,COUNTA(floors!$A:$A),MATCH(J$1,floors!$1:$1,0)-MATCH($H$1,floors!$1:$1,0)+1),MATCH(J$1,floors!$1:$1,0)-MATCH($H$1,floors!$1:$1,0)+1,FALSE)</f>
        <v>60</v>
      </c>
      <c r="K45" s="100" t="s">
        <v>209</v>
      </c>
      <c r="L45" s="98">
        <v>370</v>
      </c>
      <c r="M45" s="17" t="str">
        <f ca="1">VLOOKUP($L45,OFFSET([3]enemies!$A$1,0,0,COUNTA([3]enemies!$A:$A),MATCH(M$1,[3]enemies!$1:$1,0)-MATCH($L$1,[3]enemies!$1:$1,0)+1),MATCH(M$1,[3]enemies!$1:$1,0)-MATCH($L$1,[3]enemies!$1:$1,0)+1,FALSE)</f>
        <v>タイチ</v>
      </c>
      <c r="N45" s="17" t="str">
        <f ca="1">VLOOKUP($L45,OFFSET([3]enemies!$A$1,0,0,COUNTA([3]enemies!$A:$A),MATCH(N$1,[3]enemies!$1:$1,0)-MATCH($L$1,[3]enemies!$1:$1,0)+1),MATCH(N$1,[3]enemies!$1:$1,0)-MATCH($L$1,[3]enemies!$1:$1,0)+1,FALSE)</f>
        <v>red</v>
      </c>
      <c r="O45" s="17" t="str">
        <f ca="1">VLOOKUP($L45,OFFSET([4]characters!$A$1,0,0,COUNTA([4]characters!$A:$A),MATCH(O$1,[4]characters!$1:$1,0)-MATCH($L$1,[4]characters!$1:$1,0)+1),MATCH(O$1,[4]characters!$1:$1,0)-MATCH($L$1,[4]characters!$1:$1,0)+1,FALSE)</f>
        <v>Drop1S</v>
      </c>
      <c r="P45" s="17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17">
        <f ca="1">VLOOKUP($L45,OFFSET([3]enemies!$A$1,0,0,COUNTA([3]enemies!$A:$A),MATCH(Q$1,[3]enemies!$1:$1,0)-MATCH($L$1,[3]enemies!$1:$1,0)+1),MATCH(Q$1,[3]enemies!$1:$1,0)-MATCH($L$1,[3]enemies!$1:$1,0)+1,FALSE)</f>
        <v>15</v>
      </c>
      <c r="R45" s="5">
        <v>52</v>
      </c>
      <c r="S45" s="25">
        <v>1.7</v>
      </c>
      <c r="T45" s="25">
        <v>1</v>
      </c>
      <c r="U45" s="5">
        <v>0</v>
      </c>
      <c r="V45" s="4" t="str">
        <f ca="1">VLOOKUP($W45,OFFSET(enemy_skill_sets!$B$1,0,0,COUNTA(enemy_skill_sets!$B:$B),MATCH(M$1,enemy_skill_sets!$1:$1,0)-MATCH($W$1,enemy_skill_sets!$1:$1,0)+2),MATCH(M$1,enemy_skill_sets!$1:$1,0)-MATCH($W$1,enemy_skill_sets!$1:$1,0)+2,FALSE)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45" s="4">
        <v>1122201</v>
      </c>
      <c r="X45" s="6">
        <v>1</v>
      </c>
      <c r="Y45" s="6">
        <v>100</v>
      </c>
      <c r="Z45" s="6">
        <v>0</v>
      </c>
      <c r="AA45" s="17">
        <v>1</v>
      </c>
      <c r="AB45" s="24">
        <f t="shared" si="8"/>
        <v>370</v>
      </c>
      <c r="AC45" s="4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45" s="4">
        <f ca="1">VLOOKUP($AB45,OFFSET([4]characters!$A$1,0,0,COUNTA([4]characters!$A:$A),MATCH(AD$1,[4]characters!$1:$1,0)-MATCH("character_id",[4]characters!$1:$1,0)+1),MATCH(AD$1,[4]characters!$1:$1,0)-MATCH("character_id",[4]characters!$1:$1,0)+1,FALSE)</f>
        <v>2</v>
      </c>
      <c r="AE45" s="4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Drop1S</v>
      </c>
      <c r="AF45" s="7">
        <v>1</v>
      </c>
      <c r="AG45" s="24">
        <f t="shared" ca="1" si="9"/>
        <v>2</v>
      </c>
      <c r="AH45" s="8">
        <v>0</v>
      </c>
      <c r="AI45" s="7">
        <v>0</v>
      </c>
      <c r="AJ45" s="7">
        <v>0</v>
      </c>
      <c r="AK45" s="7">
        <v>0</v>
      </c>
      <c r="AL45" s="7">
        <v>0</v>
      </c>
      <c r="AM45" s="7">
        <v>1</v>
      </c>
      <c r="AN45" s="69">
        <v>1</v>
      </c>
    </row>
    <row r="46" spans="1:40" ht="21" customHeight="1" x14ac:dyDescent="0.15">
      <c r="A46" s="16" t="str">
        <f t="shared" si="5"/>
        <v>11102_10-5/360&lt;lv52&gt;s2</v>
      </c>
      <c r="B46" s="22">
        <v>11102</v>
      </c>
      <c r="C46" s="21">
        <v>10</v>
      </c>
      <c r="D46" s="2" t="str">
        <f t="shared" si="6"/>
        <v>11102_10</v>
      </c>
      <c r="E46" s="4" t="str">
        <f ca="1">VLOOKUP($B46,OFFSET([2]quests!$A$1,0,0,COUNTA([2]quests!$A:$A),MATCH(E$1,[2]quests!$1:$1,0)-MATCH($B$1,[2]quests!$1:$1,0)+1),MATCH(E$1,[2]quests!$1:$1,0)-MATCH($B$1,[2]quests!$1:$1,0)+1,FALSE)</f>
        <v>【期間限定】 赤の素材</v>
      </c>
      <c r="F46" s="4" t="str">
        <f ca="1">VLOOKUP($D46,OFFSET([2]stages!$A$1,0,0,COUNTA([2]stages!$A:$A),MATCH(F$1,[2]stages!$2:$2,0)-MATCH($D$1,[2]stages!$2:$2,0)+1),MATCH(F$1,[2]stages!$2:$2,0)-MATCH($D$1,[2]stages!$2:$2,0)+1,FALSE)</f>
        <v>【超絶級】炎上のドードー</v>
      </c>
      <c r="G46" s="21">
        <v>5</v>
      </c>
      <c r="H46" s="15" t="str">
        <f t="shared" si="7"/>
        <v>11102_10-5</v>
      </c>
      <c r="I46" s="4">
        <f ca="1">VLOOKUP($H46,OFFSET(floors!$A$1,0,0,COUNTA(floors!$A:$A),MATCH(I$1,floors!$1:$1,0)-MATCH($H$1,floors!$1:$1,0)+1),MATCH(I$1,floors!$1:$1,0)-MATCH($H$1,floors!$1:$1,0)+1,FALSE)</f>
        <v>60</v>
      </c>
      <c r="J46" s="4">
        <f ca="1">VLOOKUP($H46,OFFSET(floors!$A$1,0,0,COUNTA(floors!$A:$A),MATCH(J$1,floors!$1:$1,0)-MATCH($H$1,floors!$1:$1,0)+1),MATCH(J$1,floors!$1:$1,0)-MATCH($H$1,floors!$1:$1,0)+1,FALSE)</f>
        <v>60</v>
      </c>
      <c r="K46" s="100" t="s">
        <v>209</v>
      </c>
      <c r="L46" s="98">
        <v>360</v>
      </c>
      <c r="M46" s="17" t="str">
        <f ca="1">VLOOKUP($L46,OFFSET([3]enemies!$A$1,0,0,COUNTA([3]enemies!$A:$A),MATCH(M$1,[3]enemies!$1:$1,0)-MATCH($L$1,[3]enemies!$1:$1,0)+1),MATCH(M$1,[3]enemies!$1:$1,0)-MATCH($L$1,[3]enemies!$1:$1,0)+1,FALSE)</f>
        <v>ガンテツ</v>
      </c>
      <c r="N46" s="17" t="str">
        <f ca="1">VLOOKUP($L46,OFFSET([3]enemies!$A$1,0,0,COUNTA([3]enemies!$A:$A),MATCH(N$1,[3]enemies!$1:$1,0)-MATCH($L$1,[3]enemies!$1:$1,0)+1),MATCH(N$1,[3]enemies!$1:$1,0)-MATCH($L$1,[3]enemies!$1:$1,0)+1,FALSE)</f>
        <v>red</v>
      </c>
      <c r="O46" s="17" t="str">
        <f ca="1">VLOOKUP($L46,OFFSET([4]characters!$A$1,0,0,COUNTA([4]characters!$A:$A),MATCH(O$1,[4]characters!$1:$1,0)-MATCH($L$1,[4]characters!$1:$1,0)+1),MATCH(O$1,[4]characters!$1:$1,0)-MATCH($L$1,[4]characters!$1:$1,0)+1,FALSE)</f>
        <v>Drop1S</v>
      </c>
      <c r="P46" s="17" t="str">
        <f ca="1">VLOOKUP($L46,OFFSET([3]enemies!$A$1,0,0,COUNTA([3]enemies!$A:$A),MATCH(P$1,[3]enemies!$1:$1,0)-MATCH($L$1,[3]enemies!$1:$1,0)+1),MATCH(P$1,[3]enemies!$1:$1,0)-MATCH($L$1,[3]enemies!$1:$1,0)+1,FALSE)</f>
        <v>animal</v>
      </c>
      <c r="Q46" s="17">
        <f ca="1">VLOOKUP($L46,OFFSET([3]enemies!$A$1,0,0,COUNTA([3]enemies!$A:$A),MATCH(Q$1,[3]enemies!$1:$1,0)-MATCH($L$1,[3]enemies!$1:$1,0)+1),MATCH(Q$1,[3]enemies!$1:$1,0)-MATCH($L$1,[3]enemies!$1:$1,0)+1,FALSE)</f>
        <v>15</v>
      </c>
      <c r="R46" s="5">
        <v>52</v>
      </c>
      <c r="S46" s="25">
        <v>1.2</v>
      </c>
      <c r="T46" s="25">
        <v>1</v>
      </c>
      <c r="U46" s="5">
        <v>0</v>
      </c>
      <c r="V46" s="4" t="str">
        <f ca="1">VLOOKUP($W46,OFFSET(enemy_skill_sets!$B$1,0,0,COUNTA(enemy_skill_sets!$B:$B),MATCH(M$1,enemy_skill_sets!$1:$1,0)-MATCH($W$1,enemy_skill_sets!$1:$1,0)+2),MATCH(M$1,enemy_skill_sets!$1:$1,0)-MATCH($W$1,enemy_skill_sets!$1:$1,0)+2,FALSE)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46" s="4">
        <v>1122206</v>
      </c>
      <c r="X46" s="6">
        <v>2</v>
      </c>
      <c r="Y46" s="6">
        <v>100</v>
      </c>
      <c r="Z46" s="6">
        <v>0</v>
      </c>
      <c r="AA46" s="17">
        <v>2</v>
      </c>
      <c r="AB46" s="24">
        <f t="shared" si="8"/>
        <v>360</v>
      </c>
      <c r="AC46" s="4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46" s="4">
        <f ca="1">VLOOKUP($AB46,OFFSET([4]characters!$A$1,0,0,COUNTA([4]characters!$A:$A),MATCH(AD$1,[4]characters!$1:$1,0)-MATCH("character_id",[4]characters!$1:$1,0)+1),MATCH(AD$1,[4]characters!$1:$1,0)-MATCH("character_id",[4]characters!$1:$1,0)+1,FALSE)</f>
        <v>2</v>
      </c>
      <c r="AE46" s="4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Drop1S</v>
      </c>
      <c r="AF46" s="7">
        <v>1</v>
      </c>
      <c r="AG46" s="24">
        <f t="shared" ca="1" si="9"/>
        <v>2</v>
      </c>
      <c r="AH46" s="8">
        <v>0</v>
      </c>
      <c r="AI46" s="7">
        <v>0</v>
      </c>
      <c r="AJ46" s="7">
        <v>0</v>
      </c>
      <c r="AK46" s="7">
        <v>0</v>
      </c>
      <c r="AL46" s="7">
        <v>0</v>
      </c>
      <c r="AM46" s="7">
        <v>1</v>
      </c>
      <c r="AN46" s="69">
        <v>1</v>
      </c>
    </row>
    <row r="47" spans="1:40" ht="21" customHeight="1" x14ac:dyDescent="0.15">
      <c r="A47" s="16" t="str">
        <f t="shared" si="5"/>
        <v>11102_10-5/370&lt;lv52&gt;s1</v>
      </c>
      <c r="B47" s="22">
        <v>11102</v>
      </c>
      <c r="C47" s="21">
        <v>10</v>
      </c>
      <c r="D47" s="2" t="str">
        <f t="shared" si="6"/>
        <v>11102_10</v>
      </c>
      <c r="E47" s="4" t="str">
        <f ca="1">VLOOKUP($B47,OFFSET([2]quests!$A$1,0,0,COUNTA([2]quests!$A:$A),MATCH(E$1,[2]quests!$1:$1,0)-MATCH($B$1,[2]quests!$1:$1,0)+1),MATCH(E$1,[2]quests!$1:$1,0)-MATCH($B$1,[2]quests!$1:$1,0)+1,FALSE)</f>
        <v>【期間限定】 赤の素材</v>
      </c>
      <c r="F47" s="4" t="str">
        <f ca="1">VLOOKUP($D47,OFFSET([2]stages!$A$1,0,0,COUNTA([2]stages!$A:$A),MATCH(F$1,[2]stages!$2:$2,0)-MATCH($D$1,[2]stages!$2:$2,0)+1),MATCH(F$1,[2]stages!$2:$2,0)-MATCH($D$1,[2]stages!$2:$2,0)+1,FALSE)</f>
        <v>【超絶級】炎上のドードー</v>
      </c>
      <c r="G47" s="21">
        <v>5</v>
      </c>
      <c r="H47" s="15" t="str">
        <f t="shared" si="7"/>
        <v>11102_10-5</v>
      </c>
      <c r="I47" s="4">
        <f ca="1">VLOOKUP($H47,OFFSET(floors!$A$1,0,0,COUNTA(floors!$A:$A),MATCH(I$1,floors!$1:$1,0)-MATCH($H$1,floors!$1:$1,0)+1),MATCH(I$1,floors!$1:$1,0)-MATCH($H$1,floors!$1:$1,0)+1,FALSE)</f>
        <v>60</v>
      </c>
      <c r="J47" s="4">
        <f ca="1">VLOOKUP($H47,OFFSET(floors!$A$1,0,0,COUNTA(floors!$A:$A),MATCH(J$1,floors!$1:$1,0)-MATCH($H$1,floors!$1:$1,0)+1),MATCH(J$1,floors!$1:$1,0)-MATCH($H$1,floors!$1:$1,0)+1,FALSE)</f>
        <v>60</v>
      </c>
      <c r="K47" s="100" t="s">
        <v>209</v>
      </c>
      <c r="L47" s="98">
        <v>370</v>
      </c>
      <c r="M47" s="17" t="str">
        <f ca="1">VLOOKUP($L47,OFFSET([3]enemies!$A$1,0,0,COUNTA([3]enemies!$A:$A),MATCH(M$1,[3]enemies!$1:$1,0)-MATCH($L$1,[3]enemies!$1:$1,0)+1),MATCH(M$1,[3]enemies!$1:$1,0)-MATCH($L$1,[3]enemies!$1:$1,0)+1,FALSE)</f>
        <v>タイチ</v>
      </c>
      <c r="N47" s="17" t="str">
        <f ca="1">VLOOKUP($L47,OFFSET([3]enemies!$A$1,0,0,COUNTA([3]enemies!$A:$A),MATCH(N$1,[3]enemies!$1:$1,0)-MATCH($L$1,[3]enemies!$1:$1,0)+1),MATCH(N$1,[3]enemies!$1:$1,0)-MATCH($L$1,[3]enemies!$1:$1,0)+1,FALSE)</f>
        <v>red</v>
      </c>
      <c r="O47" s="17" t="str">
        <f ca="1">VLOOKUP($L47,OFFSET([4]characters!$A$1,0,0,COUNTA([4]characters!$A:$A),MATCH(O$1,[4]characters!$1:$1,0)-MATCH($L$1,[4]characters!$1:$1,0)+1),MATCH(O$1,[4]characters!$1:$1,0)-MATCH($L$1,[4]characters!$1:$1,0)+1,FALSE)</f>
        <v>Drop1S</v>
      </c>
      <c r="P47" s="17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17">
        <f ca="1">VLOOKUP($L47,OFFSET([3]enemies!$A$1,0,0,COUNTA([3]enemies!$A:$A),MATCH(Q$1,[3]enemies!$1:$1,0)-MATCH($L$1,[3]enemies!$1:$1,0)+1),MATCH(Q$1,[3]enemies!$1:$1,0)-MATCH($L$1,[3]enemies!$1:$1,0)+1,FALSE)</f>
        <v>15</v>
      </c>
      <c r="R47" s="5">
        <v>52</v>
      </c>
      <c r="S47" s="25">
        <v>1.7</v>
      </c>
      <c r="T47" s="25">
        <v>1</v>
      </c>
      <c r="U47" s="5">
        <v>0</v>
      </c>
      <c r="V47" s="4" t="str">
        <f ca="1">VLOOKUP($W47,OFFSET(enemy_skill_sets!$B$1,0,0,COUNTA(enemy_skill_sets!$B:$B),MATCH(M$1,enemy_skill_sets!$1:$1,0)-MATCH($W$1,enemy_skill_sets!$1:$1,0)+2),MATCH(M$1,enemy_skill_sets!$1:$1,0)-MATCH($W$1,enemy_skill_sets!$1:$1,0)+2,FALSE)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47" s="4">
        <v>1122201</v>
      </c>
      <c r="X47" s="6">
        <v>1</v>
      </c>
      <c r="Y47" s="6">
        <v>100</v>
      </c>
      <c r="Z47" s="6">
        <v>0</v>
      </c>
      <c r="AA47" s="17">
        <v>1</v>
      </c>
      <c r="AB47" s="24">
        <f t="shared" si="8"/>
        <v>370</v>
      </c>
      <c r="AC47" s="4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47" s="4">
        <f ca="1">VLOOKUP($AB47,OFFSET([4]characters!$A$1,0,0,COUNTA([4]characters!$A:$A),MATCH(AD$1,[4]characters!$1:$1,0)-MATCH("character_id",[4]characters!$1:$1,0)+1),MATCH(AD$1,[4]characters!$1:$1,0)-MATCH("character_id",[4]characters!$1:$1,0)+1,FALSE)</f>
        <v>2</v>
      </c>
      <c r="AE47" s="4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Drop1S</v>
      </c>
      <c r="AF47" s="7">
        <v>1</v>
      </c>
      <c r="AG47" s="24">
        <f t="shared" ca="1" si="9"/>
        <v>2</v>
      </c>
      <c r="AH47" s="8">
        <v>0</v>
      </c>
      <c r="AI47" s="7">
        <v>0</v>
      </c>
      <c r="AJ47" s="7">
        <v>0</v>
      </c>
      <c r="AK47" s="7">
        <v>0</v>
      </c>
      <c r="AL47" s="7">
        <v>0</v>
      </c>
      <c r="AM47" s="7">
        <v>1</v>
      </c>
      <c r="AN47" s="69">
        <v>1</v>
      </c>
    </row>
    <row r="48" spans="1:40" ht="21" customHeight="1" x14ac:dyDescent="0.15">
      <c r="A48" s="16" t="str">
        <f t="shared" si="5"/>
        <v>11102_10-6/356&lt;lv50&gt;s2</v>
      </c>
      <c r="B48" s="22">
        <v>11102</v>
      </c>
      <c r="C48" s="21">
        <v>10</v>
      </c>
      <c r="D48" s="2" t="str">
        <f t="shared" si="6"/>
        <v>11102_10</v>
      </c>
      <c r="E48" s="4" t="str">
        <f ca="1">VLOOKUP($B48,OFFSET([2]quests!$A$1,0,0,COUNTA([2]quests!$A:$A),MATCH(E$1,[2]quests!$1:$1,0)-MATCH($B$1,[2]quests!$1:$1,0)+1),MATCH(E$1,[2]quests!$1:$1,0)-MATCH($B$1,[2]quests!$1:$1,0)+1,FALSE)</f>
        <v>【期間限定】 赤の素材</v>
      </c>
      <c r="F48" s="4" t="str">
        <f ca="1">VLOOKUP($D48,OFFSET([2]stages!$A$1,0,0,COUNTA([2]stages!$A:$A),MATCH(F$1,[2]stages!$2:$2,0)-MATCH($D$1,[2]stages!$2:$2,0)+1),MATCH(F$1,[2]stages!$2:$2,0)-MATCH($D$1,[2]stages!$2:$2,0)+1,FALSE)</f>
        <v>【超絶級】炎上のドードー</v>
      </c>
      <c r="G48" s="21">
        <v>6</v>
      </c>
      <c r="H48" s="15" t="str">
        <f t="shared" si="7"/>
        <v>11102_10-6</v>
      </c>
      <c r="I48" s="4">
        <f ca="1">VLOOKUP($H48,OFFSET(floors!$A$1,0,0,COUNTA(floors!$A:$A),MATCH(I$1,floors!$1:$1,0)-MATCH($H$1,floors!$1:$1,0)+1),MATCH(I$1,floors!$1:$1,0)-MATCH($H$1,floors!$1:$1,0)+1,FALSE)</f>
        <v>60</v>
      </c>
      <c r="J48" s="4">
        <f ca="1">VLOOKUP($H48,OFFSET(floors!$A$1,0,0,COUNTA(floors!$A:$A),MATCH(J$1,floors!$1:$1,0)-MATCH($H$1,floors!$1:$1,0)+1),MATCH(J$1,floors!$1:$1,0)-MATCH($H$1,floors!$1:$1,0)+1,FALSE)</f>
        <v>60</v>
      </c>
      <c r="K48" s="100" t="s">
        <v>209</v>
      </c>
      <c r="L48" s="98">
        <v>356</v>
      </c>
      <c r="M48" s="17" t="str">
        <f ca="1">VLOOKUP($L48,OFFSET([3]enemies!$A$1,0,0,COUNTA([3]enemies!$A:$A),MATCH(M$1,[3]enemies!$1:$1,0)-MATCH($L$1,[3]enemies!$1:$1,0)+1),MATCH(M$1,[3]enemies!$1:$1,0)-MATCH($L$1,[3]enemies!$1:$1,0)+1,FALSE)</f>
        <v>炎上のドードー</v>
      </c>
      <c r="N48" s="17" t="str">
        <f ca="1">VLOOKUP($L48,OFFSET([3]enemies!$A$1,0,0,COUNTA([3]enemies!$A:$A),MATCH(N$1,[3]enemies!$1:$1,0)-MATCH($L$1,[3]enemies!$1:$1,0)+1),MATCH(N$1,[3]enemies!$1:$1,0)-MATCH($L$1,[3]enemies!$1:$1,0)+1,FALSE)</f>
        <v>red</v>
      </c>
      <c r="O48" s="17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17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7">
        <f ca="1">VLOOKUP($L48,OFFSET([3]enemies!$A$1,0,0,COUNTA([3]enemies!$A:$A),MATCH(Q$1,[3]enemies!$1:$1,0)-MATCH($L$1,[3]enemies!$1:$1,0)+1),MATCH(Q$1,[3]enemies!$1:$1,0)-MATCH($L$1,[3]enemies!$1:$1,0)+1,FALSE)</f>
        <v>20</v>
      </c>
      <c r="R48" s="5">
        <v>50</v>
      </c>
      <c r="S48" s="25">
        <v>99</v>
      </c>
      <c r="T48" s="25">
        <v>46</v>
      </c>
      <c r="U48" s="5">
        <v>0</v>
      </c>
      <c r="V48" s="4" t="str">
        <f ca="1">VLOOKUP($W48,OFFSET(enemy_skill_sets!$B$1,0,0,COUNTA(enemy_skill_sets!$B:$B),MATCH(M$1,enemy_skill_sets!$1:$1,0)-MATCH($W$1,enemy_skill_sets!$1:$1,0)+2),MATCH(M$1,enemy_skill_sets!$1:$1,0)-MATCH($W$1,enemy_skill_sets!$1:$1,0)+2,FALSE)</f>
        <v>全体攻撃</v>
      </c>
      <c r="W48" s="4">
        <v>1122204</v>
      </c>
      <c r="X48" s="6">
        <v>1</v>
      </c>
      <c r="Y48" s="6">
        <v>100</v>
      </c>
      <c r="Z48" s="6">
        <v>1</v>
      </c>
      <c r="AA48" s="17">
        <v>2</v>
      </c>
      <c r="AB48" s="24">
        <f t="shared" si="8"/>
        <v>356</v>
      </c>
      <c r="AC48" s="4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炎上のドードー</v>
      </c>
      <c r="AD48" s="4">
        <f ca="1">VLOOKUP($AB48,OFFSET([4]characters!$A$1,0,0,COUNTA([4]characters!$A:$A),MATCH(AD$1,[4]characters!$1:$1,0)-MATCH("character_id",[4]characters!$1:$1,0)+1),MATCH(AD$1,[4]characters!$1:$1,0)-MATCH("character_id",[4]characters!$1:$1,0)+1,FALSE)</f>
        <v>5</v>
      </c>
      <c r="AE48" s="4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7">
        <v>1</v>
      </c>
      <c r="AG48" s="24">
        <f t="shared" ca="1" si="9"/>
        <v>5</v>
      </c>
      <c r="AH48" s="8">
        <v>100</v>
      </c>
      <c r="AI48" s="7">
        <v>0</v>
      </c>
      <c r="AJ48" s="7">
        <v>0</v>
      </c>
      <c r="AK48" s="7">
        <v>0</v>
      </c>
      <c r="AL48" s="7">
        <v>0</v>
      </c>
      <c r="AM48" s="7">
        <v>1</v>
      </c>
      <c r="AN48" s="69">
        <v>1</v>
      </c>
    </row>
    <row r="49" spans="1:40" ht="21" customHeight="1" x14ac:dyDescent="0.15">
      <c r="A49" s="16" t="str">
        <f t="shared" ca="1" si="5"/>
        <v>11102_10-6/371&lt;lv52&gt;s2</v>
      </c>
      <c r="B49" s="22">
        <v>11102</v>
      </c>
      <c r="C49" s="21">
        <v>10</v>
      </c>
      <c r="D49" s="2" t="str">
        <f t="shared" si="6"/>
        <v>11102_10</v>
      </c>
      <c r="E49" s="4" t="str">
        <f ca="1">VLOOKUP($B49,OFFSET([2]quests!$A$1,0,0,COUNTA([2]quests!$A:$A),MATCH(E$1,[2]quests!$1:$1,0)-MATCH($B$1,[2]quests!$1:$1,0)+1),MATCH(E$1,[2]quests!$1:$1,0)-MATCH($B$1,[2]quests!$1:$1,0)+1,FALSE)</f>
        <v>【期間限定】 赤の素材</v>
      </c>
      <c r="F49" s="4" t="str">
        <f ca="1">VLOOKUP($D49,OFFSET([2]stages!$A$1,0,0,COUNTA([2]stages!$A:$A),MATCH(F$1,[2]stages!$2:$2,0)-MATCH($D$1,[2]stages!$2:$2,0)+1),MATCH(F$1,[2]stages!$2:$2,0)-MATCH($D$1,[2]stages!$2:$2,0)+1,FALSE)</f>
        <v>【超絶級】炎上のドードー</v>
      </c>
      <c r="G49" s="21">
        <v>6</v>
      </c>
      <c r="H49" s="15" t="str">
        <f t="shared" si="7"/>
        <v>11102_10-6</v>
      </c>
      <c r="I49" s="4">
        <f ca="1">VLOOKUP($H49,OFFSET(floors!$A$1,0,0,COUNTA(floors!$A:$A),MATCH(I$1,floors!$1:$1,0)-MATCH($H$1,floors!$1:$1,0)+1),MATCH(I$1,floors!$1:$1,0)-MATCH($H$1,floors!$1:$1,0)+1,FALSE)</f>
        <v>60</v>
      </c>
      <c r="J49" s="4">
        <f ca="1">VLOOKUP($H49,OFFSET(floors!$A$1,0,0,COUNTA(floors!$A:$A),MATCH(J$1,floors!$1:$1,0)-MATCH($H$1,floors!$1:$1,0)+1),MATCH(J$1,floors!$1:$1,0)-MATCH($H$1,floors!$1:$1,0)+1,FALSE)</f>
        <v>60</v>
      </c>
      <c r="K49" s="100" t="s">
        <v>209</v>
      </c>
      <c r="L49" s="98">
        <v>371</v>
      </c>
      <c r="M49" s="17" t="str">
        <f ca="1">VLOOKUP($L49,OFFSET([3]enemies!$A$1,0,0,COUNTA([3]enemies!$A:$A),MATCH(M$1,[3]enemies!$1:$1,0)-MATCH($L$1,[3]enemies!$1:$1,0)+1),MATCH(M$1,[3]enemies!$1:$1,0)-MATCH($L$1,[3]enemies!$1:$1,0)+1,FALSE)</f>
        <v>行灯達磨 タイチ</v>
      </c>
      <c r="N49" s="17" t="str">
        <f ca="1">VLOOKUP($L49,OFFSET([3]enemies!$A$1,0,0,COUNTA([3]enemies!$A:$A),MATCH(N$1,[3]enemies!$1:$1,0)-MATCH($L$1,[3]enemies!$1:$1,0)+1),MATCH(N$1,[3]enemies!$1:$1,0)-MATCH($L$1,[3]enemies!$1:$1,0)+1,FALSE)</f>
        <v>red</v>
      </c>
      <c r="O49" s="17" t="str">
        <f ca="1">VLOOKUP($L49,OFFSET([4]characters!$A$1,0,0,COUNTA([4]characters!$A:$A),MATCH(O$1,[4]characters!$1:$1,0)-MATCH($L$1,[4]characters!$1:$1,0)+1),MATCH(O$1,[4]characters!$1:$1,0)-MATCH($L$1,[4]characters!$1:$1,0)+1,FALSE)</f>
        <v>Drop1S</v>
      </c>
      <c r="P49" s="17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17">
        <f ca="1">VLOOKUP($L49,OFFSET([3]enemies!$A$1,0,0,COUNTA([3]enemies!$A:$A),MATCH(Q$1,[3]enemies!$1:$1,0)-MATCH($L$1,[3]enemies!$1:$1,0)+1),MATCH(Q$1,[3]enemies!$1:$1,0)-MATCH($L$1,[3]enemies!$1:$1,0)+1,FALSE)</f>
        <v>20</v>
      </c>
      <c r="R49" s="5">
        <v>52</v>
      </c>
      <c r="S49" s="25">
        <v>1.7</v>
      </c>
      <c r="T49" s="25">
        <v>1</v>
      </c>
      <c r="U49" s="5">
        <v>0</v>
      </c>
      <c r="V49" s="4" t="str">
        <f ca="1">VLOOKUP($W49,OFFSET(enemy_skill_sets!$B$1,0,0,COUNTA(enemy_skill_sets!$B:$B),MATCH(M$1,enemy_skill_sets!$1:$1,0)-MATCH($W$1,enemy_skill_sets!$1:$1,0)+2),MATCH(M$1,enemy_skill_sets!$1:$1,0)-MATCH($W$1,enemy_skill_sets!$1:$1,0)+2,FALSE)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49" s="4">
        <v>1122201</v>
      </c>
      <c r="X49" s="6">
        <v>2</v>
      </c>
      <c r="Y49" s="6">
        <v>100</v>
      </c>
      <c r="Z49" s="6">
        <v>0</v>
      </c>
      <c r="AA49" s="17">
        <f ca="1">VLOOKUP($L49,OFFSET([3]enemies!$A$1,0,0,COUNTA([3]enemies!$A:$A),MATCH(AA$1,[3]enemies!$1:$1,0)-MATCH($L$1,[3]enemies!$1:$1,0)+1),MATCH(AA$1,[3]enemies!$1:$1,0)-MATCH($L$1,[3]enemies!$1:$1,0)+1,FALSE)</f>
        <v>2</v>
      </c>
      <c r="AB49" s="24">
        <f t="shared" si="8"/>
        <v>371</v>
      </c>
      <c r="AC49" s="4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行灯達磨 タイチ</v>
      </c>
      <c r="AD49" s="4">
        <f ca="1">VLOOKUP($AB49,OFFSET([4]characters!$A$1,0,0,COUNTA([4]characters!$A:$A),MATCH(AD$1,[4]characters!$1:$1,0)-MATCH("character_id",[4]characters!$1:$1,0)+1),MATCH(AD$1,[4]characters!$1:$1,0)-MATCH("character_id",[4]characters!$1:$1,0)+1,FALSE)</f>
        <v>3</v>
      </c>
      <c r="AE49" s="4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Drop1S</v>
      </c>
      <c r="AF49" s="7">
        <v>1</v>
      </c>
      <c r="AG49" s="24">
        <f t="shared" ca="1" si="9"/>
        <v>3</v>
      </c>
      <c r="AH49" s="8">
        <v>0</v>
      </c>
      <c r="AI49" s="7">
        <v>0</v>
      </c>
      <c r="AJ49" s="7">
        <v>0</v>
      </c>
      <c r="AK49" s="7">
        <v>0</v>
      </c>
      <c r="AL49" s="7">
        <v>0</v>
      </c>
      <c r="AM49" s="7">
        <v>1</v>
      </c>
      <c r="AN49" s="69">
        <v>1</v>
      </c>
    </row>
    <row r="50" spans="1:40" ht="21" customHeight="1" x14ac:dyDescent="0.15">
      <c r="A50" s="16" t="str">
        <f t="shared" si="5"/>
        <v>11104_10-1/362&lt;lv52&gt;s2</v>
      </c>
      <c r="B50" s="22">
        <v>11104</v>
      </c>
      <c r="C50" s="21">
        <v>10</v>
      </c>
      <c r="D50" s="2" t="str">
        <f t="shared" si="6"/>
        <v>11104_10</v>
      </c>
      <c r="E50" s="4" t="str">
        <f ca="1">VLOOKUP($B50,OFFSET([2]quests!$A$1,0,0,COUNTA([2]quests!$A:$A),MATCH(E$1,[2]quests!$1:$1,0)-MATCH($B$1,[2]quests!$1:$1,0)+1),MATCH(E$1,[2]quests!$1:$1,0)-MATCH($B$1,[2]quests!$1:$1,0)+1,FALSE)</f>
        <v>【期間限定】 緑の素材</v>
      </c>
      <c r="F50" s="4" t="str">
        <f ca="1">VLOOKUP($D50,OFFSET([2]stages!$A$1,0,0,COUNTA([2]stages!$A:$A),MATCH(F$1,[2]stages!$2:$2,0)-MATCH($D$1,[2]stages!$2:$2,0)+1),MATCH(F$1,[2]stages!$2:$2,0)-MATCH($D$1,[2]stages!$2:$2,0)+1,FALSE)</f>
        <v>【超絶級】千風のグリフォン</v>
      </c>
      <c r="G50" s="21">
        <v>1</v>
      </c>
      <c r="H50" s="15" t="str">
        <f t="shared" si="7"/>
        <v>11104_10-1</v>
      </c>
      <c r="I50" s="4">
        <f ca="1">VLOOKUP($H50,OFFSET(floors!$A$1,0,0,COUNTA(floors!$A:$A),MATCH(I$1,floors!$1:$1,0)-MATCH($H$1,floors!$1:$1,0)+1),MATCH(I$1,floors!$1:$1,0)-MATCH($H$1,floors!$1:$1,0)+1,FALSE)</f>
        <v>30</v>
      </c>
      <c r="J50" s="4">
        <f ca="1">VLOOKUP($H50,OFFSET(floors!$A$1,0,0,COUNTA(floors!$A:$A),MATCH(J$1,floors!$1:$1,0)-MATCH($H$1,floors!$1:$1,0)+1),MATCH(J$1,floors!$1:$1,0)-MATCH($H$1,floors!$1:$1,0)+1,FALSE)</f>
        <v>45</v>
      </c>
      <c r="K50" s="100" t="s">
        <v>209</v>
      </c>
      <c r="L50" s="99">
        <v>362</v>
      </c>
      <c r="M50" s="17" t="str">
        <f ca="1">VLOOKUP($L50,OFFSET([3]enemies!$A$1,0,0,COUNTA([3]enemies!$A:$A),MATCH(M$1,[3]enemies!$1:$1,0)-MATCH($L$1,[3]enemies!$1:$1,0)+1),MATCH(M$1,[3]enemies!$1:$1,0)-MATCH($L$1,[3]enemies!$1:$1,0)+1,FALSE)</f>
        <v>ゆらら</v>
      </c>
      <c r="N50" s="17" t="str">
        <f ca="1">VLOOKUP($L50,OFFSET([3]enemies!$A$1,0,0,COUNTA([3]enemies!$A:$A),MATCH(N$1,[3]enemies!$1:$1,0)-MATCH($L$1,[3]enemies!$1:$1,0)+1),MATCH(N$1,[3]enemies!$1:$1,0)-MATCH($L$1,[3]enemies!$1:$1,0)+1,FALSE)</f>
        <v>green</v>
      </c>
      <c r="O50" s="17" t="str">
        <f ca="1">VLOOKUP($L50,OFFSET([4]characters!$A$1,0,0,COUNTA([4]characters!$A:$A),MATCH(O$1,[4]characters!$1:$1,0)-MATCH($L$1,[4]characters!$1:$1,0)+1),MATCH(O$1,[4]characters!$1:$1,0)-MATCH($L$1,[4]characters!$1:$1,0)+1,FALSE)</f>
        <v>Drop1S</v>
      </c>
      <c r="P50" s="17" t="str">
        <f ca="1">VLOOKUP($L50,OFFSET([3]enemies!$A$1,0,0,COUNTA([3]enemies!$A:$A),MATCH(P$1,[3]enemies!$1:$1,0)-MATCH($L$1,[3]enemies!$1:$1,0)+1),MATCH(P$1,[3]enemies!$1:$1,0)-MATCH($L$1,[3]enemies!$1:$1,0)+1,FALSE)</f>
        <v>animal</v>
      </c>
      <c r="Q50" s="17">
        <f ca="1">VLOOKUP($L50,OFFSET([3]enemies!$A$1,0,0,COUNTA([3]enemies!$A:$A),MATCH(Q$1,[3]enemies!$1:$1,0)-MATCH($L$1,[3]enemies!$1:$1,0)+1),MATCH(Q$1,[3]enemies!$1:$1,0)-MATCH($L$1,[3]enemies!$1:$1,0)+1,FALSE)</f>
        <v>15</v>
      </c>
      <c r="R50" s="5">
        <v>52</v>
      </c>
      <c r="S50" s="25">
        <v>1.8</v>
      </c>
      <c r="T50" s="25">
        <v>1.2</v>
      </c>
      <c r="U50" s="5">
        <v>0</v>
      </c>
      <c r="V50" s="4" t="str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50" s="4">
        <v>362</v>
      </c>
      <c r="X50" s="6">
        <v>0</v>
      </c>
      <c r="Y50" s="6">
        <v>100</v>
      </c>
      <c r="Z50" s="6">
        <v>0</v>
      </c>
      <c r="AA50" s="17">
        <v>2</v>
      </c>
      <c r="AB50" s="24">
        <f t="shared" si="8"/>
        <v>362</v>
      </c>
      <c r="AC50" s="4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50" s="4">
        <f ca="1">VLOOKUP($AB50,OFFSET([4]characters!$A$1,0,0,COUNTA([4]characters!$A:$A),MATCH(AD$1,[4]characters!$1:$1,0)-MATCH("character_id",[4]characters!$1:$1,0)+1),MATCH(AD$1,[4]characters!$1:$1,0)-MATCH("character_id",[4]characters!$1:$1,0)+1,FALSE)</f>
        <v>2</v>
      </c>
      <c r="AE50" s="4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Drop1S</v>
      </c>
      <c r="AF50" s="7">
        <v>1</v>
      </c>
      <c r="AG50" s="24">
        <f t="shared" ca="1" si="9"/>
        <v>2</v>
      </c>
      <c r="AH50" s="8">
        <v>0</v>
      </c>
      <c r="AI50" s="7">
        <v>0</v>
      </c>
      <c r="AJ50" s="7">
        <v>0</v>
      </c>
      <c r="AK50" s="7">
        <v>0</v>
      </c>
      <c r="AL50" s="7">
        <v>0</v>
      </c>
      <c r="AM50" s="7">
        <v>1</v>
      </c>
      <c r="AN50" s="69">
        <v>1</v>
      </c>
    </row>
    <row r="51" spans="1:40" ht="21" customHeight="1" x14ac:dyDescent="0.15">
      <c r="A51" s="16" t="str">
        <f t="shared" si="5"/>
        <v>11104_10-1/372&lt;lv52&gt;s1</v>
      </c>
      <c r="B51" s="22">
        <v>11104</v>
      </c>
      <c r="C51" s="21">
        <v>10</v>
      </c>
      <c r="D51" s="2" t="str">
        <f t="shared" si="6"/>
        <v>11104_10</v>
      </c>
      <c r="E51" s="4" t="str">
        <f ca="1">VLOOKUP($B51,OFFSET([2]quests!$A$1,0,0,COUNTA([2]quests!$A:$A),MATCH(E$1,[2]quests!$1:$1,0)-MATCH($B$1,[2]quests!$1:$1,0)+1),MATCH(E$1,[2]quests!$1:$1,0)-MATCH($B$1,[2]quests!$1:$1,0)+1,FALSE)</f>
        <v>【期間限定】 緑の素材</v>
      </c>
      <c r="F51" s="4" t="str">
        <f ca="1">VLOOKUP($D51,OFFSET([2]stages!$A$1,0,0,COUNTA([2]stages!$A:$A),MATCH(F$1,[2]stages!$2:$2,0)-MATCH($D$1,[2]stages!$2:$2,0)+1),MATCH(F$1,[2]stages!$2:$2,0)-MATCH($D$1,[2]stages!$2:$2,0)+1,FALSE)</f>
        <v>【超絶級】千風のグリフォン</v>
      </c>
      <c r="G51" s="21">
        <v>1</v>
      </c>
      <c r="H51" s="15" t="str">
        <f t="shared" si="7"/>
        <v>11104_10-1</v>
      </c>
      <c r="I51" s="4">
        <f ca="1">VLOOKUP($H51,OFFSET(floors!$A$1,0,0,COUNTA(floors!$A:$A),MATCH(I$1,floors!$1:$1,0)-MATCH($H$1,floors!$1:$1,0)+1),MATCH(I$1,floors!$1:$1,0)-MATCH($H$1,floors!$1:$1,0)+1,FALSE)</f>
        <v>30</v>
      </c>
      <c r="J51" s="4">
        <f ca="1">VLOOKUP($H51,OFFSET(floors!$A$1,0,0,COUNTA(floors!$A:$A),MATCH(J$1,floors!$1:$1,0)-MATCH($H$1,floors!$1:$1,0)+1),MATCH(J$1,floors!$1:$1,0)-MATCH($H$1,floors!$1:$1,0)+1,FALSE)</f>
        <v>45</v>
      </c>
      <c r="K51" s="100" t="s">
        <v>209</v>
      </c>
      <c r="L51" s="99">
        <v>372</v>
      </c>
      <c r="M51" s="17" t="str">
        <f ca="1">VLOOKUP($L51,OFFSET([3]enemies!$A$1,0,0,COUNTA([3]enemies!$A:$A),MATCH(M$1,[3]enemies!$1:$1,0)-MATCH($L$1,[3]enemies!$1:$1,0)+1),MATCH(M$1,[3]enemies!$1:$1,0)-MATCH($L$1,[3]enemies!$1:$1,0)+1,FALSE)</f>
        <v>バショー</v>
      </c>
      <c r="N51" s="17" t="str">
        <f ca="1">VLOOKUP($L51,OFFSET([3]enemies!$A$1,0,0,COUNTA([3]enemies!$A:$A),MATCH(N$1,[3]enemies!$1:$1,0)-MATCH($L$1,[3]enemies!$1:$1,0)+1),MATCH(N$1,[3]enemies!$1:$1,0)-MATCH($L$1,[3]enemies!$1:$1,0)+1,FALSE)</f>
        <v>green</v>
      </c>
      <c r="O51" s="17" t="str">
        <f ca="1">VLOOKUP($L51,OFFSET([4]characters!$A$1,0,0,COUNTA([4]characters!$A:$A),MATCH(O$1,[4]characters!$1:$1,0)-MATCH($L$1,[4]characters!$1:$1,0)+1),MATCH(O$1,[4]characters!$1:$1,0)-MATCH($L$1,[4]characters!$1:$1,0)+1,FALSE)</f>
        <v>Drop1S</v>
      </c>
      <c r="P51" s="17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17">
        <f ca="1">VLOOKUP($L51,OFFSET([3]enemies!$A$1,0,0,COUNTA([3]enemies!$A:$A),MATCH(Q$1,[3]enemies!$1:$1,0)-MATCH($L$1,[3]enemies!$1:$1,0)+1),MATCH(Q$1,[3]enemies!$1:$1,0)-MATCH($L$1,[3]enemies!$1:$1,0)+1,FALSE)</f>
        <v>15</v>
      </c>
      <c r="R51" s="5">
        <v>52</v>
      </c>
      <c r="S51" s="25">
        <v>1.9</v>
      </c>
      <c r="T51" s="25">
        <v>1.2</v>
      </c>
      <c r="U51" s="5">
        <v>0</v>
      </c>
      <c r="V51" s="4" t="str">
        <f ca="1">VLOOKUP($W51,OFFSET(enemy_skill_sets!$B$1,0,0,COUNTA(enemy_skill_sets!$B:$B),MATCH(M$1,enemy_skill_sets!$1:$1,0)-MATCH($W$1,enemy_skill_sets!$1:$1,0)+2),MATCH(M$1,enemy_skill_sets!$1:$1,0)-MATCH($W$1,enemy_skill_sets!$1:$1,0)+2,FALSE)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51" s="4">
        <v>1122202</v>
      </c>
      <c r="X51" s="6">
        <v>0</v>
      </c>
      <c r="Y51" s="6">
        <v>100</v>
      </c>
      <c r="Z51" s="6">
        <v>0</v>
      </c>
      <c r="AA51" s="17">
        <v>1</v>
      </c>
      <c r="AB51" s="24">
        <f t="shared" si="8"/>
        <v>372</v>
      </c>
      <c r="AC51" s="4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51" s="4">
        <f ca="1">VLOOKUP($AB51,OFFSET([4]characters!$A$1,0,0,COUNTA([4]characters!$A:$A),MATCH(AD$1,[4]characters!$1:$1,0)-MATCH("character_id",[4]characters!$1:$1,0)+1),MATCH(AD$1,[4]characters!$1:$1,0)-MATCH("character_id",[4]characters!$1:$1,0)+1,FALSE)</f>
        <v>2</v>
      </c>
      <c r="AE51" s="4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Drop1S</v>
      </c>
      <c r="AF51" s="7">
        <v>1</v>
      </c>
      <c r="AG51" s="24">
        <f t="shared" ca="1" si="9"/>
        <v>2</v>
      </c>
      <c r="AH51" s="8">
        <v>0</v>
      </c>
      <c r="AI51" s="7">
        <v>0</v>
      </c>
      <c r="AJ51" s="7">
        <v>0</v>
      </c>
      <c r="AK51" s="7">
        <v>0</v>
      </c>
      <c r="AL51" s="7">
        <v>0</v>
      </c>
      <c r="AM51" s="7">
        <v>1</v>
      </c>
      <c r="AN51" s="69">
        <v>1</v>
      </c>
    </row>
    <row r="52" spans="1:40" ht="21" customHeight="1" x14ac:dyDescent="0.15">
      <c r="A52" s="16" t="str">
        <f t="shared" si="5"/>
        <v>11104_10-2/362&lt;lv52&gt;s2</v>
      </c>
      <c r="B52" s="22">
        <v>11104</v>
      </c>
      <c r="C52" s="21">
        <v>10</v>
      </c>
      <c r="D52" s="2" t="str">
        <f t="shared" si="6"/>
        <v>11104_10</v>
      </c>
      <c r="E52" s="4" t="str">
        <f ca="1">VLOOKUP($B52,OFFSET([2]quests!$A$1,0,0,COUNTA([2]quests!$A:$A),MATCH(E$1,[2]quests!$1:$1,0)-MATCH($B$1,[2]quests!$1:$1,0)+1),MATCH(E$1,[2]quests!$1:$1,0)-MATCH($B$1,[2]quests!$1:$1,0)+1,FALSE)</f>
        <v>【期間限定】 緑の素材</v>
      </c>
      <c r="F52" s="4" t="str">
        <f ca="1">VLOOKUP($D52,OFFSET([2]stages!$A$1,0,0,COUNTA([2]stages!$A:$A),MATCH(F$1,[2]stages!$2:$2,0)-MATCH($D$1,[2]stages!$2:$2,0)+1),MATCH(F$1,[2]stages!$2:$2,0)-MATCH($D$1,[2]stages!$2:$2,0)+1,FALSE)</f>
        <v>【超絶級】千風のグリフォン</v>
      </c>
      <c r="G52" s="21">
        <v>2</v>
      </c>
      <c r="H52" s="15" t="str">
        <f t="shared" si="7"/>
        <v>11104_10-2</v>
      </c>
      <c r="I52" s="4">
        <f ca="1">VLOOKUP($H52,OFFSET(floors!$A$1,0,0,COUNTA(floors!$A:$A),MATCH(I$1,floors!$1:$1,0)-MATCH($H$1,floors!$1:$1,0)+1),MATCH(I$1,floors!$1:$1,0)-MATCH($H$1,floors!$1:$1,0)+1,FALSE)</f>
        <v>45</v>
      </c>
      <c r="J52" s="4">
        <f ca="1">VLOOKUP($H52,OFFSET(floors!$A$1,0,0,COUNTA(floors!$A:$A),MATCH(J$1,floors!$1:$1,0)-MATCH($H$1,floors!$1:$1,0)+1),MATCH(J$1,floors!$1:$1,0)-MATCH($H$1,floors!$1:$1,0)+1,FALSE)</f>
        <v>60</v>
      </c>
      <c r="K52" s="100" t="s">
        <v>209</v>
      </c>
      <c r="L52" s="99">
        <v>362</v>
      </c>
      <c r="M52" s="17" t="str">
        <f ca="1">VLOOKUP($L52,OFFSET([3]enemies!$A$1,0,0,COUNTA([3]enemies!$A:$A),MATCH(M$1,[3]enemies!$1:$1,0)-MATCH($L$1,[3]enemies!$1:$1,0)+1),MATCH(M$1,[3]enemies!$1:$1,0)-MATCH($L$1,[3]enemies!$1:$1,0)+1,FALSE)</f>
        <v>ゆらら</v>
      </c>
      <c r="N52" s="17" t="str">
        <f ca="1">VLOOKUP($L52,OFFSET([3]enemies!$A$1,0,0,COUNTA([3]enemies!$A:$A),MATCH(N$1,[3]enemies!$1:$1,0)-MATCH($L$1,[3]enemies!$1:$1,0)+1),MATCH(N$1,[3]enemies!$1:$1,0)-MATCH($L$1,[3]enemies!$1:$1,0)+1,FALSE)</f>
        <v>green</v>
      </c>
      <c r="O52" s="17" t="str">
        <f ca="1">VLOOKUP($L52,OFFSET([4]characters!$A$1,0,0,COUNTA([4]characters!$A:$A),MATCH(O$1,[4]characters!$1:$1,0)-MATCH($L$1,[4]characters!$1:$1,0)+1),MATCH(O$1,[4]characters!$1:$1,0)-MATCH($L$1,[4]characters!$1:$1,0)+1,FALSE)</f>
        <v>Drop1S</v>
      </c>
      <c r="P52" s="17" t="str">
        <f ca="1">VLOOKUP($L52,OFFSET([3]enemies!$A$1,0,0,COUNTA([3]enemies!$A:$A),MATCH(P$1,[3]enemies!$1:$1,0)-MATCH($L$1,[3]enemies!$1:$1,0)+1),MATCH(P$1,[3]enemies!$1:$1,0)-MATCH($L$1,[3]enemies!$1:$1,0)+1,FALSE)</f>
        <v>animal</v>
      </c>
      <c r="Q52" s="17">
        <f ca="1">VLOOKUP($L52,OFFSET([3]enemies!$A$1,0,0,COUNTA([3]enemies!$A:$A),MATCH(Q$1,[3]enemies!$1:$1,0)-MATCH($L$1,[3]enemies!$1:$1,0)+1),MATCH(Q$1,[3]enemies!$1:$1,0)-MATCH($L$1,[3]enemies!$1:$1,0)+1,FALSE)</f>
        <v>15</v>
      </c>
      <c r="R52" s="5">
        <v>52</v>
      </c>
      <c r="S52" s="25">
        <v>1.8</v>
      </c>
      <c r="T52" s="25">
        <v>1.2</v>
      </c>
      <c r="U52" s="5">
        <v>0</v>
      </c>
      <c r="V52" s="4" t="str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52" s="4">
        <v>362</v>
      </c>
      <c r="X52" s="6">
        <v>0</v>
      </c>
      <c r="Y52" s="6">
        <v>100</v>
      </c>
      <c r="Z52" s="6">
        <v>0</v>
      </c>
      <c r="AA52" s="17">
        <v>2</v>
      </c>
      <c r="AB52" s="24">
        <f t="shared" si="8"/>
        <v>362</v>
      </c>
      <c r="AC52" s="4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52" s="4">
        <f ca="1">VLOOKUP($AB52,OFFSET([4]characters!$A$1,0,0,COUNTA([4]characters!$A:$A),MATCH(AD$1,[4]characters!$1:$1,0)-MATCH("character_id",[4]characters!$1:$1,0)+1),MATCH(AD$1,[4]characters!$1:$1,0)-MATCH("character_id",[4]characters!$1:$1,0)+1,FALSE)</f>
        <v>2</v>
      </c>
      <c r="AE52" s="4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Drop1S</v>
      </c>
      <c r="AF52" s="7">
        <v>1</v>
      </c>
      <c r="AG52" s="24">
        <f t="shared" ca="1" si="9"/>
        <v>2</v>
      </c>
      <c r="AH52" s="8">
        <v>0</v>
      </c>
      <c r="AI52" s="7">
        <v>0</v>
      </c>
      <c r="AJ52" s="7">
        <v>0</v>
      </c>
      <c r="AK52" s="7">
        <v>0</v>
      </c>
      <c r="AL52" s="7">
        <v>0</v>
      </c>
      <c r="AM52" s="7">
        <v>1</v>
      </c>
      <c r="AN52" s="69">
        <v>1</v>
      </c>
    </row>
    <row r="53" spans="1:40" ht="21" customHeight="1" x14ac:dyDescent="0.15">
      <c r="A53" s="16" t="str">
        <f t="shared" si="5"/>
        <v>11104_10-2/372&lt;lv52&gt;s1</v>
      </c>
      <c r="B53" s="22">
        <v>11104</v>
      </c>
      <c r="C53" s="21">
        <v>10</v>
      </c>
      <c r="D53" s="2" t="str">
        <f t="shared" si="6"/>
        <v>11104_10</v>
      </c>
      <c r="E53" s="4" t="str">
        <f ca="1">VLOOKUP($B53,OFFSET([2]quests!$A$1,0,0,COUNTA([2]quests!$A:$A),MATCH(E$1,[2]quests!$1:$1,0)-MATCH($B$1,[2]quests!$1:$1,0)+1),MATCH(E$1,[2]quests!$1:$1,0)-MATCH($B$1,[2]quests!$1:$1,0)+1,FALSE)</f>
        <v>【期間限定】 緑の素材</v>
      </c>
      <c r="F53" s="4" t="str">
        <f ca="1">VLOOKUP($D53,OFFSET([2]stages!$A$1,0,0,COUNTA([2]stages!$A:$A),MATCH(F$1,[2]stages!$2:$2,0)-MATCH($D$1,[2]stages!$2:$2,0)+1),MATCH(F$1,[2]stages!$2:$2,0)-MATCH($D$1,[2]stages!$2:$2,0)+1,FALSE)</f>
        <v>【超絶級】千風のグリフォン</v>
      </c>
      <c r="G53" s="21">
        <v>2</v>
      </c>
      <c r="H53" s="15" t="str">
        <f t="shared" si="7"/>
        <v>11104_10-2</v>
      </c>
      <c r="I53" s="4">
        <f ca="1">VLOOKUP($H53,OFFSET(floors!$A$1,0,0,COUNTA(floors!$A:$A),MATCH(I$1,floors!$1:$1,0)-MATCH($H$1,floors!$1:$1,0)+1),MATCH(I$1,floors!$1:$1,0)-MATCH($H$1,floors!$1:$1,0)+1,FALSE)</f>
        <v>45</v>
      </c>
      <c r="J53" s="4">
        <f ca="1">VLOOKUP($H53,OFFSET(floors!$A$1,0,0,COUNTA(floors!$A:$A),MATCH(J$1,floors!$1:$1,0)-MATCH($H$1,floors!$1:$1,0)+1),MATCH(J$1,floors!$1:$1,0)-MATCH($H$1,floors!$1:$1,0)+1,FALSE)</f>
        <v>60</v>
      </c>
      <c r="K53" s="100" t="s">
        <v>209</v>
      </c>
      <c r="L53" s="99">
        <v>372</v>
      </c>
      <c r="M53" s="17" t="str">
        <f ca="1">VLOOKUP($L53,OFFSET([3]enemies!$A$1,0,0,COUNTA([3]enemies!$A:$A),MATCH(M$1,[3]enemies!$1:$1,0)-MATCH($L$1,[3]enemies!$1:$1,0)+1),MATCH(M$1,[3]enemies!$1:$1,0)-MATCH($L$1,[3]enemies!$1:$1,0)+1,FALSE)</f>
        <v>バショー</v>
      </c>
      <c r="N53" s="17" t="str">
        <f ca="1">VLOOKUP($L53,OFFSET([3]enemies!$A$1,0,0,COUNTA([3]enemies!$A:$A),MATCH(N$1,[3]enemies!$1:$1,0)-MATCH($L$1,[3]enemies!$1:$1,0)+1),MATCH(N$1,[3]enemies!$1:$1,0)-MATCH($L$1,[3]enemies!$1:$1,0)+1,FALSE)</f>
        <v>green</v>
      </c>
      <c r="O53" s="17" t="str">
        <f ca="1">VLOOKUP($L53,OFFSET([4]characters!$A$1,0,0,COUNTA([4]characters!$A:$A),MATCH(O$1,[4]characters!$1:$1,0)-MATCH($L$1,[4]characters!$1:$1,0)+1),MATCH(O$1,[4]characters!$1:$1,0)-MATCH($L$1,[4]characters!$1:$1,0)+1,FALSE)</f>
        <v>Drop1S</v>
      </c>
      <c r="P53" s="17" t="str">
        <f ca="1">VLOOKUP($L53,OFFSET([3]enemies!$A$1,0,0,COUNTA([3]enemies!$A:$A),MATCH(P$1,[3]enemies!$1:$1,0)-MATCH($L$1,[3]enemies!$1:$1,0)+1),MATCH(P$1,[3]enemies!$1:$1,0)-MATCH($L$1,[3]enemies!$1:$1,0)+1,FALSE)</f>
        <v>unknown</v>
      </c>
      <c r="Q53" s="17">
        <f ca="1">VLOOKUP($L53,OFFSET([3]enemies!$A$1,0,0,COUNTA([3]enemies!$A:$A),MATCH(Q$1,[3]enemies!$1:$1,0)-MATCH($L$1,[3]enemies!$1:$1,0)+1),MATCH(Q$1,[3]enemies!$1:$1,0)-MATCH($L$1,[3]enemies!$1:$1,0)+1,FALSE)</f>
        <v>15</v>
      </c>
      <c r="R53" s="5">
        <v>52</v>
      </c>
      <c r="S53" s="25">
        <v>1.9</v>
      </c>
      <c r="T53" s="25">
        <v>1.2</v>
      </c>
      <c r="U53" s="5">
        <v>0</v>
      </c>
      <c r="V53" s="4" t="str">
        <f ca="1">VLOOKUP($W53,OFFSET(enemy_skill_sets!$B$1,0,0,COUNTA(enemy_skill_sets!$B:$B),MATCH(M$1,enemy_skill_sets!$1:$1,0)-MATCH($W$1,enemy_skill_sets!$1:$1,0)+2),MATCH(M$1,enemy_skill_sets!$1:$1,0)-MATCH($W$1,enemy_skill_sets!$1:$1,0)+2,FALSE)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53" s="4">
        <v>1122202</v>
      </c>
      <c r="X53" s="6">
        <v>0</v>
      </c>
      <c r="Y53" s="6">
        <v>100</v>
      </c>
      <c r="Z53" s="6">
        <v>0</v>
      </c>
      <c r="AA53" s="17">
        <v>1</v>
      </c>
      <c r="AB53" s="24">
        <f t="shared" si="8"/>
        <v>372</v>
      </c>
      <c r="AC53" s="4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53" s="4">
        <f ca="1">VLOOKUP($AB53,OFFSET([4]characters!$A$1,0,0,COUNTA([4]characters!$A:$A),MATCH(AD$1,[4]characters!$1:$1,0)-MATCH("character_id",[4]characters!$1:$1,0)+1),MATCH(AD$1,[4]characters!$1:$1,0)-MATCH("character_id",[4]characters!$1:$1,0)+1,FALSE)</f>
        <v>2</v>
      </c>
      <c r="AE53" s="4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Drop1S</v>
      </c>
      <c r="AF53" s="7">
        <v>1</v>
      </c>
      <c r="AG53" s="24">
        <f t="shared" ca="1" si="9"/>
        <v>2</v>
      </c>
      <c r="AH53" s="8">
        <v>0</v>
      </c>
      <c r="AI53" s="7">
        <v>0</v>
      </c>
      <c r="AJ53" s="7">
        <v>0</v>
      </c>
      <c r="AK53" s="7">
        <v>0</v>
      </c>
      <c r="AL53" s="7">
        <v>0</v>
      </c>
      <c r="AM53" s="7">
        <v>1</v>
      </c>
      <c r="AN53" s="69">
        <v>1</v>
      </c>
    </row>
    <row r="54" spans="1:40" ht="21" customHeight="1" x14ac:dyDescent="0.15">
      <c r="A54" s="16" t="str">
        <f t="shared" ca="1" si="5"/>
        <v>11104_10-2/336&lt;lv2&gt;s1</v>
      </c>
      <c r="B54" s="22">
        <v>11104</v>
      </c>
      <c r="C54" s="21">
        <v>10</v>
      </c>
      <c r="D54" s="2" t="str">
        <f t="shared" si="6"/>
        <v>11104_10</v>
      </c>
      <c r="E54" s="4" t="str">
        <f ca="1">VLOOKUP($B54,OFFSET([2]quests!$A$1,0,0,COUNTA([2]quests!$A:$A),MATCH(E$1,[2]quests!$1:$1,0)-MATCH($B$1,[2]quests!$1:$1,0)+1),MATCH(E$1,[2]quests!$1:$1,0)-MATCH($B$1,[2]quests!$1:$1,0)+1,FALSE)</f>
        <v>【期間限定】 緑の素材</v>
      </c>
      <c r="F54" s="4" t="str">
        <f ca="1">VLOOKUP($D54,OFFSET([2]stages!$A$1,0,0,COUNTA([2]stages!$A:$A),MATCH(F$1,[2]stages!$2:$2,0)-MATCH($D$1,[2]stages!$2:$2,0)+1),MATCH(F$1,[2]stages!$2:$2,0)-MATCH($D$1,[2]stages!$2:$2,0)+1,FALSE)</f>
        <v>【超絶級】千風のグリフォン</v>
      </c>
      <c r="G54" s="21">
        <v>2</v>
      </c>
      <c r="H54" s="15" t="str">
        <f t="shared" si="7"/>
        <v>11104_10-2</v>
      </c>
      <c r="I54" s="4">
        <f ca="1">VLOOKUP($H54,OFFSET(floors!$A$1,0,0,COUNTA(floors!$A:$A),MATCH(I$1,floors!$1:$1,0)-MATCH($H$1,floors!$1:$1,0)+1),MATCH(I$1,floors!$1:$1,0)-MATCH($H$1,floors!$1:$1,0)+1,FALSE)</f>
        <v>45</v>
      </c>
      <c r="J54" s="4">
        <f ca="1">VLOOKUP($H54,OFFSET(floors!$A$1,0,0,COUNTA(floors!$A:$A),MATCH(J$1,floors!$1:$1,0)-MATCH($H$1,floors!$1:$1,0)+1),MATCH(J$1,floors!$1:$1,0)-MATCH($H$1,floors!$1:$1,0)+1,FALSE)</f>
        <v>60</v>
      </c>
      <c r="K54" s="100" t="s">
        <v>209</v>
      </c>
      <c r="L54" s="99">
        <v>336</v>
      </c>
      <c r="M54" s="17" t="str">
        <f ca="1">VLOOKUP($L54,OFFSET([3]enemies!$A$1,0,0,COUNTA([3]enemies!$A:$A),MATCH(M$1,[3]enemies!$1:$1,0)-MATCH($L$1,[3]enemies!$1:$1,0)+1),MATCH(M$1,[3]enemies!$1:$1,0)-MATCH($L$1,[3]enemies!$1:$1,0)+1,FALSE)</f>
        <v>森のメタルピヨピヨ</v>
      </c>
      <c r="N54" s="17" t="str">
        <f ca="1">VLOOKUP($L54,OFFSET([3]enemies!$A$1,0,0,COUNTA([3]enemies!$A:$A),MATCH(N$1,[3]enemies!$1:$1,0)-MATCH($L$1,[3]enemies!$1:$1,0)+1),MATCH(N$1,[3]enemies!$1:$1,0)-MATCH($L$1,[3]enemies!$1:$1,0)+1,FALSE)</f>
        <v>green</v>
      </c>
      <c r="O54" s="17" t="str">
        <f ca="1">VLOOKUP($L54,OFFSET([4]characters!$A$1,0,0,COUNTA([4]characters!$A:$A),MATCH(O$1,[4]characters!$1:$1,0)-MATCH($L$1,[4]characters!$1:$1,0)+1),MATCH(O$1,[4]characters!$1:$1,0)-MATCH($L$1,[4]characters!$1:$1,0)+1,FALSE)</f>
        <v>Material</v>
      </c>
      <c r="P54" s="17" t="str">
        <f ca="1">VLOOKUP($L54,OFFSET([3]enemies!$A$1,0,0,COUNTA([3]enemies!$A:$A),MATCH(P$1,[3]enemies!$1:$1,0)-MATCH($L$1,[3]enemies!$1:$1,0)+1),MATCH(P$1,[3]enemies!$1:$1,0)-MATCH($L$1,[3]enemies!$1:$1,0)+1,FALSE)</f>
        <v>unknown</v>
      </c>
      <c r="Q54" s="17">
        <f ca="1">VLOOKUP($L54,OFFSET([3]enemies!$A$1,0,0,COUNTA([3]enemies!$A:$A),MATCH(Q$1,[3]enemies!$1:$1,0)-MATCH($L$1,[3]enemies!$1:$1,0)+1),MATCH(Q$1,[3]enemies!$1:$1,0)-MATCH($L$1,[3]enemies!$1:$1,0)+1,FALSE)</f>
        <v>15</v>
      </c>
      <c r="R54" s="5">
        <v>2</v>
      </c>
      <c r="S54" s="25">
        <v>2</v>
      </c>
      <c r="T54" s="25">
        <v>99</v>
      </c>
      <c r="U54" s="5">
        <v>0</v>
      </c>
      <c r="V54" s="4" t="str">
        <f ca="1">VLOOKUP($W54,OFFSET([5]enemy_skill_sets!$B$1,0,0,COUNTA([5]enemy_skill_sets!$B:$B),MATCH(M$1,[5]enemy_skill_sets!$1:$1,0)-MATCH($W$1,[5]enemy_skill_sets!$1:$1,0)+2),MATCH(M$1,[5]enemy_skill_sets!$1:$1,0)-MATCH($W$1,[5]enemy_skill_sets!$1:$1,0)+2,FALSE)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4" s="4">
        <f ca="1">VLOOKUP($L54,OFFSET([3]enemies!$A$1,0,0,COUNTA([3]enemies!$A:$A),MATCH(W$1,[3]enemies!$1:$1,0)-MATCH($L$1,[3]enemies!$1:$1,0)+1),MATCH(W$1,[3]enemies!$1:$1,0)-MATCH($L$1,[3]enemies!$1:$1,0)+1,FALSE)</f>
        <v>0</v>
      </c>
      <c r="X54" s="6">
        <v>0</v>
      </c>
      <c r="Y54" s="6">
        <v>20</v>
      </c>
      <c r="Z54" s="6">
        <v>0</v>
      </c>
      <c r="AA54" s="17">
        <f ca="1">VLOOKUP($L54,OFFSET([3]enemies!$A$1,0,0,COUNTA([3]enemies!$A:$A),MATCH(AA$1,[3]enemies!$1:$1,0)-MATCH($L$1,[3]enemies!$1:$1,0)+1),MATCH(AA$1,[3]enemies!$1:$1,0)-MATCH($L$1,[3]enemies!$1:$1,0)+1,FALSE)</f>
        <v>1</v>
      </c>
      <c r="AB54" s="24">
        <f t="shared" si="8"/>
        <v>336</v>
      </c>
      <c r="AC54" s="4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54" s="4">
        <f ca="1">VLOOKUP($AB54,OFFSET([4]characters!$A$1,0,0,COUNTA([4]characters!$A:$A),MATCH(AD$1,[4]characters!$1:$1,0)-MATCH("character_id",[4]characters!$1:$1,0)+1),MATCH(AD$1,[4]characters!$1:$1,0)-MATCH("character_id",[4]characters!$1:$1,0)+1,FALSE)</f>
        <v>3</v>
      </c>
      <c r="AE54" s="4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4" s="7">
        <v>1</v>
      </c>
      <c r="AG54" s="24">
        <f t="shared" ca="1" si="9"/>
        <v>3</v>
      </c>
      <c r="AH54" s="8">
        <v>10</v>
      </c>
      <c r="AI54" s="7">
        <v>0</v>
      </c>
      <c r="AJ54" s="7">
        <v>0</v>
      </c>
      <c r="AK54" s="7">
        <v>0</v>
      </c>
      <c r="AL54" s="7">
        <v>0</v>
      </c>
      <c r="AM54" s="7">
        <v>1</v>
      </c>
      <c r="AN54" s="69">
        <v>1</v>
      </c>
    </row>
    <row r="55" spans="1:40" ht="21" customHeight="1" x14ac:dyDescent="0.15">
      <c r="A55" s="16" t="str">
        <f t="shared" ca="1" si="5"/>
        <v>11104_10-2/337&lt;lv2&gt;s2</v>
      </c>
      <c r="B55" s="22">
        <v>11104</v>
      </c>
      <c r="C55" s="21">
        <v>10</v>
      </c>
      <c r="D55" s="2" t="str">
        <f t="shared" si="6"/>
        <v>11104_10</v>
      </c>
      <c r="E55" s="4" t="str">
        <f ca="1">VLOOKUP($B55,OFFSET([2]quests!$A$1,0,0,COUNTA([2]quests!$A:$A),MATCH(E$1,[2]quests!$1:$1,0)-MATCH($B$1,[2]quests!$1:$1,0)+1),MATCH(E$1,[2]quests!$1:$1,0)-MATCH($B$1,[2]quests!$1:$1,0)+1,FALSE)</f>
        <v>【期間限定】 緑の素材</v>
      </c>
      <c r="F55" s="4" t="str">
        <f ca="1">VLOOKUP($D55,OFFSET([2]stages!$A$1,0,0,COUNTA([2]stages!$A:$A),MATCH(F$1,[2]stages!$2:$2,0)-MATCH($D$1,[2]stages!$2:$2,0)+1),MATCH(F$1,[2]stages!$2:$2,0)-MATCH($D$1,[2]stages!$2:$2,0)+1,FALSE)</f>
        <v>【超絶級】千風のグリフォン</v>
      </c>
      <c r="G55" s="21">
        <v>2</v>
      </c>
      <c r="H55" s="15" t="str">
        <f t="shared" si="7"/>
        <v>11104_10-2</v>
      </c>
      <c r="I55" s="4">
        <f ca="1">VLOOKUP($H55,OFFSET(floors!$A$1,0,0,COUNTA(floors!$A:$A),MATCH(I$1,floors!$1:$1,0)-MATCH($H$1,floors!$1:$1,0)+1),MATCH(I$1,floors!$1:$1,0)-MATCH($H$1,floors!$1:$1,0)+1,FALSE)</f>
        <v>45</v>
      </c>
      <c r="J55" s="4">
        <f ca="1">VLOOKUP($H55,OFFSET(floors!$A$1,0,0,COUNTA(floors!$A:$A),MATCH(J$1,floors!$1:$1,0)-MATCH($H$1,floors!$1:$1,0)+1),MATCH(J$1,floors!$1:$1,0)-MATCH($H$1,floors!$1:$1,0)+1,FALSE)</f>
        <v>60</v>
      </c>
      <c r="K55" s="100" t="s">
        <v>209</v>
      </c>
      <c r="L55" s="99">
        <v>337</v>
      </c>
      <c r="M55" s="17" t="str">
        <f ca="1">VLOOKUP($L55,OFFSET([3]enemies!$A$1,0,0,COUNTA([3]enemies!$A:$A),MATCH(M$1,[3]enemies!$1:$1,0)-MATCH($L$1,[3]enemies!$1:$1,0)+1),MATCH(M$1,[3]enemies!$1:$1,0)-MATCH($L$1,[3]enemies!$1:$1,0)+1,FALSE)</f>
        <v>森のメタルチック</v>
      </c>
      <c r="N55" s="17" t="str">
        <f ca="1">VLOOKUP($L55,OFFSET([3]enemies!$A$1,0,0,COUNTA([3]enemies!$A:$A),MATCH(N$1,[3]enemies!$1:$1,0)-MATCH($L$1,[3]enemies!$1:$1,0)+1),MATCH(N$1,[3]enemies!$1:$1,0)-MATCH($L$1,[3]enemies!$1:$1,0)+1,FALSE)</f>
        <v>green</v>
      </c>
      <c r="O55" s="17" t="str">
        <f ca="1">VLOOKUP($L55,OFFSET([4]characters!$A$1,0,0,COUNTA([4]characters!$A:$A),MATCH(O$1,[4]characters!$1:$1,0)-MATCH($L$1,[4]characters!$1:$1,0)+1),MATCH(O$1,[4]characters!$1:$1,0)-MATCH($L$1,[4]characters!$1:$1,0)+1,FALSE)</f>
        <v>Material</v>
      </c>
      <c r="P55" s="17" t="str">
        <f ca="1">VLOOKUP($L55,OFFSET([3]enemies!$A$1,0,0,COUNTA([3]enemies!$A:$A),MATCH(P$1,[3]enemies!$1:$1,0)-MATCH($L$1,[3]enemies!$1:$1,0)+1),MATCH(P$1,[3]enemies!$1:$1,0)-MATCH($L$1,[3]enemies!$1:$1,0)+1,FALSE)</f>
        <v>unknown</v>
      </c>
      <c r="Q55" s="17">
        <f ca="1">VLOOKUP($L55,OFFSET([3]enemies!$A$1,0,0,COUNTA([3]enemies!$A:$A),MATCH(Q$1,[3]enemies!$1:$1,0)-MATCH($L$1,[3]enemies!$1:$1,0)+1),MATCH(Q$1,[3]enemies!$1:$1,0)-MATCH($L$1,[3]enemies!$1:$1,0)+1,FALSE)</f>
        <v>15</v>
      </c>
      <c r="R55" s="5">
        <v>2</v>
      </c>
      <c r="S55" s="25">
        <v>2</v>
      </c>
      <c r="T55" s="25">
        <v>99</v>
      </c>
      <c r="U55" s="5">
        <v>0</v>
      </c>
      <c r="V55" s="4" t="str">
        <f ca="1">VLOOKUP($W55,OFFSET([5]enemy_skill_sets!$B$1,0,0,COUNTA([5]enemy_skill_sets!$B:$B),MATCH(M$1,[5]enemy_skill_sets!$1:$1,0)-MATCH($W$1,[5]enemy_skill_sets!$1:$1,0)+2),MATCH(M$1,[5]enemy_skill_sets!$1:$1,0)-MATCH($W$1,[5]enemy_skill_sets!$1:$1,0)+2,FALSE)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5" s="4">
        <f ca="1">VLOOKUP($L55,OFFSET([3]enemies!$A$1,0,0,COUNTA([3]enemies!$A:$A),MATCH(W$1,[3]enemies!$1:$1,0)-MATCH($L$1,[3]enemies!$1:$1,0)+1),MATCH(W$1,[3]enemies!$1:$1,0)-MATCH($L$1,[3]enemies!$1:$1,0)+1,FALSE)</f>
        <v>0</v>
      </c>
      <c r="X55" s="6">
        <v>0</v>
      </c>
      <c r="Y55" s="6">
        <v>10</v>
      </c>
      <c r="Z55" s="6">
        <v>0</v>
      </c>
      <c r="AA55" s="17">
        <f ca="1">VLOOKUP($L55,OFFSET([3]enemies!$A$1,0,0,COUNTA([3]enemies!$A:$A),MATCH(AA$1,[3]enemies!$1:$1,0)-MATCH($L$1,[3]enemies!$1:$1,0)+1),MATCH(AA$1,[3]enemies!$1:$1,0)-MATCH($L$1,[3]enemies!$1:$1,0)+1,FALSE)</f>
        <v>2</v>
      </c>
      <c r="AB55" s="24">
        <f t="shared" si="8"/>
        <v>337</v>
      </c>
      <c r="AC55" s="4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55" s="4">
        <f ca="1">VLOOKUP($AB55,OFFSET([4]characters!$A$1,0,0,COUNTA([4]characters!$A:$A),MATCH(AD$1,[4]characters!$1:$1,0)-MATCH("character_id",[4]characters!$1:$1,0)+1),MATCH(AD$1,[4]characters!$1:$1,0)-MATCH("character_id",[4]characters!$1:$1,0)+1,FALSE)</f>
        <v>4</v>
      </c>
      <c r="AE55" s="4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5" s="7">
        <v>1</v>
      </c>
      <c r="AG55" s="24">
        <f t="shared" ca="1" si="9"/>
        <v>4</v>
      </c>
      <c r="AH55" s="8">
        <v>5</v>
      </c>
      <c r="AI55" s="7">
        <v>0</v>
      </c>
      <c r="AJ55" s="7">
        <v>0</v>
      </c>
      <c r="AK55" s="7">
        <v>0</v>
      </c>
      <c r="AL55" s="7">
        <v>0</v>
      </c>
      <c r="AM55" s="7">
        <v>1</v>
      </c>
      <c r="AN55" s="69">
        <v>1</v>
      </c>
    </row>
    <row r="56" spans="1:40" ht="21" customHeight="1" x14ac:dyDescent="0.15">
      <c r="A56" s="16" t="str">
        <f t="shared" ca="1" si="5"/>
        <v>11104_10-3/301&lt;lv60&gt;s2</v>
      </c>
      <c r="B56" s="22">
        <v>11104</v>
      </c>
      <c r="C56" s="21">
        <v>10</v>
      </c>
      <c r="D56" s="2" t="str">
        <f t="shared" si="6"/>
        <v>11104_10</v>
      </c>
      <c r="E56" s="4" t="str">
        <f ca="1">VLOOKUP($B56,OFFSET([2]quests!$A$1,0,0,COUNTA([2]quests!$A:$A),MATCH(E$1,[2]quests!$1:$1,0)-MATCH($B$1,[2]quests!$1:$1,0)+1),MATCH(E$1,[2]quests!$1:$1,0)-MATCH($B$1,[2]quests!$1:$1,0)+1,FALSE)</f>
        <v>【期間限定】 緑の素材</v>
      </c>
      <c r="F56" s="4" t="str">
        <f ca="1">VLOOKUP($D56,OFFSET([2]stages!$A$1,0,0,COUNTA([2]stages!$A:$A),MATCH(F$1,[2]stages!$2:$2,0)-MATCH($D$1,[2]stages!$2:$2,0)+1),MATCH(F$1,[2]stages!$2:$2,0)-MATCH($D$1,[2]stages!$2:$2,0)+1,FALSE)</f>
        <v>【超絶級】千風のグリフォン</v>
      </c>
      <c r="G56" s="21">
        <v>3</v>
      </c>
      <c r="H56" s="15" t="str">
        <f t="shared" si="7"/>
        <v>11104_10-3</v>
      </c>
      <c r="I56" s="4">
        <f ca="1">VLOOKUP($H56,OFFSET(floors!$A$1,0,0,COUNTA(floors!$A:$A),MATCH(I$1,floors!$1:$1,0)-MATCH($H$1,floors!$1:$1,0)+1),MATCH(I$1,floors!$1:$1,0)-MATCH($H$1,floors!$1:$1,0)+1,FALSE)</f>
        <v>50</v>
      </c>
      <c r="J56" s="4">
        <f ca="1">VLOOKUP($H56,OFFSET(floors!$A$1,0,0,COUNTA(floors!$A:$A),MATCH(J$1,floors!$1:$1,0)-MATCH($H$1,floors!$1:$1,0)+1),MATCH(J$1,floors!$1:$1,0)-MATCH($H$1,floors!$1:$1,0)+1,FALSE)</f>
        <v>60</v>
      </c>
      <c r="K56" s="100" t="s">
        <v>209</v>
      </c>
      <c r="L56" s="99">
        <v>301</v>
      </c>
      <c r="M56" s="17" t="str">
        <f ca="1">VLOOKUP($L56,OFFSET([3]enemies!$A$1,0,0,COUNTA([3]enemies!$A:$A),MATCH(M$1,[3]enemies!$1:$1,0)-MATCH($L$1,[3]enemies!$1:$1,0)+1),MATCH(M$1,[3]enemies!$1:$1,0)-MATCH($L$1,[3]enemies!$1:$1,0)+1,FALSE)</f>
        <v>宿痾の葬送 チカ</v>
      </c>
      <c r="N56" s="17" t="str">
        <f ca="1">VLOOKUP($L56,OFFSET([3]enemies!$A$1,0,0,COUNTA([3]enemies!$A:$A),MATCH(N$1,[3]enemies!$1:$1,0)-MATCH($L$1,[3]enemies!$1:$1,0)+1),MATCH(N$1,[3]enemies!$1:$1,0)-MATCH($L$1,[3]enemies!$1:$1,0)+1,FALSE)</f>
        <v>green</v>
      </c>
      <c r="O56" s="17" t="str">
        <f ca="1">VLOOKUP($L56,OFFSET([4]characters!$A$1,0,0,COUNTA([4]characters!$A:$A),MATCH(O$1,[4]characters!$1:$1,0)-MATCH($L$1,[4]characters!$1:$1,0)+1),MATCH(O$1,[4]characters!$1:$1,0)-MATCH($L$1,[4]characters!$1:$1,0)+1,FALSE)</f>
        <v>Drop2W</v>
      </c>
      <c r="P56" s="17" t="str">
        <f ca="1">VLOOKUP($L56,OFFSET([3]enemies!$A$1,0,0,COUNTA([3]enemies!$A:$A),MATCH(P$1,[3]enemies!$1:$1,0)-MATCH($L$1,[3]enemies!$1:$1,0)+1),MATCH(P$1,[3]enemies!$1:$1,0)-MATCH($L$1,[3]enemies!$1:$1,0)+1,FALSE)</f>
        <v>human</v>
      </c>
      <c r="Q56" s="17">
        <f ca="1">VLOOKUP($L56,OFFSET([3]enemies!$A$1,0,0,COUNTA([3]enemies!$A:$A),MATCH(Q$1,[3]enemies!$1:$1,0)-MATCH($L$1,[3]enemies!$1:$1,0)+1),MATCH(Q$1,[3]enemies!$1:$1,0)-MATCH($L$1,[3]enemies!$1:$1,0)+1,FALSE)</f>
        <v>30</v>
      </c>
      <c r="R56" s="5">
        <v>60</v>
      </c>
      <c r="S56" s="25">
        <v>1.3</v>
      </c>
      <c r="T56" s="25">
        <v>1.4</v>
      </c>
      <c r="U56" s="5">
        <v>0</v>
      </c>
      <c r="V56" s="4" t="str">
        <f ca="1">VLOOKUP($W56,OFFSET(enemy_skill_sets!$B$1,0,0,COUNTA(enemy_skill_sets!$B:$B),MATCH(M$1,enemy_skill_sets!$1:$1,0)-MATCH($W$1,enemy_skill_sets!$1:$1,0)+2),MATCH(M$1,enemy_skill_sets!$1:$1,0)-MATCH($W$1,enemy_skill_sets!$1:$1,0)+2,FALSE)</f>
        <v>5ターンウィルス状態</v>
      </c>
      <c r="W56" s="4">
        <v>1122203</v>
      </c>
      <c r="X56" s="6">
        <v>0</v>
      </c>
      <c r="Y56" s="6">
        <v>80</v>
      </c>
      <c r="Z56" s="6">
        <v>1</v>
      </c>
      <c r="AA56" s="17">
        <f ca="1">VLOOKUP($L56,OFFSET([3]enemies!$A$1,0,0,COUNTA([3]enemies!$A:$A),MATCH(AA$1,[3]enemies!$1:$1,0)-MATCH($L$1,[3]enemies!$1:$1,0)+1),MATCH(AA$1,[3]enemies!$1:$1,0)-MATCH($L$1,[3]enemies!$1:$1,0)+1,FALSE)</f>
        <v>2</v>
      </c>
      <c r="AB56" s="24">
        <f t="shared" si="8"/>
        <v>301</v>
      </c>
      <c r="AC56" s="4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宿痾の葬送 チカ</v>
      </c>
      <c r="AD56" s="4">
        <f ca="1">VLOOKUP($AB56,OFFSET([4]characters!$A$1,0,0,COUNTA([4]characters!$A:$A),MATCH(AD$1,[4]characters!$1:$1,0)-MATCH("character_id",[4]characters!$1:$1,0)+1),MATCH(AD$1,[4]characters!$1:$1,0)-MATCH("character_id",[4]characters!$1:$1,0)+1,FALSE)</f>
        <v>4</v>
      </c>
      <c r="AE56" s="4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Drop2W</v>
      </c>
      <c r="AF56" s="7">
        <v>1</v>
      </c>
      <c r="AG56" s="24">
        <f t="shared" ca="1" si="9"/>
        <v>4</v>
      </c>
      <c r="AH56" s="8">
        <v>0</v>
      </c>
      <c r="AI56" s="7">
        <v>0</v>
      </c>
      <c r="AJ56" s="7">
        <v>0</v>
      </c>
      <c r="AK56" s="7">
        <v>0</v>
      </c>
      <c r="AL56" s="7">
        <v>0</v>
      </c>
      <c r="AM56" s="7">
        <v>1</v>
      </c>
      <c r="AN56" s="69">
        <v>1</v>
      </c>
    </row>
    <row r="57" spans="1:40" ht="21" customHeight="1" x14ac:dyDescent="0.15">
      <c r="A57" s="16" t="str">
        <f t="shared" ca="1" si="5"/>
        <v>11104_10-3/338&lt;lv2&gt;s3</v>
      </c>
      <c r="B57" s="22">
        <v>11104</v>
      </c>
      <c r="C57" s="21">
        <v>10</v>
      </c>
      <c r="D57" s="2" t="str">
        <f t="shared" si="6"/>
        <v>11104_10</v>
      </c>
      <c r="E57" s="4" t="str">
        <f ca="1">VLOOKUP($B57,OFFSET([2]quests!$A$1,0,0,COUNTA([2]quests!$A:$A),MATCH(E$1,[2]quests!$1:$1,0)-MATCH($B$1,[2]quests!$1:$1,0)+1),MATCH(E$1,[2]quests!$1:$1,0)-MATCH($B$1,[2]quests!$1:$1,0)+1,FALSE)</f>
        <v>【期間限定】 緑の素材</v>
      </c>
      <c r="F57" s="4" t="str">
        <f ca="1">VLOOKUP($D57,OFFSET([2]stages!$A$1,0,0,COUNTA([2]stages!$A:$A),MATCH(F$1,[2]stages!$2:$2,0)-MATCH($D$1,[2]stages!$2:$2,0)+1),MATCH(F$1,[2]stages!$2:$2,0)-MATCH($D$1,[2]stages!$2:$2,0)+1,FALSE)</f>
        <v>【超絶級】千風のグリフォン</v>
      </c>
      <c r="G57" s="21">
        <v>3</v>
      </c>
      <c r="H57" s="15" t="str">
        <f t="shared" si="7"/>
        <v>11104_10-3</v>
      </c>
      <c r="I57" s="4">
        <f ca="1">VLOOKUP($H57,OFFSET(floors!$A$1,0,0,COUNTA(floors!$A:$A),MATCH(I$1,floors!$1:$1,0)-MATCH($H$1,floors!$1:$1,0)+1),MATCH(I$1,floors!$1:$1,0)-MATCH($H$1,floors!$1:$1,0)+1,FALSE)</f>
        <v>50</v>
      </c>
      <c r="J57" s="4">
        <f ca="1">VLOOKUP($H57,OFFSET(floors!$A$1,0,0,COUNTA(floors!$A:$A),MATCH(J$1,floors!$1:$1,0)-MATCH($H$1,floors!$1:$1,0)+1),MATCH(J$1,floors!$1:$1,0)-MATCH($H$1,floors!$1:$1,0)+1,FALSE)</f>
        <v>60</v>
      </c>
      <c r="K57" s="100" t="s">
        <v>209</v>
      </c>
      <c r="L57" s="99">
        <v>338</v>
      </c>
      <c r="M57" s="17" t="str">
        <f ca="1">VLOOKUP($L57,OFFSET([3]enemies!$A$1,0,0,COUNTA([3]enemies!$A:$A),MATCH(M$1,[3]enemies!$1:$1,0)-MATCH($L$1,[3]enemies!$1:$1,0)+1),MATCH(M$1,[3]enemies!$1:$1,0)-MATCH($L$1,[3]enemies!$1:$1,0)+1,FALSE)</f>
        <v>森のメタルダック</v>
      </c>
      <c r="N57" s="17" t="str">
        <f ca="1">VLOOKUP($L57,OFFSET([3]enemies!$A$1,0,0,COUNTA([3]enemies!$A:$A),MATCH(N$1,[3]enemies!$1:$1,0)-MATCH($L$1,[3]enemies!$1:$1,0)+1),MATCH(N$1,[3]enemies!$1:$1,0)-MATCH($L$1,[3]enemies!$1:$1,0)+1,FALSE)</f>
        <v>green</v>
      </c>
      <c r="O57" s="17" t="str">
        <f ca="1">VLOOKUP($L57,OFFSET([4]characters!$A$1,0,0,COUNTA([4]characters!$A:$A),MATCH(O$1,[4]characters!$1:$1,0)-MATCH($L$1,[4]characters!$1:$1,0)+1),MATCH(O$1,[4]characters!$1:$1,0)-MATCH($L$1,[4]characters!$1:$1,0)+1,FALSE)</f>
        <v>Material</v>
      </c>
      <c r="P57" s="17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17">
        <f ca="1">VLOOKUP($L57,OFFSET([3]enemies!$A$1,0,0,COUNTA([3]enemies!$A:$A),MATCH(Q$1,[3]enemies!$1:$1,0)-MATCH($L$1,[3]enemies!$1:$1,0)+1),MATCH(Q$1,[3]enemies!$1:$1,0)-MATCH($L$1,[3]enemies!$1:$1,0)+1,FALSE)</f>
        <v>20</v>
      </c>
      <c r="R57" s="5">
        <v>2</v>
      </c>
      <c r="S57" s="25">
        <v>2</v>
      </c>
      <c r="T57" s="25">
        <v>99</v>
      </c>
      <c r="U57" s="5">
        <v>0</v>
      </c>
      <c r="V57" s="4" t="str">
        <f ca="1">VLOOKUP($W57,OFFSET([5]enemy_skill_sets!$B$1,0,0,COUNTA([5]enemy_skill_sets!$B:$B),MATCH(M$1,[5]enemy_skill_sets!$1:$1,0)-MATCH($W$1,[5]enemy_skill_sets!$1:$1,0)+2),MATCH(M$1,[5]enemy_skill_sets!$1:$1,0)-MATCH($W$1,[5]enemy_skill_sets!$1:$1,0)+2,FALSE)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7" s="4">
        <f ca="1">VLOOKUP($L57,OFFSET([3]enemies!$A$1,0,0,COUNTA([3]enemies!$A:$A),MATCH(W$1,[3]enemies!$1:$1,0)-MATCH($L$1,[3]enemies!$1:$1,0)+1),MATCH(W$1,[3]enemies!$1:$1,0)-MATCH($L$1,[3]enemies!$1:$1,0)+1,FALSE)</f>
        <v>0</v>
      </c>
      <c r="X57" s="6">
        <v>0</v>
      </c>
      <c r="Y57" s="6">
        <v>20</v>
      </c>
      <c r="Z57" s="6">
        <v>1</v>
      </c>
      <c r="AA57" s="17">
        <f ca="1">VLOOKUP($L57,OFFSET([3]enemies!$A$1,0,0,COUNTA([3]enemies!$A:$A),MATCH(AA$1,[3]enemies!$1:$1,0)-MATCH($L$1,[3]enemies!$1:$1,0)+1),MATCH(AA$1,[3]enemies!$1:$1,0)-MATCH($L$1,[3]enemies!$1:$1,0)+1,FALSE)</f>
        <v>3</v>
      </c>
      <c r="AB57" s="24">
        <f t="shared" si="8"/>
        <v>338</v>
      </c>
      <c r="AC57" s="4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57" s="4">
        <f ca="1">VLOOKUP($AB57,OFFSET([4]characters!$A$1,0,0,COUNTA([4]characters!$A:$A),MATCH(AD$1,[4]characters!$1:$1,0)-MATCH("character_id",[4]characters!$1:$1,0)+1),MATCH(AD$1,[4]characters!$1:$1,0)-MATCH("character_id",[4]characters!$1:$1,0)+1,FALSE)</f>
        <v>5</v>
      </c>
      <c r="AE57" s="4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7" s="7">
        <v>1</v>
      </c>
      <c r="AG57" s="24">
        <f t="shared" ca="1" si="9"/>
        <v>5</v>
      </c>
      <c r="AH57" s="8">
        <v>5</v>
      </c>
      <c r="AI57" s="7">
        <v>0</v>
      </c>
      <c r="AJ57" s="7">
        <v>0</v>
      </c>
      <c r="AK57" s="7">
        <v>0</v>
      </c>
      <c r="AL57" s="7">
        <v>0</v>
      </c>
      <c r="AM57" s="7">
        <v>1</v>
      </c>
      <c r="AN57" s="69">
        <v>1</v>
      </c>
    </row>
    <row r="58" spans="1:40" ht="21" customHeight="1" x14ac:dyDescent="0.15">
      <c r="A58" s="16" t="str">
        <f t="shared" ca="1" si="5"/>
        <v>11104_10-3/336&lt;lv2&gt;s1</v>
      </c>
      <c r="B58" s="22">
        <v>11104</v>
      </c>
      <c r="C58" s="21">
        <v>10</v>
      </c>
      <c r="D58" s="2" t="str">
        <f t="shared" si="6"/>
        <v>11104_10</v>
      </c>
      <c r="E58" s="4" t="str">
        <f ca="1">VLOOKUP($B58,OFFSET([2]quests!$A$1,0,0,COUNTA([2]quests!$A:$A),MATCH(E$1,[2]quests!$1:$1,0)-MATCH($B$1,[2]quests!$1:$1,0)+1),MATCH(E$1,[2]quests!$1:$1,0)-MATCH($B$1,[2]quests!$1:$1,0)+1,FALSE)</f>
        <v>【期間限定】 緑の素材</v>
      </c>
      <c r="F58" s="4" t="str">
        <f ca="1">VLOOKUP($D58,OFFSET([2]stages!$A$1,0,0,COUNTA([2]stages!$A:$A),MATCH(F$1,[2]stages!$2:$2,0)-MATCH($D$1,[2]stages!$2:$2,0)+1),MATCH(F$1,[2]stages!$2:$2,0)-MATCH($D$1,[2]stages!$2:$2,0)+1,FALSE)</f>
        <v>【超絶級】千風のグリフォン</v>
      </c>
      <c r="G58" s="21">
        <v>3</v>
      </c>
      <c r="H58" s="15" t="str">
        <f t="shared" si="7"/>
        <v>11104_10-3</v>
      </c>
      <c r="I58" s="4">
        <f ca="1">VLOOKUP($H58,OFFSET(floors!$A$1,0,0,COUNTA(floors!$A:$A),MATCH(I$1,floors!$1:$1,0)-MATCH($H$1,floors!$1:$1,0)+1),MATCH(I$1,floors!$1:$1,0)-MATCH($H$1,floors!$1:$1,0)+1,FALSE)</f>
        <v>50</v>
      </c>
      <c r="J58" s="4">
        <f ca="1">VLOOKUP($H58,OFFSET(floors!$A$1,0,0,COUNTA(floors!$A:$A),MATCH(J$1,floors!$1:$1,0)-MATCH($H$1,floors!$1:$1,0)+1),MATCH(J$1,floors!$1:$1,0)-MATCH($H$1,floors!$1:$1,0)+1,FALSE)</f>
        <v>60</v>
      </c>
      <c r="K58" s="100" t="s">
        <v>209</v>
      </c>
      <c r="L58" s="99">
        <v>336</v>
      </c>
      <c r="M58" s="17" t="str">
        <f ca="1">VLOOKUP($L58,OFFSET([3]enemies!$A$1,0,0,COUNTA([3]enemies!$A:$A),MATCH(M$1,[3]enemies!$1:$1,0)-MATCH($L$1,[3]enemies!$1:$1,0)+1),MATCH(M$1,[3]enemies!$1:$1,0)-MATCH($L$1,[3]enemies!$1:$1,0)+1,FALSE)</f>
        <v>森のメタルピヨピヨ</v>
      </c>
      <c r="N58" s="17" t="str">
        <f ca="1">VLOOKUP($L58,OFFSET([3]enemies!$A$1,0,0,COUNTA([3]enemies!$A:$A),MATCH(N$1,[3]enemies!$1:$1,0)-MATCH($L$1,[3]enemies!$1:$1,0)+1),MATCH(N$1,[3]enemies!$1:$1,0)-MATCH($L$1,[3]enemies!$1:$1,0)+1,FALSE)</f>
        <v>green</v>
      </c>
      <c r="O58" s="17" t="str">
        <f ca="1">VLOOKUP($L58,OFFSET([4]characters!$A$1,0,0,COUNTA([4]characters!$A:$A),MATCH(O$1,[4]characters!$1:$1,0)-MATCH($L$1,[4]characters!$1:$1,0)+1),MATCH(O$1,[4]characters!$1:$1,0)-MATCH($L$1,[4]characters!$1:$1,0)+1,FALSE)</f>
        <v>Material</v>
      </c>
      <c r="P58" s="17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17">
        <f ca="1">VLOOKUP($L58,OFFSET([3]enemies!$A$1,0,0,COUNTA([3]enemies!$A:$A),MATCH(Q$1,[3]enemies!$1:$1,0)-MATCH($L$1,[3]enemies!$1:$1,0)+1),MATCH(Q$1,[3]enemies!$1:$1,0)-MATCH($L$1,[3]enemies!$1:$1,0)+1,FALSE)</f>
        <v>15</v>
      </c>
      <c r="R58" s="5">
        <v>2</v>
      </c>
      <c r="S58" s="25">
        <v>2</v>
      </c>
      <c r="T58" s="25">
        <v>99</v>
      </c>
      <c r="U58" s="5">
        <v>0</v>
      </c>
      <c r="V58" s="4" t="str">
        <f ca="1">VLOOKUP($W58,OFFSET([5]enemy_skill_sets!$B$1,0,0,COUNTA([5]enemy_skill_sets!$B:$B),MATCH(M$1,[5]enemy_skill_sets!$1:$1,0)-MATCH($W$1,[5]enemy_skill_sets!$1:$1,0)+2),MATCH(M$1,[5]enemy_skill_sets!$1:$1,0)-MATCH($W$1,[5]enemy_skill_sets!$1:$1,0)+2,FALSE)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8" s="4">
        <f ca="1">VLOOKUP($L58,OFFSET([3]enemies!$A$1,0,0,COUNTA([3]enemies!$A:$A),MATCH(W$1,[3]enemies!$1:$1,0)-MATCH($L$1,[3]enemies!$1:$1,0)+1),MATCH(W$1,[3]enemies!$1:$1,0)-MATCH($L$1,[3]enemies!$1:$1,0)+1,FALSE)</f>
        <v>0</v>
      </c>
      <c r="X58" s="6">
        <v>1</v>
      </c>
      <c r="Y58" s="6">
        <v>100</v>
      </c>
      <c r="Z58" s="6">
        <v>0</v>
      </c>
      <c r="AA58" s="17">
        <f ca="1">VLOOKUP($L58,OFFSET([3]enemies!$A$1,0,0,COUNTA([3]enemies!$A:$A),MATCH(AA$1,[3]enemies!$1:$1,0)-MATCH($L$1,[3]enemies!$1:$1,0)+1),MATCH(AA$1,[3]enemies!$1:$1,0)-MATCH($L$1,[3]enemies!$1:$1,0)+1,FALSE)</f>
        <v>1</v>
      </c>
      <c r="AB58" s="24">
        <f t="shared" si="8"/>
        <v>336</v>
      </c>
      <c r="AC58" s="4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58" s="4">
        <f ca="1">VLOOKUP($AB58,OFFSET([4]characters!$A$1,0,0,COUNTA([4]characters!$A:$A),MATCH(AD$1,[4]characters!$1:$1,0)-MATCH("character_id",[4]characters!$1:$1,0)+1),MATCH(AD$1,[4]characters!$1:$1,0)-MATCH("character_id",[4]characters!$1:$1,0)+1,FALSE)</f>
        <v>3</v>
      </c>
      <c r="AE58" s="4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8" s="7">
        <v>1</v>
      </c>
      <c r="AG58" s="24">
        <f t="shared" ca="1" si="9"/>
        <v>3</v>
      </c>
      <c r="AH58" s="8">
        <v>20</v>
      </c>
      <c r="AI58" s="7">
        <v>0</v>
      </c>
      <c r="AJ58" s="7">
        <v>0</v>
      </c>
      <c r="AK58" s="7">
        <v>0</v>
      </c>
      <c r="AL58" s="7">
        <v>0</v>
      </c>
      <c r="AM58" s="7">
        <v>1</v>
      </c>
      <c r="AN58" s="69">
        <v>1</v>
      </c>
    </row>
    <row r="59" spans="1:40" ht="21" customHeight="1" x14ac:dyDescent="0.15">
      <c r="A59" s="16" t="str">
        <f t="shared" ca="1" si="5"/>
        <v>11104_10-3/337&lt;lv2&gt;s2</v>
      </c>
      <c r="B59" s="22">
        <v>11104</v>
      </c>
      <c r="C59" s="21">
        <v>10</v>
      </c>
      <c r="D59" s="2" t="str">
        <f t="shared" si="6"/>
        <v>11104_10</v>
      </c>
      <c r="E59" s="4" t="str">
        <f ca="1">VLOOKUP($B59,OFFSET([2]quests!$A$1,0,0,COUNTA([2]quests!$A:$A),MATCH(E$1,[2]quests!$1:$1,0)-MATCH($B$1,[2]quests!$1:$1,0)+1),MATCH(E$1,[2]quests!$1:$1,0)-MATCH($B$1,[2]quests!$1:$1,0)+1,FALSE)</f>
        <v>【期間限定】 緑の素材</v>
      </c>
      <c r="F59" s="4" t="str">
        <f ca="1">VLOOKUP($D59,OFFSET([2]stages!$A$1,0,0,COUNTA([2]stages!$A:$A),MATCH(F$1,[2]stages!$2:$2,0)-MATCH($D$1,[2]stages!$2:$2,0)+1),MATCH(F$1,[2]stages!$2:$2,0)-MATCH($D$1,[2]stages!$2:$2,0)+1,FALSE)</f>
        <v>【超絶級】千風のグリフォン</v>
      </c>
      <c r="G59" s="21">
        <v>3</v>
      </c>
      <c r="H59" s="15" t="str">
        <f t="shared" si="7"/>
        <v>11104_10-3</v>
      </c>
      <c r="I59" s="4">
        <f ca="1">VLOOKUP($H59,OFFSET(floors!$A$1,0,0,COUNTA(floors!$A:$A),MATCH(I$1,floors!$1:$1,0)-MATCH($H$1,floors!$1:$1,0)+1),MATCH(I$1,floors!$1:$1,0)-MATCH($H$1,floors!$1:$1,0)+1,FALSE)</f>
        <v>50</v>
      </c>
      <c r="J59" s="4">
        <f ca="1">VLOOKUP($H59,OFFSET(floors!$A$1,0,0,COUNTA(floors!$A:$A),MATCH(J$1,floors!$1:$1,0)-MATCH($H$1,floors!$1:$1,0)+1),MATCH(J$1,floors!$1:$1,0)-MATCH($H$1,floors!$1:$1,0)+1,FALSE)</f>
        <v>60</v>
      </c>
      <c r="K59" s="100" t="s">
        <v>209</v>
      </c>
      <c r="L59" s="99">
        <v>337</v>
      </c>
      <c r="M59" s="17" t="str">
        <f ca="1">VLOOKUP($L59,OFFSET([3]enemies!$A$1,0,0,COUNTA([3]enemies!$A:$A),MATCH(M$1,[3]enemies!$1:$1,0)-MATCH($L$1,[3]enemies!$1:$1,0)+1),MATCH(M$1,[3]enemies!$1:$1,0)-MATCH($L$1,[3]enemies!$1:$1,0)+1,FALSE)</f>
        <v>森のメタルチック</v>
      </c>
      <c r="N59" s="17" t="str">
        <f ca="1">VLOOKUP($L59,OFFSET([3]enemies!$A$1,0,0,COUNTA([3]enemies!$A:$A),MATCH(N$1,[3]enemies!$1:$1,0)-MATCH($L$1,[3]enemies!$1:$1,0)+1),MATCH(N$1,[3]enemies!$1:$1,0)-MATCH($L$1,[3]enemies!$1:$1,0)+1,FALSE)</f>
        <v>green</v>
      </c>
      <c r="O59" s="17" t="str">
        <f ca="1">VLOOKUP($L59,OFFSET([4]characters!$A$1,0,0,COUNTA([4]characters!$A:$A),MATCH(O$1,[4]characters!$1:$1,0)-MATCH($L$1,[4]characters!$1:$1,0)+1),MATCH(O$1,[4]characters!$1:$1,0)-MATCH($L$1,[4]characters!$1:$1,0)+1,FALSE)</f>
        <v>Material</v>
      </c>
      <c r="P59" s="17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17">
        <f ca="1">VLOOKUP($L59,OFFSET([3]enemies!$A$1,0,0,COUNTA([3]enemies!$A:$A),MATCH(Q$1,[3]enemies!$1:$1,0)-MATCH($L$1,[3]enemies!$1:$1,0)+1),MATCH(Q$1,[3]enemies!$1:$1,0)-MATCH($L$1,[3]enemies!$1:$1,0)+1,FALSE)</f>
        <v>15</v>
      </c>
      <c r="R59" s="5">
        <v>2</v>
      </c>
      <c r="S59" s="25">
        <v>2</v>
      </c>
      <c r="T59" s="25">
        <v>99</v>
      </c>
      <c r="U59" s="5">
        <v>0</v>
      </c>
      <c r="V59" s="4" t="str">
        <f ca="1">VLOOKUP($W59,OFFSET([5]enemy_skill_sets!$B$1,0,0,COUNTA([5]enemy_skill_sets!$B:$B),MATCH(M$1,[5]enemy_skill_sets!$1:$1,0)-MATCH($W$1,[5]enemy_skill_sets!$1:$1,0)+2),MATCH(M$1,[5]enemy_skill_sets!$1:$1,0)-MATCH($W$1,[5]enemy_skill_sets!$1:$1,0)+2,FALSE)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9" s="4">
        <f ca="1">VLOOKUP($L59,OFFSET([3]enemies!$A$1,0,0,COUNTA([3]enemies!$A:$A),MATCH(W$1,[3]enemies!$1:$1,0)-MATCH($L$1,[3]enemies!$1:$1,0)+1),MATCH(W$1,[3]enemies!$1:$1,0)-MATCH($L$1,[3]enemies!$1:$1,0)+1,FALSE)</f>
        <v>0</v>
      </c>
      <c r="X59" s="6">
        <v>1</v>
      </c>
      <c r="Y59" s="6">
        <v>100</v>
      </c>
      <c r="Z59" s="6">
        <v>0</v>
      </c>
      <c r="AA59" s="17">
        <f ca="1">VLOOKUP($L59,OFFSET([3]enemies!$A$1,0,0,COUNTA([3]enemies!$A:$A),MATCH(AA$1,[3]enemies!$1:$1,0)-MATCH($L$1,[3]enemies!$1:$1,0)+1),MATCH(AA$1,[3]enemies!$1:$1,0)-MATCH($L$1,[3]enemies!$1:$1,0)+1,FALSE)</f>
        <v>2</v>
      </c>
      <c r="AB59" s="24">
        <f t="shared" si="8"/>
        <v>337</v>
      </c>
      <c r="AC59" s="4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59" s="4">
        <f ca="1">VLOOKUP($AB59,OFFSET([4]characters!$A$1,0,0,COUNTA([4]characters!$A:$A),MATCH(AD$1,[4]characters!$1:$1,0)-MATCH("character_id",[4]characters!$1:$1,0)+1),MATCH(AD$1,[4]characters!$1:$1,0)-MATCH("character_id",[4]characters!$1:$1,0)+1,FALSE)</f>
        <v>4</v>
      </c>
      <c r="AE59" s="4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9" s="7">
        <v>1</v>
      </c>
      <c r="AG59" s="24">
        <f t="shared" ca="1" si="9"/>
        <v>4</v>
      </c>
      <c r="AH59" s="8">
        <v>10</v>
      </c>
      <c r="AI59" s="7">
        <v>0</v>
      </c>
      <c r="AJ59" s="7">
        <v>0</v>
      </c>
      <c r="AK59" s="7">
        <v>0</v>
      </c>
      <c r="AL59" s="7">
        <v>0</v>
      </c>
      <c r="AM59" s="7">
        <v>1</v>
      </c>
      <c r="AN59" s="69">
        <v>1</v>
      </c>
    </row>
    <row r="60" spans="1:40" ht="21" customHeight="1" x14ac:dyDescent="0.15">
      <c r="A60" s="16" t="str">
        <f t="shared" si="5"/>
        <v>11104_10-4/362&lt;lv52&gt;s2</v>
      </c>
      <c r="B60" s="22">
        <v>11104</v>
      </c>
      <c r="C60" s="21">
        <v>10</v>
      </c>
      <c r="D60" s="2" t="str">
        <f t="shared" si="6"/>
        <v>11104_10</v>
      </c>
      <c r="E60" s="4" t="str">
        <f ca="1">VLOOKUP($B60,OFFSET([2]quests!$A$1,0,0,COUNTA([2]quests!$A:$A),MATCH(E$1,[2]quests!$1:$1,0)-MATCH($B$1,[2]quests!$1:$1,0)+1),MATCH(E$1,[2]quests!$1:$1,0)-MATCH($B$1,[2]quests!$1:$1,0)+1,FALSE)</f>
        <v>【期間限定】 緑の素材</v>
      </c>
      <c r="F60" s="4" t="str">
        <f ca="1">VLOOKUP($D60,OFFSET([2]stages!$A$1,0,0,COUNTA([2]stages!$A:$A),MATCH(F$1,[2]stages!$2:$2,0)-MATCH($D$1,[2]stages!$2:$2,0)+1),MATCH(F$1,[2]stages!$2:$2,0)-MATCH($D$1,[2]stages!$2:$2,0)+1,FALSE)</f>
        <v>【超絶級】千風のグリフォン</v>
      </c>
      <c r="G60" s="21">
        <v>4</v>
      </c>
      <c r="H60" s="15" t="str">
        <f t="shared" si="7"/>
        <v>11104_10-4</v>
      </c>
      <c r="I60" s="4">
        <f ca="1">VLOOKUP($H60,OFFSET(floors!$A$1,0,0,COUNTA(floors!$A:$A),MATCH(I$1,floors!$1:$1,0)-MATCH($H$1,floors!$1:$1,0)+1),MATCH(I$1,floors!$1:$1,0)-MATCH($H$1,floors!$1:$1,0)+1,FALSE)</f>
        <v>45</v>
      </c>
      <c r="J60" s="4">
        <f ca="1">VLOOKUP($H60,OFFSET(floors!$A$1,0,0,COUNTA(floors!$A:$A),MATCH(J$1,floors!$1:$1,0)-MATCH($H$1,floors!$1:$1,0)+1),MATCH(J$1,floors!$1:$1,0)-MATCH($H$1,floors!$1:$1,0)+1,FALSE)</f>
        <v>60</v>
      </c>
      <c r="K60" s="100" t="s">
        <v>209</v>
      </c>
      <c r="L60" s="99">
        <v>362</v>
      </c>
      <c r="M60" s="17" t="str">
        <f ca="1">VLOOKUP($L60,OFFSET([3]enemies!$A$1,0,0,COUNTA([3]enemies!$A:$A),MATCH(M$1,[3]enemies!$1:$1,0)-MATCH($L$1,[3]enemies!$1:$1,0)+1),MATCH(M$1,[3]enemies!$1:$1,0)-MATCH($L$1,[3]enemies!$1:$1,0)+1,FALSE)</f>
        <v>ゆらら</v>
      </c>
      <c r="N60" s="17" t="str">
        <f ca="1">VLOOKUP($L60,OFFSET([3]enemies!$A$1,0,0,COUNTA([3]enemies!$A:$A),MATCH(N$1,[3]enemies!$1:$1,0)-MATCH($L$1,[3]enemies!$1:$1,0)+1),MATCH(N$1,[3]enemies!$1:$1,0)-MATCH($L$1,[3]enemies!$1:$1,0)+1,FALSE)</f>
        <v>green</v>
      </c>
      <c r="O60" s="17" t="str">
        <f ca="1">VLOOKUP($L60,OFFSET([4]characters!$A$1,0,0,COUNTA([4]characters!$A:$A),MATCH(O$1,[4]characters!$1:$1,0)-MATCH($L$1,[4]characters!$1:$1,0)+1),MATCH(O$1,[4]characters!$1:$1,0)-MATCH($L$1,[4]characters!$1:$1,0)+1,FALSE)</f>
        <v>Drop1S</v>
      </c>
      <c r="P60" s="17" t="str">
        <f ca="1">VLOOKUP($L60,OFFSET([3]enemies!$A$1,0,0,COUNTA([3]enemies!$A:$A),MATCH(P$1,[3]enemies!$1:$1,0)-MATCH($L$1,[3]enemies!$1:$1,0)+1),MATCH(P$1,[3]enemies!$1:$1,0)-MATCH($L$1,[3]enemies!$1:$1,0)+1,FALSE)</f>
        <v>animal</v>
      </c>
      <c r="Q60" s="17">
        <f ca="1">VLOOKUP($L60,OFFSET([3]enemies!$A$1,0,0,COUNTA([3]enemies!$A:$A),MATCH(Q$1,[3]enemies!$1:$1,0)-MATCH($L$1,[3]enemies!$1:$1,0)+1),MATCH(Q$1,[3]enemies!$1:$1,0)-MATCH($L$1,[3]enemies!$1:$1,0)+1,FALSE)</f>
        <v>15</v>
      </c>
      <c r="R60" s="5">
        <v>52</v>
      </c>
      <c r="S60" s="25">
        <v>1.8</v>
      </c>
      <c r="T60" s="25">
        <v>1.2</v>
      </c>
      <c r="U60" s="5">
        <v>0</v>
      </c>
      <c r="V60" s="4" t="str">
        <f ca="1">VLOOKUP($W60,OFFSET([5]enemy_skill_sets!$B$1,0,0,COUNTA([5]enemy_skill_sets!$B:$B),MATCH(M$1,[5]enemy_skill_sets!$1:$1,0)-MATCH($W$1,[5]enemy_skill_sets!$1:$1,0)+2),MATCH(M$1,[5]enemy_skill_sets!$1:$1,0)-MATCH($W$1,[5]enemy_skill_sets!$1:$1,0)+2,FALSE)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60" s="4">
        <v>362</v>
      </c>
      <c r="X60" s="6">
        <v>0</v>
      </c>
      <c r="Y60" s="6">
        <v>100</v>
      </c>
      <c r="Z60" s="6">
        <v>0</v>
      </c>
      <c r="AA60" s="17">
        <v>2</v>
      </c>
      <c r="AB60" s="24">
        <f t="shared" si="8"/>
        <v>362</v>
      </c>
      <c r="AC60" s="4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60" s="4">
        <f ca="1">VLOOKUP($AB60,OFFSET([4]characters!$A$1,0,0,COUNTA([4]characters!$A:$A),MATCH(AD$1,[4]characters!$1:$1,0)-MATCH("character_id",[4]characters!$1:$1,0)+1),MATCH(AD$1,[4]characters!$1:$1,0)-MATCH("character_id",[4]characters!$1:$1,0)+1,FALSE)</f>
        <v>2</v>
      </c>
      <c r="AE60" s="4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Drop1S</v>
      </c>
      <c r="AF60" s="7">
        <v>1</v>
      </c>
      <c r="AG60" s="24">
        <f t="shared" ca="1" si="9"/>
        <v>2</v>
      </c>
      <c r="AH60" s="8">
        <v>0</v>
      </c>
      <c r="AI60" s="7">
        <v>0</v>
      </c>
      <c r="AJ60" s="7">
        <v>0</v>
      </c>
      <c r="AK60" s="7">
        <v>0</v>
      </c>
      <c r="AL60" s="7">
        <v>0</v>
      </c>
      <c r="AM60" s="7">
        <v>1</v>
      </c>
      <c r="AN60" s="69">
        <v>1</v>
      </c>
    </row>
    <row r="61" spans="1:40" ht="21" customHeight="1" x14ac:dyDescent="0.15">
      <c r="A61" s="16" t="str">
        <f t="shared" si="5"/>
        <v>11104_10-4/372&lt;lv52&gt;s1</v>
      </c>
      <c r="B61" s="22">
        <v>11104</v>
      </c>
      <c r="C61" s="21">
        <v>10</v>
      </c>
      <c r="D61" s="2" t="str">
        <f t="shared" si="6"/>
        <v>11104_10</v>
      </c>
      <c r="E61" s="4" t="str">
        <f ca="1">VLOOKUP($B61,OFFSET([2]quests!$A$1,0,0,COUNTA([2]quests!$A:$A),MATCH(E$1,[2]quests!$1:$1,0)-MATCH($B$1,[2]quests!$1:$1,0)+1),MATCH(E$1,[2]quests!$1:$1,0)-MATCH($B$1,[2]quests!$1:$1,0)+1,FALSE)</f>
        <v>【期間限定】 緑の素材</v>
      </c>
      <c r="F61" s="4" t="str">
        <f ca="1">VLOOKUP($D61,OFFSET([2]stages!$A$1,0,0,COUNTA([2]stages!$A:$A),MATCH(F$1,[2]stages!$2:$2,0)-MATCH($D$1,[2]stages!$2:$2,0)+1),MATCH(F$1,[2]stages!$2:$2,0)-MATCH($D$1,[2]stages!$2:$2,0)+1,FALSE)</f>
        <v>【超絶級】千風のグリフォン</v>
      </c>
      <c r="G61" s="21">
        <v>4</v>
      </c>
      <c r="H61" s="15" t="str">
        <f t="shared" si="7"/>
        <v>11104_10-4</v>
      </c>
      <c r="I61" s="4">
        <f ca="1">VLOOKUP($H61,OFFSET(floors!$A$1,0,0,COUNTA(floors!$A:$A),MATCH(I$1,floors!$1:$1,0)-MATCH($H$1,floors!$1:$1,0)+1),MATCH(I$1,floors!$1:$1,0)-MATCH($H$1,floors!$1:$1,0)+1,FALSE)</f>
        <v>45</v>
      </c>
      <c r="J61" s="4">
        <f ca="1">VLOOKUP($H61,OFFSET(floors!$A$1,0,0,COUNTA(floors!$A:$A),MATCH(J$1,floors!$1:$1,0)-MATCH($H$1,floors!$1:$1,0)+1),MATCH(J$1,floors!$1:$1,0)-MATCH($H$1,floors!$1:$1,0)+1,FALSE)</f>
        <v>60</v>
      </c>
      <c r="K61" s="100" t="s">
        <v>209</v>
      </c>
      <c r="L61" s="99">
        <v>372</v>
      </c>
      <c r="M61" s="17" t="str">
        <f ca="1">VLOOKUP($L61,OFFSET([3]enemies!$A$1,0,0,COUNTA([3]enemies!$A:$A),MATCH(M$1,[3]enemies!$1:$1,0)-MATCH($L$1,[3]enemies!$1:$1,0)+1),MATCH(M$1,[3]enemies!$1:$1,0)-MATCH($L$1,[3]enemies!$1:$1,0)+1,FALSE)</f>
        <v>バショー</v>
      </c>
      <c r="N61" s="17" t="str">
        <f ca="1">VLOOKUP($L61,OFFSET([3]enemies!$A$1,0,0,COUNTA([3]enemies!$A:$A),MATCH(N$1,[3]enemies!$1:$1,0)-MATCH($L$1,[3]enemies!$1:$1,0)+1),MATCH(N$1,[3]enemies!$1:$1,0)-MATCH($L$1,[3]enemies!$1:$1,0)+1,FALSE)</f>
        <v>green</v>
      </c>
      <c r="O61" s="17" t="str">
        <f ca="1">VLOOKUP($L61,OFFSET([4]characters!$A$1,0,0,COUNTA([4]characters!$A:$A),MATCH(O$1,[4]characters!$1:$1,0)-MATCH($L$1,[4]characters!$1:$1,0)+1),MATCH(O$1,[4]characters!$1:$1,0)-MATCH($L$1,[4]characters!$1:$1,0)+1,FALSE)</f>
        <v>Drop1S</v>
      </c>
      <c r="P61" s="17" t="str">
        <f ca="1">VLOOKUP($L61,OFFSET([3]enemies!$A$1,0,0,COUNTA([3]enemies!$A:$A),MATCH(P$1,[3]enemies!$1:$1,0)-MATCH($L$1,[3]enemies!$1:$1,0)+1),MATCH(P$1,[3]enemies!$1:$1,0)-MATCH($L$1,[3]enemies!$1:$1,0)+1,FALSE)</f>
        <v>unknown</v>
      </c>
      <c r="Q61" s="17">
        <f ca="1">VLOOKUP($L61,OFFSET([3]enemies!$A$1,0,0,COUNTA([3]enemies!$A:$A),MATCH(Q$1,[3]enemies!$1:$1,0)-MATCH($L$1,[3]enemies!$1:$1,0)+1),MATCH(Q$1,[3]enemies!$1:$1,0)-MATCH($L$1,[3]enemies!$1:$1,0)+1,FALSE)</f>
        <v>15</v>
      </c>
      <c r="R61" s="5">
        <v>52</v>
      </c>
      <c r="S61" s="25">
        <v>1.9</v>
      </c>
      <c r="T61" s="25">
        <v>1.2</v>
      </c>
      <c r="U61" s="5">
        <v>0</v>
      </c>
      <c r="V61" s="4" t="str">
        <f ca="1">VLOOKUP($W61,OFFSET(enemy_skill_sets!$B$1,0,0,COUNTA(enemy_skill_sets!$B:$B),MATCH(M$1,enemy_skill_sets!$1:$1,0)-MATCH($W$1,enemy_skill_sets!$1:$1,0)+2),MATCH(M$1,enemy_skill_sets!$1:$1,0)-MATCH($W$1,enemy_skill_sets!$1:$1,0)+2,FALSE)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61" s="4">
        <v>1122202</v>
      </c>
      <c r="X61" s="6">
        <v>0</v>
      </c>
      <c r="Y61" s="6">
        <v>100</v>
      </c>
      <c r="Z61" s="6">
        <v>0</v>
      </c>
      <c r="AA61" s="17">
        <v>1</v>
      </c>
      <c r="AB61" s="24">
        <f t="shared" si="8"/>
        <v>372</v>
      </c>
      <c r="AC61" s="4" t="str">
        <f ca="1">VLOOKUP($AB61,OFFSET([4]characters!$A$1,0,0,COUNTA([4]characters!$A:$A),MATCH(AC$1,[4]characters!$1:$1,0)-MATCH("character_id",[4]characters!$1:$1,0)+1),MATCH(AC$1,[4]characters!$1:$1,0)-MATCH("character_id",[4]characters!$1:$1,0)+1,FALSE)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61" s="4">
        <f ca="1">VLOOKUP($AB61,OFFSET([4]characters!$A$1,0,0,COUNTA([4]characters!$A:$A),MATCH(AD$1,[4]characters!$1:$1,0)-MATCH("character_id",[4]characters!$1:$1,0)+1),MATCH(AD$1,[4]characters!$1:$1,0)-MATCH("character_id",[4]characters!$1:$1,0)+1,FALSE)</f>
        <v>2</v>
      </c>
      <c r="AE61" s="4" t="str">
        <f ca="1">VLOOKUP($AB61,OFFSET([4]characters!$A$1,0,0,COUNTA([4]characters!$A:$A),MATCH(AE$1,[4]characters!$1:$1,0)-MATCH("character_id",[4]characters!$1:$1,0)+1),MATCH(AE$1,[4]characters!$1:$1,0)-MATCH("character_id",[4]characters!$1:$1,0)+1,FALSE)</f>
        <v>Drop1S</v>
      </c>
      <c r="AF61" s="7">
        <v>1</v>
      </c>
      <c r="AG61" s="24">
        <f t="shared" ca="1" si="9"/>
        <v>2</v>
      </c>
      <c r="AH61" s="8">
        <v>0</v>
      </c>
      <c r="AI61" s="7">
        <v>0</v>
      </c>
      <c r="AJ61" s="7">
        <v>0</v>
      </c>
      <c r="AK61" s="7">
        <v>0</v>
      </c>
      <c r="AL61" s="7">
        <v>0</v>
      </c>
      <c r="AM61" s="7">
        <v>1</v>
      </c>
      <c r="AN61" s="69">
        <v>1</v>
      </c>
    </row>
    <row r="62" spans="1:40" ht="21" customHeight="1" x14ac:dyDescent="0.15">
      <c r="A62" s="16" t="str">
        <f t="shared" ca="1" si="5"/>
        <v>11104_10-5/362&lt;lv52&gt;s3</v>
      </c>
      <c r="B62" s="22">
        <v>11104</v>
      </c>
      <c r="C62" s="21">
        <v>10</v>
      </c>
      <c r="D62" s="2" t="str">
        <f t="shared" si="6"/>
        <v>11104_10</v>
      </c>
      <c r="E62" s="4" t="str">
        <f ca="1">VLOOKUP($B62,OFFSET([2]quests!$A$1,0,0,COUNTA([2]quests!$A:$A),MATCH(E$1,[2]quests!$1:$1,0)-MATCH($B$1,[2]quests!$1:$1,0)+1),MATCH(E$1,[2]quests!$1:$1,0)-MATCH($B$1,[2]quests!$1:$1,0)+1,FALSE)</f>
        <v>【期間限定】 緑の素材</v>
      </c>
      <c r="F62" s="4" t="str">
        <f ca="1">VLOOKUP($D62,OFFSET([2]stages!$A$1,0,0,COUNTA([2]stages!$A:$A),MATCH(F$1,[2]stages!$2:$2,0)-MATCH($D$1,[2]stages!$2:$2,0)+1),MATCH(F$1,[2]stages!$2:$2,0)-MATCH($D$1,[2]stages!$2:$2,0)+1,FALSE)</f>
        <v>【超絶級】千風のグリフォン</v>
      </c>
      <c r="G62" s="21">
        <v>5</v>
      </c>
      <c r="H62" s="15" t="str">
        <f t="shared" si="7"/>
        <v>11104_10-5</v>
      </c>
      <c r="I62" s="4">
        <f ca="1">VLOOKUP($H62,OFFSET(floors!$A$1,0,0,COUNTA(floors!$A:$A),MATCH(I$1,floors!$1:$1,0)-MATCH($H$1,floors!$1:$1,0)+1),MATCH(I$1,floors!$1:$1,0)-MATCH($H$1,floors!$1:$1,0)+1,FALSE)</f>
        <v>60</v>
      </c>
      <c r="J62" s="4">
        <f ca="1">VLOOKUP($H62,OFFSET(floors!$A$1,0,0,COUNTA(floors!$A:$A),MATCH(J$1,floors!$1:$1,0)-MATCH($H$1,floors!$1:$1,0)+1),MATCH(J$1,floors!$1:$1,0)-MATCH($H$1,floors!$1:$1,0)+1,FALSE)</f>
        <v>60</v>
      </c>
      <c r="K62" s="100" t="s">
        <v>209</v>
      </c>
      <c r="L62" s="99">
        <v>362</v>
      </c>
      <c r="M62" s="17" t="str">
        <f ca="1">VLOOKUP($L62,OFFSET([3]enemies!$A$1,0,0,COUNTA([3]enemies!$A:$A),MATCH(M$1,[3]enemies!$1:$1,0)-MATCH($L$1,[3]enemies!$1:$1,0)+1),MATCH(M$1,[3]enemies!$1:$1,0)-MATCH($L$1,[3]enemies!$1:$1,0)+1,FALSE)</f>
        <v>ゆらら</v>
      </c>
      <c r="N62" s="17" t="str">
        <f ca="1">VLOOKUP($L62,OFFSET([3]enemies!$A$1,0,0,COUNTA([3]enemies!$A:$A),MATCH(N$1,[3]enemies!$1:$1,0)-MATCH($L$1,[3]enemies!$1:$1,0)+1),MATCH(N$1,[3]enemies!$1:$1,0)-MATCH($L$1,[3]enemies!$1:$1,0)+1,FALSE)</f>
        <v>green</v>
      </c>
      <c r="O62" s="17" t="str">
        <f ca="1">VLOOKUP($L62,OFFSET([4]characters!$A$1,0,0,COUNTA([4]characters!$A:$A),MATCH(O$1,[4]characters!$1:$1,0)-MATCH($L$1,[4]characters!$1:$1,0)+1),MATCH(O$1,[4]characters!$1:$1,0)-MATCH($L$1,[4]characters!$1:$1,0)+1,FALSE)</f>
        <v>Drop1S</v>
      </c>
      <c r="P62" s="17" t="str">
        <f ca="1">VLOOKUP($L62,OFFSET([3]enemies!$A$1,0,0,COUNTA([3]enemies!$A:$A),MATCH(P$1,[3]enemies!$1:$1,0)-MATCH($L$1,[3]enemies!$1:$1,0)+1),MATCH(P$1,[3]enemies!$1:$1,0)-MATCH($L$1,[3]enemies!$1:$1,0)+1,FALSE)</f>
        <v>animal</v>
      </c>
      <c r="Q62" s="17">
        <f ca="1">VLOOKUP($L62,OFFSET([3]enemies!$A$1,0,0,COUNTA([3]enemies!$A:$A),MATCH(Q$1,[3]enemies!$1:$1,0)-MATCH($L$1,[3]enemies!$1:$1,0)+1),MATCH(Q$1,[3]enemies!$1:$1,0)-MATCH($L$1,[3]enemies!$1:$1,0)+1,FALSE)</f>
        <v>15</v>
      </c>
      <c r="R62" s="5">
        <v>52</v>
      </c>
      <c r="S62" s="25">
        <v>1.8</v>
      </c>
      <c r="T62" s="25">
        <v>1.2</v>
      </c>
      <c r="U62" s="5">
        <v>0</v>
      </c>
      <c r="V62" s="4" t="str">
        <f ca="1">VLOOKUP($W62,OFFSET([5]enemy_skill_sets!$B$1,0,0,COUNTA([5]enemy_skill_sets!$B:$B),MATCH(M$1,[5]enemy_skill_sets!$1:$1,0)-MATCH($W$1,[5]enemy_skill_sets!$1:$1,0)+2),MATCH(M$1,[5]enemy_skill_sets!$1:$1,0)-MATCH($W$1,[5]enemy_skill_sets!$1:$1,0)+2,FALSE)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62" s="4">
        <v>362</v>
      </c>
      <c r="X62" s="6">
        <v>0</v>
      </c>
      <c r="Y62" s="6">
        <v>100</v>
      </c>
      <c r="Z62" s="6">
        <v>0</v>
      </c>
      <c r="AA62" s="17">
        <f ca="1">VLOOKUP($L62,OFFSET([3]enemies!$A$1,0,0,COUNTA([3]enemies!$A:$A),MATCH(AA$1,[3]enemies!$1:$1,0)-MATCH($L$1,[3]enemies!$1:$1,0)+1),MATCH(AA$1,[3]enemies!$1:$1,0)-MATCH($L$1,[3]enemies!$1:$1,0)+1,FALSE)</f>
        <v>3</v>
      </c>
      <c r="AB62" s="24">
        <f t="shared" si="8"/>
        <v>362</v>
      </c>
      <c r="AC62" s="4" t="str">
        <f ca="1">VLOOKUP($AB62,OFFSET([4]characters!$A$1,0,0,COUNTA([4]characters!$A:$A),MATCH(AC$1,[4]characters!$1:$1,0)-MATCH("character_id",[4]characters!$1:$1,0)+1),MATCH(AC$1,[4]characters!$1:$1,0)-MATCH("character_id",[4]characters!$1:$1,0)+1,FALSE)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62" s="4">
        <f ca="1">VLOOKUP($AB62,OFFSET([4]characters!$A$1,0,0,COUNTA([4]characters!$A:$A),MATCH(AD$1,[4]characters!$1:$1,0)-MATCH("character_id",[4]characters!$1:$1,0)+1),MATCH(AD$1,[4]characters!$1:$1,0)-MATCH("character_id",[4]characters!$1:$1,0)+1,FALSE)</f>
        <v>2</v>
      </c>
      <c r="AE62" s="4" t="str">
        <f ca="1">VLOOKUP($AB62,OFFSET([4]characters!$A$1,0,0,COUNTA([4]characters!$A:$A),MATCH(AE$1,[4]characters!$1:$1,0)-MATCH("character_id",[4]characters!$1:$1,0)+1),MATCH(AE$1,[4]characters!$1:$1,0)-MATCH("character_id",[4]characters!$1:$1,0)+1,FALSE)</f>
        <v>Drop1S</v>
      </c>
      <c r="AF62" s="7">
        <v>1</v>
      </c>
      <c r="AG62" s="24">
        <f t="shared" ca="1" si="9"/>
        <v>2</v>
      </c>
      <c r="AH62" s="8">
        <v>0</v>
      </c>
      <c r="AI62" s="7">
        <v>0</v>
      </c>
      <c r="AJ62" s="7">
        <v>0</v>
      </c>
      <c r="AK62" s="7">
        <v>0</v>
      </c>
      <c r="AL62" s="7">
        <v>0</v>
      </c>
      <c r="AM62" s="7">
        <v>1</v>
      </c>
      <c r="AN62" s="69">
        <v>1</v>
      </c>
    </row>
    <row r="63" spans="1:40" ht="21" customHeight="1" x14ac:dyDescent="0.15">
      <c r="A63" s="16" t="str">
        <f t="shared" si="5"/>
        <v>11104_10-5/372&lt;lv52&gt;s1</v>
      </c>
      <c r="B63" s="22">
        <v>11104</v>
      </c>
      <c r="C63" s="21">
        <v>10</v>
      </c>
      <c r="D63" s="2" t="str">
        <f t="shared" si="6"/>
        <v>11104_10</v>
      </c>
      <c r="E63" s="4" t="str">
        <f ca="1">VLOOKUP($B63,OFFSET([2]quests!$A$1,0,0,COUNTA([2]quests!$A:$A),MATCH(E$1,[2]quests!$1:$1,0)-MATCH($B$1,[2]quests!$1:$1,0)+1),MATCH(E$1,[2]quests!$1:$1,0)-MATCH($B$1,[2]quests!$1:$1,0)+1,FALSE)</f>
        <v>【期間限定】 緑の素材</v>
      </c>
      <c r="F63" s="4" t="str">
        <f ca="1">VLOOKUP($D63,OFFSET([2]stages!$A$1,0,0,COUNTA([2]stages!$A:$A),MATCH(F$1,[2]stages!$2:$2,0)-MATCH($D$1,[2]stages!$2:$2,0)+1),MATCH(F$1,[2]stages!$2:$2,0)-MATCH($D$1,[2]stages!$2:$2,0)+1,FALSE)</f>
        <v>【超絶級】千風のグリフォン</v>
      </c>
      <c r="G63" s="21">
        <v>5</v>
      </c>
      <c r="H63" s="15" t="str">
        <f t="shared" si="7"/>
        <v>11104_10-5</v>
      </c>
      <c r="I63" s="4">
        <f ca="1">VLOOKUP($H63,OFFSET(floors!$A$1,0,0,COUNTA(floors!$A:$A),MATCH(I$1,floors!$1:$1,0)-MATCH($H$1,floors!$1:$1,0)+1),MATCH(I$1,floors!$1:$1,0)-MATCH($H$1,floors!$1:$1,0)+1,FALSE)</f>
        <v>60</v>
      </c>
      <c r="J63" s="4">
        <f ca="1">VLOOKUP($H63,OFFSET(floors!$A$1,0,0,COUNTA(floors!$A:$A),MATCH(J$1,floors!$1:$1,0)-MATCH($H$1,floors!$1:$1,0)+1),MATCH(J$1,floors!$1:$1,0)-MATCH($H$1,floors!$1:$1,0)+1,FALSE)</f>
        <v>60</v>
      </c>
      <c r="K63" s="100" t="s">
        <v>209</v>
      </c>
      <c r="L63" s="99">
        <v>372</v>
      </c>
      <c r="M63" s="17" t="str">
        <f ca="1">VLOOKUP($L63,OFFSET([3]enemies!$A$1,0,0,COUNTA([3]enemies!$A:$A),MATCH(M$1,[3]enemies!$1:$1,0)-MATCH($L$1,[3]enemies!$1:$1,0)+1),MATCH(M$1,[3]enemies!$1:$1,0)-MATCH($L$1,[3]enemies!$1:$1,0)+1,FALSE)</f>
        <v>バショー</v>
      </c>
      <c r="N63" s="17" t="str">
        <f ca="1">VLOOKUP($L63,OFFSET([3]enemies!$A$1,0,0,COUNTA([3]enemies!$A:$A),MATCH(N$1,[3]enemies!$1:$1,0)-MATCH($L$1,[3]enemies!$1:$1,0)+1),MATCH(N$1,[3]enemies!$1:$1,0)-MATCH($L$1,[3]enemies!$1:$1,0)+1,FALSE)</f>
        <v>green</v>
      </c>
      <c r="O63" s="17" t="str">
        <f ca="1">VLOOKUP($L63,OFFSET([4]characters!$A$1,0,0,COUNTA([4]characters!$A:$A),MATCH(O$1,[4]characters!$1:$1,0)-MATCH($L$1,[4]characters!$1:$1,0)+1),MATCH(O$1,[4]characters!$1:$1,0)-MATCH($L$1,[4]characters!$1:$1,0)+1,FALSE)</f>
        <v>Drop1S</v>
      </c>
      <c r="P63" s="17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17">
        <f ca="1">VLOOKUP($L63,OFFSET([3]enemies!$A$1,0,0,COUNTA([3]enemies!$A:$A),MATCH(Q$1,[3]enemies!$1:$1,0)-MATCH($L$1,[3]enemies!$1:$1,0)+1),MATCH(Q$1,[3]enemies!$1:$1,0)-MATCH($L$1,[3]enemies!$1:$1,0)+1,FALSE)</f>
        <v>15</v>
      </c>
      <c r="R63" s="5">
        <v>52</v>
      </c>
      <c r="S63" s="25">
        <v>1.9</v>
      </c>
      <c r="T63" s="25">
        <v>1.2</v>
      </c>
      <c r="U63" s="5">
        <v>0</v>
      </c>
      <c r="V63" s="4" t="str">
        <f ca="1">VLOOKUP($W63,OFFSET(enemy_skill_sets!$B$1,0,0,COUNTA(enemy_skill_sets!$B:$B),MATCH(M$1,enemy_skill_sets!$1:$1,0)-MATCH($W$1,enemy_skill_sets!$1:$1,0)+2),MATCH(M$1,enemy_skill_sets!$1:$1,0)-MATCH($W$1,enemy_skill_sets!$1:$1,0)+2,FALSE)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63" s="4">
        <v>1122202</v>
      </c>
      <c r="X63" s="6">
        <v>0</v>
      </c>
      <c r="Y63" s="6">
        <v>100</v>
      </c>
      <c r="Z63" s="6">
        <v>0</v>
      </c>
      <c r="AA63" s="17">
        <v>1</v>
      </c>
      <c r="AB63" s="24">
        <f t="shared" si="8"/>
        <v>372</v>
      </c>
      <c r="AC63" s="4" t="str">
        <f ca="1">VLOOKUP($AB63,OFFSET([4]characters!$A$1,0,0,COUNTA([4]characters!$A:$A),MATCH(AC$1,[4]characters!$1:$1,0)-MATCH("character_id",[4]characters!$1:$1,0)+1),MATCH(AC$1,[4]characters!$1:$1,0)-MATCH("character_id",[4]characters!$1:$1,0)+1,FALSE)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63" s="4">
        <f ca="1">VLOOKUP($AB63,OFFSET([4]characters!$A$1,0,0,COUNTA([4]characters!$A:$A),MATCH(AD$1,[4]characters!$1:$1,0)-MATCH("character_id",[4]characters!$1:$1,0)+1),MATCH(AD$1,[4]characters!$1:$1,0)-MATCH("character_id",[4]characters!$1:$1,0)+1,FALSE)</f>
        <v>2</v>
      </c>
      <c r="AE63" s="4" t="str">
        <f ca="1">VLOOKUP($AB63,OFFSET([4]characters!$A$1,0,0,COUNTA([4]characters!$A:$A),MATCH(AE$1,[4]characters!$1:$1,0)-MATCH("character_id",[4]characters!$1:$1,0)+1),MATCH(AE$1,[4]characters!$1:$1,0)-MATCH("character_id",[4]characters!$1:$1,0)+1,FALSE)</f>
        <v>Drop1S</v>
      </c>
      <c r="AF63" s="7">
        <v>1</v>
      </c>
      <c r="AG63" s="24">
        <f t="shared" ca="1" si="9"/>
        <v>2</v>
      </c>
      <c r="AH63" s="8">
        <v>0</v>
      </c>
      <c r="AI63" s="7">
        <v>0</v>
      </c>
      <c r="AJ63" s="7">
        <v>0</v>
      </c>
      <c r="AK63" s="7">
        <v>0</v>
      </c>
      <c r="AL63" s="7">
        <v>0</v>
      </c>
      <c r="AM63" s="7">
        <v>1</v>
      </c>
      <c r="AN63" s="69">
        <v>1</v>
      </c>
    </row>
    <row r="64" spans="1:40" ht="21" customHeight="1" x14ac:dyDescent="0.15">
      <c r="A64" s="16" t="str">
        <f t="shared" si="5"/>
        <v>11104_10-6/357&lt;lv50&gt;s2</v>
      </c>
      <c r="B64" s="22">
        <v>11104</v>
      </c>
      <c r="C64" s="21">
        <v>10</v>
      </c>
      <c r="D64" s="2" t="str">
        <f t="shared" si="6"/>
        <v>11104_10</v>
      </c>
      <c r="E64" s="4" t="str">
        <f ca="1">VLOOKUP($B64,OFFSET([2]quests!$A$1,0,0,COUNTA([2]quests!$A:$A),MATCH(E$1,[2]quests!$1:$1,0)-MATCH($B$1,[2]quests!$1:$1,0)+1),MATCH(E$1,[2]quests!$1:$1,0)-MATCH($B$1,[2]quests!$1:$1,0)+1,FALSE)</f>
        <v>【期間限定】 緑の素材</v>
      </c>
      <c r="F64" s="4" t="str">
        <f ca="1">VLOOKUP($D64,OFFSET([2]stages!$A$1,0,0,COUNTA([2]stages!$A:$A),MATCH(F$1,[2]stages!$2:$2,0)-MATCH($D$1,[2]stages!$2:$2,0)+1),MATCH(F$1,[2]stages!$2:$2,0)-MATCH($D$1,[2]stages!$2:$2,0)+1,FALSE)</f>
        <v>【超絶級】千風のグリフォン</v>
      </c>
      <c r="G64" s="21">
        <v>6</v>
      </c>
      <c r="H64" s="15" t="str">
        <f t="shared" si="7"/>
        <v>11104_10-6</v>
      </c>
      <c r="I64" s="4">
        <f ca="1">VLOOKUP($H64,OFFSET(floors!$A$1,0,0,COUNTA(floors!$A:$A),MATCH(I$1,floors!$1:$1,0)-MATCH($H$1,floors!$1:$1,0)+1),MATCH(I$1,floors!$1:$1,0)-MATCH($H$1,floors!$1:$1,0)+1,FALSE)</f>
        <v>60</v>
      </c>
      <c r="J64" s="4">
        <f ca="1">VLOOKUP($H64,OFFSET(floors!$A$1,0,0,COUNTA(floors!$A:$A),MATCH(J$1,floors!$1:$1,0)-MATCH($H$1,floors!$1:$1,0)+1),MATCH(J$1,floors!$1:$1,0)-MATCH($H$1,floors!$1:$1,0)+1,FALSE)</f>
        <v>60</v>
      </c>
      <c r="K64" s="100" t="s">
        <v>209</v>
      </c>
      <c r="L64" s="99">
        <v>357</v>
      </c>
      <c r="M64" s="17" t="str">
        <f ca="1">VLOOKUP($L64,OFFSET([3]enemies!$A$1,0,0,COUNTA([3]enemies!$A:$A),MATCH(M$1,[3]enemies!$1:$1,0)-MATCH($L$1,[3]enemies!$1:$1,0)+1),MATCH(M$1,[3]enemies!$1:$1,0)-MATCH($L$1,[3]enemies!$1:$1,0)+1,FALSE)</f>
        <v>千風のグリフォン</v>
      </c>
      <c r="N64" s="17" t="str">
        <f ca="1">VLOOKUP($L64,OFFSET([3]enemies!$A$1,0,0,COUNTA([3]enemies!$A:$A),MATCH(N$1,[3]enemies!$1:$1,0)-MATCH($L$1,[3]enemies!$1:$1,0)+1),MATCH(N$1,[3]enemies!$1:$1,0)-MATCH($L$1,[3]enemies!$1:$1,0)+1,FALSE)</f>
        <v>green</v>
      </c>
      <c r="O64" s="17" t="str">
        <f ca="1">VLOOKUP($L64,OFFSET([4]characters!$A$1,0,0,COUNTA([4]characters!$A:$A),MATCH(O$1,[4]characters!$1:$1,0)-MATCH($L$1,[4]characters!$1:$1,0)+1),MATCH(O$1,[4]characters!$1:$1,0)-MATCH($L$1,[4]characters!$1:$1,0)+1,FALSE)</f>
        <v>Material</v>
      </c>
      <c r="P64" s="17" t="str">
        <f ca="1">VLOOKUP($L64,OFFSET([3]enemies!$A$1,0,0,COUNTA([3]enemies!$A:$A),MATCH(P$1,[3]enemies!$1:$1,0)-MATCH($L$1,[3]enemies!$1:$1,0)+1),MATCH(P$1,[3]enemies!$1:$1,0)-MATCH($L$1,[3]enemies!$1:$1,0)+1,FALSE)</f>
        <v>unknown</v>
      </c>
      <c r="Q64" s="17">
        <f ca="1">VLOOKUP($L64,OFFSET([3]enemies!$A$1,0,0,COUNTA([3]enemies!$A:$A),MATCH(Q$1,[3]enemies!$1:$1,0)-MATCH($L$1,[3]enemies!$1:$1,0)+1),MATCH(Q$1,[3]enemies!$1:$1,0)-MATCH($L$1,[3]enemies!$1:$1,0)+1,FALSE)</f>
        <v>20</v>
      </c>
      <c r="R64" s="5">
        <v>50</v>
      </c>
      <c r="S64" s="25">
        <v>99</v>
      </c>
      <c r="T64" s="25">
        <v>46</v>
      </c>
      <c r="U64" s="5">
        <v>0</v>
      </c>
      <c r="V64" s="4" t="str">
        <f ca="1">VLOOKUP($W64,OFFSET(enemy_skill_sets!$B$1,0,0,COUNTA(enemy_skill_sets!$B:$B),MATCH(M$1,enemy_skill_sets!$1:$1,0)-MATCH($W$1,enemy_skill_sets!$1:$1,0)+2),MATCH(M$1,enemy_skill_sets!$1:$1,0)-MATCH($W$1,enemy_skill_sets!$1:$1,0)+2,FALSE)</f>
        <v>全体攻撃</v>
      </c>
      <c r="W64" s="4">
        <v>1122205</v>
      </c>
      <c r="X64" s="6">
        <v>1</v>
      </c>
      <c r="Y64" s="6">
        <v>100</v>
      </c>
      <c r="Z64" s="6">
        <v>1</v>
      </c>
      <c r="AA64" s="17">
        <v>2</v>
      </c>
      <c r="AB64" s="24">
        <f t="shared" si="8"/>
        <v>357</v>
      </c>
      <c r="AC64" s="4" t="str">
        <f ca="1">VLOOKUP($AB64,OFFSET([4]characters!$A$1,0,0,COUNTA([4]characters!$A:$A),MATCH(AC$1,[4]characters!$1:$1,0)-MATCH("character_id",[4]characters!$1:$1,0)+1),MATCH(AC$1,[4]characters!$1:$1,0)-MATCH("character_id",[4]characters!$1:$1,0)+1,FALSE)</f>
        <v>千風のグリフォン</v>
      </c>
      <c r="AD64" s="4">
        <f ca="1">VLOOKUP($AB64,OFFSET([4]characters!$A$1,0,0,COUNTA([4]characters!$A:$A),MATCH(AD$1,[4]characters!$1:$1,0)-MATCH("character_id",[4]characters!$1:$1,0)+1),MATCH(AD$1,[4]characters!$1:$1,0)-MATCH("character_id",[4]characters!$1:$1,0)+1,FALSE)</f>
        <v>5</v>
      </c>
      <c r="AE64" s="4" t="str">
        <f ca="1">VLOOKUP($AB64,OFFSET([4]characters!$A$1,0,0,COUNTA([4]characters!$A:$A),MATCH(AE$1,[4]characters!$1:$1,0)-MATCH("character_id",[4]characters!$1:$1,0)+1),MATCH(AE$1,[4]characters!$1:$1,0)-MATCH("character_id",[4]characters!$1:$1,0)+1,FALSE)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4" s="7">
        <v>1</v>
      </c>
      <c r="AG64" s="24">
        <f t="shared" ca="1" si="9"/>
        <v>5</v>
      </c>
      <c r="AH64" s="8">
        <v>100</v>
      </c>
      <c r="AI64" s="7">
        <v>0</v>
      </c>
      <c r="AJ64" s="7">
        <v>0</v>
      </c>
      <c r="AK64" s="7">
        <v>0</v>
      </c>
      <c r="AL64" s="7">
        <v>0</v>
      </c>
      <c r="AM64" s="7">
        <v>1</v>
      </c>
      <c r="AN64" s="69">
        <v>1</v>
      </c>
    </row>
    <row r="65" spans="1:40" ht="21" customHeight="1" x14ac:dyDescent="0.15">
      <c r="A65" s="16" t="str">
        <f t="shared" si="5"/>
        <v>11104_10-6/373&lt;lv52&gt;s2</v>
      </c>
      <c r="B65" s="22">
        <v>11104</v>
      </c>
      <c r="C65" s="21">
        <v>10</v>
      </c>
      <c r="D65" s="2" t="str">
        <f t="shared" si="6"/>
        <v>11104_10</v>
      </c>
      <c r="E65" s="4" t="str">
        <f ca="1">VLOOKUP($B65,OFFSET([2]quests!$A$1,0,0,COUNTA([2]quests!$A:$A),MATCH(E$1,[2]quests!$1:$1,0)-MATCH($B$1,[2]quests!$1:$1,0)+1),MATCH(E$1,[2]quests!$1:$1,0)-MATCH($B$1,[2]quests!$1:$1,0)+1,FALSE)</f>
        <v>【期間限定】 緑の素材</v>
      </c>
      <c r="F65" s="4" t="str">
        <f ca="1">VLOOKUP($D65,OFFSET([2]stages!$A$1,0,0,COUNTA([2]stages!$A:$A),MATCH(F$1,[2]stages!$2:$2,0)-MATCH($D$1,[2]stages!$2:$2,0)+1),MATCH(F$1,[2]stages!$2:$2,0)-MATCH($D$1,[2]stages!$2:$2,0)+1,FALSE)</f>
        <v>【超絶級】千風のグリフォン</v>
      </c>
      <c r="G65" s="21">
        <v>6</v>
      </c>
      <c r="H65" s="15" t="str">
        <f t="shared" si="7"/>
        <v>11104_10-6</v>
      </c>
      <c r="I65" s="4">
        <f ca="1">VLOOKUP($H65,OFFSET(floors!$A$1,0,0,COUNTA(floors!$A:$A),MATCH(I$1,floors!$1:$1,0)-MATCH($H$1,floors!$1:$1,0)+1),MATCH(I$1,floors!$1:$1,0)-MATCH($H$1,floors!$1:$1,0)+1,FALSE)</f>
        <v>60</v>
      </c>
      <c r="J65" s="4">
        <f ca="1">VLOOKUP($H65,OFFSET(floors!$A$1,0,0,COUNTA(floors!$A:$A),MATCH(J$1,floors!$1:$1,0)-MATCH($H$1,floors!$1:$1,0)+1),MATCH(J$1,floors!$1:$1,0)-MATCH($H$1,floors!$1:$1,0)+1,FALSE)</f>
        <v>60</v>
      </c>
      <c r="K65" s="100" t="s">
        <v>209</v>
      </c>
      <c r="L65" s="99">
        <v>373</v>
      </c>
      <c r="M65" s="17" t="str">
        <f ca="1">VLOOKUP($L65,OFFSET([3]enemies!$A$1,0,0,COUNTA([3]enemies!$A:$A),MATCH(M$1,[3]enemies!$1:$1,0)-MATCH($L$1,[3]enemies!$1:$1,0)+1),MATCH(M$1,[3]enemies!$1:$1,0)-MATCH($L$1,[3]enemies!$1:$1,0)+1,FALSE)</f>
        <v>夢幻俳聖 バショー</v>
      </c>
      <c r="N65" s="17" t="str">
        <f ca="1">VLOOKUP($L65,OFFSET([3]enemies!$A$1,0,0,COUNTA([3]enemies!$A:$A),MATCH(N$1,[3]enemies!$1:$1,0)-MATCH($L$1,[3]enemies!$1:$1,0)+1),MATCH(N$1,[3]enemies!$1:$1,0)-MATCH($L$1,[3]enemies!$1:$1,0)+1,FALSE)</f>
        <v>green</v>
      </c>
      <c r="O65" s="17" t="str">
        <f ca="1">VLOOKUP($L65,OFFSET([4]characters!$A$1,0,0,COUNTA([4]characters!$A:$A),MATCH(O$1,[4]characters!$1:$1,0)-MATCH($L$1,[4]characters!$1:$1,0)+1),MATCH(O$1,[4]characters!$1:$1,0)-MATCH($L$1,[4]characters!$1:$1,0)+1,FALSE)</f>
        <v>Drop1S</v>
      </c>
      <c r="P65" s="17" t="str">
        <f ca="1">VLOOKUP($L65,OFFSET([3]enemies!$A$1,0,0,COUNTA([3]enemies!$A:$A),MATCH(P$1,[3]enemies!$1:$1,0)-MATCH($L$1,[3]enemies!$1:$1,0)+1),MATCH(P$1,[3]enemies!$1:$1,0)-MATCH($L$1,[3]enemies!$1:$1,0)+1,FALSE)</f>
        <v>unknown</v>
      </c>
      <c r="Q65" s="17">
        <f ca="1">VLOOKUP($L65,OFFSET([3]enemies!$A$1,0,0,COUNTA([3]enemies!$A:$A),MATCH(Q$1,[3]enemies!$1:$1,0)-MATCH($L$1,[3]enemies!$1:$1,0)+1),MATCH(Q$1,[3]enemies!$1:$1,0)-MATCH($L$1,[3]enemies!$1:$1,0)+1,FALSE)</f>
        <v>20</v>
      </c>
      <c r="R65" s="5">
        <v>52</v>
      </c>
      <c r="S65" s="25">
        <v>1.9</v>
      </c>
      <c r="T65" s="25">
        <v>1.2</v>
      </c>
      <c r="U65" s="5">
        <v>0</v>
      </c>
      <c r="V65" s="4" t="str">
        <f ca="1">VLOOKUP($W65,OFFSET(enemy_skill_sets!$B$1,0,0,COUNTA(enemy_skill_sets!$B:$B),MATCH(M$1,enemy_skill_sets!$1:$1,0)-MATCH($W$1,enemy_skill_sets!$1:$1,0)+2),MATCH(M$1,enemy_skill_sets!$1:$1,0)-MATCH($W$1,enemy_skill_sets!$1:$1,0)+2,FALSE)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65" s="4">
        <v>1122202</v>
      </c>
      <c r="X65" s="6">
        <v>2</v>
      </c>
      <c r="Y65" s="6">
        <v>100</v>
      </c>
      <c r="Z65" s="6">
        <v>0</v>
      </c>
      <c r="AA65" s="17">
        <v>2</v>
      </c>
      <c r="AB65" s="24">
        <f t="shared" si="8"/>
        <v>373</v>
      </c>
      <c r="AC65" s="4" t="str">
        <f ca="1">VLOOKUP($AB65,OFFSET([4]characters!$A$1,0,0,COUNTA([4]characters!$A:$A),MATCH(AC$1,[4]characters!$1:$1,0)-MATCH("character_id",[4]characters!$1:$1,0)+1),MATCH(AC$1,[4]characters!$1:$1,0)-MATCH("character_id",[4]characters!$1:$1,0)+1,FALSE)</f>
        <v>夢幻俳聖 バショー</v>
      </c>
      <c r="AD65" s="4">
        <f ca="1">VLOOKUP($AB65,OFFSET([4]characters!$A$1,0,0,COUNTA([4]characters!$A:$A),MATCH(AD$1,[4]characters!$1:$1,0)-MATCH("character_id",[4]characters!$1:$1,0)+1),MATCH(AD$1,[4]characters!$1:$1,0)-MATCH("character_id",[4]characters!$1:$1,0)+1,FALSE)</f>
        <v>3</v>
      </c>
      <c r="AE65" s="4" t="str">
        <f ca="1">VLOOKUP($AB65,OFFSET([4]characters!$A$1,0,0,COUNTA([4]characters!$A:$A),MATCH(AE$1,[4]characters!$1:$1,0)-MATCH("character_id",[4]characters!$1:$1,0)+1),MATCH(AE$1,[4]characters!$1:$1,0)-MATCH("character_id",[4]characters!$1:$1,0)+1,FALSE)</f>
        <v>Drop1S</v>
      </c>
      <c r="AF65" s="7">
        <v>1</v>
      </c>
      <c r="AG65" s="24">
        <f t="shared" ca="1" si="9"/>
        <v>3</v>
      </c>
      <c r="AH65" s="8">
        <v>0</v>
      </c>
      <c r="AI65" s="7">
        <v>0</v>
      </c>
      <c r="AJ65" s="7">
        <v>0</v>
      </c>
      <c r="AK65" s="7">
        <v>0</v>
      </c>
      <c r="AL65" s="7">
        <v>0</v>
      </c>
      <c r="AM65" s="7">
        <v>1</v>
      </c>
      <c r="AN65" s="69">
        <v>1</v>
      </c>
    </row>
    <row r="66" spans="1:40" ht="21" customHeight="1" x14ac:dyDescent="0.15">
      <c r="A66" s="16" t="str">
        <f>B66&amp;"_"&amp;C66&amp;"-"&amp;G66&amp;"/"&amp;L66&amp;"&lt;lv"&amp;R66&amp;"&gt;s"&amp;AA66</f>
        <v>11001_10-1/366&lt;lv52&gt;s2</v>
      </c>
      <c r="B66" s="22">
        <v>11001</v>
      </c>
      <c r="C66" s="21">
        <v>10</v>
      </c>
      <c r="D66" s="2" t="str">
        <f>B66&amp;"_"&amp;C66</f>
        <v>11001_10</v>
      </c>
      <c r="E66" s="4" t="str">
        <f ca="1">VLOOKUP($B66,OFFSET([2]quests!$A$1,0,0,COUNTA([2]quests!$A:$A),MATCH(E$1,[2]quests!$1:$1,0)-MATCH($B$1,[2]quests!$1:$1,0)+1),MATCH(E$1,[2]quests!$1:$1,0)-MATCH($B$1,[2]quests!$1:$1,0)+1,FALSE)</f>
        <v>【月曜限定】 黄の素材</v>
      </c>
      <c r="F66" s="4" t="str">
        <f ca="1">VLOOKUP($D66,OFFSET([2]stages!$A$1,0,0,COUNTA([2]stages!$A:$A),MATCH(F$1,[2]stages!$2:$2,0)-MATCH($D$1,[2]stages!$2:$2,0)+1),MATCH(F$1,[2]stages!$2:$2,0)-MATCH($D$1,[2]stages!$2:$2,0)+1,FALSE)</f>
        <v>【超絶級】醒電の眠りネズミ</v>
      </c>
      <c r="G66" s="21">
        <v>1</v>
      </c>
      <c r="H66" s="15" t="str">
        <f>B66&amp;"_"&amp;C66&amp;"-"&amp;G66</f>
        <v>11001_10-1</v>
      </c>
      <c r="I66" s="4">
        <f ca="1">VLOOKUP($H66,OFFSET(floors!$A$1,0,0,COUNTA(floors!$A:$A),MATCH(I$1,floors!$1:$1,0)-MATCH($H$1,floors!$1:$1,0)+1),MATCH(I$1,floors!$1:$1,0)-MATCH($H$1,floors!$1:$1,0)+1,FALSE)</f>
        <v>30</v>
      </c>
      <c r="J66" s="4">
        <f ca="1">VLOOKUP($H66,OFFSET(floors!$A$1,0,0,COUNTA(floors!$A:$A),MATCH(J$1,floors!$1:$1,0)-MATCH($H$1,floors!$1:$1,0)+1),MATCH(J$1,floors!$1:$1,0)-MATCH($H$1,floors!$1:$1,0)+1,FALSE)</f>
        <v>45</v>
      </c>
      <c r="K66" s="100" t="s">
        <v>209</v>
      </c>
      <c r="L66" s="107">
        <v>366</v>
      </c>
      <c r="M66" s="17" t="str">
        <f ca="1">VLOOKUP($L66,OFFSET([3]enemies!$A$1,0,0,COUNTA([3]enemies!$A:$A),MATCH(M$1,[3]enemies!$1:$1,0)-MATCH($L$1,[3]enemies!$1:$1,0)+1),MATCH(M$1,[3]enemies!$1:$1,0)-MATCH($L$1,[3]enemies!$1:$1,0)+1,FALSE)</f>
        <v>トト</v>
      </c>
      <c r="N66" s="17" t="str">
        <f ca="1">VLOOKUP($L66,OFFSET([3]enemies!$A$1,0,0,COUNTA([3]enemies!$A:$A),MATCH(N$1,[3]enemies!$1:$1,0)-MATCH($L$1,[3]enemies!$1:$1,0)+1),MATCH(N$1,[3]enemies!$1:$1,0)-MATCH($L$1,[3]enemies!$1:$1,0)+1,FALSE)</f>
        <v>yellow</v>
      </c>
      <c r="O66" s="17" t="str">
        <f ca="1">VLOOKUP($L66,OFFSET([4]characters!$A$1,0,0,COUNTA([4]characters!$A:$A),MATCH(O$1,[4]characters!$1:$1,0)-MATCH($L$1,[4]characters!$1:$1,0)+1),MATCH(O$1,[4]characters!$1:$1,0)-MATCH($L$1,[4]characters!$1:$1,0)+1,FALSE)</f>
        <v>Drop1S</v>
      </c>
      <c r="P66" s="17" t="str">
        <f ca="1">VLOOKUP($L66,OFFSET([3]enemies!$A$1,0,0,COUNTA([3]enemies!$A:$A),MATCH(P$1,[3]enemies!$1:$1,0)-MATCH($L$1,[3]enemies!$1:$1,0)+1),MATCH(P$1,[3]enemies!$1:$1,0)-MATCH($L$1,[3]enemies!$1:$1,0)+1,FALSE)</f>
        <v>animal</v>
      </c>
      <c r="Q66" s="17">
        <f ca="1">VLOOKUP($L66,OFFSET([3]enemies!$A$1,0,0,COUNTA([3]enemies!$A:$A),MATCH(Q$1,[3]enemies!$1:$1,0)-MATCH($L$1,[3]enemies!$1:$1,0)+1),MATCH(Q$1,[3]enemies!$1:$1,0)-MATCH($L$1,[3]enemies!$1:$1,0)+1,FALSE)</f>
        <v>15</v>
      </c>
      <c r="R66" s="5">
        <v>52</v>
      </c>
      <c r="S66" s="25">
        <v>1.8</v>
      </c>
      <c r="T66" s="25">
        <v>0.9</v>
      </c>
      <c r="U66" s="5">
        <v>0</v>
      </c>
      <c r="V66" s="4" t="str">
        <f ca="1">VLOOKUP($W66,OFFSET(enemy_skill_sets!$B$1,0,0,COUNTA(enemy_skill_sets!$B:$B),MATCH(M$1,enemy_skill_sets!$1:$1,0)-MATCH($W$1,enemy_skill_sets!$1:$1,0)+2),MATCH(M$1,enemy_skill_sets!$1:$1,0)-MATCH($W$1,enemy_skill_sets!$1:$1,0)+2,FALSE)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66" s="110">
        <v>1122213</v>
      </c>
      <c r="X66" s="6">
        <v>1</v>
      </c>
      <c r="Y66" s="6">
        <v>100</v>
      </c>
      <c r="Z66" s="6">
        <v>0</v>
      </c>
      <c r="AA66" s="17">
        <v>2</v>
      </c>
      <c r="AB66" s="24">
        <f>L66</f>
        <v>366</v>
      </c>
      <c r="AC66" s="4" t="str">
        <f ca="1">VLOOKUP($AB66,OFFSET([4]characters!$A$1,0,0,COUNTA([4]characters!$A:$A),MATCH(AC$1,[4]characters!$1:$1,0)-MATCH("character_id",[4]characters!$1:$1,0)+1),MATCH(AC$1,[4]characters!$1:$1,0)-MATCH("character_id",[4]characters!$1:$1,0)+1,FALSE)</f>
        <v>トト</v>
      </c>
      <c r="AD66" s="4">
        <f ca="1">VLOOKUP($AB66,OFFSET([4]characters!$A$1,0,0,COUNTA([4]characters!$A:$A),MATCH(AD$1,[4]characters!$1:$1,0)-MATCH("character_id",[4]characters!$1:$1,0)+1),MATCH(AD$1,[4]characters!$1:$1,0)-MATCH("character_id",[4]characters!$1:$1,0)+1,FALSE)</f>
        <v>2</v>
      </c>
      <c r="AE66" s="4" t="str">
        <f ca="1">VLOOKUP($AB66,OFFSET([4]characters!$A$1,0,0,COUNTA([4]characters!$A:$A),MATCH(AE$1,[4]characters!$1:$1,0)-MATCH("character_id",[4]characters!$1:$1,0)+1),MATCH(AE$1,[4]characters!$1:$1,0)-MATCH("character_id",[4]characters!$1:$1,0)+1,FALSE)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6" s="7">
        <v>1</v>
      </c>
      <c r="AG66" s="24">
        <f ca="1">AD66</f>
        <v>2</v>
      </c>
      <c r="AH66" s="8">
        <v>0</v>
      </c>
      <c r="AI66" s="7">
        <v>0</v>
      </c>
      <c r="AJ66" s="7">
        <v>0</v>
      </c>
      <c r="AK66" s="7">
        <v>0</v>
      </c>
      <c r="AL66" s="7">
        <v>0</v>
      </c>
      <c r="AM66" s="7">
        <v>1</v>
      </c>
      <c r="AN66" s="69">
        <v>1</v>
      </c>
    </row>
    <row r="67" spans="1:40" ht="21" customHeight="1" x14ac:dyDescent="0.15">
      <c r="A67" s="16" t="str">
        <f>B67&amp;"_"&amp;C67&amp;"-"&amp;G67&amp;"/"&amp;L67&amp;"&lt;lv"&amp;R67&amp;"&gt;s"&amp;AA67</f>
        <v>11001_10-1/412&lt;lv52&gt;s1</v>
      </c>
      <c r="B67" s="22">
        <v>11001</v>
      </c>
      <c r="C67" s="21">
        <v>10</v>
      </c>
      <c r="D67" s="2" t="str">
        <f>B67&amp;"_"&amp;C67</f>
        <v>11001_10</v>
      </c>
      <c r="E67" s="4" t="str">
        <f ca="1">VLOOKUP($B67,OFFSET([2]quests!$A$1,0,0,COUNTA([2]quests!$A:$A),MATCH(E$1,[2]quests!$1:$1,0)-MATCH($B$1,[2]quests!$1:$1,0)+1),MATCH(E$1,[2]quests!$1:$1,0)-MATCH($B$1,[2]quests!$1:$1,0)+1,FALSE)</f>
        <v>【月曜限定】 黄の素材</v>
      </c>
      <c r="F67" s="4" t="str">
        <f ca="1">VLOOKUP($D67,OFFSET([2]stages!$A$1,0,0,COUNTA([2]stages!$A:$A),MATCH(F$1,[2]stages!$2:$2,0)-MATCH($D$1,[2]stages!$2:$2,0)+1),MATCH(F$1,[2]stages!$2:$2,0)-MATCH($D$1,[2]stages!$2:$2,0)+1,FALSE)</f>
        <v>【超絶級】醒電の眠りネズミ</v>
      </c>
      <c r="G67" s="21">
        <v>1</v>
      </c>
      <c r="H67" s="15" t="str">
        <f>B67&amp;"_"&amp;C67&amp;"-"&amp;G67</f>
        <v>11001_10-1</v>
      </c>
      <c r="I67" s="4">
        <f ca="1">VLOOKUP($H67,OFFSET(floors!$A$1,0,0,COUNTA(floors!$A:$A),MATCH(I$1,floors!$1:$1,0)-MATCH($H$1,floors!$1:$1,0)+1),MATCH(I$1,floors!$1:$1,0)-MATCH($H$1,floors!$1:$1,0)+1,FALSE)</f>
        <v>30</v>
      </c>
      <c r="J67" s="4">
        <f ca="1">VLOOKUP($H67,OFFSET(floors!$A$1,0,0,COUNTA(floors!$A:$A),MATCH(J$1,floors!$1:$1,0)-MATCH($H$1,floors!$1:$1,0)+1),MATCH(J$1,floors!$1:$1,0)-MATCH($H$1,floors!$1:$1,0)+1,FALSE)</f>
        <v>45</v>
      </c>
      <c r="K67" s="100" t="s">
        <v>209</v>
      </c>
      <c r="L67" s="107">
        <v>412</v>
      </c>
      <c r="M67" s="17" t="str">
        <f ca="1">VLOOKUP($L67,OFFSET([3]enemies!$A$1,0,0,COUNTA([3]enemies!$A:$A),MATCH(M$1,[3]enemies!$1:$1,0)-MATCH($L$1,[3]enemies!$1:$1,0)+1),MATCH(M$1,[3]enemies!$1:$1,0)-MATCH($L$1,[3]enemies!$1:$1,0)+1,FALSE)</f>
        <v>コウネン</v>
      </c>
      <c r="N67" s="17" t="str">
        <f ca="1">VLOOKUP($L67,OFFSET([3]enemies!$A$1,0,0,COUNTA([3]enemies!$A:$A),MATCH(N$1,[3]enemies!$1:$1,0)-MATCH($L$1,[3]enemies!$1:$1,0)+1),MATCH(N$1,[3]enemies!$1:$1,0)-MATCH($L$1,[3]enemies!$1:$1,0)+1,FALSE)</f>
        <v>yellow</v>
      </c>
      <c r="O67" s="17" t="str">
        <f ca="1">VLOOKUP($L67,OFFSET([4]characters!$A$1,0,0,COUNTA([4]characters!$A:$A),MATCH(O$1,[4]characters!$1:$1,0)-MATCH($L$1,[4]characters!$1:$1,0)+1),MATCH(O$1,[4]characters!$1:$1,0)-MATCH($L$1,[4]characters!$1:$1,0)+1,FALSE)</f>
        <v>Drop1S</v>
      </c>
      <c r="P67" s="17" t="str">
        <f ca="1">VLOOKUP($L67,OFFSET([3]enemies!$A$1,0,0,COUNTA([3]enemies!$A:$A),MATCH(P$1,[3]enemies!$1:$1,0)-MATCH($L$1,[3]enemies!$1:$1,0)+1),MATCH(P$1,[3]enemies!$1:$1,0)-MATCH($L$1,[3]enemies!$1:$1,0)+1,FALSE)</f>
        <v>unknown</v>
      </c>
      <c r="Q67" s="17">
        <v>25</v>
      </c>
      <c r="R67" s="5">
        <v>52</v>
      </c>
      <c r="S67" s="25">
        <v>1.2</v>
      </c>
      <c r="T67" s="25">
        <v>1.2</v>
      </c>
      <c r="U67" s="5">
        <v>0</v>
      </c>
      <c r="V67" s="4" t="str">
        <f ca="1">VLOOKUP($W67,OFFSET(enemy_skill_sets!$B$1,0,0,COUNTA(enemy_skill_sets!$B:$B),MATCH(M$1,enemy_skill_sets!$1:$1,0)-MATCH($W$1,enemy_skill_sets!$1:$1,0)+2),MATCH(M$1,enemy_skill_sets!$1:$1,0)-MATCH($W$1,enemy_skill_sets!$1:$1,0)+2,FALSE)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67" s="109">
        <v>1122207</v>
      </c>
      <c r="X67" s="6">
        <v>1</v>
      </c>
      <c r="Y67" s="6">
        <v>100</v>
      </c>
      <c r="Z67" s="6">
        <v>0</v>
      </c>
      <c r="AA67" s="17">
        <v>1</v>
      </c>
      <c r="AB67" s="24">
        <f>L67</f>
        <v>412</v>
      </c>
      <c r="AC67" s="4" t="str">
        <f ca="1">VLOOKUP($AB67,OFFSET([4]characters!$A$1,0,0,COUNTA([4]characters!$A:$A),MATCH(AC$1,[4]characters!$1:$1,0)-MATCH("character_id",[4]characters!$1:$1,0)+1),MATCH(AC$1,[4]characters!$1:$1,0)-MATCH("character_id",[4]characters!$1:$1,0)+1,FALSE)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67" s="4">
        <f ca="1">VLOOKUP($AB67,OFFSET([4]characters!$A$1,0,0,COUNTA([4]characters!$A:$A),MATCH(AD$1,[4]characters!$1:$1,0)-MATCH("character_id",[4]characters!$1:$1,0)+1),MATCH(AD$1,[4]characters!$1:$1,0)-MATCH("character_id",[4]characters!$1:$1,0)+1,FALSE)</f>
        <v>2</v>
      </c>
      <c r="AE67" s="4" t="str">
        <f ca="1">VLOOKUP($AB67,OFFSET([4]characters!$A$1,0,0,COUNTA([4]characters!$A:$A),MATCH(AE$1,[4]characters!$1:$1,0)-MATCH("character_id",[4]characters!$1:$1,0)+1),MATCH(AE$1,[4]characters!$1:$1,0)-MATCH("character_id",[4]characters!$1:$1,0)+1,FALSE)</f>
        <v>Drop1S</v>
      </c>
      <c r="AF67" s="7">
        <v>1</v>
      </c>
      <c r="AG67" s="24">
        <f ca="1">AD67</f>
        <v>2</v>
      </c>
      <c r="AH67" s="8">
        <v>0</v>
      </c>
      <c r="AI67" s="7">
        <v>0</v>
      </c>
      <c r="AJ67" s="7">
        <v>0</v>
      </c>
      <c r="AK67" s="7">
        <v>0</v>
      </c>
      <c r="AL67" s="7">
        <v>0</v>
      </c>
      <c r="AM67" s="7">
        <v>1</v>
      </c>
      <c r="AN67" s="69">
        <v>1</v>
      </c>
    </row>
    <row r="68" spans="1:40" ht="21" customHeight="1" x14ac:dyDescent="0.15">
      <c r="A68" s="16" t="str">
        <f t="shared" ref="A68:A97" si="10">B68&amp;"_"&amp;C68&amp;"-"&amp;G68&amp;"/"&amp;L68&amp;"&lt;lv"&amp;R68&amp;"&gt;s"&amp;AA68</f>
        <v>11001_10-2/366&lt;lv52&gt;s2</v>
      </c>
      <c r="B68" s="22">
        <v>11001</v>
      </c>
      <c r="C68" s="21">
        <v>10</v>
      </c>
      <c r="D68" s="2" t="str">
        <f t="shared" ref="D68:D97" si="11">B68&amp;"_"&amp;C68</f>
        <v>11001_10</v>
      </c>
      <c r="E68" s="4" t="str">
        <f ca="1">VLOOKUP($B68,OFFSET([2]quests!$A$1,0,0,COUNTA([2]quests!$A:$A),MATCH(E$1,[2]quests!$1:$1,0)-MATCH($B$1,[2]quests!$1:$1,0)+1),MATCH(E$1,[2]quests!$1:$1,0)-MATCH($B$1,[2]quests!$1:$1,0)+1,FALSE)</f>
        <v>【月曜限定】 黄の素材</v>
      </c>
      <c r="F68" s="4" t="str">
        <f ca="1">VLOOKUP($D68,OFFSET([2]stages!$A$1,0,0,COUNTA([2]stages!$A:$A),MATCH(F$1,[2]stages!$2:$2,0)-MATCH($D$1,[2]stages!$2:$2,0)+1),MATCH(F$1,[2]stages!$2:$2,0)-MATCH($D$1,[2]stages!$2:$2,0)+1,FALSE)</f>
        <v>【超絶級】醒電の眠りネズミ</v>
      </c>
      <c r="G68" s="21">
        <v>2</v>
      </c>
      <c r="H68" s="15" t="str">
        <f t="shared" ref="H68:H97" si="12">B68&amp;"_"&amp;C68&amp;"-"&amp;G68</f>
        <v>11001_10-2</v>
      </c>
      <c r="I68" s="4">
        <f ca="1">VLOOKUP($H68,OFFSET(floors!$A$1,0,0,COUNTA(floors!$A:$A),MATCH(I$1,floors!$1:$1,0)-MATCH($H$1,floors!$1:$1,0)+1),MATCH(I$1,floors!$1:$1,0)-MATCH($H$1,floors!$1:$1,0)+1,FALSE)</f>
        <v>45</v>
      </c>
      <c r="J68" s="4">
        <f ca="1">VLOOKUP($H68,OFFSET(floors!$A$1,0,0,COUNTA(floors!$A:$A),MATCH(J$1,floors!$1:$1,0)-MATCH($H$1,floors!$1:$1,0)+1),MATCH(J$1,floors!$1:$1,0)-MATCH($H$1,floors!$1:$1,0)+1,FALSE)</f>
        <v>60</v>
      </c>
      <c r="K68" s="100" t="s">
        <v>209</v>
      </c>
      <c r="L68" s="107">
        <v>366</v>
      </c>
      <c r="M68" s="17" t="str">
        <f ca="1">VLOOKUP($L68,OFFSET([3]enemies!$A$1,0,0,COUNTA([3]enemies!$A:$A),MATCH(M$1,[3]enemies!$1:$1,0)-MATCH($L$1,[3]enemies!$1:$1,0)+1),MATCH(M$1,[3]enemies!$1:$1,0)-MATCH($L$1,[3]enemies!$1:$1,0)+1,FALSE)</f>
        <v>トト</v>
      </c>
      <c r="N68" s="17" t="str">
        <f ca="1">VLOOKUP($L68,OFFSET([3]enemies!$A$1,0,0,COUNTA([3]enemies!$A:$A),MATCH(N$1,[3]enemies!$1:$1,0)-MATCH($L$1,[3]enemies!$1:$1,0)+1),MATCH(N$1,[3]enemies!$1:$1,0)-MATCH($L$1,[3]enemies!$1:$1,0)+1,FALSE)</f>
        <v>yellow</v>
      </c>
      <c r="O68" s="17" t="str">
        <f ca="1">VLOOKUP($L68,OFFSET([4]characters!$A$1,0,0,COUNTA([4]characters!$A:$A),MATCH(O$1,[4]characters!$1:$1,0)-MATCH($L$1,[4]characters!$1:$1,0)+1),MATCH(O$1,[4]characters!$1:$1,0)-MATCH($L$1,[4]characters!$1:$1,0)+1,FALSE)</f>
        <v>Drop1S</v>
      </c>
      <c r="P68" s="17" t="str">
        <f ca="1">VLOOKUP($L68,OFFSET([3]enemies!$A$1,0,0,COUNTA([3]enemies!$A:$A),MATCH(P$1,[3]enemies!$1:$1,0)-MATCH($L$1,[3]enemies!$1:$1,0)+1),MATCH(P$1,[3]enemies!$1:$1,0)-MATCH($L$1,[3]enemies!$1:$1,0)+1,FALSE)</f>
        <v>animal</v>
      </c>
      <c r="Q68" s="17">
        <f ca="1">VLOOKUP($L68,OFFSET([3]enemies!$A$1,0,0,COUNTA([3]enemies!$A:$A),MATCH(Q$1,[3]enemies!$1:$1,0)-MATCH($L$1,[3]enemies!$1:$1,0)+1),MATCH(Q$1,[3]enemies!$1:$1,0)-MATCH($L$1,[3]enemies!$1:$1,0)+1,FALSE)</f>
        <v>15</v>
      </c>
      <c r="R68" s="5">
        <v>52</v>
      </c>
      <c r="S68" s="25">
        <v>1.8</v>
      </c>
      <c r="T68" s="25">
        <v>0.9</v>
      </c>
      <c r="U68" s="5">
        <v>0</v>
      </c>
      <c r="V68" s="4" t="str">
        <f ca="1">VLOOKUP($W68,OFFSET(enemy_skill_sets!$B$1,0,0,COUNTA(enemy_skill_sets!$B:$B),MATCH(M$1,enemy_skill_sets!$1:$1,0)-MATCH($W$1,enemy_skill_sets!$1:$1,0)+2),MATCH(M$1,enemy_skill_sets!$1:$1,0)-MATCH($W$1,enemy_skill_sets!$1:$1,0)+2,FALSE)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68" s="110">
        <v>1122213</v>
      </c>
      <c r="X68" s="6">
        <v>2</v>
      </c>
      <c r="Y68" s="6">
        <v>100</v>
      </c>
      <c r="Z68" s="6">
        <v>0</v>
      </c>
      <c r="AA68" s="17">
        <v>2</v>
      </c>
      <c r="AB68" s="24">
        <f t="shared" ref="AB68:AB97" si="13">L68</f>
        <v>366</v>
      </c>
      <c r="AC68" s="4" t="str">
        <f ca="1">VLOOKUP($AB68,OFFSET([4]characters!$A$1,0,0,COUNTA([4]characters!$A:$A),MATCH(AC$1,[4]characters!$1:$1,0)-MATCH("character_id",[4]characters!$1:$1,0)+1),MATCH(AC$1,[4]characters!$1:$1,0)-MATCH("character_id",[4]characters!$1:$1,0)+1,FALSE)</f>
        <v>トト</v>
      </c>
      <c r="AD68" s="4">
        <f ca="1">VLOOKUP($AB68,OFFSET([4]characters!$A$1,0,0,COUNTA([4]characters!$A:$A),MATCH(AD$1,[4]characters!$1:$1,0)-MATCH("character_id",[4]characters!$1:$1,0)+1),MATCH(AD$1,[4]characters!$1:$1,0)-MATCH("character_id",[4]characters!$1:$1,0)+1,FALSE)</f>
        <v>2</v>
      </c>
      <c r="AE68" s="4" t="str">
        <f ca="1">VLOOKUP($AB68,OFFSET([4]characters!$A$1,0,0,COUNTA([4]characters!$A:$A),MATCH(AE$1,[4]characters!$1:$1,0)-MATCH("character_id",[4]characters!$1:$1,0)+1),MATCH(AE$1,[4]characters!$1:$1,0)-MATCH("character_id",[4]characters!$1:$1,0)+1,FALSE)</f>
        <v>Drop1S</v>
      </c>
      <c r="AF68" s="7">
        <v>1</v>
      </c>
      <c r="AG68" s="24">
        <f t="shared" ref="AG68:AG97" ca="1" si="14">AD68</f>
        <v>2</v>
      </c>
      <c r="AH68" s="8">
        <v>0</v>
      </c>
      <c r="AI68" s="7">
        <v>0</v>
      </c>
      <c r="AJ68" s="7">
        <v>0</v>
      </c>
      <c r="AK68" s="7">
        <v>0</v>
      </c>
      <c r="AL68" s="7">
        <v>0</v>
      </c>
      <c r="AM68" s="7">
        <v>1</v>
      </c>
      <c r="AN68" s="69">
        <v>1</v>
      </c>
    </row>
    <row r="69" spans="1:40" ht="21" customHeight="1" x14ac:dyDescent="0.15">
      <c r="A69" s="16" t="str">
        <f t="shared" si="10"/>
        <v>11001_10-2/412&lt;lv52&gt;s1</v>
      </c>
      <c r="B69" s="22">
        <v>11001</v>
      </c>
      <c r="C69" s="21">
        <v>10</v>
      </c>
      <c r="D69" s="2" t="str">
        <f t="shared" si="11"/>
        <v>11001_10</v>
      </c>
      <c r="E69" s="4" t="str">
        <f ca="1">VLOOKUP($B69,OFFSET([2]quests!$A$1,0,0,COUNTA([2]quests!$A:$A),MATCH(E$1,[2]quests!$1:$1,0)-MATCH($B$1,[2]quests!$1:$1,0)+1),MATCH(E$1,[2]quests!$1:$1,0)-MATCH($B$1,[2]quests!$1:$1,0)+1,FALSE)</f>
        <v>【月曜限定】 黄の素材</v>
      </c>
      <c r="F69" s="4" t="str">
        <f ca="1">VLOOKUP($D69,OFFSET([2]stages!$A$1,0,0,COUNTA([2]stages!$A:$A),MATCH(F$1,[2]stages!$2:$2,0)-MATCH($D$1,[2]stages!$2:$2,0)+1),MATCH(F$1,[2]stages!$2:$2,0)-MATCH($D$1,[2]stages!$2:$2,0)+1,FALSE)</f>
        <v>【超絶級】醒電の眠りネズミ</v>
      </c>
      <c r="G69" s="21">
        <v>2</v>
      </c>
      <c r="H69" s="15" t="str">
        <f t="shared" si="12"/>
        <v>11001_10-2</v>
      </c>
      <c r="I69" s="4">
        <f ca="1">VLOOKUP($H69,OFFSET(floors!$A$1,0,0,COUNTA(floors!$A:$A),MATCH(I$1,floors!$1:$1,0)-MATCH($H$1,floors!$1:$1,0)+1),MATCH(I$1,floors!$1:$1,0)-MATCH($H$1,floors!$1:$1,0)+1,FALSE)</f>
        <v>45</v>
      </c>
      <c r="J69" s="4">
        <f ca="1">VLOOKUP($H69,OFFSET(floors!$A$1,0,0,COUNTA(floors!$A:$A),MATCH(J$1,floors!$1:$1,0)-MATCH($H$1,floors!$1:$1,0)+1),MATCH(J$1,floors!$1:$1,0)-MATCH($H$1,floors!$1:$1,0)+1,FALSE)</f>
        <v>60</v>
      </c>
      <c r="K69" s="100" t="s">
        <v>209</v>
      </c>
      <c r="L69" s="107">
        <v>412</v>
      </c>
      <c r="M69" s="17" t="str">
        <f ca="1">VLOOKUP($L69,OFFSET([3]enemies!$A$1,0,0,COUNTA([3]enemies!$A:$A),MATCH(M$1,[3]enemies!$1:$1,0)-MATCH($L$1,[3]enemies!$1:$1,0)+1),MATCH(M$1,[3]enemies!$1:$1,0)-MATCH($L$1,[3]enemies!$1:$1,0)+1,FALSE)</f>
        <v>コウネン</v>
      </c>
      <c r="N69" s="17" t="str">
        <f ca="1">VLOOKUP($L69,OFFSET([3]enemies!$A$1,0,0,COUNTA([3]enemies!$A:$A),MATCH(N$1,[3]enemies!$1:$1,0)-MATCH($L$1,[3]enemies!$1:$1,0)+1),MATCH(N$1,[3]enemies!$1:$1,0)-MATCH($L$1,[3]enemies!$1:$1,0)+1,FALSE)</f>
        <v>yellow</v>
      </c>
      <c r="O69" s="17" t="str">
        <f ca="1">VLOOKUP($L69,OFFSET([4]characters!$A$1,0,0,COUNTA([4]characters!$A:$A),MATCH(O$1,[4]characters!$1:$1,0)-MATCH($L$1,[4]characters!$1:$1,0)+1),MATCH(O$1,[4]characters!$1:$1,0)-MATCH($L$1,[4]characters!$1:$1,0)+1,FALSE)</f>
        <v>Drop1S</v>
      </c>
      <c r="P69" s="17" t="str">
        <f ca="1">VLOOKUP($L69,OFFSET([3]enemies!$A$1,0,0,COUNTA([3]enemies!$A:$A),MATCH(P$1,[3]enemies!$1:$1,0)-MATCH($L$1,[3]enemies!$1:$1,0)+1),MATCH(P$1,[3]enemies!$1:$1,0)-MATCH($L$1,[3]enemies!$1:$1,0)+1,FALSE)</f>
        <v>unknown</v>
      </c>
      <c r="Q69" s="17">
        <f ca="1">VLOOKUP($L69,OFFSET([3]enemies!$A$1,0,0,COUNTA([3]enemies!$A:$A),MATCH(Q$1,[3]enemies!$1:$1,0)-MATCH($L$1,[3]enemies!$1:$1,0)+1),MATCH(Q$1,[3]enemies!$1:$1,0)-MATCH($L$1,[3]enemies!$1:$1,0)+1,FALSE)</f>
        <v>15</v>
      </c>
      <c r="R69" s="5">
        <v>52</v>
      </c>
      <c r="S69" s="25">
        <v>1.2</v>
      </c>
      <c r="T69" s="25">
        <v>1.2</v>
      </c>
      <c r="U69" s="5">
        <v>0</v>
      </c>
      <c r="V69" s="4" t="str">
        <f ca="1">VLOOKUP($W69,OFFSET(enemy_skill_sets!$B$1,0,0,COUNTA(enemy_skill_sets!$B:$B),MATCH(M$1,enemy_skill_sets!$1:$1,0)-MATCH($W$1,enemy_skill_sets!$1:$1,0)+2),MATCH(M$1,enemy_skill_sets!$1:$1,0)-MATCH($W$1,enemy_skill_sets!$1:$1,0)+2,FALSE)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69" s="109">
        <v>1122207</v>
      </c>
      <c r="X69" s="6">
        <v>1</v>
      </c>
      <c r="Y69" s="6">
        <v>100</v>
      </c>
      <c r="Z69" s="6">
        <v>0</v>
      </c>
      <c r="AA69" s="17">
        <v>1</v>
      </c>
      <c r="AB69" s="24">
        <f t="shared" si="13"/>
        <v>412</v>
      </c>
      <c r="AC69" s="4" t="str">
        <f ca="1">VLOOKUP($AB69,OFFSET([4]characters!$A$1,0,0,COUNTA([4]characters!$A:$A),MATCH(AC$1,[4]characters!$1:$1,0)-MATCH("character_id",[4]characters!$1:$1,0)+1),MATCH(AC$1,[4]characters!$1:$1,0)-MATCH("character_id",[4]characters!$1:$1,0)+1,FALSE)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69" s="4">
        <f ca="1">VLOOKUP($AB69,OFFSET([4]characters!$A$1,0,0,COUNTA([4]characters!$A:$A),MATCH(AD$1,[4]characters!$1:$1,0)-MATCH("character_id",[4]characters!$1:$1,0)+1),MATCH(AD$1,[4]characters!$1:$1,0)-MATCH("character_id",[4]characters!$1:$1,0)+1,FALSE)</f>
        <v>2</v>
      </c>
      <c r="AE69" s="4" t="str">
        <f ca="1">VLOOKUP($AB69,OFFSET([4]characters!$A$1,0,0,COUNTA([4]characters!$A:$A),MATCH(AE$1,[4]characters!$1:$1,0)-MATCH("character_id",[4]characters!$1:$1,0)+1),MATCH(AE$1,[4]characters!$1:$1,0)-MATCH("character_id",[4]characters!$1:$1,0)+1,FALSE)</f>
        <v>Drop1S</v>
      </c>
      <c r="AF69" s="7">
        <v>1</v>
      </c>
      <c r="AG69" s="24">
        <f t="shared" ca="1" si="14"/>
        <v>2</v>
      </c>
      <c r="AH69" s="8">
        <v>0</v>
      </c>
      <c r="AI69" s="7">
        <v>0</v>
      </c>
      <c r="AJ69" s="7">
        <v>0</v>
      </c>
      <c r="AK69" s="7">
        <v>0</v>
      </c>
      <c r="AL69" s="7">
        <v>0</v>
      </c>
      <c r="AM69" s="7">
        <v>1</v>
      </c>
      <c r="AN69" s="69">
        <v>1</v>
      </c>
    </row>
    <row r="70" spans="1:40" ht="21" customHeight="1" x14ac:dyDescent="0.15">
      <c r="A70" s="16" t="str">
        <f t="shared" ca="1" si="10"/>
        <v>11001_10-2/344&lt;lv2&gt;s1</v>
      </c>
      <c r="B70" s="22">
        <v>11001</v>
      </c>
      <c r="C70" s="21">
        <v>10</v>
      </c>
      <c r="D70" s="2" t="str">
        <f t="shared" si="11"/>
        <v>11001_10</v>
      </c>
      <c r="E70" s="4" t="str">
        <f ca="1">VLOOKUP($B70,OFFSET([2]quests!$A$1,0,0,COUNTA([2]quests!$A:$A),MATCH(E$1,[2]quests!$1:$1,0)-MATCH($B$1,[2]quests!$1:$1,0)+1),MATCH(E$1,[2]quests!$1:$1,0)-MATCH($B$1,[2]quests!$1:$1,0)+1,FALSE)</f>
        <v>【月曜限定】 黄の素材</v>
      </c>
      <c r="F70" s="4" t="str">
        <f ca="1">VLOOKUP($D70,OFFSET([2]stages!$A$1,0,0,COUNTA([2]stages!$A:$A),MATCH(F$1,[2]stages!$2:$2,0)-MATCH($D$1,[2]stages!$2:$2,0)+1),MATCH(F$1,[2]stages!$2:$2,0)-MATCH($D$1,[2]stages!$2:$2,0)+1,FALSE)</f>
        <v>【超絶級】醒電の眠りネズミ</v>
      </c>
      <c r="G70" s="21">
        <v>2</v>
      </c>
      <c r="H70" s="15" t="str">
        <f t="shared" si="12"/>
        <v>11001_10-2</v>
      </c>
      <c r="I70" s="4">
        <f ca="1">VLOOKUP($H70,OFFSET(floors!$A$1,0,0,COUNTA(floors!$A:$A),MATCH(I$1,floors!$1:$1,0)-MATCH($H$1,floors!$1:$1,0)+1),MATCH(I$1,floors!$1:$1,0)-MATCH($H$1,floors!$1:$1,0)+1,FALSE)</f>
        <v>45</v>
      </c>
      <c r="J70" s="4">
        <f ca="1">VLOOKUP($H70,OFFSET(floors!$A$1,0,0,COUNTA(floors!$A:$A),MATCH(J$1,floors!$1:$1,0)-MATCH($H$1,floors!$1:$1,0)+1),MATCH(J$1,floors!$1:$1,0)-MATCH($H$1,floors!$1:$1,0)+1,FALSE)</f>
        <v>60</v>
      </c>
      <c r="K70" s="100" t="s">
        <v>209</v>
      </c>
      <c r="L70" s="107">
        <v>344</v>
      </c>
      <c r="M70" s="17" t="str">
        <f ca="1">VLOOKUP($L70,OFFSET([3]enemies!$A$1,0,0,COUNTA([3]enemies!$A:$A),MATCH(M$1,[3]enemies!$1:$1,0)-MATCH($L$1,[3]enemies!$1:$1,0)+1),MATCH(M$1,[3]enemies!$1:$1,0)-MATCH($L$1,[3]enemies!$1:$1,0)+1,FALSE)</f>
        <v>雷のメタルピヨピヨ</v>
      </c>
      <c r="N70" s="17" t="str">
        <f ca="1">VLOOKUP($L70,OFFSET([3]enemies!$A$1,0,0,COUNTA([3]enemies!$A:$A),MATCH(N$1,[3]enemies!$1:$1,0)-MATCH($L$1,[3]enemies!$1:$1,0)+1),MATCH(N$1,[3]enemies!$1:$1,0)-MATCH($L$1,[3]enemies!$1:$1,0)+1,FALSE)</f>
        <v>yellow</v>
      </c>
      <c r="O70" s="17" t="str">
        <f ca="1">VLOOKUP($L70,OFFSET([4]characters!$A$1,0,0,COUNTA([4]characters!$A:$A),MATCH(O$1,[4]characters!$1:$1,0)-MATCH($L$1,[4]characters!$1:$1,0)+1),MATCH(O$1,[4]characters!$1:$1,0)-MATCH($L$1,[4]characters!$1:$1,0)+1,FALSE)</f>
        <v>Material</v>
      </c>
      <c r="P70" s="17" t="str">
        <f ca="1">VLOOKUP($L70,OFFSET([3]enemies!$A$1,0,0,COUNTA([3]enemies!$A:$A),MATCH(P$1,[3]enemies!$1:$1,0)-MATCH($L$1,[3]enemies!$1:$1,0)+1),MATCH(P$1,[3]enemies!$1:$1,0)-MATCH($L$1,[3]enemies!$1:$1,0)+1,FALSE)</f>
        <v>unknown</v>
      </c>
      <c r="Q70" s="17">
        <f ca="1">VLOOKUP($L70,OFFSET([3]enemies!$A$1,0,0,COUNTA([3]enemies!$A:$A),MATCH(Q$1,[3]enemies!$1:$1,0)-MATCH($L$1,[3]enemies!$1:$1,0)+1),MATCH(Q$1,[3]enemies!$1:$1,0)-MATCH($L$1,[3]enemies!$1:$1,0)+1,FALSE)</f>
        <v>15</v>
      </c>
      <c r="R70" s="5">
        <v>2</v>
      </c>
      <c r="S70" s="25">
        <v>2</v>
      </c>
      <c r="T70" s="25">
        <v>99</v>
      </c>
      <c r="U70" s="5">
        <v>0</v>
      </c>
      <c r="V70" s="4" t="str">
        <f ca="1">VLOOKUP($W70,OFFSET([5]enemy_skill_sets!$B$1,0,0,COUNTA([5]enemy_skill_sets!$B:$B),MATCH(M$1,[5]enemy_skill_sets!$1:$1,0)-MATCH($W$1,[5]enemy_skill_sets!$1:$1,0)+2),MATCH(M$1,[5]enemy_skill_sets!$1:$1,0)-MATCH($W$1,[5]enemy_skill_sets!$1:$1,0)+2,FALSE)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0" s="4">
        <f ca="1">VLOOKUP($L70,OFFSET([3]enemies!$A$1,0,0,COUNTA([3]enemies!$A:$A),MATCH(W$1,[3]enemies!$1:$1,0)-MATCH($L$1,[3]enemies!$1:$1,0)+1),MATCH(W$1,[3]enemies!$1:$1,0)-MATCH($L$1,[3]enemies!$1:$1,0)+1,FALSE)</f>
        <v>0</v>
      </c>
      <c r="X70" s="6">
        <v>0</v>
      </c>
      <c r="Y70" s="6">
        <v>20</v>
      </c>
      <c r="Z70" s="6">
        <v>0</v>
      </c>
      <c r="AA70" s="17">
        <f ca="1">VLOOKUP($L70,OFFSET([3]enemies!$A$1,0,0,COUNTA([3]enemies!$A:$A),MATCH(AA$1,[3]enemies!$1:$1,0)-MATCH($L$1,[3]enemies!$1:$1,0)+1),MATCH(AA$1,[3]enemies!$1:$1,0)-MATCH($L$1,[3]enemies!$1:$1,0)+1,FALSE)</f>
        <v>1</v>
      </c>
      <c r="AB70" s="24">
        <f t="shared" si="13"/>
        <v>344</v>
      </c>
      <c r="AC70" s="4" t="str">
        <f ca="1">VLOOKUP($AB70,OFFSET([4]characters!$A$1,0,0,COUNTA([4]characters!$A:$A),MATCH(AC$1,[4]characters!$1:$1,0)-MATCH("character_id",[4]characters!$1:$1,0)+1),MATCH(AC$1,[4]characters!$1:$1,0)-MATCH("character_id",[4]characters!$1:$1,0)+1,FALSE)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70" s="4">
        <f ca="1">VLOOKUP($AB70,OFFSET([4]characters!$A$1,0,0,COUNTA([4]characters!$A:$A),MATCH(AD$1,[4]characters!$1:$1,0)-MATCH("character_id",[4]characters!$1:$1,0)+1),MATCH(AD$1,[4]characters!$1:$1,0)-MATCH("character_id",[4]characters!$1:$1,0)+1,FALSE)</f>
        <v>3</v>
      </c>
      <c r="AE70" s="4" t="str">
        <f ca="1">VLOOKUP($AB70,OFFSET([4]characters!$A$1,0,0,COUNTA([4]characters!$A:$A),MATCH(AE$1,[4]characters!$1:$1,0)-MATCH("character_id",[4]characters!$1:$1,0)+1),MATCH(AE$1,[4]characters!$1:$1,0)-MATCH("character_id",[4]characters!$1:$1,0)+1,FALSE)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0" s="7">
        <v>1</v>
      </c>
      <c r="AG70" s="24">
        <f t="shared" ca="1" si="14"/>
        <v>3</v>
      </c>
      <c r="AH70" s="8">
        <v>10</v>
      </c>
      <c r="AI70" s="7">
        <v>0</v>
      </c>
      <c r="AJ70" s="7">
        <v>0</v>
      </c>
      <c r="AK70" s="7">
        <v>0</v>
      </c>
      <c r="AL70" s="7">
        <v>0</v>
      </c>
      <c r="AM70" s="7">
        <v>1</v>
      </c>
      <c r="AN70" s="69">
        <v>1</v>
      </c>
    </row>
    <row r="71" spans="1:40" ht="21" customHeight="1" x14ac:dyDescent="0.15">
      <c r="A71" s="16" t="str">
        <f t="shared" ca="1" si="10"/>
        <v>11001_10-2/345&lt;lv2&gt;s2</v>
      </c>
      <c r="B71" s="22">
        <v>11001</v>
      </c>
      <c r="C71" s="21">
        <v>10</v>
      </c>
      <c r="D71" s="2" t="str">
        <f t="shared" si="11"/>
        <v>11001_10</v>
      </c>
      <c r="E71" s="4" t="str">
        <f ca="1">VLOOKUP($B71,OFFSET([2]quests!$A$1,0,0,COUNTA([2]quests!$A:$A),MATCH(E$1,[2]quests!$1:$1,0)-MATCH($B$1,[2]quests!$1:$1,0)+1),MATCH(E$1,[2]quests!$1:$1,0)-MATCH($B$1,[2]quests!$1:$1,0)+1,FALSE)</f>
        <v>【月曜限定】 黄の素材</v>
      </c>
      <c r="F71" s="4" t="str">
        <f ca="1">VLOOKUP($D71,OFFSET([2]stages!$A$1,0,0,COUNTA([2]stages!$A:$A),MATCH(F$1,[2]stages!$2:$2,0)-MATCH($D$1,[2]stages!$2:$2,0)+1),MATCH(F$1,[2]stages!$2:$2,0)-MATCH($D$1,[2]stages!$2:$2,0)+1,FALSE)</f>
        <v>【超絶級】醒電の眠りネズミ</v>
      </c>
      <c r="G71" s="21">
        <v>2</v>
      </c>
      <c r="H71" s="15" t="str">
        <f t="shared" si="12"/>
        <v>11001_10-2</v>
      </c>
      <c r="I71" s="4">
        <f ca="1">VLOOKUP($H71,OFFSET(floors!$A$1,0,0,COUNTA(floors!$A:$A),MATCH(I$1,floors!$1:$1,0)-MATCH($H$1,floors!$1:$1,0)+1),MATCH(I$1,floors!$1:$1,0)-MATCH($H$1,floors!$1:$1,0)+1,FALSE)</f>
        <v>45</v>
      </c>
      <c r="J71" s="4">
        <f ca="1">VLOOKUP($H71,OFFSET(floors!$A$1,0,0,COUNTA(floors!$A:$A),MATCH(J$1,floors!$1:$1,0)-MATCH($H$1,floors!$1:$1,0)+1),MATCH(J$1,floors!$1:$1,0)-MATCH($H$1,floors!$1:$1,0)+1,FALSE)</f>
        <v>60</v>
      </c>
      <c r="K71" s="100" t="s">
        <v>209</v>
      </c>
      <c r="L71" s="107">
        <v>345</v>
      </c>
      <c r="M71" s="17" t="str">
        <f ca="1">VLOOKUP($L71,OFFSET([3]enemies!$A$1,0,0,COUNTA([3]enemies!$A:$A),MATCH(M$1,[3]enemies!$1:$1,0)-MATCH($L$1,[3]enemies!$1:$1,0)+1),MATCH(M$1,[3]enemies!$1:$1,0)-MATCH($L$1,[3]enemies!$1:$1,0)+1,FALSE)</f>
        <v>雷のメタルチック</v>
      </c>
      <c r="N71" s="17" t="str">
        <f ca="1">VLOOKUP($L71,OFFSET([3]enemies!$A$1,0,0,COUNTA([3]enemies!$A:$A),MATCH(N$1,[3]enemies!$1:$1,0)-MATCH($L$1,[3]enemies!$1:$1,0)+1),MATCH(N$1,[3]enemies!$1:$1,0)-MATCH($L$1,[3]enemies!$1:$1,0)+1,FALSE)</f>
        <v>yellow</v>
      </c>
      <c r="O71" s="17" t="str">
        <f ca="1">VLOOKUP($L71,OFFSET([4]characters!$A$1,0,0,COUNTA([4]characters!$A:$A),MATCH(O$1,[4]characters!$1:$1,0)-MATCH($L$1,[4]characters!$1:$1,0)+1),MATCH(O$1,[4]characters!$1:$1,0)-MATCH($L$1,[4]characters!$1:$1,0)+1,FALSE)</f>
        <v>Material</v>
      </c>
      <c r="P71" s="17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17">
        <f ca="1">VLOOKUP($L71,OFFSET([3]enemies!$A$1,0,0,COUNTA([3]enemies!$A:$A),MATCH(Q$1,[3]enemies!$1:$1,0)-MATCH($L$1,[3]enemies!$1:$1,0)+1),MATCH(Q$1,[3]enemies!$1:$1,0)-MATCH($L$1,[3]enemies!$1:$1,0)+1,FALSE)</f>
        <v>15</v>
      </c>
      <c r="R71" s="5">
        <v>2</v>
      </c>
      <c r="S71" s="25">
        <v>2</v>
      </c>
      <c r="T71" s="25">
        <v>99</v>
      </c>
      <c r="U71" s="5">
        <v>0</v>
      </c>
      <c r="V71" s="4" t="str">
        <f ca="1">VLOOKUP($W71,OFFSET([5]enemy_skill_sets!$B$1,0,0,COUNTA([5]enemy_skill_sets!$B:$B),MATCH(M$1,[5]enemy_skill_sets!$1:$1,0)-MATCH($W$1,[5]enemy_skill_sets!$1:$1,0)+2),MATCH(M$1,[5]enemy_skill_sets!$1:$1,0)-MATCH($W$1,[5]enemy_skill_sets!$1:$1,0)+2,FALSE)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1" s="4">
        <f ca="1">VLOOKUP($L71,OFFSET([3]enemies!$A$1,0,0,COUNTA([3]enemies!$A:$A),MATCH(W$1,[3]enemies!$1:$1,0)-MATCH($L$1,[3]enemies!$1:$1,0)+1),MATCH(W$1,[3]enemies!$1:$1,0)-MATCH($L$1,[3]enemies!$1:$1,0)+1,FALSE)</f>
        <v>0</v>
      </c>
      <c r="X71" s="6">
        <v>0</v>
      </c>
      <c r="Y71" s="6">
        <v>10</v>
      </c>
      <c r="Z71" s="6">
        <v>0</v>
      </c>
      <c r="AA71" s="17">
        <f ca="1">VLOOKUP($L71,OFFSET([3]enemies!$A$1,0,0,COUNTA([3]enemies!$A:$A),MATCH(AA$1,[3]enemies!$1:$1,0)-MATCH($L$1,[3]enemies!$1:$1,0)+1),MATCH(AA$1,[3]enemies!$1:$1,0)-MATCH($L$1,[3]enemies!$1:$1,0)+1,FALSE)</f>
        <v>2</v>
      </c>
      <c r="AB71" s="24">
        <f t="shared" si="13"/>
        <v>345</v>
      </c>
      <c r="AC71" s="4" t="str">
        <f ca="1">VLOOKUP($AB71,OFFSET([4]characters!$A$1,0,0,COUNTA([4]characters!$A:$A),MATCH(AC$1,[4]characters!$1:$1,0)-MATCH("character_id",[4]characters!$1:$1,0)+1),MATCH(AC$1,[4]characters!$1:$1,0)-MATCH("character_id",[4]characters!$1:$1,0)+1,FALSE)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71" s="4">
        <f ca="1">VLOOKUP($AB71,OFFSET([4]characters!$A$1,0,0,COUNTA([4]characters!$A:$A),MATCH(AD$1,[4]characters!$1:$1,0)-MATCH("character_id",[4]characters!$1:$1,0)+1),MATCH(AD$1,[4]characters!$1:$1,0)-MATCH("character_id",[4]characters!$1:$1,0)+1,FALSE)</f>
        <v>4</v>
      </c>
      <c r="AE71" s="4" t="str">
        <f ca="1">VLOOKUP($AB71,OFFSET([4]characters!$A$1,0,0,COUNTA([4]characters!$A:$A),MATCH(AE$1,[4]characters!$1:$1,0)-MATCH("character_id",[4]characters!$1:$1,0)+1),MATCH(AE$1,[4]characters!$1:$1,0)-MATCH("character_id",[4]characters!$1:$1,0)+1,FALSE)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1" s="7">
        <v>1</v>
      </c>
      <c r="AG71" s="24">
        <f t="shared" ca="1" si="14"/>
        <v>4</v>
      </c>
      <c r="AH71" s="8">
        <v>5</v>
      </c>
      <c r="AI71" s="7">
        <v>0</v>
      </c>
      <c r="AJ71" s="7">
        <v>0</v>
      </c>
      <c r="AK71" s="7">
        <v>0</v>
      </c>
      <c r="AL71" s="7">
        <v>0</v>
      </c>
      <c r="AM71" s="7">
        <v>1</v>
      </c>
      <c r="AN71" s="69">
        <v>1</v>
      </c>
    </row>
    <row r="72" spans="1:40" ht="21" customHeight="1" x14ac:dyDescent="0.15">
      <c r="A72" s="16" t="str">
        <f t="shared" ca="1" si="10"/>
        <v>11001_10-3/285&lt;lv60&gt;s2</v>
      </c>
      <c r="B72" s="22">
        <v>11001</v>
      </c>
      <c r="C72" s="21">
        <v>10</v>
      </c>
      <c r="D72" s="2" t="str">
        <f t="shared" si="11"/>
        <v>11001_10</v>
      </c>
      <c r="E72" s="4" t="str">
        <f ca="1">VLOOKUP($B72,OFFSET([2]quests!$A$1,0,0,COUNTA([2]quests!$A:$A),MATCH(E$1,[2]quests!$1:$1,0)-MATCH($B$1,[2]quests!$1:$1,0)+1),MATCH(E$1,[2]quests!$1:$1,0)-MATCH($B$1,[2]quests!$1:$1,0)+1,FALSE)</f>
        <v>【月曜限定】 黄の素材</v>
      </c>
      <c r="F72" s="4" t="str">
        <f ca="1">VLOOKUP($D72,OFFSET([2]stages!$A$1,0,0,COUNTA([2]stages!$A:$A),MATCH(F$1,[2]stages!$2:$2,0)-MATCH($D$1,[2]stages!$2:$2,0)+1),MATCH(F$1,[2]stages!$2:$2,0)-MATCH($D$1,[2]stages!$2:$2,0)+1,FALSE)</f>
        <v>【超絶級】醒電の眠りネズミ</v>
      </c>
      <c r="G72" s="21">
        <v>3</v>
      </c>
      <c r="H72" s="15" t="str">
        <f t="shared" si="12"/>
        <v>11001_10-3</v>
      </c>
      <c r="I72" s="4">
        <f ca="1">VLOOKUP($H72,OFFSET(floors!$A$1,0,0,COUNTA(floors!$A:$A),MATCH(I$1,floors!$1:$1,0)-MATCH($H$1,floors!$1:$1,0)+1),MATCH(I$1,floors!$1:$1,0)-MATCH($H$1,floors!$1:$1,0)+1,FALSE)</f>
        <v>50</v>
      </c>
      <c r="J72" s="4">
        <f ca="1">VLOOKUP($H72,OFFSET(floors!$A$1,0,0,COUNTA(floors!$A:$A),MATCH(J$1,floors!$1:$1,0)-MATCH($H$1,floors!$1:$1,0)+1),MATCH(J$1,floors!$1:$1,0)-MATCH($H$1,floors!$1:$1,0)+1,FALSE)</f>
        <v>60</v>
      </c>
      <c r="K72" s="100" t="s">
        <v>209</v>
      </c>
      <c r="L72" s="107">
        <v>285</v>
      </c>
      <c r="M72" s="17" t="str">
        <f ca="1">VLOOKUP($L72,OFFSET([3]enemies!$A$1,0,0,COUNTA([3]enemies!$A:$A),MATCH(M$1,[3]enemies!$1:$1,0)-MATCH($L$1,[3]enemies!$1:$1,0)+1),MATCH(M$1,[3]enemies!$1:$1,0)-MATCH($L$1,[3]enemies!$1:$1,0)+1,FALSE)</f>
        <v>フェルニゲシュ・オーバードライヴ</v>
      </c>
      <c r="N72" s="17" t="str">
        <f ca="1">VLOOKUP($L72,OFFSET([3]enemies!$A$1,0,0,COUNTA([3]enemies!$A:$A),MATCH(N$1,[3]enemies!$1:$1,0)-MATCH($L$1,[3]enemies!$1:$1,0)+1),MATCH(N$1,[3]enemies!$1:$1,0)-MATCH($L$1,[3]enemies!$1:$1,0)+1,FALSE)</f>
        <v>yellow</v>
      </c>
      <c r="O72" s="17" t="str">
        <f ca="1">VLOOKUP($L72,OFFSET([4]characters!$A$1,0,0,COUNTA([4]characters!$A:$A),MATCH(O$1,[4]characters!$1:$1,0)-MATCH($L$1,[4]characters!$1:$1,0)+1),MATCH(O$1,[4]characters!$1:$1,0)-MATCH($L$1,[4]characters!$1:$1,0)+1,FALSE)</f>
        <v>DropWizW</v>
      </c>
      <c r="P72" s="17" t="str">
        <f ca="1">VLOOKUP($L72,OFFSET([3]enemies!$A$1,0,0,COUNTA([3]enemies!$A:$A),MATCH(P$1,[3]enemies!$1:$1,0)-MATCH($L$1,[3]enemies!$1:$1,0)+1),MATCH(P$1,[3]enemies!$1:$1,0)-MATCH($L$1,[3]enemies!$1:$1,0)+1,FALSE)</f>
        <v>dragon</v>
      </c>
      <c r="Q72" s="17">
        <f ca="1">VLOOKUP($L72,OFFSET([3]enemies!$A$1,0,0,COUNTA([3]enemies!$A:$A),MATCH(Q$1,[3]enemies!$1:$1,0)-MATCH($L$1,[3]enemies!$1:$1,0)+1),MATCH(Q$1,[3]enemies!$1:$1,0)-MATCH($L$1,[3]enemies!$1:$1,0)+1,FALSE)</f>
        <v>30</v>
      </c>
      <c r="R72" s="5">
        <v>60</v>
      </c>
      <c r="S72" s="25">
        <v>1.8</v>
      </c>
      <c r="T72" s="25">
        <v>1.5</v>
      </c>
      <c r="U72" s="5">
        <v>0</v>
      </c>
      <c r="V72" s="4" t="str">
        <f ca="1">VLOOKUP($W72,OFFSET(enemy_skill_sets!$B$1,0,0,COUNTA(enemy_skill_sets!$B:$B),MATCH(M$1,enemy_skill_sets!$1:$1,0)-MATCH($W$1,enemy_skill_sets!$1:$1,0)+2),MATCH(M$1,enemy_skill_sets!$1:$1,0)-MATCH($W$1,enemy_skill_sets!$1:$1,0)+2,FALSE)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72" s="110">
        <v>1122209</v>
      </c>
      <c r="X72" s="6">
        <v>0</v>
      </c>
      <c r="Y72" s="6">
        <v>80</v>
      </c>
      <c r="Z72" s="6">
        <v>1</v>
      </c>
      <c r="AA72" s="17">
        <f ca="1">VLOOKUP($L72,OFFSET([3]enemies!$A$1,0,0,COUNTA([3]enemies!$A:$A),MATCH(AA$1,[3]enemies!$1:$1,0)-MATCH($L$1,[3]enemies!$1:$1,0)+1),MATCH(AA$1,[3]enemies!$1:$1,0)-MATCH($L$1,[3]enemies!$1:$1,0)+1,FALSE)</f>
        <v>2</v>
      </c>
      <c r="AB72" s="24">
        <f t="shared" si="13"/>
        <v>285</v>
      </c>
      <c r="AC72" s="4" t="str">
        <f ca="1">VLOOKUP($AB72,OFFSET([4]characters!$A$1,0,0,COUNTA([4]characters!$A:$A),MATCH(AC$1,[4]characters!$1:$1,0)-MATCH("character_id",[4]characters!$1:$1,0)+1),MATCH(AC$1,[4]characters!$1:$1,0)-MATCH("character_id",[4]characters!$1:$1,0)+1,FALSE)</f>
        <v>フェルニゲシュ・オーバードライヴ</v>
      </c>
      <c r="AD72" s="4">
        <f ca="1">VLOOKUP($AB72,OFFSET([4]characters!$A$1,0,0,COUNTA([4]characters!$A:$A),MATCH(AD$1,[4]characters!$1:$1,0)-MATCH("character_id",[4]characters!$1:$1,0)+1),MATCH(AD$1,[4]characters!$1:$1,0)-MATCH("character_id",[4]characters!$1:$1,0)+1,FALSE)</f>
        <v>4</v>
      </c>
      <c r="AE72" s="4" t="str">
        <f ca="1">VLOOKUP($AB72,OFFSET([4]characters!$A$1,0,0,COUNTA([4]characters!$A:$A),MATCH(AE$1,[4]characters!$1:$1,0)-MATCH("character_id",[4]characters!$1:$1,0)+1),MATCH(AE$1,[4]characters!$1:$1,0)-MATCH("character_id",[4]characters!$1:$1,0)+1,FALSE)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72" s="7">
        <v>1</v>
      </c>
      <c r="AG72" s="24">
        <f t="shared" ca="1" si="14"/>
        <v>4</v>
      </c>
      <c r="AH72" s="8">
        <v>0</v>
      </c>
      <c r="AI72" s="7">
        <v>0</v>
      </c>
      <c r="AJ72" s="7">
        <v>0</v>
      </c>
      <c r="AK72" s="7">
        <v>0</v>
      </c>
      <c r="AL72" s="7">
        <v>0</v>
      </c>
      <c r="AM72" s="7">
        <v>1</v>
      </c>
      <c r="AN72" s="69">
        <v>1</v>
      </c>
    </row>
    <row r="73" spans="1:40" ht="21" customHeight="1" x14ac:dyDescent="0.15">
      <c r="A73" s="16" t="str">
        <f t="shared" ca="1" si="10"/>
        <v>11001_10-3/346&lt;lv2&gt;s3</v>
      </c>
      <c r="B73" s="22">
        <v>11001</v>
      </c>
      <c r="C73" s="21">
        <v>10</v>
      </c>
      <c r="D73" s="2" t="str">
        <f t="shared" si="11"/>
        <v>11001_10</v>
      </c>
      <c r="E73" s="4" t="str">
        <f ca="1">VLOOKUP($B73,OFFSET([2]quests!$A$1,0,0,COUNTA([2]quests!$A:$A),MATCH(E$1,[2]quests!$1:$1,0)-MATCH($B$1,[2]quests!$1:$1,0)+1),MATCH(E$1,[2]quests!$1:$1,0)-MATCH($B$1,[2]quests!$1:$1,0)+1,FALSE)</f>
        <v>【月曜限定】 黄の素材</v>
      </c>
      <c r="F73" s="4" t="str">
        <f ca="1">VLOOKUP($D73,OFFSET([2]stages!$A$1,0,0,COUNTA([2]stages!$A:$A),MATCH(F$1,[2]stages!$2:$2,0)-MATCH($D$1,[2]stages!$2:$2,0)+1),MATCH(F$1,[2]stages!$2:$2,0)-MATCH($D$1,[2]stages!$2:$2,0)+1,FALSE)</f>
        <v>【超絶級】醒電の眠りネズミ</v>
      </c>
      <c r="G73" s="21">
        <v>3</v>
      </c>
      <c r="H73" s="15" t="str">
        <f t="shared" si="12"/>
        <v>11001_10-3</v>
      </c>
      <c r="I73" s="4">
        <f ca="1">VLOOKUP($H73,OFFSET(floors!$A$1,0,0,COUNTA(floors!$A:$A),MATCH(I$1,floors!$1:$1,0)-MATCH($H$1,floors!$1:$1,0)+1),MATCH(I$1,floors!$1:$1,0)-MATCH($H$1,floors!$1:$1,0)+1,FALSE)</f>
        <v>50</v>
      </c>
      <c r="J73" s="4">
        <f ca="1">VLOOKUP($H73,OFFSET(floors!$A$1,0,0,COUNTA(floors!$A:$A),MATCH(J$1,floors!$1:$1,0)-MATCH($H$1,floors!$1:$1,0)+1),MATCH(J$1,floors!$1:$1,0)-MATCH($H$1,floors!$1:$1,0)+1,FALSE)</f>
        <v>60</v>
      </c>
      <c r="K73" s="100" t="s">
        <v>209</v>
      </c>
      <c r="L73" s="107">
        <v>346</v>
      </c>
      <c r="M73" s="17" t="str">
        <f ca="1">VLOOKUP($L73,OFFSET([3]enemies!$A$1,0,0,COUNTA([3]enemies!$A:$A),MATCH(M$1,[3]enemies!$1:$1,0)-MATCH($L$1,[3]enemies!$1:$1,0)+1),MATCH(M$1,[3]enemies!$1:$1,0)-MATCH($L$1,[3]enemies!$1:$1,0)+1,FALSE)</f>
        <v>雷のメタルダック</v>
      </c>
      <c r="N73" s="17" t="str">
        <f ca="1">VLOOKUP($L73,OFFSET([3]enemies!$A$1,0,0,COUNTA([3]enemies!$A:$A),MATCH(N$1,[3]enemies!$1:$1,0)-MATCH($L$1,[3]enemies!$1:$1,0)+1),MATCH(N$1,[3]enemies!$1:$1,0)-MATCH($L$1,[3]enemies!$1:$1,0)+1,FALSE)</f>
        <v>yellow</v>
      </c>
      <c r="O73" s="17" t="str">
        <f ca="1">VLOOKUP($L73,OFFSET([4]characters!$A$1,0,0,COUNTA([4]characters!$A:$A),MATCH(O$1,[4]characters!$1:$1,0)-MATCH($L$1,[4]characters!$1:$1,0)+1),MATCH(O$1,[4]characters!$1:$1,0)-MATCH($L$1,[4]characters!$1:$1,0)+1,FALSE)</f>
        <v>Material</v>
      </c>
      <c r="P73" s="17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17">
        <f ca="1">VLOOKUP($L73,OFFSET([3]enemies!$A$1,0,0,COUNTA([3]enemies!$A:$A),MATCH(Q$1,[3]enemies!$1:$1,0)-MATCH($L$1,[3]enemies!$1:$1,0)+1),MATCH(Q$1,[3]enemies!$1:$1,0)-MATCH($L$1,[3]enemies!$1:$1,0)+1,FALSE)</f>
        <v>20</v>
      </c>
      <c r="R73" s="5">
        <v>2</v>
      </c>
      <c r="S73" s="25">
        <v>2</v>
      </c>
      <c r="T73" s="25">
        <v>99</v>
      </c>
      <c r="U73" s="5">
        <v>0</v>
      </c>
      <c r="V73" s="4" t="str">
        <f ca="1">VLOOKUP($W73,OFFSET([5]enemy_skill_sets!$B$1,0,0,COUNTA([5]enemy_skill_sets!$B:$B),MATCH(M$1,[5]enemy_skill_sets!$1:$1,0)-MATCH($W$1,[5]enemy_skill_sets!$1:$1,0)+2),MATCH(M$1,[5]enemy_skill_sets!$1:$1,0)-MATCH($W$1,[5]enemy_skill_sets!$1:$1,0)+2,FALSE)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3" s="4">
        <f ca="1">VLOOKUP($L73,OFFSET([3]enemies!$A$1,0,0,COUNTA([3]enemies!$A:$A),MATCH(W$1,[3]enemies!$1:$1,0)-MATCH($L$1,[3]enemies!$1:$1,0)+1),MATCH(W$1,[3]enemies!$1:$1,0)-MATCH($L$1,[3]enemies!$1:$1,0)+1,FALSE)</f>
        <v>0</v>
      </c>
      <c r="X73" s="6">
        <v>0</v>
      </c>
      <c r="Y73" s="6">
        <v>20</v>
      </c>
      <c r="Z73" s="6">
        <v>1</v>
      </c>
      <c r="AA73" s="17">
        <f ca="1">VLOOKUP($L73,OFFSET([3]enemies!$A$1,0,0,COUNTA([3]enemies!$A:$A),MATCH(AA$1,[3]enemies!$1:$1,0)-MATCH($L$1,[3]enemies!$1:$1,0)+1),MATCH(AA$1,[3]enemies!$1:$1,0)-MATCH($L$1,[3]enemies!$1:$1,0)+1,FALSE)</f>
        <v>3</v>
      </c>
      <c r="AB73" s="24">
        <f t="shared" si="13"/>
        <v>346</v>
      </c>
      <c r="AC73" s="4" t="str">
        <f ca="1">VLOOKUP($AB73,OFFSET([4]characters!$A$1,0,0,COUNTA([4]characters!$A:$A),MATCH(AC$1,[4]characters!$1:$1,0)-MATCH("character_id",[4]characters!$1:$1,0)+1),MATCH(AC$1,[4]characters!$1:$1,0)-MATCH("character_id",[4]characters!$1:$1,0)+1,FALSE)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73" s="4">
        <f ca="1">VLOOKUP($AB73,OFFSET([4]characters!$A$1,0,0,COUNTA([4]characters!$A:$A),MATCH(AD$1,[4]characters!$1:$1,0)-MATCH("character_id",[4]characters!$1:$1,0)+1),MATCH(AD$1,[4]characters!$1:$1,0)-MATCH("character_id",[4]characters!$1:$1,0)+1,FALSE)</f>
        <v>5</v>
      </c>
      <c r="AE73" s="4" t="str">
        <f ca="1">VLOOKUP($AB73,OFFSET([4]characters!$A$1,0,0,COUNTA([4]characters!$A:$A),MATCH(AE$1,[4]characters!$1:$1,0)-MATCH("character_id",[4]characters!$1:$1,0)+1),MATCH(AE$1,[4]characters!$1:$1,0)-MATCH("character_id",[4]characters!$1:$1,0)+1,FALSE)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3" s="7">
        <v>1</v>
      </c>
      <c r="AG73" s="24">
        <f t="shared" ca="1" si="14"/>
        <v>5</v>
      </c>
      <c r="AH73" s="8">
        <v>5</v>
      </c>
      <c r="AI73" s="7">
        <v>0</v>
      </c>
      <c r="AJ73" s="7">
        <v>0</v>
      </c>
      <c r="AK73" s="7">
        <v>0</v>
      </c>
      <c r="AL73" s="7">
        <v>0</v>
      </c>
      <c r="AM73" s="7">
        <v>1</v>
      </c>
      <c r="AN73" s="69">
        <v>1</v>
      </c>
    </row>
    <row r="74" spans="1:40" ht="21" customHeight="1" x14ac:dyDescent="0.15">
      <c r="A74" s="16" t="str">
        <f t="shared" ca="1" si="10"/>
        <v>11001_10-3/344&lt;lv2&gt;s1</v>
      </c>
      <c r="B74" s="22">
        <v>11001</v>
      </c>
      <c r="C74" s="21">
        <v>10</v>
      </c>
      <c r="D74" s="2" t="str">
        <f t="shared" si="11"/>
        <v>11001_10</v>
      </c>
      <c r="E74" s="4" t="str">
        <f ca="1">VLOOKUP($B74,OFFSET([2]quests!$A$1,0,0,COUNTA([2]quests!$A:$A),MATCH(E$1,[2]quests!$1:$1,0)-MATCH($B$1,[2]quests!$1:$1,0)+1),MATCH(E$1,[2]quests!$1:$1,0)-MATCH($B$1,[2]quests!$1:$1,0)+1,FALSE)</f>
        <v>【月曜限定】 黄の素材</v>
      </c>
      <c r="F74" s="4" t="str">
        <f ca="1">VLOOKUP($D74,OFFSET([2]stages!$A$1,0,0,COUNTA([2]stages!$A:$A),MATCH(F$1,[2]stages!$2:$2,0)-MATCH($D$1,[2]stages!$2:$2,0)+1),MATCH(F$1,[2]stages!$2:$2,0)-MATCH($D$1,[2]stages!$2:$2,0)+1,FALSE)</f>
        <v>【超絶級】醒電の眠りネズミ</v>
      </c>
      <c r="G74" s="21">
        <v>3</v>
      </c>
      <c r="H74" s="15" t="str">
        <f t="shared" si="12"/>
        <v>11001_10-3</v>
      </c>
      <c r="I74" s="4">
        <f ca="1">VLOOKUP($H74,OFFSET(floors!$A$1,0,0,COUNTA(floors!$A:$A),MATCH(I$1,floors!$1:$1,0)-MATCH($H$1,floors!$1:$1,0)+1),MATCH(I$1,floors!$1:$1,0)-MATCH($H$1,floors!$1:$1,0)+1,FALSE)</f>
        <v>50</v>
      </c>
      <c r="J74" s="4">
        <f ca="1">VLOOKUP($H74,OFFSET(floors!$A$1,0,0,COUNTA(floors!$A:$A),MATCH(J$1,floors!$1:$1,0)-MATCH($H$1,floors!$1:$1,0)+1),MATCH(J$1,floors!$1:$1,0)-MATCH($H$1,floors!$1:$1,0)+1,FALSE)</f>
        <v>60</v>
      </c>
      <c r="K74" s="100" t="s">
        <v>209</v>
      </c>
      <c r="L74" s="107">
        <v>344</v>
      </c>
      <c r="M74" s="17" t="str">
        <f ca="1">VLOOKUP($L74,OFFSET([3]enemies!$A$1,0,0,COUNTA([3]enemies!$A:$A),MATCH(M$1,[3]enemies!$1:$1,0)-MATCH($L$1,[3]enemies!$1:$1,0)+1),MATCH(M$1,[3]enemies!$1:$1,0)-MATCH($L$1,[3]enemies!$1:$1,0)+1,FALSE)</f>
        <v>雷のメタルピヨピヨ</v>
      </c>
      <c r="N74" s="17" t="str">
        <f ca="1">VLOOKUP($L74,OFFSET([3]enemies!$A$1,0,0,COUNTA([3]enemies!$A:$A),MATCH(N$1,[3]enemies!$1:$1,0)-MATCH($L$1,[3]enemies!$1:$1,0)+1),MATCH(N$1,[3]enemies!$1:$1,0)-MATCH($L$1,[3]enemies!$1:$1,0)+1,FALSE)</f>
        <v>yellow</v>
      </c>
      <c r="O74" s="17" t="str">
        <f ca="1">VLOOKUP($L74,OFFSET([4]characters!$A$1,0,0,COUNTA([4]characters!$A:$A),MATCH(O$1,[4]characters!$1:$1,0)-MATCH($L$1,[4]characters!$1:$1,0)+1),MATCH(O$1,[4]characters!$1:$1,0)-MATCH($L$1,[4]characters!$1:$1,0)+1,FALSE)</f>
        <v>Material</v>
      </c>
      <c r="P74" s="17" t="str">
        <f ca="1">VLOOKUP($L74,OFFSET([3]enemies!$A$1,0,0,COUNTA([3]enemies!$A:$A),MATCH(P$1,[3]enemies!$1:$1,0)-MATCH($L$1,[3]enemies!$1:$1,0)+1),MATCH(P$1,[3]enemies!$1:$1,0)-MATCH($L$1,[3]enemies!$1:$1,0)+1,FALSE)</f>
        <v>unknown</v>
      </c>
      <c r="Q74" s="17">
        <f ca="1">VLOOKUP($L74,OFFSET([3]enemies!$A$1,0,0,COUNTA([3]enemies!$A:$A),MATCH(Q$1,[3]enemies!$1:$1,0)-MATCH($L$1,[3]enemies!$1:$1,0)+1),MATCH(Q$1,[3]enemies!$1:$1,0)-MATCH($L$1,[3]enemies!$1:$1,0)+1,FALSE)</f>
        <v>15</v>
      </c>
      <c r="R74" s="5">
        <v>2</v>
      </c>
      <c r="S74" s="25">
        <v>2</v>
      </c>
      <c r="T74" s="25">
        <v>99</v>
      </c>
      <c r="U74" s="5">
        <v>0</v>
      </c>
      <c r="V74" s="4" t="str">
        <f ca="1">VLOOKUP($W74,OFFSET([5]enemy_skill_sets!$B$1,0,0,COUNTA([5]enemy_skill_sets!$B:$B),MATCH(M$1,[5]enemy_skill_sets!$1:$1,0)-MATCH($W$1,[5]enemy_skill_sets!$1:$1,0)+2),MATCH(M$1,[5]enemy_skill_sets!$1:$1,0)-MATCH($W$1,[5]enemy_skill_sets!$1:$1,0)+2,FALSE)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4" s="4">
        <f ca="1">VLOOKUP($L74,OFFSET([3]enemies!$A$1,0,0,COUNTA([3]enemies!$A:$A),MATCH(W$1,[3]enemies!$1:$1,0)-MATCH($L$1,[3]enemies!$1:$1,0)+1),MATCH(W$1,[3]enemies!$1:$1,0)-MATCH($L$1,[3]enemies!$1:$1,0)+1,FALSE)</f>
        <v>0</v>
      </c>
      <c r="X74" s="6">
        <v>1</v>
      </c>
      <c r="Y74" s="6">
        <v>100</v>
      </c>
      <c r="Z74" s="6">
        <v>0</v>
      </c>
      <c r="AA74" s="17">
        <f ca="1">VLOOKUP($L74,OFFSET([3]enemies!$A$1,0,0,COUNTA([3]enemies!$A:$A),MATCH(AA$1,[3]enemies!$1:$1,0)-MATCH($L$1,[3]enemies!$1:$1,0)+1),MATCH(AA$1,[3]enemies!$1:$1,0)-MATCH($L$1,[3]enemies!$1:$1,0)+1,FALSE)</f>
        <v>1</v>
      </c>
      <c r="AB74" s="24">
        <f t="shared" si="13"/>
        <v>344</v>
      </c>
      <c r="AC74" s="4" t="str">
        <f ca="1">VLOOKUP($AB74,OFFSET([4]characters!$A$1,0,0,COUNTA([4]characters!$A:$A),MATCH(AC$1,[4]characters!$1:$1,0)-MATCH("character_id",[4]characters!$1:$1,0)+1),MATCH(AC$1,[4]characters!$1:$1,0)-MATCH("character_id",[4]characters!$1:$1,0)+1,FALSE)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74" s="4">
        <f ca="1">VLOOKUP($AB74,OFFSET([4]characters!$A$1,0,0,COUNTA([4]characters!$A:$A),MATCH(AD$1,[4]characters!$1:$1,0)-MATCH("character_id",[4]characters!$1:$1,0)+1),MATCH(AD$1,[4]characters!$1:$1,0)-MATCH("character_id",[4]characters!$1:$1,0)+1,FALSE)</f>
        <v>3</v>
      </c>
      <c r="AE74" s="4" t="str">
        <f ca="1">VLOOKUP($AB74,OFFSET([4]characters!$A$1,0,0,COUNTA([4]characters!$A:$A),MATCH(AE$1,[4]characters!$1:$1,0)-MATCH("character_id",[4]characters!$1:$1,0)+1),MATCH(AE$1,[4]characters!$1:$1,0)-MATCH("character_id",[4]characters!$1:$1,0)+1,FALSE)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4" s="7">
        <v>1</v>
      </c>
      <c r="AG74" s="24">
        <f t="shared" ca="1" si="14"/>
        <v>3</v>
      </c>
      <c r="AH74" s="8">
        <v>20</v>
      </c>
      <c r="AI74" s="7">
        <v>0</v>
      </c>
      <c r="AJ74" s="7">
        <v>0</v>
      </c>
      <c r="AK74" s="7">
        <v>0</v>
      </c>
      <c r="AL74" s="7">
        <v>0</v>
      </c>
      <c r="AM74" s="7">
        <v>1</v>
      </c>
      <c r="AN74" s="69">
        <v>1</v>
      </c>
    </row>
    <row r="75" spans="1:40" ht="21" customHeight="1" x14ac:dyDescent="0.15">
      <c r="A75" s="16" t="str">
        <f t="shared" ca="1" si="10"/>
        <v>11001_10-3/345&lt;lv2&gt;s2</v>
      </c>
      <c r="B75" s="22">
        <v>11001</v>
      </c>
      <c r="C75" s="21">
        <v>10</v>
      </c>
      <c r="D75" s="2" t="str">
        <f t="shared" si="11"/>
        <v>11001_10</v>
      </c>
      <c r="E75" s="4" t="str">
        <f ca="1">VLOOKUP($B75,OFFSET([2]quests!$A$1,0,0,COUNTA([2]quests!$A:$A),MATCH(E$1,[2]quests!$1:$1,0)-MATCH($B$1,[2]quests!$1:$1,0)+1),MATCH(E$1,[2]quests!$1:$1,0)-MATCH($B$1,[2]quests!$1:$1,0)+1,FALSE)</f>
        <v>【月曜限定】 黄の素材</v>
      </c>
      <c r="F75" s="4" t="str">
        <f ca="1">VLOOKUP($D75,OFFSET([2]stages!$A$1,0,0,COUNTA([2]stages!$A:$A),MATCH(F$1,[2]stages!$2:$2,0)-MATCH($D$1,[2]stages!$2:$2,0)+1),MATCH(F$1,[2]stages!$2:$2,0)-MATCH($D$1,[2]stages!$2:$2,0)+1,FALSE)</f>
        <v>【超絶級】醒電の眠りネズミ</v>
      </c>
      <c r="G75" s="21">
        <v>3</v>
      </c>
      <c r="H75" s="15" t="str">
        <f t="shared" si="12"/>
        <v>11001_10-3</v>
      </c>
      <c r="I75" s="4">
        <f ca="1">VLOOKUP($H75,OFFSET(floors!$A$1,0,0,COUNTA(floors!$A:$A),MATCH(I$1,floors!$1:$1,0)-MATCH($H$1,floors!$1:$1,0)+1),MATCH(I$1,floors!$1:$1,0)-MATCH($H$1,floors!$1:$1,0)+1,FALSE)</f>
        <v>50</v>
      </c>
      <c r="J75" s="4">
        <f ca="1">VLOOKUP($H75,OFFSET(floors!$A$1,0,0,COUNTA(floors!$A:$A),MATCH(J$1,floors!$1:$1,0)-MATCH($H$1,floors!$1:$1,0)+1),MATCH(J$1,floors!$1:$1,0)-MATCH($H$1,floors!$1:$1,0)+1,FALSE)</f>
        <v>60</v>
      </c>
      <c r="K75" s="100" t="s">
        <v>209</v>
      </c>
      <c r="L75" s="107">
        <v>345</v>
      </c>
      <c r="M75" s="17" t="str">
        <f ca="1">VLOOKUP($L75,OFFSET([3]enemies!$A$1,0,0,COUNTA([3]enemies!$A:$A),MATCH(M$1,[3]enemies!$1:$1,0)-MATCH($L$1,[3]enemies!$1:$1,0)+1),MATCH(M$1,[3]enemies!$1:$1,0)-MATCH($L$1,[3]enemies!$1:$1,0)+1,FALSE)</f>
        <v>雷のメタルチック</v>
      </c>
      <c r="N75" s="17" t="str">
        <f ca="1">VLOOKUP($L75,OFFSET([3]enemies!$A$1,0,0,COUNTA([3]enemies!$A:$A),MATCH(N$1,[3]enemies!$1:$1,0)-MATCH($L$1,[3]enemies!$1:$1,0)+1),MATCH(N$1,[3]enemies!$1:$1,0)-MATCH($L$1,[3]enemies!$1:$1,0)+1,FALSE)</f>
        <v>yellow</v>
      </c>
      <c r="O75" s="17" t="str">
        <f ca="1">VLOOKUP($L75,OFFSET([4]characters!$A$1,0,0,COUNTA([4]characters!$A:$A),MATCH(O$1,[4]characters!$1:$1,0)-MATCH($L$1,[4]characters!$1:$1,0)+1),MATCH(O$1,[4]characters!$1:$1,0)-MATCH($L$1,[4]characters!$1:$1,0)+1,FALSE)</f>
        <v>Material</v>
      </c>
      <c r="P75" s="17" t="str">
        <f ca="1">VLOOKUP($L75,OFFSET([3]enemies!$A$1,0,0,COUNTA([3]enemies!$A:$A),MATCH(P$1,[3]enemies!$1:$1,0)-MATCH($L$1,[3]enemies!$1:$1,0)+1),MATCH(P$1,[3]enemies!$1:$1,0)-MATCH($L$1,[3]enemies!$1:$1,0)+1,FALSE)</f>
        <v>unknown</v>
      </c>
      <c r="Q75" s="17">
        <f ca="1">VLOOKUP($L75,OFFSET([3]enemies!$A$1,0,0,COUNTA([3]enemies!$A:$A),MATCH(Q$1,[3]enemies!$1:$1,0)-MATCH($L$1,[3]enemies!$1:$1,0)+1),MATCH(Q$1,[3]enemies!$1:$1,0)-MATCH($L$1,[3]enemies!$1:$1,0)+1,FALSE)</f>
        <v>15</v>
      </c>
      <c r="R75" s="5">
        <v>2</v>
      </c>
      <c r="S75" s="25">
        <v>2</v>
      </c>
      <c r="T75" s="25">
        <v>99</v>
      </c>
      <c r="U75" s="5">
        <v>0</v>
      </c>
      <c r="V75" s="4" t="str">
        <f ca="1">VLOOKUP($W75,OFFSET([5]enemy_skill_sets!$B$1,0,0,COUNTA([5]enemy_skill_sets!$B:$B),MATCH(M$1,[5]enemy_skill_sets!$1:$1,0)-MATCH($W$1,[5]enemy_skill_sets!$1:$1,0)+2),MATCH(M$1,[5]enemy_skill_sets!$1:$1,0)-MATCH($W$1,[5]enemy_skill_sets!$1:$1,0)+2,FALSE)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5" s="4">
        <f ca="1">VLOOKUP($L75,OFFSET([3]enemies!$A$1,0,0,COUNTA([3]enemies!$A:$A),MATCH(W$1,[3]enemies!$1:$1,0)-MATCH($L$1,[3]enemies!$1:$1,0)+1),MATCH(W$1,[3]enemies!$1:$1,0)-MATCH($L$1,[3]enemies!$1:$1,0)+1,FALSE)</f>
        <v>0</v>
      </c>
      <c r="X75" s="6">
        <v>1</v>
      </c>
      <c r="Y75" s="6">
        <v>100</v>
      </c>
      <c r="Z75" s="6">
        <v>0</v>
      </c>
      <c r="AA75" s="17">
        <f ca="1">VLOOKUP($L75,OFFSET([3]enemies!$A$1,0,0,COUNTA([3]enemies!$A:$A),MATCH(AA$1,[3]enemies!$1:$1,0)-MATCH($L$1,[3]enemies!$1:$1,0)+1),MATCH(AA$1,[3]enemies!$1:$1,0)-MATCH($L$1,[3]enemies!$1:$1,0)+1,FALSE)</f>
        <v>2</v>
      </c>
      <c r="AB75" s="24">
        <f t="shared" si="13"/>
        <v>345</v>
      </c>
      <c r="AC75" s="4" t="str">
        <f ca="1">VLOOKUP($AB75,OFFSET([4]characters!$A$1,0,0,COUNTA([4]characters!$A:$A),MATCH(AC$1,[4]characters!$1:$1,0)-MATCH("character_id",[4]characters!$1:$1,0)+1),MATCH(AC$1,[4]characters!$1:$1,0)-MATCH("character_id",[4]characters!$1:$1,0)+1,FALSE)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75" s="4">
        <f ca="1">VLOOKUP($AB75,OFFSET([4]characters!$A$1,0,0,COUNTA([4]characters!$A:$A),MATCH(AD$1,[4]characters!$1:$1,0)-MATCH("character_id",[4]characters!$1:$1,0)+1),MATCH(AD$1,[4]characters!$1:$1,0)-MATCH("character_id",[4]characters!$1:$1,0)+1,FALSE)</f>
        <v>4</v>
      </c>
      <c r="AE75" s="4" t="str">
        <f ca="1">VLOOKUP($AB75,OFFSET([4]characters!$A$1,0,0,COUNTA([4]characters!$A:$A),MATCH(AE$1,[4]characters!$1:$1,0)-MATCH("character_id",[4]characters!$1:$1,0)+1),MATCH(AE$1,[4]characters!$1:$1,0)-MATCH("character_id",[4]characters!$1:$1,0)+1,FALSE)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5" s="7">
        <v>1</v>
      </c>
      <c r="AG75" s="24">
        <f t="shared" ca="1" si="14"/>
        <v>4</v>
      </c>
      <c r="AH75" s="8">
        <v>10</v>
      </c>
      <c r="AI75" s="7">
        <v>0</v>
      </c>
      <c r="AJ75" s="7">
        <v>0</v>
      </c>
      <c r="AK75" s="7">
        <v>0</v>
      </c>
      <c r="AL75" s="7">
        <v>0</v>
      </c>
      <c r="AM75" s="7">
        <v>1</v>
      </c>
      <c r="AN75" s="69">
        <v>1</v>
      </c>
    </row>
    <row r="76" spans="1:40" ht="21" customHeight="1" x14ac:dyDescent="0.15">
      <c r="A76" s="16" t="str">
        <f t="shared" si="10"/>
        <v>11001_10-4/366&lt;lv52&gt;s2</v>
      </c>
      <c r="B76" s="22">
        <v>11001</v>
      </c>
      <c r="C76" s="21">
        <v>10</v>
      </c>
      <c r="D76" s="2" t="str">
        <f t="shared" si="11"/>
        <v>11001_10</v>
      </c>
      <c r="E76" s="4" t="str">
        <f ca="1">VLOOKUP($B76,OFFSET([2]quests!$A$1,0,0,COUNTA([2]quests!$A:$A),MATCH(E$1,[2]quests!$1:$1,0)-MATCH($B$1,[2]quests!$1:$1,0)+1),MATCH(E$1,[2]quests!$1:$1,0)-MATCH($B$1,[2]quests!$1:$1,0)+1,FALSE)</f>
        <v>【月曜限定】 黄の素材</v>
      </c>
      <c r="F76" s="4" t="str">
        <f ca="1">VLOOKUP($D76,OFFSET([2]stages!$A$1,0,0,COUNTA([2]stages!$A:$A),MATCH(F$1,[2]stages!$2:$2,0)-MATCH($D$1,[2]stages!$2:$2,0)+1),MATCH(F$1,[2]stages!$2:$2,0)-MATCH($D$1,[2]stages!$2:$2,0)+1,FALSE)</f>
        <v>【超絶級】醒電の眠りネズミ</v>
      </c>
      <c r="G76" s="21">
        <v>4</v>
      </c>
      <c r="H76" s="15" t="str">
        <f t="shared" si="12"/>
        <v>11001_10-4</v>
      </c>
      <c r="I76" s="4">
        <f ca="1">VLOOKUP($H76,OFFSET(floors!$A$1,0,0,COUNTA(floors!$A:$A),MATCH(I$1,floors!$1:$1,0)-MATCH($H$1,floors!$1:$1,0)+1),MATCH(I$1,floors!$1:$1,0)-MATCH($H$1,floors!$1:$1,0)+1,FALSE)</f>
        <v>45</v>
      </c>
      <c r="J76" s="4">
        <f ca="1">VLOOKUP($H76,OFFSET(floors!$A$1,0,0,COUNTA(floors!$A:$A),MATCH(J$1,floors!$1:$1,0)-MATCH($H$1,floors!$1:$1,0)+1),MATCH(J$1,floors!$1:$1,0)-MATCH($H$1,floors!$1:$1,0)+1,FALSE)</f>
        <v>60</v>
      </c>
      <c r="K76" s="100" t="s">
        <v>209</v>
      </c>
      <c r="L76" s="107">
        <v>366</v>
      </c>
      <c r="M76" s="17" t="str">
        <f ca="1">VLOOKUP($L76,OFFSET([3]enemies!$A$1,0,0,COUNTA([3]enemies!$A:$A),MATCH(M$1,[3]enemies!$1:$1,0)-MATCH($L$1,[3]enemies!$1:$1,0)+1),MATCH(M$1,[3]enemies!$1:$1,0)-MATCH($L$1,[3]enemies!$1:$1,0)+1,FALSE)</f>
        <v>トト</v>
      </c>
      <c r="N76" s="17" t="str">
        <f ca="1">VLOOKUP($L76,OFFSET([3]enemies!$A$1,0,0,COUNTA([3]enemies!$A:$A),MATCH(N$1,[3]enemies!$1:$1,0)-MATCH($L$1,[3]enemies!$1:$1,0)+1),MATCH(N$1,[3]enemies!$1:$1,0)-MATCH($L$1,[3]enemies!$1:$1,0)+1,FALSE)</f>
        <v>yellow</v>
      </c>
      <c r="O76" s="17" t="str">
        <f ca="1">VLOOKUP($L76,OFFSET([4]characters!$A$1,0,0,COUNTA([4]characters!$A:$A),MATCH(O$1,[4]characters!$1:$1,0)-MATCH($L$1,[4]characters!$1:$1,0)+1),MATCH(O$1,[4]characters!$1:$1,0)-MATCH($L$1,[4]characters!$1:$1,0)+1,FALSE)</f>
        <v>Drop1S</v>
      </c>
      <c r="P76" s="17" t="str">
        <f ca="1">VLOOKUP($L76,OFFSET([3]enemies!$A$1,0,0,COUNTA([3]enemies!$A:$A),MATCH(P$1,[3]enemies!$1:$1,0)-MATCH($L$1,[3]enemies!$1:$1,0)+1),MATCH(P$1,[3]enemies!$1:$1,0)-MATCH($L$1,[3]enemies!$1:$1,0)+1,FALSE)</f>
        <v>animal</v>
      </c>
      <c r="Q76" s="17">
        <f ca="1">VLOOKUP($L76,OFFSET([3]enemies!$A$1,0,0,COUNTA([3]enemies!$A:$A),MATCH(Q$1,[3]enemies!$1:$1,0)-MATCH($L$1,[3]enemies!$1:$1,0)+1),MATCH(Q$1,[3]enemies!$1:$1,0)-MATCH($L$1,[3]enemies!$1:$1,0)+1,FALSE)</f>
        <v>15</v>
      </c>
      <c r="R76" s="5">
        <v>52</v>
      </c>
      <c r="S76" s="25">
        <v>1.8</v>
      </c>
      <c r="T76" s="25">
        <v>0.9</v>
      </c>
      <c r="U76" s="5">
        <v>0</v>
      </c>
      <c r="V76" s="4" t="str">
        <f ca="1">VLOOKUP($W76,OFFSET(enemy_skill_sets!$B$1,0,0,COUNTA(enemy_skill_sets!$B:$B),MATCH(M$1,enemy_skill_sets!$1:$1,0)-MATCH($W$1,enemy_skill_sets!$1:$1,0)+2),MATCH(M$1,enemy_skill_sets!$1:$1,0)-MATCH($W$1,enemy_skill_sets!$1:$1,0)+2,FALSE)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76" s="110">
        <v>1122213</v>
      </c>
      <c r="X76" s="6">
        <v>2</v>
      </c>
      <c r="Y76" s="6">
        <v>100</v>
      </c>
      <c r="Z76" s="6">
        <v>0</v>
      </c>
      <c r="AA76" s="17">
        <v>2</v>
      </c>
      <c r="AB76" s="24">
        <f t="shared" si="13"/>
        <v>366</v>
      </c>
      <c r="AC76" s="4" t="str">
        <f ca="1">VLOOKUP($AB76,OFFSET([4]characters!$A$1,0,0,COUNTA([4]characters!$A:$A),MATCH(AC$1,[4]characters!$1:$1,0)-MATCH("character_id",[4]characters!$1:$1,0)+1),MATCH(AC$1,[4]characters!$1:$1,0)-MATCH("character_id",[4]characters!$1:$1,0)+1,FALSE)</f>
        <v>トト</v>
      </c>
      <c r="AD76" s="4">
        <f ca="1">VLOOKUP($AB76,OFFSET([4]characters!$A$1,0,0,COUNTA([4]characters!$A:$A),MATCH(AD$1,[4]characters!$1:$1,0)-MATCH("character_id",[4]characters!$1:$1,0)+1),MATCH(AD$1,[4]characters!$1:$1,0)-MATCH("character_id",[4]characters!$1:$1,0)+1,FALSE)</f>
        <v>2</v>
      </c>
      <c r="AE76" s="4" t="str">
        <f ca="1">VLOOKUP($AB76,OFFSET([4]characters!$A$1,0,0,COUNTA([4]characters!$A:$A),MATCH(AE$1,[4]characters!$1:$1,0)-MATCH("character_id",[4]characters!$1:$1,0)+1),MATCH(AE$1,[4]characters!$1:$1,0)-MATCH("character_id",[4]characters!$1:$1,0)+1,FALSE)</f>
        <v>Drop1S</v>
      </c>
      <c r="AF76" s="7">
        <v>1</v>
      </c>
      <c r="AG76" s="24">
        <f t="shared" ca="1" si="14"/>
        <v>2</v>
      </c>
      <c r="AH76" s="8">
        <v>0</v>
      </c>
      <c r="AI76" s="7">
        <v>0</v>
      </c>
      <c r="AJ76" s="7">
        <v>0</v>
      </c>
      <c r="AK76" s="7">
        <v>0</v>
      </c>
      <c r="AL76" s="7">
        <v>0</v>
      </c>
      <c r="AM76" s="7">
        <v>1</v>
      </c>
      <c r="AN76" s="69">
        <v>1</v>
      </c>
    </row>
    <row r="77" spans="1:40" ht="21" customHeight="1" x14ac:dyDescent="0.15">
      <c r="A77" s="16" t="str">
        <f t="shared" si="10"/>
        <v>11001_10-4/412&lt;lv52&gt;s1</v>
      </c>
      <c r="B77" s="22">
        <v>11001</v>
      </c>
      <c r="C77" s="21">
        <v>10</v>
      </c>
      <c r="D77" s="2" t="str">
        <f t="shared" si="11"/>
        <v>11001_10</v>
      </c>
      <c r="E77" s="4" t="str">
        <f ca="1">VLOOKUP($B77,OFFSET([2]quests!$A$1,0,0,COUNTA([2]quests!$A:$A),MATCH(E$1,[2]quests!$1:$1,0)-MATCH($B$1,[2]quests!$1:$1,0)+1),MATCH(E$1,[2]quests!$1:$1,0)-MATCH($B$1,[2]quests!$1:$1,0)+1,FALSE)</f>
        <v>【月曜限定】 黄の素材</v>
      </c>
      <c r="F77" s="4" t="str">
        <f ca="1">VLOOKUP($D77,OFFSET([2]stages!$A$1,0,0,COUNTA([2]stages!$A:$A),MATCH(F$1,[2]stages!$2:$2,0)-MATCH($D$1,[2]stages!$2:$2,0)+1),MATCH(F$1,[2]stages!$2:$2,0)-MATCH($D$1,[2]stages!$2:$2,0)+1,FALSE)</f>
        <v>【超絶級】醒電の眠りネズミ</v>
      </c>
      <c r="G77" s="21">
        <v>4</v>
      </c>
      <c r="H77" s="15" t="str">
        <f t="shared" si="12"/>
        <v>11001_10-4</v>
      </c>
      <c r="I77" s="4">
        <f ca="1">VLOOKUP($H77,OFFSET(floors!$A$1,0,0,COUNTA(floors!$A:$A),MATCH(I$1,floors!$1:$1,0)-MATCH($H$1,floors!$1:$1,0)+1),MATCH(I$1,floors!$1:$1,0)-MATCH($H$1,floors!$1:$1,0)+1,FALSE)</f>
        <v>45</v>
      </c>
      <c r="J77" s="4">
        <f ca="1">VLOOKUP($H77,OFFSET(floors!$A$1,0,0,COUNTA(floors!$A:$A),MATCH(J$1,floors!$1:$1,0)-MATCH($H$1,floors!$1:$1,0)+1),MATCH(J$1,floors!$1:$1,0)-MATCH($H$1,floors!$1:$1,0)+1,FALSE)</f>
        <v>60</v>
      </c>
      <c r="K77" s="100" t="s">
        <v>209</v>
      </c>
      <c r="L77" s="107">
        <v>412</v>
      </c>
      <c r="M77" s="17" t="str">
        <f ca="1">VLOOKUP($L77,OFFSET([3]enemies!$A$1,0,0,COUNTA([3]enemies!$A:$A),MATCH(M$1,[3]enemies!$1:$1,0)-MATCH($L$1,[3]enemies!$1:$1,0)+1),MATCH(M$1,[3]enemies!$1:$1,0)-MATCH($L$1,[3]enemies!$1:$1,0)+1,FALSE)</f>
        <v>コウネン</v>
      </c>
      <c r="N77" s="17" t="str">
        <f ca="1">VLOOKUP($L77,OFFSET([3]enemies!$A$1,0,0,COUNTA([3]enemies!$A:$A),MATCH(N$1,[3]enemies!$1:$1,0)-MATCH($L$1,[3]enemies!$1:$1,0)+1),MATCH(N$1,[3]enemies!$1:$1,0)-MATCH($L$1,[3]enemies!$1:$1,0)+1,FALSE)</f>
        <v>yellow</v>
      </c>
      <c r="O77" s="17" t="str">
        <f ca="1">VLOOKUP($L77,OFFSET([4]characters!$A$1,0,0,COUNTA([4]characters!$A:$A),MATCH(O$1,[4]characters!$1:$1,0)-MATCH($L$1,[4]characters!$1:$1,0)+1),MATCH(O$1,[4]characters!$1:$1,0)-MATCH($L$1,[4]characters!$1:$1,0)+1,FALSE)</f>
        <v>Drop1S</v>
      </c>
      <c r="P77" s="17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17">
        <f ca="1">VLOOKUP($L77,OFFSET([3]enemies!$A$1,0,0,COUNTA([3]enemies!$A:$A),MATCH(Q$1,[3]enemies!$1:$1,0)-MATCH($L$1,[3]enemies!$1:$1,0)+1),MATCH(Q$1,[3]enemies!$1:$1,0)-MATCH($L$1,[3]enemies!$1:$1,0)+1,FALSE)</f>
        <v>15</v>
      </c>
      <c r="R77" s="5">
        <v>52</v>
      </c>
      <c r="S77" s="25">
        <v>1.2</v>
      </c>
      <c r="T77" s="25">
        <v>1.2</v>
      </c>
      <c r="U77" s="5">
        <v>0</v>
      </c>
      <c r="V77" s="4" t="str">
        <f ca="1">VLOOKUP($W77,OFFSET(enemy_skill_sets!$B$1,0,0,COUNTA(enemy_skill_sets!$B:$B),MATCH(M$1,enemy_skill_sets!$1:$1,0)-MATCH($W$1,enemy_skill_sets!$1:$1,0)+2),MATCH(M$1,enemy_skill_sets!$1:$1,0)-MATCH($W$1,enemy_skill_sets!$1:$1,0)+2,FALSE)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77" s="109">
        <v>1122207</v>
      </c>
      <c r="X77" s="6">
        <v>1</v>
      </c>
      <c r="Y77" s="6">
        <v>100</v>
      </c>
      <c r="Z77" s="6">
        <v>0</v>
      </c>
      <c r="AA77" s="17">
        <v>1</v>
      </c>
      <c r="AB77" s="24">
        <f t="shared" si="13"/>
        <v>412</v>
      </c>
      <c r="AC77" s="4" t="str">
        <f ca="1">VLOOKUP($AB77,OFFSET([4]characters!$A$1,0,0,COUNTA([4]characters!$A:$A),MATCH(AC$1,[4]characters!$1:$1,0)-MATCH("character_id",[4]characters!$1:$1,0)+1),MATCH(AC$1,[4]characters!$1:$1,0)-MATCH("character_id",[4]characters!$1:$1,0)+1,FALSE)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77" s="4">
        <f ca="1">VLOOKUP($AB77,OFFSET([4]characters!$A$1,0,0,COUNTA([4]characters!$A:$A),MATCH(AD$1,[4]characters!$1:$1,0)-MATCH("character_id",[4]characters!$1:$1,0)+1),MATCH(AD$1,[4]characters!$1:$1,0)-MATCH("character_id",[4]characters!$1:$1,0)+1,FALSE)</f>
        <v>2</v>
      </c>
      <c r="AE77" s="4" t="str">
        <f ca="1">VLOOKUP($AB77,OFFSET([4]characters!$A$1,0,0,COUNTA([4]characters!$A:$A),MATCH(AE$1,[4]characters!$1:$1,0)-MATCH("character_id",[4]characters!$1:$1,0)+1),MATCH(AE$1,[4]characters!$1:$1,0)-MATCH("character_id",[4]characters!$1:$1,0)+1,FALSE)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7" s="7">
        <v>1</v>
      </c>
      <c r="AG77" s="24">
        <f t="shared" ca="1" si="14"/>
        <v>2</v>
      </c>
      <c r="AH77" s="8">
        <v>0</v>
      </c>
      <c r="AI77" s="7">
        <v>0</v>
      </c>
      <c r="AJ77" s="7">
        <v>0</v>
      </c>
      <c r="AK77" s="7">
        <v>0</v>
      </c>
      <c r="AL77" s="7">
        <v>0</v>
      </c>
      <c r="AM77" s="7">
        <v>1</v>
      </c>
      <c r="AN77" s="69">
        <v>1</v>
      </c>
    </row>
    <row r="78" spans="1:40" ht="21" customHeight="1" x14ac:dyDescent="0.15">
      <c r="A78" s="16" t="str">
        <f t="shared" si="10"/>
        <v>11001_10-5/366&lt;lv52&gt;s2</v>
      </c>
      <c r="B78" s="22">
        <v>11001</v>
      </c>
      <c r="C78" s="21">
        <v>10</v>
      </c>
      <c r="D78" s="2" t="str">
        <f t="shared" si="11"/>
        <v>11001_10</v>
      </c>
      <c r="E78" s="4" t="str">
        <f ca="1">VLOOKUP($B78,OFFSET([2]quests!$A$1,0,0,COUNTA([2]quests!$A:$A),MATCH(E$1,[2]quests!$1:$1,0)-MATCH($B$1,[2]quests!$1:$1,0)+1),MATCH(E$1,[2]quests!$1:$1,0)-MATCH($B$1,[2]quests!$1:$1,0)+1,FALSE)</f>
        <v>【月曜限定】 黄の素材</v>
      </c>
      <c r="F78" s="4" t="str">
        <f ca="1">VLOOKUP($D78,OFFSET([2]stages!$A$1,0,0,COUNTA([2]stages!$A:$A),MATCH(F$1,[2]stages!$2:$2,0)-MATCH($D$1,[2]stages!$2:$2,0)+1),MATCH(F$1,[2]stages!$2:$2,0)-MATCH($D$1,[2]stages!$2:$2,0)+1,FALSE)</f>
        <v>【超絶級】醒電の眠りネズミ</v>
      </c>
      <c r="G78" s="21">
        <v>5</v>
      </c>
      <c r="H78" s="15" t="str">
        <f t="shared" si="12"/>
        <v>11001_10-5</v>
      </c>
      <c r="I78" s="4">
        <f ca="1">VLOOKUP($H78,OFFSET(floors!$A$1,0,0,COUNTA(floors!$A:$A),MATCH(I$1,floors!$1:$1,0)-MATCH($H$1,floors!$1:$1,0)+1),MATCH(I$1,floors!$1:$1,0)-MATCH($H$1,floors!$1:$1,0)+1,FALSE)</f>
        <v>60</v>
      </c>
      <c r="J78" s="4">
        <f ca="1">VLOOKUP($H78,OFFSET(floors!$A$1,0,0,COUNTA(floors!$A:$A),MATCH(J$1,floors!$1:$1,0)-MATCH($H$1,floors!$1:$1,0)+1),MATCH(J$1,floors!$1:$1,0)-MATCH($H$1,floors!$1:$1,0)+1,FALSE)</f>
        <v>60</v>
      </c>
      <c r="K78" s="100" t="s">
        <v>209</v>
      </c>
      <c r="L78" s="107">
        <v>366</v>
      </c>
      <c r="M78" s="17" t="str">
        <f ca="1">VLOOKUP($L78,OFFSET([3]enemies!$A$1,0,0,COUNTA([3]enemies!$A:$A),MATCH(M$1,[3]enemies!$1:$1,0)-MATCH($L$1,[3]enemies!$1:$1,0)+1),MATCH(M$1,[3]enemies!$1:$1,0)-MATCH($L$1,[3]enemies!$1:$1,0)+1,FALSE)</f>
        <v>トト</v>
      </c>
      <c r="N78" s="17" t="str">
        <f ca="1">VLOOKUP($L78,OFFSET([3]enemies!$A$1,0,0,COUNTA([3]enemies!$A:$A),MATCH(N$1,[3]enemies!$1:$1,0)-MATCH($L$1,[3]enemies!$1:$1,0)+1),MATCH(N$1,[3]enemies!$1:$1,0)-MATCH($L$1,[3]enemies!$1:$1,0)+1,FALSE)</f>
        <v>yellow</v>
      </c>
      <c r="O78" s="17" t="str">
        <f ca="1">VLOOKUP($L78,OFFSET([4]characters!$A$1,0,0,COUNTA([4]characters!$A:$A),MATCH(O$1,[4]characters!$1:$1,0)-MATCH($L$1,[4]characters!$1:$1,0)+1),MATCH(O$1,[4]characters!$1:$1,0)-MATCH($L$1,[4]characters!$1:$1,0)+1,FALSE)</f>
        <v>Drop1S</v>
      </c>
      <c r="P78" s="17" t="str">
        <f ca="1">VLOOKUP($L78,OFFSET([3]enemies!$A$1,0,0,COUNTA([3]enemies!$A:$A),MATCH(P$1,[3]enemies!$1:$1,0)-MATCH($L$1,[3]enemies!$1:$1,0)+1),MATCH(P$1,[3]enemies!$1:$1,0)-MATCH($L$1,[3]enemies!$1:$1,0)+1,FALSE)</f>
        <v>animal</v>
      </c>
      <c r="Q78" s="17">
        <f ca="1">VLOOKUP($L78,OFFSET([3]enemies!$A$1,0,0,COUNTA([3]enemies!$A:$A),MATCH(Q$1,[3]enemies!$1:$1,0)-MATCH($L$1,[3]enemies!$1:$1,0)+1),MATCH(Q$1,[3]enemies!$1:$1,0)-MATCH($L$1,[3]enemies!$1:$1,0)+1,FALSE)</f>
        <v>15</v>
      </c>
      <c r="R78" s="5">
        <v>52</v>
      </c>
      <c r="S78" s="25">
        <v>1.8</v>
      </c>
      <c r="T78" s="25">
        <v>0.9</v>
      </c>
      <c r="U78" s="5">
        <v>0</v>
      </c>
      <c r="V78" s="4" t="str">
        <f ca="1">VLOOKUP($W78,OFFSET(enemy_skill_sets!$B$1,0,0,COUNTA(enemy_skill_sets!$B:$B),MATCH(M$1,enemy_skill_sets!$1:$1,0)-MATCH($W$1,enemy_skill_sets!$1:$1,0)+2),MATCH(M$1,enemy_skill_sets!$1:$1,0)-MATCH($W$1,enemy_skill_sets!$1:$1,0)+2,FALSE)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78" s="110">
        <v>1122213</v>
      </c>
      <c r="X78" s="6">
        <v>2</v>
      </c>
      <c r="Y78" s="6">
        <v>100</v>
      </c>
      <c r="Z78" s="6">
        <v>0</v>
      </c>
      <c r="AA78" s="17">
        <v>2</v>
      </c>
      <c r="AB78" s="24">
        <f t="shared" si="13"/>
        <v>366</v>
      </c>
      <c r="AC78" s="4" t="str">
        <f ca="1">VLOOKUP($AB78,OFFSET([4]characters!$A$1,0,0,COUNTA([4]characters!$A:$A),MATCH(AC$1,[4]characters!$1:$1,0)-MATCH("character_id",[4]characters!$1:$1,0)+1),MATCH(AC$1,[4]characters!$1:$1,0)-MATCH("character_id",[4]characters!$1:$1,0)+1,FALSE)</f>
        <v>トト</v>
      </c>
      <c r="AD78" s="4">
        <f ca="1">VLOOKUP($AB78,OFFSET([4]characters!$A$1,0,0,COUNTA([4]characters!$A:$A),MATCH(AD$1,[4]characters!$1:$1,0)-MATCH("character_id",[4]characters!$1:$1,0)+1),MATCH(AD$1,[4]characters!$1:$1,0)-MATCH("character_id",[4]characters!$1:$1,0)+1,FALSE)</f>
        <v>2</v>
      </c>
      <c r="AE78" s="4" t="str">
        <f ca="1">VLOOKUP($AB78,OFFSET([4]characters!$A$1,0,0,COUNTA([4]characters!$A:$A),MATCH(AE$1,[4]characters!$1:$1,0)-MATCH("character_id",[4]characters!$1:$1,0)+1),MATCH(AE$1,[4]characters!$1:$1,0)-MATCH("character_id",[4]characters!$1:$1,0)+1,FALSE)</f>
        <v>Drop1S</v>
      </c>
      <c r="AF78" s="7">
        <v>1</v>
      </c>
      <c r="AG78" s="24">
        <f t="shared" ca="1" si="14"/>
        <v>2</v>
      </c>
      <c r="AH78" s="8">
        <v>0</v>
      </c>
      <c r="AI78" s="7">
        <v>0</v>
      </c>
      <c r="AJ78" s="7">
        <v>0</v>
      </c>
      <c r="AK78" s="7">
        <v>0</v>
      </c>
      <c r="AL78" s="7">
        <v>0</v>
      </c>
      <c r="AM78" s="7">
        <v>1</v>
      </c>
      <c r="AN78" s="69">
        <v>1</v>
      </c>
    </row>
    <row r="79" spans="1:40" ht="21" customHeight="1" x14ac:dyDescent="0.15">
      <c r="A79" s="16" t="str">
        <f t="shared" si="10"/>
        <v>11001_10-5/412&lt;lv52&gt;s1</v>
      </c>
      <c r="B79" s="22">
        <v>11001</v>
      </c>
      <c r="C79" s="21">
        <v>10</v>
      </c>
      <c r="D79" s="2" t="str">
        <f t="shared" si="11"/>
        <v>11001_10</v>
      </c>
      <c r="E79" s="4" t="str">
        <f ca="1">VLOOKUP($B79,OFFSET([2]quests!$A$1,0,0,COUNTA([2]quests!$A:$A),MATCH(E$1,[2]quests!$1:$1,0)-MATCH($B$1,[2]quests!$1:$1,0)+1),MATCH(E$1,[2]quests!$1:$1,0)-MATCH($B$1,[2]quests!$1:$1,0)+1,FALSE)</f>
        <v>【月曜限定】 黄の素材</v>
      </c>
      <c r="F79" s="4" t="str">
        <f ca="1">VLOOKUP($D79,OFFSET([2]stages!$A$1,0,0,COUNTA([2]stages!$A:$A),MATCH(F$1,[2]stages!$2:$2,0)-MATCH($D$1,[2]stages!$2:$2,0)+1),MATCH(F$1,[2]stages!$2:$2,0)-MATCH($D$1,[2]stages!$2:$2,0)+1,FALSE)</f>
        <v>【超絶級】醒電の眠りネズミ</v>
      </c>
      <c r="G79" s="21">
        <v>5</v>
      </c>
      <c r="H79" s="15" t="str">
        <f t="shared" si="12"/>
        <v>11001_10-5</v>
      </c>
      <c r="I79" s="4">
        <f ca="1">VLOOKUP($H79,OFFSET(floors!$A$1,0,0,COUNTA(floors!$A:$A),MATCH(I$1,floors!$1:$1,0)-MATCH($H$1,floors!$1:$1,0)+1),MATCH(I$1,floors!$1:$1,0)-MATCH($H$1,floors!$1:$1,0)+1,FALSE)</f>
        <v>60</v>
      </c>
      <c r="J79" s="4">
        <f ca="1">VLOOKUP($H79,OFFSET(floors!$A$1,0,0,COUNTA(floors!$A:$A),MATCH(J$1,floors!$1:$1,0)-MATCH($H$1,floors!$1:$1,0)+1),MATCH(J$1,floors!$1:$1,0)-MATCH($H$1,floors!$1:$1,0)+1,FALSE)</f>
        <v>60</v>
      </c>
      <c r="K79" s="100" t="s">
        <v>209</v>
      </c>
      <c r="L79" s="107">
        <v>412</v>
      </c>
      <c r="M79" s="17" t="str">
        <f ca="1">VLOOKUP($L79,OFFSET([3]enemies!$A$1,0,0,COUNTA([3]enemies!$A:$A),MATCH(M$1,[3]enemies!$1:$1,0)-MATCH($L$1,[3]enemies!$1:$1,0)+1),MATCH(M$1,[3]enemies!$1:$1,0)-MATCH($L$1,[3]enemies!$1:$1,0)+1,FALSE)</f>
        <v>コウネン</v>
      </c>
      <c r="N79" s="17" t="str">
        <f ca="1">VLOOKUP($L79,OFFSET([3]enemies!$A$1,0,0,COUNTA([3]enemies!$A:$A),MATCH(N$1,[3]enemies!$1:$1,0)-MATCH($L$1,[3]enemies!$1:$1,0)+1),MATCH(N$1,[3]enemies!$1:$1,0)-MATCH($L$1,[3]enemies!$1:$1,0)+1,FALSE)</f>
        <v>yellow</v>
      </c>
      <c r="O79" s="17" t="str">
        <f ca="1">VLOOKUP($L79,OFFSET([4]characters!$A$1,0,0,COUNTA([4]characters!$A:$A),MATCH(O$1,[4]characters!$1:$1,0)-MATCH($L$1,[4]characters!$1:$1,0)+1),MATCH(O$1,[4]characters!$1:$1,0)-MATCH($L$1,[4]characters!$1:$1,0)+1,FALSE)</f>
        <v>Drop1S</v>
      </c>
      <c r="P79" s="17" t="str">
        <f ca="1">VLOOKUP($L79,OFFSET([3]enemies!$A$1,0,0,COUNTA([3]enemies!$A:$A),MATCH(P$1,[3]enemies!$1:$1,0)-MATCH($L$1,[3]enemies!$1:$1,0)+1),MATCH(P$1,[3]enemies!$1:$1,0)-MATCH($L$1,[3]enemies!$1:$1,0)+1,FALSE)</f>
        <v>unknown</v>
      </c>
      <c r="Q79" s="17">
        <f ca="1">VLOOKUP($L79,OFFSET([3]enemies!$A$1,0,0,COUNTA([3]enemies!$A:$A),MATCH(Q$1,[3]enemies!$1:$1,0)-MATCH($L$1,[3]enemies!$1:$1,0)+1),MATCH(Q$1,[3]enemies!$1:$1,0)-MATCH($L$1,[3]enemies!$1:$1,0)+1,FALSE)</f>
        <v>15</v>
      </c>
      <c r="R79" s="5">
        <v>52</v>
      </c>
      <c r="S79" s="25">
        <v>1.2</v>
      </c>
      <c r="T79" s="25">
        <v>1.2</v>
      </c>
      <c r="U79" s="5">
        <v>0</v>
      </c>
      <c r="V79" s="4" t="str">
        <f ca="1">VLOOKUP($W79,OFFSET(enemy_skill_sets!$B$1,0,0,COUNTA(enemy_skill_sets!$B:$B),MATCH(M$1,enemy_skill_sets!$1:$1,0)-MATCH($W$1,enemy_skill_sets!$1:$1,0)+2),MATCH(M$1,enemy_skill_sets!$1:$1,0)-MATCH($W$1,enemy_skill_sets!$1:$1,0)+2,FALSE)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79" s="109">
        <v>1122207</v>
      </c>
      <c r="X79" s="6">
        <v>1</v>
      </c>
      <c r="Y79" s="6">
        <v>100</v>
      </c>
      <c r="Z79" s="6">
        <v>0</v>
      </c>
      <c r="AA79" s="17">
        <v>1</v>
      </c>
      <c r="AB79" s="24">
        <f t="shared" si="13"/>
        <v>412</v>
      </c>
      <c r="AC79" s="4" t="str">
        <f ca="1">VLOOKUP($AB79,OFFSET([4]characters!$A$1,0,0,COUNTA([4]characters!$A:$A),MATCH(AC$1,[4]characters!$1:$1,0)-MATCH("character_id",[4]characters!$1:$1,0)+1),MATCH(AC$1,[4]characters!$1:$1,0)-MATCH("character_id",[4]characters!$1:$1,0)+1,FALSE)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79" s="4">
        <f ca="1">VLOOKUP($AB79,OFFSET([4]characters!$A$1,0,0,COUNTA([4]characters!$A:$A),MATCH(AD$1,[4]characters!$1:$1,0)-MATCH("character_id",[4]characters!$1:$1,0)+1),MATCH(AD$1,[4]characters!$1:$1,0)-MATCH("character_id",[4]characters!$1:$1,0)+1,FALSE)</f>
        <v>2</v>
      </c>
      <c r="AE79" s="4" t="str">
        <f ca="1">VLOOKUP($AB79,OFFSET([4]characters!$A$1,0,0,COUNTA([4]characters!$A:$A),MATCH(AE$1,[4]characters!$1:$1,0)-MATCH("character_id",[4]characters!$1:$1,0)+1),MATCH(AE$1,[4]characters!$1:$1,0)-MATCH("character_id",[4]characters!$1:$1,0)+1,FALSE)</f>
        <v>Drop1S</v>
      </c>
      <c r="AF79" s="7">
        <v>1</v>
      </c>
      <c r="AG79" s="24">
        <f t="shared" ca="1" si="14"/>
        <v>2</v>
      </c>
      <c r="AH79" s="8">
        <v>0</v>
      </c>
      <c r="AI79" s="7">
        <v>0</v>
      </c>
      <c r="AJ79" s="7">
        <v>0</v>
      </c>
      <c r="AK79" s="7">
        <v>0</v>
      </c>
      <c r="AL79" s="7">
        <v>0</v>
      </c>
      <c r="AM79" s="7">
        <v>1</v>
      </c>
      <c r="AN79" s="69">
        <v>1</v>
      </c>
    </row>
    <row r="80" spans="1:40" ht="21" customHeight="1" x14ac:dyDescent="0.15">
      <c r="A80" s="16" t="str">
        <f t="shared" si="10"/>
        <v>11001_10-6/359&lt;lv50&gt;s2</v>
      </c>
      <c r="B80" s="22">
        <v>11001</v>
      </c>
      <c r="C80" s="21">
        <v>10</v>
      </c>
      <c r="D80" s="2" t="str">
        <f t="shared" si="11"/>
        <v>11001_10</v>
      </c>
      <c r="E80" s="4" t="str">
        <f ca="1">VLOOKUP($B80,OFFSET([2]quests!$A$1,0,0,COUNTA([2]quests!$A:$A),MATCH(E$1,[2]quests!$1:$1,0)-MATCH($B$1,[2]quests!$1:$1,0)+1),MATCH(E$1,[2]quests!$1:$1,0)-MATCH($B$1,[2]quests!$1:$1,0)+1,FALSE)</f>
        <v>【月曜限定】 黄の素材</v>
      </c>
      <c r="F80" s="4" t="str">
        <f ca="1">VLOOKUP($D80,OFFSET([2]stages!$A$1,0,0,COUNTA([2]stages!$A:$A),MATCH(F$1,[2]stages!$2:$2,0)-MATCH($D$1,[2]stages!$2:$2,0)+1),MATCH(F$1,[2]stages!$2:$2,0)-MATCH($D$1,[2]stages!$2:$2,0)+1,FALSE)</f>
        <v>【超絶級】醒電の眠りネズミ</v>
      </c>
      <c r="G80" s="21">
        <v>6</v>
      </c>
      <c r="H80" s="15" t="str">
        <f t="shared" si="12"/>
        <v>11001_10-6</v>
      </c>
      <c r="I80" s="4">
        <f ca="1">VLOOKUP($H80,OFFSET(floors!$A$1,0,0,COUNTA(floors!$A:$A),MATCH(I$1,floors!$1:$1,0)-MATCH($H$1,floors!$1:$1,0)+1),MATCH(I$1,floors!$1:$1,0)-MATCH($H$1,floors!$1:$1,0)+1,FALSE)</f>
        <v>60</v>
      </c>
      <c r="J80" s="4">
        <f ca="1">VLOOKUP($H80,OFFSET(floors!$A$1,0,0,COUNTA(floors!$A:$A),MATCH(J$1,floors!$1:$1,0)-MATCH($H$1,floors!$1:$1,0)+1),MATCH(J$1,floors!$1:$1,0)-MATCH($H$1,floors!$1:$1,0)+1,FALSE)</f>
        <v>60</v>
      </c>
      <c r="K80" s="100" t="s">
        <v>209</v>
      </c>
      <c r="L80" s="107">
        <v>359</v>
      </c>
      <c r="M80" s="17" t="str">
        <f ca="1">VLOOKUP($L80,OFFSET([3]enemies!$A$1,0,0,COUNTA([3]enemies!$A:$A),MATCH(M$1,[3]enemies!$1:$1,0)-MATCH($L$1,[3]enemies!$1:$1,0)+1),MATCH(M$1,[3]enemies!$1:$1,0)-MATCH($L$1,[3]enemies!$1:$1,0)+1,FALSE)</f>
        <v>醒電の眠りネズミ</v>
      </c>
      <c r="N80" s="17" t="str">
        <f ca="1">VLOOKUP($L80,OFFSET([3]enemies!$A$1,0,0,COUNTA([3]enemies!$A:$A),MATCH(N$1,[3]enemies!$1:$1,0)-MATCH($L$1,[3]enemies!$1:$1,0)+1),MATCH(N$1,[3]enemies!$1:$1,0)-MATCH($L$1,[3]enemies!$1:$1,0)+1,FALSE)</f>
        <v>yellow</v>
      </c>
      <c r="O80" s="17" t="str">
        <f ca="1">VLOOKUP($L80,OFFSET([4]characters!$A$1,0,0,COUNTA([4]characters!$A:$A),MATCH(O$1,[4]characters!$1:$1,0)-MATCH($L$1,[4]characters!$1:$1,0)+1),MATCH(O$1,[4]characters!$1:$1,0)-MATCH($L$1,[4]characters!$1:$1,0)+1,FALSE)</f>
        <v>Material</v>
      </c>
      <c r="P80" s="17" t="str">
        <f ca="1">VLOOKUP($L80,OFFSET([3]enemies!$A$1,0,0,COUNTA([3]enemies!$A:$A),MATCH(P$1,[3]enemies!$1:$1,0)-MATCH($L$1,[3]enemies!$1:$1,0)+1),MATCH(P$1,[3]enemies!$1:$1,0)-MATCH($L$1,[3]enemies!$1:$1,0)+1,FALSE)</f>
        <v>unknown</v>
      </c>
      <c r="Q80" s="17">
        <f ca="1">VLOOKUP($L80,OFFSET([3]enemies!$A$1,0,0,COUNTA([3]enemies!$A:$A),MATCH(Q$1,[3]enemies!$1:$1,0)-MATCH($L$1,[3]enemies!$1:$1,0)+1),MATCH(Q$1,[3]enemies!$1:$1,0)-MATCH($L$1,[3]enemies!$1:$1,0)+1,FALSE)</f>
        <v>20</v>
      </c>
      <c r="R80" s="5">
        <v>50</v>
      </c>
      <c r="S80" s="25">
        <v>99</v>
      </c>
      <c r="T80" s="25">
        <v>46</v>
      </c>
      <c r="U80" s="5">
        <v>0</v>
      </c>
      <c r="V80" s="4" t="str">
        <f ca="1">VLOOKUP($W80,OFFSET(enemy_skill_sets!$B$1,0,0,COUNTA(enemy_skill_sets!$B:$B),MATCH(M$1,enemy_skill_sets!$1:$1,0)-MATCH($W$1,enemy_skill_sets!$1:$1,0)+2),MATCH(M$1,enemy_skill_sets!$1:$1,0)-MATCH($W$1,enemy_skill_sets!$1:$1,0)+2,FALSE)</f>
        <v>全体攻撃</v>
      </c>
      <c r="W80" s="110">
        <v>1122210</v>
      </c>
      <c r="X80" s="6">
        <v>1</v>
      </c>
      <c r="Y80" s="6">
        <v>100</v>
      </c>
      <c r="Z80" s="6">
        <v>1</v>
      </c>
      <c r="AA80" s="17">
        <v>2</v>
      </c>
      <c r="AB80" s="24">
        <f t="shared" si="13"/>
        <v>359</v>
      </c>
      <c r="AC80" s="4" t="str">
        <f ca="1">VLOOKUP($AB80,OFFSET([4]characters!$A$1,0,0,COUNTA([4]characters!$A:$A),MATCH(AC$1,[4]characters!$1:$1,0)-MATCH("character_id",[4]characters!$1:$1,0)+1),MATCH(AC$1,[4]characters!$1:$1,0)-MATCH("character_id",[4]characters!$1:$1,0)+1,FALSE)</f>
        <v>醒電の眠りネズミ</v>
      </c>
      <c r="AD80" s="4">
        <f ca="1">VLOOKUP($AB80,OFFSET([4]characters!$A$1,0,0,COUNTA([4]characters!$A:$A),MATCH(AD$1,[4]characters!$1:$1,0)-MATCH("character_id",[4]characters!$1:$1,0)+1),MATCH(AD$1,[4]characters!$1:$1,0)-MATCH("character_id",[4]characters!$1:$1,0)+1,FALSE)</f>
        <v>5</v>
      </c>
      <c r="AE80" s="4" t="str">
        <f ca="1">VLOOKUP($AB80,OFFSET([4]characters!$A$1,0,0,COUNTA([4]characters!$A:$A),MATCH(AE$1,[4]characters!$1:$1,0)-MATCH("character_id",[4]characters!$1:$1,0)+1),MATCH(AE$1,[4]characters!$1:$1,0)-MATCH("character_id",[4]characters!$1:$1,0)+1,FALSE)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0" s="7">
        <v>1</v>
      </c>
      <c r="AG80" s="24">
        <f t="shared" ca="1" si="14"/>
        <v>5</v>
      </c>
      <c r="AH80" s="8">
        <v>100</v>
      </c>
      <c r="AI80" s="7">
        <v>0</v>
      </c>
      <c r="AJ80" s="7">
        <v>0</v>
      </c>
      <c r="AK80" s="7">
        <v>0</v>
      </c>
      <c r="AL80" s="7">
        <v>0</v>
      </c>
      <c r="AM80" s="7">
        <v>1</v>
      </c>
      <c r="AN80" s="69">
        <v>1</v>
      </c>
    </row>
    <row r="81" spans="1:40" ht="21" customHeight="1" x14ac:dyDescent="0.15">
      <c r="A81" s="16" t="str">
        <f t="shared" si="10"/>
        <v>11001_10-6/413&lt;lv52&gt;s2</v>
      </c>
      <c r="B81" s="22">
        <v>11001</v>
      </c>
      <c r="C81" s="21">
        <v>10</v>
      </c>
      <c r="D81" s="2" t="str">
        <f t="shared" si="11"/>
        <v>11001_10</v>
      </c>
      <c r="E81" s="4" t="str">
        <f ca="1">VLOOKUP($B81,OFFSET([2]quests!$A$1,0,0,COUNTA([2]quests!$A:$A),MATCH(E$1,[2]quests!$1:$1,0)-MATCH($B$1,[2]quests!$1:$1,0)+1),MATCH(E$1,[2]quests!$1:$1,0)-MATCH($B$1,[2]quests!$1:$1,0)+1,FALSE)</f>
        <v>【月曜限定】 黄の素材</v>
      </c>
      <c r="F81" s="4" t="str">
        <f ca="1">VLOOKUP($D81,OFFSET([2]stages!$A$1,0,0,COUNTA([2]stages!$A:$A),MATCH(F$1,[2]stages!$2:$2,0)-MATCH($D$1,[2]stages!$2:$2,0)+1),MATCH(F$1,[2]stages!$2:$2,0)-MATCH($D$1,[2]stages!$2:$2,0)+1,FALSE)</f>
        <v>【超絶級】醒電の眠りネズミ</v>
      </c>
      <c r="G81" s="21">
        <v>6</v>
      </c>
      <c r="H81" s="15" t="str">
        <f t="shared" si="12"/>
        <v>11001_10-6</v>
      </c>
      <c r="I81" s="4">
        <f ca="1">VLOOKUP($H81,OFFSET(floors!$A$1,0,0,COUNTA(floors!$A:$A),MATCH(I$1,floors!$1:$1,0)-MATCH($H$1,floors!$1:$1,0)+1),MATCH(I$1,floors!$1:$1,0)-MATCH($H$1,floors!$1:$1,0)+1,FALSE)</f>
        <v>60</v>
      </c>
      <c r="J81" s="4">
        <f ca="1">VLOOKUP($H81,OFFSET(floors!$A$1,0,0,COUNTA(floors!$A:$A),MATCH(J$1,floors!$1:$1,0)-MATCH($H$1,floors!$1:$1,0)+1),MATCH(J$1,floors!$1:$1,0)-MATCH($H$1,floors!$1:$1,0)+1,FALSE)</f>
        <v>60</v>
      </c>
      <c r="K81" s="100" t="s">
        <v>209</v>
      </c>
      <c r="L81" s="107">
        <v>413</v>
      </c>
      <c r="M81" s="17" t="str">
        <f ca="1">VLOOKUP($L81,OFFSET([3]enemies!$A$1,0,0,COUNTA([3]enemies!$A:$A),MATCH(M$1,[3]enemies!$1:$1,0)-MATCH($L$1,[3]enemies!$1:$1,0)+1),MATCH(M$1,[3]enemies!$1:$1,0)-MATCH($L$1,[3]enemies!$1:$1,0)+1,FALSE)</f>
        <v>狂騒地蔵 コウネン</v>
      </c>
      <c r="N81" s="17" t="str">
        <f ca="1">VLOOKUP($L81,OFFSET([3]enemies!$A$1,0,0,COUNTA([3]enemies!$A:$A),MATCH(N$1,[3]enemies!$1:$1,0)-MATCH($L$1,[3]enemies!$1:$1,0)+1),MATCH(N$1,[3]enemies!$1:$1,0)-MATCH($L$1,[3]enemies!$1:$1,0)+1,FALSE)</f>
        <v>yellow</v>
      </c>
      <c r="O81" s="17" t="str">
        <f ca="1">VLOOKUP($L81,OFFSET([4]characters!$A$1,0,0,COUNTA([4]characters!$A:$A),MATCH(O$1,[4]characters!$1:$1,0)-MATCH($L$1,[4]characters!$1:$1,0)+1),MATCH(O$1,[4]characters!$1:$1,0)-MATCH($L$1,[4]characters!$1:$1,0)+1,FALSE)</f>
        <v>Drop1S</v>
      </c>
      <c r="P81" s="17" t="str">
        <f ca="1">VLOOKUP($L81,OFFSET([3]enemies!$A$1,0,0,COUNTA([3]enemies!$A:$A),MATCH(P$1,[3]enemies!$1:$1,0)-MATCH($L$1,[3]enemies!$1:$1,0)+1),MATCH(P$1,[3]enemies!$1:$1,0)-MATCH($L$1,[3]enemies!$1:$1,0)+1,FALSE)</f>
        <v>unknown</v>
      </c>
      <c r="Q81" s="17">
        <f ca="1">VLOOKUP($L81,OFFSET([3]enemies!$A$1,0,0,COUNTA([3]enemies!$A:$A),MATCH(Q$1,[3]enemies!$1:$1,0)-MATCH($L$1,[3]enemies!$1:$1,0)+1),MATCH(Q$1,[3]enemies!$1:$1,0)-MATCH($L$1,[3]enemies!$1:$1,0)+1,FALSE)</f>
        <v>20</v>
      </c>
      <c r="R81" s="5">
        <v>52</v>
      </c>
      <c r="S81" s="25">
        <v>1.2</v>
      </c>
      <c r="T81" s="25">
        <v>1.2</v>
      </c>
      <c r="U81" s="5">
        <v>0</v>
      </c>
      <c r="V81" s="4" t="str">
        <f ca="1">VLOOKUP($W81,OFFSET(enemy_skill_sets!$B$1,0,0,COUNTA(enemy_skill_sets!$B:$B),MATCH(M$1,enemy_skill_sets!$1:$1,0)-MATCH($W$1,enemy_skill_sets!$1:$1,0)+2),MATCH(M$1,enemy_skill_sets!$1:$1,0)-MATCH($W$1,enemy_skill_sets!$1:$1,0)+2,FALSE)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81" s="109">
        <v>1122207</v>
      </c>
      <c r="X81" s="6">
        <v>2</v>
      </c>
      <c r="Y81" s="6">
        <v>100</v>
      </c>
      <c r="Z81" s="6">
        <v>0</v>
      </c>
      <c r="AA81" s="17">
        <v>2</v>
      </c>
      <c r="AB81" s="24">
        <f t="shared" si="13"/>
        <v>413</v>
      </c>
      <c r="AC81" s="4" t="str">
        <f ca="1">VLOOKUP($AB81,OFFSET([4]characters!$A$1,0,0,COUNTA([4]characters!$A:$A),MATCH(AC$1,[4]characters!$1:$1,0)-MATCH("character_id",[4]characters!$1:$1,0)+1),MATCH(AC$1,[4]characters!$1:$1,0)-MATCH("character_id",[4]characters!$1:$1,0)+1,FALSE)</f>
        <v>狂騒地蔵 コウネン</v>
      </c>
      <c r="AD81" s="4">
        <f ca="1">VLOOKUP($AB81,OFFSET([4]characters!$A$1,0,0,COUNTA([4]characters!$A:$A),MATCH(AD$1,[4]characters!$1:$1,0)-MATCH("character_id",[4]characters!$1:$1,0)+1),MATCH(AD$1,[4]characters!$1:$1,0)-MATCH("character_id",[4]characters!$1:$1,0)+1,FALSE)</f>
        <v>3</v>
      </c>
      <c r="AE81" s="4" t="str">
        <f ca="1">VLOOKUP($AB81,OFFSET([4]characters!$A$1,0,0,COUNTA([4]characters!$A:$A),MATCH(AE$1,[4]characters!$1:$1,0)-MATCH("character_id",[4]characters!$1:$1,0)+1),MATCH(AE$1,[4]characters!$1:$1,0)-MATCH("character_id",[4]characters!$1:$1,0)+1,FALSE)</f>
        <v>Drop1S</v>
      </c>
      <c r="AF81" s="7">
        <v>1</v>
      </c>
      <c r="AG81" s="24">
        <f t="shared" ca="1" si="14"/>
        <v>3</v>
      </c>
      <c r="AH81" s="8">
        <v>0</v>
      </c>
      <c r="AI81" s="7">
        <v>0</v>
      </c>
      <c r="AJ81" s="7">
        <v>0</v>
      </c>
      <c r="AK81" s="7">
        <v>0</v>
      </c>
      <c r="AL81" s="7">
        <v>0</v>
      </c>
      <c r="AM81" s="7">
        <v>1</v>
      </c>
      <c r="AN81" s="69">
        <v>1</v>
      </c>
    </row>
    <row r="82" spans="1:40" ht="21" customHeight="1" x14ac:dyDescent="0.15">
      <c r="A82" s="16" t="str">
        <f t="shared" si="10"/>
        <v>11003_10-1/364&lt;lv52&gt;s2</v>
      </c>
      <c r="B82" s="22">
        <v>11003</v>
      </c>
      <c r="C82" s="21">
        <v>10</v>
      </c>
      <c r="D82" s="2" t="str">
        <f t="shared" si="11"/>
        <v>11003_10</v>
      </c>
      <c r="E82" s="4" t="str">
        <f ca="1">VLOOKUP($B82,OFFSET([2]quests!$A$1,0,0,COUNTA([2]quests!$A:$A),MATCH(E$1,[2]quests!$1:$1,0)-MATCH($B$1,[2]quests!$1:$1,0)+1),MATCH(E$1,[2]quests!$1:$1,0)-MATCH($B$1,[2]quests!$1:$1,0)+1,FALSE)</f>
        <v>【水曜限定】 青の素材</v>
      </c>
      <c r="F82" s="4" t="str">
        <f ca="1">VLOOKUP($D82,OFFSET([2]stages!$A$1,0,0,COUNTA([2]stages!$A:$A),MATCH(F$1,[2]stages!$2:$2,0)-MATCH($D$1,[2]stages!$2:$2,0)+1),MATCH(F$1,[2]stages!$2:$2,0)-MATCH($D$1,[2]stages!$2:$2,0)+1,FALSE)</f>
        <v>【超絶級】深淵の代用ウミガメ</v>
      </c>
      <c r="G82" s="21">
        <v>1</v>
      </c>
      <c r="H82" s="15" t="str">
        <f t="shared" si="12"/>
        <v>11003_10-1</v>
      </c>
      <c r="I82" s="4">
        <f ca="1">VLOOKUP($H82,OFFSET(floors!$A$1,0,0,COUNTA(floors!$A:$A),MATCH(I$1,floors!$1:$1,0)-MATCH($H$1,floors!$1:$1,0)+1),MATCH(I$1,floors!$1:$1,0)-MATCH($H$1,floors!$1:$1,0)+1,FALSE)</f>
        <v>30</v>
      </c>
      <c r="J82" s="4">
        <f ca="1">VLOOKUP($H82,OFFSET(floors!$A$1,0,0,COUNTA(floors!$A:$A),MATCH(J$1,floors!$1:$1,0)-MATCH($H$1,floors!$1:$1,0)+1),MATCH(J$1,floors!$1:$1,0)-MATCH($H$1,floors!$1:$1,0)+1,FALSE)</f>
        <v>45</v>
      </c>
      <c r="K82" s="100" t="s">
        <v>209</v>
      </c>
      <c r="L82" s="108">
        <v>364</v>
      </c>
      <c r="M82" s="17" t="str">
        <f ca="1">VLOOKUP($L82,OFFSET([3]enemies!$A$1,0,0,COUNTA([3]enemies!$A:$A),MATCH(M$1,[3]enemies!$1:$1,0)-MATCH($L$1,[3]enemies!$1:$1,0)+1),MATCH(M$1,[3]enemies!$1:$1,0)-MATCH($L$1,[3]enemies!$1:$1,0)+1,FALSE)</f>
        <v>ノエル</v>
      </c>
      <c r="N82" s="17" t="str">
        <f ca="1">VLOOKUP($L82,OFFSET([3]enemies!$A$1,0,0,COUNTA([3]enemies!$A:$A),MATCH(N$1,[3]enemies!$1:$1,0)-MATCH($L$1,[3]enemies!$1:$1,0)+1),MATCH(N$1,[3]enemies!$1:$1,0)-MATCH($L$1,[3]enemies!$1:$1,0)+1,FALSE)</f>
        <v>blue</v>
      </c>
      <c r="O82" s="17" t="str">
        <f ca="1">VLOOKUP($L82,OFFSET([4]characters!$A$1,0,0,COUNTA([4]characters!$A:$A),MATCH(O$1,[4]characters!$1:$1,0)-MATCH($L$1,[4]characters!$1:$1,0)+1),MATCH(O$1,[4]characters!$1:$1,0)-MATCH($L$1,[4]characters!$1:$1,0)+1,FALSE)</f>
        <v>Drop1S</v>
      </c>
      <c r="P82" s="17" t="str">
        <f ca="1">VLOOKUP($L82,OFFSET([3]enemies!$A$1,0,0,COUNTA([3]enemies!$A:$A),MATCH(P$1,[3]enemies!$1:$1,0)-MATCH($L$1,[3]enemies!$1:$1,0)+1),MATCH(P$1,[3]enemies!$1:$1,0)-MATCH($L$1,[3]enemies!$1:$1,0)+1,FALSE)</f>
        <v>animal</v>
      </c>
      <c r="Q82" s="17">
        <f ca="1">VLOOKUP($L82,OFFSET([3]enemies!$A$1,0,0,COUNTA([3]enemies!$A:$A),MATCH(Q$1,[3]enemies!$1:$1,0)-MATCH($L$1,[3]enemies!$1:$1,0)+1),MATCH(Q$1,[3]enemies!$1:$1,0)-MATCH($L$1,[3]enemies!$1:$1,0)+1,FALSE)</f>
        <v>15</v>
      </c>
      <c r="R82" s="5">
        <v>52</v>
      </c>
      <c r="S82" s="25">
        <v>1.7</v>
      </c>
      <c r="T82" s="25">
        <v>0.7</v>
      </c>
      <c r="U82" s="5">
        <v>0</v>
      </c>
      <c r="V82" s="4" t="str">
        <f ca="1">VLOOKUP($W82,OFFSET([5]enemy_skill_sets!$B$1,0,0,COUNTA([5]enemy_skill_sets!$B:$B),MATCH(M$1,[5]enemy_skill_sets!$1:$1,0)-MATCH($W$1,[5]enemy_skill_sets!$1:$1,0)+2),MATCH(M$1,[5]enemy_skill_sets!$1:$1,0)-MATCH($W$1,[5]enemy_skill_sets!$1:$1,0)+2,FALSE)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82" s="4">
        <v>364</v>
      </c>
      <c r="X82" s="6">
        <v>1</v>
      </c>
      <c r="Y82" s="6">
        <v>100</v>
      </c>
      <c r="Z82" s="6">
        <v>0</v>
      </c>
      <c r="AA82" s="17">
        <v>2</v>
      </c>
      <c r="AB82" s="24">
        <f t="shared" si="13"/>
        <v>364</v>
      </c>
      <c r="AC82" s="4" t="str">
        <f ca="1">VLOOKUP($AB82,OFFSET([4]characters!$A$1,0,0,COUNTA([4]characters!$A:$A),MATCH(AC$1,[4]characters!$1:$1,0)-MATCH("character_id",[4]characters!$1:$1,0)+1),MATCH(AC$1,[4]characters!$1:$1,0)-MATCH("character_id",[4]characters!$1:$1,0)+1,FALSE)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82" s="4">
        <f ca="1">VLOOKUP($AB82,OFFSET([4]characters!$A$1,0,0,COUNTA([4]characters!$A:$A),MATCH(AD$1,[4]characters!$1:$1,0)-MATCH("character_id",[4]characters!$1:$1,0)+1),MATCH(AD$1,[4]characters!$1:$1,0)-MATCH("character_id",[4]characters!$1:$1,0)+1,FALSE)</f>
        <v>2</v>
      </c>
      <c r="AE82" s="4" t="str">
        <f ca="1">VLOOKUP($AB82,OFFSET([4]characters!$A$1,0,0,COUNTA([4]characters!$A:$A),MATCH(AE$1,[4]characters!$1:$1,0)-MATCH("character_id",[4]characters!$1:$1,0)+1),MATCH(AE$1,[4]characters!$1:$1,0)-MATCH("character_id",[4]characters!$1:$1,0)+1,FALSE)</f>
        <v>Drop1S</v>
      </c>
      <c r="AF82" s="7">
        <v>1</v>
      </c>
      <c r="AG82" s="24">
        <f t="shared" ca="1" si="14"/>
        <v>2</v>
      </c>
      <c r="AH82" s="8">
        <v>0</v>
      </c>
      <c r="AI82" s="7">
        <v>0</v>
      </c>
      <c r="AJ82" s="7">
        <v>0</v>
      </c>
      <c r="AK82" s="7">
        <v>0</v>
      </c>
      <c r="AL82" s="7">
        <v>0</v>
      </c>
      <c r="AM82" s="7">
        <v>1</v>
      </c>
      <c r="AN82" s="69">
        <v>1</v>
      </c>
    </row>
    <row r="83" spans="1:40" ht="21" customHeight="1" x14ac:dyDescent="0.15">
      <c r="A83" s="16" t="str">
        <f t="shared" si="10"/>
        <v>11003_10-1/374&lt;lv52&gt;s1</v>
      </c>
      <c r="B83" s="22">
        <v>11003</v>
      </c>
      <c r="C83" s="21">
        <v>10</v>
      </c>
      <c r="D83" s="2" t="str">
        <f t="shared" si="11"/>
        <v>11003_10</v>
      </c>
      <c r="E83" s="4" t="str">
        <f ca="1">VLOOKUP($B83,OFFSET([2]quests!$A$1,0,0,COUNTA([2]quests!$A:$A),MATCH(E$1,[2]quests!$1:$1,0)-MATCH($B$1,[2]quests!$1:$1,0)+1),MATCH(E$1,[2]quests!$1:$1,0)-MATCH($B$1,[2]quests!$1:$1,0)+1,FALSE)</f>
        <v>【水曜限定】 青の素材</v>
      </c>
      <c r="F83" s="4" t="str">
        <f ca="1">VLOOKUP($D83,OFFSET([2]stages!$A$1,0,0,COUNTA([2]stages!$A:$A),MATCH(F$1,[2]stages!$2:$2,0)-MATCH($D$1,[2]stages!$2:$2,0)+1),MATCH(F$1,[2]stages!$2:$2,0)-MATCH($D$1,[2]stages!$2:$2,0)+1,FALSE)</f>
        <v>【超絶級】深淵の代用ウミガメ</v>
      </c>
      <c r="G83" s="21">
        <v>1</v>
      </c>
      <c r="H83" s="15" t="str">
        <f t="shared" si="12"/>
        <v>11003_10-1</v>
      </c>
      <c r="I83" s="4">
        <f ca="1">VLOOKUP($H83,OFFSET(floors!$A$1,0,0,COUNTA(floors!$A:$A),MATCH(I$1,floors!$1:$1,0)-MATCH($H$1,floors!$1:$1,0)+1),MATCH(I$1,floors!$1:$1,0)-MATCH($H$1,floors!$1:$1,0)+1,FALSE)</f>
        <v>30</v>
      </c>
      <c r="J83" s="4">
        <f ca="1">VLOOKUP($H83,OFFSET(floors!$A$1,0,0,COUNTA(floors!$A:$A),MATCH(J$1,floors!$1:$1,0)-MATCH($H$1,floors!$1:$1,0)+1),MATCH(J$1,floors!$1:$1,0)-MATCH($H$1,floors!$1:$1,0)+1,FALSE)</f>
        <v>45</v>
      </c>
      <c r="K83" s="100" t="s">
        <v>209</v>
      </c>
      <c r="L83" s="108">
        <v>374</v>
      </c>
      <c r="M83" s="17" t="str">
        <f ca="1">VLOOKUP($L83,OFFSET([3]enemies!$A$1,0,0,COUNTA([3]enemies!$A:$A),MATCH(M$1,[3]enemies!$1:$1,0)-MATCH($L$1,[3]enemies!$1:$1,0)+1),MATCH(M$1,[3]enemies!$1:$1,0)-MATCH($L$1,[3]enemies!$1:$1,0)+1,FALSE)</f>
        <v>影丸</v>
      </c>
      <c r="N83" s="17" t="str">
        <f ca="1">VLOOKUP($L83,OFFSET([3]enemies!$A$1,0,0,COUNTA([3]enemies!$A:$A),MATCH(N$1,[3]enemies!$1:$1,0)-MATCH($L$1,[3]enemies!$1:$1,0)+1),MATCH(N$1,[3]enemies!$1:$1,0)-MATCH($L$1,[3]enemies!$1:$1,0)+1,FALSE)</f>
        <v>blue</v>
      </c>
      <c r="O83" s="17" t="str">
        <f ca="1">VLOOKUP($L83,OFFSET([4]characters!$A$1,0,0,COUNTA([4]characters!$A:$A),MATCH(O$1,[4]characters!$1:$1,0)-MATCH($L$1,[4]characters!$1:$1,0)+1),MATCH(O$1,[4]characters!$1:$1,0)-MATCH($L$1,[4]characters!$1:$1,0)+1,FALSE)</f>
        <v>Drop1S</v>
      </c>
      <c r="P83" s="17" t="str">
        <f ca="1">VLOOKUP($L83,OFFSET([3]enemies!$A$1,0,0,COUNTA([3]enemies!$A:$A),MATCH(P$1,[3]enemies!$1:$1,0)-MATCH($L$1,[3]enemies!$1:$1,0)+1),MATCH(P$1,[3]enemies!$1:$1,0)-MATCH($L$1,[3]enemies!$1:$1,0)+1,FALSE)</f>
        <v>animal</v>
      </c>
      <c r="Q83" s="17">
        <f ca="1">VLOOKUP($L83,OFFSET([3]enemies!$A$1,0,0,COUNTA([3]enemies!$A:$A),MATCH(Q$1,[3]enemies!$1:$1,0)-MATCH($L$1,[3]enemies!$1:$1,0)+1),MATCH(Q$1,[3]enemies!$1:$1,0)-MATCH($L$1,[3]enemies!$1:$1,0)+1,FALSE)</f>
        <v>15</v>
      </c>
      <c r="R83" s="5">
        <v>52</v>
      </c>
      <c r="S83" s="25">
        <v>1.9</v>
      </c>
      <c r="T83" s="25">
        <v>1.9</v>
      </c>
      <c r="U83" s="5">
        <v>0</v>
      </c>
      <c r="V83" s="4" t="str">
        <f ca="1">VLOOKUP($W83,OFFSET(enemy_skill_sets!$B$1,0,0,COUNTA(enemy_skill_sets!$B:$B),MATCH(M$1,enemy_skill_sets!$1:$1,0)-MATCH($W$1,enemy_skill_sets!$1:$1,0)+2),MATCH(M$1,enemy_skill_sets!$1:$1,0)-MATCH($W$1,enemy_skill_sets!$1:$1,0)+2,FALSE)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83" s="109">
        <v>1122208</v>
      </c>
      <c r="X83" s="6">
        <v>1</v>
      </c>
      <c r="Y83" s="6">
        <v>100</v>
      </c>
      <c r="Z83" s="6">
        <v>0</v>
      </c>
      <c r="AA83" s="17">
        <v>1</v>
      </c>
      <c r="AB83" s="24">
        <f t="shared" si="13"/>
        <v>374</v>
      </c>
      <c r="AC83" s="4" t="str">
        <f ca="1">VLOOKUP($AB83,OFFSET([4]characters!$A$1,0,0,COUNTA([4]characters!$A:$A),MATCH(AC$1,[4]characters!$1:$1,0)-MATCH("character_id",[4]characters!$1:$1,0)+1),MATCH(AC$1,[4]characters!$1:$1,0)-MATCH("character_id",[4]characters!$1:$1,0)+1,FALSE)</f>
        <v>影丸</v>
      </c>
      <c r="AD83" s="4">
        <f ca="1">VLOOKUP($AB83,OFFSET([4]characters!$A$1,0,0,COUNTA([4]characters!$A:$A),MATCH(AD$1,[4]characters!$1:$1,0)-MATCH("character_id",[4]characters!$1:$1,0)+1),MATCH(AD$1,[4]characters!$1:$1,0)-MATCH("character_id",[4]characters!$1:$1,0)+1,FALSE)</f>
        <v>2</v>
      </c>
      <c r="AE83" s="4" t="str">
        <f ca="1">VLOOKUP($AB83,OFFSET([4]characters!$A$1,0,0,COUNTA([4]characters!$A:$A),MATCH(AE$1,[4]characters!$1:$1,0)-MATCH("character_id",[4]characters!$1:$1,0)+1),MATCH(AE$1,[4]characters!$1:$1,0)-MATCH("character_id",[4]characters!$1:$1,0)+1,FALSE)</f>
        <v>Drop1S</v>
      </c>
      <c r="AF83" s="7">
        <v>1</v>
      </c>
      <c r="AG83" s="24">
        <f t="shared" ca="1" si="14"/>
        <v>2</v>
      </c>
      <c r="AH83" s="8">
        <v>0</v>
      </c>
      <c r="AI83" s="7">
        <v>0</v>
      </c>
      <c r="AJ83" s="7">
        <v>0</v>
      </c>
      <c r="AK83" s="7">
        <v>0</v>
      </c>
      <c r="AL83" s="7">
        <v>0</v>
      </c>
      <c r="AM83" s="7">
        <v>1</v>
      </c>
      <c r="AN83" s="69">
        <v>1</v>
      </c>
    </row>
    <row r="84" spans="1:40" ht="21" customHeight="1" x14ac:dyDescent="0.15">
      <c r="A84" s="16" t="str">
        <f t="shared" si="10"/>
        <v>11003_10-2/364&lt;lv52&gt;s2</v>
      </c>
      <c r="B84" s="22">
        <v>11003</v>
      </c>
      <c r="C84" s="21">
        <v>10</v>
      </c>
      <c r="D84" s="2" t="str">
        <f t="shared" si="11"/>
        <v>11003_10</v>
      </c>
      <c r="E84" s="4" t="str">
        <f ca="1">VLOOKUP($B84,OFFSET([2]quests!$A$1,0,0,COUNTA([2]quests!$A:$A),MATCH(E$1,[2]quests!$1:$1,0)-MATCH($B$1,[2]quests!$1:$1,0)+1),MATCH(E$1,[2]quests!$1:$1,0)-MATCH($B$1,[2]quests!$1:$1,0)+1,FALSE)</f>
        <v>【水曜限定】 青の素材</v>
      </c>
      <c r="F84" s="4" t="str">
        <f ca="1">VLOOKUP($D84,OFFSET([2]stages!$A$1,0,0,COUNTA([2]stages!$A:$A),MATCH(F$1,[2]stages!$2:$2,0)-MATCH($D$1,[2]stages!$2:$2,0)+1),MATCH(F$1,[2]stages!$2:$2,0)-MATCH($D$1,[2]stages!$2:$2,0)+1,FALSE)</f>
        <v>【超絶級】深淵の代用ウミガメ</v>
      </c>
      <c r="G84" s="21">
        <v>2</v>
      </c>
      <c r="H84" s="15" t="str">
        <f t="shared" si="12"/>
        <v>11003_10-2</v>
      </c>
      <c r="I84" s="4">
        <f ca="1">VLOOKUP($H84,OFFSET(floors!$A$1,0,0,COUNTA(floors!$A:$A),MATCH(I$1,floors!$1:$1,0)-MATCH($H$1,floors!$1:$1,0)+1),MATCH(I$1,floors!$1:$1,0)-MATCH($H$1,floors!$1:$1,0)+1,FALSE)</f>
        <v>45</v>
      </c>
      <c r="J84" s="4">
        <f ca="1">VLOOKUP($H84,OFFSET(floors!$A$1,0,0,COUNTA(floors!$A:$A),MATCH(J$1,floors!$1:$1,0)-MATCH($H$1,floors!$1:$1,0)+1),MATCH(J$1,floors!$1:$1,0)-MATCH($H$1,floors!$1:$1,0)+1,FALSE)</f>
        <v>60</v>
      </c>
      <c r="K84" s="100" t="s">
        <v>209</v>
      </c>
      <c r="L84" s="108">
        <v>364</v>
      </c>
      <c r="M84" s="17" t="str">
        <f ca="1">VLOOKUP($L84,OFFSET([3]enemies!$A$1,0,0,COUNTA([3]enemies!$A:$A),MATCH(M$1,[3]enemies!$1:$1,0)-MATCH($L$1,[3]enemies!$1:$1,0)+1),MATCH(M$1,[3]enemies!$1:$1,0)-MATCH($L$1,[3]enemies!$1:$1,0)+1,FALSE)</f>
        <v>ノエル</v>
      </c>
      <c r="N84" s="17" t="str">
        <f ca="1">VLOOKUP($L84,OFFSET([3]enemies!$A$1,0,0,COUNTA([3]enemies!$A:$A),MATCH(N$1,[3]enemies!$1:$1,0)-MATCH($L$1,[3]enemies!$1:$1,0)+1),MATCH(N$1,[3]enemies!$1:$1,0)-MATCH($L$1,[3]enemies!$1:$1,0)+1,FALSE)</f>
        <v>blue</v>
      </c>
      <c r="O84" s="17" t="str">
        <f ca="1">VLOOKUP($L84,OFFSET([4]characters!$A$1,0,0,COUNTA([4]characters!$A:$A),MATCH(O$1,[4]characters!$1:$1,0)-MATCH($L$1,[4]characters!$1:$1,0)+1),MATCH(O$1,[4]characters!$1:$1,0)-MATCH($L$1,[4]characters!$1:$1,0)+1,FALSE)</f>
        <v>Drop1S</v>
      </c>
      <c r="P84" s="17" t="str">
        <f ca="1">VLOOKUP($L84,OFFSET([3]enemies!$A$1,0,0,COUNTA([3]enemies!$A:$A),MATCH(P$1,[3]enemies!$1:$1,0)-MATCH($L$1,[3]enemies!$1:$1,0)+1),MATCH(P$1,[3]enemies!$1:$1,0)-MATCH($L$1,[3]enemies!$1:$1,0)+1,FALSE)</f>
        <v>animal</v>
      </c>
      <c r="Q84" s="17">
        <f ca="1">VLOOKUP($L84,OFFSET([3]enemies!$A$1,0,0,COUNTA([3]enemies!$A:$A),MATCH(Q$1,[3]enemies!$1:$1,0)-MATCH($L$1,[3]enemies!$1:$1,0)+1),MATCH(Q$1,[3]enemies!$1:$1,0)-MATCH($L$1,[3]enemies!$1:$1,0)+1,FALSE)</f>
        <v>15</v>
      </c>
      <c r="R84" s="5">
        <v>52</v>
      </c>
      <c r="S84" s="25">
        <v>1.7</v>
      </c>
      <c r="T84" s="25">
        <v>0.7</v>
      </c>
      <c r="U84" s="5">
        <v>0</v>
      </c>
      <c r="V84" s="4" t="str">
        <f ca="1">VLOOKUP($W84,OFFSET([5]enemy_skill_sets!$B$1,0,0,COUNTA([5]enemy_skill_sets!$B:$B),MATCH(M$1,[5]enemy_skill_sets!$1:$1,0)-MATCH($W$1,[5]enemy_skill_sets!$1:$1,0)+2),MATCH(M$1,[5]enemy_skill_sets!$1:$1,0)-MATCH($W$1,[5]enemy_skill_sets!$1:$1,0)+2,FALSE)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84" s="4">
        <v>364</v>
      </c>
      <c r="X84" s="6">
        <v>2</v>
      </c>
      <c r="Y84" s="6">
        <v>100</v>
      </c>
      <c r="Z84" s="6">
        <v>0</v>
      </c>
      <c r="AA84" s="17">
        <v>2</v>
      </c>
      <c r="AB84" s="24">
        <f t="shared" si="13"/>
        <v>364</v>
      </c>
      <c r="AC84" s="4" t="str">
        <f ca="1">VLOOKUP($AB84,OFFSET([4]characters!$A$1,0,0,COUNTA([4]characters!$A:$A),MATCH(AC$1,[4]characters!$1:$1,0)-MATCH("character_id",[4]characters!$1:$1,0)+1),MATCH(AC$1,[4]characters!$1:$1,0)-MATCH("character_id",[4]characters!$1:$1,0)+1,FALSE)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84" s="4">
        <f ca="1">VLOOKUP($AB84,OFFSET([4]characters!$A$1,0,0,COUNTA([4]characters!$A:$A),MATCH(AD$1,[4]characters!$1:$1,0)-MATCH("character_id",[4]characters!$1:$1,0)+1),MATCH(AD$1,[4]characters!$1:$1,0)-MATCH("character_id",[4]characters!$1:$1,0)+1,FALSE)</f>
        <v>2</v>
      </c>
      <c r="AE84" s="4" t="str">
        <f ca="1">VLOOKUP($AB84,OFFSET([4]characters!$A$1,0,0,COUNTA([4]characters!$A:$A),MATCH(AE$1,[4]characters!$1:$1,0)-MATCH("character_id",[4]characters!$1:$1,0)+1),MATCH(AE$1,[4]characters!$1:$1,0)-MATCH("character_id",[4]characters!$1:$1,0)+1,FALSE)</f>
        <v>Drop1S</v>
      </c>
      <c r="AF84" s="7">
        <v>1</v>
      </c>
      <c r="AG84" s="24">
        <f t="shared" ca="1" si="14"/>
        <v>2</v>
      </c>
      <c r="AH84" s="8">
        <v>0</v>
      </c>
      <c r="AI84" s="7">
        <v>0</v>
      </c>
      <c r="AJ84" s="7">
        <v>0</v>
      </c>
      <c r="AK84" s="7">
        <v>0</v>
      </c>
      <c r="AL84" s="7">
        <v>0</v>
      </c>
      <c r="AM84" s="7">
        <v>1</v>
      </c>
      <c r="AN84" s="69">
        <v>1</v>
      </c>
    </row>
    <row r="85" spans="1:40" ht="21" customHeight="1" x14ac:dyDescent="0.15">
      <c r="A85" s="16" t="str">
        <f t="shared" si="10"/>
        <v>11003_10-2/374&lt;lv52&gt;s1</v>
      </c>
      <c r="B85" s="22">
        <v>11003</v>
      </c>
      <c r="C85" s="21">
        <v>10</v>
      </c>
      <c r="D85" s="2" t="str">
        <f t="shared" si="11"/>
        <v>11003_10</v>
      </c>
      <c r="E85" s="4" t="str">
        <f ca="1">VLOOKUP($B85,OFFSET([2]quests!$A$1,0,0,COUNTA([2]quests!$A:$A),MATCH(E$1,[2]quests!$1:$1,0)-MATCH($B$1,[2]quests!$1:$1,0)+1),MATCH(E$1,[2]quests!$1:$1,0)-MATCH($B$1,[2]quests!$1:$1,0)+1,FALSE)</f>
        <v>【水曜限定】 青の素材</v>
      </c>
      <c r="F85" s="4" t="str">
        <f ca="1">VLOOKUP($D85,OFFSET([2]stages!$A$1,0,0,COUNTA([2]stages!$A:$A),MATCH(F$1,[2]stages!$2:$2,0)-MATCH($D$1,[2]stages!$2:$2,0)+1),MATCH(F$1,[2]stages!$2:$2,0)-MATCH($D$1,[2]stages!$2:$2,0)+1,FALSE)</f>
        <v>【超絶級】深淵の代用ウミガメ</v>
      </c>
      <c r="G85" s="21">
        <v>2</v>
      </c>
      <c r="H85" s="15" t="str">
        <f t="shared" si="12"/>
        <v>11003_10-2</v>
      </c>
      <c r="I85" s="4">
        <f ca="1">VLOOKUP($H85,OFFSET(floors!$A$1,0,0,COUNTA(floors!$A:$A),MATCH(I$1,floors!$1:$1,0)-MATCH($H$1,floors!$1:$1,0)+1),MATCH(I$1,floors!$1:$1,0)-MATCH($H$1,floors!$1:$1,0)+1,FALSE)</f>
        <v>45</v>
      </c>
      <c r="J85" s="4">
        <f ca="1">VLOOKUP($H85,OFFSET(floors!$A$1,0,0,COUNTA(floors!$A:$A),MATCH(J$1,floors!$1:$1,0)-MATCH($H$1,floors!$1:$1,0)+1),MATCH(J$1,floors!$1:$1,0)-MATCH($H$1,floors!$1:$1,0)+1,FALSE)</f>
        <v>60</v>
      </c>
      <c r="K85" s="100" t="s">
        <v>209</v>
      </c>
      <c r="L85" s="108">
        <v>374</v>
      </c>
      <c r="M85" s="17" t="str">
        <f ca="1">VLOOKUP($L85,OFFSET([3]enemies!$A$1,0,0,COUNTA([3]enemies!$A:$A),MATCH(M$1,[3]enemies!$1:$1,0)-MATCH($L$1,[3]enemies!$1:$1,0)+1),MATCH(M$1,[3]enemies!$1:$1,0)-MATCH($L$1,[3]enemies!$1:$1,0)+1,FALSE)</f>
        <v>影丸</v>
      </c>
      <c r="N85" s="17" t="str">
        <f ca="1">VLOOKUP($L85,OFFSET([3]enemies!$A$1,0,0,COUNTA([3]enemies!$A:$A),MATCH(N$1,[3]enemies!$1:$1,0)-MATCH($L$1,[3]enemies!$1:$1,0)+1),MATCH(N$1,[3]enemies!$1:$1,0)-MATCH($L$1,[3]enemies!$1:$1,0)+1,FALSE)</f>
        <v>blue</v>
      </c>
      <c r="O85" s="17" t="str">
        <f ca="1">VLOOKUP($L85,OFFSET([4]characters!$A$1,0,0,COUNTA([4]characters!$A:$A),MATCH(O$1,[4]characters!$1:$1,0)-MATCH($L$1,[4]characters!$1:$1,0)+1),MATCH(O$1,[4]characters!$1:$1,0)-MATCH($L$1,[4]characters!$1:$1,0)+1,FALSE)</f>
        <v>Drop1S</v>
      </c>
      <c r="P85" s="17" t="str">
        <f ca="1">VLOOKUP($L85,OFFSET([3]enemies!$A$1,0,0,COUNTA([3]enemies!$A:$A),MATCH(P$1,[3]enemies!$1:$1,0)-MATCH($L$1,[3]enemies!$1:$1,0)+1),MATCH(P$1,[3]enemies!$1:$1,0)-MATCH($L$1,[3]enemies!$1:$1,0)+1,FALSE)</f>
        <v>animal</v>
      </c>
      <c r="Q85" s="17">
        <f ca="1">VLOOKUP($L85,OFFSET([3]enemies!$A$1,0,0,COUNTA([3]enemies!$A:$A),MATCH(Q$1,[3]enemies!$1:$1,0)-MATCH($L$1,[3]enemies!$1:$1,0)+1),MATCH(Q$1,[3]enemies!$1:$1,0)-MATCH($L$1,[3]enemies!$1:$1,0)+1,FALSE)</f>
        <v>15</v>
      </c>
      <c r="R85" s="5">
        <v>52</v>
      </c>
      <c r="S85" s="25">
        <v>1.9</v>
      </c>
      <c r="T85" s="25">
        <v>1.9</v>
      </c>
      <c r="U85" s="5">
        <v>0</v>
      </c>
      <c r="V85" s="4" t="str">
        <f ca="1">VLOOKUP($W85,OFFSET(enemy_skill_sets!$B$1,0,0,COUNTA(enemy_skill_sets!$B:$B),MATCH(M$1,enemy_skill_sets!$1:$1,0)-MATCH($W$1,enemy_skill_sets!$1:$1,0)+2),MATCH(M$1,enemy_skill_sets!$1:$1,0)-MATCH($W$1,enemy_skill_sets!$1:$1,0)+2,FALSE)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85" s="109">
        <v>1122208</v>
      </c>
      <c r="X85" s="6">
        <v>1</v>
      </c>
      <c r="Y85" s="6">
        <v>100</v>
      </c>
      <c r="Z85" s="6">
        <v>0</v>
      </c>
      <c r="AA85" s="17">
        <v>1</v>
      </c>
      <c r="AB85" s="24">
        <f t="shared" si="13"/>
        <v>374</v>
      </c>
      <c r="AC85" s="4" t="str">
        <f ca="1">VLOOKUP($AB85,OFFSET([4]characters!$A$1,0,0,COUNTA([4]characters!$A:$A),MATCH(AC$1,[4]characters!$1:$1,0)-MATCH("character_id",[4]characters!$1:$1,0)+1),MATCH(AC$1,[4]characters!$1:$1,0)-MATCH("character_id",[4]characters!$1:$1,0)+1,FALSE)</f>
        <v>影丸</v>
      </c>
      <c r="AD85" s="4">
        <f ca="1">VLOOKUP($AB85,OFFSET([4]characters!$A$1,0,0,COUNTA([4]characters!$A:$A),MATCH(AD$1,[4]characters!$1:$1,0)-MATCH("character_id",[4]characters!$1:$1,0)+1),MATCH(AD$1,[4]characters!$1:$1,0)-MATCH("character_id",[4]characters!$1:$1,0)+1,FALSE)</f>
        <v>2</v>
      </c>
      <c r="AE85" s="4" t="str">
        <f ca="1">VLOOKUP($AB85,OFFSET([4]characters!$A$1,0,0,COUNTA([4]characters!$A:$A),MATCH(AE$1,[4]characters!$1:$1,0)-MATCH("character_id",[4]characters!$1:$1,0)+1),MATCH(AE$1,[4]characters!$1:$1,0)-MATCH("character_id",[4]characters!$1:$1,0)+1,FALSE)</f>
        <v>Drop1S</v>
      </c>
      <c r="AF85" s="7">
        <v>1</v>
      </c>
      <c r="AG85" s="24">
        <f t="shared" ca="1" si="14"/>
        <v>2</v>
      </c>
      <c r="AH85" s="8">
        <v>0</v>
      </c>
      <c r="AI85" s="7">
        <v>0</v>
      </c>
      <c r="AJ85" s="7">
        <v>0</v>
      </c>
      <c r="AK85" s="7">
        <v>0</v>
      </c>
      <c r="AL85" s="7">
        <v>0</v>
      </c>
      <c r="AM85" s="7">
        <v>1</v>
      </c>
      <c r="AN85" s="69">
        <v>1</v>
      </c>
    </row>
    <row r="86" spans="1:40" ht="21" customHeight="1" x14ac:dyDescent="0.15">
      <c r="A86" s="16" t="str">
        <f t="shared" ca="1" si="10"/>
        <v>11003_10-2/340&lt;lv2&gt;s1</v>
      </c>
      <c r="B86" s="22">
        <v>11003</v>
      </c>
      <c r="C86" s="21">
        <v>10</v>
      </c>
      <c r="D86" s="2" t="str">
        <f t="shared" si="11"/>
        <v>11003_10</v>
      </c>
      <c r="E86" s="4" t="str">
        <f ca="1">VLOOKUP($B86,OFFSET([2]quests!$A$1,0,0,COUNTA([2]quests!$A:$A),MATCH(E$1,[2]quests!$1:$1,0)-MATCH($B$1,[2]quests!$1:$1,0)+1),MATCH(E$1,[2]quests!$1:$1,0)-MATCH($B$1,[2]quests!$1:$1,0)+1,FALSE)</f>
        <v>【水曜限定】 青の素材</v>
      </c>
      <c r="F86" s="4" t="str">
        <f ca="1">VLOOKUP($D86,OFFSET([2]stages!$A$1,0,0,COUNTA([2]stages!$A:$A),MATCH(F$1,[2]stages!$2:$2,0)-MATCH($D$1,[2]stages!$2:$2,0)+1),MATCH(F$1,[2]stages!$2:$2,0)-MATCH($D$1,[2]stages!$2:$2,0)+1,FALSE)</f>
        <v>【超絶級】深淵の代用ウミガメ</v>
      </c>
      <c r="G86" s="21">
        <v>2</v>
      </c>
      <c r="H86" s="15" t="str">
        <f t="shared" si="12"/>
        <v>11003_10-2</v>
      </c>
      <c r="I86" s="4">
        <f ca="1">VLOOKUP($H86,OFFSET(floors!$A$1,0,0,COUNTA(floors!$A:$A),MATCH(I$1,floors!$1:$1,0)-MATCH($H$1,floors!$1:$1,0)+1),MATCH(I$1,floors!$1:$1,0)-MATCH($H$1,floors!$1:$1,0)+1,FALSE)</f>
        <v>45</v>
      </c>
      <c r="J86" s="4">
        <f ca="1">VLOOKUP($H86,OFFSET(floors!$A$1,0,0,COUNTA(floors!$A:$A),MATCH(J$1,floors!$1:$1,0)-MATCH($H$1,floors!$1:$1,0)+1),MATCH(J$1,floors!$1:$1,0)-MATCH($H$1,floors!$1:$1,0)+1,FALSE)</f>
        <v>60</v>
      </c>
      <c r="K86" s="100" t="s">
        <v>209</v>
      </c>
      <c r="L86" s="108">
        <v>340</v>
      </c>
      <c r="M86" s="17" t="str">
        <f ca="1">VLOOKUP($L86,OFFSET([3]enemies!$A$1,0,0,COUNTA([3]enemies!$A:$A),MATCH(M$1,[3]enemies!$1:$1,0)-MATCH($L$1,[3]enemies!$1:$1,0)+1),MATCH(M$1,[3]enemies!$1:$1,0)-MATCH($L$1,[3]enemies!$1:$1,0)+1,FALSE)</f>
        <v>水のメタルピヨピヨ</v>
      </c>
      <c r="N86" s="17" t="str">
        <f ca="1">VLOOKUP($L86,OFFSET([3]enemies!$A$1,0,0,COUNTA([3]enemies!$A:$A),MATCH(N$1,[3]enemies!$1:$1,0)-MATCH($L$1,[3]enemies!$1:$1,0)+1),MATCH(N$1,[3]enemies!$1:$1,0)-MATCH($L$1,[3]enemies!$1:$1,0)+1,FALSE)</f>
        <v>blue</v>
      </c>
      <c r="O86" s="17" t="str">
        <f ca="1">VLOOKUP($L86,OFFSET([4]characters!$A$1,0,0,COUNTA([4]characters!$A:$A),MATCH(O$1,[4]characters!$1:$1,0)-MATCH($L$1,[4]characters!$1:$1,0)+1),MATCH(O$1,[4]characters!$1:$1,0)-MATCH($L$1,[4]characters!$1:$1,0)+1,FALSE)</f>
        <v>Material</v>
      </c>
      <c r="P86" s="17" t="str">
        <f ca="1">VLOOKUP($L86,OFFSET([3]enemies!$A$1,0,0,COUNTA([3]enemies!$A:$A),MATCH(P$1,[3]enemies!$1:$1,0)-MATCH($L$1,[3]enemies!$1:$1,0)+1),MATCH(P$1,[3]enemies!$1:$1,0)-MATCH($L$1,[3]enemies!$1:$1,0)+1,FALSE)</f>
        <v>unknown</v>
      </c>
      <c r="Q86" s="17">
        <f ca="1">VLOOKUP($L86,OFFSET([3]enemies!$A$1,0,0,COUNTA([3]enemies!$A:$A),MATCH(Q$1,[3]enemies!$1:$1,0)-MATCH($L$1,[3]enemies!$1:$1,0)+1),MATCH(Q$1,[3]enemies!$1:$1,0)-MATCH($L$1,[3]enemies!$1:$1,0)+1,FALSE)</f>
        <v>15</v>
      </c>
      <c r="R86" s="5">
        <v>2</v>
      </c>
      <c r="S86" s="25">
        <v>2</v>
      </c>
      <c r="T86" s="25">
        <v>99</v>
      </c>
      <c r="U86" s="5">
        <v>0</v>
      </c>
      <c r="V86" s="4" t="str">
        <f ca="1">VLOOKUP($W86,OFFSET([5]enemy_skill_sets!$B$1,0,0,COUNTA([5]enemy_skill_sets!$B:$B),MATCH(M$1,[5]enemy_skill_sets!$1:$1,0)-MATCH($W$1,[5]enemy_skill_sets!$1:$1,0)+2),MATCH(M$1,[5]enemy_skill_sets!$1:$1,0)-MATCH($W$1,[5]enemy_skill_sets!$1:$1,0)+2,FALSE)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6" s="4">
        <f ca="1">VLOOKUP($L86,OFFSET([3]enemies!$A$1,0,0,COUNTA([3]enemies!$A:$A),MATCH(W$1,[3]enemies!$1:$1,0)-MATCH($L$1,[3]enemies!$1:$1,0)+1),MATCH(W$1,[3]enemies!$1:$1,0)-MATCH($L$1,[3]enemies!$1:$1,0)+1,FALSE)</f>
        <v>0</v>
      </c>
      <c r="X86" s="6">
        <v>0</v>
      </c>
      <c r="Y86" s="6">
        <v>20</v>
      </c>
      <c r="Z86" s="6">
        <v>0</v>
      </c>
      <c r="AA86" s="17">
        <f ca="1">VLOOKUP($L86,OFFSET([3]enemies!$A$1,0,0,COUNTA([3]enemies!$A:$A),MATCH(AA$1,[3]enemies!$1:$1,0)-MATCH($L$1,[3]enemies!$1:$1,0)+1),MATCH(AA$1,[3]enemies!$1:$1,0)-MATCH($L$1,[3]enemies!$1:$1,0)+1,FALSE)</f>
        <v>1</v>
      </c>
      <c r="AB86" s="24">
        <f t="shared" si="13"/>
        <v>340</v>
      </c>
      <c r="AC86" s="4" t="str">
        <f ca="1">VLOOKUP($AB86,OFFSET([4]characters!$A$1,0,0,COUNTA([4]characters!$A:$A),MATCH(AC$1,[4]characters!$1:$1,0)-MATCH("character_id",[4]characters!$1:$1,0)+1),MATCH(AC$1,[4]characters!$1:$1,0)-MATCH("character_id",[4]characters!$1:$1,0)+1,FALSE)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86" s="4">
        <f ca="1">VLOOKUP($AB86,OFFSET([4]characters!$A$1,0,0,COUNTA([4]characters!$A:$A),MATCH(AD$1,[4]characters!$1:$1,0)-MATCH("character_id",[4]characters!$1:$1,0)+1),MATCH(AD$1,[4]characters!$1:$1,0)-MATCH("character_id",[4]characters!$1:$1,0)+1,FALSE)</f>
        <v>3</v>
      </c>
      <c r="AE86" s="4" t="str">
        <f ca="1">VLOOKUP($AB86,OFFSET([4]characters!$A$1,0,0,COUNTA([4]characters!$A:$A),MATCH(AE$1,[4]characters!$1:$1,0)-MATCH("character_id",[4]characters!$1:$1,0)+1),MATCH(AE$1,[4]characters!$1:$1,0)-MATCH("character_id",[4]characters!$1:$1,0)+1,FALSE)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6" s="7">
        <v>1</v>
      </c>
      <c r="AG86" s="24">
        <f t="shared" ca="1" si="14"/>
        <v>3</v>
      </c>
      <c r="AH86" s="8">
        <v>10</v>
      </c>
      <c r="AI86" s="7">
        <v>0</v>
      </c>
      <c r="AJ86" s="7">
        <v>0</v>
      </c>
      <c r="AK86" s="7">
        <v>0</v>
      </c>
      <c r="AL86" s="7">
        <v>0</v>
      </c>
      <c r="AM86" s="7">
        <v>1</v>
      </c>
      <c r="AN86" s="69">
        <v>1</v>
      </c>
    </row>
    <row r="87" spans="1:40" ht="21" customHeight="1" x14ac:dyDescent="0.15">
      <c r="A87" s="16" t="str">
        <f t="shared" ca="1" si="10"/>
        <v>11003_10-2/341&lt;lv2&gt;s2</v>
      </c>
      <c r="B87" s="22">
        <v>11003</v>
      </c>
      <c r="C87" s="21">
        <v>10</v>
      </c>
      <c r="D87" s="2" t="str">
        <f t="shared" si="11"/>
        <v>11003_10</v>
      </c>
      <c r="E87" s="4" t="str">
        <f ca="1">VLOOKUP($B87,OFFSET([2]quests!$A$1,0,0,COUNTA([2]quests!$A:$A),MATCH(E$1,[2]quests!$1:$1,0)-MATCH($B$1,[2]quests!$1:$1,0)+1),MATCH(E$1,[2]quests!$1:$1,0)-MATCH($B$1,[2]quests!$1:$1,0)+1,FALSE)</f>
        <v>【水曜限定】 青の素材</v>
      </c>
      <c r="F87" s="4" t="str">
        <f ca="1">VLOOKUP($D87,OFFSET([2]stages!$A$1,0,0,COUNTA([2]stages!$A:$A),MATCH(F$1,[2]stages!$2:$2,0)-MATCH($D$1,[2]stages!$2:$2,0)+1),MATCH(F$1,[2]stages!$2:$2,0)-MATCH($D$1,[2]stages!$2:$2,0)+1,FALSE)</f>
        <v>【超絶級】深淵の代用ウミガメ</v>
      </c>
      <c r="G87" s="21">
        <v>2</v>
      </c>
      <c r="H87" s="15" t="str">
        <f t="shared" si="12"/>
        <v>11003_10-2</v>
      </c>
      <c r="I87" s="4">
        <f ca="1">VLOOKUP($H87,OFFSET(floors!$A$1,0,0,COUNTA(floors!$A:$A),MATCH(I$1,floors!$1:$1,0)-MATCH($H$1,floors!$1:$1,0)+1),MATCH(I$1,floors!$1:$1,0)-MATCH($H$1,floors!$1:$1,0)+1,FALSE)</f>
        <v>45</v>
      </c>
      <c r="J87" s="4">
        <f ca="1">VLOOKUP($H87,OFFSET(floors!$A$1,0,0,COUNTA(floors!$A:$A),MATCH(J$1,floors!$1:$1,0)-MATCH($H$1,floors!$1:$1,0)+1),MATCH(J$1,floors!$1:$1,0)-MATCH($H$1,floors!$1:$1,0)+1,FALSE)</f>
        <v>60</v>
      </c>
      <c r="K87" s="100" t="s">
        <v>209</v>
      </c>
      <c r="L87" s="108">
        <v>341</v>
      </c>
      <c r="M87" s="17" t="str">
        <f ca="1">VLOOKUP($L87,OFFSET([3]enemies!$A$1,0,0,COUNTA([3]enemies!$A:$A),MATCH(M$1,[3]enemies!$1:$1,0)-MATCH($L$1,[3]enemies!$1:$1,0)+1),MATCH(M$1,[3]enemies!$1:$1,0)-MATCH($L$1,[3]enemies!$1:$1,0)+1,FALSE)</f>
        <v>水のメタルチック</v>
      </c>
      <c r="N87" s="17" t="str">
        <f ca="1">VLOOKUP($L87,OFFSET([3]enemies!$A$1,0,0,COUNTA([3]enemies!$A:$A),MATCH(N$1,[3]enemies!$1:$1,0)-MATCH($L$1,[3]enemies!$1:$1,0)+1),MATCH(N$1,[3]enemies!$1:$1,0)-MATCH($L$1,[3]enemies!$1:$1,0)+1,FALSE)</f>
        <v>blue</v>
      </c>
      <c r="O87" s="17" t="str">
        <f ca="1">VLOOKUP($L87,OFFSET([4]characters!$A$1,0,0,COUNTA([4]characters!$A:$A),MATCH(O$1,[4]characters!$1:$1,0)-MATCH($L$1,[4]characters!$1:$1,0)+1),MATCH(O$1,[4]characters!$1:$1,0)-MATCH($L$1,[4]characters!$1:$1,0)+1,FALSE)</f>
        <v>Material</v>
      </c>
      <c r="P87" s="17" t="str">
        <f ca="1">VLOOKUP($L87,OFFSET([3]enemies!$A$1,0,0,COUNTA([3]enemies!$A:$A),MATCH(P$1,[3]enemies!$1:$1,0)-MATCH($L$1,[3]enemies!$1:$1,0)+1),MATCH(P$1,[3]enemies!$1:$1,0)-MATCH($L$1,[3]enemies!$1:$1,0)+1,FALSE)</f>
        <v>unknown</v>
      </c>
      <c r="Q87" s="17">
        <f ca="1">VLOOKUP($L87,OFFSET([3]enemies!$A$1,0,0,COUNTA([3]enemies!$A:$A),MATCH(Q$1,[3]enemies!$1:$1,0)-MATCH($L$1,[3]enemies!$1:$1,0)+1),MATCH(Q$1,[3]enemies!$1:$1,0)-MATCH($L$1,[3]enemies!$1:$1,0)+1,FALSE)</f>
        <v>15</v>
      </c>
      <c r="R87" s="5">
        <v>2</v>
      </c>
      <c r="S87" s="25">
        <v>2</v>
      </c>
      <c r="T87" s="25">
        <v>99</v>
      </c>
      <c r="U87" s="5">
        <v>0</v>
      </c>
      <c r="V87" s="4" t="str">
        <f ca="1">VLOOKUP($W87,OFFSET([5]enemy_skill_sets!$B$1,0,0,COUNTA([5]enemy_skill_sets!$B:$B),MATCH(M$1,[5]enemy_skill_sets!$1:$1,0)-MATCH($W$1,[5]enemy_skill_sets!$1:$1,0)+2),MATCH(M$1,[5]enemy_skill_sets!$1:$1,0)-MATCH($W$1,[5]enemy_skill_sets!$1:$1,0)+2,FALSE)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7" s="4">
        <f ca="1">VLOOKUP($L87,OFFSET([3]enemies!$A$1,0,0,COUNTA([3]enemies!$A:$A),MATCH(W$1,[3]enemies!$1:$1,0)-MATCH($L$1,[3]enemies!$1:$1,0)+1),MATCH(W$1,[3]enemies!$1:$1,0)-MATCH($L$1,[3]enemies!$1:$1,0)+1,FALSE)</f>
        <v>0</v>
      </c>
      <c r="X87" s="6">
        <v>0</v>
      </c>
      <c r="Y87" s="6">
        <v>10</v>
      </c>
      <c r="Z87" s="6">
        <v>0</v>
      </c>
      <c r="AA87" s="17">
        <f ca="1">VLOOKUP($L87,OFFSET([3]enemies!$A$1,0,0,COUNTA([3]enemies!$A:$A),MATCH(AA$1,[3]enemies!$1:$1,0)-MATCH($L$1,[3]enemies!$1:$1,0)+1),MATCH(AA$1,[3]enemies!$1:$1,0)-MATCH($L$1,[3]enemies!$1:$1,0)+1,FALSE)</f>
        <v>2</v>
      </c>
      <c r="AB87" s="24">
        <f t="shared" si="13"/>
        <v>341</v>
      </c>
      <c r="AC87" s="4" t="str">
        <f ca="1">VLOOKUP($AB87,OFFSET([4]characters!$A$1,0,0,COUNTA([4]characters!$A:$A),MATCH(AC$1,[4]characters!$1:$1,0)-MATCH("character_id",[4]characters!$1:$1,0)+1),MATCH(AC$1,[4]characters!$1:$1,0)-MATCH("character_id",[4]characters!$1:$1,0)+1,FALSE)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87" s="4">
        <f ca="1">VLOOKUP($AB87,OFFSET([4]characters!$A$1,0,0,COUNTA([4]characters!$A:$A),MATCH(AD$1,[4]characters!$1:$1,0)-MATCH("character_id",[4]characters!$1:$1,0)+1),MATCH(AD$1,[4]characters!$1:$1,0)-MATCH("character_id",[4]characters!$1:$1,0)+1,FALSE)</f>
        <v>4</v>
      </c>
      <c r="AE87" s="4" t="str">
        <f ca="1">VLOOKUP($AB87,OFFSET([4]characters!$A$1,0,0,COUNTA([4]characters!$A:$A),MATCH(AE$1,[4]characters!$1:$1,0)-MATCH("character_id",[4]characters!$1:$1,0)+1),MATCH(AE$1,[4]characters!$1:$1,0)-MATCH("character_id",[4]characters!$1:$1,0)+1,FALSE)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7" s="7">
        <v>1</v>
      </c>
      <c r="AG87" s="24">
        <f t="shared" ca="1" si="14"/>
        <v>4</v>
      </c>
      <c r="AH87" s="8">
        <v>5</v>
      </c>
      <c r="AI87" s="7">
        <v>0</v>
      </c>
      <c r="AJ87" s="7">
        <v>0</v>
      </c>
      <c r="AK87" s="7">
        <v>0</v>
      </c>
      <c r="AL87" s="7">
        <v>0</v>
      </c>
      <c r="AM87" s="7">
        <v>1</v>
      </c>
      <c r="AN87" s="69">
        <v>1</v>
      </c>
    </row>
    <row r="88" spans="1:40" ht="21" customHeight="1" x14ac:dyDescent="0.15">
      <c r="A88" s="16" t="str">
        <f t="shared" ca="1" si="10"/>
        <v>11003_10-3/185&lt;lv60&gt;s3</v>
      </c>
      <c r="B88" s="22">
        <v>11003</v>
      </c>
      <c r="C88" s="21">
        <v>10</v>
      </c>
      <c r="D88" s="2" t="str">
        <f t="shared" si="11"/>
        <v>11003_10</v>
      </c>
      <c r="E88" s="4" t="str">
        <f ca="1">VLOOKUP($B88,OFFSET([2]quests!$A$1,0,0,COUNTA([2]quests!$A:$A),MATCH(E$1,[2]quests!$1:$1,0)-MATCH($B$1,[2]quests!$1:$1,0)+1),MATCH(E$1,[2]quests!$1:$1,0)-MATCH($B$1,[2]quests!$1:$1,0)+1,FALSE)</f>
        <v>【水曜限定】 青の素材</v>
      </c>
      <c r="F88" s="4" t="str">
        <f ca="1">VLOOKUP($D88,OFFSET([2]stages!$A$1,0,0,COUNTA([2]stages!$A:$A),MATCH(F$1,[2]stages!$2:$2,0)-MATCH($D$1,[2]stages!$2:$2,0)+1),MATCH(F$1,[2]stages!$2:$2,0)-MATCH($D$1,[2]stages!$2:$2,0)+1,FALSE)</f>
        <v>【超絶級】深淵の代用ウミガメ</v>
      </c>
      <c r="G88" s="21">
        <v>3</v>
      </c>
      <c r="H88" s="15" t="str">
        <f t="shared" si="12"/>
        <v>11003_10-3</v>
      </c>
      <c r="I88" s="4">
        <f ca="1">VLOOKUP($H88,OFFSET(floors!$A$1,0,0,COUNTA(floors!$A:$A),MATCH(I$1,floors!$1:$1,0)-MATCH($H$1,floors!$1:$1,0)+1),MATCH(I$1,floors!$1:$1,0)-MATCH($H$1,floors!$1:$1,0)+1,FALSE)</f>
        <v>50</v>
      </c>
      <c r="J88" s="4">
        <f ca="1">VLOOKUP($H88,OFFSET(floors!$A$1,0,0,COUNTA(floors!$A:$A),MATCH(J$1,floors!$1:$1,0)-MATCH($H$1,floors!$1:$1,0)+1),MATCH(J$1,floors!$1:$1,0)-MATCH($H$1,floors!$1:$1,0)+1,FALSE)</f>
        <v>60</v>
      </c>
      <c r="K88" s="100" t="s">
        <v>209</v>
      </c>
      <c r="L88" s="108">
        <v>185</v>
      </c>
      <c r="M88" s="17" t="str">
        <f ca="1">VLOOKUP($L88,OFFSET([3]enemies!$A$1,0,0,COUNTA([3]enemies!$A:$A),MATCH(M$1,[3]enemies!$1:$1,0)-MATCH($L$1,[3]enemies!$1:$1,0)+1),MATCH(M$1,[3]enemies!$1:$1,0)-MATCH($L$1,[3]enemies!$1:$1,0)+1,FALSE)</f>
        <v>海姫 クラーケン</v>
      </c>
      <c r="N88" s="17" t="str">
        <f ca="1">VLOOKUP($L88,OFFSET([3]enemies!$A$1,0,0,COUNTA([3]enemies!$A:$A),MATCH(N$1,[3]enemies!$1:$1,0)-MATCH($L$1,[3]enemies!$1:$1,0)+1),MATCH(N$1,[3]enemies!$1:$1,0)-MATCH($L$1,[3]enemies!$1:$1,0)+1,FALSE)</f>
        <v>blue</v>
      </c>
      <c r="O88" s="17" t="str">
        <f ca="1">VLOOKUP($L88,OFFSET([4]characters!$A$1,0,0,COUNTA([4]characters!$A:$A),MATCH(O$1,[4]characters!$1:$1,0)-MATCH($L$1,[4]characters!$1:$1,0)+1),MATCH(O$1,[4]characters!$1:$1,0)-MATCH($L$1,[4]characters!$1:$1,0)+1,FALSE)</f>
        <v>PremiumN</v>
      </c>
      <c r="P88" s="17" t="str">
        <f ca="1">VLOOKUP($L88,OFFSET([3]enemies!$A$1,0,0,COUNTA([3]enemies!$A:$A),MATCH(P$1,[3]enemies!$1:$1,0)-MATCH($L$1,[3]enemies!$1:$1,0)+1),MATCH(P$1,[3]enemies!$1:$1,0)-MATCH($L$1,[3]enemies!$1:$1,0)+1,FALSE)</f>
        <v>animal</v>
      </c>
      <c r="Q88" s="17">
        <f ca="1">VLOOKUP($L88,OFFSET([3]enemies!$A$1,0,0,COUNTA([3]enemies!$A:$A),MATCH(Q$1,[3]enemies!$1:$1,0)-MATCH($L$1,[3]enemies!$1:$1,0)+1),MATCH(Q$1,[3]enemies!$1:$1,0)-MATCH($L$1,[3]enemies!$1:$1,0)+1,FALSE)</f>
        <v>30</v>
      </c>
      <c r="R88" s="5">
        <v>60</v>
      </c>
      <c r="S88" s="25">
        <v>1.6</v>
      </c>
      <c r="T88" s="25">
        <v>1.7</v>
      </c>
      <c r="U88" s="5">
        <v>0</v>
      </c>
      <c r="V88" s="4" t="str">
        <f ca="1">VLOOKUP($W88,OFFSET(enemy_skill_sets!$B$1,0,0,COUNTA(enemy_skill_sets!$B:$B),MATCH(M$1,enemy_skill_sets!$1:$1,0)-MATCH($W$1,enemy_skill_sets!$1:$1,0)+2),MATCH(M$1,enemy_skill_sets!$1:$1,0)-MATCH($W$1,enemy_skill_sets!$1:$1,0)+2,FALSE)</f>
        <v>全体攻撃＋中確率で2ターンスキルバインド効果</v>
      </c>
      <c r="W88" s="109">
        <v>1122211</v>
      </c>
      <c r="X88" s="6">
        <v>0</v>
      </c>
      <c r="Y88" s="6">
        <v>80</v>
      </c>
      <c r="Z88" s="6">
        <v>1</v>
      </c>
      <c r="AA88" s="17">
        <f ca="1">VLOOKUP($L88,OFFSET([3]enemies!$A$1,0,0,COUNTA([3]enemies!$A:$A),MATCH(AA$1,[3]enemies!$1:$1,0)-MATCH($L$1,[3]enemies!$1:$1,0)+1),MATCH(AA$1,[3]enemies!$1:$1,0)-MATCH($L$1,[3]enemies!$1:$1,0)+1,FALSE)</f>
        <v>3</v>
      </c>
      <c r="AB88" s="24">
        <f t="shared" si="13"/>
        <v>185</v>
      </c>
      <c r="AC88" s="4" t="str">
        <f ca="1">VLOOKUP($AB88,OFFSET([4]characters!$A$1,0,0,COUNTA([4]characters!$A:$A),MATCH(AC$1,[4]characters!$1:$1,0)-MATCH("character_id",[4]characters!$1:$1,0)+1),MATCH(AC$1,[4]characters!$1:$1,0)-MATCH("character_id",[4]characters!$1:$1,0)+1,FALSE)</f>
        <v>海姫 クラーケン</v>
      </c>
      <c r="AD88" s="4">
        <f ca="1">VLOOKUP($AB88,OFFSET([4]characters!$A$1,0,0,COUNTA([4]characters!$A:$A),MATCH(AD$1,[4]characters!$1:$1,0)-MATCH("character_id",[4]characters!$1:$1,0)+1),MATCH(AD$1,[4]characters!$1:$1,0)-MATCH("character_id",[4]characters!$1:$1,0)+1,FALSE)</f>
        <v>4</v>
      </c>
      <c r="AE88" s="4" t="str">
        <f ca="1">VLOOKUP($AB88,OFFSET([4]characters!$A$1,0,0,COUNTA([4]characters!$A:$A),MATCH(AE$1,[4]characters!$1:$1,0)-MATCH("character_id",[4]characters!$1:$1,0)+1),MATCH(AE$1,[4]characters!$1:$1,0)-MATCH("character_id",[4]characters!$1:$1,0)+1,FALSE)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88" s="7">
        <v>1</v>
      </c>
      <c r="AG88" s="24">
        <f t="shared" ca="1" si="14"/>
        <v>4</v>
      </c>
      <c r="AH88" s="8">
        <v>0</v>
      </c>
      <c r="AI88" s="7">
        <v>0</v>
      </c>
      <c r="AJ88" s="7">
        <v>0</v>
      </c>
      <c r="AK88" s="7">
        <v>0</v>
      </c>
      <c r="AL88" s="7">
        <v>0</v>
      </c>
      <c r="AM88" s="7">
        <v>1</v>
      </c>
      <c r="AN88" s="69">
        <v>1</v>
      </c>
    </row>
    <row r="89" spans="1:40" ht="21" customHeight="1" x14ac:dyDescent="0.15">
      <c r="A89" s="16" t="str">
        <f t="shared" ca="1" si="10"/>
        <v>11003_10-3/342&lt;lv2&gt;s3</v>
      </c>
      <c r="B89" s="22">
        <v>11003</v>
      </c>
      <c r="C89" s="21">
        <v>10</v>
      </c>
      <c r="D89" s="2" t="str">
        <f t="shared" si="11"/>
        <v>11003_10</v>
      </c>
      <c r="E89" s="4" t="str">
        <f ca="1">VLOOKUP($B89,OFFSET([2]quests!$A$1,0,0,COUNTA([2]quests!$A:$A),MATCH(E$1,[2]quests!$1:$1,0)-MATCH($B$1,[2]quests!$1:$1,0)+1),MATCH(E$1,[2]quests!$1:$1,0)-MATCH($B$1,[2]quests!$1:$1,0)+1,FALSE)</f>
        <v>【水曜限定】 青の素材</v>
      </c>
      <c r="F89" s="4" t="str">
        <f ca="1">VLOOKUP($D89,OFFSET([2]stages!$A$1,0,0,COUNTA([2]stages!$A:$A),MATCH(F$1,[2]stages!$2:$2,0)-MATCH($D$1,[2]stages!$2:$2,0)+1),MATCH(F$1,[2]stages!$2:$2,0)-MATCH($D$1,[2]stages!$2:$2,0)+1,FALSE)</f>
        <v>【超絶級】深淵の代用ウミガメ</v>
      </c>
      <c r="G89" s="21">
        <v>3</v>
      </c>
      <c r="H89" s="15" t="str">
        <f t="shared" si="12"/>
        <v>11003_10-3</v>
      </c>
      <c r="I89" s="4">
        <f ca="1">VLOOKUP($H89,OFFSET(floors!$A$1,0,0,COUNTA(floors!$A:$A),MATCH(I$1,floors!$1:$1,0)-MATCH($H$1,floors!$1:$1,0)+1),MATCH(I$1,floors!$1:$1,0)-MATCH($H$1,floors!$1:$1,0)+1,FALSE)</f>
        <v>50</v>
      </c>
      <c r="J89" s="4">
        <f ca="1">VLOOKUP($H89,OFFSET(floors!$A$1,0,0,COUNTA(floors!$A:$A),MATCH(J$1,floors!$1:$1,0)-MATCH($H$1,floors!$1:$1,0)+1),MATCH(J$1,floors!$1:$1,0)-MATCH($H$1,floors!$1:$1,0)+1,FALSE)</f>
        <v>60</v>
      </c>
      <c r="K89" s="100" t="s">
        <v>209</v>
      </c>
      <c r="L89" s="108">
        <v>342</v>
      </c>
      <c r="M89" s="17" t="str">
        <f ca="1">VLOOKUP($L89,OFFSET([3]enemies!$A$1,0,0,COUNTA([3]enemies!$A:$A),MATCH(M$1,[3]enemies!$1:$1,0)-MATCH($L$1,[3]enemies!$1:$1,0)+1),MATCH(M$1,[3]enemies!$1:$1,0)-MATCH($L$1,[3]enemies!$1:$1,0)+1,FALSE)</f>
        <v>水のメタルダック</v>
      </c>
      <c r="N89" s="17" t="str">
        <f ca="1">VLOOKUP($L89,OFFSET([3]enemies!$A$1,0,0,COUNTA([3]enemies!$A:$A),MATCH(N$1,[3]enemies!$1:$1,0)-MATCH($L$1,[3]enemies!$1:$1,0)+1),MATCH(N$1,[3]enemies!$1:$1,0)-MATCH($L$1,[3]enemies!$1:$1,0)+1,FALSE)</f>
        <v>blue</v>
      </c>
      <c r="O89" s="17" t="str">
        <f ca="1">VLOOKUP($L89,OFFSET([4]characters!$A$1,0,0,COUNTA([4]characters!$A:$A),MATCH(O$1,[4]characters!$1:$1,0)-MATCH($L$1,[4]characters!$1:$1,0)+1),MATCH(O$1,[4]characters!$1:$1,0)-MATCH($L$1,[4]characters!$1:$1,0)+1,FALSE)</f>
        <v>Material</v>
      </c>
      <c r="P89" s="17" t="str">
        <f ca="1">VLOOKUP($L89,OFFSET([3]enemies!$A$1,0,0,COUNTA([3]enemies!$A:$A),MATCH(P$1,[3]enemies!$1:$1,0)-MATCH($L$1,[3]enemies!$1:$1,0)+1),MATCH(P$1,[3]enemies!$1:$1,0)-MATCH($L$1,[3]enemies!$1:$1,0)+1,FALSE)</f>
        <v>unknown</v>
      </c>
      <c r="Q89" s="17">
        <f ca="1">VLOOKUP($L89,OFFSET([3]enemies!$A$1,0,0,COUNTA([3]enemies!$A:$A),MATCH(Q$1,[3]enemies!$1:$1,0)-MATCH($L$1,[3]enemies!$1:$1,0)+1),MATCH(Q$1,[3]enemies!$1:$1,0)-MATCH($L$1,[3]enemies!$1:$1,0)+1,FALSE)</f>
        <v>20</v>
      </c>
      <c r="R89" s="5">
        <v>2</v>
      </c>
      <c r="S89" s="25">
        <v>2</v>
      </c>
      <c r="T89" s="25">
        <v>99</v>
      </c>
      <c r="U89" s="5">
        <v>0</v>
      </c>
      <c r="V89" s="4" t="str">
        <f ca="1">VLOOKUP($W89,OFFSET([5]enemy_skill_sets!$B$1,0,0,COUNTA([5]enemy_skill_sets!$B:$B),MATCH(M$1,[5]enemy_skill_sets!$1:$1,0)-MATCH($W$1,[5]enemy_skill_sets!$1:$1,0)+2),MATCH(M$1,[5]enemy_skill_sets!$1:$1,0)-MATCH($W$1,[5]enemy_skill_sets!$1:$1,0)+2,FALSE)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9" s="4">
        <f ca="1">VLOOKUP($L89,OFFSET([3]enemies!$A$1,0,0,COUNTA([3]enemies!$A:$A),MATCH(W$1,[3]enemies!$1:$1,0)-MATCH($L$1,[3]enemies!$1:$1,0)+1),MATCH(W$1,[3]enemies!$1:$1,0)-MATCH($L$1,[3]enemies!$1:$1,0)+1,FALSE)</f>
        <v>0</v>
      </c>
      <c r="X89" s="6">
        <v>0</v>
      </c>
      <c r="Y89" s="6">
        <v>20</v>
      </c>
      <c r="Z89" s="6">
        <v>1</v>
      </c>
      <c r="AA89" s="17">
        <f ca="1">VLOOKUP($L89,OFFSET([3]enemies!$A$1,0,0,COUNTA([3]enemies!$A:$A),MATCH(AA$1,[3]enemies!$1:$1,0)-MATCH($L$1,[3]enemies!$1:$1,0)+1),MATCH(AA$1,[3]enemies!$1:$1,0)-MATCH($L$1,[3]enemies!$1:$1,0)+1,FALSE)</f>
        <v>3</v>
      </c>
      <c r="AB89" s="24">
        <f t="shared" si="13"/>
        <v>342</v>
      </c>
      <c r="AC89" s="4" t="str">
        <f ca="1">VLOOKUP($AB89,OFFSET([4]characters!$A$1,0,0,COUNTA([4]characters!$A:$A),MATCH(AC$1,[4]characters!$1:$1,0)-MATCH("character_id",[4]characters!$1:$1,0)+1),MATCH(AC$1,[4]characters!$1:$1,0)-MATCH("character_id",[4]characters!$1:$1,0)+1,FALSE)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89" s="4">
        <f ca="1">VLOOKUP($AB89,OFFSET([4]characters!$A$1,0,0,COUNTA([4]characters!$A:$A),MATCH(AD$1,[4]characters!$1:$1,0)-MATCH("character_id",[4]characters!$1:$1,0)+1),MATCH(AD$1,[4]characters!$1:$1,0)-MATCH("character_id",[4]characters!$1:$1,0)+1,FALSE)</f>
        <v>5</v>
      </c>
      <c r="AE89" s="4" t="str">
        <f ca="1">VLOOKUP($AB89,OFFSET([4]characters!$A$1,0,0,COUNTA([4]characters!$A:$A),MATCH(AE$1,[4]characters!$1:$1,0)-MATCH("character_id",[4]characters!$1:$1,0)+1),MATCH(AE$1,[4]characters!$1:$1,0)-MATCH("character_id",[4]characters!$1:$1,0)+1,FALSE)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9" s="7">
        <v>1</v>
      </c>
      <c r="AG89" s="24">
        <f t="shared" ca="1" si="14"/>
        <v>5</v>
      </c>
      <c r="AH89" s="8">
        <v>5</v>
      </c>
      <c r="AI89" s="7">
        <v>0</v>
      </c>
      <c r="AJ89" s="7">
        <v>0</v>
      </c>
      <c r="AK89" s="7">
        <v>0</v>
      </c>
      <c r="AL89" s="7">
        <v>0</v>
      </c>
      <c r="AM89" s="7">
        <v>1</v>
      </c>
      <c r="AN89" s="69">
        <v>1</v>
      </c>
    </row>
    <row r="90" spans="1:40" ht="21" customHeight="1" x14ac:dyDescent="0.15">
      <c r="A90" s="16" t="str">
        <f t="shared" ca="1" si="10"/>
        <v>11003_10-3/340&lt;lv2&gt;s1</v>
      </c>
      <c r="B90" s="22">
        <v>11003</v>
      </c>
      <c r="C90" s="21">
        <v>10</v>
      </c>
      <c r="D90" s="2" t="str">
        <f t="shared" si="11"/>
        <v>11003_10</v>
      </c>
      <c r="E90" s="4" t="str">
        <f ca="1">VLOOKUP($B90,OFFSET([2]quests!$A$1,0,0,COUNTA([2]quests!$A:$A),MATCH(E$1,[2]quests!$1:$1,0)-MATCH($B$1,[2]quests!$1:$1,0)+1),MATCH(E$1,[2]quests!$1:$1,0)-MATCH($B$1,[2]quests!$1:$1,0)+1,FALSE)</f>
        <v>【水曜限定】 青の素材</v>
      </c>
      <c r="F90" s="4" t="str">
        <f ca="1">VLOOKUP($D90,OFFSET([2]stages!$A$1,0,0,COUNTA([2]stages!$A:$A),MATCH(F$1,[2]stages!$2:$2,0)-MATCH($D$1,[2]stages!$2:$2,0)+1),MATCH(F$1,[2]stages!$2:$2,0)-MATCH($D$1,[2]stages!$2:$2,0)+1,FALSE)</f>
        <v>【超絶級】深淵の代用ウミガメ</v>
      </c>
      <c r="G90" s="21">
        <v>3</v>
      </c>
      <c r="H90" s="15" t="str">
        <f t="shared" si="12"/>
        <v>11003_10-3</v>
      </c>
      <c r="I90" s="4">
        <f ca="1">VLOOKUP($H90,OFFSET(floors!$A$1,0,0,COUNTA(floors!$A:$A),MATCH(I$1,floors!$1:$1,0)-MATCH($H$1,floors!$1:$1,0)+1),MATCH(I$1,floors!$1:$1,0)-MATCH($H$1,floors!$1:$1,0)+1,FALSE)</f>
        <v>50</v>
      </c>
      <c r="J90" s="4">
        <f ca="1">VLOOKUP($H90,OFFSET(floors!$A$1,0,0,COUNTA(floors!$A:$A),MATCH(J$1,floors!$1:$1,0)-MATCH($H$1,floors!$1:$1,0)+1),MATCH(J$1,floors!$1:$1,0)-MATCH($H$1,floors!$1:$1,0)+1,FALSE)</f>
        <v>60</v>
      </c>
      <c r="K90" s="100" t="s">
        <v>209</v>
      </c>
      <c r="L90" s="108">
        <v>340</v>
      </c>
      <c r="M90" s="17" t="str">
        <f ca="1">VLOOKUP($L90,OFFSET([3]enemies!$A$1,0,0,COUNTA([3]enemies!$A:$A),MATCH(M$1,[3]enemies!$1:$1,0)-MATCH($L$1,[3]enemies!$1:$1,0)+1),MATCH(M$1,[3]enemies!$1:$1,0)-MATCH($L$1,[3]enemies!$1:$1,0)+1,FALSE)</f>
        <v>水のメタルピヨピヨ</v>
      </c>
      <c r="N90" s="17" t="str">
        <f ca="1">VLOOKUP($L90,OFFSET([3]enemies!$A$1,0,0,COUNTA([3]enemies!$A:$A),MATCH(N$1,[3]enemies!$1:$1,0)-MATCH($L$1,[3]enemies!$1:$1,0)+1),MATCH(N$1,[3]enemies!$1:$1,0)-MATCH($L$1,[3]enemies!$1:$1,0)+1,FALSE)</f>
        <v>blue</v>
      </c>
      <c r="O90" s="17" t="str">
        <f ca="1">VLOOKUP($L90,OFFSET([4]characters!$A$1,0,0,COUNTA([4]characters!$A:$A),MATCH(O$1,[4]characters!$1:$1,0)-MATCH($L$1,[4]characters!$1:$1,0)+1),MATCH(O$1,[4]characters!$1:$1,0)-MATCH($L$1,[4]characters!$1:$1,0)+1,FALSE)</f>
        <v>Material</v>
      </c>
      <c r="P90" s="17" t="str">
        <f ca="1">VLOOKUP($L90,OFFSET([3]enemies!$A$1,0,0,COUNTA([3]enemies!$A:$A),MATCH(P$1,[3]enemies!$1:$1,0)-MATCH($L$1,[3]enemies!$1:$1,0)+1),MATCH(P$1,[3]enemies!$1:$1,0)-MATCH($L$1,[3]enemies!$1:$1,0)+1,FALSE)</f>
        <v>unknown</v>
      </c>
      <c r="Q90" s="17">
        <f ca="1">VLOOKUP($L90,OFFSET([3]enemies!$A$1,0,0,COUNTA([3]enemies!$A:$A),MATCH(Q$1,[3]enemies!$1:$1,0)-MATCH($L$1,[3]enemies!$1:$1,0)+1),MATCH(Q$1,[3]enemies!$1:$1,0)-MATCH($L$1,[3]enemies!$1:$1,0)+1,FALSE)</f>
        <v>15</v>
      </c>
      <c r="R90" s="5">
        <v>2</v>
      </c>
      <c r="S90" s="25">
        <v>2</v>
      </c>
      <c r="T90" s="25">
        <v>99</v>
      </c>
      <c r="U90" s="5">
        <v>0</v>
      </c>
      <c r="V90" s="4" t="str">
        <f ca="1">VLOOKUP($W90,OFFSET([5]enemy_skill_sets!$B$1,0,0,COUNTA([5]enemy_skill_sets!$B:$B),MATCH(M$1,[5]enemy_skill_sets!$1:$1,0)-MATCH($W$1,[5]enemy_skill_sets!$1:$1,0)+2),MATCH(M$1,[5]enemy_skill_sets!$1:$1,0)-MATCH($W$1,[5]enemy_skill_sets!$1:$1,0)+2,FALSE)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0" s="4">
        <f ca="1">VLOOKUP($L90,OFFSET([3]enemies!$A$1,0,0,COUNTA([3]enemies!$A:$A),MATCH(W$1,[3]enemies!$1:$1,0)-MATCH($L$1,[3]enemies!$1:$1,0)+1),MATCH(W$1,[3]enemies!$1:$1,0)-MATCH($L$1,[3]enemies!$1:$1,0)+1,FALSE)</f>
        <v>0</v>
      </c>
      <c r="X90" s="6">
        <v>1</v>
      </c>
      <c r="Y90" s="6">
        <v>100</v>
      </c>
      <c r="Z90" s="6">
        <v>0</v>
      </c>
      <c r="AA90" s="17">
        <f ca="1">VLOOKUP($L90,OFFSET([3]enemies!$A$1,0,0,COUNTA([3]enemies!$A:$A),MATCH(AA$1,[3]enemies!$1:$1,0)-MATCH($L$1,[3]enemies!$1:$1,0)+1),MATCH(AA$1,[3]enemies!$1:$1,0)-MATCH($L$1,[3]enemies!$1:$1,0)+1,FALSE)</f>
        <v>1</v>
      </c>
      <c r="AB90" s="24">
        <f t="shared" si="13"/>
        <v>340</v>
      </c>
      <c r="AC90" s="4" t="str">
        <f ca="1">VLOOKUP($AB90,OFFSET([4]characters!$A$1,0,0,COUNTA([4]characters!$A:$A),MATCH(AC$1,[4]characters!$1:$1,0)-MATCH("character_id",[4]characters!$1:$1,0)+1),MATCH(AC$1,[4]characters!$1:$1,0)-MATCH("character_id",[4]characters!$1:$1,0)+1,FALSE)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90" s="4">
        <f ca="1">VLOOKUP($AB90,OFFSET([4]characters!$A$1,0,0,COUNTA([4]characters!$A:$A),MATCH(AD$1,[4]characters!$1:$1,0)-MATCH("character_id",[4]characters!$1:$1,0)+1),MATCH(AD$1,[4]characters!$1:$1,0)-MATCH("character_id",[4]characters!$1:$1,0)+1,FALSE)</f>
        <v>3</v>
      </c>
      <c r="AE90" s="4" t="str">
        <f ca="1">VLOOKUP($AB90,OFFSET([4]characters!$A$1,0,0,COUNTA([4]characters!$A:$A),MATCH(AE$1,[4]characters!$1:$1,0)-MATCH("character_id",[4]characters!$1:$1,0)+1),MATCH(AE$1,[4]characters!$1:$1,0)-MATCH("character_id",[4]characters!$1:$1,0)+1,FALSE)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0" s="7">
        <v>1</v>
      </c>
      <c r="AG90" s="24">
        <f t="shared" ca="1" si="14"/>
        <v>3</v>
      </c>
      <c r="AH90" s="8">
        <v>20</v>
      </c>
      <c r="AI90" s="7">
        <v>0</v>
      </c>
      <c r="AJ90" s="7">
        <v>0</v>
      </c>
      <c r="AK90" s="7">
        <v>0</v>
      </c>
      <c r="AL90" s="7">
        <v>0</v>
      </c>
      <c r="AM90" s="7">
        <v>1</v>
      </c>
      <c r="AN90" s="69">
        <v>1</v>
      </c>
    </row>
    <row r="91" spans="1:40" ht="21" customHeight="1" x14ac:dyDescent="0.15">
      <c r="A91" s="16" t="str">
        <f t="shared" ca="1" si="10"/>
        <v>11003_10-3/341&lt;lv2&gt;s2</v>
      </c>
      <c r="B91" s="22">
        <v>11003</v>
      </c>
      <c r="C91" s="21">
        <v>10</v>
      </c>
      <c r="D91" s="2" t="str">
        <f t="shared" si="11"/>
        <v>11003_10</v>
      </c>
      <c r="E91" s="4" t="str">
        <f ca="1">VLOOKUP($B91,OFFSET([2]quests!$A$1,0,0,COUNTA([2]quests!$A:$A),MATCH(E$1,[2]quests!$1:$1,0)-MATCH($B$1,[2]quests!$1:$1,0)+1),MATCH(E$1,[2]quests!$1:$1,0)-MATCH($B$1,[2]quests!$1:$1,0)+1,FALSE)</f>
        <v>【水曜限定】 青の素材</v>
      </c>
      <c r="F91" s="4" t="str">
        <f ca="1">VLOOKUP($D91,OFFSET([2]stages!$A$1,0,0,COUNTA([2]stages!$A:$A),MATCH(F$1,[2]stages!$2:$2,0)-MATCH($D$1,[2]stages!$2:$2,0)+1),MATCH(F$1,[2]stages!$2:$2,0)-MATCH($D$1,[2]stages!$2:$2,0)+1,FALSE)</f>
        <v>【超絶級】深淵の代用ウミガメ</v>
      </c>
      <c r="G91" s="21">
        <v>3</v>
      </c>
      <c r="H91" s="15" t="str">
        <f t="shared" si="12"/>
        <v>11003_10-3</v>
      </c>
      <c r="I91" s="4">
        <f ca="1">VLOOKUP($H91,OFFSET(floors!$A$1,0,0,COUNTA(floors!$A:$A),MATCH(I$1,floors!$1:$1,0)-MATCH($H$1,floors!$1:$1,0)+1),MATCH(I$1,floors!$1:$1,0)-MATCH($H$1,floors!$1:$1,0)+1,FALSE)</f>
        <v>50</v>
      </c>
      <c r="J91" s="4">
        <f ca="1">VLOOKUP($H91,OFFSET(floors!$A$1,0,0,COUNTA(floors!$A:$A),MATCH(J$1,floors!$1:$1,0)-MATCH($H$1,floors!$1:$1,0)+1),MATCH(J$1,floors!$1:$1,0)-MATCH($H$1,floors!$1:$1,0)+1,FALSE)</f>
        <v>60</v>
      </c>
      <c r="K91" s="100" t="s">
        <v>209</v>
      </c>
      <c r="L91" s="108">
        <v>341</v>
      </c>
      <c r="M91" s="17" t="str">
        <f ca="1">VLOOKUP($L91,OFFSET([3]enemies!$A$1,0,0,COUNTA([3]enemies!$A:$A),MATCH(M$1,[3]enemies!$1:$1,0)-MATCH($L$1,[3]enemies!$1:$1,0)+1),MATCH(M$1,[3]enemies!$1:$1,0)-MATCH($L$1,[3]enemies!$1:$1,0)+1,FALSE)</f>
        <v>水のメタルチック</v>
      </c>
      <c r="N91" s="17" t="str">
        <f ca="1">VLOOKUP($L91,OFFSET([3]enemies!$A$1,0,0,COUNTA([3]enemies!$A:$A),MATCH(N$1,[3]enemies!$1:$1,0)-MATCH($L$1,[3]enemies!$1:$1,0)+1),MATCH(N$1,[3]enemies!$1:$1,0)-MATCH($L$1,[3]enemies!$1:$1,0)+1,FALSE)</f>
        <v>blue</v>
      </c>
      <c r="O91" s="17" t="str">
        <f ca="1">VLOOKUP($L91,OFFSET([4]characters!$A$1,0,0,COUNTA([4]characters!$A:$A),MATCH(O$1,[4]characters!$1:$1,0)-MATCH($L$1,[4]characters!$1:$1,0)+1),MATCH(O$1,[4]characters!$1:$1,0)-MATCH($L$1,[4]characters!$1:$1,0)+1,FALSE)</f>
        <v>Material</v>
      </c>
      <c r="P91" s="17" t="str">
        <f ca="1">VLOOKUP($L91,OFFSET([3]enemies!$A$1,0,0,COUNTA([3]enemies!$A:$A),MATCH(P$1,[3]enemies!$1:$1,0)-MATCH($L$1,[3]enemies!$1:$1,0)+1),MATCH(P$1,[3]enemies!$1:$1,0)-MATCH($L$1,[3]enemies!$1:$1,0)+1,FALSE)</f>
        <v>unknown</v>
      </c>
      <c r="Q91" s="17">
        <f ca="1">VLOOKUP($L91,OFFSET([3]enemies!$A$1,0,0,COUNTA([3]enemies!$A:$A),MATCH(Q$1,[3]enemies!$1:$1,0)-MATCH($L$1,[3]enemies!$1:$1,0)+1),MATCH(Q$1,[3]enemies!$1:$1,0)-MATCH($L$1,[3]enemies!$1:$1,0)+1,FALSE)</f>
        <v>15</v>
      </c>
      <c r="R91" s="5">
        <v>2</v>
      </c>
      <c r="S91" s="25">
        <v>2</v>
      </c>
      <c r="T91" s="25">
        <v>99</v>
      </c>
      <c r="U91" s="5">
        <v>0</v>
      </c>
      <c r="V91" s="4" t="str">
        <f ca="1">VLOOKUP($W91,OFFSET([5]enemy_skill_sets!$B$1,0,0,COUNTA([5]enemy_skill_sets!$B:$B),MATCH(M$1,[5]enemy_skill_sets!$1:$1,0)-MATCH($W$1,[5]enemy_skill_sets!$1:$1,0)+2),MATCH(M$1,[5]enemy_skill_sets!$1:$1,0)-MATCH($W$1,[5]enemy_skill_sets!$1:$1,0)+2,FALSE)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1" s="4">
        <f ca="1">VLOOKUP($L91,OFFSET([3]enemies!$A$1,0,0,COUNTA([3]enemies!$A:$A),MATCH(W$1,[3]enemies!$1:$1,0)-MATCH($L$1,[3]enemies!$1:$1,0)+1),MATCH(W$1,[3]enemies!$1:$1,0)-MATCH($L$1,[3]enemies!$1:$1,0)+1,FALSE)</f>
        <v>0</v>
      </c>
      <c r="X91" s="6">
        <v>1</v>
      </c>
      <c r="Y91" s="6">
        <v>100</v>
      </c>
      <c r="Z91" s="6">
        <v>0</v>
      </c>
      <c r="AA91" s="17">
        <f ca="1">VLOOKUP($L91,OFFSET([3]enemies!$A$1,0,0,COUNTA([3]enemies!$A:$A),MATCH(AA$1,[3]enemies!$1:$1,0)-MATCH($L$1,[3]enemies!$1:$1,0)+1),MATCH(AA$1,[3]enemies!$1:$1,0)-MATCH($L$1,[3]enemies!$1:$1,0)+1,FALSE)</f>
        <v>2</v>
      </c>
      <c r="AB91" s="24">
        <f t="shared" si="13"/>
        <v>341</v>
      </c>
      <c r="AC91" s="4" t="str">
        <f ca="1">VLOOKUP($AB91,OFFSET([4]characters!$A$1,0,0,COUNTA([4]characters!$A:$A),MATCH(AC$1,[4]characters!$1:$1,0)-MATCH("character_id",[4]characters!$1:$1,0)+1),MATCH(AC$1,[4]characters!$1:$1,0)-MATCH("character_id",[4]characters!$1:$1,0)+1,FALSE)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91" s="4">
        <f ca="1">VLOOKUP($AB91,OFFSET([4]characters!$A$1,0,0,COUNTA([4]characters!$A:$A),MATCH(AD$1,[4]characters!$1:$1,0)-MATCH("character_id",[4]characters!$1:$1,0)+1),MATCH(AD$1,[4]characters!$1:$1,0)-MATCH("character_id",[4]characters!$1:$1,0)+1,FALSE)</f>
        <v>4</v>
      </c>
      <c r="AE91" s="4" t="str">
        <f ca="1">VLOOKUP($AB91,OFFSET([4]characters!$A$1,0,0,COUNTA([4]characters!$A:$A),MATCH(AE$1,[4]characters!$1:$1,0)-MATCH("character_id",[4]characters!$1:$1,0)+1),MATCH(AE$1,[4]characters!$1:$1,0)-MATCH("character_id",[4]characters!$1:$1,0)+1,FALSE)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1" s="7">
        <v>1</v>
      </c>
      <c r="AG91" s="24">
        <f t="shared" ca="1" si="14"/>
        <v>4</v>
      </c>
      <c r="AH91" s="8">
        <v>10</v>
      </c>
      <c r="AI91" s="7">
        <v>0</v>
      </c>
      <c r="AJ91" s="7">
        <v>0</v>
      </c>
      <c r="AK91" s="7">
        <v>0</v>
      </c>
      <c r="AL91" s="7">
        <v>0</v>
      </c>
      <c r="AM91" s="7">
        <v>1</v>
      </c>
      <c r="AN91" s="69">
        <v>1</v>
      </c>
    </row>
    <row r="92" spans="1:40" ht="21" customHeight="1" x14ac:dyDescent="0.15">
      <c r="A92" s="16" t="str">
        <f t="shared" si="10"/>
        <v>11003_10-4/364&lt;lv52&gt;s2</v>
      </c>
      <c r="B92" s="22">
        <v>11003</v>
      </c>
      <c r="C92" s="21">
        <v>10</v>
      </c>
      <c r="D92" s="2" t="str">
        <f t="shared" si="11"/>
        <v>11003_10</v>
      </c>
      <c r="E92" s="4" t="str">
        <f ca="1">VLOOKUP($B92,OFFSET([2]quests!$A$1,0,0,COUNTA([2]quests!$A:$A),MATCH(E$1,[2]quests!$1:$1,0)-MATCH($B$1,[2]quests!$1:$1,0)+1),MATCH(E$1,[2]quests!$1:$1,0)-MATCH($B$1,[2]quests!$1:$1,0)+1,FALSE)</f>
        <v>【水曜限定】 青の素材</v>
      </c>
      <c r="F92" s="4" t="str">
        <f ca="1">VLOOKUP($D92,OFFSET([2]stages!$A$1,0,0,COUNTA([2]stages!$A:$A),MATCH(F$1,[2]stages!$2:$2,0)-MATCH($D$1,[2]stages!$2:$2,0)+1),MATCH(F$1,[2]stages!$2:$2,0)-MATCH($D$1,[2]stages!$2:$2,0)+1,FALSE)</f>
        <v>【超絶級】深淵の代用ウミガメ</v>
      </c>
      <c r="G92" s="21">
        <v>4</v>
      </c>
      <c r="H92" s="15" t="str">
        <f t="shared" si="12"/>
        <v>11003_10-4</v>
      </c>
      <c r="I92" s="4">
        <f ca="1">VLOOKUP($H92,OFFSET(floors!$A$1,0,0,COUNTA(floors!$A:$A),MATCH(I$1,floors!$1:$1,0)-MATCH($H$1,floors!$1:$1,0)+1),MATCH(I$1,floors!$1:$1,0)-MATCH($H$1,floors!$1:$1,0)+1,FALSE)</f>
        <v>45</v>
      </c>
      <c r="J92" s="4">
        <f ca="1">VLOOKUP($H92,OFFSET(floors!$A$1,0,0,COUNTA(floors!$A:$A),MATCH(J$1,floors!$1:$1,0)-MATCH($H$1,floors!$1:$1,0)+1),MATCH(J$1,floors!$1:$1,0)-MATCH($H$1,floors!$1:$1,0)+1,FALSE)</f>
        <v>60</v>
      </c>
      <c r="K92" s="100" t="s">
        <v>209</v>
      </c>
      <c r="L92" s="108">
        <v>364</v>
      </c>
      <c r="M92" s="17" t="str">
        <f ca="1">VLOOKUP($L92,OFFSET([3]enemies!$A$1,0,0,COUNTA([3]enemies!$A:$A),MATCH(M$1,[3]enemies!$1:$1,0)-MATCH($L$1,[3]enemies!$1:$1,0)+1),MATCH(M$1,[3]enemies!$1:$1,0)-MATCH($L$1,[3]enemies!$1:$1,0)+1,FALSE)</f>
        <v>ノエル</v>
      </c>
      <c r="N92" s="17" t="str">
        <f ca="1">VLOOKUP($L92,OFFSET([3]enemies!$A$1,0,0,COUNTA([3]enemies!$A:$A),MATCH(N$1,[3]enemies!$1:$1,0)-MATCH($L$1,[3]enemies!$1:$1,0)+1),MATCH(N$1,[3]enemies!$1:$1,0)-MATCH($L$1,[3]enemies!$1:$1,0)+1,FALSE)</f>
        <v>blue</v>
      </c>
      <c r="O92" s="17" t="str">
        <f ca="1">VLOOKUP($L92,OFFSET([4]characters!$A$1,0,0,COUNTA([4]characters!$A:$A),MATCH(O$1,[4]characters!$1:$1,0)-MATCH($L$1,[4]characters!$1:$1,0)+1),MATCH(O$1,[4]characters!$1:$1,0)-MATCH($L$1,[4]characters!$1:$1,0)+1,FALSE)</f>
        <v>Drop1S</v>
      </c>
      <c r="P92" s="17" t="str">
        <f ca="1">VLOOKUP($L92,OFFSET([3]enemies!$A$1,0,0,COUNTA([3]enemies!$A:$A),MATCH(P$1,[3]enemies!$1:$1,0)-MATCH($L$1,[3]enemies!$1:$1,0)+1),MATCH(P$1,[3]enemies!$1:$1,0)-MATCH($L$1,[3]enemies!$1:$1,0)+1,FALSE)</f>
        <v>animal</v>
      </c>
      <c r="Q92" s="17">
        <f ca="1">VLOOKUP($L92,OFFSET([3]enemies!$A$1,0,0,COUNTA([3]enemies!$A:$A),MATCH(Q$1,[3]enemies!$1:$1,0)-MATCH($L$1,[3]enemies!$1:$1,0)+1),MATCH(Q$1,[3]enemies!$1:$1,0)-MATCH($L$1,[3]enemies!$1:$1,0)+1,FALSE)</f>
        <v>15</v>
      </c>
      <c r="R92" s="5">
        <v>52</v>
      </c>
      <c r="S92" s="25">
        <v>1.7</v>
      </c>
      <c r="T92" s="25">
        <v>0.7</v>
      </c>
      <c r="U92" s="5">
        <v>0</v>
      </c>
      <c r="V92" s="4" t="str">
        <f ca="1">VLOOKUP($W92,OFFSET([5]enemy_skill_sets!$B$1,0,0,COUNTA([5]enemy_skill_sets!$B:$B),MATCH(M$1,[5]enemy_skill_sets!$1:$1,0)-MATCH($W$1,[5]enemy_skill_sets!$1:$1,0)+2),MATCH(M$1,[5]enemy_skill_sets!$1:$1,0)-MATCH($W$1,[5]enemy_skill_sets!$1:$1,0)+2,FALSE)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92" s="4">
        <v>364</v>
      </c>
      <c r="X92" s="6">
        <v>2</v>
      </c>
      <c r="Y92" s="6">
        <v>100</v>
      </c>
      <c r="Z92" s="6">
        <v>0</v>
      </c>
      <c r="AA92" s="17">
        <v>2</v>
      </c>
      <c r="AB92" s="24">
        <f t="shared" si="13"/>
        <v>364</v>
      </c>
      <c r="AC92" s="4" t="str">
        <f ca="1">VLOOKUP($AB92,OFFSET([4]characters!$A$1,0,0,COUNTA([4]characters!$A:$A),MATCH(AC$1,[4]characters!$1:$1,0)-MATCH("character_id",[4]characters!$1:$1,0)+1),MATCH(AC$1,[4]characters!$1:$1,0)-MATCH("character_id",[4]characters!$1:$1,0)+1,FALSE)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92" s="4">
        <f ca="1">VLOOKUP($AB92,OFFSET([4]characters!$A$1,0,0,COUNTA([4]characters!$A:$A),MATCH(AD$1,[4]characters!$1:$1,0)-MATCH("character_id",[4]characters!$1:$1,0)+1),MATCH(AD$1,[4]characters!$1:$1,0)-MATCH("character_id",[4]characters!$1:$1,0)+1,FALSE)</f>
        <v>2</v>
      </c>
      <c r="AE92" s="4" t="str">
        <f ca="1">VLOOKUP($AB92,OFFSET([4]characters!$A$1,0,0,COUNTA([4]characters!$A:$A),MATCH(AE$1,[4]characters!$1:$1,0)-MATCH("character_id",[4]characters!$1:$1,0)+1),MATCH(AE$1,[4]characters!$1:$1,0)-MATCH("character_id",[4]characters!$1:$1,0)+1,FALSE)</f>
        <v>Drop1S</v>
      </c>
      <c r="AF92" s="7">
        <v>1</v>
      </c>
      <c r="AG92" s="24">
        <f t="shared" ca="1" si="14"/>
        <v>2</v>
      </c>
      <c r="AH92" s="8">
        <v>0</v>
      </c>
      <c r="AI92" s="7">
        <v>0</v>
      </c>
      <c r="AJ92" s="7">
        <v>0</v>
      </c>
      <c r="AK92" s="7">
        <v>0</v>
      </c>
      <c r="AL92" s="7">
        <v>0</v>
      </c>
      <c r="AM92" s="7">
        <v>1</v>
      </c>
      <c r="AN92" s="69">
        <v>1</v>
      </c>
    </row>
    <row r="93" spans="1:40" ht="21" customHeight="1" x14ac:dyDescent="0.15">
      <c r="A93" s="16" t="str">
        <f t="shared" si="10"/>
        <v>11003_10-4/374&lt;lv52&gt;s1</v>
      </c>
      <c r="B93" s="22">
        <v>11003</v>
      </c>
      <c r="C93" s="21">
        <v>10</v>
      </c>
      <c r="D93" s="2" t="str">
        <f t="shared" si="11"/>
        <v>11003_10</v>
      </c>
      <c r="E93" s="4" t="str">
        <f ca="1">VLOOKUP($B93,OFFSET([2]quests!$A$1,0,0,COUNTA([2]quests!$A:$A),MATCH(E$1,[2]quests!$1:$1,0)-MATCH($B$1,[2]quests!$1:$1,0)+1),MATCH(E$1,[2]quests!$1:$1,0)-MATCH($B$1,[2]quests!$1:$1,0)+1,FALSE)</f>
        <v>【水曜限定】 青の素材</v>
      </c>
      <c r="F93" s="4" t="str">
        <f ca="1">VLOOKUP($D93,OFFSET([2]stages!$A$1,0,0,COUNTA([2]stages!$A:$A),MATCH(F$1,[2]stages!$2:$2,0)-MATCH($D$1,[2]stages!$2:$2,0)+1),MATCH(F$1,[2]stages!$2:$2,0)-MATCH($D$1,[2]stages!$2:$2,0)+1,FALSE)</f>
        <v>【超絶級】深淵の代用ウミガメ</v>
      </c>
      <c r="G93" s="21">
        <v>4</v>
      </c>
      <c r="H93" s="15" t="str">
        <f t="shared" si="12"/>
        <v>11003_10-4</v>
      </c>
      <c r="I93" s="4">
        <f ca="1">VLOOKUP($H93,OFFSET(floors!$A$1,0,0,COUNTA(floors!$A:$A),MATCH(I$1,floors!$1:$1,0)-MATCH($H$1,floors!$1:$1,0)+1),MATCH(I$1,floors!$1:$1,0)-MATCH($H$1,floors!$1:$1,0)+1,FALSE)</f>
        <v>45</v>
      </c>
      <c r="J93" s="4">
        <f ca="1">VLOOKUP($H93,OFFSET(floors!$A$1,0,0,COUNTA(floors!$A:$A),MATCH(J$1,floors!$1:$1,0)-MATCH($H$1,floors!$1:$1,0)+1),MATCH(J$1,floors!$1:$1,0)-MATCH($H$1,floors!$1:$1,0)+1,FALSE)</f>
        <v>60</v>
      </c>
      <c r="K93" s="100" t="s">
        <v>209</v>
      </c>
      <c r="L93" s="108">
        <v>374</v>
      </c>
      <c r="M93" s="17" t="str">
        <f ca="1">VLOOKUP($L93,OFFSET([3]enemies!$A$1,0,0,COUNTA([3]enemies!$A:$A),MATCH(M$1,[3]enemies!$1:$1,0)-MATCH($L$1,[3]enemies!$1:$1,0)+1),MATCH(M$1,[3]enemies!$1:$1,0)-MATCH($L$1,[3]enemies!$1:$1,0)+1,FALSE)</f>
        <v>影丸</v>
      </c>
      <c r="N93" s="17" t="str">
        <f ca="1">VLOOKUP($L93,OFFSET([3]enemies!$A$1,0,0,COUNTA([3]enemies!$A:$A),MATCH(N$1,[3]enemies!$1:$1,0)-MATCH($L$1,[3]enemies!$1:$1,0)+1),MATCH(N$1,[3]enemies!$1:$1,0)-MATCH($L$1,[3]enemies!$1:$1,0)+1,FALSE)</f>
        <v>blue</v>
      </c>
      <c r="O93" s="17" t="str">
        <f ca="1">VLOOKUP($L93,OFFSET([4]characters!$A$1,0,0,COUNTA([4]characters!$A:$A),MATCH(O$1,[4]characters!$1:$1,0)-MATCH($L$1,[4]characters!$1:$1,0)+1),MATCH(O$1,[4]characters!$1:$1,0)-MATCH($L$1,[4]characters!$1:$1,0)+1,FALSE)</f>
        <v>Drop1S</v>
      </c>
      <c r="P93" s="17" t="str">
        <f ca="1">VLOOKUP($L93,OFFSET([3]enemies!$A$1,0,0,COUNTA([3]enemies!$A:$A),MATCH(P$1,[3]enemies!$1:$1,0)-MATCH($L$1,[3]enemies!$1:$1,0)+1),MATCH(P$1,[3]enemies!$1:$1,0)-MATCH($L$1,[3]enemies!$1:$1,0)+1,FALSE)</f>
        <v>animal</v>
      </c>
      <c r="Q93" s="17">
        <f ca="1">VLOOKUP($L93,OFFSET([3]enemies!$A$1,0,0,COUNTA([3]enemies!$A:$A),MATCH(Q$1,[3]enemies!$1:$1,0)-MATCH($L$1,[3]enemies!$1:$1,0)+1),MATCH(Q$1,[3]enemies!$1:$1,0)-MATCH($L$1,[3]enemies!$1:$1,0)+1,FALSE)</f>
        <v>15</v>
      </c>
      <c r="R93" s="5">
        <v>52</v>
      </c>
      <c r="S93" s="25">
        <v>1.9</v>
      </c>
      <c r="T93" s="25">
        <v>1.9</v>
      </c>
      <c r="U93" s="5">
        <v>0</v>
      </c>
      <c r="V93" s="4" t="str">
        <f ca="1">VLOOKUP($W93,OFFSET(enemy_skill_sets!$B$1,0,0,COUNTA(enemy_skill_sets!$B:$B),MATCH(M$1,enemy_skill_sets!$1:$1,0)-MATCH($W$1,enemy_skill_sets!$1:$1,0)+2),MATCH(M$1,enemy_skill_sets!$1:$1,0)-MATCH($W$1,enemy_skill_sets!$1:$1,0)+2,FALSE)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93" s="109">
        <v>1122208</v>
      </c>
      <c r="X93" s="6">
        <v>1</v>
      </c>
      <c r="Y93" s="6">
        <v>100</v>
      </c>
      <c r="Z93" s="6">
        <v>0</v>
      </c>
      <c r="AA93" s="17">
        <v>1</v>
      </c>
      <c r="AB93" s="24">
        <f t="shared" si="13"/>
        <v>374</v>
      </c>
      <c r="AC93" s="4" t="str">
        <f ca="1">VLOOKUP($AB93,OFFSET([4]characters!$A$1,0,0,COUNTA([4]characters!$A:$A),MATCH(AC$1,[4]characters!$1:$1,0)-MATCH("character_id",[4]characters!$1:$1,0)+1),MATCH(AC$1,[4]characters!$1:$1,0)-MATCH("character_id",[4]characters!$1:$1,0)+1,FALSE)</f>
        <v>影丸</v>
      </c>
      <c r="AD93" s="4">
        <f ca="1">VLOOKUP($AB93,OFFSET([4]characters!$A$1,0,0,COUNTA([4]characters!$A:$A),MATCH(AD$1,[4]characters!$1:$1,0)-MATCH("character_id",[4]characters!$1:$1,0)+1),MATCH(AD$1,[4]characters!$1:$1,0)-MATCH("character_id",[4]characters!$1:$1,0)+1,FALSE)</f>
        <v>2</v>
      </c>
      <c r="AE93" s="4" t="str">
        <f ca="1">VLOOKUP($AB93,OFFSET([4]characters!$A$1,0,0,COUNTA([4]characters!$A:$A),MATCH(AE$1,[4]characters!$1:$1,0)-MATCH("character_id",[4]characters!$1:$1,0)+1),MATCH(AE$1,[4]characters!$1:$1,0)-MATCH("character_id",[4]characters!$1:$1,0)+1,FALSE)</f>
        <v>Drop1S</v>
      </c>
      <c r="AF93" s="7">
        <v>1</v>
      </c>
      <c r="AG93" s="24">
        <f t="shared" ca="1" si="14"/>
        <v>2</v>
      </c>
      <c r="AH93" s="8">
        <v>0</v>
      </c>
      <c r="AI93" s="7">
        <v>0</v>
      </c>
      <c r="AJ93" s="7">
        <v>0</v>
      </c>
      <c r="AK93" s="7">
        <v>0</v>
      </c>
      <c r="AL93" s="7">
        <v>0</v>
      </c>
      <c r="AM93" s="7">
        <v>1</v>
      </c>
      <c r="AN93" s="69">
        <v>1</v>
      </c>
    </row>
    <row r="94" spans="1:40" ht="21" customHeight="1" x14ac:dyDescent="0.15">
      <c r="A94" s="16" t="str">
        <f t="shared" si="10"/>
        <v>11003_10-5/364&lt;lv52&gt;s2</v>
      </c>
      <c r="B94" s="22">
        <v>11003</v>
      </c>
      <c r="C94" s="21">
        <v>10</v>
      </c>
      <c r="D94" s="2" t="str">
        <f t="shared" si="11"/>
        <v>11003_10</v>
      </c>
      <c r="E94" s="4" t="str">
        <f ca="1">VLOOKUP($B94,OFFSET([2]quests!$A$1,0,0,COUNTA([2]quests!$A:$A),MATCH(E$1,[2]quests!$1:$1,0)-MATCH($B$1,[2]quests!$1:$1,0)+1),MATCH(E$1,[2]quests!$1:$1,0)-MATCH($B$1,[2]quests!$1:$1,0)+1,FALSE)</f>
        <v>【水曜限定】 青の素材</v>
      </c>
      <c r="F94" s="4" t="str">
        <f ca="1">VLOOKUP($D94,OFFSET([2]stages!$A$1,0,0,COUNTA([2]stages!$A:$A),MATCH(F$1,[2]stages!$2:$2,0)-MATCH($D$1,[2]stages!$2:$2,0)+1),MATCH(F$1,[2]stages!$2:$2,0)-MATCH($D$1,[2]stages!$2:$2,0)+1,FALSE)</f>
        <v>【超絶級】深淵の代用ウミガメ</v>
      </c>
      <c r="G94" s="21">
        <v>5</v>
      </c>
      <c r="H94" s="15" t="str">
        <f t="shared" si="12"/>
        <v>11003_10-5</v>
      </c>
      <c r="I94" s="4">
        <f ca="1">VLOOKUP($H94,OFFSET(floors!$A$1,0,0,COUNTA(floors!$A:$A),MATCH(I$1,floors!$1:$1,0)-MATCH($H$1,floors!$1:$1,0)+1),MATCH(I$1,floors!$1:$1,0)-MATCH($H$1,floors!$1:$1,0)+1,FALSE)</f>
        <v>60</v>
      </c>
      <c r="J94" s="4">
        <f ca="1">VLOOKUP($H94,OFFSET(floors!$A$1,0,0,COUNTA(floors!$A:$A),MATCH(J$1,floors!$1:$1,0)-MATCH($H$1,floors!$1:$1,0)+1),MATCH(J$1,floors!$1:$1,0)-MATCH($H$1,floors!$1:$1,0)+1,FALSE)</f>
        <v>60</v>
      </c>
      <c r="K94" s="100" t="s">
        <v>209</v>
      </c>
      <c r="L94" s="108">
        <v>364</v>
      </c>
      <c r="M94" s="17" t="str">
        <f ca="1">VLOOKUP($L94,OFFSET([3]enemies!$A$1,0,0,COUNTA([3]enemies!$A:$A),MATCH(M$1,[3]enemies!$1:$1,0)-MATCH($L$1,[3]enemies!$1:$1,0)+1),MATCH(M$1,[3]enemies!$1:$1,0)-MATCH($L$1,[3]enemies!$1:$1,0)+1,FALSE)</f>
        <v>ノエル</v>
      </c>
      <c r="N94" s="17" t="str">
        <f ca="1">VLOOKUP($L94,OFFSET([3]enemies!$A$1,0,0,COUNTA([3]enemies!$A:$A),MATCH(N$1,[3]enemies!$1:$1,0)-MATCH($L$1,[3]enemies!$1:$1,0)+1),MATCH(N$1,[3]enemies!$1:$1,0)-MATCH($L$1,[3]enemies!$1:$1,0)+1,FALSE)</f>
        <v>blue</v>
      </c>
      <c r="O94" s="17" t="str">
        <f ca="1">VLOOKUP($L94,OFFSET([4]characters!$A$1,0,0,COUNTA([4]characters!$A:$A),MATCH(O$1,[4]characters!$1:$1,0)-MATCH($L$1,[4]characters!$1:$1,0)+1),MATCH(O$1,[4]characters!$1:$1,0)-MATCH($L$1,[4]characters!$1:$1,0)+1,FALSE)</f>
        <v>Drop1S</v>
      </c>
      <c r="P94" s="17" t="str">
        <f ca="1">VLOOKUP($L94,OFFSET([3]enemies!$A$1,0,0,COUNTA([3]enemies!$A:$A),MATCH(P$1,[3]enemies!$1:$1,0)-MATCH($L$1,[3]enemies!$1:$1,0)+1),MATCH(P$1,[3]enemies!$1:$1,0)-MATCH($L$1,[3]enemies!$1:$1,0)+1,FALSE)</f>
        <v>animal</v>
      </c>
      <c r="Q94" s="17">
        <f ca="1">VLOOKUP($L94,OFFSET([3]enemies!$A$1,0,0,COUNTA([3]enemies!$A:$A),MATCH(Q$1,[3]enemies!$1:$1,0)-MATCH($L$1,[3]enemies!$1:$1,0)+1),MATCH(Q$1,[3]enemies!$1:$1,0)-MATCH($L$1,[3]enemies!$1:$1,0)+1,FALSE)</f>
        <v>15</v>
      </c>
      <c r="R94" s="5">
        <v>52</v>
      </c>
      <c r="S94" s="25">
        <v>1.7</v>
      </c>
      <c r="T94" s="25">
        <v>0.7</v>
      </c>
      <c r="U94" s="5">
        <v>0</v>
      </c>
      <c r="V94" s="4" t="str">
        <f ca="1">VLOOKUP($W94,OFFSET([5]enemy_skill_sets!$B$1,0,0,COUNTA([5]enemy_skill_sets!$B:$B),MATCH(M$1,[5]enemy_skill_sets!$1:$1,0)-MATCH($W$1,[5]enemy_skill_sets!$1:$1,0)+2),MATCH(M$1,[5]enemy_skill_sets!$1:$1,0)-MATCH($W$1,[5]enemy_skill_sets!$1:$1,0)+2,FALSE)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94" s="4">
        <v>364</v>
      </c>
      <c r="X94" s="6">
        <v>2</v>
      </c>
      <c r="Y94" s="6">
        <v>100</v>
      </c>
      <c r="Z94" s="6">
        <v>0</v>
      </c>
      <c r="AA94" s="17">
        <v>2</v>
      </c>
      <c r="AB94" s="24">
        <f t="shared" si="13"/>
        <v>364</v>
      </c>
      <c r="AC94" s="4" t="str">
        <f ca="1">VLOOKUP($AB94,OFFSET([4]characters!$A$1,0,0,COUNTA([4]characters!$A:$A),MATCH(AC$1,[4]characters!$1:$1,0)-MATCH("character_id",[4]characters!$1:$1,0)+1),MATCH(AC$1,[4]characters!$1:$1,0)-MATCH("character_id",[4]characters!$1:$1,0)+1,FALSE)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94" s="4">
        <f ca="1">VLOOKUP($AB94,OFFSET([4]characters!$A$1,0,0,COUNTA([4]characters!$A:$A),MATCH(AD$1,[4]characters!$1:$1,0)-MATCH("character_id",[4]characters!$1:$1,0)+1),MATCH(AD$1,[4]characters!$1:$1,0)-MATCH("character_id",[4]characters!$1:$1,0)+1,FALSE)</f>
        <v>2</v>
      </c>
      <c r="AE94" s="4" t="str">
        <f ca="1">VLOOKUP($AB94,OFFSET([4]characters!$A$1,0,0,COUNTA([4]characters!$A:$A),MATCH(AE$1,[4]characters!$1:$1,0)-MATCH("character_id",[4]characters!$1:$1,0)+1),MATCH(AE$1,[4]characters!$1:$1,0)-MATCH("character_id",[4]characters!$1:$1,0)+1,FALSE)</f>
        <v>Drop1S</v>
      </c>
      <c r="AF94" s="7">
        <v>1</v>
      </c>
      <c r="AG94" s="24">
        <f t="shared" ca="1" si="14"/>
        <v>2</v>
      </c>
      <c r="AH94" s="8">
        <v>0</v>
      </c>
      <c r="AI94" s="7">
        <v>0</v>
      </c>
      <c r="AJ94" s="7">
        <v>0</v>
      </c>
      <c r="AK94" s="7">
        <v>0</v>
      </c>
      <c r="AL94" s="7">
        <v>0</v>
      </c>
      <c r="AM94" s="7">
        <v>1</v>
      </c>
      <c r="AN94" s="69">
        <v>1</v>
      </c>
    </row>
    <row r="95" spans="1:40" ht="21" customHeight="1" x14ac:dyDescent="0.15">
      <c r="A95" s="16" t="str">
        <f t="shared" si="10"/>
        <v>11003_10-5/374&lt;lv52&gt;s1</v>
      </c>
      <c r="B95" s="22">
        <v>11003</v>
      </c>
      <c r="C95" s="21">
        <v>10</v>
      </c>
      <c r="D95" s="2" t="str">
        <f t="shared" si="11"/>
        <v>11003_10</v>
      </c>
      <c r="E95" s="4" t="str">
        <f ca="1">VLOOKUP($B95,OFFSET([2]quests!$A$1,0,0,COUNTA([2]quests!$A:$A),MATCH(E$1,[2]quests!$1:$1,0)-MATCH($B$1,[2]quests!$1:$1,0)+1),MATCH(E$1,[2]quests!$1:$1,0)-MATCH($B$1,[2]quests!$1:$1,0)+1,FALSE)</f>
        <v>【水曜限定】 青の素材</v>
      </c>
      <c r="F95" s="4" t="str">
        <f ca="1">VLOOKUP($D95,OFFSET([2]stages!$A$1,0,0,COUNTA([2]stages!$A:$A),MATCH(F$1,[2]stages!$2:$2,0)-MATCH($D$1,[2]stages!$2:$2,0)+1),MATCH(F$1,[2]stages!$2:$2,0)-MATCH($D$1,[2]stages!$2:$2,0)+1,FALSE)</f>
        <v>【超絶級】深淵の代用ウミガメ</v>
      </c>
      <c r="G95" s="21">
        <v>5</v>
      </c>
      <c r="H95" s="15" t="str">
        <f t="shared" si="12"/>
        <v>11003_10-5</v>
      </c>
      <c r="I95" s="4">
        <f ca="1">VLOOKUP($H95,OFFSET(floors!$A$1,0,0,COUNTA(floors!$A:$A),MATCH(I$1,floors!$1:$1,0)-MATCH($H$1,floors!$1:$1,0)+1),MATCH(I$1,floors!$1:$1,0)-MATCH($H$1,floors!$1:$1,0)+1,FALSE)</f>
        <v>60</v>
      </c>
      <c r="J95" s="4">
        <f ca="1">VLOOKUP($H95,OFFSET(floors!$A$1,0,0,COUNTA(floors!$A:$A),MATCH(J$1,floors!$1:$1,0)-MATCH($H$1,floors!$1:$1,0)+1),MATCH(J$1,floors!$1:$1,0)-MATCH($H$1,floors!$1:$1,0)+1,FALSE)</f>
        <v>60</v>
      </c>
      <c r="K95" s="100" t="s">
        <v>209</v>
      </c>
      <c r="L95" s="108">
        <v>374</v>
      </c>
      <c r="M95" s="17" t="str">
        <f ca="1">VLOOKUP($L95,OFFSET([3]enemies!$A$1,0,0,COUNTA([3]enemies!$A:$A),MATCH(M$1,[3]enemies!$1:$1,0)-MATCH($L$1,[3]enemies!$1:$1,0)+1),MATCH(M$1,[3]enemies!$1:$1,0)-MATCH($L$1,[3]enemies!$1:$1,0)+1,FALSE)</f>
        <v>影丸</v>
      </c>
      <c r="N95" s="17" t="str">
        <f ca="1">VLOOKUP($L95,OFFSET([3]enemies!$A$1,0,0,COUNTA([3]enemies!$A:$A),MATCH(N$1,[3]enemies!$1:$1,0)-MATCH($L$1,[3]enemies!$1:$1,0)+1),MATCH(N$1,[3]enemies!$1:$1,0)-MATCH($L$1,[3]enemies!$1:$1,0)+1,FALSE)</f>
        <v>blue</v>
      </c>
      <c r="O95" s="17" t="str">
        <f ca="1">VLOOKUP($L95,OFFSET([4]characters!$A$1,0,0,COUNTA([4]characters!$A:$A),MATCH(O$1,[4]characters!$1:$1,0)-MATCH($L$1,[4]characters!$1:$1,0)+1),MATCH(O$1,[4]characters!$1:$1,0)-MATCH($L$1,[4]characters!$1:$1,0)+1,FALSE)</f>
        <v>Drop1S</v>
      </c>
      <c r="P95" s="17" t="str">
        <f ca="1">VLOOKUP($L95,OFFSET([3]enemies!$A$1,0,0,COUNTA([3]enemies!$A:$A),MATCH(P$1,[3]enemies!$1:$1,0)-MATCH($L$1,[3]enemies!$1:$1,0)+1),MATCH(P$1,[3]enemies!$1:$1,0)-MATCH($L$1,[3]enemies!$1:$1,0)+1,FALSE)</f>
        <v>animal</v>
      </c>
      <c r="Q95" s="17">
        <f ca="1">VLOOKUP($L95,OFFSET([3]enemies!$A$1,0,0,COUNTA([3]enemies!$A:$A),MATCH(Q$1,[3]enemies!$1:$1,0)-MATCH($L$1,[3]enemies!$1:$1,0)+1),MATCH(Q$1,[3]enemies!$1:$1,0)-MATCH($L$1,[3]enemies!$1:$1,0)+1,FALSE)</f>
        <v>15</v>
      </c>
      <c r="R95" s="5">
        <v>52</v>
      </c>
      <c r="S95" s="25">
        <v>1.9</v>
      </c>
      <c r="T95" s="25">
        <v>1.9</v>
      </c>
      <c r="U95" s="5">
        <v>0</v>
      </c>
      <c r="V95" s="4" t="str">
        <f ca="1">VLOOKUP($W95,OFFSET(enemy_skill_sets!$B$1,0,0,COUNTA(enemy_skill_sets!$B:$B),MATCH(M$1,enemy_skill_sets!$1:$1,0)-MATCH($W$1,enemy_skill_sets!$1:$1,0)+2),MATCH(M$1,enemy_skill_sets!$1:$1,0)-MATCH($W$1,enemy_skill_sets!$1:$1,0)+2,FALSE)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95" s="109">
        <v>1122208</v>
      </c>
      <c r="X95" s="6">
        <v>1</v>
      </c>
      <c r="Y95" s="6">
        <v>100</v>
      </c>
      <c r="Z95" s="6">
        <v>0</v>
      </c>
      <c r="AA95" s="17">
        <v>1</v>
      </c>
      <c r="AB95" s="24">
        <f t="shared" si="13"/>
        <v>374</v>
      </c>
      <c r="AC95" s="4" t="str">
        <f ca="1">VLOOKUP($AB95,OFFSET([4]characters!$A$1,0,0,COUNTA([4]characters!$A:$A),MATCH(AC$1,[4]characters!$1:$1,0)-MATCH("character_id",[4]characters!$1:$1,0)+1),MATCH(AC$1,[4]characters!$1:$1,0)-MATCH("character_id",[4]characters!$1:$1,0)+1,FALSE)</f>
        <v>影丸</v>
      </c>
      <c r="AD95" s="4">
        <f ca="1">VLOOKUP($AB95,OFFSET([4]characters!$A$1,0,0,COUNTA([4]characters!$A:$A),MATCH(AD$1,[4]characters!$1:$1,0)-MATCH("character_id",[4]characters!$1:$1,0)+1),MATCH(AD$1,[4]characters!$1:$1,0)-MATCH("character_id",[4]characters!$1:$1,0)+1,FALSE)</f>
        <v>2</v>
      </c>
      <c r="AE95" s="4" t="str">
        <f ca="1">VLOOKUP($AB95,OFFSET([4]characters!$A$1,0,0,COUNTA([4]characters!$A:$A),MATCH(AE$1,[4]characters!$1:$1,0)-MATCH("character_id",[4]characters!$1:$1,0)+1),MATCH(AE$1,[4]characters!$1:$1,0)-MATCH("character_id",[4]characters!$1:$1,0)+1,FALSE)</f>
        <v>Drop1S</v>
      </c>
      <c r="AF95" s="7">
        <v>1</v>
      </c>
      <c r="AG95" s="24">
        <f t="shared" ca="1" si="14"/>
        <v>2</v>
      </c>
      <c r="AH95" s="8">
        <v>0</v>
      </c>
      <c r="AI95" s="7">
        <v>0</v>
      </c>
      <c r="AJ95" s="7">
        <v>0</v>
      </c>
      <c r="AK95" s="7">
        <v>0</v>
      </c>
      <c r="AL95" s="7">
        <v>0</v>
      </c>
      <c r="AM95" s="7">
        <v>1</v>
      </c>
      <c r="AN95" s="69">
        <v>1</v>
      </c>
    </row>
    <row r="96" spans="1:40" ht="21" customHeight="1" x14ac:dyDescent="0.15">
      <c r="A96" s="16" t="str">
        <f t="shared" si="10"/>
        <v>11003_10-6/358&lt;lv50&gt;s3</v>
      </c>
      <c r="B96" s="22">
        <v>11003</v>
      </c>
      <c r="C96" s="21">
        <v>10</v>
      </c>
      <c r="D96" s="2" t="str">
        <f t="shared" si="11"/>
        <v>11003_10</v>
      </c>
      <c r="E96" s="4" t="str">
        <f ca="1">VLOOKUP($B96,OFFSET([2]quests!$A$1,0,0,COUNTA([2]quests!$A:$A),MATCH(E$1,[2]quests!$1:$1,0)-MATCH($B$1,[2]quests!$1:$1,0)+1),MATCH(E$1,[2]quests!$1:$1,0)-MATCH($B$1,[2]quests!$1:$1,0)+1,FALSE)</f>
        <v>【水曜限定】 青の素材</v>
      </c>
      <c r="F96" s="4" t="str">
        <f ca="1">VLOOKUP($D96,OFFSET([2]stages!$A$1,0,0,COUNTA([2]stages!$A:$A),MATCH(F$1,[2]stages!$2:$2,0)-MATCH($D$1,[2]stages!$2:$2,0)+1),MATCH(F$1,[2]stages!$2:$2,0)-MATCH($D$1,[2]stages!$2:$2,0)+1,FALSE)</f>
        <v>【超絶級】深淵の代用ウミガメ</v>
      </c>
      <c r="G96" s="21">
        <v>6</v>
      </c>
      <c r="H96" s="15" t="str">
        <f t="shared" si="12"/>
        <v>11003_10-6</v>
      </c>
      <c r="I96" s="4">
        <f ca="1">VLOOKUP($H96,OFFSET(floors!$A$1,0,0,COUNTA(floors!$A:$A),MATCH(I$1,floors!$1:$1,0)-MATCH($H$1,floors!$1:$1,0)+1),MATCH(I$1,floors!$1:$1,0)-MATCH($H$1,floors!$1:$1,0)+1,FALSE)</f>
        <v>60</v>
      </c>
      <c r="J96" s="4">
        <f ca="1">VLOOKUP($H96,OFFSET(floors!$A$1,0,0,COUNTA(floors!$A:$A),MATCH(J$1,floors!$1:$1,0)-MATCH($H$1,floors!$1:$1,0)+1),MATCH(J$1,floors!$1:$1,0)-MATCH($H$1,floors!$1:$1,0)+1,FALSE)</f>
        <v>60</v>
      </c>
      <c r="K96" s="100" t="s">
        <v>209</v>
      </c>
      <c r="L96" s="108">
        <v>358</v>
      </c>
      <c r="M96" s="17" t="str">
        <f ca="1">VLOOKUP($L96,OFFSET([3]enemies!$A$1,0,0,COUNTA([3]enemies!$A:$A),MATCH(M$1,[3]enemies!$1:$1,0)-MATCH($L$1,[3]enemies!$1:$1,0)+1),MATCH(M$1,[3]enemies!$1:$1,0)-MATCH($L$1,[3]enemies!$1:$1,0)+1,FALSE)</f>
        <v>深淵の代用ウミガメ</v>
      </c>
      <c r="N96" s="17" t="str">
        <f ca="1">VLOOKUP($L96,OFFSET([3]enemies!$A$1,0,0,COUNTA([3]enemies!$A:$A),MATCH(N$1,[3]enemies!$1:$1,0)-MATCH($L$1,[3]enemies!$1:$1,0)+1),MATCH(N$1,[3]enemies!$1:$1,0)-MATCH($L$1,[3]enemies!$1:$1,0)+1,FALSE)</f>
        <v>blue</v>
      </c>
      <c r="O96" s="17" t="str">
        <f ca="1">VLOOKUP($L96,OFFSET([4]characters!$A$1,0,0,COUNTA([4]characters!$A:$A),MATCH(O$1,[4]characters!$1:$1,0)-MATCH($L$1,[4]characters!$1:$1,0)+1),MATCH(O$1,[4]characters!$1:$1,0)-MATCH($L$1,[4]characters!$1:$1,0)+1,FALSE)</f>
        <v>Material</v>
      </c>
      <c r="P96" s="17" t="str">
        <f ca="1">VLOOKUP($L96,OFFSET([3]enemies!$A$1,0,0,COUNTA([3]enemies!$A:$A),MATCH(P$1,[3]enemies!$1:$1,0)-MATCH($L$1,[3]enemies!$1:$1,0)+1),MATCH(P$1,[3]enemies!$1:$1,0)-MATCH($L$1,[3]enemies!$1:$1,0)+1,FALSE)</f>
        <v>unknown</v>
      </c>
      <c r="Q96" s="17">
        <f ca="1">VLOOKUP($L96,OFFSET([3]enemies!$A$1,0,0,COUNTA([3]enemies!$A:$A),MATCH(Q$1,[3]enemies!$1:$1,0)-MATCH($L$1,[3]enemies!$1:$1,0)+1),MATCH(Q$1,[3]enemies!$1:$1,0)-MATCH($L$1,[3]enemies!$1:$1,0)+1,FALSE)</f>
        <v>20</v>
      </c>
      <c r="R96" s="5">
        <v>50</v>
      </c>
      <c r="S96" s="25">
        <v>99</v>
      </c>
      <c r="T96" s="25">
        <v>46</v>
      </c>
      <c r="U96" s="5">
        <v>0</v>
      </c>
      <c r="V96" s="4" t="str">
        <f ca="1">VLOOKUP($W96,OFFSET(enemy_skill_sets!$B$1,0,0,COUNTA(enemy_skill_sets!$B:$B),MATCH(M$1,enemy_skill_sets!$1:$1,0)-MATCH($W$1,enemy_skill_sets!$1:$1,0)+2),MATCH(M$1,enemy_skill_sets!$1:$1,0)-MATCH($W$1,enemy_skill_sets!$1:$1,0)+2,FALSE)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96" s="111">
        <v>1122212</v>
      </c>
      <c r="X96" s="6">
        <v>1</v>
      </c>
      <c r="Y96" s="6">
        <v>100</v>
      </c>
      <c r="Z96" s="6">
        <v>1</v>
      </c>
      <c r="AA96" s="17">
        <v>3</v>
      </c>
      <c r="AB96" s="24">
        <f t="shared" si="13"/>
        <v>358</v>
      </c>
      <c r="AC96" s="4" t="str">
        <f ca="1">VLOOKUP($AB96,OFFSET([4]characters!$A$1,0,0,COUNTA([4]characters!$A:$A),MATCH(AC$1,[4]characters!$1:$1,0)-MATCH("character_id",[4]characters!$1:$1,0)+1),MATCH(AC$1,[4]characters!$1:$1,0)-MATCH("character_id",[4]characters!$1:$1,0)+1,FALSE)</f>
        <v>深淵の代用ウミガメ</v>
      </c>
      <c r="AD96" s="4">
        <f ca="1">VLOOKUP($AB96,OFFSET([4]characters!$A$1,0,0,COUNTA([4]characters!$A:$A),MATCH(AD$1,[4]characters!$1:$1,0)-MATCH("character_id",[4]characters!$1:$1,0)+1),MATCH(AD$1,[4]characters!$1:$1,0)-MATCH("character_id",[4]characters!$1:$1,0)+1,FALSE)</f>
        <v>5</v>
      </c>
      <c r="AE96" s="4" t="str">
        <f ca="1">VLOOKUP($AB96,OFFSET([4]characters!$A$1,0,0,COUNTA([4]characters!$A:$A),MATCH(AE$1,[4]characters!$1:$1,0)-MATCH("character_id",[4]characters!$1:$1,0)+1),MATCH(AE$1,[4]characters!$1:$1,0)-MATCH("character_id",[4]characters!$1:$1,0)+1,FALSE)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6" s="7">
        <v>1</v>
      </c>
      <c r="AG96" s="24">
        <f t="shared" ca="1" si="14"/>
        <v>5</v>
      </c>
      <c r="AH96" s="8">
        <v>100</v>
      </c>
      <c r="AI96" s="7">
        <v>0</v>
      </c>
      <c r="AJ96" s="7">
        <v>0</v>
      </c>
      <c r="AK96" s="7">
        <v>0</v>
      </c>
      <c r="AL96" s="7">
        <v>0</v>
      </c>
      <c r="AM96" s="7">
        <v>1</v>
      </c>
      <c r="AN96" s="69">
        <v>1</v>
      </c>
    </row>
    <row r="97" spans="1:40" ht="21" customHeight="1" x14ac:dyDescent="0.15">
      <c r="A97" s="16" t="str">
        <f t="shared" si="10"/>
        <v>11003_10-6/375&lt;lv52&gt;s2</v>
      </c>
      <c r="B97" s="22">
        <v>11003</v>
      </c>
      <c r="C97" s="21">
        <v>10</v>
      </c>
      <c r="D97" s="2" t="str">
        <f t="shared" si="11"/>
        <v>11003_10</v>
      </c>
      <c r="E97" s="4" t="str">
        <f ca="1">VLOOKUP($B97,OFFSET([2]quests!$A$1,0,0,COUNTA([2]quests!$A:$A),MATCH(E$1,[2]quests!$1:$1,0)-MATCH($B$1,[2]quests!$1:$1,0)+1),MATCH(E$1,[2]quests!$1:$1,0)-MATCH($B$1,[2]quests!$1:$1,0)+1,FALSE)</f>
        <v>【水曜限定】 青の素材</v>
      </c>
      <c r="F97" s="4" t="str">
        <f ca="1">VLOOKUP($D97,OFFSET([2]stages!$A$1,0,0,COUNTA([2]stages!$A:$A),MATCH(F$1,[2]stages!$2:$2,0)-MATCH($D$1,[2]stages!$2:$2,0)+1),MATCH(F$1,[2]stages!$2:$2,0)-MATCH($D$1,[2]stages!$2:$2,0)+1,FALSE)</f>
        <v>【超絶級】深淵の代用ウミガメ</v>
      </c>
      <c r="G97" s="21">
        <v>6</v>
      </c>
      <c r="H97" s="15" t="str">
        <f t="shared" si="12"/>
        <v>11003_10-6</v>
      </c>
      <c r="I97" s="4">
        <f ca="1">VLOOKUP($H97,OFFSET(floors!$A$1,0,0,COUNTA(floors!$A:$A),MATCH(I$1,floors!$1:$1,0)-MATCH($H$1,floors!$1:$1,0)+1),MATCH(I$1,floors!$1:$1,0)-MATCH($H$1,floors!$1:$1,0)+1,FALSE)</f>
        <v>60</v>
      </c>
      <c r="J97" s="4">
        <f ca="1">VLOOKUP($H97,OFFSET(floors!$A$1,0,0,COUNTA(floors!$A:$A),MATCH(J$1,floors!$1:$1,0)-MATCH($H$1,floors!$1:$1,0)+1),MATCH(J$1,floors!$1:$1,0)-MATCH($H$1,floors!$1:$1,0)+1,FALSE)</f>
        <v>60</v>
      </c>
      <c r="K97" s="100" t="s">
        <v>209</v>
      </c>
      <c r="L97" s="108">
        <v>375</v>
      </c>
      <c r="M97" s="17" t="str">
        <f ca="1">VLOOKUP($L97,OFFSET([3]enemies!$A$1,0,0,COUNTA([3]enemies!$A:$A),MATCH(M$1,[3]enemies!$1:$1,0)-MATCH($L$1,[3]enemies!$1:$1,0)+1),MATCH(M$1,[3]enemies!$1:$1,0)-MATCH($L$1,[3]enemies!$1:$1,0)+1,FALSE)</f>
        <v>蒼術兎忍 影丸</v>
      </c>
      <c r="N97" s="17" t="str">
        <f ca="1">VLOOKUP($L97,OFFSET([3]enemies!$A$1,0,0,COUNTA([3]enemies!$A:$A),MATCH(N$1,[3]enemies!$1:$1,0)-MATCH($L$1,[3]enemies!$1:$1,0)+1),MATCH(N$1,[3]enemies!$1:$1,0)-MATCH($L$1,[3]enemies!$1:$1,0)+1,FALSE)</f>
        <v>blue</v>
      </c>
      <c r="O97" s="17" t="str">
        <f ca="1">VLOOKUP($L97,OFFSET([4]characters!$A$1,0,0,COUNTA([4]characters!$A:$A),MATCH(O$1,[4]characters!$1:$1,0)-MATCH($L$1,[4]characters!$1:$1,0)+1),MATCH(O$1,[4]characters!$1:$1,0)-MATCH($L$1,[4]characters!$1:$1,0)+1,FALSE)</f>
        <v>Drop1S</v>
      </c>
      <c r="P97" s="17" t="str">
        <f ca="1">VLOOKUP($L97,OFFSET([3]enemies!$A$1,0,0,COUNTA([3]enemies!$A:$A),MATCH(P$1,[3]enemies!$1:$1,0)-MATCH($L$1,[3]enemies!$1:$1,0)+1),MATCH(P$1,[3]enemies!$1:$1,0)-MATCH($L$1,[3]enemies!$1:$1,0)+1,FALSE)</f>
        <v>animal</v>
      </c>
      <c r="Q97" s="17">
        <f ca="1">VLOOKUP($L97,OFFSET([3]enemies!$A$1,0,0,COUNTA([3]enemies!$A:$A),MATCH(Q$1,[3]enemies!$1:$1,0)-MATCH($L$1,[3]enemies!$1:$1,0)+1),MATCH(Q$1,[3]enemies!$1:$1,0)-MATCH($L$1,[3]enemies!$1:$1,0)+1,FALSE)</f>
        <v>20</v>
      </c>
      <c r="R97" s="5">
        <v>52</v>
      </c>
      <c r="S97" s="25">
        <v>1.9</v>
      </c>
      <c r="T97" s="25">
        <v>1.9</v>
      </c>
      <c r="U97" s="5">
        <v>0</v>
      </c>
      <c r="V97" s="4" t="str">
        <f ca="1">VLOOKUP($W97,OFFSET(enemy_skill_sets!$B$1,0,0,COUNTA(enemy_skill_sets!$B:$B),MATCH(M$1,enemy_skill_sets!$1:$1,0)-MATCH($W$1,enemy_skill_sets!$1:$1,0)+2),MATCH(M$1,enemy_skill_sets!$1:$1,0)-MATCH($W$1,enemy_skill_sets!$1:$1,0)+2,FALSE)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97" s="109">
        <v>1122208</v>
      </c>
      <c r="X97" s="6">
        <v>2</v>
      </c>
      <c r="Y97" s="6">
        <v>100</v>
      </c>
      <c r="Z97" s="6">
        <v>0</v>
      </c>
      <c r="AA97" s="17">
        <v>2</v>
      </c>
      <c r="AB97" s="24">
        <f t="shared" si="13"/>
        <v>375</v>
      </c>
      <c r="AC97" s="4" t="str">
        <f ca="1">VLOOKUP($AB97,OFFSET([4]characters!$A$1,0,0,COUNTA([4]characters!$A:$A),MATCH(AC$1,[4]characters!$1:$1,0)-MATCH("character_id",[4]characters!$1:$1,0)+1),MATCH(AC$1,[4]characters!$1:$1,0)-MATCH("character_id",[4]characters!$1:$1,0)+1,FALSE)</f>
        <v>蒼術兎忍 影丸</v>
      </c>
      <c r="AD97" s="4">
        <f ca="1">VLOOKUP($AB97,OFFSET([4]characters!$A$1,0,0,COUNTA([4]characters!$A:$A),MATCH(AD$1,[4]characters!$1:$1,0)-MATCH("character_id",[4]characters!$1:$1,0)+1),MATCH(AD$1,[4]characters!$1:$1,0)-MATCH("character_id",[4]characters!$1:$1,0)+1,FALSE)</f>
        <v>3</v>
      </c>
      <c r="AE97" s="4" t="str">
        <f ca="1">VLOOKUP($AB97,OFFSET([4]characters!$A$1,0,0,COUNTA([4]characters!$A:$A),MATCH(AE$1,[4]characters!$1:$1,0)-MATCH("character_id",[4]characters!$1:$1,0)+1),MATCH(AE$1,[4]characters!$1:$1,0)-MATCH("character_id",[4]characters!$1:$1,0)+1,FALSE)</f>
        <v>Drop1S</v>
      </c>
      <c r="AF97" s="7">
        <v>1</v>
      </c>
      <c r="AG97" s="24">
        <f t="shared" ca="1" si="14"/>
        <v>3</v>
      </c>
      <c r="AH97" s="8">
        <v>0</v>
      </c>
      <c r="AI97" s="7">
        <v>0</v>
      </c>
      <c r="AJ97" s="7">
        <v>0</v>
      </c>
      <c r="AK97" s="7">
        <v>0</v>
      </c>
      <c r="AL97" s="7">
        <v>0</v>
      </c>
      <c r="AM97" s="7">
        <v>1</v>
      </c>
      <c r="AN97" s="69">
        <v>1</v>
      </c>
    </row>
    <row r="98" spans="1:40" ht="21" customHeight="1" x14ac:dyDescent="0.15">
      <c r="A98" s="16" t="str">
        <f>B98&amp;"_"&amp;C98&amp;"-"&amp;G98&amp;"/"&amp;L98&amp;"&lt;lv"&amp;R98&amp;"&gt;s"&amp;AA98</f>
        <v>11007_5-1/360&lt;lv52&gt;s2</v>
      </c>
      <c r="B98" s="22">
        <v>11007</v>
      </c>
      <c r="C98" s="21">
        <v>5</v>
      </c>
      <c r="D98" s="2" t="str">
        <f>B98&amp;"_"&amp;C98</f>
        <v>11007_5</v>
      </c>
      <c r="E98" s="4" t="str">
        <f ca="1">VLOOKUP($B98,OFFSET([2]quests!$A$1,0,0,COUNTA([2]quests!$A:$A),MATCH(E$1,[2]quests!$1:$1,0)-MATCH($B$1,[2]quests!$1:$1,0)+1),MATCH(E$1,[2]quests!$1:$1,0)-MATCH($B$1,[2]quests!$1:$1,0)+1,FALSE)</f>
        <v>【土曜限定】 赤と緑の素材</v>
      </c>
      <c r="F98" s="4" t="str">
        <f ca="1">VLOOKUP($D98,OFFSET([2]stages!$A$1,0,0,COUNTA([2]stages!$A:$A),MATCH(F$1,[2]stages!$2:$2,0)-MATCH($D$1,[2]stages!$2:$2,0)+1),MATCH(F$1,[2]stages!$2:$2,0)-MATCH($D$1,[2]stages!$2:$2,0)+1,FALSE)</f>
        <v>【超絶級】ドードーとグリフォン</v>
      </c>
      <c r="G98" s="21">
        <v>1</v>
      </c>
      <c r="H98" s="15" t="str">
        <f>B98&amp;"_"&amp;C98&amp;"-"&amp;G98</f>
        <v>11007_5-1</v>
      </c>
      <c r="I98" s="4">
        <f ca="1">VLOOKUP($H98,OFFSET(floors!$A$1,0,0,COUNTA(floors!$A:$A),MATCH(I$1,floors!$1:$1,0)-MATCH($H$1,floors!$1:$1,0)+1),MATCH(I$1,floors!$1:$1,0)-MATCH($H$1,floors!$1:$1,0)+1,FALSE)</f>
        <v>30</v>
      </c>
      <c r="J98" s="4">
        <f ca="1">VLOOKUP($H98,OFFSET(floors!$A$1,0,0,COUNTA(floors!$A:$A),MATCH(J$1,floors!$1:$1,0)-MATCH($H$1,floors!$1:$1,0)+1),MATCH(J$1,floors!$1:$1,0)-MATCH($H$1,floors!$1:$1,0)+1,FALSE)</f>
        <v>45</v>
      </c>
      <c r="K98" s="100" t="s">
        <v>209</v>
      </c>
      <c r="L98" s="98">
        <v>360</v>
      </c>
      <c r="M98" s="17" t="str">
        <f ca="1">VLOOKUP($L98,OFFSET([3]enemies!$A$1,0,0,COUNTA([3]enemies!$A:$A),MATCH(M$1,[3]enemies!$1:$1,0)-MATCH($L$1,[3]enemies!$1:$1,0)+1),MATCH(M$1,[3]enemies!$1:$1,0)-MATCH($L$1,[3]enemies!$1:$1,0)+1,FALSE)</f>
        <v>ガンテツ</v>
      </c>
      <c r="N98" s="17" t="str">
        <f ca="1">VLOOKUP($L98,OFFSET([3]enemies!$A$1,0,0,COUNTA([3]enemies!$A:$A),MATCH(N$1,[3]enemies!$1:$1,0)-MATCH($L$1,[3]enemies!$1:$1,0)+1),MATCH(N$1,[3]enemies!$1:$1,0)-MATCH($L$1,[3]enemies!$1:$1,0)+1,FALSE)</f>
        <v>red</v>
      </c>
      <c r="O98" s="17" t="str">
        <f ca="1">VLOOKUP($L98,OFFSET([4]characters!$A$1,0,0,COUNTA([4]characters!$A:$A),MATCH(O$1,[4]characters!$1:$1,0)-MATCH($L$1,[4]characters!$1:$1,0)+1),MATCH(O$1,[4]characters!$1:$1,0)-MATCH($L$1,[4]characters!$1:$1,0)+1,FALSE)</f>
        <v>Drop1S</v>
      </c>
      <c r="P98" s="17" t="str">
        <f ca="1">VLOOKUP($L98,OFFSET([3]enemies!$A$1,0,0,COUNTA([3]enemies!$A:$A),MATCH(P$1,[3]enemies!$1:$1,0)-MATCH($L$1,[3]enemies!$1:$1,0)+1),MATCH(P$1,[3]enemies!$1:$1,0)-MATCH($L$1,[3]enemies!$1:$1,0)+1,FALSE)</f>
        <v>animal</v>
      </c>
      <c r="Q98" s="17">
        <f ca="1">VLOOKUP($L98,OFFSET([3]enemies!$A$1,0,0,COUNTA([3]enemies!$A:$A),MATCH(Q$1,[3]enemies!$1:$1,0)-MATCH($L$1,[3]enemies!$1:$1,0)+1),MATCH(Q$1,[3]enemies!$1:$1,0)-MATCH($L$1,[3]enemies!$1:$1,0)+1,FALSE)</f>
        <v>15</v>
      </c>
      <c r="R98" s="5">
        <v>52</v>
      </c>
      <c r="S98" s="25">
        <v>1.2</v>
      </c>
      <c r="T98" s="25">
        <v>1</v>
      </c>
      <c r="U98" s="5">
        <v>0</v>
      </c>
      <c r="V98" s="4" t="str">
        <f ca="1">VLOOKUP($W98,OFFSET(enemy_skill_sets!$B$1,0,0,COUNTA(enemy_skill_sets!$B:$B),MATCH(M$1,enemy_skill_sets!$1:$1,0)-MATCH($W$1,enemy_skill_sets!$1:$1,0)+2),MATCH(M$1,enemy_skill_sets!$1:$1,0)-MATCH($W$1,enemy_skill_sets!$1:$1,0)+2,FALSE)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98" s="4">
        <v>1122206</v>
      </c>
      <c r="X98" s="6">
        <v>0</v>
      </c>
      <c r="Y98" s="6">
        <v>50</v>
      </c>
      <c r="Z98" s="6">
        <v>1</v>
      </c>
      <c r="AA98" s="17">
        <v>2</v>
      </c>
      <c r="AB98" s="24">
        <f>L98</f>
        <v>360</v>
      </c>
      <c r="AC98" s="4" t="str">
        <f ca="1">VLOOKUP($AB98,OFFSET([4]characters!$A$1,0,0,COUNTA([4]characters!$A:$A),MATCH(AC$1,[4]characters!$1:$1,0)-MATCH("character_id",[4]characters!$1:$1,0)+1),MATCH(AC$1,[4]characters!$1:$1,0)-MATCH("character_id",[4]characters!$1:$1,0)+1,FALSE)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98" s="4">
        <f ca="1">VLOOKUP($AB98,OFFSET([4]characters!$A$1,0,0,COUNTA([4]characters!$A:$A),MATCH(AD$1,[4]characters!$1:$1,0)-MATCH("character_id",[4]characters!$1:$1,0)+1),MATCH(AD$1,[4]characters!$1:$1,0)-MATCH("character_id",[4]characters!$1:$1,0)+1,FALSE)</f>
        <v>2</v>
      </c>
      <c r="AE98" s="4" t="str">
        <f ca="1">VLOOKUP($AB98,OFFSET([4]characters!$A$1,0,0,COUNTA([4]characters!$A:$A),MATCH(AE$1,[4]characters!$1:$1,0)-MATCH("character_id",[4]characters!$1:$1,0)+1),MATCH(AE$1,[4]characters!$1:$1,0)-MATCH("character_id",[4]characters!$1:$1,0)+1,FALSE)</f>
        <v>Drop1S</v>
      </c>
      <c r="AF98" s="7">
        <v>1</v>
      </c>
      <c r="AG98" s="24">
        <f ca="1">AD98</f>
        <v>2</v>
      </c>
      <c r="AH98" s="8">
        <v>0</v>
      </c>
      <c r="AI98" s="7">
        <v>0</v>
      </c>
      <c r="AJ98" s="7">
        <v>0</v>
      </c>
      <c r="AK98" s="7">
        <v>0</v>
      </c>
      <c r="AL98" s="7">
        <v>0</v>
      </c>
      <c r="AM98" s="7">
        <v>1</v>
      </c>
      <c r="AN98" s="69">
        <v>1</v>
      </c>
    </row>
    <row r="99" spans="1:40" ht="21" customHeight="1" x14ac:dyDescent="0.15">
      <c r="A99" s="16" t="str">
        <f>B99&amp;"_"&amp;C99&amp;"-"&amp;G99&amp;"/"&amp;L99&amp;"&lt;lv"&amp;R99&amp;"&gt;s"&amp;AA99</f>
        <v>11007_5-1/370&lt;lv52&gt;s1</v>
      </c>
      <c r="B99" s="22">
        <v>11007</v>
      </c>
      <c r="C99" s="21">
        <v>5</v>
      </c>
      <c r="D99" s="2" t="str">
        <f>B99&amp;"_"&amp;C99</f>
        <v>11007_5</v>
      </c>
      <c r="E99" s="4" t="str">
        <f ca="1">VLOOKUP($B99,OFFSET([2]quests!$A$1,0,0,COUNTA([2]quests!$A:$A),MATCH(E$1,[2]quests!$1:$1,0)-MATCH($B$1,[2]quests!$1:$1,0)+1),MATCH(E$1,[2]quests!$1:$1,0)-MATCH($B$1,[2]quests!$1:$1,0)+1,FALSE)</f>
        <v>【土曜限定】 赤と緑の素材</v>
      </c>
      <c r="F99" s="4" t="str">
        <f ca="1">VLOOKUP($D99,OFFSET([2]stages!$A$1,0,0,COUNTA([2]stages!$A:$A),MATCH(F$1,[2]stages!$2:$2,0)-MATCH($D$1,[2]stages!$2:$2,0)+1),MATCH(F$1,[2]stages!$2:$2,0)-MATCH($D$1,[2]stages!$2:$2,0)+1,FALSE)</f>
        <v>【超絶級】ドードーとグリフォン</v>
      </c>
      <c r="G99" s="21">
        <v>1</v>
      </c>
      <c r="H99" s="15" t="str">
        <f>B99&amp;"_"&amp;C99&amp;"-"&amp;G99</f>
        <v>11007_5-1</v>
      </c>
      <c r="I99" s="4">
        <f ca="1">VLOOKUP($H99,OFFSET(floors!$A$1,0,0,COUNTA(floors!$A:$A),MATCH(I$1,floors!$1:$1,0)-MATCH($H$1,floors!$1:$1,0)+1),MATCH(I$1,floors!$1:$1,0)-MATCH($H$1,floors!$1:$1,0)+1,FALSE)</f>
        <v>30</v>
      </c>
      <c r="J99" s="4">
        <f ca="1">VLOOKUP($H99,OFFSET(floors!$A$1,0,0,COUNTA(floors!$A:$A),MATCH(J$1,floors!$1:$1,0)-MATCH($H$1,floors!$1:$1,0)+1),MATCH(J$1,floors!$1:$1,0)-MATCH($H$1,floors!$1:$1,0)+1,FALSE)</f>
        <v>45</v>
      </c>
      <c r="K99" s="100" t="s">
        <v>209</v>
      </c>
      <c r="L99" s="98">
        <v>370</v>
      </c>
      <c r="M99" s="17" t="str">
        <f ca="1">VLOOKUP($L99,OFFSET([3]enemies!$A$1,0,0,COUNTA([3]enemies!$A:$A),MATCH(M$1,[3]enemies!$1:$1,0)-MATCH($L$1,[3]enemies!$1:$1,0)+1),MATCH(M$1,[3]enemies!$1:$1,0)-MATCH($L$1,[3]enemies!$1:$1,0)+1,FALSE)</f>
        <v>タイチ</v>
      </c>
      <c r="N99" s="17" t="str">
        <f ca="1">VLOOKUP($L99,OFFSET([3]enemies!$A$1,0,0,COUNTA([3]enemies!$A:$A),MATCH(N$1,[3]enemies!$1:$1,0)-MATCH($L$1,[3]enemies!$1:$1,0)+1),MATCH(N$1,[3]enemies!$1:$1,0)-MATCH($L$1,[3]enemies!$1:$1,0)+1,FALSE)</f>
        <v>red</v>
      </c>
      <c r="O99" s="17" t="str">
        <f ca="1">VLOOKUP($L99,OFFSET([4]characters!$A$1,0,0,COUNTA([4]characters!$A:$A),MATCH(O$1,[4]characters!$1:$1,0)-MATCH($L$1,[4]characters!$1:$1,0)+1),MATCH(O$1,[4]characters!$1:$1,0)-MATCH($L$1,[4]characters!$1:$1,0)+1,FALSE)</f>
        <v>Drop1S</v>
      </c>
      <c r="P99" s="17" t="str">
        <f ca="1">VLOOKUP($L99,OFFSET([3]enemies!$A$1,0,0,COUNTA([3]enemies!$A:$A),MATCH(P$1,[3]enemies!$1:$1,0)-MATCH($L$1,[3]enemies!$1:$1,0)+1),MATCH(P$1,[3]enemies!$1:$1,0)-MATCH($L$1,[3]enemies!$1:$1,0)+1,FALSE)</f>
        <v>unknown</v>
      </c>
      <c r="Q99" s="17">
        <v>25</v>
      </c>
      <c r="R99" s="5">
        <v>52</v>
      </c>
      <c r="S99" s="25">
        <v>1.7</v>
      </c>
      <c r="T99" s="25">
        <v>1</v>
      </c>
      <c r="U99" s="5">
        <v>0</v>
      </c>
      <c r="V99" s="4" t="str">
        <f ca="1">VLOOKUP($W99,OFFSET(enemy_skill_sets!$B$1,0,0,COUNTA(enemy_skill_sets!$B:$B),MATCH(M$1,enemy_skill_sets!$1:$1,0)-MATCH($W$1,enemy_skill_sets!$1:$1,0)+2),MATCH(M$1,enemy_skill_sets!$1:$1,0)-MATCH($W$1,enemy_skill_sets!$1:$1,0)+2,FALSE)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99" s="4">
        <v>1122201</v>
      </c>
      <c r="X99" s="6">
        <v>0</v>
      </c>
      <c r="Y99" s="6">
        <v>50</v>
      </c>
      <c r="Z99" s="6">
        <v>2</v>
      </c>
      <c r="AA99" s="17">
        <v>1</v>
      </c>
      <c r="AB99" s="24">
        <f>L99</f>
        <v>370</v>
      </c>
      <c r="AC99" s="4" t="str">
        <f ca="1">VLOOKUP($AB99,OFFSET([4]characters!$A$1,0,0,COUNTA([4]characters!$A:$A),MATCH(AC$1,[4]characters!$1:$1,0)-MATCH("character_id",[4]characters!$1:$1,0)+1),MATCH(AC$1,[4]characters!$1:$1,0)-MATCH("character_id",[4]characters!$1:$1,0)+1,FALSE)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99" s="4">
        <f ca="1">VLOOKUP($AB99,OFFSET([4]characters!$A$1,0,0,COUNTA([4]characters!$A:$A),MATCH(AD$1,[4]characters!$1:$1,0)-MATCH("character_id",[4]characters!$1:$1,0)+1),MATCH(AD$1,[4]characters!$1:$1,0)-MATCH("character_id",[4]characters!$1:$1,0)+1,FALSE)</f>
        <v>2</v>
      </c>
      <c r="AE99" s="4" t="str">
        <f ca="1">VLOOKUP($AB99,OFFSET([4]characters!$A$1,0,0,COUNTA([4]characters!$A:$A),MATCH(AE$1,[4]characters!$1:$1,0)-MATCH("character_id",[4]characters!$1:$1,0)+1),MATCH(AE$1,[4]characters!$1:$1,0)-MATCH("character_id",[4]characters!$1:$1,0)+1,FALSE)</f>
        <v>Drop1S</v>
      </c>
      <c r="AF99" s="7">
        <v>1</v>
      </c>
      <c r="AG99" s="24">
        <f ca="1">AD99</f>
        <v>2</v>
      </c>
      <c r="AH99" s="8">
        <v>0</v>
      </c>
      <c r="AI99" s="7">
        <v>0</v>
      </c>
      <c r="AJ99" s="7">
        <v>0</v>
      </c>
      <c r="AK99" s="7">
        <v>0</v>
      </c>
      <c r="AL99" s="7">
        <v>0</v>
      </c>
      <c r="AM99" s="7">
        <v>1</v>
      </c>
      <c r="AN99" s="69">
        <v>1</v>
      </c>
    </row>
    <row r="100" spans="1:40" ht="21" customHeight="1" x14ac:dyDescent="0.15">
      <c r="A100" s="16" t="str">
        <f t="shared" ref="A100:A127" si="15">B100&amp;"_"&amp;C100&amp;"-"&amp;G100&amp;"/"&amp;L100&amp;"&lt;lv"&amp;R100&amp;"&gt;s"&amp;AA100</f>
        <v>11007_5-2/360&lt;lv52&gt;s2</v>
      </c>
      <c r="B100" s="22">
        <v>11007</v>
      </c>
      <c r="C100" s="21">
        <v>5</v>
      </c>
      <c r="D100" s="2" t="str">
        <f t="shared" ref="D100:D127" si="16">B100&amp;"_"&amp;C100</f>
        <v>11007_5</v>
      </c>
      <c r="E100" s="4" t="str">
        <f ca="1">VLOOKUP($B100,OFFSET([2]quests!$A$1,0,0,COUNTA([2]quests!$A:$A),MATCH(E$1,[2]quests!$1:$1,0)-MATCH($B$1,[2]quests!$1:$1,0)+1),MATCH(E$1,[2]quests!$1:$1,0)-MATCH($B$1,[2]quests!$1:$1,0)+1,FALSE)</f>
        <v>【土曜限定】 赤と緑の素材</v>
      </c>
      <c r="F100" s="4" t="str">
        <f ca="1">VLOOKUP($D100,OFFSET([2]stages!$A$1,0,0,COUNTA([2]stages!$A:$A),MATCH(F$1,[2]stages!$2:$2,0)-MATCH($D$1,[2]stages!$2:$2,0)+1),MATCH(F$1,[2]stages!$2:$2,0)-MATCH($D$1,[2]stages!$2:$2,0)+1,FALSE)</f>
        <v>【超絶級】ドードーとグリフォン</v>
      </c>
      <c r="G100" s="21">
        <v>2</v>
      </c>
      <c r="H100" s="15" t="str">
        <f t="shared" ref="H100:H127" si="17">B100&amp;"_"&amp;C100&amp;"-"&amp;G100</f>
        <v>11007_5-2</v>
      </c>
      <c r="I100" s="4">
        <f ca="1">VLOOKUP($H100,OFFSET(floors!$A$1,0,0,COUNTA(floors!$A:$A),MATCH(I$1,floors!$1:$1,0)-MATCH($H$1,floors!$1:$1,0)+1),MATCH(I$1,floors!$1:$1,0)-MATCH($H$1,floors!$1:$1,0)+1,FALSE)</f>
        <v>45</v>
      </c>
      <c r="J100" s="4">
        <f ca="1">VLOOKUP($H100,OFFSET(floors!$A$1,0,0,COUNTA(floors!$A:$A),MATCH(J$1,floors!$1:$1,0)-MATCH($H$1,floors!$1:$1,0)+1),MATCH(J$1,floors!$1:$1,0)-MATCH($H$1,floors!$1:$1,0)+1,FALSE)</f>
        <v>60</v>
      </c>
      <c r="K100" s="100" t="s">
        <v>209</v>
      </c>
      <c r="L100" s="98">
        <v>360</v>
      </c>
      <c r="M100" s="17" t="str">
        <f ca="1">VLOOKUP($L100,OFFSET([3]enemies!$A$1,0,0,COUNTA([3]enemies!$A:$A),MATCH(M$1,[3]enemies!$1:$1,0)-MATCH($L$1,[3]enemies!$1:$1,0)+1),MATCH(M$1,[3]enemies!$1:$1,0)-MATCH($L$1,[3]enemies!$1:$1,0)+1,FALSE)</f>
        <v>ガンテツ</v>
      </c>
      <c r="N100" s="17" t="str">
        <f ca="1">VLOOKUP($L100,OFFSET([3]enemies!$A$1,0,0,COUNTA([3]enemies!$A:$A),MATCH(N$1,[3]enemies!$1:$1,0)-MATCH($L$1,[3]enemies!$1:$1,0)+1),MATCH(N$1,[3]enemies!$1:$1,0)-MATCH($L$1,[3]enemies!$1:$1,0)+1,FALSE)</f>
        <v>red</v>
      </c>
      <c r="O100" s="17" t="str">
        <f ca="1">VLOOKUP($L100,OFFSET([4]characters!$A$1,0,0,COUNTA([4]characters!$A:$A),MATCH(O$1,[4]characters!$1:$1,0)-MATCH($L$1,[4]characters!$1:$1,0)+1),MATCH(O$1,[4]characters!$1:$1,0)-MATCH($L$1,[4]characters!$1:$1,0)+1,FALSE)</f>
        <v>Drop1S</v>
      </c>
      <c r="P100" s="17" t="str">
        <f ca="1">VLOOKUP($L100,OFFSET([3]enemies!$A$1,0,0,COUNTA([3]enemies!$A:$A),MATCH(P$1,[3]enemies!$1:$1,0)-MATCH($L$1,[3]enemies!$1:$1,0)+1),MATCH(P$1,[3]enemies!$1:$1,0)-MATCH($L$1,[3]enemies!$1:$1,0)+1,FALSE)</f>
        <v>animal</v>
      </c>
      <c r="Q100" s="17">
        <f ca="1">VLOOKUP($L100,OFFSET([3]enemies!$A$1,0,0,COUNTA([3]enemies!$A:$A),MATCH(Q$1,[3]enemies!$1:$1,0)-MATCH($L$1,[3]enemies!$1:$1,0)+1),MATCH(Q$1,[3]enemies!$1:$1,0)-MATCH($L$1,[3]enemies!$1:$1,0)+1,FALSE)</f>
        <v>15</v>
      </c>
      <c r="R100" s="5">
        <v>52</v>
      </c>
      <c r="S100" s="25">
        <v>1.2</v>
      </c>
      <c r="T100" s="25">
        <v>1</v>
      </c>
      <c r="U100" s="5">
        <v>0</v>
      </c>
      <c r="V100" s="4" t="str">
        <f ca="1">VLOOKUP($W100,OFFSET(enemy_skill_sets!$B$1,0,0,COUNTA(enemy_skill_sets!$B:$B),MATCH(M$1,enemy_skill_sets!$1:$1,0)-MATCH($W$1,enemy_skill_sets!$1:$1,0)+2),MATCH(M$1,enemy_skill_sets!$1:$1,0)-MATCH($W$1,enemy_skill_sets!$1:$1,0)+2,FALSE)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100" s="4">
        <v>1122206</v>
      </c>
      <c r="X100" s="6">
        <v>0</v>
      </c>
      <c r="Y100" s="6">
        <v>100</v>
      </c>
      <c r="Z100" s="6">
        <v>2</v>
      </c>
      <c r="AA100" s="17">
        <v>2</v>
      </c>
      <c r="AB100" s="24">
        <f t="shared" ref="AB100:AB127" si="18">L100</f>
        <v>360</v>
      </c>
      <c r="AC100" s="4" t="str">
        <f ca="1">VLOOKUP($AB100,OFFSET([4]characters!$A$1,0,0,COUNTA([4]characters!$A:$A),MATCH(AC$1,[4]characters!$1:$1,0)-MATCH("character_id",[4]characters!$1:$1,0)+1),MATCH(AC$1,[4]characters!$1:$1,0)-MATCH("character_id",[4]characters!$1:$1,0)+1,FALSE)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00" s="4">
        <f ca="1">VLOOKUP($AB100,OFFSET([4]characters!$A$1,0,0,COUNTA([4]characters!$A:$A),MATCH(AD$1,[4]characters!$1:$1,0)-MATCH("character_id",[4]characters!$1:$1,0)+1),MATCH(AD$1,[4]characters!$1:$1,0)-MATCH("character_id",[4]characters!$1:$1,0)+1,FALSE)</f>
        <v>2</v>
      </c>
      <c r="AE100" s="4" t="str">
        <f ca="1">VLOOKUP($AB100,OFFSET([4]characters!$A$1,0,0,COUNTA([4]characters!$A:$A),MATCH(AE$1,[4]characters!$1:$1,0)-MATCH("character_id",[4]characters!$1:$1,0)+1),MATCH(AE$1,[4]characters!$1:$1,0)-MATCH("character_id",[4]characters!$1:$1,0)+1,FALSE)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0" s="7">
        <v>1</v>
      </c>
      <c r="AG100" s="24">
        <f t="shared" ref="AG100:AG127" ca="1" si="19">AD100</f>
        <v>2</v>
      </c>
      <c r="AH100" s="8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1</v>
      </c>
      <c r="AN100" s="69">
        <v>1</v>
      </c>
    </row>
    <row r="101" spans="1:40" ht="21" customHeight="1" x14ac:dyDescent="0.15">
      <c r="A101" s="16" t="str">
        <f t="shared" si="15"/>
        <v>11007_5-2/370&lt;lv52&gt;s1</v>
      </c>
      <c r="B101" s="22">
        <v>11007</v>
      </c>
      <c r="C101" s="21">
        <v>5</v>
      </c>
      <c r="D101" s="2" t="str">
        <f t="shared" si="16"/>
        <v>11007_5</v>
      </c>
      <c r="E101" s="4" t="str">
        <f ca="1">VLOOKUP($B101,OFFSET([2]quests!$A$1,0,0,COUNTA([2]quests!$A:$A),MATCH(E$1,[2]quests!$1:$1,0)-MATCH($B$1,[2]quests!$1:$1,0)+1),MATCH(E$1,[2]quests!$1:$1,0)-MATCH($B$1,[2]quests!$1:$1,0)+1,FALSE)</f>
        <v>【土曜限定】 赤と緑の素材</v>
      </c>
      <c r="F101" s="4" t="str">
        <f ca="1">VLOOKUP($D101,OFFSET([2]stages!$A$1,0,0,COUNTA([2]stages!$A:$A),MATCH(F$1,[2]stages!$2:$2,0)-MATCH($D$1,[2]stages!$2:$2,0)+1),MATCH(F$1,[2]stages!$2:$2,0)-MATCH($D$1,[2]stages!$2:$2,0)+1,FALSE)</f>
        <v>【超絶級】ドードーとグリフォン</v>
      </c>
      <c r="G101" s="21">
        <v>2</v>
      </c>
      <c r="H101" s="15" t="str">
        <f t="shared" si="17"/>
        <v>11007_5-2</v>
      </c>
      <c r="I101" s="4">
        <f ca="1">VLOOKUP($H101,OFFSET(floors!$A$1,0,0,COUNTA(floors!$A:$A),MATCH(I$1,floors!$1:$1,0)-MATCH($H$1,floors!$1:$1,0)+1),MATCH(I$1,floors!$1:$1,0)-MATCH($H$1,floors!$1:$1,0)+1,FALSE)</f>
        <v>45</v>
      </c>
      <c r="J101" s="4">
        <f ca="1">VLOOKUP($H101,OFFSET(floors!$A$1,0,0,COUNTA(floors!$A:$A),MATCH(J$1,floors!$1:$1,0)-MATCH($H$1,floors!$1:$1,0)+1),MATCH(J$1,floors!$1:$1,0)-MATCH($H$1,floors!$1:$1,0)+1,FALSE)</f>
        <v>60</v>
      </c>
      <c r="K101" s="100" t="s">
        <v>209</v>
      </c>
      <c r="L101" s="98">
        <v>370</v>
      </c>
      <c r="M101" s="17" t="str">
        <f ca="1">VLOOKUP($L101,OFFSET([3]enemies!$A$1,0,0,COUNTA([3]enemies!$A:$A),MATCH(M$1,[3]enemies!$1:$1,0)-MATCH($L$1,[3]enemies!$1:$1,0)+1),MATCH(M$1,[3]enemies!$1:$1,0)-MATCH($L$1,[3]enemies!$1:$1,0)+1,FALSE)</f>
        <v>タイチ</v>
      </c>
      <c r="N101" s="17" t="str">
        <f ca="1">VLOOKUP($L101,OFFSET([3]enemies!$A$1,0,0,COUNTA([3]enemies!$A:$A),MATCH(N$1,[3]enemies!$1:$1,0)-MATCH($L$1,[3]enemies!$1:$1,0)+1),MATCH(N$1,[3]enemies!$1:$1,0)-MATCH($L$1,[3]enemies!$1:$1,0)+1,FALSE)</f>
        <v>red</v>
      </c>
      <c r="O101" s="17" t="str">
        <f ca="1">VLOOKUP($L101,OFFSET([4]characters!$A$1,0,0,COUNTA([4]characters!$A:$A),MATCH(O$1,[4]characters!$1:$1,0)-MATCH($L$1,[4]characters!$1:$1,0)+1),MATCH(O$1,[4]characters!$1:$1,0)-MATCH($L$1,[4]characters!$1:$1,0)+1,FALSE)</f>
        <v>Drop1S</v>
      </c>
      <c r="P101" s="17" t="str">
        <f ca="1">VLOOKUP($L101,OFFSET([3]enemies!$A$1,0,0,COUNTA([3]enemies!$A:$A),MATCH(P$1,[3]enemies!$1:$1,0)-MATCH($L$1,[3]enemies!$1:$1,0)+1),MATCH(P$1,[3]enemies!$1:$1,0)-MATCH($L$1,[3]enemies!$1:$1,0)+1,FALSE)</f>
        <v>unknown</v>
      </c>
      <c r="Q101" s="17">
        <f ca="1">VLOOKUP($L101,OFFSET([3]enemies!$A$1,0,0,COUNTA([3]enemies!$A:$A),MATCH(Q$1,[3]enemies!$1:$1,0)-MATCH($L$1,[3]enemies!$1:$1,0)+1),MATCH(Q$1,[3]enemies!$1:$1,0)-MATCH($L$1,[3]enemies!$1:$1,0)+1,FALSE)</f>
        <v>15</v>
      </c>
      <c r="R101" s="5">
        <v>52</v>
      </c>
      <c r="S101" s="25">
        <v>1.7</v>
      </c>
      <c r="T101" s="25">
        <v>1</v>
      </c>
      <c r="U101" s="5">
        <v>0</v>
      </c>
      <c r="V101" s="4" t="str">
        <f ca="1">VLOOKUP($W101,OFFSET(enemy_skill_sets!$B$1,0,0,COUNTA(enemy_skill_sets!$B:$B),MATCH(M$1,enemy_skill_sets!$1:$1,0)-MATCH($W$1,enemy_skill_sets!$1:$1,0)+2),MATCH(M$1,enemy_skill_sets!$1:$1,0)-MATCH($W$1,enemy_skill_sets!$1:$1,0)+2,FALSE)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101" s="4">
        <v>1122201</v>
      </c>
      <c r="X101" s="6">
        <v>0</v>
      </c>
      <c r="Y101" s="6">
        <v>50</v>
      </c>
      <c r="Z101" s="6">
        <v>1</v>
      </c>
      <c r="AA101" s="17">
        <v>1</v>
      </c>
      <c r="AB101" s="24">
        <f t="shared" si="18"/>
        <v>370</v>
      </c>
      <c r="AC101" s="4" t="str">
        <f ca="1">VLOOKUP($AB101,OFFSET([4]characters!$A$1,0,0,COUNTA([4]characters!$A:$A),MATCH(AC$1,[4]characters!$1:$1,0)-MATCH("character_id",[4]characters!$1:$1,0)+1),MATCH(AC$1,[4]characters!$1:$1,0)-MATCH("character_id",[4]characters!$1:$1,0)+1,FALSE)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101" s="4">
        <f ca="1">VLOOKUP($AB101,OFFSET([4]characters!$A$1,0,0,COUNTA([4]characters!$A:$A),MATCH(AD$1,[4]characters!$1:$1,0)-MATCH("character_id",[4]characters!$1:$1,0)+1),MATCH(AD$1,[4]characters!$1:$1,0)-MATCH("character_id",[4]characters!$1:$1,0)+1,FALSE)</f>
        <v>2</v>
      </c>
      <c r="AE101" s="4" t="str">
        <f ca="1">VLOOKUP($AB101,OFFSET([4]characters!$A$1,0,0,COUNTA([4]characters!$A:$A),MATCH(AE$1,[4]characters!$1:$1,0)-MATCH("character_id",[4]characters!$1:$1,0)+1),MATCH(AE$1,[4]characters!$1:$1,0)-MATCH("character_id",[4]characters!$1:$1,0)+1,FALSE)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1" s="7">
        <v>1</v>
      </c>
      <c r="AG101" s="24">
        <f t="shared" ca="1" si="19"/>
        <v>2</v>
      </c>
      <c r="AH101" s="8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1</v>
      </c>
      <c r="AN101" s="69">
        <v>1</v>
      </c>
    </row>
    <row r="102" spans="1:40" ht="21" customHeight="1" x14ac:dyDescent="0.15">
      <c r="A102" s="16" t="str">
        <f t="shared" ca="1" si="15"/>
        <v>11007_5-2/332&lt;lv2&gt;s1</v>
      </c>
      <c r="B102" s="22">
        <v>11007</v>
      </c>
      <c r="C102" s="21">
        <v>5</v>
      </c>
      <c r="D102" s="2" t="str">
        <f t="shared" si="16"/>
        <v>11007_5</v>
      </c>
      <c r="E102" s="4" t="str">
        <f ca="1">VLOOKUP($B102,OFFSET([2]quests!$A$1,0,0,COUNTA([2]quests!$A:$A),MATCH(E$1,[2]quests!$1:$1,0)-MATCH($B$1,[2]quests!$1:$1,0)+1),MATCH(E$1,[2]quests!$1:$1,0)-MATCH($B$1,[2]quests!$1:$1,0)+1,FALSE)</f>
        <v>【土曜限定】 赤と緑の素材</v>
      </c>
      <c r="F102" s="4" t="str">
        <f ca="1">VLOOKUP($D102,OFFSET([2]stages!$A$1,0,0,COUNTA([2]stages!$A:$A),MATCH(F$1,[2]stages!$2:$2,0)-MATCH($D$1,[2]stages!$2:$2,0)+1),MATCH(F$1,[2]stages!$2:$2,0)-MATCH($D$1,[2]stages!$2:$2,0)+1,FALSE)</f>
        <v>【超絶級】ドードーとグリフォン</v>
      </c>
      <c r="G102" s="21">
        <v>2</v>
      </c>
      <c r="H102" s="15" t="str">
        <f t="shared" si="17"/>
        <v>11007_5-2</v>
      </c>
      <c r="I102" s="4">
        <f ca="1">VLOOKUP($H102,OFFSET(floors!$A$1,0,0,COUNTA(floors!$A:$A),MATCH(I$1,floors!$1:$1,0)-MATCH($H$1,floors!$1:$1,0)+1),MATCH(I$1,floors!$1:$1,0)-MATCH($H$1,floors!$1:$1,0)+1,FALSE)</f>
        <v>45</v>
      </c>
      <c r="J102" s="4">
        <f ca="1">VLOOKUP($H102,OFFSET(floors!$A$1,0,0,COUNTA(floors!$A:$A),MATCH(J$1,floors!$1:$1,0)-MATCH($H$1,floors!$1:$1,0)+1),MATCH(J$1,floors!$1:$1,0)-MATCH($H$1,floors!$1:$1,0)+1,FALSE)</f>
        <v>60</v>
      </c>
      <c r="K102" s="100" t="s">
        <v>209</v>
      </c>
      <c r="L102" s="98">
        <v>332</v>
      </c>
      <c r="M102" s="17" t="str">
        <f ca="1">VLOOKUP($L102,OFFSET([3]enemies!$A$1,0,0,COUNTA([3]enemies!$A:$A),MATCH(M$1,[3]enemies!$1:$1,0)-MATCH($L$1,[3]enemies!$1:$1,0)+1),MATCH(M$1,[3]enemies!$1:$1,0)-MATCH($L$1,[3]enemies!$1:$1,0)+1,FALSE)</f>
        <v>炎のメタルピヨピヨ</v>
      </c>
      <c r="N102" s="17" t="str">
        <f ca="1">VLOOKUP($L102,OFFSET([3]enemies!$A$1,0,0,COUNTA([3]enemies!$A:$A),MATCH(N$1,[3]enemies!$1:$1,0)-MATCH($L$1,[3]enemies!$1:$1,0)+1),MATCH(N$1,[3]enemies!$1:$1,0)-MATCH($L$1,[3]enemies!$1:$1,0)+1,FALSE)</f>
        <v>red</v>
      </c>
      <c r="O102" s="17" t="str">
        <f ca="1">VLOOKUP($L102,OFFSET([4]characters!$A$1,0,0,COUNTA([4]characters!$A:$A),MATCH(O$1,[4]characters!$1:$1,0)-MATCH($L$1,[4]characters!$1:$1,0)+1),MATCH(O$1,[4]characters!$1:$1,0)-MATCH($L$1,[4]characters!$1:$1,0)+1,FALSE)</f>
        <v>Material</v>
      </c>
      <c r="P102" s="17" t="str">
        <f ca="1">VLOOKUP($L102,OFFSET([3]enemies!$A$1,0,0,COUNTA([3]enemies!$A:$A),MATCH(P$1,[3]enemies!$1:$1,0)-MATCH($L$1,[3]enemies!$1:$1,0)+1),MATCH(P$1,[3]enemies!$1:$1,0)-MATCH($L$1,[3]enemies!$1:$1,0)+1,FALSE)</f>
        <v>unknown</v>
      </c>
      <c r="Q102" s="17">
        <f ca="1">VLOOKUP($L102,OFFSET([3]enemies!$A$1,0,0,COUNTA([3]enemies!$A:$A),MATCH(Q$1,[3]enemies!$1:$1,0)-MATCH($L$1,[3]enemies!$1:$1,0)+1),MATCH(Q$1,[3]enemies!$1:$1,0)-MATCH($L$1,[3]enemies!$1:$1,0)+1,FALSE)</f>
        <v>15</v>
      </c>
      <c r="R102" s="5">
        <v>2</v>
      </c>
      <c r="S102" s="25">
        <v>2</v>
      </c>
      <c r="T102" s="25">
        <v>99</v>
      </c>
      <c r="U102" s="5">
        <v>0</v>
      </c>
      <c r="V102" s="4" t="str">
        <f ca="1">VLOOKUP($W102,OFFSET([5]enemy_skill_sets!$B$1,0,0,COUNTA([5]enemy_skill_sets!$B:$B),MATCH(M$1,[5]enemy_skill_sets!$1:$1,0)-MATCH($W$1,[5]enemy_skill_sets!$1:$1,0)+2),MATCH(M$1,[5]enemy_skill_sets!$1:$1,0)-MATCH($W$1,[5]enemy_skill_sets!$1:$1,0)+2,FALSE)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2" s="4">
        <f ca="1">VLOOKUP($L102,OFFSET([3]enemies!$A$1,0,0,COUNTA([3]enemies!$A:$A),MATCH(W$1,[3]enemies!$1:$1,0)-MATCH($L$1,[3]enemies!$1:$1,0)+1),MATCH(W$1,[3]enemies!$1:$1,0)-MATCH($L$1,[3]enemies!$1:$1,0)+1,FALSE)</f>
        <v>0</v>
      </c>
      <c r="X102" s="6">
        <v>0</v>
      </c>
      <c r="Y102" s="6">
        <v>20</v>
      </c>
      <c r="Z102" s="6">
        <v>0</v>
      </c>
      <c r="AA102" s="17">
        <f ca="1">VLOOKUP($L102,OFFSET([3]enemies!$A$1,0,0,COUNTA([3]enemies!$A:$A),MATCH(AA$1,[3]enemies!$1:$1,0)-MATCH($L$1,[3]enemies!$1:$1,0)+1),MATCH(AA$1,[3]enemies!$1:$1,0)-MATCH($L$1,[3]enemies!$1:$1,0)+1,FALSE)</f>
        <v>1</v>
      </c>
      <c r="AB102" s="24">
        <f t="shared" si="18"/>
        <v>332</v>
      </c>
      <c r="AC102" s="4" t="str">
        <f ca="1">VLOOKUP($AB102,OFFSET([4]characters!$A$1,0,0,COUNTA([4]characters!$A:$A),MATCH(AC$1,[4]characters!$1:$1,0)-MATCH("character_id",[4]characters!$1:$1,0)+1),MATCH(AC$1,[4]characters!$1:$1,0)-MATCH("character_id",[4]characters!$1:$1,0)+1,FALSE)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102" s="4">
        <f ca="1">VLOOKUP($AB102,OFFSET([4]characters!$A$1,0,0,COUNTA([4]characters!$A:$A),MATCH(AD$1,[4]characters!$1:$1,0)-MATCH("character_id",[4]characters!$1:$1,0)+1),MATCH(AD$1,[4]characters!$1:$1,0)-MATCH("character_id",[4]characters!$1:$1,0)+1,FALSE)</f>
        <v>3</v>
      </c>
      <c r="AE102" s="4" t="str">
        <f ca="1">VLOOKUP($AB102,OFFSET([4]characters!$A$1,0,0,COUNTA([4]characters!$A:$A),MATCH(AE$1,[4]characters!$1:$1,0)-MATCH("character_id",[4]characters!$1:$1,0)+1),MATCH(AE$1,[4]characters!$1:$1,0)-MATCH("character_id",[4]characters!$1:$1,0)+1,FALSE)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2" s="7">
        <v>1</v>
      </c>
      <c r="AG102" s="24">
        <f t="shared" ca="1" si="19"/>
        <v>3</v>
      </c>
      <c r="AH102" s="8">
        <v>10</v>
      </c>
      <c r="AI102" s="7">
        <v>0</v>
      </c>
      <c r="AJ102" s="7">
        <v>0</v>
      </c>
      <c r="AK102" s="7">
        <v>0</v>
      </c>
      <c r="AL102" s="7">
        <v>0</v>
      </c>
      <c r="AM102" s="7">
        <v>1</v>
      </c>
      <c r="AN102" s="69">
        <v>1</v>
      </c>
    </row>
    <row r="103" spans="1:40" ht="21" customHeight="1" x14ac:dyDescent="0.15">
      <c r="A103" s="16" t="str">
        <f t="shared" ca="1" si="15"/>
        <v>11007_5-2/333&lt;lv2&gt;s2</v>
      </c>
      <c r="B103" s="22">
        <v>11007</v>
      </c>
      <c r="C103" s="21">
        <v>5</v>
      </c>
      <c r="D103" s="2" t="str">
        <f t="shared" si="16"/>
        <v>11007_5</v>
      </c>
      <c r="E103" s="4" t="str">
        <f ca="1">VLOOKUP($B103,OFFSET([2]quests!$A$1,0,0,COUNTA([2]quests!$A:$A),MATCH(E$1,[2]quests!$1:$1,0)-MATCH($B$1,[2]quests!$1:$1,0)+1),MATCH(E$1,[2]quests!$1:$1,0)-MATCH($B$1,[2]quests!$1:$1,0)+1,FALSE)</f>
        <v>【土曜限定】 赤と緑の素材</v>
      </c>
      <c r="F103" s="4" t="str">
        <f ca="1">VLOOKUP($D103,OFFSET([2]stages!$A$1,0,0,COUNTA([2]stages!$A:$A),MATCH(F$1,[2]stages!$2:$2,0)-MATCH($D$1,[2]stages!$2:$2,0)+1),MATCH(F$1,[2]stages!$2:$2,0)-MATCH($D$1,[2]stages!$2:$2,0)+1,FALSE)</f>
        <v>【超絶級】ドードーとグリフォン</v>
      </c>
      <c r="G103" s="21">
        <v>2</v>
      </c>
      <c r="H103" s="15" t="str">
        <f t="shared" si="17"/>
        <v>11007_5-2</v>
      </c>
      <c r="I103" s="4">
        <f ca="1">VLOOKUP($H103,OFFSET(floors!$A$1,0,0,COUNTA(floors!$A:$A),MATCH(I$1,floors!$1:$1,0)-MATCH($H$1,floors!$1:$1,0)+1),MATCH(I$1,floors!$1:$1,0)-MATCH($H$1,floors!$1:$1,0)+1,FALSE)</f>
        <v>45</v>
      </c>
      <c r="J103" s="4">
        <f ca="1">VLOOKUP($H103,OFFSET(floors!$A$1,0,0,COUNTA(floors!$A:$A),MATCH(J$1,floors!$1:$1,0)-MATCH($H$1,floors!$1:$1,0)+1),MATCH(J$1,floors!$1:$1,0)-MATCH($H$1,floors!$1:$1,0)+1,FALSE)</f>
        <v>60</v>
      </c>
      <c r="K103" s="100" t="s">
        <v>209</v>
      </c>
      <c r="L103" s="98">
        <v>333</v>
      </c>
      <c r="M103" s="17" t="str">
        <f ca="1">VLOOKUP($L103,OFFSET([3]enemies!$A$1,0,0,COUNTA([3]enemies!$A:$A),MATCH(M$1,[3]enemies!$1:$1,0)-MATCH($L$1,[3]enemies!$1:$1,0)+1),MATCH(M$1,[3]enemies!$1:$1,0)-MATCH($L$1,[3]enemies!$1:$1,0)+1,FALSE)</f>
        <v>炎のメタルチック</v>
      </c>
      <c r="N103" s="17" t="str">
        <f ca="1">VLOOKUP($L103,OFFSET([3]enemies!$A$1,0,0,COUNTA([3]enemies!$A:$A),MATCH(N$1,[3]enemies!$1:$1,0)-MATCH($L$1,[3]enemies!$1:$1,0)+1),MATCH(N$1,[3]enemies!$1:$1,0)-MATCH($L$1,[3]enemies!$1:$1,0)+1,FALSE)</f>
        <v>red</v>
      </c>
      <c r="O103" s="17" t="str">
        <f ca="1">VLOOKUP($L103,OFFSET([4]characters!$A$1,0,0,COUNTA([4]characters!$A:$A),MATCH(O$1,[4]characters!$1:$1,0)-MATCH($L$1,[4]characters!$1:$1,0)+1),MATCH(O$1,[4]characters!$1:$1,0)-MATCH($L$1,[4]characters!$1:$1,0)+1,FALSE)</f>
        <v>Material</v>
      </c>
      <c r="P103" s="17" t="str">
        <f ca="1">VLOOKUP($L103,OFFSET([3]enemies!$A$1,0,0,COUNTA([3]enemies!$A:$A),MATCH(P$1,[3]enemies!$1:$1,0)-MATCH($L$1,[3]enemies!$1:$1,0)+1),MATCH(P$1,[3]enemies!$1:$1,0)-MATCH($L$1,[3]enemies!$1:$1,0)+1,FALSE)</f>
        <v>unknown</v>
      </c>
      <c r="Q103" s="17">
        <f ca="1">VLOOKUP($L103,OFFSET([3]enemies!$A$1,0,0,COUNTA([3]enemies!$A:$A),MATCH(Q$1,[3]enemies!$1:$1,0)-MATCH($L$1,[3]enemies!$1:$1,0)+1),MATCH(Q$1,[3]enemies!$1:$1,0)-MATCH($L$1,[3]enemies!$1:$1,0)+1,FALSE)</f>
        <v>15</v>
      </c>
      <c r="R103" s="5">
        <v>2</v>
      </c>
      <c r="S103" s="25">
        <v>2</v>
      </c>
      <c r="T103" s="25">
        <v>99</v>
      </c>
      <c r="U103" s="5">
        <v>0</v>
      </c>
      <c r="V103" s="4" t="str">
        <f ca="1">VLOOKUP($W103,OFFSET([5]enemy_skill_sets!$B$1,0,0,COUNTA([5]enemy_skill_sets!$B:$B),MATCH(M$1,[5]enemy_skill_sets!$1:$1,0)-MATCH($W$1,[5]enemy_skill_sets!$1:$1,0)+2),MATCH(M$1,[5]enemy_skill_sets!$1:$1,0)-MATCH($W$1,[5]enemy_skill_sets!$1:$1,0)+2,FALSE)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3" s="4">
        <f ca="1">VLOOKUP($L103,OFFSET([3]enemies!$A$1,0,0,COUNTA([3]enemies!$A:$A),MATCH(W$1,[3]enemies!$1:$1,0)-MATCH($L$1,[3]enemies!$1:$1,0)+1),MATCH(W$1,[3]enemies!$1:$1,0)-MATCH($L$1,[3]enemies!$1:$1,0)+1,FALSE)</f>
        <v>0</v>
      </c>
      <c r="X103" s="6">
        <v>0</v>
      </c>
      <c r="Y103" s="6">
        <v>10</v>
      </c>
      <c r="Z103" s="6">
        <v>0</v>
      </c>
      <c r="AA103" s="17">
        <f ca="1">VLOOKUP($L103,OFFSET([3]enemies!$A$1,0,0,COUNTA([3]enemies!$A:$A),MATCH(AA$1,[3]enemies!$1:$1,0)-MATCH($L$1,[3]enemies!$1:$1,0)+1),MATCH(AA$1,[3]enemies!$1:$1,0)-MATCH($L$1,[3]enemies!$1:$1,0)+1,FALSE)</f>
        <v>2</v>
      </c>
      <c r="AB103" s="24">
        <f t="shared" si="18"/>
        <v>333</v>
      </c>
      <c r="AC103" s="4" t="str">
        <f ca="1">VLOOKUP($AB103,OFFSET([4]characters!$A$1,0,0,COUNTA([4]characters!$A:$A),MATCH(AC$1,[4]characters!$1:$1,0)-MATCH("character_id",[4]characters!$1:$1,0)+1),MATCH(AC$1,[4]characters!$1:$1,0)-MATCH("character_id",[4]characters!$1:$1,0)+1,FALSE)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103" s="4">
        <f ca="1">VLOOKUP($AB103,OFFSET([4]characters!$A$1,0,0,COUNTA([4]characters!$A:$A),MATCH(AD$1,[4]characters!$1:$1,0)-MATCH("character_id",[4]characters!$1:$1,0)+1),MATCH(AD$1,[4]characters!$1:$1,0)-MATCH("character_id",[4]characters!$1:$1,0)+1,FALSE)</f>
        <v>4</v>
      </c>
      <c r="AE103" s="4" t="str">
        <f ca="1">VLOOKUP($AB103,OFFSET([4]characters!$A$1,0,0,COUNTA([4]characters!$A:$A),MATCH(AE$1,[4]characters!$1:$1,0)-MATCH("character_id",[4]characters!$1:$1,0)+1),MATCH(AE$1,[4]characters!$1:$1,0)-MATCH("character_id",[4]characters!$1:$1,0)+1,FALSE)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3" s="7">
        <v>1</v>
      </c>
      <c r="AG103" s="24">
        <f t="shared" ca="1" si="19"/>
        <v>4</v>
      </c>
      <c r="AH103" s="8">
        <v>5</v>
      </c>
      <c r="AI103" s="7">
        <v>0</v>
      </c>
      <c r="AJ103" s="7">
        <v>0</v>
      </c>
      <c r="AK103" s="7">
        <v>0</v>
      </c>
      <c r="AL103" s="7">
        <v>0</v>
      </c>
      <c r="AM103" s="7">
        <v>1</v>
      </c>
      <c r="AN103" s="69">
        <v>1</v>
      </c>
    </row>
    <row r="104" spans="1:40" ht="21" customHeight="1" x14ac:dyDescent="0.15">
      <c r="A104" s="16" t="str">
        <f t="shared" ca="1" si="15"/>
        <v>11007_5-3/287&lt;lv60&gt;s2</v>
      </c>
      <c r="B104" s="22">
        <v>11007</v>
      </c>
      <c r="C104" s="21">
        <v>5</v>
      </c>
      <c r="D104" s="2" t="str">
        <f t="shared" si="16"/>
        <v>11007_5</v>
      </c>
      <c r="E104" s="4" t="str">
        <f ca="1">VLOOKUP($B104,OFFSET([2]quests!$A$1,0,0,COUNTA([2]quests!$A:$A),MATCH(E$1,[2]quests!$1:$1,0)-MATCH($B$1,[2]quests!$1:$1,0)+1),MATCH(E$1,[2]quests!$1:$1,0)-MATCH($B$1,[2]quests!$1:$1,0)+1,FALSE)</f>
        <v>【土曜限定】 赤と緑の素材</v>
      </c>
      <c r="F104" s="4" t="str">
        <f ca="1">VLOOKUP($D104,OFFSET([2]stages!$A$1,0,0,COUNTA([2]stages!$A:$A),MATCH(F$1,[2]stages!$2:$2,0)-MATCH($D$1,[2]stages!$2:$2,0)+1),MATCH(F$1,[2]stages!$2:$2,0)-MATCH($D$1,[2]stages!$2:$2,0)+1,FALSE)</f>
        <v>【超絶級】ドードーとグリフォン</v>
      </c>
      <c r="G104" s="21">
        <v>3</v>
      </c>
      <c r="H104" s="15" t="str">
        <f t="shared" si="17"/>
        <v>11007_5-3</v>
      </c>
      <c r="I104" s="4">
        <f ca="1">VLOOKUP($H104,OFFSET(floors!$A$1,0,0,COUNTA(floors!$A:$A),MATCH(I$1,floors!$1:$1,0)-MATCH($H$1,floors!$1:$1,0)+1),MATCH(I$1,floors!$1:$1,0)-MATCH($H$1,floors!$1:$1,0)+1,FALSE)</f>
        <v>50</v>
      </c>
      <c r="J104" s="4">
        <f ca="1">VLOOKUP($H104,OFFSET(floors!$A$1,0,0,COUNTA(floors!$A:$A),MATCH(J$1,floors!$1:$1,0)-MATCH($H$1,floors!$1:$1,0)+1),MATCH(J$1,floors!$1:$1,0)-MATCH($H$1,floors!$1:$1,0)+1,FALSE)</f>
        <v>60</v>
      </c>
      <c r="K104" s="100" t="s">
        <v>209</v>
      </c>
      <c r="L104" s="98">
        <v>287</v>
      </c>
      <c r="M104" s="17" t="str">
        <f ca="1">VLOOKUP($L104,OFFSET([3]enemies!$A$1,0,0,COUNTA([3]enemies!$A:$A),MATCH(M$1,[3]enemies!$1:$1,0)-MATCH($L$1,[3]enemies!$1:$1,0)+1),MATCH(M$1,[3]enemies!$1:$1,0)-MATCH($L$1,[3]enemies!$1:$1,0)+1,FALSE)</f>
        <v>ヒュドラ・フルオープン</v>
      </c>
      <c r="N104" s="17" t="str">
        <f ca="1">VLOOKUP($L104,OFFSET([3]enemies!$A$1,0,0,COUNTA([3]enemies!$A:$A),MATCH(N$1,[3]enemies!$1:$1,0)-MATCH($L$1,[3]enemies!$1:$1,0)+1),MATCH(N$1,[3]enemies!$1:$1,0)-MATCH($L$1,[3]enemies!$1:$1,0)+1,FALSE)</f>
        <v>red</v>
      </c>
      <c r="O104" s="17" t="str">
        <f ca="1">VLOOKUP($L104,OFFSET([4]characters!$A$1,0,0,COUNTA([4]characters!$A:$A),MATCH(O$1,[4]characters!$1:$1,0)-MATCH($L$1,[4]characters!$1:$1,0)+1),MATCH(O$1,[4]characters!$1:$1,0)-MATCH($L$1,[4]characters!$1:$1,0)+1,FALSE)</f>
        <v>DropWizW</v>
      </c>
      <c r="P104" s="17" t="str">
        <f ca="1">VLOOKUP($L104,OFFSET([3]enemies!$A$1,0,0,COUNTA([3]enemies!$A:$A),MATCH(P$1,[3]enemies!$1:$1,0)-MATCH($L$1,[3]enemies!$1:$1,0)+1),MATCH(P$1,[3]enemies!$1:$1,0)-MATCH($L$1,[3]enemies!$1:$1,0)+1,FALSE)</f>
        <v>dragon</v>
      </c>
      <c r="Q104" s="17">
        <f ca="1">VLOOKUP($L104,OFFSET([3]enemies!$A$1,0,0,COUNTA([3]enemies!$A:$A),MATCH(Q$1,[3]enemies!$1:$1,0)-MATCH($L$1,[3]enemies!$1:$1,0)+1),MATCH(Q$1,[3]enemies!$1:$1,0)-MATCH($L$1,[3]enemies!$1:$1,0)+1,FALSE)</f>
        <v>30</v>
      </c>
      <c r="R104" s="5">
        <v>60</v>
      </c>
      <c r="S104" s="25">
        <v>1.6</v>
      </c>
      <c r="T104" s="25">
        <v>1</v>
      </c>
      <c r="U104" s="5">
        <v>0</v>
      </c>
      <c r="V104" s="4" t="str">
        <f ca="1">VLOOKUP($W104,OFFSET([5]enemy_skill_sets!$B$1,0,0,COUNTA([5]enemy_skill_sets!$B:$B),MATCH(M$1,[5]enemy_skill_sets!$1:$1,0)-MATCH($W$1,[5]enemy_skill_sets!$1:$1,0)+2),MATCH(M$1,[5]enemy_skill_sets!$1:$1,0)-MATCH($W$1,[5]enemy_skill_sets!$1:$1,0)+2,FALSE)</f>
        <v>発射準備開始</v>
      </c>
      <c r="W104" s="4">
        <f ca="1">VLOOKUP($L104,OFFSET([3]enemies!$A$1,0,0,COUNTA([3]enemies!$A:$A),MATCH(W$1,[3]enemies!$1:$1,0)-MATCH($L$1,[3]enemies!$1:$1,0)+1),MATCH(W$1,[3]enemies!$1:$1,0)-MATCH($L$1,[3]enemies!$1:$1,0)+1,FALSE)</f>
        <v>286</v>
      </c>
      <c r="X104" s="6">
        <v>0</v>
      </c>
      <c r="Y104" s="6">
        <v>80</v>
      </c>
      <c r="Z104" s="6">
        <v>1</v>
      </c>
      <c r="AA104" s="17">
        <f ca="1">VLOOKUP($L104,OFFSET([3]enemies!$A$1,0,0,COUNTA([3]enemies!$A:$A),MATCH(AA$1,[3]enemies!$1:$1,0)-MATCH($L$1,[3]enemies!$1:$1,0)+1),MATCH(AA$1,[3]enemies!$1:$1,0)-MATCH($L$1,[3]enemies!$1:$1,0)+1,FALSE)</f>
        <v>2</v>
      </c>
      <c r="AB104" s="24">
        <f t="shared" si="18"/>
        <v>287</v>
      </c>
      <c r="AC104" s="4" t="str">
        <f ca="1">VLOOKUP($AB104,OFFSET([4]characters!$A$1,0,0,COUNTA([4]characters!$A:$A),MATCH(AC$1,[4]characters!$1:$1,0)-MATCH("character_id",[4]characters!$1:$1,0)+1),MATCH(AC$1,[4]characters!$1:$1,0)-MATCH("character_id",[4]characters!$1:$1,0)+1,FALSE)</f>
        <v>ヒュドラ・フルオープン</v>
      </c>
      <c r="AD104" s="4">
        <f ca="1">VLOOKUP($AB104,OFFSET([4]characters!$A$1,0,0,COUNTA([4]characters!$A:$A),MATCH(AD$1,[4]characters!$1:$1,0)-MATCH("character_id",[4]characters!$1:$1,0)+1),MATCH(AD$1,[4]characters!$1:$1,0)-MATCH("character_id",[4]characters!$1:$1,0)+1,FALSE)</f>
        <v>4</v>
      </c>
      <c r="AE104" s="4" t="str">
        <f ca="1">VLOOKUP($AB104,OFFSET([4]characters!$A$1,0,0,COUNTA([4]characters!$A:$A),MATCH(AE$1,[4]characters!$1:$1,0)-MATCH("character_id",[4]characters!$1:$1,0)+1),MATCH(AE$1,[4]characters!$1:$1,0)-MATCH("character_id",[4]characters!$1:$1,0)+1,FALSE)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04" s="7">
        <v>1</v>
      </c>
      <c r="AG104" s="24">
        <f t="shared" ca="1" si="19"/>
        <v>4</v>
      </c>
      <c r="AH104" s="8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1</v>
      </c>
      <c r="AN104" s="69">
        <v>1</v>
      </c>
    </row>
    <row r="105" spans="1:40" ht="21" customHeight="1" x14ac:dyDescent="0.15">
      <c r="A105" s="16" t="str">
        <f t="shared" ca="1" si="15"/>
        <v>11007_5-3/334&lt;lv2&gt;s3</v>
      </c>
      <c r="B105" s="22">
        <v>11007</v>
      </c>
      <c r="C105" s="21">
        <v>5</v>
      </c>
      <c r="D105" s="2" t="str">
        <f t="shared" si="16"/>
        <v>11007_5</v>
      </c>
      <c r="E105" s="4" t="str">
        <f ca="1">VLOOKUP($B105,OFFSET([2]quests!$A$1,0,0,COUNTA([2]quests!$A:$A),MATCH(E$1,[2]quests!$1:$1,0)-MATCH($B$1,[2]quests!$1:$1,0)+1),MATCH(E$1,[2]quests!$1:$1,0)-MATCH($B$1,[2]quests!$1:$1,0)+1,FALSE)</f>
        <v>【土曜限定】 赤と緑の素材</v>
      </c>
      <c r="F105" s="4" t="str">
        <f ca="1">VLOOKUP($D105,OFFSET([2]stages!$A$1,0,0,COUNTA([2]stages!$A:$A),MATCH(F$1,[2]stages!$2:$2,0)-MATCH($D$1,[2]stages!$2:$2,0)+1),MATCH(F$1,[2]stages!$2:$2,0)-MATCH($D$1,[2]stages!$2:$2,0)+1,FALSE)</f>
        <v>【超絶級】ドードーとグリフォン</v>
      </c>
      <c r="G105" s="21">
        <v>3</v>
      </c>
      <c r="H105" s="15" t="str">
        <f t="shared" si="17"/>
        <v>11007_5-3</v>
      </c>
      <c r="I105" s="4">
        <f ca="1">VLOOKUP($H105,OFFSET(floors!$A$1,0,0,COUNTA(floors!$A:$A),MATCH(I$1,floors!$1:$1,0)-MATCH($H$1,floors!$1:$1,0)+1),MATCH(I$1,floors!$1:$1,0)-MATCH($H$1,floors!$1:$1,0)+1,FALSE)</f>
        <v>50</v>
      </c>
      <c r="J105" s="4">
        <f ca="1">VLOOKUP($H105,OFFSET(floors!$A$1,0,0,COUNTA(floors!$A:$A),MATCH(J$1,floors!$1:$1,0)-MATCH($H$1,floors!$1:$1,0)+1),MATCH(J$1,floors!$1:$1,0)-MATCH($H$1,floors!$1:$1,0)+1,FALSE)</f>
        <v>60</v>
      </c>
      <c r="K105" s="100" t="s">
        <v>209</v>
      </c>
      <c r="L105" s="98">
        <v>334</v>
      </c>
      <c r="M105" s="17" t="str">
        <f ca="1">VLOOKUP($L105,OFFSET([3]enemies!$A$1,0,0,COUNTA([3]enemies!$A:$A),MATCH(M$1,[3]enemies!$1:$1,0)-MATCH($L$1,[3]enemies!$1:$1,0)+1),MATCH(M$1,[3]enemies!$1:$1,0)-MATCH($L$1,[3]enemies!$1:$1,0)+1,FALSE)</f>
        <v>炎のメタルダック</v>
      </c>
      <c r="N105" s="17" t="str">
        <f ca="1">VLOOKUP($L105,OFFSET([3]enemies!$A$1,0,0,COUNTA([3]enemies!$A:$A),MATCH(N$1,[3]enemies!$1:$1,0)-MATCH($L$1,[3]enemies!$1:$1,0)+1),MATCH(N$1,[3]enemies!$1:$1,0)-MATCH($L$1,[3]enemies!$1:$1,0)+1,FALSE)</f>
        <v>red</v>
      </c>
      <c r="O105" s="17" t="str">
        <f ca="1">VLOOKUP($L105,OFFSET([4]characters!$A$1,0,0,COUNTA([4]characters!$A:$A),MATCH(O$1,[4]characters!$1:$1,0)-MATCH($L$1,[4]characters!$1:$1,0)+1),MATCH(O$1,[4]characters!$1:$1,0)-MATCH($L$1,[4]characters!$1:$1,0)+1,FALSE)</f>
        <v>Material</v>
      </c>
      <c r="P105" s="17" t="str">
        <f ca="1">VLOOKUP($L105,OFFSET([3]enemies!$A$1,0,0,COUNTA([3]enemies!$A:$A),MATCH(P$1,[3]enemies!$1:$1,0)-MATCH($L$1,[3]enemies!$1:$1,0)+1),MATCH(P$1,[3]enemies!$1:$1,0)-MATCH($L$1,[3]enemies!$1:$1,0)+1,FALSE)</f>
        <v>unknown</v>
      </c>
      <c r="Q105" s="17">
        <f ca="1">VLOOKUP($L105,OFFSET([3]enemies!$A$1,0,0,COUNTA([3]enemies!$A:$A),MATCH(Q$1,[3]enemies!$1:$1,0)-MATCH($L$1,[3]enemies!$1:$1,0)+1),MATCH(Q$1,[3]enemies!$1:$1,0)-MATCH($L$1,[3]enemies!$1:$1,0)+1,FALSE)</f>
        <v>20</v>
      </c>
      <c r="R105" s="5">
        <v>2</v>
      </c>
      <c r="S105" s="25">
        <v>2</v>
      </c>
      <c r="T105" s="25">
        <v>99</v>
      </c>
      <c r="U105" s="5">
        <v>0</v>
      </c>
      <c r="V105" s="4" t="str">
        <f ca="1">VLOOKUP($W105,OFFSET([5]enemy_skill_sets!$B$1,0,0,COUNTA([5]enemy_skill_sets!$B:$B),MATCH(M$1,[5]enemy_skill_sets!$1:$1,0)-MATCH($W$1,[5]enemy_skill_sets!$1:$1,0)+2),MATCH(M$1,[5]enemy_skill_sets!$1:$1,0)-MATCH($W$1,[5]enemy_skill_sets!$1:$1,0)+2,FALSE)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5" s="4">
        <f ca="1">VLOOKUP($L105,OFFSET([3]enemies!$A$1,0,0,COUNTA([3]enemies!$A:$A),MATCH(W$1,[3]enemies!$1:$1,0)-MATCH($L$1,[3]enemies!$1:$1,0)+1),MATCH(W$1,[3]enemies!$1:$1,0)-MATCH($L$1,[3]enemies!$1:$1,0)+1,FALSE)</f>
        <v>0</v>
      </c>
      <c r="X105" s="6">
        <v>0</v>
      </c>
      <c r="Y105" s="6">
        <v>20</v>
      </c>
      <c r="Z105" s="6">
        <v>1</v>
      </c>
      <c r="AA105" s="17">
        <f ca="1">VLOOKUP($L105,OFFSET([3]enemies!$A$1,0,0,COUNTA([3]enemies!$A:$A),MATCH(AA$1,[3]enemies!$1:$1,0)-MATCH($L$1,[3]enemies!$1:$1,0)+1),MATCH(AA$1,[3]enemies!$1:$1,0)-MATCH($L$1,[3]enemies!$1:$1,0)+1,FALSE)</f>
        <v>3</v>
      </c>
      <c r="AB105" s="24">
        <f t="shared" si="18"/>
        <v>334</v>
      </c>
      <c r="AC105" s="4" t="str">
        <f ca="1">VLOOKUP($AB105,OFFSET([4]characters!$A$1,0,0,COUNTA([4]characters!$A:$A),MATCH(AC$1,[4]characters!$1:$1,0)-MATCH("character_id",[4]characters!$1:$1,0)+1),MATCH(AC$1,[4]characters!$1:$1,0)-MATCH("character_id",[4]characters!$1:$1,0)+1,FALSE)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105" s="4">
        <f ca="1">VLOOKUP($AB105,OFFSET([4]characters!$A$1,0,0,COUNTA([4]characters!$A:$A),MATCH(AD$1,[4]characters!$1:$1,0)-MATCH("character_id",[4]characters!$1:$1,0)+1),MATCH(AD$1,[4]characters!$1:$1,0)-MATCH("character_id",[4]characters!$1:$1,0)+1,FALSE)</f>
        <v>5</v>
      </c>
      <c r="AE105" s="4" t="str">
        <f ca="1">VLOOKUP($AB105,OFFSET([4]characters!$A$1,0,0,COUNTA([4]characters!$A:$A),MATCH(AE$1,[4]characters!$1:$1,0)-MATCH("character_id",[4]characters!$1:$1,0)+1),MATCH(AE$1,[4]characters!$1:$1,0)-MATCH("character_id",[4]characters!$1:$1,0)+1,FALSE)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5" s="7">
        <v>1</v>
      </c>
      <c r="AG105" s="24">
        <f t="shared" ca="1" si="19"/>
        <v>5</v>
      </c>
      <c r="AH105" s="8">
        <v>5</v>
      </c>
      <c r="AI105" s="7">
        <v>0</v>
      </c>
      <c r="AJ105" s="7">
        <v>0</v>
      </c>
      <c r="AK105" s="7">
        <v>0</v>
      </c>
      <c r="AL105" s="7">
        <v>0</v>
      </c>
      <c r="AM105" s="7">
        <v>1</v>
      </c>
      <c r="AN105" s="69">
        <v>1</v>
      </c>
    </row>
    <row r="106" spans="1:40" ht="21" customHeight="1" x14ac:dyDescent="0.15">
      <c r="A106" s="16" t="str">
        <f t="shared" ca="1" si="15"/>
        <v>11007_5-3/332&lt;lv2&gt;s1</v>
      </c>
      <c r="B106" s="22">
        <v>11007</v>
      </c>
      <c r="C106" s="21">
        <v>5</v>
      </c>
      <c r="D106" s="2" t="str">
        <f t="shared" si="16"/>
        <v>11007_5</v>
      </c>
      <c r="E106" s="4" t="str">
        <f ca="1">VLOOKUP($B106,OFFSET([2]quests!$A$1,0,0,COUNTA([2]quests!$A:$A),MATCH(E$1,[2]quests!$1:$1,0)-MATCH($B$1,[2]quests!$1:$1,0)+1),MATCH(E$1,[2]quests!$1:$1,0)-MATCH($B$1,[2]quests!$1:$1,0)+1,FALSE)</f>
        <v>【土曜限定】 赤と緑の素材</v>
      </c>
      <c r="F106" s="4" t="str">
        <f ca="1">VLOOKUP($D106,OFFSET([2]stages!$A$1,0,0,COUNTA([2]stages!$A:$A),MATCH(F$1,[2]stages!$2:$2,0)-MATCH($D$1,[2]stages!$2:$2,0)+1),MATCH(F$1,[2]stages!$2:$2,0)-MATCH($D$1,[2]stages!$2:$2,0)+1,FALSE)</f>
        <v>【超絶級】ドードーとグリフォン</v>
      </c>
      <c r="G106" s="21">
        <v>3</v>
      </c>
      <c r="H106" s="15" t="str">
        <f t="shared" si="17"/>
        <v>11007_5-3</v>
      </c>
      <c r="I106" s="4">
        <f ca="1">VLOOKUP($H106,OFFSET(floors!$A$1,0,0,COUNTA(floors!$A:$A),MATCH(I$1,floors!$1:$1,0)-MATCH($H$1,floors!$1:$1,0)+1),MATCH(I$1,floors!$1:$1,0)-MATCH($H$1,floors!$1:$1,0)+1,FALSE)</f>
        <v>50</v>
      </c>
      <c r="J106" s="4">
        <f ca="1">VLOOKUP($H106,OFFSET(floors!$A$1,0,0,COUNTA(floors!$A:$A),MATCH(J$1,floors!$1:$1,0)-MATCH($H$1,floors!$1:$1,0)+1),MATCH(J$1,floors!$1:$1,0)-MATCH($H$1,floors!$1:$1,0)+1,FALSE)</f>
        <v>60</v>
      </c>
      <c r="K106" s="100" t="s">
        <v>209</v>
      </c>
      <c r="L106" s="98">
        <v>332</v>
      </c>
      <c r="M106" s="17" t="str">
        <f ca="1">VLOOKUP($L106,OFFSET([3]enemies!$A$1,0,0,COUNTA([3]enemies!$A:$A),MATCH(M$1,[3]enemies!$1:$1,0)-MATCH($L$1,[3]enemies!$1:$1,0)+1),MATCH(M$1,[3]enemies!$1:$1,0)-MATCH($L$1,[3]enemies!$1:$1,0)+1,FALSE)</f>
        <v>炎のメタルピヨピヨ</v>
      </c>
      <c r="N106" s="17" t="str">
        <f ca="1">VLOOKUP($L106,OFFSET([3]enemies!$A$1,0,0,COUNTA([3]enemies!$A:$A),MATCH(N$1,[3]enemies!$1:$1,0)-MATCH($L$1,[3]enemies!$1:$1,0)+1),MATCH(N$1,[3]enemies!$1:$1,0)-MATCH($L$1,[3]enemies!$1:$1,0)+1,FALSE)</f>
        <v>red</v>
      </c>
      <c r="O106" s="17" t="str">
        <f ca="1">VLOOKUP($L106,OFFSET([4]characters!$A$1,0,0,COUNTA([4]characters!$A:$A),MATCH(O$1,[4]characters!$1:$1,0)-MATCH($L$1,[4]characters!$1:$1,0)+1),MATCH(O$1,[4]characters!$1:$1,0)-MATCH($L$1,[4]characters!$1:$1,0)+1,FALSE)</f>
        <v>Material</v>
      </c>
      <c r="P106" s="17" t="str">
        <f ca="1">VLOOKUP($L106,OFFSET([3]enemies!$A$1,0,0,COUNTA([3]enemies!$A:$A),MATCH(P$1,[3]enemies!$1:$1,0)-MATCH($L$1,[3]enemies!$1:$1,0)+1),MATCH(P$1,[3]enemies!$1:$1,0)-MATCH($L$1,[3]enemies!$1:$1,0)+1,FALSE)</f>
        <v>unknown</v>
      </c>
      <c r="Q106" s="17">
        <f ca="1">VLOOKUP($L106,OFFSET([3]enemies!$A$1,0,0,COUNTA([3]enemies!$A:$A),MATCH(Q$1,[3]enemies!$1:$1,0)-MATCH($L$1,[3]enemies!$1:$1,0)+1),MATCH(Q$1,[3]enemies!$1:$1,0)-MATCH($L$1,[3]enemies!$1:$1,0)+1,FALSE)</f>
        <v>15</v>
      </c>
      <c r="R106" s="5">
        <v>2</v>
      </c>
      <c r="S106" s="25">
        <v>2</v>
      </c>
      <c r="T106" s="25">
        <v>99</v>
      </c>
      <c r="U106" s="5">
        <v>0</v>
      </c>
      <c r="V106" s="4" t="str">
        <f ca="1">VLOOKUP($W106,OFFSET([5]enemy_skill_sets!$B$1,0,0,COUNTA([5]enemy_skill_sets!$B:$B),MATCH(M$1,[5]enemy_skill_sets!$1:$1,0)-MATCH($W$1,[5]enemy_skill_sets!$1:$1,0)+2),MATCH(M$1,[5]enemy_skill_sets!$1:$1,0)-MATCH($W$1,[5]enemy_skill_sets!$1:$1,0)+2,FALSE)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6" s="4">
        <f ca="1">VLOOKUP($L106,OFFSET([3]enemies!$A$1,0,0,COUNTA([3]enemies!$A:$A),MATCH(W$1,[3]enemies!$1:$1,0)-MATCH($L$1,[3]enemies!$1:$1,0)+1),MATCH(W$1,[3]enemies!$1:$1,0)-MATCH($L$1,[3]enemies!$1:$1,0)+1,FALSE)</f>
        <v>0</v>
      </c>
      <c r="X106" s="6">
        <v>0</v>
      </c>
      <c r="Y106" s="6">
        <v>100</v>
      </c>
      <c r="Z106" s="6">
        <v>2</v>
      </c>
      <c r="AA106" s="17">
        <f ca="1">VLOOKUP($L106,OFFSET([3]enemies!$A$1,0,0,COUNTA([3]enemies!$A:$A),MATCH(AA$1,[3]enemies!$1:$1,0)-MATCH($L$1,[3]enemies!$1:$1,0)+1),MATCH(AA$1,[3]enemies!$1:$1,0)-MATCH($L$1,[3]enemies!$1:$1,0)+1,FALSE)</f>
        <v>1</v>
      </c>
      <c r="AB106" s="24">
        <f t="shared" si="18"/>
        <v>332</v>
      </c>
      <c r="AC106" s="4" t="str">
        <f ca="1">VLOOKUP($AB106,OFFSET([4]characters!$A$1,0,0,COUNTA([4]characters!$A:$A),MATCH(AC$1,[4]characters!$1:$1,0)-MATCH("character_id",[4]characters!$1:$1,0)+1),MATCH(AC$1,[4]characters!$1:$1,0)-MATCH("character_id",[4]characters!$1:$1,0)+1,FALSE)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106" s="4">
        <f ca="1">VLOOKUP($AB106,OFFSET([4]characters!$A$1,0,0,COUNTA([4]characters!$A:$A),MATCH(AD$1,[4]characters!$1:$1,0)-MATCH("character_id",[4]characters!$1:$1,0)+1),MATCH(AD$1,[4]characters!$1:$1,0)-MATCH("character_id",[4]characters!$1:$1,0)+1,FALSE)</f>
        <v>3</v>
      </c>
      <c r="AE106" s="4" t="str">
        <f ca="1">VLOOKUP($AB106,OFFSET([4]characters!$A$1,0,0,COUNTA([4]characters!$A:$A),MATCH(AE$1,[4]characters!$1:$1,0)-MATCH("character_id",[4]characters!$1:$1,0)+1),MATCH(AE$1,[4]characters!$1:$1,0)-MATCH("character_id",[4]characters!$1:$1,0)+1,FALSE)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6" s="7">
        <v>1</v>
      </c>
      <c r="AG106" s="24">
        <f t="shared" ca="1" si="19"/>
        <v>3</v>
      </c>
      <c r="AH106" s="8">
        <v>20</v>
      </c>
      <c r="AI106" s="7">
        <v>0</v>
      </c>
      <c r="AJ106" s="7">
        <v>0</v>
      </c>
      <c r="AK106" s="7">
        <v>0</v>
      </c>
      <c r="AL106" s="7">
        <v>0</v>
      </c>
      <c r="AM106" s="7">
        <v>1</v>
      </c>
      <c r="AN106" s="69">
        <v>1</v>
      </c>
    </row>
    <row r="107" spans="1:40" ht="21" customHeight="1" x14ac:dyDescent="0.15">
      <c r="A107" s="16" t="str">
        <f t="shared" ca="1" si="15"/>
        <v>11007_5-3/333&lt;lv2&gt;s2</v>
      </c>
      <c r="B107" s="22">
        <v>11007</v>
      </c>
      <c r="C107" s="21">
        <v>5</v>
      </c>
      <c r="D107" s="2" t="str">
        <f t="shared" si="16"/>
        <v>11007_5</v>
      </c>
      <c r="E107" s="4" t="str">
        <f ca="1">VLOOKUP($B107,OFFSET([2]quests!$A$1,0,0,COUNTA([2]quests!$A:$A),MATCH(E$1,[2]quests!$1:$1,0)-MATCH($B$1,[2]quests!$1:$1,0)+1),MATCH(E$1,[2]quests!$1:$1,0)-MATCH($B$1,[2]quests!$1:$1,0)+1,FALSE)</f>
        <v>【土曜限定】 赤と緑の素材</v>
      </c>
      <c r="F107" s="4" t="str">
        <f ca="1">VLOOKUP($D107,OFFSET([2]stages!$A$1,0,0,COUNTA([2]stages!$A:$A),MATCH(F$1,[2]stages!$2:$2,0)-MATCH($D$1,[2]stages!$2:$2,0)+1),MATCH(F$1,[2]stages!$2:$2,0)-MATCH($D$1,[2]stages!$2:$2,0)+1,FALSE)</f>
        <v>【超絶級】ドードーとグリフォン</v>
      </c>
      <c r="G107" s="21">
        <v>3</v>
      </c>
      <c r="H107" s="15" t="str">
        <f t="shared" si="17"/>
        <v>11007_5-3</v>
      </c>
      <c r="I107" s="4">
        <f ca="1">VLOOKUP($H107,OFFSET(floors!$A$1,0,0,COUNTA(floors!$A:$A),MATCH(I$1,floors!$1:$1,0)-MATCH($H$1,floors!$1:$1,0)+1),MATCH(I$1,floors!$1:$1,0)-MATCH($H$1,floors!$1:$1,0)+1,FALSE)</f>
        <v>50</v>
      </c>
      <c r="J107" s="4">
        <f ca="1">VLOOKUP($H107,OFFSET(floors!$A$1,0,0,COUNTA(floors!$A:$A),MATCH(J$1,floors!$1:$1,0)-MATCH($H$1,floors!$1:$1,0)+1),MATCH(J$1,floors!$1:$1,0)-MATCH($H$1,floors!$1:$1,0)+1,FALSE)</f>
        <v>60</v>
      </c>
      <c r="K107" s="100" t="s">
        <v>209</v>
      </c>
      <c r="L107" s="98">
        <v>333</v>
      </c>
      <c r="M107" s="17" t="str">
        <f ca="1">VLOOKUP($L107,OFFSET([3]enemies!$A$1,0,0,COUNTA([3]enemies!$A:$A),MATCH(M$1,[3]enemies!$1:$1,0)-MATCH($L$1,[3]enemies!$1:$1,0)+1),MATCH(M$1,[3]enemies!$1:$1,0)-MATCH($L$1,[3]enemies!$1:$1,0)+1,FALSE)</f>
        <v>炎のメタルチック</v>
      </c>
      <c r="N107" s="17" t="str">
        <f ca="1">VLOOKUP($L107,OFFSET([3]enemies!$A$1,0,0,COUNTA([3]enemies!$A:$A),MATCH(N$1,[3]enemies!$1:$1,0)-MATCH($L$1,[3]enemies!$1:$1,0)+1),MATCH(N$1,[3]enemies!$1:$1,0)-MATCH($L$1,[3]enemies!$1:$1,0)+1,FALSE)</f>
        <v>red</v>
      </c>
      <c r="O107" s="17" t="str">
        <f ca="1">VLOOKUP($L107,OFFSET([4]characters!$A$1,0,0,COUNTA([4]characters!$A:$A),MATCH(O$1,[4]characters!$1:$1,0)-MATCH($L$1,[4]characters!$1:$1,0)+1),MATCH(O$1,[4]characters!$1:$1,0)-MATCH($L$1,[4]characters!$1:$1,0)+1,FALSE)</f>
        <v>Material</v>
      </c>
      <c r="P107" s="17" t="str">
        <f ca="1">VLOOKUP($L107,OFFSET([3]enemies!$A$1,0,0,COUNTA([3]enemies!$A:$A),MATCH(P$1,[3]enemies!$1:$1,0)-MATCH($L$1,[3]enemies!$1:$1,0)+1),MATCH(P$1,[3]enemies!$1:$1,0)-MATCH($L$1,[3]enemies!$1:$1,0)+1,FALSE)</f>
        <v>unknown</v>
      </c>
      <c r="Q107" s="17">
        <f ca="1">VLOOKUP($L107,OFFSET([3]enemies!$A$1,0,0,COUNTA([3]enemies!$A:$A),MATCH(Q$1,[3]enemies!$1:$1,0)-MATCH($L$1,[3]enemies!$1:$1,0)+1),MATCH(Q$1,[3]enemies!$1:$1,0)-MATCH($L$1,[3]enemies!$1:$1,0)+1,FALSE)</f>
        <v>15</v>
      </c>
      <c r="R107" s="5">
        <v>2</v>
      </c>
      <c r="S107" s="25">
        <v>2</v>
      </c>
      <c r="T107" s="25">
        <v>99</v>
      </c>
      <c r="U107" s="5">
        <v>0</v>
      </c>
      <c r="V107" s="4" t="e">
        <f ca="1">VLOOKUP($W107,OFFSET(enemy_skill_sets!$B$1,0,0,COUNTA(enemy_skill_sets!$B:$B),MATCH(M$1,enemy_skill_sets!$1:$1,0)-MATCH($W$1,enemy_skill_sets!$1:$1,0)+2),MATCH(M$1,enemy_skill_sets!$1:$1,0)-MATCH($W$1,enemy_skill_sets!$1:$1,0)+2,FALSE)</f>
        <v>#N/A</v>
      </c>
      <c r="W107" s="4">
        <f ca="1">VLOOKUP($L107,OFFSET([3]enemies!$A$1,0,0,COUNTA([3]enemies!$A:$A),MATCH(W$1,[3]enemies!$1:$1,0)-MATCH($L$1,[3]enemies!$1:$1,0)+1),MATCH(W$1,[3]enemies!$1:$1,0)-MATCH($L$1,[3]enemies!$1:$1,0)+1,FALSE)</f>
        <v>0</v>
      </c>
      <c r="X107" s="6">
        <v>0</v>
      </c>
      <c r="Y107" s="6">
        <v>100</v>
      </c>
      <c r="Z107" s="6">
        <v>2</v>
      </c>
      <c r="AA107" s="17">
        <f ca="1">VLOOKUP($L107,OFFSET([3]enemies!$A$1,0,0,COUNTA([3]enemies!$A:$A),MATCH(AA$1,[3]enemies!$1:$1,0)-MATCH($L$1,[3]enemies!$1:$1,0)+1),MATCH(AA$1,[3]enemies!$1:$1,0)-MATCH($L$1,[3]enemies!$1:$1,0)+1,FALSE)</f>
        <v>2</v>
      </c>
      <c r="AB107" s="24">
        <f t="shared" si="18"/>
        <v>333</v>
      </c>
      <c r="AC107" s="4" t="str">
        <f ca="1">VLOOKUP($AB107,OFFSET([4]characters!$A$1,0,0,COUNTA([4]characters!$A:$A),MATCH(AC$1,[4]characters!$1:$1,0)-MATCH("character_id",[4]characters!$1:$1,0)+1),MATCH(AC$1,[4]characters!$1:$1,0)-MATCH("character_id",[4]characters!$1:$1,0)+1,FALSE)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107" s="4">
        <f ca="1">VLOOKUP($AB107,OFFSET([4]characters!$A$1,0,0,COUNTA([4]characters!$A:$A),MATCH(AD$1,[4]characters!$1:$1,0)-MATCH("character_id",[4]characters!$1:$1,0)+1),MATCH(AD$1,[4]characters!$1:$1,0)-MATCH("character_id",[4]characters!$1:$1,0)+1,FALSE)</f>
        <v>4</v>
      </c>
      <c r="AE107" s="4" t="str">
        <f ca="1">VLOOKUP($AB107,OFFSET([4]characters!$A$1,0,0,COUNTA([4]characters!$A:$A),MATCH(AE$1,[4]characters!$1:$1,0)-MATCH("character_id",[4]characters!$1:$1,0)+1),MATCH(AE$1,[4]characters!$1:$1,0)-MATCH("character_id",[4]characters!$1:$1,0)+1,FALSE)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7" s="7">
        <v>1</v>
      </c>
      <c r="AG107" s="24">
        <f t="shared" ca="1" si="19"/>
        <v>4</v>
      </c>
      <c r="AH107" s="8">
        <v>10</v>
      </c>
      <c r="AI107" s="7">
        <v>0</v>
      </c>
      <c r="AJ107" s="7">
        <v>0</v>
      </c>
      <c r="AK107" s="7">
        <v>0</v>
      </c>
      <c r="AL107" s="7">
        <v>0</v>
      </c>
      <c r="AM107" s="7">
        <v>1</v>
      </c>
      <c r="AN107" s="69">
        <v>1</v>
      </c>
    </row>
    <row r="108" spans="1:40" ht="21" customHeight="1" x14ac:dyDescent="0.15">
      <c r="A108" s="16" t="str">
        <f t="shared" si="15"/>
        <v>11007_5-4/360&lt;lv52&gt;s2</v>
      </c>
      <c r="B108" s="22">
        <v>11007</v>
      </c>
      <c r="C108" s="21">
        <v>5</v>
      </c>
      <c r="D108" s="2" t="str">
        <f t="shared" si="16"/>
        <v>11007_5</v>
      </c>
      <c r="E108" s="4" t="str">
        <f ca="1">VLOOKUP($B108,OFFSET([2]quests!$A$1,0,0,COUNTA([2]quests!$A:$A),MATCH(E$1,[2]quests!$1:$1,0)-MATCH($B$1,[2]quests!$1:$1,0)+1),MATCH(E$1,[2]quests!$1:$1,0)-MATCH($B$1,[2]quests!$1:$1,0)+1,FALSE)</f>
        <v>【土曜限定】 赤と緑の素材</v>
      </c>
      <c r="F108" s="4" t="str">
        <f ca="1">VLOOKUP($D108,OFFSET([2]stages!$A$1,0,0,COUNTA([2]stages!$A:$A),MATCH(F$1,[2]stages!$2:$2,0)-MATCH($D$1,[2]stages!$2:$2,0)+1),MATCH(F$1,[2]stages!$2:$2,0)-MATCH($D$1,[2]stages!$2:$2,0)+1,FALSE)</f>
        <v>【超絶級】ドードーとグリフォン</v>
      </c>
      <c r="G108" s="21">
        <v>4</v>
      </c>
      <c r="H108" s="15" t="str">
        <f t="shared" si="17"/>
        <v>11007_5-4</v>
      </c>
      <c r="I108" s="4">
        <f ca="1">VLOOKUP($H108,OFFSET(floors!$A$1,0,0,COUNTA(floors!$A:$A),MATCH(I$1,floors!$1:$1,0)-MATCH($H$1,floors!$1:$1,0)+1),MATCH(I$1,floors!$1:$1,0)-MATCH($H$1,floors!$1:$1,0)+1,FALSE)</f>
        <v>45</v>
      </c>
      <c r="J108" s="4">
        <f ca="1">VLOOKUP($H108,OFFSET(floors!$A$1,0,0,COUNTA(floors!$A:$A),MATCH(J$1,floors!$1:$1,0)-MATCH($H$1,floors!$1:$1,0)+1),MATCH(J$1,floors!$1:$1,0)-MATCH($H$1,floors!$1:$1,0)+1,FALSE)</f>
        <v>60</v>
      </c>
      <c r="K108" s="100" t="s">
        <v>209</v>
      </c>
      <c r="L108" s="98">
        <v>360</v>
      </c>
      <c r="M108" s="17" t="str">
        <f ca="1">VLOOKUP($L108,OFFSET([3]enemies!$A$1,0,0,COUNTA([3]enemies!$A:$A),MATCH(M$1,[3]enemies!$1:$1,0)-MATCH($L$1,[3]enemies!$1:$1,0)+1),MATCH(M$1,[3]enemies!$1:$1,0)-MATCH($L$1,[3]enemies!$1:$1,0)+1,FALSE)</f>
        <v>ガンテツ</v>
      </c>
      <c r="N108" s="17" t="str">
        <f ca="1">VLOOKUP($L108,OFFSET([3]enemies!$A$1,0,0,COUNTA([3]enemies!$A:$A),MATCH(N$1,[3]enemies!$1:$1,0)-MATCH($L$1,[3]enemies!$1:$1,0)+1),MATCH(N$1,[3]enemies!$1:$1,0)-MATCH($L$1,[3]enemies!$1:$1,0)+1,FALSE)</f>
        <v>red</v>
      </c>
      <c r="O108" s="17" t="str">
        <f ca="1">VLOOKUP($L108,OFFSET([4]characters!$A$1,0,0,COUNTA([4]characters!$A:$A),MATCH(O$1,[4]characters!$1:$1,0)-MATCH($L$1,[4]characters!$1:$1,0)+1),MATCH(O$1,[4]characters!$1:$1,0)-MATCH($L$1,[4]characters!$1:$1,0)+1,FALSE)</f>
        <v>Drop1S</v>
      </c>
      <c r="P108" s="17" t="str">
        <f ca="1">VLOOKUP($L108,OFFSET([3]enemies!$A$1,0,0,COUNTA([3]enemies!$A:$A),MATCH(P$1,[3]enemies!$1:$1,0)-MATCH($L$1,[3]enemies!$1:$1,0)+1),MATCH(P$1,[3]enemies!$1:$1,0)-MATCH($L$1,[3]enemies!$1:$1,0)+1,FALSE)</f>
        <v>animal</v>
      </c>
      <c r="Q108" s="17">
        <f ca="1">VLOOKUP($L108,OFFSET([3]enemies!$A$1,0,0,COUNTA([3]enemies!$A:$A),MATCH(Q$1,[3]enemies!$1:$1,0)-MATCH($L$1,[3]enemies!$1:$1,0)+1),MATCH(Q$1,[3]enemies!$1:$1,0)-MATCH($L$1,[3]enemies!$1:$1,0)+1,FALSE)</f>
        <v>15</v>
      </c>
      <c r="R108" s="5">
        <v>52</v>
      </c>
      <c r="S108" s="25">
        <v>1.2</v>
      </c>
      <c r="T108" s="25">
        <v>1</v>
      </c>
      <c r="U108" s="5">
        <v>0</v>
      </c>
      <c r="V108" s="4" t="str">
        <f ca="1">VLOOKUP($W108,OFFSET(enemy_skill_sets!$B$1,0,0,COUNTA(enemy_skill_sets!$B:$B),MATCH(M$1,enemy_skill_sets!$1:$1,0)-MATCH($W$1,enemy_skill_sets!$1:$1,0)+2),MATCH(M$1,enemy_skill_sets!$1:$1,0)-MATCH($W$1,enemy_skill_sets!$1:$1,0)+2,FALSE)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108" s="4">
        <v>1122206</v>
      </c>
      <c r="X108" s="6">
        <v>0</v>
      </c>
      <c r="Y108" s="6">
        <v>50</v>
      </c>
      <c r="Z108" s="6">
        <v>1</v>
      </c>
      <c r="AA108" s="17">
        <v>2</v>
      </c>
      <c r="AB108" s="24">
        <f t="shared" si="18"/>
        <v>360</v>
      </c>
      <c r="AC108" s="4" t="str">
        <f ca="1">VLOOKUP($AB108,OFFSET([4]characters!$A$1,0,0,COUNTA([4]characters!$A:$A),MATCH(AC$1,[4]characters!$1:$1,0)-MATCH("character_id",[4]characters!$1:$1,0)+1),MATCH(AC$1,[4]characters!$1:$1,0)-MATCH("character_id",[4]characters!$1:$1,0)+1,FALSE)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08" s="4">
        <f ca="1">VLOOKUP($AB108,OFFSET([4]characters!$A$1,0,0,COUNTA([4]characters!$A:$A),MATCH(AD$1,[4]characters!$1:$1,0)-MATCH("character_id",[4]characters!$1:$1,0)+1),MATCH(AD$1,[4]characters!$1:$1,0)-MATCH("character_id",[4]characters!$1:$1,0)+1,FALSE)</f>
        <v>2</v>
      </c>
      <c r="AE108" s="4" t="str">
        <f ca="1">VLOOKUP($AB108,OFFSET([4]characters!$A$1,0,0,COUNTA([4]characters!$A:$A),MATCH(AE$1,[4]characters!$1:$1,0)-MATCH("character_id",[4]characters!$1:$1,0)+1),MATCH(AE$1,[4]characters!$1:$1,0)-MATCH("character_id",[4]characters!$1:$1,0)+1,FALSE)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8" s="7">
        <v>1</v>
      </c>
      <c r="AG108" s="24">
        <f t="shared" ca="1" si="19"/>
        <v>2</v>
      </c>
      <c r="AH108" s="8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1</v>
      </c>
      <c r="AN108" s="69">
        <v>1</v>
      </c>
    </row>
    <row r="109" spans="1:40" ht="21" customHeight="1" x14ac:dyDescent="0.15">
      <c r="A109" s="16" t="str">
        <f t="shared" si="15"/>
        <v>11007_5-4/370&lt;lv52&gt;s1</v>
      </c>
      <c r="B109" s="22">
        <v>11007</v>
      </c>
      <c r="C109" s="21">
        <v>5</v>
      </c>
      <c r="D109" s="2" t="str">
        <f t="shared" si="16"/>
        <v>11007_5</v>
      </c>
      <c r="E109" s="4" t="str">
        <f ca="1">VLOOKUP($B109,OFFSET([2]quests!$A$1,0,0,COUNTA([2]quests!$A:$A),MATCH(E$1,[2]quests!$1:$1,0)-MATCH($B$1,[2]quests!$1:$1,0)+1),MATCH(E$1,[2]quests!$1:$1,0)-MATCH($B$1,[2]quests!$1:$1,0)+1,FALSE)</f>
        <v>【土曜限定】 赤と緑の素材</v>
      </c>
      <c r="F109" s="4" t="str">
        <f ca="1">VLOOKUP($D109,OFFSET([2]stages!$A$1,0,0,COUNTA([2]stages!$A:$A),MATCH(F$1,[2]stages!$2:$2,0)-MATCH($D$1,[2]stages!$2:$2,0)+1),MATCH(F$1,[2]stages!$2:$2,0)-MATCH($D$1,[2]stages!$2:$2,0)+1,FALSE)</f>
        <v>【超絶級】ドードーとグリフォン</v>
      </c>
      <c r="G109" s="21">
        <v>4</v>
      </c>
      <c r="H109" s="15" t="str">
        <f t="shared" si="17"/>
        <v>11007_5-4</v>
      </c>
      <c r="I109" s="4">
        <f ca="1">VLOOKUP($H109,OFFSET(floors!$A$1,0,0,COUNTA(floors!$A:$A),MATCH(I$1,floors!$1:$1,0)-MATCH($H$1,floors!$1:$1,0)+1),MATCH(I$1,floors!$1:$1,0)-MATCH($H$1,floors!$1:$1,0)+1,FALSE)</f>
        <v>45</v>
      </c>
      <c r="J109" s="4">
        <f ca="1">VLOOKUP($H109,OFFSET(floors!$A$1,0,0,COUNTA(floors!$A:$A),MATCH(J$1,floors!$1:$1,0)-MATCH($H$1,floors!$1:$1,0)+1),MATCH(J$1,floors!$1:$1,0)-MATCH($H$1,floors!$1:$1,0)+1,FALSE)</f>
        <v>60</v>
      </c>
      <c r="K109" s="100" t="s">
        <v>209</v>
      </c>
      <c r="L109" s="98">
        <v>370</v>
      </c>
      <c r="M109" s="17" t="str">
        <f ca="1">VLOOKUP($L109,OFFSET([3]enemies!$A$1,0,0,COUNTA([3]enemies!$A:$A),MATCH(M$1,[3]enemies!$1:$1,0)-MATCH($L$1,[3]enemies!$1:$1,0)+1),MATCH(M$1,[3]enemies!$1:$1,0)-MATCH($L$1,[3]enemies!$1:$1,0)+1,FALSE)</f>
        <v>タイチ</v>
      </c>
      <c r="N109" s="17" t="str">
        <f ca="1">VLOOKUP($L109,OFFSET([3]enemies!$A$1,0,0,COUNTA([3]enemies!$A:$A),MATCH(N$1,[3]enemies!$1:$1,0)-MATCH($L$1,[3]enemies!$1:$1,0)+1),MATCH(N$1,[3]enemies!$1:$1,0)-MATCH($L$1,[3]enemies!$1:$1,0)+1,FALSE)</f>
        <v>red</v>
      </c>
      <c r="O109" s="17" t="str">
        <f ca="1">VLOOKUP($L109,OFFSET([4]characters!$A$1,0,0,COUNTA([4]characters!$A:$A),MATCH(O$1,[4]characters!$1:$1,0)-MATCH($L$1,[4]characters!$1:$1,0)+1),MATCH(O$1,[4]characters!$1:$1,0)-MATCH($L$1,[4]characters!$1:$1,0)+1,FALSE)</f>
        <v>Drop1S</v>
      </c>
      <c r="P109" s="17" t="str">
        <f ca="1">VLOOKUP($L109,OFFSET([3]enemies!$A$1,0,0,COUNTA([3]enemies!$A:$A),MATCH(P$1,[3]enemies!$1:$1,0)-MATCH($L$1,[3]enemies!$1:$1,0)+1),MATCH(P$1,[3]enemies!$1:$1,0)-MATCH($L$1,[3]enemies!$1:$1,0)+1,FALSE)</f>
        <v>unknown</v>
      </c>
      <c r="Q109" s="17">
        <f ca="1">VLOOKUP($L109,OFFSET([3]enemies!$A$1,0,0,COUNTA([3]enemies!$A:$A),MATCH(Q$1,[3]enemies!$1:$1,0)-MATCH($L$1,[3]enemies!$1:$1,0)+1),MATCH(Q$1,[3]enemies!$1:$1,0)-MATCH($L$1,[3]enemies!$1:$1,0)+1,FALSE)</f>
        <v>15</v>
      </c>
      <c r="R109" s="5">
        <v>52</v>
      </c>
      <c r="S109" s="25">
        <v>1.7</v>
      </c>
      <c r="T109" s="25">
        <v>1</v>
      </c>
      <c r="U109" s="5">
        <v>0</v>
      </c>
      <c r="V109" s="4" t="str">
        <f ca="1">VLOOKUP($W109,OFFSET(enemy_skill_sets!$B$1,0,0,COUNTA(enemy_skill_sets!$B:$B),MATCH(M$1,enemy_skill_sets!$1:$1,0)-MATCH($W$1,enemy_skill_sets!$1:$1,0)+2),MATCH(M$1,enemy_skill_sets!$1:$1,0)-MATCH($W$1,enemy_skill_sets!$1:$1,0)+2,FALSE)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109" s="4">
        <v>1122201</v>
      </c>
      <c r="X109" s="6">
        <v>0</v>
      </c>
      <c r="Y109" s="6">
        <v>50</v>
      </c>
      <c r="Z109" s="6">
        <v>2</v>
      </c>
      <c r="AA109" s="17">
        <v>1</v>
      </c>
      <c r="AB109" s="24">
        <f t="shared" si="18"/>
        <v>370</v>
      </c>
      <c r="AC109" s="4" t="str">
        <f ca="1">VLOOKUP($AB109,OFFSET([4]characters!$A$1,0,0,COUNTA([4]characters!$A:$A),MATCH(AC$1,[4]characters!$1:$1,0)-MATCH("character_id",[4]characters!$1:$1,0)+1),MATCH(AC$1,[4]characters!$1:$1,0)-MATCH("character_id",[4]characters!$1:$1,0)+1,FALSE)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109" s="4">
        <f ca="1">VLOOKUP($AB109,OFFSET([4]characters!$A$1,0,0,COUNTA([4]characters!$A:$A),MATCH(AD$1,[4]characters!$1:$1,0)-MATCH("character_id",[4]characters!$1:$1,0)+1),MATCH(AD$1,[4]characters!$1:$1,0)-MATCH("character_id",[4]characters!$1:$1,0)+1,FALSE)</f>
        <v>2</v>
      </c>
      <c r="AE109" s="4" t="str">
        <f ca="1">VLOOKUP($AB109,OFFSET([4]characters!$A$1,0,0,COUNTA([4]characters!$A:$A),MATCH(AE$1,[4]characters!$1:$1,0)-MATCH("character_id",[4]characters!$1:$1,0)+1),MATCH(AE$1,[4]characters!$1:$1,0)-MATCH("character_id",[4]characters!$1:$1,0)+1,FALSE)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9" s="7">
        <v>1</v>
      </c>
      <c r="AG109" s="24">
        <f t="shared" ca="1" si="19"/>
        <v>2</v>
      </c>
      <c r="AH109" s="8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1</v>
      </c>
      <c r="AN109" s="69">
        <v>1</v>
      </c>
    </row>
    <row r="110" spans="1:40" ht="21" customHeight="1" x14ac:dyDescent="0.15">
      <c r="A110" s="16" t="str">
        <f t="shared" si="15"/>
        <v>11007_5-5/360&lt;lv52&gt;s2</v>
      </c>
      <c r="B110" s="22">
        <v>11007</v>
      </c>
      <c r="C110" s="21">
        <v>5</v>
      </c>
      <c r="D110" s="2" t="str">
        <f t="shared" si="16"/>
        <v>11007_5</v>
      </c>
      <c r="E110" s="4" t="str">
        <f ca="1">VLOOKUP($B110,OFFSET([2]quests!$A$1,0,0,COUNTA([2]quests!$A:$A),MATCH(E$1,[2]quests!$1:$1,0)-MATCH($B$1,[2]quests!$1:$1,0)+1),MATCH(E$1,[2]quests!$1:$1,0)-MATCH($B$1,[2]quests!$1:$1,0)+1,FALSE)</f>
        <v>【土曜限定】 赤と緑の素材</v>
      </c>
      <c r="F110" s="4" t="str">
        <f ca="1">VLOOKUP($D110,OFFSET([2]stages!$A$1,0,0,COUNTA([2]stages!$A:$A),MATCH(F$1,[2]stages!$2:$2,0)-MATCH($D$1,[2]stages!$2:$2,0)+1),MATCH(F$1,[2]stages!$2:$2,0)-MATCH($D$1,[2]stages!$2:$2,0)+1,FALSE)</f>
        <v>【超絶級】ドードーとグリフォン</v>
      </c>
      <c r="G110" s="21">
        <v>5</v>
      </c>
      <c r="H110" s="15" t="str">
        <f t="shared" si="17"/>
        <v>11007_5-5</v>
      </c>
      <c r="I110" s="4">
        <f ca="1">VLOOKUP($H110,OFFSET(floors!$A$1,0,0,COUNTA(floors!$A:$A),MATCH(I$1,floors!$1:$1,0)-MATCH($H$1,floors!$1:$1,0)+1),MATCH(I$1,floors!$1:$1,0)-MATCH($H$1,floors!$1:$1,0)+1,FALSE)</f>
        <v>60</v>
      </c>
      <c r="J110" s="4">
        <f ca="1">VLOOKUP($H110,OFFSET(floors!$A$1,0,0,COUNTA(floors!$A:$A),MATCH(J$1,floors!$1:$1,0)-MATCH($H$1,floors!$1:$1,0)+1),MATCH(J$1,floors!$1:$1,0)-MATCH($H$1,floors!$1:$1,0)+1,FALSE)</f>
        <v>60</v>
      </c>
      <c r="K110" s="100" t="s">
        <v>209</v>
      </c>
      <c r="L110" s="98">
        <v>360</v>
      </c>
      <c r="M110" s="17" t="str">
        <f ca="1">VLOOKUP($L110,OFFSET([3]enemies!$A$1,0,0,COUNTA([3]enemies!$A:$A),MATCH(M$1,[3]enemies!$1:$1,0)-MATCH($L$1,[3]enemies!$1:$1,0)+1),MATCH(M$1,[3]enemies!$1:$1,0)-MATCH($L$1,[3]enemies!$1:$1,0)+1,FALSE)</f>
        <v>ガンテツ</v>
      </c>
      <c r="N110" s="17" t="str">
        <f ca="1">VLOOKUP($L110,OFFSET([3]enemies!$A$1,0,0,COUNTA([3]enemies!$A:$A),MATCH(N$1,[3]enemies!$1:$1,0)-MATCH($L$1,[3]enemies!$1:$1,0)+1),MATCH(N$1,[3]enemies!$1:$1,0)-MATCH($L$1,[3]enemies!$1:$1,0)+1,FALSE)</f>
        <v>red</v>
      </c>
      <c r="O110" s="17" t="str">
        <f ca="1">VLOOKUP($L110,OFFSET([4]characters!$A$1,0,0,COUNTA([4]characters!$A:$A),MATCH(O$1,[4]characters!$1:$1,0)-MATCH($L$1,[4]characters!$1:$1,0)+1),MATCH(O$1,[4]characters!$1:$1,0)-MATCH($L$1,[4]characters!$1:$1,0)+1,FALSE)</f>
        <v>Drop1S</v>
      </c>
      <c r="P110" s="17" t="str">
        <f ca="1">VLOOKUP($L110,OFFSET([3]enemies!$A$1,0,0,COUNTA([3]enemies!$A:$A),MATCH(P$1,[3]enemies!$1:$1,0)-MATCH($L$1,[3]enemies!$1:$1,0)+1),MATCH(P$1,[3]enemies!$1:$1,0)-MATCH($L$1,[3]enemies!$1:$1,0)+1,FALSE)</f>
        <v>animal</v>
      </c>
      <c r="Q110" s="17">
        <f ca="1">VLOOKUP($L110,OFFSET([3]enemies!$A$1,0,0,COUNTA([3]enemies!$A:$A),MATCH(Q$1,[3]enemies!$1:$1,0)-MATCH($L$1,[3]enemies!$1:$1,0)+1),MATCH(Q$1,[3]enemies!$1:$1,0)-MATCH($L$1,[3]enemies!$1:$1,0)+1,FALSE)</f>
        <v>15</v>
      </c>
      <c r="R110" s="5">
        <v>52</v>
      </c>
      <c r="S110" s="25">
        <v>1.2</v>
      </c>
      <c r="T110" s="25">
        <v>1</v>
      </c>
      <c r="U110" s="5">
        <v>0</v>
      </c>
      <c r="V110" s="4" t="str">
        <f ca="1">VLOOKUP($W110,OFFSET(enemy_skill_sets!$B$1,0,0,COUNTA(enemy_skill_sets!$B:$B),MATCH(M$1,enemy_skill_sets!$1:$1,0)-MATCH($W$1,enemy_skill_sets!$1:$1,0)+2),MATCH(M$1,enemy_skill_sets!$1:$1,0)-MATCH($W$1,enemy_skill_sets!$1:$1,0)+2,FALSE)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2ターンパネルの色が分からなくなる！</v>
      </c>
      <c r="W110" s="4">
        <v>1122206</v>
      </c>
      <c r="X110" s="6">
        <v>0</v>
      </c>
      <c r="Y110" s="6">
        <v>50</v>
      </c>
      <c r="Z110" s="6">
        <v>1</v>
      </c>
      <c r="AA110" s="17">
        <v>2</v>
      </c>
      <c r="AB110" s="24">
        <f t="shared" si="18"/>
        <v>360</v>
      </c>
      <c r="AC110" s="4" t="str">
        <f ca="1">VLOOKUP($AB110,OFFSET([4]characters!$A$1,0,0,COUNTA([4]characters!$A:$A),MATCH(AC$1,[4]characters!$1:$1,0)-MATCH("character_id",[4]characters!$1:$1,0)+1),MATCH(AC$1,[4]characters!$1:$1,0)-MATCH("character_id",[4]characters!$1:$1,0)+1,FALSE)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10" s="4">
        <f ca="1">VLOOKUP($AB110,OFFSET([4]characters!$A$1,0,0,COUNTA([4]characters!$A:$A),MATCH(AD$1,[4]characters!$1:$1,0)-MATCH("character_id",[4]characters!$1:$1,0)+1),MATCH(AD$1,[4]characters!$1:$1,0)-MATCH("character_id",[4]characters!$1:$1,0)+1,FALSE)</f>
        <v>2</v>
      </c>
      <c r="AE110" s="4" t="str">
        <f ca="1">VLOOKUP($AB110,OFFSET([4]characters!$A$1,0,0,COUNTA([4]characters!$A:$A),MATCH(AE$1,[4]characters!$1:$1,0)-MATCH("character_id",[4]characters!$1:$1,0)+1),MATCH(AE$1,[4]characters!$1:$1,0)-MATCH("character_id",[4]characters!$1:$1,0)+1,FALSE)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0" s="7">
        <v>1</v>
      </c>
      <c r="AG110" s="24">
        <f t="shared" ca="1" si="19"/>
        <v>2</v>
      </c>
      <c r="AH110" s="8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1</v>
      </c>
      <c r="AN110" s="69">
        <v>1</v>
      </c>
    </row>
    <row r="111" spans="1:40" ht="21" customHeight="1" x14ac:dyDescent="0.15">
      <c r="A111" s="16" t="str">
        <f t="shared" si="15"/>
        <v>11007_5-5/370&lt;lv52&gt;s1</v>
      </c>
      <c r="B111" s="22">
        <v>11007</v>
      </c>
      <c r="C111" s="21">
        <v>5</v>
      </c>
      <c r="D111" s="2" t="str">
        <f t="shared" si="16"/>
        <v>11007_5</v>
      </c>
      <c r="E111" s="4" t="str">
        <f ca="1">VLOOKUP($B111,OFFSET([2]quests!$A$1,0,0,COUNTA([2]quests!$A:$A),MATCH(E$1,[2]quests!$1:$1,0)-MATCH($B$1,[2]quests!$1:$1,0)+1),MATCH(E$1,[2]quests!$1:$1,0)-MATCH($B$1,[2]quests!$1:$1,0)+1,FALSE)</f>
        <v>【土曜限定】 赤と緑の素材</v>
      </c>
      <c r="F111" s="4" t="str">
        <f ca="1">VLOOKUP($D111,OFFSET([2]stages!$A$1,0,0,COUNTA([2]stages!$A:$A),MATCH(F$1,[2]stages!$2:$2,0)-MATCH($D$1,[2]stages!$2:$2,0)+1),MATCH(F$1,[2]stages!$2:$2,0)-MATCH($D$1,[2]stages!$2:$2,0)+1,FALSE)</f>
        <v>【超絶級】ドードーとグリフォン</v>
      </c>
      <c r="G111" s="21">
        <v>5</v>
      </c>
      <c r="H111" s="15" t="str">
        <f t="shared" si="17"/>
        <v>11007_5-5</v>
      </c>
      <c r="I111" s="4">
        <f ca="1">VLOOKUP($H111,OFFSET(floors!$A$1,0,0,COUNTA(floors!$A:$A),MATCH(I$1,floors!$1:$1,0)-MATCH($H$1,floors!$1:$1,0)+1),MATCH(I$1,floors!$1:$1,0)-MATCH($H$1,floors!$1:$1,0)+1,FALSE)</f>
        <v>60</v>
      </c>
      <c r="J111" s="4">
        <f ca="1">VLOOKUP($H111,OFFSET(floors!$A$1,0,0,COUNTA(floors!$A:$A),MATCH(J$1,floors!$1:$1,0)-MATCH($H$1,floors!$1:$1,0)+1),MATCH(J$1,floors!$1:$1,0)-MATCH($H$1,floors!$1:$1,0)+1,FALSE)</f>
        <v>60</v>
      </c>
      <c r="K111" s="100" t="s">
        <v>209</v>
      </c>
      <c r="L111" s="98">
        <v>370</v>
      </c>
      <c r="M111" s="17" t="str">
        <f ca="1">VLOOKUP($L111,OFFSET([3]enemies!$A$1,0,0,COUNTA([3]enemies!$A:$A),MATCH(M$1,[3]enemies!$1:$1,0)-MATCH($L$1,[3]enemies!$1:$1,0)+1),MATCH(M$1,[3]enemies!$1:$1,0)-MATCH($L$1,[3]enemies!$1:$1,0)+1,FALSE)</f>
        <v>タイチ</v>
      </c>
      <c r="N111" s="17" t="str">
        <f ca="1">VLOOKUP($L111,OFFSET([3]enemies!$A$1,0,0,COUNTA([3]enemies!$A:$A),MATCH(N$1,[3]enemies!$1:$1,0)-MATCH($L$1,[3]enemies!$1:$1,0)+1),MATCH(N$1,[3]enemies!$1:$1,0)-MATCH($L$1,[3]enemies!$1:$1,0)+1,FALSE)</f>
        <v>red</v>
      </c>
      <c r="O111" s="17" t="str">
        <f ca="1">VLOOKUP($L111,OFFSET([4]characters!$A$1,0,0,COUNTA([4]characters!$A:$A),MATCH(O$1,[4]characters!$1:$1,0)-MATCH($L$1,[4]characters!$1:$1,0)+1),MATCH(O$1,[4]characters!$1:$1,0)-MATCH($L$1,[4]characters!$1:$1,0)+1,FALSE)</f>
        <v>Drop1S</v>
      </c>
      <c r="P111" s="17" t="str">
        <f ca="1">VLOOKUP($L111,OFFSET([3]enemies!$A$1,0,0,COUNTA([3]enemies!$A:$A),MATCH(P$1,[3]enemies!$1:$1,0)-MATCH($L$1,[3]enemies!$1:$1,0)+1),MATCH(P$1,[3]enemies!$1:$1,0)-MATCH($L$1,[3]enemies!$1:$1,0)+1,FALSE)</f>
        <v>unknown</v>
      </c>
      <c r="Q111" s="17">
        <f ca="1">VLOOKUP($L111,OFFSET([3]enemies!$A$1,0,0,COUNTA([3]enemies!$A:$A),MATCH(Q$1,[3]enemies!$1:$1,0)-MATCH($L$1,[3]enemies!$1:$1,0)+1),MATCH(Q$1,[3]enemies!$1:$1,0)-MATCH($L$1,[3]enemies!$1:$1,0)+1,FALSE)</f>
        <v>15</v>
      </c>
      <c r="R111" s="5">
        <v>52</v>
      </c>
      <c r="S111" s="25">
        <v>1.7</v>
      </c>
      <c r="T111" s="25">
        <v>1</v>
      </c>
      <c r="U111" s="5">
        <v>0</v>
      </c>
      <c r="V111" s="4" t="str">
        <f ca="1">VLOOKUP($W111,OFFSET(enemy_skill_sets!$B$1,0,0,COUNTA(enemy_skill_sets!$B:$B),MATCH(M$1,enemy_skill_sets!$1:$1,0)-MATCH($W$1,enemy_skill_sets!$1:$1,0)+2),MATCH(M$1,enemy_skill_sets!$1:$1,0)-MATCH($W$1,enemy_skill_sets!$1:$1,0)+2,FALSE)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111" s="4">
        <v>1122201</v>
      </c>
      <c r="X111" s="6">
        <v>0</v>
      </c>
      <c r="Y111" s="6">
        <v>50</v>
      </c>
      <c r="Z111" s="6">
        <v>2</v>
      </c>
      <c r="AA111" s="17">
        <v>1</v>
      </c>
      <c r="AB111" s="24">
        <f t="shared" si="18"/>
        <v>370</v>
      </c>
      <c r="AC111" s="4" t="str">
        <f ca="1">VLOOKUP($AB111,OFFSET([4]characters!$A$1,0,0,COUNTA([4]characters!$A:$A),MATCH(AC$1,[4]characters!$1:$1,0)-MATCH("character_id",[4]characters!$1:$1,0)+1),MATCH(AC$1,[4]characters!$1:$1,0)-MATCH("character_id",[4]characters!$1:$1,0)+1,FALSE)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111" s="4">
        <f ca="1">VLOOKUP($AB111,OFFSET([4]characters!$A$1,0,0,COUNTA([4]characters!$A:$A),MATCH(AD$1,[4]characters!$1:$1,0)-MATCH("character_id",[4]characters!$1:$1,0)+1),MATCH(AD$1,[4]characters!$1:$1,0)-MATCH("character_id",[4]characters!$1:$1,0)+1,FALSE)</f>
        <v>2</v>
      </c>
      <c r="AE111" s="4" t="str">
        <f ca="1">VLOOKUP($AB111,OFFSET([4]characters!$A$1,0,0,COUNTA([4]characters!$A:$A),MATCH(AE$1,[4]characters!$1:$1,0)-MATCH("character_id",[4]characters!$1:$1,0)+1),MATCH(AE$1,[4]characters!$1:$1,0)-MATCH("character_id",[4]characters!$1:$1,0)+1,FALSE)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1" s="7">
        <v>1</v>
      </c>
      <c r="AG111" s="24">
        <f t="shared" ca="1" si="19"/>
        <v>2</v>
      </c>
      <c r="AH111" s="8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1</v>
      </c>
      <c r="AN111" s="69">
        <v>1</v>
      </c>
    </row>
    <row r="112" spans="1:40" ht="21" customHeight="1" x14ac:dyDescent="0.15">
      <c r="A112" s="16" t="str">
        <f t="shared" si="15"/>
        <v>11007_5-6/356&lt;lv50&gt;s2</v>
      </c>
      <c r="B112" s="22">
        <v>11007</v>
      </c>
      <c r="C112" s="21">
        <v>5</v>
      </c>
      <c r="D112" s="2" t="str">
        <f t="shared" si="16"/>
        <v>11007_5</v>
      </c>
      <c r="E112" s="4" t="str">
        <f ca="1">VLOOKUP($B112,OFFSET([2]quests!$A$1,0,0,COUNTA([2]quests!$A:$A),MATCH(E$1,[2]quests!$1:$1,0)-MATCH($B$1,[2]quests!$1:$1,0)+1),MATCH(E$1,[2]quests!$1:$1,0)-MATCH($B$1,[2]quests!$1:$1,0)+1,FALSE)</f>
        <v>【土曜限定】 赤と緑の素材</v>
      </c>
      <c r="F112" s="4" t="str">
        <f ca="1">VLOOKUP($D112,OFFSET([2]stages!$A$1,0,0,COUNTA([2]stages!$A:$A),MATCH(F$1,[2]stages!$2:$2,0)-MATCH($D$1,[2]stages!$2:$2,0)+1),MATCH(F$1,[2]stages!$2:$2,0)-MATCH($D$1,[2]stages!$2:$2,0)+1,FALSE)</f>
        <v>【超絶級】ドードーとグリフォン</v>
      </c>
      <c r="G112" s="21">
        <v>6</v>
      </c>
      <c r="H112" s="15" t="str">
        <f t="shared" si="17"/>
        <v>11007_5-6</v>
      </c>
      <c r="I112" s="4">
        <f ca="1">VLOOKUP($H112,OFFSET(floors!$A$1,0,0,COUNTA(floors!$A:$A),MATCH(I$1,floors!$1:$1,0)-MATCH($H$1,floors!$1:$1,0)+1),MATCH(I$1,floors!$1:$1,0)-MATCH($H$1,floors!$1:$1,0)+1,FALSE)</f>
        <v>60</v>
      </c>
      <c r="J112" s="4">
        <f ca="1">VLOOKUP($H112,OFFSET(floors!$A$1,0,0,COUNTA(floors!$A:$A),MATCH(J$1,floors!$1:$1,0)-MATCH($H$1,floors!$1:$1,0)+1),MATCH(J$1,floors!$1:$1,0)-MATCH($H$1,floors!$1:$1,0)+1,FALSE)</f>
        <v>60</v>
      </c>
      <c r="K112" s="100" t="s">
        <v>209</v>
      </c>
      <c r="L112" s="98">
        <v>356</v>
      </c>
      <c r="M112" s="17" t="str">
        <f ca="1">VLOOKUP($L112,OFFSET([3]enemies!$A$1,0,0,COUNTA([3]enemies!$A:$A),MATCH(M$1,[3]enemies!$1:$1,0)-MATCH($L$1,[3]enemies!$1:$1,0)+1),MATCH(M$1,[3]enemies!$1:$1,0)-MATCH($L$1,[3]enemies!$1:$1,0)+1,FALSE)</f>
        <v>炎上のドードー</v>
      </c>
      <c r="N112" s="17" t="str">
        <f ca="1">VLOOKUP($L112,OFFSET([3]enemies!$A$1,0,0,COUNTA([3]enemies!$A:$A),MATCH(N$1,[3]enemies!$1:$1,0)-MATCH($L$1,[3]enemies!$1:$1,0)+1),MATCH(N$1,[3]enemies!$1:$1,0)-MATCH($L$1,[3]enemies!$1:$1,0)+1,FALSE)</f>
        <v>red</v>
      </c>
      <c r="O112" s="17" t="str">
        <f ca="1">VLOOKUP($L112,OFFSET([4]characters!$A$1,0,0,COUNTA([4]characters!$A:$A),MATCH(O$1,[4]characters!$1:$1,0)-MATCH($L$1,[4]characters!$1:$1,0)+1),MATCH(O$1,[4]characters!$1:$1,0)-MATCH($L$1,[4]characters!$1:$1,0)+1,FALSE)</f>
        <v>Material</v>
      </c>
      <c r="P112" s="17" t="str">
        <f ca="1">VLOOKUP($L112,OFFSET([3]enemies!$A$1,0,0,COUNTA([3]enemies!$A:$A),MATCH(P$1,[3]enemies!$1:$1,0)-MATCH($L$1,[3]enemies!$1:$1,0)+1),MATCH(P$1,[3]enemies!$1:$1,0)-MATCH($L$1,[3]enemies!$1:$1,0)+1,FALSE)</f>
        <v>unknown</v>
      </c>
      <c r="Q112" s="17">
        <f ca="1">VLOOKUP($L112,OFFSET([3]enemies!$A$1,0,0,COUNTA([3]enemies!$A:$A),MATCH(Q$1,[3]enemies!$1:$1,0)-MATCH($L$1,[3]enemies!$1:$1,0)+1),MATCH(Q$1,[3]enemies!$1:$1,0)-MATCH($L$1,[3]enemies!$1:$1,0)+1,FALSE)</f>
        <v>20</v>
      </c>
      <c r="R112" s="5">
        <v>50</v>
      </c>
      <c r="S112" s="25">
        <v>99</v>
      </c>
      <c r="T112" s="25">
        <v>46</v>
      </c>
      <c r="U112" s="5">
        <v>0</v>
      </c>
      <c r="V112" s="4" t="str">
        <f ca="1">VLOOKUP($W112,OFFSET(enemy_skill_sets!$B$1,0,0,COUNTA(enemy_skill_sets!$B:$B),MATCH(M$1,enemy_skill_sets!$1:$1,0)-MATCH($W$1,enemy_skill_sets!$1:$1,0)+2),MATCH(M$1,enemy_skill_sets!$1:$1,0)-MATCH($W$1,enemy_skill_sets!$1:$1,0)+2,FALSE)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12" s="4">
        <v>1122204</v>
      </c>
      <c r="X112" s="6">
        <v>1</v>
      </c>
      <c r="Y112" s="6">
        <v>0</v>
      </c>
      <c r="Z112" s="6">
        <v>2</v>
      </c>
      <c r="AA112" s="17">
        <v>2</v>
      </c>
      <c r="AB112" s="24">
        <f t="shared" si="18"/>
        <v>356</v>
      </c>
      <c r="AC112" s="4" t="str">
        <f ca="1">VLOOKUP($AB112,OFFSET([4]characters!$A$1,0,0,COUNTA([4]characters!$A:$A),MATCH(AC$1,[4]characters!$1:$1,0)-MATCH("character_id",[4]characters!$1:$1,0)+1),MATCH(AC$1,[4]characters!$1:$1,0)-MATCH("character_id",[4]characters!$1:$1,0)+1,FALSE)</f>
        <v>炎上のドードー</v>
      </c>
      <c r="AD112" s="4">
        <f ca="1">VLOOKUP($AB112,OFFSET([4]characters!$A$1,0,0,COUNTA([4]characters!$A:$A),MATCH(AD$1,[4]characters!$1:$1,0)-MATCH("character_id",[4]characters!$1:$1,0)+1),MATCH(AD$1,[4]characters!$1:$1,0)-MATCH("character_id",[4]characters!$1:$1,0)+1,FALSE)</f>
        <v>5</v>
      </c>
      <c r="AE112" s="4" t="str">
        <f ca="1">VLOOKUP($AB112,OFFSET([4]characters!$A$1,0,0,COUNTA([4]characters!$A:$A),MATCH(AE$1,[4]characters!$1:$1,0)-MATCH("character_id",[4]characters!$1:$1,0)+1),MATCH(AE$1,[4]characters!$1:$1,0)-MATCH("character_id",[4]characters!$1:$1,0)+1,FALSE)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2" s="7">
        <v>1</v>
      </c>
      <c r="AG112" s="24">
        <f t="shared" ca="1" si="19"/>
        <v>5</v>
      </c>
      <c r="AH112" s="8">
        <v>100</v>
      </c>
      <c r="AI112" s="7">
        <v>0</v>
      </c>
      <c r="AJ112" s="7">
        <v>0</v>
      </c>
      <c r="AK112" s="7">
        <v>0</v>
      </c>
      <c r="AL112" s="7">
        <v>0</v>
      </c>
      <c r="AM112" s="7">
        <v>1</v>
      </c>
      <c r="AN112" s="69">
        <v>1</v>
      </c>
    </row>
    <row r="113" spans="1:40" ht="21" customHeight="1" x14ac:dyDescent="0.15">
      <c r="A113" s="16" t="str">
        <f t="shared" si="15"/>
        <v>11007_5-1/362&lt;lv52&gt;s2</v>
      </c>
      <c r="B113" s="22">
        <v>11007</v>
      </c>
      <c r="C113" s="21">
        <v>5</v>
      </c>
      <c r="D113" s="2" t="str">
        <f t="shared" si="16"/>
        <v>11007_5</v>
      </c>
      <c r="E113" s="4" t="str">
        <f ca="1">VLOOKUP($B113,OFFSET([2]quests!$A$1,0,0,COUNTA([2]quests!$A:$A),MATCH(E$1,[2]quests!$1:$1,0)-MATCH($B$1,[2]quests!$1:$1,0)+1),MATCH(E$1,[2]quests!$1:$1,0)-MATCH($B$1,[2]quests!$1:$1,0)+1,FALSE)</f>
        <v>【土曜限定】 赤と緑の素材</v>
      </c>
      <c r="F113" s="4" t="str">
        <f ca="1">VLOOKUP($D113,OFFSET([2]stages!$A$1,0,0,COUNTA([2]stages!$A:$A),MATCH(F$1,[2]stages!$2:$2,0)-MATCH($D$1,[2]stages!$2:$2,0)+1),MATCH(F$1,[2]stages!$2:$2,0)-MATCH($D$1,[2]stages!$2:$2,0)+1,FALSE)</f>
        <v>【超絶級】ドードーとグリフォン</v>
      </c>
      <c r="G113" s="21">
        <v>1</v>
      </c>
      <c r="H113" s="15" t="str">
        <f t="shared" si="17"/>
        <v>11007_5-1</v>
      </c>
      <c r="I113" s="4">
        <f ca="1">VLOOKUP($H113,OFFSET(floors!$A$1,0,0,COUNTA(floors!$A:$A),MATCH(I$1,floors!$1:$1,0)-MATCH($H$1,floors!$1:$1,0)+1),MATCH(I$1,floors!$1:$1,0)-MATCH($H$1,floors!$1:$1,0)+1,FALSE)</f>
        <v>30</v>
      </c>
      <c r="J113" s="4">
        <f ca="1">VLOOKUP($H113,OFFSET(floors!$A$1,0,0,COUNTA(floors!$A:$A),MATCH(J$1,floors!$1:$1,0)-MATCH($H$1,floors!$1:$1,0)+1),MATCH(J$1,floors!$1:$1,0)-MATCH($H$1,floors!$1:$1,0)+1,FALSE)</f>
        <v>45</v>
      </c>
      <c r="K113" s="100" t="s">
        <v>209</v>
      </c>
      <c r="L113" s="99">
        <v>362</v>
      </c>
      <c r="M113" s="17" t="str">
        <f ca="1">VLOOKUP($L113,OFFSET([3]enemies!$A$1,0,0,COUNTA([3]enemies!$A:$A),MATCH(M$1,[3]enemies!$1:$1,0)-MATCH($L$1,[3]enemies!$1:$1,0)+1),MATCH(M$1,[3]enemies!$1:$1,0)-MATCH($L$1,[3]enemies!$1:$1,0)+1,FALSE)</f>
        <v>ゆらら</v>
      </c>
      <c r="N113" s="17" t="str">
        <f ca="1">VLOOKUP($L113,OFFSET([3]enemies!$A$1,0,0,COUNTA([3]enemies!$A:$A),MATCH(N$1,[3]enemies!$1:$1,0)-MATCH($L$1,[3]enemies!$1:$1,0)+1),MATCH(N$1,[3]enemies!$1:$1,0)-MATCH($L$1,[3]enemies!$1:$1,0)+1,FALSE)</f>
        <v>green</v>
      </c>
      <c r="O113" s="17" t="str">
        <f ca="1">VLOOKUP($L113,OFFSET([4]characters!$A$1,0,0,COUNTA([4]characters!$A:$A),MATCH(O$1,[4]characters!$1:$1,0)-MATCH($L$1,[4]characters!$1:$1,0)+1),MATCH(O$1,[4]characters!$1:$1,0)-MATCH($L$1,[4]characters!$1:$1,0)+1,FALSE)</f>
        <v>Drop1S</v>
      </c>
      <c r="P113" s="17" t="str">
        <f ca="1">VLOOKUP($L113,OFFSET([3]enemies!$A$1,0,0,COUNTA([3]enemies!$A:$A),MATCH(P$1,[3]enemies!$1:$1,0)-MATCH($L$1,[3]enemies!$1:$1,0)+1),MATCH(P$1,[3]enemies!$1:$1,0)-MATCH($L$1,[3]enemies!$1:$1,0)+1,FALSE)</f>
        <v>animal</v>
      </c>
      <c r="Q113" s="17">
        <f ca="1">VLOOKUP($L113,OFFSET([3]enemies!$A$1,0,0,COUNTA([3]enemies!$A:$A),MATCH(Q$1,[3]enemies!$1:$1,0)-MATCH($L$1,[3]enemies!$1:$1,0)+1),MATCH(Q$1,[3]enemies!$1:$1,0)-MATCH($L$1,[3]enemies!$1:$1,0)+1,FALSE)</f>
        <v>15</v>
      </c>
      <c r="R113" s="5">
        <v>52</v>
      </c>
      <c r="S113" s="25">
        <v>1.8</v>
      </c>
      <c r="T113" s="25">
        <v>1.2</v>
      </c>
      <c r="U113" s="5">
        <v>0</v>
      </c>
      <c r="V113" s="4" t="str">
        <f ca="1">VLOOKUP($W113,OFFSET([5]enemy_skill_sets!$B$1,0,0,COUNTA([5]enemy_skill_sets!$B:$B),MATCH(M$1,[5]enemy_skill_sets!$1:$1,0)-MATCH($W$1,[5]enemy_skill_sets!$1:$1,0)+2),MATCH(M$1,[5]enemy_skill_sets!$1:$1,0)-MATCH($W$1,[5]enemy_skill_sets!$1:$1,0)+2,FALSE)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113" s="4">
        <v>362</v>
      </c>
      <c r="X113" s="6">
        <v>0</v>
      </c>
      <c r="Y113" s="6">
        <v>50</v>
      </c>
      <c r="Z113" s="6">
        <v>1</v>
      </c>
      <c r="AA113" s="17">
        <v>2</v>
      </c>
      <c r="AB113" s="24">
        <f t="shared" si="18"/>
        <v>362</v>
      </c>
      <c r="AC113" s="4" t="str">
        <f ca="1">VLOOKUP($AB113,OFFSET([4]characters!$A$1,0,0,COUNTA([4]characters!$A:$A),MATCH(AC$1,[4]characters!$1:$1,0)-MATCH("character_id",[4]characters!$1:$1,0)+1),MATCH(AC$1,[4]characters!$1:$1,0)-MATCH("character_id",[4]characters!$1:$1,0)+1,FALSE)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113" s="4">
        <f ca="1">VLOOKUP($AB113,OFFSET([4]characters!$A$1,0,0,COUNTA([4]characters!$A:$A),MATCH(AD$1,[4]characters!$1:$1,0)-MATCH("character_id",[4]characters!$1:$1,0)+1),MATCH(AD$1,[4]characters!$1:$1,0)-MATCH("character_id",[4]characters!$1:$1,0)+1,FALSE)</f>
        <v>2</v>
      </c>
      <c r="AE113" s="4" t="str">
        <f ca="1">VLOOKUP($AB113,OFFSET([4]characters!$A$1,0,0,COUNTA([4]characters!$A:$A),MATCH(AE$1,[4]characters!$1:$1,0)-MATCH("character_id",[4]characters!$1:$1,0)+1),MATCH(AE$1,[4]characters!$1:$1,0)-MATCH("character_id",[4]characters!$1:$1,0)+1,FALSE)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3" s="7">
        <v>1</v>
      </c>
      <c r="AG113" s="24">
        <f t="shared" ca="1" si="19"/>
        <v>2</v>
      </c>
      <c r="AH113" s="8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1</v>
      </c>
      <c r="AN113" s="69">
        <v>1</v>
      </c>
    </row>
    <row r="114" spans="1:40" ht="21" customHeight="1" x14ac:dyDescent="0.15">
      <c r="A114" s="16" t="str">
        <f t="shared" si="15"/>
        <v>11007_5-1/372&lt;lv52&gt;s1</v>
      </c>
      <c r="B114" s="22">
        <v>11007</v>
      </c>
      <c r="C114" s="21">
        <v>5</v>
      </c>
      <c r="D114" s="2" t="str">
        <f t="shared" si="16"/>
        <v>11007_5</v>
      </c>
      <c r="E114" s="4" t="str">
        <f ca="1">VLOOKUP($B114,OFFSET([2]quests!$A$1,0,0,COUNTA([2]quests!$A:$A),MATCH(E$1,[2]quests!$1:$1,0)-MATCH($B$1,[2]quests!$1:$1,0)+1),MATCH(E$1,[2]quests!$1:$1,0)-MATCH($B$1,[2]quests!$1:$1,0)+1,FALSE)</f>
        <v>【土曜限定】 赤と緑の素材</v>
      </c>
      <c r="F114" s="4" t="str">
        <f ca="1">VLOOKUP($D114,OFFSET([2]stages!$A$1,0,0,COUNTA([2]stages!$A:$A),MATCH(F$1,[2]stages!$2:$2,0)-MATCH($D$1,[2]stages!$2:$2,0)+1),MATCH(F$1,[2]stages!$2:$2,0)-MATCH($D$1,[2]stages!$2:$2,0)+1,FALSE)</f>
        <v>【超絶級】ドードーとグリフォン</v>
      </c>
      <c r="G114" s="21">
        <v>1</v>
      </c>
      <c r="H114" s="15" t="str">
        <f t="shared" si="17"/>
        <v>11007_5-1</v>
      </c>
      <c r="I114" s="4">
        <f ca="1">VLOOKUP($H114,OFFSET(floors!$A$1,0,0,COUNTA(floors!$A:$A),MATCH(I$1,floors!$1:$1,0)-MATCH($H$1,floors!$1:$1,0)+1),MATCH(I$1,floors!$1:$1,0)-MATCH($H$1,floors!$1:$1,0)+1,FALSE)</f>
        <v>30</v>
      </c>
      <c r="J114" s="4">
        <f ca="1">VLOOKUP($H114,OFFSET(floors!$A$1,0,0,COUNTA(floors!$A:$A),MATCH(J$1,floors!$1:$1,0)-MATCH($H$1,floors!$1:$1,0)+1),MATCH(J$1,floors!$1:$1,0)-MATCH($H$1,floors!$1:$1,0)+1,FALSE)</f>
        <v>45</v>
      </c>
      <c r="K114" s="100" t="s">
        <v>209</v>
      </c>
      <c r="L114" s="99">
        <v>372</v>
      </c>
      <c r="M114" s="17" t="str">
        <f ca="1">VLOOKUP($L114,OFFSET([3]enemies!$A$1,0,0,COUNTA([3]enemies!$A:$A),MATCH(M$1,[3]enemies!$1:$1,0)-MATCH($L$1,[3]enemies!$1:$1,0)+1),MATCH(M$1,[3]enemies!$1:$1,0)-MATCH($L$1,[3]enemies!$1:$1,0)+1,FALSE)</f>
        <v>バショー</v>
      </c>
      <c r="N114" s="17" t="str">
        <f ca="1">VLOOKUP($L114,OFFSET([3]enemies!$A$1,0,0,COUNTA([3]enemies!$A:$A),MATCH(N$1,[3]enemies!$1:$1,0)-MATCH($L$1,[3]enemies!$1:$1,0)+1),MATCH(N$1,[3]enemies!$1:$1,0)-MATCH($L$1,[3]enemies!$1:$1,0)+1,FALSE)</f>
        <v>green</v>
      </c>
      <c r="O114" s="17" t="str">
        <f ca="1">VLOOKUP($L114,OFFSET([4]characters!$A$1,0,0,COUNTA([4]characters!$A:$A),MATCH(O$1,[4]characters!$1:$1,0)-MATCH($L$1,[4]characters!$1:$1,0)+1),MATCH(O$1,[4]characters!$1:$1,0)-MATCH($L$1,[4]characters!$1:$1,0)+1,FALSE)</f>
        <v>Drop1S</v>
      </c>
      <c r="P114" s="17" t="str">
        <f ca="1">VLOOKUP($L114,OFFSET([3]enemies!$A$1,0,0,COUNTA([3]enemies!$A:$A),MATCH(P$1,[3]enemies!$1:$1,0)-MATCH($L$1,[3]enemies!$1:$1,0)+1),MATCH(P$1,[3]enemies!$1:$1,0)-MATCH($L$1,[3]enemies!$1:$1,0)+1,FALSE)</f>
        <v>unknown</v>
      </c>
      <c r="Q114" s="17">
        <f ca="1">VLOOKUP($L114,OFFSET([3]enemies!$A$1,0,0,COUNTA([3]enemies!$A:$A),MATCH(Q$1,[3]enemies!$1:$1,0)-MATCH($L$1,[3]enemies!$1:$1,0)+1),MATCH(Q$1,[3]enemies!$1:$1,0)-MATCH($L$1,[3]enemies!$1:$1,0)+1,FALSE)</f>
        <v>15</v>
      </c>
      <c r="R114" s="5">
        <v>52</v>
      </c>
      <c r="S114" s="25">
        <v>1.9</v>
      </c>
      <c r="T114" s="25">
        <v>1.2</v>
      </c>
      <c r="U114" s="5">
        <v>0</v>
      </c>
      <c r="V114" s="4" t="str">
        <f ca="1">VLOOKUP($W114,OFFSET(enemy_skill_sets!$B$1,0,0,COUNTA(enemy_skill_sets!$B:$B),MATCH(M$1,enemy_skill_sets!$1:$1,0)-MATCH($W$1,enemy_skill_sets!$1:$1,0)+2),MATCH(M$1,enemy_skill_sets!$1:$1,0)-MATCH($W$1,enemy_skill_sets!$1:$1,0)+2,FALSE)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114" s="4">
        <v>1122202</v>
      </c>
      <c r="X114" s="6">
        <v>0</v>
      </c>
      <c r="Y114" s="6">
        <v>50</v>
      </c>
      <c r="Z114" s="6">
        <v>2</v>
      </c>
      <c r="AA114" s="17">
        <v>1</v>
      </c>
      <c r="AB114" s="24">
        <f t="shared" si="18"/>
        <v>372</v>
      </c>
      <c r="AC114" s="4" t="str">
        <f ca="1">VLOOKUP($AB114,OFFSET([4]characters!$A$1,0,0,COUNTA([4]characters!$A:$A),MATCH(AC$1,[4]characters!$1:$1,0)-MATCH("character_id",[4]characters!$1:$1,0)+1),MATCH(AC$1,[4]characters!$1:$1,0)-MATCH("character_id",[4]characters!$1:$1,0)+1,FALSE)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114" s="4">
        <f ca="1">VLOOKUP($AB114,OFFSET([4]characters!$A$1,0,0,COUNTA([4]characters!$A:$A),MATCH(AD$1,[4]characters!$1:$1,0)-MATCH("character_id",[4]characters!$1:$1,0)+1),MATCH(AD$1,[4]characters!$1:$1,0)-MATCH("character_id",[4]characters!$1:$1,0)+1,FALSE)</f>
        <v>2</v>
      </c>
      <c r="AE114" s="4" t="str">
        <f ca="1">VLOOKUP($AB114,OFFSET([4]characters!$A$1,0,0,COUNTA([4]characters!$A:$A),MATCH(AE$1,[4]characters!$1:$1,0)-MATCH("character_id",[4]characters!$1:$1,0)+1),MATCH(AE$1,[4]characters!$1:$1,0)-MATCH("character_id",[4]characters!$1:$1,0)+1,FALSE)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4" s="7">
        <v>1</v>
      </c>
      <c r="AG114" s="24">
        <f t="shared" ca="1" si="19"/>
        <v>2</v>
      </c>
      <c r="AH114" s="8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1</v>
      </c>
      <c r="AN114" s="69">
        <v>1</v>
      </c>
    </row>
    <row r="115" spans="1:40" ht="21" customHeight="1" x14ac:dyDescent="0.15">
      <c r="A115" s="16" t="str">
        <f t="shared" si="15"/>
        <v>11007_5-2/362&lt;lv52&gt;s2</v>
      </c>
      <c r="B115" s="22">
        <v>11007</v>
      </c>
      <c r="C115" s="21">
        <v>5</v>
      </c>
      <c r="D115" s="2" t="str">
        <f t="shared" si="16"/>
        <v>11007_5</v>
      </c>
      <c r="E115" s="4" t="str">
        <f ca="1">VLOOKUP($B115,OFFSET([2]quests!$A$1,0,0,COUNTA([2]quests!$A:$A),MATCH(E$1,[2]quests!$1:$1,0)-MATCH($B$1,[2]quests!$1:$1,0)+1),MATCH(E$1,[2]quests!$1:$1,0)-MATCH($B$1,[2]quests!$1:$1,0)+1,FALSE)</f>
        <v>【土曜限定】 赤と緑の素材</v>
      </c>
      <c r="F115" s="4" t="str">
        <f ca="1">VLOOKUP($D115,OFFSET([2]stages!$A$1,0,0,COUNTA([2]stages!$A:$A),MATCH(F$1,[2]stages!$2:$2,0)-MATCH($D$1,[2]stages!$2:$2,0)+1),MATCH(F$1,[2]stages!$2:$2,0)-MATCH($D$1,[2]stages!$2:$2,0)+1,FALSE)</f>
        <v>【超絶級】ドードーとグリフォン</v>
      </c>
      <c r="G115" s="21">
        <v>2</v>
      </c>
      <c r="H115" s="15" t="str">
        <f t="shared" si="17"/>
        <v>11007_5-2</v>
      </c>
      <c r="I115" s="4">
        <f ca="1">VLOOKUP($H115,OFFSET(floors!$A$1,0,0,COUNTA(floors!$A:$A),MATCH(I$1,floors!$1:$1,0)-MATCH($H$1,floors!$1:$1,0)+1),MATCH(I$1,floors!$1:$1,0)-MATCH($H$1,floors!$1:$1,0)+1,FALSE)</f>
        <v>45</v>
      </c>
      <c r="J115" s="4">
        <f ca="1">VLOOKUP($H115,OFFSET(floors!$A$1,0,0,COUNTA(floors!$A:$A),MATCH(J$1,floors!$1:$1,0)-MATCH($H$1,floors!$1:$1,0)+1),MATCH(J$1,floors!$1:$1,0)-MATCH($H$1,floors!$1:$1,0)+1,FALSE)</f>
        <v>60</v>
      </c>
      <c r="K115" s="100" t="s">
        <v>209</v>
      </c>
      <c r="L115" s="99">
        <v>362</v>
      </c>
      <c r="M115" s="17" t="str">
        <f ca="1">VLOOKUP($L115,OFFSET([3]enemies!$A$1,0,0,COUNTA([3]enemies!$A:$A),MATCH(M$1,[3]enemies!$1:$1,0)-MATCH($L$1,[3]enemies!$1:$1,0)+1),MATCH(M$1,[3]enemies!$1:$1,0)-MATCH($L$1,[3]enemies!$1:$1,0)+1,FALSE)</f>
        <v>ゆらら</v>
      </c>
      <c r="N115" s="17" t="str">
        <f ca="1">VLOOKUP($L115,OFFSET([3]enemies!$A$1,0,0,COUNTA([3]enemies!$A:$A),MATCH(N$1,[3]enemies!$1:$1,0)-MATCH($L$1,[3]enemies!$1:$1,0)+1),MATCH(N$1,[3]enemies!$1:$1,0)-MATCH($L$1,[3]enemies!$1:$1,0)+1,FALSE)</f>
        <v>green</v>
      </c>
      <c r="O115" s="17" t="str">
        <f ca="1">VLOOKUP($L115,OFFSET([4]characters!$A$1,0,0,COUNTA([4]characters!$A:$A),MATCH(O$1,[4]characters!$1:$1,0)-MATCH($L$1,[4]characters!$1:$1,0)+1),MATCH(O$1,[4]characters!$1:$1,0)-MATCH($L$1,[4]characters!$1:$1,0)+1,FALSE)</f>
        <v>Drop1S</v>
      </c>
      <c r="P115" s="17" t="str">
        <f ca="1">VLOOKUP($L115,OFFSET([3]enemies!$A$1,0,0,COUNTA([3]enemies!$A:$A),MATCH(P$1,[3]enemies!$1:$1,0)-MATCH($L$1,[3]enemies!$1:$1,0)+1),MATCH(P$1,[3]enemies!$1:$1,0)-MATCH($L$1,[3]enemies!$1:$1,0)+1,FALSE)</f>
        <v>animal</v>
      </c>
      <c r="Q115" s="17">
        <f ca="1">VLOOKUP($L115,OFFSET([3]enemies!$A$1,0,0,COUNTA([3]enemies!$A:$A),MATCH(Q$1,[3]enemies!$1:$1,0)-MATCH($L$1,[3]enemies!$1:$1,0)+1),MATCH(Q$1,[3]enemies!$1:$1,0)-MATCH($L$1,[3]enemies!$1:$1,0)+1,FALSE)</f>
        <v>15</v>
      </c>
      <c r="R115" s="5">
        <v>52</v>
      </c>
      <c r="S115" s="25">
        <v>1.8</v>
      </c>
      <c r="T115" s="25">
        <v>1.2</v>
      </c>
      <c r="U115" s="5">
        <v>0</v>
      </c>
      <c r="V115" s="4" t="str">
        <f ca="1">VLOOKUP($W115,OFFSET([5]enemy_skill_sets!$B$1,0,0,COUNTA([5]enemy_skill_sets!$B:$B),MATCH(M$1,[5]enemy_skill_sets!$1:$1,0)-MATCH($W$1,[5]enemy_skill_sets!$1:$1,0)+2),MATCH(M$1,[5]enemy_skill_sets!$1:$1,0)-MATCH($W$1,[5]enemy_skill_sets!$1:$1,0)+2,FALSE)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115" s="4">
        <v>362</v>
      </c>
      <c r="X115" s="6">
        <v>0</v>
      </c>
      <c r="Y115" s="6">
        <v>100</v>
      </c>
      <c r="Z115" s="6">
        <v>2</v>
      </c>
      <c r="AA115" s="17">
        <v>2</v>
      </c>
      <c r="AB115" s="24">
        <f t="shared" si="18"/>
        <v>362</v>
      </c>
      <c r="AC115" s="4" t="str">
        <f ca="1">VLOOKUP($AB115,OFFSET([4]characters!$A$1,0,0,COUNTA([4]characters!$A:$A),MATCH(AC$1,[4]characters!$1:$1,0)-MATCH("character_id",[4]characters!$1:$1,0)+1),MATCH(AC$1,[4]characters!$1:$1,0)-MATCH("character_id",[4]characters!$1:$1,0)+1,FALSE)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115" s="4">
        <f ca="1">VLOOKUP($AB115,OFFSET([4]characters!$A$1,0,0,COUNTA([4]characters!$A:$A),MATCH(AD$1,[4]characters!$1:$1,0)-MATCH("character_id",[4]characters!$1:$1,0)+1),MATCH(AD$1,[4]characters!$1:$1,0)-MATCH("character_id",[4]characters!$1:$1,0)+1,FALSE)</f>
        <v>2</v>
      </c>
      <c r="AE115" s="4" t="str">
        <f ca="1">VLOOKUP($AB115,OFFSET([4]characters!$A$1,0,0,COUNTA([4]characters!$A:$A),MATCH(AE$1,[4]characters!$1:$1,0)-MATCH("character_id",[4]characters!$1:$1,0)+1),MATCH(AE$1,[4]characters!$1:$1,0)-MATCH("character_id",[4]characters!$1:$1,0)+1,FALSE)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5" s="7">
        <v>1</v>
      </c>
      <c r="AG115" s="24">
        <f t="shared" ca="1" si="19"/>
        <v>2</v>
      </c>
      <c r="AH115" s="8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1</v>
      </c>
      <c r="AN115" s="69">
        <v>1</v>
      </c>
    </row>
    <row r="116" spans="1:40" ht="21" customHeight="1" x14ac:dyDescent="0.15">
      <c r="A116" s="16" t="str">
        <f t="shared" si="15"/>
        <v>11007_5-2/372&lt;lv52&gt;s1</v>
      </c>
      <c r="B116" s="22">
        <v>11007</v>
      </c>
      <c r="C116" s="21">
        <v>5</v>
      </c>
      <c r="D116" s="2" t="str">
        <f t="shared" si="16"/>
        <v>11007_5</v>
      </c>
      <c r="E116" s="4" t="str">
        <f ca="1">VLOOKUP($B116,OFFSET([2]quests!$A$1,0,0,COUNTA([2]quests!$A:$A),MATCH(E$1,[2]quests!$1:$1,0)-MATCH($B$1,[2]quests!$1:$1,0)+1),MATCH(E$1,[2]quests!$1:$1,0)-MATCH($B$1,[2]quests!$1:$1,0)+1,FALSE)</f>
        <v>【土曜限定】 赤と緑の素材</v>
      </c>
      <c r="F116" s="4" t="str">
        <f ca="1">VLOOKUP($D116,OFFSET([2]stages!$A$1,0,0,COUNTA([2]stages!$A:$A),MATCH(F$1,[2]stages!$2:$2,0)-MATCH($D$1,[2]stages!$2:$2,0)+1),MATCH(F$1,[2]stages!$2:$2,0)-MATCH($D$1,[2]stages!$2:$2,0)+1,FALSE)</f>
        <v>【超絶級】ドードーとグリフォン</v>
      </c>
      <c r="G116" s="21">
        <v>2</v>
      </c>
      <c r="H116" s="15" t="str">
        <f t="shared" si="17"/>
        <v>11007_5-2</v>
      </c>
      <c r="I116" s="4">
        <f ca="1">VLOOKUP($H116,OFFSET(floors!$A$1,0,0,COUNTA(floors!$A:$A),MATCH(I$1,floors!$1:$1,0)-MATCH($H$1,floors!$1:$1,0)+1),MATCH(I$1,floors!$1:$1,0)-MATCH($H$1,floors!$1:$1,0)+1,FALSE)</f>
        <v>45</v>
      </c>
      <c r="J116" s="4">
        <f ca="1">VLOOKUP($H116,OFFSET(floors!$A$1,0,0,COUNTA(floors!$A:$A),MATCH(J$1,floors!$1:$1,0)-MATCH($H$1,floors!$1:$1,0)+1),MATCH(J$1,floors!$1:$1,0)-MATCH($H$1,floors!$1:$1,0)+1,FALSE)</f>
        <v>60</v>
      </c>
      <c r="K116" s="100" t="s">
        <v>209</v>
      </c>
      <c r="L116" s="99">
        <v>372</v>
      </c>
      <c r="M116" s="17" t="str">
        <f ca="1">VLOOKUP($L116,OFFSET([3]enemies!$A$1,0,0,COUNTA([3]enemies!$A:$A),MATCH(M$1,[3]enemies!$1:$1,0)-MATCH($L$1,[3]enemies!$1:$1,0)+1),MATCH(M$1,[3]enemies!$1:$1,0)-MATCH($L$1,[3]enemies!$1:$1,0)+1,FALSE)</f>
        <v>バショー</v>
      </c>
      <c r="N116" s="17" t="str">
        <f ca="1">VLOOKUP($L116,OFFSET([3]enemies!$A$1,0,0,COUNTA([3]enemies!$A:$A),MATCH(N$1,[3]enemies!$1:$1,0)-MATCH($L$1,[3]enemies!$1:$1,0)+1),MATCH(N$1,[3]enemies!$1:$1,0)-MATCH($L$1,[3]enemies!$1:$1,0)+1,FALSE)</f>
        <v>green</v>
      </c>
      <c r="O116" s="17" t="str">
        <f ca="1">VLOOKUP($L116,OFFSET([4]characters!$A$1,0,0,COUNTA([4]characters!$A:$A),MATCH(O$1,[4]characters!$1:$1,0)-MATCH($L$1,[4]characters!$1:$1,0)+1),MATCH(O$1,[4]characters!$1:$1,0)-MATCH($L$1,[4]characters!$1:$1,0)+1,FALSE)</f>
        <v>Drop1S</v>
      </c>
      <c r="P116" s="17" t="str">
        <f ca="1">VLOOKUP($L116,OFFSET([3]enemies!$A$1,0,0,COUNTA([3]enemies!$A:$A),MATCH(P$1,[3]enemies!$1:$1,0)-MATCH($L$1,[3]enemies!$1:$1,0)+1),MATCH(P$1,[3]enemies!$1:$1,0)-MATCH($L$1,[3]enemies!$1:$1,0)+1,FALSE)</f>
        <v>unknown</v>
      </c>
      <c r="Q116" s="17">
        <f ca="1">VLOOKUP($L116,OFFSET([3]enemies!$A$1,0,0,COUNTA([3]enemies!$A:$A),MATCH(Q$1,[3]enemies!$1:$1,0)-MATCH($L$1,[3]enemies!$1:$1,0)+1),MATCH(Q$1,[3]enemies!$1:$1,0)-MATCH($L$1,[3]enemies!$1:$1,0)+1,FALSE)</f>
        <v>15</v>
      </c>
      <c r="R116" s="5">
        <v>52</v>
      </c>
      <c r="S116" s="25">
        <v>1.9</v>
      </c>
      <c r="T116" s="25">
        <v>1.2</v>
      </c>
      <c r="U116" s="5">
        <v>0</v>
      </c>
      <c r="V116" s="4" t="str">
        <f ca="1">VLOOKUP($W116,OFFSET(enemy_skill_sets!$B$1,0,0,COUNTA(enemy_skill_sets!$B:$B),MATCH(M$1,enemy_skill_sets!$1:$1,0)-MATCH($W$1,enemy_skill_sets!$1:$1,0)+2),MATCH(M$1,enemy_skill_sets!$1:$1,0)-MATCH($W$1,enemy_skill_sets!$1:$1,0)+2,FALSE)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116" s="4">
        <v>1122202</v>
      </c>
      <c r="X116" s="6">
        <v>0</v>
      </c>
      <c r="Y116" s="6">
        <v>50</v>
      </c>
      <c r="Z116" s="6">
        <v>1</v>
      </c>
      <c r="AA116" s="17">
        <v>1</v>
      </c>
      <c r="AB116" s="24">
        <f t="shared" si="18"/>
        <v>372</v>
      </c>
      <c r="AC116" s="4" t="str">
        <f ca="1">VLOOKUP($AB116,OFFSET([4]characters!$A$1,0,0,COUNTA([4]characters!$A:$A),MATCH(AC$1,[4]characters!$1:$1,0)-MATCH("character_id",[4]characters!$1:$1,0)+1),MATCH(AC$1,[4]characters!$1:$1,0)-MATCH("character_id",[4]characters!$1:$1,0)+1,FALSE)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116" s="4">
        <f ca="1">VLOOKUP($AB116,OFFSET([4]characters!$A$1,0,0,COUNTA([4]characters!$A:$A),MATCH(AD$1,[4]characters!$1:$1,0)-MATCH("character_id",[4]characters!$1:$1,0)+1),MATCH(AD$1,[4]characters!$1:$1,0)-MATCH("character_id",[4]characters!$1:$1,0)+1,FALSE)</f>
        <v>2</v>
      </c>
      <c r="AE116" s="4" t="str">
        <f ca="1">VLOOKUP($AB116,OFFSET([4]characters!$A$1,0,0,COUNTA([4]characters!$A:$A),MATCH(AE$1,[4]characters!$1:$1,0)-MATCH("character_id",[4]characters!$1:$1,0)+1),MATCH(AE$1,[4]characters!$1:$1,0)-MATCH("character_id",[4]characters!$1:$1,0)+1,FALSE)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6" s="7">
        <v>1</v>
      </c>
      <c r="AG116" s="24">
        <f t="shared" ca="1" si="19"/>
        <v>2</v>
      </c>
      <c r="AH116" s="8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1</v>
      </c>
      <c r="AN116" s="69">
        <v>1</v>
      </c>
    </row>
    <row r="117" spans="1:40" ht="21" customHeight="1" x14ac:dyDescent="0.15">
      <c r="A117" s="16" t="str">
        <f t="shared" ca="1" si="15"/>
        <v>11007_5-2/336&lt;lv2&gt;s1</v>
      </c>
      <c r="B117" s="22">
        <v>11007</v>
      </c>
      <c r="C117" s="21">
        <v>5</v>
      </c>
      <c r="D117" s="2" t="str">
        <f t="shared" si="16"/>
        <v>11007_5</v>
      </c>
      <c r="E117" s="4" t="str">
        <f ca="1">VLOOKUP($B117,OFFSET([2]quests!$A$1,0,0,COUNTA([2]quests!$A:$A),MATCH(E$1,[2]quests!$1:$1,0)-MATCH($B$1,[2]quests!$1:$1,0)+1),MATCH(E$1,[2]quests!$1:$1,0)-MATCH($B$1,[2]quests!$1:$1,0)+1,FALSE)</f>
        <v>【土曜限定】 赤と緑の素材</v>
      </c>
      <c r="F117" s="4" t="str">
        <f ca="1">VLOOKUP($D117,OFFSET([2]stages!$A$1,0,0,COUNTA([2]stages!$A:$A),MATCH(F$1,[2]stages!$2:$2,0)-MATCH($D$1,[2]stages!$2:$2,0)+1),MATCH(F$1,[2]stages!$2:$2,0)-MATCH($D$1,[2]stages!$2:$2,0)+1,FALSE)</f>
        <v>【超絶級】ドードーとグリフォン</v>
      </c>
      <c r="G117" s="21">
        <v>2</v>
      </c>
      <c r="H117" s="15" t="str">
        <f t="shared" si="17"/>
        <v>11007_5-2</v>
      </c>
      <c r="I117" s="4">
        <f ca="1">VLOOKUP($H117,OFFSET(floors!$A$1,0,0,COUNTA(floors!$A:$A),MATCH(I$1,floors!$1:$1,0)-MATCH($H$1,floors!$1:$1,0)+1),MATCH(I$1,floors!$1:$1,0)-MATCH($H$1,floors!$1:$1,0)+1,FALSE)</f>
        <v>45</v>
      </c>
      <c r="J117" s="4">
        <f ca="1">VLOOKUP($H117,OFFSET(floors!$A$1,0,0,COUNTA(floors!$A:$A),MATCH(J$1,floors!$1:$1,0)-MATCH($H$1,floors!$1:$1,0)+1),MATCH(J$1,floors!$1:$1,0)-MATCH($H$1,floors!$1:$1,0)+1,FALSE)</f>
        <v>60</v>
      </c>
      <c r="K117" s="100" t="s">
        <v>209</v>
      </c>
      <c r="L117" s="99">
        <v>336</v>
      </c>
      <c r="M117" s="17" t="str">
        <f ca="1">VLOOKUP($L117,OFFSET([3]enemies!$A$1,0,0,COUNTA([3]enemies!$A:$A),MATCH(M$1,[3]enemies!$1:$1,0)-MATCH($L$1,[3]enemies!$1:$1,0)+1),MATCH(M$1,[3]enemies!$1:$1,0)-MATCH($L$1,[3]enemies!$1:$1,0)+1,FALSE)</f>
        <v>森のメタルピヨピヨ</v>
      </c>
      <c r="N117" s="17" t="str">
        <f ca="1">VLOOKUP($L117,OFFSET([3]enemies!$A$1,0,0,COUNTA([3]enemies!$A:$A),MATCH(N$1,[3]enemies!$1:$1,0)-MATCH($L$1,[3]enemies!$1:$1,0)+1),MATCH(N$1,[3]enemies!$1:$1,0)-MATCH($L$1,[3]enemies!$1:$1,0)+1,FALSE)</f>
        <v>green</v>
      </c>
      <c r="O117" s="17" t="str">
        <f ca="1">VLOOKUP($L117,OFFSET([4]characters!$A$1,0,0,COUNTA([4]characters!$A:$A),MATCH(O$1,[4]characters!$1:$1,0)-MATCH($L$1,[4]characters!$1:$1,0)+1),MATCH(O$1,[4]characters!$1:$1,0)-MATCH($L$1,[4]characters!$1:$1,0)+1,FALSE)</f>
        <v>Material</v>
      </c>
      <c r="P117" s="17" t="str">
        <f ca="1">VLOOKUP($L117,OFFSET([3]enemies!$A$1,0,0,COUNTA([3]enemies!$A:$A),MATCH(P$1,[3]enemies!$1:$1,0)-MATCH($L$1,[3]enemies!$1:$1,0)+1),MATCH(P$1,[3]enemies!$1:$1,0)-MATCH($L$1,[3]enemies!$1:$1,0)+1,FALSE)</f>
        <v>unknown</v>
      </c>
      <c r="Q117" s="17">
        <f ca="1">VLOOKUP($L117,OFFSET([3]enemies!$A$1,0,0,COUNTA([3]enemies!$A:$A),MATCH(Q$1,[3]enemies!$1:$1,0)-MATCH($L$1,[3]enemies!$1:$1,0)+1),MATCH(Q$1,[3]enemies!$1:$1,0)-MATCH($L$1,[3]enemies!$1:$1,0)+1,FALSE)</f>
        <v>15</v>
      </c>
      <c r="R117" s="5">
        <v>2</v>
      </c>
      <c r="S117" s="25">
        <v>2</v>
      </c>
      <c r="T117" s="25">
        <v>99</v>
      </c>
      <c r="U117" s="5">
        <v>0</v>
      </c>
      <c r="V117" s="4" t="str">
        <f ca="1">VLOOKUP($W117,OFFSET([5]enemy_skill_sets!$B$1,0,0,COUNTA([5]enemy_skill_sets!$B:$B),MATCH(M$1,[5]enemy_skill_sets!$1:$1,0)-MATCH($W$1,[5]enemy_skill_sets!$1:$1,0)+2),MATCH(M$1,[5]enemy_skill_sets!$1:$1,0)-MATCH($W$1,[5]enemy_skill_sets!$1:$1,0)+2,FALSE)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7" s="4">
        <f ca="1">VLOOKUP($L117,OFFSET([3]enemies!$A$1,0,0,COUNTA([3]enemies!$A:$A),MATCH(W$1,[3]enemies!$1:$1,0)-MATCH($L$1,[3]enemies!$1:$1,0)+1),MATCH(W$1,[3]enemies!$1:$1,0)-MATCH($L$1,[3]enemies!$1:$1,0)+1,FALSE)</f>
        <v>0</v>
      </c>
      <c r="X117" s="6">
        <v>0</v>
      </c>
      <c r="Y117" s="6">
        <v>20</v>
      </c>
      <c r="Z117" s="6">
        <v>0</v>
      </c>
      <c r="AA117" s="17">
        <f ca="1">VLOOKUP($L117,OFFSET([3]enemies!$A$1,0,0,COUNTA([3]enemies!$A:$A),MATCH(AA$1,[3]enemies!$1:$1,0)-MATCH($L$1,[3]enemies!$1:$1,0)+1),MATCH(AA$1,[3]enemies!$1:$1,0)-MATCH($L$1,[3]enemies!$1:$1,0)+1,FALSE)</f>
        <v>1</v>
      </c>
      <c r="AB117" s="24">
        <f t="shared" si="18"/>
        <v>336</v>
      </c>
      <c r="AC117" s="4" t="str">
        <f ca="1">VLOOKUP($AB117,OFFSET([4]characters!$A$1,0,0,COUNTA([4]characters!$A:$A),MATCH(AC$1,[4]characters!$1:$1,0)-MATCH("character_id",[4]characters!$1:$1,0)+1),MATCH(AC$1,[4]characters!$1:$1,0)-MATCH("character_id",[4]characters!$1:$1,0)+1,FALSE)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117" s="4">
        <f ca="1">VLOOKUP($AB117,OFFSET([4]characters!$A$1,0,0,COUNTA([4]characters!$A:$A),MATCH(AD$1,[4]characters!$1:$1,0)-MATCH("character_id",[4]characters!$1:$1,0)+1),MATCH(AD$1,[4]characters!$1:$1,0)-MATCH("character_id",[4]characters!$1:$1,0)+1,FALSE)</f>
        <v>3</v>
      </c>
      <c r="AE117" s="4" t="str">
        <f ca="1">VLOOKUP($AB117,OFFSET([4]characters!$A$1,0,0,COUNTA([4]characters!$A:$A),MATCH(AE$1,[4]characters!$1:$1,0)-MATCH("character_id",[4]characters!$1:$1,0)+1),MATCH(AE$1,[4]characters!$1:$1,0)-MATCH("character_id",[4]characters!$1:$1,0)+1,FALSE)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7" s="7">
        <v>1</v>
      </c>
      <c r="AG117" s="24">
        <f t="shared" ca="1" si="19"/>
        <v>3</v>
      </c>
      <c r="AH117" s="8">
        <v>10</v>
      </c>
      <c r="AI117" s="7">
        <v>0</v>
      </c>
      <c r="AJ117" s="7">
        <v>0</v>
      </c>
      <c r="AK117" s="7">
        <v>0</v>
      </c>
      <c r="AL117" s="7">
        <v>0</v>
      </c>
      <c r="AM117" s="7">
        <v>1</v>
      </c>
      <c r="AN117" s="69">
        <v>1</v>
      </c>
    </row>
    <row r="118" spans="1:40" ht="21" customHeight="1" x14ac:dyDescent="0.15">
      <c r="A118" s="16" t="str">
        <f t="shared" ca="1" si="15"/>
        <v>11007_5-2/337&lt;lv2&gt;s2</v>
      </c>
      <c r="B118" s="22">
        <v>11007</v>
      </c>
      <c r="C118" s="21">
        <v>5</v>
      </c>
      <c r="D118" s="2" t="str">
        <f t="shared" si="16"/>
        <v>11007_5</v>
      </c>
      <c r="E118" s="4" t="str">
        <f ca="1">VLOOKUP($B118,OFFSET([2]quests!$A$1,0,0,COUNTA([2]quests!$A:$A),MATCH(E$1,[2]quests!$1:$1,0)-MATCH($B$1,[2]quests!$1:$1,0)+1),MATCH(E$1,[2]quests!$1:$1,0)-MATCH($B$1,[2]quests!$1:$1,0)+1,FALSE)</f>
        <v>【土曜限定】 赤と緑の素材</v>
      </c>
      <c r="F118" s="4" t="str">
        <f ca="1">VLOOKUP($D118,OFFSET([2]stages!$A$1,0,0,COUNTA([2]stages!$A:$A),MATCH(F$1,[2]stages!$2:$2,0)-MATCH($D$1,[2]stages!$2:$2,0)+1),MATCH(F$1,[2]stages!$2:$2,0)-MATCH($D$1,[2]stages!$2:$2,0)+1,FALSE)</f>
        <v>【超絶級】ドードーとグリフォン</v>
      </c>
      <c r="G118" s="21">
        <v>2</v>
      </c>
      <c r="H118" s="15" t="str">
        <f t="shared" si="17"/>
        <v>11007_5-2</v>
      </c>
      <c r="I118" s="4">
        <f ca="1">VLOOKUP($H118,OFFSET(floors!$A$1,0,0,COUNTA(floors!$A:$A),MATCH(I$1,floors!$1:$1,0)-MATCH($H$1,floors!$1:$1,0)+1),MATCH(I$1,floors!$1:$1,0)-MATCH($H$1,floors!$1:$1,0)+1,FALSE)</f>
        <v>45</v>
      </c>
      <c r="J118" s="4">
        <f ca="1">VLOOKUP($H118,OFFSET(floors!$A$1,0,0,COUNTA(floors!$A:$A),MATCH(J$1,floors!$1:$1,0)-MATCH($H$1,floors!$1:$1,0)+1),MATCH(J$1,floors!$1:$1,0)-MATCH($H$1,floors!$1:$1,0)+1,FALSE)</f>
        <v>60</v>
      </c>
      <c r="K118" s="100" t="s">
        <v>209</v>
      </c>
      <c r="L118" s="99">
        <v>337</v>
      </c>
      <c r="M118" s="17" t="str">
        <f ca="1">VLOOKUP($L118,OFFSET([3]enemies!$A$1,0,0,COUNTA([3]enemies!$A:$A),MATCH(M$1,[3]enemies!$1:$1,0)-MATCH($L$1,[3]enemies!$1:$1,0)+1),MATCH(M$1,[3]enemies!$1:$1,0)-MATCH($L$1,[3]enemies!$1:$1,0)+1,FALSE)</f>
        <v>森のメタルチック</v>
      </c>
      <c r="N118" s="17" t="str">
        <f ca="1">VLOOKUP($L118,OFFSET([3]enemies!$A$1,0,0,COUNTA([3]enemies!$A:$A),MATCH(N$1,[3]enemies!$1:$1,0)-MATCH($L$1,[3]enemies!$1:$1,0)+1),MATCH(N$1,[3]enemies!$1:$1,0)-MATCH($L$1,[3]enemies!$1:$1,0)+1,FALSE)</f>
        <v>green</v>
      </c>
      <c r="O118" s="17" t="str">
        <f ca="1">VLOOKUP($L118,OFFSET([4]characters!$A$1,0,0,COUNTA([4]characters!$A:$A),MATCH(O$1,[4]characters!$1:$1,0)-MATCH($L$1,[4]characters!$1:$1,0)+1),MATCH(O$1,[4]characters!$1:$1,0)-MATCH($L$1,[4]characters!$1:$1,0)+1,FALSE)</f>
        <v>Material</v>
      </c>
      <c r="P118" s="17" t="str">
        <f ca="1">VLOOKUP($L118,OFFSET([3]enemies!$A$1,0,0,COUNTA([3]enemies!$A:$A),MATCH(P$1,[3]enemies!$1:$1,0)-MATCH($L$1,[3]enemies!$1:$1,0)+1),MATCH(P$1,[3]enemies!$1:$1,0)-MATCH($L$1,[3]enemies!$1:$1,0)+1,FALSE)</f>
        <v>unknown</v>
      </c>
      <c r="Q118" s="17">
        <f ca="1">VLOOKUP($L118,OFFSET([3]enemies!$A$1,0,0,COUNTA([3]enemies!$A:$A),MATCH(Q$1,[3]enemies!$1:$1,0)-MATCH($L$1,[3]enemies!$1:$1,0)+1),MATCH(Q$1,[3]enemies!$1:$1,0)-MATCH($L$1,[3]enemies!$1:$1,0)+1,FALSE)</f>
        <v>15</v>
      </c>
      <c r="R118" s="5">
        <v>2</v>
      </c>
      <c r="S118" s="25">
        <v>2</v>
      </c>
      <c r="T118" s="25">
        <v>99</v>
      </c>
      <c r="U118" s="5">
        <v>0</v>
      </c>
      <c r="V118" s="4" t="str">
        <f ca="1">VLOOKUP($W118,OFFSET([5]enemy_skill_sets!$B$1,0,0,COUNTA([5]enemy_skill_sets!$B:$B),MATCH(M$1,[5]enemy_skill_sets!$1:$1,0)-MATCH($W$1,[5]enemy_skill_sets!$1:$1,0)+2),MATCH(M$1,[5]enemy_skill_sets!$1:$1,0)-MATCH($W$1,[5]enemy_skill_sets!$1:$1,0)+2,FALSE)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8" s="4">
        <f ca="1">VLOOKUP($L118,OFFSET([3]enemies!$A$1,0,0,COUNTA([3]enemies!$A:$A),MATCH(W$1,[3]enemies!$1:$1,0)-MATCH($L$1,[3]enemies!$1:$1,0)+1),MATCH(W$1,[3]enemies!$1:$1,0)-MATCH($L$1,[3]enemies!$1:$1,0)+1,FALSE)</f>
        <v>0</v>
      </c>
      <c r="X118" s="6">
        <v>0</v>
      </c>
      <c r="Y118" s="6">
        <v>10</v>
      </c>
      <c r="Z118" s="6">
        <v>0</v>
      </c>
      <c r="AA118" s="17">
        <f ca="1">VLOOKUP($L118,OFFSET([3]enemies!$A$1,0,0,COUNTA([3]enemies!$A:$A),MATCH(AA$1,[3]enemies!$1:$1,0)-MATCH($L$1,[3]enemies!$1:$1,0)+1),MATCH(AA$1,[3]enemies!$1:$1,0)-MATCH($L$1,[3]enemies!$1:$1,0)+1,FALSE)</f>
        <v>2</v>
      </c>
      <c r="AB118" s="24">
        <f t="shared" si="18"/>
        <v>337</v>
      </c>
      <c r="AC118" s="4" t="str">
        <f ca="1">VLOOKUP($AB118,OFFSET([4]characters!$A$1,0,0,COUNTA([4]characters!$A:$A),MATCH(AC$1,[4]characters!$1:$1,0)-MATCH("character_id",[4]characters!$1:$1,0)+1),MATCH(AC$1,[4]characters!$1:$1,0)-MATCH("character_id",[4]characters!$1:$1,0)+1,FALSE)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118" s="4">
        <f ca="1">VLOOKUP($AB118,OFFSET([4]characters!$A$1,0,0,COUNTA([4]characters!$A:$A),MATCH(AD$1,[4]characters!$1:$1,0)-MATCH("character_id",[4]characters!$1:$1,0)+1),MATCH(AD$1,[4]characters!$1:$1,0)-MATCH("character_id",[4]characters!$1:$1,0)+1,FALSE)</f>
        <v>4</v>
      </c>
      <c r="AE118" s="4" t="str">
        <f ca="1">VLOOKUP($AB118,OFFSET([4]characters!$A$1,0,0,COUNTA([4]characters!$A:$A),MATCH(AE$1,[4]characters!$1:$1,0)-MATCH("character_id",[4]characters!$1:$1,0)+1),MATCH(AE$1,[4]characters!$1:$1,0)-MATCH("character_id",[4]characters!$1:$1,0)+1,FALSE)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8" s="7">
        <v>1</v>
      </c>
      <c r="AG118" s="24">
        <f t="shared" ca="1" si="19"/>
        <v>4</v>
      </c>
      <c r="AH118" s="8">
        <v>5</v>
      </c>
      <c r="AI118" s="7">
        <v>0</v>
      </c>
      <c r="AJ118" s="7">
        <v>0</v>
      </c>
      <c r="AK118" s="7">
        <v>0</v>
      </c>
      <c r="AL118" s="7">
        <v>0</v>
      </c>
      <c r="AM118" s="7">
        <v>1</v>
      </c>
      <c r="AN118" s="69">
        <v>1</v>
      </c>
    </row>
    <row r="119" spans="1:40" ht="21" customHeight="1" x14ac:dyDescent="0.15">
      <c r="A119" s="16" t="str">
        <f t="shared" ca="1" si="15"/>
        <v>11007_5-3/301&lt;lv60&gt;s2</v>
      </c>
      <c r="B119" s="22">
        <v>11007</v>
      </c>
      <c r="C119" s="21">
        <v>5</v>
      </c>
      <c r="D119" s="2" t="str">
        <f t="shared" si="16"/>
        <v>11007_5</v>
      </c>
      <c r="E119" s="4" t="str">
        <f ca="1">VLOOKUP($B119,OFFSET([2]quests!$A$1,0,0,COUNTA([2]quests!$A:$A),MATCH(E$1,[2]quests!$1:$1,0)-MATCH($B$1,[2]quests!$1:$1,0)+1),MATCH(E$1,[2]quests!$1:$1,0)-MATCH($B$1,[2]quests!$1:$1,0)+1,FALSE)</f>
        <v>【土曜限定】 赤と緑の素材</v>
      </c>
      <c r="F119" s="4" t="str">
        <f ca="1">VLOOKUP($D119,OFFSET([2]stages!$A$1,0,0,COUNTA([2]stages!$A:$A),MATCH(F$1,[2]stages!$2:$2,0)-MATCH($D$1,[2]stages!$2:$2,0)+1),MATCH(F$1,[2]stages!$2:$2,0)-MATCH($D$1,[2]stages!$2:$2,0)+1,FALSE)</f>
        <v>【超絶級】ドードーとグリフォン</v>
      </c>
      <c r="G119" s="21">
        <v>3</v>
      </c>
      <c r="H119" s="15" t="str">
        <f t="shared" si="17"/>
        <v>11007_5-3</v>
      </c>
      <c r="I119" s="4">
        <f ca="1">VLOOKUP($H119,OFFSET(floors!$A$1,0,0,COUNTA(floors!$A:$A),MATCH(I$1,floors!$1:$1,0)-MATCH($H$1,floors!$1:$1,0)+1),MATCH(I$1,floors!$1:$1,0)-MATCH($H$1,floors!$1:$1,0)+1,FALSE)</f>
        <v>50</v>
      </c>
      <c r="J119" s="4">
        <f ca="1">VLOOKUP($H119,OFFSET(floors!$A$1,0,0,COUNTA(floors!$A:$A),MATCH(J$1,floors!$1:$1,0)-MATCH($H$1,floors!$1:$1,0)+1),MATCH(J$1,floors!$1:$1,0)-MATCH($H$1,floors!$1:$1,0)+1,FALSE)</f>
        <v>60</v>
      </c>
      <c r="K119" s="100" t="s">
        <v>209</v>
      </c>
      <c r="L119" s="99">
        <v>301</v>
      </c>
      <c r="M119" s="17" t="str">
        <f ca="1">VLOOKUP($L119,OFFSET([3]enemies!$A$1,0,0,COUNTA([3]enemies!$A:$A),MATCH(M$1,[3]enemies!$1:$1,0)-MATCH($L$1,[3]enemies!$1:$1,0)+1),MATCH(M$1,[3]enemies!$1:$1,0)-MATCH($L$1,[3]enemies!$1:$1,0)+1,FALSE)</f>
        <v>宿痾の葬送 チカ</v>
      </c>
      <c r="N119" s="17" t="str">
        <f ca="1">VLOOKUP($L119,OFFSET([3]enemies!$A$1,0,0,COUNTA([3]enemies!$A:$A),MATCH(N$1,[3]enemies!$1:$1,0)-MATCH($L$1,[3]enemies!$1:$1,0)+1),MATCH(N$1,[3]enemies!$1:$1,0)-MATCH($L$1,[3]enemies!$1:$1,0)+1,FALSE)</f>
        <v>green</v>
      </c>
      <c r="O119" s="17" t="str">
        <f ca="1">VLOOKUP($L119,OFFSET([4]characters!$A$1,0,0,COUNTA([4]characters!$A:$A),MATCH(O$1,[4]characters!$1:$1,0)-MATCH($L$1,[4]characters!$1:$1,0)+1),MATCH(O$1,[4]characters!$1:$1,0)-MATCH($L$1,[4]characters!$1:$1,0)+1,FALSE)</f>
        <v>Drop2W</v>
      </c>
      <c r="P119" s="17" t="str">
        <f ca="1">VLOOKUP($L119,OFFSET([3]enemies!$A$1,0,0,COUNTA([3]enemies!$A:$A),MATCH(P$1,[3]enemies!$1:$1,0)-MATCH($L$1,[3]enemies!$1:$1,0)+1),MATCH(P$1,[3]enemies!$1:$1,0)-MATCH($L$1,[3]enemies!$1:$1,0)+1,FALSE)</f>
        <v>human</v>
      </c>
      <c r="Q119" s="17">
        <f ca="1">VLOOKUP($L119,OFFSET([3]enemies!$A$1,0,0,COUNTA([3]enemies!$A:$A),MATCH(Q$1,[3]enemies!$1:$1,0)-MATCH($L$1,[3]enemies!$1:$1,0)+1),MATCH(Q$1,[3]enemies!$1:$1,0)-MATCH($L$1,[3]enemies!$1:$1,0)+1,FALSE)</f>
        <v>30</v>
      </c>
      <c r="R119" s="5">
        <v>60</v>
      </c>
      <c r="S119" s="25">
        <v>1.3</v>
      </c>
      <c r="T119" s="25">
        <v>1.4</v>
      </c>
      <c r="U119" s="5">
        <v>0</v>
      </c>
      <c r="V119" s="4" t="str">
        <f ca="1">VLOOKUP($W119,OFFSET(enemy_skill_sets!$B$1,0,0,COUNTA(enemy_skill_sets!$B:$B),MATCH(M$1,enemy_skill_sets!$1:$1,0)-MATCH($W$1,enemy_skill_sets!$1:$1,0)+2),MATCH(M$1,enemy_skill_sets!$1:$1,0)-MATCH($W$1,enemy_skill_sets!$1:$1,0)+2,FALSE)</f>
        <v>5ターンウィルス状態</v>
      </c>
      <c r="W119" s="4">
        <v>1122203</v>
      </c>
      <c r="X119" s="6">
        <v>0</v>
      </c>
      <c r="Y119" s="6">
        <v>80</v>
      </c>
      <c r="Z119" s="6">
        <v>1</v>
      </c>
      <c r="AA119" s="17">
        <f ca="1">VLOOKUP($L119,OFFSET([3]enemies!$A$1,0,0,COUNTA([3]enemies!$A:$A),MATCH(AA$1,[3]enemies!$1:$1,0)-MATCH($L$1,[3]enemies!$1:$1,0)+1),MATCH(AA$1,[3]enemies!$1:$1,0)-MATCH($L$1,[3]enemies!$1:$1,0)+1,FALSE)</f>
        <v>2</v>
      </c>
      <c r="AB119" s="24">
        <f t="shared" si="18"/>
        <v>301</v>
      </c>
      <c r="AC119" s="4" t="str">
        <f ca="1">VLOOKUP($AB119,OFFSET([4]characters!$A$1,0,0,COUNTA([4]characters!$A:$A),MATCH(AC$1,[4]characters!$1:$1,0)-MATCH("character_id",[4]characters!$1:$1,0)+1),MATCH(AC$1,[4]characters!$1:$1,0)-MATCH("character_id",[4]characters!$1:$1,0)+1,FALSE)</f>
        <v>宿痾の葬送 チカ</v>
      </c>
      <c r="AD119" s="4">
        <f ca="1">VLOOKUP($AB119,OFFSET([4]characters!$A$1,0,0,COUNTA([4]characters!$A:$A),MATCH(AD$1,[4]characters!$1:$1,0)-MATCH("character_id",[4]characters!$1:$1,0)+1),MATCH(AD$1,[4]characters!$1:$1,0)-MATCH("character_id",[4]characters!$1:$1,0)+1,FALSE)</f>
        <v>4</v>
      </c>
      <c r="AE119" s="4" t="str">
        <f ca="1">VLOOKUP($AB119,OFFSET([4]characters!$A$1,0,0,COUNTA([4]characters!$A:$A),MATCH(AE$1,[4]characters!$1:$1,0)-MATCH("character_id",[4]characters!$1:$1,0)+1),MATCH(AE$1,[4]characters!$1:$1,0)-MATCH("character_id",[4]characters!$1:$1,0)+1,FALSE)</f>
        <v>Drop2W</v>
      </c>
      <c r="AF119" s="7">
        <v>1</v>
      </c>
      <c r="AG119" s="24">
        <f t="shared" ca="1" si="19"/>
        <v>4</v>
      </c>
      <c r="AH119" s="8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1</v>
      </c>
      <c r="AN119" s="69">
        <v>1</v>
      </c>
    </row>
    <row r="120" spans="1:40" ht="21" customHeight="1" x14ac:dyDescent="0.15">
      <c r="A120" s="16" t="str">
        <f t="shared" ca="1" si="15"/>
        <v>11007_5-3/338&lt;lv2&gt;s3</v>
      </c>
      <c r="B120" s="22">
        <v>11007</v>
      </c>
      <c r="C120" s="21">
        <v>5</v>
      </c>
      <c r="D120" s="2" t="str">
        <f t="shared" si="16"/>
        <v>11007_5</v>
      </c>
      <c r="E120" s="4" t="str">
        <f ca="1">VLOOKUP($B120,OFFSET([2]quests!$A$1,0,0,COUNTA([2]quests!$A:$A),MATCH(E$1,[2]quests!$1:$1,0)-MATCH($B$1,[2]quests!$1:$1,0)+1),MATCH(E$1,[2]quests!$1:$1,0)-MATCH($B$1,[2]quests!$1:$1,0)+1,FALSE)</f>
        <v>【土曜限定】 赤と緑の素材</v>
      </c>
      <c r="F120" s="4" t="str">
        <f ca="1">VLOOKUP($D120,OFFSET([2]stages!$A$1,0,0,COUNTA([2]stages!$A:$A),MATCH(F$1,[2]stages!$2:$2,0)-MATCH($D$1,[2]stages!$2:$2,0)+1),MATCH(F$1,[2]stages!$2:$2,0)-MATCH($D$1,[2]stages!$2:$2,0)+1,FALSE)</f>
        <v>【超絶級】ドードーとグリフォン</v>
      </c>
      <c r="G120" s="21">
        <v>3</v>
      </c>
      <c r="H120" s="15" t="str">
        <f t="shared" si="17"/>
        <v>11007_5-3</v>
      </c>
      <c r="I120" s="4">
        <f ca="1">VLOOKUP($H120,OFFSET(floors!$A$1,0,0,COUNTA(floors!$A:$A),MATCH(I$1,floors!$1:$1,0)-MATCH($H$1,floors!$1:$1,0)+1),MATCH(I$1,floors!$1:$1,0)-MATCH($H$1,floors!$1:$1,0)+1,FALSE)</f>
        <v>50</v>
      </c>
      <c r="J120" s="4">
        <f ca="1">VLOOKUP($H120,OFFSET(floors!$A$1,0,0,COUNTA(floors!$A:$A),MATCH(J$1,floors!$1:$1,0)-MATCH($H$1,floors!$1:$1,0)+1),MATCH(J$1,floors!$1:$1,0)-MATCH($H$1,floors!$1:$1,0)+1,FALSE)</f>
        <v>60</v>
      </c>
      <c r="K120" s="100" t="s">
        <v>209</v>
      </c>
      <c r="L120" s="99">
        <v>338</v>
      </c>
      <c r="M120" s="17" t="str">
        <f ca="1">VLOOKUP($L120,OFFSET([3]enemies!$A$1,0,0,COUNTA([3]enemies!$A:$A),MATCH(M$1,[3]enemies!$1:$1,0)-MATCH($L$1,[3]enemies!$1:$1,0)+1),MATCH(M$1,[3]enemies!$1:$1,0)-MATCH($L$1,[3]enemies!$1:$1,0)+1,FALSE)</f>
        <v>森のメタルダック</v>
      </c>
      <c r="N120" s="17" t="str">
        <f ca="1">VLOOKUP($L120,OFFSET([3]enemies!$A$1,0,0,COUNTA([3]enemies!$A:$A),MATCH(N$1,[3]enemies!$1:$1,0)-MATCH($L$1,[3]enemies!$1:$1,0)+1),MATCH(N$1,[3]enemies!$1:$1,0)-MATCH($L$1,[3]enemies!$1:$1,0)+1,FALSE)</f>
        <v>green</v>
      </c>
      <c r="O120" s="17" t="str">
        <f ca="1">VLOOKUP($L120,OFFSET([4]characters!$A$1,0,0,COUNTA([4]characters!$A:$A),MATCH(O$1,[4]characters!$1:$1,0)-MATCH($L$1,[4]characters!$1:$1,0)+1),MATCH(O$1,[4]characters!$1:$1,0)-MATCH($L$1,[4]characters!$1:$1,0)+1,FALSE)</f>
        <v>Material</v>
      </c>
      <c r="P120" s="17" t="str">
        <f ca="1">VLOOKUP($L120,OFFSET([3]enemies!$A$1,0,0,COUNTA([3]enemies!$A:$A),MATCH(P$1,[3]enemies!$1:$1,0)-MATCH($L$1,[3]enemies!$1:$1,0)+1),MATCH(P$1,[3]enemies!$1:$1,0)-MATCH($L$1,[3]enemies!$1:$1,0)+1,FALSE)</f>
        <v>unknown</v>
      </c>
      <c r="Q120" s="17">
        <f ca="1">VLOOKUP($L120,OFFSET([3]enemies!$A$1,0,0,COUNTA([3]enemies!$A:$A),MATCH(Q$1,[3]enemies!$1:$1,0)-MATCH($L$1,[3]enemies!$1:$1,0)+1),MATCH(Q$1,[3]enemies!$1:$1,0)-MATCH($L$1,[3]enemies!$1:$1,0)+1,FALSE)</f>
        <v>20</v>
      </c>
      <c r="R120" s="5">
        <v>2</v>
      </c>
      <c r="S120" s="25">
        <v>2</v>
      </c>
      <c r="T120" s="25">
        <v>99</v>
      </c>
      <c r="U120" s="5">
        <v>0</v>
      </c>
      <c r="V120" s="4" t="str">
        <f ca="1">VLOOKUP($W120,OFFSET([5]enemy_skill_sets!$B$1,0,0,COUNTA([5]enemy_skill_sets!$B:$B),MATCH(M$1,[5]enemy_skill_sets!$1:$1,0)-MATCH($W$1,[5]enemy_skill_sets!$1:$1,0)+2),MATCH(M$1,[5]enemy_skill_sets!$1:$1,0)-MATCH($W$1,[5]enemy_skill_sets!$1:$1,0)+2,FALSE)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0" s="4">
        <f ca="1">VLOOKUP($L120,OFFSET([3]enemies!$A$1,0,0,COUNTA([3]enemies!$A:$A),MATCH(W$1,[3]enemies!$1:$1,0)-MATCH($L$1,[3]enemies!$1:$1,0)+1),MATCH(W$1,[3]enemies!$1:$1,0)-MATCH($L$1,[3]enemies!$1:$1,0)+1,FALSE)</f>
        <v>0</v>
      </c>
      <c r="X120" s="6">
        <v>0</v>
      </c>
      <c r="Y120" s="6">
        <v>20</v>
      </c>
      <c r="Z120" s="6">
        <v>1</v>
      </c>
      <c r="AA120" s="17">
        <f ca="1">VLOOKUP($L120,OFFSET([3]enemies!$A$1,0,0,COUNTA([3]enemies!$A:$A),MATCH(AA$1,[3]enemies!$1:$1,0)-MATCH($L$1,[3]enemies!$1:$1,0)+1),MATCH(AA$1,[3]enemies!$1:$1,0)-MATCH($L$1,[3]enemies!$1:$1,0)+1,FALSE)</f>
        <v>3</v>
      </c>
      <c r="AB120" s="24">
        <f t="shared" si="18"/>
        <v>338</v>
      </c>
      <c r="AC120" s="4" t="str">
        <f ca="1">VLOOKUP($AB120,OFFSET([4]characters!$A$1,0,0,COUNTA([4]characters!$A:$A),MATCH(AC$1,[4]characters!$1:$1,0)-MATCH("character_id",[4]characters!$1:$1,0)+1),MATCH(AC$1,[4]characters!$1:$1,0)-MATCH("character_id",[4]characters!$1:$1,0)+1,FALSE)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120" s="4">
        <f ca="1">VLOOKUP($AB120,OFFSET([4]characters!$A$1,0,0,COUNTA([4]characters!$A:$A),MATCH(AD$1,[4]characters!$1:$1,0)-MATCH("character_id",[4]characters!$1:$1,0)+1),MATCH(AD$1,[4]characters!$1:$1,0)-MATCH("character_id",[4]characters!$1:$1,0)+1,FALSE)</f>
        <v>5</v>
      </c>
      <c r="AE120" s="4" t="str">
        <f ca="1">VLOOKUP($AB120,OFFSET([4]characters!$A$1,0,0,COUNTA([4]characters!$A:$A),MATCH(AE$1,[4]characters!$1:$1,0)-MATCH("character_id",[4]characters!$1:$1,0)+1),MATCH(AE$1,[4]characters!$1:$1,0)-MATCH("character_id",[4]characters!$1:$1,0)+1,FALSE)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0" s="7">
        <v>1</v>
      </c>
      <c r="AG120" s="24">
        <f t="shared" ca="1" si="19"/>
        <v>5</v>
      </c>
      <c r="AH120" s="8">
        <v>5</v>
      </c>
      <c r="AI120" s="7">
        <v>0</v>
      </c>
      <c r="AJ120" s="7">
        <v>0</v>
      </c>
      <c r="AK120" s="7">
        <v>0</v>
      </c>
      <c r="AL120" s="7">
        <v>0</v>
      </c>
      <c r="AM120" s="7">
        <v>1</v>
      </c>
      <c r="AN120" s="69">
        <v>1</v>
      </c>
    </row>
    <row r="121" spans="1:40" ht="21" customHeight="1" x14ac:dyDescent="0.15">
      <c r="A121" s="16" t="str">
        <f t="shared" ca="1" si="15"/>
        <v>11007_5-3/336&lt;lv2&gt;s1</v>
      </c>
      <c r="B121" s="22">
        <v>11007</v>
      </c>
      <c r="C121" s="21">
        <v>5</v>
      </c>
      <c r="D121" s="2" t="str">
        <f t="shared" si="16"/>
        <v>11007_5</v>
      </c>
      <c r="E121" s="4" t="str">
        <f ca="1">VLOOKUP($B121,OFFSET([2]quests!$A$1,0,0,COUNTA([2]quests!$A:$A),MATCH(E$1,[2]quests!$1:$1,0)-MATCH($B$1,[2]quests!$1:$1,0)+1),MATCH(E$1,[2]quests!$1:$1,0)-MATCH($B$1,[2]quests!$1:$1,0)+1,FALSE)</f>
        <v>【土曜限定】 赤と緑の素材</v>
      </c>
      <c r="F121" s="4" t="str">
        <f ca="1">VLOOKUP($D121,OFFSET([2]stages!$A$1,0,0,COUNTA([2]stages!$A:$A),MATCH(F$1,[2]stages!$2:$2,0)-MATCH($D$1,[2]stages!$2:$2,0)+1),MATCH(F$1,[2]stages!$2:$2,0)-MATCH($D$1,[2]stages!$2:$2,0)+1,FALSE)</f>
        <v>【超絶級】ドードーとグリフォン</v>
      </c>
      <c r="G121" s="21">
        <v>3</v>
      </c>
      <c r="H121" s="15" t="str">
        <f t="shared" si="17"/>
        <v>11007_5-3</v>
      </c>
      <c r="I121" s="4">
        <f ca="1">VLOOKUP($H121,OFFSET(floors!$A$1,0,0,COUNTA(floors!$A:$A),MATCH(I$1,floors!$1:$1,0)-MATCH($H$1,floors!$1:$1,0)+1),MATCH(I$1,floors!$1:$1,0)-MATCH($H$1,floors!$1:$1,0)+1,FALSE)</f>
        <v>50</v>
      </c>
      <c r="J121" s="4">
        <f ca="1">VLOOKUP($H121,OFFSET(floors!$A$1,0,0,COUNTA(floors!$A:$A),MATCH(J$1,floors!$1:$1,0)-MATCH($H$1,floors!$1:$1,0)+1),MATCH(J$1,floors!$1:$1,0)-MATCH($H$1,floors!$1:$1,0)+1,FALSE)</f>
        <v>60</v>
      </c>
      <c r="K121" s="100" t="s">
        <v>209</v>
      </c>
      <c r="L121" s="99">
        <v>336</v>
      </c>
      <c r="M121" s="17" t="str">
        <f ca="1">VLOOKUP($L121,OFFSET([3]enemies!$A$1,0,0,COUNTA([3]enemies!$A:$A),MATCH(M$1,[3]enemies!$1:$1,0)-MATCH($L$1,[3]enemies!$1:$1,0)+1),MATCH(M$1,[3]enemies!$1:$1,0)-MATCH($L$1,[3]enemies!$1:$1,0)+1,FALSE)</f>
        <v>森のメタルピヨピヨ</v>
      </c>
      <c r="N121" s="17" t="str">
        <f ca="1">VLOOKUP($L121,OFFSET([3]enemies!$A$1,0,0,COUNTA([3]enemies!$A:$A),MATCH(N$1,[3]enemies!$1:$1,0)-MATCH($L$1,[3]enemies!$1:$1,0)+1),MATCH(N$1,[3]enemies!$1:$1,0)-MATCH($L$1,[3]enemies!$1:$1,0)+1,FALSE)</f>
        <v>green</v>
      </c>
      <c r="O121" s="17" t="str">
        <f ca="1">VLOOKUP($L121,OFFSET([4]characters!$A$1,0,0,COUNTA([4]characters!$A:$A),MATCH(O$1,[4]characters!$1:$1,0)-MATCH($L$1,[4]characters!$1:$1,0)+1),MATCH(O$1,[4]characters!$1:$1,0)-MATCH($L$1,[4]characters!$1:$1,0)+1,FALSE)</f>
        <v>Material</v>
      </c>
      <c r="P121" s="17" t="str">
        <f ca="1">VLOOKUP($L121,OFFSET([3]enemies!$A$1,0,0,COUNTA([3]enemies!$A:$A),MATCH(P$1,[3]enemies!$1:$1,0)-MATCH($L$1,[3]enemies!$1:$1,0)+1),MATCH(P$1,[3]enemies!$1:$1,0)-MATCH($L$1,[3]enemies!$1:$1,0)+1,FALSE)</f>
        <v>unknown</v>
      </c>
      <c r="Q121" s="17">
        <f ca="1">VLOOKUP($L121,OFFSET([3]enemies!$A$1,0,0,COUNTA([3]enemies!$A:$A),MATCH(Q$1,[3]enemies!$1:$1,0)-MATCH($L$1,[3]enemies!$1:$1,0)+1),MATCH(Q$1,[3]enemies!$1:$1,0)-MATCH($L$1,[3]enemies!$1:$1,0)+1,FALSE)</f>
        <v>15</v>
      </c>
      <c r="R121" s="5">
        <v>2</v>
      </c>
      <c r="S121" s="25">
        <v>2</v>
      </c>
      <c r="T121" s="25">
        <v>99</v>
      </c>
      <c r="U121" s="5">
        <v>0</v>
      </c>
      <c r="V121" s="4" t="str">
        <f ca="1">VLOOKUP($W121,OFFSET([5]enemy_skill_sets!$B$1,0,0,COUNTA([5]enemy_skill_sets!$B:$B),MATCH(M$1,[5]enemy_skill_sets!$1:$1,0)-MATCH($W$1,[5]enemy_skill_sets!$1:$1,0)+2),MATCH(M$1,[5]enemy_skill_sets!$1:$1,0)-MATCH($W$1,[5]enemy_skill_sets!$1:$1,0)+2,FALSE)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1" s="4">
        <f ca="1">VLOOKUP($L121,OFFSET([3]enemies!$A$1,0,0,COUNTA([3]enemies!$A:$A),MATCH(W$1,[3]enemies!$1:$1,0)-MATCH($L$1,[3]enemies!$1:$1,0)+1),MATCH(W$1,[3]enemies!$1:$1,0)-MATCH($L$1,[3]enemies!$1:$1,0)+1,FALSE)</f>
        <v>0</v>
      </c>
      <c r="X121" s="6">
        <v>0</v>
      </c>
      <c r="Y121" s="6">
        <v>100</v>
      </c>
      <c r="Z121" s="6">
        <v>2</v>
      </c>
      <c r="AA121" s="17">
        <f ca="1">VLOOKUP($L121,OFFSET([3]enemies!$A$1,0,0,COUNTA([3]enemies!$A:$A),MATCH(AA$1,[3]enemies!$1:$1,0)-MATCH($L$1,[3]enemies!$1:$1,0)+1),MATCH(AA$1,[3]enemies!$1:$1,0)-MATCH($L$1,[3]enemies!$1:$1,0)+1,FALSE)</f>
        <v>1</v>
      </c>
      <c r="AB121" s="24">
        <f t="shared" si="18"/>
        <v>336</v>
      </c>
      <c r="AC121" s="4" t="str">
        <f ca="1">VLOOKUP($AB121,OFFSET([4]characters!$A$1,0,0,COUNTA([4]characters!$A:$A),MATCH(AC$1,[4]characters!$1:$1,0)-MATCH("character_id",[4]characters!$1:$1,0)+1),MATCH(AC$1,[4]characters!$1:$1,0)-MATCH("character_id",[4]characters!$1:$1,0)+1,FALSE)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121" s="4">
        <f ca="1">VLOOKUP($AB121,OFFSET([4]characters!$A$1,0,0,COUNTA([4]characters!$A:$A),MATCH(AD$1,[4]characters!$1:$1,0)-MATCH("character_id",[4]characters!$1:$1,0)+1),MATCH(AD$1,[4]characters!$1:$1,0)-MATCH("character_id",[4]characters!$1:$1,0)+1,FALSE)</f>
        <v>3</v>
      </c>
      <c r="AE121" s="4" t="str">
        <f ca="1">VLOOKUP($AB121,OFFSET([4]characters!$A$1,0,0,COUNTA([4]characters!$A:$A),MATCH(AE$1,[4]characters!$1:$1,0)-MATCH("character_id",[4]characters!$1:$1,0)+1),MATCH(AE$1,[4]characters!$1:$1,0)-MATCH("character_id",[4]characters!$1:$1,0)+1,FALSE)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1" s="7">
        <v>1</v>
      </c>
      <c r="AG121" s="24">
        <f t="shared" ca="1" si="19"/>
        <v>3</v>
      </c>
      <c r="AH121" s="8">
        <v>20</v>
      </c>
      <c r="AI121" s="7">
        <v>0</v>
      </c>
      <c r="AJ121" s="7">
        <v>0</v>
      </c>
      <c r="AK121" s="7">
        <v>0</v>
      </c>
      <c r="AL121" s="7">
        <v>0</v>
      </c>
      <c r="AM121" s="7">
        <v>1</v>
      </c>
      <c r="AN121" s="69">
        <v>1</v>
      </c>
    </row>
    <row r="122" spans="1:40" ht="21" customHeight="1" x14ac:dyDescent="0.15">
      <c r="A122" s="16" t="str">
        <f t="shared" ca="1" si="15"/>
        <v>11007_5-3/337&lt;lv2&gt;s2</v>
      </c>
      <c r="B122" s="22">
        <v>11007</v>
      </c>
      <c r="C122" s="21">
        <v>5</v>
      </c>
      <c r="D122" s="2" t="str">
        <f t="shared" si="16"/>
        <v>11007_5</v>
      </c>
      <c r="E122" s="4" t="str">
        <f ca="1">VLOOKUP($B122,OFFSET([2]quests!$A$1,0,0,COUNTA([2]quests!$A:$A),MATCH(E$1,[2]quests!$1:$1,0)-MATCH($B$1,[2]quests!$1:$1,0)+1),MATCH(E$1,[2]quests!$1:$1,0)-MATCH($B$1,[2]quests!$1:$1,0)+1,FALSE)</f>
        <v>【土曜限定】 赤と緑の素材</v>
      </c>
      <c r="F122" s="4" t="str">
        <f ca="1">VLOOKUP($D122,OFFSET([2]stages!$A$1,0,0,COUNTA([2]stages!$A:$A),MATCH(F$1,[2]stages!$2:$2,0)-MATCH($D$1,[2]stages!$2:$2,0)+1),MATCH(F$1,[2]stages!$2:$2,0)-MATCH($D$1,[2]stages!$2:$2,0)+1,FALSE)</f>
        <v>【超絶級】ドードーとグリフォン</v>
      </c>
      <c r="G122" s="21">
        <v>3</v>
      </c>
      <c r="H122" s="15" t="str">
        <f t="shared" si="17"/>
        <v>11007_5-3</v>
      </c>
      <c r="I122" s="4">
        <f ca="1">VLOOKUP($H122,OFFSET(floors!$A$1,0,0,COUNTA(floors!$A:$A),MATCH(I$1,floors!$1:$1,0)-MATCH($H$1,floors!$1:$1,0)+1),MATCH(I$1,floors!$1:$1,0)-MATCH($H$1,floors!$1:$1,0)+1,FALSE)</f>
        <v>50</v>
      </c>
      <c r="J122" s="4">
        <f ca="1">VLOOKUP($H122,OFFSET(floors!$A$1,0,0,COUNTA(floors!$A:$A),MATCH(J$1,floors!$1:$1,0)-MATCH($H$1,floors!$1:$1,0)+1),MATCH(J$1,floors!$1:$1,0)-MATCH($H$1,floors!$1:$1,0)+1,FALSE)</f>
        <v>60</v>
      </c>
      <c r="K122" s="100" t="s">
        <v>209</v>
      </c>
      <c r="L122" s="99">
        <v>337</v>
      </c>
      <c r="M122" s="17" t="str">
        <f ca="1">VLOOKUP($L122,OFFSET([3]enemies!$A$1,0,0,COUNTA([3]enemies!$A:$A),MATCH(M$1,[3]enemies!$1:$1,0)-MATCH($L$1,[3]enemies!$1:$1,0)+1),MATCH(M$1,[3]enemies!$1:$1,0)-MATCH($L$1,[3]enemies!$1:$1,0)+1,FALSE)</f>
        <v>森のメタルチック</v>
      </c>
      <c r="N122" s="17" t="str">
        <f ca="1">VLOOKUP($L122,OFFSET([3]enemies!$A$1,0,0,COUNTA([3]enemies!$A:$A),MATCH(N$1,[3]enemies!$1:$1,0)-MATCH($L$1,[3]enemies!$1:$1,0)+1),MATCH(N$1,[3]enemies!$1:$1,0)-MATCH($L$1,[3]enemies!$1:$1,0)+1,FALSE)</f>
        <v>green</v>
      </c>
      <c r="O122" s="17" t="str">
        <f ca="1">VLOOKUP($L122,OFFSET([4]characters!$A$1,0,0,COUNTA([4]characters!$A:$A),MATCH(O$1,[4]characters!$1:$1,0)-MATCH($L$1,[4]characters!$1:$1,0)+1),MATCH(O$1,[4]characters!$1:$1,0)-MATCH($L$1,[4]characters!$1:$1,0)+1,FALSE)</f>
        <v>Material</v>
      </c>
      <c r="P122" s="17" t="str">
        <f ca="1">VLOOKUP($L122,OFFSET([3]enemies!$A$1,0,0,COUNTA([3]enemies!$A:$A),MATCH(P$1,[3]enemies!$1:$1,0)-MATCH($L$1,[3]enemies!$1:$1,0)+1),MATCH(P$1,[3]enemies!$1:$1,0)-MATCH($L$1,[3]enemies!$1:$1,0)+1,FALSE)</f>
        <v>unknown</v>
      </c>
      <c r="Q122" s="17">
        <f ca="1">VLOOKUP($L122,OFFSET([3]enemies!$A$1,0,0,COUNTA([3]enemies!$A:$A),MATCH(Q$1,[3]enemies!$1:$1,0)-MATCH($L$1,[3]enemies!$1:$1,0)+1),MATCH(Q$1,[3]enemies!$1:$1,0)-MATCH($L$1,[3]enemies!$1:$1,0)+1,FALSE)</f>
        <v>15</v>
      </c>
      <c r="R122" s="5">
        <v>2</v>
      </c>
      <c r="S122" s="25">
        <v>2</v>
      </c>
      <c r="T122" s="25">
        <v>99</v>
      </c>
      <c r="U122" s="5">
        <v>0</v>
      </c>
      <c r="V122" s="4" t="str">
        <f ca="1">VLOOKUP($W122,OFFSET([5]enemy_skill_sets!$B$1,0,0,COUNTA([5]enemy_skill_sets!$B:$B),MATCH(M$1,[5]enemy_skill_sets!$1:$1,0)-MATCH($W$1,[5]enemy_skill_sets!$1:$1,0)+2),MATCH(M$1,[5]enemy_skill_sets!$1:$1,0)-MATCH($W$1,[5]enemy_skill_sets!$1:$1,0)+2,FALSE)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2" s="4">
        <f ca="1">VLOOKUP($L122,OFFSET([3]enemies!$A$1,0,0,COUNTA([3]enemies!$A:$A),MATCH(W$1,[3]enemies!$1:$1,0)-MATCH($L$1,[3]enemies!$1:$1,0)+1),MATCH(W$1,[3]enemies!$1:$1,0)-MATCH($L$1,[3]enemies!$1:$1,0)+1,FALSE)</f>
        <v>0</v>
      </c>
      <c r="X122" s="6">
        <v>0</v>
      </c>
      <c r="Y122" s="6">
        <v>100</v>
      </c>
      <c r="Z122" s="6">
        <v>2</v>
      </c>
      <c r="AA122" s="17">
        <f ca="1">VLOOKUP($L122,OFFSET([3]enemies!$A$1,0,0,COUNTA([3]enemies!$A:$A),MATCH(AA$1,[3]enemies!$1:$1,0)-MATCH($L$1,[3]enemies!$1:$1,0)+1),MATCH(AA$1,[3]enemies!$1:$1,0)-MATCH($L$1,[3]enemies!$1:$1,0)+1,FALSE)</f>
        <v>2</v>
      </c>
      <c r="AB122" s="24">
        <f t="shared" si="18"/>
        <v>337</v>
      </c>
      <c r="AC122" s="4" t="str">
        <f ca="1">VLOOKUP($AB122,OFFSET([4]characters!$A$1,0,0,COUNTA([4]characters!$A:$A),MATCH(AC$1,[4]characters!$1:$1,0)-MATCH("character_id",[4]characters!$1:$1,0)+1),MATCH(AC$1,[4]characters!$1:$1,0)-MATCH("character_id",[4]characters!$1:$1,0)+1,FALSE)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122" s="4">
        <f ca="1">VLOOKUP($AB122,OFFSET([4]characters!$A$1,0,0,COUNTA([4]characters!$A:$A),MATCH(AD$1,[4]characters!$1:$1,0)-MATCH("character_id",[4]characters!$1:$1,0)+1),MATCH(AD$1,[4]characters!$1:$1,0)-MATCH("character_id",[4]characters!$1:$1,0)+1,FALSE)</f>
        <v>4</v>
      </c>
      <c r="AE122" s="4" t="str">
        <f ca="1">VLOOKUP($AB122,OFFSET([4]characters!$A$1,0,0,COUNTA([4]characters!$A:$A),MATCH(AE$1,[4]characters!$1:$1,0)-MATCH("character_id",[4]characters!$1:$1,0)+1),MATCH(AE$1,[4]characters!$1:$1,0)-MATCH("character_id",[4]characters!$1:$1,0)+1,FALSE)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2" s="7">
        <v>1</v>
      </c>
      <c r="AG122" s="24">
        <f t="shared" ca="1" si="19"/>
        <v>4</v>
      </c>
      <c r="AH122" s="8">
        <v>10</v>
      </c>
      <c r="AI122" s="7">
        <v>0</v>
      </c>
      <c r="AJ122" s="7">
        <v>0</v>
      </c>
      <c r="AK122" s="7">
        <v>0</v>
      </c>
      <c r="AL122" s="7">
        <v>0</v>
      </c>
      <c r="AM122" s="7">
        <v>1</v>
      </c>
      <c r="AN122" s="69">
        <v>1</v>
      </c>
    </row>
    <row r="123" spans="1:40" ht="21" customHeight="1" x14ac:dyDescent="0.15">
      <c r="A123" s="16" t="str">
        <f t="shared" si="15"/>
        <v>11007_5-4/362&lt;lv52&gt;s2</v>
      </c>
      <c r="B123" s="22">
        <v>11007</v>
      </c>
      <c r="C123" s="21">
        <v>5</v>
      </c>
      <c r="D123" s="2" t="str">
        <f t="shared" si="16"/>
        <v>11007_5</v>
      </c>
      <c r="E123" s="4" t="str">
        <f ca="1">VLOOKUP($B123,OFFSET([2]quests!$A$1,0,0,COUNTA([2]quests!$A:$A),MATCH(E$1,[2]quests!$1:$1,0)-MATCH($B$1,[2]quests!$1:$1,0)+1),MATCH(E$1,[2]quests!$1:$1,0)-MATCH($B$1,[2]quests!$1:$1,0)+1,FALSE)</f>
        <v>【土曜限定】 赤と緑の素材</v>
      </c>
      <c r="F123" s="4" t="str">
        <f ca="1">VLOOKUP($D123,OFFSET([2]stages!$A$1,0,0,COUNTA([2]stages!$A:$A),MATCH(F$1,[2]stages!$2:$2,0)-MATCH($D$1,[2]stages!$2:$2,0)+1),MATCH(F$1,[2]stages!$2:$2,0)-MATCH($D$1,[2]stages!$2:$2,0)+1,FALSE)</f>
        <v>【超絶級】ドードーとグリフォン</v>
      </c>
      <c r="G123" s="21">
        <v>4</v>
      </c>
      <c r="H123" s="15" t="str">
        <f t="shared" si="17"/>
        <v>11007_5-4</v>
      </c>
      <c r="I123" s="4">
        <f ca="1">VLOOKUP($H123,OFFSET(floors!$A$1,0,0,COUNTA(floors!$A:$A),MATCH(I$1,floors!$1:$1,0)-MATCH($H$1,floors!$1:$1,0)+1),MATCH(I$1,floors!$1:$1,0)-MATCH($H$1,floors!$1:$1,0)+1,FALSE)</f>
        <v>45</v>
      </c>
      <c r="J123" s="4">
        <f ca="1">VLOOKUP($H123,OFFSET(floors!$A$1,0,0,COUNTA(floors!$A:$A),MATCH(J$1,floors!$1:$1,0)-MATCH($H$1,floors!$1:$1,0)+1),MATCH(J$1,floors!$1:$1,0)-MATCH($H$1,floors!$1:$1,0)+1,FALSE)</f>
        <v>60</v>
      </c>
      <c r="K123" s="100" t="s">
        <v>209</v>
      </c>
      <c r="L123" s="99">
        <v>362</v>
      </c>
      <c r="M123" s="17" t="str">
        <f ca="1">VLOOKUP($L123,OFFSET([3]enemies!$A$1,0,0,COUNTA([3]enemies!$A:$A),MATCH(M$1,[3]enemies!$1:$1,0)-MATCH($L$1,[3]enemies!$1:$1,0)+1),MATCH(M$1,[3]enemies!$1:$1,0)-MATCH($L$1,[3]enemies!$1:$1,0)+1,FALSE)</f>
        <v>ゆらら</v>
      </c>
      <c r="N123" s="17" t="str">
        <f ca="1">VLOOKUP($L123,OFFSET([3]enemies!$A$1,0,0,COUNTA([3]enemies!$A:$A),MATCH(N$1,[3]enemies!$1:$1,0)-MATCH($L$1,[3]enemies!$1:$1,0)+1),MATCH(N$1,[3]enemies!$1:$1,0)-MATCH($L$1,[3]enemies!$1:$1,0)+1,FALSE)</f>
        <v>green</v>
      </c>
      <c r="O123" s="17" t="str">
        <f ca="1">VLOOKUP($L123,OFFSET([4]characters!$A$1,0,0,COUNTA([4]characters!$A:$A),MATCH(O$1,[4]characters!$1:$1,0)-MATCH($L$1,[4]characters!$1:$1,0)+1),MATCH(O$1,[4]characters!$1:$1,0)-MATCH($L$1,[4]characters!$1:$1,0)+1,FALSE)</f>
        <v>Drop1S</v>
      </c>
      <c r="P123" s="17" t="str">
        <f ca="1">VLOOKUP($L123,OFFSET([3]enemies!$A$1,0,0,COUNTA([3]enemies!$A:$A),MATCH(P$1,[3]enemies!$1:$1,0)-MATCH($L$1,[3]enemies!$1:$1,0)+1),MATCH(P$1,[3]enemies!$1:$1,0)-MATCH($L$1,[3]enemies!$1:$1,0)+1,FALSE)</f>
        <v>animal</v>
      </c>
      <c r="Q123" s="17">
        <f ca="1">VLOOKUP($L123,OFFSET([3]enemies!$A$1,0,0,COUNTA([3]enemies!$A:$A),MATCH(Q$1,[3]enemies!$1:$1,0)-MATCH($L$1,[3]enemies!$1:$1,0)+1),MATCH(Q$1,[3]enemies!$1:$1,0)-MATCH($L$1,[3]enemies!$1:$1,0)+1,FALSE)</f>
        <v>15</v>
      </c>
      <c r="R123" s="5">
        <v>52</v>
      </c>
      <c r="S123" s="25">
        <v>1.8</v>
      </c>
      <c r="T123" s="25">
        <v>1.2</v>
      </c>
      <c r="U123" s="5">
        <v>0</v>
      </c>
      <c r="V123" s="4" t="str">
        <f ca="1">VLOOKUP($W123,OFFSET([5]enemy_skill_sets!$B$1,0,0,COUNTA([5]enemy_skill_sets!$B:$B),MATCH(M$1,[5]enemy_skill_sets!$1:$1,0)-MATCH($W$1,[5]enemy_skill_sets!$1:$1,0)+2),MATCH(M$1,[5]enemy_skill_sets!$1:$1,0)-MATCH($W$1,[5]enemy_skill_sets!$1:$1,0)+2,FALSE)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123" s="4">
        <v>362</v>
      </c>
      <c r="X123" s="6">
        <v>0</v>
      </c>
      <c r="Y123" s="6">
        <v>50</v>
      </c>
      <c r="Z123" s="6">
        <v>1</v>
      </c>
      <c r="AA123" s="17">
        <v>2</v>
      </c>
      <c r="AB123" s="24">
        <f t="shared" si="18"/>
        <v>362</v>
      </c>
      <c r="AC123" s="4" t="str">
        <f ca="1">VLOOKUP($AB123,OFFSET([4]characters!$A$1,0,0,COUNTA([4]characters!$A:$A),MATCH(AC$1,[4]characters!$1:$1,0)-MATCH("character_id",[4]characters!$1:$1,0)+1),MATCH(AC$1,[4]characters!$1:$1,0)-MATCH("character_id",[4]characters!$1:$1,0)+1,FALSE)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123" s="4">
        <f ca="1">VLOOKUP($AB123,OFFSET([4]characters!$A$1,0,0,COUNTA([4]characters!$A:$A),MATCH(AD$1,[4]characters!$1:$1,0)-MATCH("character_id",[4]characters!$1:$1,0)+1),MATCH(AD$1,[4]characters!$1:$1,0)-MATCH("character_id",[4]characters!$1:$1,0)+1,FALSE)</f>
        <v>2</v>
      </c>
      <c r="AE123" s="4" t="str">
        <f ca="1">VLOOKUP($AB123,OFFSET([4]characters!$A$1,0,0,COUNTA([4]characters!$A:$A),MATCH(AE$1,[4]characters!$1:$1,0)-MATCH("character_id",[4]characters!$1:$1,0)+1),MATCH(AE$1,[4]characters!$1:$1,0)-MATCH("character_id",[4]characters!$1:$1,0)+1,FALSE)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3" s="7">
        <v>1</v>
      </c>
      <c r="AG123" s="24">
        <f t="shared" ca="1" si="19"/>
        <v>2</v>
      </c>
      <c r="AH123" s="8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1</v>
      </c>
      <c r="AN123" s="69">
        <v>1</v>
      </c>
    </row>
    <row r="124" spans="1:40" ht="21" customHeight="1" x14ac:dyDescent="0.15">
      <c r="A124" s="16" t="str">
        <f t="shared" si="15"/>
        <v>11007_5-4/372&lt;lv52&gt;s1</v>
      </c>
      <c r="B124" s="22">
        <v>11007</v>
      </c>
      <c r="C124" s="21">
        <v>5</v>
      </c>
      <c r="D124" s="2" t="str">
        <f t="shared" si="16"/>
        <v>11007_5</v>
      </c>
      <c r="E124" s="4" t="str">
        <f ca="1">VLOOKUP($B124,OFFSET([2]quests!$A$1,0,0,COUNTA([2]quests!$A:$A),MATCH(E$1,[2]quests!$1:$1,0)-MATCH($B$1,[2]quests!$1:$1,0)+1),MATCH(E$1,[2]quests!$1:$1,0)-MATCH($B$1,[2]quests!$1:$1,0)+1,FALSE)</f>
        <v>【土曜限定】 赤と緑の素材</v>
      </c>
      <c r="F124" s="4" t="str">
        <f ca="1">VLOOKUP($D124,OFFSET([2]stages!$A$1,0,0,COUNTA([2]stages!$A:$A),MATCH(F$1,[2]stages!$2:$2,0)-MATCH($D$1,[2]stages!$2:$2,0)+1),MATCH(F$1,[2]stages!$2:$2,0)-MATCH($D$1,[2]stages!$2:$2,0)+1,FALSE)</f>
        <v>【超絶級】ドードーとグリフォン</v>
      </c>
      <c r="G124" s="21">
        <v>4</v>
      </c>
      <c r="H124" s="15" t="str">
        <f t="shared" si="17"/>
        <v>11007_5-4</v>
      </c>
      <c r="I124" s="4">
        <f ca="1">VLOOKUP($H124,OFFSET(floors!$A$1,0,0,COUNTA(floors!$A:$A),MATCH(I$1,floors!$1:$1,0)-MATCH($H$1,floors!$1:$1,0)+1),MATCH(I$1,floors!$1:$1,0)-MATCH($H$1,floors!$1:$1,0)+1,FALSE)</f>
        <v>45</v>
      </c>
      <c r="J124" s="4">
        <f ca="1">VLOOKUP($H124,OFFSET(floors!$A$1,0,0,COUNTA(floors!$A:$A),MATCH(J$1,floors!$1:$1,0)-MATCH($H$1,floors!$1:$1,0)+1),MATCH(J$1,floors!$1:$1,0)-MATCH($H$1,floors!$1:$1,0)+1,FALSE)</f>
        <v>60</v>
      </c>
      <c r="K124" s="100" t="s">
        <v>209</v>
      </c>
      <c r="L124" s="99">
        <v>372</v>
      </c>
      <c r="M124" s="17" t="str">
        <f ca="1">VLOOKUP($L124,OFFSET([3]enemies!$A$1,0,0,COUNTA([3]enemies!$A:$A),MATCH(M$1,[3]enemies!$1:$1,0)-MATCH($L$1,[3]enemies!$1:$1,0)+1),MATCH(M$1,[3]enemies!$1:$1,0)-MATCH($L$1,[3]enemies!$1:$1,0)+1,FALSE)</f>
        <v>バショー</v>
      </c>
      <c r="N124" s="17" t="str">
        <f ca="1">VLOOKUP($L124,OFFSET([3]enemies!$A$1,0,0,COUNTA([3]enemies!$A:$A),MATCH(N$1,[3]enemies!$1:$1,0)-MATCH($L$1,[3]enemies!$1:$1,0)+1),MATCH(N$1,[3]enemies!$1:$1,0)-MATCH($L$1,[3]enemies!$1:$1,0)+1,FALSE)</f>
        <v>green</v>
      </c>
      <c r="O124" s="17" t="str">
        <f ca="1">VLOOKUP($L124,OFFSET([4]characters!$A$1,0,0,COUNTA([4]characters!$A:$A),MATCH(O$1,[4]characters!$1:$1,0)-MATCH($L$1,[4]characters!$1:$1,0)+1),MATCH(O$1,[4]characters!$1:$1,0)-MATCH($L$1,[4]characters!$1:$1,0)+1,FALSE)</f>
        <v>Drop1S</v>
      </c>
      <c r="P124" s="17" t="str">
        <f ca="1">VLOOKUP($L124,OFFSET([3]enemies!$A$1,0,0,COUNTA([3]enemies!$A:$A),MATCH(P$1,[3]enemies!$1:$1,0)-MATCH($L$1,[3]enemies!$1:$1,0)+1),MATCH(P$1,[3]enemies!$1:$1,0)-MATCH($L$1,[3]enemies!$1:$1,0)+1,FALSE)</f>
        <v>unknown</v>
      </c>
      <c r="Q124" s="17">
        <f ca="1">VLOOKUP($L124,OFFSET([3]enemies!$A$1,0,0,COUNTA([3]enemies!$A:$A),MATCH(Q$1,[3]enemies!$1:$1,0)-MATCH($L$1,[3]enemies!$1:$1,0)+1),MATCH(Q$1,[3]enemies!$1:$1,0)-MATCH($L$1,[3]enemies!$1:$1,0)+1,FALSE)</f>
        <v>15</v>
      </c>
      <c r="R124" s="5">
        <v>52</v>
      </c>
      <c r="S124" s="25">
        <v>1.9</v>
      </c>
      <c r="T124" s="25">
        <v>1.2</v>
      </c>
      <c r="U124" s="5">
        <v>0</v>
      </c>
      <c r="V124" s="4" t="str">
        <f ca="1">VLOOKUP($W124,OFFSET(enemy_skill_sets!$B$1,0,0,COUNTA(enemy_skill_sets!$B:$B),MATCH(M$1,enemy_skill_sets!$1:$1,0)-MATCH($W$1,enemy_skill_sets!$1:$1,0)+2),MATCH(M$1,enemy_skill_sets!$1:$1,0)-MATCH($W$1,enemy_skill_sets!$1:$1,0)+2,FALSE)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124" s="4">
        <v>1122202</v>
      </c>
      <c r="X124" s="6">
        <v>0</v>
      </c>
      <c r="Y124" s="6">
        <v>50</v>
      </c>
      <c r="Z124" s="6">
        <v>2</v>
      </c>
      <c r="AA124" s="17">
        <v>1</v>
      </c>
      <c r="AB124" s="24">
        <f t="shared" si="18"/>
        <v>372</v>
      </c>
      <c r="AC124" s="4" t="str">
        <f ca="1">VLOOKUP($AB124,OFFSET([4]characters!$A$1,0,0,COUNTA([4]characters!$A:$A),MATCH(AC$1,[4]characters!$1:$1,0)-MATCH("character_id",[4]characters!$1:$1,0)+1),MATCH(AC$1,[4]characters!$1:$1,0)-MATCH("character_id",[4]characters!$1:$1,0)+1,FALSE)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124" s="4">
        <f ca="1">VLOOKUP($AB124,OFFSET([4]characters!$A$1,0,0,COUNTA([4]characters!$A:$A),MATCH(AD$1,[4]characters!$1:$1,0)-MATCH("character_id",[4]characters!$1:$1,0)+1),MATCH(AD$1,[4]characters!$1:$1,0)-MATCH("character_id",[4]characters!$1:$1,0)+1,FALSE)</f>
        <v>2</v>
      </c>
      <c r="AE124" s="4" t="str">
        <f ca="1">VLOOKUP($AB124,OFFSET([4]characters!$A$1,0,0,COUNTA([4]characters!$A:$A),MATCH(AE$1,[4]characters!$1:$1,0)-MATCH("character_id",[4]characters!$1:$1,0)+1),MATCH(AE$1,[4]characters!$1:$1,0)-MATCH("character_id",[4]characters!$1:$1,0)+1,FALSE)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4" s="7">
        <v>1</v>
      </c>
      <c r="AG124" s="24">
        <f t="shared" ca="1" si="19"/>
        <v>2</v>
      </c>
      <c r="AH124" s="8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1</v>
      </c>
      <c r="AN124" s="69">
        <v>1</v>
      </c>
    </row>
    <row r="125" spans="1:40" ht="21" customHeight="1" x14ac:dyDescent="0.15">
      <c r="A125" s="16" t="str">
        <f t="shared" ca="1" si="15"/>
        <v>11007_5-5/362&lt;lv52&gt;s3</v>
      </c>
      <c r="B125" s="22">
        <v>11007</v>
      </c>
      <c r="C125" s="21">
        <v>5</v>
      </c>
      <c r="D125" s="2" t="str">
        <f t="shared" si="16"/>
        <v>11007_5</v>
      </c>
      <c r="E125" s="4" t="str">
        <f ca="1">VLOOKUP($B125,OFFSET([2]quests!$A$1,0,0,COUNTA([2]quests!$A:$A),MATCH(E$1,[2]quests!$1:$1,0)-MATCH($B$1,[2]quests!$1:$1,0)+1),MATCH(E$1,[2]quests!$1:$1,0)-MATCH($B$1,[2]quests!$1:$1,0)+1,FALSE)</f>
        <v>【土曜限定】 赤と緑の素材</v>
      </c>
      <c r="F125" s="4" t="str">
        <f ca="1">VLOOKUP($D125,OFFSET([2]stages!$A$1,0,0,COUNTA([2]stages!$A:$A),MATCH(F$1,[2]stages!$2:$2,0)-MATCH($D$1,[2]stages!$2:$2,0)+1),MATCH(F$1,[2]stages!$2:$2,0)-MATCH($D$1,[2]stages!$2:$2,0)+1,FALSE)</f>
        <v>【超絶級】ドードーとグリフォン</v>
      </c>
      <c r="G125" s="21">
        <v>5</v>
      </c>
      <c r="H125" s="15" t="str">
        <f t="shared" si="17"/>
        <v>11007_5-5</v>
      </c>
      <c r="I125" s="4">
        <f ca="1">VLOOKUP($H125,OFFSET(floors!$A$1,0,0,COUNTA(floors!$A:$A),MATCH(I$1,floors!$1:$1,0)-MATCH($H$1,floors!$1:$1,0)+1),MATCH(I$1,floors!$1:$1,0)-MATCH($H$1,floors!$1:$1,0)+1,FALSE)</f>
        <v>60</v>
      </c>
      <c r="J125" s="4">
        <f ca="1">VLOOKUP($H125,OFFSET(floors!$A$1,0,0,COUNTA(floors!$A:$A),MATCH(J$1,floors!$1:$1,0)-MATCH($H$1,floors!$1:$1,0)+1),MATCH(J$1,floors!$1:$1,0)-MATCH($H$1,floors!$1:$1,0)+1,FALSE)</f>
        <v>60</v>
      </c>
      <c r="K125" s="100" t="s">
        <v>209</v>
      </c>
      <c r="L125" s="99">
        <v>362</v>
      </c>
      <c r="M125" s="17" t="str">
        <f ca="1">VLOOKUP($L125,OFFSET([3]enemies!$A$1,0,0,COUNTA([3]enemies!$A:$A),MATCH(M$1,[3]enemies!$1:$1,0)-MATCH($L$1,[3]enemies!$1:$1,0)+1),MATCH(M$1,[3]enemies!$1:$1,0)-MATCH($L$1,[3]enemies!$1:$1,0)+1,FALSE)</f>
        <v>ゆらら</v>
      </c>
      <c r="N125" s="17" t="str">
        <f ca="1">VLOOKUP($L125,OFFSET([3]enemies!$A$1,0,0,COUNTA([3]enemies!$A:$A),MATCH(N$1,[3]enemies!$1:$1,0)-MATCH($L$1,[3]enemies!$1:$1,0)+1),MATCH(N$1,[3]enemies!$1:$1,0)-MATCH($L$1,[3]enemies!$1:$1,0)+1,FALSE)</f>
        <v>green</v>
      </c>
      <c r="O125" s="17" t="str">
        <f ca="1">VLOOKUP($L125,OFFSET([4]characters!$A$1,0,0,COUNTA([4]characters!$A:$A),MATCH(O$1,[4]characters!$1:$1,0)-MATCH($L$1,[4]characters!$1:$1,0)+1),MATCH(O$1,[4]characters!$1:$1,0)-MATCH($L$1,[4]characters!$1:$1,0)+1,FALSE)</f>
        <v>Drop1S</v>
      </c>
      <c r="P125" s="17" t="str">
        <f ca="1">VLOOKUP($L125,OFFSET([3]enemies!$A$1,0,0,COUNTA([3]enemies!$A:$A),MATCH(P$1,[3]enemies!$1:$1,0)-MATCH($L$1,[3]enemies!$1:$1,0)+1),MATCH(P$1,[3]enemies!$1:$1,0)-MATCH($L$1,[3]enemies!$1:$1,0)+1,FALSE)</f>
        <v>animal</v>
      </c>
      <c r="Q125" s="17">
        <f ca="1">VLOOKUP($L125,OFFSET([3]enemies!$A$1,0,0,COUNTA([3]enemies!$A:$A),MATCH(Q$1,[3]enemies!$1:$1,0)-MATCH($L$1,[3]enemies!$1:$1,0)+1),MATCH(Q$1,[3]enemies!$1:$1,0)-MATCH($L$1,[3]enemies!$1:$1,0)+1,FALSE)</f>
        <v>15</v>
      </c>
      <c r="R125" s="5">
        <v>52</v>
      </c>
      <c r="S125" s="25">
        <v>1.8</v>
      </c>
      <c r="T125" s="25">
        <v>1.2</v>
      </c>
      <c r="U125" s="5">
        <v>0</v>
      </c>
      <c r="V125" s="4" t="str">
        <f ca="1">VLOOKUP($W125,OFFSET([5]enemy_skill_sets!$B$1,0,0,COUNTA([5]enemy_skill_sets!$B:$B),MATCH(M$1,[5]enemy_skill_sets!$1:$1,0)-MATCH($W$1,[5]enemy_skill_sets!$1:$1,0)+2),MATCH(M$1,[5]enemy_skill_sets!$1:$1,0)-MATCH($W$1,[5]enemy_skill_sets!$1:$1,0)+2,FALSE)</f>
        <v>赤属性ユニットの攻撃を1ターンカウンター</v>
      </c>
      <c r="W125" s="4">
        <v>362</v>
      </c>
      <c r="X125" s="6">
        <v>0</v>
      </c>
      <c r="Y125" s="6">
        <v>50</v>
      </c>
      <c r="Z125" s="6">
        <v>1</v>
      </c>
      <c r="AA125" s="17">
        <f ca="1">VLOOKUP($L125,OFFSET([3]enemies!$A$1,0,0,COUNTA([3]enemies!$A:$A),MATCH(AA$1,[3]enemies!$1:$1,0)-MATCH($L$1,[3]enemies!$1:$1,0)+1),MATCH(AA$1,[3]enemies!$1:$1,0)-MATCH($L$1,[3]enemies!$1:$1,0)+1,FALSE)</f>
        <v>3</v>
      </c>
      <c r="AB125" s="24">
        <f t="shared" si="18"/>
        <v>362</v>
      </c>
      <c r="AC125" s="4" t="str">
        <f ca="1">VLOOKUP($AB125,OFFSET([4]characters!$A$1,0,0,COUNTA([4]characters!$A:$A),MATCH(AC$1,[4]characters!$1:$1,0)-MATCH("character_id",[4]characters!$1:$1,0)+1),MATCH(AC$1,[4]characters!$1:$1,0)-MATCH("character_id",[4]characters!$1:$1,0)+1,FALSE)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125" s="4">
        <f ca="1">VLOOKUP($AB125,OFFSET([4]characters!$A$1,0,0,COUNTA([4]characters!$A:$A),MATCH(AD$1,[4]characters!$1:$1,0)-MATCH("character_id",[4]characters!$1:$1,0)+1),MATCH(AD$1,[4]characters!$1:$1,0)-MATCH("character_id",[4]characters!$1:$1,0)+1,FALSE)</f>
        <v>2</v>
      </c>
      <c r="AE125" s="4" t="str">
        <f ca="1">VLOOKUP($AB125,OFFSET([4]characters!$A$1,0,0,COUNTA([4]characters!$A:$A),MATCH(AE$1,[4]characters!$1:$1,0)-MATCH("character_id",[4]characters!$1:$1,0)+1),MATCH(AE$1,[4]characters!$1:$1,0)-MATCH("character_id",[4]characters!$1:$1,0)+1,FALSE)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5" s="7">
        <v>1</v>
      </c>
      <c r="AG125" s="24">
        <f t="shared" ca="1" si="19"/>
        <v>2</v>
      </c>
      <c r="AH125" s="8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1</v>
      </c>
      <c r="AN125" s="69">
        <v>1</v>
      </c>
    </row>
    <row r="126" spans="1:40" ht="21" customHeight="1" x14ac:dyDescent="0.15">
      <c r="A126" s="16" t="str">
        <f t="shared" si="15"/>
        <v>11007_5-5/372&lt;lv52&gt;s1</v>
      </c>
      <c r="B126" s="22">
        <v>11007</v>
      </c>
      <c r="C126" s="21">
        <v>5</v>
      </c>
      <c r="D126" s="2" t="str">
        <f t="shared" si="16"/>
        <v>11007_5</v>
      </c>
      <c r="E126" s="4" t="str">
        <f ca="1">VLOOKUP($B126,OFFSET([2]quests!$A$1,0,0,COUNTA([2]quests!$A:$A),MATCH(E$1,[2]quests!$1:$1,0)-MATCH($B$1,[2]quests!$1:$1,0)+1),MATCH(E$1,[2]quests!$1:$1,0)-MATCH($B$1,[2]quests!$1:$1,0)+1,FALSE)</f>
        <v>【土曜限定】 赤と緑の素材</v>
      </c>
      <c r="F126" s="4" t="str">
        <f ca="1">VLOOKUP($D126,OFFSET([2]stages!$A$1,0,0,COUNTA([2]stages!$A:$A),MATCH(F$1,[2]stages!$2:$2,0)-MATCH($D$1,[2]stages!$2:$2,0)+1),MATCH(F$1,[2]stages!$2:$2,0)-MATCH($D$1,[2]stages!$2:$2,0)+1,FALSE)</f>
        <v>【超絶級】ドードーとグリフォン</v>
      </c>
      <c r="G126" s="21">
        <v>5</v>
      </c>
      <c r="H126" s="15" t="str">
        <f t="shared" si="17"/>
        <v>11007_5-5</v>
      </c>
      <c r="I126" s="4">
        <f ca="1">VLOOKUP($H126,OFFSET(floors!$A$1,0,0,COUNTA(floors!$A:$A),MATCH(I$1,floors!$1:$1,0)-MATCH($H$1,floors!$1:$1,0)+1),MATCH(I$1,floors!$1:$1,0)-MATCH($H$1,floors!$1:$1,0)+1,FALSE)</f>
        <v>60</v>
      </c>
      <c r="J126" s="4">
        <f ca="1">VLOOKUP($H126,OFFSET(floors!$A$1,0,0,COUNTA(floors!$A:$A),MATCH(J$1,floors!$1:$1,0)-MATCH($H$1,floors!$1:$1,0)+1),MATCH(J$1,floors!$1:$1,0)-MATCH($H$1,floors!$1:$1,0)+1,FALSE)</f>
        <v>60</v>
      </c>
      <c r="K126" s="100" t="s">
        <v>209</v>
      </c>
      <c r="L126" s="99">
        <v>372</v>
      </c>
      <c r="M126" s="17" t="str">
        <f ca="1">VLOOKUP($L126,OFFSET([3]enemies!$A$1,0,0,COUNTA([3]enemies!$A:$A),MATCH(M$1,[3]enemies!$1:$1,0)-MATCH($L$1,[3]enemies!$1:$1,0)+1),MATCH(M$1,[3]enemies!$1:$1,0)-MATCH($L$1,[3]enemies!$1:$1,0)+1,FALSE)</f>
        <v>バショー</v>
      </c>
      <c r="N126" s="17" t="str">
        <f ca="1">VLOOKUP($L126,OFFSET([3]enemies!$A$1,0,0,COUNTA([3]enemies!$A:$A),MATCH(N$1,[3]enemies!$1:$1,0)-MATCH($L$1,[3]enemies!$1:$1,0)+1),MATCH(N$1,[3]enemies!$1:$1,0)-MATCH($L$1,[3]enemies!$1:$1,0)+1,FALSE)</f>
        <v>green</v>
      </c>
      <c r="O126" s="17" t="str">
        <f ca="1">VLOOKUP($L126,OFFSET([4]characters!$A$1,0,0,COUNTA([4]characters!$A:$A),MATCH(O$1,[4]characters!$1:$1,0)-MATCH($L$1,[4]characters!$1:$1,0)+1),MATCH(O$1,[4]characters!$1:$1,0)-MATCH($L$1,[4]characters!$1:$1,0)+1,FALSE)</f>
        <v>Drop1S</v>
      </c>
      <c r="P126" s="17" t="str">
        <f ca="1">VLOOKUP($L126,OFFSET([3]enemies!$A$1,0,0,COUNTA([3]enemies!$A:$A),MATCH(P$1,[3]enemies!$1:$1,0)-MATCH($L$1,[3]enemies!$1:$1,0)+1),MATCH(P$1,[3]enemies!$1:$1,0)-MATCH($L$1,[3]enemies!$1:$1,0)+1,FALSE)</f>
        <v>unknown</v>
      </c>
      <c r="Q126" s="17">
        <f ca="1">VLOOKUP($L126,OFFSET([3]enemies!$A$1,0,0,COUNTA([3]enemies!$A:$A),MATCH(Q$1,[3]enemies!$1:$1,0)-MATCH($L$1,[3]enemies!$1:$1,0)+1),MATCH(Q$1,[3]enemies!$1:$1,0)-MATCH($L$1,[3]enemies!$1:$1,0)+1,FALSE)</f>
        <v>15</v>
      </c>
      <c r="R126" s="5">
        <v>52</v>
      </c>
      <c r="S126" s="25">
        <v>1.9</v>
      </c>
      <c r="T126" s="25">
        <v>1.2</v>
      </c>
      <c r="U126" s="5">
        <v>0</v>
      </c>
      <c r="V126" s="4" t="str">
        <f ca="1">VLOOKUP($W126,OFFSET(enemy_skill_sets!$B$1,0,0,COUNTA(enemy_skill_sets!$B:$B),MATCH(M$1,enemy_skill_sets!$1:$1,0)-MATCH($W$1,enemy_skill_sets!$1:$1,0)+2),MATCH(M$1,enemy_skill_sets!$1:$1,0)-MATCH($W$1,enemy_skill_sets!$1:$1,0)+2,FALSE)</f>
        <v>4ターンハートパネルで回復できない！</v>
      </c>
      <c r="W126" s="4">
        <v>1122202</v>
      </c>
      <c r="X126" s="6">
        <v>0</v>
      </c>
      <c r="Y126" s="6">
        <v>50</v>
      </c>
      <c r="Z126" s="6">
        <v>2</v>
      </c>
      <c r="AA126" s="17">
        <v>1</v>
      </c>
      <c r="AB126" s="24">
        <f t="shared" si="18"/>
        <v>372</v>
      </c>
      <c r="AC126" s="4" t="str">
        <f ca="1">VLOOKUP($AB126,OFFSET([4]characters!$A$1,0,0,COUNTA([4]characters!$A:$A),MATCH(AC$1,[4]characters!$1:$1,0)-MATCH("character_id",[4]characters!$1:$1,0)+1),MATCH(AC$1,[4]characters!$1:$1,0)-MATCH("character_id",[4]characters!$1:$1,0)+1,FALSE)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126" s="4">
        <f ca="1">VLOOKUP($AB126,OFFSET([4]characters!$A$1,0,0,COUNTA([4]characters!$A:$A),MATCH(AD$1,[4]characters!$1:$1,0)-MATCH("character_id",[4]characters!$1:$1,0)+1),MATCH(AD$1,[4]characters!$1:$1,0)-MATCH("character_id",[4]characters!$1:$1,0)+1,FALSE)</f>
        <v>2</v>
      </c>
      <c r="AE126" s="4" t="str">
        <f ca="1">VLOOKUP($AB126,OFFSET([4]characters!$A$1,0,0,COUNTA([4]characters!$A:$A),MATCH(AE$1,[4]characters!$1:$1,0)-MATCH("character_id",[4]characters!$1:$1,0)+1),MATCH(AE$1,[4]characters!$1:$1,0)-MATCH("character_id",[4]characters!$1:$1,0)+1,FALSE)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6" s="7">
        <v>1</v>
      </c>
      <c r="AG126" s="24">
        <f t="shared" ca="1" si="19"/>
        <v>2</v>
      </c>
      <c r="AH126" s="8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1</v>
      </c>
      <c r="AN126" s="69">
        <v>1</v>
      </c>
    </row>
    <row r="127" spans="1:40" ht="21" customHeight="1" x14ac:dyDescent="0.15">
      <c r="A127" s="16" t="str">
        <f t="shared" si="15"/>
        <v>11007_5-6/357&lt;lv50&gt;s2</v>
      </c>
      <c r="B127" s="22">
        <v>11007</v>
      </c>
      <c r="C127" s="21">
        <v>5</v>
      </c>
      <c r="D127" s="2" t="str">
        <f t="shared" si="16"/>
        <v>11007_5</v>
      </c>
      <c r="E127" s="4" t="str">
        <f ca="1">VLOOKUP($B127,OFFSET([2]quests!$A$1,0,0,COUNTA([2]quests!$A:$A),MATCH(E$1,[2]quests!$1:$1,0)-MATCH($B$1,[2]quests!$1:$1,0)+1),MATCH(E$1,[2]quests!$1:$1,0)-MATCH($B$1,[2]quests!$1:$1,0)+1,FALSE)</f>
        <v>【土曜限定】 赤と緑の素材</v>
      </c>
      <c r="F127" s="4" t="str">
        <f ca="1">VLOOKUP($D127,OFFSET([2]stages!$A$1,0,0,COUNTA([2]stages!$A:$A),MATCH(F$1,[2]stages!$2:$2,0)-MATCH($D$1,[2]stages!$2:$2,0)+1),MATCH(F$1,[2]stages!$2:$2,0)-MATCH($D$1,[2]stages!$2:$2,0)+1,FALSE)</f>
        <v>【超絶級】ドードーとグリフォン</v>
      </c>
      <c r="G127" s="21">
        <v>6</v>
      </c>
      <c r="H127" s="15" t="str">
        <f t="shared" si="17"/>
        <v>11007_5-6</v>
      </c>
      <c r="I127" s="4">
        <f ca="1">VLOOKUP($H127,OFFSET(floors!$A$1,0,0,COUNTA(floors!$A:$A),MATCH(I$1,floors!$1:$1,0)-MATCH($H$1,floors!$1:$1,0)+1),MATCH(I$1,floors!$1:$1,0)-MATCH($H$1,floors!$1:$1,0)+1,FALSE)</f>
        <v>60</v>
      </c>
      <c r="J127" s="4">
        <f ca="1">VLOOKUP($H127,OFFSET(floors!$A$1,0,0,COUNTA(floors!$A:$A),MATCH(J$1,floors!$1:$1,0)-MATCH($H$1,floors!$1:$1,0)+1),MATCH(J$1,floors!$1:$1,0)-MATCH($H$1,floors!$1:$1,0)+1,FALSE)</f>
        <v>60</v>
      </c>
      <c r="K127" s="100" t="s">
        <v>209</v>
      </c>
      <c r="L127" s="99">
        <v>357</v>
      </c>
      <c r="M127" s="17" t="str">
        <f ca="1">VLOOKUP($L127,OFFSET([3]enemies!$A$1,0,0,COUNTA([3]enemies!$A:$A),MATCH(M$1,[3]enemies!$1:$1,0)-MATCH($L$1,[3]enemies!$1:$1,0)+1),MATCH(M$1,[3]enemies!$1:$1,0)-MATCH($L$1,[3]enemies!$1:$1,0)+1,FALSE)</f>
        <v>千風のグリフォン</v>
      </c>
      <c r="N127" s="17" t="str">
        <f ca="1">VLOOKUP($L127,OFFSET([3]enemies!$A$1,0,0,COUNTA([3]enemies!$A:$A),MATCH(N$1,[3]enemies!$1:$1,0)-MATCH($L$1,[3]enemies!$1:$1,0)+1),MATCH(N$1,[3]enemies!$1:$1,0)-MATCH($L$1,[3]enemies!$1:$1,0)+1,FALSE)</f>
        <v>green</v>
      </c>
      <c r="O127" s="17" t="str">
        <f ca="1">VLOOKUP($L127,OFFSET([4]characters!$A$1,0,0,COUNTA([4]characters!$A:$A),MATCH(O$1,[4]characters!$1:$1,0)-MATCH($L$1,[4]characters!$1:$1,0)+1),MATCH(O$1,[4]characters!$1:$1,0)-MATCH($L$1,[4]characters!$1:$1,0)+1,FALSE)</f>
        <v>Material</v>
      </c>
      <c r="P127" s="17" t="str">
        <f ca="1">VLOOKUP($L127,OFFSET([3]enemies!$A$1,0,0,COUNTA([3]enemies!$A:$A),MATCH(P$1,[3]enemies!$1:$1,0)-MATCH($L$1,[3]enemies!$1:$1,0)+1),MATCH(P$1,[3]enemies!$1:$1,0)-MATCH($L$1,[3]enemies!$1:$1,0)+1,FALSE)</f>
        <v>unknown</v>
      </c>
      <c r="Q127" s="17">
        <f ca="1">VLOOKUP($L127,OFFSET([3]enemies!$A$1,0,0,COUNTA([3]enemies!$A:$A),MATCH(Q$1,[3]enemies!$1:$1,0)-MATCH($L$1,[3]enemies!$1:$1,0)+1),MATCH(Q$1,[3]enemies!$1:$1,0)-MATCH($L$1,[3]enemies!$1:$1,0)+1,FALSE)</f>
        <v>20</v>
      </c>
      <c r="R127" s="5">
        <v>50</v>
      </c>
      <c r="S127" s="25">
        <v>99</v>
      </c>
      <c r="T127" s="25">
        <v>46</v>
      </c>
      <c r="U127" s="5">
        <v>0</v>
      </c>
      <c r="V127" s="4" t="str">
        <f ca="1">VLOOKUP($W127,OFFSET(enemy_skill_sets!$B$1,0,0,COUNTA(enemy_skill_sets!$B:$B),MATCH(M$1,enemy_skill_sets!$1:$1,0)-MATCH($W$1,enemy_skill_sets!$1:$1,0)+2),MATCH(M$1,enemy_skill_sets!$1:$1,0)-MATCH($W$1,enemy_skill_sets!$1:$1,0)+2,FALSE)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27" s="4">
        <v>1122205</v>
      </c>
      <c r="X127" s="6">
        <v>1</v>
      </c>
      <c r="Y127" s="6">
        <v>0</v>
      </c>
      <c r="Z127" s="6">
        <v>2</v>
      </c>
      <c r="AA127" s="17">
        <v>2</v>
      </c>
      <c r="AB127" s="24">
        <f t="shared" si="18"/>
        <v>357</v>
      </c>
      <c r="AC127" s="4" t="str">
        <f ca="1">VLOOKUP($AB127,OFFSET([4]characters!$A$1,0,0,COUNTA([4]characters!$A:$A),MATCH(AC$1,[4]characters!$1:$1,0)-MATCH("character_id",[4]characters!$1:$1,0)+1),MATCH(AC$1,[4]characters!$1:$1,0)-MATCH("character_id",[4]characters!$1:$1,0)+1,FALSE)</f>
        <v>千風のグリフォン</v>
      </c>
      <c r="AD127" s="4">
        <f ca="1">VLOOKUP($AB127,OFFSET([4]characters!$A$1,0,0,COUNTA([4]characters!$A:$A),MATCH(AD$1,[4]characters!$1:$1,0)-MATCH("character_id",[4]characters!$1:$1,0)+1),MATCH(AD$1,[4]characters!$1:$1,0)-MATCH("character_id",[4]characters!$1:$1,0)+1,FALSE)</f>
        <v>5</v>
      </c>
      <c r="AE127" s="4" t="str">
        <f ca="1">VLOOKUP($AB127,OFFSET([4]characters!$A$1,0,0,COUNTA([4]characters!$A:$A),MATCH(AE$1,[4]characters!$1:$1,0)-MATCH("character_id",[4]characters!$1:$1,0)+1),MATCH(AE$1,[4]characters!$1:$1,0)-MATCH("character_id",[4]characters!$1:$1,0)+1,FALSE)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7" s="7">
        <v>1</v>
      </c>
      <c r="AG127" s="24">
        <f t="shared" ca="1" si="19"/>
        <v>5</v>
      </c>
      <c r="AH127" s="8">
        <v>100</v>
      </c>
      <c r="AI127" s="7">
        <v>0</v>
      </c>
      <c r="AJ127" s="7">
        <v>0</v>
      </c>
      <c r="AK127" s="7">
        <v>0</v>
      </c>
      <c r="AL127" s="7">
        <v>0</v>
      </c>
      <c r="AM127" s="7">
        <v>1</v>
      </c>
      <c r="AN127" s="69">
        <v>1</v>
      </c>
    </row>
    <row r="128" spans="1:40" ht="21" customHeight="1" x14ac:dyDescent="0.15">
      <c r="A128" s="16" t="str">
        <f>B128&amp;"_"&amp;C128&amp;"-"&amp;G128&amp;"/"&amp;L128&amp;"&lt;lv"&amp;R128&amp;"&gt;s"&amp;AA128</f>
        <v>11008_5-1/366&lt;lv52&gt;s2</v>
      </c>
      <c r="B128" s="22">
        <v>11008</v>
      </c>
      <c r="C128" s="21">
        <v>5</v>
      </c>
      <c r="D128" s="2" t="str">
        <f>B128&amp;"_"&amp;C128</f>
        <v>11008_5</v>
      </c>
      <c r="E128" s="4" t="str">
        <f ca="1">VLOOKUP($B128,OFFSET([2]quests!$A$1,0,0,COUNTA([2]quests!$A:$A),MATCH(E$1,[2]quests!$1:$1,0)-MATCH($B$1,[2]quests!$1:$1,0)+1),MATCH(E$1,[2]quests!$1:$1,0)-MATCH($B$1,[2]quests!$1:$1,0)+1,FALSE)</f>
        <v>【日曜限定】 青と黄の素材</v>
      </c>
      <c r="F128" s="4" t="str">
        <f ca="1">VLOOKUP($D128,OFFSET([2]stages!$A$1,0,0,COUNTA([2]stages!$A:$A),MATCH(F$1,[2]stages!$2:$2,0)-MATCH($D$1,[2]stages!$2:$2,0)+1),MATCH(F$1,[2]stages!$2:$2,0)-MATCH($D$1,[2]stages!$2:$2,0)+1,FALSE)</f>
        <v>【超絶級】ウミガメとネズミ</v>
      </c>
      <c r="G128" s="21">
        <v>1</v>
      </c>
      <c r="H128" s="15" t="str">
        <f>B128&amp;"_"&amp;C128&amp;"-"&amp;G128</f>
        <v>11008_5-1</v>
      </c>
      <c r="I128" s="4">
        <f ca="1">VLOOKUP($H128,OFFSET(floors!$A$1,0,0,COUNTA(floors!$A:$A),MATCH(I$1,floors!$1:$1,0)-MATCH($H$1,floors!$1:$1,0)+1),MATCH(I$1,floors!$1:$1,0)-MATCH($H$1,floors!$1:$1,0)+1,FALSE)</f>
        <v>30</v>
      </c>
      <c r="J128" s="4">
        <f ca="1">VLOOKUP($H128,OFFSET(floors!$A$1,0,0,COUNTA(floors!$A:$A),MATCH(J$1,floors!$1:$1,0)-MATCH($H$1,floors!$1:$1,0)+1),MATCH(J$1,floors!$1:$1,0)-MATCH($H$1,floors!$1:$1,0)+1,FALSE)</f>
        <v>45</v>
      </c>
      <c r="K128" s="100" t="s">
        <v>209</v>
      </c>
      <c r="L128" s="107">
        <v>366</v>
      </c>
      <c r="M128" s="17" t="str">
        <f ca="1">VLOOKUP($L128,OFFSET([3]enemies!$A$1,0,0,COUNTA([3]enemies!$A:$A),MATCH(M$1,[3]enemies!$1:$1,0)-MATCH($L$1,[3]enemies!$1:$1,0)+1),MATCH(M$1,[3]enemies!$1:$1,0)-MATCH($L$1,[3]enemies!$1:$1,0)+1,FALSE)</f>
        <v>トト</v>
      </c>
      <c r="N128" s="17" t="str">
        <f ca="1">VLOOKUP($L128,OFFSET([3]enemies!$A$1,0,0,COUNTA([3]enemies!$A:$A),MATCH(N$1,[3]enemies!$1:$1,0)-MATCH($L$1,[3]enemies!$1:$1,0)+1),MATCH(N$1,[3]enemies!$1:$1,0)-MATCH($L$1,[3]enemies!$1:$1,0)+1,FALSE)</f>
        <v>yellow</v>
      </c>
      <c r="O128" s="17" t="str">
        <f ca="1">VLOOKUP($L128,OFFSET([4]characters!$A$1,0,0,COUNTA([4]characters!$A:$A),MATCH(O$1,[4]characters!$1:$1,0)-MATCH($L$1,[4]characters!$1:$1,0)+1),MATCH(O$1,[4]characters!$1:$1,0)-MATCH($L$1,[4]characters!$1:$1,0)+1,FALSE)</f>
        <v>Drop1S</v>
      </c>
      <c r="P128" s="17" t="str">
        <f ca="1">VLOOKUP($L128,OFFSET([3]enemies!$A$1,0,0,COUNTA([3]enemies!$A:$A),MATCH(P$1,[3]enemies!$1:$1,0)-MATCH($L$1,[3]enemies!$1:$1,0)+1),MATCH(P$1,[3]enemies!$1:$1,0)-MATCH($L$1,[3]enemies!$1:$1,0)+1,FALSE)</f>
        <v>animal</v>
      </c>
      <c r="Q128" s="17">
        <f ca="1">VLOOKUP($L128,OFFSET([3]enemies!$A$1,0,0,COUNTA([3]enemies!$A:$A),MATCH(Q$1,[3]enemies!$1:$1,0)-MATCH($L$1,[3]enemies!$1:$1,0)+1),MATCH(Q$1,[3]enemies!$1:$1,0)-MATCH($L$1,[3]enemies!$1:$1,0)+1,FALSE)</f>
        <v>15</v>
      </c>
      <c r="R128" s="5">
        <v>52</v>
      </c>
      <c r="S128" s="25">
        <v>1.8</v>
      </c>
      <c r="T128" s="25">
        <v>0.9</v>
      </c>
      <c r="U128" s="5">
        <v>0</v>
      </c>
      <c r="V128" s="4" t="str">
        <f ca="1">VLOOKUP($W128,OFFSET(enemy_skill_sets!$B$1,0,0,COUNTA(enemy_skill_sets!$B:$B),MATCH(M$1,enemy_skill_sets!$1:$1,0)-MATCH($W$1,enemy_skill_sets!$1:$1,0)+2),MATCH(M$1,enemy_skill_sets!$1:$1,0)-MATCH($W$1,enemy_skill_sets!$1:$1,0)+2,FALSE)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128" s="110">
        <v>1122213</v>
      </c>
      <c r="X128" s="6">
        <v>0</v>
      </c>
      <c r="Y128" s="6">
        <v>50</v>
      </c>
      <c r="Z128" s="6">
        <v>1</v>
      </c>
      <c r="AA128" s="17">
        <v>2</v>
      </c>
      <c r="AB128" s="24">
        <f>L128</f>
        <v>366</v>
      </c>
      <c r="AC128" s="4" t="str">
        <f ca="1">VLOOKUP($AB128,OFFSET([4]characters!$A$1,0,0,COUNTA([4]characters!$A:$A),MATCH(AC$1,[4]characters!$1:$1,0)-MATCH("character_id",[4]characters!$1:$1,0)+1),MATCH(AC$1,[4]characters!$1:$1,0)-MATCH("character_id",[4]characters!$1:$1,0)+1,FALSE)</f>
        <v>トト</v>
      </c>
      <c r="AD128" s="4">
        <f ca="1">VLOOKUP($AB128,OFFSET([4]characters!$A$1,0,0,COUNTA([4]characters!$A:$A),MATCH(AD$1,[4]characters!$1:$1,0)-MATCH("character_id",[4]characters!$1:$1,0)+1),MATCH(AD$1,[4]characters!$1:$1,0)-MATCH("character_id",[4]characters!$1:$1,0)+1,FALSE)</f>
        <v>2</v>
      </c>
      <c r="AE128" s="4" t="str">
        <f ca="1">VLOOKUP($AB128,OFFSET([4]characters!$A$1,0,0,COUNTA([4]characters!$A:$A),MATCH(AE$1,[4]characters!$1:$1,0)-MATCH("character_id",[4]characters!$1:$1,0)+1),MATCH(AE$1,[4]characters!$1:$1,0)-MATCH("character_id",[4]characters!$1:$1,0)+1,FALSE)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8" s="7">
        <v>1</v>
      </c>
      <c r="AG128" s="24">
        <f ca="1">AD128</f>
        <v>2</v>
      </c>
      <c r="AH128" s="8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1</v>
      </c>
      <c r="AN128" s="69">
        <v>1</v>
      </c>
    </row>
    <row r="129" spans="1:40" ht="21" customHeight="1" x14ac:dyDescent="0.15">
      <c r="A129" s="16" t="str">
        <f>B129&amp;"_"&amp;C129&amp;"-"&amp;G129&amp;"/"&amp;L129&amp;"&lt;lv"&amp;R129&amp;"&gt;s"&amp;AA129</f>
        <v>11008_5-1/412&lt;lv52&gt;s1</v>
      </c>
      <c r="B129" s="22">
        <v>11008</v>
      </c>
      <c r="C129" s="21">
        <v>5</v>
      </c>
      <c r="D129" s="2" t="str">
        <f>B129&amp;"_"&amp;C129</f>
        <v>11008_5</v>
      </c>
      <c r="E129" s="4" t="str">
        <f ca="1">VLOOKUP($B129,OFFSET([2]quests!$A$1,0,0,COUNTA([2]quests!$A:$A),MATCH(E$1,[2]quests!$1:$1,0)-MATCH($B$1,[2]quests!$1:$1,0)+1),MATCH(E$1,[2]quests!$1:$1,0)-MATCH($B$1,[2]quests!$1:$1,0)+1,FALSE)</f>
        <v>【日曜限定】 青と黄の素材</v>
      </c>
      <c r="F129" s="4" t="str">
        <f ca="1">VLOOKUP($D129,OFFSET([2]stages!$A$1,0,0,COUNTA([2]stages!$A:$A),MATCH(F$1,[2]stages!$2:$2,0)-MATCH($D$1,[2]stages!$2:$2,0)+1),MATCH(F$1,[2]stages!$2:$2,0)-MATCH($D$1,[2]stages!$2:$2,0)+1,FALSE)</f>
        <v>【超絶級】ウミガメとネズミ</v>
      </c>
      <c r="G129" s="21">
        <v>1</v>
      </c>
      <c r="H129" s="15" t="str">
        <f>B129&amp;"_"&amp;C129&amp;"-"&amp;G129</f>
        <v>11008_5-1</v>
      </c>
      <c r="I129" s="4">
        <f ca="1">VLOOKUP($H129,OFFSET(floors!$A$1,0,0,COUNTA(floors!$A:$A),MATCH(I$1,floors!$1:$1,0)-MATCH($H$1,floors!$1:$1,0)+1),MATCH(I$1,floors!$1:$1,0)-MATCH($H$1,floors!$1:$1,0)+1,FALSE)</f>
        <v>30</v>
      </c>
      <c r="J129" s="4">
        <f ca="1">VLOOKUP($H129,OFFSET(floors!$A$1,0,0,COUNTA(floors!$A:$A),MATCH(J$1,floors!$1:$1,0)-MATCH($H$1,floors!$1:$1,0)+1),MATCH(J$1,floors!$1:$1,0)-MATCH($H$1,floors!$1:$1,0)+1,FALSE)</f>
        <v>45</v>
      </c>
      <c r="K129" s="100" t="s">
        <v>209</v>
      </c>
      <c r="L129" s="107">
        <v>412</v>
      </c>
      <c r="M129" s="17" t="str">
        <f ca="1">VLOOKUP($L129,OFFSET([3]enemies!$A$1,0,0,COUNTA([3]enemies!$A:$A),MATCH(M$1,[3]enemies!$1:$1,0)-MATCH($L$1,[3]enemies!$1:$1,0)+1),MATCH(M$1,[3]enemies!$1:$1,0)-MATCH($L$1,[3]enemies!$1:$1,0)+1,FALSE)</f>
        <v>コウネン</v>
      </c>
      <c r="N129" s="17" t="str">
        <f ca="1">VLOOKUP($L129,OFFSET([3]enemies!$A$1,0,0,COUNTA([3]enemies!$A:$A),MATCH(N$1,[3]enemies!$1:$1,0)-MATCH($L$1,[3]enemies!$1:$1,0)+1),MATCH(N$1,[3]enemies!$1:$1,0)-MATCH($L$1,[3]enemies!$1:$1,0)+1,FALSE)</f>
        <v>yellow</v>
      </c>
      <c r="O129" s="17" t="str">
        <f ca="1">VLOOKUP($L129,OFFSET([4]characters!$A$1,0,0,COUNTA([4]characters!$A:$A),MATCH(O$1,[4]characters!$1:$1,0)-MATCH($L$1,[4]characters!$1:$1,0)+1),MATCH(O$1,[4]characters!$1:$1,0)-MATCH($L$1,[4]characters!$1:$1,0)+1,FALSE)</f>
        <v>Drop1S</v>
      </c>
      <c r="P129" s="17" t="str">
        <f ca="1">VLOOKUP($L129,OFFSET([3]enemies!$A$1,0,0,COUNTA([3]enemies!$A:$A),MATCH(P$1,[3]enemies!$1:$1,0)-MATCH($L$1,[3]enemies!$1:$1,0)+1),MATCH(P$1,[3]enemies!$1:$1,0)-MATCH($L$1,[3]enemies!$1:$1,0)+1,FALSE)</f>
        <v>unknown</v>
      </c>
      <c r="Q129" s="17">
        <v>25</v>
      </c>
      <c r="R129" s="5">
        <v>52</v>
      </c>
      <c r="S129" s="25">
        <v>1.2</v>
      </c>
      <c r="T129" s="25">
        <v>1.2</v>
      </c>
      <c r="U129" s="5">
        <v>0</v>
      </c>
      <c r="V129" s="4" t="str">
        <f ca="1">VLOOKUP($W129,OFFSET(enemy_skill_sets!$B$1,0,0,COUNTA(enemy_skill_sets!$B:$B),MATCH(M$1,enemy_skill_sets!$1:$1,0)-MATCH($W$1,enemy_skill_sets!$1:$1,0)+2),MATCH(M$1,enemy_skill_sets!$1:$1,0)-MATCH($W$1,enemy_skill_sets!$1:$1,0)+2,FALSE)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29" s="109">
        <v>1122207</v>
      </c>
      <c r="X129" s="6">
        <v>0</v>
      </c>
      <c r="Y129" s="6">
        <v>50</v>
      </c>
      <c r="Z129" s="6">
        <v>2</v>
      </c>
      <c r="AA129" s="17">
        <v>1</v>
      </c>
      <c r="AB129" s="24">
        <f>L129</f>
        <v>412</v>
      </c>
      <c r="AC129" s="4" t="str">
        <f ca="1">VLOOKUP($AB129,OFFSET([4]characters!$A$1,0,0,COUNTA([4]characters!$A:$A),MATCH(AC$1,[4]characters!$1:$1,0)-MATCH("character_id",[4]characters!$1:$1,0)+1),MATCH(AC$1,[4]characters!$1:$1,0)-MATCH("character_id",[4]characters!$1:$1,0)+1,FALSE)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129" s="4">
        <f ca="1">VLOOKUP($AB129,OFFSET([4]characters!$A$1,0,0,COUNTA([4]characters!$A:$A),MATCH(AD$1,[4]characters!$1:$1,0)-MATCH("character_id",[4]characters!$1:$1,0)+1),MATCH(AD$1,[4]characters!$1:$1,0)-MATCH("character_id",[4]characters!$1:$1,0)+1,FALSE)</f>
        <v>2</v>
      </c>
      <c r="AE129" s="4" t="str">
        <f ca="1">VLOOKUP($AB129,OFFSET([4]characters!$A$1,0,0,COUNTA([4]characters!$A:$A),MATCH(AE$1,[4]characters!$1:$1,0)-MATCH("character_id",[4]characters!$1:$1,0)+1),MATCH(AE$1,[4]characters!$1:$1,0)-MATCH("character_id",[4]characters!$1:$1,0)+1,FALSE)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9" s="7">
        <v>1</v>
      </c>
      <c r="AG129" s="24">
        <f ca="1">AD129</f>
        <v>2</v>
      </c>
      <c r="AH129" s="8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1</v>
      </c>
      <c r="AN129" s="69">
        <v>1</v>
      </c>
    </row>
    <row r="130" spans="1:40" ht="21" customHeight="1" x14ac:dyDescent="0.15">
      <c r="A130" s="16" t="str">
        <f t="shared" ref="A130:A157" si="20">B130&amp;"_"&amp;C130&amp;"-"&amp;G130&amp;"/"&amp;L130&amp;"&lt;lv"&amp;R130&amp;"&gt;s"&amp;AA130</f>
        <v>11008_5-2/366&lt;lv52&gt;s2</v>
      </c>
      <c r="B130" s="22">
        <v>11008</v>
      </c>
      <c r="C130" s="21">
        <v>5</v>
      </c>
      <c r="D130" s="2" t="str">
        <f t="shared" ref="D130:D157" si="21">B130&amp;"_"&amp;C130</f>
        <v>11008_5</v>
      </c>
      <c r="E130" s="4" t="str">
        <f ca="1">VLOOKUP($B130,OFFSET([2]quests!$A$1,0,0,COUNTA([2]quests!$A:$A),MATCH(E$1,[2]quests!$1:$1,0)-MATCH($B$1,[2]quests!$1:$1,0)+1),MATCH(E$1,[2]quests!$1:$1,0)-MATCH($B$1,[2]quests!$1:$1,0)+1,FALSE)</f>
        <v>【日曜限定】 青と黄の素材</v>
      </c>
      <c r="F130" s="4" t="str">
        <f ca="1">VLOOKUP($D130,OFFSET([2]stages!$A$1,0,0,COUNTA([2]stages!$A:$A),MATCH(F$1,[2]stages!$2:$2,0)-MATCH($D$1,[2]stages!$2:$2,0)+1),MATCH(F$1,[2]stages!$2:$2,0)-MATCH($D$1,[2]stages!$2:$2,0)+1,FALSE)</f>
        <v>【超絶級】ウミガメとネズミ</v>
      </c>
      <c r="G130" s="21">
        <v>2</v>
      </c>
      <c r="H130" s="15" t="str">
        <f t="shared" ref="H130:H157" si="22">B130&amp;"_"&amp;C130&amp;"-"&amp;G130</f>
        <v>11008_5-2</v>
      </c>
      <c r="I130" s="4">
        <f ca="1">VLOOKUP($H130,OFFSET(floors!$A$1,0,0,COUNTA(floors!$A:$A),MATCH(I$1,floors!$1:$1,0)-MATCH($H$1,floors!$1:$1,0)+1),MATCH(I$1,floors!$1:$1,0)-MATCH($H$1,floors!$1:$1,0)+1,FALSE)</f>
        <v>45</v>
      </c>
      <c r="J130" s="4">
        <f ca="1">VLOOKUP($H130,OFFSET(floors!$A$1,0,0,COUNTA(floors!$A:$A),MATCH(J$1,floors!$1:$1,0)-MATCH($H$1,floors!$1:$1,0)+1),MATCH(J$1,floors!$1:$1,0)-MATCH($H$1,floors!$1:$1,0)+1,FALSE)</f>
        <v>60</v>
      </c>
      <c r="K130" s="100" t="s">
        <v>209</v>
      </c>
      <c r="L130" s="107">
        <v>366</v>
      </c>
      <c r="M130" s="17" t="str">
        <f ca="1">VLOOKUP($L130,OFFSET([3]enemies!$A$1,0,0,COUNTA([3]enemies!$A:$A),MATCH(M$1,[3]enemies!$1:$1,0)-MATCH($L$1,[3]enemies!$1:$1,0)+1),MATCH(M$1,[3]enemies!$1:$1,0)-MATCH($L$1,[3]enemies!$1:$1,0)+1,FALSE)</f>
        <v>トト</v>
      </c>
      <c r="N130" s="17" t="str">
        <f ca="1">VLOOKUP($L130,OFFSET([3]enemies!$A$1,0,0,COUNTA([3]enemies!$A:$A),MATCH(N$1,[3]enemies!$1:$1,0)-MATCH($L$1,[3]enemies!$1:$1,0)+1),MATCH(N$1,[3]enemies!$1:$1,0)-MATCH($L$1,[3]enemies!$1:$1,0)+1,FALSE)</f>
        <v>yellow</v>
      </c>
      <c r="O130" s="17" t="str">
        <f ca="1">VLOOKUP($L130,OFFSET([4]characters!$A$1,0,0,COUNTA([4]characters!$A:$A),MATCH(O$1,[4]characters!$1:$1,0)-MATCH($L$1,[4]characters!$1:$1,0)+1),MATCH(O$1,[4]characters!$1:$1,0)-MATCH($L$1,[4]characters!$1:$1,0)+1,FALSE)</f>
        <v>Drop1S</v>
      </c>
      <c r="P130" s="17" t="str">
        <f ca="1">VLOOKUP($L130,OFFSET([3]enemies!$A$1,0,0,COUNTA([3]enemies!$A:$A),MATCH(P$1,[3]enemies!$1:$1,0)-MATCH($L$1,[3]enemies!$1:$1,0)+1),MATCH(P$1,[3]enemies!$1:$1,0)-MATCH($L$1,[3]enemies!$1:$1,0)+1,FALSE)</f>
        <v>animal</v>
      </c>
      <c r="Q130" s="17">
        <f ca="1">VLOOKUP($L130,OFFSET([3]enemies!$A$1,0,0,COUNTA([3]enemies!$A:$A),MATCH(Q$1,[3]enemies!$1:$1,0)-MATCH($L$1,[3]enemies!$1:$1,0)+1),MATCH(Q$1,[3]enemies!$1:$1,0)-MATCH($L$1,[3]enemies!$1:$1,0)+1,FALSE)</f>
        <v>15</v>
      </c>
      <c r="R130" s="5">
        <v>52</v>
      </c>
      <c r="S130" s="25">
        <v>1.8</v>
      </c>
      <c r="T130" s="25">
        <v>0.9</v>
      </c>
      <c r="U130" s="5">
        <v>0</v>
      </c>
      <c r="V130" s="4" t="str">
        <f ca="1">VLOOKUP($W130,OFFSET(enemy_skill_sets!$B$1,0,0,COUNTA(enemy_skill_sets!$B:$B),MATCH(M$1,enemy_skill_sets!$1:$1,0)-MATCH($W$1,enemy_skill_sets!$1:$1,0)+2),MATCH(M$1,enemy_skill_sets!$1:$1,0)-MATCH($W$1,enemy_skill_sets!$1:$1,0)+2,FALSE)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130" s="110">
        <v>1122213</v>
      </c>
      <c r="X130" s="6">
        <v>0</v>
      </c>
      <c r="Y130" s="6">
        <v>100</v>
      </c>
      <c r="Z130" s="6">
        <v>2</v>
      </c>
      <c r="AA130" s="17">
        <v>2</v>
      </c>
      <c r="AB130" s="24">
        <f t="shared" ref="AB130:AB157" si="23">L130</f>
        <v>366</v>
      </c>
      <c r="AC130" s="4" t="str">
        <f ca="1">VLOOKUP($AB130,OFFSET([4]characters!$A$1,0,0,COUNTA([4]characters!$A:$A),MATCH(AC$1,[4]characters!$1:$1,0)-MATCH("character_id",[4]characters!$1:$1,0)+1),MATCH(AC$1,[4]characters!$1:$1,0)-MATCH("character_id",[4]characters!$1:$1,0)+1,FALSE)</f>
        <v>トト</v>
      </c>
      <c r="AD130" s="4">
        <f ca="1">VLOOKUP($AB130,OFFSET([4]characters!$A$1,0,0,COUNTA([4]characters!$A:$A),MATCH(AD$1,[4]characters!$1:$1,0)-MATCH("character_id",[4]characters!$1:$1,0)+1),MATCH(AD$1,[4]characters!$1:$1,0)-MATCH("character_id",[4]characters!$1:$1,0)+1,FALSE)</f>
        <v>2</v>
      </c>
      <c r="AE130" s="4" t="str">
        <f ca="1">VLOOKUP($AB130,OFFSET([4]characters!$A$1,0,0,COUNTA([4]characters!$A:$A),MATCH(AE$1,[4]characters!$1:$1,0)-MATCH("character_id",[4]characters!$1:$1,0)+1),MATCH(AE$1,[4]characters!$1:$1,0)-MATCH("character_id",[4]characters!$1:$1,0)+1,FALSE)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0" s="7">
        <v>1</v>
      </c>
      <c r="AG130" s="24">
        <f t="shared" ref="AG130:AG157" ca="1" si="24">AD130</f>
        <v>2</v>
      </c>
      <c r="AH130" s="8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1</v>
      </c>
      <c r="AN130" s="69">
        <v>1</v>
      </c>
    </row>
    <row r="131" spans="1:40" ht="21" customHeight="1" x14ac:dyDescent="0.15">
      <c r="A131" s="16" t="str">
        <f t="shared" si="20"/>
        <v>11008_5-2/412&lt;lv52&gt;s1</v>
      </c>
      <c r="B131" s="22">
        <v>11008</v>
      </c>
      <c r="C131" s="21">
        <v>5</v>
      </c>
      <c r="D131" s="2" t="str">
        <f t="shared" si="21"/>
        <v>11008_5</v>
      </c>
      <c r="E131" s="4" t="str">
        <f ca="1">VLOOKUP($B131,OFFSET([2]quests!$A$1,0,0,COUNTA([2]quests!$A:$A),MATCH(E$1,[2]quests!$1:$1,0)-MATCH($B$1,[2]quests!$1:$1,0)+1),MATCH(E$1,[2]quests!$1:$1,0)-MATCH($B$1,[2]quests!$1:$1,0)+1,FALSE)</f>
        <v>【日曜限定】 青と黄の素材</v>
      </c>
      <c r="F131" s="4" t="str">
        <f ca="1">VLOOKUP($D131,OFFSET([2]stages!$A$1,0,0,COUNTA([2]stages!$A:$A),MATCH(F$1,[2]stages!$2:$2,0)-MATCH($D$1,[2]stages!$2:$2,0)+1),MATCH(F$1,[2]stages!$2:$2,0)-MATCH($D$1,[2]stages!$2:$2,0)+1,FALSE)</f>
        <v>【超絶級】ウミガメとネズミ</v>
      </c>
      <c r="G131" s="21">
        <v>2</v>
      </c>
      <c r="H131" s="15" t="str">
        <f t="shared" si="22"/>
        <v>11008_5-2</v>
      </c>
      <c r="I131" s="4">
        <f ca="1">VLOOKUP($H131,OFFSET(floors!$A$1,0,0,COUNTA(floors!$A:$A),MATCH(I$1,floors!$1:$1,0)-MATCH($H$1,floors!$1:$1,0)+1),MATCH(I$1,floors!$1:$1,0)-MATCH($H$1,floors!$1:$1,0)+1,FALSE)</f>
        <v>45</v>
      </c>
      <c r="J131" s="4">
        <f ca="1">VLOOKUP($H131,OFFSET(floors!$A$1,0,0,COUNTA(floors!$A:$A),MATCH(J$1,floors!$1:$1,0)-MATCH($H$1,floors!$1:$1,0)+1),MATCH(J$1,floors!$1:$1,0)-MATCH($H$1,floors!$1:$1,0)+1,FALSE)</f>
        <v>60</v>
      </c>
      <c r="K131" s="100" t="s">
        <v>209</v>
      </c>
      <c r="L131" s="107">
        <v>412</v>
      </c>
      <c r="M131" s="17" t="str">
        <f ca="1">VLOOKUP($L131,OFFSET([3]enemies!$A$1,0,0,COUNTA([3]enemies!$A:$A),MATCH(M$1,[3]enemies!$1:$1,0)-MATCH($L$1,[3]enemies!$1:$1,0)+1),MATCH(M$1,[3]enemies!$1:$1,0)-MATCH($L$1,[3]enemies!$1:$1,0)+1,FALSE)</f>
        <v>コウネン</v>
      </c>
      <c r="N131" s="17" t="str">
        <f ca="1">VLOOKUP($L131,OFFSET([3]enemies!$A$1,0,0,COUNTA([3]enemies!$A:$A),MATCH(N$1,[3]enemies!$1:$1,0)-MATCH($L$1,[3]enemies!$1:$1,0)+1),MATCH(N$1,[3]enemies!$1:$1,0)-MATCH($L$1,[3]enemies!$1:$1,0)+1,FALSE)</f>
        <v>yellow</v>
      </c>
      <c r="O131" s="17" t="str">
        <f ca="1">VLOOKUP($L131,OFFSET([4]characters!$A$1,0,0,COUNTA([4]characters!$A:$A),MATCH(O$1,[4]characters!$1:$1,0)-MATCH($L$1,[4]characters!$1:$1,0)+1),MATCH(O$1,[4]characters!$1:$1,0)-MATCH($L$1,[4]characters!$1:$1,0)+1,FALSE)</f>
        <v>Drop1S</v>
      </c>
      <c r="P131" s="17" t="str">
        <f ca="1">VLOOKUP($L131,OFFSET([3]enemies!$A$1,0,0,COUNTA([3]enemies!$A:$A),MATCH(P$1,[3]enemies!$1:$1,0)-MATCH($L$1,[3]enemies!$1:$1,0)+1),MATCH(P$1,[3]enemies!$1:$1,0)-MATCH($L$1,[3]enemies!$1:$1,0)+1,FALSE)</f>
        <v>unknown</v>
      </c>
      <c r="Q131" s="17">
        <f ca="1">VLOOKUP($L131,OFFSET([3]enemies!$A$1,0,0,COUNTA([3]enemies!$A:$A),MATCH(Q$1,[3]enemies!$1:$1,0)-MATCH($L$1,[3]enemies!$1:$1,0)+1),MATCH(Q$1,[3]enemies!$1:$1,0)-MATCH($L$1,[3]enemies!$1:$1,0)+1,FALSE)</f>
        <v>15</v>
      </c>
      <c r="R131" s="5">
        <v>52</v>
      </c>
      <c r="S131" s="25">
        <v>1.2</v>
      </c>
      <c r="T131" s="25">
        <v>1.2</v>
      </c>
      <c r="U131" s="5">
        <v>0</v>
      </c>
      <c r="V131" s="4" t="str">
        <f ca="1">VLOOKUP($W131,OFFSET(enemy_skill_sets!$B$1,0,0,COUNTA(enemy_skill_sets!$B:$B),MATCH(M$1,enemy_skill_sets!$1:$1,0)-MATCH($W$1,enemy_skill_sets!$1:$1,0)+2),MATCH(M$1,enemy_skill_sets!$1:$1,0)-MATCH($W$1,enemy_skill_sets!$1:$1,0)+2,FALSE)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31" s="109">
        <v>1122207</v>
      </c>
      <c r="X131" s="6">
        <v>0</v>
      </c>
      <c r="Y131" s="6">
        <v>50</v>
      </c>
      <c r="Z131" s="6">
        <v>1</v>
      </c>
      <c r="AA131" s="17">
        <v>1</v>
      </c>
      <c r="AB131" s="24">
        <f t="shared" si="23"/>
        <v>412</v>
      </c>
      <c r="AC131" s="4" t="str">
        <f ca="1">VLOOKUP($AB131,OFFSET([4]characters!$A$1,0,0,COUNTA([4]characters!$A:$A),MATCH(AC$1,[4]characters!$1:$1,0)-MATCH("character_id",[4]characters!$1:$1,0)+1),MATCH(AC$1,[4]characters!$1:$1,0)-MATCH("character_id",[4]characters!$1:$1,0)+1,FALSE)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131" s="4">
        <f ca="1">VLOOKUP($AB131,OFFSET([4]characters!$A$1,0,0,COUNTA([4]characters!$A:$A),MATCH(AD$1,[4]characters!$1:$1,0)-MATCH("character_id",[4]characters!$1:$1,0)+1),MATCH(AD$1,[4]characters!$1:$1,0)-MATCH("character_id",[4]characters!$1:$1,0)+1,FALSE)</f>
        <v>2</v>
      </c>
      <c r="AE131" s="4" t="str">
        <f ca="1">VLOOKUP($AB131,OFFSET([4]characters!$A$1,0,0,COUNTA([4]characters!$A:$A),MATCH(AE$1,[4]characters!$1:$1,0)-MATCH("character_id",[4]characters!$1:$1,0)+1),MATCH(AE$1,[4]characters!$1:$1,0)-MATCH("character_id",[4]characters!$1:$1,0)+1,FALSE)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1" s="7">
        <v>1</v>
      </c>
      <c r="AG131" s="24">
        <f t="shared" ca="1" si="24"/>
        <v>2</v>
      </c>
      <c r="AH131" s="8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1</v>
      </c>
      <c r="AN131" s="69">
        <v>1</v>
      </c>
    </row>
    <row r="132" spans="1:40" ht="21" customHeight="1" x14ac:dyDescent="0.15">
      <c r="A132" s="16" t="str">
        <f t="shared" ca="1" si="20"/>
        <v>11008_5-2/344&lt;lv2&gt;s1</v>
      </c>
      <c r="B132" s="22">
        <v>11008</v>
      </c>
      <c r="C132" s="21">
        <v>5</v>
      </c>
      <c r="D132" s="2" t="str">
        <f t="shared" si="21"/>
        <v>11008_5</v>
      </c>
      <c r="E132" s="4" t="str">
        <f ca="1">VLOOKUP($B132,OFFSET([2]quests!$A$1,0,0,COUNTA([2]quests!$A:$A),MATCH(E$1,[2]quests!$1:$1,0)-MATCH($B$1,[2]quests!$1:$1,0)+1),MATCH(E$1,[2]quests!$1:$1,0)-MATCH($B$1,[2]quests!$1:$1,0)+1,FALSE)</f>
        <v>【日曜限定】 青と黄の素材</v>
      </c>
      <c r="F132" s="4" t="str">
        <f ca="1">VLOOKUP($D132,OFFSET([2]stages!$A$1,0,0,COUNTA([2]stages!$A:$A),MATCH(F$1,[2]stages!$2:$2,0)-MATCH($D$1,[2]stages!$2:$2,0)+1),MATCH(F$1,[2]stages!$2:$2,0)-MATCH($D$1,[2]stages!$2:$2,0)+1,FALSE)</f>
        <v>【超絶級】ウミガメとネズミ</v>
      </c>
      <c r="G132" s="21">
        <v>2</v>
      </c>
      <c r="H132" s="15" t="str">
        <f t="shared" si="22"/>
        <v>11008_5-2</v>
      </c>
      <c r="I132" s="4">
        <f ca="1">VLOOKUP($H132,OFFSET(floors!$A$1,0,0,COUNTA(floors!$A:$A),MATCH(I$1,floors!$1:$1,0)-MATCH($H$1,floors!$1:$1,0)+1),MATCH(I$1,floors!$1:$1,0)-MATCH($H$1,floors!$1:$1,0)+1,FALSE)</f>
        <v>45</v>
      </c>
      <c r="J132" s="4">
        <f ca="1">VLOOKUP($H132,OFFSET(floors!$A$1,0,0,COUNTA(floors!$A:$A),MATCH(J$1,floors!$1:$1,0)-MATCH($H$1,floors!$1:$1,0)+1),MATCH(J$1,floors!$1:$1,0)-MATCH($H$1,floors!$1:$1,0)+1,FALSE)</f>
        <v>60</v>
      </c>
      <c r="K132" s="100" t="s">
        <v>209</v>
      </c>
      <c r="L132" s="107">
        <v>344</v>
      </c>
      <c r="M132" s="17" t="str">
        <f ca="1">VLOOKUP($L132,OFFSET([3]enemies!$A$1,0,0,COUNTA([3]enemies!$A:$A),MATCH(M$1,[3]enemies!$1:$1,0)-MATCH($L$1,[3]enemies!$1:$1,0)+1),MATCH(M$1,[3]enemies!$1:$1,0)-MATCH($L$1,[3]enemies!$1:$1,0)+1,FALSE)</f>
        <v>雷のメタルピヨピヨ</v>
      </c>
      <c r="N132" s="17" t="str">
        <f ca="1">VLOOKUP($L132,OFFSET([3]enemies!$A$1,0,0,COUNTA([3]enemies!$A:$A),MATCH(N$1,[3]enemies!$1:$1,0)-MATCH($L$1,[3]enemies!$1:$1,0)+1),MATCH(N$1,[3]enemies!$1:$1,0)-MATCH($L$1,[3]enemies!$1:$1,0)+1,FALSE)</f>
        <v>yellow</v>
      </c>
      <c r="O132" s="17" t="str">
        <f ca="1">VLOOKUP($L132,OFFSET([4]characters!$A$1,0,0,COUNTA([4]characters!$A:$A),MATCH(O$1,[4]characters!$1:$1,0)-MATCH($L$1,[4]characters!$1:$1,0)+1),MATCH(O$1,[4]characters!$1:$1,0)-MATCH($L$1,[4]characters!$1:$1,0)+1,FALSE)</f>
        <v>Material</v>
      </c>
      <c r="P132" s="17" t="str">
        <f ca="1">VLOOKUP($L132,OFFSET([3]enemies!$A$1,0,0,COUNTA([3]enemies!$A:$A),MATCH(P$1,[3]enemies!$1:$1,0)-MATCH($L$1,[3]enemies!$1:$1,0)+1),MATCH(P$1,[3]enemies!$1:$1,0)-MATCH($L$1,[3]enemies!$1:$1,0)+1,FALSE)</f>
        <v>unknown</v>
      </c>
      <c r="Q132" s="17">
        <f ca="1">VLOOKUP($L132,OFFSET([3]enemies!$A$1,0,0,COUNTA([3]enemies!$A:$A),MATCH(Q$1,[3]enemies!$1:$1,0)-MATCH($L$1,[3]enemies!$1:$1,0)+1),MATCH(Q$1,[3]enemies!$1:$1,0)-MATCH($L$1,[3]enemies!$1:$1,0)+1,FALSE)</f>
        <v>15</v>
      </c>
      <c r="R132" s="5">
        <v>2</v>
      </c>
      <c r="S132" s="25">
        <v>2</v>
      </c>
      <c r="T132" s="25">
        <v>99</v>
      </c>
      <c r="U132" s="5">
        <v>0</v>
      </c>
      <c r="V132" s="4" t="str">
        <f ca="1">VLOOKUP($W132,OFFSET([5]enemy_skill_sets!$B$1,0,0,COUNTA([5]enemy_skill_sets!$B:$B),MATCH(M$1,[5]enemy_skill_sets!$1:$1,0)-MATCH($W$1,[5]enemy_skill_sets!$1:$1,0)+2),MATCH(M$1,[5]enemy_skill_sets!$1:$1,0)-MATCH($W$1,[5]enemy_skill_sets!$1:$1,0)+2,FALSE)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2" s="4">
        <f ca="1">VLOOKUP($L132,OFFSET([3]enemies!$A$1,0,0,COUNTA([3]enemies!$A:$A),MATCH(W$1,[3]enemies!$1:$1,0)-MATCH($L$1,[3]enemies!$1:$1,0)+1),MATCH(W$1,[3]enemies!$1:$1,0)-MATCH($L$1,[3]enemies!$1:$1,0)+1,FALSE)</f>
        <v>0</v>
      </c>
      <c r="X132" s="6">
        <v>0</v>
      </c>
      <c r="Y132" s="6">
        <v>20</v>
      </c>
      <c r="Z132" s="6">
        <v>0</v>
      </c>
      <c r="AA132" s="17">
        <f ca="1">VLOOKUP($L132,OFFSET([3]enemies!$A$1,0,0,COUNTA([3]enemies!$A:$A),MATCH(AA$1,[3]enemies!$1:$1,0)-MATCH($L$1,[3]enemies!$1:$1,0)+1),MATCH(AA$1,[3]enemies!$1:$1,0)-MATCH($L$1,[3]enemies!$1:$1,0)+1,FALSE)</f>
        <v>1</v>
      </c>
      <c r="AB132" s="24">
        <f t="shared" si="23"/>
        <v>344</v>
      </c>
      <c r="AC132" s="4" t="str">
        <f ca="1">VLOOKUP($AB132,OFFSET([4]characters!$A$1,0,0,COUNTA([4]characters!$A:$A),MATCH(AC$1,[4]characters!$1:$1,0)-MATCH("character_id",[4]characters!$1:$1,0)+1),MATCH(AC$1,[4]characters!$1:$1,0)-MATCH("character_id",[4]characters!$1:$1,0)+1,FALSE)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132" s="4">
        <f ca="1">VLOOKUP($AB132,OFFSET([4]characters!$A$1,0,0,COUNTA([4]characters!$A:$A),MATCH(AD$1,[4]characters!$1:$1,0)-MATCH("character_id",[4]characters!$1:$1,0)+1),MATCH(AD$1,[4]characters!$1:$1,0)-MATCH("character_id",[4]characters!$1:$1,0)+1,FALSE)</f>
        <v>3</v>
      </c>
      <c r="AE132" s="4" t="str">
        <f ca="1">VLOOKUP($AB132,OFFSET([4]characters!$A$1,0,0,COUNTA([4]characters!$A:$A),MATCH(AE$1,[4]characters!$1:$1,0)-MATCH("character_id",[4]characters!$1:$1,0)+1),MATCH(AE$1,[4]characters!$1:$1,0)-MATCH("character_id",[4]characters!$1:$1,0)+1,FALSE)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2" s="7">
        <v>1</v>
      </c>
      <c r="AG132" s="24">
        <f t="shared" ca="1" si="24"/>
        <v>3</v>
      </c>
      <c r="AH132" s="8">
        <v>10</v>
      </c>
      <c r="AI132" s="7">
        <v>0</v>
      </c>
      <c r="AJ132" s="7">
        <v>0</v>
      </c>
      <c r="AK132" s="7">
        <v>0</v>
      </c>
      <c r="AL132" s="7">
        <v>0</v>
      </c>
      <c r="AM132" s="7">
        <v>1</v>
      </c>
      <c r="AN132" s="69">
        <v>1</v>
      </c>
    </row>
    <row r="133" spans="1:40" ht="21" customHeight="1" x14ac:dyDescent="0.15">
      <c r="A133" s="16" t="str">
        <f t="shared" ca="1" si="20"/>
        <v>11008_5-2/345&lt;lv2&gt;s2</v>
      </c>
      <c r="B133" s="22">
        <v>11008</v>
      </c>
      <c r="C133" s="21">
        <v>5</v>
      </c>
      <c r="D133" s="2" t="str">
        <f t="shared" si="21"/>
        <v>11008_5</v>
      </c>
      <c r="E133" s="4" t="str">
        <f ca="1">VLOOKUP($B133,OFFSET([2]quests!$A$1,0,0,COUNTA([2]quests!$A:$A),MATCH(E$1,[2]quests!$1:$1,0)-MATCH($B$1,[2]quests!$1:$1,0)+1),MATCH(E$1,[2]quests!$1:$1,0)-MATCH($B$1,[2]quests!$1:$1,0)+1,FALSE)</f>
        <v>【日曜限定】 青と黄の素材</v>
      </c>
      <c r="F133" s="4" t="str">
        <f ca="1">VLOOKUP($D133,OFFSET([2]stages!$A$1,0,0,COUNTA([2]stages!$A:$A),MATCH(F$1,[2]stages!$2:$2,0)-MATCH($D$1,[2]stages!$2:$2,0)+1),MATCH(F$1,[2]stages!$2:$2,0)-MATCH($D$1,[2]stages!$2:$2,0)+1,FALSE)</f>
        <v>【超絶級】ウミガメとネズミ</v>
      </c>
      <c r="G133" s="21">
        <v>2</v>
      </c>
      <c r="H133" s="15" t="str">
        <f t="shared" si="22"/>
        <v>11008_5-2</v>
      </c>
      <c r="I133" s="4">
        <f ca="1">VLOOKUP($H133,OFFSET(floors!$A$1,0,0,COUNTA(floors!$A:$A),MATCH(I$1,floors!$1:$1,0)-MATCH($H$1,floors!$1:$1,0)+1),MATCH(I$1,floors!$1:$1,0)-MATCH($H$1,floors!$1:$1,0)+1,FALSE)</f>
        <v>45</v>
      </c>
      <c r="J133" s="4">
        <f ca="1">VLOOKUP($H133,OFFSET(floors!$A$1,0,0,COUNTA(floors!$A:$A),MATCH(J$1,floors!$1:$1,0)-MATCH($H$1,floors!$1:$1,0)+1),MATCH(J$1,floors!$1:$1,0)-MATCH($H$1,floors!$1:$1,0)+1,FALSE)</f>
        <v>60</v>
      </c>
      <c r="K133" s="100" t="s">
        <v>209</v>
      </c>
      <c r="L133" s="107">
        <v>345</v>
      </c>
      <c r="M133" s="17" t="str">
        <f ca="1">VLOOKUP($L133,OFFSET([3]enemies!$A$1,0,0,COUNTA([3]enemies!$A:$A),MATCH(M$1,[3]enemies!$1:$1,0)-MATCH($L$1,[3]enemies!$1:$1,0)+1),MATCH(M$1,[3]enemies!$1:$1,0)-MATCH($L$1,[3]enemies!$1:$1,0)+1,FALSE)</f>
        <v>雷のメタルチック</v>
      </c>
      <c r="N133" s="17" t="str">
        <f ca="1">VLOOKUP($L133,OFFSET([3]enemies!$A$1,0,0,COUNTA([3]enemies!$A:$A),MATCH(N$1,[3]enemies!$1:$1,0)-MATCH($L$1,[3]enemies!$1:$1,0)+1),MATCH(N$1,[3]enemies!$1:$1,0)-MATCH($L$1,[3]enemies!$1:$1,0)+1,FALSE)</f>
        <v>yellow</v>
      </c>
      <c r="O133" s="17" t="str">
        <f ca="1">VLOOKUP($L133,OFFSET([4]characters!$A$1,0,0,COUNTA([4]characters!$A:$A),MATCH(O$1,[4]characters!$1:$1,0)-MATCH($L$1,[4]characters!$1:$1,0)+1),MATCH(O$1,[4]characters!$1:$1,0)-MATCH($L$1,[4]characters!$1:$1,0)+1,FALSE)</f>
        <v>Material</v>
      </c>
      <c r="P133" s="17" t="str">
        <f ca="1">VLOOKUP($L133,OFFSET([3]enemies!$A$1,0,0,COUNTA([3]enemies!$A:$A),MATCH(P$1,[3]enemies!$1:$1,0)-MATCH($L$1,[3]enemies!$1:$1,0)+1),MATCH(P$1,[3]enemies!$1:$1,0)-MATCH($L$1,[3]enemies!$1:$1,0)+1,FALSE)</f>
        <v>unknown</v>
      </c>
      <c r="Q133" s="17">
        <f ca="1">VLOOKUP($L133,OFFSET([3]enemies!$A$1,0,0,COUNTA([3]enemies!$A:$A),MATCH(Q$1,[3]enemies!$1:$1,0)-MATCH($L$1,[3]enemies!$1:$1,0)+1),MATCH(Q$1,[3]enemies!$1:$1,0)-MATCH($L$1,[3]enemies!$1:$1,0)+1,FALSE)</f>
        <v>15</v>
      </c>
      <c r="R133" s="5">
        <v>2</v>
      </c>
      <c r="S133" s="25">
        <v>2</v>
      </c>
      <c r="T133" s="25">
        <v>99</v>
      </c>
      <c r="U133" s="5">
        <v>0</v>
      </c>
      <c r="V133" s="4" t="str">
        <f ca="1">VLOOKUP($W133,OFFSET([5]enemy_skill_sets!$B$1,0,0,COUNTA([5]enemy_skill_sets!$B:$B),MATCH(M$1,[5]enemy_skill_sets!$1:$1,0)-MATCH($W$1,[5]enemy_skill_sets!$1:$1,0)+2),MATCH(M$1,[5]enemy_skill_sets!$1:$1,0)-MATCH($W$1,[5]enemy_skill_sets!$1:$1,0)+2,FALSE)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3" s="4">
        <f ca="1">VLOOKUP($L133,OFFSET([3]enemies!$A$1,0,0,COUNTA([3]enemies!$A:$A),MATCH(W$1,[3]enemies!$1:$1,0)-MATCH($L$1,[3]enemies!$1:$1,0)+1),MATCH(W$1,[3]enemies!$1:$1,0)-MATCH($L$1,[3]enemies!$1:$1,0)+1,FALSE)</f>
        <v>0</v>
      </c>
      <c r="X133" s="6">
        <v>0</v>
      </c>
      <c r="Y133" s="6">
        <v>10</v>
      </c>
      <c r="Z133" s="6">
        <v>0</v>
      </c>
      <c r="AA133" s="17">
        <f ca="1">VLOOKUP($L133,OFFSET([3]enemies!$A$1,0,0,COUNTA([3]enemies!$A:$A),MATCH(AA$1,[3]enemies!$1:$1,0)-MATCH($L$1,[3]enemies!$1:$1,0)+1),MATCH(AA$1,[3]enemies!$1:$1,0)-MATCH($L$1,[3]enemies!$1:$1,0)+1,FALSE)</f>
        <v>2</v>
      </c>
      <c r="AB133" s="24">
        <f t="shared" si="23"/>
        <v>345</v>
      </c>
      <c r="AC133" s="4" t="str">
        <f ca="1">VLOOKUP($AB133,OFFSET([4]characters!$A$1,0,0,COUNTA([4]characters!$A:$A),MATCH(AC$1,[4]characters!$1:$1,0)-MATCH("character_id",[4]characters!$1:$1,0)+1),MATCH(AC$1,[4]characters!$1:$1,0)-MATCH("character_id",[4]characters!$1:$1,0)+1,FALSE)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133" s="4">
        <f ca="1">VLOOKUP($AB133,OFFSET([4]characters!$A$1,0,0,COUNTA([4]characters!$A:$A),MATCH(AD$1,[4]characters!$1:$1,0)-MATCH("character_id",[4]characters!$1:$1,0)+1),MATCH(AD$1,[4]characters!$1:$1,0)-MATCH("character_id",[4]characters!$1:$1,0)+1,FALSE)</f>
        <v>4</v>
      </c>
      <c r="AE133" s="4" t="str">
        <f ca="1">VLOOKUP($AB133,OFFSET([4]characters!$A$1,0,0,COUNTA([4]characters!$A:$A),MATCH(AE$1,[4]characters!$1:$1,0)-MATCH("character_id",[4]characters!$1:$1,0)+1),MATCH(AE$1,[4]characters!$1:$1,0)-MATCH("character_id",[4]characters!$1:$1,0)+1,FALSE)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3" s="7">
        <v>1</v>
      </c>
      <c r="AG133" s="24">
        <f t="shared" ca="1" si="24"/>
        <v>4</v>
      </c>
      <c r="AH133" s="8">
        <v>5</v>
      </c>
      <c r="AI133" s="7">
        <v>0</v>
      </c>
      <c r="AJ133" s="7">
        <v>0</v>
      </c>
      <c r="AK133" s="7">
        <v>0</v>
      </c>
      <c r="AL133" s="7">
        <v>0</v>
      </c>
      <c r="AM133" s="7">
        <v>1</v>
      </c>
      <c r="AN133" s="69">
        <v>1</v>
      </c>
    </row>
    <row r="134" spans="1:40" ht="21" customHeight="1" x14ac:dyDescent="0.15">
      <c r="A134" s="16" t="str">
        <f t="shared" ca="1" si="20"/>
        <v>11008_5-3/285&lt;lv60&gt;s2</v>
      </c>
      <c r="B134" s="22">
        <v>11008</v>
      </c>
      <c r="C134" s="21">
        <v>5</v>
      </c>
      <c r="D134" s="2" t="str">
        <f t="shared" si="21"/>
        <v>11008_5</v>
      </c>
      <c r="E134" s="4" t="str">
        <f ca="1">VLOOKUP($B134,OFFSET([2]quests!$A$1,0,0,COUNTA([2]quests!$A:$A),MATCH(E$1,[2]quests!$1:$1,0)-MATCH($B$1,[2]quests!$1:$1,0)+1),MATCH(E$1,[2]quests!$1:$1,0)-MATCH($B$1,[2]quests!$1:$1,0)+1,FALSE)</f>
        <v>【日曜限定】 青と黄の素材</v>
      </c>
      <c r="F134" s="4" t="str">
        <f ca="1">VLOOKUP($D134,OFFSET([2]stages!$A$1,0,0,COUNTA([2]stages!$A:$A),MATCH(F$1,[2]stages!$2:$2,0)-MATCH($D$1,[2]stages!$2:$2,0)+1),MATCH(F$1,[2]stages!$2:$2,0)-MATCH($D$1,[2]stages!$2:$2,0)+1,FALSE)</f>
        <v>【超絶級】ウミガメとネズミ</v>
      </c>
      <c r="G134" s="21">
        <v>3</v>
      </c>
      <c r="H134" s="15" t="str">
        <f t="shared" si="22"/>
        <v>11008_5-3</v>
      </c>
      <c r="I134" s="4">
        <f ca="1">VLOOKUP($H134,OFFSET(floors!$A$1,0,0,COUNTA(floors!$A:$A),MATCH(I$1,floors!$1:$1,0)-MATCH($H$1,floors!$1:$1,0)+1),MATCH(I$1,floors!$1:$1,0)-MATCH($H$1,floors!$1:$1,0)+1,FALSE)</f>
        <v>50</v>
      </c>
      <c r="J134" s="4">
        <f ca="1">VLOOKUP($H134,OFFSET(floors!$A$1,0,0,COUNTA(floors!$A:$A),MATCH(J$1,floors!$1:$1,0)-MATCH($H$1,floors!$1:$1,0)+1),MATCH(J$1,floors!$1:$1,0)-MATCH($H$1,floors!$1:$1,0)+1,FALSE)</f>
        <v>60</v>
      </c>
      <c r="K134" s="100" t="s">
        <v>209</v>
      </c>
      <c r="L134" s="107">
        <v>285</v>
      </c>
      <c r="M134" s="17" t="str">
        <f ca="1">VLOOKUP($L134,OFFSET([3]enemies!$A$1,0,0,COUNTA([3]enemies!$A:$A),MATCH(M$1,[3]enemies!$1:$1,0)-MATCH($L$1,[3]enemies!$1:$1,0)+1),MATCH(M$1,[3]enemies!$1:$1,0)-MATCH($L$1,[3]enemies!$1:$1,0)+1,FALSE)</f>
        <v>フェルニゲシュ・オーバードライヴ</v>
      </c>
      <c r="N134" s="17" t="str">
        <f ca="1">VLOOKUP($L134,OFFSET([3]enemies!$A$1,0,0,COUNTA([3]enemies!$A:$A),MATCH(N$1,[3]enemies!$1:$1,0)-MATCH($L$1,[3]enemies!$1:$1,0)+1),MATCH(N$1,[3]enemies!$1:$1,0)-MATCH($L$1,[3]enemies!$1:$1,0)+1,FALSE)</f>
        <v>yellow</v>
      </c>
      <c r="O134" s="17" t="str">
        <f ca="1">VLOOKUP($L134,OFFSET([4]characters!$A$1,0,0,COUNTA([4]characters!$A:$A),MATCH(O$1,[4]characters!$1:$1,0)-MATCH($L$1,[4]characters!$1:$1,0)+1),MATCH(O$1,[4]characters!$1:$1,0)-MATCH($L$1,[4]characters!$1:$1,0)+1,FALSE)</f>
        <v>DropWizW</v>
      </c>
      <c r="P134" s="17" t="str">
        <f ca="1">VLOOKUP($L134,OFFSET([3]enemies!$A$1,0,0,COUNTA([3]enemies!$A:$A),MATCH(P$1,[3]enemies!$1:$1,0)-MATCH($L$1,[3]enemies!$1:$1,0)+1),MATCH(P$1,[3]enemies!$1:$1,0)-MATCH($L$1,[3]enemies!$1:$1,0)+1,FALSE)</f>
        <v>dragon</v>
      </c>
      <c r="Q134" s="17">
        <f ca="1">VLOOKUP($L134,OFFSET([3]enemies!$A$1,0,0,COUNTA([3]enemies!$A:$A),MATCH(Q$1,[3]enemies!$1:$1,0)-MATCH($L$1,[3]enemies!$1:$1,0)+1),MATCH(Q$1,[3]enemies!$1:$1,0)-MATCH($L$1,[3]enemies!$1:$1,0)+1,FALSE)</f>
        <v>30</v>
      </c>
      <c r="R134" s="5">
        <v>60</v>
      </c>
      <c r="S134" s="25">
        <v>1.8</v>
      </c>
      <c r="T134" s="25">
        <v>1.5</v>
      </c>
      <c r="U134" s="5">
        <v>0</v>
      </c>
      <c r="V134" s="4" t="str">
        <f ca="1">VLOOKUP($W134,OFFSET(enemy_skill_sets!$B$1,0,0,COUNTA(enemy_skill_sets!$B:$B),MATCH(M$1,enemy_skill_sets!$1:$1,0)-MATCH($W$1,enemy_skill_sets!$1:$1,0)+2),MATCH(M$1,enemy_skill_sets!$1:$1,0)-MATCH($W$1,enemy_skill_sets!$1:$1,0)+2,FALSE)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134" s="110">
        <v>1122209</v>
      </c>
      <c r="X134" s="6">
        <v>0</v>
      </c>
      <c r="Y134" s="6">
        <v>80</v>
      </c>
      <c r="Z134" s="6">
        <v>1</v>
      </c>
      <c r="AA134" s="17">
        <f ca="1">VLOOKUP($L134,OFFSET([3]enemies!$A$1,0,0,COUNTA([3]enemies!$A:$A),MATCH(AA$1,[3]enemies!$1:$1,0)-MATCH($L$1,[3]enemies!$1:$1,0)+1),MATCH(AA$1,[3]enemies!$1:$1,0)-MATCH($L$1,[3]enemies!$1:$1,0)+1,FALSE)</f>
        <v>2</v>
      </c>
      <c r="AB134" s="24">
        <f t="shared" si="23"/>
        <v>285</v>
      </c>
      <c r="AC134" s="4" t="str">
        <f ca="1">VLOOKUP($AB134,OFFSET([4]characters!$A$1,0,0,COUNTA([4]characters!$A:$A),MATCH(AC$1,[4]characters!$1:$1,0)-MATCH("character_id",[4]characters!$1:$1,0)+1),MATCH(AC$1,[4]characters!$1:$1,0)-MATCH("character_id",[4]characters!$1:$1,0)+1,FALSE)</f>
        <v>フェルニゲシュ・オーバードライヴ</v>
      </c>
      <c r="AD134" s="4">
        <f ca="1">VLOOKUP($AB134,OFFSET([4]characters!$A$1,0,0,COUNTA([4]characters!$A:$A),MATCH(AD$1,[4]characters!$1:$1,0)-MATCH("character_id",[4]characters!$1:$1,0)+1),MATCH(AD$1,[4]characters!$1:$1,0)-MATCH("character_id",[4]characters!$1:$1,0)+1,FALSE)</f>
        <v>4</v>
      </c>
      <c r="AE134" s="4" t="str">
        <f ca="1">VLOOKUP($AB134,OFFSET([4]characters!$A$1,0,0,COUNTA([4]characters!$A:$A),MATCH(AE$1,[4]characters!$1:$1,0)-MATCH("character_id",[4]characters!$1:$1,0)+1),MATCH(AE$1,[4]characters!$1:$1,0)-MATCH("character_id",[4]characters!$1:$1,0)+1,FALSE)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34" s="7">
        <v>1</v>
      </c>
      <c r="AG134" s="24">
        <f t="shared" ca="1" si="24"/>
        <v>4</v>
      </c>
      <c r="AH134" s="8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1</v>
      </c>
      <c r="AN134" s="69">
        <v>1</v>
      </c>
    </row>
    <row r="135" spans="1:40" ht="21" customHeight="1" x14ac:dyDescent="0.15">
      <c r="A135" s="16" t="str">
        <f t="shared" ca="1" si="20"/>
        <v>11008_5-3/346&lt;lv2&gt;s3</v>
      </c>
      <c r="B135" s="22">
        <v>11008</v>
      </c>
      <c r="C135" s="21">
        <v>5</v>
      </c>
      <c r="D135" s="2" t="str">
        <f t="shared" si="21"/>
        <v>11008_5</v>
      </c>
      <c r="E135" s="4" t="str">
        <f ca="1">VLOOKUP($B135,OFFSET([2]quests!$A$1,0,0,COUNTA([2]quests!$A:$A),MATCH(E$1,[2]quests!$1:$1,0)-MATCH($B$1,[2]quests!$1:$1,0)+1),MATCH(E$1,[2]quests!$1:$1,0)-MATCH($B$1,[2]quests!$1:$1,0)+1,FALSE)</f>
        <v>【日曜限定】 青と黄の素材</v>
      </c>
      <c r="F135" s="4" t="str">
        <f ca="1">VLOOKUP($D135,OFFSET([2]stages!$A$1,0,0,COUNTA([2]stages!$A:$A),MATCH(F$1,[2]stages!$2:$2,0)-MATCH($D$1,[2]stages!$2:$2,0)+1),MATCH(F$1,[2]stages!$2:$2,0)-MATCH($D$1,[2]stages!$2:$2,0)+1,FALSE)</f>
        <v>【超絶級】ウミガメとネズミ</v>
      </c>
      <c r="G135" s="21">
        <v>3</v>
      </c>
      <c r="H135" s="15" t="str">
        <f t="shared" si="22"/>
        <v>11008_5-3</v>
      </c>
      <c r="I135" s="4">
        <f ca="1">VLOOKUP($H135,OFFSET(floors!$A$1,0,0,COUNTA(floors!$A:$A),MATCH(I$1,floors!$1:$1,0)-MATCH($H$1,floors!$1:$1,0)+1),MATCH(I$1,floors!$1:$1,0)-MATCH($H$1,floors!$1:$1,0)+1,FALSE)</f>
        <v>50</v>
      </c>
      <c r="J135" s="4">
        <f ca="1">VLOOKUP($H135,OFFSET(floors!$A$1,0,0,COUNTA(floors!$A:$A),MATCH(J$1,floors!$1:$1,0)-MATCH($H$1,floors!$1:$1,0)+1),MATCH(J$1,floors!$1:$1,0)-MATCH($H$1,floors!$1:$1,0)+1,FALSE)</f>
        <v>60</v>
      </c>
      <c r="K135" s="100" t="s">
        <v>209</v>
      </c>
      <c r="L135" s="107">
        <v>346</v>
      </c>
      <c r="M135" s="17" t="str">
        <f ca="1">VLOOKUP($L135,OFFSET([3]enemies!$A$1,0,0,COUNTA([3]enemies!$A:$A),MATCH(M$1,[3]enemies!$1:$1,0)-MATCH($L$1,[3]enemies!$1:$1,0)+1),MATCH(M$1,[3]enemies!$1:$1,0)-MATCH($L$1,[3]enemies!$1:$1,0)+1,FALSE)</f>
        <v>雷のメタルダック</v>
      </c>
      <c r="N135" s="17" t="str">
        <f ca="1">VLOOKUP($L135,OFFSET([3]enemies!$A$1,0,0,COUNTA([3]enemies!$A:$A),MATCH(N$1,[3]enemies!$1:$1,0)-MATCH($L$1,[3]enemies!$1:$1,0)+1),MATCH(N$1,[3]enemies!$1:$1,0)-MATCH($L$1,[3]enemies!$1:$1,0)+1,FALSE)</f>
        <v>yellow</v>
      </c>
      <c r="O135" s="17" t="str">
        <f ca="1">VLOOKUP($L135,OFFSET([4]characters!$A$1,0,0,COUNTA([4]characters!$A:$A),MATCH(O$1,[4]characters!$1:$1,0)-MATCH($L$1,[4]characters!$1:$1,0)+1),MATCH(O$1,[4]characters!$1:$1,0)-MATCH($L$1,[4]characters!$1:$1,0)+1,FALSE)</f>
        <v>Material</v>
      </c>
      <c r="P135" s="17" t="str">
        <f ca="1">VLOOKUP($L135,OFFSET([3]enemies!$A$1,0,0,COUNTA([3]enemies!$A:$A),MATCH(P$1,[3]enemies!$1:$1,0)-MATCH($L$1,[3]enemies!$1:$1,0)+1),MATCH(P$1,[3]enemies!$1:$1,0)-MATCH($L$1,[3]enemies!$1:$1,0)+1,FALSE)</f>
        <v>unknown</v>
      </c>
      <c r="Q135" s="17">
        <f ca="1">VLOOKUP($L135,OFFSET([3]enemies!$A$1,0,0,COUNTA([3]enemies!$A:$A),MATCH(Q$1,[3]enemies!$1:$1,0)-MATCH($L$1,[3]enemies!$1:$1,0)+1),MATCH(Q$1,[3]enemies!$1:$1,0)-MATCH($L$1,[3]enemies!$1:$1,0)+1,FALSE)</f>
        <v>20</v>
      </c>
      <c r="R135" s="5">
        <v>2</v>
      </c>
      <c r="S135" s="25">
        <v>2</v>
      </c>
      <c r="T135" s="25">
        <v>99</v>
      </c>
      <c r="U135" s="5">
        <v>0</v>
      </c>
      <c r="V135" s="4" t="str">
        <f ca="1">VLOOKUP($W135,OFFSET([5]enemy_skill_sets!$B$1,0,0,COUNTA([5]enemy_skill_sets!$B:$B),MATCH(M$1,[5]enemy_skill_sets!$1:$1,0)-MATCH($W$1,[5]enemy_skill_sets!$1:$1,0)+2),MATCH(M$1,[5]enemy_skill_sets!$1:$1,0)-MATCH($W$1,[5]enemy_skill_sets!$1:$1,0)+2,FALSE)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5" s="4">
        <f ca="1">VLOOKUP($L135,OFFSET([3]enemies!$A$1,0,0,COUNTA([3]enemies!$A:$A),MATCH(W$1,[3]enemies!$1:$1,0)-MATCH($L$1,[3]enemies!$1:$1,0)+1),MATCH(W$1,[3]enemies!$1:$1,0)-MATCH($L$1,[3]enemies!$1:$1,0)+1,FALSE)</f>
        <v>0</v>
      </c>
      <c r="X135" s="6">
        <v>0</v>
      </c>
      <c r="Y135" s="6">
        <v>20</v>
      </c>
      <c r="Z135" s="6">
        <v>1</v>
      </c>
      <c r="AA135" s="17">
        <f ca="1">VLOOKUP($L135,OFFSET([3]enemies!$A$1,0,0,COUNTA([3]enemies!$A:$A),MATCH(AA$1,[3]enemies!$1:$1,0)-MATCH($L$1,[3]enemies!$1:$1,0)+1),MATCH(AA$1,[3]enemies!$1:$1,0)-MATCH($L$1,[3]enemies!$1:$1,0)+1,FALSE)</f>
        <v>3</v>
      </c>
      <c r="AB135" s="24">
        <f t="shared" si="23"/>
        <v>346</v>
      </c>
      <c r="AC135" s="4" t="str">
        <f ca="1">VLOOKUP($AB135,OFFSET([4]characters!$A$1,0,0,COUNTA([4]characters!$A:$A),MATCH(AC$1,[4]characters!$1:$1,0)-MATCH("character_id",[4]characters!$1:$1,0)+1),MATCH(AC$1,[4]characters!$1:$1,0)-MATCH("character_id",[4]characters!$1:$1,0)+1,FALSE)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135" s="4">
        <f ca="1">VLOOKUP($AB135,OFFSET([4]characters!$A$1,0,0,COUNTA([4]characters!$A:$A),MATCH(AD$1,[4]characters!$1:$1,0)-MATCH("character_id",[4]characters!$1:$1,0)+1),MATCH(AD$1,[4]characters!$1:$1,0)-MATCH("character_id",[4]characters!$1:$1,0)+1,FALSE)</f>
        <v>5</v>
      </c>
      <c r="AE135" s="4" t="str">
        <f ca="1">VLOOKUP($AB135,OFFSET([4]characters!$A$1,0,0,COUNTA([4]characters!$A:$A),MATCH(AE$1,[4]characters!$1:$1,0)-MATCH("character_id",[4]characters!$1:$1,0)+1),MATCH(AE$1,[4]characters!$1:$1,0)-MATCH("character_id",[4]characters!$1:$1,0)+1,FALSE)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5" s="7">
        <v>1</v>
      </c>
      <c r="AG135" s="24">
        <f t="shared" ca="1" si="24"/>
        <v>5</v>
      </c>
      <c r="AH135" s="8">
        <v>5</v>
      </c>
      <c r="AI135" s="7">
        <v>0</v>
      </c>
      <c r="AJ135" s="7">
        <v>0</v>
      </c>
      <c r="AK135" s="7">
        <v>0</v>
      </c>
      <c r="AL135" s="7">
        <v>0</v>
      </c>
      <c r="AM135" s="7">
        <v>1</v>
      </c>
      <c r="AN135" s="69">
        <v>1</v>
      </c>
    </row>
    <row r="136" spans="1:40" ht="21" customHeight="1" x14ac:dyDescent="0.15">
      <c r="A136" s="16" t="str">
        <f t="shared" ca="1" si="20"/>
        <v>11008_5-3/344&lt;lv2&gt;s1</v>
      </c>
      <c r="B136" s="22">
        <v>11008</v>
      </c>
      <c r="C136" s="21">
        <v>5</v>
      </c>
      <c r="D136" s="2" t="str">
        <f t="shared" si="21"/>
        <v>11008_5</v>
      </c>
      <c r="E136" s="4" t="str">
        <f ca="1">VLOOKUP($B136,OFFSET([2]quests!$A$1,0,0,COUNTA([2]quests!$A:$A),MATCH(E$1,[2]quests!$1:$1,0)-MATCH($B$1,[2]quests!$1:$1,0)+1),MATCH(E$1,[2]quests!$1:$1,0)-MATCH($B$1,[2]quests!$1:$1,0)+1,FALSE)</f>
        <v>【日曜限定】 青と黄の素材</v>
      </c>
      <c r="F136" s="4" t="str">
        <f ca="1">VLOOKUP($D136,OFFSET([2]stages!$A$1,0,0,COUNTA([2]stages!$A:$A),MATCH(F$1,[2]stages!$2:$2,0)-MATCH($D$1,[2]stages!$2:$2,0)+1),MATCH(F$1,[2]stages!$2:$2,0)-MATCH($D$1,[2]stages!$2:$2,0)+1,FALSE)</f>
        <v>【超絶級】ウミガメとネズミ</v>
      </c>
      <c r="G136" s="21">
        <v>3</v>
      </c>
      <c r="H136" s="15" t="str">
        <f t="shared" si="22"/>
        <v>11008_5-3</v>
      </c>
      <c r="I136" s="4">
        <f ca="1">VLOOKUP($H136,OFFSET(floors!$A$1,0,0,COUNTA(floors!$A:$A),MATCH(I$1,floors!$1:$1,0)-MATCH($H$1,floors!$1:$1,0)+1),MATCH(I$1,floors!$1:$1,0)-MATCH($H$1,floors!$1:$1,0)+1,FALSE)</f>
        <v>50</v>
      </c>
      <c r="J136" s="4">
        <f ca="1">VLOOKUP($H136,OFFSET(floors!$A$1,0,0,COUNTA(floors!$A:$A),MATCH(J$1,floors!$1:$1,0)-MATCH($H$1,floors!$1:$1,0)+1),MATCH(J$1,floors!$1:$1,0)-MATCH($H$1,floors!$1:$1,0)+1,FALSE)</f>
        <v>60</v>
      </c>
      <c r="K136" s="100" t="s">
        <v>209</v>
      </c>
      <c r="L136" s="107">
        <v>344</v>
      </c>
      <c r="M136" s="17" t="str">
        <f ca="1">VLOOKUP($L136,OFFSET([3]enemies!$A$1,0,0,COUNTA([3]enemies!$A:$A),MATCH(M$1,[3]enemies!$1:$1,0)-MATCH($L$1,[3]enemies!$1:$1,0)+1),MATCH(M$1,[3]enemies!$1:$1,0)-MATCH($L$1,[3]enemies!$1:$1,0)+1,FALSE)</f>
        <v>雷のメタルピヨピヨ</v>
      </c>
      <c r="N136" s="17" t="str">
        <f ca="1">VLOOKUP($L136,OFFSET([3]enemies!$A$1,0,0,COUNTA([3]enemies!$A:$A),MATCH(N$1,[3]enemies!$1:$1,0)-MATCH($L$1,[3]enemies!$1:$1,0)+1),MATCH(N$1,[3]enemies!$1:$1,0)-MATCH($L$1,[3]enemies!$1:$1,0)+1,FALSE)</f>
        <v>yellow</v>
      </c>
      <c r="O136" s="17" t="str">
        <f ca="1">VLOOKUP($L136,OFFSET([4]characters!$A$1,0,0,COUNTA([4]characters!$A:$A),MATCH(O$1,[4]characters!$1:$1,0)-MATCH($L$1,[4]characters!$1:$1,0)+1),MATCH(O$1,[4]characters!$1:$1,0)-MATCH($L$1,[4]characters!$1:$1,0)+1,FALSE)</f>
        <v>Material</v>
      </c>
      <c r="P136" s="17" t="str">
        <f ca="1">VLOOKUP($L136,OFFSET([3]enemies!$A$1,0,0,COUNTA([3]enemies!$A:$A),MATCH(P$1,[3]enemies!$1:$1,0)-MATCH($L$1,[3]enemies!$1:$1,0)+1),MATCH(P$1,[3]enemies!$1:$1,0)-MATCH($L$1,[3]enemies!$1:$1,0)+1,FALSE)</f>
        <v>unknown</v>
      </c>
      <c r="Q136" s="17">
        <f ca="1">VLOOKUP($L136,OFFSET([3]enemies!$A$1,0,0,COUNTA([3]enemies!$A:$A),MATCH(Q$1,[3]enemies!$1:$1,0)-MATCH($L$1,[3]enemies!$1:$1,0)+1),MATCH(Q$1,[3]enemies!$1:$1,0)-MATCH($L$1,[3]enemies!$1:$1,0)+1,FALSE)</f>
        <v>15</v>
      </c>
      <c r="R136" s="5">
        <v>2</v>
      </c>
      <c r="S136" s="25">
        <v>2</v>
      </c>
      <c r="T136" s="25">
        <v>99</v>
      </c>
      <c r="U136" s="5">
        <v>0</v>
      </c>
      <c r="V136" s="4" t="str">
        <f ca="1">VLOOKUP($W136,OFFSET([5]enemy_skill_sets!$B$1,0,0,COUNTA([5]enemy_skill_sets!$B:$B),MATCH(M$1,[5]enemy_skill_sets!$1:$1,0)-MATCH($W$1,[5]enemy_skill_sets!$1:$1,0)+2),MATCH(M$1,[5]enemy_skill_sets!$1:$1,0)-MATCH($W$1,[5]enemy_skill_sets!$1:$1,0)+2,FALSE)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6" s="4">
        <f ca="1">VLOOKUP($L136,OFFSET([3]enemies!$A$1,0,0,COUNTA([3]enemies!$A:$A),MATCH(W$1,[3]enemies!$1:$1,0)-MATCH($L$1,[3]enemies!$1:$1,0)+1),MATCH(W$1,[3]enemies!$1:$1,0)-MATCH($L$1,[3]enemies!$1:$1,0)+1,FALSE)</f>
        <v>0</v>
      </c>
      <c r="X136" s="6">
        <v>0</v>
      </c>
      <c r="Y136" s="6">
        <v>100</v>
      </c>
      <c r="Z136" s="6">
        <v>2</v>
      </c>
      <c r="AA136" s="17">
        <f ca="1">VLOOKUP($L136,OFFSET([3]enemies!$A$1,0,0,COUNTA([3]enemies!$A:$A),MATCH(AA$1,[3]enemies!$1:$1,0)-MATCH($L$1,[3]enemies!$1:$1,0)+1),MATCH(AA$1,[3]enemies!$1:$1,0)-MATCH($L$1,[3]enemies!$1:$1,0)+1,FALSE)</f>
        <v>1</v>
      </c>
      <c r="AB136" s="24">
        <f t="shared" si="23"/>
        <v>344</v>
      </c>
      <c r="AC136" s="4" t="str">
        <f ca="1">VLOOKUP($AB136,OFFSET([4]characters!$A$1,0,0,COUNTA([4]characters!$A:$A),MATCH(AC$1,[4]characters!$1:$1,0)-MATCH("character_id",[4]characters!$1:$1,0)+1),MATCH(AC$1,[4]characters!$1:$1,0)-MATCH("character_id",[4]characters!$1:$1,0)+1,FALSE)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136" s="4">
        <f ca="1">VLOOKUP($AB136,OFFSET([4]characters!$A$1,0,0,COUNTA([4]characters!$A:$A),MATCH(AD$1,[4]characters!$1:$1,0)-MATCH("character_id",[4]characters!$1:$1,0)+1),MATCH(AD$1,[4]characters!$1:$1,0)-MATCH("character_id",[4]characters!$1:$1,0)+1,FALSE)</f>
        <v>3</v>
      </c>
      <c r="AE136" s="4" t="str">
        <f ca="1">VLOOKUP($AB136,OFFSET([4]characters!$A$1,0,0,COUNTA([4]characters!$A:$A),MATCH(AE$1,[4]characters!$1:$1,0)-MATCH("character_id",[4]characters!$1:$1,0)+1),MATCH(AE$1,[4]characters!$1:$1,0)-MATCH("character_id",[4]characters!$1:$1,0)+1,FALSE)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6" s="7">
        <v>1</v>
      </c>
      <c r="AG136" s="24">
        <f t="shared" ca="1" si="24"/>
        <v>3</v>
      </c>
      <c r="AH136" s="8">
        <v>20</v>
      </c>
      <c r="AI136" s="7">
        <v>0</v>
      </c>
      <c r="AJ136" s="7">
        <v>0</v>
      </c>
      <c r="AK136" s="7">
        <v>0</v>
      </c>
      <c r="AL136" s="7">
        <v>0</v>
      </c>
      <c r="AM136" s="7">
        <v>1</v>
      </c>
      <c r="AN136" s="69">
        <v>1</v>
      </c>
    </row>
    <row r="137" spans="1:40" ht="21" customHeight="1" x14ac:dyDescent="0.15">
      <c r="A137" s="16" t="str">
        <f t="shared" ca="1" si="20"/>
        <v>11008_5-3/345&lt;lv2&gt;s2</v>
      </c>
      <c r="B137" s="22">
        <v>11008</v>
      </c>
      <c r="C137" s="21">
        <v>5</v>
      </c>
      <c r="D137" s="2" t="str">
        <f t="shared" si="21"/>
        <v>11008_5</v>
      </c>
      <c r="E137" s="4" t="str">
        <f ca="1">VLOOKUP($B137,OFFSET([2]quests!$A$1,0,0,COUNTA([2]quests!$A:$A),MATCH(E$1,[2]quests!$1:$1,0)-MATCH($B$1,[2]quests!$1:$1,0)+1),MATCH(E$1,[2]quests!$1:$1,0)-MATCH($B$1,[2]quests!$1:$1,0)+1,FALSE)</f>
        <v>【日曜限定】 青と黄の素材</v>
      </c>
      <c r="F137" s="4" t="str">
        <f ca="1">VLOOKUP($D137,OFFSET([2]stages!$A$1,0,0,COUNTA([2]stages!$A:$A),MATCH(F$1,[2]stages!$2:$2,0)-MATCH($D$1,[2]stages!$2:$2,0)+1),MATCH(F$1,[2]stages!$2:$2,0)-MATCH($D$1,[2]stages!$2:$2,0)+1,FALSE)</f>
        <v>【超絶級】ウミガメとネズミ</v>
      </c>
      <c r="G137" s="21">
        <v>3</v>
      </c>
      <c r="H137" s="15" t="str">
        <f t="shared" si="22"/>
        <v>11008_5-3</v>
      </c>
      <c r="I137" s="4">
        <f ca="1">VLOOKUP($H137,OFFSET(floors!$A$1,0,0,COUNTA(floors!$A:$A),MATCH(I$1,floors!$1:$1,0)-MATCH($H$1,floors!$1:$1,0)+1),MATCH(I$1,floors!$1:$1,0)-MATCH($H$1,floors!$1:$1,0)+1,FALSE)</f>
        <v>50</v>
      </c>
      <c r="J137" s="4">
        <f ca="1">VLOOKUP($H137,OFFSET(floors!$A$1,0,0,COUNTA(floors!$A:$A),MATCH(J$1,floors!$1:$1,0)-MATCH($H$1,floors!$1:$1,0)+1),MATCH(J$1,floors!$1:$1,0)-MATCH($H$1,floors!$1:$1,0)+1,FALSE)</f>
        <v>60</v>
      </c>
      <c r="K137" s="100" t="s">
        <v>209</v>
      </c>
      <c r="L137" s="107">
        <v>345</v>
      </c>
      <c r="M137" s="17" t="str">
        <f ca="1">VLOOKUP($L137,OFFSET([3]enemies!$A$1,0,0,COUNTA([3]enemies!$A:$A),MATCH(M$1,[3]enemies!$1:$1,0)-MATCH($L$1,[3]enemies!$1:$1,0)+1),MATCH(M$1,[3]enemies!$1:$1,0)-MATCH($L$1,[3]enemies!$1:$1,0)+1,FALSE)</f>
        <v>雷のメタルチック</v>
      </c>
      <c r="N137" s="17" t="str">
        <f ca="1">VLOOKUP($L137,OFFSET([3]enemies!$A$1,0,0,COUNTA([3]enemies!$A:$A),MATCH(N$1,[3]enemies!$1:$1,0)-MATCH($L$1,[3]enemies!$1:$1,0)+1),MATCH(N$1,[3]enemies!$1:$1,0)-MATCH($L$1,[3]enemies!$1:$1,0)+1,FALSE)</f>
        <v>yellow</v>
      </c>
      <c r="O137" s="17" t="str">
        <f ca="1">VLOOKUP($L137,OFFSET([4]characters!$A$1,0,0,COUNTA([4]characters!$A:$A),MATCH(O$1,[4]characters!$1:$1,0)-MATCH($L$1,[4]characters!$1:$1,0)+1),MATCH(O$1,[4]characters!$1:$1,0)-MATCH($L$1,[4]characters!$1:$1,0)+1,FALSE)</f>
        <v>Material</v>
      </c>
      <c r="P137" s="17" t="str">
        <f ca="1">VLOOKUP($L137,OFFSET([3]enemies!$A$1,0,0,COUNTA([3]enemies!$A:$A),MATCH(P$1,[3]enemies!$1:$1,0)-MATCH($L$1,[3]enemies!$1:$1,0)+1),MATCH(P$1,[3]enemies!$1:$1,0)-MATCH($L$1,[3]enemies!$1:$1,0)+1,FALSE)</f>
        <v>unknown</v>
      </c>
      <c r="Q137" s="17">
        <f ca="1">VLOOKUP($L137,OFFSET([3]enemies!$A$1,0,0,COUNTA([3]enemies!$A:$A),MATCH(Q$1,[3]enemies!$1:$1,0)-MATCH($L$1,[3]enemies!$1:$1,0)+1),MATCH(Q$1,[3]enemies!$1:$1,0)-MATCH($L$1,[3]enemies!$1:$1,0)+1,FALSE)</f>
        <v>15</v>
      </c>
      <c r="R137" s="5">
        <v>2</v>
      </c>
      <c r="S137" s="25">
        <v>2</v>
      </c>
      <c r="T137" s="25">
        <v>99</v>
      </c>
      <c r="U137" s="5">
        <v>0</v>
      </c>
      <c r="V137" s="4" t="str">
        <f ca="1">VLOOKUP($W137,OFFSET([5]enemy_skill_sets!$B$1,0,0,COUNTA([5]enemy_skill_sets!$B:$B),MATCH(M$1,[5]enemy_skill_sets!$1:$1,0)-MATCH($W$1,[5]enemy_skill_sets!$1:$1,0)+2),MATCH(M$1,[5]enemy_skill_sets!$1:$1,0)-MATCH($W$1,[5]enemy_skill_sets!$1:$1,0)+2,FALSE)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7" s="4">
        <f ca="1">VLOOKUP($L137,OFFSET([3]enemies!$A$1,0,0,COUNTA([3]enemies!$A:$A),MATCH(W$1,[3]enemies!$1:$1,0)-MATCH($L$1,[3]enemies!$1:$1,0)+1),MATCH(W$1,[3]enemies!$1:$1,0)-MATCH($L$1,[3]enemies!$1:$1,0)+1,FALSE)</f>
        <v>0</v>
      </c>
      <c r="X137" s="6">
        <v>0</v>
      </c>
      <c r="Y137" s="6">
        <v>100</v>
      </c>
      <c r="Z137" s="6">
        <v>2</v>
      </c>
      <c r="AA137" s="17">
        <f ca="1">VLOOKUP($L137,OFFSET([3]enemies!$A$1,0,0,COUNTA([3]enemies!$A:$A),MATCH(AA$1,[3]enemies!$1:$1,0)-MATCH($L$1,[3]enemies!$1:$1,0)+1),MATCH(AA$1,[3]enemies!$1:$1,0)-MATCH($L$1,[3]enemies!$1:$1,0)+1,FALSE)</f>
        <v>2</v>
      </c>
      <c r="AB137" s="24">
        <f t="shared" si="23"/>
        <v>345</v>
      </c>
      <c r="AC137" s="4" t="str">
        <f ca="1">VLOOKUP($AB137,OFFSET([4]characters!$A$1,0,0,COUNTA([4]characters!$A:$A),MATCH(AC$1,[4]characters!$1:$1,0)-MATCH("character_id",[4]characters!$1:$1,0)+1),MATCH(AC$1,[4]characters!$1:$1,0)-MATCH("character_id",[4]characters!$1:$1,0)+1,FALSE)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137" s="4">
        <f ca="1">VLOOKUP($AB137,OFFSET([4]characters!$A$1,0,0,COUNTA([4]characters!$A:$A),MATCH(AD$1,[4]characters!$1:$1,0)-MATCH("character_id",[4]characters!$1:$1,0)+1),MATCH(AD$1,[4]characters!$1:$1,0)-MATCH("character_id",[4]characters!$1:$1,0)+1,FALSE)</f>
        <v>4</v>
      </c>
      <c r="AE137" s="4" t="str">
        <f ca="1">VLOOKUP($AB137,OFFSET([4]characters!$A$1,0,0,COUNTA([4]characters!$A:$A),MATCH(AE$1,[4]characters!$1:$1,0)-MATCH("character_id",[4]characters!$1:$1,0)+1),MATCH(AE$1,[4]characters!$1:$1,0)-MATCH("character_id",[4]characters!$1:$1,0)+1,FALSE)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7" s="7">
        <v>1</v>
      </c>
      <c r="AG137" s="24">
        <f t="shared" ca="1" si="24"/>
        <v>4</v>
      </c>
      <c r="AH137" s="8">
        <v>10</v>
      </c>
      <c r="AI137" s="7">
        <v>0</v>
      </c>
      <c r="AJ137" s="7">
        <v>0</v>
      </c>
      <c r="AK137" s="7">
        <v>0</v>
      </c>
      <c r="AL137" s="7">
        <v>0</v>
      </c>
      <c r="AM137" s="7">
        <v>1</v>
      </c>
      <c r="AN137" s="69">
        <v>1</v>
      </c>
    </row>
    <row r="138" spans="1:40" ht="21" customHeight="1" x14ac:dyDescent="0.15">
      <c r="A138" s="16" t="str">
        <f t="shared" si="20"/>
        <v>11008_5-4/366&lt;lv52&gt;s2</v>
      </c>
      <c r="B138" s="22">
        <v>11008</v>
      </c>
      <c r="C138" s="21">
        <v>5</v>
      </c>
      <c r="D138" s="2" t="str">
        <f t="shared" si="21"/>
        <v>11008_5</v>
      </c>
      <c r="E138" s="4" t="str">
        <f ca="1">VLOOKUP($B138,OFFSET([2]quests!$A$1,0,0,COUNTA([2]quests!$A:$A),MATCH(E$1,[2]quests!$1:$1,0)-MATCH($B$1,[2]quests!$1:$1,0)+1),MATCH(E$1,[2]quests!$1:$1,0)-MATCH($B$1,[2]quests!$1:$1,0)+1,FALSE)</f>
        <v>【日曜限定】 青と黄の素材</v>
      </c>
      <c r="F138" s="4" t="str">
        <f ca="1">VLOOKUP($D138,OFFSET([2]stages!$A$1,0,0,COUNTA([2]stages!$A:$A),MATCH(F$1,[2]stages!$2:$2,0)-MATCH($D$1,[2]stages!$2:$2,0)+1),MATCH(F$1,[2]stages!$2:$2,0)-MATCH($D$1,[2]stages!$2:$2,0)+1,FALSE)</f>
        <v>【超絶級】ウミガメとネズミ</v>
      </c>
      <c r="G138" s="21">
        <v>4</v>
      </c>
      <c r="H138" s="15" t="str">
        <f t="shared" si="22"/>
        <v>11008_5-4</v>
      </c>
      <c r="I138" s="4">
        <f ca="1">VLOOKUP($H138,OFFSET(floors!$A$1,0,0,COUNTA(floors!$A:$A),MATCH(I$1,floors!$1:$1,0)-MATCH($H$1,floors!$1:$1,0)+1),MATCH(I$1,floors!$1:$1,0)-MATCH($H$1,floors!$1:$1,0)+1,FALSE)</f>
        <v>45</v>
      </c>
      <c r="J138" s="4">
        <f ca="1">VLOOKUP($H138,OFFSET(floors!$A$1,0,0,COUNTA(floors!$A:$A),MATCH(J$1,floors!$1:$1,0)-MATCH($H$1,floors!$1:$1,0)+1),MATCH(J$1,floors!$1:$1,0)-MATCH($H$1,floors!$1:$1,0)+1,FALSE)</f>
        <v>60</v>
      </c>
      <c r="K138" s="100" t="s">
        <v>209</v>
      </c>
      <c r="L138" s="107">
        <v>366</v>
      </c>
      <c r="M138" s="17" t="str">
        <f ca="1">VLOOKUP($L138,OFFSET([3]enemies!$A$1,0,0,COUNTA([3]enemies!$A:$A),MATCH(M$1,[3]enemies!$1:$1,0)-MATCH($L$1,[3]enemies!$1:$1,0)+1),MATCH(M$1,[3]enemies!$1:$1,0)-MATCH($L$1,[3]enemies!$1:$1,0)+1,FALSE)</f>
        <v>トト</v>
      </c>
      <c r="N138" s="17" t="str">
        <f ca="1">VLOOKUP($L138,OFFSET([3]enemies!$A$1,0,0,COUNTA([3]enemies!$A:$A),MATCH(N$1,[3]enemies!$1:$1,0)-MATCH($L$1,[3]enemies!$1:$1,0)+1),MATCH(N$1,[3]enemies!$1:$1,0)-MATCH($L$1,[3]enemies!$1:$1,0)+1,FALSE)</f>
        <v>yellow</v>
      </c>
      <c r="O138" s="17" t="str">
        <f ca="1">VLOOKUP($L138,OFFSET([4]characters!$A$1,0,0,COUNTA([4]characters!$A:$A),MATCH(O$1,[4]characters!$1:$1,0)-MATCH($L$1,[4]characters!$1:$1,0)+1),MATCH(O$1,[4]characters!$1:$1,0)-MATCH($L$1,[4]characters!$1:$1,0)+1,FALSE)</f>
        <v>Drop1S</v>
      </c>
      <c r="P138" s="17" t="str">
        <f ca="1">VLOOKUP($L138,OFFSET([3]enemies!$A$1,0,0,COUNTA([3]enemies!$A:$A),MATCH(P$1,[3]enemies!$1:$1,0)-MATCH($L$1,[3]enemies!$1:$1,0)+1),MATCH(P$1,[3]enemies!$1:$1,0)-MATCH($L$1,[3]enemies!$1:$1,0)+1,FALSE)</f>
        <v>animal</v>
      </c>
      <c r="Q138" s="17">
        <f ca="1">VLOOKUP($L138,OFFSET([3]enemies!$A$1,0,0,COUNTA([3]enemies!$A:$A),MATCH(Q$1,[3]enemies!$1:$1,0)-MATCH($L$1,[3]enemies!$1:$1,0)+1),MATCH(Q$1,[3]enemies!$1:$1,0)-MATCH($L$1,[3]enemies!$1:$1,0)+1,FALSE)</f>
        <v>15</v>
      </c>
      <c r="R138" s="5">
        <v>52</v>
      </c>
      <c r="S138" s="25">
        <v>1.8</v>
      </c>
      <c r="T138" s="25">
        <v>0.9</v>
      </c>
      <c r="U138" s="5">
        <v>0</v>
      </c>
      <c r="V138" s="4" t="str">
        <f ca="1">VLOOKUP($W138,OFFSET(enemy_skill_sets!$B$1,0,0,COUNTA(enemy_skill_sets!$B:$B),MATCH(M$1,enemy_skill_sets!$1:$1,0)-MATCH($W$1,enemy_skill_sets!$1:$1,0)+2),MATCH(M$1,enemy_skill_sets!$1:$1,0)-MATCH($W$1,enemy_skill_sets!$1:$1,0)+2,FALSE)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138" s="110">
        <v>1122213</v>
      </c>
      <c r="X138" s="6">
        <v>0</v>
      </c>
      <c r="Y138" s="6">
        <v>50</v>
      </c>
      <c r="Z138" s="6">
        <v>1</v>
      </c>
      <c r="AA138" s="17">
        <v>2</v>
      </c>
      <c r="AB138" s="24">
        <f t="shared" si="23"/>
        <v>366</v>
      </c>
      <c r="AC138" s="4" t="str">
        <f ca="1">VLOOKUP($AB138,OFFSET([4]characters!$A$1,0,0,COUNTA([4]characters!$A:$A),MATCH(AC$1,[4]characters!$1:$1,0)-MATCH("character_id",[4]characters!$1:$1,0)+1),MATCH(AC$1,[4]characters!$1:$1,0)-MATCH("character_id",[4]characters!$1:$1,0)+1,FALSE)</f>
        <v>トト</v>
      </c>
      <c r="AD138" s="4">
        <f ca="1">VLOOKUP($AB138,OFFSET([4]characters!$A$1,0,0,COUNTA([4]characters!$A:$A),MATCH(AD$1,[4]characters!$1:$1,0)-MATCH("character_id",[4]characters!$1:$1,0)+1),MATCH(AD$1,[4]characters!$1:$1,0)-MATCH("character_id",[4]characters!$1:$1,0)+1,FALSE)</f>
        <v>2</v>
      </c>
      <c r="AE138" s="4" t="str">
        <f ca="1">VLOOKUP($AB138,OFFSET([4]characters!$A$1,0,0,COUNTA([4]characters!$A:$A),MATCH(AE$1,[4]characters!$1:$1,0)-MATCH("character_id",[4]characters!$1:$1,0)+1),MATCH(AE$1,[4]characters!$1:$1,0)-MATCH("character_id",[4]characters!$1:$1,0)+1,FALSE)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8" s="7">
        <v>1</v>
      </c>
      <c r="AG138" s="24">
        <f t="shared" ca="1" si="24"/>
        <v>2</v>
      </c>
      <c r="AH138" s="8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1</v>
      </c>
      <c r="AN138" s="69">
        <v>1</v>
      </c>
    </row>
    <row r="139" spans="1:40" ht="21" customHeight="1" x14ac:dyDescent="0.15">
      <c r="A139" s="16" t="str">
        <f t="shared" si="20"/>
        <v>11008_5-4/412&lt;lv52&gt;s1</v>
      </c>
      <c r="B139" s="22">
        <v>11008</v>
      </c>
      <c r="C139" s="21">
        <v>5</v>
      </c>
      <c r="D139" s="2" t="str">
        <f t="shared" si="21"/>
        <v>11008_5</v>
      </c>
      <c r="E139" s="4" t="str">
        <f ca="1">VLOOKUP($B139,OFFSET([2]quests!$A$1,0,0,COUNTA([2]quests!$A:$A),MATCH(E$1,[2]quests!$1:$1,0)-MATCH($B$1,[2]quests!$1:$1,0)+1),MATCH(E$1,[2]quests!$1:$1,0)-MATCH($B$1,[2]quests!$1:$1,0)+1,FALSE)</f>
        <v>【日曜限定】 青と黄の素材</v>
      </c>
      <c r="F139" s="4" t="str">
        <f ca="1">VLOOKUP($D139,OFFSET([2]stages!$A$1,0,0,COUNTA([2]stages!$A:$A),MATCH(F$1,[2]stages!$2:$2,0)-MATCH($D$1,[2]stages!$2:$2,0)+1),MATCH(F$1,[2]stages!$2:$2,0)-MATCH($D$1,[2]stages!$2:$2,0)+1,FALSE)</f>
        <v>【超絶級】ウミガメとネズミ</v>
      </c>
      <c r="G139" s="21">
        <v>4</v>
      </c>
      <c r="H139" s="15" t="str">
        <f t="shared" si="22"/>
        <v>11008_5-4</v>
      </c>
      <c r="I139" s="4">
        <f ca="1">VLOOKUP($H139,OFFSET(floors!$A$1,0,0,COUNTA(floors!$A:$A),MATCH(I$1,floors!$1:$1,0)-MATCH($H$1,floors!$1:$1,0)+1),MATCH(I$1,floors!$1:$1,0)-MATCH($H$1,floors!$1:$1,0)+1,FALSE)</f>
        <v>45</v>
      </c>
      <c r="J139" s="4">
        <f ca="1">VLOOKUP($H139,OFFSET(floors!$A$1,0,0,COUNTA(floors!$A:$A),MATCH(J$1,floors!$1:$1,0)-MATCH($H$1,floors!$1:$1,0)+1),MATCH(J$1,floors!$1:$1,0)-MATCH($H$1,floors!$1:$1,0)+1,FALSE)</f>
        <v>60</v>
      </c>
      <c r="K139" s="100" t="s">
        <v>209</v>
      </c>
      <c r="L139" s="107">
        <v>412</v>
      </c>
      <c r="M139" s="17" t="str">
        <f ca="1">VLOOKUP($L139,OFFSET([3]enemies!$A$1,0,0,COUNTA([3]enemies!$A:$A),MATCH(M$1,[3]enemies!$1:$1,0)-MATCH($L$1,[3]enemies!$1:$1,0)+1),MATCH(M$1,[3]enemies!$1:$1,0)-MATCH($L$1,[3]enemies!$1:$1,0)+1,FALSE)</f>
        <v>コウネン</v>
      </c>
      <c r="N139" s="17" t="str">
        <f ca="1">VLOOKUP($L139,OFFSET([3]enemies!$A$1,0,0,COUNTA([3]enemies!$A:$A),MATCH(N$1,[3]enemies!$1:$1,0)-MATCH($L$1,[3]enemies!$1:$1,0)+1),MATCH(N$1,[3]enemies!$1:$1,0)-MATCH($L$1,[3]enemies!$1:$1,0)+1,FALSE)</f>
        <v>yellow</v>
      </c>
      <c r="O139" s="17" t="str">
        <f ca="1">VLOOKUP($L139,OFFSET([4]characters!$A$1,0,0,COUNTA([4]characters!$A:$A),MATCH(O$1,[4]characters!$1:$1,0)-MATCH($L$1,[4]characters!$1:$1,0)+1),MATCH(O$1,[4]characters!$1:$1,0)-MATCH($L$1,[4]characters!$1:$1,0)+1,FALSE)</f>
        <v>Drop1S</v>
      </c>
      <c r="P139" s="17" t="str">
        <f ca="1">VLOOKUP($L139,OFFSET([3]enemies!$A$1,0,0,COUNTA([3]enemies!$A:$A),MATCH(P$1,[3]enemies!$1:$1,0)-MATCH($L$1,[3]enemies!$1:$1,0)+1),MATCH(P$1,[3]enemies!$1:$1,0)-MATCH($L$1,[3]enemies!$1:$1,0)+1,FALSE)</f>
        <v>unknown</v>
      </c>
      <c r="Q139" s="17">
        <f ca="1">VLOOKUP($L139,OFFSET([3]enemies!$A$1,0,0,COUNTA([3]enemies!$A:$A),MATCH(Q$1,[3]enemies!$1:$1,0)-MATCH($L$1,[3]enemies!$1:$1,0)+1),MATCH(Q$1,[3]enemies!$1:$1,0)-MATCH($L$1,[3]enemies!$1:$1,0)+1,FALSE)</f>
        <v>15</v>
      </c>
      <c r="R139" s="5">
        <v>52</v>
      </c>
      <c r="S139" s="25">
        <v>1.2</v>
      </c>
      <c r="T139" s="25">
        <v>1.2</v>
      </c>
      <c r="U139" s="5">
        <v>0</v>
      </c>
      <c r="V139" s="4" t="str">
        <f ca="1">VLOOKUP($W139,OFFSET(enemy_skill_sets!$B$1,0,0,COUNTA(enemy_skill_sets!$B:$B),MATCH(M$1,enemy_skill_sets!$1:$1,0)-MATCH($W$1,enemy_skill_sets!$1:$1,0)+2),MATCH(M$1,enemy_skill_sets!$1:$1,0)-MATCH($W$1,enemy_skill_sets!$1:$1,0)+2,FALSE)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39" s="109">
        <v>1122207</v>
      </c>
      <c r="X139" s="6">
        <v>0</v>
      </c>
      <c r="Y139" s="6">
        <v>50</v>
      </c>
      <c r="Z139" s="6">
        <v>2</v>
      </c>
      <c r="AA139" s="17">
        <v>1</v>
      </c>
      <c r="AB139" s="24">
        <f t="shared" si="23"/>
        <v>412</v>
      </c>
      <c r="AC139" s="4" t="str">
        <f ca="1">VLOOKUP($AB139,OFFSET([4]characters!$A$1,0,0,COUNTA([4]characters!$A:$A),MATCH(AC$1,[4]characters!$1:$1,0)-MATCH("character_id",[4]characters!$1:$1,0)+1),MATCH(AC$1,[4]characters!$1:$1,0)-MATCH("character_id",[4]characters!$1:$1,0)+1,FALSE)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139" s="4">
        <f ca="1">VLOOKUP($AB139,OFFSET([4]characters!$A$1,0,0,COUNTA([4]characters!$A:$A),MATCH(AD$1,[4]characters!$1:$1,0)-MATCH("character_id",[4]characters!$1:$1,0)+1),MATCH(AD$1,[4]characters!$1:$1,0)-MATCH("character_id",[4]characters!$1:$1,0)+1,FALSE)</f>
        <v>2</v>
      </c>
      <c r="AE139" s="4" t="str">
        <f ca="1">VLOOKUP($AB139,OFFSET([4]characters!$A$1,0,0,COUNTA([4]characters!$A:$A),MATCH(AE$1,[4]characters!$1:$1,0)-MATCH("character_id",[4]characters!$1:$1,0)+1),MATCH(AE$1,[4]characters!$1:$1,0)-MATCH("character_id",[4]characters!$1:$1,0)+1,FALSE)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9" s="7">
        <v>1</v>
      </c>
      <c r="AG139" s="24">
        <f t="shared" ca="1" si="24"/>
        <v>2</v>
      </c>
      <c r="AH139" s="8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1</v>
      </c>
      <c r="AN139" s="69">
        <v>1</v>
      </c>
    </row>
    <row r="140" spans="1:40" ht="21" customHeight="1" x14ac:dyDescent="0.15">
      <c r="A140" s="16" t="str">
        <f t="shared" si="20"/>
        <v>11008_5-5/366&lt;lv52&gt;s2</v>
      </c>
      <c r="B140" s="22">
        <v>11008</v>
      </c>
      <c r="C140" s="21">
        <v>5</v>
      </c>
      <c r="D140" s="2" t="str">
        <f t="shared" si="21"/>
        <v>11008_5</v>
      </c>
      <c r="E140" s="4" t="str">
        <f ca="1">VLOOKUP($B140,OFFSET([2]quests!$A$1,0,0,COUNTA([2]quests!$A:$A),MATCH(E$1,[2]quests!$1:$1,0)-MATCH($B$1,[2]quests!$1:$1,0)+1),MATCH(E$1,[2]quests!$1:$1,0)-MATCH($B$1,[2]quests!$1:$1,0)+1,FALSE)</f>
        <v>【日曜限定】 青と黄の素材</v>
      </c>
      <c r="F140" s="4" t="str">
        <f ca="1">VLOOKUP($D140,OFFSET([2]stages!$A$1,0,0,COUNTA([2]stages!$A:$A),MATCH(F$1,[2]stages!$2:$2,0)-MATCH($D$1,[2]stages!$2:$2,0)+1),MATCH(F$1,[2]stages!$2:$2,0)-MATCH($D$1,[2]stages!$2:$2,0)+1,FALSE)</f>
        <v>【超絶級】ウミガメとネズミ</v>
      </c>
      <c r="G140" s="21">
        <v>5</v>
      </c>
      <c r="H140" s="15" t="str">
        <f t="shared" si="22"/>
        <v>11008_5-5</v>
      </c>
      <c r="I140" s="4">
        <f ca="1">VLOOKUP($H140,OFFSET(floors!$A$1,0,0,COUNTA(floors!$A:$A),MATCH(I$1,floors!$1:$1,0)-MATCH($H$1,floors!$1:$1,0)+1),MATCH(I$1,floors!$1:$1,0)-MATCH($H$1,floors!$1:$1,0)+1,FALSE)</f>
        <v>60</v>
      </c>
      <c r="J140" s="4">
        <f ca="1">VLOOKUP($H140,OFFSET(floors!$A$1,0,0,COUNTA(floors!$A:$A),MATCH(J$1,floors!$1:$1,0)-MATCH($H$1,floors!$1:$1,0)+1),MATCH(J$1,floors!$1:$1,0)-MATCH($H$1,floors!$1:$1,0)+1,FALSE)</f>
        <v>60</v>
      </c>
      <c r="K140" s="100" t="s">
        <v>209</v>
      </c>
      <c r="L140" s="107">
        <v>366</v>
      </c>
      <c r="M140" s="17" t="str">
        <f ca="1">VLOOKUP($L140,OFFSET([3]enemies!$A$1,0,0,COUNTA([3]enemies!$A:$A),MATCH(M$1,[3]enemies!$1:$1,0)-MATCH($L$1,[3]enemies!$1:$1,0)+1),MATCH(M$1,[3]enemies!$1:$1,0)-MATCH($L$1,[3]enemies!$1:$1,0)+1,FALSE)</f>
        <v>トト</v>
      </c>
      <c r="N140" s="17" t="str">
        <f ca="1">VLOOKUP($L140,OFFSET([3]enemies!$A$1,0,0,COUNTA([3]enemies!$A:$A),MATCH(N$1,[3]enemies!$1:$1,0)-MATCH($L$1,[3]enemies!$1:$1,0)+1),MATCH(N$1,[3]enemies!$1:$1,0)-MATCH($L$1,[3]enemies!$1:$1,0)+1,FALSE)</f>
        <v>yellow</v>
      </c>
      <c r="O140" s="17" t="str">
        <f ca="1">VLOOKUP($L140,OFFSET([4]characters!$A$1,0,0,COUNTA([4]characters!$A:$A),MATCH(O$1,[4]characters!$1:$1,0)-MATCH($L$1,[4]characters!$1:$1,0)+1),MATCH(O$1,[4]characters!$1:$1,0)-MATCH($L$1,[4]characters!$1:$1,0)+1,FALSE)</f>
        <v>Drop1S</v>
      </c>
      <c r="P140" s="17" t="str">
        <f ca="1">VLOOKUP($L140,OFFSET([3]enemies!$A$1,0,0,COUNTA([3]enemies!$A:$A),MATCH(P$1,[3]enemies!$1:$1,0)-MATCH($L$1,[3]enemies!$1:$1,0)+1),MATCH(P$1,[3]enemies!$1:$1,0)-MATCH($L$1,[3]enemies!$1:$1,0)+1,FALSE)</f>
        <v>animal</v>
      </c>
      <c r="Q140" s="17">
        <f ca="1">VLOOKUP($L140,OFFSET([3]enemies!$A$1,0,0,COUNTA([3]enemies!$A:$A),MATCH(Q$1,[3]enemies!$1:$1,0)-MATCH($L$1,[3]enemies!$1:$1,0)+1),MATCH(Q$1,[3]enemies!$1:$1,0)-MATCH($L$1,[3]enemies!$1:$1,0)+1,FALSE)</f>
        <v>15</v>
      </c>
      <c r="R140" s="5">
        <v>52</v>
      </c>
      <c r="S140" s="25">
        <v>1.8</v>
      </c>
      <c r="T140" s="25">
        <v>0.9</v>
      </c>
      <c r="U140" s="5">
        <v>0</v>
      </c>
      <c r="V140" s="4" t="str">
        <f ca="1">VLOOKUP($W140,OFFSET(enemy_skill_sets!$B$1,0,0,COUNTA(enemy_skill_sets!$B:$B),MATCH(M$1,enemy_skill_sets!$1:$1,0)-MATCH($W$1,enemy_skill_sets!$1:$1,0)+2),MATCH(M$1,enemy_skill_sets!$1:$1,0)-MATCH($W$1,enemy_skill_sets!$1:$1,0)+2,FALSE)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140" s="110">
        <v>1122213</v>
      </c>
      <c r="X140" s="6">
        <v>0</v>
      </c>
      <c r="Y140" s="6">
        <v>50</v>
      </c>
      <c r="Z140" s="6">
        <v>1</v>
      </c>
      <c r="AA140" s="17">
        <v>2</v>
      </c>
      <c r="AB140" s="24">
        <f t="shared" si="23"/>
        <v>366</v>
      </c>
      <c r="AC140" s="4" t="str">
        <f ca="1">VLOOKUP($AB140,OFFSET([4]characters!$A$1,0,0,COUNTA([4]characters!$A:$A),MATCH(AC$1,[4]characters!$1:$1,0)-MATCH("character_id",[4]characters!$1:$1,0)+1),MATCH(AC$1,[4]characters!$1:$1,0)-MATCH("character_id",[4]characters!$1:$1,0)+1,FALSE)</f>
        <v>トト</v>
      </c>
      <c r="AD140" s="4">
        <f ca="1">VLOOKUP($AB140,OFFSET([4]characters!$A$1,0,0,COUNTA([4]characters!$A:$A),MATCH(AD$1,[4]characters!$1:$1,0)-MATCH("character_id",[4]characters!$1:$1,0)+1),MATCH(AD$1,[4]characters!$1:$1,0)-MATCH("character_id",[4]characters!$1:$1,0)+1,FALSE)</f>
        <v>2</v>
      </c>
      <c r="AE140" s="4" t="str">
        <f ca="1">VLOOKUP($AB140,OFFSET([4]characters!$A$1,0,0,COUNTA([4]characters!$A:$A),MATCH(AE$1,[4]characters!$1:$1,0)-MATCH("character_id",[4]characters!$1:$1,0)+1),MATCH(AE$1,[4]characters!$1:$1,0)-MATCH("character_id",[4]characters!$1:$1,0)+1,FALSE)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0" s="7">
        <v>1</v>
      </c>
      <c r="AG140" s="24">
        <f t="shared" ca="1" si="24"/>
        <v>2</v>
      </c>
      <c r="AH140" s="8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1</v>
      </c>
      <c r="AN140" s="69">
        <v>1</v>
      </c>
    </row>
    <row r="141" spans="1:40" ht="21" customHeight="1" x14ac:dyDescent="0.15">
      <c r="A141" s="16" t="str">
        <f t="shared" si="20"/>
        <v>11008_5-5/412&lt;lv52&gt;s1</v>
      </c>
      <c r="B141" s="22">
        <v>11008</v>
      </c>
      <c r="C141" s="21">
        <v>5</v>
      </c>
      <c r="D141" s="2" t="str">
        <f t="shared" si="21"/>
        <v>11008_5</v>
      </c>
      <c r="E141" s="4" t="str">
        <f ca="1">VLOOKUP($B141,OFFSET([2]quests!$A$1,0,0,COUNTA([2]quests!$A:$A),MATCH(E$1,[2]quests!$1:$1,0)-MATCH($B$1,[2]quests!$1:$1,0)+1),MATCH(E$1,[2]quests!$1:$1,0)-MATCH($B$1,[2]quests!$1:$1,0)+1,FALSE)</f>
        <v>【日曜限定】 青と黄の素材</v>
      </c>
      <c r="F141" s="4" t="str">
        <f ca="1">VLOOKUP($D141,OFFSET([2]stages!$A$1,0,0,COUNTA([2]stages!$A:$A),MATCH(F$1,[2]stages!$2:$2,0)-MATCH($D$1,[2]stages!$2:$2,0)+1),MATCH(F$1,[2]stages!$2:$2,0)-MATCH($D$1,[2]stages!$2:$2,0)+1,FALSE)</f>
        <v>【超絶級】ウミガメとネズミ</v>
      </c>
      <c r="G141" s="21">
        <v>5</v>
      </c>
      <c r="H141" s="15" t="str">
        <f t="shared" si="22"/>
        <v>11008_5-5</v>
      </c>
      <c r="I141" s="4">
        <f ca="1">VLOOKUP($H141,OFFSET(floors!$A$1,0,0,COUNTA(floors!$A:$A),MATCH(I$1,floors!$1:$1,0)-MATCH($H$1,floors!$1:$1,0)+1),MATCH(I$1,floors!$1:$1,0)-MATCH($H$1,floors!$1:$1,0)+1,FALSE)</f>
        <v>60</v>
      </c>
      <c r="J141" s="4">
        <f ca="1">VLOOKUP($H141,OFFSET(floors!$A$1,0,0,COUNTA(floors!$A:$A),MATCH(J$1,floors!$1:$1,0)-MATCH($H$1,floors!$1:$1,0)+1),MATCH(J$1,floors!$1:$1,0)-MATCH($H$1,floors!$1:$1,0)+1,FALSE)</f>
        <v>60</v>
      </c>
      <c r="K141" s="100" t="s">
        <v>209</v>
      </c>
      <c r="L141" s="107">
        <v>412</v>
      </c>
      <c r="M141" s="17" t="str">
        <f ca="1">VLOOKUP($L141,OFFSET([3]enemies!$A$1,0,0,COUNTA([3]enemies!$A:$A),MATCH(M$1,[3]enemies!$1:$1,0)-MATCH($L$1,[3]enemies!$1:$1,0)+1),MATCH(M$1,[3]enemies!$1:$1,0)-MATCH($L$1,[3]enemies!$1:$1,0)+1,FALSE)</f>
        <v>コウネン</v>
      </c>
      <c r="N141" s="17" t="str">
        <f ca="1">VLOOKUP($L141,OFFSET([3]enemies!$A$1,0,0,COUNTA([3]enemies!$A:$A),MATCH(N$1,[3]enemies!$1:$1,0)-MATCH($L$1,[3]enemies!$1:$1,0)+1),MATCH(N$1,[3]enemies!$1:$1,0)-MATCH($L$1,[3]enemies!$1:$1,0)+1,FALSE)</f>
        <v>yellow</v>
      </c>
      <c r="O141" s="17" t="str">
        <f ca="1">VLOOKUP($L141,OFFSET([4]characters!$A$1,0,0,COUNTA([4]characters!$A:$A),MATCH(O$1,[4]characters!$1:$1,0)-MATCH($L$1,[4]characters!$1:$1,0)+1),MATCH(O$1,[4]characters!$1:$1,0)-MATCH($L$1,[4]characters!$1:$1,0)+1,FALSE)</f>
        <v>Drop1S</v>
      </c>
      <c r="P141" s="17" t="str">
        <f ca="1">VLOOKUP($L141,OFFSET([3]enemies!$A$1,0,0,COUNTA([3]enemies!$A:$A),MATCH(P$1,[3]enemies!$1:$1,0)-MATCH($L$1,[3]enemies!$1:$1,0)+1),MATCH(P$1,[3]enemies!$1:$1,0)-MATCH($L$1,[3]enemies!$1:$1,0)+1,FALSE)</f>
        <v>unknown</v>
      </c>
      <c r="Q141" s="17">
        <f ca="1">VLOOKUP($L141,OFFSET([3]enemies!$A$1,0,0,COUNTA([3]enemies!$A:$A),MATCH(Q$1,[3]enemies!$1:$1,0)-MATCH($L$1,[3]enemies!$1:$1,0)+1),MATCH(Q$1,[3]enemies!$1:$1,0)-MATCH($L$1,[3]enemies!$1:$1,0)+1,FALSE)</f>
        <v>15</v>
      </c>
      <c r="R141" s="5">
        <v>52</v>
      </c>
      <c r="S141" s="25">
        <v>1.2</v>
      </c>
      <c r="T141" s="25">
        <v>1.2</v>
      </c>
      <c r="U141" s="5">
        <v>0</v>
      </c>
      <c r="V141" s="4" t="str">
        <f ca="1">VLOOKUP($W141,OFFSET(enemy_skill_sets!$B$1,0,0,COUNTA(enemy_skill_sets!$B:$B),MATCH(M$1,enemy_skill_sets!$1:$1,0)-MATCH($W$1,enemy_skill_sets!$1:$1,0)+2),MATCH(M$1,enemy_skill_sets!$1:$1,0)-MATCH($W$1,enemy_skill_sets!$1:$1,0)+2,FALSE)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41" s="109">
        <v>1122207</v>
      </c>
      <c r="X141" s="6">
        <v>0</v>
      </c>
      <c r="Y141" s="6">
        <v>50</v>
      </c>
      <c r="Z141" s="6">
        <v>2</v>
      </c>
      <c r="AA141" s="17">
        <v>1</v>
      </c>
      <c r="AB141" s="24">
        <f t="shared" si="23"/>
        <v>412</v>
      </c>
      <c r="AC141" s="4" t="str">
        <f ca="1">VLOOKUP($AB141,OFFSET([4]characters!$A$1,0,0,COUNTA([4]characters!$A:$A),MATCH(AC$1,[4]characters!$1:$1,0)-MATCH("character_id",[4]characters!$1:$1,0)+1),MATCH(AC$1,[4]characters!$1:$1,0)-MATCH("character_id",[4]characters!$1:$1,0)+1,FALSE)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141" s="4">
        <f ca="1">VLOOKUP($AB141,OFFSET([4]characters!$A$1,0,0,COUNTA([4]characters!$A:$A),MATCH(AD$1,[4]characters!$1:$1,0)-MATCH("character_id",[4]characters!$1:$1,0)+1),MATCH(AD$1,[4]characters!$1:$1,0)-MATCH("character_id",[4]characters!$1:$1,0)+1,FALSE)</f>
        <v>2</v>
      </c>
      <c r="AE141" s="4" t="str">
        <f ca="1">VLOOKUP($AB141,OFFSET([4]characters!$A$1,0,0,COUNTA([4]characters!$A:$A),MATCH(AE$1,[4]characters!$1:$1,0)-MATCH("character_id",[4]characters!$1:$1,0)+1),MATCH(AE$1,[4]characters!$1:$1,0)-MATCH("character_id",[4]characters!$1:$1,0)+1,FALSE)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1" s="7">
        <v>1</v>
      </c>
      <c r="AG141" s="24">
        <f t="shared" ca="1" si="24"/>
        <v>2</v>
      </c>
      <c r="AH141" s="8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1</v>
      </c>
      <c r="AN141" s="69">
        <v>1</v>
      </c>
    </row>
    <row r="142" spans="1:40" ht="21" customHeight="1" x14ac:dyDescent="0.15">
      <c r="A142" s="16" t="str">
        <f t="shared" si="20"/>
        <v>11008_5-6/359&lt;lv50&gt;s2</v>
      </c>
      <c r="B142" s="22">
        <v>11008</v>
      </c>
      <c r="C142" s="21">
        <v>5</v>
      </c>
      <c r="D142" s="2" t="str">
        <f t="shared" si="21"/>
        <v>11008_5</v>
      </c>
      <c r="E142" s="4" t="str">
        <f ca="1">VLOOKUP($B142,OFFSET([2]quests!$A$1,0,0,COUNTA([2]quests!$A:$A),MATCH(E$1,[2]quests!$1:$1,0)-MATCH($B$1,[2]quests!$1:$1,0)+1),MATCH(E$1,[2]quests!$1:$1,0)-MATCH($B$1,[2]quests!$1:$1,0)+1,FALSE)</f>
        <v>【日曜限定】 青と黄の素材</v>
      </c>
      <c r="F142" s="4" t="str">
        <f ca="1">VLOOKUP($D142,OFFSET([2]stages!$A$1,0,0,COUNTA([2]stages!$A:$A),MATCH(F$1,[2]stages!$2:$2,0)-MATCH($D$1,[2]stages!$2:$2,0)+1),MATCH(F$1,[2]stages!$2:$2,0)-MATCH($D$1,[2]stages!$2:$2,0)+1,FALSE)</f>
        <v>【超絶級】ウミガメとネズミ</v>
      </c>
      <c r="G142" s="21">
        <v>6</v>
      </c>
      <c r="H142" s="15" t="str">
        <f t="shared" si="22"/>
        <v>11008_5-6</v>
      </c>
      <c r="I142" s="4">
        <f ca="1">VLOOKUP($H142,OFFSET(floors!$A$1,0,0,COUNTA(floors!$A:$A),MATCH(I$1,floors!$1:$1,0)-MATCH($H$1,floors!$1:$1,0)+1),MATCH(I$1,floors!$1:$1,0)-MATCH($H$1,floors!$1:$1,0)+1,FALSE)</f>
        <v>60</v>
      </c>
      <c r="J142" s="4">
        <f ca="1">VLOOKUP($H142,OFFSET(floors!$A$1,0,0,COUNTA(floors!$A:$A),MATCH(J$1,floors!$1:$1,0)-MATCH($H$1,floors!$1:$1,0)+1),MATCH(J$1,floors!$1:$1,0)-MATCH($H$1,floors!$1:$1,0)+1,FALSE)</f>
        <v>60</v>
      </c>
      <c r="K142" s="100" t="s">
        <v>209</v>
      </c>
      <c r="L142" s="107">
        <v>359</v>
      </c>
      <c r="M142" s="17" t="str">
        <f ca="1">VLOOKUP($L142,OFFSET([3]enemies!$A$1,0,0,COUNTA([3]enemies!$A:$A),MATCH(M$1,[3]enemies!$1:$1,0)-MATCH($L$1,[3]enemies!$1:$1,0)+1),MATCH(M$1,[3]enemies!$1:$1,0)-MATCH($L$1,[3]enemies!$1:$1,0)+1,FALSE)</f>
        <v>醒電の眠りネズミ</v>
      </c>
      <c r="N142" s="17" t="str">
        <f ca="1">VLOOKUP($L142,OFFSET([3]enemies!$A$1,0,0,COUNTA([3]enemies!$A:$A),MATCH(N$1,[3]enemies!$1:$1,0)-MATCH($L$1,[3]enemies!$1:$1,0)+1),MATCH(N$1,[3]enemies!$1:$1,0)-MATCH($L$1,[3]enemies!$1:$1,0)+1,FALSE)</f>
        <v>yellow</v>
      </c>
      <c r="O142" s="17" t="str">
        <f ca="1">VLOOKUP($L142,OFFSET([4]characters!$A$1,0,0,COUNTA([4]characters!$A:$A),MATCH(O$1,[4]characters!$1:$1,0)-MATCH($L$1,[4]characters!$1:$1,0)+1),MATCH(O$1,[4]characters!$1:$1,0)-MATCH($L$1,[4]characters!$1:$1,0)+1,FALSE)</f>
        <v>Material</v>
      </c>
      <c r="P142" s="17" t="str">
        <f ca="1">VLOOKUP($L142,OFFSET([3]enemies!$A$1,0,0,COUNTA([3]enemies!$A:$A),MATCH(P$1,[3]enemies!$1:$1,0)-MATCH($L$1,[3]enemies!$1:$1,0)+1),MATCH(P$1,[3]enemies!$1:$1,0)-MATCH($L$1,[3]enemies!$1:$1,0)+1,FALSE)</f>
        <v>unknown</v>
      </c>
      <c r="Q142" s="17">
        <f ca="1">VLOOKUP($L142,OFFSET([3]enemies!$A$1,0,0,COUNTA([3]enemies!$A:$A),MATCH(Q$1,[3]enemies!$1:$1,0)-MATCH($L$1,[3]enemies!$1:$1,0)+1),MATCH(Q$1,[3]enemies!$1:$1,0)-MATCH($L$1,[3]enemies!$1:$1,0)+1,FALSE)</f>
        <v>20</v>
      </c>
      <c r="R142" s="5">
        <v>50</v>
      </c>
      <c r="S142" s="25">
        <v>99</v>
      </c>
      <c r="T142" s="25">
        <v>46</v>
      </c>
      <c r="U142" s="5">
        <v>0</v>
      </c>
      <c r="V142" s="4" t="str">
        <f ca="1">VLOOKUP($W142,OFFSET(enemy_skill_sets!$B$1,0,0,COUNTA(enemy_skill_sets!$B:$B),MATCH(M$1,enemy_skill_sets!$1:$1,0)-MATCH($W$1,enemy_skill_sets!$1:$1,0)+2),MATCH(M$1,enemy_skill_sets!$1:$1,0)-MATCH($W$1,enemy_skill_sets!$1:$1,0)+2,FALSE)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42" s="110">
        <v>1122210</v>
      </c>
      <c r="X142" s="6">
        <v>1</v>
      </c>
      <c r="Y142" s="6">
        <v>0</v>
      </c>
      <c r="Z142" s="6">
        <v>2</v>
      </c>
      <c r="AA142" s="17">
        <v>2</v>
      </c>
      <c r="AB142" s="24">
        <f t="shared" si="23"/>
        <v>359</v>
      </c>
      <c r="AC142" s="4" t="str">
        <f ca="1">VLOOKUP($AB142,OFFSET([4]characters!$A$1,0,0,COUNTA([4]characters!$A:$A),MATCH(AC$1,[4]characters!$1:$1,0)-MATCH("character_id",[4]characters!$1:$1,0)+1),MATCH(AC$1,[4]characters!$1:$1,0)-MATCH("character_id",[4]characters!$1:$1,0)+1,FALSE)</f>
        <v>醒電の眠りネズミ</v>
      </c>
      <c r="AD142" s="4">
        <f ca="1">VLOOKUP($AB142,OFFSET([4]characters!$A$1,0,0,COUNTA([4]characters!$A:$A),MATCH(AD$1,[4]characters!$1:$1,0)-MATCH("character_id",[4]characters!$1:$1,0)+1),MATCH(AD$1,[4]characters!$1:$1,0)-MATCH("character_id",[4]characters!$1:$1,0)+1,FALSE)</f>
        <v>5</v>
      </c>
      <c r="AE142" s="4" t="str">
        <f ca="1">VLOOKUP($AB142,OFFSET([4]characters!$A$1,0,0,COUNTA([4]characters!$A:$A),MATCH(AE$1,[4]characters!$1:$1,0)-MATCH("character_id",[4]characters!$1:$1,0)+1),MATCH(AE$1,[4]characters!$1:$1,0)-MATCH("character_id",[4]characters!$1:$1,0)+1,FALSE)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2" s="7">
        <v>1</v>
      </c>
      <c r="AG142" s="24">
        <f t="shared" ca="1" si="24"/>
        <v>5</v>
      </c>
      <c r="AH142" s="8">
        <v>100</v>
      </c>
      <c r="AI142" s="7">
        <v>0</v>
      </c>
      <c r="AJ142" s="7">
        <v>0</v>
      </c>
      <c r="AK142" s="7">
        <v>0</v>
      </c>
      <c r="AL142" s="7">
        <v>0</v>
      </c>
      <c r="AM142" s="7">
        <v>1</v>
      </c>
      <c r="AN142" s="69">
        <v>1</v>
      </c>
    </row>
    <row r="143" spans="1:40" ht="21" customHeight="1" x14ac:dyDescent="0.15">
      <c r="A143" s="16" t="str">
        <f t="shared" si="20"/>
        <v>11008_5-1/364&lt;lv52&gt;s2</v>
      </c>
      <c r="B143" s="22">
        <v>11008</v>
      </c>
      <c r="C143" s="21">
        <v>5</v>
      </c>
      <c r="D143" s="2" t="str">
        <f t="shared" si="21"/>
        <v>11008_5</v>
      </c>
      <c r="E143" s="4" t="str">
        <f ca="1">VLOOKUP($B143,OFFSET([2]quests!$A$1,0,0,COUNTA([2]quests!$A:$A),MATCH(E$1,[2]quests!$1:$1,0)-MATCH($B$1,[2]quests!$1:$1,0)+1),MATCH(E$1,[2]quests!$1:$1,0)-MATCH($B$1,[2]quests!$1:$1,0)+1,FALSE)</f>
        <v>【日曜限定】 青と黄の素材</v>
      </c>
      <c r="F143" s="4" t="str">
        <f ca="1">VLOOKUP($D143,OFFSET([2]stages!$A$1,0,0,COUNTA([2]stages!$A:$A),MATCH(F$1,[2]stages!$2:$2,0)-MATCH($D$1,[2]stages!$2:$2,0)+1),MATCH(F$1,[2]stages!$2:$2,0)-MATCH($D$1,[2]stages!$2:$2,0)+1,FALSE)</f>
        <v>【超絶級】ウミガメとネズミ</v>
      </c>
      <c r="G143" s="21">
        <v>1</v>
      </c>
      <c r="H143" s="15" t="str">
        <f t="shared" si="22"/>
        <v>11008_5-1</v>
      </c>
      <c r="I143" s="4">
        <f ca="1">VLOOKUP($H143,OFFSET(floors!$A$1,0,0,COUNTA(floors!$A:$A),MATCH(I$1,floors!$1:$1,0)-MATCH($H$1,floors!$1:$1,0)+1),MATCH(I$1,floors!$1:$1,0)-MATCH($H$1,floors!$1:$1,0)+1,FALSE)</f>
        <v>30</v>
      </c>
      <c r="J143" s="4">
        <f ca="1">VLOOKUP($H143,OFFSET(floors!$A$1,0,0,COUNTA(floors!$A:$A),MATCH(J$1,floors!$1:$1,0)-MATCH($H$1,floors!$1:$1,0)+1),MATCH(J$1,floors!$1:$1,0)-MATCH($H$1,floors!$1:$1,0)+1,FALSE)</f>
        <v>45</v>
      </c>
      <c r="K143" s="100" t="s">
        <v>209</v>
      </c>
      <c r="L143" s="108">
        <v>364</v>
      </c>
      <c r="M143" s="17" t="str">
        <f ca="1">VLOOKUP($L143,OFFSET([3]enemies!$A$1,0,0,COUNTA([3]enemies!$A:$A),MATCH(M$1,[3]enemies!$1:$1,0)-MATCH($L$1,[3]enemies!$1:$1,0)+1),MATCH(M$1,[3]enemies!$1:$1,0)-MATCH($L$1,[3]enemies!$1:$1,0)+1,FALSE)</f>
        <v>ノエル</v>
      </c>
      <c r="N143" s="17" t="str">
        <f ca="1">VLOOKUP($L143,OFFSET([3]enemies!$A$1,0,0,COUNTA([3]enemies!$A:$A),MATCH(N$1,[3]enemies!$1:$1,0)-MATCH($L$1,[3]enemies!$1:$1,0)+1),MATCH(N$1,[3]enemies!$1:$1,0)-MATCH($L$1,[3]enemies!$1:$1,0)+1,FALSE)</f>
        <v>blue</v>
      </c>
      <c r="O143" s="17" t="str">
        <f ca="1">VLOOKUP($L143,OFFSET([4]characters!$A$1,0,0,COUNTA([4]characters!$A:$A),MATCH(O$1,[4]characters!$1:$1,0)-MATCH($L$1,[4]characters!$1:$1,0)+1),MATCH(O$1,[4]characters!$1:$1,0)-MATCH($L$1,[4]characters!$1:$1,0)+1,FALSE)</f>
        <v>Drop1S</v>
      </c>
      <c r="P143" s="17" t="str">
        <f ca="1">VLOOKUP($L143,OFFSET([3]enemies!$A$1,0,0,COUNTA([3]enemies!$A:$A),MATCH(P$1,[3]enemies!$1:$1,0)-MATCH($L$1,[3]enemies!$1:$1,0)+1),MATCH(P$1,[3]enemies!$1:$1,0)-MATCH($L$1,[3]enemies!$1:$1,0)+1,FALSE)</f>
        <v>animal</v>
      </c>
      <c r="Q143" s="17">
        <f ca="1">VLOOKUP($L143,OFFSET([3]enemies!$A$1,0,0,COUNTA([3]enemies!$A:$A),MATCH(Q$1,[3]enemies!$1:$1,0)-MATCH($L$1,[3]enemies!$1:$1,0)+1),MATCH(Q$1,[3]enemies!$1:$1,0)-MATCH($L$1,[3]enemies!$1:$1,0)+1,FALSE)</f>
        <v>15</v>
      </c>
      <c r="R143" s="5">
        <v>52</v>
      </c>
      <c r="S143" s="25">
        <v>1.7</v>
      </c>
      <c r="T143" s="25">
        <v>0.7</v>
      </c>
      <c r="U143" s="5">
        <v>0</v>
      </c>
      <c r="V143" s="4" t="str">
        <f ca="1">VLOOKUP($W143,OFFSET([5]enemy_skill_sets!$B$1,0,0,COUNTA([5]enemy_skill_sets!$B:$B),MATCH(M$1,[5]enemy_skill_sets!$1:$1,0)-MATCH($W$1,[5]enemy_skill_sets!$1:$1,0)+2),MATCH(M$1,[5]enemy_skill_sets!$1:$1,0)-MATCH($W$1,[5]enemy_skill_sets!$1:$1,0)+2,FALSE)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143" s="4">
        <v>364</v>
      </c>
      <c r="X143" s="6">
        <v>0</v>
      </c>
      <c r="Y143" s="6">
        <v>50</v>
      </c>
      <c r="Z143" s="6">
        <v>1</v>
      </c>
      <c r="AA143" s="17">
        <v>2</v>
      </c>
      <c r="AB143" s="24">
        <f t="shared" si="23"/>
        <v>364</v>
      </c>
      <c r="AC143" s="4" t="str">
        <f ca="1">VLOOKUP($AB143,OFFSET([4]characters!$A$1,0,0,COUNTA([4]characters!$A:$A),MATCH(AC$1,[4]characters!$1:$1,0)-MATCH("character_id",[4]characters!$1:$1,0)+1),MATCH(AC$1,[4]characters!$1:$1,0)-MATCH("character_id",[4]characters!$1:$1,0)+1,FALSE)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43" s="4">
        <f ca="1">VLOOKUP($AB143,OFFSET([4]characters!$A$1,0,0,COUNTA([4]characters!$A:$A),MATCH(AD$1,[4]characters!$1:$1,0)-MATCH("character_id",[4]characters!$1:$1,0)+1),MATCH(AD$1,[4]characters!$1:$1,0)-MATCH("character_id",[4]characters!$1:$1,0)+1,FALSE)</f>
        <v>2</v>
      </c>
      <c r="AE143" s="4" t="str">
        <f ca="1">VLOOKUP($AB143,OFFSET([4]characters!$A$1,0,0,COUNTA([4]characters!$A:$A),MATCH(AE$1,[4]characters!$1:$1,0)-MATCH("character_id",[4]characters!$1:$1,0)+1),MATCH(AE$1,[4]characters!$1:$1,0)-MATCH("character_id",[4]characters!$1:$1,0)+1,FALSE)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3" s="7">
        <v>1</v>
      </c>
      <c r="AG143" s="24">
        <f t="shared" ca="1" si="24"/>
        <v>2</v>
      </c>
      <c r="AH143" s="8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1</v>
      </c>
      <c r="AN143" s="69">
        <v>1</v>
      </c>
    </row>
    <row r="144" spans="1:40" ht="21" customHeight="1" x14ac:dyDescent="0.15">
      <c r="A144" s="16" t="str">
        <f t="shared" si="20"/>
        <v>11008_5-1/374&lt;lv52&gt;s1</v>
      </c>
      <c r="B144" s="22">
        <v>11008</v>
      </c>
      <c r="C144" s="21">
        <v>5</v>
      </c>
      <c r="D144" s="2" t="str">
        <f t="shared" si="21"/>
        <v>11008_5</v>
      </c>
      <c r="E144" s="4" t="str">
        <f ca="1">VLOOKUP($B144,OFFSET([2]quests!$A$1,0,0,COUNTA([2]quests!$A:$A),MATCH(E$1,[2]quests!$1:$1,0)-MATCH($B$1,[2]quests!$1:$1,0)+1),MATCH(E$1,[2]quests!$1:$1,0)-MATCH($B$1,[2]quests!$1:$1,0)+1,FALSE)</f>
        <v>【日曜限定】 青と黄の素材</v>
      </c>
      <c r="F144" s="4" t="str">
        <f ca="1">VLOOKUP($D144,OFFSET([2]stages!$A$1,0,0,COUNTA([2]stages!$A:$A),MATCH(F$1,[2]stages!$2:$2,0)-MATCH($D$1,[2]stages!$2:$2,0)+1),MATCH(F$1,[2]stages!$2:$2,0)-MATCH($D$1,[2]stages!$2:$2,0)+1,FALSE)</f>
        <v>【超絶級】ウミガメとネズミ</v>
      </c>
      <c r="G144" s="21">
        <v>1</v>
      </c>
      <c r="H144" s="15" t="str">
        <f t="shared" si="22"/>
        <v>11008_5-1</v>
      </c>
      <c r="I144" s="4">
        <f ca="1">VLOOKUP($H144,OFFSET(floors!$A$1,0,0,COUNTA(floors!$A:$A),MATCH(I$1,floors!$1:$1,0)-MATCH($H$1,floors!$1:$1,0)+1),MATCH(I$1,floors!$1:$1,0)-MATCH($H$1,floors!$1:$1,0)+1,FALSE)</f>
        <v>30</v>
      </c>
      <c r="J144" s="4">
        <f ca="1">VLOOKUP($H144,OFFSET(floors!$A$1,0,0,COUNTA(floors!$A:$A),MATCH(J$1,floors!$1:$1,0)-MATCH($H$1,floors!$1:$1,0)+1),MATCH(J$1,floors!$1:$1,0)-MATCH($H$1,floors!$1:$1,0)+1,FALSE)</f>
        <v>45</v>
      </c>
      <c r="K144" s="100" t="s">
        <v>209</v>
      </c>
      <c r="L144" s="108">
        <v>374</v>
      </c>
      <c r="M144" s="17" t="str">
        <f ca="1">VLOOKUP($L144,OFFSET([3]enemies!$A$1,0,0,COUNTA([3]enemies!$A:$A),MATCH(M$1,[3]enemies!$1:$1,0)-MATCH($L$1,[3]enemies!$1:$1,0)+1),MATCH(M$1,[3]enemies!$1:$1,0)-MATCH($L$1,[3]enemies!$1:$1,0)+1,FALSE)</f>
        <v>影丸</v>
      </c>
      <c r="N144" s="17" t="str">
        <f ca="1">VLOOKUP($L144,OFFSET([3]enemies!$A$1,0,0,COUNTA([3]enemies!$A:$A),MATCH(N$1,[3]enemies!$1:$1,0)-MATCH($L$1,[3]enemies!$1:$1,0)+1),MATCH(N$1,[3]enemies!$1:$1,0)-MATCH($L$1,[3]enemies!$1:$1,0)+1,FALSE)</f>
        <v>blue</v>
      </c>
      <c r="O144" s="17" t="str">
        <f ca="1">VLOOKUP($L144,OFFSET([4]characters!$A$1,0,0,COUNTA([4]characters!$A:$A),MATCH(O$1,[4]characters!$1:$1,0)-MATCH($L$1,[4]characters!$1:$1,0)+1),MATCH(O$1,[4]characters!$1:$1,0)-MATCH($L$1,[4]characters!$1:$1,0)+1,FALSE)</f>
        <v>Drop1S</v>
      </c>
      <c r="P144" s="17" t="str">
        <f ca="1">VLOOKUP($L144,OFFSET([3]enemies!$A$1,0,0,COUNTA([3]enemies!$A:$A),MATCH(P$1,[3]enemies!$1:$1,0)-MATCH($L$1,[3]enemies!$1:$1,0)+1),MATCH(P$1,[3]enemies!$1:$1,0)-MATCH($L$1,[3]enemies!$1:$1,0)+1,FALSE)</f>
        <v>animal</v>
      </c>
      <c r="Q144" s="17">
        <f ca="1">VLOOKUP($L144,OFFSET([3]enemies!$A$1,0,0,COUNTA([3]enemies!$A:$A),MATCH(Q$1,[3]enemies!$1:$1,0)-MATCH($L$1,[3]enemies!$1:$1,0)+1),MATCH(Q$1,[3]enemies!$1:$1,0)-MATCH($L$1,[3]enemies!$1:$1,0)+1,FALSE)</f>
        <v>15</v>
      </c>
      <c r="R144" s="5">
        <v>52</v>
      </c>
      <c r="S144" s="25">
        <v>1.9</v>
      </c>
      <c r="T144" s="25">
        <v>1.9</v>
      </c>
      <c r="U144" s="5">
        <v>0</v>
      </c>
      <c r="V144" s="4" t="str">
        <f ca="1">VLOOKUP($W144,OFFSET(enemy_skill_sets!$B$1,0,0,COUNTA(enemy_skill_sets!$B:$B),MATCH(M$1,enemy_skill_sets!$1:$1,0)-MATCH($W$1,enemy_skill_sets!$1:$1,0)+2),MATCH(M$1,enemy_skill_sets!$1:$1,0)-MATCH($W$1,enemy_skill_sets!$1:$1,0)+2,FALSE)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144" s="109">
        <v>1122208</v>
      </c>
      <c r="X144" s="6">
        <v>0</v>
      </c>
      <c r="Y144" s="6">
        <v>50</v>
      </c>
      <c r="Z144" s="6">
        <v>2</v>
      </c>
      <c r="AA144" s="17">
        <v>1</v>
      </c>
      <c r="AB144" s="24">
        <f t="shared" si="23"/>
        <v>374</v>
      </c>
      <c r="AC144" s="4" t="str">
        <f ca="1">VLOOKUP($AB144,OFFSET([4]characters!$A$1,0,0,COUNTA([4]characters!$A:$A),MATCH(AC$1,[4]characters!$1:$1,0)-MATCH("character_id",[4]characters!$1:$1,0)+1),MATCH(AC$1,[4]characters!$1:$1,0)-MATCH("character_id",[4]characters!$1:$1,0)+1,FALSE)</f>
        <v>影丸</v>
      </c>
      <c r="AD144" s="4">
        <f ca="1">VLOOKUP($AB144,OFFSET([4]characters!$A$1,0,0,COUNTA([4]characters!$A:$A),MATCH(AD$1,[4]characters!$1:$1,0)-MATCH("character_id",[4]characters!$1:$1,0)+1),MATCH(AD$1,[4]characters!$1:$1,0)-MATCH("character_id",[4]characters!$1:$1,0)+1,FALSE)</f>
        <v>2</v>
      </c>
      <c r="AE144" s="4" t="str">
        <f ca="1">VLOOKUP($AB144,OFFSET([4]characters!$A$1,0,0,COUNTA([4]characters!$A:$A),MATCH(AE$1,[4]characters!$1:$1,0)-MATCH("character_id",[4]characters!$1:$1,0)+1),MATCH(AE$1,[4]characters!$1:$1,0)-MATCH("character_id",[4]characters!$1:$1,0)+1,FALSE)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4" s="7">
        <v>1</v>
      </c>
      <c r="AG144" s="24">
        <f t="shared" ca="1" si="24"/>
        <v>2</v>
      </c>
      <c r="AH144" s="8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1</v>
      </c>
      <c r="AN144" s="69">
        <v>1</v>
      </c>
    </row>
    <row r="145" spans="1:40" ht="21" customHeight="1" x14ac:dyDescent="0.15">
      <c r="A145" s="16" t="str">
        <f t="shared" si="20"/>
        <v>11008_5-2/364&lt;lv52&gt;s2</v>
      </c>
      <c r="B145" s="22">
        <v>11008</v>
      </c>
      <c r="C145" s="21">
        <v>5</v>
      </c>
      <c r="D145" s="2" t="str">
        <f t="shared" si="21"/>
        <v>11008_5</v>
      </c>
      <c r="E145" s="4" t="str">
        <f ca="1">VLOOKUP($B145,OFFSET([2]quests!$A$1,0,0,COUNTA([2]quests!$A:$A),MATCH(E$1,[2]quests!$1:$1,0)-MATCH($B$1,[2]quests!$1:$1,0)+1),MATCH(E$1,[2]quests!$1:$1,0)-MATCH($B$1,[2]quests!$1:$1,0)+1,FALSE)</f>
        <v>【日曜限定】 青と黄の素材</v>
      </c>
      <c r="F145" s="4" t="str">
        <f ca="1">VLOOKUP($D145,OFFSET([2]stages!$A$1,0,0,COUNTA([2]stages!$A:$A),MATCH(F$1,[2]stages!$2:$2,0)-MATCH($D$1,[2]stages!$2:$2,0)+1),MATCH(F$1,[2]stages!$2:$2,0)-MATCH($D$1,[2]stages!$2:$2,0)+1,FALSE)</f>
        <v>【超絶級】ウミガメとネズミ</v>
      </c>
      <c r="G145" s="21">
        <v>2</v>
      </c>
      <c r="H145" s="15" t="str">
        <f t="shared" si="22"/>
        <v>11008_5-2</v>
      </c>
      <c r="I145" s="4">
        <f ca="1">VLOOKUP($H145,OFFSET(floors!$A$1,0,0,COUNTA(floors!$A:$A),MATCH(I$1,floors!$1:$1,0)-MATCH($H$1,floors!$1:$1,0)+1),MATCH(I$1,floors!$1:$1,0)-MATCH($H$1,floors!$1:$1,0)+1,FALSE)</f>
        <v>45</v>
      </c>
      <c r="J145" s="4">
        <f ca="1">VLOOKUP($H145,OFFSET(floors!$A$1,0,0,COUNTA(floors!$A:$A),MATCH(J$1,floors!$1:$1,0)-MATCH($H$1,floors!$1:$1,0)+1),MATCH(J$1,floors!$1:$1,0)-MATCH($H$1,floors!$1:$1,0)+1,FALSE)</f>
        <v>60</v>
      </c>
      <c r="K145" s="100" t="s">
        <v>209</v>
      </c>
      <c r="L145" s="108">
        <v>364</v>
      </c>
      <c r="M145" s="17" t="str">
        <f ca="1">VLOOKUP($L145,OFFSET([3]enemies!$A$1,0,0,COUNTA([3]enemies!$A:$A),MATCH(M$1,[3]enemies!$1:$1,0)-MATCH($L$1,[3]enemies!$1:$1,0)+1),MATCH(M$1,[3]enemies!$1:$1,0)-MATCH($L$1,[3]enemies!$1:$1,0)+1,FALSE)</f>
        <v>ノエル</v>
      </c>
      <c r="N145" s="17" t="str">
        <f ca="1">VLOOKUP($L145,OFFSET([3]enemies!$A$1,0,0,COUNTA([3]enemies!$A:$A),MATCH(N$1,[3]enemies!$1:$1,0)-MATCH($L$1,[3]enemies!$1:$1,0)+1),MATCH(N$1,[3]enemies!$1:$1,0)-MATCH($L$1,[3]enemies!$1:$1,0)+1,FALSE)</f>
        <v>blue</v>
      </c>
      <c r="O145" s="17" t="str">
        <f ca="1">VLOOKUP($L145,OFFSET([4]characters!$A$1,0,0,COUNTA([4]characters!$A:$A),MATCH(O$1,[4]characters!$1:$1,0)-MATCH($L$1,[4]characters!$1:$1,0)+1),MATCH(O$1,[4]characters!$1:$1,0)-MATCH($L$1,[4]characters!$1:$1,0)+1,FALSE)</f>
        <v>Drop1S</v>
      </c>
      <c r="P145" s="17" t="str">
        <f ca="1">VLOOKUP($L145,OFFSET([3]enemies!$A$1,0,0,COUNTA([3]enemies!$A:$A),MATCH(P$1,[3]enemies!$1:$1,0)-MATCH($L$1,[3]enemies!$1:$1,0)+1),MATCH(P$1,[3]enemies!$1:$1,0)-MATCH($L$1,[3]enemies!$1:$1,0)+1,FALSE)</f>
        <v>animal</v>
      </c>
      <c r="Q145" s="17">
        <f ca="1">VLOOKUP($L145,OFFSET([3]enemies!$A$1,0,0,COUNTA([3]enemies!$A:$A),MATCH(Q$1,[3]enemies!$1:$1,0)-MATCH($L$1,[3]enemies!$1:$1,0)+1),MATCH(Q$1,[3]enemies!$1:$1,0)-MATCH($L$1,[3]enemies!$1:$1,0)+1,FALSE)</f>
        <v>15</v>
      </c>
      <c r="R145" s="5">
        <v>52</v>
      </c>
      <c r="S145" s="25">
        <v>1.7</v>
      </c>
      <c r="T145" s="25">
        <v>0.7</v>
      </c>
      <c r="U145" s="5">
        <v>0</v>
      </c>
      <c r="V145" s="4" t="str">
        <f ca="1">VLOOKUP($W145,OFFSET([5]enemy_skill_sets!$B$1,0,0,COUNTA([5]enemy_skill_sets!$B:$B),MATCH(M$1,[5]enemy_skill_sets!$1:$1,0)-MATCH($W$1,[5]enemy_skill_sets!$1:$1,0)+2),MATCH(M$1,[5]enemy_skill_sets!$1:$1,0)-MATCH($W$1,[5]enemy_skill_sets!$1:$1,0)+2,FALSE)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145" s="4">
        <v>364</v>
      </c>
      <c r="X145" s="6">
        <v>0</v>
      </c>
      <c r="Y145" s="6">
        <v>100</v>
      </c>
      <c r="Z145" s="6">
        <v>2</v>
      </c>
      <c r="AA145" s="17">
        <v>2</v>
      </c>
      <c r="AB145" s="24">
        <f t="shared" si="23"/>
        <v>364</v>
      </c>
      <c r="AC145" s="4" t="str">
        <f ca="1">VLOOKUP($AB145,OFFSET([4]characters!$A$1,0,0,COUNTA([4]characters!$A:$A),MATCH(AC$1,[4]characters!$1:$1,0)-MATCH("character_id",[4]characters!$1:$1,0)+1),MATCH(AC$1,[4]characters!$1:$1,0)-MATCH("character_id",[4]characters!$1:$1,0)+1,FALSE)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45" s="4">
        <f ca="1">VLOOKUP($AB145,OFFSET([4]characters!$A$1,0,0,COUNTA([4]characters!$A:$A),MATCH(AD$1,[4]characters!$1:$1,0)-MATCH("character_id",[4]characters!$1:$1,0)+1),MATCH(AD$1,[4]characters!$1:$1,0)-MATCH("character_id",[4]characters!$1:$1,0)+1,FALSE)</f>
        <v>2</v>
      </c>
      <c r="AE145" s="4" t="str">
        <f ca="1">VLOOKUP($AB145,OFFSET([4]characters!$A$1,0,0,COUNTA([4]characters!$A:$A),MATCH(AE$1,[4]characters!$1:$1,0)-MATCH("character_id",[4]characters!$1:$1,0)+1),MATCH(AE$1,[4]characters!$1:$1,0)-MATCH("character_id",[4]characters!$1:$1,0)+1,FALSE)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5" s="7">
        <v>1</v>
      </c>
      <c r="AG145" s="24">
        <f t="shared" ca="1" si="24"/>
        <v>2</v>
      </c>
      <c r="AH145" s="8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1</v>
      </c>
      <c r="AN145" s="69">
        <v>1</v>
      </c>
    </row>
    <row r="146" spans="1:40" ht="21" customHeight="1" x14ac:dyDescent="0.15">
      <c r="A146" s="16" t="str">
        <f t="shared" si="20"/>
        <v>11008_5-2/374&lt;lv52&gt;s1</v>
      </c>
      <c r="B146" s="22">
        <v>11008</v>
      </c>
      <c r="C146" s="21">
        <v>5</v>
      </c>
      <c r="D146" s="2" t="str">
        <f t="shared" si="21"/>
        <v>11008_5</v>
      </c>
      <c r="E146" s="4" t="str">
        <f ca="1">VLOOKUP($B146,OFFSET([2]quests!$A$1,0,0,COUNTA([2]quests!$A:$A),MATCH(E$1,[2]quests!$1:$1,0)-MATCH($B$1,[2]quests!$1:$1,0)+1),MATCH(E$1,[2]quests!$1:$1,0)-MATCH($B$1,[2]quests!$1:$1,0)+1,FALSE)</f>
        <v>【日曜限定】 青と黄の素材</v>
      </c>
      <c r="F146" s="4" t="str">
        <f ca="1">VLOOKUP($D146,OFFSET([2]stages!$A$1,0,0,COUNTA([2]stages!$A:$A),MATCH(F$1,[2]stages!$2:$2,0)-MATCH($D$1,[2]stages!$2:$2,0)+1),MATCH(F$1,[2]stages!$2:$2,0)-MATCH($D$1,[2]stages!$2:$2,0)+1,FALSE)</f>
        <v>【超絶級】ウミガメとネズミ</v>
      </c>
      <c r="G146" s="21">
        <v>2</v>
      </c>
      <c r="H146" s="15" t="str">
        <f t="shared" si="22"/>
        <v>11008_5-2</v>
      </c>
      <c r="I146" s="4">
        <f ca="1">VLOOKUP($H146,OFFSET(floors!$A$1,0,0,COUNTA(floors!$A:$A),MATCH(I$1,floors!$1:$1,0)-MATCH($H$1,floors!$1:$1,0)+1),MATCH(I$1,floors!$1:$1,0)-MATCH($H$1,floors!$1:$1,0)+1,FALSE)</f>
        <v>45</v>
      </c>
      <c r="J146" s="4">
        <f ca="1">VLOOKUP($H146,OFFSET(floors!$A$1,0,0,COUNTA(floors!$A:$A),MATCH(J$1,floors!$1:$1,0)-MATCH($H$1,floors!$1:$1,0)+1),MATCH(J$1,floors!$1:$1,0)-MATCH($H$1,floors!$1:$1,0)+1,FALSE)</f>
        <v>60</v>
      </c>
      <c r="K146" s="100" t="s">
        <v>209</v>
      </c>
      <c r="L146" s="108">
        <v>374</v>
      </c>
      <c r="M146" s="17" t="str">
        <f ca="1">VLOOKUP($L146,OFFSET([3]enemies!$A$1,0,0,COUNTA([3]enemies!$A:$A),MATCH(M$1,[3]enemies!$1:$1,0)-MATCH($L$1,[3]enemies!$1:$1,0)+1),MATCH(M$1,[3]enemies!$1:$1,0)-MATCH($L$1,[3]enemies!$1:$1,0)+1,FALSE)</f>
        <v>影丸</v>
      </c>
      <c r="N146" s="17" t="str">
        <f ca="1">VLOOKUP($L146,OFFSET([3]enemies!$A$1,0,0,COUNTA([3]enemies!$A:$A),MATCH(N$1,[3]enemies!$1:$1,0)-MATCH($L$1,[3]enemies!$1:$1,0)+1),MATCH(N$1,[3]enemies!$1:$1,0)-MATCH($L$1,[3]enemies!$1:$1,0)+1,FALSE)</f>
        <v>blue</v>
      </c>
      <c r="O146" s="17" t="str">
        <f ca="1">VLOOKUP($L146,OFFSET([4]characters!$A$1,0,0,COUNTA([4]characters!$A:$A),MATCH(O$1,[4]characters!$1:$1,0)-MATCH($L$1,[4]characters!$1:$1,0)+1),MATCH(O$1,[4]characters!$1:$1,0)-MATCH($L$1,[4]characters!$1:$1,0)+1,FALSE)</f>
        <v>Drop1S</v>
      </c>
      <c r="P146" s="17" t="str">
        <f ca="1">VLOOKUP($L146,OFFSET([3]enemies!$A$1,0,0,COUNTA([3]enemies!$A:$A),MATCH(P$1,[3]enemies!$1:$1,0)-MATCH($L$1,[3]enemies!$1:$1,0)+1),MATCH(P$1,[3]enemies!$1:$1,0)-MATCH($L$1,[3]enemies!$1:$1,0)+1,FALSE)</f>
        <v>animal</v>
      </c>
      <c r="Q146" s="17">
        <f ca="1">VLOOKUP($L146,OFFSET([3]enemies!$A$1,0,0,COUNTA([3]enemies!$A:$A),MATCH(Q$1,[3]enemies!$1:$1,0)-MATCH($L$1,[3]enemies!$1:$1,0)+1),MATCH(Q$1,[3]enemies!$1:$1,0)-MATCH($L$1,[3]enemies!$1:$1,0)+1,FALSE)</f>
        <v>15</v>
      </c>
      <c r="R146" s="5">
        <v>52</v>
      </c>
      <c r="S146" s="25">
        <v>1.9</v>
      </c>
      <c r="T146" s="25">
        <v>1.9</v>
      </c>
      <c r="U146" s="5">
        <v>0</v>
      </c>
      <c r="V146" s="4" t="str">
        <f ca="1">VLOOKUP($W146,OFFSET(enemy_skill_sets!$B$1,0,0,COUNTA(enemy_skill_sets!$B:$B),MATCH(M$1,enemy_skill_sets!$1:$1,0)-MATCH($W$1,enemy_skill_sets!$1:$1,0)+2),MATCH(M$1,enemy_skill_sets!$1:$1,0)-MATCH($W$1,enemy_skill_sets!$1:$1,0)+2,FALSE)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146" s="109">
        <v>1122208</v>
      </c>
      <c r="X146" s="6">
        <v>0</v>
      </c>
      <c r="Y146" s="6">
        <v>50</v>
      </c>
      <c r="Z146" s="6">
        <v>1</v>
      </c>
      <c r="AA146" s="17">
        <v>1</v>
      </c>
      <c r="AB146" s="24">
        <f t="shared" si="23"/>
        <v>374</v>
      </c>
      <c r="AC146" s="4" t="str">
        <f ca="1">VLOOKUP($AB146,OFFSET([4]characters!$A$1,0,0,COUNTA([4]characters!$A:$A),MATCH(AC$1,[4]characters!$1:$1,0)-MATCH("character_id",[4]characters!$1:$1,0)+1),MATCH(AC$1,[4]characters!$1:$1,0)-MATCH("character_id",[4]characters!$1:$1,0)+1,FALSE)</f>
        <v>影丸</v>
      </c>
      <c r="AD146" s="4">
        <f ca="1">VLOOKUP($AB146,OFFSET([4]characters!$A$1,0,0,COUNTA([4]characters!$A:$A),MATCH(AD$1,[4]characters!$1:$1,0)-MATCH("character_id",[4]characters!$1:$1,0)+1),MATCH(AD$1,[4]characters!$1:$1,0)-MATCH("character_id",[4]characters!$1:$1,0)+1,FALSE)</f>
        <v>2</v>
      </c>
      <c r="AE146" s="4" t="str">
        <f ca="1">VLOOKUP($AB146,OFFSET([4]characters!$A$1,0,0,COUNTA([4]characters!$A:$A),MATCH(AE$1,[4]characters!$1:$1,0)-MATCH("character_id",[4]characters!$1:$1,0)+1),MATCH(AE$1,[4]characters!$1:$1,0)-MATCH("character_id",[4]characters!$1:$1,0)+1,FALSE)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6" s="7">
        <v>1</v>
      </c>
      <c r="AG146" s="24">
        <f t="shared" ca="1" si="24"/>
        <v>2</v>
      </c>
      <c r="AH146" s="8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1</v>
      </c>
      <c r="AN146" s="69">
        <v>1</v>
      </c>
    </row>
    <row r="147" spans="1:40" ht="21" customHeight="1" x14ac:dyDescent="0.15">
      <c r="A147" s="16" t="str">
        <f t="shared" ca="1" si="20"/>
        <v>11008_5-2/340&lt;lv2&gt;s1</v>
      </c>
      <c r="B147" s="22">
        <v>11008</v>
      </c>
      <c r="C147" s="21">
        <v>5</v>
      </c>
      <c r="D147" s="2" t="str">
        <f t="shared" si="21"/>
        <v>11008_5</v>
      </c>
      <c r="E147" s="4" t="str">
        <f ca="1">VLOOKUP($B147,OFFSET([2]quests!$A$1,0,0,COUNTA([2]quests!$A:$A),MATCH(E$1,[2]quests!$1:$1,0)-MATCH($B$1,[2]quests!$1:$1,0)+1),MATCH(E$1,[2]quests!$1:$1,0)-MATCH($B$1,[2]quests!$1:$1,0)+1,FALSE)</f>
        <v>【日曜限定】 青と黄の素材</v>
      </c>
      <c r="F147" s="4" t="str">
        <f ca="1">VLOOKUP($D147,OFFSET([2]stages!$A$1,0,0,COUNTA([2]stages!$A:$A),MATCH(F$1,[2]stages!$2:$2,0)-MATCH($D$1,[2]stages!$2:$2,0)+1),MATCH(F$1,[2]stages!$2:$2,0)-MATCH($D$1,[2]stages!$2:$2,0)+1,FALSE)</f>
        <v>【超絶級】ウミガメとネズミ</v>
      </c>
      <c r="G147" s="21">
        <v>2</v>
      </c>
      <c r="H147" s="15" t="str">
        <f t="shared" si="22"/>
        <v>11008_5-2</v>
      </c>
      <c r="I147" s="4">
        <f ca="1">VLOOKUP($H147,OFFSET(floors!$A$1,0,0,COUNTA(floors!$A:$A),MATCH(I$1,floors!$1:$1,0)-MATCH($H$1,floors!$1:$1,0)+1),MATCH(I$1,floors!$1:$1,0)-MATCH($H$1,floors!$1:$1,0)+1,FALSE)</f>
        <v>45</v>
      </c>
      <c r="J147" s="4">
        <f ca="1">VLOOKUP($H147,OFFSET(floors!$A$1,0,0,COUNTA(floors!$A:$A),MATCH(J$1,floors!$1:$1,0)-MATCH($H$1,floors!$1:$1,0)+1),MATCH(J$1,floors!$1:$1,0)-MATCH($H$1,floors!$1:$1,0)+1,FALSE)</f>
        <v>60</v>
      </c>
      <c r="K147" s="100" t="s">
        <v>209</v>
      </c>
      <c r="L147" s="108">
        <v>340</v>
      </c>
      <c r="M147" s="17" t="str">
        <f ca="1">VLOOKUP($L147,OFFSET([3]enemies!$A$1,0,0,COUNTA([3]enemies!$A:$A),MATCH(M$1,[3]enemies!$1:$1,0)-MATCH($L$1,[3]enemies!$1:$1,0)+1),MATCH(M$1,[3]enemies!$1:$1,0)-MATCH($L$1,[3]enemies!$1:$1,0)+1,FALSE)</f>
        <v>水のメタルピヨピヨ</v>
      </c>
      <c r="N147" s="17" t="str">
        <f ca="1">VLOOKUP($L147,OFFSET([3]enemies!$A$1,0,0,COUNTA([3]enemies!$A:$A),MATCH(N$1,[3]enemies!$1:$1,0)-MATCH($L$1,[3]enemies!$1:$1,0)+1),MATCH(N$1,[3]enemies!$1:$1,0)-MATCH($L$1,[3]enemies!$1:$1,0)+1,FALSE)</f>
        <v>blue</v>
      </c>
      <c r="O147" s="17" t="str">
        <f ca="1">VLOOKUP($L147,OFFSET([4]characters!$A$1,0,0,COUNTA([4]characters!$A:$A),MATCH(O$1,[4]characters!$1:$1,0)-MATCH($L$1,[4]characters!$1:$1,0)+1),MATCH(O$1,[4]characters!$1:$1,0)-MATCH($L$1,[4]characters!$1:$1,0)+1,FALSE)</f>
        <v>Material</v>
      </c>
      <c r="P147" s="17" t="str">
        <f ca="1">VLOOKUP($L147,OFFSET([3]enemies!$A$1,0,0,COUNTA([3]enemies!$A:$A),MATCH(P$1,[3]enemies!$1:$1,0)-MATCH($L$1,[3]enemies!$1:$1,0)+1),MATCH(P$1,[3]enemies!$1:$1,0)-MATCH($L$1,[3]enemies!$1:$1,0)+1,FALSE)</f>
        <v>unknown</v>
      </c>
      <c r="Q147" s="17">
        <f ca="1">VLOOKUP($L147,OFFSET([3]enemies!$A$1,0,0,COUNTA([3]enemies!$A:$A),MATCH(Q$1,[3]enemies!$1:$1,0)-MATCH($L$1,[3]enemies!$1:$1,0)+1),MATCH(Q$1,[3]enemies!$1:$1,0)-MATCH($L$1,[3]enemies!$1:$1,0)+1,FALSE)</f>
        <v>15</v>
      </c>
      <c r="R147" s="5">
        <v>2</v>
      </c>
      <c r="S147" s="25">
        <v>2</v>
      </c>
      <c r="T147" s="25">
        <v>99</v>
      </c>
      <c r="U147" s="5">
        <v>0</v>
      </c>
      <c r="V147" s="4" t="str">
        <f ca="1">VLOOKUP($W147,OFFSET([5]enemy_skill_sets!$B$1,0,0,COUNTA([5]enemy_skill_sets!$B:$B),MATCH(M$1,[5]enemy_skill_sets!$1:$1,0)-MATCH($W$1,[5]enemy_skill_sets!$1:$1,0)+2),MATCH(M$1,[5]enemy_skill_sets!$1:$1,0)-MATCH($W$1,[5]enemy_skill_sets!$1:$1,0)+2,FALSE)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7" s="4">
        <f ca="1">VLOOKUP($L147,OFFSET([3]enemies!$A$1,0,0,COUNTA([3]enemies!$A:$A),MATCH(W$1,[3]enemies!$1:$1,0)-MATCH($L$1,[3]enemies!$1:$1,0)+1),MATCH(W$1,[3]enemies!$1:$1,0)-MATCH($L$1,[3]enemies!$1:$1,0)+1,FALSE)</f>
        <v>0</v>
      </c>
      <c r="X147" s="6">
        <v>0</v>
      </c>
      <c r="Y147" s="6">
        <v>20</v>
      </c>
      <c r="Z147" s="6">
        <v>0</v>
      </c>
      <c r="AA147" s="17">
        <f ca="1">VLOOKUP($L147,OFFSET([3]enemies!$A$1,0,0,COUNTA([3]enemies!$A:$A),MATCH(AA$1,[3]enemies!$1:$1,0)-MATCH($L$1,[3]enemies!$1:$1,0)+1),MATCH(AA$1,[3]enemies!$1:$1,0)-MATCH($L$1,[3]enemies!$1:$1,0)+1,FALSE)</f>
        <v>1</v>
      </c>
      <c r="AB147" s="24">
        <f t="shared" si="23"/>
        <v>340</v>
      </c>
      <c r="AC147" s="4" t="str">
        <f ca="1">VLOOKUP($AB147,OFFSET([4]characters!$A$1,0,0,COUNTA([4]characters!$A:$A),MATCH(AC$1,[4]characters!$1:$1,0)-MATCH("character_id",[4]characters!$1:$1,0)+1),MATCH(AC$1,[4]characters!$1:$1,0)-MATCH("character_id",[4]characters!$1:$1,0)+1,FALSE)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147" s="4">
        <f ca="1">VLOOKUP($AB147,OFFSET([4]characters!$A$1,0,0,COUNTA([4]characters!$A:$A),MATCH(AD$1,[4]characters!$1:$1,0)-MATCH("character_id",[4]characters!$1:$1,0)+1),MATCH(AD$1,[4]characters!$1:$1,0)-MATCH("character_id",[4]characters!$1:$1,0)+1,FALSE)</f>
        <v>3</v>
      </c>
      <c r="AE147" s="4" t="str">
        <f ca="1">VLOOKUP($AB147,OFFSET([4]characters!$A$1,0,0,COUNTA([4]characters!$A:$A),MATCH(AE$1,[4]characters!$1:$1,0)-MATCH("character_id",[4]characters!$1:$1,0)+1),MATCH(AE$1,[4]characters!$1:$1,0)-MATCH("character_id",[4]characters!$1:$1,0)+1,FALSE)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7" s="7">
        <v>1</v>
      </c>
      <c r="AG147" s="24">
        <f t="shared" ca="1" si="24"/>
        <v>3</v>
      </c>
      <c r="AH147" s="8">
        <v>10</v>
      </c>
      <c r="AI147" s="7">
        <v>0</v>
      </c>
      <c r="AJ147" s="7">
        <v>0</v>
      </c>
      <c r="AK147" s="7">
        <v>0</v>
      </c>
      <c r="AL147" s="7">
        <v>0</v>
      </c>
      <c r="AM147" s="7">
        <v>1</v>
      </c>
      <c r="AN147" s="69">
        <v>1</v>
      </c>
    </row>
    <row r="148" spans="1:40" ht="21" customHeight="1" x14ac:dyDescent="0.15">
      <c r="A148" s="16" t="str">
        <f t="shared" ca="1" si="20"/>
        <v>11008_5-2/341&lt;lv2&gt;s2</v>
      </c>
      <c r="B148" s="22">
        <v>11008</v>
      </c>
      <c r="C148" s="21">
        <v>5</v>
      </c>
      <c r="D148" s="2" t="str">
        <f t="shared" si="21"/>
        <v>11008_5</v>
      </c>
      <c r="E148" s="4" t="str">
        <f ca="1">VLOOKUP($B148,OFFSET([2]quests!$A$1,0,0,COUNTA([2]quests!$A:$A),MATCH(E$1,[2]quests!$1:$1,0)-MATCH($B$1,[2]quests!$1:$1,0)+1),MATCH(E$1,[2]quests!$1:$1,0)-MATCH($B$1,[2]quests!$1:$1,0)+1,FALSE)</f>
        <v>【日曜限定】 青と黄の素材</v>
      </c>
      <c r="F148" s="4" t="str">
        <f ca="1">VLOOKUP($D148,OFFSET([2]stages!$A$1,0,0,COUNTA([2]stages!$A:$A),MATCH(F$1,[2]stages!$2:$2,0)-MATCH($D$1,[2]stages!$2:$2,0)+1),MATCH(F$1,[2]stages!$2:$2,0)-MATCH($D$1,[2]stages!$2:$2,0)+1,FALSE)</f>
        <v>【超絶級】ウミガメとネズミ</v>
      </c>
      <c r="G148" s="21">
        <v>2</v>
      </c>
      <c r="H148" s="15" t="str">
        <f t="shared" si="22"/>
        <v>11008_5-2</v>
      </c>
      <c r="I148" s="4">
        <f ca="1">VLOOKUP($H148,OFFSET(floors!$A$1,0,0,COUNTA(floors!$A:$A),MATCH(I$1,floors!$1:$1,0)-MATCH($H$1,floors!$1:$1,0)+1),MATCH(I$1,floors!$1:$1,0)-MATCH($H$1,floors!$1:$1,0)+1,FALSE)</f>
        <v>45</v>
      </c>
      <c r="J148" s="4">
        <f ca="1">VLOOKUP($H148,OFFSET(floors!$A$1,0,0,COUNTA(floors!$A:$A),MATCH(J$1,floors!$1:$1,0)-MATCH($H$1,floors!$1:$1,0)+1),MATCH(J$1,floors!$1:$1,0)-MATCH($H$1,floors!$1:$1,0)+1,FALSE)</f>
        <v>60</v>
      </c>
      <c r="K148" s="100" t="s">
        <v>209</v>
      </c>
      <c r="L148" s="108">
        <v>341</v>
      </c>
      <c r="M148" s="17" t="str">
        <f ca="1">VLOOKUP($L148,OFFSET([3]enemies!$A$1,0,0,COUNTA([3]enemies!$A:$A),MATCH(M$1,[3]enemies!$1:$1,0)-MATCH($L$1,[3]enemies!$1:$1,0)+1),MATCH(M$1,[3]enemies!$1:$1,0)-MATCH($L$1,[3]enemies!$1:$1,0)+1,FALSE)</f>
        <v>水のメタルチック</v>
      </c>
      <c r="N148" s="17" t="str">
        <f ca="1">VLOOKUP($L148,OFFSET([3]enemies!$A$1,0,0,COUNTA([3]enemies!$A:$A),MATCH(N$1,[3]enemies!$1:$1,0)-MATCH($L$1,[3]enemies!$1:$1,0)+1),MATCH(N$1,[3]enemies!$1:$1,0)-MATCH($L$1,[3]enemies!$1:$1,0)+1,FALSE)</f>
        <v>blue</v>
      </c>
      <c r="O148" s="17" t="str">
        <f ca="1">VLOOKUP($L148,OFFSET([4]characters!$A$1,0,0,COUNTA([4]characters!$A:$A),MATCH(O$1,[4]characters!$1:$1,0)-MATCH($L$1,[4]characters!$1:$1,0)+1),MATCH(O$1,[4]characters!$1:$1,0)-MATCH($L$1,[4]characters!$1:$1,0)+1,FALSE)</f>
        <v>Material</v>
      </c>
      <c r="P148" s="17" t="str">
        <f ca="1">VLOOKUP($L148,OFFSET([3]enemies!$A$1,0,0,COUNTA([3]enemies!$A:$A),MATCH(P$1,[3]enemies!$1:$1,0)-MATCH($L$1,[3]enemies!$1:$1,0)+1),MATCH(P$1,[3]enemies!$1:$1,0)-MATCH($L$1,[3]enemies!$1:$1,0)+1,FALSE)</f>
        <v>unknown</v>
      </c>
      <c r="Q148" s="17">
        <f ca="1">VLOOKUP($L148,OFFSET([3]enemies!$A$1,0,0,COUNTA([3]enemies!$A:$A),MATCH(Q$1,[3]enemies!$1:$1,0)-MATCH($L$1,[3]enemies!$1:$1,0)+1),MATCH(Q$1,[3]enemies!$1:$1,0)-MATCH($L$1,[3]enemies!$1:$1,0)+1,FALSE)</f>
        <v>15</v>
      </c>
      <c r="R148" s="5">
        <v>2</v>
      </c>
      <c r="S148" s="25">
        <v>2</v>
      </c>
      <c r="T148" s="25">
        <v>99</v>
      </c>
      <c r="U148" s="5">
        <v>0</v>
      </c>
      <c r="V148" s="4" t="str">
        <f ca="1">VLOOKUP($W148,OFFSET([5]enemy_skill_sets!$B$1,0,0,COUNTA([5]enemy_skill_sets!$B:$B),MATCH(M$1,[5]enemy_skill_sets!$1:$1,0)-MATCH($W$1,[5]enemy_skill_sets!$1:$1,0)+2),MATCH(M$1,[5]enemy_skill_sets!$1:$1,0)-MATCH($W$1,[5]enemy_skill_sets!$1:$1,0)+2,FALSE)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8" s="4">
        <f ca="1">VLOOKUP($L148,OFFSET([3]enemies!$A$1,0,0,COUNTA([3]enemies!$A:$A),MATCH(W$1,[3]enemies!$1:$1,0)-MATCH($L$1,[3]enemies!$1:$1,0)+1),MATCH(W$1,[3]enemies!$1:$1,0)-MATCH($L$1,[3]enemies!$1:$1,0)+1,FALSE)</f>
        <v>0</v>
      </c>
      <c r="X148" s="6">
        <v>0</v>
      </c>
      <c r="Y148" s="6">
        <v>10</v>
      </c>
      <c r="Z148" s="6">
        <v>0</v>
      </c>
      <c r="AA148" s="17">
        <f ca="1">VLOOKUP($L148,OFFSET([3]enemies!$A$1,0,0,COUNTA([3]enemies!$A:$A),MATCH(AA$1,[3]enemies!$1:$1,0)-MATCH($L$1,[3]enemies!$1:$1,0)+1),MATCH(AA$1,[3]enemies!$1:$1,0)-MATCH($L$1,[3]enemies!$1:$1,0)+1,FALSE)</f>
        <v>2</v>
      </c>
      <c r="AB148" s="24">
        <f t="shared" si="23"/>
        <v>341</v>
      </c>
      <c r="AC148" s="4" t="str">
        <f ca="1">VLOOKUP($AB148,OFFSET([4]characters!$A$1,0,0,COUNTA([4]characters!$A:$A),MATCH(AC$1,[4]characters!$1:$1,0)-MATCH("character_id",[4]characters!$1:$1,0)+1),MATCH(AC$1,[4]characters!$1:$1,0)-MATCH("character_id",[4]characters!$1:$1,0)+1,FALSE)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148" s="4">
        <f ca="1">VLOOKUP($AB148,OFFSET([4]characters!$A$1,0,0,COUNTA([4]characters!$A:$A),MATCH(AD$1,[4]characters!$1:$1,0)-MATCH("character_id",[4]characters!$1:$1,0)+1),MATCH(AD$1,[4]characters!$1:$1,0)-MATCH("character_id",[4]characters!$1:$1,0)+1,FALSE)</f>
        <v>4</v>
      </c>
      <c r="AE148" s="4" t="str">
        <f ca="1">VLOOKUP($AB148,OFFSET([4]characters!$A$1,0,0,COUNTA([4]characters!$A:$A),MATCH(AE$1,[4]characters!$1:$1,0)-MATCH("character_id",[4]characters!$1:$1,0)+1),MATCH(AE$1,[4]characters!$1:$1,0)-MATCH("character_id",[4]characters!$1:$1,0)+1,FALSE)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8" s="7">
        <v>1</v>
      </c>
      <c r="AG148" s="24">
        <f t="shared" ca="1" si="24"/>
        <v>4</v>
      </c>
      <c r="AH148" s="8">
        <v>5</v>
      </c>
      <c r="AI148" s="7">
        <v>0</v>
      </c>
      <c r="AJ148" s="7">
        <v>0</v>
      </c>
      <c r="AK148" s="7">
        <v>0</v>
      </c>
      <c r="AL148" s="7">
        <v>0</v>
      </c>
      <c r="AM148" s="7">
        <v>1</v>
      </c>
      <c r="AN148" s="69">
        <v>1</v>
      </c>
    </row>
    <row r="149" spans="1:40" ht="21" customHeight="1" x14ac:dyDescent="0.15">
      <c r="A149" s="16" t="str">
        <f t="shared" ca="1" si="20"/>
        <v>11008_5-3/185&lt;lv60&gt;s3</v>
      </c>
      <c r="B149" s="22">
        <v>11008</v>
      </c>
      <c r="C149" s="21">
        <v>5</v>
      </c>
      <c r="D149" s="2" t="str">
        <f t="shared" si="21"/>
        <v>11008_5</v>
      </c>
      <c r="E149" s="4" t="str">
        <f ca="1">VLOOKUP($B149,OFFSET([2]quests!$A$1,0,0,COUNTA([2]quests!$A:$A),MATCH(E$1,[2]quests!$1:$1,0)-MATCH($B$1,[2]quests!$1:$1,0)+1),MATCH(E$1,[2]quests!$1:$1,0)-MATCH($B$1,[2]quests!$1:$1,0)+1,FALSE)</f>
        <v>【日曜限定】 青と黄の素材</v>
      </c>
      <c r="F149" s="4" t="str">
        <f ca="1">VLOOKUP($D149,OFFSET([2]stages!$A$1,0,0,COUNTA([2]stages!$A:$A),MATCH(F$1,[2]stages!$2:$2,0)-MATCH($D$1,[2]stages!$2:$2,0)+1),MATCH(F$1,[2]stages!$2:$2,0)-MATCH($D$1,[2]stages!$2:$2,0)+1,FALSE)</f>
        <v>【超絶級】ウミガメとネズミ</v>
      </c>
      <c r="G149" s="21">
        <v>3</v>
      </c>
      <c r="H149" s="15" t="str">
        <f t="shared" si="22"/>
        <v>11008_5-3</v>
      </c>
      <c r="I149" s="4">
        <f ca="1">VLOOKUP($H149,OFFSET(floors!$A$1,0,0,COUNTA(floors!$A:$A),MATCH(I$1,floors!$1:$1,0)-MATCH($H$1,floors!$1:$1,0)+1),MATCH(I$1,floors!$1:$1,0)-MATCH($H$1,floors!$1:$1,0)+1,FALSE)</f>
        <v>50</v>
      </c>
      <c r="J149" s="4">
        <f ca="1">VLOOKUP($H149,OFFSET(floors!$A$1,0,0,COUNTA(floors!$A:$A),MATCH(J$1,floors!$1:$1,0)-MATCH($H$1,floors!$1:$1,0)+1),MATCH(J$1,floors!$1:$1,0)-MATCH($H$1,floors!$1:$1,0)+1,FALSE)</f>
        <v>60</v>
      </c>
      <c r="K149" s="100" t="s">
        <v>209</v>
      </c>
      <c r="L149" s="108">
        <v>185</v>
      </c>
      <c r="M149" s="17" t="str">
        <f ca="1">VLOOKUP($L149,OFFSET([3]enemies!$A$1,0,0,COUNTA([3]enemies!$A:$A),MATCH(M$1,[3]enemies!$1:$1,0)-MATCH($L$1,[3]enemies!$1:$1,0)+1),MATCH(M$1,[3]enemies!$1:$1,0)-MATCH($L$1,[3]enemies!$1:$1,0)+1,FALSE)</f>
        <v>海姫 クラーケン</v>
      </c>
      <c r="N149" s="17" t="str">
        <f ca="1">VLOOKUP($L149,OFFSET([3]enemies!$A$1,0,0,COUNTA([3]enemies!$A:$A),MATCH(N$1,[3]enemies!$1:$1,0)-MATCH($L$1,[3]enemies!$1:$1,0)+1),MATCH(N$1,[3]enemies!$1:$1,0)-MATCH($L$1,[3]enemies!$1:$1,0)+1,FALSE)</f>
        <v>blue</v>
      </c>
      <c r="O149" s="17" t="str">
        <f ca="1">VLOOKUP($L149,OFFSET([4]characters!$A$1,0,0,COUNTA([4]characters!$A:$A),MATCH(O$1,[4]characters!$1:$1,0)-MATCH($L$1,[4]characters!$1:$1,0)+1),MATCH(O$1,[4]characters!$1:$1,0)-MATCH($L$1,[4]characters!$1:$1,0)+1,FALSE)</f>
        <v>PremiumN</v>
      </c>
      <c r="P149" s="17" t="str">
        <f ca="1">VLOOKUP($L149,OFFSET([3]enemies!$A$1,0,0,COUNTA([3]enemies!$A:$A),MATCH(P$1,[3]enemies!$1:$1,0)-MATCH($L$1,[3]enemies!$1:$1,0)+1),MATCH(P$1,[3]enemies!$1:$1,0)-MATCH($L$1,[3]enemies!$1:$1,0)+1,FALSE)</f>
        <v>animal</v>
      </c>
      <c r="Q149" s="17">
        <f ca="1">VLOOKUP($L149,OFFSET([3]enemies!$A$1,0,0,COUNTA([3]enemies!$A:$A),MATCH(Q$1,[3]enemies!$1:$1,0)-MATCH($L$1,[3]enemies!$1:$1,0)+1),MATCH(Q$1,[3]enemies!$1:$1,0)-MATCH($L$1,[3]enemies!$1:$1,0)+1,FALSE)</f>
        <v>30</v>
      </c>
      <c r="R149" s="5">
        <v>60</v>
      </c>
      <c r="S149" s="25">
        <v>1.6</v>
      </c>
      <c r="T149" s="25">
        <v>1.7</v>
      </c>
      <c r="U149" s="5">
        <v>0</v>
      </c>
      <c r="V149" s="4" t="str">
        <f ca="1">VLOOKUP($W149,OFFSET(enemy_skill_sets!$B$1,0,0,COUNTA(enemy_skill_sets!$B:$B),MATCH(M$1,enemy_skill_sets!$1:$1,0)-MATCH($W$1,enemy_skill_sets!$1:$1,0)+2),MATCH(M$1,enemy_skill_sets!$1:$1,0)-MATCH($W$1,enemy_skill_sets!$1:$1,0)+2,FALSE)</f>
        <v>全体攻撃＋中確率で2ターンスキルバインド効果</v>
      </c>
      <c r="W149" s="109">
        <v>1122211</v>
      </c>
      <c r="X149" s="6">
        <v>0</v>
      </c>
      <c r="Y149" s="6">
        <v>80</v>
      </c>
      <c r="Z149" s="6">
        <v>1</v>
      </c>
      <c r="AA149" s="17">
        <f ca="1">VLOOKUP($L149,OFFSET([3]enemies!$A$1,0,0,COUNTA([3]enemies!$A:$A),MATCH(AA$1,[3]enemies!$1:$1,0)-MATCH($L$1,[3]enemies!$1:$1,0)+1),MATCH(AA$1,[3]enemies!$1:$1,0)-MATCH($L$1,[3]enemies!$1:$1,0)+1,FALSE)</f>
        <v>3</v>
      </c>
      <c r="AB149" s="24">
        <f t="shared" si="23"/>
        <v>185</v>
      </c>
      <c r="AC149" s="4" t="str">
        <f ca="1">VLOOKUP($AB149,OFFSET([4]characters!$A$1,0,0,COUNTA([4]characters!$A:$A),MATCH(AC$1,[4]characters!$1:$1,0)-MATCH("character_id",[4]characters!$1:$1,0)+1),MATCH(AC$1,[4]characters!$1:$1,0)-MATCH("character_id",[4]characters!$1:$1,0)+1,FALSE)</f>
        <v>海姫 クラーケン</v>
      </c>
      <c r="AD149" s="4">
        <f ca="1">VLOOKUP($AB149,OFFSET([4]characters!$A$1,0,0,COUNTA([4]characters!$A:$A),MATCH(AD$1,[4]characters!$1:$1,0)-MATCH("character_id",[4]characters!$1:$1,0)+1),MATCH(AD$1,[4]characters!$1:$1,0)-MATCH("character_id",[4]characters!$1:$1,0)+1,FALSE)</f>
        <v>4</v>
      </c>
      <c r="AE149" s="4" t="str">
        <f ca="1">VLOOKUP($AB149,OFFSET([4]characters!$A$1,0,0,COUNTA([4]characters!$A:$A),MATCH(AE$1,[4]characters!$1:$1,0)-MATCH("character_id",[4]characters!$1:$1,0)+1),MATCH(AE$1,[4]characters!$1:$1,0)-MATCH("character_id",[4]characters!$1:$1,0)+1,FALSE)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49" s="7">
        <v>1</v>
      </c>
      <c r="AG149" s="24">
        <f t="shared" ca="1" si="24"/>
        <v>4</v>
      </c>
      <c r="AH149" s="8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1</v>
      </c>
      <c r="AN149" s="69">
        <v>1</v>
      </c>
    </row>
    <row r="150" spans="1:40" ht="21" customHeight="1" x14ac:dyDescent="0.15">
      <c r="A150" s="16" t="str">
        <f t="shared" ca="1" si="20"/>
        <v>11008_5-3/342&lt;lv2&gt;s3</v>
      </c>
      <c r="B150" s="22">
        <v>11008</v>
      </c>
      <c r="C150" s="21">
        <v>5</v>
      </c>
      <c r="D150" s="2" t="str">
        <f t="shared" si="21"/>
        <v>11008_5</v>
      </c>
      <c r="E150" s="4" t="str">
        <f ca="1">VLOOKUP($B150,OFFSET([2]quests!$A$1,0,0,COUNTA([2]quests!$A:$A),MATCH(E$1,[2]quests!$1:$1,0)-MATCH($B$1,[2]quests!$1:$1,0)+1),MATCH(E$1,[2]quests!$1:$1,0)-MATCH($B$1,[2]quests!$1:$1,0)+1,FALSE)</f>
        <v>【日曜限定】 青と黄の素材</v>
      </c>
      <c r="F150" s="4" t="str">
        <f ca="1">VLOOKUP($D150,OFFSET([2]stages!$A$1,0,0,COUNTA([2]stages!$A:$A),MATCH(F$1,[2]stages!$2:$2,0)-MATCH($D$1,[2]stages!$2:$2,0)+1),MATCH(F$1,[2]stages!$2:$2,0)-MATCH($D$1,[2]stages!$2:$2,0)+1,FALSE)</f>
        <v>【超絶級】ウミガメとネズミ</v>
      </c>
      <c r="G150" s="21">
        <v>3</v>
      </c>
      <c r="H150" s="15" t="str">
        <f t="shared" si="22"/>
        <v>11008_5-3</v>
      </c>
      <c r="I150" s="4">
        <f ca="1">VLOOKUP($H150,OFFSET(floors!$A$1,0,0,COUNTA(floors!$A:$A),MATCH(I$1,floors!$1:$1,0)-MATCH($H$1,floors!$1:$1,0)+1),MATCH(I$1,floors!$1:$1,0)-MATCH($H$1,floors!$1:$1,0)+1,FALSE)</f>
        <v>50</v>
      </c>
      <c r="J150" s="4">
        <f ca="1">VLOOKUP($H150,OFFSET(floors!$A$1,0,0,COUNTA(floors!$A:$A),MATCH(J$1,floors!$1:$1,0)-MATCH($H$1,floors!$1:$1,0)+1),MATCH(J$1,floors!$1:$1,0)-MATCH($H$1,floors!$1:$1,0)+1,FALSE)</f>
        <v>60</v>
      </c>
      <c r="K150" s="100" t="s">
        <v>209</v>
      </c>
      <c r="L150" s="108">
        <v>342</v>
      </c>
      <c r="M150" s="17" t="str">
        <f ca="1">VLOOKUP($L150,OFFSET([3]enemies!$A$1,0,0,COUNTA([3]enemies!$A:$A),MATCH(M$1,[3]enemies!$1:$1,0)-MATCH($L$1,[3]enemies!$1:$1,0)+1),MATCH(M$1,[3]enemies!$1:$1,0)-MATCH($L$1,[3]enemies!$1:$1,0)+1,FALSE)</f>
        <v>水のメタルダック</v>
      </c>
      <c r="N150" s="17" t="str">
        <f ca="1">VLOOKUP($L150,OFFSET([3]enemies!$A$1,0,0,COUNTA([3]enemies!$A:$A),MATCH(N$1,[3]enemies!$1:$1,0)-MATCH($L$1,[3]enemies!$1:$1,0)+1),MATCH(N$1,[3]enemies!$1:$1,0)-MATCH($L$1,[3]enemies!$1:$1,0)+1,FALSE)</f>
        <v>blue</v>
      </c>
      <c r="O150" s="17" t="str">
        <f ca="1">VLOOKUP($L150,OFFSET([4]characters!$A$1,0,0,COUNTA([4]characters!$A:$A),MATCH(O$1,[4]characters!$1:$1,0)-MATCH($L$1,[4]characters!$1:$1,0)+1),MATCH(O$1,[4]characters!$1:$1,0)-MATCH($L$1,[4]characters!$1:$1,0)+1,FALSE)</f>
        <v>Material</v>
      </c>
      <c r="P150" s="17" t="str">
        <f ca="1">VLOOKUP($L150,OFFSET([3]enemies!$A$1,0,0,COUNTA([3]enemies!$A:$A),MATCH(P$1,[3]enemies!$1:$1,0)-MATCH($L$1,[3]enemies!$1:$1,0)+1),MATCH(P$1,[3]enemies!$1:$1,0)-MATCH($L$1,[3]enemies!$1:$1,0)+1,FALSE)</f>
        <v>unknown</v>
      </c>
      <c r="Q150" s="17">
        <f ca="1">VLOOKUP($L150,OFFSET([3]enemies!$A$1,0,0,COUNTA([3]enemies!$A:$A),MATCH(Q$1,[3]enemies!$1:$1,0)-MATCH($L$1,[3]enemies!$1:$1,0)+1),MATCH(Q$1,[3]enemies!$1:$1,0)-MATCH($L$1,[3]enemies!$1:$1,0)+1,FALSE)</f>
        <v>20</v>
      </c>
      <c r="R150" s="5">
        <v>2</v>
      </c>
      <c r="S150" s="25">
        <v>2</v>
      </c>
      <c r="T150" s="25">
        <v>99</v>
      </c>
      <c r="U150" s="5">
        <v>0</v>
      </c>
      <c r="V150" s="4" t="str">
        <f ca="1">VLOOKUP($W150,OFFSET([5]enemy_skill_sets!$B$1,0,0,COUNTA([5]enemy_skill_sets!$B:$B),MATCH(M$1,[5]enemy_skill_sets!$1:$1,0)-MATCH($W$1,[5]enemy_skill_sets!$1:$1,0)+2),MATCH(M$1,[5]enemy_skill_sets!$1:$1,0)-MATCH($W$1,[5]enemy_skill_sets!$1:$1,0)+2,FALSE)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0" s="4">
        <f ca="1">VLOOKUP($L150,OFFSET([3]enemies!$A$1,0,0,COUNTA([3]enemies!$A:$A),MATCH(W$1,[3]enemies!$1:$1,0)-MATCH($L$1,[3]enemies!$1:$1,0)+1),MATCH(W$1,[3]enemies!$1:$1,0)-MATCH($L$1,[3]enemies!$1:$1,0)+1,FALSE)</f>
        <v>0</v>
      </c>
      <c r="X150" s="6">
        <v>0</v>
      </c>
      <c r="Y150" s="6">
        <v>20</v>
      </c>
      <c r="Z150" s="6">
        <v>1</v>
      </c>
      <c r="AA150" s="17">
        <f ca="1">VLOOKUP($L150,OFFSET([3]enemies!$A$1,0,0,COUNTA([3]enemies!$A:$A),MATCH(AA$1,[3]enemies!$1:$1,0)-MATCH($L$1,[3]enemies!$1:$1,0)+1),MATCH(AA$1,[3]enemies!$1:$1,0)-MATCH($L$1,[3]enemies!$1:$1,0)+1,FALSE)</f>
        <v>3</v>
      </c>
      <c r="AB150" s="24">
        <f t="shared" si="23"/>
        <v>342</v>
      </c>
      <c r="AC150" s="4" t="str">
        <f ca="1">VLOOKUP($AB150,OFFSET([4]characters!$A$1,0,0,COUNTA([4]characters!$A:$A),MATCH(AC$1,[4]characters!$1:$1,0)-MATCH("character_id",[4]characters!$1:$1,0)+1),MATCH(AC$1,[4]characters!$1:$1,0)-MATCH("character_id",[4]characters!$1:$1,0)+1,FALSE)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150" s="4">
        <f ca="1">VLOOKUP($AB150,OFFSET([4]characters!$A$1,0,0,COUNTA([4]characters!$A:$A),MATCH(AD$1,[4]characters!$1:$1,0)-MATCH("character_id",[4]characters!$1:$1,0)+1),MATCH(AD$1,[4]characters!$1:$1,0)-MATCH("character_id",[4]characters!$1:$1,0)+1,FALSE)</f>
        <v>5</v>
      </c>
      <c r="AE150" s="4" t="str">
        <f ca="1">VLOOKUP($AB150,OFFSET([4]characters!$A$1,0,0,COUNTA([4]characters!$A:$A),MATCH(AE$1,[4]characters!$1:$1,0)-MATCH("character_id",[4]characters!$1:$1,0)+1),MATCH(AE$1,[4]characters!$1:$1,0)-MATCH("character_id",[4]characters!$1:$1,0)+1,FALSE)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0" s="7">
        <v>1</v>
      </c>
      <c r="AG150" s="24">
        <f t="shared" ca="1" si="24"/>
        <v>5</v>
      </c>
      <c r="AH150" s="8">
        <v>5</v>
      </c>
      <c r="AI150" s="7">
        <v>0</v>
      </c>
      <c r="AJ150" s="7">
        <v>0</v>
      </c>
      <c r="AK150" s="7">
        <v>0</v>
      </c>
      <c r="AL150" s="7">
        <v>0</v>
      </c>
      <c r="AM150" s="7">
        <v>1</v>
      </c>
      <c r="AN150" s="69">
        <v>1</v>
      </c>
    </row>
    <row r="151" spans="1:40" ht="21" customHeight="1" x14ac:dyDescent="0.15">
      <c r="A151" s="16" t="str">
        <f t="shared" ca="1" si="20"/>
        <v>11008_5-3/340&lt;lv2&gt;s1</v>
      </c>
      <c r="B151" s="22">
        <v>11008</v>
      </c>
      <c r="C151" s="21">
        <v>5</v>
      </c>
      <c r="D151" s="2" t="str">
        <f t="shared" si="21"/>
        <v>11008_5</v>
      </c>
      <c r="E151" s="4" t="str">
        <f ca="1">VLOOKUP($B151,OFFSET([2]quests!$A$1,0,0,COUNTA([2]quests!$A:$A),MATCH(E$1,[2]quests!$1:$1,0)-MATCH($B$1,[2]quests!$1:$1,0)+1),MATCH(E$1,[2]quests!$1:$1,0)-MATCH($B$1,[2]quests!$1:$1,0)+1,FALSE)</f>
        <v>【日曜限定】 青と黄の素材</v>
      </c>
      <c r="F151" s="4" t="str">
        <f ca="1">VLOOKUP($D151,OFFSET([2]stages!$A$1,0,0,COUNTA([2]stages!$A:$A),MATCH(F$1,[2]stages!$2:$2,0)-MATCH($D$1,[2]stages!$2:$2,0)+1),MATCH(F$1,[2]stages!$2:$2,0)-MATCH($D$1,[2]stages!$2:$2,0)+1,FALSE)</f>
        <v>【超絶級】ウミガメとネズミ</v>
      </c>
      <c r="G151" s="21">
        <v>3</v>
      </c>
      <c r="H151" s="15" t="str">
        <f t="shared" si="22"/>
        <v>11008_5-3</v>
      </c>
      <c r="I151" s="4">
        <f ca="1">VLOOKUP($H151,OFFSET(floors!$A$1,0,0,COUNTA(floors!$A:$A),MATCH(I$1,floors!$1:$1,0)-MATCH($H$1,floors!$1:$1,0)+1),MATCH(I$1,floors!$1:$1,0)-MATCH($H$1,floors!$1:$1,0)+1,FALSE)</f>
        <v>50</v>
      </c>
      <c r="J151" s="4">
        <f ca="1">VLOOKUP($H151,OFFSET(floors!$A$1,0,0,COUNTA(floors!$A:$A),MATCH(J$1,floors!$1:$1,0)-MATCH($H$1,floors!$1:$1,0)+1),MATCH(J$1,floors!$1:$1,0)-MATCH($H$1,floors!$1:$1,0)+1,FALSE)</f>
        <v>60</v>
      </c>
      <c r="K151" s="100" t="s">
        <v>209</v>
      </c>
      <c r="L151" s="108">
        <v>340</v>
      </c>
      <c r="M151" s="17" t="str">
        <f ca="1">VLOOKUP($L151,OFFSET([3]enemies!$A$1,0,0,COUNTA([3]enemies!$A:$A),MATCH(M$1,[3]enemies!$1:$1,0)-MATCH($L$1,[3]enemies!$1:$1,0)+1),MATCH(M$1,[3]enemies!$1:$1,0)-MATCH($L$1,[3]enemies!$1:$1,0)+1,FALSE)</f>
        <v>水のメタルピヨピヨ</v>
      </c>
      <c r="N151" s="17" t="str">
        <f ca="1">VLOOKUP($L151,OFFSET([3]enemies!$A$1,0,0,COUNTA([3]enemies!$A:$A),MATCH(N$1,[3]enemies!$1:$1,0)-MATCH($L$1,[3]enemies!$1:$1,0)+1),MATCH(N$1,[3]enemies!$1:$1,0)-MATCH($L$1,[3]enemies!$1:$1,0)+1,FALSE)</f>
        <v>blue</v>
      </c>
      <c r="O151" s="17" t="str">
        <f ca="1">VLOOKUP($L151,OFFSET([4]characters!$A$1,0,0,COUNTA([4]characters!$A:$A),MATCH(O$1,[4]characters!$1:$1,0)-MATCH($L$1,[4]characters!$1:$1,0)+1),MATCH(O$1,[4]characters!$1:$1,0)-MATCH($L$1,[4]characters!$1:$1,0)+1,FALSE)</f>
        <v>Material</v>
      </c>
      <c r="P151" s="17" t="str">
        <f ca="1">VLOOKUP($L151,OFFSET([3]enemies!$A$1,0,0,COUNTA([3]enemies!$A:$A),MATCH(P$1,[3]enemies!$1:$1,0)-MATCH($L$1,[3]enemies!$1:$1,0)+1),MATCH(P$1,[3]enemies!$1:$1,0)-MATCH($L$1,[3]enemies!$1:$1,0)+1,FALSE)</f>
        <v>unknown</v>
      </c>
      <c r="Q151" s="17">
        <f ca="1">VLOOKUP($L151,OFFSET([3]enemies!$A$1,0,0,COUNTA([3]enemies!$A:$A),MATCH(Q$1,[3]enemies!$1:$1,0)-MATCH($L$1,[3]enemies!$1:$1,0)+1),MATCH(Q$1,[3]enemies!$1:$1,0)-MATCH($L$1,[3]enemies!$1:$1,0)+1,FALSE)</f>
        <v>15</v>
      </c>
      <c r="R151" s="5">
        <v>2</v>
      </c>
      <c r="S151" s="25">
        <v>2</v>
      </c>
      <c r="T151" s="25">
        <v>99</v>
      </c>
      <c r="U151" s="5">
        <v>0</v>
      </c>
      <c r="V151" s="4" t="str">
        <f ca="1">VLOOKUP($W151,OFFSET([5]enemy_skill_sets!$B$1,0,0,COUNTA([5]enemy_skill_sets!$B:$B),MATCH(M$1,[5]enemy_skill_sets!$1:$1,0)-MATCH($W$1,[5]enemy_skill_sets!$1:$1,0)+2),MATCH(M$1,[5]enemy_skill_sets!$1:$1,0)-MATCH($W$1,[5]enemy_skill_sets!$1:$1,0)+2,FALSE)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1" s="4">
        <f ca="1">VLOOKUP($L151,OFFSET([3]enemies!$A$1,0,0,COUNTA([3]enemies!$A:$A),MATCH(W$1,[3]enemies!$1:$1,0)-MATCH($L$1,[3]enemies!$1:$1,0)+1),MATCH(W$1,[3]enemies!$1:$1,0)-MATCH($L$1,[3]enemies!$1:$1,0)+1,FALSE)</f>
        <v>0</v>
      </c>
      <c r="X151" s="6">
        <v>0</v>
      </c>
      <c r="Y151" s="6">
        <v>100</v>
      </c>
      <c r="Z151" s="6">
        <v>2</v>
      </c>
      <c r="AA151" s="17">
        <f ca="1">VLOOKUP($L151,OFFSET([3]enemies!$A$1,0,0,COUNTA([3]enemies!$A:$A),MATCH(AA$1,[3]enemies!$1:$1,0)-MATCH($L$1,[3]enemies!$1:$1,0)+1),MATCH(AA$1,[3]enemies!$1:$1,0)-MATCH($L$1,[3]enemies!$1:$1,0)+1,FALSE)</f>
        <v>1</v>
      </c>
      <c r="AB151" s="24">
        <f t="shared" si="23"/>
        <v>340</v>
      </c>
      <c r="AC151" s="4" t="str">
        <f ca="1">VLOOKUP($AB151,OFFSET([4]characters!$A$1,0,0,COUNTA([4]characters!$A:$A),MATCH(AC$1,[4]characters!$1:$1,0)-MATCH("character_id",[4]characters!$1:$1,0)+1),MATCH(AC$1,[4]characters!$1:$1,0)-MATCH("character_id",[4]characters!$1:$1,0)+1,FALSE)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151" s="4">
        <f ca="1">VLOOKUP($AB151,OFFSET([4]characters!$A$1,0,0,COUNTA([4]characters!$A:$A),MATCH(AD$1,[4]characters!$1:$1,0)-MATCH("character_id",[4]characters!$1:$1,0)+1),MATCH(AD$1,[4]characters!$1:$1,0)-MATCH("character_id",[4]characters!$1:$1,0)+1,FALSE)</f>
        <v>3</v>
      </c>
      <c r="AE151" s="4" t="str">
        <f ca="1">VLOOKUP($AB151,OFFSET([4]characters!$A$1,0,0,COUNTA([4]characters!$A:$A),MATCH(AE$1,[4]characters!$1:$1,0)-MATCH("character_id",[4]characters!$1:$1,0)+1),MATCH(AE$1,[4]characters!$1:$1,0)-MATCH("character_id",[4]characters!$1:$1,0)+1,FALSE)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1" s="7">
        <v>1</v>
      </c>
      <c r="AG151" s="24">
        <f t="shared" ca="1" si="24"/>
        <v>3</v>
      </c>
      <c r="AH151" s="8">
        <v>20</v>
      </c>
      <c r="AI151" s="7">
        <v>0</v>
      </c>
      <c r="AJ151" s="7">
        <v>0</v>
      </c>
      <c r="AK151" s="7">
        <v>0</v>
      </c>
      <c r="AL151" s="7">
        <v>0</v>
      </c>
      <c r="AM151" s="7">
        <v>1</v>
      </c>
      <c r="AN151" s="69">
        <v>1</v>
      </c>
    </row>
    <row r="152" spans="1:40" ht="21" customHeight="1" x14ac:dyDescent="0.15">
      <c r="A152" s="16" t="str">
        <f t="shared" ca="1" si="20"/>
        <v>11008_5-3/341&lt;lv2&gt;s2</v>
      </c>
      <c r="B152" s="22">
        <v>11008</v>
      </c>
      <c r="C152" s="21">
        <v>5</v>
      </c>
      <c r="D152" s="2" t="str">
        <f t="shared" si="21"/>
        <v>11008_5</v>
      </c>
      <c r="E152" s="4" t="str">
        <f ca="1">VLOOKUP($B152,OFFSET([2]quests!$A$1,0,0,COUNTA([2]quests!$A:$A),MATCH(E$1,[2]quests!$1:$1,0)-MATCH($B$1,[2]quests!$1:$1,0)+1),MATCH(E$1,[2]quests!$1:$1,0)-MATCH($B$1,[2]quests!$1:$1,0)+1,FALSE)</f>
        <v>【日曜限定】 青と黄の素材</v>
      </c>
      <c r="F152" s="4" t="str">
        <f ca="1">VLOOKUP($D152,OFFSET([2]stages!$A$1,0,0,COUNTA([2]stages!$A:$A),MATCH(F$1,[2]stages!$2:$2,0)-MATCH($D$1,[2]stages!$2:$2,0)+1),MATCH(F$1,[2]stages!$2:$2,0)-MATCH($D$1,[2]stages!$2:$2,0)+1,FALSE)</f>
        <v>【超絶級】ウミガメとネズミ</v>
      </c>
      <c r="G152" s="21">
        <v>3</v>
      </c>
      <c r="H152" s="15" t="str">
        <f t="shared" si="22"/>
        <v>11008_5-3</v>
      </c>
      <c r="I152" s="4">
        <f ca="1">VLOOKUP($H152,OFFSET(floors!$A$1,0,0,COUNTA(floors!$A:$A),MATCH(I$1,floors!$1:$1,0)-MATCH($H$1,floors!$1:$1,0)+1),MATCH(I$1,floors!$1:$1,0)-MATCH($H$1,floors!$1:$1,0)+1,FALSE)</f>
        <v>50</v>
      </c>
      <c r="J152" s="4">
        <f ca="1">VLOOKUP($H152,OFFSET(floors!$A$1,0,0,COUNTA(floors!$A:$A),MATCH(J$1,floors!$1:$1,0)-MATCH($H$1,floors!$1:$1,0)+1),MATCH(J$1,floors!$1:$1,0)-MATCH($H$1,floors!$1:$1,0)+1,FALSE)</f>
        <v>60</v>
      </c>
      <c r="K152" s="100" t="s">
        <v>209</v>
      </c>
      <c r="L152" s="108">
        <v>341</v>
      </c>
      <c r="M152" s="17" t="str">
        <f ca="1">VLOOKUP($L152,OFFSET([3]enemies!$A$1,0,0,COUNTA([3]enemies!$A:$A),MATCH(M$1,[3]enemies!$1:$1,0)-MATCH($L$1,[3]enemies!$1:$1,0)+1),MATCH(M$1,[3]enemies!$1:$1,0)-MATCH($L$1,[3]enemies!$1:$1,0)+1,FALSE)</f>
        <v>水のメタルチック</v>
      </c>
      <c r="N152" s="17" t="str">
        <f ca="1">VLOOKUP($L152,OFFSET([3]enemies!$A$1,0,0,COUNTA([3]enemies!$A:$A),MATCH(N$1,[3]enemies!$1:$1,0)-MATCH($L$1,[3]enemies!$1:$1,0)+1),MATCH(N$1,[3]enemies!$1:$1,0)-MATCH($L$1,[3]enemies!$1:$1,0)+1,FALSE)</f>
        <v>blue</v>
      </c>
      <c r="O152" s="17" t="str">
        <f ca="1">VLOOKUP($L152,OFFSET([4]characters!$A$1,0,0,COUNTA([4]characters!$A:$A),MATCH(O$1,[4]characters!$1:$1,0)-MATCH($L$1,[4]characters!$1:$1,0)+1),MATCH(O$1,[4]characters!$1:$1,0)-MATCH($L$1,[4]characters!$1:$1,0)+1,FALSE)</f>
        <v>Material</v>
      </c>
      <c r="P152" s="17" t="str">
        <f ca="1">VLOOKUP($L152,OFFSET([3]enemies!$A$1,0,0,COUNTA([3]enemies!$A:$A),MATCH(P$1,[3]enemies!$1:$1,0)-MATCH($L$1,[3]enemies!$1:$1,0)+1),MATCH(P$1,[3]enemies!$1:$1,0)-MATCH($L$1,[3]enemies!$1:$1,0)+1,FALSE)</f>
        <v>unknown</v>
      </c>
      <c r="Q152" s="17">
        <f ca="1">VLOOKUP($L152,OFFSET([3]enemies!$A$1,0,0,COUNTA([3]enemies!$A:$A),MATCH(Q$1,[3]enemies!$1:$1,0)-MATCH($L$1,[3]enemies!$1:$1,0)+1),MATCH(Q$1,[3]enemies!$1:$1,0)-MATCH($L$1,[3]enemies!$1:$1,0)+1,FALSE)</f>
        <v>15</v>
      </c>
      <c r="R152" s="5">
        <v>2</v>
      </c>
      <c r="S152" s="25">
        <v>2</v>
      </c>
      <c r="T152" s="25">
        <v>99</v>
      </c>
      <c r="U152" s="5">
        <v>0</v>
      </c>
      <c r="V152" s="4" t="str">
        <f ca="1">VLOOKUP($W152,OFFSET([5]enemy_skill_sets!$B$1,0,0,COUNTA([5]enemy_skill_sets!$B:$B),MATCH(M$1,[5]enemy_skill_sets!$1:$1,0)-MATCH($W$1,[5]enemy_skill_sets!$1:$1,0)+2),MATCH(M$1,[5]enemy_skill_sets!$1:$1,0)-MATCH($W$1,[5]enemy_skill_sets!$1:$1,0)+2,FALSE)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2" s="4">
        <f ca="1">VLOOKUP($L152,OFFSET([3]enemies!$A$1,0,0,COUNTA([3]enemies!$A:$A),MATCH(W$1,[3]enemies!$1:$1,0)-MATCH($L$1,[3]enemies!$1:$1,0)+1),MATCH(W$1,[3]enemies!$1:$1,0)-MATCH($L$1,[3]enemies!$1:$1,0)+1,FALSE)</f>
        <v>0</v>
      </c>
      <c r="X152" s="6">
        <v>0</v>
      </c>
      <c r="Y152" s="6">
        <v>100</v>
      </c>
      <c r="Z152" s="6">
        <v>2</v>
      </c>
      <c r="AA152" s="17">
        <f ca="1">VLOOKUP($L152,OFFSET([3]enemies!$A$1,0,0,COUNTA([3]enemies!$A:$A),MATCH(AA$1,[3]enemies!$1:$1,0)-MATCH($L$1,[3]enemies!$1:$1,0)+1),MATCH(AA$1,[3]enemies!$1:$1,0)-MATCH($L$1,[3]enemies!$1:$1,0)+1,FALSE)</f>
        <v>2</v>
      </c>
      <c r="AB152" s="24">
        <f t="shared" si="23"/>
        <v>341</v>
      </c>
      <c r="AC152" s="4" t="str">
        <f ca="1">VLOOKUP($AB152,OFFSET([4]characters!$A$1,0,0,COUNTA([4]characters!$A:$A),MATCH(AC$1,[4]characters!$1:$1,0)-MATCH("character_id",[4]characters!$1:$1,0)+1),MATCH(AC$1,[4]characters!$1:$1,0)-MATCH("character_id",[4]characters!$1:$1,0)+1,FALSE)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152" s="4">
        <f ca="1">VLOOKUP($AB152,OFFSET([4]characters!$A$1,0,0,COUNTA([4]characters!$A:$A),MATCH(AD$1,[4]characters!$1:$1,0)-MATCH("character_id",[4]characters!$1:$1,0)+1),MATCH(AD$1,[4]characters!$1:$1,0)-MATCH("character_id",[4]characters!$1:$1,0)+1,FALSE)</f>
        <v>4</v>
      </c>
      <c r="AE152" s="4" t="str">
        <f ca="1">VLOOKUP($AB152,OFFSET([4]characters!$A$1,0,0,COUNTA([4]characters!$A:$A),MATCH(AE$1,[4]characters!$1:$1,0)-MATCH("character_id",[4]characters!$1:$1,0)+1),MATCH(AE$1,[4]characters!$1:$1,0)-MATCH("character_id",[4]characters!$1:$1,0)+1,FALSE)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2" s="7">
        <v>1</v>
      </c>
      <c r="AG152" s="24">
        <f t="shared" ca="1" si="24"/>
        <v>4</v>
      </c>
      <c r="AH152" s="8">
        <v>10</v>
      </c>
      <c r="AI152" s="7">
        <v>0</v>
      </c>
      <c r="AJ152" s="7">
        <v>0</v>
      </c>
      <c r="AK152" s="7">
        <v>0</v>
      </c>
      <c r="AL152" s="7">
        <v>0</v>
      </c>
      <c r="AM152" s="7">
        <v>1</v>
      </c>
      <c r="AN152" s="69">
        <v>1</v>
      </c>
    </row>
    <row r="153" spans="1:40" ht="21" customHeight="1" x14ac:dyDescent="0.15">
      <c r="A153" s="16" t="str">
        <f t="shared" si="20"/>
        <v>11008_5-4/364&lt;lv52&gt;s2</v>
      </c>
      <c r="B153" s="22">
        <v>11008</v>
      </c>
      <c r="C153" s="21">
        <v>5</v>
      </c>
      <c r="D153" s="2" t="str">
        <f t="shared" si="21"/>
        <v>11008_5</v>
      </c>
      <c r="E153" s="4" t="str">
        <f ca="1">VLOOKUP($B153,OFFSET([2]quests!$A$1,0,0,COUNTA([2]quests!$A:$A),MATCH(E$1,[2]quests!$1:$1,0)-MATCH($B$1,[2]quests!$1:$1,0)+1),MATCH(E$1,[2]quests!$1:$1,0)-MATCH($B$1,[2]quests!$1:$1,0)+1,FALSE)</f>
        <v>【日曜限定】 青と黄の素材</v>
      </c>
      <c r="F153" s="4" t="str">
        <f ca="1">VLOOKUP($D153,OFFSET([2]stages!$A$1,0,0,COUNTA([2]stages!$A:$A),MATCH(F$1,[2]stages!$2:$2,0)-MATCH($D$1,[2]stages!$2:$2,0)+1),MATCH(F$1,[2]stages!$2:$2,0)-MATCH($D$1,[2]stages!$2:$2,0)+1,FALSE)</f>
        <v>【超絶級】ウミガメとネズミ</v>
      </c>
      <c r="G153" s="21">
        <v>4</v>
      </c>
      <c r="H153" s="15" t="str">
        <f t="shared" si="22"/>
        <v>11008_5-4</v>
      </c>
      <c r="I153" s="4">
        <f ca="1">VLOOKUP($H153,OFFSET(floors!$A$1,0,0,COUNTA(floors!$A:$A),MATCH(I$1,floors!$1:$1,0)-MATCH($H$1,floors!$1:$1,0)+1),MATCH(I$1,floors!$1:$1,0)-MATCH($H$1,floors!$1:$1,0)+1,FALSE)</f>
        <v>45</v>
      </c>
      <c r="J153" s="4">
        <f ca="1">VLOOKUP($H153,OFFSET(floors!$A$1,0,0,COUNTA(floors!$A:$A),MATCH(J$1,floors!$1:$1,0)-MATCH($H$1,floors!$1:$1,0)+1),MATCH(J$1,floors!$1:$1,0)-MATCH($H$1,floors!$1:$1,0)+1,FALSE)</f>
        <v>60</v>
      </c>
      <c r="K153" s="100" t="s">
        <v>209</v>
      </c>
      <c r="L153" s="108">
        <v>364</v>
      </c>
      <c r="M153" s="17" t="str">
        <f ca="1">VLOOKUP($L153,OFFSET([3]enemies!$A$1,0,0,COUNTA([3]enemies!$A:$A),MATCH(M$1,[3]enemies!$1:$1,0)-MATCH($L$1,[3]enemies!$1:$1,0)+1),MATCH(M$1,[3]enemies!$1:$1,0)-MATCH($L$1,[3]enemies!$1:$1,0)+1,FALSE)</f>
        <v>ノエル</v>
      </c>
      <c r="N153" s="17" t="str">
        <f ca="1">VLOOKUP($L153,OFFSET([3]enemies!$A$1,0,0,COUNTA([3]enemies!$A:$A),MATCH(N$1,[3]enemies!$1:$1,0)-MATCH($L$1,[3]enemies!$1:$1,0)+1),MATCH(N$1,[3]enemies!$1:$1,0)-MATCH($L$1,[3]enemies!$1:$1,0)+1,FALSE)</f>
        <v>blue</v>
      </c>
      <c r="O153" s="17" t="str">
        <f ca="1">VLOOKUP($L153,OFFSET([4]characters!$A$1,0,0,COUNTA([4]characters!$A:$A),MATCH(O$1,[4]characters!$1:$1,0)-MATCH($L$1,[4]characters!$1:$1,0)+1),MATCH(O$1,[4]characters!$1:$1,0)-MATCH($L$1,[4]characters!$1:$1,0)+1,FALSE)</f>
        <v>Drop1S</v>
      </c>
      <c r="P153" s="17" t="str">
        <f ca="1">VLOOKUP($L153,OFFSET([3]enemies!$A$1,0,0,COUNTA([3]enemies!$A:$A),MATCH(P$1,[3]enemies!$1:$1,0)-MATCH($L$1,[3]enemies!$1:$1,0)+1),MATCH(P$1,[3]enemies!$1:$1,0)-MATCH($L$1,[3]enemies!$1:$1,0)+1,FALSE)</f>
        <v>animal</v>
      </c>
      <c r="Q153" s="17">
        <f ca="1">VLOOKUP($L153,OFFSET([3]enemies!$A$1,0,0,COUNTA([3]enemies!$A:$A),MATCH(Q$1,[3]enemies!$1:$1,0)-MATCH($L$1,[3]enemies!$1:$1,0)+1),MATCH(Q$1,[3]enemies!$1:$1,0)-MATCH($L$1,[3]enemies!$1:$1,0)+1,FALSE)</f>
        <v>15</v>
      </c>
      <c r="R153" s="5">
        <v>52</v>
      </c>
      <c r="S153" s="25">
        <v>1.7</v>
      </c>
      <c r="T153" s="25">
        <v>0.7</v>
      </c>
      <c r="U153" s="5">
        <v>0</v>
      </c>
      <c r="V153" s="4" t="str">
        <f ca="1">VLOOKUP($W153,OFFSET([5]enemy_skill_sets!$B$1,0,0,COUNTA([5]enemy_skill_sets!$B:$B),MATCH(M$1,[5]enemy_skill_sets!$1:$1,0)-MATCH($W$1,[5]enemy_skill_sets!$1:$1,0)+2),MATCH(M$1,[5]enemy_skill_sets!$1:$1,0)-MATCH($W$1,[5]enemy_skill_sets!$1:$1,0)+2,FALSE)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153" s="4">
        <v>364</v>
      </c>
      <c r="X153" s="6">
        <v>0</v>
      </c>
      <c r="Y153" s="6">
        <v>50</v>
      </c>
      <c r="Z153" s="6">
        <v>1</v>
      </c>
      <c r="AA153" s="17">
        <v>2</v>
      </c>
      <c r="AB153" s="24">
        <f t="shared" si="23"/>
        <v>364</v>
      </c>
      <c r="AC153" s="4" t="str">
        <f ca="1">VLOOKUP($AB153,OFFSET([4]characters!$A$1,0,0,COUNTA([4]characters!$A:$A),MATCH(AC$1,[4]characters!$1:$1,0)-MATCH("character_id",[4]characters!$1:$1,0)+1),MATCH(AC$1,[4]characters!$1:$1,0)-MATCH("character_id",[4]characters!$1:$1,0)+1,FALSE)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53" s="4">
        <f ca="1">VLOOKUP($AB153,OFFSET([4]characters!$A$1,0,0,COUNTA([4]characters!$A:$A),MATCH(AD$1,[4]characters!$1:$1,0)-MATCH("character_id",[4]characters!$1:$1,0)+1),MATCH(AD$1,[4]characters!$1:$1,0)-MATCH("character_id",[4]characters!$1:$1,0)+1,FALSE)</f>
        <v>2</v>
      </c>
      <c r="AE153" s="4" t="str">
        <f ca="1">VLOOKUP($AB153,OFFSET([4]characters!$A$1,0,0,COUNTA([4]characters!$A:$A),MATCH(AE$1,[4]characters!$1:$1,0)-MATCH("character_id",[4]characters!$1:$1,0)+1),MATCH(AE$1,[4]characters!$1:$1,0)-MATCH("character_id",[4]characters!$1:$1,0)+1,FALSE)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3" s="7">
        <v>1</v>
      </c>
      <c r="AG153" s="24">
        <f t="shared" ca="1" si="24"/>
        <v>2</v>
      </c>
      <c r="AH153" s="8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1</v>
      </c>
      <c r="AN153" s="69">
        <v>1</v>
      </c>
    </row>
    <row r="154" spans="1:40" ht="21" customHeight="1" x14ac:dyDescent="0.15">
      <c r="A154" s="16" t="str">
        <f t="shared" si="20"/>
        <v>11008_5-4/374&lt;lv52&gt;s1</v>
      </c>
      <c r="B154" s="22">
        <v>11008</v>
      </c>
      <c r="C154" s="21">
        <v>5</v>
      </c>
      <c r="D154" s="2" t="str">
        <f t="shared" si="21"/>
        <v>11008_5</v>
      </c>
      <c r="E154" s="4" t="str">
        <f ca="1">VLOOKUP($B154,OFFSET([2]quests!$A$1,0,0,COUNTA([2]quests!$A:$A),MATCH(E$1,[2]quests!$1:$1,0)-MATCH($B$1,[2]quests!$1:$1,0)+1),MATCH(E$1,[2]quests!$1:$1,0)-MATCH($B$1,[2]quests!$1:$1,0)+1,FALSE)</f>
        <v>【日曜限定】 青と黄の素材</v>
      </c>
      <c r="F154" s="4" t="str">
        <f ca="1">VLOOKUP($D154,OFFSET([2]stages!$A$1,0,0,COUNTA([2]stages!$A:$A),MATCH(F$1,[2]stages!$2:$2,0)-MATCH($D$1,[2]stages!$2:$2,0)+1),MATCH(F$1,[2]stages!$2:$2,0)-MATCH($D$1,[2]stages!$2:$2,0)+1,FALSE)</f>
        <v>【超絶級】ウミガメとネズミ</v>
      </c>
      <c r="G154" s="21">
        <v>4</v>
      </c>
      <c r="H154" s="15" t="str">
        <f t="shared" si="22"/>
        <v>11008_5-4</v>
      </c>
      <c r="I154" s="4">
        <f ca="1">VLOOKUP($H154,OFFSET(floors!$A$1,0,0,COUNTA(floors!$A:$A),MATCH(I$1,floors!$1:$1,0)-MATCH($H$1,floors!$1:$1,0)+1),MATCH(I$1,floors!$1:$1,0)-MATCH($H$1,floors!$1:$1,0)+1,FALSE)</f>
        <v>45</v>
      </c>
      <c r="J154" s="4">
        <f ca="1">VLOOKUP($H154,OFFSET(floors!$A$1,0,0,COUNTA(floors!$A:$A),MATCH(J$1,floors!$1:$1,0)-MATCH($H$1,floors!$1:$1,0)+1),MATCH(J$1,floors!$1:$1,0)-MATCH($H$1,floors!$1:$1,0)+1,FALSE)</f>
        <v>60</v>
      </c>
      <c r="K154" s="100" t="s">
        <v>209</v>
      </c>
      <c r="L154" s="108">
        <v>374</v>
      </c>
      <c r="M154" s="17" t="str">
        <f ca="1">VLOOKUP($L154,OFFSET([3]enemies!$A$1,0,0,COUNTA([3]enemies!$A:$A),MATCH(M$1,[3]enemies!$1:$1,0)-MATCH($L$1,[3]enemies!$1:$1,0)+1),MATCH(M$1,[3]enemies!$1:$1,0)-MATCH($L$1,[3]enemies!$1:$1,0)+1,FALSE)</f>
        <v>影丸</v>
      </c>
      <c r="N154" s="17" t="str">
        <f ca="1">VLOOKUP($L154,OFFSET([3]enemies!$A$1,0,0,COUNTA([3]enemies!$A:$A),MATCH(N$1,[3]enemies!$1:$1,0)-MATCH($L$1,[3]enemies!$1:$1,0)+1),MATCH(N$1,[3]enemies!$1:$1,0)-MATCH($L$1,[3]enemies!$1:$1,0)+1,FALSE)</f>
        <v>blue</v>
      </c>
      <c r="O154" s="17" t="str">
        <f ca="1">VLOOKUP($L154,OFFSET([4]characters!$A$1,0,0,COUNTA([4]characters!$A:$A),MATCH(O$1,[4]characters!$1:$1,0)-MATCH($L$1,[4]characters!$1:$1,0)+1),MATCH(O$1,[4]characters!$1:$1,0)-MATCH($L$1,[4]characters!$1:$1,0)+1,FALSE)</f>
        <v>Drop1S</v>
      </c>
      <c r="P154" s="17" t="str">
        <f ca="1">VLOOKUP($L154,OFFSET([3]enemies!$A$1,0,0,COUNTA([3]enemies!$A:$A),MATCH(P$1,[3]enemies!$1:$1,0)-MATCH($L$1,[3]enemies!$1:$1,0)+1),MATCH(P$1,[3]enemies!$1:$1,0)-MATCH($L$1,[3]enemies!$1:$1,0)+1,FALSE)</f>
        <v>animal</v>
      </c>
      <c r="Q154" s="17">
        <f ca="1">VLOOKUP($L154,OFFSET([3]enemies!$A$1,0,0,COUNTA([3]enemies!$A:$A),MATCH(Q$1,[3]enemies!$1:$1,0)-MATCH($L$1,[3]enemies!$1:$1,0)+1),MATCH(Q$1,[3]enemies!$1:$1,0)-MATCH($L$1,[3]enemies!$1:$1,0)+1,FALSE)</f>
        <v>15</v>
      </c>
      <c r="R154" s="5">
        <v>52</v>
      </c>
      <c r="S154" s="25">
        <v>1.9</v>
      </c>
      <c r="T154" s="25">
        <v>1.9</v>
      </c>
      <c r="U154" s="5">
        <v>0</v>
      </c>
      <c r="V154" s="4" t="str">
        <f ca="1">VLOOKUP($W154,OFFSET(enemy_skill_sets!$B$1,0,0,COUNTA(enemy_skill_sets!$B:$B),MATCH(M$1,enemy_skill_sets!$1:$1,0)-MATCH($W$1,enemy_skill_sets!$1:$1,0)+2),MATCH(M$1,enemy_skill_sets!$1:$1,0)-MATCH($W$1,enemy_skill_sets!$1:$1,0)+2,FALSE)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154" s="109">
        <v>1122208</v>
      </c>
      <c r="X154" s="6">
        <v>0</v>
      </c>
      <c r="Y154" s="6">
        <v>50</v>
      </c>
      <c r="Z154" s="6">
        <v>2</v>
      </c>
      <c r="AA154" s="17">
        <v>1</v>
      </c>
      <c r="AB154" s="24">
        <f t="shared" si="23"/>
        <v>374</v>
      </c>
      <c r="AC154" s="4" t="str">
        <f ca="1">VLOOKUP($AB154,OFFSET([4]characters!$A$1,0,0,COUNTA([4]characters!$A:$A),MATCH(AC$1,[4]characters!$1:$1,0)-MATCH("character_id",[4]characters!$1:$1,0)+1),MATCH(AC$1,[4]characters!$1:$1,0)-MATCH("character_id",[4]characters!$1:$1,0)+1,FALSE)</f>
        <v>影丸</v>
      </c>
      <c r="AD154" s="4">
        <f ca="1">VLOOKUP($AB154,OFFSET([4]characters!$A$1,0,0,COUNTA([4]characters!$A:$A),MATCH(AD$1,[4]characters!$1:$1,0)-MATCH("character_id",[4]characters!$1:$1,0)+1),MATCH(AD$1,[4]characters!$1:$1,0)-MATCH("character_id",[4]characters!$1:$1,0)+1,FALSE)</f>
        <v>2</v>
      </c>
      <c r="AE154" s="4" t="str">
        <f ca="1">VLOOKUP($AB154,OFFSET([4]characters!$A$1,0,0,COUNTA([4]characters!$A:$A),MATCH(AE$1,[4]characters!$1:$1,0)-MATCH("character_id",[4]characters!$1:$1,0)+1),MATCH(AE$1,[4]characters!$1:$1,0)-MATCH("character_id",[4]characters!$1:$1,0)+1,FALSE)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4" s="7">
        <v>1</v>
      </c>
      <c r="AG154" s="24">
        <f t="shared" ca="1" si="24"/>
        <v>2</v>
      </c>
      <c r="AH154" s="8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1</v>
      </c>
      <c r="AN154" s="69">
        <v>1</v>
      </c>
    </row>
    <row r="155" spans="1:40" ht="21" customHeight="1" x14ac:dyDescent="0.15">
      <c r="A155" s="16" t="str">
        <f t="shared" si="20"/>
        <v>11008_5-5/364&lt;lv52&gt;s2</v>
      </c>
      <c r="B155" s="22">
        <v>11008</v>
      </c>
      <c r="C155" s="21">
        <v>5</v>
      </c>
      <c r="D155" s="2" t="str">
        <f t="shared" si="21"/>
        <v>11008_5</v>
      </c>
      <c r="E155" s="4" t="str">
        <f ca="1">VLOOKUP($B155,OFFSET([2]quests!$A$1,0,0,COUNTA([2]quests!$A:$A),MATCH(E$1,[2]quests!$1:$1,0)-MATCH($B$1,[2]quests!$1:$1,0)+1),MATCH(E$1,[2]quests!$1:$1,0)-MATCH($B$1,[2]quests!$1:$1,0)+1,FALSE)</f>
        <v>【日曜限定】 青と黄の素材</v>
      </c>
      <c r="F155" s="4" t="str">
        <f ca="1">VLOOKUP($D155,OFFSET([2]stages!$A$1,0,0,COUNTA([2]stages!$A:$A),MATCH(F$1,[2]stages!$2:$2,0)-MATCH($D$1,[2]stages!$2:$2,0)+1),MATCH(F$1,[2]stages!$2:$2,0)-MATCH($D$1,[2]stages!$2:$2,0)+1,FALSE)</f>
        <v>【超絶級】ウミガメとネズミ</v>
      </c>
      <c r="G155" s="21">
        <v>5</v>
      </c>
      <c r="H155" s="15" t="str">
        <f t="shared" si="22"/>
        <v>11008_5-5</v>
      </c>
      <c r="I155" s="4">
        <f ca="1">VLOOKUP($H155,OFFSET(floors!$A$1,0,0,COUNTA(floors!$A:$A),MATCH(I$1,floors!$1:$1,0)-MATCH($H$1,floors!$1:$1,0)+1),MATCH(I$1,floors!$1:$1,0)-MATCH($H$1,floors!$1:$1,0)+1,FALSE)</f>
        <v>60</v>
      </c>
      <c r="J155" s="4">
        <f ca="1">VLOOKUP($H155,OFFSET(floors!$A$1,0,0,COUNTA(floors!$A:$A),MATCH(J$1,floors!$1:$1,0)-MATCH($H$1,floors!$1:$1,0)+1),MATCH(J$1,floors!$1:$1,0)-MATCH($H$1,floors!$1:$1,0)+1,FALSE)</f>
        <v>60</v>
      </c>
      <c r="K155" s="100" t="s">
        <v>209</v>
      </c>
      <c r="L155" s="108">
        <v>364</v>
      </c>
      <c r="M155" s="17" t="str">
        <f ca="1">VLOOKUP($L155,OFFSET([3]enemies!$A$1,0,0,COUNTA([3]enemies!$A:$A),MATCH(M$1,[3]enemies!$1:$1,0)-MATCH($L$1,[3]enemies!$1:$1,0)+1),MATCH(M$1,[3]enemies!$1:$1,0)-MATCH($L$1,[3]enemies!$1:$1,0)+1,FALSE)</f>
        <v>ノエル</v>
      </c>
      <c r="N155" s="17" t="str">
        <f ca="1">VLOOKUP($L155,OFFSET([3]enemies!$A$1,0,0,COUNTA([3]enemies!$A:$A),MATCH(N$1,[3]enemies!$1:$1,0)-MATCH($L$1,[3]enemies!$1:$1,0)+1),MATCH(N$1,[3]enemies!$1:$1,0)-MATCH($L$1,[3]enemies!$1:$1,0)+1,FALSE)</f>
        <v>blue</v>
      </c>
      <c r="O155" s="17" t="str">
        <f ca="1">VLOOKUP($L155,OFFSET([4]characters!$A$1,0,0,COUNTA([4]characters!$A:$A),MATCH(O$1,[4]characters!$1:$1,0)-MATCH($L$1,[4]characters!$1:$1,0)+1),MATCH(O$1,[4]characters!$1:$1,0)-MATCH($L$1,[4]characters!$1:$1,0)+1,FALSE)</f>
        <v>Drop1S</v>
      </c>
      <c r="P155" s="17" t="str">
        <f ca="1">VLOOKUP($L155,OFFSET([3]enemies!$A$1,0,0,COUNTA([3]enemies!$A:$A),MATCH(P$1,[3]enemies!$1:$1,0)-MATCH($L$1,[3]enemies!$1:$1,0)+1),MATCH(P$1,[3]enemies!$1:$1,0)-MATCH($L$1,[3]enemies!$1:$1,0)+1,FALSE)</f>
        <v>animal</v>
      </c>
      <c r="Q155" s="17">
        <f ca="1">VLOOKUP($L155,OFFSET([3]enemies!$A$1,0,0,COUNTA([3]enemies!$A:$A),MATCH(Q$1,[3]enemies!$1:$1,0)-MATCH($L$1,[3]enemies!$1:$1,0)+1),MATCH(Q$1,[3]enemies!$1:$1,0)-MATCH($L$1,[3]enemies!$1:$1,0)+1,FALSE)</f>
        <v>15</v>
      </c>
      <c r="R155" s="5">
        <v>52</v>
      </c>
      <c r="S155" s="25">
        <v>1.7</v>
      </c>
      <c r="T155" s="25">
        <v>0.7</v>
      </c>
      <c r="U155" s="5">
        <v>0</v>
      </c>
      <c r="V155" s="4" t="str">
        <f ca="1">VLOOKUP($W155,OFFSET([5]enemy_skill_sets!$B$1,0,0,COUNTA([5]enemy_skill_sets!$B:$B),MATCH(M$1,[5]enemy_skill_sets!$1:$1,0)-MATCH($W$1,[5]enemy_skill_sets!$1:$1,0)+2),MATCH(M$1,[5]enemy_skill_sets!$1:$1,0)-MATCH($W$1,[5]enemy_skill_sets!$1:$1,0)+2,FALSE)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155" s="4">
        <v>364</v>
      </c>
      <c r="X155" s="6">
        <v>0</v>
      </c>
      <c r="Y155" s="6">
        <v>50</v>
      </c>
      <c r="Z155" s="6">
        <v>1</v>
      </c>
      <c r="AA155" s="17">
        <v>2</v>
      </c>
      <c r="AB155" s="24">
        <f t="shared" si="23"/>
        <v>364</v>
      </c>
      <c r="AC155" s="4" t="str">
        <f ca="1">VLOOKUP($AB155,OFFSET([4]characters!$A$1,0,0,COUNTA([4]characters!$A:$A),MATCH(AC$1,[4]characters!$1:$1,0)-MATCH("character_id",[4]characters!$1:$1,0)+1),MATCH(AC$1,[4]characters!$1:$1,0)-MATCH("character_id",[4]characters!$1:$1,0)+1,FALSE)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55" s="4">
        <f ca="1">VLOOKUP($AB155,OFFSET([4]characters!$A$1,0,0,COUNTA([4]characters!$A:$A),MATCH(AD$1,[4]characters!$1:$1,0)-MATCH("character_id",[4]characters!$1:$1,0)+1),MATCH(AD$1,[4]characters!$1:$1,0)-MATCH("character_id",[4]characters!$1:$1,0)+1,FALSE)</f>
        <v>2</v>
      </c>
      <c r="AE155" s="4" t="str">
        <f ca="1">VLOOKUP($AB155,OFFSET([4]characters!$A$1,0,0,COUNTA([4]characters!$A:$A),MATCH(AE$1,[4]characters!$1:$1,0)-MATCH("character_id",[4]characters!$1:$1,0)+1),MATCH(AE$1,[4]characters!$1:$1,0)-MATCH("character_id",[4]characters!$1:$1,0)+1,FALSE)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5" s="7">
        <v>1</v>
      </c>
      <c r="AG155" s="24">
        <f t="shared" ca="1" si="24"/>
        <v>2</v>
      </c>
      <c r="AH155" s="8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1</v>
      </c>
      <c r="AN155" s="69">
        <v>1</v>
      </c>
    </row>
    <row r="156" spans="1:40" ht="21" customHeight="1" x14ac:dyDescent="0.15">
      <c r="A156" s="16" t="str">
        <f t="shared" si="20"/>
        <v>11008_5-5/374&lt;lv52&gt;s1</v>
      </c>
      <c r="B156" s="22">
        <v>11008</v>
      </c>
      <c r="C156" s="21">
        <v>5</v>
      </c>
      <c r="D156" s="2" t="str">
        <f t="shared" si="21"/>
        <v>11008_5</v>
      </c>
      <c r="E156" s="4" t="str">
        <f ca="1">VLOOKUP($B156,OFFSET([2]quests!$A$1,0,0,COUNTA([2]quests!$A:$A),MATCH(E$1,[2]quests!$1:$1,0)-MATCH($B$1,[2]quests!$1:$1,0)+1),MATCH(E$1,[2]quests!$1:$1,0)-MATCH($B$1,[2]quests!$1:$1,0)+1,FALSE)</f>
        <v>【日曜限定】 青と黄の素材</v>
      </c>
      <c r="F156" s="4" t="str">
        <f ca="1">VLOOKUP($D156,OFFSET([2]stages!$A$1,0,0,COUNTA([2]stages!$A:$A),MATCH(F$1,[2]stages!$2:$2,0)-MATCH($D$1,[2]stages!$2:$2,0)+1),MATCH(F$1,[2]stages!$2:$2,0)-MATCH($D$1,[2]stages!$2:$2,0)+1,FALSE)</f>
        <v>【超絶級】ウミガメとネズミ</v>
      </c>
      <c r="G156" s="21">
        <v>5</v>
      </c>
      <c r="H156" s="15" t="str">
        <f t="shared" si="22"/>
        <v>11008_5-5</v>
      </c>
      <c r="I156" s="4">
        <f ca="1">VLOOKUP($H156,OFFSET(floors!$A$1,0,0,COUNTA(floors!$A:$A),MATCH(I$1,floors!$1:$1,0)-MATCH($H$1,floors!$1:$1,0)+1),MATCH(I$1,floors!$1:$1,0)-MATCH($H$1,floors!$1:$1,0)+1,FALSE)</f>
        <v>60</v>
      </c>
      <c r="J156" s="4">
        <f ca="1">VLOOKUP($H156,OFFSET(floors!$A$1,0,0,COUNTA(floors!$A:$A),MATCH(J$1,floors!$1:$1,0)-MATCH($H$1,floors!$1:$1,0)+1),MATCH(J$1,floors!$1:$1,0)-MATCH($H$1,floors!$1:$1,0)+1,FALSE)</f>
        <v>60</v>
      </c>
      <c r="K156" s="100" t="s">
        <v>209</v>
      </c>
      <c r="L156" s="108">
        <v>374</v>
      </c>
      <c r="M156" s="17" t="str">
        <f ca="1">VLOOKUP($L156,OFFSET([3]enemies!$A$1,0,0,COUNTA([3]enemies!$A:$A),MATCH(M$1,[3]enemies!$1:$1,0)-MATCH($L$1,[3]enemies!$1:$1,0)+1),MATCH(M$1,[3]enemies!$1:$1,0)-MATCH($L$1,[3]enemies!$1:$1,0)+1,FALSE)</f>
        <v>影丸</v>
      </c>
      <c r="N156" s="17" t="str">
        <f ca="1">VLOOKUP($L156,OFFSET([3]enemies!$A$1,0,0,COUNTA([3]enemies!$A:$A),MATCH(N$1,[3]enemies!$1:$1,0)-MATCH($L$1,[3]enemies!$1:$1,0)+1),MATCH(N$1,[3]enemies!$1:$1,0)-MATCH($L$1,[3]enemies!$1:$1,0)+1,FALSE)</f>
        <v>blue</v>
      </c>
      <c r="O156" s="17" t="str">
        <f ca="1">VLOOKUP($L156,OFFSET([4]characters!$A$1,0,0,COUNTA([4]characters!$A:$A),MATCH(O$1,[4]characters!$1:$1,0)-MATCH($L$1,[4]characters!$1:$1,0)+1),MATCH(O$1,[4]characters!$1:$1,0)-MATCH($L$1,[4]characters!$1:$1,0)+1,FALSE)</f>
        <v>Drop1S</v>
      </c>
      <c r="P156" s="17" t="str">
        <f ca="1">VLOOKUP($L156,OFFSET([3]enemies!$A$1,0,0,COUNTA([3]enemies!$A:$A),MATCH(P$1,[3]enemies!$1:$1,0)-MATCH($L$1,[3]enemies!$1:$1,0)+1),MATCH(P$1,[3]enemies!$1:$1,0)-MATCH($L$1,[3]enemies!$1:$1,0)+1,FALSE)</f>
        <v>animal</v>
      </c>
      <c r="Q156" s="17">
        <f ca="1">VLOOKUP($L156,OFFSET([3]enemies!$A$1,0,0,COUNTA([3]enemies!$A:$A),MATCH(Q$1,[3]enemies!$1:$1,0)-MATCH($L$1,[3]enemies!$1:$1,0)+1),MATCH(Q$1,[3]enemies!$1:$1,0)-MATCH($L$1,[3]enemies!$1:$1,0)+1,FALSE)</f>
        <v>15</v>
      </c>
      <c r="R156" s="5">
        <v>52</v>
      </c>
      <c r="S156" s="25">
        <v>1.9</v>
      </c>
      <c r="T156" s="25">
        <v>1.9</v>
      </c>
      <c r="U156" s="5">
        <v>0</v>
      </c>
      <c r="V156" s="4" t="str">
        <f ca="1">VLOOKUP($W156,OFFSET(enemy_skill_sets!$B$1,0,0,COUNTA(enemy_skill_sets!$B:$B),MATCH(M$1,enemy_skill_sets!$1:$1,0)-MATCH($W$1,enemy_skill_sets!$1:$1,0)+2),MATCH(M$1,enemy_skill_sets!$1:$1,0)-MATCH($W$1,enemy_skill_sets!$1:$1,0)+2,FALSE)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156" s="109">
        <v>1122208</v>
      </c>
      <c r="X156" s="6">
        <v>0</v>
      </c>
      <c r="Y156" s="6">
        <v>50</v>
      </c>
      <c r="Z156" s="6">
        <v>2</v>
      </c>
      <c r="AA156" s="17">
        <v>1</v>
      </c>
      <c r="AB156" s="24">
        <f t="shared" si="23"/>
        <v>374</v>
      </c>
      <c r="AC156" s="4" t="str">
        <f ca="1">VLOOKUP($AB156,OFFSET([4]characters!$A$1,0,0,COUNTA([4]characters!$A:$A),MATCH(AC$1,[4]characters!$1:$1,0)-MATCH("character_id",[4]characters!$1:$1,0)+1),MATCH(AC$1,[4]characters!$1:$1,0)-MATCH("character_id",[4]characters!$1:$1,0)+1,FALSE)</f>
        <v>影丸</v>
      </c>
      <c r="AD156" s="4">
        <f ca="1">VLOOKUP($AB156,OFFSET([4]characters!$A$1,0,0,COUNTA([4]characters!$A:$A),MATCH(AD$1,[4]characters!$1:$1,0)-MATCH("character_id",[4]characters!$1:$1,0)+1),MATCH(AD$1,[4]characters!$1:$1,0)-MATCH("character_id",[4]characters!$1:$1,0)+1,FALSE)</f>
        <v>2</v>
      </c>
      <c r="AE156" s="4" t="str">
        <f ca="1">VLOOKUP($AB156,OFFSET([4]characters!$A$1,0,0,COUNTA([4]characters!$A:$A),MATCH(AE$1,[4]characters!$1:$1,0)-MATCH("character_id",[4]characters!$1:$1,0)+1),MATCH(AE$1,[4]characters!$1:$1,0)-MATCH("character_id",[4]characters!$1:$1,0)+1,FALSE)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6" s="7">
        <v>1</v>
      </c>
      <c r="AG156" s="24">
        <f t="shared" ca="1" si="24"/>
        <v>2</v>
      </c>
      <c r="AH156" s="8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1</v>
      </c>
      <c r="AN156" s="69">
        <v>1</v>
      </c>
    </row>
    <row r="157" spans="1:40" ht="21" customHeight="1" x14ac:dyDescent="0.15">
      <c r="A157" s="16" t="str">
        <f t="shared" si="20"/>
        <v>11008_5-6/358&lt;lv50&gt;s3</v>
      </c>
      <c r="B157" s="22">
        <v>11008</v>
      </c>
      <c r="C157" s="21">
        <v>5</v>
      </c>
      <c r="D157" s="2" t="str">
        <f t="shared" si="21"/>
        <v>11008_5</v>
      </c>
      <c r="E157" s="4" t="str">
        <f ca="1">VLOOKUP($B157,OFFSET([2]quests!$A$1,0,0,COUNTA([2]quests!$A:$A),MATCH(E$1,[2]quests!$1:$1,0)-MATCH($B$1,[2]quests!$1:$1,0)+1),MATCH(E$1,[2]quests!$1:$1,0)-MATCH($B$1,[2]quests!$1:$1,0)+1,FALSE)</f>
        <v>【日曜限定】 青と黄の素材</v>
      </c>
      <c r="F157" s="4" t="str">
        <f ca="1">VLOOKUP($D157,OFFSET([2]stages!$A$1,0,0,COUNTA([2]stages!$A:$A),MATCH(F$1,[2]stages!$2:$2,0)-MATCH($D$1,[2]stages!$2:$2,0)+1),MATCH(F$1,[2]stages!$2:$2,0)-MATCH($D$1,[2]stages!$2:$2,0)+1,FALSE)</f>
        <v>【超絶級】ウミガメとネズミ</v>
      </c>
      <c r="G157" s="21">
        <v>6</v>
      </c>
      <c r="H157" s="15" t="str">
        <f t="shared" si="22"/>
        <v>11008_5-6</v>
      </c>
      <c r="I157" s="4">
        <f ca="1">VLOOKUP($H157,OFFSET(floors!$A$1,0,0,COUNTA(floors!$A:$A),MATCH(I$1,floors!$1:$1,0)-MATCH($H$1,floors!$1:$1,0)+1),MATCH(I$1,floors!$1:$1,0)-MATCH($H$1,floors!$1:$1,0)+1,FALSE)</f>
        <v>60</v>
      </c>
      <c r="J157" s="4">
        <f ca="1">VLOOKUP($H157,OFFSET(floors!$A$1,0,0,COUNTA(floors!$A:$A),MATCH(J$1,floors!$1:$1,0)-MATCH($H$1,floors!$1:$1,0)+1),MATCH(J$1,floors!$1:$1,0)-MATCH($H$1,floors!$1:$1,0)+1,FALSE)</f>
        <v>60</v>
      </c>
      <c r="K157" s="100" t="s">
        <v>209</v>
      </c>
      <c r="L157" s="108">
        <v>358</v>
      </c>
      <c r="M157" s="17" t="str">
        <f ca="1">VLOOKUP($L157,OFFSET([3]enemies!$A$1,0,0,COUNTA([3]enemies!$A:$A),MATCH(M$1,[3]enemies!$1:$1,0)-MATCH($L$1,[3]enemies!$1:$1,0)+1),MATCH(M$1,[3]enemies!$1:$1,0)-MATCH($L$1,[3]enemies!$1:$1,0)+1,FALSE)</f>
        <v>深淵の代用ウミガメ</v>
      </c>
      <c r="N157" s="17" t="str">
        <f ca="1">VLOOKUP($L157,OFFSET([3]enemies!$A$1,0,0,COUNTA([3]enemies!$A:$A),MATCH(N$1,[3]enemies!$1:$1,0)-MATCH($L$1,[3]enemies!$1:$1,0)+1),MATCH(N$1,[3]enemies!$1:$1,0)-MATCH($L$1,[3]enemies!$1:$1,0)+1,FALSE)</f>
        <v>blue</v>
      </c>
      <c r="O157" s="17" t="str">
        <f ca="1">VLOOKUP($L157,OFFSET([4]characters!$A$1,0,0,COUNTA([4]characters!$A:$A),MATCH(O$1,[4]characters!$1:$1,0)-MATCH($L$1,[4]characters!$1:$1,0)+1),MATCH(O$1,[4]characters!$1:$1,0)-MATCH($L$1,[4]characters!$1:$1,0)+1,FALSE)</f>
        <v>Material</v>
      </c>
      <c r="P157" s="17" t="str">
        <f ca="1">VLOOKUP($L157,OFFSET([3]enemies!$A$1,0,0,COUNTA([3]enemies!$A:$A),MATCH(P$1,[3]enemies!$1:$1,0)-MATCH($L$1,[3]enemies!$1:$1,0)+1),MATCH(P$1,[3]enemies!$1:$1,0)-MATCH($L$1,[3]enemies!$1:$1,0)+1,FALSE)</f>
        <v>unknown</v>
      </c>
      <c r="Q157" s="17">
        <f ca="1">VLOOKUP($L157,OFFSET([3]enemies!$A$1,0,0,COUNTA([3]enemies!$A:$A),MATCH(Q$1,[3]enemies!$1:$1,0)-MATCH($L$1,[3]enemies!$1:$1,0)+1),MATCH(Q$1,[3]enemies!$1:$1,0)-MATCH($L$1,[3]enemies!$1:$1,0)+1,FALSE)</f>
        <v>20</v>
      </c>
      <c r="R157" s="5">
        <v>50</v>
      </c>
      <c r="S157" s="25">
        <v>99</v>
      </c>
      <c r="T157" s="25">
        <v>46</v>
      </c>
      <c r="U157" s="5">
        <v>0</v>
      </c>
      <c r="V157" s="4" t="str">
        <f ca="1">VLOOKUP($W157,OFFSET(enemy_skill_sets!$B$1,0,0,COUNTA(enemy_skill_sets!$B:$B),MATCH(M$1,enemy_skill_sets!$1:$1,0)-MATCH($W$1,enemy_skill_sets!$1:$1,0)+2),MATCH(M$1,enemy_skill_sets!$1:$1,0)-MATCH($W$1,enemy_skill_sets!$1:$1,0)+2,FALSE)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57" s="111">
        <v>1122212</v>
      </c>
      <c r="X157" s="6">
        <v>1</v>
      </c>
      <c r="Y157" s="6">
        <v>0</v>
      </c>
      <c r="Z157" s="6">
        <v>2</v>
      </c>
      <c r="AA157" s="17">
        <v>3</v>
      </c>
      <c r="AB157" s="24">
        <f t="shared" si="23"/>
        <v>358</v>
      </c>
      <c r="AC157" s="4" t="str">
        <f ca="1">VLOOKUP($AB157,OFFSET([4]characters!$A$1,0,0,COUNTA([4]characters!$A:$A),MATCH(AC$1,[4]characters!$1:$1,0)-MATCH("character_id",[4]characters!$1:$1,0)+1),MATCH(AC$1,[4]characters!$1:$1,0)-MATCH("character_id",[4]characters!$1:$1,0)+1,FALSE)</f>
        <v>深淵の代用ウミガメ</v>
      </c>
      <c r="AD157" s="4">
        <f ca="1">VLOOKUP($AB157,OFFSET([4]characters!$A$1,0,0,COUNTA([4]characters!$A:$A),MATCH(AD$1,[4]characters!$1:$1,0)-MATCH("character_id",[4]characters!$1:$1,0)+1),MATCH(AD$1,[4]characters!$1:$1,0)-MATCH("character_id",[4]characters!$1:$1,0)+1,FALSE)</f>
        <v>5</v>
      </c>
      <c r="AE157" s="4" t="str">
        <f ca="1">VLOOKUP($AB157,OFFSET([4]characters!$A$1,0,0,COUNTA([4]characters!$A:$A),MATCH(AE$1,[4]characters!$1:$1,0)-MATCH("character_id",[4]characters!$1:$1,0)+1),MATCH(AE$1,[4]characters!$1:$1,0)-MATCH("character_id",[4]characters!$1:$1,0)+1,FALSE)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7" s="7">
        <v>1</v>
      </c>
      <c r="AG157" s="24">
        <f t="shared" ca="1" si="24"/>
        <v>5</v>
      </c>
      <c r="AH157" s="8">
        <v>100</v>
      </c>
      <c r="AI157" s="7">
        <v>0</v>
      </c>
      <c r="AJ157" s="7">
        <v>0</v>
      </c>
      <c r="AK157" s="7">
        <v>0</v>
      </c>
      <c r="AL157" s="7">
        <v>0</v>
      </c>
      <c r="AM157" s="7">
        <v>1</v>
      </c>
      <c r="AN157" s="69">
        <v>1</v>
      </c>
    </row>
    <row r="158" spans="1:40" ht="21" customHeight="1" x14ac:dyDescent="0.15">
      <c r="A158" s="16" t="str">
        <f>B158&amp;"_"&amp;C158&amp;"-"&amp;G158&amp;"/"&amp;L158&amp;"&lt;lv"&amp;R158&amp;"&gt;s"&amp;AA158</f>
        <v>11101_10-1/366&lt;lv52&gt;s2</v>
      </c>
      <c r="B158" s="22">
        <v>11101</v>
      </c>
      <c r="C158" s="21">
        <v>10</v>
      </c>
      <c r="D158" s="2" t="str">
        <f>B158&amp;"_"&amp;C158</f>
        <v>11101_10</v>
      </c>
      <c r="E158" s="4" t="str">
        <f ca="1">VLOOKUP($B158,OFFSET([2]quests!$A$1,0,0,COUNTA([2]quests!$A:$A),MATCH(E$1,[2]quests!$1:$1,0)-MATCH($B$1,[2]quests!$1:$1,0)+1),MATCH(E$1,[2]quests!$1:$1,0)-MATCH($B$1,[2]quests!$1:$1,0)+1,FALSE)</f>
        <v>【期間限定】 黄の素材</v>
      </c>
      <c r="F158" s="4" t="str">
        <f ca="1">VLOOKUP($D158,OFFSET([2]stages!$A$1,0,0,COUNTA([2]stages!$A:$A),MATCH(F$1,[2]stages!$2:$2,0)-MATCH($D$1,[2]stages!$2:$2,0)+1),MATCH(F$1,[2]stages!$2:$2,0)-MATCH($D$1,[2]stages!$2:$2,0)+1,FALSE)</f>
        <v>【超絶級】醒電の眠りネズミ</v>
      </c>
      <c r="G158" s="21">
        <v>1</v>
      </c>
      <c r="H158" s="15" t="str">
        <f>B158&amp;"_"&amp;C158&amp;"-"&amp;G158</f>
        <v>11101_10-1</v>
      </c>
      <c r="I158" s="4">
        <f ca="1">VLOOKUP($H158,OFFSET(floors!$A$1,0,0,COUNTA(floors!$A:$A),MATCH(I$1,floors!$1:$1,0)-MATCH($H$1,floors!$1:$1,0)+1),MATCH(I$1,floors!$1:$1,0)-MATCH($H$1,floors!$1:$1,0)+1,FALSE)</f>
        <v>30</v>
      </c>
      <c r="J158" s="4">
        <f ca="1">VLOOKUP($H158,OFFSET(floors!$A$1,0,0,COUNTA(floors!$A:$A),MATCH(J$1,floors!$1:$1,0)-MATCH($H$1,floors!$1:$1,0)+1),MATCH(J$1,floors!$1:$1,0)-MATCH($H$1,floors!$1:$1,0)+1,FALSE)</f>
        <v>45</v>
      </c>
      <c r="K158" s="100" t="s">
        <v>209</v>
      </c>
      <c r="L158" s="107">
        <v>366</v>
      </c>
      <c r="M158" s="17" t="str">
        <f ca="1">VLOOKUP($L158,OFFSET([3]enemies!$A$1,0,0,COUNTA([3]enemies!$A:$A),MATCH(M$1,[3]enemies!$1:$1,0)-MATCH($L$1,[3]enemies!$1:$1,0)+1),MATCH(M$1,[3]enemies!$1:$1,0)-MATCH($L$1,[3]enemies!$1:$1,0)+1,FALSE)</f>
        <v>トト</v>
      </c>
      <c r="N158" s="17" t="str">
        <f ca="1">VLOOKUP($L158,OFFSET([3]enemies!$A$1,0,0,COUNTA([3]enemies!$A:$A),MATCH(N$1,[3]enemies!$1:$1,0)-MATCH($L$1,[3]enemies!$1:$1,0)+1),MATCH(N$1,[3]enemies!$1:$1,0)-MATCH($L$1,[3]enemies!$1:$1,0)+1,FALSE)</f>
        <v>yellow</v>
      </c>
      <c r="O158" s="17" t="str">
        <f ca="1">VLOOKUP($L158,OFFSET([4]characters!$A$1,0,0,COUNTA([4]characters!$A:$A),MATCH(O$1,[4]characters!$1:$1,0)-MATCH($L$1,[4]characters!$1:$1,0)+1),MATCH(O$1,[4]characters!$1:$1,0)-MATCH($L$1,[4]characters!$1:$1,0)+1,FALSE)</f>
        <v>Drop1S</v>
      </c>
      <c r="P158" s="17" t="str">
        <f ca="1">VLOOKUP($L158,OFFSET([3]enemies!$A$1,0,0,COUNTA([3]enemies!$A:$A),MATCH(P$1,[3]enemies!$1:$1,0)-MATCH($L$1,[3]enemies!$1:$1,0)+1),MATCH(P$1,[3]enemies!$1:$1,0)-MATCH($L$1,[3]enemies!$1:$1,0)+1,FALSE)</f>
        <v>animal</v>
      </c>
      <c r="Q158" s="17">
        <f ca="1">VLOOKUP($L158,OFFSET([3]enemies!$A$1,0,0,COUNTA([3]enemies!$A:$A),MATCH(Q$1,[3]enemies!$1:$1,0)-MATCH($L$1,[3]enemies!$1:$1,0)+1),MATCH(Q$1,[3]enemies!$1:$1,0)-MATCH($L$1,[3]enemies!$1:$1,0)+1,FALSE)</f>
        <v>15</v>
      </c>
      <c r="R158" s="5">
        <v>52</v>
      </c>
      <c r="S158" s="25">
        <v>1.8</v>
      </c>
      <c r="T158" s="25">
        <v>0.9</v>
      </c>
      <c r="U158" s="5">
        <v>0</v>
      </c>
      <c r="V158" s="4" t="str">
        <f ca="1">VLOOKUP($W158,OFFSET(enemy_skill_sets!$B$1,0,0,COUNTA(enemy_skill_sets!$B:$B),MATCH(M$1,enemy_skill_sets!$1:$1,0)-MATCH($W$1,enemy_skill_sets!$1:$1,0)+2),MATCH(M$1,enemy_skill_sets!$1:$1,0)-MATCH($W$1,enemy_skill_sets!$1:$1,0)+2,FALSE)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158" s="110">
        <v>1122213</v>
      </c>
      <c r="X158" s="6">
        <v>1</v>
      </c>
      <c r="Y158" s="6">
        <v>100</v>
      </c>
      <c r="Z158" s="6">
        <v>0</v>
      </c>
      <c r="AA158" s="17">
        <v>2</v>
      </c>
      <c r="AB158" s="24">
        <f>L158</f>
        <v>366</v>
      </c>
      <c r="AC158" s="4" t="str">
        <f ca="1">VLOOKUP($AB158,OFFSET([4]characters!$A$1,0,0,COUNTA([4]characters!$A:$A),MATCH(AC$1,[4]characters!$1:$1,0)-MATCH("character_id",[4]characters!$1:$1,0)+1),MATCH(AC$1,[4]characters!$1:$1,0)-MATCH("character_id",[4]characters!$1:$1,0)+1,FALSE)</f>
        <v>トト</v>
      </c>
      <c r="AD158" s="4">
        <f ca="1">VLOOKUP($AB158,OFFSET([4]characters!$A$1,0,0,COUNTA([4]characters!$A:$A),MATCH(AD$1,[4]characters!$1:$1,0)-MATCH("character_id",[4]characters!$1:$1,0)+1),MATCH(AD$1,[4]characters!$1:$1,0)-MATCH("character_id",[4]characters!$1:$1,0)+1,FALSE)</f>
        <v>2</v>
      </c>
      <c r="AE158" s="4" t="str">
        <f ca="1">VLOOKUP($AB158,OFFSET([4]characters!$A$1,0,0,COUNTA([4]characters!$A:$A),MATCH(AE$1,[4]characters!$1:$1,0)-MATCH("character_id",[4]characters!$1:$1,0)+1),MATCH(AE$1,[4]characters!$1:$1,0)-MATCH("character_id",[4]characters!$1:$1,0)+1,FALSE)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8" s="7">
        <v>1</v>
      </c>
      <c r="AG158" s="24">
        <f ca="1">AD158</f>
        <v>2</v>
      </c>
      <c r="AH158" s="8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1</v>
      </c>
      <c r="AN158" s="69">
        <v>1</v>
      </c>
    </row>
    <row r="159" spans="1:40" ht="21" customHeight="1" x14ac:dyDescent="0.15">
      <c r="A159" s="16" t="str">
        <f>B159&amp;"_"&amp;C159&amp;"-"&amp;G159&amp;"/"&amp;L159&amp;"&lt;lv"&amp;R159&amp;"&gt;s"&amp;AA159</f>
        <v>11101_10-1/412&lt;lv52&gt;s1</v>
      </c>
      <c r="B159" s="22">
        <v>11101</v>
      </c>
      <c r="C159" s="21">
        <v>10</v>
      </c>
      <c r="D159" s="2" t="str">
        <f>B159&amp;"_"&amp;C159</f>
        <v>11101_10</v>
      </c>
      <c r="E159" s="4" t="str">
        <f ca="1">VLOOKUP($B159,OFFSET([2]quests!$A$1,0,0,COUNTA([2]quests!$A:$A),MATCH(E$1,[2]quests!$1:$1,0)-MATCH($B$1,[2]quests!$1:$1,0)+1),MATCH(E$1,[2]quests!$1:$1,0)-MATCH($B$1,[2]quests!$1:$1,0)+1,FALSE)</f>
        <v>【期間限定】 黄の素材</v>
      </c>
      <c r="F159" s="4" t="str">
        <f ca="1">VLOOKUP($D159,OFFSET([2]stages!$A$1,0,0,COUNTA([2]stages!$A:$A),MATCH(F$1,[2]stages!$2:$2,0)-MATCH($D$1,[2]stages!$2:$2,0)+1),MATCH(F$1,[2]stages!$2:$2,0)-MATCH($D$1,[2]stages!$2:$2,0)+1,FALSE)</f>
        <v>【超絶級】醒電の眠りネズミ</v>
      </c>
      <c r="G159" s="21">
        <v>1</v>
      </c>
      <c r="H159" s="15" t="str">
        <f>B159&amp;"_"&amp;C159&amp;"-"&amp;G159</f>
        <v>11101_10-1</v>
      </c>
      <c r="I159" s="4">
        <f ca="1">VLOOKUP($H159,OFFSET(floors!$A$1,0,0,COUNTA(floors!$A:$A),MATCH(I$1,floors!$1:$1,0)-MATCH($H$1,floors!$1:$1,0)+1),MATCH(I$1,floors!$1:$1,0)-MATCH($H$1,floors!$1:$1,0)+1,FALSE)</f>
        <v>30</v>
      </c>
      <c r="J159" s="4">
        <f ca="1">VLOOKUP($H159,OFFSET(floors!$A$1,0,0,COUNTA(floors!$A:$A),MATCH(J$1,floors!$1:$1,0)-MATCH($H$1,floors!$1:$1,0)+1),MATCH(J$1,floors!$1:$1,0)-MATCH($H$1,floors!$1:$1,0)+1,FALSE)</f>
        <v>45</v>
      </c>
      <c r="K159" s="100" t="s">
        <v>209</v>
      </c>
      <c r="L159" s="107">
        <v>412</v>
      </c>
      <c r="M159" s="17" t="str">
        <f ca="1">VLOOKUP($L159,OFFSET([3]enemies!$A$1,0,0,COUNTA([3]enemies!$A:$A),MATCH(M$1,[3]enemies!$1:$1,0)-MATCH($L$1,[3]enemies!$1:$1,0)+1),MATCH(M$1,[3]enemies!$1:$1,0)-MATCH($L$1,[3]enemies!$1:$1,0)+1,FALSE)</f>
        <v>コウネン</v>
      </c>
      <c r="N159" s="17" t="str">
        <f ca="1">VLOOKUP($L159,OFFSET([3]enemies!$A$1,0,0,COUNTA([3]enemies!$A:$A),MATCH(N$1,[3]enemies!$1:$1,0)-MATCH($L$1,[3]enemies!$1:$1,0)+1),MATCH(N$1,[3]enemies!$1:$1,0)-MATCH($L$1,[3]enemies!$1:$1,0)+1,FALSE)</f>
        <v>yellow</v>
      </c>
      <c r="O159" s="17" t="str">
        <f ca="1">VLOOKUP($L159,OFFSET([4]characters!$A$1,0,0,COUNTA([4]characters!$A:$A),MATCH(O$1,[4]characters!$1:$1,0)-MATCH($L$1,[4]characters!$1:$1,0)+1),MATCH(O$1,[4]characters!$1:$1,0)-MATCH($L$1,[4]characters!$1:$1,0)+1,FALSE)</f>
        <v>Drop1S</v>
      </c>
      <c r="P159" s="17" t="str">
        <f ca="1">VLOOKUP($L159,OFFSET([3]enemies!$A$1,0,0,COUNTA([3]enemies!$A:$A),MATCH(P$1,[3]enemies!$1:$1,0)-MATCH($L$1,[3]enemies!$1:$1,0)+1),MATCH(P$1,[3]enemies!$1:$1,0)-MATCH($L$1,[3]enemies!$1:$1,0)+1,FALSE)</f>
        <v>unknown</v>
      </c>
      <c r="Q159" s="17">
        <v>25</v>
      </c>
      <c r="R159" s="5">
        <v>52</v>
      </c>
      <c r="S159" s="25">
        <v>1.2</v>
      </c>
      <c r="T159" s="25">
        <v>1.2</v>
      </c>
      <c r="U159" s="5">
        <v>0</v>
      </c>
      <c r="V159" s="4" t="str">
        <f ca="1">VLOOKUP($W159,OFFSET(enemy_skill_sets!$B$1,0,0,COUNTA(enemy_skill_sets!$B:$B),MATCH(M$1,enemy_skill_sets!$1:$1,0)-MATCH($W$1,enemy_skill_sets!$1:$1,0)+2),MATCH(M$1,enemy_skill_sets!$1:$1,0)-MATCH($W$1,enemy_skill_sets!$1:$1,0)+2,FALSE)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59" s="109">
        <v>1122207</v>
      </c>
      <c r="X159" s="6">
        <v>1</v>
      </c>
      <c r="Y159" s="6">
        <v>100</v>
      </c>
      <c r="Z159" s="6">
        <v>0</v>
      </c>
      <c r="AA159" s="17">
        <v>1</v>
      </c>
      <c r="AB159" s="24">
        <f>L159</f>
        <v>412</v>
      </c>
      <c r="AC159" s="4" t="str">
        <f ca="1">VLOOKUP($AB159,OFFSET([4]characters!$A$1,0,0,COUNTA([4]characters!$A:$A),MATCH(AC$1,[4]characters!$1:$1,0)-MATCH("character_id",[4]characters!$1:$1,0)+1),MATCH(AC$1,[4]characters!$1:$1,0)-MATCH("character_id",[4]characters!$1:$1,0)+1,FALSE)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159" s="4">
        <f ca="1">VLOOKUP($AB159,OFFSET([4]characters!$A$1,0,0,COUNTA([4]characters!$A:$A),MATCH(AD$1,[4]characters!$1:$1,0)-MATCH("character_id",[4]characters!$1:$1,0)+1),MATCH(AD$1,[4]characters!$1:$1,0)-MATCH("character_id",[4]characters!$1:$1,0)+1,FALSE)</f>
        <v>2</v>
      </c>
      <c r="AE159" s="4" t="str">
        <f ca="1">VLOOKUP($AB159,OFFSET([4]characters!$A$1,0,0,COUNTA([4]characters!$A:$A),MATCH(AE$1,[4]characters!$1:$1,0)-MATCH("character_id",[4]characters!$1:$1,0)+1),MATCH(AE$1,[4]characters!$1:$1,0)-MATCH("character_id",[4]characters!$1:$1,0)+1,FALSE)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9" s="7">
        <v>1</v>
      </c>
      <c r="AG159" s="24">
        <f ca="1">AD159</f>
        <v>2</v>
      </c>
      <c r="AH159" s="8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1</v>
      </c>
      <c r="AN159" s="69">
        <v>1</v>
      </c>
    </row>
    <row r="160" spans="1:40" ht="21" customHeight="1" x14ac:dyDescent="0.15">
      <c r="A160" s="16" t="str">
        <f t="shared" ref="A160:A189" si="25">B160&amp;"_"&amp;C160&amp;"-"&amp;G160&amp;"/"&amp;L160&amp;"&lt;lv"&amp;R160&amp;"&gt;s"&amp;AA160</f>
        <v>11101_10-2/366&lt;lv52&gt;s2</v>
      </c>
      <c r="B160" s="22">
        <v>11101</v>
      </c>
      <c r="C160" s="21">
        <v>10</v>
      </c>
      <c r="D160" s="2" t="str">
        <f t="shared" ref="D160:D189" si="26">B160&amp;"_"&amp;C160</f>
        <v>11101_10</v>
      </c>
      <c r="E160" s="4" t="str">
        <f ca="1">VLOOKUP($B160,OFFSET([2]quests!$A$1,0,0,COUNTA([2]quests!$A:$A),MATCH(E$1,[2]quests!$1:$1,0)-MATCH($B$1,[2]quests!$1:$1,0)+1),MATCH(E$1,[2]quests!$1:$1,0)-MATCH($B$1,[2]quests!$1:$1,0)+1,FALSE)</f>
        <v>【期間限定】 黄の素材</v>
      </c>
      <c r="F160" s="4" t="str">
        <f ca="1">VLOOKUP($D160,OFFSET([2]stages!$A$1,0,0,COUNTA([2]stages!$A:$A),MATCH(F$1,[2]stages!$2:$2,0)-MATCH($D$1,[2]stages!$2:$2,0)+1),MATCH(F$1,[2]stages!$2:$2,0)-MATCH($D$1,[2]stages!$2:$2,0)+1,FALSE)</f>
        <v>【超絶級】醒電の眠りネズミ</v>
      </c>
      <c r="G160" s="21">
        <v>2</v>
      </c>
      <c r="H160" s="15" t="str">
        <f t="shared" ref="H160:H189" si="27">B160&amp;"_"&amp;C160&amp;"-"&amp;G160</f>
        <v>11101_10-2</v>
      </c>
      <c r="I160" s="4">
        <f ca="1">VLOOKUP($H160,OFFSET(floors!$A$1,0,0,COUNTA(floors!$A:$A),MATCH(I$1,floors!$1:$1,0)-MATCH($H$1,floors!$1:$1,0)+1),MATCH(I$1,floors!$1:$1,0)-MATCH($H$1,floors!$1:$1,0)+1,FALSE)</f>
        <v>45</v>
      </c>
      <c r="J160" s="4">
        <f ca="1">VLOOKUP($H160,OFFSET(floors!$A$1,0,0,COUNTA(floors!$A:$A),MATCH(J$1,floors!$1:$1,0)-MATCH($H$1,floors!$1:$1,0)+1),MATCH(J$1,floors!$1:$1,0)-MATCH($H$1,floors!$1:$1,0)+1,FALSE)</f>
        <v>60</v>
      </c>
      <c r="K160" s="100" t="s">
        <v>209</v>
      </c>
      <c r="L160" s="107">
        <v>366</v>
      </c>
      <c r="M160" s="17" t="str">
        <f ca="1">VLOOKUP($L160,OFFSET([3]enemies!$A$1,0,0,COUNTA([3]enemies!$A:$A),MATCH(M$1,[3]enemies!$1:$1,0)-MATCH($L$1,[3]enemies!$1:$1,0)+1),MATCH(M$1,[3]enemies!$1:$1,0)-MATCH($L$1,[3]enemies!$1:$1,0)+1,FALSE)</f>
        <v>トト</v>
      </c>
      <c r="N160" s="17" t="str">
        <f ca="1">VLOOKUP($L160,OFFSET([3]enemies!$A$1,0,0,COUNTA([3]enemies!$A:$A),MATCH(N$1,[3]enemies!$1:$1,0)-MATCH($L$1,[3]enemies!$1:$1,0)+1),MATCH(N$1,[3]enemies!$1:$1,0)-MATCH($L$1,[3]enemies!$1:$1,0)+1,FALSE)</f>
        <v>yellow</v>
      </c>
      <c r="O160" s="17" t="str">
        <f ca="1">VLOOKUP($L160,OFFSET([4]characters!$A$1,0,0,COUNTA([4]characters!$A:$A),MATCH(O$1,[4]characters!$1:$1,0)-MATCH($L$1,[4]characters!$1:$1,0)+1),MATCH(O$1,[4]characters!$1:$1,0)-MATCH($L$1,[4]characters!$1:$1,0)+1,FALSE)</f>
        <v>Drop1S</v>
      </c>
      <c r="P160" s="17" t="str">
        <f ca="1">VLOOKUP($L160,OFFSET([3]enemies!$A$1,0,0,COUNTA([3]enemies!$A:$A),MATCH(P$1,[3]enemies!$1:$1,0)-MATCH($L$1,[3]enemies!$1:$1,0)+1),MATCH(P$1,[3]enemies!$1:$1,0)-MATCH($L$1,[3]enemies!$1:$1,0)+1,FALSE)</f>
        <v>animal</v>
      </c>
      <c r="Q160" s="17">
        <f ca="1">VLOOKUP($L160,OFFSET([3]enemies!$A$1,0,0,COUNTA([3]enemies!$A:$A),MATCH(Q$1,[3]enemies!$1:$1,0)-MATCH($L$1,[3]enemies!$1:$1,0)+1),MATCH(Q$1,[3]enemies!$1:$1,0)-MATCH($L$1,[3]enemies!$1:$1,0)+1,FALSE)</f>
        <v>15</v>
      </c>
      <c r="R160" s="5">
        <v>52</v>
      </c>
      <c r="S160" s="25">
        <v>1.8</v>
      </c>
      <c r="T160" s="25">
        <v>0.9</v>
      </c>
      <c r="U160" s="5">
        <v>0</v>
      </c>
      <c r="V160" s="4" t="str">
        <f ca="1">VLOOKUP($W160,OFFSET(enemy_skill_sets!$B$1,0,0,COUNTA(enemy_skill_sets!$B:$B),MATCH(M$1,enemy_skill_sets!$1:$1,0)-MATCH($W$1,enemy_skill_sets!$1:$1,0)+2),MATCH(M$1,enemy_skill_sets!$1:$1,0)-MATCH($W$1,enemy_skill_sets!$1:$1,0)+2,FALSE)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160" s="110">
        <v>1122213</v>
      </c>
      <c r="X160" s="6">
        <v>2</v>
      </c>
      <c r="Y160" s="6">
        <v>100</v>
      </c>
      <c r="Z160" s="6">
        <v>0</v>
      </c>
      <c r="AA160" s="17">
        <v>2</v>
      </c>
      <c r="AB160" s="24">
        <f t="shared" ref="AB160:AB189" si="28">L160</f>
        <v>366</v>
      </c>
      <c r="AC160" s="4" t="str">
        <f ca="1">VLOOKUP($AB160,OFFSET([4]characters!$A$1,0,0,COUNTA([4]characters!$A:$A),MATCH(AC$1,[4]characters!$1:$1,0)-MATCH("character_id",[4]characters!$1:$1,0)+1),MATCH(AC$1,[4]characters!$1:$1,0)-MATCH("character_id",[4]characters!$1:$1,0)+1,FALSE)</f>
        <v>トト</v>
      </c>
      <c r="AD160" s="4">
        <f ca="1">VLOOKUP($AB160,OFFSET([4]characters!$A$1,0,0,COUNTA([4]characters!$A:$A),MATCH(AD$1,[4]characters!$1:$1,0)-MATCH("character_id",[4]characters!$1:$1,0)+1),MATCH(AD$1,[4]characters!$1:$1,0)-MATCH("character_id",[4]characters!$1:$1,0)+1,FALSE)</f>
        <v>2</v>
      </c>
      <c r="AE160" s="4" t="str">
        <f ca="1">VLOOKUP($AB160,OFFSET([4]characters!$A$1,0,0,COUNTA([4]characters!$A:$A),MATCH(AE$1,[4]characters!$1:$1,0)-MATCH("character_id",[4]characters!$1:$1,0)+1),MATCH(AE$1,[4]characters!$1:$1,0)-MATCH("character_id",[4]characters!$1:$1,0)+1,FALSE)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0" s="7">
        <v>1</v>
      </c>
      <c r="AG160" s="24">
        <f t="shared" ref="AG160:AG189" ca="1" si="29">AD160</f>
        <v>2</v>
      </c>
      <c r="AH160" s="8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1</v>
      </c>
      <c r="AN160" s="69">
        <v>1</v>
      </c>
    </row>
    <row r="161" spans="1:40" ht="21" customHeight="1" x14ac:dyDescent="0.15">
      <c r="A161" s="16" t="str">
        <f t="shared" si="25"/>
        <v>11101_10-2/412&lt;lv52&gt;s1</v>
      </c>
      <c r="B161" s="22">
        <v>11101</v>
      </c>
      <c r="C161" s="21">
        <v>10</v>
      </c>
      <c r="D161" s="2" t="str">
        <f t="shared" si="26"/>
        <v>11101_10</v>
      </c>
      <c r="E161" s="4" t="str">
        <f ca="1">VLOOKUP($B161,OFFSET([2]quests!$A$1,0,0,COUNTA([2]quests!$A:$A),MATCH(E$1,[2]quests!$1:$1,0)-MATCH($B$1,[2]quests!$1:$1,0)+1),MATCH(E$1,[2]quests!$1:$1,0)-MATCH($B$1,[2]quests!$1:$1,0)+1,FALSE)</f>
        <v>【期間限定】 黄の素材</v>
      </c>
      <c r="F161" s="4" t="str">
        <f ca="1">VLOOKUP($D161,OFFSET([2]stages!$A$1,0,0,COUNTA([2]stages!$A:$A),MATCH(F$1,[2]stages!$2:$2,0)-MATCH($D$1,[2]stages!$2:$2,0)+1),MATCH(F$1,[2]stages!$2:$2,0)-MATCH($D$1,[2]stages!$2:$2,0)+1,FALSE)</f>
        <v>【超絶級】醒電の眠りネズミ</v>
      </c>
      <c r="G161" s="21">
        <v>2</v>
      </c>
      <c r="H161" s="15" t="str">
        <f t="shared" si="27"/>
        <v>11101_10-2</v>
      </c>
      <c r="I161" s="4">
        <f ca="1">VLOOKUP($H161,OFFSET(floors!$A$1,0,0,COUNTA(floors!$A:$A),MATCH(I$1,floors!$1:$1,0)-MATCH($H$1,floors!$1:$1,0)+1),MATCH(I$1,floors!$1:$1,0)-MATCH($H$1,floors!$1:$1,0)+1,FALSE)</f>
        <v>45</v>
      </c>
      <c r="J161" s="4">
        <f ca="1">VLOOKUP($H161,OFFSET(floors!$A$1,0,0,COUNTA(floors!$A:$A),MATCH(J$1,floors!$1:$1,0)-MATCH($H$1,floors!$1:$1,0)+1),MATCH(J$1,floors!$1:$1,0)-MATCH($H$1,floors!$1:$1,0)+1,FALSE)</f>
        <v>60</v>
      </c>
      <c r="K161" s="100" t="s">
        <v>209</v>
      </c>
      <c r="L161" s="107">
        <v>412</v>
      </c>
      <c r="M161" s="17" t="str">
        <f ca="1">VLOOKUP($L161,OFFSET([3]enemies!$A$1,0,0,COUNTA([3]enemies!$A:$A),MATCH(M$1,[3]enemies!$1:$1,0)-MATCH($L$1,[3]enemies!$1:$1,0)+1),MATCH(M$1,[3]enemies!$1:$1,0)-MATCH($L$1,[3]enemies!$1:$1,0)+1,FALSE)</f>
        <v>コウネン</v>
      </c>
      <c r="N161" s="17" t="str">
        <f ca="1">VLOOKUP($L161,OFFSET([3]enemies!$A$1,0,0,COUNTA([3]enemies!$A:$A),MATCH(N$1,[3]enemies!$1:$1,0)-MATCH($L$1,[3]enemies!$1:$1,0)+1),MATCH(N$1,[3]enemies!$1:$1,0)-MATCH($L$1,[3]enemies!$1:$1,0)+1,FALSE)</f>
        <v>yellow</v>
      </c>
      <c r="O161" s="17" t="str">
        <f ca="1">VLOOKUP($L161,OFFSET([4]characters!$A$1,0,0,COUNTA([4]characters!$A:$A),MATCH(O$1,[4]characters!$1:$1,0)-MATCH($L$1,[4]characters!$1:$1,0)+1),MATCH(O$1,[4]characters!$1:$1,0)-MATCH($L$1,[4]characters!$1:$1,0)+1,FALSE)</f>
        <v>Drop1S</v>
      </c>
      <c r="P161" s="17" t="str">
        <f ca="1">VLOOKUP($L161,OFFSET([3]enemies!$A$1,0,0,COUNTA([3]enemies!$A:$A),MATCH(P$1,[3]enemies!$1:$1,0)-MATCH($L$1,[3]enemies!$1:$1,0)+1),MATCH(P$1,[3]enemies!$1:$1,0)-MATCH($L$1,[3]enemies!$1:$1,0)+1,FALSE)</f>
        <v>unknown</v>
      </c>
      <c r="Q161" s="17">
        <f ca="1">VLOOKUP($L161,OFFSET([3]enemies!$A$1,0,0,COUNTA([3]enemies!$A:$A),MATCH(Q$1,[3]enemies!$1:$1,0)-MATCH($L$1,[3]enemies!$1:$1,0)+1),MATCH(Q$1,[3]enemies!$1:$1,0)-MATCH($L$1,[3]enemies!$1:$1,0)+1,FALSE)</f>
        <v>15</v>
      </c>
      <c r="R161" s="5">
        <v>52</v>
      </c>
      <c r="S161" s="25">
        <v>1.2</v>
      </c>
      <c r="T161" s="25">
        <v>1.2</v>
      </c>
      <c r="U161" s="5">
        <v>0</v>
      </c>
      <c r="V161" s="4" t="str">
        <f ca="1">VLOOKUP($W161,OFFSET(enemy_skill_sets!$B$1,0,0,COUNTA(enemy_skill_sets!$B:$B),MATCH(M$1,enemy_skill_sets!$1:$1,0)-MATCH($W$1,enemy_skill_sets!$1:$1,0)+2),MATCH(M$1,enemy_skill_sets!$1:$1,0)-MATCH($W$1,enemy_skill_sets!$1:$1,0)+2,FALSE)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61" s="109">
        <v>1122207</v>
      </c>
      <c r="X161" s="6">
        <v>1</v>
      </c>
      <c r="Y161" s="6">
        <v>100</v>
      </c>
      <c r="Z161" s="6">
        <v>0</v>
      </c>
      <c r="AA161" s="17">
        <v>1</v>
      </c>
      <c r="AB161" s="24">
        <f t="shared" si="28"/>
        <v>412</v>
      </c>
      <c r="AC161" s="4" t="str">
        <f ca="1">VLOOKUP($AB161,OFFSET([4]characters!$A$1,0,0,COUNTA([4]characters!$A:$A),MATCH(AC$1,[4]characters!$1:$1,0)-MATCH("character_id",[4]characters!$1:$1,0)+1),MATCH(AC$1,[4]characters!$1:$1,0)-MATCH("character_id",[4]characters!$1:$1,0)+1,FALSE)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161" s="4">
        <f ca="1">VLOOKUP($AB161,OFFSET([4]characters!$A$1,0,0,COUNTA([4]characters!$A:$A),MATCH(AD$1,[4]characters!$1:$1,0)-MATCH("character_id",[4]characters!$1:$1,0)+1),MATCH(AD$1,[4]characters!$1:$1,0)-MATCH("character_id",[4]characters!$1:$1,0)+1,FALSE)</f>
        <v>2</v>
      </c>
      <c r="AE161" s="4" t="str">
        <f ca="1">VLOOKUP($AB161,OFFSET([4]characters!$A$1,0,0,COUNTA([4]characters!$A:$A),MATCH(AE$1,[4]characters!$1:$1,0)-MATCH("character_id",[4]characters!$1:$1,0)+1),MATCH(AE$1,[4]characters!$1:$1,0)-MATCH("character_id",[4]characters!$1:$1,0)+1,FALSE)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1" s="7">
        <v>1</v>
      </c>
      <c r="AG161" s="24">
        <f t="shared" ca="1" si="29"/>
        <v>2</v>
      </c>
      <c r="AH161" s="8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1</v>
      </c>
      <c r="AN161" s="69">
        <v>1</v>
      </c>
    </row>
    <row r="162" spans="1:40" ht="21" customHeight="1" x14ac:dyDescent="0.15">
      <c r="A162" s="16" t="str">
        <f t="shared" ca="1" si="25"/>
        <v>11101_10-2/344&lt;lv2&gt;s1</v>
      </c>
      <c r="B162" s="22">
        <v>11101</v>
      </c>
      <c r="C162" s="21">
        <v>10</v>
      </c>
      <c r="D162" s="2" t="str">
        <f t="shared" si="26"/>
        <v>11101_10</v>
      </c>
      <c r="E162" s="4" t="str">
        <f ca="1">VLOOKUP($B162,OFFSET([2]quests!$A$1,0,0,COUNTA([2]quests!$A:$A),MATCH(E$1,[2]quests!$1:$1,0)-MATCH($B$1,[2]quests!$1:$1,0)+1),MATCH(E$1,[2]quests!$1:$1,0)-MATCH($B$1,[2]quests!$1:$1,0)+1,FALSE)</f>
        <v>【期間限定】 黄の素材</v>
      </c>
      <c r="F162" s="4" t="str">
        <f ca="1">VLOOKUP($D162,OFFSET([2]stages!$A$1,0,0,COUNTA([2]stages!$A:$A),MATCH(F$1,[2]stages!$2:$2,0)-MATCH($D$1,[2]stages!$2:$2,0)+1),MATCH(F$1,[2]stages!$2:$2,0)-MATCH($D$1,[2]stages!$2:$2,0)+1,FALSE)</f>
        <v>【超絶級】醒電の眠りネズミ</v>
      </c>
      <c r="G162" s="21">
        <v>2</v>
      </c>
      <c r="H162" s="15" t="str">
        <f t="shared" si="27"/>
        <v>11101_10-2</v>
      </c>
      <c r="I162" s="4">
        <f ca="1">VLOOKUP($H162,OFFSET(floors!$A$1,0,0,COUNTA(floors!$A:$A),MATCH(I$1,floors!$1:$1,0)-MATCH($H$1,floors!$1:$1,0)+1),MATCH(I$1,floors!$1:$1,0)-MATCH($H$1,floors!$1:$1,0)+1,FALSE)</f>
        <v>45</v>
      </c>
      <c r="J162" s="4">
        <f ca="1">VLOOKUP($H162,OFFSET(floors!$A$1,0,0,COUNTA(floors!$A:$A),MATCH(J$1,floors!$1:$1,0)-MATCH($H$1,floors!$1:$1,0)+1),MATCH(J$1,floors!$1:$1,0)-MATCH($H$1,floors!$1:$1,0)+1,FALSE)</f>
        <v>60</v>
      </c>
      <c r="K162" s="100" t="s">
        <v>209</v>
      </c>
      <c r="L162" s="107">
        <v>344</v>
      </c>
      <c r="M162" s="17" t="str">
        <f ca="1">VLOOKUP($L162,OFFSET([3]enemies!$A$1,0,0,COUNTA([3]enemies!$A:$A),MATCH(M$1,[3]enemies!$1:$1,0)-MATCH($L$1,[3]enemies!$1:$1,0)+1),MATCH(M$1,[3]enemies!$1:$1,0)-MATCH($L$1,[3]enemies!$1:$1,0)+1,FALSE)</f>
        <v>雷のメタルピヨピヨ</v>
      </c>
      <c r="N162" s="17" t="str">
        <f ca="1">VLOOKUP($L162,OFFSET([3]enemies!$A$1,0,0,COUNTA([3]enemies!$A:$A),MATCH(N$1,[3]enemies!$1:$1,0)-MATCH($L$1,[3]enemies!$1:$1,0)+1),MATCH(N$1,[3]enemies!$1:$1,0)-MATCH($L$1,[3]enemies!$1:$1,0)+1,FALSE)</f>
        <v>yellow</v>
      </c>
      <c r="O162" s="17" t="str">
        <f ca="1">VLOOKUP($L162,OFFSET([4]characters!$A$1,0,0,COUNTA([4]characters!$A:$A),MATCH(O$1,[4]characters!$1:$1,0)-MATCH($L$1,[4]characters!$1:$1,0)+1),MATCH(O$1,[4]characters!$1:$1,0)-MATCH($L$1,[4]characters!$1:$1,0)+1,FALSE)</f>
        <v>Material</v>
      </c>
      <c r="P162" s="17" t="str">
        <f ca="1">VLOOKUP($L162,OFFSET([3]enemies!$A$1,0,0,COUNTA([3]enemies!$A:$A),MATCH(P$1,[3]enemies!$1:$1,0)-MATCH($L$1,[3]enemies!$1:$1,0)+1),MATCH(P$1,[3]enemies!$1:$1,0)-MATCH($L$1,[3]enemies!$1:$1,0)+1,FALSE)</f>
        <v>unknown</v>
      </c>
      <c r="Q162" s="17">
        <f ca="1">VLOOKUP($L162,OFFSET([3]enemies!$A$1,0,0,COUNTA([3]enemies!$A:$A),MATCH(Q$1,[3]enemies!$1:$1,0)-MATCH($L$1,[3]enemies!$1:$1,0)+1),MATCH(Q$1,[3]enemies!$1:$1,0)-MATCH($L$1,[3]enemies!$1:$1,0)+1,FALSE)</f>
        <v>15</v>
      </c>
      <c r="R162" s="5">
        <v>2</v>
      </c>
      <c r="S162" s="25">
        <v>2</v>
      </c>
      <c r="T162" s="25">
        <v>99</v>
      </c>
      <c r="U162" s="5">
        <v>0</v>
      </c>
      <c r="V162" s="4" t="str">
        <f ca="1">VLOOKUP($W162,OFFSET([5]enemy_skill_sets!$B$1,0,0,COUNTA([5]enemy_skill_sets!$B:$B),MATCH(M$1,[5]enemy_skill_sets!$1:$1,0)-MATCH($W$1,[5]enemy_skill_sets!$1:$1,0)+2),MATCH(M$1,[5]enemy_skill_sets!$1:$1,0)-MATCH($W$1,[5]enemy_skill_sets!$1:$1,0)+2,FALSE)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2" s="4">
        <f ca="1">VLOOKUP($L162,OFFSET([3]enemies!$A$1,0,0,COUNTA([3]enemies!$A:$A),MATCH(W$1,[3]enemies!$1:$1,0)-MATCH($L$1,[3]enemies!$1:$1,0)+1),MATCH(W$1,[3]enemies!$1:$1,0)-MATCH($L$1,[3]enemies!$1:$1,0)+1,FALSE)</f>
        <v>0</v>
      </c>
      <c r="X162" s="6">
        <v>0</v>
      </c>
      <c r="Y162" s="6">
        <v>20</v>
      </c>
      <c r="Z162" s="6">
        <v>0</v>
      </c>
      <c r="AA162" s="17">
        <f ca="1">VLOOKUP($L162,OFFSET([3]enemies!$A$1,0,0,COUNTA([3]enemies!$A:$A),MATCH(AA$1,[3]enemies!$1:$1,0)-MATCH($L$1,[3]enemies!$1:$1,0)+1),MATCH(AA$1,[3]enemies!$1:$1,0)-MATCH($L$1,[3]enemies!$1:$1,0)+1,FALSE)</f>
        <v>1</v>
      </c>
      <c r="AB162" s="24">
        <f t="shared" si="28"/>
        <v>344</v>
      </c>
      <c r="AC162" s="4" t="str">
        <f ca="1">VLOOKUP($AB162,OFFSET([4]characters!$A$1,0,0,COUNTA([4]characters!$A:$A),MATCH(AC$1,[4]characters!$1:$1,0)-MATCH("character_id",[4]characters!$1:$1,0)+1),MATCH(AC$1,[4]characters!$1:$1,0)-MATCH("character_id",[4]characters!$1:$1,0)+1,FALSE)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162" s="4">
        <f ca="1">VLOOKUP($AB162,OFFSET([4]characters!$A$1,0,0,COUNTA([4]characters!$A:$A),MATCH(AD$1,[4]characters!$1:$1,0)-MATCH("character_id",[4]characters!$1:$1,0)+1),MATCH(AD$1,[4]characters!$1:$1,0)-MATCH("character_id",[4]characters!$1:$1,0)+1,FALSE)</f>
        <v>3</v>
      </c>
      <c r="AE162" s="4" t="str">
        <f ca="1">VLOOKUP($AB162,OFFSET([4]characters!$A$1,0,0,COUNTA([4]characters!$A:$A),MATCH(AE$1,[4]characters!$1:$1,0)-MATCH("character_id",[4]characters!$1:$1,0)+1),MATCH(AE$1,[4]characters!$1:$1,0)-MATCH("character_id",[4]characters!$1:$1,0)+1,FALSE)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2" s="7">
        <v>1</v>
      </c>
      <c r="AG162" s="24">
        <f t="shared" ca="1" si="29"/>
        <v>3</v>
      </c>
      <c r="AH162" s="8">
        <v>10</v>
      </c>
      <c r="AI162" s="7">
        <v>0</v>
      </c>
      <c r="AJ162" s="7">
        <v>0</v>
      </c>
      <c r="AK162" s="7">
        <v>0</v>
      </c>
      <c r="AL162" s="7">
        <v>0</v>
      </c>
      <c r="AM162" s="7">
        <v>1</v>
      </c>
      <c r="AN162" s="69">
        <v>1</v>
      </c>
    </row>
    <row r="163" spans="1:40" ht="21" customHeight="1" x14ac:dyDescent="0.15">
      <c r="A163" s="16" t="str">
        <f t="shared" ca="1" si="25"/>
        <v>11101_10-2/345&lt;lv2&gt;s2</v>
      </c>
      <c r="B163" s="22">
        <v>11101</v>
      </c>
      <c r="C163" s="21">
        <v>10</v>
      </c>
      <c r="D163" s="2" t="str">
        <f t="shared" si="26"/>
        <v>11101_10</v>
      </c>
      <c r="E163" s="4" t="str">
        <f ca="1">VLOOKUP($B163,OFFSET([2]quests!$A$1,0,0,COUNTA([2]quests!$A:$A),MATCH(E$1,[2]quests!$1:$1,0)-MATCH($B$1,[2]quests!$1:$1,0)+1),MATCH(E$1,[2]quests!$1:$1,0)-MATCH($B$1,[2]quests!$1:$1,0)+1,FALSE)</f>
        <v>【期間限定】 黄の素材</v>
      </c>
      <c r="F163" s="4" t="str">
        <f ca="1">VLOOKUP($D163,OFFSET([2]stages!$A$1,0,0,COUNTA([2]stages!$A:$A),MATCH(F$1,[2]stages!$2:$2,0)-MATCH($D$1,[2]stages!$2:$2,0)+1),MATCH(F$1,[2]stages!$2:$2,0)-MATCH($D$1,[2]stages!$2:$2,0)+1,FALSE)</f>
        <v>【超絶級】醒電の眠りネズミ</v>
      </c>
      <c r="G163" s="21">
        <v>2</v>
      </c>
      <c r="H163" s="15" t="str">
        <f t="shared" si="27"/>
        <v>11101_10-2</v>
      </c>
      <c r="I163" s="4">
        <f ca="1">VLOOKUP($H163,OFFSET(floors!$A$1,0,0,COUNTA(floors!$A:$A),MATCH(I$1,floors!$1:$1,0)-MATCH($H$1,floors!$1:$1,0)+1),MATCH(I$1,floors!$1:$1,0)-MATCH($H$1,floors!$1:$1,0)+1,FALSE)</f>
        <v>45</v>
      </c>
      <c r="J163" s="4">
        <f ca="1">VLOOKUP($H163,OFFSET(floors!$A$1,0,0,COUNTA(floors!$A:$A),MATCH(J$1,floors!$1:$1,0)-MATCH($H$1,floors!$1:$1,0)+1),MATCH(J$1,floors!$1:$1,0)-MATCH($H$1,floors!$1:$1,0)+1,FALSE)</f>
        <v>60</v>
      </c>
      <c r="K163" s="100" t="s">
        <v>209</v>
      </c>
      <c r="L163" s="107">
        <v>345</v>
      </c>
      <c r="M163" s="17" t="str">
        <f ca="1">VLOOKUP($L163,OFFSET([3]enemies!$A$1,0,0,COUNTA([3]enemies!$A:$A),MATCH(M$1,[3]enemies!$1:$1,0)-MATCH($L$1,[3]enemies!$1:$1,0)+1),MATCH(M$1,[3]enemies!$1:$1,0)-MATCH($L$1,[3]enemies!$1:$1,0)+1,FALSE)</f>
        <v>雷のメタルチック</v>
      </c>
      <c r="N163" s="17" t="str">
        <f ca="1">VLOOKUP($L163,OFFSET([3]enemies!$A$1,0,0,COUNTA([3]enemies!$A:$A),MATCH(N$1,[3]enemies!$1:$1,0)-MATCH($L$1,[3]enemies!$1:$1,0)+1),MATCH(N$1,[3]enemies!$1:$1,0)-MATCH($L$1,[3]enemies!$1:$1,0)+1,FALSE)</f>
        <v>yellow</v>
      </c>
      <c r="O163" s="17" t="str">
        <f ca="1">VLOOKUP($L163,OFFSET([4]characters!$A$1,0,0,COUNTA([4]characters!$A:$A),MATCH(O$1,[4]characters!$1:$1,0)-MATCH($L$1,[4]characters!$1:$1,0)+1),MATCH(O$1,[4]characters!$1:$1,0)-MATCH($L$1,[4]characters!$1:$1,0)+1,FALSE)</f>
        <v>Material</v>
      </c>
      <c r="P163" s="17" t="str">
        <f ca="1">VLOOKUP($L163,OFFSET([3]enemies!$A$1,0,0,COUNTA([3]enemies!$A:$A),MATCH(P$1,[3]enemies!$1:$1,0)-MATCH($L$1,[3]enemies!$1:$1,0)+1),MATCH(P$1,[3]enemies!$1:$1,0)-MATCH($L$1,[3]enemies!$1:$1,0)+1,FALSE)</f>
        <v>unknown</v>
      </c>
      <c r="Q163" s="17">
        <f ca="1">VLOOKUP($L163,OFFSET([3]enemies!$A$1,0,0,COUNTA([3]enemies!$A:$A),MATCH(Q$1,[3]enemies!$1:$1,0)-MATCH($L$1,[3]enemies!$1:$1,0)+1),MATCH(Q$1,[3]enemies!$1:$1,0)-MATCH($L$1,[3]enemies!$1:$1,0)+1,FALSE)</f>
        <v>15</v>
      </c>
      <c r="R163" s="5">
        <v>2</v>
      </c>
      <c r="S163" s="25">
        <v>2</v>
      </c>
      <c r="T163" s="25">
        <v>99</v>
      </c>
      <c r="U163" s="5">
        <v>0</v>
      </c>
      <c r="V163" s="4" t="str">
        <f ca="1">VLOOKUP($W163,OFFSET([5]enemy_skill_sets!$B$1,0,0,COUNTA([5]enemy_skill_sets!$B:$B),MATCH(M$1,[5]enemy_skill_sets!$1:$1,0)-MATCH($W$1,[5]enemy_skill_sets!$1:$1,0)+2),MATCH(M$1,[5]enemy_skill_sets!$1:$1,0)-MATCH($W$1,[5]enemy_skill_sets!$1:$1,0)+2,FALSE)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3" s="4">
        <f ca="1">VLOOKUP($L163,OFFSET([3]enemies!$A$1,0,0,COUNTA([3]enemies!$A:$A),MATCH(W$1,[3]enemies!$1:$1,0)-MATCH($L$1,[3]enemies!$1:$1,0)+1),MATCH(W$1,[3]enemies!$1:$1,0)-MATCH($L$1,[3]enemies!$1:$1,0)+1,FALSE)</f>
        <v>0</v>
      </c>
      <c r="X163" s="6">
        <v>0</v>
      </c>
      <c r="Y163" s="6">
        <v>10</v>
      </c>
      <c r="Z163" s="6">
        <v>0</v>
      </c>
      <c r="AA163" s="17">
        <f ca="1">VLOOKUP($L163,OFFSET([3]enemies!$A$1,0,0,COUNTA([3]enemies!$A:$A),MATCH(AA$1,[3]enemies!$1:$1,0)-MATCH($L$1,[3]enemies!$1:$1,0)+1),MATCH(AA$1,[3]enemies!$1:$1,0)-MATCH($L$1,[3]enemies!$1:$1,0)+1,FALSE)</f>
        <v>2</v>
      </c>
      <c r="AB163" s="24">
        <f t="shared" si="28"/>
        <v>345</v>
      </c>
      <c r="AC163" s="4" t="str">
        <f ca="1">VLOOKUP($AB163,OFFSET([4]characters!$A$1,0,0,COUNTA([4]characters!$A:$A),MATCH(AC$1,[4]characters!$1:$1,0)-MATCH("character_id",[4]characters!$1:$1,0)+1),MATCH(AC$1,[4]characters!$1:$1,0)-MATCH("character_id",[4]characters!$1:$1,0)+1,FALSE)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163" s="4">
        <f ca="1">VLOOKUP($AB163,OFFSET([4]characters!$A$1,0,0,COUNTA([4]characters!$A:$A),MATCH(AD$1,[4]characters!$1:$1,0)-MATCH("character_id",[4]characters!$1:$1,0)+1),MATCH(AD$1,[4]characters!$1:$1,0)-MATCH("character_id",[4]characters!$1:$1,0)+1,FALSE)</f>
        <v>4</v>
      </c>
      <c r="AE163" s="4" t="str">
        <f ca="1">VLOOKUP($AB163,OFFSET([4]characters!$A$1,0,0,COUNTA([4]characters!$A:$A),MATCH(AE$1,[4]characters!$1:$1,0)-MATCH("character_id",[4]characters!$1:$1,0)+1),MATCH(AE$1,[4]characters!$1:$1,0)-MATCH("character_id",[4]characters!$1:$1,0)+1,FALSE)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3" s="7">
        <v>1</v>
      </c>
      <c r="AG163" s="24">
        <f t="shared" ca="1" si="29"/>
        <v>4</v>
      </c>
      <c r="AH163" s="8">
        <v>5</v>
      </c>
      <c r="AI163" s="7">
        <v>0</v>
      </c>
      <c r="AJ163" s="7">
        <v>0</v>
      </c>
      <c r="AK163" s="7">
        <v>0</v>
      </c>
      <c r="AL163" s="7">
        <v>0</v>
      </c>
      <c r="AM163" s="7">
        <v>1</v>
      </c>
      <c r="AN163" s="69">
        <v>1</v>
      </c>
    </row>
    <row r="164" spans="1:40" ht="21" customHeight="1" x14ac:dyDescent="0.15">
      <c r="A164" s="16" t="str">
        <f t="shared" ca="1" si="25"/>
        <v>11101_10-3/285&lt;lv60&gt;s2</v>
      </c>
      <c r="B164" s="22">
        <v>11101</v>
      </c>
      <c r="C164" s="21">
        <v>10</v>
      </c>
      <c r="D164" s="2" t="str">
        <f t="shared" si="26"/>
        <v>11101_10</v>
      </c>
      <c r="E164" s="4" t="str">
        <f ca="1">VLOOKUP($B164,OFFSET([2]quests!$A$1,0,0,COUNTA([2]quests!$A:$A),MATCH(E$1,[2]quests!$1:$1,0)-MATCH($B$1,[2]quests!$1:$1,0)+1),MATCH(E$1,[2]quests!$1:$1,0)-MATCH($B$1,[2]quests!$1:$1,0)+1,FALSE)</f>
        <v>【期間限定】 黄の素材</v>
      </c>
      <c r="F164" s="4" t="str">
        <f ca="1">VLOOKUP($D164,OFFSET([2]stages!$A$1,0,0,COUNTA([2]stages!$A:$A),MATCH(F$1,[2]stages!$2:$2,0)-MATCH($D$1,[2]stages!$2:$2,0)+1),MATCH(F$1,[2]stages!$2:$2,0)-MATCH($D$1,[2]stages!$2:$2,0)+1,FALSE)</f>
        <v>【超絶級】醒電の眠りネズミ</v>
      </c>
      <c r="G164" s="21">
        <v>3</v>
      </c>
      <c r="H164" s="15" t="str">
        <f t="shared" si="27"/>
        <v>11101_10-3</v>
      </c>
      <c r="I164" s="4">
        <f ca="1">VLOOKUP($H164,OFFSET(floors!$A$1,0,0,COUNTA(floors!$A:$A),MATCH(I$1,floors!$1:$1,0)-MATCH($H$1,floors!$1:$1,0)+1),MATCH(I$1,floors!$1:$1,0)-MATCH($H$1,floors!$1:$1,0)+1,FALSE)</f>
        <v>50</v>
      </c>
      <c r="J164" s="4">
        <f ca="1">VLOOKUP($H164,OFFSET(floors!$A$1,0,0,COUNTA(floors!$A:$A),MATCH(J$1,floors!$1:$1,0)-MATCH($H$1,floors!$1:$1,0)+1),MATCH(J$1,floors!$1:$1,0)-MATCH($H$1,floors!$1:$1,0)+1,FALSE)</f>
        <v>60</v>
      </c>
      <c r="K164" s="100" t="s">
        <v>209</v>
      </c>
      <c r="L164" s="107">
        <v>285</v>
      </c>
      <c r="M164" s="17" t="str">
        <f ca="1">VLOOKUP($L164,OFFSET([3]enemies!$A$1,0,0,COUNTA([3]enemies!$A:$A),MATCH(M$1,[3]enemies!$1:$1,0)-MATCH($L$1,[3]enemies!$1:$1,0)+1),MATCH(M$1,[3]enemies!$1:$1,0)-MATCH($L$1,[3]enemies!$1:$1,0)+1,FALSE)</f>
        <v>フェルニゲシュ・オーバードライヴ</v>
      </c>
      <c r="N164" s="17" t="str">
        <f ca="1">VLOOKUP($L164,OFFSET([3]enemies!$A$1,0,0,COUNTA([3]enemies!$A:$A),MATCH(N$1,[3]enemies!$1:$1,0)-MATCH($L$1,[3]enemies!$1:$1,0)+1),MATCH(N$1,[3]enemies!$1:$1,0)-MATCH($L$1,[3]enemies!$1:$1,0)+1,FALSE)</f>
        <v>yellow</v>
      </c>
      <c r="O164" s="17" t="str">
        <f ca="1">VLOOKUP($L164,OFFSET([4]characters!$A$1,0,0,COUNTA([4]characters!$A:$A),MATCH(O$1,[4]characters!$1:$1,0)-MATCH($L$1,[4]characters!$1:$1,0)+1),MATCH(O$1,[4]characters!$1:$1,0)-MATCH($L$1,[4]characters!$1:$1,0)+1,FALSE)</f>
        <v>DropWizW</v>
      </c>
      <c r="P164" s="17" t="str">
        <f ca="1">VLOOKUP($L164,OFFSET([3]enemies!$A$1,0,0,COUNTA([3]enemies!$A:$A),MATCH(P$1,[3]enemies!$1:$1,0)-MATCH($L$1,[3]enemies!$1:$1,0)+1),MATCH(P$1,[3]enemies!$1:$1,0)-MATCH($L$1,[3]enemies!$1:$1,0)+1,FALSE)</f>
        <v>dragon</v>
      </c>
      <c r="Q164" s="17">
        <f ca="1">VLOOKUP($L164,OFFSET([3]enemies!$A$1,0,0,COUNTA([3]enemies!$A:$A),MATCH(Q$1,[3]enemies!$1:$1,0)-MATCH($L$1,[3]enemies!$1:$1,0)+1),MATCH(Q$1,[3]enemies!$1:$1,0)-MATCH($L$1,[3]enemies!$1:$1,0)+1,FALSE)</f>
        <v>30</v>
      </c>
      <c r="R164" s="5">
        <v>60</v>
      </c>
      <c r="S164" s="25">
        <v>1.8</v>
      </c>
      <c r="T164" s="25">
        <v>1.5</v>
      </c>
      <c r="U164" s="5">
        <v>0</v>
      </c>
      <c r="V164" s="4" t="str">
        <f ca="1">VLOOKUP($W164,OFFSET(enemy_skill_sets!$B$1,0,0,COUNTA(enemy_skill_sets!$B:$B),MATCH(M$1,enemy_skill_sets!$1:$1,0)-MATCH($W$1,enemy_skill_sets!$1:$1,0)+2),MATCH(M$1,enemy_skill_sets!$1:$1,0)-MATCH($W$1,enemy_skill_sets!$1:$1,0)+2,FALSE)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164" s="110">
        <v>1122209</v>
      </c>
      <c r="X164" s="6">
        <v>0</v>
      </c>
      <c r="Y164" s="6">
        <v>80</v>
      </c>
      <c r="Z164" s="6">
        <v>1</v>
      </c>
      <c r="AA164" s="17">
        <f ca="1">VLOOKUP($L164,OFFSET([3]enemies!$A$1,0,0,COUNTA([3]enemies!$A:$A),MATCH(AA$1,[3]enemies!$1:$1,0)-MATCH($L$1,[3]enemies!$1:$1,0)+1),MATCH(AA$1,[3]enemies!$1:$1,0)-MATCH($L$1,[3]enemies!$1:$1,0)+1,FALSE)</f>
        <v>2</v>
      </c>
      <c r="AB164" s="24">
        <f t="shared" si="28"/>
        <v>285</v>
      </c>
      <c r="AC164" s="4" t="str">
        <f ca="1">VLOOKUP($AB164,OFFSET([4]characters!$A$1,0,0,COUNTA([4]characters!$A:$A),MATCH(AC$1,[4]characters!$1:$1,0)-MATCH("character_id",[4]characters!$1:$1,0)+1),MATCH(AC$1,[4]characters!$1:$1,0)-MATCH("character_id",[4]characters!$1:$1,0)+1,FALSE)</f>
        <v>フェルニゲシュ・オーバードライヴ</v>
      </c>
      <c r="AD164" s="4">
        <f ca="1">VLOOKUP($AB164,OFFSET([4]characters!$A$1,0,0,COUNTA([4]characters!$A:$A),MATCH(AD$1,[4]characters!$1:$1,0)-MATCH("character_id",[4]characters!$1:$1,0)+1),MATCH(AD$1,[4]characters!$1:$1,0)-MATCH("character_id",[4]characters!$1:$1,0)+1,FALSE)</f>
        <v>4</v>
      </c>
      <c r="AE164" s="4" t="str">
        <f ca="1">VLOOKUP($AB164,OFFSET([4]characters!$A$1,0,0,COUNTA([4]characters!$A:$A),MATCH(AE$1,[4]characters!$1:$1,0)-MATCH("character_id",[4]characters!$1:$1,0)+1),MATCH(AE$1,[4]characters!$1:$1,0)-MATCH("character_id",[4]characters!$1:$1,0)+1,FALSE)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64" s="7">
        <v>1</v>
      </c>
      <c r="AG164" s="24">
        <f t="shared" ca="1" si="29"/>
        <v>4</v>
      </c>
      <c r="AH164" s="8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1</v>
      </c>
      <c r="AN164" s="69">
        <v>1</v>
      </c>
    </row>
    <row r="165" spans="1:40" ht="21" customHeight="1" x14ac:dyDescent="0.15">
      <c r="A165" s="16" t="str">
        <f t="shared" ca="1" si="25"/>
        <v>11101_10-3/346&lt;lv2&gt;s3</v>
      </c>
      <c r="B165" s="22">
        <v>11101</v>
      </c>
      <c r="C165" s="21">
        <v>10</v>
      </c>
      <c r="D165" s="2" t="str">
        <f t="shared" si="26"/>
        <v>11101_10</v>
      </c>
      <c r="E165" s="4" t="str">
        <f ca="1">VLOOKUP($B165,OFFSET([2]quests!$A$1,0,0,COUNTA([2]quests!$A:$A),MATCH(E$1,[2]quests!$1:$1,0)-MATCH($B$1,[2]quests!$1:$1,0)+1),MATCH(E$1,[2]quests!$1:$1,0)-MATCH($B$1,[2]quests!$1:$1,0)+1,FALSE)</f>
        <v>【期間限定】 黄の素材</v>
      </c>
      <c r="F165" s="4" t="str">
        <f ca="1">VLOOKUP($D165,OFFSET([2]stages!$A$1,0,0,COUNTA([2]stages!$A:$A),MATCH(F$1,[2]stages!$2:$2,0)-MATCH($D$1,[2]stages!$2:$2,0)+1),MATCH(F$1,[2]stages!$2:$2,0)-MATCH($D$1,[2]stages!$2:$2,0)+1,FALSE)</f>
        <v>【超絶級】醒電の眠りネズミ</v>
      </c>
      <c r="G165" s="21">
        <v>3</v>
      </c>
      <c r="H165" s="15" t="str">
        <f t="shared" si="27"/>
        <v>11101_10-3</v>
      </c>
      <c r="I165" s="4">
        <f ca="1">VLOOKUP($H165,OFFSET(floors!$A$1,0,0,COUNTA(floors!$A:$A),MATCH(I$1,floors!$1:$1,0)-MATCH($H$1,floors!$1:$1,0)+1),MATCH(I$1,floors!$1:$1,0)-MATCH($H$1,floors!$1:$1,0)+1,FALSE)</f>
        <v>50</v>
      </c>
      <c r="J165" s="4">
        <f ca="1">VLOOKUP($H165,OFFSET(floors!$A$1,0,0,COUNTA(floors!$A:$A),MATCH(J$1,floors!$1:$1,0)-MATCH($H$1,floors!$1:$1,0)+1),MATCH(J$1,floors!$1:$1,0)-MATCH($H$1,floors!$1:$1,0)+1,FALSE)</f>
        <v>60</v>
      </c>
      <c r="K165" s="100" t="s">
        <v>209</v>
      </c>
      <c r="L165" s="107">
        <v>346</v>
      </c>
      <c r="M165" s="17" t="str">
        <f ca="1">VLOOKUP($L165,OFFSET([3]enemies!$A$1,0,0,COUNTA([3]enemies!$A:$A),MATCH(M$1,[3]enemies!$1:$1,0)-MATCH($L$1,[3]enemies!$1:$1,0)+1),MATCH(M$1,[3]enemies!$1:$1,0)-MATCH($L$1,[3]enemies!$1:$1,0)+1,FALSE)</f>
        <v>雷のメタルダック</v>
      </c>
      <c r="N165" s="17" t="str">
        <f ca="1">VLOOKUP($L165,OFFSET([3]enemies!$A$1,0,0,COUNTA([3]enemies!$A:$A),MATCH(N$1,[3]enemies!$1:$1,0)-MATCH($L$1,[3]enemies!$1:$1,0)+1),MATCH(N$1,[3]enemies!$1:$1,0)-MATCH($L$1,[3]enemies!$1:$1,0)+1,FALSE)</f>
        <v>yellow</v>
      </c>
      <c r="O165" s="17" t="str">
        <f ca="1">VLOOKUP($L165,OFFSET([4]characters!$A$1,0,0,COUNTA([4]characters!$A:$A),MATCH(O$1,[4]characters!$1:$1,0)-MATCH($L$1,[4]characters!$1:$1,0)+1),MATCH(O$1,[4]characters!$1:$1,0)-MATCH($L$1,[4]characters!$1:$1,0)+1,FALSE)</f>
        <v>Material</v>
      </c>
      <c r="P165" s="17" t="str">
        <f ca="1">VLOOKUP($L165,OFFSET([3]enemies!$A$1,0,0,COUNTA([3]enemies!$A:$A),MATCH(P$1,[3]enemies!$1:$1,0)-MATCH($L$1,[3]enemies!$1:$1,0)+1),MATCH(P$1,[3]enemies!$1:$1,0)-MATCH($L$1,[3]enemies!$1:$1,0)+1,FALSE)</f>
        <v>unknown</v>
      </c>
      <c r="Q165" s="17">
        <f ca="1">VLOOKUP($L165,OFFSET([3]enemies!$A$1,0,0,COUNTA([3]enemies!$A:$A),MATCH(Q$1,[3]enemies!$1:$1,0)-MATCH($L$1,[3]enemies!$1:$1,0)+1),MATCH(Q$1,[3]enemies!$1:$1,0)-MATCH($L$1,[3]enemies!$1:$1,0)+1,FALSE)</f>
        <v>20</v>
      </c>
      <c r="R165" s="5">
        <v>2</v>
      </c>
      <c r="S165" s="25">
        <v>2</v>
      </c>
      <c r="T165" s="25">
        <v>99</v>
      </c>
      <c r="U165" s="5">
        <v>0</v>
      </c>
      <c r="V165" s="4" t="str">
        <f ca="1">VLOOKUP($W165,OFFSET([5]enemy_skill_sets!$B$1,0,0,COUNTA([5]enemy_skill_sets!$B:$B),MATCH(M$1,[5]enemy_skill_sets!$1:$1,0)-MATCH($W$1,[5]enemy_skill_sets!$1:$1,0)+2),MATCH(M$1,[5]enemy_skill_sets!$1:$1,0)-MATCH($W$1,[5]enemy_skill_sets!$1:$1,0)+2,FALSE)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5" s="4">
        <f ca="1">VLOOKUP($L165,OFFSET([3]enemies!$A$1,0,0,COUNTA([3]enemies!$A:$A),MATCH(W$1,[3]enemies!$1:$1,0)-MATCH($L$1,[3]enemies!$1:$1,0)+1),MATCH(W$1,[3]enemies!$1:$1,0)-MATCH($L$1,[3]enemies!$1:$1,0)+1,FALSE)</f>
        <v>0</v>
      </c>
      <c r="X165" s="6">
        <v>0</v>
      </c>
      <c r="Y165" s="6">
        <v>20</v>
      </c>
      <c r="Z165" s="6">
        <v>1</v>
      </c>
      <c r="AA165" s="17">
        <f ca="1">VLOOKUP($L165,OFFSET([3]enemies!$A$1,0,0,COUNTA([3]enemies!$A:$A),MATCH(AA$1,[3]enemies!$1:$1,0)-MATCH($L$1,[3]enemies!$1:$1,0)+1),MATCH(AA$1,[3]enemies!$1:$1,0)-MATCH($L$1,[3]enemies!$1:$1,0)+1,FALSE)</f>
        <v>3</v>
      </c>
      <c r="AB165" s="24">
        <f t="shared" si="28"/>
        <v>346</v>
      </c>
      <c r="AC165" s="4" t="str">
        <f ca="1">VLOOKUP($AB165,OFFSET([4]characters!$A$1,0,0,COUNTA([4]characters!$A:$A),MATCH(AC$1,[4]characters!$1:$1,0)-MATCH("character_id",[4]characters!$1:$1,0)+1),MATCH(AC$1,[4]characters!$1:$1,0)-MATCH("character_id",[4]characters!$1:$1,0)+1,FALSE)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165" s="4">
        <f ca="1">VLOOKUP($AB165,OFFSET([4]characters!$A$1,0,0,COUNTA([4]characters!$A:$A),MATCH(AD$1,[4]characters!$1:$1,0)-MATCH("character_id",[4]characters!$1:$1,0)+1),MATCH(AD$1,[4]characters!$1:$1,0)-MATCH("character_id",[4]characters!$1:$1,0)+1,FALSE)</f>
        <v>5</v>
      </c>
      <c r="AE165" s="4" t="str">
        <f ca="1">VLOOKUP($AB165,OFFSET([4]characters!$A$1,0,0,COUNTA([4]characters!$A:$A),MATCH(AE$1,[4]characters!$1:$1,0)-MATCH("character_id",[4]characters!$1:$1,0)+1),MATCH(AE$1,[4]characters!$1:$1,0)-MATCH("character_id",[4]characters!$1:$1,0)+1,FALSE)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5" s="7">
        <v>1</v>
      </c>
      <c r="AG165" s="24">
        <f t="shared" ca="1" si="29"/>
        <v>5</v>
      </c>
      <c r="AH165" s="8">
        <v>5</v>
      </c>
      <c r="AI165" s="7">
        <v>0</v>
      </c>
      <c r="AJ165" s="7">
        <v>0</v>
      </c>
      <c r="AK165" s="7">
        <v>0</v>
      </c>
      <c r="AL165" s="7">
        <v>0</v>
      </c>
      <c r="AM165" s="7">
        <v>1</v>
      </c>
      <c r="AN165" s="69">
        <v>1</v>
      </c>
    </row>
    <row r="166" spans="1:40" ht="21" customHeight="1" x14ac:dyDescent="0.15">
      <c r="A166" s="16" t="str">
        <f t="shared" ca="1" si="25"/>
        <v>11101_10-3/344&lt;lv2&gt;s1</v>
      </c>
      <c r="B166" s="22">
        <v>11101</v>
      </c>
      <c r="C166" s="21">
        <v>10</v>
      </c>
      <c r="D166" s="2" t="str">
        <f t="shared" si="26"/>
        <v>11101_10</v>
      </c>
      <c r="E166" s="4" t="str">
        <f ca="1">VLOOKUP($B166,OFFSET([2]quests!$A$1,0,0,COUNTA([2]quests!$A:$A),MATCH(E$1,[2]quests!$1:$1,0)-MATCH($B$1,[2]quests!$1:$1,0)+1),MATCH(E$1,[2]quests!$1:$1,0)-MATCH($B$1,[2]quests!$1:$1,0)+1,FALSE)</f>
        <v>【期間限定】 黄の素材</v>
      </c>
      <c r="F166" s="4" t="str">
        <f ca="1">VLOOKUP($D166,OFFSET([2]stages!$A$1,0,0,COUNTA([2]stages!$A:$A),MATCH(F$1,[2]stages!$2:$2,0)-MATCH($D$1,[2]stages!$2:$2,0)+1),MATCH(F$1,[2]stages!$2:$2,0)-MATCH($D$1,[2]stages!$2:$2,0)+1,FALSE)</f>
        <v>【超絶級】醒電の眠りネズミ</v>
      </c>
      <c r="G166" s="21">
        <v>3</v>
      </c>
      <c r="H166" s="15" t="str">
        <f t="shared" si="27"/>
        <v>11101_10-3</v>
      </c>
      <c r="I166" s="4">
        <f ca="1">VLOOKUP($H166,OFFSET(floors!$A$1,0,0,COUNTA(floors!$A:$A),MATCH(I$1,floors!$1:$1,0)-MATCH($H$1,floors!$1:$1,0)+1),MATCH(I$1,floors!$1:$1,0)-MATCH($H$1,floors!$1:$1,0)+1,FALSE)</f>
        <v>50</v>
      </c>
      <c r="J166" s="4">
        <f ca="1">VLOOKUP($H166,OFFSET(floors!$A$1,0,0,COUNTA(floors!$A:$A),MATCH(J$1,floors!$1:$1,0)-MATCH($H$1,floors!$1:$1,0)+1),MATCH(J$1,floors!$1:$1,0)-MATCH($H$1,floors!$1:$1,0)+1,FALSE)</f>
        <v>60</v>
      </c>
      <c r="K166" s="100" t="s">
        <v>209</v>
      </c>
      <c r="L166" s="107">
        <v>344</v>
      </c>
      <c r="M166" s="17" t="str">
        <f ca="1">VLOOKUP($L166,OFFSET([3]enemies!$A$1,0,0,COUNTA([3]enemies!$A:$A),MATCH(M$1,[3]enemies!$1:$1,0)-MATCH($L$1,[3]enemies!$1:$1,0)+1),MATCH(M$1,[3]enemies!$1:$1,0)-MATCH($L$1,[3]enemies!$1:$1,0)+1,FALSE)</f>
        <v>雷のメタルピヨピヨ</v>
      </c>
      <c r="N166" s="17" t="str">
        <f ca="1">VLOOKUP($L166,OFFSET([3]enemies!$A$1,0,0,COUNTA([3]enemies!$A:$A),MATCH(N$1,[3]enemies!$1:$1,0)-MATCH($L$1,[3]enemies!$1:$1,0)+1),MATCH(N$1,[3]enemies!$1:$1,0)-MATCH($L$1,[3]enemies!$1:$1,0)+1,FALSE)</f>
        <v>yellow</v>
      </c>
      <c r="O166" s="17" t="str">
        <f ca="1">VLOOKUP($L166,OFFSET([4]characters!$A$1,0,0,COUNTA([4]characters!$A:$A),MATCH(O$1,[4]characters!$1:$1,0)-MATCH($L$1,[4]characters!$1:$1,0)+1),MATCH(O$1,[4]characters!$1:$1,0)-MATCH($L$1,[4]characters!$1:$1,0)+1,FALSE)</f>
        <v>Material</v>
      </c>
      <c r="P166" s="17" t="str">
        <f ca="1">VLOOKUP($L166,OFFSET([3]enemies!$A$1,0,0,COUNTA([3]enemies!$A:$A),MATCH(P$1,[3]enemies!$1:$1,0)-MATCH($L$1,[3]enemies!$1:$1,0)+1),MATCH(P$1,[3]enemies!$1:$1,0)-MATCH($L$1,[3]enemies!$1:$1,0)+1,FALSE)</f>
        <v>unknown</v>
      </c>
      <c r="Q166" s="17">
        <f ca="1">VLOOKUP($L166,OFFSET([3]enemies!$A$1,0,0,COUNTA([3]enemies!$A:$A),MATCH(Q$1,[3]enemies!$1:$1,0)-MATCH($L$1,[3]enemies!$1:$1,0)+1),MATCH(Q$1,[3]enemies!$1:$1,0)-MATCH($L$1,[3]enemies!$1:$1,0)+1,FALSE)</f>
        <v>15</v>
      </c>
      <c r="R166" s="5">
        <v>2</v>
      </c>
      <c r="S166" s="25">
        <v>2</v>
      </c>
      <c r="T166" s="25">
        <v>99</v>
      </c>
      <c r="U166" s="5">
        <v>0</v>
      </c>
      <c r="V166" s="4" t="str">
        <f ca="1">VLOOKUP($W166,OFFSET([5]enemy_skill_sets!$B$1,0,0,COUNTA([5]enemy_skill_sets!$B:$B),MATCH(M$1,[5]enemy_skill_sets!$1:$1,0)-MATCH($W$1,[5]enemy_skill_sets!$1:$1,0)+2),MATCH(M$1,[5]enemy_skill_sets!$1:$1,0)-MATCH($W$1,[5]enemy_skill_sets!$1:$1,0)+2,FALSE)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6" s="4">
        <f ca="1">VLOOKUP($L166,OFFSET([3]enemies!$A$1,0,0,COUNTA([3]enemies!$A:$A),MATCH(W$1,[3]enemies!$1:$1,0)-MATCH($L$1,[3]enemies!$1:$1,0)+1),MATCH(W$1,[3]enemies!$1:$1,0)-MATCH($L$1,[3]enemies!$1:$1,0)+1,FALSE)</f>
        <v>0</v>
      </c>
      <c r="X166" s="6">
        <v>1</v>
      </c>
      <c r="Y166" s="6">
        <v>100</v>
      </c>
      <c r="Z166" s="6">
        <v>0</v>
      </c>
      <c r="AA166" s="17">
        <f ca="1">VLOOKUP($L166,OFFSET([3]enemies!$A$1,0,0,COUNTA([3]enemies!$A:$A),MATCH(AA$1,[3]enemies!$1:$1,0)-MATCH($L$1,[3]enemies!$1:$1,0)+1),MATCH(AA$1,[3]enemies!$1:$1,0)-MATCH($L$1,[3]enemies!$1:$1,0)+1,FALSE)</f>
        <v>1</v>
      </c>
      <c r="AB166" s="24">
        <f t="shared" si="28"/>
        <v>344</v>
      </c>
      <c r="AC166" s="4" t="str">
        <f ca="1">VLOOKUP($AB166,OFFSET([4]characters!$A$1,0,0,COUNTA([4]characters!$A:$A),MATCH(AC$1,[4]characters!$1:$1,0)-MATCH("character_id",[4]characters!$1:$1,0)+1),MATCH(AC$1,[4]characters!$1:$1,0)-MATCH("character_id",[4]characters!$1:$1,0)+1,FALSE)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166" s="4">
        <f ca="1">VLOOKUP($AB166,OFFSET([4]characters!$A$1,0,0,COUNTA([4]characters!$A:$A),MATCH(AD$1,[4]characters!$1:$1,0)-MATCH("character_id",[4]characters!$1:$1,0)+1),MATCH(AD$1,[4]characters!$1:$1,0)-MATCH("character_id",[4]characters!$1:$1,0)+1,FALSE)</f>
        <v>3</v>
      </c>
      <c r="AE166" s="4" t="str">
        <f ca="1">VLOOKUP($AB166,OFFSET([4]characters!$A$1,0,0,COUNTA([4]characters!$A:$A),MATCH(AE$1,[4]characters!$1:$1,0)-MATCH("character_id",[4]characters!$1:$1,0)+1),MATCH(AE$1,[4]characters!$1:$1,0)-MATCH("character_id",[4]characters!$1:$1,0)+1,FALSE)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6" s="7">
        <v>1</v>
      </c>
      <c r="AG166" s="24">
        <f t="shared" ca="1" si="29"/>
        <v>3</v>
      </c>
      <c r="AH166" s="8">
        <v>20</v>
      </c>
      <c r="AI166" s="7">
        <v>0</v>
      </c>
      <c r="AJ166" s="7">
        <v>0</v>
      </c>
      <c r="AK166" s="7">
        <v>0</v>
      </c>
      <c r="AL166" s="7">
        <v>0</v>
      </c>
      <c r="AM166" s="7">
        <v>1</v>
      </c>
      <c r="AN166" s="69">
        <v>1</v>
      </c>
    </row>
    <row r="167" spans="1:40" ht="21" customHeight="1" x14ac:dyDescent="0.15">
      <c r="A167" s="16" t="str">
        <f t="shared" ca="1" si="25"/>
        <v>11101_10-3/345&lt;lv2&gt;s2</v>
      </c>
      <c r="B167" s="22">
        <v>11101</v>
      </c>
      <c r="C167" s="21">
        <v>10</v>
      </c>
      <c r="D167" s="2" t="str">
        <f t="shared" si="26"/>
        <v>11101_10</v>
      </c>
      <c r="E167" s="4" t="str">
        <f ca="1">VLOOKUP($B167,OFFSET([2]quests!$A$1,0,0,COUNTA([2]quests!$A:$A),MATCH(E$1,[2]quests!$1:$1,0)-MATCH($B$1,[2]quests!$1:$1,0)+1),MATCH(E$1,[2]quests!$1:$1,0)-MATCH($B$1,[2]quests!$1:$1,0)+1,FALSE)</f>
        <v>【期間限定】 黄の素材</v>
      </c>
      <c r="F167" s="4" t="str">
        <f ca="1">VLOOKUP($D167,OFFSET([2]stages!$A$1,0,0,COUNTA([2]stages!$A:$A),MATCH(F$1,[2]stages!$2:$2,0)-MATCH($D$1,[2]stages!$2:$2,0)+1),MATCH(F$1,[2]stages!$2:$2,0)-MATCH($D$1,[2]stages!$2:$2,0)+1,FALSE)</f>
        <v>【超絶級】醒電の眠りネズミ</v>
      </c>
      <c r="G167" s="21">
        <v>3</v>
      </c>
      <c r="H167" s="15" t="str">
        <f t="shared" si="27"/>
        <v>11101_10-3</v>
      </c>
      <c r="I167" s="4">
        <f ca="1">VLOOKUP($H167,OFFSET(floors!$A$1,0,0,COUNTA(floors!$A:$A),MATCH(I$1,floors!$1:$1,0)-MATCH($H$1,floors!$1:$1,0)+1),MATCH(I$1,floors!$1:$1,0)-MATCH($H$1,floors!$1:$1,0)+1,FALSE)</f>
        <v>50</v>
      </c>
      <c r="J167" s="4">
        <f ca="1">VLOOKUP($H167,OFFSET(floors!$A$1,0,0,COUNTA(floors!$A:$A),MATCH(J$1,floors!$1:$1,0)-MATCH($H$1,floors!$1:$1,0)+1),MATCH(J$1,floors!$1:$1,0)-MATCH($H$1,floors!$1:$1,0)+1,FALSE)</f>
        <v>60</v>
      </c>
      <c r="K167" s="100" t="s">
        <v>209</v>
      </c>
      <c r="L167" s="107">
        <v>345</v>
      </c>
      <c r="M167" s="17" t="str">
        <f ca="1">VLOOKUP($L167,OFFSET([3]enemies!$A$1,0,0,COUNTA([3]enemies!$A:$A),MATCH(M$1,[3]enemies!$1:$1,0)-MATCH($L$1,[3]enemies!$1:$1,0)+1),MATCH(M$1,[3]enemies!$1:$1,0)-MATCH($L$1,[3]enemies!$1:$1,0)+1,FALSE)</f>
        <v>雷のメタルチック</v>
      </c>
      <c r="N167" s="17" t="str">
        <f ca="1">VLOOKUP($L167,OFFSET([3]enemies!$A$1,0,0,COUNTA([3]enemies!$A:$A),MATCH(N$1,[3]enemies!$1:$1,0)-MATCH($L$1,[3]enemies!$1:$1,0)+1),MATCH(N$1,[3]enemies!$1:$1,0)-MATCH($L$1,[3]enemies!$1:$1,0)+1,FALSE)</f>
        <v>yellow</v>
      </c>
      <c r="O167" s="17" t="str">
        <f ca="1">VLOOKUP($L167,OFFSET([4]characters!$A$1,0,0,COUNTA([4]characters!$A:$A),MATCH(O$1,[4]characters!$1:$1,0)-MATCH($L$1,[4]characters!$1:$1,0)+1),MATCH(O$1,[4]characters!$1:$1,0)-MATCH($L$1,[4]characters!$1:$1,0)+1,FALSE)</f>
        <v>Material</v>
      </c>
      <c r="P167" s="17" t="str">
        <f ca="1">VLOOKUP($L167,OFFSET([3]enemies!$A$1,0,0,COUNTA([3]enemies!$A:$A),MATCH(P$1,[3]enemies!$1:$1,0)-MATCH($L$1,[3]enemies!$1:$1,0)+1),MATCH(P$1,[3]enemies!$1:$1,0)-MATCH($L$1,[3]enemies!$1:$1,0)+1,FALSE)</f>
        <v>unknown</v>
      </c>
      <c r="Q167" s="17">
        <f ca="1">VLOOKUP($L167,OFFSET([3]enemies!$A$1,0,0,COUNTA([3]enemies!$A:$A),MATCH(Q$1,[3]enemies!$1:$1,0)-MATCH($L$1,[3]enemies!$1:$1,0)+1),MATCH(Q$1,[3]enemies!$1:$1,0)-MATCH($L$1,[3]enemies!$1:$1,0)+1,FALSE)</f>
        <v>15</v>
      </c>
      <c r="R167" s="5">
        <v>2</v>
      </c>
      <c r="S167" s="25">
        <v>2</v>
      </c>
      <c r="T167" s="25">
        <v>99</v>
      </c>
      <c r="U167" s="5">
        <v>0</v>
      </c>
      <c r="V167" s="4" t="str">
        <f ca="1">VLOOKUP($W167,OFFSET([5]enemy_skill_sets!$B$1,0,0,COUNTA([5]enemy_skill_sets!$B:$B),MATCH(M$1,[5]enemy_skill_sets!$1:$1,0)-MATCH($W$1,[5]enemy_skill_sets!$1:$1,0)+2),MATCH(M$1,[5]enemy_skill_sets!$1:$1,0)-MATCH($W$1,[5]enemy_skill_sets!$1:$1,0)+2,FALSE)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7" s="4">
        <f ca="1">VLOOKUP($L167,OFFSET([3]enemies!$A$1,0,0,COUNTA([3]enemies!$A:$A),MATCH(W$1,[3]enemies!$1:$1,0)-MATCH($L$1,[3]enemies!$1:$1,0)+1),MATCH(W$1,[3]enemies!$1:$1,0)-MATCH($L$1,[3]enemies!$1:$1,0)+1,FALSE)</f>
        <v>0</v>
      </c>
      <c r="X167" s="6">
        <v>1</v>
      </c>
      <c r="Y167" s="6">
        <v>100</v>
      </c>
      <c r="Z167" s="6">
        <v>0</v>
      </c>
      <c r="AA167" s="17">
        <f ca="1">VLOOKUP($L167,OFFSET([3]enemies!$A$1,0,0,COUNTA([3]enemies!$A:$A),MATCH(AA$1,[3]enemies!$1:$1,0)-MATCH($L$1,[3]enemies!$1:$1,0)+1),MATCH(AA$1,[3]enemies!$1:$1,0)-MATCH($L$1,[3]enemies!$1:$1,0)+1,FALSE)</f>
        <v>2</v>
      </c>
      <c r="AB167" s="24">
        <f t="shared" si="28"/>
        <v>345</v>
      </c>
      <c r="AC167" s="4" t="str">
        <f ca="1">VLOOKUP($AB167,OFFSET([4]characters!$A$1,0,0,COUNTA([4]characters!$A:$A),MATCH(AC$1,[4]characters!$1:$1,0)-MATCH("character_id",[4]characters!$1:$1,0)+1),MATCH(AC$1,[4]characters!$1:$1,0)-MATCH("character_id",[4]characters!$1:$1,0)+1,FALSE)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167" s="4">
        <f ca="1">VLOOKUP($AB167,OFFSET([4]characters!$A$1,0,0,COUNTA([4]characters!$A:$A),MATCH(AD$1,[4]characters!$1:$1,0)-MATCH("character_id",[4]characters!$1:$1,0)+1),MATCH(AD$1,[4]characters!$1:$1,0)-MATCH("character_id",[4]characters!$1:$1,0)+1,FALSE)</f>
        <v>4</v>
      </c>
      <c r="AE167" s="4" t="str">
        <f ca="1">VLOOKUP($AB167,OFFSET([4]characters!$A$1,0,0,COUNTA([4]characters!$A:$A),MATCH(AE$1,[4]characters!$1:$1,0)-MATCH("character_id",[4]characters!$1:$1,0)+1),MATCH(AE$1,[4]characters!$1:$1,0)-MATCH("character_id",[4]characters!$1:$1,0)+1,FALSE)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7" s="7">
        <v>1</v>
      </c>
      <c r="AG167" s="24">
        <f t="shared" ca="1" si="29"/>
        <v>4</v>
      </c>
      <c r="AH167" s="8">
        <v>10</v>
      </c>
      <c r="AI167" s="7">
        <v>0</v>
      </c>
      <c r="AJ167" s="7">
        <v>0</v>
      </c>
      <c r="AK167" s="7">
        <v>0</v>
      </c>
      <c r="AL167" s="7">
        <v>0</v>
      </c>
      <c r="AM167" s="7">
        <v>1</v>
      </c>
      <c r="AN167" s="69">
        <v>1</v>
      </c>
    </row>
    <row r="168" spans="1:40" ht="21" customHeight="1" x14ac:dyDescent="0.15">
      <c r="A168" s="16" t="str">
        <f t="shared" si="25"/>
        <v>11101_10-4/366&lt;lv52&gt;s2</v>
      </c>
      <c r="B168" s="22">
        <v>11101</v>
      </c>
      <c r="C168" s="21">
        <v>10</v>
      </c>
      <c r="D168" s="2" t="str">
        <f t="shared" si="26"/>
        <v>11101_10</v>
      </c>
      <c r="E168" s="4" t="str">
        <f ca="1">VLOOKUP($B168,OFFSET([2]quests!$A$1,0,0,COUNTA([2]quests!$A:$A),MATCH(E$1,[2]quests!$1:$1,0)-MATCH($B$1,[2]quests!$1:$1,0)+1),MATCH(E$1,[2]quests!$1:$1,0)-MATCH($B$1,[2]quests!$1:$1,0)+1,FALSE)</f>
        <v>【期間限定】 黄の素材</v>
      </c>
      <c r="F168" s="4" t="str">
        <f ca="1">VLOOKUP($D168,OFFSET([2]stages!$A$1,0,0,COUNTA([2]stages!$A:$A),MATCH(F$1,[2]stages!$2:$2,0)-MATCH($D$1,[2]stages!$2:$2,0)+1),MATCH(F$1,[2]stages!$2:$2,0)-MATCH($D$1,[2]stages!$2:$2,0)+1,FALSE)</f>
        <v>【超絶級】醒電の眠りネズミ</v>
      </c>
      <c r="G168" s="21">
        <v>4</v>
      </c>
      <c r="H168" s="15" t="str">
        <f t="shared" si="27"/>
        <v>11101_10-4</v>
      </c>
      <c r="I168" s="4">
        <f ca="1">VLOOKUP($H168,OFFSET(floors!$A$1,0,0,COUNTA(floors!$A:$A),MATCH(I$1,floors!$1:$1,0)-MATCH($H$1,floors!$1:$1,0)+1),MATCH(I$1,floors!$1:$1,0)-MATCH($H$1,floors!$1:$1,0)+1,FALSE)</f>
        <v>45</v>
      </c>
      <c r="J168" s="4">
        <f ca="1">VLOOKUP($H168,OFFSET(floors!$A$1,0,0,COUNTA(floors!$A:$A),MATCH(J$1,floors!$1:$1,0)-MATCH($H$1,floors!$1:$1,0)+1),MATCH(J$1,floors!$1:$1,0)-MATCH($H$1,floors!$1:$1,0)+1,FALSE)</f>
        <v>60</v>
      </c>
      <c r="K168" s="100" t="s">
        <v>209</v>
      </c>
      <c r="L168" s="107">
        <v>366</v>
      </c>
      <c r="M168" s="17" t="str">
        <f ca="1">VLOOKUP($L168,OFFSET([3]enemies!$A$1,0,0,COUNTA([3]enemies!$A:$A),MATCH(M$1,[3]enemies!$1:$1,0)-MATCH($L$1,[3]enemies!$1:$1,0)+1),MATCH(M$1,[3]enemies!$1:$1,0)-MATCH($L$1,[3]enemies!$1:$1,0)+1,FALSE)</f>
        <v>トト</v>
      </c>
      <c r="N168" s="17" t="str">
        <f ca="1">VLOOKUP($L168,OFFSET([3]enemies!$A$1,0,0,COUNTA([3]enemies!$A:$A),MATCH(N$1,[3]enemies!$1:$1,0)-MATCH($L$1,[3]enemies!$1:$1,0)+1),MATCH(N$1,[3]enemies!$1:$1,0)-MATCH($L$1,[3]enemies!$1:$1,0)+1,FALSE)</f>
        <v>yellow</v>
      </c>
      <c r="O168" s="17" t="str">
        <f ca="1">VLOOKUP($L168,OFFSET([4]characters!$A$1,0,0,COUNTA([4]characters!$A:$A),MATCH(O$1,[4]characters!$1:$1,0)-MATCH($L$1,[4]characters!$1:$1,0)+1),MATCH(O$1,[4]characters!$1:$1,0)-MATCH($L$1,[4]characters!$1:$1,0)+1,FALSE)</f>
        <v>Drop1S</v>
      </c>
      <c r="P168" s="17" t="str">
        <f ca="1">VLOOKUP($L168,OFFSET([3]enemies!$A$1,0,0,COUNTA([3]enemies!$A:$A),MATCH(P$1,[3]enemies!$1:$1,0)-MATCH($L$1,[3]enemies!$1:$1,0)+1),MATCH(P$1,[3]enemies!$1:$1,0)-MATCH($L$1,[3]enemies!$1:$1,0)+1,FALSE)</f>
        <v>animal</v>
      </c>
      <c r="Q168" s="17">
        <f ca="1">VLOOKUP($L168,OFFSET([3]enemies!$A$1,0,0,COUNTA([3]enemies!$A:$A),MATCH(Q$1,[3]enemies!$1:$1,0)-MATCH($L$1,[3]enemies!$1:$1,0)+1),MATCH(Q$1,[3]enemies!$1:$1,0)-MATCH($L$1,[3]enemies!$1:$1,0)+1,FALSE)</f>
        <v>15</v>
      </c>
      <c r="R168" s="5">
        <v>52</v>
      </c>
      <c r="S168" s="25">
        <v>1.8</v>
      </c>
      <c r="T168" s="25">
        <v>0.9</v>
      </c>
      <c r="U168" s="5">
        <v>0</v>
      </c>
      <c r="V168" s="4" t="str">
        <f ca="1">VLOOKUP($W168,OFFSET(enemy_skill_sets!$B$1,0,0,COUNTA(enemy_skill_sets!$B:$B),MATCH(M$1,enemy_skill_sets!$1:$1,0)-MATCH($W$1,enemy_skill_sets!$1:$1,0)+2),MATCH(M$1,enemy_skill_sets!$1:$1,0)-MATCH($W$1,enemy_skill_sets!$1:$1,0)+2,FALSE)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168" s="110">
        <v>1122213</v>
      </c>
      <c r="X168" s="6">
        <v>2</v>
      </c>
      <c r="Y168" s="6">
        <v>100</v>
      </c>
      <c r="Z168" s="6">
        <v>0</v>
      </c>
      <c r="AA168" s="17">
        <v>2</v>
      </c>
      <c r="AB168" s="24">
        <f t="shared" si="28"/>
        <v>366</v>
      </c>
      <c r="AC168" s="4" t="str">
        <f ca="1">VLOOKUP($AB168,OFFSET([4]characters!$A$1,0,0,COUNTA([4]characters!$A:$A),MATCH(AC$1,[4]characters!$1:$1,0)-MATCH("character_id",[4]characters!$1:$1,0)+1),MATCH(AC$1,[4]characters!$1:$1,0)-MATCH("character_id",[4]characters!$1:$1,0)+1,FALSE)</f>
        <v>トト</v>
      </c>
      <c r="AD168" s="4">
        <f ca="1">VLOOKUP($AB168,OFFSET([4]characters!$A$1,0,0,COUNTA([4]characters!$A:$A),MATCH(AD$1,[4]characters!$1:$1,0)-MATCH("character_id",[4]characters!$1:$1,0)+1),MATCH(AD$1,[4]characters!$1:$1,0)-MATCH("character_id",[4]characters!$1:$1,0)+1,FALSE)</f>
        <v>2</v>
      </c>
      <c r="AE168" s="4" t="str">
        <f ca="1">VLOOKUP($AB168,OFFSET([4]characters!$A$1,0,0,COUNTA([4]characters!$A:$A),MATCH(AE$1,[4]characters!$1:$1,0)-MATCH("character_id",[4]characters!$1:$1,0)+1),MATCH(AE$1,[4]characters!$1:$1,0)-MATCH("character_id",[4]characters!$1:$1,0)+1,FALSE)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8" s="7">
        <v>1</v>
      </c>
      <c r="AG168" s="24">
        <f t="shared" ca="1" si="29"/>
        <v>2</v>
      </c>
      <c r="AH168" s="8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1</v>
      </c>
      <c r="AN168" s="69">
        <v>1</v>
      </c>
    </row>
    <row r="169" spans="1:40" ht="21" customHeight="1" x14ac:dyDescent="0.15">
      <c r="A169" s="16" t="str">
        <f t="shared" si="25"/>
        <v>11101_10-4/412&lt;lv52&gt;s1</v>
      </c>
      <c r="B169" s="22">
        <v>11101</v>
      </c>
      <c r="C169" s="21">
        <v>10</v>
      </c>
      <c r="D169" s="2" t="str">
        <f t="shared" si="26"/>
        <v>11101_10</v>
      </c>
      <c r="E169" s="4" t="str">
        <f ca="1">VLOOKUP($B169,OFFSET([2]quests!$A$1,0,0,COUNTA([2]quests!$A:$A),MATCH(E$1,[2]quests!$1:$1,0)-MATCH($B$1,[2]quests!$1:$1,0)+1),MATCH(E$1,[2]quests!$1:$1,0)-MATCH($B$1,[2]quests!$1:$1,0)+1,FALSE)</f>
        <v>【期間限定】 黄の素材</v>
      </c>
      <c r="F169" s="4" t="str">
        <f ca="1">VLOOKUP($D169,OFFSET([2]stages!$A$1,0,0,COUNTA([2]stages!$A:$A),MATCH(F$1,[2]stages!$2:$2,0)-MATCH($D$1,[2]stages!$2:$2,0)+1),MATCH(F$1,[2]stages!$2:$2,0)-MATCH($D$1,[2]stages!$2:$2,0)+1,FALSE)</f>
        <v>【超絶級】醒電の眠りネズミ</v>
      </c>
      <c r="G169" s="21">
        <v>4</v>
      </c>
      <c r="H169" s="15" t="str">
        <f t="shared" si="27"/>
        <v>11101_10-4</v>
      </c>
      <c r="I169" s="4">
        <f ca="1">VLOOKUP($H169,OFFSET(floors!$A$1,0,0,COUNTA(floors!$A:$A),MATCH(I$1,floors!$1:$1,0)-MATCH($H$1,floors!$1:$1,0)+1),MATCH(I$1,floors!$1:$1,0)-MATCH($H$1,floors!$1:$1,0)+1,FALSE)</f>
        <v>45</v>
      </c>
      <c r="J169" s="4">
        <f ca="1">VLOOKUP($H169,OFFSET(floors!$A$1,0,0,COUNTA(floors!$A:$A),MATCH(J$1,floors!$1:$1,0)-MATCH($H$1,floors!$1:$1,0)+1),MATCH(J$1,floors!$1:$1,0)-MATCH($H$1,floors!$1:$1,0)+1,FALSE)</f>
        <v>60</v>
      </c>
      <c r="K169" s="100" t="s">
        <v>209</v>
      </c>
      <c r="L169" s="107">
        <v>412</v>
      </c>
      <c r="M169" s="17" t="str">
        <f ca="1">VLOOKUP($L169,OFFSET([3]enemies!$A$1,0,0,COUNTA([3]enemies!$A:$A),MATCH(M$1,[3]enemies!$1:$1,0)-MATCH($L$1,[3]enemies!$1:$1,0)+1),MATCH(M$1,[3]enemies!$1:$1,0)-MATCH($L$1,[3]enemies!$1:$1,0)+1,FALSE)</f>
        <v>コウネン</v>
      </c>
      <c r="N169" s="17" t="str">
        <f ca="1">VLOOKUP($L169,OFFSET([3]enemies!$A$1,0,0,COUNTA([3]enemies!$A:$A),MATCH(N$1,[3]enemies!$1:$1,0)-MATCH($L$1,[3]enemies!$1:$1,0)+1),MATCH(N$1,[3]enemies!$1:$1,0)-MATCH($L$1,[3]enemies!$1:$1,0)+1,FALSE)</f>
        <v>yellow</v>
      </c>
      <c r="O169" s="17" t="str">
        <f ca="1">VLOOKUP($L169,OFFSET([4]characters!$A$1,0,0,COUNTA([4]characters!$A:$A),MATCH(O$1,[4]characters!$1:$1,0)-MATCH($L$1,[4]characters!$1:$1,0)+1),MATCH(O$1,[4]characters!$1:$1,0)-MATCH($L$1,[4]characters!$1:$1,0)+1,FALSE)</f>
        <v>Drop1S</v>
      </c>
      <c r="P169" s="17" t="str">
        <f ca="1">VLOOKUP($L169,OFFSET([3]enemies!$A$1,0,0,COUNTA([3]enemies!$A:$A),MATCH(P$1,[3]enemies!$1:$1,0)-MATCH($L$1,[3]enemies!$1:$1,0)+1),MATCH(P$1,[3]enemies!$1:$1,0)-MATCH($L$1,[3]enemies!$1:$1,0)+1,FALSE)</f>
        <v>unknown</v>
      </c>
      <c r="Q169" s="17">
        <f ca="1">VLOOKUP($L169,OFFSET([3]enemies!$A$1,0,0,COUNTA([3]enemies!$A:$A),MATCH(Q$1,[3]enemies!$1:$1,0)-MATCH($L$1,[3]enemies!$1:$1,0)+1),MATCH(Q$1,[3]enemies!$1:$1,0)-MATCH($L$1,[3]enemies!$1:$1,0)+1,FALSE)</f>
        <v>15</v>
      </c>
      <c r="R169" s="5">
        <v>52</v>
      </c>
      <c r="S169" s="25">
        <v>1.2</v>
      </c>
      <c r="T169" s="25">
        <v>1.2</v>
      </c>
      <c r="U169" s="5">
        <v>0</v>
      </c>
      <c r="V169" s="4" t="str">
        <f ca="1">VLOOKUP($W169,OFFSET(enemy_skill_sets!$B$1,0,0,COUNTA(enemy_skill_sets!$B:$B),MATCH(M$1,enemy_skill_sets!$1:$1,0)-MATCH($W$1,enemy_skill_sets!$1:$1,0)+2),MATCH(M$1,enemy_skill_sets!$1:$1,0)-MATCH($W$1,enemy_skill_sets!$1:$1,0)+2,FALSE)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69" s="109">
        <v>1122207</v>
      </c>
      <c r="X169" s="6">
        <v>1</v>
      </c>
      <c r="Y169" s="6">
        <v>100</v>
      </c>
      <c r="Z169" s="6">
        <v>0</v>
      </c>
      <c r="AA169" s="17">
        <v>1</v>
      </c>
      <c r="AB169" s="24">
        <f t="shared" si="28"/>
        <v>412</v>
      </c>
      <c r="AC169" s="4" t="str">
        <f ca="1">VLOOKUP($AB169,OFFSET([4]characters!$A$1,0,0,COUNTA([4]characters!$A:$A),MATCH(AC$1,[4]characters!$1:$1,0)-MATCH("character_id",[4]characters!$1:$1,0)+1),MATCH(AC$1,[4]characters!$1:$1,0)-MATCH("character_id",[4]characters!$1:$1,0)+1,FALSE)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169" s="4">
        <f ca="1">VLOOKUP($AB169,OFFSET([4]characters!$A$1,0,0,COUNTA([4]characters!$A:$A),MATCH(AD$1,[4]characters!$1:$1,0)-MATCH("character_id",[4]characters!$1:$1,0)+1),MATCH(AD$1,[4]characters!$1:$1,0)-MATCH("character_id",[4]characters!$1:$1,0)+1,FALSE)</f>
        <v>2</v>
      </c>
      <c r="AE169" s="4" t="str">
        <f ca="1">VLOOKUP($AB169,OFFSET([4]characters!$A$1,0,0,COUNTA([4]characters!$A:$A),MATCH(AE$1,[4]characters!$1:$1,0)-MATCH("character_id",[4]characters!$1:$1,0)+1),MATCH(AE$1,[4]characters!$1:$1,0)-MATCH("character_id",[4]characters!$1:$1,0)+1,FALSE)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9" s="7">
        <v>1</v>
      </c>
      <c r="AG169" s="24">
        <f t="shared" ca="1" si="29"/>
        <v>2</v>
      </c>
      <c r="AH169" s="8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1</v>
      </c>
      <c r="AN169" s="69">
        <v>1</v>
      </c>
    </row>
    <row r="170" spans="1:40" ht="21" customHeight="1" x14ac:dyDescent="0.15">
      <c r="A170" s="16" t="str">
        <f t="shared" si="25"/>
        <v>11101_10-5/366&lt;lv52&gt;s2</v>
      </c>
      <c r="B170" s="22">
        <v>11101</v>
      </c>
      <c r="C170" s="21">
        <v>10</v>
      </c>
      <c r="D170" s="2" t="str">
        <f t="shared" si="26"/>
        <v>11101_10</v>
      </c>
      <c r="E170" s="4" t="str">
        <f ca="1">VLOOKUP($B170,OFFSET([2]quests!$A$1,0,0,COUNTA([2]quests!$A:$A),MATCH(E$1,[2]quests!$1:$1,0)-MATCH($B$1,[2]quests!$1:$1,0)+1),MATCH(E$1,[2]quests!$1:$1,0)-MATCH($B$1,[2]quests!$1:$1,0)+1,FALSE)</f>
        <v>【期間限定】 黄の素材</v>
      </c>
      <c r="F170" s="4" t="str">
        <f ca="1">VLOOKUP($D170,OFFSET([2]stages!$A$1,0,0,COUNTA([2]stages!$A:$A),MATCH(F$1,[2]stages!$2:$2,0)-MATCH($D$1,[2]stages!$2:$2,0)+1),MATCH(F$1,[2]stages!$2:$2,0)-MATCH($D$1,[2]stages!$2:$2,0)+1,FALSE)</f>
        <v>【超絶級】醒電の眠りネズミ</v>
      </c>
      <c r="G170" s="21">
        <v>5</v>
      </c>
      <c r="H170" s="15" t="str">
        <f t="shared" si="27"/>
        <v>11101_10-5</v>
      </c>
      <c r="I170" s="4">
        <f ca="1">VLOOKUP($H170,OFFSET(floors!$A$1,0,0,COUNTA(floors!$A:$A),MATCH(I$1,floors!$1:$1,0)-MATCH($H$1,floors!$1:$1,0)+1),MATCH(I$1,floors!$1:$1,0)-MATCH($H$1,floors!$1:$1,0)+1,FALSE)</f>
        <v>60</v>
      </c>
      <c r="J170" s="4">
        <f ca="1">VLOOKUP($H170,OFFSET(floors!$A$1,0,0,COUNTA(floors!$A:$A),MATCH(J$1,floors!$1:$1,0)-MATCH($H$1,floors!$1:$1,0)+1),MATCH(J$1,floors!$1:$1,0)-MATCH($H$1,floors!$1:$1,0)+1,FALSE)</f>
        <v>60</v>
      </c>
      <c r="K170" s="100" t="s">
        <v>209</v>
      </c>
      <c r="L170" s="107">
        <v>366</v>
      </c>
      <c r="M170" s="17" t="str">
        <f ca="1">VLOOKUP($L170,OFFSET([3]enemies!$A$1,0,0,COUNTA([3]enemies!$A:$A),MATCH(M$1,[3]enemies!$1:$1,0)-MATCH($L$1,[3]enemies!$1:$1,0)+1),MATCH(M$1,[3]enemies!$1:$1,0)-MATCH($L$1,[3]enemies!$1:$1,0)+1,FALSE)</f>
        <v>トト</v>
      </c>
      <c r="N170" s="17" t="str">
        <f ca="1">VLOOKUP($L170,OFFSET([3]enemies!$A$1,0,0,COUNTA([3]enemies!$A:$A),MATCH(N$1,[3]enemies!$1:$1,0)-MATCH($L$1,[3]enemies!$1:$1,0)+1),MATCH(N$1,[3]enemies!$1:$1,0)-MATCH($L$1,[3]enemies!$1:$1,0)+1,FALSE)</f>
        <v>yellow</v>
      </c>
      <c r="O170" s="17" t="str">
        <f ca="1">VLOOKUP($L170,OFFSET([4]characters!$A$1,0,0,COUNTA([4]characters!$A:$A),MATCH(O$1,[4]characters!$1:$1,0)-MATCH($L$1,[4]characters!$1:$1,0)+1),MATCH(O$1,[4]characters!$1:$1,0)-MATCH($L$1,[4]characters!$1:$1,0)+1,FALSE)</f>
        <v>Drop1S</v>
      </c>
      <c r="P170" s="17" t="str">
        <f ca="1">VLOOKUP($L170,OFFSET([3]enemies!$A$1,0,0,COUNTA([3]enemies!$A:$A),MATCH(P$1,[3]enemies!$1:$1,0)-MATCH($L$1,[3]enemies!$1:$1,0)+1),MATCH(P$1,[3]enemies!$1:$1,0)-MATCH($L$1,[3]enemies!$1:$1,0)+1,FALSE)</f>
        <v>animal</v>
      </c>
      <c r="Q170" s="17">
        <f ca="1">VLOOKUP($L170,OFFSET([3]enemies!$A$1,0,0,COUNTA([3]enemies!$A:$A),MATCH(Q$1,[3]enemies!$1:$1,0)-MATCH($L$1,[3]enemies!$1:$1,0)+1),MATCH(Q$1,[3]enemies!$1:$1,0)-MATCH($L$1,[3]enemies!$1:$1,0)+1,FALSE)</f>
        <v>15</v>
      </c>
      <c r="R170" s="5">
        <v>52</v>
      </c>
      <c r="S170" s="25">
        <v>1.8</v>
      </c>
      <c r="T170" s="25">
        <v>0.9</v>
      </c>
      <c r="U170" s="5">
        <v>0</v>
      </c>
      <c r="V170" s="4" t="str">
        <f ca="1">VLOOKUP($W170,OFFSET(enemy_skill_sets!$B$1,0,0,COUNTA(enemy_skill_sets!$B:$B),MATCH(M$1,enemy_skill_sets!$1:$1,0)-MATCH($W$1,enemy_skill_sets!$1:$1,0)+2),MATCH(M$1,enemy_skill_sets!$1:$1,0)-MATCH($W$1,enemy_skill_sets!$1:$1,0)+2,FALSE)</f>
        <v>時限式ダメージパネル生成</v>
      </c>
      <c r="W170" s="110">
        <v>1122213</v>
      </c>
      <c r="X170" s="6">
        <v>2</v>
      </c>
      <c r="Y170" s="6">
        <v>100</v>
      </c>
      <c r="Z170" s="6">
        <v>0</v>
      </c>
      <c r="AA170" s="17">
        <v>2</v>
      </c>
      <c r="AB170" s="24">
        <f t="shared" si="28"/>
        <v>366</v>
      </c>
      <c r="AC170" s="4" t="str">
        <f ca="1">VLOOKUP($AB170,OFFSET([4]characters!$A$1,0,0,COUNTA([4]characters!$A:$A),MATCH(AC$1,[4]characters!$1:$1,0)-MATCH("character_id",[4]characters!$1:$1,0)+1),MATCH(AC$1,[4]characters!$1:$1,0)-MATCH("character_id",[4]characters!$1:$1,0)+1,FALSE)</f>
        <v>トト</v>
      </c>
      <c r="AD170" s="4">
        <f ca="1">VLOOKUP($AB170,OFFSET([4]characters!$A$1,0,0,COUNTA([4]characters!$A:$A),MATCH(AD$1,[4]characters!$1:$1,0)-MATCH("character_id",[4]characters!$1:$1,0)+1),MATCH(AD$1,[4]characters!$1:$1,0)-MATCH("character_id",[4]characters!$1:$1,0)+1,FALSE)</f>
        <v>2</v>
      </c>
      <c r="AE170" s="4" t="str">
        <f ca="1">VLOOKUP($AB170,OFFSET([4]characters!$A$1,0,0,COUNTA([4]characters!$A:$A),MATCH(AE$1,[4]characters!$1:$1,0)-MATCH("character_id",[4]characters!$1:$1,0)+1),MATCH(AE$1,[4]characters!$1:$1,0)-MATCH("character_id",[4]characters!$1:$1,0)+1,FALSE)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0" s="7">
        <v>1</v>
      </c>
      <c r="AG170" s="24">
        <f t="shared" ca="1" si="29"/>
        <v>2</v>
      </c>
      <c r="AH170" s="8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1</v>
      </c>
      <c r="AN170" s="69">
        <v>1</v>
      </c>
    </row>
    <row r="171" spans="1:40" ht="21" customHeight="1" x14ac:dyDescent="0.15">
      <c r="A171" s="16" t="str">
        <f t="shared" si="25"/>
        <v>11101_10-5/412&lt;lv52&gt;s1</v>
      </c>
      <c r="B171" s="22">
        <v>11101</v>
      </c>
      <c r="C171" s="21">
        <v>10</v>
      </c>
      <c r="D171" s="2" t="str">
        <f t="shared" si="26"/>
        <v>11101_10</v>
      </c>
      <c r="E171" s="4" t="str">
        <f ca="1">VLOOKUP($B171,OFFSET([2]quests!$A$1,0,0,COUNTA([2]quests!$A:$A),MATCH(E$1,[2]quests!$1:$1,0)-MATCH($B$1,[2]quests!$1:$1,0)+1),MATCH(E$1,[2]quests!$1:$1,0)-MATCH($B$1,[2]quests!$1:$1,0)+1,FALSE)</f>
        <v>【期間限定】 黄の素材</v>
      </c>
      <c r="F171" s="4" t="str">
        <f ca="1">VLOOKUP($D171,OFFSET([2]stages!$A$1,0,0,COUNTA([2]stages!$A:$A),MATCH(F$1,[2]stages!$2:$2,0)-MATCH($D$1,[2]stages!$2:$2,0)+1),MATCH(F$1,[2]stages!$2:$2,0)-MATCH($D$1,[2]stages!$2:$2,0)+1,FALSE)</f>
        <v>【超絶級】醒電の眠りネズミ</v>
      </c>
      <c r="G171" s="21">
        <v>5</v>
      </c>
      <c r="H171" s="15" t="str">
        <f t="shared" si="27"/>
        <v>11101_10-5</v>
      </c>
      <c r="I171" s="4">
        <f ca="1">VLOOKUP($H171,OFFSET(floors!$A$1,0,0,COUNTA(floors!$A:$A),MATCH(I$1,floors!$1:$1,0)-MATCH($H$1,floors!$1:$1,0)+1),MATCH(I$1,floors!$1:$1,0)-MATCH($H$1,floors!$1:$1,0)+1,FALSE)</f>
        <v>60</v>
      </c>
      <c r="J171" s="4">
        <f ca="1">VLOOKUP($H171,OFFSET(floors!$A$1,0,0,COUNTA(floors!$A:$A),MATCH(J$1,floors!$1:$1,0)-MATCH($H$1,floors!$1:$1,0)+1),MATCH(J$1,floors!$1:$1,0)-MATCH($H$1,floors!$1:$1,0)+1,FALSE)</f>
        <v>60</v>
      </c>
      <c r="K171" s="100" t="s">
        <v>209</v>
      </c>
      <c r="L171" s="107">
        <v>412</v>
      </c>
      <c r="M171" s="17" t="str">
        <f ca="1">VLOOKUP($L171,OFFSET([3]enemies!$A$1,0,0,COUNTA([3]enemies!$A:$A),MATCH(M$1,[3]enemies!$1:$1,0)-MATCH($L$1,[3]enemies!$1:$1,0)+1),MATCH(M$1,[3]enemies!$1:$1,0)-MATCH($L$1,[3]enemies!$1:$1,0)+1,FALSE)</f>
        <v>コウネン</v>
      </c>
      <c r="N171" s="17" t="str">
        <f ca="1">VLOOKUP($L171,OFFSET([3]enemies!$A$1,0,0,COUNTA([3]enemies!$A:$A),MATCH(N$1,[3]enemies!$1:$1,0)-MATCH($L$1,[3]enemies!$1:$1,0)+1),MATCH(N$1,[3]enemies!$1:$1,0)-MATCH($L$1,[3]enemies!$1:$1,0)+1,FALSE)</f>
        <v>yellow</v>
      </c>
      <c r="O171" s="17" t="str">
        <f ca="1">VLOOKUP($L171,OFFSET([4]characters!$A$1,0,0,COUNTA([4]characters!$A:$A),MATCH(O$1,[4]characters!$1:$1,0)-MATCH($L$1,[4]characters!$1:$1,0)+1),MATCH(O$1,[4]characters!$1:$1,0)-MATCH($L$1,[4]characters!$1:$1,0)+1,FALSE)</f>
        <v>Drop1S</v>
      </c>
      <c r="P171" s="17" t="str">
        <f ca="1">VLOOKUP($L171,OFFSET([3]enemies!$A$1,0,0,COUNTA([3]enemies!$A:$A),MATCH(P$1,[3]enemies!$1:$1,0)-MATCH($L$1,[3]enemies!$1:$1,0)+1),MATCH(P$1,[3]enemies!$1:$1,0)-MATCH($L$1,[3]enemies!$1:$1,0)+1,FALSE)</f>
        <v>unknown</v>
      </c>
      <c r="Q171" s="17">
        <f ca="1">VLOOKUP($L171,OFFSET([3]enemies!$A$1,0,0,COUNTA([3]enemies!$A:$A),MATCH(Q$1,[3]enemies!$1:$1,0)-MATCH($L$1,[3]enemies!$1:$1,0)+1),MATCH(Q$1,[3]enemies!$1:$1,0)-MATCH($L$1,[3]enemies!$1:$1,0)+1,FALSE)</f>
        <v>15</v>
      </c>
      <c r="R171" s="5">
        <v>52</v>
      </c>
      <c r="S171" s="25">
        <v>1.2</v>
      </c>
      <c r="T171" s="25">
        <v>1.2</v>
      </c>
      <c r="U171" s="5">
        <v>0</v>
      </c>
      <c r="V171" s="4" t="str">
        <f ca="1">VLOOKUP($W171,OFFSET(enemy_skill_sets!$B$1,0,0,COUNTA(enemy_skill_sets!$B:$B),MATCH(M$1,enemy_skill_sets!$1:$1,0)-MATCH($W$1,enemy_skill_sets!$1:$1,0)+2),MATCH(M$1,enemy_skill_sets!$1:$1,0)-MATCH($W$1,enemy_skill_sets!$1:$1,0)+2,FALSE)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71" s="109">
        <v>1122207</v>
      </c>
      <c r="X171" s="6">
        <v>1</v>
      </c>
      <c r="Y171" s="6">
        <v>100</v>
      </c>
      <c r="Z171" s="6">
        <v>0</v>
      </c>
      <c r="AA171" s="17">
        <v>1</v>
      </c>
      <c r="AB171" s="24">
        <f t="shared" si="28"/>
        <v>412</v>
      </c>
      <c r="AC171" s="4" t="str">
        <f ca="1">VLOOKUP($AB171,OFFSET([4]characters!$A$1,0,0,COUNTA([4]characters!$A:$A),MATCH(AC$1,[4]characters!$1:$1,0)-MATCH("character_id",[4]characters!$1:$1,0)+1),MATCH(AC$1,[4]characters!$1:$1,0)-MATCH("character_id",[4]characters!$1:$1,0)+1,FALSE)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171" s="4">
        <f ca="1">VLOOKUP($AB171,OFFSET([4]characters!$A$1,0,0,COUNTA([4]characters!$A:$A),MATCH(AD$1,[4]characters!$1:$1,0)-MATCH("character_id",[4]characters!$1:$1,0)+1),MATCH(AD$1,[4]characters!$1:$1,0)-MATCH("character_id",[4]characters!$1:$1,0)+1,FALSE)</f>
        <v>2</v>
      </c>
      <c r="AE171" s="4" t="str">
        <f ca="1">VLOOKUP($AB171,OFFSET([4]characters!$A$1,0,0,COUNTA([4]characters!$A:$A),MATCH(AE$1,[4]characters!$1:$1,0)-MATCH("character_id",[4]characters!$1:$1,0)+1),MATCH(AE$1,[4]characters!$1:$1,0)-MATCH("character_id",[4]characters!$1:$1,0)+1,FALSE)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1" s="7">
        <v>1</v>
      </c>
      <c r="AG171" s="24">
        <f t="shared" ca="1" si="29"/>
        <v>2</v>
      </c>
      <c r="AH171" s="8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1</v>
      </c>
      <c r="AN171" s="69">
        <v>1</v>
      </c>
    </row>
    <row r="172" spans="1:40" ht="21" customHeight="1" x14ac:dyDescent="0.15">
      <c r="A172" s="16" t="str">
        <f t="shared" si="25"/>
        <v>11101_10-6/359&lt;lv50&gt;s2</v>
      </c>
      <c r="B172" s="22">
        <v>11101</v>
      </c>
      <c r="C172" s="21">
        <v>10</v>
      </c>
      <c r="D172" s="2" t="str">
        <f t="shared" si="26"/>
        <v>11101_10</v>
      </c>
      <c r="E172" s="4" t="str">
        <f ca="1">VLOOKUP($B172,OFFSET([2]quests!$A$1,0,0,COUNTA([2]quests!$A:$A),MATCH(E$1,[2]quests!$1:$1,0)-MATCH($B$1,[2]quests!$1:$1,0)+1),MATCH(E$1,[2]quests!$1:$1,0)-MATCH($B$1,[2]quests!$1:$1,0)+1,FALSE)</f>
        <v>【期間限定】 黄の素材</v>
      </c>
      <c r="F172" s="4" t="str">
        <f ca="1">VLOOKUP($D172,OFFSET([2]stages!$A$1,0,0,COUNTA([2]stages!$A:$A),MATCH(F$1,[2]stages!$2:$2,0)-MATCH($D$1,[2]stages!$2:$2,0)+1),MATCH(F$1,[2]stages!$2:$2,0)-MATCH($D$1,[2]stages!$2:$2,0)+1,FALSE)</f>
        <v>【超絶級】醒電の眠りネズミ</v>
      </c>
      <c r="G172" s="21">
        <v>6</v>
      </c>
      <c r="H172" s="15" t="str">
        <f t="shared" si="27"/>
        <v>11101_10-6</v>
      </c>
      <c r="I172" s="4">
        <f ca="1">VLOOKUP($H172,OFFSET(floors!$A$1,0,0,COUNTA(floors!$A:$A),MATCH(I$1,floors!$1:$1,0)-MATCH($H$1,floors!$1:$1,0)+1),MATCH(I$1,floors!$1:$1,0)-MATCH($H$1,floors!$1:$1,0)+1,FALSE)</f>
        <v>60</v>
      </c>
      <c r="J172" s="4">
        <f ca="1">VLOOKUP($H172,OFFSET(floors!$A$1,0,0,COUNTA(floors!$A:$A),MATCH(J$1,floors!$1:$1,0)-MATCH($H$1,floors!$1:$1,0)+1),MATCH(J$1,floors!$1:$1,0)-MATCH($H$1,floors!$1:$1,0)+1,FALSE)</f>
        <v>60</v>
      </c>
      <c r="K172" s="100" t="s">
        <v>209</v>
      </c>
      <c r="L172" s="107">
        <v>359</v>
      </c>
      <c r="M172" s="17" t="str">
        <f ca="1">VLOOKUP($L172,OFFSET([3]enemies!$A$1,0,0,COUNTA([3]enemies!$A:$A),MATCH(M$1,[3]enemies!$1:$1,0)-MATCH($L$1,[3]enemies!$1:$1,0)+1),MATCH(M$1,[3]enemies!$1:$1,0)-MATCH($L$1,[3]enemies!$1:$1,0)+1,FALSE)</f>
        <v>醒電の眠りネズミ</v>
      </c>
      <c r="N172" s="17" t="str">
        <f ca="1">VLOOKUP($L172,OFFSET([3]enemies!$A$1,0,0,COUNTA([3]enemies!$A:$A),MATCH(N$1,[3]enemies!$1:$1,0)-MATCH($L$1,[3]enemies!$1:$1,0)+1),MATCH(N$1,[3]enemies!$1:$1,0)-MATCH($L$1,[3]enemies!$1:$1,0)+1,FALSE)</f>
        <v>yellow</v>
      </c>
      <c r="O172" s="17" t="str">
        <f ca="1">VLOOKUP($L172,OFFSET([4]characters!$A$1,0,0,COUNTA([4]characters!$A:$A),MATCH(O$1,[4]characters!$1:$1,0)-MATCH($L$1,[4]characters!$1:$1,0)+1),MATCH(O$1,[4]characters!$1:$1,0)-MATCH($L$1,[4]characters!$1:$1,0)+1,FALSE)</f>
        <v>Material</v>
      </c>
      <c r="P172" s="17" t="str">
        <f ca="1">VLOOKUP($L172,OFFSET([3]enemies!$A$1,0,0,COUNTA([3]enemies!$A:$A),MATCH(P$1,[3]enemies!$1:$1,0)-MATCH($L$1,[3]enemies!$1:$1,0)+1),MATCH(P$1,[3]enemies!$1:$1,0)-MATCH($L$1,[3]enemies!$1:$1,0)+1,FALSE)</f>
        <v>unknown</v>
      </c>
      <c r="Q172" s="17">
        <f ca="1">VLOOKUP($L172,OFFSET([3]enemies!$A$1,0,0,COUNTA([3]enemies!$A:$A),MATCH(Q$1,[3]enemies!$1:$1,0)-MATCH($L$1,[3]enemies!$1:$1,0)+1),MATCH(Q$1,[3]enemies!$1:$1,0)-MATCH($L$1,[3]enemies!$1:$1,0)+1,FALSE)</f>
        <v>20</v>
      </c>
      <c r="R172" s="5">
        <v>50</v>
      </c>
      <c r="S172" s="25">
        <v>99</v>
      </c>
      <c r="T172" s="25">
        <v>46</v>
      </c>
      <c r="U172" s="5">
        <v>0</v>
      </c>
      <c r="V172" s="4" t="str">
        <f ca="1">VLOOKUP($W172,OFFSET(enemy_skill_sets!$B$1,0,0,COUNTA(enemy_skill_sets!$B:$B),MATCH(M$1,enemy_skill_sets!$1:$1,0)-MATCH($W$1,enemy_skill_sets!$1:$1,0)+2),MATCH(M$1,enemy_skill_sets!$1:$1,0)-MATCH($W$1,enemy_skill_sets!$1:$1,0)+2,FALSE)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72" s="110">
        <v>1122210</v>
      </c>
      <c r="X172" s="6">
        <v>1</v>
      </c>
      <c r="Y172" s="6">
        <v>100</v>
      </c>
      <c r="Z172" s="6">
        <v>1</v>
      </c>
      <c r="AA172" s="17">
        <v>2</v>
      </c>
      <c r="AB172" s="24">
        <f t="shared" si="28"/>
        <v>359</v>
      </c>
      <c r="AC172" s="4" t="str">
        <f ca="1">VLOOKUP($AB172,OFFSET([4]characters!$A$1,0,0,COUNTA([4]characters!$A:$A),MATCH(AC$1,[4]characters!$1:$1,0)-MATCH("character_id",[4]characters!$1:$1,0)+1),MATCH(AC$1,[4]characters!$1:$1,0)-MATCH("character_id",[4]characters!$1:$1,0)+1,FALSE)</f>
        <v>醒電の眠りネズミ</v>
      </c>
      <c r="AD172" s="4">
        <f ca="1">VLOOKUP($AB172,OFFSET([4]characters!$A$1,0,0,COUNTA([4]characters!$A:$A),MATCH(AD$1,[4]characters!$1:$1,0)-MATCH("character_id",[4]characters!$1:$1,0)+1),MATCH(AD$1,[4]characters!$1:$1,0)-MATCH("character_id",[4]characters!$1:$1,0)+1,FALSE)</f>
        <v>5</v>
      </c>
      <c r="AE172" s="4" t="str">
        <f ca="1">VLOOKUP($AB172,OFFSET([4]characters!$A$1,0,0,COUNTA([4]characters!$A:$A),MATCH(AE$1,[4]characters!$1:$1,0)-MATCH("character_id",[4]characters!$1:$1,0)+1),MATCH(AE$1,[4]characters!$1:$1,0)-MATCH("character_id",[4]characters!$1:$1,0)+1,FALSE)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2" s="7">
        <v>1</v>
      </c>
      <c r="AG172" s="24">
        <f t="shared" ca="1" si="29"/>
        <v>5</v>
      </c>
      <c r="AH172" s="8">
        <v>100</v>
      </c>
      <c r="AI172" s="7">
        <v>0</v>
      </c>
      <c r="AJ172" s="7">
        <v>0</v>
      </c>
      <c r="AK172" s="7">
        <v>0</v>
      </c>
      <c r="AL172" s="7">
        <v>0</v>
      </c>
      <c r="AM172" s="7">
        <v>1</v>
      </c>
      <c r="AN172" s="69">
        <v>1</v>
      </c>
    </row>
    <row r="173" spans="1:40" ht="21" customHeight="1" x14ac:dyDescent="0.15">
      <c r="A173" s="16" t="str">
        <f t="shared" si="25"/>
        <v>11101_10-6/413&lt;lv52&gt;s2</v>
      </c>
      <c r="B173" s="22">
        <v>11101</v>
      </c>
      <c r="C173" s="21">
        <v>10</v>
      </c>
      <c r="D173" s="2" t="str">
        <f t="shared" si="26"/>
        <v>11101_10</v>
      </c>
      <c r="E173" s="4" t="str">
        <f ca="1">VLOOKUP($B173,OFFSET([2]quests!$A$1,0,0,COUNTA([2]quests!$A:$A),MATCH(E$1,[2]quests!$1:$1,0)-MATCH($B$1,[2]quests!$1:$1,0)+1),MATCH(E$1,[2]quests!$1:$1,0)-MATCH($B$1,[2]quests!$1:$1,0)+1,FALSE)</f>
        <v>【期間限定】 黄の素材</v>
      </c>
      <c r="F173" s="4" t="str">
        <f ca="1">VLOOKUP($D173,OFFSET([2]stages!$A$1,0,0,COUNTA([2]stages!$A:$A),MATCH(F$1,[2]stages!$2:$2,0)-MATCH($D$1,[2]stages!$2:$2,0)+1),MATCH(F$1,[2]stages!$2:$2,0)-MATCH($D$1,[2]stages!$2:$2,0)+1,FALSE)</f>
        <v>【超絶級】醒電の眠りネズミ</v>
      </c>
      <c r="G173" s="21">
        <v>6</v>
      </c>
      <c r="H173" s="15" t="str">
        <f t="shared" si="27"/>
        <v>11101_10-6</v>
      </c>
      <c r="I173" s="4">
        <f ca="1">VLOOKUP($H173,OFFSET(floors!$A$1,0,0,COUNTA(floors!$A:$A),MATCH(I$1,floors!$1:$1,0)-MATCH($H$1,floors!$1:$1,0)+1),MATCH(I$1,floors!$1:$1,0)-MATCH($H$1,floors!$1:$1,0)+1,FALSE)</f>
        <v>60</v>
      </c>
      <c r="J173" s="4">
        <f ca="1">VLOOKUP($H173,OFFSET(floors!$A$1,0,0,COUNTA(floors!$A:$A),MATCH(J$1,floors!$1:$1,0)-MATCH($H$1,floors!$1:$1,0)+1),MATCH(J$1,floors!$1:$1,0)-MATCH($H$1,floors!$1:$1,0)+1,FALSE)</f>
        <v>60</v>
      </c>
      <c r="K173" s="100" t="s">
        <v>209</v>
      </c>
      <c r="L173" s="107">
        <v>413</v>
      </c>
      <c r="M173" s="17" t="str">
        <f ca="1">VLOOKUP($L173,OFFSET([3]enemies!$A$1,0,0,COUNTA([3]enemies!$A:$A),MATCH(M$1,[3]enemies!$1:$1,0)-MATCH($L$1,[3]enemies!$1:$1,0)+1),MATCH(M$1,[3]enemies!$1:$1,0)-MATCH($L$1,[3]enemies!$1:$1,0)+1,FALSE)</f>
        <v>狂騒地蔵 コウネン</v>
      </c>
      <c r="N173" s="17" t="str">
        <f ca="1">VLOOKUP($L173,OFFSET([3]enemies!$A$1,0,0,COUNTA([3]enemies!$A:$A),MATCH(N$1,[3]enemies!$1:$1,0)-MATCH($L$1,[3]enemies!$1:$1,0)+1),MATCH(N$1,[3]enemies!$1:$1,0)-MATCH($L$1,[3]enemies!$1:$1,0)+1,FALSE)</f>
        <v>yellow</v>
      </c>
      <c r="O173" s="17" t="str">
        <f ca="1">VLOOKUP($L173,OFFSET([4]characters!$A$1,0,0,COUNTA([4]characters!$A:$A),MATCH(O$1,[4]characters!$1:$1,0)-MATCH($L$1,[4]characters!$1:$1,0)+1),MATCH(O$1,[4]characters!$1:$1,0)-MATCH($L$1,[4]characters!$1:$1,0)+1,FALSE)</f>
        <v>Drop1S</v>
      </c>
      <c r="P173" s="17" t="str">
        <f ca="1">VLOOKUP($L173,OFFSET([3]enemies!$A$1,0,0,COUNTA([3]enemies!$A:$A),MATCH(P$1,[3]enemies!$1:$1,0)-MATCH($L$1,[3]enemies!$1:$1,0)+1),MATCH(P$1,[3]enemies!$1:$1,0)-MATCH($L$1,[3]enemies!$1:$1,0)+1,FALSE)</f>
        <v>unknown</v>
      </c>
      <c r="Q173" s="17">
        <f ca="1">VLOOKUP($L173,OFFSET([3]enemies!$A$1,0,0,COUNTA([3]enemies!$A:$A),MATCH(Q$1,[3]enemies!$1:$1,0)-MATCH($L$1,[3]enemies!$1:$1,0)+1),MATCH(Q$1,[3]enemies!$1:$1,0)-MATCH($L$1,[3]enemies!$1:$1,0)+1,FALSE)</f>
        <v>20</v>
      </c>
      <c r="R173" s="5">
        <v>52</v>
      </c>
      <c r="S173" s="25">
        <v>1.2</v>
      </c>
      <c r="T173" s="25">
        <v>1.2</v>
      </c>
      <c r="U173" s="5">
        <v>0</v>
      </c>
      <c r="V173" s="4" t="str">
        <f ca="1">VLOOKUP($W173,OFFSET(enemy_skill_sets!$B$1,0,0,COUNTA(enemy_skill_sets!$B:$B),MATCH(M$1,enemy_skill_sets!$1:$1,0)-MATCH($W$1,enemy_skill_sets!$1:$1,0)+2),MATCH(M$1,enemy_skill_sets!$1:$1,0)-MATCH($W$1,enemy_skill_sets!$1:$1,0)+2,FALSE)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173" s="109">
        <v>1122207</v>
      </c>
      <c r="X173" s="6">
        <v>2</v>
      </c>
      <c r="Y173" s="6">
        <v>100</v>
      </c>
      <c r="Z173" s="6">
        <v>0</v>
      </c>
      <c r="AA173" s="17">
        <v>2</v>
      </c>
      <c r="AB173" s="24">
        <f t="shared" si="28"/>
        <v>413</v>
      </c>
      <c r="AC173" s="4" t="str">
        <f ca="1">VLOOKUP($AB173,OFFSET([4]characters!$A$1,0,0,COUNTA([4]characters!$A:$A),MATCH(AC$1,[4]characters!$1:$1,0)-MATCH("character_id",[4]characters!$1:$1,0)+1),MATCH(AC$1,[4]characters!$1:$1,0)-MATCH("character_id",[4]characters!$1:$1,0)+1,FALSE)</f>
        <v>狂騒地蔵 コウネン</v>
      </c>
      <c r="AD173" s="4">
        <f ca="1">VLOOKUP($AB173,OFFSET([4]characters!$A$1,0,0,COUNTA([4]characters!$A:$A),MATCH(AD$1,[4]characters!$1:$1,0)-MATCH("character_id",[4]characters!$1:$1,0)+1),MATCH(AD$1,[4]characters!$1:$1,0)-MATCH("character_id",[4]characters!$1:$1,0)+1,FALSE)</f>
        <v>3</v>
      </c>
      <c r="AE173" s="4" t="str">
        <f ca="1">VLOOKUP($AB173,OFFSET([4]characters!$A$1,0,0,COUNTA([4]characters!$A:$A),MATCH(AE$1,[4]characters!$1:$1,0)-MATCH("character_id",[4]characters!$1:$1,0)+1),MATCH(AE$1,[4]characters!$1:$1,0)-MATCH("character_id",[4]characters!$1:$1,0)+1,FALSE)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3" s="7">
        <v>1</v>
      </c>
      <c r="AG173" s="24">
        <f t="shared" ca="1" si="29"/>
        <v>3</v>
      </c>
      <c r="AH173" s="8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1</v>
      </c>
      <c r="AN173" s="69">
        <v>1</v>
      </c>
    </row>
    <row r="174" spans="1:40" ht="21" customHeight="1" x14ac:dyDescent="0.15">
      <c r="A174" s="16" t="str">
        <f t="shared" si="25"/>
        <v>11103_10-1/364&lt;lv52&gt;s2</v>
      </c>
      <c r="B174" s="22">
        <v>11103</v>
      </c>
      <c r="C174" s="21">
        <v>10</v>
      </c>
      <c r="D174" s="2" t="str">
        <f t="shared" si="26"/>
        <v>11103_10</v>
      </c>
      <c r="E174" s="4" t="str">
        <f ca="1">VLOOKUP($B174,OFFSET([2]quests!$A$1,0,0,COUNTA([2]quests!$A:$A),MATCH(E$1,[2]quests!$1:$1,0)-MATCH($B$1,[2]quests!$1:$1,0)+1),MATCH(E$1,[2]quests!$1:$1,0)-MATCH($B$1,[2]quests!$1:$1,0)+1,FALSE)</f>
        <v>【期間限定】 青の素材</v>
      </c>
      <c r="F174" s="4" t="str">
        <f ca="1">VLOOKUP($D174,OFFSET([2]stages!$A$1,0,0,COUNTA([2]stages!$A:$A),MATCH(F$1,[2]stages!$2:$2,0)-MATCH($D$1,[2]stages!$2:$2,0)+1),MATCH(F$1,[2]stages!$2:$2,0)-MATCH($D$1,[2]stages!$2:$2,0)+1,FALSE)</f>
        <v>【超絶級】深淵の代用ウミガメ</v>
      </c>
      <c r="G174" s="21">
        <v>1</v>
      </c>
      <c r="H174" s="15" t="str">
        <f t="shared" si="27"/>
        <v>11103_10-1</v>
      </c>
      <c r="I174" s="4">
        <f ca="1">VLOOKUP($H174,OFFSET(floors!$A$1,0,0,COUNTA(floors!$A:$A),MATCH(I$1,floors!$1:$1,0)-MATCH($H$1,floors!$1:$1,0)+1),MATCH(I$1,floors!$1:$1,0)-MATCH($H$1,floors!$1:$1,0)+1,FALSE)</f>
        <v>30</v>
      </c>
      <c r="J174" s="4">
        <f ca="1">VLOOKUP($H174,OFFSET(floors!$A$1,0,0,COUNTA(floors!$A:$A),MATCH(J$1,floors!$1:$1,0)-MATCH($H$1,floors!$1:$1,0)+1),MATCH(J$1,floors!$1:$1,0)-MATCH($H$1,floors!$1:$1,0)+1,FALSE)</f>
        <v>45</v>
      </c>
      <c r="K174" s="100" t="s">
        <v>209</v>
      </c>
      <c r="L174" s="108">
        <v>364</v>
      </c>
      <c r="M174" s="17" t="str">
        <f ca="1">VLOOKUP($L174,OFFSET([3]enemies!$A$1,0,0,COUNTA([3]enemies!$A:$A),MATCH(M$1,[3]enemies!$1:$1,0)-MATCH($L$1,[3]enemies!$1:$1,0)+1),MATCH(M$1,[3]enemies!$1:$1,0)-MATCH($L$1,[3]enemies!$1:$1,0)+1,FALSE)</f>
        <v>ノエル</v>
      </c>
      <c r="N174" s="17" t="str">
        <f ca="1">VLOOKUP($L174,OFFSET([3]enemies!$A$1,0,0,COUNTA([3]enemies!$A:$A),MATCH(N$1,[3]enemies!$1:$1,0)-MATCH($L$1,[3]enemies!$1:$1,0)+1),MATCH(N$1,[3]enemies!$1:$1,0)-MATCH($L$1,[3]enemies!$1:$1,0)+1,FALSE)</f>
        <v>blue</v>
      </c>
      <c r="O174" s="17" t="str">
        <f ca="1">VLOOKUP($L174,OFFSET([4]characters!$A$1,0,0,COUNTA([4]characters!$A:$A),MATCH(O$1,[4]characters!$1:$1,0)-MATCH($L$1,[4]characters!$1:$1,0)+1),MATCH(O$1,[4]characters!$1:$1,0)-MATCH($L$1,[4]characters!$1:$1,0)+1,FALSE)</f>
        <v>Drop1S</v>
      </c>
      <c r="P174" s="17" t="str">
        <f ca="1">VLOOKUP($L174,OFFSET([3]enemies!$A$1,0,0,COUNTA([3]enemies!$A:$A),MATCH(P$1,[3]enemies!$1:$1,0)-MATCH($L$1,[3]enemies!$1:$1,0)+1),MATCH(P$1,[3]enemies!$1:$1,0)-MATCH($L$1,[3]enemies!$1:$1,0)+1,FALSE)</f>
        <v>animal</v>
      </c>
      <c r="Q174" s="17">
        <f ca="1">VLOOKUP($L174,OFFSET([3]enemies!$A$1,0,0,COUNTA([3]enemies!$A:$A),MATCH(Q$1,[3]enemies!$1:$1,0)-MATCH($L$1,[3]enemies!$1:$1,0)+1),MATCH(Q$1,[3]enemies!$1:$1,0)-MATCH($L$1,[3]enemies!$1:$1,0)+1,FALSE)</f>
        <v>15</v>
      </c>
      <c r="R174" s="5">
        <v>52</v>
      </c>
      <c r="S174" s="25">
        <v>1.7</v>
      </c>
      <c r="T174" s="25">
        <v>0.7</v>
      </c>
      <c r="U174" s="5">
        <v>0</v>
      </c>
      <c r="V174" s="4" t="str">
        <f ca="1">VLOOKUP($W174,OFFSET([5]enemy_skill_sets!$B$1,0,0,COUNTA([5]enemy_skill_sets!$B:$B),MATCH(M$1,[5]enemy_skill_sets!$1:$1,0)-MATCH($W$1,[5]enemy_skill_sets!$1:$1,0)+2),MATCH(M$1,[5]enemy_skill_sets!$1:$1,0)-MATCH($W$1,[5]enemy_skill_sets!$1:$1,0)+2,FALSE)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174" s="4">
        <v>364</v>
      </c>
      <c r="X174" s="6">
        <v>1</v>
      </c>
      <c r="Y174" s="6">
        <v>100</v>
      </c>
      <c r="Z174" s="6">
        <v>0</v>
      </c>
      <c r="AA174" s="17">
        <v>2</v>
      </c>
      <c r="AB174" s="24">
        <f t="shared" si="28"/>
        <v>364</v>
      </c>
      <c r="AC174" s="4" t="str">
        <f ca="1">VLOOKUP($AB174,OFFSET([4]characters!$A$1,0,0,COUNTA([4]characters!$A:$A),MATCH(AC$1,[4]characters!$1:$1,0)-MATCH("character_id",[4]characters!$1:$1,0)+1),MATCH(AC$1,[4]characters!$1:$1,0)-MATCH("character_id",[4]characters!$1:$1,0)+1,FALSE)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74" s="4">
        <f ca="1">VLOOKUP($AB174,OFFSET([4]characters!$A$1,0,0,COUNTA([4]characters!$A:$A),MATCH(AD$1,[4]characters!$1:$1,0)-MATCH("character_id",[4]characters!$1:$1,0)+1),MATCH(AD$1,[4]characters!$1:$1,0)-MATCH("character_id",[4]characters!$1:$1,0)+1,FALSE)</f>
        <v>2</v>
      </c>
      <c r="AE174" s="4" t="str">
        <f ca="1">VLOOKUP($AB174,OFFSET([4]characters!$A$1,0,0,COUNTA([4]characters!$A:$A),MATCH(AE$1,[4]characters!$1:$1,0)-MATCH("character_id",[4]characters!$1:$1,0)+1),MATCH(AE$1,[4]characters!$1:$1,0)-MATCH("character_id",[4]characters!$1:$1,0)+1,FALSE)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4" s="7">
        <v>1</v>
      </c>
      <c r="AG174" s="24">
        <f t="shared" ca="1" si="29"/>
        <v>2</v>
      </c>
      <c r="AH174" s="8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1</v>
      </c>
      <c r="AN174" s="69">
        <v>1</v>
      </c>
    </row>
    <row r="175" spans="1:40" ht="21" customHeight="1" x14ac:dyDescent="0.15">
      <c r="A175" s="16" t="str">
        <f t="shared" si="25"/>
        <v>11103_10-1/374&lt;lv52&gt;s1</v>
      </c>
      <c r="B175" s="22">
        <v>11103</v>
      </c>
      <c r="C175" s="21">
        <v>10</v>
      </c>
      <c r="D175" s="2" t="str">
        <f t="shared" si="26"/>
        <v>11103_10</v>
      </c>
      <c r="E175" s="4" t="str">
        <f ca="1">VLOOKUP($B175,OFFSET([2]quests!$A$1,0,0,COUNTA([2]quests!$A:$A),MATCH(E$1,[2]quests!$1:$1,0)-MATCH($B$1,[2]quests!$1:$1,0)+1),MATCH(E$1,[2]quests!$1:$1,0)-MATCH($B$1,[2]quests!$1:$1,0)+1,FALSE)</f>
        <v>【期間限定】 青の素材</v>
      </c>
      <c r="F175" s="4" t="str">
        <f ca="1">VLOOKUP($D175,OFFSET([2]stages!$A$1,0,0,COUNTA([2]stages!$A:$A),MATCH(F$1,[2]stages!$2:$2,0)-MATCH($D$1,[2]stages!$2:$2,0)+1),MATCH(F$1,[2]stages!$2:$2,0)-MATCH($D$1,[2]stages!$2:$2,0)+1,FALSE)</f>
        <v>【超絶級】深淵の代用ウミガメ</v>
      </c>
      <c r="G175" s="21">
        <v>1</v>
      </c>
      <c r="H175" s="15" t="str">
        <f t="shared" si="27"/>
        <v>11103_10-1</v>
      </c>
      <c r="I175" s="4">
        <f ca="1">VLOOKUP($H175,OFFSET(floors!$A$1,0,0,COUNTA(floors!$A:$A),MATCH(I$1,floors!$1:$1,0)-MATCH($H$1,floors!$1:$1,0)+1),MATCH(I$1,floors!$1:$1,0)-MATCH($H$1,floors!$1:$1,0)+1,FALSE)</f>
        <v>30</v>
      </c>
      <c r="J175" s="4">
        <f ca="1">VLOOKUP($H175,OFFSET(floors!$A$1,0,0,COUNTA(floors!$A:$A),MATCH(J$1,floors!$1:$1,0)-MATCH($H$1,floors!$1:$1,0)+1),MATCH(J$1,floors!$1:$1,0)-MATCH($H$1,floors!$1:$1,0)+1,FALSE)</f>
        <v>45</v>
      </c>
      <c r="K175" s="100" t="s">
        <v>209</v>
      </c>
      <c r="L175" s="108">
        <v>374</v>
      </c>
      <c r="M175" s="17" t="str">
        <f ca="1">VLOOKUP($L175,OFFSET([3]enemies!$A$1,0,0,COUNTA([3]enemies!$A:$A),MATCH(M$1,[3]enemies!$1:$1,0)-MATCH($L$1,[3]enemies!$1:$1,0)+1),MATCH(M$1,[3]enemies!$1:$1,0)-MATCH($L$1,[3]enemies!$1:$1,0)+1,FALSE)</f>
        <v>影丸</v>
      </c>
      <c r="N175" s="17" t="str">
        <f ca="1">VLOOKUP($L175,OFFSET([3]enemies!$A$1,0,0,COUNTA([3]enemies!$A:$A),MATCH(N$1,[3]enemies!$1:$1,0)-MATCH($L$1,[3]enemies!$1:$1,0)+1),MATCH(N$1,[3]enemies!$1:$1,0)-MATCH($L$1,[3]enemies!$1:$1,0)+1,FALSE)</f>
        <v>blue</v>
      </c>
      <c r="O175" s="17" t="str">
        <f ca="1">VLOOKUP($L175,OFFSET([4]characters!$A$1,0,0,COUNTA([4]characters!$A:$A),MATCH(O$1,[4]characters!$1:$1,0)-MATCH($L$1,[4]characters!$1:$1,0)+1),MATCH(O$1,[4]characters!$1:$1,0)-MATCH($L$1,[4]characters!$1:$1,0)+1,FALSE)</f>
        <v>Drop1S</v>
      </c>
      <c r="P175" s="17" t="str">
        <f ca="1">VLOOKUP($L175,OFFSET([3]enemies!$A$1,0,0,COUNTA([3]enemies!$A:$A),MATCH(P$1,[3]enemies!$1:$1,0)-MATCH($L$1,[3]enemies!$1:$1,0)+1),MATCH(P$1,[3]enemies!$1:$1,0)-MATCH($L$1,[3]enemies!$1:$1,0)+1,FALSE)</f>
        <v>animal</v>
      </c>
      <c r="Q175" s="17">
        <f ca="1">VLOOKUP($L175,OFFSET([3]enemies!$A$1,0,0,COUNTA([3]enemies!$A:$A),MATCH(Q$1,[3]enemies!$1:$1,0)-MATCH($L$1,[3]enemies!$1:$1,0)+1),MATCH(Q$1,[3]enemies!$1:$1,0)-MATCH($L$1,[3]enemies!$1:$1,0)+1,FALSE)</f>
        <v>15</v>
      </c>
      <c r="R175" s="5">
        <v>52</v>
      </c>
      <c r="S175" s="25">
        <v>1.9</v>
      </c>
      <c r="T175" s="25">
        <v>1.9</v>
      </c>
      <c r="U175" s="5">
        <v>0</v>
      </c>
      <c r="V175" s="4" t="str">
        <f ca="1">VLOOKUP($W175,OFFSET(enemy_skill_sets!$B$1,0,0,COUNTA(enemy_skill_sets!$B:$B),MATCH(M$1,enemy_skill_sets!$1:$1,0)-MATCH($W$1,enemy_skill_sets!$1:$1,0)+2),MATCH(M$1,enemy_skill_sets!$1:$1,0)-MATCH($W$1,enemy_skill_sets!$1:$1,0)+2,FALSE)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175" s="109">
        <v>1122208</v>
      </c>
      <c r="X175" s="6">
        <v>1</v>
      </c>
      <c r="Y175" s="6">
        <v>100</v>
      </c>
      <c r="Z175" s="6">
        <v>0</v>
      </c>
      <c r="AA175" s="17">
        <v>1</v>
      </c>
      <c r="AB175" s="24">
        <f t="shared" si="28"/>
        <v>374</v>
      </c>
      <c r="AC175" s="4" t="str">
        <f ca="1">VLOOKUP($AB175,OFFSET([4]characters!$A$1,0,0,COUNTA([4]characters!$A:$A),MATCH(AC$1,[4]characters!$1:$1,0)-MATCH("character_id",[4]characters!$1:$1,0)+1),MATCH(AC$1,[4]characters!$1:$1,0)-MATCH("character_id",[4]characters!$1:$1,0)+1,FALSE)</f>
        <v>影丸</v>
      </c>
      <c r="AD175" s="4">
        <f ca="1">VLOOKUP($AB175,OFFSET([4]characters!$A$1,0,0,COUNTA([4]characters!$A:$A),MATCH(AD$1,[4]characters!$1:$1,0)-MATCH("character_id",[4]characters!$1:$1,0)+1),MATCH(AD$1,[4]characters!$1:$1,0)-MATCH("character_id",[4]characters!$1:$1,0)+1,FALSE)</f>
        <v>2</v>
      </c>
      <c r="AE175" s="4" t="str">
        <f ca="1">VLOOKUP($AB175,OFFSET([4]characters!$A$1,0,0,COUNTA([4]characters!$A:$A),MATCH(AE$1,[4]characters!$1:$1,0)-MATCH("character_id",[4]characters!$1:$1,0)+1),MATCH(AE$1,[4]characters!$1:$1,0)-MATCH("character_id",[4]characters!$1:$1,0)+1,FALSE)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5" s="7">
        <v>1</v>
      </c>
      <c r="AG175" s="24">
        <f t="shared" ca="1" si="29"/>
        <v>2</v>
      </c>
      <c r="AH175" s="8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1</v>
      </c>
      <c r="AN175" s="69">
        <v>1</v>
      </c>
    </row>
    <row r="176" spans="1:40" ht="21" customHeight="1" x14ac:dyDescent="0.15">
      <c r="A176" s="16" t="str">
        <f t="shared" si="25"/>
        <v>11103_10-2/364&lt;lv52&gt;s2</v>
      </c>
      <c r="B176" s="22">
        <v>11103</v>
      </c>
      <c r="C176" s="21">
        <v>10</v>
      </c>
      <c r="D176" s="2" t="str">
        <f t="shared" si="26"/>
        <v>11103_10</v>
      </c>
      <c r="E176" s="4" t="str">
        <f ca="1">VLOOKUP($B176,OFFSET([2]quests!$A$1,0,0,COUNTA([2]quests!$A:$A),MATCH(E$1,[2]quests!$1:$1,0)-MATCH($B$1,[2]quests!$1:$1,0)+1),MATCH(E$1,[2]quests!$1:$1,0)-MATCH($B$1,[2]quests!$1:$1,0)+1,FALSE)</f>
        <v>【期間限定】 青の素材</v>
      </c>
      <c r="F176" s="4" t="str">
        <f ca="1">VLOOKUP($D176,OFFSET([2]stages!$A$1,0,0,COUNTA([2]stages!$A:$A),MATCH(F$1,[2]stages!$2:$2,0)-MATCH($D$1,[2]stages!$2:$2,0)+1),MATCH(F$1,[2]stages!$2:$2,0)-MATCH($D$1,[2]stages!$2:$2,0)+1,FALSE)</f>
        <v>【超絶級】深淵の代用ウミガメ</v>
      </c>
      <c r="G176" s="21">
        <v>2</v>
      </c>
      <c r="H176" s="15" t="str">
        <f t="shared" si="27"/>
        <v>11103_10-2</v>
      </c>
      <c r="I176" s="4">
        <f ca="1">VLOOKUP($H176,OFFSET(floors!$A$1,0,0,COUNTA(floors!$A:$A),MATCH(I$1,floors!$1:$1,0)-MATCH($H$1,floors!$1:$1,0)+1),MATCH(I$1,floors!$1:$1,0)-MATCH($H$1,floors!$1:$1,0)+1,FALSE)</f>
        <v>45</v>
      </c>
      <c r="J176" s="4">
        <f ca="1">VLOOKUP($H176,OFFSET(floors!$A$1,0,0,COUNTA(floors!$A:$A),MATCH(J$1,floors!$1:$1,0)-MATCH($H$1,floors!$1:$1,0)+1),MATCH(J$1,floors!$1:$1,0)-MATCH($H$1,floors!$1:$1,0)+1,FALSE)</f>
        <v>60</v>
      </c>
      <c r="K176" s="100" t="s">
        <v>209</v>
      </c>
      <c r="L176" s="108">
        <v>364</v>
      </c>
      <c r="M176" s="17" t="str">
        <f ca="1">VLOOKUP($L176,OFFSET([3]enemies!$A$1,0,0,COUNTA([3]enemies!$A:$A),MATCH(M$1,[3]enemies!$1:$1,0)-MATCH($L$1,[3]enemies!$1:$1,0)+1),MATCH(M$1,[3]enemies!$1:$1,0)-MATCH($L$1,[3]enemies!$1:$1,0)+1,FALSE)</f>
        <v>ノエル</v>
      </c>
      <c r="N176" s="17" t="str">
        <f ca="1">VLOOKUP($L176,OFFSET([3]enemies!$A$1,0,0,COUNTA([3]enemies!$A:$A),MATCH(N$1,[3]enemies!$1:$1,0)-MATCH($L$1,[3]enemies!$1:$1,0)+1),MATCH(N$1,[3]enemies!$1:$1,0)-MATCH($L$1,[3]enemies!$1:$1,0)+1,FALSE)</f>
        <v>blue</v>
      </c>
      <c r="O176" s="17" t="str">
        <f ca="1">VLOOKUP($L176,OFFSET([4]characters!$A$1,0,0,COUNTA([4]characters!$A:$A),MATCH(O$1,[4]characters!$1:$1,0)-MATCH($L$1,[4]characters!$1:$1,0)+1),MATCH(O$1,[4]characters!$1:$1,0)-MATCH($L$1,[4]characters!$1:$1,0)+1,FALSE)</f>
        <v>Drop1S</v>
      </c>
      <c r="P176" s="17" t="str">
        <f ca="1">VLOOKUP($L176,OFFSET([3]enemies!$A$1,0,0,COUNTA([3]enemies!$A:$A),MATCH(P$1,[3]enemies!$1:$1,0)-MATCH($L$1,[3]enemies!$1:$1,0)+1),MATCH(P$1,[3]enemies!$1:$1,0)-MATCH($L$1,[3]enemies!$1:$1,0)+1,FALSE)</f>
        <v>animal</v>
      </c>
      <c r="Q176" s="17">
        <f ca="1">VLOOKUP($L176,OFFSET([3]enemies!$A$1,0,0,COUNTA([3]enemies!$A:$A),MATCH(Q$1,[3]enemies!$1:$1,0)-MATCH($L$1,[3]enemies!$1:$1,0)+1),MATCH(Q$1,[3]enemies!$1:$1,0)-MATCH($L$1,[3]enemies!$1:$1,0)+1,FALSE)</f>
        <v>15</v>
      </c>
      <c r="R176" s="5">
        <v>52</v>
      </c>
      <c r="S176" s="25">
        <v>1.7</v>
      </c>
      <c r="T176" s="25">
        <v>0.7</v>
      </c>
      <c r="U176" s="5">
        <v>0</v>
      </c>
      <c r="V176" s="4" t="str">
        <f ca="1">VLOOKUP($W176,OFFSET([5]enemy_skill_sets!$B$1,0,0,COUNTA([5]enemy_skill_sets!$B:$B),MATCH(M$1,[5]enemy_skill_sets!$1:$1,0)-MATCH($W$1,[5]enemy_skill_sets!$1:$1,0)+2),MATCH(M$1,[5]enemy_skill_sets!$1:$1,0)-MATCH($W$1,[5]enemy_skill_sets!$1:$1,0)+2,FALSE)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176" s="4">
        <v>364</v>
      </c>
      <c r="X176" s="6">
        <v>2</v>
      </c>
      <c r="Y176" s="6">
        <v>100</v>
      </c>
      <c r="Z176" s="6">
        <v>0</v>
      </c>
      <c r="AA176" s="17">
        <v>2</v>
      </c>
      <c r="AB176" s="24">
        <f t="shared" si="28"/>
        <v>364</v>
      </c>
      <c r="AC176" s="4" t="str">
        <f ca="1">VLOOKUP($AB176,OFFSET([4]characters!$A$1,0,0,COUNTA([4]characters!$A:$A),MATCH(AC$1,[4]characters!$1:$1,0)-MATCH("character_id",[4]characters!$1:$1,0)+1),MATCH(AC$1,[4]characters!$1:$1,0)-MATCH("character_id",[4]characters!$1:$1,0)+1,FALSE)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76" s="4">
        <f ca="1">VLOOKUP($AB176,OFFSET([4]characters!$A$1,0,0,COUNTA([4]characters!$A:$A),MATCH(AD$1,[4]characters!$1:$1,0)-MATCH("character_id",[4]characters!$1:$1,0)+1),MATCH(AD$1,[4]characters!$1:$1,0)-MATCH("character_id",[4]characters!$1:$1,0)+1,FALSE)</f>
        <v>2</v>
      </c>
      <c r="AE176" s="4" t="str">
        <f ca="1">VLOOKUP($AB176,OFFSET([4]characters!$A$1,0,0,COUNTA([4]characters!$A:$A),MATCH(AE$1,[4]characters!$1:$1,0)-MATCH("character_id",[4]characters!$1:$1,0)+1),MATCH(AE$1,[4]characters!$1:$1,0)-MATCH("character_id",[4]characters!$1:$1,0)+1,FALSE)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6" s="7">
        <v>1</v>
      </c>
      <c r="AG176" s="24">
        <f t="shared" ca="1" si="29"/>
        <v>2</v>
      </c>
      <c r="AH176" s="8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1</v>
      </c>
      <c r="AN176" s="69">
        <v>1</v>
      </c>
    </row>
    <row r="177" spans="1:40" ht="21" customHeight="1" x14ac:dyDescent="0.15">
      <c r="A177" s="16" t="str">
        <f t="shared" si="25"/>
        <v>11103_10-2/374&lt;lv52&gt;s1</v>
      </c>
      <c r="B177" s="22">
        <v>11103</v>
      </c>
      <c r="C177" s="21">
        <v>10</v>
      </c>
      <c r="D177" s="2" t="str">
        <f t="shared" si="26"/>
        <v>11103_10</v>
      </c>
      <c r="E177" s="4" t="str">
        <f ca="1">VLOOKUP($B177,OFFSET([2]quests!$A$1,0,0,COUNTA([2]quests!$A:$A),MATCH(E$1,[2]quests!$1:$1,0)-MATCH($B$1,[2]quests!$1:$1,0)+1),MATCH(E$1,[2]quests!$1:$1,0)-MATCH($B$1,[2]quests!$1:$1,0)+1,FALSE)</f>
        <v>【期間限定】 青の素材</v>
      </c>
      <c r="F177" s="4" t="str">
        <f ca="1">VLOOKUP($D177,OFFSET([2]stages!$A$1,0,0,COUNTA([2]stages!$A:$A),MATCH(F$1,[2]stages!$2:$2,0)-MATCH($D$1,[2]stages!$2:$2,0)+1),MATCH(F$1,[2]stages!$2:$2,0)-MATCH($D$1,[2]stages!$2:$2,0)+1,FALSE)</f>
        <v>【超絶級】深淵の代用ウミガメ</v>
      </c>
      <c r="G177" s="21">
        <v>2</v>
      </c>
      <c r="H177" s="15" t="str">
        <f t="shared" si="27"/>
        <v>11103_10-2</v>
      </c>
      <c r="I177" s="4">
        <f ca="1">VLOOKUP($H177,OFFSET(floors!$A$1,0,0,COUNTA(floors!$A:$A),MATCH(I$1,floors!$1:$1,0)-MATCH($H$1,floors!$1:$1,0)+1),MATCH(I$1,floors!$1:$1,0)-MATCH($H$1,floors!$1:$1,0)+1,FALSE)</f>
        <v>45</v>
      </c>
      <c r="J177" s="4">
        <f ca="1">VLOOKUP($H177,OFFSET(floors!$A$1,0,0,COUNTA(floors!$A:$A),MATCH(J$1,floors!$1:$1,0)-MATCH($H$1,floors!$1:$1,0)+1),MATCH(J$1,floors!$1:$1,0)-MATCH($H$1,floors!$1:$1,0)+1,FALSE)</f>
        <v>60</v>
      </c>
      <c r="K177" s="100" t="s">
        <v>209</v>
      </c>
      <c r="L177" s="108">
        <v>374</v>
      </c>
      <c r="M177" s="17" t="str">
        <f ca="1">VLOOKUP($L177,OFFSET([3]enemies!$A$1,0,0,COUNTA([3]enemies!$A:$A),MATCH(M$1,[3]enemies!$1:$1,0)-MATCH($L$1,[3]enemies!$1:$1,0)+1),MATCH(M$1,[3]enemies!$1:$1,0)-MATCH($L$1,[3]enemies!$1:$1,0)+1,FALSE)</f>
        <v>影丸</v>
      </c>
      <c r="N177" s="17" t="str">
        <f ca="1">VLOOKUP($L177,OFFSET([3]enemies!$A$1,0,0,COUNTA([3]enemies!$A:$A),MATCH(N$1,[3]enemies!$1:$1,0)-MATCH($L$1,[3]enemies!$1:$1,0)+1),MATCH(N$1,[3]enemies!$1:$1,0)-MATCH($L$1,[3]enemies!$1:$1,0)+1,FALSE)</f>
        <v>blue</v>
      </c>
      <c r="O177" s="17" t="str">
        <f ca="1">VLOOKUP($L177,OFFSET([4]characters!$A$1,0,0,COUNTA([4]characters!$A:$A),MATCH(O$1,[4]characters!$1:$1,0)-MATCH($L$1,[4]characters!$1:$1,0)+1),MATCH(O$1,[4]characters!$1:$1,0)-MATCH($L$1,[4]characters!$1:$1,0)+1,FALSE)</f>
        <v>Drop1S</v>
      </c>
      <c r="P177" s="17" t="str">
        <f ca="1">VLOOKUP($L177,OFFSET([3]enemies!$A$1,0,0,COUNTA([3]enemies!$A:$A),MATCH(P$1,[3]enemies!$1:$1,0)-MATCH($L$1,[3]enemies!$1:$1,0)+1),MATCH(P$1,[3]enemies!$1:$1,0)-MATCH($L$1,[3]enemies!$1:$1,0)+1,FALSE)</f>
        <v>animal</v>
      </c>
      <c r="Q177" s="17">
        <f ca="1">VLOOKUP($L177,OFFSET([3]enemies!$A$1,0,0,COUNTA([3]enemies!$A:$A),MATCH(Q$1,[3]enemies!$1:$1,0)-MATCH($L$1,[3]enemies!$1:$1,0)+1),MATCH(Q$1,[3]enemies!$1:$1,0)-MATCH($L$1,[3]enemies!$1:$1,0)+1,FALSE)</f>
        <v>15</v>
      </c>
      <c r="R177" s="5">
        <v>52</v>
      </c>
      <c r="S177" s="25">
        <v>1.9</v>
      </c>
      <c r="T177" s="25">
        <v>1.9</v>
      </c>
      <c r="U177" s="5">
        <v>0</v>
      </c>
      <c r="V177" s="4" t="str">
        <f ca="1">VLOOKUP($W177,OFFSET(enemy_skill_sets!$B$1,0,0,COUNTA(enemy_skill_sets!$B:$B),MATCH(M$1,enemy_skill_sets!$1:$1,0)-MATCH($W$1,enemy_skill_sets!$1:$1,0)+2),MATCH(M$1,enemy_skill_sets!$1:$1,0)-MATCH($W$1,enemy_skill_sets!$1:$1,0)+2,FALSE)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177" s="109">
        <v>1122208</v>
      </c>
      <c r="X177" s="6">
        <v>1</v>
      </c>
      <c r="Y177" s="6">
        <v>100</v>
      </c>
      <c r="Z177" s="6">
        <v>0</v>
      </c>
      <c r="AA177" s="17">
        <v>1</v>
      </c>
      <c r="AB177" s="24">
        <f t="shared" si="28"/>
        <v>374</v>
      </c>
      <c r="AC177" s="4" t="str">
        <f ca="1">VLOOKUP($AB177,OFFSET([4]characters!$A$1,0,0,COUNTA([4]characters!$A:$A),MATCH(AC$1,[4]characters!$1:$1,0)-MATCH("character_id",[4]characters!$1:$1,0)+1),MATCH(AC$1,[4]characters!$1:$1,0)-MATCH("character_id",[4]characters!$1:$1,0)+1,FALSE)</f>
        <v>影丸</v>
      </c>
      <c r="AD177" s="4">
        <f ca="1">VLOOKUP($AB177,OFFSET([4]characters!$A$1,0,0,COUNTA([4]characters!$A:$A),MATCH(AD$1,[4]characters!$1:$1,0)-MATCH("character_id",[4]characters!$1:$1,0)+1),MATCH(AD$1,[4]characters!$1:$1,0)-MATCH("character_id",[4]characters!$1:$1,0)+1,FALSE)</f>
        <v>2</v>
      </c>
      <c r="AE177" s="4" t="str">
        <f ca="1">VLOOKUP($AB177,OFFSET([4]characters!$A$1,0,0,COUNTA([4]characters!$A:$A),MATCH(AE$1,[4]characters!$1:$1,0)-MATCH("character_id",[4]characters!$1:$1,0)+1),MATCH(AE$1,[4]characters!$1:$1,0)-MATCH("character_id",[4]characters!$1:$1,0)+1,FALSE)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7" s="7">
        <v>1</v>
      </c>
      <c r="AG177" s="24">
        <f t="shared" ca="1" si="29"/>
        <v>2</v>
      </c>
      <c r="AH177" s="8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1</v>
      </c>
      <c r="AN177" s="69">
        <v>1</v>
      </c>
    </row>
    <row r="178" spans="1:40" ht="21" customHeight="1" x14ac:dyDescent="0.15">
      <c r="A178" s="16" t="str">
        <f t="shared" ca="1" si="25"/>
        <v>11103_10-2/340&lt;lv2&gt;s1</v>
      </c>
      <c r="B178" s="22">
        <v>11103</v>
      </c>
      <c r="C178" s="21">
        <v>10</v>
      </c>
      <c r="D178" s="2" t="str">
        <f t="shared" si="26"/>
        <v>11103_10</v>
      </c>
      <c r="E178" s="4" t="str">
        <f ca="1">VLOOKUP($B178,OFFSET([2]quests!$A$1,0,0,COUNTA([2]quests!$A:$A),MATCH(E$1,[2]quests!$1:$1,0)-MATCH($B$1,[2]quests!$1:$1,0)+1),MATCH(E$1,[2]quests!$1:$1,0)-MATCH($B$1,[2]quests!$1:$1,0)+1,FALSE)</f>
        <v>【期間限定】 青の素材</v>
      </c>
      <c r="F178" s="4" t="str">
        <f ca="1">VLOOKUP($D178,OFFSET([2]stages!$A$1,0,0,COUNTA([2]stages!$A:$A),MATCH(F$1,[2]stages!$2:$2,0)-MATCH($D$1,[2]stages!$2:$2,0)+1),MATCH(F$1,[2]stages!$2:$2,0)-MATCH($D$1,[2]stages!$2:$2,0)+1,FALSE)</f>
        <v>【超絶級】深淵の代用ウミガメ</v>
      </c>
      <c r="G178" s="21">
        <v>2</v>
      </c>
      <c r="H178" s="15" t="str">
        <f t="shared" si="27"/>
        <v>11103_10-2</v>
      </c>
      <c r="I178" s="4">
        <f ca="1">VLOOKUP($H178,OFFSET(floors!$A$1,0,0,COUNTA(floors!$A:$A),MATCH(I$1,floors!$1:$1,0)-MATCH($H$1,floors!$1:$1,0)+1),MATCH(I$1,floors!$1:$1,0)-MATCH($H$1,floors!$1:$1,0)+1,FALSE)</f>
        <v>45</v>
      </c>
      <c r="J178" s="4">
        <f ca="1">VLOOKUP($H178,OFFSET(floors!$A$1,0,0,COUNTA(floors!$A:$A),MATCH(J$1,floors!$1:$1,0)-MATCH($H$1,floors!$1:$1,0)+1),MATCH(J$1,floors!$1:$1,0)-MATCH($H$1,floors!$1:$1,0)+1,FALSE)</f>
        <v>60</v>
      </c>
      <c r="K178" s="100" t="s">
        <v>209</v>
      </c>
      <c r="L178" s="108">
        <v>340</v>
      </c>
      <c r="M178" s="17" t="str">
        <f ca="1">VLOOKUP($L178,OFFSET([3]enemies!$A$1,0,0,COUNTA([3]enemies!$A:$A),MATCH(M$1,[3]enemies!$1:$1,0)-MATCH($L$1,[3]enemies!$1:$1,0)+1),MATCH(M$1,[3]enemies!$1:$1,0)-MATCH($L$1,[3]enemies!$1:$1,0)+1,FALSE)</f>
        <v>水のメタルピヨピヨ</v>
      </c>
      <c r="N178" s="17" t="str">
        <f ca="1">VLOOKUP($L178,OFFSET([3]enemies!$A$1,0,0,COUNTA([3]enemies!$A:$A),MATCH(N$1,[3]enemies!$1:$1,0)-MATCH($L$1,[3]enemies!$1:$1,0)+1),MATCH(N$1,[3]enemies!$1:$1,0)-MATCH($L$1,[3]enemies!$1:$1,0)+1,FALSE)</f>
        <v>blue</v>
      </c>
      <c r="O178" s="17" t="str">
        <f ca="1">VLOOKUP($L178,OFFSET([4]characters!$A$1,0,0,COUNTA([4]characters!$A:$A),MATCH(O$1,[4]characters!$1:$1,0)-MATCH($L$1,[4]characters!$1:$1,0)+1),MATCH(O$1,[4]characters!$1:$1,0)-MATCH($L$1,[4]characters!$1:$1,0)+1,FALSE)</f>
        <v>Material</v>
      </c>
      <c r="P178" s="17" t="str">
        <f ca="1">VLOOKUP($L178,OFFSET([3]enemies!$A$1,0,0,COUNTA([3]enemies!$A:$A),MATCH(P$1,[3]enemies!$1:$1,0)-MATCH($L$1,[3]enemies!$1:$1,0)+1),MATCH(P$1,[3]enemies!$1:$1,0)-MATCH($L$1,[3]enemies!$1:$1,0)+1,FALSE)</f>
        <v>unknown</v>
      </c>
      <c r="Q178" s="17">
        <f ca="1">VLOOKUP($L178,OFFSET([3]enemies!$A$1,0,0,COUNTA([3]enemies!$A:$A),MATCH(Q$1,[3]enemies!$1:$1,0)-MATCH($L$1,[3]enemies!$1:$1,0)+1),MATCH(Q$1,[3]enemies!$1:$1,0)-MATCH($L$1,[3]enemies!$1:$1,0)+1,FALSE)</f>
        <v>15</v>
      </c>
      <c r="R178" s="5">
        <v>2</v>
      </c>
      <c r="S178" s="25">
        <v>2</v>
      </c>
      <c r="T178" s="25">
        <v>99</v>
      </c>
      <c r="U178" s="5">
        <v>0</v>
      </c>
      <c r="V178" s="4" t="str">
        <f ca="1">VLOOKUP($W178,OFFSET([5]enemy_skill_sets!$B$1,0,0,COUNTA([5]enemy_skill_sets!$B:$B),MATCH(M$1,[5]enemy_skill_sets!$1:$1,0)-MATCH($W$1,[5]enemy_skill_sets!$1:$1,0)+2),MATCH(M$1,[5]enemy_skill_sets!$1:$1,0)-MATCH($W$1,[5]enemy_skill_sets!$1:$1,0)+2,FALSE)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8" s="4">
        <f ca="1">VLOOKUP($L178,OFFSET([3]enemies!$A$1,0,0,COUNTA([3]enemies!$A:$A),MATCH(W$1,[3]enemies!$1:$1,0)-MATCH($L$1,[3]enemies!$1:$1,0)+1),MATCH(W$1,[3]enemies!$1:$1,0)-MATCH($L$1,[3]enemies!$1:$1,0)+1,FALSE)</f>
        <v>0</v>
      </c>
      <c r="X178" s="6">
        <v>0</v>
      </c>
      <c r="Y178" s="6">
        <v>20</v>
      </c>
      <c r="Z178" s="6">
        <v>0</v>
      </c>
      <c r="AA178" s="17">
        <f ca="1">VLOOKUP($L178,OFFSET([3]enemies!$A$1,0,0,COUNTA([3]enemies!$A:$A),MATCH(AA$1,[3]enemies!$1:$1,0)-MATCH($L$1,[3]enemies!$1:$1,0)+1),MATCH(AA$1,[3]enemies!$1:$1,0)-MATCH($L$1,[3]enemies!$1:$1,0)+1,FALSE)</f>
        <v>1</v>
      </c>
      <c r="AB178" s="24">
        <f t="shared" si="28"/>
        <v>340</v>
      </c>
      <c r="AC178" s="4" t="str">
        <f ca="1">VLOOKUP($AB178,OFFSET([4]characters!$A$1,0,0,COUNTA([4]characters!$A:$A),MATCH(AC$1,[4]characters!$1:$1,0)-MATCH("character_id",[4]characters!$1:$1,0)+1),MATCH(AC$1,[4]characters!$1:$1,0)-MATCH("character_id",[4]characters!$1:$1,0)+1,FALSE)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178" s="4">
        <f ca="1">VLOOKUP($AB178,OFFSET([4]characters!$A$1,0,0,COUNTA([4]characters!$A:$A),MATCH(AD$1,[4]characters!$1:$1,0)-MATCH("character_id",[4]characters!$1:$1,0)+1),MATCH(AD$1,[4]characters!$1:$1,0)-MATCH("character_id",[4]characters!$1:$1,0)+1,FALSE)</f>
        <v>3</v>
      </c>
      <c r="AE178" s="4" t="str">
        <f ca="1">VLOOKUP($AB178,OFFSET([4]characters!$A$1,0,0,COUNTA([4]characters!$A:$A),MATCH(AE$1,[4]characters!$1:$1,0)-MATCH("character_id",[4]characters!$1:$1,0)+1),MATCH(AE$1,[4]characters!$1:$1,0)-MATCH("character_id",[4]characters!$1:$1,0)+1,FALSE)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8" s="7">
        <v>1</v>
      </c>
      <c r="AG178" s="24">
        <f t="shared" ca="1" si="29"/>
        <v>3</v>
      </c>
      <c r="AH178" s="8">
        <v>10</v>
      </c>
      <c r="AI178" s="7">
        <v>0</v>
      </c>
      <c r="AJ178" s="7">
        <v>0</v>
      </c>
      <c r="AK178" s="7">
        <v>0</v>
      </c>
      <c r="AL178" s="7">
        <v>0</v>
      </c>
      <c r="AM178" s="7">
        <v>1</v>
      </c>
      <c r="AN178" s="69">
        <v>1</v>
      </c>
    </row>
    <row r="179" spans="1:40" ht="21" customHeight="1" x14ac:dyDescent="0.15">
      <c r="A179" s="16" t="str">
        <f t="shared" ca="1" si="25"/>
        <v>11103_10-2/341&lt;lv2&gt;s2</v>
      </c>
      <c r="B179" s="22">
        <v>11103</v>
      </c>
      <c r="C179" s="21">
        <v>10</v>
      </c>
      <c r="D179" s="2" t="str">
        <f t="shared" si="26"/>
        <v>11103_10</v>
      </c>
      <c r="E179" s="4" t="str">
        <f ca="1">VLOOKUP($B179,OFFSET([2]quests!$A$1,0,0,COUNTA([2]quests!$A:$A),MATCH(E$1,[2]quests!$1:$1,0)-MATCH($B$1,[2]quests!$1:$1,0)+1),MATCH(E$1,[2]quests!$1:$1,0)-MATCH($B$1,[2]quests!$1:$1,0)+1,FALSE)</f>
        <v>【期間限定】 青の素材</v>
      </c>
      <c r="F179" s="4" t="str">
        <f ca="1">VLOOKUP($D179,OFFSET([2]stages!$A$1,0,0,COUNTA([2]stages!$A:$A),MATCH(F$1,[2]stages!$2:$2,0)-MATCH($D$1,[2]stages!$2:$2,0)+1),MATCH(F$1,[2]stages!$2:$2,0)-MATCH($D$1,[2]stages!$2:$2,0)+1,FALSE)</f>
        <v>【超絶級】深淵の代用ウミガメ</v>
      </c>
      <c r="G179" s="21">
        <v>2</v>
      </c>
      <c r="H179" s="15" t="str">
        <f t="shared" si="27"/>
        <v>11103_10-2</v>
      </c>
      <c r="I179" s="4">
        <f ca="1">VLOOKUP($H179,OFFSET(floors!$A$1,0,0,COUNTA(floors!$A:$A),MATCH(I$1,floors!$1:$1,0)-MATCH($H$1,floors!$1:$1,0)+1),MATCH(I$1,floors!$1:$1,0)-MATCH($H$1,floors!$1:$1,0)+1,FALSE)</f>
        <v>45</v>
      </c>
      <c r="J179" s="4">
        <f ca="1">VLOOKUP($H179,OFFSET(floors!$A$1,0,0,COUNTA(floors!$A:$A),MATCH(J$1,floors!$1:$1,0)-MATCH($H$1,floors!$1:$1,0)+1),MATCH(J$1,floors!$1:$1,0)-MATCH($H$1,floors!$1:$1,0)+1,FALSE)</f>
        <v>60</v>
      </c>
      <c r="K179" s="100" t="s">
        <v>209</v>
      </c>
      <c r="L179" s="108">
        <v>341</v>
      </c>
      <c r="M179" s="17" t="str">
        <f ca="1">VLOOKUP($L179,OFFSET([3]enemies!$A$1,0,0,COUNTA([3]enemies!$A:$A),MATCH(M$1,[3]enemies!$1:$1,0)-MATCH($L$1,[3]enemies!$1:$1,0)+1),MATCH(M$1,[3]enemies!$1:$1,0)-MATCH($L$1,[3]enemies!$1:$1,0)+1,FALSE)</f>
        <v>水のメタルチック</v>
      </c>
      <c r="N179" s="17" t="str">
        <f ca="1">VLOOKUP($L179,OFFSET([3]enemies!$A$1,0,0,COUNTA([3]enemies!$A:$A),MATCH(N$1,[3]enemies!$1:$1,0)-MATCH($L$1,[3]enemies!$1:$1,0)+1),MATCH(N$1,[3]enemies!$1:$1,0)-MATCH($L$1,[3]enemies!$1:$1,0)+1,FALSE)</f>
        <v>blue</v>
      </c>
      <c r="O179" s="17" t="str">
        <f ca="1">VLOOKUP($L179,OFFSET([4]characters!$A$1,0,0,COUNTA([4]characters!$A:$A),MATCH(O$1,[4]characters!$1:$1,0)-MATCH($L$1,[4]characters!$1:$1,0)+1),MATCH(O$1,[4]characters!$1:$1,0)-MATCH($L$1,[4]characters!$1:$1,0)+1,FALSE)</f>
        <v>Material</v>
      </c>
      <c r="P179" s="17" t="str">
        <f ca="1">VLOOKUP($L179,OFFSET([3]enemies!$A$1,0,0,COUNTA([3]enemies!$A:$A),MATCH(P$1,[3]enemies!$1:$1,0)-MATCH($L$1,[3]enemies!$1:$1,0)+1),MATCH(P$1,[3]enemies!$1:$1,0)-MATCH($L$1,[3]enemies!$1:$1,0)+1,FALSE)</f>
        <v>unknown</v>
      </c>
      <c r="Q179" s="17">
        <f ca="1">VLOOKUP($L179,OFFSET([3]enemies!$A$1,0,0,COUNTA([3]enemies!$A:$A),MATCH(Q$1,[3]enemies!$1:$1,0)-MATCH($L$1,[3]enemies!$1:$1,0)+1),MATCH(Q$1,[3]enemies!$1:$1,0)-MATCH($L$1,[3]enemies!$1:$1,0)+1,FALSE)</f>
        <v>15</v>
      </c>
      <c r="R179" s="5">
        <v>2</v>
      </c>
      <c r="S179" s="25">
        <v>2</v>
      </c>
      <c r="T179" s="25">
        <v>99</v>
      </c>
      <c r="U179" s="5">
        <v>0</v>
      </c>
      <c r="V179" s="4" t="str">
        <f ca="1">VLOOKUP($W179,OFFSET([5]enemy_skill_sets!$B$1,0,0,COUNTA([5]enemy_skill_sets!$B:$B),MATCH(M$1,[5]enemy_skill_sets!$1:$1,0)-MATCH($W$1,[5]enemy_skill_sets!$1:$1,0)+2),MATCH(M$1,[5]enemy_skill_sets!$1:$1,0)-MATCH($W$1,[5]enemy_skill_sets!$1:$1,0)+2,FALSE)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9" s="4">
        <f ca="1">VLOOKUP($L179,OFFSET([3]enemies!$A$1,0,0,COUNTA([3]enemies!$A:$A),MATCH(W$1,[3]enemies!$1:$1,0)-MATCH($L$1,[3]enemies!$1:$1,0)+1),MATCH(W$1,[3]enemies!$1:$1,0)-MATCH($L$1,[3]enemies!$1:$1,0)+1,FALSE)</f>
        <v>0</v>
      </c>
      <c r="X179" s="6">
        <v>0</v>
      </c>
      <c r="Y179" s="6">
        <v>10</v>
      </c>
      <c r="Z179" s="6">
        <v>0</v>
      </c>
      <c r="AA179" s="17">
        <f ca="1">VLOOKUP($L179,OFFSET([3]enemies!$A$1,0,0,COUNTA([3]enemies!$A:$A),MATCH(AA$1,[3]enemies!$1:$1,0)-MATCH($L$1,[3]enemies!$1:$1,0)+1),MATCH(AA$1,[3]enemies!$1:$1,0)-MATCH($L$1,[3]enemies!$1:$1,0)+1,FALSE)</f>
        <v>2</v>
      </c>
      <c r="AB179" s="24">
        <f t="shared" si="28"/>
        <v>341</v>
      </c>
      <c r="AC179" s="4" t="str">
        <f ca="1">VLOOKUP($AB179,OFFSET([4]characters!$A$1,0,0,COUNTA([4]characters!$A:$A),MATCH(AC$1,[4]characters!$1:$1,0)-MATCH("character_id",[4]characters!$1:$1,0)+1),MATCH(AC$1,[4]characters!$1:$1,0)-MATCH("character_id",[4]characters!$1:$1,0)+1,FALSE)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179" s="4">
        <f ca="1">VLOOKUP($AB179,OFFSET([4]characters!$A$1,0,0,COUNTA([4]characters!$A:$A),MATCH(AD$1,[4]characters!$1:$1,0)-MATCH("character_id",[4]characters!$1:$1,0)+1),MATCH(AD$1,[4]characters!$1:$1,0)-MATCH("character_id",[4]characters!$1:$1,0)+1,FALSE)</f>
        <v>4</v>
      </c>
      <c r="AE179" s="4" t="str">
        <f ca="1">VLOOKUP($AB179,OFFSET([4]characters!$A$1,0,0,COUNTA([4]characters!$A:$A),MATCH(AE$1,[4]characters!$1:$1,0)-MATCH("character_id",[4]characters!$1:$1,0)+1),MATCH(AE$1,[4]characters!$1:$1,0)-MATCH("character_id",[4]characters!$1:$1,0)+1,FALSE)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9" s="7">
        <v>1</v>
      </c>
      <c r="AG179" s="24">
        <f t="shared" ca="1" si="29"/>
        <v>4</v>
      </c>
      <c r="AH179" s="8">
        <v>5</v>
      </c>
      <c r="AI179" s="7">
        <v>0</v>
      </c>
      <c r="AJ179" s="7">
        <v>0</v>
      </c>
      <c r="AK179" s="7">
        <v>0</v>
      </c>
      <c r="AL179" s="7">
        <v>0</v>
      </c>
      <c r="AM179" s="7">
        <v>1</v>
      </c>
      <c r="AN179" s="69">
        <v>1</v>
      </c>
    </row>
    <row r="180" spans="1:40" ht="21" customHeight="1" x14ac:dyDescent="0.15">
      <c r="A180" s="16" t="str">
        <f t="shared" ca="1" si="25"/>
        <v>11103_10-3/185&lt;lv60&gt;s3</v>
      </c>
      <c r="B180" s="22">
        <v>11103</v>
      </c>
      <c r="C180" s="21">
        <v>10</v>
      </c>
      <c r="D180" s="2" t="str">
        <f t="shared" si="26"/>
        <v>11103_10</v>
      </c>
      <c r="E180" s="4" t="str">
        <f ca="1">VLOOKUP($B180,OFFSET([2]quests!$A$1,0,0,COUNTA([2]quests!$A:$A),MATCH(E$1,[2]quests!$1:$1,0)-MATCH($B$1,[2]quests!$1:$1,0)+1),MATCH(E$1,[2]quests!$1:$1,0)-MATCH($B$1,[2]quests!$1:$1,0)+1,FALSE)</f>
        <v>【期間限定】 青の素材</v>
      </c>
      <c r="F180" s="4" t="str">
        <f ca="1">VLOOKUP($D180,OFFSET([2]stages!$A$1,0,0,COUNTA([2]stages!$A:$A),MATCH(F$1,[2]stages!$2:$2,0)-MATCH($D$1,[2]stages!$2:$2,0)+1),MATCH(F$1,[2]stages!$2:$2,0)-MATCH($D$1,[2]stages!$2:$2,0)+1,FALSE)</f>
        <v>【超絶級】深淵の代用ウミガメ</v>
      </c>
      <c r="G180" s="21">
        <v>3</v>
      </c>
      <c r="H180" s="15" t="str">
        <f t="shared" si="27"/>
        <v>11103_10-3</v>
      </c>
      <c r="I180" s="4">
        <f ca="1">VLOOKUP($H180,OFFSET(floors!$A$1,0,0,COUNTA(floors!$A:$A),MATCH(I$1,floors!$1:$1,0)-MATCH($H$1,floors!$1:$1,0)+1),MATCH(I$1,floors!$1:$1,0)-MATCH($H$1,floors!$1:$1,0)+1,FALSE)</f>
        <v>50</v>
      </c>
      <c r="J180" s="4">
        <f ca="1">VLOOKUP($H180,OFFSET(floors!$A$1,0,0,COUNTA(floors!$A:$A),MATCH(J$1,floors!$1:$1,0)-MATCH($H$1,floors!$1:$1,0)+1),MATCH(J$1,floors!$1:$1,0)-MATCH($H$1,floors!$1:$1,0)+1,FALSE)</f>
        <v>60</v>
      </c>
      <c r="K180" s="100" t="s">
        <v>209</v>
      </c>
      <c r="L180" s="108">
        <v>185</v>
      </c>
      <c r="M180" s="17" t="str">
        <f ca="1">VLOOKUP($L180,OFFSET([3]enemies!$A$1,0,0,COUNTA([3]enemies!$A:$A),MATCH(M$1,[3]enemies!$1:$1,0)-MATCH($L$1,[3]enemies!$1:$1,0)+1),MATCH(M$1,[3]enemies!$1:$1,0)-MATCH($L$1,[3]enemies!$1:$1,0)+1,FALSE)</f>
        <v>海姫 クラーケン</v>
      </c>
      <c r="N180" s="17" t="str">
        <f ca="1">VLOOKUP($L180,OFFSET([3]enemies!$A$1,0,0,COUNTA([3]enemies!$A:$A),MATCH(N$1,[3]enemies!$1:$1,0)-MATCH($L$1,[3]enemies!$1:$1,0)+1),MATCH(N$1,[3]enemies!$1:$1,0)-MATCH($L$1,[3]enemies!$1:$1,0)+1,FALSE)</f>
        <v>blue</v>
      </c>
      <c r="O180" s="17" t="str">
        <f ca="1">VLOOKUP($L180,OFFSET([4]characters!$A$1,0,0,COUNTA([4]characters!$A:$A),MATCH(O$1,[4]characters!$1:$1,0)-MATCH($L$1,[4]characters!$1:$1,0)+1),MATCH(O$1,[4]characters!$1:$1,0)-MATCH($L$1,[4]characters!$1:$1,0)+1,FALSE)</f>
        <v>PremiumN</v>
      </c>
      <c r="P180" s="17" t="str">
        <f ca="1">VLOOKUP($L180,OFFSET([3]enemies!$A$1,0,0,COUNTA([3]enemies!$A:$A),MATCH(P$1,[3]enemies!$1:$1,0)-MATCH($L$1,[3]enemies!$1:$1,0)+1),MATCH(P$1,[3]enemies!$1:$1,0)-MATCH($L$1,[3]enemies!$1:$1,0)+1,FALSE)</f>
        <v>animal</v>
      </c>
      <c r="Q180" s="17">
        <f ca="1">VLOOKUP($L180,OFFSET([3]enemies!$A$1,0,0,COUNTA([3]enemies!$A:$A),MATCH(Q$1,[3]enemies!$1:$1,0)-MATCH($L$1,[3]enemies!$1:$1,0)+1),MATCH(Q$1,[3]enemies!$1:$1,0)-MATCH($L$1,[3]enemies!$1:$1,0)+1,FALSE)</f>
        <v>30</v>
      </c>
      <c r="R180" s="5">
        <v>60</v>
      </c>
      <c r="S180" s="25">
        <v>1.6</v>
      </c>
      <c r="T180" s="25">
        <v>1.7</v>
      </c>
      <c r="U180" s="5">
        <v>0</v>
      </c>
      <c r="V180" s="4" t="str">
        <f ca="1">VLOOKUP($W180,OFFSET(enemy_skill_sets!$B$1,0,0,COUNTA(enemy_skill_sets!$B:$B),MATCH(M$1,enemy_skill_sets!$1:$1,0)-MATCH($W$1,enemy_skill_sets!$1:$1,0)+2),MATCH(M$1,enemy_skill_sets!$1:$1,0)-MATCH($W$1,enemy_skill_sets!$1:$1,0)+2,FALSE)</f>
        <v>全体攻撃＋中確率で2ターンスキルバインド効果</v>
      </c>
      <c r="W180" s="109">
        <v>1122211</v>
      </c>
      <c r="X180" s="6">
        <v>0</v>
      </c>
      <c r="Y180" s="6">
        <v>80</v>
      </c>
      <c r="Z180" s="6">
        <v>1</v>
      </c>
      <c r="AA180" s="17">
        <f ca="1">VLOOKUP($L180,OFFSET([3]enemies!$A$1,0,0,COUNTA([3]enemies!$A:$A),MATCH(AA$1,[3]enemies!$1:$1,0)-MATCH($L$1,[3]enemies!$1:$1,0)+1),MATCH(AA$1,[3]enemies!$1:$1,0)-MATCH($L$1,[3]enemies!$1:$1,0)+1,FALSE)</f>
        <v>3</v>
      </c>
      <c r="AB180" s="24">
        <f t="shared" si="28"/>
        <v>185</v>
      </c>
      <c r="AC180" s="4" t="str">
        <f ca="1">VLOOKUP($AB180,OFFSET([4]characters!$A$1,0,0,COUNTA([4]characters!$A:$A),MATCH(AC$1,[4]characters!$1:$1,0)-MATCH("character_id",[4]characters!$1:$1,0)+1),MATCH(AC$1,[4]characters!$1:$1,0)-MATCH("character_id",[4]characters!$1:$1,0)+1,FALSE)</f>
        <v>海姫 クラーケン</v>
      </c>
      <c r="AD180" s="4">
        <f ca="1">VLOOKUP($AB180,OFFSET([4]characters!$A$1,0,0,COUNTA([4]characters!$A:$A),MATCH(AD$1,[4]characters!$1:$1,0)-MATCH("character_id",[4]characters!$1:$1,0)+1),MATCH(AD$1,[4]characters!$1:$1,0)-MATCH("character_id",[4]characters!$1:$1,0)+1,FALSE)</f>
        <v>4</v>
      </c>
      <c r="AE180" s="4" t="str">
        <f ca="1">VLOOKUP($AB180,OFFSET([4]characters!$A$1,0,0,COUNTA([4]characters!$A:$A),MATCH(AE$1,[4]characters!$1:$1,0)-MATCH("character_id",[4]characters!$1:$1,0)+1),MATCH(AE$1,[4]characters!$1:$1,0)-MATCH("character_id",[4]characters!$1:$1,0)+1,FALSE)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80" s="7">
        <v>1</v>
      </c>
      <c r="AG180" s="24">
        <f t="shared" ca="1" si="29"/>
        <v>4</v>
      </c>
      <c r="AH180" s="8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1</v>
      </c>
      <c r="AN180" s="69">
        <v>1</v>
      </c>
    </row>
    <row r="181" spans="1:40" ht="21" customHeight="1" x14ac:dyDescent="0.15">
      <c r="A181" s="16" t="str">
        <f t="shared" ca="1" si="25"/>
        <v>11103_10-3/342&lt;lv2&gt;s3</v>
      </c>
      <c r="B181" s="22">
        <v>11103</v>
      </c>
      <c r="C181" s="21">
        <v>10</v>
      </c>
      <c r="D181" s="2" t="str">
        <f t="shared" si="26"/>
        <v>11103_10</v>
      </c>
      <c r="E181" s="4" t="str">
        <f ca="1">VLOOKUP($B181,OFFSET([2]quests!$A$1,0,0,COUNTA([2]quests!$A:$A),MATCH(E$1,[2]quests!$1:$1,0)-MATCH($B$1,[2]quests!$1:$1,0)+1),MATCH(E$1,[2]quests!$1:$1,0)-MATCH($B$1,[2]quests!$1:$1,0)+1,FALSE)</f>
        <v>【期間限定】 青の素材</v>
      </c>
      <c r="F181" s="4" t="str">
        <f ca="1">VLOOKUP($D181,OFFSET([2]stages!$A$1,0,0,COUNTA([2]stages!$A:$A),MATCH(F$1,[2]stages!$2:$2,0)-MATCH($D$1,[2]stages!$2:$2,0)+1),MATCH(F$1,[2]stages!$2:$2,0)-MATCH($D$1,[2]stages!$2:$2,0)+1,FALSE)</f>
        <v>【超絶級】深淵の代用ウミガメ</v>
      </c>
      <c r="G181" s="21">
        <v>3</v>
      </c>
      <c r="H181" s="15" t="str">
        <f t="shared" si="27"/>
        <v>11103_10-3</v>
      </c>
      <c r="I181" s="4">
        <f ca="1">VLOOKUP($H181,OFFSET(floors!$A$1,0,0,COUNTA(floors!$A:$A),MATCH(I$1,floors!$1:$1,0)-MATCH($H$1,floors!$1:$1,0)+1),MATCH(I$1,floors!$1:$1,0)-MATCH($H$1,floors!$1:$1,0)+1,FALSE)</f>
        <v>50</v>
      </c>
      <c r="J181" s="4">
        <f ca="1">VLOOKUP($H181,OFFSET(floors!$A$1,0,0,COUNTA(floors!$A:$A),MATCH(J$1,floors!$1:$1,0)-MATCH($H$1,floors!$1:$1,0)+1),MATCH(J$1,floors!$1:$1,0)-MATCH($H$1,floors!$1:$1,0)+1,FALSE)</f>
        <v>60</v>
      </c>
      <c r="K181" s="100" t="s">
        <v>209</v>
      </c>
      <c r="L181" s="108">
        <v>342</v>
      </c>
      <c r="M181" s="17" t="str">
        <f ca="1">VLOOKUP($L181,OFFSET([3]enemies!$A$1,0,0,COUNTA([3]enemies!$A:$A),MATCH(M$1,[3]enemies!$1:$1,0)-MATCH($L$1,[3]enemies!$1:$1,0)+1),MATCH(M$1,[3]enemies!$1:$1,0)-MATCH($L$1,[3]enemies!$1:$1,0)+1,FALSE)</f>
        <v>水のメタルダック</v>
      </c>
      <c r="N181" s="17" t="str">
        <f ca="1">VLOOKUP($L181,OFFSET([3]enemies!$A$1,0,0,COUNTA([3]enemies!$A:$A),MATCH(N$1,[3]enemies!$1:$1,0)-MATCH($L$1,[3]enemies!$1:$1,0)+1),MATCH(N$1,[3]enemies!$1:$1,0)-MATCH($L$1,[3]enemies!$1:$1,0)+1,FALSE)</f>
        <v>blue</v>
      </c>
      <c r="O181" s="17" t="str">
        <f ca="1">VLOOKUP($L181,OFFSET([4]characters!$A$1,0,0,COUNTA([4]characters!$A:$A),MATCH(O$1,[4]characters!$1:$1,0)-MATCH($L$1,[4]characters!$1:$1,0)+1),MATCH(O$1,[4]characters!$1:$1,0)-MATCH($L$1,[4]characters!$1:$1,0)+1,FALSE)</f>
        <v>Material</v>
      </c>
      <c r="P181" s="17" t="str">
        <f ca="1">VLOOKUP($L181,OFFSET([3]enemies!$A$1,0,0,COUNTA([3]enemies!$A:$A),MATCH(P$1,[3]enemies!$1:$1,0)-MATCH($L$1,[3]enemies!$1:$1,0)+1),MATCH(P$1,[3]enemies!$1:$1,0)-MATCH($L$1,[3]enemies!$1:$1,0)+1,FALSE)</f>
        <v>unknown</v>
      </c>
      <c r="Q181" s="17">
        <f ca="1">VLOOKUP($L181,OFFSET([3]enemies!$A$1,0,0,COUNTA([3]enemies!$A:$A),MATCH(Q$1,[3]enemies!$1:$1,0)-MATCH($L$1,[3]enemies!$1:$1,0)+1),MATCH(Q$1,[3]enemies!$1:$1,0)-MATCH($L$1,[3]enemies!$1:$1,0)+1,FALSE)</f>
        <v>20</v>
      </c>
      <c r="R181" s="5">
        <v>2</v>
      </c>
      <c r="S181" s="25">
        <v>2</v>
      </c>
      <c r="T181" s="25">
        <v>99</v>
      </c>
      <c r="U181" s="5">
        <v>0</v>
      </c>
      <c r="V181" s="4" t="str">
        <f ca="1">VLOOKUP($W181,OFFSET([5]enemy_skill_sets!$B$1,0,0,COUNTA([5]enemy_skill_sets!$B:$B),MATCH(M$1,[5]enemy_skill_sets!$1:$1,0)-MATCH($W$1,[5]enemy_skill_sets!$1:$1,0)+2),MATCH(M$1,[5]enemy_skill_sets!$1:$1,0)-MATCH($W$1,[5]enemy_skill_sets!$1:$1,0)+2,FALSE)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1" s="4">
        <f ca="1">VLOOKUP($L181,OFFSET([3]enemies!$A$1,0,0,COUNTA([3]enemies!$A:$A),MATCH(W$1,[3]enemies!$1:$1,0)-MATCH($L$1,[3]enemies!$1:$1,0)+1),MATCH(W$1,[3]enemies!$1:$1,0)-MATCH($L$1,[3]enemies!$1:$1,0)+1,FALSE)</f>
        <v>0</v>
      </c>
      <c r="X181" s="6">
        <v>0</v>
      </c>
      <c r="Y181" s="6">
        <v>20</v>
      </c>
      <c r="Z181" s="6">
        <v>1</v>
      </c>
      <c r="AA181" s="17">
        <f ca="1">VLOOKUP($L181,OFFSET([3]enemies!$A$1,0,0,COUNTA([3]enemies!$A:$A),MATCH(AA$1,[3]enemies!$1:$1,0)-MATCH($L$1,[3]enemies!$1:$1,0)+1),MATCH(AA$1,[3]enemies!$1:$1,0)-MATCH($L$1,[3]enemies!$1:$1,0)+1,FALSE)</f>
        <v>3</v>
      </c>
      <c r="AB181" s="24">
        <f t="shared" si="28"/>
        <v>342</v>
      </c>
      <c r="AC181" s="4" t="str">
        <f ca="1">VLOOKUP($AB181,OFFSET([4]characters!$A$1,0,0,COUNTA([4]characters!$A:$A),MATCH(AC$1,[4]characters!$1:$1,0)-MATCH("character_id",[4]characters!$1:$1,0)+1),MATCH(AC$1,[4]characters!$1:$1,0)-MATCH("character_id",[4]characters!$1:$1,0)+1,FALSE)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181" s="4">
        <f ca="1">VLOOKUP($AB181,OFFSET([4]characters!$A$1,0,0,COUNTA([4]characters!$A:$A),MATCH(AD$1,[4]characters!$1:$1,0)-MATCH("character_id",[4]characters!$1:$1,0)+1),MATCH(AD$1,[4]characters!$1:$1,0)-MATCH("character_id",[4]characters!$1:$1,0)+1,FALSE)</f>
        <v>5</v>
      </c>
      <c r="AE181" s="4" t="str">
        <f ca="1">VLOOKUP($AB181,OFFSET([4]characters!$A$1,0,0,COUNTA([4]characters!$A:$A),MATCH(AE$1,[4]characters!$1:$1,0)-MATCH("character_id",[4]characters!$1:$1,0)+1),MATCH(AE$1,[4]characters!$1:$1,0)-MATCH("character_id",[4]characters!$1:$1,0)+1,FALSE)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1" s="7">
        <v>1</v>
      </c>
      <c r="AG181" s="24">
        <f t="shared" ca="1" si="29"/>
        <v>5</v>
      </c>
      <c r="AH181" s="8">
        <v>5</v>
      </c>
      <c r="AI181" s="7">
        <v>0</v>
      </c>
      <c r="AJ181" s="7">
        <v>0</v>
      </c>
      <c r="AK181" s="7">
        <v>0</v>
      </c>
      <c r="AL181" s="7">
        <v>0</v>
      </c>
      <c r="AM181" s="7">
        <v>1</v>
      </c>
      <c r="AN181" s="69">
        <v>1</v>
      </c>
    </row>
    <row r="182" spans="1:40" ht="21" customHeight="1" x14ac:dyDescent="0.15">
      <c r="A182" s="16" t="str">
        <f t="shared" ca="1" si="25"/>
        <v>11103_10-3/340&lt;lv2&gt;s1</v>
      </c>
      <c r="B182" s="22">
        <v>11103</v>
      </c>
      <c r="C182" s="21">
        <v>10</v>
      </c>
      <c r="D182" s="2" t="str">
        <f t="shared" si="26"/>
        <v>11103_10</v>
      </c>
      <c r="E182" s="4" t="str">
        <f ca="1">VLOOKUP($B182,OFFSET([2]quests!$A$1,0,0,COUNTA([2]quests!$A:$A),MATCH(E$1,[2]quests!$1:$1,0)-MATCH($B$1,[2]quests!$1:$1,0)+1),MATCH(E$1,[2]quests!$1:$1,0)-MATCH($B$1,[2]quests!$1:$1,0)+1,FALSE)</f>
        <v>【期間限定】 青の素材</v>
      </c>
      <c r="F182" s="4" t="str">
        <f ca="1">VLOOKUP($D182,OFFSET([2]stages!$A$1,0,0,COUNTA([2]stages!$A:$A),MATCH(F$1,[2]stages!$2:$2,0)-MATCH($D$1,[2]stages!$2:$2,0)+1),MATCH(F$1,[2]stages!$2:$2,0)-MATCH($D$1,[2]stages!$2:$2,0)+1,FALSE)</f>
        <v>【超絶級】深淵の代用ウミガメ</v>
      </c>
      <c r="G182" s="21">
        <v>3</v>
      </c>
      <c r="H182" s="15" t="str">
        <f t="shared" si="27"/>
        <v>11103_10-3</v>
      </c>
      <c r="I182" s="4">
        <f ca="1">VLOOKUP($H182,OFFSET(floors!$A$1,0,0,COUNTA(floors!$A:$A),MATCH(I$1,floors!$1:$1,0)-MATCH($H$1,floors!$1:$1,0)+1),MATCH(I$1,floors!$1:$1,0)-MATCH($H$1,floors!$1:$1,0)+1,FALSE)</f>
        <v>50</v>
      </c>
      <c r="J182" s="4">
        <f ca="1">VLOOKUP($H182,OFFSET(floors!$A$1,0,0,COUNTA(floors!$A:$A),MATCH(J$1,floors!$1:$1,0)-MATCH($H$1,floors!$1:$1,0)+1),MATCH(J$1,floors!$1:$1,0)-MATCH($H$1,floors!$1:$1,0)+1,FALSE)</f>
        <v>60</v>
      </c>
      <c r="K182" s="100" t="s">
        <v>209</v>
      </c>
      <c r="L182" s="108">
        <v>340</v>
      </c>
      <c r="M182" s="17" t="str">
        <f ca="1">VLOOKUP($L182,OFFSET([3]enemies!$A$1,0,0,COUNTA([3]enemies!$A:$A),MATCH(M$1,[3]enemies!$1:$1,0)-MATCH($L$1,[3]enemies!$1:$1,0)+1),MATCH(M$1,[3]enemies!$1:$1,0)-MATCH($L$1,[3]enemies!$1:$1,0)+1,FALSE)</f>
        <v>水のメタルピヨピヨ</v>
      </c>
      <c r="N182" s="17" t="str">
        <f ca="1">VLOOKUP($L182,OFFSET([3]enemies!$A$1,0,0,COUNTA([3]enemies!$A:$A),MATCH(N$1,[3]enemies!$1:$1,0)-MATCH($L$1,[3]enemies!$1:$1,0)+1),MATCH(N$1,[3]enemies!$1:$1,0)-MATCH($L$1,[3]enemies!$1:$1,0)+1,FALSE)</f>
        <v>blue</v>
      </c>
      <c r="O182" s="17" t="str">
        <f ca="1">VLOOKUP($L182,OFFSET([4]characters!$A$1,0,0,COUNTA([4]characters!$A:$A),MATCH(O$1,[4]characters!$1:$1,0)-MATCH($L$1,[4]characters!$1:$1,0)+1),MATCH(O$1,[4]characters!$1:$1,0)-MATCH($L$1,[4]characters!$1:$1,0)+1,FALSE)</f>
        <v>Material</v>
      </c>
      <c r="P182" s="17" t="str">
        <f ca="1">VLOOKUP($L182,OFFSET([3]enemies!$A$1,0,0,COUNTA([3]enemies!$A:$A),MATCH(P$1,[3]enemies!$1:$1,0)-MATCH($L$1,[3]enemies!$1:$1,0)+1),MATCH(P$1,[3]enemies!$1:$1,0)-MATCH($L$1,[3]enemies!$1:$1,0)+1,FALSE)</f>
        <v>unknown</v>
      </c>
      <c r="Q182" s="17">
        <f ca="1">VLOOKUP($L182,OFFSET([3]enemies!$A$1,0,0,COUNTA([3]enemies!$A:$A),MATCH(Q$1,[3]enemies!$1:$1,0)-MATCH($L$1,[3]enemies!$1:$1,0)+1),MATCH(Q$1,[3]enemies!$1:$1,0)-MATCH($L$1,[3]enemies!$1:$1,0)+1,FALSE)</f>
        <v>15</v>
      </c>
      <c r="R182" s="5">
        <v>2</v>
      </c>
      <c r="S182" s="25">
        <v>2</v>
      </c>
      <c r="T182" s="25">
        <v>99</v>
      </c>
      <c r="U182" s="5">
        <v>0</v>
      </c>
      <c r="V182" s="4" t="str">
        <f ca="1">VLOOKUP($W182,OFFSET([5]enemy_skill_sets!$B$1,0,0,COUNTA([5]enemy_skill_sets!$B:$B),MATCH(M$1,[5]enemy_skill_sets!$1:$1,0)-MATCH($W$1,[5]enemy_skill_sets!$1:$1,0)+2),MATCH(M$1,[5]enemy_skill_sets!$1:$1,0)-MATCH($W$1,[5]enemy_skill_sets!$1:$1,0)+2,FALSE)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2" s="4">
        <f ca="1">VLOOKUP($L182,OFFSET([3]enemies!$A$1,0,0,COUNTA([3]enemies!$A:$A),MATCH(W$1,[3]enemies!$1:$1,0)-MATCH($L$1,[3]enemies!$1:$1,0)+1),MATCH(W$1,[3]enemies!$1:$1,0)-MATCH($L$1,[3]enemies!$1:$1,0)+1,FALSE)</f>
        <v>0</v>
      </c>
      <c r="X182" s="6">
        <v>1</v>
      </c>
      <c r="Y182" s="6">
        <v>100</v>
      </c>
      <c r="Z182" s="6">
        <v>0</v>
      </c>
      <c r="AA182" s="17">
        <f ca="1">VLOOKUP($L182,OFFSET([3]enemies!$A$1,0,0,COUNTA([3]enemies!$A:$A),MATCH(AA$1,[3]enemies!$1:$1,0)-MATCH($L$1,[3]enemies!$1:$1,0)+1),MATCH(AA$1,[3]enemies!$1:$1,0)-MATCH($L$1,[3]enemies!$1:$1,0)+1,FALSE)</f>
        <v>1</v>
      </c>
      <c r="AB182" s="24">
        <f t="shared" si="28"/>
        <v>340</v>
      </c>
      <c r="AC182" s="4" t="str">
        <f ca="1">VLOOKUP($AB182,OFFSET([4]characters!$A$1,0,0,COUNTA([4]characters!$A:$A),MATCH(AC$1,[4]characters!$1:$1,0)-MATCH("character_id",[4]characters!$1:$1,0)+1),MATCH(AC$1,[4]characters!$1:$1,0)-MATCH("character_id",[4]characters!$1:$1,0)+1,FALSE)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182" s="4">
        <f ca="1">VLOOKUP($AB182,OFFSET([4]characters!$A$1,0,0,COUNTA([4]characters!$A:$A),MATCH(AD$1,[4]characters!$1:$1,0)-MATCH("character_id",[4]characters!$1:$1,0)+1),MATCH(AD$1,[4]characters!$1:$1,0)-MATCH("character_id",[4]characters!$1:$1,0)+1,FALSE)</f>
        <v>3</v>
      </c>
      <c r="AE182" s="4" t="str">
        <f ca="1">VLOOKUP($AB182,OFFSET([4]characters!$A$1,0,0,COUNTA([4]characters!$A:$A),MATCH(AE$1,[4]characters!$1:$1,0)-MATCH("character_id",[4]characters!$1:$1,0)+1),MATCH(AE$1,[4]characters!$1:$1,0)-MATCH("character_id",[4]characters!$1:$1,0)+1,FALSE)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2" s="7">
        <v>1</v>
      </c>
      <c r="AG182" s="24">
        <f t="shared" ca="1" si="29"/>
        <v>3</v>
      </c>
      <c r="AH182" s="8">
        <v>20</v>
      </c>
      <c r="AI182" s="7">
        <v>0</v>
      </c>
      <c r="AJ182" s="7">
        <v>0</v>
      </c>
      <c r="AK182" s="7">
        <v>0</v>
      </c>
      <c r="AL182" s="7">
        <v>0</v>
      </c>
      <c r="AM182" s="7">
        <v>1</v>
      </c>
      <c r="AN182" s="69">
        <v>1</v>
      </c>
    </row>
    <row r="183" spans="1:40" ht="21" customHeight="1" x14ac:dyDescent="0.15">
      <c r="A183" s="16" t="str">
        <f t="shared" ca="1" si="25"/>
        <v>11103_10-3/341&lt;lv2&gt;s2</v>
      </c>
      <c r="B183" s="22">
        <v>11103</v>
      </c>
      <c r="C183" s="21">
        <v>10</v>
      </c>
      <c r="D183" s="2" t="str">
        <f t="shared" si="26"/>
        <v>11103_10</v>
      </c>
      <c r="E183" s="4" t="str">
        <f ca="1">VLOOKUP($B183,OFFSET([2]quests!$A$1,0,0,COUNTA([2]quests!$A:$A),MATCH(E$1,[2]quests!$1:$1,0)-MATCH($B$1,[2]quests!$1:$1,0)+1),MATCH(E$1,[2]quests!$1:$1,0)-MATCH($B$1,[2]quests!$1:$1,0)+1,FALSE)</f>
        <v>【期間限定】 青の素材</v>
      </c>
      <c r="F183" s="4" t="str">
        <f ca="1">VLOOKUP($D183,OFFSET([2]stages!$A$1,0,0,COUNTA([2]stages!$A:$A),MATCH(F$1,[2]stages!$2:$2,0)-MATCH($D$1,[2]stages!$2:$2,0)+1),MATCH(F$1,[2]stages!$2:$2,0)-MATCH($D$1,[2]stages!$2:$2,0)+1,FALSE)</f>
        <v>【超絶級】深淵の代用ウミガメ</v>
      </c>
      <c r="G183" s="21">
        <v>3</v>
      </c>
      <c r="H183" s="15" t="str">
        <f t="shared" si="27"/>
        <v>11103_10-3</v>
      </c>
      <c r="I183" s="4">
        <f ca="1">VLOOKUP($H183,OFFSET(floors!$A$1,0,0,COUNTA(floors!$A:$A),MATCH(I$1,floors!$1:$1,0)-MATCH($H$1,floors!$1:$1,0)+1),MATCH(I$1,floors!$1:$1,0)-MATCH($H$1,floors!$1:$1,0)+1,FALSE)</f>
        <v>50</v>
      </c>
      <c r="J183" s="4">
        <f ca="1">VLOOKUP($H183,OFFSET(floors!$A$1,0,0,COUNTA(floors!$A:$A),MATCH(J$1,floors!$1:$1,0)-MATCH($H$1,floors!$1:$1,0)+1),MATCH(J$1,floors!$1:$1,0)-MATCH($H$1,floors!$1:$1,0)+1,FALSE)</f>
        <v>60</v>
      </c>
      <c r="K183" s="100" t="s">
        <v>209</v>
      </c>
      <c r="L183" s="108">
        <v>341</v>
      </c>
      <c r="M183" s="17" t="str">
        <f ca="1">VLOOKUP($L183,OFFSET([3]enemies!$A$1,0,0,COUNTA([3]enemies!$A:$A),MATCH(M$1,[3]enemies!$1:$1,0)-MATCH($L$1,[3]enemies!$1:$1,0)+1),MATCH(M$1,[3]enemies!$1:$1,0)-MATCH($L$1,[3]enemies!$1:$1,0)+1,FALSE)</f>
        <v>水のメタルチック</v>
      </c>
      <c r="N183" s="17" t="str">
        <f ca="1">VLOOKUP($L183,OFFSET([3]enemies!$A$1,0,0,COUNTA([3]enemies!$A:$A),MATCH(N$1,[3]enemies!$1:$1,0)-MATCH($L$1,[3]enemies!$1:$1,0)+1),MATCH(N$1,[3]enemies!$1:$1,0)-MATCH($L$1,[3]enemies!$1:$1,0)+1,FALSE)</f>
        <v>blue</v>
      </c>
      <c r="O183" s="17" t="str">
        <f ca="1">VLOOKUP($L183,OFFSET([4]characters!$A$1,0,0,COUNTA([4]characters!$A:$A),MATCH(O$1,[4]characters!$1:$1,0)-MATCH($L$1,[4]characters!$1:$1,0)+1),MATCH(O$1,[4]characters!$1:$1,0)-MATCH($L$1,[4]characters!$1:$1,0)+1,FALSE)</f>
        <v>Material</v>
      </c>
      <c r="P183" s="17" t="str">
        <f ca="1">VLOOKUP($L183,OFFSET([3]enemies!$A$1,0,0,COUNTA([3]enemies!$A:$A),MATCH(P$1,[3]enemies!$1:$1,0)-MATCH($L$1,[3]enemies!$1:$1,0)+1),MATCH(P$1,[3]enemies!$1:$1,0)-MATCH($L$1,[3]enemies!$1:$1,0)+1,FALSE)</f>
        <v>unknown</v>
      </c>
      <c r="Q183" s="17">
        <f ca="1">VLOOKUP($L183,OFFSET([3]enemies!$A$1,0,0,COUNTA([3]enemies!$A:$A),MATCH(Q$1,[3]enemies!$1:$1,0)-MATCH($L$1,[3]enemies!$1:$1,0)+1),MATCH(Q$1,[3]enemies!$1:$1,0)-MATCH($L$1,[3]enemies!$1:$1,0)+1,FALSE)</f>
        <v>15</v>
      </c>
      <c r="R183" s="5">
        <v>2</v>
      </c>
      <c r="S183" s="25">
        <v>2</v>
      </c>
      <c r="T183" s="25">
        <v>99</v>
      </c>
      <c r="U183" s="5">
        <v>0</v>
      </c>
      <c r="V183" s="4" t="str">
        <f ca="1">VLOOKUP($W183,OFFSET([5]enemy_skill_sets!$B$1,0,0,COUNTA([5]enemy_skill_sets!$B:$B),MATCH(M$1,[5]enemy_skill_sets!$1:$1,0)-MATCH($W$1,[5]enemy_skill_sets!$1:$1,0)+2),MATCH(M$1,[5]enemy_skill_sets!$1:$1,0)-MATCH($W$1,[5]enemy_skill_sets!$1:$1,0)+2,FALSE)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3" s="4">
        <f ca="1">VLOOKUP($L183,OFFSET([3]enemies!$A$1,0,0,COUNTA([3]enemies!$A:$A),MATCH(W$1,[3]enemies!$1:$1,0)-MATCH($L$1,[3]enemies!$1:$1,0)+1),MATCH(W$1,[3]enemies!$1:$1,0)-MATCH($L$1,[3]enemies!$1:$1,0)+1,FALSE)</f>
        <v>0</v>
      </c>
      <c r="X183" s="6">
        <v>1</v>
      </c>
      <c r="Y183" s="6">
        <v>100</v>
      </c>
      <c r="Z183" s="6">
        <v>0</v>
      </c>
      <c r="AA183" s="17">
        <f ca="1">VLOOKUP($L183,OFFSET([3]enemies!$A$1,0,0,COUNTA([3]enemies!$A:$A),MATCH(AA$1,[3]enemies!$1:$1,0)-MATCH($L$1,[3]enemies!$1:$1,0)+1),MATCH(AA$1,[3]enemies!$1:$1,0)-MATCH($L$1,[3]enemies!$1:$1,0)+1,FALSE)</f>
        <v>2</v>
      </c>
      <c r="AB183" s="24">
        <f t="shared" si="28"/>
        <v>341</v>
      </c>
      <c r="AC183" s="4" t="str">
        <f ca="1">VLOOKUP($AB183,OFFSET([4]characters!$A$1,0,0,COUNTA([4]characters!$A:$A),MATCH(AC$1,[4]characters!$1:$1,0)-MATCH("character_id",[4]characters!$1:$1,0)+1),MATCH(AC$1,[4]characters!$1:$1,0)-MATCH("character_id",[4]characters!$1:$1,0)+1,FALSE)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183" s="4">
        <f ca="1">VLOOKUP($AB183,OFFSET([4]characters!$A$1,0,0,COUNTA([4]characters!$A:$A),MATCH(AD$1,[4]characters!$1:$1,0)-MATCH("character_id",[4]characters!$1:$1,0)+1),MATCH(AD$1,[4]characters!$1:$1,0)-MATCH("character_id",[4]characters!$1:$1,0)+1,FALSE)</f>
        <v>4</v>
      </c>
      <c r="AE183" s="4" t="str">
        <f ca="1">VLOOKUP($AB183,OFFSET([4]characters!$A$1,0,0,COUNTA([4]characters!$A:$A),MATCH(AE$1,[4]characters!$1:$1,0)-MATCH("character_id",[4]characters!$1:$1,0)+1),MATCH(AE$1,[4]characters!$1:$1,0)-MATCH("character_id",[4]characters!$1:$1,0)+1,FALSE)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3" s="7">
        <v>1</v>
      </c>
      <c r="AG183" s="24">
        <f t="shared" ca="1" si="29"/>
        <v>4</v>
      </c>
      <c r="AH183" s="8">
        <v>10</v>
      </c>
      <c r="AI183" s="7">
        <v>0</v>
      </c>
      <c r="AJ183" s="7">
        <v>0</v>
      </c>
      <c r="AK183" s="7">
        <v>0</v>
      </c>
      <c r="AL183" s="7">
        <v>0</v>
      </c>
      <c r="AM183" s="7">
        <v>1</v>
      </c>
      <c r="AN183" s="69">
        <v>1</v>
      </c>
    </row>
    <row r="184" spans="1:40" ht="21" customHeight="1" x14ac:dyDescent="0.15">
      <c r="A184" s="16" t="str">
        <f t="shared" si="25"/>
        <v>11103_10-4/364&lt;lv52&gt;s2</v>
      </c>
      <c r="B184" s="22">
        <v>11103</v>
      </c>
      <c r="C184" s="21">
        <v>10</v>
      </c>
      <c r="D184" s="2" t="str">
        <f t="shared" si="26"/>
        <v>11103_10</v>
      </c>
      <c r="E184" s="4" t="str">
        <f ca="1">VLOOKUP($B184,OFFSET([2]quests!$A$1,0,0,COUNTA([2]quests!$A:$A),MATCH(E$1,[2]quests!$1:$1,0)-MATCH($B$1,[2]quests!$1:$1,0)+1),MATCH(E$1,[2]quests!$1:$1,0)-MATCH($B$1,[2]quests!$1:$1,0)+1,FALSE)</f>
        <v>【期間限定】 青の素材</v>
      </c>
      <c r="F184" s="4" t="str">
        <f ca="1">VLOOKUP($D184,OFFSET([2]stages!$A$1,0,0,COUNTA([2]stages!$A:$A),MATCH(F$1,[2]stages!$2:$2,0)-MATCH($D$1,[2]stages!$2:$2,0)+1),MATCH(F$1,[2]stages!$2:$2,0)-MATCH($D$1,[2]stages!$2:$2,0)+1,FALSE)</f>
        <v>【超絶級】深淵の代用ウミガメ</v>
      </c>
      <c r="G184" s="21">
        <v>4</v>
      </c>
      <c r="H184" s="15" t="str">
        <f t="shared" si="27"/>
        <v>11103_10-4</v>
      </c>
      <c r="I184" s="4">
        <f ca="1">VLOOKUP($H184,OFFSET(floors!$A$1,0,0,COUNTA(floors!$A:$A),MATCH(I$1,floors!$1:$1,0)-MATCH($H$1,floors!$1:$1,0)+1),MATCH(I$1,floors!$1:$1,0)-MATCH($H$1,floors!$1:$1,0)+1,FALSE)</f>
        <v>45</v>
      </c>
      <c r="J184" s="4">
        <f ca="1">VLOOKUP($H184,OFFSET(floors!$A$1,0,0,COUNTA(floors!$A:$A),MATCH(J$1,floors!$1:$1,0)-MATCH($H$1,floors!$1:$1,0)+1),MATCH(J$1,floors!$1:$1,0)-MATCH($H$1,floors!$1:$1,0)+1,FALSE)</f>
        <v>60</v>
      </c>
      <c r="K184" s="100" t="s">
        <v>209</v>
      </c>
      <c r="L184" s="108">
        <v>364</v>
      </c>
      <c r="M184" s="17" t="str">
        <f ca="1">VLOOKUP($L184,OFFSET([3]enemies!$A$1,0,0,COUNTA([3]enemies!$A:$A),MATCH(M$1,[3]enemies!$1:$1,0)-MATCH($L$1,[3]enemies!$1:$1,0)+1),MATCH(M$1,[3]enemies!$1:$1,0)-MATCH($L$1,[3]enemies!$1:$1,0)+1,FALSE)</f>
        <v>ノエル</v>
      </c>
      <c r="N184" s="17" t="str">
        <f ca="1">VLOOKUP($L184,OFFSET([3]enemies!$A$1,0,0,COUNTA([3]enemies!$A:$A),MATCH(N$1,[3]enemies!$1:$1,0)-MATCH($L$1,[3]enemies!$1:$1,0)+1),MATCH(N$1,[3]enemies!$1:$1,0)-MATCH($L$1,[3]enemies!$1:$1,0)+1,FALSE)</f>
        <v>blue</v>
      </c>
      <c r="O184" s="17" t="str">
        <f ca="1">VLOOKUP($L184,OFFSET([4]characters!$A$1,0,0,COUNTA([4]characters!$A:$A),MATCH(O$1,[4]characters!$1:$1,0)-MATCH($L$1,[4]characters!$1:$1,0)+1),MATCH(O$1,[4]characters!$1:$1,0)-MATCH($L$1,[4]characters!$1:$1,0)+1,FALSE)</f>
        <v>Drop1S</v>
      </c>
      <c r="P184" s="17" t="str">
        <f ca="1">VLOOKUP($L184,OFFSET([3]enemies!$A$1,0,0,COUNTA([3]enemies!$A:$A),MATCH(P$1,[3]enemies!$1:$1,0)-MATCH($L$1,[3]enemies!$1:$1,0)+1),MATCH(P$1,[3]enemies!$1:$1,0)-MATCH($L$1,[3]enemies!$1:$1,0)+1,FALSE)</f>
        <v>animal</v>
      </c>
      <c r="Q184" s="17">
        <f ca="1">VLOOKUP($L184,OFFSET([3]enemies!$A$1,0,0,COUNTA([3]enemies!$A:$A),MATCH(Q$1,[3]enemies!$1:$1,0)-MATCH($L$1,[3]enemies!$1:$1,0)+1),MATCH(Q$1,[3]enemies!$1:$1,0)-MATCH($L$1,[3]enemies!$1:$1,0)+1,FALSE)</f>
        <v>15</v>
      </c>
      <c r="R184" s="5">
        <v>52</v>
      </c>
      <c r="S184" s="25">
        <v>1.7</v>
      </c>
      <c r="T184" s="25">
        <v>0.7</v>
      </c>
      <c r="U184" s="5">
        <v>0</v>
      </c>
      <c r="V184" s="4" t="str">
        <f ca="1">VLOOKUP($W184,OFFSET([5]enemy_skill_sets!$B$1,0,0,COUNTA([5]enemy_skill_sets!$B:$B),MATCH(M$1,[5]enemy_skill_sets!$1:$1,0)-MATCH($W$1,[5]enemy_skill_sets!$1:$1,0)+2),MATCH(M$1,[5]enemy_skill_sets!$1:$1,0)-MATCH($W$1,[5]enemy_skill_sets!$1:$1,0)+2,FALSE)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184" s="4">
        <v>364</v>
      </c>
      <c r="X184" s="6">
        <v>2</v>
      </c>
      <c r="Y184" s="6">
        <v>100</v>
      </c>
      <c r="Z184" s="6">
        <v>0</v>
      </c>
      <c r="AA184" s="17">
        <v>2</v>
      </c>
      <c r="AB184" s="24">
        <f t="shared" si="28"/>
        <v>364</v>
      </c>
      <c r="AC184" s="4" t="str">
        <f ca="1">VLOOKUP($AB184,OFFSET([4]characters!$A$1,0,0,COUNTA([4]characters!$A:$A),MATCH(AC$1,[4]characters!$1:$1,0)-MATCH("character_id",[4]characters!$1:$1,0)+1),MATCH(AC$1,[4]characters!$1:$1,0)-MATCH("character_id",[4]characters!$1:$1,0)+1,FALSE)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84" s="4">
        <f ca="1">VLOOKUP($AB184,OFFSET([4]characters!$A$1,0,0,COUNTA([4]characters!$A:$A),MATCH(AD$1,[4]characters!$1:$1,0)-MATCH("character_id",[4]characters!$1:$1,0)+1),MATCH(AD$1,[4]characters!$1:$1,0)-MATCH("character_id",[4]characters!$1:$1,0)+1,FALSE)</f>
        <v>2</v>
      </c>
      <c r="AE184" s="4" t="str">
        <f ca="1">VLOOKUP($AB184,OFFSET([4]characters!$A$1,0,0,COUNTA([4]characters!$A:$A),MATCH(AE$1,[4]characters!$1:$1,0)-MATCH("character_id",[4]characters!$1:$1,0)+1),MATCH(AE$1,[4]characters!$1:$1,0)-MATCH("character_id",[4]characters!$1:$1,0)+1,FALSE)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4" s="7">
        <v>1</v>
      </c>
      <c r="AG184" s="24">
        <f t="shared" ca="1" si="29"/>
        <v>2</v>
      </c>
      <c r="AH184" s="8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1</v>
      </c>
      <c r="AN184" s="69">
        <v>1</v>
      </c>
    </row>
    <row r="185" spans="1:40" ht="21" customHeight="1" x14ac:dyDescent="0.15">
      <c r="A185" s="16" t="str">
        <f t="shared" si="25"/>
        <v>11103_10-4/374&lt;lv52&gt;s1</v>
      </c>
      <c r="B185" s="22">
        <v>11103</v>
      </c>
      <c r="C185" s="21">
        <v>10</v>
      </c>
      <c r="D185" s="2" t="str">
        <f t="shared" si="26"/>
        <v>11103_10</v>
      </c>
      <c r="E185" s="4" t="str">
        <f ca="1">VLOOKUP($B185,OFFSET([2]quests!$A$1,0,0,COUNTA([2]quests!$A:$A),MATCH(E$1,[2]quests!$1:$1,0)-MATCH($B$1,[2]quests!$1:$1,0)+1),MATCH(E$1,[2]quests!$1:$1,0)-MATCH($B$1,[2]quests!$1:$1,0)+1,FALSE)</f>
        <v>【期間限定】 青の素材</v>
      </c>
      <c r="F185" s="4" t="str">
        <f ca="1">VLOOKUP($D185,OFFSET([2]stages!$A$1,0,0,COUNTA([2]stages!$A:$A),MATCH(F$1,[2]stages!$2:$2,0)-MATCH($D$1,[2]stages!$2:$2,0)+1),MATCH(F$1,[2]stages!$2:$2,0)-MATCH($D$1,[2]stages!$2:$2,0)+1,FALSE)</f>
        <v>【超絶級】深淵の代用ウミガメ</v>
      </c>
      <c r="G185" s="21">
        <v>4</v>
      </c>
      <c r="H185" s="15" t="str">
        <f t="shared" si="27"/>
        <v>11103_10-4</v>
      </c>
      <c r="I185" s="4">
        <f ca="1">VLOOKUP($H185,OFFSET(floors!$A$1,0,0,COUNTA(floors!$A:$A),MATCH(I$1,floors!$1:$1,0)-MATCH($H$1,floors!$1:$1,0)+1),MATCH(I$1,floors!$1:$1,0)-MATCH($H$1,floors!$1:$1,0)+1,FALSE)</f>
        <v>45</v>
      </c>
      <c r="J185" s="4">
        <f ca="1">VLOOKUP($H185,OFFSET(floors!$A$1,0,0,COUNTA(floors!$A:$A),MATCH(J$1,floors!$1:$1,0)-MATCH($H$1,floors!$1:$1,0)+1),MATCH(J$1,floors!$1:$1,0)-MATCH($H$1,floors!$1:$1,0)+1,FALSE)</f>
        <v>60</v>
      </c>
      <c r="K185" s="100" t="s">
        <v>209</v>
      </c>
      <c r="L185" s="108">
        <v>374</v>
      </c>
      <c r="M185" s="17" t="str">
        <f ca="1">VLOOKUP($L185,OFFSET([3]enemies!$A$1,0,0,COUNTA([3]enemies!$A:$A),MATCH(M$1,[3]enemies!$1:$1,0)-MATCH($L$1,[3]enemies!$1:$1,0)+1),MATCH(M$1,[3]enemies!$1:$1,0)-MATCH($L$1,[3]enemies!$1:$1,0)+1,FALSE)</f>
        <v>影丸</v>
      </c>
      <c r="N185" s="17" t="str">
        <f ca="1">VLOOKUP($L185,OFFSET([3]enemies!$A$1,0,0,COUNTA([3]enemies!$A:$A),MATCH(N$1,[3]enemies!$1:$1,0)-MATCH($L$1,[3]enemies!$1:$1,0)+1),MATCH(N$1,[3]enemies!$1:$1,0)-MATCH($L$1,[3]enemies!$1:$1,0)+1,FALSE)</f>
        <v>blue</v>
      </c>
      <c r="O185" s="17" t="str">
        <f ca="1">VLOOKUP($L185,OFFSET([4]characters!$A$1,0,0,COUNTA([4]characters!$A:$A),MATCH(O$1,[4]characters!$1:$1,0)-MATCH($L$1,[4]characters!$1:$1,0)+1),MATCH(O$1,[4]characters!$1:$1,0)-MATCH($L$1,[4]characters!$1:$1,0)+1,FALSE)</f>
        <v>Drop1S</v>
      </c>
      <c r="P185" s="17" t="str">
        <f ca="1">VLOOKUP($L185,OFFSET([3]enemies!$A$1,0,0,COUNTA([3]enemies!$A:$A),MATCH(P$1,[3]enemies!$1:$1,0)-MATCH($L$1,[3]enemies!$1:$1,0)+1),MATCH(P$1,[3]enemies!$1:$1,0)-MATCH($L$1,[3]enemies!$1:$1,0)+1,FALSE)</f>
        <v>animal</v>
      </c>
      <c r="Q185" s="17">
        <f ca="1">VLOOKUP($L185,OFFSET([3]enemies!$A$1,0,0,COUNTA([3]enemies!$A:$A),MATCH(Q$1,[3]enemies!$1:$1,0)-MATCH($L$1,[3]enemies!$1:$1,0)+1),MATCH(Q$1,[3]enemies!$1:$1,0)-MATCH($L$1,[3]enemies!$1:$1,0)+1,FALSE)</f>
        <v>15</v>
      </c>
      <c r="R185" s="5">
        <v>52</v>
      </c>
      <c r="S185" s="25">
        <v>1.9</v>
      </c>
      <c r="T185" s="25">
        <v>1.9</v>
      </c>
      <c r="U185" s="5">
        <v>0</v>
      </c>
      <c r="V185" s="4" t="str">
        <f ca="1">VLOOKUP($W185,OFFSET(enemy_skill_sets!$B$1,0,0,COUNTA(enemy_skill_sets!$B:$B),MATCH(M$1,enemy_skill_sets!$1:$1,0)-MATCH($W$1,enemy_skill_sets!$1:$1,0)+2),MATCH(M$1,enemy_skill_sets!$1:$1,0)-MATCH($W$1,enemy_skill_sets!$1:$1,0)+2,FALSE)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185" s="109">
        <v>1122208</v>
      </c>
      <c r="X185" s="6">
        <v>1</v>
      </c>
      <c r="Y185" s="6">
        <v>100</v>
      </c>
      <c r="Z185" s="6">
        <v>0</v>
      </c>
      <c r="AA185" s="17">
        <v>1</v>
      </c>
      <c r="AB185" s="24">
        <f t="shared" si="28"/>
        <v>374</v>
      </c>
      <c r="AC185" s="4" t="str">
        <f ca="1">VLOOKUP($AB185,OFFSET([4]characters!$A$1,0,0,COUNTA([4]characters!$A:$A),MATCH(AC$1,[4]characters!$1:$1,0)-MATCH("character_id",[4]characters!$1:$1,0)+1),MATCH(AC$1,[4]characters!$1:$1,0)-MATCH("character_id",[4]characters!$1:$1,0)+1,FALSE)</f>
        <v>影丸</v>
      </c>
      <c r="AD185" s="4">
        <f ca="1">VLOOKUP($AB185,OFFSET([4]characters!$A$1,0,0,COUNTA([4]characters!$A:$A),MATCH(AD$1,[4]characters!$1:$1,0)-MATCH("character_id",[4]characters!$1:$1,0)+1),MATCH(AD$1,[4]characters!$1:$1,0)-MATCH("character_id",[4]characters!$1:$1,0)+1,FALSE)</f>
        <v>2</v>
      </c>
      <c r="AE185" s="4" t="str">
        <f ca="1">VLOOKUP($AB185,OFFSET([4]characters!$A$1,0,0,COUNTA([4]characters!$A:$A),MATCH(AE$1,[4]characters!$1:$1,0)-MATCH("character_id",[4]characters!$1:$1,0)+1),MATCH(AE$1,[4]characters!$1:$1,0)-MATCH("character_id",[4]characters!$1:$1,0)+1,FALSE)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5" s="7">
        <v>1</v>
      </c>
      <c r="AG185" s="24">
        <f t="shared" ca="1" si="29"/>
        <v>2</v>
      </c>
      <c r="AH185" s="8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1</v>
      </c>
      <c r="AN185" s="69">
        <v>1</v>
      </c>
    </row>
    <row r="186" spans="1:40" ht="21" customHeight="1" x14ac:dyDescent="0.15">
      <c r="A186" s="16" t="str">
        <f t="shared" si="25"/>
        <v>11103_10-5/364&lt;lv52&gt;s2</v>
      </c>
      <c r="B186" s="22">
        <v>11103</v>
      </c>
      <c r="C186" s="21">
        <v>10</v>
      </c>
      <c r="D186" s="2" t="str">
        <f t="shared" si="26"/>
        <v>11103_10</v>
      </c>
      <c r="E186" s="4" t="str">
        <f ca="1">VLOOKUP($B186,OFFSET([2]quests!$A$1,0,0,COUNTA([2]quests!$A:$A),MATCH(E$1,[2]quests!$1:$1,0)-MATCH($B$1,[2]quests!$1:$1,0)+1),MATCH(E$1,[2]quests!$1:$1,0)-MATCH($B$1,[2]quests!$1:$1,0)+1,FALSE)</f>
        <v>【期間限定】 青の素材</v>
      </c>
      <c r="F186" s="4" t="str">
        <f ca="1">VLOOKUP($D186,OFFSET([2]stages!$A$1,0,0,COUNTA([2]stages!$A:$A),MATCH(F$1,[2]stages!$2:$2,0)-MATCH($D$1,[2]stages!$2:$2,0)+1),MATCH(F$1,[2]stages!$2:$2,0)-MATCH($D$1,[2]stages!$2:$2,0)+1,FALSE)</f>
        <v>【超絶級】深淵の代用ウミガメ</v>
      </c>
      <c r="G186" s="21">
        <v>5</v>
      </c>
      <c r="H186" s="15" t="str">
        <f t="shared" si="27"/>
        <v>11103_10-5</v>
      </c>
      <c r="I186" s="4">
        <f ca="1">VLOOKUP($H186,OFFSET(floors!$A$1,0,0,COUNTA(floors!$A:$A),MATCH(I$1,floors!$1:$1,0)-MATCH($H$1,floors!$1:$1,0)+1),MATCH(I$1,floors!$1:$1,0)-MATCH($H$1,floors!$1:$1,0)+1,FALSE)</f>
        <v>60</v>
      </c>
      <c r="J186" s="4">
        <f ca="1">VLOOKUP($H186,OFFSET(floors!$A$1,0,0,COUNTA(floors!$A:$A),MATCH(J$1,floors!$1:$1,0)-MATCH($H$1,floors!$1:$1,0)+1),MATCH(J$1,floors!$1:$1,0)-MATCH($H$1,floors!$1:$1,0)+1,FALSE)</f>
        <v>60</v>
      </c>
      <c r="K186" s="100" t="s">
        <v>209</v>
      </c>
      <c r="L186" s="108">
        <v>364</v>
      </c>
      <c r="M186" s="17" t="str">
        <f ca="1">VLOOKUP($L186,OFFSET([3]enemies!$A$1,0,0,COUNTA([3]enemies!$A:$A),MATCH(M$1,[3]enemies!$1:$1,0)-MATCH($L$1,[3]enemies!$1:$1,0)+1),MATCH(M$1,[3]enemies!$1:$1,0)-MATCH($L$1,[3]enemies!$1:$1,0)+1,FALSE)</f>
        <v>ノエル</v>
      </c>
      <c r="N186" s="17" t="str">
        <f ca="1">VLOOKUP($L186,OFFSET([3]enemies!$A$1,0,0,COUNTA([3]enemies!$A:$A),MATCH(N$1,[3]enemies!$1:$1,0)-MATCH($L$1,[3]enemies!$1:$1,0)+1),MATCH(N$1,[3]enemies!$1:$1,0)-MATCH($L$1,[3]enemies!$1:$1,0)+1,FALSE)</f>
        <v>blue</v>
      </c>
      <c r="O186" s="17" t="str">
        <f ca="1">VLOOKUP($L186,OFFSET([4]characters!$A$1,0,0,COUNTA([4]characters!$A:$A),MATCH(O$1,[4]characters!$1:$1,0)-MATCH($L$1,[4]characters!$1:$1,0)+1),MATCH(O$1,[4]characters!$1:$1,0)-MATCH($L$1,[4]characters!$1:$1,0)+1,FALSE)</f>
        <v>Drop1S</v>
      </c>
      <c r="P186" s="17" t="str">
        <f ca="1">VLOOKUP($L186,OFFSET([3]enemies!$A$1,0,0,COUNTA([3]enemies!$A:$A),MATCH(P$1,[3]enemies!$1:$1,0)-MATCH($L$1,[3]enemies!$1:$1,0)+1),MATCH(P$1,[3]enemies!$1:$1,0)-MATCH($L$1,[3]enemies!$1:$1,0)+1,FALSE)</f>
        <v>animal</v>
      </c>
      <c r="Q186" s="17">
        <f ca="1">VLOOKUP($L186,OFFSET([3]enemies!$A$1,0,0,COUNTA([3]enemies!$A:$A),MATCH(Q$1,[3]enemies!$1:$1,0)-MATCH($L$1,[3]enemies!$1:$1,0)+1),MATCH(Q$1,[3]enemies!$1:$1,0)-MATCH($L$1,[3]enemies!$1:$1,0)+1,FALSE)</f>
        <v>15</v>
      </c>
      <c r="R186" s="5">
        <v>52</v>
      </c>
      <c r="S186" s="25">
        <v>1.7</v>
      </c>
      <c r="T186" s="25">
        <v>0.7</v>
      </c>
      <c r="U186" s="5">
        <v>0</v>
      </c>
      <c r="V186" s="4" t="str">
        <f ca="1">VLOOKUP($W186,OFFSET([5]enemy_skill_sets!$B$1,0,0,COUNTA([5]enemy_skill_sets!$B:$B),MATCH(M$1,[5]enemy_skill_sets!$1:$1,0)-MATCH($W$1,[5]enemy_skill_sets!$1:$1,0)+2),MATCH(M$1,[5]enemy_skill_sets!$1:$1,0)-MATCH($W$1,[5]enemy_skill_sets!$1:$1,0)+2,FALSE)</f>
        <v>3ターンタップ回数を1減少＋攻撃</v>
      </c>
      <c r="W186" s="4">
        <v>364</v>
      </c>
      <c r="X186" s="6">
        <v>2</v>
      </c>
      <c r="Y186" s="6">
        <v>100</v>
      </c>
      <c r="Z186" s="6">
        <v>0</v>
      </c>
      <c r="AA186" s="17">
        <v>2</v>
      </c>
      <c r="AB186" s="24">
        <f t="shared" si="28"/>
        <v>364</v>
      </c>
      <c r="AC186" s="4" t="str">
        <f ca="1">VLOOKUP($AB186,OFFSET([4]characters!$A$1,0,0,COUNTA([4]characters!$A:$A),MATCH(AC$1,[4]characters!$1:$1,0)-MATCH("character_id",[4]characters!$1:$1,0)+1),MATCH(AC$1,[4]characters!$1:$1,0)-MATCH("character_id",[4]characters!$1:$1,0)+1,FALSE)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86" s="4">
        <f ca="1">VLOOKUP($AB186,OFFSET([4]characters!$A$1,0,0,COUNTA([4]characters!$A:$A),MATCH(AD$1,[4]characters!$1:$1,0)-MATCH("character_id",[4]characters!$1:$1,0)+1),MATCH(AD$1,[4]characters!$1:$1,0)-MATCH("character_id",[4]characters!$1:$1,0)+1,FALSE)</f>
        <v>2</v>
      </c>
      <c r="AE186" s="4" t="str">
        <f ca="1">VLOOKUP($AB186,OFFSET([4]characters!$A$1,0,0,COUNTA([4]characters!$A:$A),MATCH(AE$1,[4]characters!$1:$1,0)-MATCH("character_id",[4]characters!$1:$1,0)+1),MATCH(AE$1,[4]characters!$1:$1,0)-MATCH("character_id",[4]characters!$1:$1,0)+1,FALSE)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6" s="7">
        <v>1</v>
      </c>
      <c r="AG186" s="24">
        <f t="shared" ca="1" si="29"/>
        <v>2</v>
      </c>
      <c r="AH186" s="8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1</v>
      </c>
      <c r="AN186" s="69">
        <v>1</v>
      </c>
    </row>
    <row r="187" spans="1:40" ht="21" customHeight="1" x14ac:dyDescent="0.15">
      <c r="A187" s="16" t="str">
        <f t="shared" si="25"/>
        <v>11103_10-5/374&lt;lv52&gt;s1</v>
      </c>
      <c r="B187" s="22">
        <v>11103</v>
      </c>
      <c r="C187" s="21">
        <v>10</v>
      </c>
      <c r="D187" s="2" t="str">
        <f t="shared" si="26"/>
        <v>11103_10</v>
      </c>
      <c r="E187" s="4" t="str">
        <f ca="1">VLOOKUP($B187,OFFSET([2]quests!$A$1,0,0,COUNTA([2]quests!$A:$A),MATCH(E$1,[2]quests!$1:$1,0)-MATCH($B$1,[2]quests!$1:$1,0)+1),MATCH(E$1,[2]quests!$1:$1,0)-MATCH($B$1,[2]quests!$1:$1,0)+1,FALSE)</f>
        <v>【期間限定】 青の素材</v>
      </c>
      <c r="F187" s="4" t="str">
        <f ca="1">VLOOKUP($D187,OFFSET([2]stages!$A$1,0,0,COUNTA([2]stages!$A:$A),MATCH(F$1,[2]stages!$2:$2,0)-MATCH($D$1,[2]stages!$2:$2,0)+1),MATCH(F$1,[2]stages!$2:$2,0)-MATCH($D$1,[2]stages!$2:$2,0)+1,FALSE)</f>
        <v>【超絶級】深淵の代用ウミガメ</v>
      </c>
      <c r="G187" s="21">
        <v>5</v>
      </c>
      <c r="H187" s="15" t="str">
        <f t="shared" si="27"/>
        <v>11103_10-5</v>
      </c>
      <c r="I187" s="4">
        <f ca="1">VLOOKUP($H187,OFFSET(floors!$A$1,0,0,COUNTA(floors!$A:$A),MATCH(I$1,floors!$1:$1,0)-MATCH($H$1,floors!$1:$1,0)+1),MATCH(I$1,floors!$1:$1,0)-MATCH($H$1,floors!$1:$1,0)+1,FALSE)</f>
        <v>60</v>
      </c>
      <c r="J187" s="4">
        <f ca="1">VLOOKUP($H187,OFFSET(floors!$A$1,0,0,COUNTA(floors!$A:$A),MATCH(J$1,floors!$1:$1,0)-MATCH($H$1,floors!$1:$1,0)+1),MATCH(J$1,floors!$1:$1,0)-MATCH($H$1,floors!$1:$1,0)+1,FALSE)</f>
        <v>60</v>
      </c>
      <c r="K187" s="100" t="s">
        <v>209</v>
      </c>
      <c r="L187" s="108">
        <v>374</v>
      </c>
      <c r="M187" s="17" t="str">
        <f ca="1">VLOOKUP($L187,OFFSET([3]enemies!$A$1,0,0,COUNTA([3]enemies!$A:$A),MATCH(M$1,[3]enemies!$1:$1,0)-MATCH($L$1,[3]enemies!$1:$1,0)+1),MATCH(M$1,[3]enemies!$1:$1,0)-MATCH($L$1,[3]enemies!$1:$1,0)+1,FALSE)</f>
        <v>影丸</v>
      </c>
      <c r="N187" s="17" t="str">
        <f ca="1">VLOOKUP($L187,OFFSET([3]enemies!$A$1,0,0,COUNTA([3]enemies!$A:$A),MATCH(N$1,[3]enemies!$1:$1,0)-MATCH($L$1,[3]enemies!$1:$1,0)+1),MATCH(N$1,[3]enemies!$1:$1,0)-MATCH($L$1,[3]enemies!$1:$1,0)+1,FALSE)</f>
        <v>blue</v>
      </c>
      <c r="O187" s="17" t="str">
        <f ca="1">VLOOKUP($L187,OFFSET([4]characters!$A$1,0,0,COUNTA([4]characters!$A:$A),MATCH(O$1,[4]characters!$1:$1,0)-MATCH($L$1,[4]characters!$1:$1,0)+1),MATCH(O$1,[4]characters!$1:$1,0)-MATCH($L$1,[4]characters!$1:$1,0)+1,FALSE)</f>
        <v>Drop1S</v>
      </c>
      <c r="P187" s="17" t="str">
        <f ca="1">VLOOKUP($L187,OFFSET([3]enemies!$A$1,0,0,COUNTA([3]enemies!$A:$A),MATCH(P$1,[3]enemies!$1:$1,0)-MATCH($L$1,[3]enemies!$1:$1,0)+1),MATCH(P$1,[3]enemies!$1:$1,0)-MATCH($L$1,[3]enemies!$1:$1,0)+1,FALSE)</f>
        <v>animal</v>
      </c>
      <c r="Q187" s="17">
        <f ca="1">VLOOKUP($L187,OFFSET([3]enemies!$A$1,0,0,COUNTA([3]enemies!$A:$A),MATCH(Q$1,[3]enemies!$1:$1,0)-MATCH($L$1,[3]enemies!$1:$1,0)+1),MATCH(Q$1,[3]enemies!$1:$1,0)-MATCH($L$1,[3]enemies!$1:$1,0)+1,FALSE)</f>
        <v>15</v>
      </c>
      <c r="R187" s="5">
        <v>52</v>
      </c>
      <c r="S187" s="25">
        <v>1.9</v>
      </c>
      <c r="T187" s="25">
        <v>1.9</v>
      </c>
      <c r="U187" s="5">
        <v>0</v>
      </c>
      <c r="V187" s="4" t="str">
        <f ca="1">VLOOKUP($W187,OFFSET(enemy_skill_sets!$B$1,0,0,COUNTA(enemy_skill_sets!$B:$B),MATCH(M$1,enemy_skill_sets!$1:$1,0)-MATCH($W$1,enemy_skill_sets!$1:$1,0)+2),MATCH(M$1,enemy_skill_sets!$1:$1,0)-MATCH($W$1,enemy_skill_sets!$1:$1,0)+2,FALSE)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187" s="109">
        <v>1122208</v>
      </c>
      <c r="X187" s="6">
        <v>1</v>
      </c>
      <c r="Y187" s="6">
        <v>100</v>
      </c>
      <c r="Z187" s="6">
        <v>0</v>
      </c>
      <c r="AA187" s="17">
        <v>1</v>
      </c>
      <c r="AB187" s="24">
        <f t="shared" si="28"/>
        <v>374</v>
      </c>
      <c r="AC187" s="4" t="str">
        <f ca="1">VLOOKUP($AB187,OFFSET([4]characters!$A$1,0,0,COUNTA([4]characters!$A:$A),MATCH(AC$1,[4]characters!$1:$1,0)-MATCH("character_id",[4]characters!$1:$1,0)+1),MATCH(AC$1,[4]characters!$1:$1,0)-MATCH("character_id",[4]characters!$1:$1,0)+1,FALSE)</f>
        <v>影丸</v>
      </c>
      <c r="AD187" s="4">
        <f ca="1">VLOOKUP($AB187,OFFSET([4]characters!$A$1,0,0,COUNTA([4]characters!$A:$A),MATCH(AD$1,[4]characters!$1:$1,0)-MATCH("character_id",[4]characters!$1:$1,0)+1),MATCH(AD$1,[4]characters!$1:$1,0)-MATCH("character_id",[4]characters!$1:$1,0)+1,FALSE)</f>
        <v>2</v>
      </c>
      <c r="AE187" s="4" t="str">
        <f ca="1">VLOOKUP($AB187,OFFSET([4]characters!$A$1,0,0,COUNTA([4]characters!$A:$A),MATCH(AE$1,[4]characters!$1:$1,0)-MATCH("character_id",[4]characters!$1:$1,0)+1),MATCH(AE$1,[4]characters!$1:$1,0)-MATCH("character_id",[4]characters!$1:$1,0)+1,FALSE)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7" s="7">
        <v>1</v>
      </c>
      <c r="AG187" s="24">
        <f t="shared" ca="1" si="29"/>
        <v>2</v>
      </c>
      <c r="AH187" s="8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1</v>
      </c>
      <c r="AN187" s="69">
        <v>1</v>
      </c>
    </row>
    <row r="188" spans="1:40" ht="21" customHeight="1" x14ac:dyDescent="0.15">
      <c r="A188" s="16" t="str">
        <f t="shared" si="25"/>
        <v>11103_10-6/358&lt;lv50&gt;s3</v>
      </c>
      <c r="B188" s="22">
        <v>11103</v>
      </c>
      <c r="C188" s="21">
        <v>10</v>
      </c>
      <c r="D188" s="2" t="str">
        <f t="shared" si="26"/>
        <v>11103_10</v>
      </c>
      <c r="E188" s="4" t="str">
        <f ca="1">VLOOKUP($B188,OFFSET([2]quests!$A$1,0,0,COUNTA([2]quests!$A:$A),MATCH(E$1,[2]quests!$1:$1,0)-MATCH($B$1,[2]quests!$1:$1,0)+1),MATCH(E$1,[2]quests!$1:$1,0)-MATCH($B$1,[2]quests!$1:$1,0)+1,FALSE)</f>
        <v>【期間限定】 青の素材</v>
      </c>
      <c r="F188" s="4" t="str">
        <f ca="1">VLOOKUP($D188,OFFSET([2]stages!$A$1,0,0,COUNTA([2]stages!$A:$A),MATCH(F$1,[2]stages!$2:$2,0)-MATCH($D$1,[2]stages!$2:$2,0)+1),MATCH(F$1,[2]stages!$2:$2,0)-MATCH($D$1,[2]stages!$2:$2,0)+1,FALSE)</f>
        <v>【超絶級】深淵の代用ウミガメ</v>
      </c>
      <c r="G188" s="21">
        <v>6</v>
      </c>
      <c r="H188" s="15" t="str">
        <f t="shared" si="27"/>
        <v>11103_10-6</v>
      </c>
      <c r="I188" s="4">
        <f ca="1">VLOOKUP($H188,OFFSET(floors!$A$1,0,0,COUNTA(floors!$A:$A),MATCH(I$1,floors!$1:$1,0)-MATCH($H$1,floors!$1:$1,0)+1),MATCH(I$1,floors!$1:$1,0)-MATCH($H$1,floors!$1:$1,0)+1,FALSE)</f>
        <v>60</v>
      </c>
      <c r="J188" s="4">
        <f ca="1">VLOOKUP($H188,OFFSET(floors!$A$1,0,0,COUNTA(floors!$A:$A),MATCH(J$1,floors!$1:$1,0)-MATCH($H$1,floors!$1:$1,0)+1),MATCH(J$1,floors!$1:$1,0)-MATCH($H$1,floors!$1:$1,0)+1,FALSE)</f>
        <v>60</v>
      </c>
      <c r="K188" s="100" t="s">
        <v>209</v>
      </c>
      <c r="L188" s="108">
        <v>358</v>
      </c>
      <c r="M188" s="17" t="str">
        <f ca="1">VLOOKUP($L188,OFFSET([3]enemies!$A$1,0,0,COUNTA([3]enemies!$A:$A),MATCH(M$1,[3]enemies!$1:$1,0)-MATCH($L$1,[3]enemies!$1:$1,0)+1),MATCH(M$1,[3]enemies!$1:$1,0)-MATCH($L$1,[3]enemies!$1:$1,0)+1,FALSE)</f>
        <v>深淵の代用ウミガメ</v>
      </c>
      <c r="N188" s="17" t="str">
        <f ca="1">VLOOKUP($L188,OFFSET([3]enemies!$A$1,0,0,COUNTA([3]enemies!$A:$A),MATCH(N$1,[3]enemies!$1:$1,0)-MATCH($L$1,[3]enemies!$1:$1,0)+1),MATCH(N$1,[3]enemies!$1:$1,0)-MATCH($L$1,[3]enemies!$1:$1,0)+1,FALSE)</f>
        <v>blue</v>
      </c>
      <c r="O188" s="17" t="str">
        <f ca="1">VLOOKUP($L188,OFFSET([4]characters!$A$1,0,0,COUNTA([4]characters!$A:$A),MATCH(O$1,[4]characters!$1:$1,0)-MATCH($L$1,[4]characters!$1:$1,0)+1),MATCH(O$1,[4]characters!$1:$1,0)-MATCH($L$1,[4]characters!$1:$1,0)+1,FALSE)</f>
        <v>Material</v>
      </c>
      <c r="P188" s="17" t="str">
        <f ca="1">VLOOKUP($L188,OFFSET([3]enemies!$A$1,0,0,COUNTA([3]enemies!$A:$A),MATCH(P$1,[3]enemies!$1:$1,0)-MATCH($L$1,[3]enemies!$1:$1,0)+1),MATCH(P$1,[3]enemies!$1:$1,0)-MATCH($L$1,[3]enemies!$1:$1,0)+1,FALSE)</f>
        <v>unknown</v>
      </c>
      <c r="Q188" s="17">
        <f ca="1">VLOOKUP($L188,OFFSET([3]enemies!$A$1,0,0,COUNTA([3]enemies!$A:$A),MATCH(Q$1,[3]enemies!$1:$1,0)-MATCH($L$1,[3]enemies!$1:$1,0)+1),MATCH(Q$1,[3]enemies!$1:$1,0)-MATCH($L$1,[3]enemies!$1:$1,0)+1,FALSE)</f>
        <v>20</v>
      </c>
      <c r="R188" s="5">
        <v>50</v>
      </c>
      <c r="S188" s="25">
        <v>99</v>
      </c>
      <c r="T188" s="25">
        <v>46</v>
      </c>
      <c r="U188" s="5">
        <v>0</v>
      </c>
      <c r="V188" s="4" t="str">
        <f ca="1">VLOOKUP($W188,OFFSET(enemy_skill_sets!$B$1,0,0,COUNTA(enemy_skill_sets!$B:$B),MATCH(M$1,enemy_skill_sets!$1:$1,0)-MATCH($W$1,enemy_skill_sets!$1:$1,0)+2),MATCH(M$1,enemy_skill_sets!$1:$1,0)-MATCH($W$1,enemy_skill_sets!$1:$1,0)+2,FALSE)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88" s="111">
        <v>1122212</v>
      </c>
      <c r="X188" s="6">
        <v>1</v>
      </c>
      <c r="Y188" s="6">
        <v>100</v>
      </c>
      <c r="Z188" s="6">
        <v>1</v>
      </c>
      <c r="AA188" s="17">
        <v>3</v>
      </c>
      <c r="AB188" s="24">
        <f t="shared" si="28"/>
        <v>358</v>
      </c>
      <c r="AC188" s="4" t="str">
        <f ca="1">VLOOKUP($AB188,OFFSET([4]characters!$A$1,0,0,COUNTA([4]characters!$A:$A),MATCH(AC$1,[4]characters!$1:$1,0)-MATCH("character_id",[4]characters!$1:$1,0)+1),MATCH(AC$1,[4]characters!$1:$1,0)-MATCH("character_id",[4]characters!$1:$1,0)+1,FALSE)</f>
        <v>深淵の代用ウミガメ</v>
      </c>
      <c r="AD188" s="4">
        <f ca="1">VLOOKUP($AB188,OFFSET([4]characters!$A$1,0,0,COUNTA([4]characters!$A:$A),MATCH(AD$1,[4]characters!$1:$1,0)-MATCH("character_id",[4]characters!$1:$1,0)+1),MATCH(AD$1,[4]characters!$1:$1,0)-MATCH("character_id",[4]characters!$1:$1,0)+1,FALSE)</f>
        <v>5</v>
      </c>
      <c r="AE188" s="4" t="str">
        <f ca="1">VLOOKUP($AB188,OFFSET([4]characters!$A$1,0,0,COUNTA([4]characters!$A:$A),MATCH(AE$1,[4]characters!$1:$1,0)-MATCH("character_id",[4]characters!$1:$1,0)+1),MATCH(AE$1,[4]characters!$1:$1,0)-MATCH("character_id",[4]characters!$1:$1,0)+1,FALSE)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8" s="7">
        <v>1</v>
      </c>
      <c r="AG188" s="24">
        <f t="shared" ca="1" si="29"/>
        <v>5</v>
      </c>
      <c r="AH188" s="8">
        <v>100</v>
      </c>
      <c r="AI188" s="7">
        <v>0</v>
      </c>
      <c r="AJ188" s="7">
        <v>0</v>
      </c>
      <c r="AK188" s="7">
        <v>0</v>
      </c>
      <c r="AL188" s="7">
        <v>0</v>
      </c>
      <c r="AM188" s="7">
        <v>1</v>
      </c>
      <c r="AN188" s="69">
        <v>1</v>
      </c>
    </row>
    <row r="189" spans="1:40" ht="21" customHeight="1" x14ac:dyDescent="0.15">
      <c r="A189" s="16" t="str">
        <f t="shared" si="25"/>
        <v>11103_10-6/375&lt;lv52&gt;s2</v>
      </c>
      <c r="B189" s="22">
        <v>11103</v>
      </c>
      <c r="C189" s="21">
        <v>10</v>
      </c>
      <c r="D189" s="2" t="str">
        <f t="shared" si="26"/>
        <v>11103_10</v>
      </c>
      <c r="E189" s="4" t="str">
        <f ca="1">VLOOKUP($B189,OFFSET([2]quests!$A$1,0,0,COUNTA([2]quests!$A:$A),MATCH(E$1,[2]quests!$1:$1,0)-MATCH($B$1,[2]quests!$1:$1,0)+1),MATCH(E$1,[2]quests!$1:$1,0)-MATCH($B$1,[2]quests!$1:$1,0)+1,FALSE)</f>
        <v>【期間限定】 青の素材</v>
      </c>
      <c r="F189" s="4" t="str">
        <f ca="1">VLOOKUP($D189,OFFSET([2]stages!$A$1,0,0,COUNTA([2]stages!$A:$A),MATCH(F$1,[2]stages!$2:$2,0)-MATCH($D$1,[2]stages!$2:$2,0)+1),MATCH(F$1,[2]stages!$2:$2,0)-MATCH($D$1,[2]stages!$2:$2,0)+1,FALSE)</f>
        <v>【超絶級】深淵の代用ウミガメ</v>
      </c>
      <c r="G189" s="21">
        <v>6</v>
      </c>
      <c r="H189" s="15" t="str">
        <f t="shared" si="27"/>
        <v>11103_10-6</v>
      </c>
      <c r="I189" s="4">
        <f ca="1">VLOOKUP($H189,OFFSET(floors!$A$1,0,0,COUNTA(floors!$A:$A),MATCH(I$1,floors!$1:$1,0)-MATCH($H$1,floors!$1:$1,0)+1),MATCH(I$1,floors!$1:$1,0)-MATCH($H$1,floors!$1:$1,0)+1,FALSE)</f>
        <v>60</v>
      </c>
      <c r="J189" s="4">
        <f ca="1">VLOOKUP($H189,OFFSET(floors!$A$1,0,0,COUNTA(floors!$A:$A),MATCH(J$1,floors!$1:$1,0)-MATCH($H$1,floors!$1:$1,0)+1),MATCH(J$1,floors!$1:$1,0)-MATCH($H$1,floors!$1:$1,0)+1,FALSE)</f>
        <v>60</v>
      </c>
      <c r="K189" s="100" t="s">
        <v>209</v>
      </c>
      <c r="L189" s="108">
        <v>375</v>
      </c>
      <c r="M189" s="17" t="str">
        <f ca="1">VLOOKUP($L189,OFFSET([3]enemies!$A$1,0,0,COUNTA([3]enemies!$A:$A),MATCH(M$1,[3]enemies!$1:$1,0)-MATCH($L$1,[3]enemies!$1:$1,0)+1),MATCH(M$1,[3]enemies!$1:$1,0)-MATCH($L$1,[3]enemies!$1:$1,0)+1,FALSE)</f>
        <v>蒼術兎忍 影丸</v>
      </c>
      <c r="N189" s="17" t="str">
        <f ca="1">VLOOKUP($L189,OFFSET([3]enemies!$A$1,0,0,COUNTA([3]enemies!$A:$A),MATCH(N$1,[3]enemies!$1:$1,0)-MATCH($L$1,[3]enemies!$1:$1,0)+1),MATCH(N$1,[3]enemies!$1:$1,0)-MATCH($L$1,[3]enemies!$1:$1,0)+1,FALSE)</f>
        <v>blue</v>
      </c>
      <c r="O189" s="17" t="str">
        <f ca="1">VLOOKUP($L189,OFFSET([4]characters!$A$1,0,0,COUNTA([4]characters!$A:$A),MATCH(O$1,[4]characters!$1:$1,0)-MATCH($L$1,[4]characters!$1:$1,0)+1),MATCH(O$1,[4]characters!$1:$1,0)-MATCH($L$1,[4]characters!$1:$1,0)+1,FALSE)</f>
        <v>Drop1S</v>
      </c>
      <c r="P189" s="17" t="str">
        <f ca="1">VLOOKUP($L189,OFFSET([3]enemies!$A$1,0,0,COUNTA([3]enemies!$A:$A),MATCH(P$1,[3]enemies!$1:$1,0)-MATCH($L$1,[3]enemies!$1:$1,0)+1),MATCH(P$1,[3]enemies!$1:$1,0)-MATCH($L$1,[3]enemies!$1:$1,0)+1,FALSE)</f>
        <v>animal</v>
      </c>
      <c r="Q189" s="17">
        <f ca="1">VLOOKUP($L189,OFFSET([3]enemies!$A$1,0,0,COUNTA([3]enemies!$A:$A),MATCH(Q$1,[3]enemies!$1:$1,0)-MATCH($L$1,[3]enemies!$1:$1,0)+1),MATCH(Q$1,[3]enemies!$1:$1,0)-MATCH($L$1,[3]enemies!$1:$1,0)+1,FALSE)</f>
        <v>20</v>
      </c>
      <c r="R189" s="5">
        <v>52</v>
      </c>
      <c r="S189" s="25">
        <v>1.9</v>
      </c>
      <c r="T189" s="25">
        <v>1.9</v>
      </c>
      <c r="U189" s="5">
        <v>0</v>
      </c>
      <c r="V189" s="4" t="str">
        <f ca="1">VLOOKUP($W189,OFFSET(enemy_skill_sets!$B$1,0,0,COUNTA(enemy_skill_sets!$B:$B),MATCH(M$1,enemy_skill_sets!$1:$1,0)-MATCH($W$1,enemy_skill_sets!$1:$1,0)+2),MATCH(M$1,enemy_skill_sets!$1:$1,0)-MATCH($W$1,enemy_skill_sets!$1:$1,0)+2,FALSE)</f>
        <v>1ターン強力なウィルス状態</v>
      </c>
      <c r="W189" s="109">
        <v>1122208</v>
      </c>
      <c r="X189" s="6">
        <v>2</v>
      </c>
      <c r="Y189" s="6">
        <v>100</v>
      </c>
      <c r="Z189" s="6">
        <v>0</v>
      </c>
      <c r="AA189" s="17">
        <v>2</v>
      </c>
      <c r="AB189" s="24">
        <f t="shared" si="28"/>
        <v>375</v>
      </c>
      <c r="AC189" s="4" t="str">
        <f ca="1">VLOOKUP($AB189,OFFSET([4]characters!$A$1,0,0,COUNTA([4]characters!$A:$A),MATCH(AC$1,[4]characters!$1:$1,0)-MATCH("character_id",[4]characters!$1:$1,0)+1),MATCH(AC$1,[4]characters!$1:$1,0)-MATCH("character_id",[4]characters!$1:$1,0)+1,FALSE)</f>
        <v>蒼術兎忍 影丸</v>
      </c>
      <c r="AD189" s="4">
        <f ca="1">VLOOKUP($AB189,OFFSET([4]characters!$A$1,0,0,COUNTA([4]characters!$A:$A),MATCH(AD$1,[4]characters!$1:$1,0)-MATCH("character_id",[4]characters!$1:$1,0)+1),MATCH(AD$1,[4]characters!$1:$1,0)-MATCH("character_id",[4]characters!$1:$1,0)+1,FALSE)</f>
        <v>3</v>
      </c>
      <c r="AE189" s="4" t="str">
        <f ca="1">VLOOKUP($AB189,OFFSET([4]characters!$A$1,0,0,COUNTA([4]characters!$A:$A),MATCH(AE$1,[4]characters!$1:$1,0)-MATCH("character_id",[4]characters!$1:$1,0)+1),MATCH(AE$1,[4]characters!$1:$1,0)-MATCH("character_id",[4]characters!$1:$1,0)+1,FALSE)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9" s="7">
        <v>1</v>
      </c>
      <c r="AG189" s="24">
        <f t="shared" ca="1" si="29"/>
        <v>3</v>
      </c>
      <c r="AH189" s="8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1</v>
      </c>
      <c r="AN189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F43" sqref="F4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126</v>
      </c>
      <c r="X1" s="29" t="s">
        <v>125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11001_1-1/2&lt;lv1&gt;sq1st2</v>
      </c>
      <c r="B2" s="22">
        <v>11001</v>
      </c>
      <c r="C2" s="21">
        <v>1</v>
      </c>
      <c r="D2" s="2" t="str">
        <f>B2&amp;"_"&amp;C2</f>
        <v>11001_1</v>
      </c>
      <c r="E2" s="4" t="str">
        <f ca="1">VLOOKUP($B2,OFFSET([2]quests!$A$1,0,0,COUNTA([2]quests!$A:$A),MATCH(E$1,[2]quests!$1:$1,0)-MATCH($B$1,[2]quests!$1:$1,0)+1),MATCH(E$1,[2]quests!$1:$1,0)-MATCH($B$1,[2]quests!$1:$1,0)+1,FALSE)</f>
        <v>【月曜限定】 黄の素材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【初級】雷のチェシャ猫</v>
      </c>
      <c r="G2" s="21">
        <v>1</v>
      </c>
      <c r="H2" s="15" t="str">
        <f>B2&amp;"_"&amp;C2&amp;"-"&amp;G2</f>
        <v>11001_1-1</v>
      </c>
      <c r="I2" s="4" t="e">
        <f ca="1">VLOOKUP($H2,OFFSET(floors!$A$1,0,0,COUNTA(floors!$A:$A),MATCH(I$1,floors!$1:$1,0)-MATCH($H$1,floors!$1:$1,0)+1),MATCH(I$1,floors!$1:$1,0)-MATCH($H$1,floors!$1:$1,0)+1,FALSE)</f>
        <v>#N/A</v>
      </c>
      <c r="J2" s="4" t="e">
        <f ca="1">VLOOKUP($H2,OFFSET(floors!$A$1,0,0,COUNTA(floors!$A:$A),MATCH(J$1,floors!$1:$1,0)-MATCH($H$1,floors!$1:$1,0)+1),MATCH(J$1,floors!$1:$1,0)-MATCH($H$1,floors!$1:$1,0)+1,FALSE)</f>
        <v>#N/A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25">
        <v>1</v>
      </c>
      <c r="V2" s="5">
        <v>0</v>
      </c>
      <c r="W2" s="4" t="str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なし</v>
      </c>
      <c r="X2" s="4">
        <f ca="1">VLOOKUP($M2,OFFSET([3]enemies!$A$1,0,0,COUNTA([3]enemies!$A:$A),MATCH(X$1,[3]enemies!$1:$1,0)-MATCH($M$1,[3]enemies!$1:$1,0)+1),MATCH(X$1,[3]enemies!$1:$1,0)-MATCH($M$1,[3]enemies!$1:$1,0)+1,FALSE)</f>
        <v>0</v>
      </c>
      <c r="Y2" s="70">
        <f ca="1">VLOOKUP($M2,OFFSET([3]enemies!$A$1,0,0,COUNTA([3]enemies!$A:$A),MATCH(Y$1,[3]enemies!$1:$1,0)-MATCH($M$1,[3]enemies!$1:$1,0)+1),MATCH(Y$1,[3]enemies!$1:$1,0)-MATCH($M$1,[3]enemies!$1:$1,0)+1,FALSE)</f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H22" sqref="H2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1122201_1122201</v>
      </c>
      <c r="B2" s="47">
        <v>1122201</v>
      </c>
      <c r="C2" s="47">
        <v>1122201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火遊び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2" s="47">
        <v>1122201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1122202_1122202</v>
      </c>
      <c r="B3" s="47">
        <v>1122202</v>
      </c>
      <c r="C3" s="47">
        <v>1122202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回復封じ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4ターンハートパネルで回復できない！</v>
      </c>
      <c r="F3" s="47">
        <v>1122202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" s="47"/>
      <c r="Q3" s="47"/>
      <c r="R3" s="47"/>
    </row>
    <row r="4" spans="1:18" ht="21" customHeight="1" x14ac:dyDescent="0.15">
      <c r="A4" s="39" t="str">
        <f t="shared" ref="A4:A8" si="2">B4&amp;"_"&amp;C4</f>
        <v>1122203_1122203</v>
      </c>
      <c r="B4" s="47">
        <v>1122203</v>
      </c>
      <c r="C4" s="47">
        <v>1122203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劇性試薬カンタレラ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5ターンウィルス状態</v>
      </c>
      <c r="F4" s="47">
        <v>1122203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2"/>
        <v>1122204_1122204</v>
      </c>
      <c r="B5" s="47">
        <v>1122204</v>
      </c>
      <c r="C5" s="47">
        <v>1122204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ドゥッードゥッー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47">
        <v>1122204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 x14ac:dyDescent="0.15">
      <c r="A6" s="39" t="str">
        <f t="shared" si="2"/>
        <v>1122204_1122205</v>
      </c>
      <c r="B6" s="47">
        <v>1122204</v>
      </c>
      <c r="C6" s="47">
        <v>1122205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ドドドードー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3ターンスキルバインド</v>
      </c>
      <c r="F6" s="47">
        <v>1122205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1122205_1122206</v>
      </c>
      <c r="B7" s="47">
        <v>1122205</v>
      </c>
      <c r="C7" s="47">
        <v>1122206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キュピィィーッ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47">
        <v>1122206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47"/>
      <c r="Q7" s="47"/>
      <c r="R7" s="47"/>
    </row>
    <row r="8" spans="1:18" ht="21" customHeight="1" x14ac:dyDescent="0.15">
      <c r="A8" s="39" t="str">
        <f t="shared" si="2"/>
        <v>1122205_1122207</v>
      </c>
      <c r="B8" s="47">
        <v>1122205</v>
      </c>
      <c r="C8" s="47">
        <v>1122207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グワーグワー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行動速度上昇</v>
      </c>
      <c r="F8" s="47">
        <v>1122207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3">B9&amp;"_"&amp;C9</f>
        <v>1122206_1122208</v>
      </c>
      <c r="B9" s="47">
        <v>1122206</v>
      </c>
      <c r="C9" s="47">
        <v>1122208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マヨビーム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2ターンパネルの色が分からなくなる！</v>
      </c>
      <c r="F9" s="47">
        <v>1122208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7"/>
      <c r="Q9" s="47"/>
      <c r="R9" s="47"/>
    </row>
    <row r="10" spans="1:18" ht="21" customHeight="1" x14ac:dyDescent="0.15">
      <c r="A10" s="39" t="str">
        <f t="shared" ref="A10:A18" si="4">B10&amp;"_"&amp;C10</f>
        <v>1122207_1122209</v>
      </c>
      <c r="B10" s="47">
        <v>1122207</v>
      </c>
      <c r="C10" s="109">
        <v>1122209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ホトケノコトバ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3ターンCパネル生成延長</v>
      </c>
      <c r="F10" s="109">
        <v>1122209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47"/>
      <c r="Q10" s="47"/>
      <c r="R10" s="47"/>
    </row>
    <row r="11" spans="1:18" ht="21" customHeight="1" x14ac:dyDescent="0.15">
      <c r="A11" s="39" t="str">
        <f t="shared" si="4"/>
        <v>1122208_1122210</v>
      </c>
      <c r="B11" s="47">
        <v>1122208</v>
      </c>
      <c r="C11" s="109">
        <v>1122210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毒霧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1ターン強力なウィルス状態</v>
      </c>
      <c r="F11" s="109">
        <v>1122210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" s="47"/>
      <c r="Q11" s="47"/>
      <c r="R11" s="47"/>
    </row>
    <row r="12" spans="1:18" ht="21" customHeight="1" x14ac:dyDescent="0.15">
      <c r="A12" s="39" t="str">
        <f t="shared" si="4"/>
        <v>1122209_1122211</v>
      </c>
      <c r="B12" s="47">
        <v>1122209</v>
      </c>
      <c r="C12" s="109">
        <v>1122211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雷電蓄積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2" s="109">
        <v>1122211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4"/>
        <v>1122209_1122212</v>
      </c>
      <c r="B13" s="47">
        <v>1122209</v>
      </c>
      <c r="C13" s="109">
        <v>1122212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雷電放出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13" s="109">
        <v>1122212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4"/>
        <v>1122210_1122213</v>
      </c>
      <c r="B14" s="47">
        <v>1122210</v>
      </c>
      <c r="C14" s="109">
        <v>1122213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チュ〜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109">
        <v>1122213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4" s="47"/>
      <c r="Q14" s="47"/>
      <c r="R14" s="47"/>
    </row>
    <row r="15" spans="1:18" ht="21" customHeight="1" x14ac:dyDescent="0.15">
      <c r="A15" s="39" t="str">
        <f t="shared" si="4"/>
        <v>1122210_1122214</v>
      </c>
      <c r="B15" s="47">
        <v>1122210</v>
      </c>
      <c r="C15" s="109">
        <v>1122214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チュ〜チュ〜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全体攻撃＋1体スリープ</v>
      </c>
      <c r="F15" s="109">
        <v>1122214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4"/>
        <v>1122211_1122215</v>
      </c>
      <c r="B16" s="47">
        <v>1122211</v>
      </c>
      <c r="C16" s="109">
        <v>1122215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水流の拘束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全体攻撃＋中確率で2ターンスキルバインド効果</v>
      </c>
      <c r="F16" s="109">
        <v>1122215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" s="47"/>
      <c r="Q16" s="47"/>
      <c r="R16" s="47"/>
    </row>
    <row r="17" spans="1:18" ht="21" customHeight="1" x14ac:dyDescent="0.15">
      <c r="A17" s="39" t="str">
        <f t="shared" si="4"/>
        <v>1122212_1122216</v>
      </c>
      <c r="B17" s="47">
        <v>1122212</v>
      </c>
      <c r="C17" s="109">
        <v>1122216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グエッ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7" s="109">
        <v>1122216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" s="47"/>
      <c r="Q17" s="47"/>
      <c r="R17" s="47"/>
    </row>
    <row r="18" spans="1:18" ht="21" customHeight="1" x14ac:dyDescent="0.15">
      <c r="A18" s="39" t="str">
        <f t="shared" si="4"/>
        <v>1122212_1122217</v>
      </c>
      <c r="B18" s="47">
        <v>1122212</v>
      </c>
      <c r="C18" s="109">
        <v>1122217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シャーシャー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2ターン時限式ダメージパネルが確率で生成</v>
      </c>
      <c r="F18" s="109">
        <v>1122217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" si="5">B19&amp;"_"&amp;C19</f>
        <v>1122213_1122218</v>
      </c>
      <c r="B19" s="47">
        <v>1122213</v>
      </c>
      <c r="C19" s="109">
        <v>1122218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クレイモア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時限式ダメージパネル生成</v>
      </c>
      <c r="F19" s="109">
        <v>1122218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9" s="47"/>
      <c r="Q19" s="47"/>
      <c r="R1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19"/>
  <sheetViews>
    <sheetView showGridLines="0" zoomScale="130" zoomScaleNormal="130" zoomScalePageLayoutView="130" workbookViewId="0">
      <pane ySplit="1" topLeftCell="A5" activePane="bottomLeft" state="frozenSplit"/>
      <selection pane="bottomLeft" activeCell="B18" sqref="B1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9" ht="21" customHeight="1" x14ac:dyDescent="0.15">
      <c r="A1" s="40" t="s">
        <v>78</v>
      </c>
      <c r="B1" s="40" t="s">
        <v>79</v>
      </c>
      <c r="C1" s="40" t="s">
        <v>80</v>
      </c>
      <c r="D1" s="40" t="s">
        <v>124</v>
      </c>
      <c r="E1" s="40" t="s">
        <v>81</v>
      </c>
      <c r="F1" s="40" t="s">
        <v>82</v>
      </c>
      <c r="G1" s="41" t="s">
        <v>129</v>
      </c>
      <c r="H1" s="41" t="s">
        <v>135</v>
      </c>
      <c r="I1" s="41" t="s">
        <v>137</v>
      </c>
      <c r="J1" s="41" t="s">
        <v>136</v>
      </c>
      <c r="K1" s="41" t="s">
        <v>138</v>
      </c>
      <c r="L1" s="41" t="s">
        <v>130</v>
      </c>
      <c r="M1" s="41" t="s">
        <v>128</v>
      </c>
      <c r="N1" s="41" t="s">
        <v>131</v>
      </c>
      <c r="O1" s="41" t="s">
        <v>139</v>
      </c>
      <c r="P1" s="41" t="s">
        <v>140</v>
      </c>
      <c r="Q1" s="41" t="s">
        <v>141</v>
      </c>
      <c r="R1" s="41" t="s">
        <v>142</v>
      </c>
      <c r="S1" s="41" t="s">
        <v>132</v>
      </c>
      <c r="T1" s="41" t="s">
        <v>133</v>
      </c>
      <c r="U1" s="41" t="s">
        <v>143</v>
      </c>
      <c r="V1" s="41" t="s">
        <v>144</v>
      </c>
      <c r="W1" s="41" t="s">
        <v>145</v>
      </c>
      <c r="X1" s="41" t="s">
        <v>146</v>
      </c>
      <c r="Y1" s="41" t="s">
        <v>134</v>
      </c>
      <c r="Z1" s="41" t="s">
        <v>75</v>
      </c>
      <c r="AA1" s="41" t="s">
        <v>76</v>
      </c>
      <c r="AB1" s="41" t="s">
        <v>77</v>
      </c>
    </row>
    <row r="2" spans="1:29" ht="21" customHeight="1" x14ac:dyDescent="0.15">
      <c r="A2" s="47">
        <v>1122201</v>
      </c>
      <c r="B2" s="47" t="s">
        <v>237</v>
      </c>
      <c r="C2" s="50">
        <v>3</v>
      </c>
      <c r="D2" s="50" t="s">
        <v>218</v>
      </c>
      <c r="E2" s="51" t="s">
        <v>219</v>
      </c>
      <c r="F2" s="51" t="s">
        <v>220</v>
      </c>
      <c r="G2" s="63" t="str">
        <f t="shared" ref="G2:G3" si="0">IFERROR(LEFT(B2,FIND("],",B2)),B2)</f>
        <v>[effect:break_attack, val:0.17, lowest_val:1500, count:10, block:block_red, target:unit_one]</v>
      </c>
      <c r="H2" s="63">
        <f t="shared" ref="H2:H3" si="1">FIND("effect:",G2)+7</f>
        <v>9</v>
      </c>
      <c r="I2" s="63">
        <f t="shared" ref="I2:I3" si="2">IFERROR(FIND(",",G2),LEN(G2))</f>
        <v>21</v>
      </c>
      <c r="J2" s="63">
        <f t="shared" ref="J2:J3" si="3">FIND("target:",G2)+7</f>
        <v>84</v>
      </c>
      <c r="K2" s="63">
        <f t="shared" ref="K2:K3" si="4">FIND(",",G2,I2+1)</f>
        <v>31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 t="shared" ref="M2:M3" si="5">IFERROR(RIGHT(B2,LEN(B2)-FIND("],",B2)-1),"none")</f>
        <v>none</v>
      </c>
      <c r="N2" s="48" t="str">
        <f>IFERROR(LEFT(M2,FIND("],",M2)+#REF!),M2)</f>
        <v>none</v>
      </c>
      <c r="O2" s="63" t="e">
        <f t="shared" ref="O2:O3" si="6">FIND("effect:",N2)+7</f>
        <v>#VALUE!</v>
      </c>
      <c r="P2" s="63">
        <f t="shared" ref="P2:P3" si="7">IFERROR(FIND(",",N2),LEN(N2))</f>
        <v>4</v>
      </c>
      <c r="Q2" s="63" t="e">
        <f t="shared" ref="Q2:Q3" si="8">FIND("target:",N2)+7</f>
        <v>#VALUE!</v>
      </c>
      <c r="R2" s="63" t="e">
        <f t="shared" ref="R2:R3" si="9"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 t="shared" ref="T2:T3" si="10">IFERROR(RIGHT(M2,LEN(M2)-FIND("],",M2)-1),"none")</f>
        <v>none</v>
      </c>
      <c r="U2" s="63" t="e">
        <f t="shared" ref="U2:U3" si="11">FIND("effect:",T2)+7</f>
        <v>#VALUE!</v>
      </c>
      <c r="V2" s="63">
        <f t="shared" ref="V2:V3" si="12">IFERROR(FIND(",",T2),LEN(T2))</f>
        <v>4</v>
      </c>
      <c r="W2" s="63" t="e">
        <f t="shared" ref="W2:W3" si="13">FIND("target:",T2)+7</f>
        <v>#VALUE!</v>
      </c>
      <c r="X2" s="63" t="e">
        <f t="shared" ref="X2:X3" si="14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  <c r="AC2" s="49" t="s">
        <v>221</v>
      </c>
    </row>
    <row r="3" spans="1:29" ht="21" customHeight="1" x14ac:dyDescent="0.15">
      <c r="A3" s="47">
        <v>1122202</v>
      </c>
      <c r="B3" s="47" t="s">
        <v>222</v>
      </c>
      <c r="C3" s="50">
        <v>3</v>
      </c>
      <c r="D3" s="50" t="s">
        <v>223</v>
      </c>
      <c r="E3" s="51" t="s">
        <v>224</v>
      </c>
      <c r="F3" s="51" t="s">
        <v>225</v>
      </c>
      <c r="G3" s="63" t="str">
        <f t="shared" si="0"/>
        <v>[effect:dis_heart, turn:4, animation:enemy_dis_heart]</v>
      </c>
      <c r="H3" s="63">
        <f t="shared" si="1"/>
        <v>9</v>
      </c>
      <c r="I3" s="63">
        <f t="shared" si="2"/>
        <v>18</v>
      </c>
      <c r="J3" s="63" t="e">
        <f t="shared" si="3"/>
        <v>#VALUE!</v>
      </c>
      <c r="K3" s="63">
        <f t="shared" si="4"/>
        <v>26</v>
      </c>
      <c r="L3" s="63" t="str">
        <f>IFERROR(VLOOKUP(MID(G3,J3,K3-J3),[6]skilldef!$C:$D,2,FALSE),"-") &amp; " / " &amp; IFERROR(VLOOKUP(MID(G3,H3,I3-H3),[6]skilldef!$A:$B,2,FALSE),"-")</f>
        <v>- / ディスハート</v>
      </c>
      <c r="M3" s="63" t="str">
        <f t="shared" si="5"/>
        <v>none</v>
      </c>
      <c r="N3" s="48" t="str">
        <f>IFERROR(LEFT(M3,FIND("],",M3)+S35),M3)</f>
        <v>none</v>
      </c>
      <c r="O3" s="63" t="e">
        <f t="shared" si="6"/>
        <v>#VALUE!</v>
      </c>
      <c r="P3" s="63">
        <f t="shared" si="7"/>
        <v>4</v>
      </c>
      <c r="Q3" s="63" t="e">
        <f t="shared" si="8"/>
        <v>#VALUE!</v>
      </c>
      <c r="R3" s="63" t="e">
        <f t="shared" si="9"/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  <c r="AC3" s="49" t="s">
        <v>226</v>
      </c>
    </row>
    <row r="4" spans="1:29" ht="21" customHeight="1" x14ac:dyDescent="0.15">
      <c r="A4" s="47">
        <v>1122203</v>
      </c>
      <c r="B4" s="47" t="s">
        <v>227</v>
      </c>
      <c r="C4" s="50">
        <v>3</v>
      </c>
      <c r="D4" s="50" t="s">
        <v>223</v>
      </c>
      <c r="E4" s="51" t="s">
        <v>229</v>
      </c>
      <c r="F4" s="51" t="s">
        <v>228</v>
      </c>
      <c r="G4" s="63" t="str">
        <f t="shared" ref="G4" si="15">IFERROR(LEFT(B4,FIND("],",B4)),B4)</f>
        <v>[effect:virus, turn:5, target:unit_all, rate:1, val:0.07, animation:enemy_virus]</v>
      </c>
      <c r="H4" s="63">
        <f t="shared" ref="H4" si="16">FIND("effect:",G4)+7</f>
        <v>9</v>
      </c>
      <c r="I4" s="63">
        <f t="shared" ref="I4" si="17">IFERROR(FIND(",",G4),LEN(G4))</f>
        <v>14</v>
      </c>
      <c r="J4" s="63">
        <f t="shared" ref="J4" si="18">FIND("target:",G4)+7</f>
        <v>31</v>
      </c>
      <c r="K4" s="63">
        <f t="shared" ref="K4" si="19">FIND(",",G4,I4+1)</f>
        <v>22</v>
      </c>
      <c r="L4" s="63" t="str">
        <f>IFERROR(VLOOKUP(MID(G4,J4,K4-J4),[6]skilldef!$C:$D,2,FALSE),"-") &amp; " / " &amp; IFERROR(VLOOKUP(MID(G4,H4,I4-H4),[6]skilldef!$A:$B,2,FALSE),"-")</f>
        <v>- / ウィルス</v>
      </c>
      <c r="M4" s="63" t="str">
        <f t="shared" ref="M4" si="20">IFERROR(RIGHT(B4,LEN(B4)-FIND("],",B4)-1),"none")</f>
        <v>none</v>
      </c>
      <c r="N4" s="48" t="str">
        <f>IFERROR(LEFT(M4,FIND("],",M4)+S36),M4)</f>
        <v>none</v>
      </c>
      <c r="O4" s="63" t="e">
        <f t="shared" ref="O4" si="21">FIND("effect:",N4)+7</f>
        <v>#VALUE!</v>
      </c>
      <c r="P4" s="63">
        <f t="shared" ref="P4" si="22">IFERROR(FIND(",",N4),LEN(N4))</f>
        <v>4</v>
      </c>
      <c r="Q4" s="63" t="e">
        <f t="shared" ref="Q4" si="23">FIND("target:",N4)+7</f>
        <v>#VALUE!</v>
      </c>
      <c r="R4" s="63" t="e">
        <f t="shared" ref="R4" si="24">FIND(",",N4,P4+1)</f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ref="T4" si="25">IFERROR(RIGHT(M4,LEN(M4)-FIND("],",M4)-1),"none")</f>
        <v>none</v>
      </c>
      <c r="U4" s="63" t="e">
        <f t="shared" ref="U4" si="26">FIND("effect:",T4)+7</f>
        <v>#VALUE!</v>
      </c>
      <c r="V4" s="63">
        <f t="shared" ref="V4" si="27">IFERROR(FIND(",",T4),LEN(T4))</f>
        <v>4</v>
      </c>
      <c r="W4" s="63" t="e">
        <f t="shared" ref="W4" si="28">FIND("target:",T4)+7</f>
        <v>#VALUE!</v>
      </c>
      <c r="X4" s="63" t="e">
        <f t="shared" ref="X4" si="29">FIND(",",T4,V4+1)</f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  <c r="AC4" s="49" t="s">
        <v>226</v>
      </c>
    </row>
    <row r="5" spans="1:29" ht="21" customHeight="1" x14ac:dyDescent="0.15">
      <c r="A5" s="47">
        <v>1122204</v>
      </c>
      <c r="B5" s="47" t="s">
        <v>271</v>
      </c>
      <c r="C5" s="50">
        <v>3</v>
      </c>
      <c r="D5" s="50" t="s">
        <v>211</v>
      </c>
      <c r="E5" s="51" t="s">
        <v>212</v>
      </c>
      <c r="F5" s="51" t="s">
        <v>210</v>
      </c>
      <c r="G5" s="63" t="str">
        <f>IFERROR(LEFT(B5,FIND("],",B5)),B5)</f>
        <v>[effect:spread, val:0.6]</v>
      </c>
      <c r="H5" s="63">
        <f>FIND("effect:",G5)+7</f>
        <v>9</v>
      </c>
      <c r="I5" s="63">
        <f>IFERROR(FIND(",",G5),LEN(G5))</f>
        <v>15</v>
      </c>
      <c r="J5" s="63" t="e">
        <f>FIND("target:",G5)+7</f>
        <v>#VALUE!</v>
      </c>
      <c r="K5" s="63" t="e">
        <f>FIND(",",G5,I5+1)</f>
        <v>#VALUE!</v>
      </c>
      <c r="L5" s="63" t="str">
        <f>IFERROR(VLOOKUP(MID(G5,J5,K5-J5),[6]skilldef!$C:$D,2,FALSE),"-") &amp; " / " &amp; IFERROR(VLOOKUP(MID(G5,H5,I5-H5),[6]skilldef!$A:$B,2,FALSE),"-")</f>
        <v>- / 全体攻撃</v>
      </c>
      <c r="M5" s="63" t="str">
        <f>IFERROR(RIGHT(B5,LEN(B5)-FIND("],",B5)-1),"none")</f>
        <v>none</v>
      </c>
      <c r="N5" s="48" t="str">
        <f>IFERROR(LEFT(M5,FIND("],",M5)+#REF!),M5)</f>
        <v>none</v>
      </c>
      <c r="O5" s="63" t="e">
        <f>FIND("effect:",N5)+7</f>
        <v>#VALUE!</v>
      </c>
      <c r="P5" s="63">
        <f>IFERROR(FIND(",",N5),LEN(N5))</f>
        <v>4</v>
      </c>
      <c r="Q5" s="63" t="e">
        <f>FIND("target:",N5)+7</f>
        <v>#VALUE!</v>
      </c>
      <c r="R5" s="63" t="e">
        <f>FIND(",",N5,P5+1)</f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>IFERROR(RIGHT(M5,LEN(M5)-FIND("],",M5)-1),"none")</f>
        <v>none</v>
      </c>
      <c r="U5" s="63" t="e">
        <f>FIND("effect:",T5)+7</f>
        <v>#VALUE!</v>
      </c>
      <c r="V5" s="63">
        <f>IFERROR(FIND(",",T5),LEN(T5))</f>
        <v>4</v>
      </c>
      <c r="W5" s="63" t="e">
        <f>FIND("target:",T5)+7</f>
        <v>#VALUE!</v>
      </c>
      <c r="X5" s="63" t="e">
        <f>FIND(",",T5,V5+1)</f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9" ht="21" customHeight="1" x14ac:dyDescent="0.15">
      <c r="A6" s="47">
        <v>1122205</v>
      </c>
      <c r="B6" s="47" t="s">
        <v>234</v>
      </c>
      <c r="C6" s="50">
        <v>3</v>
      </c>
      <c r="D6" s="50" t="s">
        <v>211</v>
      </c>
      <c r="E6" s="51" t="s">
        <v>231</v>
      </c>
      <c r="F6" s="51" t="s">
        <v>230</v>
      </c>
      <c r="G6" s="63" t="str">
        <f>IFERROR(LEFT(B6,FIND("],",B6)),B6)</f>
        <v>[effect:hungup, target:unit_all, turn:3, rate:1]</v>
      </c>
      <c r="H6" s="63">
        <f>FIND("effect:",G6)+7</f>
        <v>9</v>
      </c>
      <c r="I6" s="63">
        <f>IFERROR(FIND(",",G6),LEN(G6))</f>
        <v>15</v>
      </c>
      <c r="J6" s="63">
        <f>FIND("target:",G6)+7</f>
        <v>24</v>
      </c>
      <c r="K6" s="63">
        <f>FIND(",",G6,I6+1)</f>
        <v>32</v>
      </c>
      <c r="L6" s="63" t="str">
        <f>IFERROR(VLOOKUP(MID(G6,J6,K6-J6),[6]skilldef!$C:$D,2,FALSE),"-") &amp; " / " &amp; IFERROR(VLOOKUP(MID(G6,H6,I6-H6),[6]skilldef!$A:$B,2,FALSE),"-")</f>
        <v>味方全体に / ハングアップ</v>
      </c>
      <c r="M6" s="63" t="str">
        <f>IFERROR(RIGHT(B6,LEN(B6)-FIND("],",B6)-1),"none")</f>
        <v>[effect:critical, val:1]</v>
      </c>
      <c r="N6" s="48" t="str">
        <f>IFERROR(LEFT(M6,FIND("],",M6)+#REF!),M6)</f>
        <v>[effect:critical, val:1]</v>
      </c>
      <c r="O6" s="63">
        <f>FIND("effect:",N6)+7</f>
        <v>9</v>
      </c>
      <c r="P6" s="63">
        <f>IFERROR(FIND(",",N6),LEN(N6))</f>
        <v>17</v>
      </c>
      <c r="Q6" s="63" t="e">
        <f>FIND("target:",N6)+7</f>
        <v>#VALUE!</v>
      </c>
      <c r="R6" s="63" t="e">
        <f>FIND(",",N6,P6+1)</f>
        <v>#VALUE!</v>
      </c>
      <c r="S6" s="63" t="str">
        <f>IFERROR(VLOOKUP(MID(N6,Q6,R6-Q6),[6]skilldef!$C:$D,2,FALSE),"-") &amp; " / " &amp; IFERROR(VLOOKUP(MID(N6,O6,P6-O6),[6]skilldef!$A:$B,2,FALSE),"-")</f>
        <v>- / 大攻撃</v>
      </c>
      <c r="T6" s="48" t="str">
        <f>IFERROR(RIGHT(M6,LEN(M6)-FIND("],",M6)-1),"none")</f>
        <v>none</v>
      </c>
      <c r="U6" s="63" t="e">
        <f>FIND("effect:",T6)+7</f>
        <v>#VALUE!</v>
      </c>
      <c r="V6" s="63">
        <f>IFERROR(FIND(",",T6),LEN(T6))</f>
        <v>4</v>
      </c>
      <c r="W6" s="63" t="e">
        <f>FIND("target:",T6)+7</f>
        <v>#VALUE!</v>
      </c>
      <c r="X6" s="63" t="e">
        <f>FIND(",",T6,V6+1)</f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9" ht="21" customHeight="1" x14ac:dyDescent="0.15">
      <c r="A7" s="47">
        <v>1122206</v>
      </c>
      <c r="B7" s="47" t="s">
        <v>235</v>
      </c>
      <c r="C7" s="50">
        <v>3</v>
      </c>
      <c r="D7" s="50" t="s">
        <v>211</v>
      </c>
      <c r="E7" s="51" t="s">
        <v>213</v>
      </c>
      <c r="F7" s="51" t="s">
        <v>210</v>
      </c>
      <c r="G7" s="63" t="str">
        <f>IFERROR(LEFT(B7,FIND("],",B7)),B7)</f>
        <v>[effect:spread, val:0.4]</v>
      </c>
      <c r="H7" s="63">
        <f>FIND("effect:",G7)+7</f>
        <v>9</v>
      </c>
      <c r="I7" s="63">
        <f>IFERROR(FIND(",",G7),LEN(G7))</f>
        <v>15</v>
      </c>
      <c r="J7" s="63" t="e">
        <f>FIND("target:",G7)+7</f>
        <v>#VALUE!</v>
      </c>
      <c r="K7" s="63" t="e">
        <f>FIND(",",G7,I7+1)</f>
        <v>#VALUE!</v>
      </c>
      <c r="L7" s="63" t="str">
        <f>IFERROR(VLOOKUP(MID(G7,J7,K7-J7),[6]skilldef!$C:$D,2,FALSE),"-") &amp; " / " &amp; IFERROR(VLOOKUP(MID(G7,H7,I7-H7),[6]skilldef!$A:$B,2,FALSE),"-")</f>
        <v>- / 全体攻撃</v>
      </c>
      <c r="M7" s="63" t="str">
        <f>IFERROR(RIGHT(B7,LEN(B7)-FIND("],",B7)-1),"none")</f>
        <v>none</v>
      </c>
      <c r="N7" s="48" t="str">
        <f>IFERROR(LEFT(M7,FIND("],",M7)+#REF!),M7)</f>
        <v>none</v>
      </c>
      <c r="O7" s="63" t="e">
        <f>FIND("effect:",N7)+7</f>
        <v>#VALUE!</v>
      </c>
      <c r="P7" s="63">
        <f>IFERROR(FIND(",",N7),LEN(N7))</f>
        <v>4</v>
      </c>
      <c r="Q7" s="63" t="e">
        <f>FIND("target:",N7)+7</f>
        <v>#VALUE!</v>
      </c>
      <c r="R7" s="63" t="e">
        <f>FIND(",",N7,P7+1)</f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>IFERROR(RIGHT(M7,LEN(M7)-FIND("],",M7)-1),"none")</f>
        <v>none</v>
      </c>
      <c r="U7" s="63" t="e">
        <f>FIND("effect:",T7)+7</f>
        <v>#VALUE!</v>
      </c>
      <c r="V7" s="63">
        <f>IFERROR(FIND(",",T7),LEN(T7))</f>
        <v>4</v>
      </c>
      <c r="W7" s="63" t="e">
        <f>FIND("target:",T7)+7</f>
        <v>#VALUE!</v>
      </c>
      <c r="X7" s="63" t="e">
        <f>FIND(",",T7,V7+1)</f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9" ht="21" customHeight="1" x14ac:dyDescent="0.15">
      <c r="A8" s="47">
        <v>1122207</v>
      </c>
      <c r="B8" s="47" t="s">
        <v>236</v>
      </c>
      <c r="C8" s="50">
        <v>3</v>
      </c>
      <c r="D8" s="50" t="s">
        <v>211</v>
      </c>
      <c r="E8" s="51" t="s">
        <v>232</v>
      </c>
      <c r="F8" s="51" t="s">
        <v>233</v>
      </c>
      <c r="G8" s="63" t="str">
        <f>IFERROR(LEFT(B8,FIND("],",B8)),B8)</f>
        <v>[effect:freq_turn, target:myself, turn:-1, val:1, animation:enemy_freq_turn]</v>
      </c>
      <c r="H8" s="63">
        <f>FIND("effect:",G8)+7</f>
        <v>9</v>
      </c>
      <c r="I8" s="63">
        <f>IFERROR(FIND(",",G8),LEN(G8))</f>
        <v>18</v>
      </c>
      <c r="J8" s="63">
        <f>FIND("target:",G8)+7</f>
        <v>27</v>
      </c>
      <c r="K8" s="63">
        <f>FIND(",",G8,I8+1)</f>
        <v>33</v>
      </c>
      <c r="L8" s="63" t="str">
        <f>IFERROR(VLOOKUP(MID(G8,J8,K8-J8),[6]skilldef!$C:$D,2,FALSE),"-") &amp; " / " &amp; IFERROR(VLOOKUP(MID(G8,H8,I8-H8),[6]skilldef!$A:$B,2,FALSE),"-")</f>
        <v>自分自身に / 攻撃頻度がUP</v>
      </c>
      <c r="M8" s="63" t="str">
        <f>IFERROR(RIGHT(B8,LEN(B8)-FIND("],",B8)-1),"none")</f>
        <v>none</v>
      </c>
      <c r="N8" s="48" t="str">
        <f>IFERROR(LEFT(M8,FIND("],",M8)+#REF!),M8)</f>
        <v>none</v>
      </c>
      <c r="O8" s="63" t="e">
        <f>FIND("effect:",N8)+7</f>
        <v>#VALUE!</v>
      </c>
      <c r="P8" s="63">
        <f>IFERROR(FIND(",",N8),LEN(N8))</f>
        <v>4</v>
      </c>
      <c r="Q8" s="63" t="e">
        <f>FIND("target:",N8)+7</f>
        <v>#VALUE!</v>
      </c>
      <c r="R8" s="63" t="e">
        <f>FIND(",",N8,P8+1)</f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>IFERROR(RIGHT(M8,LEN(M8)-FIND("],",M8)-1),"none")</f>
        <v>none</v>
      </c>
      <c r="U8" s="63" t="e">
        <f>FIND("effect:",T8)+7</f>
        <v>#VALUE!</v>
      </c>
      <c r="V8" s="63">
        <f>IFERROR(FIND(",",T8),LEN(T8))</f>
        <v>4</v>
      </c>
      <c r="W8" s="63" t="e">
        <f>FIND("target:",T8)+7</f>
        <v>#VALUE!</v>
      </c>
      <c r="X8" s="63" t="e">
        <f>FIND(",",T8,V8+1)</f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9" ht="21" customHeight="1" x14ac:dyDescent="0.15">
      <c r="A9" s="47">
        <v>1122208</v>
      </c>
      <c r="B9" s="47" t="s">
        <v>240</v>
      </c>
      <c r="C9" s="50">
        <v>3</v>
      </c>
      <c r="D9" s="50" t="s">
        <v>211</v>
      </c>
      <c r="E9" s="51" t="s">
        <v>238</v>
      </c>
      <c r="F9" s="51" t="s">
        <v>239</v>
      </c>
      <c r="G9" s="63" t="str">
        <f>IFERROR(LEFT(B9,FIND("],",B9)),B9)</f>
        <v>[effect:dark, turn:2,target:unit_all,animation:enemy_dark]</v>
      </c>
      <c r="H9" s="63">
        <f>FIND("effect:",G9)+7</f>
        <v>9</v>
      </c>
      <c r="I9" s="63">
        <f>IFERROR(FIND(",",G9),LEN(G9))</f>
        <v>13</v>
      </c>
      <c r="J9" s="63">
        <f>FIND("target:",G9)+7</f>
        <v>29</v>
      </c>
      <c r="K9" s="63">
        <f>FIND(",",G9,I9+1)</f>
        <v>21</v>
      </c>
      <c r="L9" s="63" t="str">
        <f>IFERROR(VLOOKUP(MID(G9,J9,K9-J9),[6]skilldef!$C:$D,2,FALSE),"-") &amp; " / " &amp; IFERROR(VLOOKUP(MID(G9,H9,I9-H9),[6]skilldef!$A:$B,2,FALSE),"-")</f>
        <v>- / 暗黒</v>
      </c>
      <c r="M9" s="63" t="str">
        <f>IFERROR(RIGHT(B9,LEN(B9)-FIND("],",B9)-1),"none")</f>
        <v>none</v>
      </c>
      <c r="N9" s="48" t="str">
        <f>IFERROR(LEFT(M9,FIND("],",M9)+#REF!),M9)</f>
        <v>none</v>
      </c>
      <c r="O9" s="63" t="e">
        <f>FIND("effect:",N9)+7</f>
        <v>#VALUE!</v>
      </c>
      <c r="P9" s="63">
        <f>IFERROR(FIND(",",N9),LEN(N9))</f>
        <v>4</v>
      </c>
      <c r="Q9" s="63" t="e">
        <f>FIND("target:",N9)+7</f>
        <v>#VALUE!</v>
      </c>
      <c r="R9" s="63" t="e">
        <f>FIND(",",N9,P9+1)</f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>IFERROR(RIGHT(M9,LEN(M9)-FIND("],",M9)-1),"none")</f>
        <v>none</v>
      </c>
      <c r="U9" s="63" t="e">
        <f>FIND("effect:",T9)+7</f>
        <v>#VALUE!</v>
      </c>
      <c r="V9" s="63">
        <f>IFERROR(FIND(",",T9),LEN(T9))</f>
        <v>4</v>
      </c>
      <c r="W9" s="63" t="e">
        <f>FIND("target:",T9)+7</f>
        <v>#VALUE!</v>
      </c>
      <c r="X9" s="63" t="e">
        <f>FIND(",",T9,V9+1)</f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9" ht="21" customHeight="1" x14ac:dyDescent="0.15">
      <c r="A10" s="109">
        <v>1122209</v>
      </c>
      <c r="B10" s="47" t="s">
        <v>254</v>
      </c>
      <c r="C10" s="50">
        <v>3</v>
      </c>
      <c r="D10" s="50" t="s">
        <v>211</v>
      </c>
      <c r="E10" s="51" t="s">
        <v>256</v>
      </c>
      <c r="F10" s="51" t="s">
        <v>257</v>
      </c>
      <c r="G10" s="63" t="str">
        <f t="shared" ref="G10:G13" si="30">IFERROR(LEFT(B10,FIND("],",B10)),B10)</f>
        <v>[effect:crash_condition, target:unit_all, val:3, turn:3, animation:enemy_crash_extend]</v>
      </c>
      <c r="H10" s="63">
        <f t="shared" ref="H10:H13" si="31">FIND("effect:",G10)+7</f>
        <v>9</v>
      </c>
      <c r="I10" s="63">
        <f t="shared" ref="I10:I13" si="32">IFERROR(FIND(",",G10),LEN(G10))</f>
        <v>24</v>
      </c>
      <c r="J10" s="63">
        <f t="shared" ref="J10:J13" si="33">FIND("target:",G10)+7</f>
        <v>33</v>
      </c>
      <c r="K10" s="63">
        <f t="shared" ref="K10:K13" si="34">FIND(",",G10,I10+1)</f>
        <v>41</v>
      </c>
      <c r="L10" s="63" t="str">
        <f>IFERROR(VLOOKUP(MID(G10,J10,K10-J10),[6]skilldef!$C:$D,2,FALSE),"-") &amp; " / " &amp; IFERROR(VLOOKUP(MID(G10,H10,I10-H10),[6]skilldef!$A:$B,2,FALSE),"-")</f>
        <v>味方全体に / -</v>
      </c>
      <c r="M10" s="63" t="str">
        <f t="shared" ref="M10:M13" si="35">IFERROR(RIGHT(B10,LEN(B10)-FIND("],",B10)-1),"none")</f>
        <v>none</v>
      </c>
      <c r="N10" s="48" t="str">
        <f>IFERROR(LEFT(M10,FIND("],",M10)+#REF!),M10)</f>
        <v>none</v>
      </c>
      <c r="O10" s="63" t="e">
        <f t="shared" ref="O10:O13" si="36">FIND("effect:",N10)+7</f>
        <v>#VALUE!</v>
      </c>
      <c r="P10" s="63">
        <f t="shared" ref="P10:P13" si="37">IFERROR(FIND(",",N10),LEN(N10))</f>
        <v>4</v>
      </c>
      <c r="Q10" s="63" t="e">
        <f t="shared" ref="Q10:Q13" si="38">FIND("target:",N10)+7</f>
        <v>#VALUE!</v>
      </c>
      <c r="R10" s="63" t="e">
        <f t="shared" ref="R10:R13" si="39">FIND(",",N10,P10+1)</f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ref="T10:T13" si="40">IFERROR(RIGHT(M10,LEN(M10)-FIND("],",M10)-1),"none")</f>
        <v>none</v>
      </c>
      <c r="U10" s="63" t="e">
        <f t="shared" ref="U10:U13" si="41">FIND("effect:",T10)+7</f>
        <v>#VALUE!</v>
      </c>
      <c r="V10" s="63">
        <f t="shared" ref="V10:V13" si="42">IFERROR(FIND(",",T10),LEN(T10))</f>
        <v>4</v>
      </c>
      <c r="W10" s="63" t="e">
        <f t="shared" ref="W10:W13" si="43">FIND("target:",T10)+7</f>
        <v>#VALUE!</v>
      </c>
      <c r="X10" s="63" t="e">
        <f t="shared" ref="X10:X13" si="44">FIND(",",T10,V10+1)</f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  <c r="AC10" s="49" t="s">
        <v>221</v>
      </c>
    </row>
    <row r="11" spans="1:29" ht="21" customHeight="1" x14ac:dyDescent="0.15">
      <c r="A11" s="109">
        <v>1122210</v>
      </c>
      <c r="B11" s="47" t="s">
        <v>270</v>
      </c>
      <c r="C11" s="50">
        <v>3</v>
      </c>
      <c r="D11" s="50" t="s">
        <v>211</v>
      </c>
      <c r="E11" s="51" t="s">
        <v>268</v>
      </c>
      <c r="F11" s="51" t="s">
        <v>269</v>
      </c>
      <c r="G11" s="63" t="str">
        <f t="shared" si="30"/>
        <v>[effect:virus, turn:1, target:unit_all, rate:1, val:0.1, animation:enemy_virus]</v>
      </c>
      <c r="H11" s="63">
        <f t="shared" si="31"/>
        <v>9</v>
      </c>
      <c r="I11" s="63">
        <f t="shared" si="32"/>
        <v>14</v>
      </c>
      <c r="J11" s="63">
        <f t="shared" si="33"/>
        <v>31</v>
      </c>
      <c r="K11" s="63">
        <f t="shared" si="34"/>
        <v>22</v>
      </c>
      <c r="L11" s="63" t="str">
        <f>IFERROR(VLOOKUP(MID(G11,J11,K11-J11),[6]skilldef!$C:$D,2,FALSE),"-") &amp; " / " &amp; IFERROR(VLOOKUP(MID(G11,H11,I11-H11),[6]skilldef!$A:$B,2,FALSE),"-")</f>
        <v>- / ウィルス</v>
      </c>
      <c r="M11" s="63" t="str">
        <f t="shared" si="35"/>
        <v>none</v>
      </c>
      <c r="N11" s="48" t="str">
        <f>IFERROR(LEFT(M11,FIND("],",M11)+S43),M11)</f>
        <v>none</v>
      </c>
      <c r="O11" s="63" t="e">
        <f t="shared" si="36"/>
        <v>#VALUE!</v>
      </c>
      <c r="P11" s="63">
        <f t="shared" si="37"/>
        <v>4</v>
      </c>
      <c r="Q11" s="63" t="e">
        <f t="shared" si="38"/>
        <v>#VALUE!</v>
      </c>
      <c r="R11" s="63" t="e">
        <f t="shared" si="39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40"/>
        <v>none</v>
      </c>
      <c r="U11" s="63" t="e">
        <f t="shared" si="41"/>
        <v>#VALUE!</v>
      </c>
      <c r="V11" s="63">
        <f t="shared" si="42"/>
        <v>4</v>
      </c>
      <c r="W11" s="63" t="e">
        <f t="shared" si="43"/>
        <v>#VALUE!</v>
      </c>
      <c r="X11" s="63" t="e">
        <f t="shared" si="4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  <c r="AC11" s="49" t="s">
        <v>226</v>
      </c>
    </row>
    <row r="12" spans="1:29" ht="21" customHeight="1" x14ac:dyDescent="0.15">
      <c r="A12" s="109">
        <v>1122211</v>
      </c>
      <c r="B12" s="47" t="s">
        <v>260</v>
      </c>
      <c r="C12" s="50">
        <v>3</v>
      </c>
      <c r="D12" s="50" t="s">
        <v>211</v>
      </c>
      <c r="E12" s="51" t="s">
        <v>261</v>
      </c>
      <c r="F12" s="51" t="s">
        <v>263</v>
      </c>
      <c r="G12" s="63" t="str">
        <f t="shared" ref="G12" si="45">IFERROR(LEFT(B12,FIND("],",B12)),B12)</f>
        <v>[effect:nothing]</v>
      </c>
      <c r="H12" s="63">
        <f t="shared" ref="H12" si="46">FIND("effect:",G12)+7</f>
        <v>9</v>
      </c>
      <c r="I12" s="63">
        <f t="shared" ref="I12" si="47">IFERROR(FIND(",",G12),LEN(G12))</f>
        <v>16</v>
      </c>
      <c r="J12" s="63" t="e">
        <f t="shared" ref="J12" si="48">FIND("target:",G12)+7</f>
        <v>#VALUE!</v>
      </c>
      <c r="K12" s="63" t="e">
        <f t="shared" ref="K12" si="49">FIND(",",G12,I12+1)</f>
        <v>#VALUE!</v>
      </c>
      <c r="L12" s="63" t="str">
        <f>IFERROR(VLOOKUP(MID(G12,J12,K12-J12),[6]skilldef!$C:$D,2,FALSE),"-") &amp; " / " &amp; IFERROR(VLOOKUP(MID(G12,H12,I12-H12),[6]skilldef!$A:$B,2,FALSE),"-")</f>
        <v>- / 何もしない</v>
      </c>
      <c r="M12" s="63" t="str">
        <f t="shared" ref="M12" si="50">IFERROR(RIGHT(B12,LEN(B12)-FIND("],",B12)-1),"none")</f>
        <v>none</v>
      </c>
      <c r="N12" s="48" t="str">
        <f>IFERROR(LEFT(M12,FIND("],",M12)+S44),M12)</f>
        <v>none</v>
      </c>
      <c r="O12" s="63" t="e">
        <f t="shared" ref="O12" si="51">FIND("effect:",N12)+7</f>
        <v>#VALUE!</v>
      </c>
      <c r="P12" s="63">
        <f t="shared" ref="P12" si="52">IFERROR(FIND(",",N12),LEN(N12))</f>
        <v>4</v>
      </c>
      <c r="Q12" s="63" t="e">
        <f t="shared" ref="Q12" si="53">FIND("target:",N12)+7</f>
        <v>#VALUE!</v>
      </c>
      <c r="R12" s="63" t="e">
        <f t="shared" ref="R12" si="54">FIND(",",N12,P12+1)</f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ref="T12" si="55">IFERROR(RIGHT(M12,LEN(M12)-FIND("],",M12)-1),"none")</f>
        <v>none</v>
      </c>
      <c r="U12" s="63" t="e">
        <f t="shared" ref="U12" si="56">FIND("effect:",T12)+7</f>
        <v>#VALUE!</v>
      </c>
      <c r="V12" s="63">
        <f t="shared" ref="V12" si="57">IFERROR(FIND(",",T12),LEN(T12))</f>
        <v>4</v>
      </c>
      <c r="W12" s="63" t="e">
        <f t="shared" ref="W12" si="58">FIND("target:",T12)+7</f>
        <v>#VALUE!</v>
      </c>
      <c r="X12" s="63" t="e">
        <f t="shared" ref="X12" si="59">FIND(",",T12,V12+1)</f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  <c r="AC12" s="49" t="s">
        <v>226</v>
      </c>
    </row>
    <row r="13" spans="1:29" ht="21" customHeight="1" x14ac:dyDescent="0.15">
      <c r="A13" s="109">
        <v>1122212</v>
      </c>
      <c r="B13" s="47" t="s">
        <v>258</v>
      </c>
      <c r="C13" s="50">
        <v>3</v>
      </c>
      <c r="D13" s="50" t="s">
        <v>223</v>
      </c>
      <c r="E13" s="51" t="s">
        <v>262</v>
      </c>
      <c r="F13" s="51" t="s">
        <v>259</v>
      </c>
      <c r="G13" s="63" t="str">
        <f t="shared" si="30"/>
        <v>[effect:rush, count:4, val:0.6]</v>
      </c>
      <c r="H13" s="63">
        <f t="shared" si="31"/>
        <v>9</v>
      </c>
      <c r="I13" s="63">
        <f t="shared" si="32"/>
        <v>13</v>
      </c>
      <c r="J13" s="63" t="e">
        <f t="shared" si="33"/>
        <v>#VALUE!</v>
      </c>
      <c r="K13" s="63">
        <f t="shared" si="34"/>
        <v>22</v>
      </c>
      <c r="L13" s="63" t="str">
        <f>IFERROR(VLOOKUP(MID(G13,J13,K13-J13),[6]skilldef!$C:$D,2,FALSE),"-") &amp; " / " &amp; IFERROR(VLOOKUP(MID(G13,H13,I13-H13),[6]skilldef!$A:$B,2,FALSE),"-")</f>
        <v>- / 連続攻撃</v>
      </c>
      <c r="M13" s="63" t="str">
        <f t="shared" si="35"/>
        <v>none</v>
      </c>
      <c r="N13" s="48" t="str">
        <f>IFERROR(LEFT(M13,FIND("],",M13)+S44),M13)</f>
        <v>none</v>
      </c>
      <c r="O13" s="63" t="e">
        <f t="shared" si="36"/>
        <v>#VALUE!</v>
      </c>
      <c r="P13" s="63">
        <f t="shared" si="37"/>
        <v>4</v>
      </c>
      <c r="Q13" s="63" t="e">
        <f t="shared" si="38"/>
        <v>#VALUE!</v>
      </c>
      <c r="R13" s="63" t="e">
        <f t="shared" si="39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40"/>
        <v>none</v>
      </c>
      <c r="U13" s="63" t="e">
        <f t="shared" si="41"/>
        <v>#VALUE!</v>
      </c>
      <c r="V13" s="63">
        <f t="shared" si="42"/>
        <v>4</v>
      </c>
      <c r="W13" s="63" t="e">
        <f t="shared" si="43"/>
        <v>#VALUE!</v>
      </c>
      <c r="X13" s="63" t="e">
        <f t="shared" si="4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  <c r="AC13" s="49" t="s">
        <v>226</v>
      </c>
    </row>
    <row r="14" spans="1:29" ht="21" customHeight="1" x14ac:dyDescent="0.15">
      <c r="A14" s="109">
        <v>1122213</v>
      </c>
      <c r="B14" s="47" t="s">
        <v>287</v>
      </c>
      <c r="C14" s="50">
        <v>3</v>
      </c>
      <c r="D14" s="50" t="s">
        <v>211</v>
      </c>
      <c r="E14" s="51" t="s">
        <v>265</v>
      </c>
      <c r="F14" s="51" t="s">
        <v>280</v>
      </c>
      <c r="G14" s="63" t="str">
        <f t="shared" ref="G14:G19" si="60">IFERROR(LEFT(B14,FIND("],",B14)),B14)</f>
        <v>[effect:spread, val:0.39]</v>
      </c>
      <c r="H14" s="63">
        <f t="shared" ref="H14:H19" si="61">FIND("effect:",G14)+7</f>
        <v>9</v>
      </c>
      <c r="I14" s="63">
        <f t="shared" ref="I14:I19" si="62">IFERROR(FIND(",",G14),LEN(G14))</f>
        <v>15</v>
      </c>
      <c r="J14" s="63" t="e">
        <f t="shared" ref="J14:J19" si="63">FIND("target:",G14)+7</f>
        <v>#VALUE!</v>
      </c>
      <c r="K14" s="63" t="e">
        <f t="shared" ref="K14:K19" si="64">FIND(",",G14,I14+1)</f>
        <v>#VALUE!</v>
      </c>
      <c r="L14" s="63" t="str">
        <f>IFERROR(VLOOKUP(MID(G14,J14,K14-J14),[6]skilldef!$C:$D,2,FALSE),"-") &amp; " / " &amp; IFERROR(VLOOKUP(MID(G14,H14,I14-H14),[6]skilldef!$A:$B,2,FALSE),"-")</f>
        <v>- / 全体攻撃</v>
      </c>
      <c r="M14" s="63" t="str">
        <f t="shared" ref="M14:M19" si="65">IFERROR(RIGHT(B14,LEN(B14)-FIND("],",B14)-1),"none")</f>
        <v>none</v>
      </c>
      <c r="N14" s="48" t="str">
        <f>IFERROR(LEFT(M14,FIND("],",M14)+#REF!),M14)</f>
        <v>none</v>
      </c>
      <c r="O14" s="63" t="e">
        <f t="shared" ref="O14:O19" si="66">FIND("effect:",N14)+7</f>
        <v>#VALUE!</v>
      </c>
      <c r="P14" s="63">
        <f t="shared" ref="P14:P19" si="67">IFERROR(FIND(",",N14),LEN(N14))</f>
        <v>4</v>
      </c>
      <c r="Q14" s="63" t="e">
        <f t="shared" ref="Q14:Q19" si="68">FIND("target:",N14)+7</f>
        <v>#VALUE!</v>
      </c>
      <c r="R14" s="63" t="e">
        <f t="shared" ref="R14:R19" si="69">FIND(",",N14,P14+1)</f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ref="T14:T19" si="70">IFERROR(RIGHT(M14,LEN(M14)-FIND("],",M14)-1),"none")</f>
        <v>none</v>
      </c>
      <c r="U14" s="63" t="e">
        <f t="shared" ref="U14:U19" si="71">FIND("effect:",T14)+7</f>
        <v>#VALUE!</v>
      </c>
      <c r="V14" s="63">
        <f t="shared" ref="V14:V19" si="72">IFERROR(FIND(",",T14),LEN(T14))</f>
        <v>4</v>
      </c>
      <c r="W14" s="63" t="e">
        <f t="shared" ref="W14:W19" si="73">FIND("target:",T14)+7</f>
        <v>#VALUE!</v>
      </c>
      <c r="X14" s="63" t="e">
        <f t="shared" ref="X14:X19" si="74">FIND(",",T14,V14+1)</f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9" ht="21" customHeight="1" x14ac:dyDescent="0.15">
      <c r="A15" s="109">
        <v>1122214</v>
      </c>
      <c r="B15" s="47" t="s">
        <v>289</v>
      </c>
      <c r="C15" s="50">
        <v>3</v>
      </c>
      <c r="D15" s="50" t="s">
        <v>211</v>
      </c>
      <c r="E15" s="51" t="s">
        <v>267</v>
      </c>
      <c r="F15" s="51" t="s">
        <v>282</v>
      </c>
      <c r="G15" s="63" t="str">
        <f t="shared" si="60"/>
        <v>[effect:sleep, target:unit_one, turn:2, rate:1, animation:sleep01]</v>
      </c>
      <c r="H15" s="63">
        <f t="shared" si="61"/>
        <v>9</v>
      </c>
      <c r="I15" s="63">
        <f t="shared" si="62"/>
        <v>14</v>
      </c>
      <c r="J15" s="63">
        <f t="shared" si="63"/>
        <v>23</v>
      </c>
      <c r="K15" s="63">
        <f t="shared" si="64"/>
        <v>31</v>
      </c>
      <c r="L15" s="63" t="str">
        <f>IFERROR(VLOOKUP(MID(G15,J15,K15-J15),[6]skilldef!$C:$D,2,FALSE),"-") &amp; " / " &amp; IFERROR(VLOOKUP(MID(G15,H15,I15-H15),[6]skilldef!$A:$B,2,FALSE),"-")</f>
        <v>味方単体に / スリープ</v>
      </c>
      <c r="M15" s="63" t="str">
        <f t="shared" si="65"/>
        <v>[effect:spread, val:0.39]</v>
      </c>
      <c r="N15" s="48" t="str">
        <f>IFERROR(LEFT(M15,FIND("],",M15)+#REF!),M15)</f>
        <v>[effect:spread, val:0.39]</v>
      </c>
      <c r="O15" s="63">
        <f t="shared" si="66"/>
        <v>9</v>
      </c>
      <c r="P15" s="63">
        <f t="shared" si="67"/>
        <v>15</v>
      </c>
      <c r="Q15" s="63" t="e">
        <f t="shared" si="68"/>
        <v>#VALUE!</v>
      </c>
      <c r="R15" s="63" t="e">
        <f t="shared" si="69"/>
        <v>#VALUE!</v>
      </c>
      <c r="S15" s="63" t="str">
        <f>IFERROR(VLOOKUP(MID(N15,Q15,R15-Q15),[6]skilldef!$C:$D,2,FALSE),"-") &amp; " / " &amp; IFERROR(VLOOKUP(MID(N15,O15,P15-O15),[6]skilldef!$A:$B,2,FALSE),"-")</f>
        <v>- / 全体攻撃</v>
      </c>
      <c r="T15" s="48" t="str">
        <f t="shared" si="70"/>
        <v>none</v>
      </c>
      <c r="U15" s="63" t="e">
        <f t="shared" si="71"/>
        <v>#VALUE!</v>
      </c>
      <c r="V15" s="63">
        <f t="shared" si="72"/>
        <v>4</v>
      </c>
      <c r="W15" s="63" t="e">
        <f t="shared" si="73"/>
        <v>#VALUE!</v>
      </c>
      <c r="X15" s="63" t="e">
        <f t="shared" si="7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9" ht="21" customHeight="1" x14ac:dyDescent="0.15">
      <c r="A16" s="109">
        <v>1122215</v>
      </c>
      <c r="B16" s="47" t="s">
        <v>288</v>
      </c>
      <c r="C16" s="50">
        <v>3</v>
      </c>
      <c r="D16" s="50" t="s">
        <v>211</v>
      </c>
      <c r="E16" s="51" t="s">
        <v>272</v>
      </c>
      <c r="F16" s="51" t="s">
        <v>273</v>
      </c>
      <c r="G16" s="63" t="str">
        <f t="shared" si="60"/>
        <v>[effect:spread, val:0.3]</v>
      </c>
      <c r="H16" s="63">
        <f t="shared" si="61"/>
        <v>9</v>
      </c>
      <c r="I16" s="63">
        <f t="shared" si="62"/>
        <v>15</v>
      </c>
      <c r="J16" s="63" t="e">
        <f t="shared" si="63"/>
        <v>#VALUE!</v>
      </c>
      <c r="K16" s="63" t="e">
        <f t="shared" si="64"/>
        <v>#VALUE!</v>
      </c>
      <c r="L16" s="63" t="str">
        <f>IFERROR(VLOOKUP(MID(G16,J16,K16-J16),[6]skilldef!$C:$D,2,FALSE),"-") &amp; " / " &amp; IFERROR(VLOOKUP(MID(G16,H16,I16-H16),[6]skilldef!$A:$B,2,FALSE),"-")</f>
        <v>- / 全体攻撃</v>
      </c>
      <c r="M16" s="63" t="str">
        <f t="shared" si="65"/>
        <v>[effect:hungup, target:unit_all, turn:2, rate:0.5]</v>
      </c>
      <c r="N16" s="48" t="str">
        <f>IFERROR(LEFT(M16,FIND("],",M16)+#REF!),M16)</f>
        <v>[effect:hungup, target:unit_all, turn:2, rate:0.5]</v>
      </c>
      <c r="O16" s="63">
        <f t="shared" si="66"/>
        <v>9</v>
      </c>
      <c r="P16" s="63">
        <f t="shared" si="67"/>
        <v>15</v>
      </c>
      <c r="Q16" s="63">
        <f t="shared" si="68"/>
        <v>24</v>
      </c>
      <c r="R16" s="63">
        <f t="shared" si="69"/>
        <v>32</v>
      </c>
      <c r="S16" s="63" t="str">
        <f>IFERROR(VLOOKUP(MID(N16,Q16,R16-Q16),[6]skilldef!$C:$D,2,FALSE),"-") &amp; " / " &amp; IFERROR(VLOOKUP(MID(N16,O16,P16-O16),[6]skilldef!$A:$B,2,FALSE),"-")</f>
        <v>味方全体に / ハングアップ</v>
      </c>
      <c r="T16" s="48" t="str">
        <f t="shared" si="70"/>
        <v>none</v>
      </c>
      <c r="U16" s="63" t="e">
        <f t="shared" si="71"/>
        <v>#VALUE!</v>
      </c>
      <c r="V16" s="63">
        <f t="shared" si="72"/>
        <v>4</v>
      </c>
      <c r="W16" s="63" t="e">
        <f t="shared" si="73"/>
        <v>#VALUE!</v>
      </c>
      <c r="X16" s="63" t="e">
        <f t="shared" si="7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109">
        <v>1122216</v>
      </c>
      <c r="B17" s="47" t="s">
        <v>283</v>
      </c>
      <c r="C17" s="50">
        <v>3</v>
      </c>
      <c r="D17" s="50" t="s">
        <v>211</v>
      </c>
      <c r="E17" s="51" t="s">
        <v>275</v>
      </c>
      <c r="F17" s="51" t="s">
        <v>210</v>
      </c>
      <c r="G17" s="63" t="str">
        <f t="shared" si="60"/>
        <v>[effect:spread, val:0.4]</v>
      </c>
      <c r="H17" s="63">
        <f t="shared" si="61"/>
        <v>9</v>
      </c>
      <c r="I17" s="63">
        <f t="shared" si="62"/>
        <v>15</v>
      </c>
      <c r="J17" s="63" t="e">
        <f t="shared" si="63"/>
        <v>#VALUE!</v>
      </c>
      <c r="K17" s="63" t="e">
        <f t="shared" si="64"/>
        <v>#VALUE!</v>
      </c>
      <c r="L17" s="63" t="str">
        <f>IFERROR(VLOOKUP(MID(G17,J17,K17-J17),[6]skilldef!$C:$D,2,FALSE),"-") &amp; " / " &amp; IFERROR(VLOOKUP(MID(G17,H17,I17-H17),[6]skilldef!$A:$B,2,FALSE),"-")</f>
        <v>- / 全体攻撃</v>
      </c>
      <c r="M17" s="63" t="str">
        <f t="shared" si="65"/>
        <v>none</v>
      </c>
      <c r="N17" s="48" t="str">
        <f>IFERROR(LEFT(M17,FIND("],",M17)+#REF!),M17)</f>
        <v>none</v>
      </c>
      <c r="O17" s="63" t="e">
        <f t="shared" si="66"/>
        <v>#VALUE!</v>
      </c>
      <c r="P17" s="63">
        <f t="shared" si="67"/>
        <v>4</v>
      </c>
      <c r="Q17" s="63" t="e">
        <f t="shared" si="68"/>
        <v>#VALUE!</v>
      </c>
      <c r="R17" s="63" t="e">
        <f t="shared" si="69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70"/>
        <v>none</v>
      </c>
      <c r="U17" s="63" t="e">
        <f t="shared" si="71"/>
        <v>#VALUE!</v>
      </c>
      <c r="V17" s="63">
        <f t="shared" si="72"/>
        <v>4</v>
      </c>
      <c r="W17" s="63" t="e">
        <f t="shared" si="73"/>
        <v>#VALUE!</v>
      </c>
      <c r="X17" s="63" t="e">
        <f t="shared" si="7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109">
        <v>1122217</v>
      </c>
      <c r="B18" s="47" t="s">
        <v>306</v>
      </c>
      <c r="C18" s="50">
        <v>3</v>
      </c>
      <c r="D18" s="50" t="s">
        <v>211</v>
      </c>
      <c r="E18" s="51" t="s">
        <v>277</v>
      </c>
      <c r="F18" s="51" t="s">
        <v>290</v>
      </c>
      <c r="G18" s="63" t="str">
        <f t="shared" si="60"/>
        <v>[effect:drop_block, block_type:time_bomb, block_color:block_blue, color:block_all, val:0.04, rate:0.3, turn:2, min_time_count:3, max_time_count:4, animation:time_bomb_influence04]</v>
      </c>
      <c r="H18" s="63">
        <f t="shared" si="61"/>
        <v>9</v>
      </c>
      <c r="I18" s="63">
        <f t="shared" si="62"/>
        <v>19</v>
      </c>
      <c r="J18" s="63" t="e">
        <f t="shared" si="63"/>
        <v>#VALUE!</v>
      </c>
      <c r="K18" s="63">
        <f t="shared" si="64"/>
        <v>41</v>
      </c>
      <c r="L18" s="63" t="str">
        <f>IFERROR(VLOOKUP(MID(G18,J18,K18-J18),[6]skilldef!$C:$D,2,FALSE),"-") &amp; " / " &amp; IFERROR(VLOOKUP(MID(G18,H18,I18-H18),[6]skilldef!$A:$B,2,FALSE),"-")</f>
        <v>- / 特定ブロックの割合ドロップ</v>
      </c>
      <c r="M18" s="63" t="str">
        <f t="shared" si="65"/>
        <v>none</v>
      </c>
      <c r="N18" s="48" t="str">
        <f>IFERROR(LEFT(M18,FIND("],",M18)+#REF!),M18)</f>
        <v>none</v>
      </c>
      <c r="O18" s="63" t="e">
        <f t="shared" si="66"/>
        <v>#VALUE!</v>
      </c>
      <c r="P18" s="63">
        <f t="shared" si="67"/>
        <v>4</v>
      </c>
      <c r="Q18" s="63" t="e">
        <f t="shared" si="68"/>
        <v>#VALUE!</v>
      </c>
      <c r="R18" s="63" t="e">
        <f t="shared" si="69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70"/>
        <v>none</v>
      </c>
      <c r="U18" s="63" t="e">
        <f t="shared" si="71"/>
        <v>#VALUE!</v>
      </c>
      <c r="V18" s="63">
        <f t="shared" si="72"/>
        <v>4</v>
      </c>
      <c r="W18" s="63" t="e">
        <f t="shared" si="73"/>
        <v>#VALUE!</v>
      </c>
      <c r="X18" s="63" t="e">
        <f t="shared" si="7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109">
        <v>1122218</v>
      </c>
      <c r="B19" s="47" t="s">
        <v>286</v>
      </c>
      <c r="C19" s="50">
        <v>3</v>
      </c>
      <c r="D19" s="50" t="s">
        <v>211</v>
      </c>
      <c r="E19" s="51" t="s">
        <v>284</v>
      </c>
      <c r="F19" s="51" t="s">
        <v>305</v>
      </c>
      <c r="G19" s="63" t="str">
        <f t="shared" si="60"/>
        <v>[effect:change_block, new_block:time_bomb, target:block_all, count:3, val:0.3, animation:change_block]</v>
      </c>
      <c r="H19" s="63">
        <f t="shared" si="61"/>
        <v>9</v>
      </c>
      <c r="I19" s="63">
        <f t="shared" si="62"/>
        <v>21</v>
      </c>
      <c r="J19" s="63">
        <f t="shared" si="63"/>
        <v>51</v>
      </c>
      <c r="K19" s="63">
        <f t="shared" si="64"/>
        <v>42</v>
      </c>
      <c r="L19" s="63" t="str">
        <f>IFERROR(VLOOKUP(MID(G19,J19,K19-J19),[6]skilldef!$C:$D,2,FALSE),"-") &amp; " / " &amp; IFERROR(VLOOKUP(MID(G19,H19,I19-H19),[6]skilldef!$A:$B,2,FALSE),"-")</f>
        <v>- / ブロック変換</v>
      </c>
      <c r="M19" s="63" t="str">
        <f t="shared" si="65"/>
        <v>none</v>
      </c>
      <c r="N19" s="48" t="str">
        <f>IFERROR(LEFT(M19,FIND("],",M19)+#REF!),M19)</f>
        <v>none</v>
      </c>
      <c r="O19" s="63" t="e">
        <f t="shared" si="66"/>
        <v>#VALUE!</v>
      </c>
      <c r="P19" s="63">
        <f t="shared" si="67"/>
        <v>4</v>
      </c>
      <c r="Q19" s="63" t="e">
        <f t="shared" si="68"/>
        <v>#VALUE!</v>
      </c>
      <c r="R19" s="63" t="e">
        <f t="shared" si="69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70"/>
        <v>none</v>
      </c>
      <c r="U19" s="63" t="e">
        <f t="shared" si="71"/>
        <v>#VALUE!</v>
      </c>
      <c r="V19" s="63">
        <f t="shared" si="72"/>
        <v>4</v>
      </c>
      <c r="W19" s="63" t="e">
        <f t="shared" si="73"/>
        <v>#VALUE!</v>
      </c>
      <c r="X19" s="63" t="e">
        <f t="shared" si="7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9"/>
  <sheetViews>
    <sheetView showGridLines="0" zoomScale="115" zoomScaleNormal="115" zoomScalePageLayoutView="115" workbookViewId="0">
      <pane ySplit="1" topLeftCell="A2" activePane="bottomLeft" state="frozenSplit"/>
      <selection pane="bottomLeft" activeCell="E16" sqref="E1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3" ht="21" customHeight="1" x14ac:dyDescent="0.15">
      <c r="A2" s="47">
        <v>1122201</v>
      </c>
      <c r="B2" s="47">
        <v>0</v>
      </c>
      <c r="C2" s="47" t="s">
        <v>214</v>
      </c>
      <c r="D2" s="47">
        <v>30</v>
      </c>
      <c r="E2" s="47">
        <v>100</v>
      </c>
      <c r="F2" s="47" t="s">
        <v>214</v>
      </c>
      <c r="G2" s="47" t="s">
        <v>214</v>
      </c>
      <c r="H2" s="47" t="s">
        <v>214</v>
      </c>
      <c r="I2" s="47" t="s">
        <v>214</v>
      </c>
      <c r="J2" s="48">
        <f t="shared" ref="J2" si="0">D2</f>
        <v>30</v>
      </c>
    </row>
    <row r="3" spans="1:13" ht="21" customHeight="1" x14ac:dyDescent="0.15">
      <c r="A3" s="47">
        <v>1122202</v>
      </c>
      <c r="B3" s="47">
        <v>0</v>
      </c>
      <c r="C3" s="47" t="s">
        <v>214</v>
      </c>
      <c r="D3" s="47">
        <v>30</v>
      </c>
      <c r="E3" s="47">
        <v>100</v>
      </c>
      <c r="F3" s="47" t="s">
        <v>214</v>
      </c>
      <c r="G3" s="47" t="s">
        <v>214</v>
      </c>
      <c r="H3" s="47" t="s">
        <v>214</v>
      </c>
      <c r="I3" s="47" t="s">
        <v>214</v>
      </c>
      <c r="J3" s="48">
        <f t="shared" ref="J3" si="1">D3</f>
        <v>30</v>
      </c>
    </row>
    <row r="4" spans="1:13" ht="21" customHeight="1" x14ac:dyDescent="0.15">
      <c r="A4" s="47">
        <v>1122203</v>
      </c>
      <c r="B4" s="47">
        <v>0</v>
      </c>
      <c r="C4" s="47" t="s">
        <v>214</v>
      </c>
      <c r="D4" s="47">
        <v>100</v>
      </c>
      <c r="E4" s="47">
        <v>100</v>
      </c>
      <c r="F4" s="47" t="s">
        <v>214</v>
      </c>
      <c r="G4" s="47" t="s">
        <v>214</v>
      </c>
      <c r="H4" s="47">
        <v>3</v>
      </c>
      <c r="I4" s="47" t="s">
        <v>214</v>
      </c>
      <c r="J4" s="48">
        <f t="shared" ref="J4:J8" si="2">D4</f>
        <v>100</v>
      </c>
    </row>
    <row r="5" spans="1:13" ht="21" customHeight="1" x14ac:dyDescent="0.15">
      <c r="A5" s="47">
        <v>1122204</v>
      </c>
      <c r="B5" s="47">
        <v>0</v>
      </c>
      <c r="C5" s="47" t="s">
        <v>214</v>
      </c>
      <c r="D5" s="47">
        <v>30</v>
      </c>
      <c r="E5" s="47">
        <v>100</v>
      </c>
      <c r="F5" s="47" t="s">
        <v>214</v>
      </c>
      <c r="G5" s="47" t="s">
        <v>214</v>
      </c>
      <c r="H5" s="47" t="s">
        <v>214</v>
      </c>
      <c r="I5" s="47" t="s">
        <v>214</v>
      </c>
      <c r="J5" s="48">
        <f t="shared" si="2"/>
        <v>30</v>
      </c>
    </row>
    <row r="6" spans="1:13" ht="21" customHeight="1" x14ac:dyDescent="0.15">
      <c r="A6" s="47">
        <v>1122205</v>
      </c>
      <c r="B6" s="47">
        <v>0</v>
      </c>
      <c r="C6" s="47" t="s">
        <v>214</v>
      </c>
      <c r="D6" s="47">
        <v>100</v>
      </c>
      <c r="E6" s="47">
        <v>100</v>
      </c>
      <c r="F6" s="47" t="s">
        <v>214</v>
      </c>
      <c r="G6" s="47" t="s">
        <v>214</v>
      </c>
      <c r="H6" s="47">
        <v>3</v>
      </c>
      <c r="I6" s="47" t="s">
        <v>214</v>
      </c>
      <c r="J6" s="48">
        <f t="shared" si="2"/>
        <v>100</v>
      </c>
    </row>
    <row r="7" spans="1:13" ht="21" customHeight="1" x14ac:dyDescent="0.15">
      <c r="A7" s="47">
        <v>1122206</v>
      </c>
      <c r="B7" s="47">
        <v>0</v>
      </c>
      <c r="C7" s="47" t="s">
        <v>214</v>
      </c>
      <c r="D7" s="47">
        <v>30</v>
      </c>
      <c r="E7" s="47">
        <v>100</v>
      </c>
      <c r="F7" s="47" t="s">
        <v>214</v>
      </c>
      <c r="G7" s="47" t="s">
        <v>214</v>
      </c>
      <c r="H7" s="47" t="s">
        <v>214</v>
      </c>
      <c r="I7" s="47" t="s">
        <v>214</v>
      </c>
      <c r="J7" s="48">
        <f t="shared" si="2"/>
        <v>30</v>
      </c>
    </row>
    <row r="8" spans="1:13" ht="21" customHeight="1" x14ac:dyDescent="0.15">
      <c r="A8" s="47">
        <v>1122207</v>
      </c>
      <c r="B8" s="47">
        <v>0</v>
      </c>
      <c r="C8" s="47">
        <v>1</v>
      </c>
      <c r="D8" s="47">
        <v>100</v>
      </c>
      <c r="E8" s="47">
        <v>75</v>
      </c>
      <c r="F8" s="47" t="s">
        <v>214</v>
      </c>
      <c r="G8" s="47" t="s">
        <v>214</v>
      </c>
      <c r="H8" s="47" t="s">
        <v>214</v>
      </c>
      <c r="I8" s="47" t="s">
        <v>214</v>
      </c>
      <c r="J8" s="48">
        <f t="shared" si="2"/>
        <v>100</v>
      </c>
    </row>
    <row r="9" spans="1:13" ht="21" customHeight="1" x14ac:dyDescent="0.15">
      <c r="A9" s="47">
        <v>1122208</v>
      </c>
      <c r="B9" s="47">
        <v>0</v>
      </c>
      <c r="C9" s="47" t="s">
        <v>214</v>
      </c>
      <c r="D9" s="47">
        <v>30</v>
      </c>
      <c r="E9" s="47">
        <v>100</v>
      </c>
      <c r="F9" s="47" t="s">
        <v>214</v>
      </c>
      <c r="G9" s="47">
        <v>1</v>
      </c>
      <c r="H9" s="47" t="s">
        <v>214</v>
      </c>
      <c r="I9" s="47" t="s">
        <v>214</v>
      </c>
      <c r="J9" s="48">
        <f t="shared" ref="J9" si="3">D9</f>
        <v>30</v>
      </c>
    </row>
    <row r="10" spans="1:13" ht="21" customHeight="1" x14ac:dyDescent="0.15">
      <c r="A10" s="109">
        <v>1122209</v>
      </c>
      <c r="B10" s="47">
        <v>0</v>
      </c>
      <c r="C10" s="47" t="s">
        <v>214</v>
      </c>
      <c r="D10" s="47">
        <v>30</v>
      </c>
      <c r="E10" s="47">
        <v>100</v>
      </c>
      <c r="F10" s="47" t="s">
        <v>214</v>
      </c>
      <c r="G10" s="47">
        <v>1</v>
      </c>
      <c r="H10" s="47" t="s">
        <v>214</v>
      </c>
      <c r="I10" s="47" t="s">
        <v>214</v>
      </c>
      <c r="J10" s="48">
        <f t="shared" ref="J10:J18" si="4">D10</f>
        <v>30</v>
      </c>
      <c r="L10" s="45" t="s">
        <v>255</v>
      </c>
      <c r="M10" s="45" t="s">
        <v>257</v>
      </c>
    </row>
    <row r="11" spans="1:13" ht="21" customHeight="1" x14ac:dyDescent="0.15">
      <c r="A11" s="109">
        <v>1122210</v>
      </c>
      <c r="B11" s="47">
        <v>0</v>
      </c>
      <c r="C11" s="47" t="s">
        <v>214</v>
      </c>
      <c r="D11" s="47">
        <v>30</v>
      </c>
      <c r="E11" s="47">
        <v>100</v>
      </c>
      <c r="F11" s="47" t="s">
        <v>214</v>
      </c>
      <c r="G11" s="47">
        <v>1</v>
      </c>
      <c r="H11" s="47" t="s">
        <v>214</v>
      </c>
      <c r="I11" s="47" t="s">
        <v>214</v>
      </c>
      <c r="J11" s="48">
        <f t="shared" si="4"/>
        <v>30</v>
      </c>
      <c r="L11" s="45" t="s">
        <v>268</v>
      </c>
      <c r="M11" s="45" t="s">
        <v>269</v>
      </c>
    </row>
    <row r="12" spans="1:13" ht="21" customHeight="1" x14ac:dyDescent="0.15">
      <c r="A12" s="109">
        <v>1122211</v>
      </c>
      <c r="B12" s="47">
        <v>0</v>
      </c>
      <c r="C12" s="47" t="s">
        <v>214</v>
      </c>
      <c r="D12" s="47">
        <v>100</v>
      </c>
      <c r="E12" s="47">
        <v>100</v>
      </c>
      <c r="F12" s="47" t="s">
        <v>214</v>
      </c>
      <c r="G12" s="47" t="s">
        <v>214</v>
      </c>
      <c r="H12" s="47">
        <v>1</v>
      </c>
      <c r="I12" s="47" t="s">
        <v>214</v>
      </c>
      <c r="J12" s="48">
        <f t="shared" si="4"/>
        <v>100</v>
      </c>
      <c r="L12" s="45" t="s">
        <v>261</v>
      </c>
      <c r="M12" s="45" t="s">
        <v>263</v>
      </c>
    </row>
    <row r="13" spans="1:13" ht="21" customHeight="1" x14ac:dyDescent="0.15">
      <c r="A13" s="109">
        <v>1122212</v>
      </c>
      <c r="B13" s="47">
        <v>0</v>
      </c>
      <c r="C13" s="47">
        <v>1</v>
      </c>
      <c r="D13" s="47">
        <v>100</v>
      </c>
      <c r="E13" s="47">
        <v>100</v>
      </c>
      <c r="F13" s="47" t="s">
        <v>214</v>
      </c>
      <c r="G13" s="47" t="s">
        <v>214</v>
      </c>
      <c r="H13" s="47">
        <v>2</v>
      </c>
      <c r="I13" s="47" t="s">
        <v>214</v>
      </c>
      <c r="J13" s="48">
        <f t="shared" si="4"/>
        <v>100</v>
      </c>
      <c r="L13" s="45" t="s">
        <v>262</v>
      </c>
      <c r="M13" s="45" t="s">
        <v>259</v>
      </c>
    </row>
    <row r="14" spans="1:13" ht="21" customHeight="1" x14ac:dyDescent="0.15">
      <c r="A14" s="109">
        <v>1122213</v>
      </c>
      <c r="B14" s="47">
        <v>0</v>
      </c>
      <c r="C14" s="47" t="s">
        <v>214</v>
      </c>
      <c r="D14" s="47">
        <v>30</v>
      </c>
      <c r="E14" s="47">
        <v>100</v>
      </c>
      <c r="F14" s="47" t="s">
        <v>214</v>
      </c>
      <c r="G14" s="47" t="s">
        <v>214</v>
      </c>
      <c r="H14" s="47" t="s">
        <v>214</v>
      </c>
      <c r="I14" s="47" t="s">
        <v>214</v>
      </c>
      <c r="J14" s="48">
        <f t="shared" si="4"/>
        <v>30</v>
      </c>
      <c r="L14" s="45" t="s">
        <v>264</v>
      </c>
      <c r="M14" s="45" t="s">
        <v>279</v>
      </c>
    </row>
    <row r="15" spans="1:13" ht="21" customHeight="1" x14ac:dyDescent="0.15">
      <c r="A15" s="109">
        <v>1122214</v>
      </c>
      <c r="B15" s="47">
        <v>0</v>
      </c>
      <c r="C15" s="47">
        <v>1</v>
      </c>
      <c r="D15" s="47">
        <v>100</v>
      </c>
      <c r="E15" s="47">
        <v>100</v>
      </c>
      <c r="F15" s="47" t="s">
        <v>214</v>
      </c>
      <c r="G15" s="47">
        <v>4</v>
      </c>
      <c r="H15" s="47">
        <v>2</v>
      </c>
      <c r="I15" s="47" t="s">
        <v>214</v>
      </c>
      <c r="J15" s="48">
        <f t="shared" si="4"/>
        <v>100</v>
      </c>
      <c r="L15" s="45" t="s">
        <v>266</v>
      </c>
      <c r="M15" s="45" t="s">
        <v>278</v>
      </c>
    </row>
    <row r="16" spans="1:13" ht="21" customHeight="1" x14ac:dyDescent="0.15">
      <c r="A16" s="109">
        <v>1122215</v>
      </c>
      <c r="B16" s="47">
        <v>0</v>
      </c>
      <c r="C16" s="47" t="s">
        <v>214</v>
      </c>
      <c r="D16" s="47">
        <v>30</v>
      </c>
      <c r="E16" s="47">
        <v>100</v>
      </c>
      <c r="F16" s="47" t="s">
        <v>214</v>
      </c>
      <c r="G16" s="47" t="s">
        <v>214</v>
      </c>
      <c r="H16" s="47" t="s">
        <v>214</v>
      </c>
      <c r="I16" s="47" t="s">
        <v>214</v>
      </c>
      <c r="J16" s="48">
        <f t="shared" si="4"/>
        <v>30</v>
      </c>
      <c r="L16" s="45" t="s">
        <v>272</v>
      </c>
      <c r="M16" s="45" t="s">
        <v>273</v>
      </c>
    </row>
    <row r="17" spans="1:13" ht="21" customHeight="1" x14ac:dyDescent="0.15">
      <c r="A17" s="109">
        <v>1122216</v>
      </c>
      <c r="B17" s="47">
        <v>0</v>
      </c>
      <c r="C17" s="47" t="s">
        <v>214</v>
      </c>
      <c r="D17" s="47">
        <v>30</v>
      </c>
      <c r="E17" s="47">
        <v>100</v>
      </c>
      <c r="F17" s="47" t="s">
        <v>214</v>
      </c>
      <c r="G17" s="47" t="s">
        <v>214</v>
      </c>
      <c r="H17" s="47" t="s">
        <v>214</v>
      </c>
      <c r="I17" s="47" t="s">
        <v>214</v>
      </c>
      <c r="J17" s="48">
        <f t="shared" si="4"/>
        <v>30</v>
      </c>
      <c r="L17" s="45" t="s">
        <v>274</v>
      </c>
      <c r="M17" s="45" t="s">
        <v>210</v>
      </c>
    </row>
    <row r="18" spans="1:13" ht="21" customHeight="1" x14ac:dyDescent="0.15">
      <c r="A18" s="109">
        <v>1122217</v>
      </c>
      <c r="B18" s="47">
        <v>0</v>
      </c>
      <c r="C18" s="47">
        <v>1</v>
      </c>
      <c r="D18" s="47">
        <v>100</v>
      </c>
      <c r="E18" s="47">
        <v>100</v>
      </c>
      <c r="F18" s="47" t="s">
        <v>214</v>
      </c>
      <c r="G18" s="47">
        <v>2</v>
      </c>
      <c r="H18" s="47">
        <v>2</v>
      </c>
      <c r="I18" s="47" t="s">
        <v>214</v>
      </c>
      <c r="J18" s="48">
        <f t="shared" si="4"/>
        <v>100</v>
      </c>
      <c r="L18" s="45" t="s">
        <v>276</v>
      </c>
      <c r="M18" s="45" t="s">
        <v>281</v>
      </c>
    </row>
    <row r="19" spans="1:13" ht="21" customHeight="1" x14ac:dyDescent="0.15">
      <c r="A19" s="109">
        <v>1122218</v>
      </c>
      <c r="B19" s="47">
        <v>0</v>
      </c>
      <c r="C19" s="47">
        <v>1</v>
      </c>
      <c r="D19" s="47">
        <v>30</v>
      </c>
      <c r="E19" s="47">
        <v>100</v>
      </c>
      <c r="F19" s="47" t="s">
        <v>214</v>
      </c>
      <c r="G19" s="47">
        <v>1</v>
      </c>
      <c r="H19" s="47" t="s">
        <v>214</v>
      </c>
      <c r="I19" s="47" t="s">
        <v>214</v>
      </c>
      <c r="J19" s="48">
        <f t="shared" ref="J19" si="5">D19</f>
        <v>30</v>
      </c>
      <c r="L19" s="45" t="s">
        <v>284</v>
      </c>
      <c r="M19" s="45" t="s">
        <v>285</v>
      </c>
    </row>
  </sheetData>
  <autoFilter ref="A1:G1"/>
  <phoneticPr fontId="5"/>
  <conditionalFormatting sqref="K3">
    <cfRule type="duplicateValues" dxfId="5" priority="5"/>
  </conditionalFormatting>
  <conditionalFormatting sqref="K4:K8">
    <cfRule type="duplicateValues" dxfId="4" priority="4"/>
  </conditionalFormatting>
  <conditionalFormatting sqref="K9">
    <cfRule type="duplicateValues" dxfId="3" priority="3"/>
  </conditionalFormatting>
  <conditionalFormatting sqref="K1:K2 K20:K1048576">
    <cfRule type="duplicateValues" dxfId="2" priority="7"/>
  </conditionalFormatting>
  <conditionalFormatting sqref="K10:K18">
    <cfRule type="duplicateValues" dxfId="1" priority="10"/>
  </conditionalFormatting>
  <conditionalFormatting sqref="K1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5"/>
  <sheetViews>
    <sheetView topLeftCell="A35" workbookViewId="0">
      <selection activeCell="I50" sqref="I5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147</v>
      </c>
      <c r="B1" s="64" t="s">
        <v>148</v>
      </c>
      <c r="C1" s="65" t="s">
        <v>149</v>
      </c>
      <c r="D1" s="72" t="s">
        <v>150</v>
      </c>
      <c r="E1" s="66" t="s">
        <v>151</v>
      </c>
      <c r="F1" s="64" t="s">
        <v>152</v>
      </c>
      <c r="G1" s="64" t="s">
        <v>153</v>
      </c>
      <c r="H1" s="64" t="s">
        <v>154</v>
      </c>
      <c r="I1" s="64" t="s">
        <v>155</v>
      </c>
      <c r="J1" s="64" t="s">
        <v>156</v>
      </c>
      <c r="K1" s="64" t="s">
        <v>157</v>
      </c>
      <c r="L1" s="64" t="s">
        <v>158</v>
      </c>
      <c r="M1" s="64" t="s">
        <v>159</v>
      </c>
      <c r="N1" s="64" t="s">
        <v>160</v>
      </c>
      <c r="O1" s="64" t="s">
        <v>161</v>
      </c>
      <c r="P1" s="64" t="s">
        <v>162</v>
      </c>
      <c r="Q1" s="64" t="s">
        <v>163</v>
      </c>
      <c r="R1" s="64" t="s">
        <v>164</v>
      </c>
    </row>
    <row r="2" spans="1:18" x14ac:dyDescent="0.15">
      <c r="A2" s="101">
        <v>11002</v>
      </c>
      <c r="B2" s="57">
        <v>10</v>
      </c>
      <c r="C2" s="71" t="str">
        <f>A2&amp; "_"&amp;B2</f>
        <v>11002_10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215</v>
      </c>
      <c r="G2" s="102">
        <v>356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25</v>
      </c>
      <c r="Q2" s="57" t="s">
        <v>165</v>
      </c>
      <c r="R2" s="57" t="s">
        <v>166</v>
      </c>
    </row>
    <row r="3" spans="1:18" x14ac:dyDescent="0.15">
      <c r="A3" s="101">
        <v>11002</v>
      </c>
      <c r="B3" s="57">
        <v>10</v>
      </c>
      <c r="C3" s="71" t="str">
        <f t="shared" ref="C3:C15" si="0">A3&amp; "_"&amp;B3</f>
        <v>11002_10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215</v>
      </c>
      <c r="G3" s="102">
        <v>332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</v>
      </c>
      <c r="Q3" s="57" t="s">
        <v>165</v>
      </c>
      <c r="R3" s="57" t="s">
        <v>166</v>
      </c>
    </row>
    <row r="4" spans="1:18" x14ac:dyDescent="0.15">
      <c r="A4" s="101">
        <v>11002</v>
      </c>
      <c r="B4" s="57">
        <v>10</v>
      </c>
      <c r="C4" s="71" t="str">
        <f t="shared" si="0"/>
        <v>11002_10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215</v>
      </c>
      <c r="G4" s="102">
        <v>333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34</v>
      </c>
      <c r="Q4" s="57" t="s">
        <v>165</v>
      </c>
      <c r="R4" s="57" t="s">
        <v>166</v>
      </c>
    </row>
    <row r="5" spans="1:18" x14ac:dyDescent="0.15">
      <c r="A5" s="101">
        <v>11002</v>
      </c>
      <c r="B5" s="57">
        <v>10</v>
      </c>
      <c r="C5" s="71" t="str">
        <f t="shared" si="0"/>
        <v>11002_10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215</v>
      </c>
      <c r="G5" s="102">
        <v>121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10</v>
      </c>
      <c r="Q5" s="57" t="s">
        <v>165</v>
      </c>
      <c r="R5" s="57" t="s">
        <v>166</v>
      </c>
    </row>
    <row r="6" spans="1:18" x14ac:dyDescent="0.15">
      <c r="A6" s="101">
        <v>11002</v>
      </c>
      <c r="B6" s="57">
        <v>10</v>
      </c>
      <c r="C6" s="71" t="str">
        <f t="shared" si="0"/>
        <v>11002_10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215</v>
      </c>
      <c r="G6" s="102">
        <v>122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104">
        <v>10</v>
      </c>
      <c r="Q6" s="57" t="s">
        <v>165</v>
      </c>
      <c r="R6" s="57" t="s">
        <v>166</v>
      </c>
    </row>
    <row r="7" spans="1:18" x14ac:dyDescent="0.15">
      <c r="A7" s="101">
        <v>11002</v>
      </c>
      <c r="B7" s="57">
        <v>10</v>
      </c>
      <c r="C7" s="71" t="str">
        <f t="shared" si="0"/>
        <v>11002_10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215</v>
      </c>
      <c r="G7" s="102">
        <v>123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104">
        <v>10</v>
      </c>
      <c r="Q7" s="57" t="s">
        <v>165</v>
      </c>
      <c r="R7" s="57" t="s">
        <v>166</v>
      </c>
    </row>
    <row r="8" spans="1:18" x14ac:dyDescent="0.15">
      <c r="A8" s="101">
        <v>11002</v>
      </c>
      <c r="B8" s="57">
        <v>10</v>
      </c>
      <c r="C8" s="71" t="str">
        <f t="shared" si="0"/>
        <v>11002_10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215</v>
      </c>
      <c r="G8" s="102">
        <v>125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104">
        <v>1</v>
      </c>
      <c r="Q8" s="57" t="s">
        <v>165</v>
      </c>
      <c r="R8" s="57" t="s">
        <v>166</v>
      </c>
    </row>
    <row r="9" spans="1:18" x14ac:dyDescent="0.15">
      <c r="A9" s="101">
        <v>11004</v>
      </c>
      <c r="B9" s="57">
        <v>10</v>
      </c>
      <c r="C9" s="71" t="str">
        <f t="shared" si="0"/>
        <v>11004_10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215</v>
      </c>
      <c r="G9" s="103">
        <v>357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25</v>
      </c>
      <c r="Q9" s="57" t="s">
        <v>165</v>
      </c>
      <c r="R9" s="57" t="s">
        <v>166</v>
      </c>
    </row>
    <row r="10" spans="1:18" x14ac:dyDescent="0.15">
      <c r="A10" s="101">
        <v>11004</v>
      </c>
      <c r="B10" s="57">
        <v>10</v>
      </c>
      <c r="C10" s="71" t="str">
        <f t="shared" si="0"/>
        <v>11004_10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215</v>
      </c>
      <c r="G10" s="103">
        <v>336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</v>
      </c>
      <c r="Q10" s="57" t="s">
        <v>165</v>
      </c>
      <c r="R10" s="57" t="s">
        <v>166</v>
      </c>
    </row>
    <row r="11" spans="1:18" x14ac:dyDescent="0.15">
      <c r="A11" s="101">
        <v>11004</v>
      </c>
      <c r="B11" s="57">
        <v>10</v>
      </c>
      <c r="C11" s="71" t="str">
        <f t="shared" si="0"/>
        <v>11004_10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215</v>
      </c>
      <c r="G11" s="103">
        <v>337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34</v>
      </c>
      <c r="Q11" s="57" t="s">
        <v>165</v>
      </c>
      <c r="R11" s="57" t="s">
        <v>166</v>
      </c>
    </row>
    <row r="12" spans="1:18" x14ac:dyDescent="0.15">
      <c r="A12" s="101">
        <v>11004</v>
      </c>
      <c r="B12" s="57">
        <v>10</v>
      </c>
      <c r="C12" s="71" t="str">
        <f t="shared" si="0"/>
        <v>11004_10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215</v>
      </c>
      <c r="G12" s="103">
        <v>121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10</v>
      </c>
      <c r="Q12" s="57" t="s">
        <v>165</v>
      </c>
      <c r="R12" s="57" t="s">
        <v>166</v>
      </c>
    </row>
    <row r="13" spans="1:18" x14ac:dyDescent="0.15">
      <c r="A13" s="101">
        <v>11004</v>
      </c>
      <c r="B13" s="57">
        <v>10</v>
      </c>
      <c r="C13" s="71" t="str">
        <f t="shared" si="0"/>
        <v>11004_10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215</v>
      </c>
      <c r="G13" s="103">
        <v>122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104">
        <v>10</v>
      </c>
      <c r="Q13" s="57" t="s">
        <v>165</v>
      </c>
      <c r="R13" s="57" t="s">
        <v>166</v>
      </c>
    </row>
    <row r="14" spans="1:18" x14ac:dyDescent="0.15">
      <c r="A14" s="101">
        <v>11004</v>
      </c>
      <c r="B14" s="57">
        <v>10</v>
      </c>
      <c r="C14" s="71" t="str">
        <f t="shared" si="0"/>
        <v>11004_10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215</v>
      </c>
      <c r="G14" s="103">
        <v>123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104">
        <v>10</v>
      </c>
      <c r="Q14" s="57" t="s">
        <v>165</v>
      </c>
      <c r="R14" s="57" t="s">
        <v>166</v>
      </c>
    </row>
    <row r="15" spans="1:18" x14ac:dyDescent="0.15">
      <c r="A15" s="101">
        <v>11004</v>
      </c>
      <c r="B15" s="57">
        <v>10</v>
      </c>
      <c r="C15" s="71" t="str">
        <f t="shared" si="0"/>
        <v>11004_10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215</v>
      </c>
      <c r="G15" s="103">
        <v>125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104">
        <v>1</v>
      </c>
      <c r="Q15" s="57" t="s">
        <v>165</v>
      </c>
      <c r="R15" s="57" t="s">
        <v>166</v>
      </c>
    </row>
    <row r="16" spans="1:18" x14ac:dyDescent="0.15">
      <c r="A16" s="101">
        <v>11102</v>
      </c>
      <c r="B16" s="57">
        <v>10</v>
      </c>
      <c r="C16" s="71" t="str">
        <f>A16&amp; "_"&amp;B16</f>
        <v>11102_10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</v>
      </c>
      <c r="F16" s="57" t="s">
        <v>215</v>
      </c>
      <c r="G16" s="102">
        <v>356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25</v>
      </c>
      <c r="Q16" s="57" t="s">
        <v>165</v>
      </c>
      <c r="R16" s="57" t="s">
        <v>166</v>
      </c>
    </row>
    <row r="17" spans="1:18" x14ac:dyDescent="0.15">
      <c r="A17" s="101">
        <v>11102</v>
      </c>
      <c r="B17" s="57">
        <v>10</v>
      </c>
      <c r="C17" s="71" t="str">
        <f t="shared" ref="C17:C29" si="1">A17&amp; "_"&amp;B17</f>
        <v>11102_10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2</v>
      </c>
      <c r="F17" s="57" t="s">
        <v>215</v>
      </c>
      <c r="G17" s="102">
        <v>332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10</v>
      </c>
      <c r="Q17" s="57" t="s">
        <v>165</v>
      </c>
      <c r="R17" s="57" t="s">
        <v>166</v>
      </c>
    </row>
    <row r="18" spans="1:18" x14ac:dyDescent="0.15">
      <c r="A18" s="101">
        <v>11102</v>
      </c>
      <c r="B18" s="57">
        <v>10</v>
      </c>
      <c r="C18" s="71" t="str">
        <f t="shared" si="1"/>
        <v>11102_10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3</v>
      </c>
      <c r="F18" s="57" t="s">
        <v>215</v>
      </c>
      <c r="G18" s="102">
        <v>333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34</v>
      </c>
      <c r="Q18" s="57" t="s">
        <v>165</v>
      </c>
      <c r="R18" s="57" t="s">
        <v>166</v>
      </c>
    </row>
    <row r="19" spans="1:18" x14ac:dyDescent="0.15">
      <c r="A19" s="101">
        <v>11102</v>
      </c>
      <c r="B19" s="57">
        <v>10</v>
      </c>
      <c r="C19" s="71" t="str">
        <f t="shared" si="1"/>
        <v>11102_10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4</v>
      </c>
      <c r="F19" s="57" t="s">
        <v>215</v>
      </c>
      <c r="G19" s="102">
        <v>121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10</v>
      </c>
      <c r="Q19" s="57" t="s">
        <v>165</v>
      </c>
      <c r="R19" s="57" t="s">
        <v>166</v>
      </c>
    </row>
    <row r="20" spans="1:18" x14ac:dyDescent="0.15">
      <c r="A20" s="101">
        <v>11102</v>
      </c>
      <c r="B20" s="57">
        <v>10</v>
      </c>
      <c r="C20" s="71" t="str">
        <f t="shared" si="1"/>
        <v>11102_10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5</v>
      </c>
      <c r="F20" s="57" t="s">
        <v>215</v>
      </c>
      <c r="G20" s="102">
        <v>122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104">
        <v>10</v>
      </c>
      <c r="Q20" s="57" t="s">
        <v>165</v>
      </c>
      <c r="R20" s="57" t="s">
        <v>166</v>
      </c>
    </row>
    <row r="21" spans="1:18" x14ac:dyDescent="0.15">
      <c r="A21" s="101">
        <v>11102</v>
      </c>
      <c r="B21" s="57">
        <v>10</v>
      </c>
      <c r="C21" s="71" t="str">
        <f t="shared" si="1"/>
        <v>11102_10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6</v>
      </c>
      <c r="F21" s="57" t="s">
        <v>215</v>
      </c>
      <c r="G21" s="102">
        <v>123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104">
        <v>10</v>
      </c>
      <c r="Q21" s="57" t="s">
        <v>165</v>
      </c>
      <c r="R21" s="57" t="s">
        <v>166</v>
      </c>
    </row>
    <row r="22" spans="1:18" x14ac:dyDescent="0.15">
      <c r="A22" s="101">
        <v>11102</v>
      </c>
      <c r="B22" s="57">
        <v>10</v>
      </c>
      <c r="C22" s="71" t="str">
        <f t="shared" si="1"/>
        <v>11102_10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7">
        <v>7</v>
      </c>
      <c r="F22" s="57" t="s">
        <v>215</v>
      </c>
      <c r="G22" s="102">
        <v>125</v>
      </c>
      <c r="H22" s="57">
        <v>1</v>
      </c>
      <c r="I22" s="57">
        <v>1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104">
        <v>1</v>
      </c>
      <c r="Q22" s="57" t="s">
        <v>165</v>
      </c>
      <c r="R22" s="57" t="s">
        <v>166</v>
      </c>
    </row>
    <row r="23" spans="1:18" x14ac:dyDescent="0.15">
      <c r="A23" s="101">
        <v>11104</v>
      </c>
      <c r="B23" s="57">
        <v>10</v>
      </c>
      <c r="C23" s="71" t="str">
        <f t="shared" si="1"/>
        <v>11104_10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8</v>
      </c>
      <c r="F23" s="57" t="s">
        <v>215</v>
      </c>
      <c r="G23" s="103">
        <v>357</v>
      </c>
      <c r="H23" s="57">
        <v>1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25</v>
      </c>
      <c r="Q23" s="57" t="s">
        <v>165</v>
      </c>
      <c r="R23" s="57" t="s">
        <v>166</v>
      </c>
    </row>
    <row r="24" spans="1:18" x14ac:dyDescent="0.15">
      <c r="A24" s="101">
        <v>11104</v>
      </c>
      <c r="B24" s="57">
        <v>10</v>
      </c>
      <c r="C24" s="71" t="str">
        <f t="shared" si="1"/>
        <v>11104_10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9</v>
      </c>
      <c r="F24" s="57" t="s">
        <v>215</v>
      </c>
      <c r="G24" s="103">
        <v>336</v>
      </c>
      <c r="H24" s="57">
        <v>1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10</v>
      </c>
      <c r="Q24" s="57" t="s">
        <v>165</v>
      </c>
      <c r="R24" s="57" t="s">
        <v>166</v>
      </c>
    </row>
    <row r="25" spans="1:18" x14ac:dyDescent="0.15">
      <c r="A25" s="101">
        <v>11104</v>
      </c>
      <c r="B25" s="57">
        <v>10</v>
      </c>
      <c r="C25" s="71" t="str">
        <f t="shared" si="1"/>
        <v>11104_10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10</v>
      </c>
      <c r="F25" s="57" t="s">
        <v>215</v>
      </c>
      <c r="G25" s="103">
        <v>337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34</v>
      </c>
      <c r="Q25" s="57" t="s">
        <v>165</v>
      </c>
      <c r="R25" s="57" t="s">
        <v>166</v>
      </c>
    </row>
    <row r="26" spans="1:18" x14ac:dyDescent="0.15">
      <c r="A26" s="101">
        <v>11104</v>
      </c>
      <c r="B26" s="57">
        <v>10</v>
      </c>
      <c r="C26" s="71" t="str">
        <f t="shared" si="1"/>
        <v>11104_10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11</v>
      </c>
      <c r="F26" s="57" t="s">
        <v>215</v>
      </c>
      <c r="G26" s="103">
        <v>121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10</v>
      </c>
      <c r="Q26" s="57" t="s">
        <v>165</v>
      </c>
      <c r="R26" s="57" t="s">
        <v>166</v>
      </c>
    </row>
    <row r="27" spans="1:18" x14ac:dyDescent="0.15">
      <c r="A27" s="101">
        <v>11104</v>
      </c>
      <c r="B27" s="57">
        <v>10</v>
      </c>
      <c r="C27" s="71" t="str">
        <f t="shared" si="1"/>
        <v>11104_10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12</v>
      </c>
      <c r="F27" s="57" t="s">
        <v>215</v>
      </c>
      <c r="G27" s="103">
        <v>122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104">
        <v>10</v>
      </c>
      <c r="Q27" s="57" t="s">
        <v>165</v>
      </c>
      <c r="R27" s="57" t="s">
        <v>166</v>
      </c>
    </row>
    <row r="28" spans="1:18" x14ac:dyDescent="0.15">
      <c r="A28" s="101">
        <v>11104</v>
      </c>
      <c r="B28" s="57">
        <v>10</v>
      </c>
      <c r="C28" s="71" t="str">
        <f t="shared" si="1"/>
        <v>11104_10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13</v>
      </c>
      <c r="F28" s="57" t="s">
        <v>215</v>
      </c>
      <c r="G28" s="103">
        <v>123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104">
        <v>10</v>
      </c>
      <c r="Q28" s="57" t="s">
        <v>165</v>
      </c>
      <c r="R28" s="57" t="s">
        <v>166</v>
      </c>
    </row>
    <row r="29" spans="1:18" x14ac:dyDescent="0.15">
      <c r="A29" s="101">
        <v>11104</v>
      </c>
      <c r="B29" s="57">
        <v>10</v>
      </c>
      <c r="C29" s="71" t="str">
        <f t="shared" si="1"/>
        <v>11104_10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14</v>
      </c>
      <c r="F29" s="57" t="s">
        <v>215</v>
      </c>
      <c r="G29" s="103">
        <v>125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104">
        <v>1</v>
      </c>
      <c r="Q29" s="57" t="s">
        <v>165</v>
      </c>
      <c r="R29" s="57" t="s">
        <v>166</v>
      </c>
    </row>
    <row r="30" spans="1:18" x14ac:dyDescent="0.15">
      <c r="A30" s="101">
        <v>11001</v>
      </c>
      <c r="B30" s="57">
        <v>10</v>
      </c>
      <c r="C30" s="71" t="str">
        <f>A30&amp; "_"&amp;B30</f>
        <v>11001_10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1</v>
      </c>
      <c r="F30" s="57" t="s">
        <v>215</v>
      </c>
      <c r="G30" s="112">
        <v>359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25</v>
      </c>
      <c r="Q30" s="57" t="s">
        <v>165</v>
      </c>
      <c r="R30" s="57" t="s">
        <v>166</v>
      </c>
    </row>
    <row r="31" spans="1:18" x14ac:dyDescent="0.15">
      <c r="A31" s="101">
        <v>11001</v>
      </c>
      <c r="B31" s="57">
        <v>10</v>
      </c>
      <c r="C31" s="71" t="str">
        <f t="shared" ref="C31:C43" si="2">A31&amp; "_"&amp;B31</f>
        <v>11001_10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2</v>
      </c>
      <c r="F31" s="57" t="s">
        <v>215</v>
      </c>
      <c r="G31" s="112">
        <v>344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10</v>
      </c>
      <c r="Q31" s="57" t="s">
        <v>165</v>
      </c>
      <c r="R31" s="57" t="s">
        <v>166</v>
      </c>
    </row>
    <row r="32" spans="1:18" x14ac:dyDescent="0.15">
      <c r="A32" s="101">
        <v>11001</v>
      </c>
      <c r="B32" s="57">
        <v>10</v>
      </c>
      <c r="C32" s="71" t="str">
        <f t="shared" si="2"/>
        <v>11001_10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</v>
      </c>
      <c r="F32" s="57" t="s">
        <v>215</v>
      </c>
      <c r="G32" s="112">
        <v>345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34</v>
      </c>
      <c r="Q32" s="57" t="s">
        <v>165</v>
      </c>
      <c r="R32" s="57" t="s">
        <v>166</v>
      </c>
    </row>
    <row r="33" spans="1:18" x14ac:dyDescent="0.15">
      <c r="A33" s="101">
        <v>11001</v>
      </c>
      <c r="B33" s="57">
        <v>10</v>
      </c>
      <c r="C33" s="71" t="str">
        <f t="shared" si="2"/>
        <v>11001_10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4</v>
      </c>
      <c r="F33" s="57" t="s">
        <v>215</v>
      </c>
      <c r="G33" s="112">
        <v>121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10</v>
      </c>
      <c r="Q33" s="57" t="s">
        <v>165</v>
      </c>
      <c r="R33" s="57" t="s">
        <v>166</v>
      </c>
    </row>
    <row r="34" spans="1:18" x14ac:dyDescent="0.15">
      <c r="A34" s="101">
        <v>11001</v>
      </c>
      <c r="B34" s="57">
        <v>10</v>
      </c>
      <c r="C34" s="71" t="str">
        <f t="shared" si="2"/>
        <v>11001_10</v>
      </c>
      <c r="D34" s="11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57">
        <v>5</v>
      </c>
      <c r="F34" s="57" t="s">
        <v>215</v>
      </c>
      <c r="G34" s="112">
        <v>122</v>
      </c>
      <c r="H34" s="57">
        <v>1</v>
      </c>
      <c r="I34" s="57">
        <v>1</v>
      </c>
      <c r="J34" s="57">
        <v>1</v>
      </c>
      <c r="K34" s="57">
        <v>0</v>
      </c>
      <c r="L34" s="57">
        <v>0</v>
      </c>
      <c r="M34" s="57">
        <v>0</v>
      </c>
      <c r="N34" s="57">
        <v>0</v>
      </c>
      <c r="O34" s="57">
        <v>1</v>
      </c>
      <c r="P34" s="104">
        <v>10</v>
      </c>
      <c r="Q34" s="57" t="s">
        <v>165</v>
      </c>
      <c r="R34" s="57" t="s">
        <v>166</v>
      </c>
    </row>
    <row r="35" spans="1:18" x14ac:dyDescent="0.15">
      <c r="A35" s="101">
        <v>11001</v>
      </c>
      <c r="B35" s="57">
        <v>10</v>
      </c>
      <c r="C35" s="71" t="str">
        <f t="shared" si="2"/>
        <v>11001_10</v>
      </c>
      <c r="D35" s="11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57">
        <v>6</v>
      </c>
      <c r="F35" s="57" t="s">
        <v>215</v>
      </c>
      <c r="G35" s="112">
        <v>123</v>
      </c>
      <c r="H35" s="57">
        <v>1</v>
      </c>
      <c r="I35" s="57">
        <v>1</v>
      </c>
      <c r="J35" s="57">
        <v>1</v>
      </c>
      <c r="K35" s="57">
        <v>0</v>
      </c>
      <c r="L35" s="57">
        <v>0</v>
      </c>
      <c r="M35" s="57">
        <v>0</v>
      </c>
      <c r="N35" s="57">
        <v>0</v>
      </c>
      <c r="O35" s="57">
        <v>1</v>
      </c>
      <c r="P35" s="104">
        <v>10</v>
      </c>
      <c r="Q35" s="57" t="s">
        <v>165</v>
      </c>
      <c r="R35" s="57" t="s">
        <v>166</v>
      </c>
    </row>
    <row r="36" spans="1:18" x14ac:dyDescent="0.15">
      <c r="A36" s="101">
        <v>11001</v>
      </c>
      <c r="B36" s="57">
        <v>10</v>
      </c>
      <c r="C36" s="71" t="str">
        <f t="shared" si="2"/>
        <v>11001_10</v>
      </c>
      <c r="D36" s="11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57">
        <v>7</v>
      </c>
      <c r="F36" s="57" t="s">
        <v>215</v>
      </c>
      <c r="G36" s="112">
        <v>125</v>
      </c>
      <c r="H36" s="57">
        <v>1</v>
      </c>
      <c r="I36" s="57">
        <v>1</v>
      </c>
      <c r="J36" s="57">
        <v>1</v>
      </c>
      <c r="K36" s="57">
        <v>0</v>
      </c>
      <c r="L36" s="57">
        <v>0</v>
      </c>
      <c r="M36" s="57">
        <v>0</v>
      </c>
      <c r="N36" s="57">
        <v>0</v>
      </c>
      <c r="O36" s="57">
        <v>1</v>
      </c>
      <c r="P36" s="104">
        <v>1</v>
      </c>
      <c r="Q36" s="57" t="s">
        <v>165</v>
      </c>
      <c r="R36" s="57" t="s">
        <v>166</v>
      </c>
    </row>
    <row r="37" spans="1:18" x14ac:dyDescent="0.15">
      <c r="A37" s="101">
        <v>11003</v>
      </c>
      <c r="B37" s="57">
        <v>10</v>
      </c>
      <c r="C37" s="71" t="str">
        <f t="shared" si="2"/>
        <v>11003_10</v>
      </c>
      <c r="D37" s="11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57">
        <v>8</v>
      </c>
      <c r="F37" s="57" t="s">
        <v>215</v>
      </c>
      <c r="G37" s="113">
        <v>358</v>
      </c>
      <c r="H37" s="57">
        <v>1</v>
      </c>
      <c r="I37" s="57">
        <v>1</v>
      </c>
      <c r="J37" s="57">
        <v>1</v>
      </c>
      <c r="K37" s="57">
        <v>0</v>
      </c>
      <c r="L37" s="57">
        <v>0</v>
      </c>
      <c r="M37" s="57">
        <v>0</v>
      </c>
      <c r="N37" s="57">
        <v>0</v>
      </c>
      <c r="O37" s="57">
        <v>1</v>
      </c>
      <c r="P37" s="57">
        <v>25</v>
      </c>
      <c r="Q37" s="57" t="s">
        <v>165</v>
      </c>
      <c r="R37" s="57" t="s">
        <v>166</v>
      </c>
    </row>
    <row r="38" spans="1:18" x14ac:dyDescent="0.15">
      <c r="A38" s="101">
        <v>11003</v>
      </c>
      <c r="B38" s="57">
        <v>10</v>
      </c>
      <c r="C38" s="71" t="str">
        <f t="shared" si="2"/>
        <v>11003_10</v>
      </c>
      <c r="D38" s="11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57">
        <v>9</v>
      </c>
      <c r="F38" s="57" t="s">
        <v>215</v>
      </c>
      <c r="G38" s="113">
        <v>340</v>
      </c>
      <c r="H38" s="57">
        <v>1</v>
      </c>
      <c r="I38" s="57">
        <v>1</v>
      </c>
      <c r="J38" s="57">
        <v>1</v>
      </c>
      <c r="K38" s="57">
        <v>0</v>
      </c>
      <c r="L38" s="57">
        <v>0</v>
      </c>
      <c r="M38" s="57">
        <v>0</v>
      </c>
      <c r="N38" s="57">
        <v>0</v>
      </c>
      <c r="O38" s="57">
        <v>1</v>
      </c>
      <c r="P38" s="57">
        <v>10</v>
      </c>
      <c r="Q38" s="57" t="s">
        <v>165</v>
      </c>
      <c r="R38" s="57" t="s">
        <v>166</v>
      </c>
    </row>
    <row r="39" spans="1:18" x14ac:dyDescent="0.15">
      <c r="A39" s="101">
        <v>11003</v>
      </c>
      <c r="B39" s="57">
        <v>10</v>
      </c>
      <c r="C39" s="71" t="str">
        <f t="shared" si="2"/>
        <v>11003_10</v>
      </c>
      <c r="D39" s="11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57">
        <v>10</v>
      </c>
      <c r="F39" s="57" t="s">
        <v>215</v>
      </c>
      <c r="G39" s="113">
        <v>341</v>
      </c>
      <c r="H39" s="57">
        <v>1</v>
      </c>
      <c r="I39" s="57">
        <v>1</v>
      </c>
      <c r="J39" s="57">
        <v>1</v>
      </c>
      <c r="K39" s="57">
        <v>0</v>
      </c>
      <c r="L39" s="57">
        <v>0</v>
      </c>
      <c r="M39" s="57">
        <v>0</v>
      </c>
      <c r="N39" s="57">
        <v>0</v>
      </c>
      <c r="O39" s="57">
        <v>1</v>
      </c>
      <c r="P39" s="57">
        <v>34</v>
      </c>
      <c r="Q39" s="57" t="s">
        <v>165</v>
      </c>
      <c r="R39" s="57" t="s">
        <v>166</v>
      </c>
    </row>
    <row r="40" spans="1:18" x14ac:dyDescent="0.15">
      <c r="A40" s="101">
        <v>11003</v>
      </c>
      <c r="B40" s="57">
        <v>10</v>
      </c>
      <c r="C40" s="71" t="str">
        <f t="shared" si="2"/>
        <v>11003_10</v>
      </c>
      <c r="D40" s="11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57">
        <v>11</v>
      </c>
      <c r="F40" s="57" t="s">
        <v>215</v>
      </c>
      <c r="G40" s="113">
        <v>121</v>
      </c>
      <c r="H40" s="57">
        <v>1</v>
      </c>
      <c r="I40" s="57">
        <v>1</v>
      </c>
      <c r="J40" s="57">
        <v>1</v>
      </c>
      <c r="K40" s="57">
        <v>0</v>
      </c>
      <c r="L40" s="57">
        <v>0</v>
      </c>
      <c r="M40" s="57">
        <v>0</v>
      </c>
      <c r="N40" s="57">
        <v>0</v>
      </c>
      <c r="O40" s="57">
        <v>1</v>
      </c>
      <c r="P40" s="57">
        <v>10</v>
      </c>
      <c r="Q40" s="57" t="s">
        <v>165</v>
      </c>
      <c r="R40" s="57" t="s">
        <v>166</v>
      </c>
    </row>
    <row r="41" spans="1:18" x14ac:dyDescent="0.15">
      <c r="A41" s="101">
        <v>11003</v>
      </c>
      <c r="B41" s="57">
        <v>10</v>
      </c>
      <c r="C41" s="71" t="str">
        <f t="shared" si="2"/>
        <v>11003_10</v>
      </c>
      <c r="D41" s="11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57">
        <v>12</v>
      </c>
      <c r="F41" s="57" t="s">
        <v>215</v>
      </c>
      <c r="G41" s="113">
        <v>122</v>
      </c>
      <c r="H41" s="57">
        <v>1</v>
      </c>
      <c r="I41" s="57">
        <v>1</v>
      </c>
      <c r="J41" s="57">
        <v>1</v>
      </c>
      <c r="K41" s="57">
        <v>0</v>
      </c>
      <c r="L41" s="57">
        <v>0</v>
      </c>
      <c r="M41" s="57">
        <v>0</v>
      </c>
      <c r="N41" s="57">
        <v>0</v>
      </c>
      <c r="O41" s="57">
        <v>1</v>
      </c>
      <c r="P41" s="104">
        <v>10</v>
      </c>
      <c r="Q41" s="57" t="s">
        <v>165</v>
      </c>
      <c r="R41" s="57" t="s">
        <v>166</v>
      </c>
    </row>
    <row r="42" spans="1:18" x14ac:dyDescent="0.15">
      <c r="A42" s="101">
        <v>11003</v>
      </c>
      <c r="B42" s="57">
        <v>10</v>
      </c>
      <c r="C42" s="71" t="str">
        <f t="shared" si="2"/>
        <v>11003_10</v>
      </c>
      <c r="D42" s="11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57">
        <v>13</v>
      </c>
      <c r="F42" s="57" t="s">
        <v>215</v>
      </c>
      <c r="G42" s="113">
        <v>123</v>
      </c>
      <c r="H42" s="57">
        <v>1</v>
      </c>
      <c r="I42" s="57">
        <v>1</v>
      </c>
      <c r="J42" s="57">
        <v>1</v>
      </c>
      <c r="K42" s="57">
        <v>0</v>
      </c>
      <c r="L42" s="57">
        <v>0</v>
      </c>
      <c r="M42" s="57">
        <v>0</v>
      </c>
      <c r="N42" s="57">
        <v>0</v>
      </c>
      <c r="O42" s="57">
        <v>1</v>
      </c>
      <c r="P42" s="104">
        <v>10</v>
      </c>
      <c r="Q42" s="57" t="s">
        <v>165</v>
      </c>
      <c r="R42" s="57" t="s">
        <v>166</v>
      </c>
    </row>
    <row r="43" spans="1:18" x14ac:dyDescent="0.15">
      <c r="A43" s="101">
        <v>11003</v>
      </c>
      <c r="B43" s="57">
        <v>10</v>
      </c>
      <c r="C43" s="71" t="str">
        <f t="shared" si="2"/>
        <v>11003_10</v>
      </c>
      <c r="D43" s="11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57">
        <v>14</v>
      </c>
      <c r="F43" s="57" t="s">
        <v>215</v>
      </c>
      <c r="G43" s="113">
        <v>125</v>
      </c>
      <c r="H43" s="57">
        <v>1</v>
      </c>
      <c r="I43" s="57">
        <v>1</v>
      </c>
      <c r="J43" s="57">
        <v>1</v>
      </c>
      <c r="K43" s="57">
        <v>0</v>
      </c>
      <c r="L43" s="57">
        <v>0</v>
      </c>
      <c r="M43" s="57">
        <v>0</v>
      </c>
      <c r="N43" s="57">
        <v>0</v>
      </c>
      <c r="O43" s="57">
        <v>1</v>
      </c>
      <c r="P43" s="104">
        <v>1</v>
      </c>
      <c r="Q43" s="57" t="s">
        <v>165</v>
      </c>
      <c r="R43" s="57" t="s">
        <v>166</v>
      </c>
    </row>
    <row r="44" spans="1:18" x14ac:dyDescent="0.15">
      <c r="A44" s="101">
        <v>11007</v>
      </c>
      <c r="B44" s="57">
        <v>5</v>
      </c>
      <c r="C44" s="71" t="str">
        <f>A44&amp; "_"&amp;B44</f>
        <v>11007_5</v>
      </c>
      <c r="D44" s="11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57">
        <v>1</v>
      </c>
      <c r="F44" s="57" t="s">
        <v>215</v>
      </c>
      <c r="G44" s="102">
        <v>356</v>
      </c>
      <c r="H44" s="57">
        <v>1</v>
      </c>
      <c r="I44" s="57">
        <v>1</v>
      </c>
      <c r="J44" s="57">
        <v>1</v>
      </c>
      <c r="K44" s="57">
        <v>0</v>
      </c>
      <c r="L44" s="57">
        <v>0</v>
      </c>
      <c r="M44" s="57">
        <v>0</v>
      </c>
      <c r="N44" s="57">
        <v>0</v>
      </c>
      <c r="O44" s="57">
        <v>1</v>
      </c>
      <c r="P44" s="57">
        <v>25</v>
      </c>
      <c r="Q44" s="57" t="s">
        <v>165</v>
      </c>
      <c r="R44" s="57" t="s">
        <v>166</v>
      </c>
    </row>
    <row r="45" spans="1:18" x14ac:dyDescent="0.15">
      <c r="A45" s="101">
        <v>11007</v>
      </c>
      <c r="B45" s="57">
        <v>5</v>
      </c>
      <c r="C45" s="71" t="str">
        <f t="shared" ref="C45:C57" si="3">A45&amp; "_"&amp;B45</f>
        <v>11007_5</v>
      </c>
      <c r="D45" s="11" t="str">
        <f ca="1">VLOOKUP($C45,OFFSET([2]stages!$A$1,0,0,COUNTA([2]stages!$A:$A),MATCH(D$1,[2]stages!$2:$2,0)-MATCH($C$1,[2]stages!$2:$2,0)+1),MATCH(D$1,[2]stages!$2:$2,0)-MATCH($C$1,[2]stages!$2:$2,0)+1,FALSE)</f>
        <v>everyone</v>
      </c>
      <c r="E45" s="57">
        <v>2</v>
      </c>
      <c r="F45" s="57" t="s">
        <v>215</v>
      </c>
      <c r="G45" s="102">
        <v>332</v>
      </c>
      <c r="H45" s="57">
        <v>1</v>
      </c>
      <c r="I45" s="57">
        <v>1</v>
      </c>
      <c r="J45" s="57">
        <v>1</v>
      </c>
      <c r="K45" s="57">
        <v>0</v>
      </c>
      <c r="L45" s="57">
        <v>0</v>
      </c>
      <c r="M45" s="57">
        <v>0</v>
      </c>
      <c r="N45" s="57">
        <v>0</v>
      </c>
      <c r="O45" s="57">
        <v>1</v>
      </c>
      <c r="P45" s="57">
        <v>10</v>
      </c>
      <c r="Q45" s="57" t="s">
        <v>165</v>
      </c>
      <c r="R45" s="57" t="s">
        <v>166</v>
      </c>
    </row>
    <row r="46" spans="1:18" x14ac:dyDescent="0.15">
      <c r="A46" s="101">
        <v>11007</v>
      </c>
      <c r="B46" s="57">
        <v>5</v>
      </c>
      <c r="C46" s="71" t="str">
        <f t="shared" si="3"/>
        <v>11007_5</v>
      </c>
      <c r="D46" s="11" t="str">
        <f ca="1">VLOOKUP($C46,OFFSET([2]stages!$A$1,0,0,COUNTA([2]stages!$A:$A),MATCH(D$1,[2]stages!$2:$2,0)-MATCH($C$1,[2]stages!$2:$2,0)+1),MATCH(D$1,[2]stages!$2:$2,0)-MATCH($C$1,[2]stages!$2:$2,0)+1,FALSE)</f>
        <v>everyone</v>
      </c>
      <c r="E46" s="57">
        <v>3</v>
      </c>
      <c r="F46" s="57" t="s">
        <v>215</v>
      </c>
      <c r="G46" s="102">
        <v>333</v>
      </c>
      <c r="H46" s="57">
        <v>1</v>
      </c>
      <c r="I46" s="57">
        <v>1</v>
      </c>
      <c r="J46" s="57">
        <v>1</v>
      </c>
      <c r="K46" s="57">
        <v>0</v>
      </c>
      <c r="L46" s="57">
        <v>0</v>
      </c>
      <c r="M46" s="57">
        <v>0</v>
      </c>
      <c r="N46" s="57">
        <v>0</v>
      </c>
      <c r="O46" s="57">
        <v>1</v>
      </c>
      <c r="P46" s="57">
        <v>34</v>
      </c>
      <c r="Q46" s="57" t="s">
        <v>165</v>
      </c>
      <c r="R46" s="57" t="s">
        <v>166</v>
      </c>
    </row>
    <row r="47" spans="1:18" x14ac:dyDescent="0.15">
      <c r="A47" s="101">
        <v>11007</v>
      </c>
      <c r="B47" s="57">
        <v>5</v>
      </c>
      <c r="C47" s="71" t="str">
        <f t="shared" si="3"/>
        <v>11007_5</v>
      </c>
      <c r="D47" s="11" t="str">
        <f ca="1">VLOOKUP($C47,OFFSET([2]stages!$A$1,0,0,COUNTA([2]stages!$A:$A),MATCH(D$1,[2]stages!$2:$2,0)-MATCH($C$1,[2]stages!$2:$2,0)+1),MATCH(D$1,[2]stages!$2:$2,0)-MATCH($C$1,[2]stages!$2:$2,0)+1,FALSE)</f>
        <v>everyone</v>
      </c>
      <c r="E47" s="57">
        <v>4</v>
      </c>
      <c r="F47" s="57" t="s">
        <v>215</v>
      </c>
      <c r="G47" s="102">
        <v>121</v>
      </c>
      <c r="H47" s="57">
        <v>1</v>
      </c>
      <c r="I47" s="57">
        <v>1</v>
      </c>
      <c r="J47" s="57">
        <v>1</v>
      </c>
      <c r="K47" s="57">
        <v>0</v>
      </c>
      <c r="L47" s="57">
        <v>0</v>
      </c>
      <c r="M47" s="57">
        <v>0</v>
      </c>
      <c r="N47" s="57">
        <v>0</v>
      </c>
      <c r="O47" s="57">
        <v>1</v>
      </c>
      <c r="P47" s="57">
        <v>10</v>
      </c>
      <c r="Q47" s="57" t="s">
        <v>165</v>
      </c>
      <c r="R47" s="57" t="s">
        <v>166</v>
      </c>
    </row>
    <row r="48" spans="1:18" x14ac:dyDescent="0.15">
      <c r="A48" s="101">
        <v>11007</v>
      </c>
      <c r="B48" s="57">
        <v>5</v>
      </c>
      <c r="C48" s="71" t="str">
        <f t="shared" si="3"/>
        <v>11007_5</v>
      </c>
      <c r="D48" s="11" t="str">
        <f ca="1">VLOOKUP($C48,OFFSET([2]stages!$A$1,0,0,COUNTA([2]stages!$A:$A),MATCH(D$1,[2]stages!$2:$2,0)-MATCH($C$1,[2]stages!$2:$2,0)+1),MATCH(D$1,[2]stages!$2:$2,0)-MATCH($C$1,[2]stages!$2:$2,0)+1,FALSE)</f>
        <v>everyone</v>
      </c>
      <c r="E48" s="57">
        <v>5</v>
      </c>
      <c r="F48" s="57" t="s">
        <v>215</v>
      </c>
      <c r="G48" s="102">
        <v>122</v>
      </c>
      <c r="H48" s="57">
        <v>1</v>
      </c>
      <c r="I48" s="57">
        <v>1</v>
      </c>
      <c r="J48" s="57">
        <v>1</v>
      </c>
      <c r="K48" s="57">
        <v>0</v>
      </c>
      <c r="L48" s="57">
        <v>0</v>
      </c>
      <c r="M48" s="57">
        <v>0</v>
      </c>
      <c r="N48" s="57">
        <v>0</v>
      </c>
      <c r="O48" s="57">
        <v>1</v>
      </c>
      <c r="P48" s="104">
        <v>10</v>
      </c>
      <c r="Q48" s="57" t="s">
        <v>165</v>
      </c>
      <c r="R48" s="57" t="s">
        <v>166</v>
      </c>
    </row>
    <row r="49" spans="1:18" x14ac:dyDescent="0.15">
      <c r="A49" s="101">
        <v>11007</v>
      </c>
      <c r="B49" s="57">
        <v>5</v>
      </c>
      <c r="C49" s="71" t="str">
        <f t="shared" si="3"/>
        <v>11007_5</v>
      </c>
      <c r="D49" s="11" t="str">
        <f ca="1">VLOOKUP($C49,OFFSET([2]stages!$A$1,0,0,COUNTA([2]stages!$A:$A),MATCH(D$1,[2]stages!$2:$2,0)-MATCH($C$1,[2]stages!$2:$2,0)+1),MATCH(D$1,[2]stages!$2:$2,0)-MATCH($C$1,[2]stages!$2:$2,0)+1,FALSE)</f>
        <v>everyone</v>
      </c>
      <c r="E49" s="57">
        <v>6</v>
      </c>
      <c r="F49" s="57" t="s">
        <v>215</v>
      </c>
      <c r="G49" s="102">
        <v>123</v>
      </c>
      <c r="H49" s="57">
        <v>1</v>
      </c>
      <c r="I49" s="57">
        <v>1</v>
      </c>
      <c r="J49" s="57">
        <v>1</v>
      </c>
      <c r="K49" s="57">
        <v>0</v>
      </c>
      <c r="L49" s="57">
        <v>0</v>
      </c>
      <c r="M49" s="57">
        <v>0</v>
      </c>
      <c r="N49" s="57">
        <v>0</v>
      </c>
      <c r="O49" s="57">
        <v>1</v>
      </c>
      <c r="P49" s="104">
        <v>10</v>
      </c>
      <c r="Q49" s="57" t="s">
        <v>165</v>
      </c>
      <c r="R49" s="57" t="s">
        <v>166</v>
      </c>
    </row>
    <row r="50" spans="1:18" x14ac:dyDescent="0.15">
      <c r="A50" s="101">
        <v>11007</v>
      </c>
      <c r="B50" s="57">
        <v>5</v>
      </c>
      <c r="C50" s="71" t="str">
        <f t="shared" si="3"/>
        <v>11007_5</v>
      </c>
      <c r="D50" s="11" t="str">
        <f ca="1">VLOOKUP($C50,OFFSET([2]stages!$A$1,0,0,COUNTA([2]stages!$A:$A),MATCH(D$1,[2]stages!$2:$2,0)-MATCH($C$1,[2]stages!$2:$2,0)+1),MATCH(D$1,[2]stages!$2:$2,0)-MATCH($C$1,[2]stages!$2:$2,0)+1,FALSE)</f>
        <v>everyone</v>
      </c>
      <c r="E50" s="57">
        <v>7</v>
      </c>
      <c r="F50" s="57" t="s">
        <v>215</v>
      </c>
      <c r="G50" s="102">
        <v>125</v>
      </c>
      <c r="H50" s="57">
        <v>1</v>
      </c>
      <c r="I50" s="57">
        <v>1</v>
      </c>
      <c r="J50" s="57">
        <v>1</v>
      </c>
      <c r="K50" s="57">
        <v>0</v>
      </c>
      <c r="L50" s="57">
        <v>0</v>
      </c>
      <c r="M50" s="57">
        <v>0</v>
      </c>
      <c r="N50" s="57">
        <v>0</v>
      </c>
      <c r="O50" s="57">
        <v>1</v>
      </c>
      <c r="P50" s="104">
        <v>1</v>
      </c>
      <c r="Q50" s="57" t="s">
        <v>165</v>
      </c>
      <c r="R50" s="57" t="s">
        <v>166</v>
      </c>
    </row>
    <row r="51" spans="1:18" x14ac:dyDescent="0.15">
      <c r="A51" s="101">
        <v>11007</v>
      </c>
      <c r="B51" s="57">
        <v>5</v>
      </c>
      <c r="C51" s="71" t="str">
        <f t="shared" si="3"/>
        <v>11007_5</v>
      </c>
      <c r="D51" s="11" t="str">
        <f ca="1">VLOOKUP($C51,OFFSET([2]stages!$A$1,0,0,COUNTA([2]stages!$A:$A),MATCH(D$1,[2]stages!$2:$2,0)-MATCH($C$1,[2]stages!$2:$2,0)+1),MATCH(D$1,[2]stages!$2:$2,0)-MATCH($C$1,[2]stages!$2:$2,0)+1,FALSE)</f>
        <v>everyone</v>
      </c>
      <c r="E51" s="57">
        <v>8</v>
      </c>
      <c r="F51" s="57" t="s">
        <v>215</v>
      </c>
      <c r="G51" s="103">
        <v>357</v>
      </c>
      <c r="H51" s="57">
        <v>1</v>
      </c>
      <c r="I51" s="57">
        <v>1</v>
      </c>
      <c r="J51" s="57">
        <v>1</v>
      </c>
      <c r="K51" s="57">
        <v>0</v>
      </c>
      <c r="L51" s="57">
        <v>0</v>
      </c>
      <c r="M51" s="57">
        <v>0</v>
      </c>
      <c r="N51" s="57">
        <v>0</v>
      </c>
      <c r="O51" s="57">
        <v>1</v>
      </c>
      <c r="P51" s="57">
        <v>25</v>
      </c>
      <c r="Q51" s="57" t="s">
        <v>165</v>
      </c>
      <c r="R51" s="57" t="s">
        <v>166</v>
      </c>
    </row>
    <row r="52" spans="1:18" x14ac:dyDescent="0.15">
      <c r="A52" s="101">
        <v>11007</v>
      </c>
      <c r="B52" s="57">
        <v>5</v>
      </c>
      <c r="C52" s="71" t="str">
        <f t="shared" si="3"/>
        <v>11007_5</v>
      </c>
      <c r="D52" s="11" t="str">
        <f ca="1">VLOOKUP($C52,OFFSET([2]stages!$A$1,0,0,COUNTA([2]stages!$A:$A),MATCH(D$1,[2]stages!$2:$2,0)-MATCH($C$1,[2]stages!$2:$2,0)+1),MATCH(D$1,[2]stages!$2:$2,0)-MATCH($C$1,[2]stages!$2:$2,0)+1,FALSE)</f>
        <v>everyone</v>
      </c>
      <c r="E52" s="57">
        <v>9</v>
      </c>
      <c r="F52" s="57" t="s">
        <v>215</v>
      </c>
      <c r="G52" s="103">
        <v>336</v>
      </c>
      <c r="H52" s="57">
        <v>1</v>
      </c>
      <c r="I52" s="57">
        <v>1</v>
      </c>
      <c r="J52" s="57">
        <v>1</v>
      </c>
      <c r="K52" s="57">
        <v>0</v>
      </c>
      <c r="L52" s="57">
        <v>0</v>
      </c>
      <c r="M52" s="57">
        <v>0</v>
      </c>
      <c r="N52" s="57">
        <v>0</v>
      </c>
      <c r="O52" s="57">
        <v>1</v>
      </c>
      <c r="P52" s="57">
        <v>10</v>
      </c>
      <c r="Q52" s="57" t="s">
        <v>165</v>
      </c>
      <c r="R52" s="57" t="s">
        <v>166</v>
      </c>
    </row>
    <row r="53" spans="1:18" x14ac:dyDescent="0.15">
      <c r="A53" s="101">
        <v>11007</v>
      </c>
      <c r="B53" s="57">
        <v>5</v>
      </c>
      <c r="C53" s="71" t="str">
        <f t="shared" si="3"/>
        <v>11007_5</v>
      </c>
      <c r="D53" s="11" t="str">
        <f ca="1">VLOOKUP($C53,OFFSET([2]stages!$A$1,0,0,COUNTA([2]stages!$A:$A),MATCH(D$1,[2]stages!$2:$2,0)-MATCH($C$1,[2]stages!$2:$2,0)+1),MATCH(D$1,[2]stages!$2:$2,0)-MATCH($C$1,[2]stages!$2:$2,0)+1,FALSE)</f>
        <v>everyone</v>
      </c>
      <c r="E53" s="57">
        <v>10</v>
      </c>
      <c r="F53" s="57" t="s">
        <v>215</v>
      </c>
      <c r="G53" s="103">
        <v>337</v>
      </c>
      <c r="H53" s="57">
        <v>1</v>
      </c>
      <c r="I53" s="57">
        <v>1</v>
      </c>
      <c r="J53" s="57">
        <v>1</v>
      </c>
      <c r="K53" s="57">
        <v>0</v>
      </c>
      <c r="L53" s="57">
        <v>0</v>
      </c>
      <c r="M53" s="57">
        <v>0</v>
      </c>
      <c r="N53" s="57">
        <v>0</v>
      </c>
      <c r="O53" s="57">
        <v>1</v>
      </c>
      <c r="P53" s="57">
        <v>34</v>
      </c>
      <c r="Q53" s="57" t="s">
        <v>165</v>
      </c>
      <c r="R53" s="57" t="s">
        <v>166</v>
      </c>
    </row>
    <row r="54" spans="1:18" x14ac:dyDescent="0.15">
      <c r="A54" s="101">
        <v>11007</v>
      </c>
      <c r="B54" s="57">
        <v>5</v>
      </c>
      <c r="C54" s="71" t="str">
        <f t="shared" si="3"/>
        <v>11007_5</v>
      </c>
      <c r="D54" s="11" t="str">
        <f ca="1">VLOOKUP($C54,OFFSET([2]stages!$A$1,0,0,COUNTA([2]stages!$A:$A),MATCH(D$1,[2]stages!$2:$2,0)-MATCH($C$1,[2]stages!$2:$2,0)+1),MATCH(D$1,[2]stages!$2:$2,0)-MATCH($C$1,[2]stages!$2:$2,0)+1,FALSE)</f>
        <v>everyone</v>
      </c>
      <c r="E54" s="57">
        <v>11</v>
      </c>
      <c r="F54" s="57" t="s">
        <v>215</v>
      </c>
      <c r="G54" s="103">
        <v>121</v>
      </c>
      <c r="H54" s="57">
        <v>1</v>
      </c>
      <c r="I54" s="57">
        <v>1</v>
      </c>
      <c r="J54" s="57">
        <v>1</v>
      </c>
      <c r="K54" s="57">
        <v>0</v>
      </c>
      <c r="L54" s="57">
        <v>0</v>
      </c>
      <c r="M54" s="57">
        <v>0</v>
      </c>
      <c r="N54" s="57">
        <v>0</v>
      </c>
      <c r="O54" s="57">
        <v>1</v>
      </c>
      <c r="P54" s="57">
        <v>10</v>
      </c>
      <c r="Q54" s="57" t="s">
        <v>165</v>
      </c>
      <c r="R54" s="57" t="s">
        <v>166</v>
      </c>
    </row>
    <row r="55" spans="1:18" x14ac:dyDescent="0.15">
      <c r="A55" s="101">
        <v>11007</v>
      </c>
      <c r="B55" s="57">
        <v>5</v>
      </c>
      <c r="C55" s="71" t="str">
        <f t="shared" si="3"/>
        <v>11007_5</v>
      </c>
      <c r="D55" s="11" t="str">
        <f ca="1">VLOOKUP($C55,OFFSET([2]stages!$A$1,0,0,COUNTA([2]stages!$A:$A),MATCH(D$1,[2]stages!$2:$2,0)-MATCH($C$1,[2]stages!$2:$2,0)+1),MATCH(D$1,[2]stages!$2:$2,0)-MATCH($C$1,[2]stages!$2:$2,0)+1,FALSE)</f>
        <v>everyone</v>
      </c>
      <c r="E55" s="57">
        <v>12</v>
      </c>
      <c r="F55" s="57" t="s">
        <v>215</v>
      </c>
      <c r="G55" s="103">
        <v>122</v>
      </c>
      <c r="H55" s="57">
        <v>1</v>
      </c>
      <c r="I55" s="57">
        <v>1</v>
      </c>
      <c r="J55" s="57">
        <v>1</v>
      </c>
      <c r="K55" s="57">
        <v>0</v>
      </c>
      <c r="L55" s="57">
        <v>0</v>
      </c>
      <c r="M55" s="57">
        <v>0</v>
      </c>
      <c r="N55" s="57">
        <v>0</v>
      </c>
      <c r="O55" s="57">
        <v>1</v>
      </c>
      <c r="P55" s="104">
        <v>10</v>
      </c>
      <c r="Q55" s="57" t="s">
        <v>165</v>
      </c>
      <c r="R55" s="57" t="s">
        <v>166</v>
      </c>
    </row>
    <row r="56" spans="1:18" x14ac:dyDescent="0.15">
      <c r="A56" s="101">
        <v>11007</v>
      </c>
      <c r="B56" s="57">
        <v>5</v>
      </c>
      <c r="C56" s="71" t="str">
        <f t="shared" si="3"/>
        <v>11007_5</v>
      </c>
      <c r="D56" s="11" t="str">
        <f ca="1">VLOOKUP($C56,OFFSET([2]stages!$A$1,0,0,COUNTA([2]stages!$A:$A),MATCH(D$1,[2]stages!$2:$2,0)-MATCH($C$1,[2]stages!$2:$2,0)+1),MATCH(D$1,[2]stages!$2:$2,0)-MATCH($C$1,[2]stages!$2:$2,0)+1,FALSE)</f>
        <v>everyone</v>
      </c>
      <c r="E56" s="57">
        <v>13</v>
      </c>
      <c r="F56" s="57" t="s">
        <v>215</v>
      </c>
      <c r="G56" s="103">
        <v>123</v>
      </c>
      <c r="H56" s="57">
        <v>1</v>
      </c>
      <c r="I56" s="57">
        <v>1</v>
      </c>
      <c r="J56" s="57">
        <v>1</v>
      </c>
      <c r="K56" s="57">
        <v>0</v>
      </c>
      <c r="L56" s="57">
        <v>0</v>
      </c>
      <c r="M56" s="57">
        <v>0</v>
      </c>
      <c r="N56" s="57">
        <v>0</v>
      </c>
      <c r="O56" s="57">
        <v>1</v>
      </c>
      <c r="P56" s="104">
        <v>10</v>
      </c>
      <c r="Q56" s="57" t="s">
        <v>165</v>
      </c>
      <c r="R56" s="57" t="s">
        <v>166</v>
      </c>
    </row>
    <row r="57" spans="1:18" x14ac:dyDescent="0.15">
      <c r="A57" s="101">
        <v>11007</v>
      </c>
      <c r="B57" s="57">
        <v>5</v>
      </c>
      <c r="C57" s="71" t="str">
        <f t="shared" si="3"/>
        <v>11007_5</v>
      </c>
      <c r="D57" s="11" t="str">
        <f ca="1">VLOOKUP($C57,OFFSET([2]stages!$A$1,0,0,COUNTA([2]stages!$A:$A),MATCH(D$1,[2]stages!$2:$2,0)-MATCH($C$1,[2]stages!$2:$2,0)+1),MATCH(D$1,[2]stages!$2:$2,0)-MATCH($C$1,[2]stages!$2:$2,0)+1,FALSE)</f>
        <v>everyone</v>
      </c>
      <c r="E57" s="57">
        <v>14</v>
      </c>
      <c r="F57" s="57" t="s">
        <v>215</v>
      </c>
      <c r="G57" s="103">
        <v>125</v>
      </c>
      <c r="H57" s="57">
        <v>1</v>
      </c>
      <c r="I57" s="57">
        <v>1</v>
      </c>
      <c r="J57" s="57">
        <v>1</v>
      </c>
      <c r="K57" s="57">
        <v>0</v>
      </c>
      <c r="L57" s="57">
        <v>0</v>
      </c>
      <c r="M57" s="57">
        <v>0</v>
      </c>
      <c r="N57" s="57">
        <v>0</v>
      </c>
      <c r="O57" s="57">
        <v>1</v>
      </c>
      <c r="P57" s="104">
        <v>1</v>
      </c>
      <c r="Q57" s="57" t="s">
        <v>165</v>
      </c>
      <c r="R57" s="57" t="s">
        <v>166</v>
      </c>
    </row>
    <row r="58" spans="1:18" x14ac:dyDescent="0.15">
      <c r="A58" s="101">
        <v>11008</v>
      </c>
      <c r="B58" s="57">
        <v>5</v>
      </c>
      <c r="C58" s="71" t="str">
        <f>A58&amp; "_"&amp;B58</f>
        <v>11008_5</v>
      </c>
      <c r="D58" s="11" t="str">
        <f ca="1">VLOOKUP($C58,OFFSET([2]stages!$A$1,0,0,COUNTA([2]stages!$A:$A),MATCH(D$1,[2]stages!$2:$2,0)-MATCH($C$1,[2]stages!$2:$2,0)+1),MATCH(D$1,[2]stages!$2:$2,0)-MATCH($C$1,[2]stages!$2:$2,0)+1,FALSE)</f>
        <v>everyone</v>
      </c>
      <c r="E58" s="57">
        <v>1</v>
      </c>
      <c r="F58" s="57" t="s">
        <v>215</v>
      </c>
      <c r="G58" s="112">
        <v>359</v>
      </c>
      <c r="H58" s="57">
        <v>1</v>
      </c>
      <c r="I58" s="57">
        <v>1</v>
      </c>
      <c r="J58" s="57">
        <v>1</v>
      </c>
      <c r="K58" s="57">
        <v>0</v>
      </c>
      <c r="L58" s="57">
        <v>0</v>
      </c>
      <c r="M58" s="57">
        <v>0</v>
      </c>
      <c r="N58" s="57">
        <v>0</v>
      </c>
      <c r="O58" s="57">
        <v>1</v>
      </c>
      <c r="P58" s="57">
        <v>25</v>
      </c>
      <c r="Q58" s="57" t="s">
        <v>165</v>
      </c>
      <c r="R58" s="57" t="s">
        <v>166</v>
      </c>
    </row>
    <row r="59" spans="1:18" x14ac:dyDescent="0.15">
      <c r="A59" s="101">
        <v>11008</v>
      </c>
      <c r="B59" s="57">
        <v>5</v>
      </c>
      <c r="C59" s="71" t="str">
        <f t="shared" ref="C59:C71" si="4">A59&amp; "_"&amp;B59</f>
        <v>11008_5</v>
      </c>
      <c r="D59" s="11" t="str">
        <f ca="1">VLOOKUP($C59,OFFSET([2]stages!$A$1,0,0,COUNTA([2]stages!$A:$A),MATCH(D$1,[2]stages!$2:$2,0)-MATCH($C$1,[2]stages!$2:$2,0)+1),MATCH(D$1,[2]stages!$2:$2,0)-MATCH($C$1,[2]stages!$2:$2,0)+1,FALSE)</f>
        <v>everyone</v>
      </c>
      <c r="E59" s="57">
        <v>2</v>
      </c>
      <c r="F59" s="57" t="s">
        <v>215</v>
      </c>
      <c r="G59" s="112">
        <v>344</v>
      </c>
      <c r="H59" s="57">
        <v>1</v>
      </c>
      <c r="I59" s="57">
        <v>1</v>
      </c>
      <c r="J59" s="57">
        <v>1</v>
      </c>
      <c r="K59" s="57">
        <v>0</v>
      </c>
      <c r="L59" s="57">
        <v>0</v>
      </c>
      <c r="M59" s="57">
        <v>0</v>
      </c>
      <c r="N59" s="57">
        <v>0</v>
      </c>
      <c r="O59" s="57">
        <v>1</v>
      </c>
      <c r="P59" s="57">
        <v>10</v>
      </c>
      <c r="Q59" s="57" t="s">
        <v>165</v>
      </c>
      <c r="R59" s="57" t="s">
        <v>166</v>
      </c>
    </row>
    <row r="60" spans="1:18" x14ac:dyDescent="0.15">
      <c r="A60" s="101">
        <v>11008</v>
      </c>
      <c r="B60" s="57">
        <v>5</v>
      </c>
      <c r="C60" s="71" t="str">
        <f t="shared" si="4"/>
        <v>11008_5</v>
      </c>
      <c r="D60" s="11" t="str">
        <f ca="1">VLOOKUP($C60,OFFSET([2]stages!$A$1,0,0,COUNTA([2]stages!$A:$A),MATCH(D$1,[2]stages!$2:$2,0)-MATCH($C$1,[2]stages!$2:$2,0)+1),MATCH(D$1,[2]stages!$2:$2,0)-MATCH($C$1,[2]stages!$2:$2,0)+1,FALSE)</f>
        <v>everyone</v>
      </c>
      <c r="E60" s="57">
        <v>3</v>
      </c>
      <c r="F60" s="57" t="s">
        <v>215</v>
      </c>
      <c r="G60" s="112">
        <v>345</v>
      </c>
      <c r="H60" s="57">
        <v>1</v>
      </c>
      <c r="I60" s="57">
        <v>1</v>
      </c>
      <c r="J60" s="57">
        <v>1</v>
      </c>
      <c r="K60" s="57">
        <v>0</v>
      </c>
      <c r="L60" s="57">
        <v>0</v>
      </c>
      <c r="M60" s="57">
        <v>0</v>
      </c>
      <c r="N60" s="57">
        <v>0</v>
      </c>
      <c r="O60" s="57">
        <v>1</v>
      </c>
      <c r="P60" s="57">
        <v>34</v>
      </c>
      <c r="Q60" s="57" t="s">
        <v>165</v>
      </c>
      <c r="R60" s="57" t="s">
        <v>166</v>
      </c>
    </row>
    <row r="61" spans="1:18" x14ac:dyDescent="0.15">
      <c r="A61" s="101">
        <v>11008</v>
      </c>
      <c r="B61" s="57">
        <v>5</v>
      </c>
      <c r="C61" s="71" t="str">
        <f t="shared" si="4"/>
        <v>11008_5</v>
      </c>
      <c r="D61" s="11" t="str">
        <f ca="1">VLOOKUP($C61,OFFSET([2]stages!$A$1,0,0,COUNTA([2]stages!$A:$A),MATCH(D$1,[2]stages!$2:$2,0)-MATCH($C$1,[2]stages!$2:$2,0)+1),MATCH(D$1,[2]stages!$2:$2,0)-MATCH($C$1,[2]stages!$2:$2,0)+1,FALSE)</f>
        <v>everyone</v>
      </c>
      <c r="E61" s="57">
        <v>4</v>
      </c>
      <c r="F61" s="57" t="s">
        <v>215</v>
      </c>
      <c r="G61" s="112">
        <v>121</v>
      </c>
      <c r="H61" s="57">
        <v>1</v>
      </c>
      <c r="I61" s="57">
        <v>1</v>
      </c>
      <c r="J61" s="57">
        <v>1</v>
      </c>
      <c r="K61" s="57">
        <v>0</v>
      </c>
      <c r="L61" s="57">
        <v>0</v>
      </c>
      <c r="M61" s="57">
        <v>0</v>
      </c>
      <c r="N61" s="57">
        <v>0</v>
      </c>
      <c r="O61" s="57">
        <v>1</v>
      </c>
      <c r="P61" s="57">
        <v>10</v>
      </c>
      <c r="Q61" s="57" t="s">
        <v>165</v>
      </c>
      <c r="R61" s="57" t="s">
        <v>166</v>
      </c>
    </row>
    <row r="62" spans="1:18" x14ac:dyDescent="0.15">
      <c r="A62" s="101">
        <v>11008</v>
      </c>
      <c r="B62" s="57">
        <v>5</v>
      </c>
      <c r="C62" s="71" t="str">
        <f t="shared" si="4"/>
        <v>11008_5</v>
      </c>
      <c r="D62" s="11" t="str">
        <f ca="1">VLOOKUP($C62,OFFSET([2]stages!$A$1,0,0,COUNTA([2]stages!$A:$A),MATCH(D$1,[2]stages!$2:$2,0)-MATCH($C$1,[2]stages!$2:$2,0)+1),MATCH(D$1,[2]stages!$2:$2,0)-MATCH($C$1,[2]stages!$2:$2,0)+1,FALSE)</f>
        <v>everyone</v>
      </c>
      <c r="E62" s="57">
        <v>5</v>
      </c>
      <c r="F62" s="57" t="s">
        <v>215</v>
      </c>
      <c r="G62" s="112">
        <v>122</v>
      </c>
      <c r="H62" s="57">
        <v>1</v>
      </c>
      <c r="I62" s="57">
        <v>1</v>
      </c>
      <c r="J62" s="57">
        <v>1</v>
      </c>
      <c r="K62" s="57">
        <v>0</v>
      </c>
      <c r="L62" s="57">
        <v>0</v>
      </c>
      <c r="M62" s="57">
        <v>0</v>
      </c>
      <c r="N62" s="57">
        <v>0</v>
      </c>
      <c r="O62" s="57">
        <v>1</v>
      </c>
      <c r="P62" s="104">
        <v>10</v>
      </c>
      <c r="Q62" s="57" t="s">
        <v>165</v>
      </c>
      <c r="R62" s="57" t="s">
        <v>166</v>
      </c>
    </row>
    <row r="63" spans="1:18" x14ac:dyDescent="0.15">
      <c r="A63" s="101">
        <v>11008</v>
      </c>
      <c r="B63" s="57">
        <v>5</v>
      </c>
      <c r="C63" s="71" t="str">
        <f t="shared" si="4"/>
        <v>11008_5</v>
      </c>
      <c r="D63" s="11" t="str">
        <f ca="1">VLOOKUP($C63,OFFSET([2]stages!$A$1,0,0,COUNTA([2]stages!$A:$A),MATCH(D$1,[2]stages!$2:$2,0)-MATCH($C$1,[2]stages!$2:$2,0)+1),MATCH(D$1,[2]stages!$2:$2,0)-MATCH($C$1,[2]stages!$2:$2,0)+1,FALSE)</f>
        <v>everyone</v>
      </c>
      <c r="E63" s="57">
        <v>6</v>
      </c>
      <c r="F63" s="57" t="s">
        <v>215</v>
      </c>
      <c r="G63" s="112">
        <v>123</v>
      </c>
      <c r="H63" s="57">
        <v>1</v>
      </c>
      <c r="I63" s="57">
        <v>1</v>
      </c>
      <c r="J63" s="57">
        <v>1</v>
      </c>
      <c r="K63" s="57">
        <v>0</v>
      </c>
      <c r="L63" s="57">
        <v>0</v>
      </c>
      <c r="M63" s="57">
        <v>0</v>
      </c>
      <c r="N63" s="57">
        <v>0</v>
      </c>
      <c r="O63" s="57">
        <v>1</v>
      </c>
      <c r="P63" s="104">
        <v>10</v>
      </c>
      <c r="Q63" s="57" t="s">
        <v>165</v>
      </c>
      <c r="R63" s="57" t="s">
        <v>166</v>
      </c>
    </row>
    <row r="64" spans="1:18" x14ac:dyDescent="0.15">
      <c r="A64" s="101">
        <v>11008</v>
      </c>
      <c r="B64" s="57">
        <v>5</v>
      </c>
      <c r="C64" s="71" t="str">
        <f t="shared" si="4"/>
        <v>11008_5</v>
      </c>
      <c r="D64" s="11" t="str">
        <f ca="1">VLOOKUP($C64,OFFSET([2]stages!$A$1,0,0,COUNTA([2]stages!$A:$A),MATCH(D$1,[2]stages!$2:$2,0)-MATCH($C$1,[2]stages!$2:$2,0)+1),MATCH(D$1,[2]stages!$2:$2,0)-MATCH($C$1,[2]stages!$2:$2,0)+1,FALSE)</f>
        <v>everyone</v>
      </c>
      <c r="E64" s="57">
        <v>7</v>
      </c>
      <c r="F64" s="57" t="s">
        <v>215</v>
      </c>
      <c r="G64" s="112">
        <v>125</v>
      </c>
      <c r="H64" s="57">
        <v>1</v>
      </c>
      <c r="I64" s="57">
        <v>1</v>
      </c>
      <c r="J64" s="57">
        <v>1</v>
      </c>
      <c r="K64" s="57">
        <v>0</v>
      </c>
      <c r="L64" s="57">
        <v>0</v>
      </c>
      <c r="M64" s="57">
        <v>0</v>
      </c>
      <c r="N64" s="57">
        <v>0</v>
      </c>
      <c r="O64" s="57">
        <v>1</v>
      </c>
      <c r="P64" s="104">
        <v>1</v>
      </c>
      <c r="Q64" s="57" t="s">
        <v>165</v>
      </c>
      <c r="R64" s="57" t="s">
        <v>166</v>
      </c>
    </row>
    <row r="65" spans="1:18" x14ac:dyDescent="0.15">
      <c r="A65" s="101">
        <v>11008</v>
      </c>
      <c r="B65" s="57">
        <v>5</v>
      </c>
      <c r="C65" s="71" t="str">
        <f t="shared" si="4"/>
        <v>11008_5</v>
      </c>
      <c r="D65" s="11" t="str">
        <f ca="1">VLOOKUP($C65,OFFSET([2]stages!$A$1,0,0,COUNTA([2]stages!$A:$A),MATCH(D$1,[2]stages!$2:$2,0)-MATCH($C$1,[2]stages!$2:$2,0)+1),MATCH(D$1,[2]stages!$2:$2,0)-MATCH($C$1,[2]stages!$2:$2,0)+1,FALSE)</f>
        <v>everyone</v>
      </c>
      <c r="E65" s="57">
        <v>8</v>
      </c>
      <c r="F65" s="57" t="s">
        <v>215</v>
      </c>
      <c r="G65" s="113">
        <v>358</v>
      </c>
      <c r="H65" s="57">
        <v>1</v>
      </c>
      <c r="I65" s="57">
        <v>1</v>
      </c>
      <c r="J65" s="57">
        <v>1</v>
      </c>
      <c r="K65" s="57">
        <v>0</v>
      </c>
      <c r="L65" s="57">
        <v>0</v>
      </c>
      <c r="M65" s="57">
        <v>0</v>
      </c>
      <c r="N65" s="57">
        <v>0</v>
      </c>
      <c r="O65" s="57">
        <v>1</v>
      </c>
      <c r="P65" s="57">
        <v>25</v>
      </c>
      <c r="Q65" s="57" t="s">
        <v>165</v>
      </c>
      <c r="R65" s="57" t="s">
        <v>166</v>
      </c>
    </row>
    <row r="66" spans="1:18" x14ac:dyDescent="0.15">
      <c r="A66" s="101">
        <v>11008</v>
      </c>
      <c r="B66" s="57">
        <v>5</v>
      </c>
      <c r="C66" s="71" t="str">
        <f t="shared" si="4"/>
        <v>11008_5</v>
      </c>
      <c r="D66" s="11" t="str">
        <f ca="1">VLOOKUP($C66,OFFSET([2]stages!$A$1,0,0,COUNTA([2]stages!$A:$A),MATCH(D$1,[2]stages!$2:$2,0)-MATCH($C$1,[2]stages!$2:$2,0)+1),MATCH(D$1,[2]stages!$2:$2,0)-MATCH($C$1,[2]stages!$2:$2,0)+1,FALSE)</f>
        <v>everyone</v>
      </c>
      <c r="E66" s="57">
        <v>9</v>
      </c>
      <c r="F66" s="57" t="s">
        <v>215</v>
      </c>
      <c r="G66" s="113">
        <v>340</v>
      </c>
      <c r="H66" s="57">
        <v>1</v>
      </c>
      <c r="I66" s="57">
        <v>1</v>
      </c>
      <c r="J66" s="57">
        <v>1</v>
      </c>
      <c r="K66" s="57">
        <v>0</v>
      </c>
      <c r="L66" s="57">
        <v>0</v>
      </c>
      <c r="M66" s="57">
        <v>0</v>
      </c>
      <c r="N66" s="57">
        <v>0</v>
      </c>
      <c r="O66" s="57">
        <v>1</v>
      </c>
      <c r="P66" s="57">
        <v>10</v>
      </c>
      <c r="Q66" s="57" t="s">
        <v>165</v>
      </c>
      <c r="R66" s="57" t="s">
        <v>166</v>
      </c>
    </row>
    <row r="67" spans="1:18" x14ac:dyDescent="0.15">
      <c r="A67" s="101">
        <v>11008</v>
      </c>
      <c r="B67" s="57">
        <v>5</v>
      </c>
      <c r="C67" s="71" t="str">
        <f t="shared" si="4"/>
        <v>11008_5</v>
      </c>
      <c r="D67" s="11" t="str">
        <f ca="1">VLOOKUP($C67,OFFSET([2]stages!$A$1,0,0,COUNTA([2]stages!$A:$A),MATCH(D$1,[2]stages!$2:$2,0)-MATCH($C$1,[2]stages!$2:$2,0)+1),MATCH(D$1,[2]stages!$2:$2,0)-MATCH($C$1,[2]stages!$2:$2,0)+1,FALSE)</f>
        <v>everyone</v>
      </c>
      <c r="E67" s="57">
        <v>10</v>
      </c>
      <c r="F67" s="57" t="s">
        <v>215</v>
      </c>
      <c r="G67" s="113">
        <v>341</v>
      </c>
      <c r="H67" s="57">
        <v>1</v>
      </c>
      <c r="I67" s="57">
        <v>1</v>
      </c>
      <c r="J67" s="57">
        <v>1</v>
      </c>
      <c r="K67" s="57">
        <v>0</v>
      </c>
      <c r="L67" s="57">
        <v>0</v>
      </c>
      <c r="M67" s="57">
        <v>0</v>
      </c>
      <c r="N67" s="57">
        <v>0</v>
      </c>
      <c r="O67" s="57">
        <v>1</v>
      </c>
      <c r="P67" s="57">
        <v>34</v>
      </c>
      <c r="Q67" s="57" t="s">
        <v>165</v>
      </c>
      <c r="R67" s="57" t="s">
        <v>166</v>
      </c>
    </row>
    <row r="68" spans="1:18" x14ac:dyDescent="0.15">
      <c r="A68" s="101">
        <v>11008</v>
      </c>
      <c r="B68" s="57">
        <v>5</v>
      </c>
      <c r="C68" s="71" t="str">
        <f t="shared" si="4"/>
        <v>11008_5</v>
      </c>
      <c r="D68" s="11" t="str">
        <f ca="1">VLOOKUP($C68,OFFSET([2]stages!$A$1,0,0,COUNTA([2]stages!$A:$A),MATCH(D$1,[2]stages!$2:$2,0)-MATCH($C$1,[2]stages!$2:$2,0)+1),MATCH(D$1,[2]stages!$2:$2,0)-MATCH($C$1,[2]stages!$2:$2,0)+1,FALSE)</f>
        <v>everyone</v>
      </c>
      <c r="E68" s="57">
        <v>11</v>
      </c>
      <c r="F68" s="57" t="s">
        <v>215</v>
      </c>
      <c r="G68" s="113">
        <v>121</v>
      </c>
      <c r="H68" s="57">
        <v>1</v>
      </c>
      <c r="I68" s="57">
        <v>1</v>
      </c>
      <c r="J68" s="57">
        <v>1</v>
      </c>
      <c r="K68" s="57">
        <v>0</v>
      </c>
      <c r="L68" s="57">
        <v>0</v>
      </c>
      <c r="M68" s="57">
        <v>0</v>
      </c>
      <c r="N68" s="57">
        <v>0</v>
      </c>
      <c r="O68" s="57">
        <v>1</v>
      </c>
      <c r="P68" s="57">
        <v>10</v>
      </c>
      <c r="Q68" s="57" t="s">
        <v>165</v>
      </c>
      <c r="R68" s="57" t="s">
        <v>166</v>
      </c>
    </row>
    <row r="69" spans="1:18" x14ac:dyDescent="0.15">
      <c r="A69" s="101">
        <v>11008</v>
      </c>
      <c r="B69" s="57">
        <v>5</v>
      </c>
      <c r="C69" s="71" t="str">
        <f t="shared" si="4"/>
        <v>11008_5</v>
      </c>
      <c r="D69" s="11" t="str">
        <f ca="1">VLOOKUP($C69,OFFSET([2]stages!$A$1,0,0,COUNTA([2]stages!$A:$A),MATCH(D$1,[2]stages!$2:$2,0)-MATCH($C$1,[2]stages!$2:$2,0)+1),MATCH(D$1,[2]stages!$2:$2,0)-MATCH($C$1,[2]stages!$2:$2,0)+1,FALSE)</f>
        <v>everyone</v>
      </c>
      <c r="E69" s="57">
        <v>12</v>
      </c>
      <c r="F69" s="57" t="s">
        <v>215</v>
      </c>
      <c r="G69" s="113">
        <v>122</v>
      </c>
      <c r="H69" s="57">
        <v>1</v>
      </c>
      <c r="I69" s="57">
        <v>1</v>
      </c>
      <c r="J69" s="57">
        <v>1</v>
      </c>
      <c r="K69" s="57">
        <v>0</v>
      </c>
      <c r="L69" s="57">
        <v>0</v>
      </c>
      <c r="M69" s="57">
        <v>0</v>
      </c>
      <c r="N69" s="57">
        <v>0</v>
      </c>
      <c r="O69" s="57">
        <v>1</v>
      </c>
      <c r="P69" s="104">
        <v>10</v>
      </c>
      <c r="Q69" s="57" t="s">
        <v>165</v>
      </c>
      <c r="R69" s="57" t="s">
        <v>166</v>
      </c>
    </row>
    <row r="70" spans="1:18" x14ac:dyDescent="0.15">
      <c r="A70" s="101">
        <v>11008</v>
      </c>
      <c r="B70" s="57">
        <v>5</v>
      </c>
      <c r="C70" s="71" t="str">
        <f t="shared" si="4"/>
        <v>11008_5</v>
      </c>
      <c r="D70" s="11" t="str">
        <f ca="1">VLOOKUP($C70,OFFSET([2]stages!$A$1,0,0,COUNTA([2]stages!$A:$A),MATCH(D$1,[2]stages!$2:$2,0)-MATCH($C$1,[2]stages!$2:$2,0)+1),MATCH(D$1,[2]stages!$2:$2,0)-MATCH($C$1,[2]stages!$2:$2,0)+1,FALSE)</f>
        <v>everyone</v>
      </c>
      <c r="E70" s="57">
        <v>13</v>
      </c>
      <c r="F70" s="57" t="s">
        <v>215</v>
      </c>
      <c r="G70" s="113">
        <v>123</v>
      </c>
      <c r="H70" s="57">
        <v>1</v>
      </c>
      <c r="I70" s="57">
        <v>1</v>
      </c>
      <c r="J70" s="57">
        <v>1</v>
      </c>
      <c r="K70" s="57">
        <v>0</v>
      </c>
      <c r="L70" s="57">
        <v>0</v>
      </c>
      <c r="M70" s="57">
        <v>0</v>
      </c>
      <c r="N70" s="57">
        <v>0</v>
      </c>
      <c r="O70" s="57">
        <v>1</v>
      </c>
      <c r="P70" s="104">
        <v>10</v>
      </c>
      <c r="Q70" s="57" t="s">
        <v>165</v>
      </c>
      <c r="R70" s="57" t="s">
        <v>166</v>
      </c>
    </row>
    <row r="71" spans="1:18" x14ac:dyDescent="0.15">
      <c r="A71" s="101">
        <v>11008</v>
      </c>
      <c r="B71" s="57">
        <v>5</v>
      </c>
      <c r="C71" s="71" t="str">
        <f t="shared" si="4"/>
        <v>11008_5</v>
      </c>
      <c r="D71" s="11" t="str">
        <f ca="1">VLOOKUP($C71,OFFSET([2]stages!$A$1,0,0,COUNTA([2]stages!$A:$A),MATCH(D$1,[2]stages!$2:$2,0)-MATCH($C$1,[2]stages!$2:$2,0)+1),MATCH(D$1,[2]stages!$2:$2,0)-MATCH($C$1,[2]stages!$2:$2,0)+1,FALSE)</f>
        <v>everyone</v>
      </c>
      <c r="E71" s="57">
        <v>14</v>
      </c>
      <c r="F71" s="57" t="s">
        <v>215</v>
      </c>
      <c r="G71" s="113">
        <v>125</v>
      </c>
      <c r="H71" s="57">
        <v>1</v>
      </c>
      <c r="I71" s="57">
        <v>1</v>
      </c>
      <c r="J71" s="57">
        <v>1</v>
      </c>
      <c r="K71" s="57">
        <v>0</v>
      </c>
      <c r="L71" s="57">
        <v>0</v>
      </c>
      <c r="M71" s="57">
        <v>0</v>
      </c>
      <c r="N71" s="57">
        <v>0</v>
      </c>
      <c r="O71" s="57">
        <v>1</v>
      </c>
      <c r="P71" s="104">
        <v>1</v>
      </c>
      <c r="Q71" s="57" t="s">
        <v>165</v>
      </c>
      <c r="R71" s="57" t="s">
        <v>166</v>
      </c>
    </row>
    <row r="72" spans="1:18" x14ac:dyDescent="0.15">
      <c r="A72" s="101">
        <v>11101</v>
      </c>
      <c r="B72" s="57">
        <v>10</v>
      </c>
      <c r="C72" s="71" t="str">
        <f>A72&amp; "_"&amp;B72</f>
        <v>11101_10</v>
      </c>
      <c r="D72" s="11" t="str">
        <f ca="1">VLOOKUP($C72,OFFSET([2]stages!$A$1,0,0,COUNTA([2]stages!$A:$A),MATCH(D$1,[2]stages!$2:$2,0)-MATCH($C$1,[2]stages!$2:$2,0)+1),MATCH(D$1,[2]stages!$2:$2,0)-MATCH($C$1,[2]stages!$2:$2,0)+1,FALSE)</f>
        <v>everyone</v>
      </c>
      <c r="E72" s="57">
        <v>1</v>
      </c>
      <c r="F72" s="57" t="s">
        <v>215</v>
      </c>
      <c r="G72" s="112">
        <v>359</v>
      </c>
      <c r="H72" s="57">
        <v>1</v>
      </c>
      <c r="I72" s="57">
        <v>1</v>
      </c>
      <c r="J72" s="57">
        <v>1</v>
      </c>
      <c r="K72" s="57">
        <v>0</v>
      </c>
      <c r="L72" s="57">
        <v>0</v>
      </c>
      <c r="M72" s="57">
        <v>0</v>
      </c>
      <c r="N72" s="57">
        <v>0</v>
      </c>
      <c r="O72" s="57">
        <v>1</v>
      </c>
      <c r="P72" s="57">
        <v>25</v>
      </c>
      <c r="Q72" s="57" t="s">
        <v>165</v>
      </c>
      <c r="R72" s="57" t="s">
        <v>166</v>
      </c>
    </row>
    <row r="73" spans="1:18" x14ac:dyDescent="0.15">
      <c r="A73" s="101">
        <v>11101</v>
      </c>
      <c r="B73" s="57">
        <v>10</v>
      </c>
      <c r="C73" s="71" t="str">
        <f t="shared" ref="C73:C85" si="5">A73&amp; "_"&amp;B73</f>
        <v>11101_10</v>
      </c>
      <c r="D73" s="11" t="str">
        <f ca="1">VLOOKUP($C73,OFFSET([2]stages!$A$1,0,0,COUNTA([2]stages!$A:$A),MATCH(D$1,[2]stages!$2:$2,0)-MATCH($C$1,[2]stages!$2:$2,0)+1),MATCH(D$1,[2]stages!$2:$2,0)-MATCH($C$1,[2]stages!$2:$2,0)+1,FALSE)</f>
        <v>everyone</v>
      </c>
      <c r="E73" s="57">
        <v>2</v>
      </c>
      <c r="F73" s="57" t="s">
        <v>215</v>
      </c>
      <c r="G73" s="112">
        <v>344</v>
      </c>
      <c r="H73" s="57">
        <v>1</v>
      </c>
      <c r="I73" s="57">
        <v>1</v>
      </c>
      <c r="J73" s="57">
        <v>1</v>
      </c>
      <c r="K73" s="57">
        <v>0</v>
      </c>
      <c r="L73" s="57">
        <v>0</v>
      </c>
      <c r="M73" s="57">
        <v>0</v>
      </c>
      <c r="N73" s="57">
        <v>0</v>
      </c>
      <c r="O73" s="57">
        <v>1</v>
      </c>
      <c r="P73" s="57">
        <v>10</v>
      </c>
      <c r="Q73" s="57" t="s">
        <v>165</v>
      </c>
      <c r="R73" s="57" t="s">
        <v>166</v>
      </c>
    </row>
    <row r="74" spans="1:18" x14ac:dyDescent="0.15">
      <c r="A74" s="101">
        <v>11101</v>
      </c>
      <c r="B74" s="57">
        <v>10</v>
      </c>
      <c r="C74" s="71" t="str">
        <f t="shared" si="5"/>
        <v>11101_10</v>
      </c>
      <c r="D74" s="11" t="str">
        <f ca="1">VLOOKUP($C74,OFFSET([2]stages!$A$1,0,0,COUNTA([2]stages!$A:$A),MATCH(D$1,[2]stages!$2:$2,0)-MATCH($C$1,[2]stages!$2:$2,0)+1),MATCH(D$1,[2]stages!$2:$2,0)-MATCH($C$1,[2]stages!$2:$2,0)+1,FALSE)</f>
        <v>everyone</v>
      </c>
      <c r="E74" s="57">
        <v>3</v>
      </c>
      <c r="F74" s="57" t="s">
        <v>215</v>
      </c>
      <c r="G74" s="112">
        <v>345</v>
      </c>
      <c r="H74" s="57">
        <v>1</v>
      </c>
      <c r="I74" s="57">
        <v>1</v>
      </c>
      <c r="J74" s="57">
        <v>1</v>
      </c>
      <c r="K74" s="57">
        <v>0</v>
      </c>
      <c r="L74" s="57">
        <v>0</v>
      </c>
      <c r="M74" s="57">
        <v>0</v>
      </c>
      <c r="N74" s="57">
        <v>0</v>
      </c>
      <c r="O74" s="57">
        <v>1</v>
      </c>
      <c r="P74" s="57">
        <v>34</v>
      </c>
      <c r="Q74" s="57" t="s">
        <v>165</v>
      </c>
      <c r="R74" s="57" t="s">
        <v>166</v>
      </c>
    </row>
    <row r="75" spans="1:18" x14ac:dyDescent="0.15">
      <c r="A75" s="101">
        <v>11101</v>
      </c>
      <c r="B75" s="57">
        <v>10</v>
      </c>
      <c r="C75" s="71" t="str">
        <f t="shared" si="5"/>
        <v>11101_10</v>
      </c>
      <c r="D75" s="11" t="str">
        <f ca="1">VLOOKUP($C75,OFFSET([2]stages!$A$1,0,0,COUNTA([2]stages!$A:$A),MATCH(D$1,[2]stages!$2:$2,0)-MATCH($C$1,[2]stages!$2:$2,0)+1),MATCH(D$1,[2]stages!$2:$2,0)-MATCH($C$1,[2]stages!$2:$2,0)+1,FALSE)</f>
        <v>everyone</v>
      </c>
      <c r="E75" s="57">
        <v>4</v>
      </c>
      <c r="F75" s="57" t="s">
        <v>215</v>
      </c>
      <c r="G75" s="112">
        <v>121</v>
      </c>
      <c r="H75" s="57">
        <v>1</v>
      </c>
      <c r="I75" s="57">
        <v>1</v>
      </c>
      <c r="J75" s="57">
        <v>1</v>
      </c>
      <c r="K75" s="57">
        <v>0</v>
      </c>
      <c r="L75" s="57">
        <v>0</v>
      </c>
      <c r="M75" s="57">
        <v>0</v>
      </c>
      <c r="N75" s="57">
        <v>0</v>
      </c>
      <c r="O75" s="57">
        <v>1</v>
      </c>
      <c r="P75" s="57">
        <v>10</v>
      </c>
      <c r="Q75" s="57" t="s">
        <v>165</v>
      </c>
      <c r="R75" s="57" t="s">
        <v>166</v>
      </c>
    </row>
    <row r="76" spans="1:18" x14ac:dyDescent="0.15">
      <c r="A76" s="101">
        <v>11101</v>
      </c>
      <c r="B76" s="57">
        <v>10</v>
      </c>
      <c r="C76" s="71" t="str">
        <f t="shared" si="5"/>
        <v>11101_10</v>
      </c>
      <c r="D76" s="11" t="str">
        <f ca="1">VLOOKUP($C76,OFFSET([2]stages!$A$1,0,0,COUNTA([2]stages!$A:$A),MATCH(D$1,[2]stages!$2:$2,0)-MATCH($C$1,[2]stages!$2:$2,0)+1),MATCH(D$1,[2]stages!$2:$2,0)-MATCH($C$1,[2]stages!$2:$2,0)+1,FALSE)</f>
        <v>everyone</v>
      </c>
      <c r="E76" s="57">
        <v>5</v>
      </c>
      <c r="F76" s="57" t="s">
        <v>215</v>
      </c>
      <c r="G76" s="112">
        <v>122</v>
      </c>
      <c r="H76" s="57">
        <v>1</v>
      </c>
      <c r="I76" s="57">
        <v>1</v>
      </c>
      <c r="J76" s="57">
        <v>1</v>
      </c>
      <c r="K76" s="57">
        <v>0</v>
      </c>
      <c r="L76" s="57">
        <v>0</v>
      </c>
      <c r="M76" s="57">
        <v>0</v>
      </c>
      <c r="N76" s="57">
        <v>0</v>
      </c>
      <c r="O76" s="57">
        <v>1</v>
      </c>
      <c r="P76" s="104">
        <v>10</v>
      </c>
      <c r="Q76" s="57" t="s">
        <v>165</v>
      </c>
      <c r="R76" s="57" t="s">
        <v>166</v>
      </c>
    </row>
    <row r="77" spans="1:18" x14ac:dyDescent="0.15">
      <c r="A77" s="101">
        <v>11101</v>
      </c>
      <c r="B77" s="57">
        <v>10</v>
      </c>
      <c r="C77" s="71" t="str">
        <f t="shared" si="5"/>
        <v>11101_10</v>
      </c>
      <c r="D77" s="11" t="str">
        <f ca="1">VLOOKUP($C77,OFFSET([2]stages!$A$1,0,0,COUNTA([2]stages!$A:$A),MATCH(D$1,[2]stages!$2:$2,0)-MATCH($C$1,[2]stages!$2:$2,0)+1),MATCH(D$1,[2]stages!$2:$2,0)-MATCH($C$1,[2]stages!$2:$2,0)+1,FALSE)</f>
        <v>everyone</v>
      </c>
      <c r="E77" s="57">
        <v>6</v>
      </c>
      <c r="F77" s="57" t="s">
        <v>215</v>
      </c>
      <c r="G77" s="112">
        <v>123</v>
      </c>
      <c r="H77" s="57">
        <v>1</v>
      </c>
      <c r="I77" s="57">
        <v>1</v>
      </c>
      <c r="J77" s="57">
        <v>1</v>
      </c>
      <c r="K77" s="57">
        <v>0</v>
      </c>
      <c r="L77" s="57">
        <v>0</v>
      </c>
      <c r="M77" s="57">
        <v>0</v>
      </c>
      <c r="N77" s="57">
        <v>0</v>
      </c>
      <c r="O77" s="57">
        <v>1</v>
      </c>
      <c r="P77" s="104">
        <v>10</v>
      </c>
      <c r="Q77" s="57" t="s">
        <v>165</v>
      </c>
      <c r="R77" s="57" t="s">
        <v>166</v>
      </c>
    </row>
    <row r="78" spans="1:18" x14ac:dyDescent="0.15">
      <c r="A78" s="101">
        <v>11101</v>
      </c>
      <c r="B78" s="57">
        <v>10</v>
      </c>
      <c r="C78" s="71" t="str">
        <f t="shared" si="5"/>
        <v>11101_10</v>
      </c>
      <c r="D78" s="11" t="str">
        <f ca="1">VLOOKUP($C78,OFFSET([2]stages!$A$1,0,0,COUNTA([2]stages!$A:$A),MATCH(D$1,[2]stages!$2:$2,0)-MATCH($C$1,[2]stages!$2:$2,0)+1),MATCH(D$1,[2]stages!$2:$2,0)-MATCH($C$1,[2]stages!$2:$2,0)+1,FALSE)</f>
        <v>everyone</v>
      </c>
      <c r="E78" s="57">
        <v>7</v>
      </c>
      <c r="F78" s="57" t="s">
        <v>215</v>
      </c>
      <c r="G78" s="112">
        <v>125</v>
      </c>
      <c r="H78" s="57">
        <v>1</v>
      </c>
      <c r="I78" s="57">
        <v>1</v>
      </c>
      <c r="J78" s="57">
        <v>1</v>
      </c>
      <c r="K78" s="57">
        <v>0</v>
      </c>
      <c r="L78" s="57">
        <v>0</v>
      </c>
      <c r="M78" s="57">
        <v>0</v>
      </c>
      <c r="N78" s="57">
        <v>0</v>
      </c>
      <c r="O78" s="57">
        <v>1</v>
      </c>
      <c r="P78" s="104">
        <v>1</v>
      </c>
      <c r="Q78" s="57" t="s">
        <v>165</v>
      </c>
      <c r="R78" s="57" t="s">
        <v>166</v>
      </c>
    </row>
    <row r="79" spans="1:18" x14ac:dyDescent="0.15">
      <c r="A79" s="101">
        <v>11103</v>
      </c>
      <c r="B79" s="57">
        <v>10</v>
      </c>
      <c r="C79" s="71" t="str">
        <f t="shared" si="5"/>
        <v>11103_10</v>
      </c>
      <c r="D79" s="11" t="str">
        <f ca="1">VLOOKUP($C79,OFFSET([2]stages!$A$1,0,0,COUNTA([2]stages!$A:$A),MATCH(D$1,[2]stages!$2:$2,0)-MATCH($C$1,[2]stages!$2:$2,0)+1),MATCH(D$1,[2]stages!$2:$2,0)-MATCH($C$1,[2]stages!$2:$2,0)+1,FALSE)</f>
        <v>everyone</v>
      </c>
      <c r="E79" s="57">
        <v>8</v>
      </c>
      <c r="F79" s="57" t="s">
        <v>215</v>
      </c>
      <c r="G79" s="113">
        <v>358</v>
      </c>
      <c r="H79" s="57">
        <v>1</v>
      </c>
      <c r="I79" s="57">
        <v>1</v>
      </c>
      <c r="J79" s="57">
        <v>1</v>
      </c>
      <c r="K79" s="57">
        <v>0</v>
      </c>
      <c r="L79" s="57">
        <v>0</v>
      </c>
      <c r="M79" s="57">
        <v>0</v>
      </c>
      <c r="N79" s="57">
        <v>0</v>
      </c>
      <c r="O79" s="57">
        <v>1</v>
      </c>
      <c r="P79" s="57">
        <v>25</v>
      </c>
      <c r="Q79" s="57" t="s">
        <v>165</v>
      </c>
      <c r="R79" s="57" t="s">
        <v>166</v>
      </c>
    </row>
    <row r="80" spans="1:18" x14ac:dyDescent="0.15">
      <c r="A80" s="101">
        <v>11103</v>
      </c>
      <c r="B80" s="57">
        <v>10</v>
      </c>
      <c r="C80" s="71" t="str">
        <f t="shared" si="5"/>
        <v>11103_10</v>
      </c>
      <c r="D80" s="11" t="str">
        <f ca="1">VLOOKUP($C80,OFFSET([2]stages!$A$1,0,0,COUNTA([2]stages!$A:$A),MATCH(D$1,[2]stages!$2:$2,0)-MATCH($C$1,[2]stages!$2:$2,0)+1),MATCH(D$1,[2]stages!$2:$2,0)-MATCH($C$1,[2]stages!$2:$2,0)+1,FALSE)</f>
        <v>everyone</v>
      </c>
      <c r="E80" s="57">
        <v>9</v>
      </c>
      <c r="F80" s="57" t="s">
        <v>215</v>
      </c>
      <c r="G80" s="113">
        <v>340</v>
      </c>
      <c r="H80" s="57">
        <v>1</v>
      </c>
      <c r="I80" s="57">
        <v>1</v>
      </c>
      <c r="J80" s="57">
        <v>1</v>
      </c>
      <c r="K80" s="57">
        <v>0</v>
      </c>
      <c r="L80" s="57">
        <v>0</v>
      </c>
      <c r="M80" s="57">
        <v>0</v>
      </c>
      <c r="N80" s="57">
        <v>0</v>
      </c>
      <c r="O80" s="57">
        <v>1</v>
      </c>
      <c r="P80" s="57">
        <v>10</v>
      </c>
      <c r="Q80" s="57" t="s">
        <v>165</v>
      </c>
      <c r="R80" s="57" t="s">
        <v>166</v>
      </c>
    </row>
    <row r="81" spans="1:18" x14ac:dyDescent="0.15">
      <c r="A81" s="101">
        <v>11103</v>
      </c>
      <c r="B81" s="57">
        <v>10</v>
      </c>
      <c r="C81" s="71" t="str">
        <f t="shared" si="5"/>
        <v>11103_10</v>
      </c>
      <c r="D81" s="11" t="str">
        <f ca="1">VLOOKUP($C81,OFFSET([2]stages!$A$1,0,0,COUNTA([2]stages!$A:$A),MATCH(D$1,[2]stages!$2:$2,0)-MATCH($C$1,[2]stages!$2:$2,0)+1),MATCH(D$1,[2]stages!$2:$2,0)-MATCH($C$1,[2]stages!$2:$2,0)+1,FALSE)</f>
        <v>everyone</v>
      </c>
      <c r="E81" s="57">
        <v>10</v>
      </c>
      <c r="F81" s="57" t="s">
        <v>215</v>
      </c>
      <c r="G81" s="113">
        <v>341</v>
      </c>
      <c r="H81" s="57">
        <v>1</v>
      </c>
      <c r="I81" s="57">
        <v>1</v>
      </c>
      <c r="J81" s="57">
        <v>1</v>
      </c>
      <c r="K81" s="57">
        <v>0</v>
      </c>
      <c r="L81" s="57">
        <v>0</v>
      </c>
      <c r="M81" s="57">
        <v>0</v>
      </c>
      <c r="N81" s="57">
        <v>0</v>
      </c>
      <c r="O81" s="57">
        <v>1</v>
      </c>
      <c r="P81" s="57">
        <v>34</v>
      </c>
      <c r="Q81" s="57" t="s">
        <v>165</v>
      </c>
      <c r="R81" s="57" t="s">
        <v>166</v>
      </c>
    </row>
    <row r="82" spans="1:18" x14ac:dyDescent="0.15">
      <c r="A82" s="101">
        <v>11103</v>
      </c>
      <c r="B82" s="57">
        <v>10</v>
      </c>
      <c r="C82" s="71" t="str">
        <f t="shared" si="5"/>
        <v>11103_10</v>
      </c>
      <c r="D82" s="11" t="str">
        <f ca="1">VLOOKUP($C82,OFFSET([2]stages!$A$1,0,0,COUNTA([2]stages!$A:$A),MATCH(D$1,[2]stages!$2:$2,0)-MATCH($C$1,[2]stages!$2:$2,0)+1),MATCH(D$1,[2]stages!$2:$2,0)-MATCH($C$1,[2]stages!$2:$2,0)+1,FALSE)</f>
        <v>everyone</v>
      </c>
      <c r="E82" s="57">
        <v>11</v>
      </c>
      <c r="F82" s="57" t="s">
        <v>215</v>
      </c>
      <c r="G82" s="113">
        <v>121</v>
      </c>
      <c r="H82" s="57">
        <v>1</v>
      </c>
      <c r="I82" s="57">
        <v>1</v>
      </c>
      <c r="J82" s="57">
        <v>1</v>
      </c>
      <c r="K82" s="57">
        <v>0</v>
      </c>
      <c r="L82" s="57">
        <v>0</v>
      </c>
      <c r="M82" s="57">
        <v>0</v>
      </c>
      <c r="N82" s="57">
        <v>0</v>
      </c>
      <c r="O82" s="57">
        <v>1</v>
      </c>
      <c r="P82" s="57">
        <v>10</v>
      </c>
      <c r="Q82" s="57" t="s">
        <v>165</v>
      </c>
      <c r="R82" s="57" t="s">
        <v>166</v>
      </c>
    </row>
    <row r="83" spans="1:18" x14ac:dyDescent="0.15">
      <c r="A83" s="101">
        <v>11103</v>
      </c>
      <c r="B83" s="57">
        <v>10</v>
      </c>
      <c r="C83" s="71" t="str">
        <f t="shared" si="5"/>
        <v>11103_10</v>
      </c>
      <c r="D83" s="11" t="str">
        <f ca="1">VLOOKUP($C83,OFFSET([2]stages!$A$1,0,0,COUNTA([2]stages!$A:$A),MATCH(D$1,[2]stages!$2:$2,0)-MATCH($C$1,[2]stages!$2:$2,0)+1),MATCH(D$1,[2]stages!$2:$2,0)-MATCH($C$1,[2]stages!$2:$2,0)+1,FALSE)</f>
        <v>everyone</v>
      </c>
      <c r="E83" s="57">
        <v>12</v>
      </c>
      <c r="F83" s="57" t="s">
        <v>215</v>
      </c>
      <c r="G83" s="113">
        <v>122</v>
      </c>
      <c r="H83" s="57">
        <v>1</v>
      </c>
      <c r="I83" s="57">
        <v>1</v>
      </c>
      <c r="J83" s="57">
        <v>1</v>
      </c>
      <c r="K83" s="57">
        <v>0</v>
      </c>
      <c r="L83" s="57">
        <v>0</v>
      </c>
      <c r="M83" s="57">
        <v>0</v>
      </c>
      <c r="N83" s="57">
        <v>0</v>
      </c>
      <c r="O83" s="57">
        <v>1</v>
      </c>
      <c r="P83" s="104">
        <v>10</v>
      </c>
      <c r="Q83" s="57" t="s">
        <v>165</v>
      </c>
      <c r="R83" s="57" t="s">
        <v>166</v>
      </c>
    </row>
    <row r="84" spans="1:18" x14ac:dyDescent="0.15">
      <c r="A84" s="101">
        <v>11103</v>
      </c>
      <c r="B84" s="57">
        <v>10</v>
      </c>
      <c r="C84" s="71" t="str">
        <f t="shared" si="5"/>
        <v>11103_10</v>
      </c>
      <c r="D84" s="11" t="str">
        <f ca="1">VLOOKUP($C84,OFFSET([2]stages!$A$1,0,0,COUNTA([2]stages!$A:$A),MATCH(D$1,[2]stages!$2:$2,0)-MATCH($C$1,[2]stages!$2:$2,0)+1),MATCH(D$1,[2]stages!$2:$2,0)-MATCH($C$1,[2]stages!$2:$2,0)+1,FALSE)</f>
        <v>everyone</v>
      </c>
      <c r="E84" s="57">
        <v>13</v>
      </c>
      <c r="F84" s="57" t="s">
        <v>215</v>
      </c>
      <c r="G84" s="113">
        <v>123</v>
      </c>
      <c r="H84" s="57">
        <v>1</v>
      </c>
      <c r="I84" s="57">
        <v>1</v>
      </c>
      <c r="J84" s="57">
        <v>1</v>
      </c>
      <c r="K84" s="57">
        <v>0</v>
      </c>
      <c r="L84" s="57">
        <v>0</v>
      </c>
      <c r="M84" s="57">
        <v>0</v>
      </c>
      <c r="N84" s="57">
        <v>0</v>
      </c>
      <c r="O84" s="57">
        <v>1</v>
      </c>
      <c r="P84" s="104">
        <v>10</v>
      </c>
      <c r="Q84" s="57" t="s">
        <v>165</v>
      </c>
      <c r="R84" s="57" t="s">
        <v>166</v>
      </c>
    </row>
    <row r="85" spans="1:18" x14ac:dyDescent="0.15">
      <c r="A85" s="101">
        <v>11103</v>
      </c>
      <c r="B85" s="57">
        <v>10</v>
      </c>
      <c r="C85" s="71" t="str">
        <f t="shared" si="5"/>
        <v>11103_10</v>
      </c>
      <c r="D85" s="11" t="str">
        <f ca="1">VLOOKUP($C85,OFFSET([2]stages!$A$1,0,0,COUNTA([2]stages!$A:$A),MATCH(D$1,[2]stages!$2:$2,0)-MATCH($C$1,[2]stages!$2:$2,0)+1),MATCH(D$1,[2]stages!$2:$2,0)-MATCH($C$1,[2]stages!$2:$2,0)+1,FALSE)</f>
        <v>everyone</v>
      </c>
      <c r="E85" s="57">
        <v>14</v>
      </c>
      <c r="F85" s="57" t="s">
        <v>215</v>
      </c>
      <c r="G85" s="113">
        <v>125</v>
      </c>
      <c r="H85" s="57">
        <v>1</v>
      </c>
      <c r="I85" s="57">
        <v>1</v>
      </c>
      <c r="J85" s="57">
        <v>1</v>
      </c>
      <c r="K85" s="57">
        <v>0</v>
      </c>
      <c r="L85" s="57">
        <v>0</v>
      </c>
      <c r="M85" s="57">
        <v>0</v>
      </c>
      <c r="N85" s="57">
        <v>0</v>
      </c>
      <c r="O85" s="57">
        <v>1</v>
      </c>
      <c r="P85" s="104">
        <v>1</v>
      </c>
      <c r="Q85" s="57" t="s">
        <v>165</v>
      </c>
      <c r="R85" s="57" t="s">
        <v>166</v>
      </c>
    </row>
  </sheetData>
  <phoneticPr fontId="5"/>
  <dataValidations count="1">
    <dataValidation type="list" allowBlank="1" showInputMessage="1" showErrorMessage="1" sqref="F2:F85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1"/>
  <sheetViews>
    <sheetView showGridLines="0" tabSelected="1" workbookViewId="0">
      <pane ySplit="1" topLeftCell="A2" activePane="bottomLeft" state="frozen"/>
      <selection pane="bottomLeft" activeCell="E28" sqref="E28:E53"/>
    </sheetView>
  </sheetViews>
  <sheetFormatPr baseColWidth="12" defaultColWidth="13" defaultRowHeight="15" outlineLevelCol="1" x14ac:dyDescent="0.15"/>
  <cols>
    <col min="1" max="1" width="13" style="89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183</v>
      </c>
      <c r="B1" s="73" t="s">
        <v>184</v>
      </c>
      <c r="C1" s="78" t="s">
        <v>185</v>
      </c>
      <c r="D1" s="78" t="s">
        <v>33</v>
      </c>
      <c r="E1" s="73" t="s">
        <v>186</v>
      </c>
      <c r="F1" s="78" t="s">
        <v>187</v>
      </c>
      <c r="G1" s="78" t="s">
        <v>33</v>
      </c>
      <c r="H1" s="73" t="s">
        <v>188</v>
      </c>
      <c r="I1" s="92" t="s">
        <v>190</v>
      </c>
      <c r="J1" s="80" t="s">
        <v>124</v>
      </c>
      <c r="K1" s="79" t="s">
        <v>182</v>
      </c>
      <c r="L1" s="93" t="s">
        <v>181</v>
      </c>
      <c r="M1" s="81" t="s">
        <v>191</v>
      </c>
    </row>
    <row r="2" spans="1:13" x14ac:dyDescent="0.15">
      <c r="A2" s="82" t="s">
        <v>196</v>
      </c>
      <c r="B2" s="83">
        <f>floors!$C$2</f>
        <v>11002</v>
      </c>
      <c r="C2" s="84" t="str">
        <f ca="1">VLOOKUP($B2,OFFSET([2]quests!$A$1,0,0,COUNTA([2]quests!$A:$A),MATCH(C$1,[2]quests!$1:$1,0)-MATCH($B$1,[2]quests!$1:$1,0)+1),MATCH(C$1,[2]quests!$1:$1,0)-MATCH($B$1,[2]quests!$1:$1,0)+1,FALSE)</f>
        <v>【火曜限定】 赤の素材</v>
      </c>
      <c r="D2" s="84" t="str">
        <f ca="1">VLOOKUP($B2,OFFSET([2]quests!$A$1,0,0,COUNTA([2]quests!$A:$A),MATCH(D$1,[2]quests!$1:$1,0)-MATCH($B$1,[2]quests!$1:$1,0)+1),MATCH(D$1,[2]quests!$1:$1,0)-MATCH($B$1,[2]quests!$1:$1,0)+1,FALSE)</f>
        <v>火曜クエスト</v>
      </c>
      <c r="E2" s="88">
        <v>10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【超絶級】炎上のドードー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火曜クエスト</v>
      </c>
      <c r="H2" s="86">
        <v>0</v>
      </c>
      <c r="I2">
        <v>12</v>
      </c>
      <c r="J2" s="85" t="s">
        <v>193</v>
      </c>
      <c r="K2" s="94" t="str">
        <f>VLOOKUP(I2,[7]stage_hints!$A:$C,3,FALSE)</f>
        <v>ユニットのお気に入り登録</v>
      </c>
      <c r="L2" s="95" t="str">
        <f>VLOOKUP(I2,[7]stage_hints!$A:$D,4,FALSE)</f>
        <v>大事なユニットを誤って消さないように_x000D_フォルダから「お気に入り登録」しましょう</v>
      </c>
      <c r="M2" s="57" t="s">
        <v>206</v>
      </c>
    </row>
    <row r="3" spans="1:13" x14ac:dyDescent="0.15">
      <c r="A3" s="82" t="s">
        <v>196</v>
      </c>
      <c r="B3" s="83">
        <f>floors!$C$2</f>
        <v>11002</v>
      </c>
      <c r="C3" s="84" t="str">
        <f ca="1">VLOOKUP($B3,OFFSET([2]quests!$A$1,0,0,COUNTA([2]quests!$A:$A),MATCH(C$1,[2]quests!$1:$1,0)-MATCH($B$1,[2]quests!$1:$1,0)+1),MATCH(C$1,[2]quests!$1:$1,0)-MATCH($B$1,[2]quests!$1:$1,0)+1,FALSE)</f>
        <v>【火曜限定】 赤の素材</v>
      </c>
      <c r="D3" s="84" t="str">
        <f ca="1">VLOOKUP($B3,OFFSET([2]quests!$A$1,0,0,COUNTA([2]quests!$A:$A),MATCH(D$1,[2]quests!$1:$1,0)-MATCH($B$1,[2]quests!$1:$1,0)+1),MATCH(D$1,[2]quests!$1:$1,0)-MATCH($B$1,[2]quests!$1:$1,0)+1,FALSE)</f>
        <v>火曜クエスト</v>
      </c>
      <c r="E3" s="88">
        <v>10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【超絶級】炎上のドードー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火曜クエスト</v>
      </c>
      <c r="H3" s="86">
        <v>0</v>
      </c>
      <c r="I3">
        <v>17</v>
      </c>
      <c r="J3" s="85" t="s">
        <v>193</v>
      </c>
      <c r="K3" s="94" t="str">
        <f>VLOOKUP(I3,[7]stage_hints!$A:$C,3,FALSE)</f>
        <v>リンクガチャ</v>
      </c>
      <c r="L3" s="95" t="str">
        <f>VLOOKUP(I3,[7]stage_hints!$A:$D,4,FALSE)</f>
        <v>無料のリンクガチャを回して_x000D_経験値素材や売却素材を獲得しましょう</v>
      </c>
      <c r="M3" s="57" t="s">
        <v>206</v>
      </c>
    </row>
    <row r="4" spans="1:13" x14ac:dyDescent="0.15">
      <c r="A4" s="82" t="s">
        <v>196</v>
      </c>
      <c r="B4" s="83">
        <f>floors!$C$2</f>
        <v>11002</v>
      </c>
      <c r="C4" s="84" t="str">
        <f ca="1">VLOOKUP($B4,OFFSET([2]quests!$A$1,0,0,COUNTA([2]quests!$A:$A),MATCH(C$1,[2]quests!$1:$1,0)-MATCH($B$1,[2]quests!$1:$1,0)+1),MATCH(C$1,[2]quests!$1:$1,0)-MATCH($B$1,[2]quests!$1:$1,0)+1,FALSE)</f>
        <v>【火曜限定】 赤の素材</v>
      </c>
      <c r="D4" s="84" t="str">
        <f ca="1">VLOOKUP($B4,OFFSET([2]quests!$A$1,0,0,COUNTA([2]quests!$A:$A),MATCH(D$1,[2]quests!$1:$1,0)-MATCH($B$1,[2]quests!$1:$1,0)+1),MATCH(D$1,[2]quests!$1:$1,0)-MATCH($B$1,[2]quests!$1:$1,0)+1,FALSE)</f>
        <v>火曜クエスト</v>
      </c>
      <c r="E4" s="88">
        <v>10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【超絶級】炎上のドードー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火曜クエスト</v>
      </c>
      <c r="H4" s="86">
        <v>0</v>
      </c>
      <c r="I4">
        <v>19</v>
      </c>
      <c r="J4" s="85" t="s">
        <v>193</v>
      </c>
      <c r="K4" s="94" t="str">
        <f>VLOOKUP(I4,[7]stage_hints!$A:$C,3,FALSE)</f>
        <v>ソロ専用チャレンジタワー</v>
      </c>
      <c r="L4" s="95" t="str">
        <f>VLOOKUP(I4,[7]stage_hints!$A:$D,4,FALSE)</f>
        <v>ソロ専用の「チャレンジタワー」では_x000D_各フロアごとにクリア報酬がもらえます</v>
      </c>
      <c r="M4" s="57" t="s">
        <v>206</v>
      </c>
    </row>
    <row r="5" spans="1:13" x14ac:dyDescent="0.15">
      <c r="A5" s="82" t="s">
        <v>196</v>
      </c>
      <c r="B5" s="83">
        <f>floors!$C$2</f>
        <v>11002</v>
      </c>
      <c r="C5" s="84" t="str">
        <f ca="1">VLOOKUP($B5,OFFSET([2]quests!$A$1,0,0,COUNTA([2]quests!$A:$A),MATCH(C$1,[2]quests!$1:$1,0)-MATCH($B$1,[2]quests!$1:$1,0)+1),MATCH(C$1,[2]quests!$1:$1,0)-MATCH($B$1,[2]quests!$1:$1,0)+1,FALSE)</f>
        <v>【火曜限定】 赤の素材</v>
      </c>
      <c r="D5" s="84" t="str">
        <f ca="1">VLOOKUP($B5,OFFSET([2]quests!$A$1,0,0,COUNTA([2]quests!$A:$A),MATCH(D$1,[2]quests!$1:$1,0)-MATCH($B$1,[2]quests!$1:$1,0)+1),MATCH(D$1,[2]quests!$1:$1,0)-MATCH($B$1,[2]quests!$1:$1,0)+1,FALSE)</f>
        <v>火曜クエスト</v>
      </c>
      <c r="E5" s="88">
        <v>10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【超絶級】炎上のドードー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火曜クエスト</v>
      </c>
      <c r="H5" s="86">
        <v>0</v>
      </c>
      <c r="I5">
        <v>21</v>
      </c>
      <c r="J5" s="85" t="s">
        <v>193</v>
      </c>
      <c r="K5" s="94" t="str">
        <f>VLOOKUP(I5,[7]stage_hints!$A:$C,3,FALSE)</f>
        <v>スキルを有効に</v>
      </c>
      <c r="L5" s="95" t="str">
        <f>VLOOKUP(I5,[7]stage_hints!$A:$D,4,FALSE)</f>
        <v>ターン経過でユニットのスキルが使えます_x000D_強力スキルでバトルを有利に進めましょう</v>
      </c>
      <c r="M5" s="57" t="s">
        <v>206</v>
      </c>
    </row>
    <row r="6" spans="1:13" x14ac:dyDescent="0.15">
      <c r="A6" s="82" t="s">
        <v>196</v>
      </c>
      <c r="B6" s="83">
        <f>floors!$C$2</f>
        <v>11002</v>
      </c>
      <c r="C6" s="84" t="str">
        <f ca="1">VLOOKUP($B6,OFFSET([2]quests!$A$1,0,0,COUNTA([2]quests!$A:$A),MATCH(C$1,[2]quests!$1:$1,0)-MATCH($B$1,[2]quests!$1:$1,0)+1),MATCH(C$1,[2]quests!$1:$1,0)-MATCH($B$1,[2]quests!$1:$1,0)+1,FALSE)</f>
        <v>【火曜限定】 赤の素材</v>
      </c>
      <c r="D6" s="84" t="str">
        <f ca="1">VLOOKUP($B6,OFFSET([2]quests!$A$1,0,0,COUNTA([2]quests!$A:$A),MATCH(D$1,[2]quests!$1:$1,0)-MATCH($B$1,[2]quests!$1:$1,0)+1),MATCH(D$1,[2]quests!$1:$1,0)-MATCH($B$1,[2]quests!$1:$1,0)+1,FALSE)</f>
        <v>火曜クエスト</v>
      </c>
      <c r="E6" s="88">
        <v>10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【超絶級】炎上のドードー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火曜クエスト</v>
      </c>
      <c r="H6" s="86">
        <v>0</v>
      </c>
      <c r="I6">
        <v>29</v>
      </c>
      <c r="J6" s="85" t="s">
        <v>193</v>
      </c>
      <c r="K6" s="94" t="str">
        <f>VLOOKUP(I6,[7]stage_hints!$A:$C,3,FALSE)</f>
        <v>「バグ」のメリット</v>
      </c>
      <c r="L6" s="95" t="str">
        <f>VLOOKUP(I6,[7]stage_hints!$A:$D,4,FALSE)</f>
        <v>ユニットの「バグ」を増やすと_x000D_報酬をもらえる確率がアップします</v>
      </c>
      <c r="M6" s="57" t="s">
        <v>206</v>
      </c>
    </row>
    <row r="7" spans="1:13" x14ac:dyDescent="0.15">
      <c r="A7" s="82" t="s">
        <v>196</v>
      </c>
      <c r="B7" s="83">
        <f>floors!$C$2</f>
        <v>11002</v>
      </c>
      <c r="C7" s="84" t="str">
        <f ca="1">VLOOKUP($B7,OFFSET([2]quests!$A$1,0,0,COUNTA([2]quests!$A:$A),MATCH(C$1,[2]quests!$1:$1,0)-MATCH($B$1,[2]quests!$1:$1,0)+1),MATCH(C$1,[2]quests!$1:$1,0)-MATCH($B$1,[2]quests!$1:$1,0)+1,FALSE)</f>
        <v>【火曜限定】 赤の素材</v>
      </c>
      <c r="D7" s="84" t="str">
        <f ca="1">VLOOKUP($B7,OFFSET([2]quests!$A$1,0,0,COUNTA([2]quests!$A:$A),MATCH(D$1,[2]quests!$1:$1,0)-MATCH($B$1,[2]quests!$1:$1,0)+1),MATCH(D$1,[2]quests!$1:$1,0)-MATCH($B$1,[2]quests!$1:$1,0)+1,FALSE)</f>
        <v>火曜クエスト</v>
      </c>
      <c r="E7" s="88">
        <v>10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【超絶級】炎上のドードー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火曜クエスト</v>
      </c>
      <c r="H7" s="86">
        <v>0</v>
      </c>
      <c r="I7">
        <v>30</v>
      </c>
      <c r="J7" s="85" t="s">
        <v>193</v>
      </c>
      <c r="K7" s="94" t="str">
        <f>VLOOKUP(I7,[7]stage_hints!$A:$C,3,FALSE)</f>
        <v>「バグ」の増やし方</v>
      </c>
      <c r="L7" s="95" t="str">
        <f>VLOOKUP(I7,[7]stage_hints!$A:$D,4,FALSE)</f>
        <v>同じユニット同士を強化で合成すると_x000D_「バグ」を増やすことができます</v>
      </c>
      <c r="M7" s="57" t="s">
        <v>206</v>
      </c>
    </row>
    <row r="8" spans="1:13" x14ac:dyDescent="0.15">
      <c r="A8" s="82" t="s">
        <v>196</v>
      </c>
      <c r="B8" s="83">
        <f>floors!$C$2</f>
        <v>11002</v>
      </c>
      <c r="C8" s="84" t="str">
        <f ca="1">VLOOKUP($B8,OFFSET([2]quests!$A$1,0,0,COUNTA([2]quests!$A:$A),MATCH(C$1,[2]quests!$1:$1,0)-MATCH($B$1,[2]quests!$1:$1,0)+1),MATCH(C$1,[2]quests!$1:$1,0)-MATCH($B$1,[2]quests!$1:$1,0)+1,FALSE)</f>
        <v>【火曜限定】 赤の素材</v>
      </c>
      <c r="D8" s="84" t="str">
        <f ca="1">VLOOKUP($B8,OFFSET([2]quests!$A$1,0,0,COUNTA([2]quests!$A:$A),MATCH(D$1,[2]quests!$1:$1,0)-MATCH($B$1,[2]quests!$1:$1,0)+1),MATCH(D$1,[2]quests!$1:$1,0)-MATCH($B$1,[2]quests!$1:$1,0)+1,FALSE)</f>
        <v>火曜クエスト</v>
      </c>
      <c r="E8" s="88">
        <v>10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【超絶級】炎上のドードー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火曜クエスト</v>
      </c>
      <c r="H8" s="86">
        <v>0</v>
      </c>
      <c r="I8">
        <v>32</v>
      </c>
      <c r="J8" s="85" t="s">
        <v>193</v>
      </c>
      <c r="K8" s="94" t="str">
        <f>VLOOKUP(I8,[7]stage_hints!$A:$C,3,FALSE)</f>
        <v>敵の連続攻撃には</v>
      </c>
      <c r="L8" s="95" t="str">
        <f>VLOOKUP(I8,[7]stage_hints!$A:$D,4,FALSE)</f>
        <v>カウンタースキルを持つユニットがいれば_x000D_ダメージ回数分の反撃ができます</v>
      </c>
      <c r="M8" s="57" t="s">
        <v>206</v>
      </c>
    </row>
    <row r="9" spans="1:13" x14ac:dyDescent="0.15">
      <c r="A9" s="82" t="s">
        <v>196</v>
      </c>
      <c r="B9" s="83">
        <f>floors!$C$2</f>
        <v>11002</v>
      </c>
      <c r="C9" s="84" t="str">
        <f ca="1">VLOOKUP($B9,OFFSET([2]quests!$A$1,0,0,COUNTA([2]quests!$A:$A),MATCH(C$1,[2]quests!$1:$1,0)-MATCH($B$1,[2]quests!$1:$1,0)+1),MATCH(C$1,[2]quests!$1:$1,0)-MATCH($B$1,[2]quests!$1:$1,0)+1,FALSE)</f>
        <v>【火曜限定】 赤の素材</v>
      </c>
      <c r="D9" s="84" t="str">
        <f ca="1">VLOOKUP($B9,OFFSET([2]quests!$A$1,0,0,COUNTA([2]quests!$A:$A),MATCH(D$1,[2]quests!$1:$1,0)-MATCH($B$1,[2]quests!$1:$1,0)+1),MATCH(D$1,[2]quests!$1:$1,0)-MATCH($B$1,[2]quests!$1:$1,0)+1,FALSE)</f>
        <v>火曜クエスト</v>
      </c>
      <c r="E9" s="88">
        <v>10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【超絶級】炎上のドードー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火曜クエスト</v>
      </c>
      <c r="H9" s="86">
        <v>0</v>
      </c>
      <c r="I9">
        <v>33</v>
      </c>
      <c r="J9" s="85" t="s">
        <v>193</v>
      </c>
      <c r="K9" s="94" t="str">
        <f>VLOOKUP(I9,[7]stage_hints!$A:$C,3,FALSE)</f>
        <v>敵のカウンター攻撃には</v>
      </c>
      <c r="L9" s="95" t="str">
        <f>VLOOKUP(I9,[7]stage_hints!$A:$D,4,FALSE)</f>
        <v>カウンターブレイクスキルを持っていれば_x000D_敵のカウンターを解除して攻撃ができます</v>
      </c>
      <c r="M9" s="57" t="s">
        <v>206</v>
      </c>
    </row>
    <row r="10" spans="1:13" x14ac:dyDescent="0.15">
      <c r="A10" s="82" t="s">
        <v>196</v>
      </c>
      <c r="B10" s="83">
        <f>floors!$C$2</f>
        <v>11002</v>
      </c>
      <c r="C10" s="84" t="str">
        <f ca="1">VLOOKUP($B10,OFFSET([2]quests!$A$1,0,0,COUNTA([2]quests!$A:$A),MATCH(C$1,[2]quests!$1:$1,0)-MATCH($B$1,[2]quests!$1:$1,0)+1),MATCH(C$1,[2]quests!$1:$1,0)-MATCH($B$1,[2]quests!$1:$1,0)+1,FALSE)</f>
        <v>【火曜限定】 赤の素材</v>
      </c>
      <c r="D10" s="84" t="str">
        <f ca="1">VLOOKUP($B10,OFFSET([2]quests!$A$1,0,0,COUNTA([2]quests!$A:$A),MATCH(D$1,[2]quests!$1:$1,0)-MATCH($B$1,[2]quests!$1:$1,0)+1),MATCH(D$1,[2]quests!$1:$1,0)-MATCH($B$1,[2]quests!$1:$1,0)+1,FALSE)</f>
        <v>火曜クエスト</v>
      </c>
      <c r="E10" s="88">
        <v>10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【超絶級】炎上のドードー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火曜クエスト</v>
      </c>
      <c r="H10" s="86">
        <v>0</v>
      </c>
      <c r="I10">
        <v>34</v>
      </c>
      <c r="J10" s="85" t="s">
        <v>193</v>
      </c>
      <c r="K10" s="94" t="str">
        <f>VLOOKUP(I10,[7]stage_hints!$A:$C,3,FALSE)</f>
        <v>ステータスをスキルで下げられたら</v>
      </c>
      <c r="L10" s="95" t="str">
        <f>VLOOKUP(I10,[7]stage_hints!$A:$D,4,FALSE)</f>
        <v>ステータスダウンのスキルを受けたら_x000D_ステータスアップスキルで上書きしましょう</v>
      </c>
      <c r="M10" s="57" t="s">
        <v>206</v>
      </c>
    </row>
    <row r="11" spans="1:13" x14ac:dyDescent="0.15">
      <c r="A11" s="82" t="s">
        <v>196</v>
      </c>
      <c r="B11" s="83">
        <f>floors!$C$2</f>
        <v>11002</v>
      </c>
      <c r="C11" s="84" t="str">
        <f ca="1">VLOOKUP($B11,OFFSET([2]quests!$A$1,0,0,COUNTA([2]quests!$A:$A),MATCH(C$1,[2]quests!$1:$1,0)-MATCH($B$1,[2]quests!$1:$1,0)+1),MATCH(C$1,[2]quests!$1:$1,0)-MATCH($B$1,[2]quests!$1:$1,0)+1,FALSE)</f>
        <v>【火曜限定】 赤の素材</v>
      </c>
      <c r="D11" s="84" t="str">
        <f ca="1">VLOOKUP($B11,OFFSET([2]quests!$A$1,0,0,COUNTA([2]quests!$A:$A),MATCH(D$1,[2]quests!$1:$1,0)-MATCH($B$1,[2]quests!$1:$1,0)+1),MATCH(D$1,[2]quests!$1:$1,0)-MATCH($B$1,[2]quests!$1:$1,0)+1,FALSE)</f>
        <v>火曜クエスト</v>
      </c>
      <c r="E11" s="88">
        <v>10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【超絶級】炎上のドードー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火曜クエスト</v>
      </c>
      <c r="H11" s="86">
        <v>0</v>
      </c>
      <c r="I11">
        <v>35</v>
      </c>
      <c r="J11" s="85" t="s">
        <v>193</v>
      </c>
      <c r="K11" s="94" t="str">
        <f>VLOOKUP(I11,[7]stage_hints!$A:$C,3,FALSE)</f>
        <v>敵のステータスがスキルで上がったら</v>
      </c>
      <c r="L11" s="95" t="str">
        <f>VLOOKUP(I11,[7]stage_hints!$A:$D,4,FALSE)</f>
        <v>敵のステータスがスキルでアップしたときは_x000D_ステータスダウンスキルで上書きしましょう</v>
      </c>
      <c r="M11" s="57" t="s">
        <v>206</v>
      </c>
    </row>
    <row r="12" spans="1:13" x14ac:dyDescent="0.15">
      <c r="A12" s="82" t="s">
        <v>196</v>
      </c>
      <c r="B12" s="83">
        <f>floors!$C$2</f>
        <v>11002</v>
      </c>
      <c r="C12" s="84" t="str">
        <f ca="1">VLOOKUP($B12,OFFSET([2]quests!$A$1,0,0,COUNTA([2]quests!$A:$A),MATCH(C$1,[2]quests!$1:$1,0)-MATCH($B$1,[2]quests!$1:$1,0)+1),MATCH(C$1,[2]quests!$1:$1,0)-MATCH($B$1,[2]quests!$1:$1,0)+1,FALSE)</f>
        <v>【火曜限定】 赤の素材</v>
      </c>
      <c r="D12" s="84" t="str">
        <f ca="1">VLOOKUP($B12,OFFSET([2]quests!$A$1,0,0,COUNTA([2]quests!$A:$A),MATCH(D$1,[2]quests!$1:$1,0)-MATCH($B$1,[2]quests!$1:$1,0)+1),MATCH(D$1,[2]quests!$1:$1,0)-MATCH($B$1,[2]quests!$1:$1,0)+1,FALSE)</f>
        <v>火曜クエスト</v>
      </c>
      <c r="E12" s="88">
        <v>10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【超絶級】炎上のドードー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火曜クエスト</v>
      </c>
      <c r="H12" s="86">
        <v>0</v>
      </c>
      <c r="I12">
        <v>36</v>
      </c>
      <c r="J12" s="85" t="s">
        <v>193</v>
      </c>
      <c r="K12" s="94" t="str">
        <f>VLOOKUP(I12,[7]stage_hints!$A:$C,3,FALSE)</f>
        <v>チャレンジタワーのボス</v>
      </c>
      <c r="L12" s="95" t="str">
        <f>VLOOKUP(I12,[7]stage_hints!$A:$D,4,FALSE)</f>
        <v>チャレンジタワーでのみ登場するボスは_x000D_一定確率で獲得することができます</v>
      </c>
      <c r="M12" s="57" t="s">
        <v>206</v>
      </c>
    </row>
    <row r="13" spans="1:13" x14ac:dyDescent="0.15">
      <c r="A13" s="82" t="s">
        <v>196</v>
      </c>
      <c r="B13" s="83">
        <f>floors!$C$2</f>
        <v>11002</v>
      </c>
      <c r="C13" s="84" t="str">
        <f ca="1">VLOOKUP($B13,OFFSET([2]quests!$A$1,0,0,COUNTA([2]quests!$A:$A),MATCH(C$1,[2]quests!$1:$1,0)-MATCH($B$1,[2]quests!$1:$1,0)+1),MATCH(C$1,[2]quests!$1:$1,0)-MATCH($B$1,[2]quests!$1:$1,0)+1,FALSE)</f>
        <v>【火曜限定】 赤の素材</v>
      </c>
      <c r="D13" s="84" t="str">
        <f ca="1">VLOOKUP($B13,OFFSET([2]quests!$A$1,0,0,COUNTA([2]quests!$A:$A),MATCH(D$1,[2]quests!$1:$1,0)-MATCH($B$1,[2]quests!$1:$1,0)+1),MATCH(D$1,[2]quests!$1:$1,0)-MATCH($B$1,[2]quests!$1:$1,0)+1,FALSE)</f>
        <v>火曜クエスト</v>
      </c>
      <c r="E13" s="88">
        <v>10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【超絶級】炎上のドードー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火曜クエスト</v>
      </c>
      <c r="H13" s="86">
        <v>0</v>
      </c>
      <c r="I13">
        <v>37</v>
      </c>
      <c r="J13" s="85" t="s">
        <v>193</v>
      </c>
      <c r="K13" s="94" t="str">
        <f>VLOOKUP(I13,[7]stage_hints!$A:$C,3,FALSE)</f>
        <v>限界突破値の引き継ぎ</v>
      </c>
      <c r="L13" s="95" t="str">
        <f>VLOOKUP(I13,[7]stage_hints!$A:$D,4,FALSE)</f>
        <v>同じユニットを強化で合成すると_x000D_限界突破値を引き継げます（覚醒前後も可）</v>
      </c>
      <c r="M13" s="57" t="s">
        <v>206</v>
      </c>
    </row>
    <row r="14" spans="1:13" x14ac:dyDescent="0.15">
      <c r="A14" s="105" t="s">
        <v>196</v>
      </c>
      <c r="B14" s="83">
        <f>floors!$C$2</f>
        <v>11002</v>
      </c>
      <c r="C14" s="84" t="str">
        <f ca="1">VLOOKUP($B14,OFFSET([2]quests!$A$1,0,0,COUNTA([2]quests!$A:$A),MATCH(C$1,[2]quests!$1:$1,0)-MATCH($B$1,[2]quests!$1:$1,0)+1),MATCH(C$1,[2]quests!$1:$1,0)-MATCH($B$1,[2]quests!$1:$1,0)+1,FALSE)</f>
        <v>【火曜限定】 赤の素材</v>
      </c>
      <c r="D14" s="84" t="str">
        <f ca="1">VLOOKUP($B14,OFFSET([2]quests!$A$1,0,0,COUNTA([2]quests!$A:$A),MATCH(D$1,[2]quests!$1:$1,0)-MATCH($B$1,[2]quests!$1:$1,0)+1),MATCH(D$1,[2]quests!$1:$1,0)-MATCH($B$1,[2]quests!$1:$1,0)+1,FALSE)</f>
        <v>火曜クエスト</v>
      </c>
      <c r="E14" s="88">
        <v>10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【超絶級】炎上のドードー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火曜クエスト</v>
      </c>
      <c r="H14" s="86">
        <v>0</v>
      </c>
      <c r="I14">
        <v>39</v>
      </c>
      <c r="J14" s="85" t="s">
        <v>193</v>
      </c>
      <c r="K14" s="94" t="str">
        <f>VLOOKUP(I14,[7]stage_hints!$A:$C,3,FALSE)</f>
        <v>システム適合者を確認</v>
      </c>
      <c r="L14" s="95" t="str">
        <f>VLOOKUP(I14,[7]stage_hints!$A:$D,4,FALSE)</f>
        <v>ALICEが 「アナタ」を呼んでいます</v>
      </c>
      <c r="M14" s="57" t="s">
        <v>206</v>
      </c>
    </row>
    <row r="15" spans="1:13" x14ac:dyDescent="0.15">
      <c r="A15" s="82" t="s">
        <v>196</v>
      </c>
      <c r="B15" s="83">
        <f>floors!$C$8</f>
        <v>11004</v>
      </c>
      <c r="C15" s="84" t="str">
        <f ca="1">VLOOKUP($B15,OFFSET([2]quests!$A$1,0,0,COUNTA([2]quests!$A:$A),MATCH(C$1,[2]quests!$1:$1,0)-MATCH($B$1,[2]quests!$1:$1,0)+1),MATCH(C$1,[2]quests!$1:$1,0)-MATCH($B$1,[2]quests!$1:$1,0)+1,FALSE)</f>
        <v>【木曜限定】 緑の素材</v>
      </c>
      <c r="D15" s="84" t="str">
        <f ca="1">VLOOKUP($B15,OFFSET([2]quests!$A$1,0,0,COUNTA([2]quests!$A:$A),MATCH(D$1,[2]quests!$1:$1,0)-MATCH($B$1,[2]quests!$1:$1,0)+1),MATCH(D$1,[2]quests!$1:$1,0)-MATCH($B$1,[2]quests!$1:$1,0)+1,FALSE)</f>
        <v>木曜クエスト</v>
      </c>
      <c r="E15" s="88">
        <v>10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木曜クエスト</v>
      </c>
      <c r="H15" s="86">
        <v>0</v>
      </c>
      <c r="I15">
        <v>12</v>
      </c>
      <c r="J15" s="85" t="s">
        <v>193</v>
      </c>
      <c r="K15" s="94" t="str">
        <f>VLOOKUP(I15,[7]stage_hints!$A:$C,3,FALSE)</f>
        <v>ユニットのお気に入り登録</v>
      </c>
      <c r="L15" s="95" t="str">
        <f>VLOOKUP(I15,[7]stage_hints!$A:$D,4,FALSE)</f>
        <v>大事なユニットを誤って消さないように_x000D_フォルダから「お気に入り登録」しましょう</v>
      </c>
      <c r="M15" s="57" t="s">
        <v>206</v>
      </c>
    </row>
    <row r="16" spans="1:13" x14ac:dyDescent="0.15">
      <c r="A16" s="82" t="s">
        <v>196</v>
      </c>
      <c r="B16" s="83">
        <f>floors!$C$8</f>
        <v>11004</v>
      </c>
      <c r="C16" s="84" t="str">
        <f ca="1">VLOOKUP($B16,OFFSET([2]quests!$A$1,0,0,COUNTA([2]quests!$A:$A),MATCH(C$1,[2]quests!$1:$1,0)-MATCH($B$1,[2]quests!$1:$1,0)+1),MATCH(C$1,[2]quests!$1:$1,0)-MATCH($B$1,[2]quests!$1:$1,0)+1,FALSE)</f>
        <v>【木曜限定】 緑の素材</v>
      </c>
      <c r="D16" s="84" t="str">
        <f ca="1">VLOOKUP($B16,OFFSET([2]quests!$A$1,0,0,COUNTA([2]quests!$A:$A),MATCH(D$1,[2]quests!$1:$1,0)-MATCH($B$1,[2]quests!$1:$1,0)+1),MATCH(D$1,[2]quests!$1:$1,0)-MATCH($B$1,[2]quests!$1:$1,0)+1,FALSE)</f>
        <v>木曜クエスト</v>
      </c>
      <c r="E16" s="88">
        <v>10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木曜クエスト</v>
      </c>
      <c r="H16" s="86">
        <v>0</v>
      </c>
      <c r="I16">
        <v>17</v>
      </c>
      <c r="J16" s="85" t="s">
        <v>193</v>
      </c>
      <c r="K16" s="94" t="str">
        <f>VLOOKUP(I16,[7]stage_hints!$A:$C,3,FALSE)</f>
        <v>リンクガチャ</v>
      </c>
      <c r="L16" s="95" t="str">
        <f>VLOOKUP(I16,[7]stage_hints!$A:$D,4,FALSE)</f>
        <v>無料のリンクガチャを回して_x000D_経験値素材や売却素材を獲得しましょう</v>
      </c>
      <c r="M16" s="57" t="s">
        <v>206</v>
      </c>
    </row>
    <row r="17" spans="1:13" x14ac:dyDescent="0.15">
      <c r="A17" s="82" t="s">
        <v>196</v>
      </c>
      <c r="B17" s="83">
        <f>floors!$C$8</f>
        <v>11004</v>
      </c>
      <c r="C17" s="84" t="str">
        <f ca="1">VLOOKUP($B17,OFFSET([2]quests!$A$1,0,0,COUNTA([2]quests!$A:$A),MATCH(C$1,[2]quests!$1:$1,0)-MATCH($B$1,[2]quests!$1:$1,0)+1),MATCH(C$1,[2]quests!$1:$1,0)-MATCH($B$1,[2]quests!$1:$1,0)+1,FALSE)</f>
        <v>【木曜限定】 緑の素材</v>
      </c>
      <c r="D17" s="84" t="str">
        <f ca="1">VLOOKUP($B17,OFFSET([2]quests!$A$1,0,0,COUNTA([2]quests!$A:$A),MATCH(D$1,[2]quests!$1:$1,0)-MATCH($B$1,[2]quests!$1:$1,0)+1),MATCH(D$1,[2]quests!$1:$1,0)-MATCH($B$1,[2]quests!$1:$1,0)+1,FALSE)</f>
        <v>木曜クエスト</v>
      </c>
      <c r="E17" s="88">
        <v>10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木曜クエスト</v>
      </c>
      <c r="H17" s="86">
        <v>0</v>
      </c>
      <c r="I17">
        <v>19</v>
      </c>
      <c r="J17" s="85" t="s">
        <v>193</v>
      </c>
      <c r="K17" s="94" t="str">
        <f>VLOOKUP(I17,[7]stage_hints!$A:$C,3,FALSE)</f>
        <v>ソロ専用チャレンジタワー</v>
      </c>
      <c r="L17" s="95" t="str">
        <f>VLOOKUP(I17,[7]stage_hints!$A:$D,4,FALSE)</f>
        <v>ソロ専用の「チャレンジタワー」では_x000D_各フロアごとにクリア報酬がもらえます</v>
      </c>
      <c r="M17" s="57" t="s">
        <v>206</v>
      </c>
    </row>
    <row r="18" spans="1:13" x14ac:dyDescent="0.15">
      <c r="A18" s="82" t="s">
        <v>196</v>
      </c>
      <c r="B18" s="83">
        <f>floors!$C$8</f>
        <v>11004</v>
      </c>
      <c r="C18" s="84" t="str">
        <f ca="1">VLOOKUP($B18,OFFSET([2]quests!$A$1,0,0,COUNTA([2]quests!$A:$A),MATCH(C$1,[2]quests!$1:$1,0)-MATCH($B$1,[2]quests!$1:$1,0)+1),MATCH(C$1,[2]quests!$1:$1,0)-MATCH($B$1,[2]quests!$1:$1,0)+1,FALSE)</f>
        <v>【木曜限定】 緑の素材</v>
      </c>
      <c r="D18" s="84" t="str">
        <f ca="1">VLOOKUP($B18,OFFSET([2]quests!$A$1,0,0,COUNTA([2]quests!$A:$A),MATCH(D$1,[2]quests!$1:$1,0)-MATCH($B$1,[2]quests!$1:$1,0)+1),MATCH(D$1,[2]quests!$1:$1,0)-MATCH($B$1,[2]quests!$1:$1,0)+1,FALSE)</f>
        <v>木曜クエスト</v>
      </c>
      <c r="E18" s="88">
        <v>10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木曜クエスト</v>
      </c>
      <c r="H18" s="86">
        <v>0</v>
      </c>
      <c r="I18">
        <v>21</v>
      </c>
      <c r="J18" s="85" t="s">
        <v>193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206</v>
      </c>
    </row>
    <row r="19" spans="1:13" x14ac:dyDescent="0.15">
      <c r="A19" s="82" t="s">
        <v>196</v>
      </c>
      <c r="B19" s="83">
        <f>floors!$C$8</f>
        <v>11004</v>
      </c>
      <c r="C19" s="84" t="str">
        <f ca="1">VLOOKUP($B19,OFFSET([2]quests!$A$1,0,0,COUNTA([2]quests!$A:$A),MATCH(C$1,[2]quests!$1:$1,0)-MATCH($B$1,[2]quests!$1:$1,0)+1),MATCH(C$1,[2]quests!$1:$1,0)-MATCH($B$1,[2]quests!$1:$1,0)+1,FALSE)</f>
        <v>【木曜限定】 緑の素材</v>
      </c>
      <c r="D19" s="84" t="str">
        <f ca="1">VLOOKUP($B19,OFFSET([2]quests!$A$1,0,0,COUNTA([2]quests!$A:$A),MATCH(D$1,[2]quests!$1:$1,0)-MATCH($B$1,[2]quests!$1:$1,0)+1),MATCH(D$1,[2]quests!$1:$1,0)-MATCH($B$1,[2]quests!$1:$1,0)+1,FALSE)</f>
        <v>木曜クエスト</v>
      </c>
      <c r="E19" s="88">
        <v>10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木曜クエスト</v>
      </c>
      <c r="H19" s="86">
        <v>0</v>
      </c>
      <c r="I19">
        <v>29</v>
      </c>
      <c r="J19" s="85" t="s">
        <v>193</v>
      </c>
      <c r="K19" s="94" t="str">
        <f>VLOOKUP(I19,[7]stage_hints!$A:$C,3,FALSE)</f>
        <v>「バグ」のメリット</v>
      </c>
      <c r="L19" s="95" t="str">
        <f>VLOOKUP(I19,[7]stage_hints!$A:$D,4,FALSE)</f>
        <v>ユニットの「バグ」を増やすと_x000D_報酬をもらえる確率がアップします</v>
      </c>
      <c r="M19" s="57" t="s">
        <v>206</v>
      </c>
    </row>
    <row r="20" spans="1:13" x14ac:dyDescent="0.15">
      <c r="A20" s="82" t="s">
        <v>196</v>
      </c>
      <c r="B20" s="83">
        <f>floors!$C$8</f>
        <v>11004</v>
      </c>
      <c r="C20" s="84" t="str">
        <f ca="1">VLOOKUP($B20,OFFSET([2]quests!$A$1,0,0,COUNTA([2]quests!$A:$A),MATCH(C$1,[2]quests!$1:$1,0)-MATCH($B$1,[2]quests!$1:$1,0)+1),MATCH(C$1,[2]quests!$1:$1,0)-MATCH($B$1,[2]quests!$1:$1,0)+1,FALSE)</f>
        <v>【木曜限定】 緑の素材</v>
      </c>
      <c r="D20" s="84" t="str">
        <f ca="1">VLOOKUP($B20,OFFSET([2]quests!$A$1,0,0,COUNTA([2]quests!$A:$A),MATCH(D$1,[2]quests!$1:$1,0)-MATCH($B$1,[2]quests!$1:$1,0)+1),MATCH(D$1,[2]quests!$1:$1,0)-MATCH($B$1,[2]quests!$1:$1,0)+1,FALSE)</f>
        <v>木曜クエスト</v>
      </c>
      <c r="E20" s="88">
        <v>10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木曜クエスト</v>
      </c>
      <c r="H20" s="86">
        <v>0</v>
      </c>
      <c r="I20">
        <v>30</v>
      </c>
      <c r="J20" s="85" t="s">
        <v>193</v>
      </c>
      <c r="K20" s="94" t="str">
        <f>VLOOKUP(I20,[7]stage_hints!$A:$C,3,FALSE)</f>
        <v>「バグ」の増やし方</v>
      </c>
      <c r="L20" s="95" t="str">
        <f>VLOOKUP(I20,[7]stage_hints!$A:$D,4,FALSE)</f>
        <v>同じユニット同士を強化で合成すると_x000D_「バグ」を増やすことができます</v>
      </c>
      <c r="M20" s="57" t="s">
        <v>206</v>
      </c>
    </row>
    <row r="21" spans="1:13" x14ac:dyDescent="0.15">
      <c r="A21" s="82" t="s">
        <v>196</v>
      </c>
      <c r="B21" s="83">
        <f>floors!$C$8</f>
        <v>11004</v>
      </c>
      <c r="C21" s="84" t="str">
        <f ca="1">VLOOKUP($B21,OFFSET([2]quests!$A$1,0,0,COUNTA([2]quests!$A:$A),MATCH(C$1,[2]quests!$1:$1,0)-MATCH($B$1,[2]quests!$1:$1,0)+1),MATCH(C$1,[2]quests!$1:$1,0)-MATCH($B$1,[2]quests!$1:$1,0)+1,FALSE)</f>
        <v>【木曜限定】 緑の素材</v>
      </c>
      <c r="D21" s="84" t="str">
        <f ca="1">VLOOKUP($B21,OFFSET([2]quests!$A$1,0,0,COUNTA([2]quests!$A:$A),MATCH(D$1,[2]quests!$1:$1,0)-MATCH($B$1,[2]quests!$1:$1,0)+1),MATCH(D$1,[2]quests!$1:$1,0)-MATCH($B$1,[2]quests!$1:$1,0)+1,FALSE)</f>
        <v>木曜クエスト</v>
      </c>
      <c r="E21" s="88">
        <v>10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木曜クエスト</v>
      </c>
      <c r="H21" s="86">
        <v>0</v>
      </c>
      <c r="I21">
        <v>32</v>
      </c>
      <c r="J21" s="85" t="s">
        <v>193</v>
      </c>
      <c r="K21" s="94" t="str">
        <f>VLOOKUP(I21,[7]stage_hints!$A:$C,3,FALSE)</f>
        <v>敵の連続攻撃には</v>
      </c>
      <c r="L21" s="95" t="str">
        <f>VLOOKUP(I21,[7]stage_hints!$A:$D,4,FALSE)</f>
        <v>カウンタースキルを持つユニットがいれば_x000D_ダメージ回数分の反撃ができます</v>
      </c>
      <c r="M21" s="57" t="s">
        <v>206</v>
      </c>
    </row>
    <row r="22" spans="1:13" x14ac:dyDescent="0.15">
      <c r="A22" s="82" t="s">
        <v>196</v>
      </c>
      <c r="B22" s="83">
        <f>floors!$C$8</f>
        <v>11004</v>
      </c>
      <c r="C22" s="84" t="str">
        <f ca="1">VLOOKUP($B22,OFFSET([2]quests!$A$1,0,0,COUNTA([2]quests!$A:$A),MATCH(C$1,[2]quests!$1:$1,0)-MATCH($B$1,[2]quests!$1:$1,0)+1),MATCH(C$1,[2]quests!$1:$1,0)-MATCH($B$1,[2]quests!$1:$1,0)+1,FALSE)</f>
        <v>【木曜限定】 緑の素材</v>
      </c>
      <c r="D22" s="84" t="str">
        <f ca="1">VLOOKUP($B22,OFFSET([2]quests!$A$1,0,0,COUNTA([2]quests!$A:$A),MATCH(D$1,[2]quests!$1:$1,0)-MATCH($B$1,[2]quests!$1:$1,0)+1),MATCH(D$1,[2]quests!$1:$1,0)-MATCH($B$1,[2]quests!$1:$1,0)+1,FALSE)</f>
        <v>木曜クエスト</v>
      </c>
      <c r="E22" s="88">
        <v>10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木曜クエスト</v>
      </c>
      <c r="H22" s="86">
        <v>0</v>
      </c>
      <c r="I22">
        <v>33</v>
      </c>
      <c r="J22" s="85" t="s">
        <v>193</v>
      </c>
      <c r="K22" s="94" t="str">
        <f>VLOOKUP(I22,[7]stage_hints!$A:$C,3,FALSE)</f>
        <v>敵のカウンター攻撃には</v>
      </c>
      <c r="L22" s="95" t="str">
        <f>VLOOKUP(I22,[7]stage_hints!$A:$D,4,FALSE)</f>
        <v>カウンターブレイクスキルを持っていれば_x000D_敵のカウンターを解除して攻撃ができます</v>
      </c>
      <c r="M22" s="57" t="s">
        <v>206</v>
      </c>
    </row>
    <row r="23" spans="1:13" x14ac:dyDescent="0.15">
      <c r="A23" s="82" t="s">
        <v>196</v>
      </c>
      <c r="B23" s="83">
        <f>floors!$C$8</f>
        <v>11004</v>
      </c>
      <c r="C23" s="84" t="str">
        <f ca="1">VLOOKUP($B23,OFFSET([2]quests!$A$1,0,0,COUNTA([2]quests!$A:$A),MATCH(C$1,[2]quests!$1:$1,0)-MATCH($B$1,[2]quests!$1:$1,0)+1),MATCH(C$1,[2]quests!$1:$1,0)-MATCH($B$1,[2]quests!$1:$1,0)+1,FALSE)</f>
        <v>【木曜限定】 緑の素材</v>
      </c>
      <c r="D23" s="84" t="str">
        <f ca="1">VLOOKUP($B23,OFFSET([2]quests!$A$1,0,0,COUNTA([2]quests!$A:$A),MATCH(D$1,[2]quests!$1:$1,0)-MATCH($B$1,[2]quests!$1:$1,0)+1),MATCH(D$1,[2]quests!$1:$1,0)-MATCH($B$1,[2]quests!$1:$1,0)+1,FALSE)</f>
        <v>木曜クエスト</v>
      </c>
      <c r="E23" s="88">
        <v>10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木曜クエスト</v>
      </c>
      <c r="H23" s="86">
        <v>0</v>
      </c>
      <c r="I23">
        <v>34</v>
      </c>
      <c r="J23" s="85" t="s">
        <v>193</v>
      </c>
      <c r="K23" s="94" t="str">
        <f>VLOOKUP(I23,[7]stage_hints!$A:$C,3,FALSE)</f>
        <v>ステータスをスキルで下げられたら</v>
      </c>
      <c r="L23" s="95" t="str">
        <f>VLOOKUP(I23,[7]stage_hints!$A:$D,4,FALSE)</f>
        <v>ステータスダウンのスキルを受けたら_x000D_ステータスアップスキルで上書きしましょう</v>
      </c>
      <c r="M23" s="57" t="s">
        <v>206</v>
      </c>
    </row>
    <row r="24" spans="1:13" x14ac:dyDescent="0.15">
      <c r="A24" s="82" t="s">
        <v>196</v>
      </c>
      <c r="B24" s="83">
        <f>floors!$C$8</f>
        <v>11004</v>
      </c>
      <c r="C24" s="84" t="str">
        <f ca="1">VLOOKUP($B24,OFFSET([2]quests!$A$1,0,0,COUNTA([2]quests!$A:$A),MATCH(C$1,[2]quests!$1:$1,0)-MATCH($B$1,[2]quests!$1:$1,0)+1),MATCH(C$1,[2]quests!$1:$1,0)-MATCH($B$1,[2]quests!$1:$1,0)+1,FALSE)</f>
        <v>【木曜限定】 緑の素材</v>
      </c>
      <c r="D24" s="84" t="str">
        <f ca="1">VLOOKUP($B24,OFFSET([2]quests!$A$1,0,0,COUNTA([2]quests!$A:$A),MATCH(D$1,[2]quests!$1:$1,0)-MATCH($B$1,[2]quests!$1:$1,0)+1),MATCH(D$1,[2]quests!$1:$1,0)-MATCH($B$1,[2]quests!$1:$1,0)+1,FALSE)</f>
        <v>木曜クエスト</v>
      </c>
      <c r="E24" s="88">
        <v>10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木曜クエスト</v>
      </c>
      <c r="H24" s="86">
        <v>0</v>
      </c>
      <c r="I24">
        <v>35</v>
      </c>
      <c r="J24" s="85" t="s">
        <v>193</v>
      </c>
      <c r="K24" s="94" t="str">
        <f>VLOOKUP(I24,[7]stage_hints!$A:$C,3,FALSE)</f>
        <v>敵のステータスがスキルで上がったら</v>
      </c>
      <c r="L24" s="95" t="str">
        <f>VLOOKUP(I24,[7]stage_hints!$A:$D,4,FALSE)</f>
        <v>敵のステータスがスキルでアップしたときは_x000D_ステータスダウンスキルで上書きしましょう</v>
      </c>
      <c r="M24" s="57" t="s">
        <v>206</v>
      </c>
    </row>
    <row r="25" spans="1:13" x14ac:dyDescent="0.15">
      <c r="A25" s="82" t="s">
        <v>196</v>
      </c>
      <c r="B25" s="83">
        <f>floors!$C$8</f>
        <v>11004</v>
      </c>
      <c r="C25" s="84" t="str">
        <f ca="1">VLOOKUP($B25,OFFSET([2]quests!$A$1,0,0,COUNTA([2]quests!$A:$A),MATCH(C$1,[2]quests!$1:$1,0)-MATCH($B$1,[2]quests!$1:$1,0)+1),MATCH(C$1,[2]quests!$1:$1,0)-MATCH($B$1,[2]quests!$1:$1,0)+1,FALSE)</f>
        <v>【木曜限定】 緑の素材</v>
      </c>
      <c r="D25" s="84" t="str">
        <f ca="1">VLOOKUP($B25,OFFSET([2]quests!$A$1,0,0,COUNTA([2]quests!$A:$A),MATCH(D$1,[2]quests!$1:$1,0)-MATCH($B$1,[2]quests!$1:$1,0)+1),MATCH(D$1,[2]quests!$1:$1,0)-MATCH($B$1,[2]quests!$1:$1,0)+1,FALSE)</f>
        <v>木曜クエスト</v>
      </c>
      <c r="E25" s="88">
        <v>10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木曜クエスト</v>
      </c>
      <c r="H25" s="86">
        <v>0</v>
      </c>
      <c r="I25">
        <v>36</v>
      </c>
      <c r="J25" s="85" t="s">
        <v>193</v>
      </c>
      <c r="K25" s="94" t="str">
        <f>VLOOKUP(I25,[7]stage_hints!$A:$C,3,FALSE)</f>
        <v>チャレンジタワーのボス</v>
      </c>
      <c r="L25" s="95" t="str">
        <f>VLOOKUP(I25,[7]stage_hints!$A:$D,4,FALSE)</f>
        <v>チャレンジタワーでのみ登場するボスは_x000D_一定確率で獲得することができます</v>
      </c>
      <c r="M25" s="57" t="s">
        <v>206</v>
      </c>
    </row>
    <row r="26" spans="1:13" x14ac:dyDescent="0.15">
      <c r="A26" s="82" t="s">
        <v>196</v>
      </c>
      <c r="B26" s="83">
        <f>floors!$C$8</f>
        <v>11004</v>
      </c>
      <c r="C26" s="84" t="str">
        <f ca="1">VLOOKUP($B26,OFFSET([2]quests!$A$1,0,0,COUNTA([2]quests!$A:$A),MATCH(C$1,[2]quests!$1:$1,0)-MATCH($B$1,[2]quests!$1:$1,0)+1),MATCH(C$1,[2]quests!$1:$1,0)-MATCH($B$1,[2]quests!$1:$1,0)+1,FALSE)</f>
        <v>【木曜限定】 緑の素材</v>
      </c>
      <c r="D26" s="84" t="str">
        <f ca="1">VLOOKUP($B26,OFFSET([2]quests!$A$1,0,0,COUNTA([2]quests!$A:$A),MATCH(D$1,[2]quests!$1:$1,0)-MATCH($B$1,[2]quests!$1:$1,0)+1),MATCH(D$1,[2]quests!$1:$1,0)-MATCH($B$1,[2]quests!$1:$1,0)+1,FALSE)</f>
        <v>木曜クエスト</v>
      </c>
      <c r="E26" s="88">
        <v>10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木曜クエスト</v>
      </c>
      <c r="H26" s="86">
        <v>0</v>
      </c>
      <c r="I26">
        <v>37</v>
      </c>
      <c r="J26" s="85" t="s">
        <v>193</v>
      </c>
      <c r="K26" s="94" t="str">
        <f>VLOOKUP(I26,[7]stage_hints!$A:$C,3,FALSE)</f>
        <v>限界突破値の引き継ぎ</v>
      </c>
      <c r="L26" s="95" t="str">
        <f>VLOOKUP(I26,[7]stage_hints!$A:$D,4,FALSE)</f>
        <v>同じユニットを強化で合成すると_x000D_限界突破値を引き継げます（覚醒前後も可）</v>
      </c>
      <c r="M26" s="57" t="s">
        <v>206</v>
      </c>
    </row>
    <row r="27" spans="1:13" x14ac:dyDescent="0.15">
      <c r="A27" s="105" t="s">
        <v>196</v>
      </c>
      <c r="B27" s="83">
        <f>floors!$C$8</f>
        <v>11004</v>
      </c>
      <c r="C27" s="84" t="str">
        <f ca="1">VLOOKUP($B27,OFFSET([2]quests!$A$1,0,0,COUNTA([2]quests!$A:$A),MATCH(C$1,[2]quests!$1:$1,0)-MATCH($B$1,[2]quests!$1:$1,0)+1),MATCH(C$1,[2]quests!$1:$1,0)-MATCH($B$1,[2]quests!$1:$1,0)+1,FALSE)</f>
        <v>【木曜限定】 緑の素材</v>
      </c>
      <c r="D27" s="84" t="str">
        <f ca="1">VLOOKUP($B27,OFFSET([2]quests!$A$1,0,0,COUNTA([2]quests!$A:$A),MATCH(D$1,[2]quests!$1:$1,0)-MATCH($B$1,[2]quests!$1:$1,0)+1),MATCH(D$1,[2]quests!$1:$1,0)-MATCH($B$1,[2]quests!$1:$1,0)+1,FALSE)</f>
        <v>木曜クエスト</v>
      </c>
      <c r="E27" s="88">
        <v>10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木曜クエスト</v>
      </c>
      <c r="H27" s="86">
        <v>0</v>
      </c>
      <c r="I27">
        <v>39</v>
      </c>
      <c r="J27" s="85" t="s">
        <v>193</v>
      </c>
      <c r="K27" s="94" t="str">
        <f>VLOOKUP(I27,[7]stage_hints!$A:$C,3,FALSE)</f>
        <v>システム適合者を確認</v>
      </c>
      <c r="L27" s="95" t="str">
        <f>VLOOKUP(I27,[7]stage_hints!$A:$D,4,FALSE)</f>
        <v>ALICEが 「アナタ」を呼んでいます</v>
      </c>
      <c r="M27" s="57" t="s">
        <v>206</v>
      </c>
    </row>
    <row r="28" spans="1:13" x14ac:dyDescent="0.15">
      <c r="A28" s="82" t="s">
        <v>196</v>
      </c>
      <c r="B28" s="83">
        <v>11007</v>
      </c>
      <c r="C28" s="84" t="str">
        <f ca="1">VLOOKUP($B28,OFFSET([2]quests!$A$1,0,0,COUNTA([2]quests!$A:$A),MATCH(C$1,[2]quests!$1:$1,0)-MATCH($B$1,[2]quests!$1:$1,0)+1),MATCH(C$1,[2]quests!$1:$1,0)-MATCH($B$1,[2]quests!$1:$1,0)+1,FALSE)</f>
        <v>【土曜限定】 赤と緑の素材</v>
      </c>
      <c r="D28" s="84" t="str">
        <f ca="1">VLOOKUP($B28,OFFSET([2]quests!$A$1,0,0,COUNTA([2]quests!$A:$A),MATCH(D$1,[2]quests!$1:$1,0)-MATCH($B$1,[2]quests!$1:$1,0)+1),MATCH(D$1,[2]quests!$1:$1,0)-MATCH($B$1,[2]quests!$1:$1,0)+1,FALSE)</f>
        <v>土曜クエスト</v>
      </c>
      <c r="E28" s="88">
        <v>5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土曜クエスト</v>
      </c>
      <c r="H28" s="86">
        <v>0</v>
      </c>
      <c r="I28">
        <v>12</v>
      </c>
      <c r="J28" s="85" t="s">
        <v>193</v>
      </c>
      <c r="K28" s="94" t="str">
        <f>VLOOKUP(I28,[7]stage_hints!$A:$C,3,FALSE)</f>
        <v>ユニットのお気に入り登録</v>
      </c>
      <c r="L28" s="95" t="str">
        <f>VLOOKUP(I28,[7]stage_hints!$A:$D,4,FALSE)</f>
        <v>大事なユニットを誤って消さないように_x000D_フォルダから「お気に入り登録」しましょう</v>
      </c>
      <c r="M28" s="57" t="s">
        <v>195</v>
      </c>
    </row>
    <row r="29" spans="1:13" x14ac:dyDescent="0.15">
      <c r="A29" s="82" t="s">
        <v>196</v>
      </c>
      <c r="B29" s="83">
        <v>11007</v>
      </c>
      <c r="C29" s="84" t="str">
        <f ca="1">VLOOKUP($B29,OFFSET([2]quests!$A$1,0,0,COUNTA([2]quests!$A:$A),MATCH(C$1,[2]quests!$1:$1,0)-MATCH($B$1,[2]quests!$1:$1,0)+1),MATCH(C$1,[2]quests!$1:$1,0)-MATCH($B$1,[2]quests!$1:$1,0)+1,FALSE)</f>
        <v>【土曜限定】 赤と緑の素材</v>
      </c>
      <c r="D29" s="84" t="str">
        <f ca="1">VLOOKUP($B29,OFFSET([2]quests!$A$1,0,0,COUNTA([2]quests!$A:$A),MATCH(D$1,[2]quests!$1:$1,0)-MATCH($B$1,[2]quests!$1:$1,0)+1),MATCH(D$1,[2]quests!$1:$1,0)-MATCH($B$1,[2]quests!$1:$1,0)+1,FALSE)</f>
        <v>土曜クエスト</v>
      </c>
      <c r="E29" s="88">
        <v>5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土曜クエスト</v>
      </c>
      <c r="H29" s="86">
        <v>0</v>
      </c>
      <c r="I29">
        <v>17</v>
      </c>
      <c r="J29" s="85" t="s">
        <v>193</v>
      </c>
      <c r="K29" s="94" t="str">
        <f>VLOOKUP(I29,[7]stage_hints!$A:$C,3,FALSE)</f>
        <v>リンクガチャ</v>
      </c>
      <c r="L29" s="95" t="str">
        <f>VLOOKUP(I29,[7]stage_hints!$A:$D,4,FALSE)</f>
        <v>無料のリンクガチャを回して_x000D_経験値素材や売却素材を獲得しましょう</v>
      </c>
      <c r="M29" s="57" t="s">
        <v>195</v>
      </c>
    </row>
    <row r="30" spans="1:13" x14ac:dyDescent="0.15">
      <c r="A30" s="82" t="s">
        <v>196</v>
      </c>
      <c r="B30" s="83">
        <v>11007</v>
      </c>
      <c r="C30" s="84" t="str">
        <f ca="1">VLOOKUP($B30,OFFSET([2]quests!$A$1,0,0,COUNTA([2]quests!$A:$A),MATCH(C$1,[2]quests!$1:$1,0)-MATCH($B$1,[2]quests!$1:$1,0)+1),MATCH(C$1,[2]quests!$1:$1,0)-MATCH($B$1,[2]quests!$1:$1,0)+1,FALSE)</f>
        <v>【土曜限定】 赤と緑の素材</v>
      </c>
      <c r="D30" s="84" t="str">
        <f ca="1">VLOOKUP($B30,OFFSET([2]quests!$A$1,0,0,COUNTA([2]quests!$A:$A),MATCH(D$1,[2]quests!$1:$1,0)-MATCH($B$1,[2]quests!$1:$1,0)+1),MATCH(D$1,[2]quests!$1:$1,0)-MATCH($B$1,[2]quests!$1:$1,0)+1,FALSE)</f>
        <v>土曜クエスト</v>
      </c>
      <c r="E30" s="88">
        <v>5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土曜クエスト</v>
      </c>
      <c r="H30" s="86">
        <v>0</v>
      </c>
      <c r="I30">
        <v>19</v>
      </c>
      <c r="J30" s="85" t="s">
        <v>193</v>
      </c>
      <c r="K30" s="94" t="str">
        <f>VLOOKUP(I30,[7]stage_hints!$A:$C,3,FALSE)</f>
        <v>ソロ専用チャレンジタワー</v>
      </c>
      <c r="L30" s="95" t="str">
        <f>VLOOKUP(I30,[7]stage_hints!$A:$D,4,FALSE)</f>
        <v>ソロ専用の「チャレンジタワー」では_x000D_各フロアごとにクリア報酬がもらえます</v>
      </c>
      <c r="M30" s="57" t="s">
        <v>195</v>
      </c>
    </row>
    <row r="31" spans="1:13" x14ac:dyDescent="0.15">
      <c r="A31" s="82" t="s">
        <v>196</v>
      </c>
      <c r="B31" s="83">
        <v>11007</v>
      </c>
      <c r="C31" s="84" t="str">
        <f ca="1">VLOOKUP($B31,OFFSET([2]quests!$A$1,0,0,COUNTA([2]quests!$A:$A),MATCH(C$1,[2]quests!$1:$1,0)-MATCH($B$1,[2]quests!$1:$1,0)+1),MATCH(C$1,[2]quests!$1:$1,0)-MATCH($B$1,[2]quests!$1:$1,0)+1,FALSE)</f>
        <v>【土曜限定】 赤と緑の素材</v>
      </c>
      <c r="D31" s="84" t="str">
        <f ca="1">VLOOKUP($B31,OFFSET([2]quests!$A$1,0,0,COUNTA([2]quests!$A:$A),MATCH(D$1,[2]quests!$1:$1,0)-MATCH($B$1,[2]quests!$1:$1,0)+1),MATCH(D$1,[2]quests!$1:$1,0)-MATCH($B$1,[2]quests!$1:$1,0)+1,FALSE)</f>
        <v>土曜クエスト</v>
      </c>
      <c r="E31" s="88">
        <v>5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土曜クエスト</v>
      </c>
      <c r="H31" s="86">
        <v>0</v>
      </c>
      <c r="I31">
        <v>21</v>
      </c>
      <c r="J31" s="85" t="s">
        <v>193</v>
      </c>
      <c r="K31" s="94" t="str">
        <f>VLOOKUP(I31,[7]stage_hints!$A:$C,3,FALSE)</f>
        <v>スキルを有効に</v>
      </c>
      <c r="L31" s="95" t="str">
        <f>VLOOKUP(I31,[7]stage_hints!$A:$D,4,FALSE)</f>
        <v>ターン経過でユニットのスキルが使えます_x000D_強力スキルでバトルを有利に進めましょう</v>
      </c>
      <c r="M31" s="57" t="s">
        <v>195</v>
      </c>
    </row>
    <row r="32" spans="1:13" x14ac:dyDescent="0.15">
      <c r="A32" s="82" t="s">
        <v>196</v>
      </c>
      <c r="B32" s="83">
        <v>11007</v>
      </c>
      <c r="C32" s="84" t="str">
        <f ca="1">VLOOKUP($B32,OFFSET([2]quests!$A$1,0,0,COUNTA([2]quests!$A:$A),MATCH(C$1,[2]quests!$1:$1,0)-MATCH($B$1,[2]quests!$1:$1,0)+1),MATCH(C$1,[2]quests!$1:$1,0)-MATCH($B$1,[2]quests!$1:$1,0)+1,FALSE)</f>
        <v>【土曜限定】 赤と緑の素材</v>
      </c>
      <c r="D32" s="84" t="str">
        <f ca="1">VLOOKUP($B32,OFFSET([2]quests!$A$1,0,0,COUNTA([2]quests!$A:$A),MATCH(D$1,[2]quests!$1:$1,0)-MATCH($B$1,[2]quests!$1:$1,0)+1),MATCH(D$1,[2]quests!$1:$1,0)-MATCH($B$1,[2]quests!$1:$1,0)+1,FALSE)</f>
        <v>土曜クエスト</v>
      </c>
      <c r="E32" s="88">
        <v>5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土曜クエスト</v>
      </c>
      <c r="H32" s="86">
        <v>0</v>
      </c>
      <c r="I32">
        <v>29</v>
      </c>
      <c r="J32" s="85" t="s">
        <v>193</v>
      </c>
      <c r="K32" s="94" t="str">
        <f>VLOOKUP(I32,[7]stage_hints!$A:$C,3,FALSE)</f>
        <v>「バグ」のメリット</v>
      </c>
      <c r="L32" s="95" t="str">
        <f>VLOOKUP(I32,[7]stage_hints!$A:$D,4,FALSE)</f>
        <v>ユニットの「バグ」を増やすと_x000D_報酬をもらえる確率がアップします</v>
      </c>
      <c r="M32" s="57" t="s">
        <v>195</v>
      </c>
    </row>
    <row r="33" spans="1:13" x14ac:dyDescent="0.15">
      <c r="A33" s="82" t="s">
        <v>196</v>
      </c>
      <c r="B33" s="83">
        <v>11007</v>
      </c>
      <c r="C33" s="84" t="str">
        <f ca="1">VLOOKUP($B33,OFFSET([2]quests!$A$1,0,0,COUNTA([2]quests!$A:$A),MATCH(C$1,[2]quests!$1:$1,0)-MATCH($B$1,[2]quests!$1:$1,0)+1),MATCH(C$1,[2]quests!$1:$1,0)-MATCH($B$1,[2]quests!$1:$1,0)+1,FALSE)</f>
        <v>【土曜限定】 赤と緑の素材</v>
      </c>
      <c r="D33" s="84" t="str">
        <f ca="1">VLOOKUP($B33,OFFSET([2]quests!$A$1,0,0,COUNTA([2]quests!$A:$A),MATCH(D$1,[2]quests!$1:$1,0)-MATCH($B$1,[2]quests!$1:$1,0)+1),MATCH(D$1,[2]quests!$1:$1,0)-MATCH($B$1,[2]quests!$1:$1,0)+1,FALSE)</f>
        <v>土曜クエスト</v>
      </c>
      <c r="E33" s="88">
        <v>5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土曜クエスト</v>
      </c>
      <c r="H33" s="86">
        <v>0</v>
      </c>
      <c r="I33">
        <v>30</v>
      </c>
      <c r="J33" s="85" t="s">
        <v>193</v>
      </c>
      <c r="K33" s="94" t="str">
        <f>VLOOKUP(I33,[7]stage_hints!$A:$C,3,FALSE)</f>
        <v>「バグ」の増やし方</v>
      </c>
      <c r="L33" s="95" t="str">
        <f>VLOOKUP(I33,[7]stage_hints!$A:$D,4,FALSE)</f>
        <v>同じユニット同士を強化で合成すると_x000D_「バグ」を増やすことができます</v>
      </c>
      <c r="M33" s="57" t="s">
        <v>195</v>
      </c>
    </row>
    <row r="34" spans="1:13" x14ac:dyDescent="0.15">
      <c r="A34" s="82" t="s">
        <v>196</v>
      </c>
      <c r="B34" s="83">
        <v>11007</v>
      </c>
      <c r="C34" s="84" t="str">
        <f ca="1">VLOOKUP($B34,OFFSET([2]quests!$A$1,0,0,COUNTA([2]quests!$A:$A),MATCH(C$1,[2]quests!$1:$1,0)-MATCH($B$1,[2]quests!$1:$1,0)+1),MATCH(C$1,[2]quests!$1:$1,0)-MATCH($B$1,[2]quests!$1:$1,0)+1,FALSE)</f>
        <v>【土曜限定】 赤と緑の素材</v>
      </c>
      <c r="D34" s="84" t="str">
        <f ca="1">VLOOKUP($B34,OFFSET([2]quests!$A$1,0,0,COUNTA([2]quests!$A:$A),MATCH(D$1,[2]quests!$1:$1,0)-MATCH($B$1,[2]quests!$1:$1,0)+1),MATCH(D$1,[2]quests!$1:$1,0)-MATCH($B$1,[2]quests!$1:$1,0)+1,FALSE)</f>
        <v>土曜クエスト</v>
      </c>
      <c r="E34" s="88">
        <v>5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土曜クエスト</v>
      </c>
      <c r="H34" s="86">
        <v>0</v>
      </c>
      <c r="I34">
        <v>32</v>
      </c>
      <c r="J34" s="85" t="s">
        <v>193</v>
      </c>
      <c r="K34" s="94" t="str">
        <f>VLOOKUP(I34,[7]stage_hints!$A:$C,3,FALSE)</f>
        <v>敵の連続攻撃には</v>
      </c>
      <c r="L34" s="95" t="str">
        <f>VLOOKUP(I34,[7]stage_hints!$A:$D,4,FALSE)</f>
        <v>カウンタースキルを持つユニットがいれば_x000D_ダメージ回数分の反撃ができます</v>
      </c>
      <c r="M34" s="57" t="s">
        <v>195</v>
      </c>
    </row>
    <row r="35" spans="1:13" x14ac:dyDescent="0.15">
      <c r="A35" s="82" t="s">
        <v>196</v>
      </c>
      <c r="B35" s="83">
        <v>11007</v>
      </c>
      <c r="C35" s="84" t="str">
        <f ca="1">VLOOKUP($B35,OFFSET([2]quests!$A$1,0,0,COUNTA([2]quests!$A:$A),MATCH(C$1,[2]quests!$1:$1,0)-MATCH($B$1,[2]quests!$1:$1,0)+1),MATCH(C$1,[2]quests!$1:$1,0)-MATCH($B$1,[2]quests!$1:$1,0)+1,FALSE)</f>
        <v>【土曜限定】 赤と緑の素材</v>
      </c>
      <c r="D35" s="84" t="str">
        <f ca="1">VLOOKUP($B35,OFFSET([2]quests!$A$1,0,0,COUNTA([2]quests!$A:$A),MATCH(D$1,[2]quests!$1:$1,0)-MATCH($B$1,[2]quests!$1:$1,0)+1),MATCH(D$1,[2]quests!$1:$1,0)-MATCH($B$1,[2]quests!$1:$1,0)+1,FALSE)</f>
        <v>土曜クエスト</v>
      </c>
      <c r="E35" s="88">
        <v>5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土曜クエスト</v>
      </c>
      <c r="H35" s="86">
        <v>0</v>
      </c>
      <c r="I35">
        <v>33</v>
      </c>
      <c r="J35" s="85" t="s">
        <v>193</v>
      </c>
      <c r="K35" s="94" t="str">
        <f>VLOOKUP(I35,[7]stage_hints!$A:$C,3,FALSE)</f>
        <v>敵のカウンター攻撃には</v>
      </c>
      <c r="L35" s="95" t="str">
        <f>VLOOKUP(I35,[7]stage_hints!$A:$D,4,FALSE)</f>
        <v>カウンターブレイクスキルを持っていれば_x000D_敵のカウンターを解除して攻撃ができます</v>
      </c>
      <c r="M35" s="57" t="s">
        <v>195</v>
      </c>
    </row>
    <row r="36" spans="1:13" x14ac:dyDescent="0.15">
      <c r="A36" s="82" t="s">
        <v>196</v>
      </c>
      <c r="B36" s="83">
        <v>11007</v>
      </c>
      <c r="C36" s="84" t="str">
        <f ca="1">VLOOKUP($B36,OFFSET([2]quests!$A$1,0,0,COUNTA([2]quests!$A:$A),MATCH(C$1,[2]quests!$1:$1,0)-MATCH($B$1,[2]quests!$1:$1,0)+1),MATCH(C$1,[2]quests!$1:$1,0)-MATCH($B$1,[2]quests!$1:$1,0)+1,FALSE)</f>
        <v>【土曜限定】 赤と緑の素材</v>
      </c>
      <c r="D36" s="84" t="str">
        <f ca="1">VLOOKUP($B36,OFFSET([2]quests!$A$1,0,0,COUNTA([2]quests!$A:$A),MATCH(D$1,[2]quests!$1:$1,0)-MATCH($B$1,[2]quests!$1:$1,0)+1),MATCH(D$1,[2]quests!$1:$1,0)-MATCH($B$1,[2]quests!$1:$1,0)+1,FALSE)</f>
        <v>土曜クエスト</v>
      </c>
      <c r="E36" s="88">
        <v>5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土曜クエスト</v>
      </c>
      <c r="H36" s="86">
        <v>0</v>
      </c>
      <c r="I36">
        <v>34</v>
      </c>
      <c r="J36" s="85" t="s">
        <v>193</v>
      </c>
      <c r="K36" s="94" t="str">
        <f>VLOOKUP(I36,[7]stage_hints!$A:$C,3,FALSE)</f>
        <v>ステータスをスキルで下げられたら</v>
      </c>
      <c r="L36" s="95" t="str">
        <f>VLOOKUP(I36,[7]stage_hints!$A:$D,4,FALSE)</f>
        <v>ステータスダウンのスキルを受けたら_x000D_ステータスアップスキルで上書きしましょう</v>
      </c>
      <c r="M36" s="57" t="s">
        <v>195</v>
      </c>
    </row>
    <row r="37" spans="1:13" x14ac:dyDescent="0.15">
      <c r="A37" s="82" t="s">
        <v>196</v>
      </c>
      <c r="B37" s="83">
        <v>11007</v>
      </c>
      <c r="C37" s="84" t="str">
        <f ca="1">VLOOKUP($B37,OFFSET([2]quests!$A$1,0,0,COUNTA([2]quests!$A:$A),MATCH(C$1,[2]quests!$1:$1,0)-MATCH($B$1,[2]quests!$1:$1,0)+1),MATCH(C$1,[2]quests!$1:$1,0)-MATCH($B$1,[2]quests!$1:$1,0)+1,FALSE)</f>
        <v>【土曜限定】 赤と緑の素材</v>
      </c>
      <c r="D37" s="84" t="str">
        <f ca="1">VLOOKUP($B37,OFFSET([2]quests!$A$1,0,0,COUNTA([2]quests!$A:$A),MATCH(D$1,[2]quests!$1:$1,0)-MATCH($B$1,[2]quests!$1:$1,0)+1),MATCH(D$1,[2]quests!$1:$1,0)-MATCH($B$1,[2]quests!$1:$1,0)+1,FALSE)</f>
        <v>土曜クエスト</v>
      </c>
      <c r="E37" s="88">
        <v>5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土曜クエスト</v>
      </c>
      <c r="H37" s="86">
        <v>0</v>
      </c>
      <c r="I37">
        <v>35</v>
      </c>
      <c r="J37" s="85" t="s">
        <v>193</v>
      </c>
      <c r="K37" s="94" t="str">
        <f>VLOOKUP(I37,[7]stage_hints!$A:$C,3,FALSE)</f>
        <v>敵のステータスがスキルで上がったら</v>
      </c>
      <c r="L37" s="95" t="str">
        <f>VLOOKUP(I37,[7]stage_hints!$A:$D,4,FALSE)</f>
        <v>敵のステータスがスキルでアップしたときは_x000D_ステータスダウンスキルで上書きしましょう</v>
      </c>
      <c r="M37" s="57" t="s">
        <v>195</v>
      </c>
    </row>
    <row r="38" spans="1:13" x14ac:dyDescent="0.15">
      <c r="A38" s="82" t="s">
        <v>196</v>
      </c>
      <c r="B38" s="83">
        <v>11007</v>
      </c>
      <c r="C38" s="84" t="str">
        <f ca="1">VLOOKUP($B38,OFFSET([2]quests!$A$1,0,0,COUNTA([2]quests!$A:$A),MATCH(C$1,[2]quests!$1:$1,0)-MATCH($B$1,[2]quests!$1:$1,0)+1),MATCH(C$1,[2]quests!$1:$1,0)-MATCH($B$1,[2]quests!$1:$1,0)+1,FALSE)</f>
        <v>【土曜限定】 赤と緑の素材</v>
      </c>
      <c r="D38" s="84" t="str">
        <f ca="1">VLOOKUP($B38,OFFSET([2]quests!$A$1,0,0,COUNTA([2]quests!$A:$A),MATCH(D$1,[2]quests!$1:$1,0)-MATCH($B$1,[2]quests!$1:$1,0)+1),MATCH(D$1,[2]quests!$1:$1,0)-MATCH($B$1,[2]quests!$1:$1,0)+1,FALSE)</f>
        <v>土曜クエスト</v>
      </c>
      <c r="E38" s="88">
        <v>5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土曜クエスト</v>
      </c>
      <c r="H38" s="86">
        <v>0</v>
      </c>
      <c r="I38">
        <v>36</v>
      </c>
      <c r="J38" s="85" t="s">
        <v>193</v>
      </c>
      <c r="K38" s="94" t="str">
        <f>VLOOKUP(I38,[7]stage_hints!$A:$C,3,FALSE)</f>
        <v>チャレンジタワーのボス</v>
      </c>
      <c r="L38" s="95" t="str">
        <f>VLOOKUP(I38,[7]stage_hints!$A:$D,4,FALSE)</f>
        <v>チャレンジタワーでのみ登場するボスは_x000D_一定確率で獲得することができます</v>
      </c>
      <c r="M38" s="57" t="s">
        <v>195</v>
      </c>
    </row>
    <row r="39" spans="1:13" x14ac:dyDescent="0.15">
      <c r="A39" s="82" t="s">
        <v>196</v>
      </c>
      <c r="B39" s="83">
        <v>11007</v>
      </c>
      <c r="C39" s="84" t="str">
        <f ca="1">VLOOKUP($B39,OFFSET([2]quests!$A$1,0,0,COUNTA([2]quests!$A:$A),MATCH(C$1,[2]quests!$1:$1,0)-MATCH($B$1,[2]quests!$1:$1,0)+1),MATCH(C$1,[2]quests!$1:$1,0)-MATCH($B$1,[2]quests!$1:$1,0)+1,FALSE)</f>
        <v>【土曜限定】 赤と緑の素材</v>
      </c>
      <c r="D39" s="84" t="str">
        <f ca="1">VLOOKUP($B39,OFFSET([2]quests!$A$1,0,0,COUNTA([2]quests!$A:$A),MATCH(D$1,[2]quests!$1:$1,0)-MATCH($B$1,[2]quests!$1:$1,0)+1),MATCH(D$1,[2]quests!$1:$1,0)-MATCH($B$1,[2]quests!$1:$1,0)+1,FALSE)</f>
        <v>土曜クエスト</v>
      </c>
      <c r="E39" s="88">
        <v>5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土曜クエスト</v>
      </c>
      <c r="H39" s="86">
        <v>0</v>
      </c>
      <c r="I39">
        <v>37</v>
      </c>
      <c r="J39" s="85" t="s">
        <v>193</v>
      </c>
      <c r="K39" s="94" t="str">
        <f>VLOOKUP(I39,[7]stage_hints!$A:$C,3,FALSE)</f>
        <v>限界突破値の引き継ぎ</v>
      </c>
      <c r="L39" s="95" t="str">
        <f>VLOOKUP(I39,[7]stage_hints!$A:$D,4,FALSE)</f>
        <v>同じユニットを強化で合成すると_x000D_限界突破値を引き継げます（覚醒前後も可）</v>
      </c>
      <c r="M39" s="57" t="s">
        <v>195</v>
      </c>
    </row>
    <row r="40" spans="1:13" x14ac:dyDescent="0.15">
      <c r="A40" s="105" t="s">
        <v>196</v>
      </c>
      <c r="B40" s="83">
        <v>11007</v>
      </c>
      <c r="C40" s="84" t="str">
        <f ca="1">VLOOKUP($B40,OFFSET([2]quests!$A$1,0,0,COUNTA([2]quests!$A:$A),MATCH(C$1,[2]quests!$1:$1,0)-MATCH($B$1,[2]quests!$1:$1,0)+1),MATCH(C$1,[2]quests!$1:$1,0)-MATCH($B$1,[2]quests!$1:$1,0)+1,FALSE)</f>
        <v>【土曜限定】 赤と緑の素材</v>
      </c>
      <c r="D40" s="84" t="str">
        <f ca="1">VLOOKUP($B40,OFFSET([2]quests!$A$1,0,0,COUNTA([2]quests!$A:$A),MATCH(D$1,[2]quests!$1:$1,0)-MATCH($B$1,[2]quests!$1:$1,0)+1),MATCH(D$1,[2]quests!$1:$1,0)-MATCH($B$1,[2]quests!$1:$1,0)+1,FALSE)</f>
        <v>土曜クエスト</v>
      </c>
      <c r="E40" s="88">
        <v>5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【超絶級】ドードーとグリフォン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土曜クエスト</v>
      </c>
      <c r="H40" s="86">
        <v>0</v>
      </c>
      <c r="I40">
        <v>39</v>
      </c>
      <c r="J40" s="85" t="s">
        <v>193</v>
      </c>
      <c r="K40" s="94" t="str">
        <f>VLOOKUP(I40,[7]stage_hints!$A:$C,3,FALSE)</f>
        <v>システム適合者を確認</v>
      </c>
      <c r="L40" s="95" t="str">
        <f>VLOOKUP(I40,[7]stage_hints!$A:$D,4,FALSE)</f>
        <v>ALICEが 「アナタ」を呼んでいます</v>
      </c>
      <c r="M40" s="57" t="s">
        <v>195</v>
      </c>
    </row>
    <row r="41" spans="1:13" x14ac:dyDescent="0.15">
      <c r="A41" s="82" t="s">
        <v>196</v>
      </c>
      <c r="B41" s="83">
        <v>11008</v>
      </c>
      <c r="C41" s="84" t="str">
        <f ca="1">VLOOKUP($B41,OFFSET([2]quests!$A$1,0,0,COUNTA([2]quests!$A:$A),MATCH(C$1,[2]quests!$1:$1,0)-MATCH($B$1,[2]quests!$1:$1,0)+1),MATCH(C$1,[2]quests!$1:$1,0)-MATCH($B$1,[2]quests!$1:$1,0)+1,FALSE)</f>
        <v>【日曜限定】 青と黄の素材</v>
      </c>
      <c r="D41" s="84" t="str">
        <f ca="1">VLOOKUP($B41,OFFSET([2]quests!$A$1,0,0,COUNTA([2]quests!$A:$A),MATCH(D$1,[2]quests!$1:$1,0)-MATCH($B$1,[2]quests!$1:$1,0)+1),MATCH(D$1,[2]quests!$1:$1,0)-MATCH($B$1,[2]quests!$1:$1,0)+1,FALSE)</f>
        <v>日曜クエスト</v>
      </c>
      <c r="E41" s="88">
        <v>5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日曜クエスト</v>
      </c>
      <c r="H41" s="86">
        <v>0</v>
      </c>
      <c r="I41">
        <v>12</v>
      </c>
      <c r="J41" s="85" t="s">
        <v>193</v>
      </c>
      <c r="K41" s="94" t="str">
        <f>VLOOKUP(I41,[7]stage_hints!$A:$C,3,FALSE)</f>
        <v>ユニットのお気に入り登録</v>
      </c>
      <c r="L41" s="95" t="str">
        <f>VLOOKUP(I41,[7]stage_hints!$A:$D,4,FALSE)</f>
        <v>大事なユニットを誤って消さないように_x000D_フォルダから「お気に入り登録」しましょう</v>
      </c>
      <c r="M41" s="57" t="s">
        <v>195</v>
      </c>
    </row>
    <row r="42" spans="1:13" x14ac:dyDescent="0.15">
      <c r="A42" s="82" t="s">
        <v>196</v>
      </c>
      <c r="B42" s="83">
        <v>11008</v>
      </c>
      <c r="C42" s="84" t="str">
        <f ca="1">VLOOKUP($B42,OFFSET([2]quests!$A$1,0,0,COUNTA([2]quests!$A:$A),MATCH(C$1,[2]quests!$1:$1,0)-MATCH($B$1,[2]quests!$1:$1,0)+1),MATCH(C$1,[2]quests!$1:$1,0)-MATCH($B$1,[2]quests!$1:$1,0)+1,FALSE)</f>
        <v>【日曜限定】 青と黄の素材</v>
      </c>
      <c r="D42" s="84" t="str">
        <f ca="1">VLOOKUP($B42,OFFSET([2]quests!$A$1,0,0,COUNTA([2]quests!$A:$A),MATCH(D$1,[2]quests!$1:$1,0)-MATCH($B$1,[2]quests!$1:$1,0)+1),MATCH(D$1,[2]quests!$1:$1,0)-MATCH($B$1,[2]quests!$1:$1,0)+1,FALSE)</f>
        <v>日曜クエスト</v>
      </c>
      <c r="E42" s="88">
        <v>5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日曜クエスト</v>
      </c>
      <c r="H42" s="86">
        <v>0</v>
      </c>
      <c r="I42">
        <v>17</v>
      </c>
      <c r="J42" s="85" t="s">
        <v>193</v>
      </c>
      <c r="K42" s="94" t="str">
        <f>VLOOKUP(I42,[7]stage_hints!$A:$C,3,FALSE)</f>
        <v>リンクガチャ</v>
      </c>
      <c r="L42" s="95" t="str">
        <f>VLOOKUP(I42,[7]stage_hints!$A:$D,4,FALSE)</f>
        <v>無料のリンクガチャを回して_x000D_経験値素材や売却素材を獲得しましょう</v>
      </c>
      <c r="M42" s="57" t="s">
        <v>195</v>
      </c>
    </row>
    <row r="43" spans="1:13" x14ac:dyDescent="0.15">
      <c r="A43" s="82" t="s">
        <v>196</v>
      </c>
      <c r="B43" s="83">
        <v>11008</v>
      </c>
      <c r="C43" s="84" t="str">
        <f ca="1">VLOOKUP($B43,OFFSET([2]quests!$A$1,0,0,COUNTA([2]quests!$A:$A),MATCH(C$1,[2]quests!$1:$1,0)-MATCH($B$1,[2]quests!$1:$1,0)+1),MATCH(C$1,[2]quests!$1:$1,0)-MATCH($B$1,[2]quests!$1:$1,0)+1,FALSE)</f>
        <v>【日曜限定】 青と黄の素材</v>
      </c>
      <c r="D43" s="84" t="str">
        <f ca="1">VLOOKUP($B43,OFFSET([2]quests!$A$1,0,0,COUNTA([2]quests!$A:$A),MATCH(D$1,[2]quests!$1:$1,0)-MATCH($B$1,[2]quests!$1:$1,0)+1),MATCH(D$1,[2]quests!$1:$1,0)-MATCH($B$1,[2]quests!$1:$1,0)+1,FALSE)</f>
        <v>日曜クエスト</v>
      </c>
      <c r="E43" s="88">
        <v>5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日曜クエスト</v>
      </c>
      <c r="H43" s="86">
        <v>0</v>
      </c>
      <c r="I43">
        <v>19</v>
      </c>
      <c r="J43" s="85" t="s">
        <v>193</v>
      </c>
      <c r="K43" s="94" t="str">
        <f>VLOOKUP(I43,[7]stage_hints!$A:$C,3,FALSE)</f>
        <v>ソロ専用チャレンジタワー</v>
      </c>
      <c r="L43" s="95" t="str">
        <f>VLOOKUP(I43,[7]stage_hints!$A:$D,4,FALSE)</f>
        <v>ソロ専用の「チャレンジタワー」では_x000D_各フロアごとにクリア報酬がもらえます</v>
      </c>
      <c r="M43" s="57" t="s">
        <v>195</v>
      </c>
    </row>
    <row r="44" spans="1:13" x14ac:dyDescent="0.15">
      <c r="A44" s="82" t="s">
        <v>196</v>
      </c>
      <c r="B44" s="83">
        <v>11008</v>
      </c>
      <c r="C44" s="84" t="str">
        <f ca="1">VLOOKUP($B44,OFFSET([2]quests!$A$1,0,0,COUNTA([2]quests!$A:$A),MATCH(C$1,[2]quests!$1:$1,0)-MATCH($B$1,[2]quests!$1:$1,0)+1),MATCH(C$1,[2]quests!$1:$1,0)-MATCH($B$1,[2]quests!$1:$1,0)+1,FALSE)</f>
        <v>【日曜限定】 青と黄の素材</v>
      </c>
      <c r="D44" s="84" t="str">
        <f ca="1">VLOOKUP($B44,OFFSET([2]quests!$A$1,0,0,COUNTA([2]quests!$A:$A),MATCH(D$1,[2]quests!$1:$1,0)-MATCH($B$1,[2]quests!$1:$1,0)+1),MATCH(D$1,[2]quests!$1:$1,0)-MATCH($B$1,[2]quests!$1:$1,0)+1,FALSE)</f>
        <v>日曜クエスト</v>
      </c>
      <c r="E44" s="88">
        <v>5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日曜クエスト</v>
      </c>
      <c r="H44" s="86">
        <v>0</v>
      </c>
      <c r="I44">
        <v>21</v>
      </c>
      <c r="J44" s="85" t="s">
        <v>193</v>
      </c>
      <c r="K44" s="94" t="str">
        <f>VLOOKUP(I44,[7]stage_hints!$A:$C,3,FALSE)</f>
        <v>スキルを有効に</v>
      </c>
      <c r="L44" s="95" t="str">
        <f>VLOOKUP(I44,[7]stage_hints!$A:$D,4,FALSE)</f>
        <v>ターン経過でユニットのスキルが使えます_x000D_強力スキルでバトルを有利に進めましょう</v>
      </c>
      <c r="M44" s="57" t="s">
        <v>195</v>
      </c>
    </row>
    <row r="45" spans="1:13" x14ac:dyDescent="0.15">
      <c r="A45" s="82" t="s">
        <v>196</v>
      </c>
      <c r="B45" s="83">
        <v>11008</v>
      </c>
      <c r="C45" s="84" t="str">
        <f ca="1">VLOOKUP($B45,OFFSET([2]quests!$A$1,0,0,COUNTA([2]quests!$A:$A),MATCH(C$1,[2]quests!$1:$1,0)-MATCH($B$1,[2]quests!$1:$1,0)+1),MATCH(C$1,[2]quests!$1:$1,0)-MATCH($B$1,[2]quests!$1:$1,0)+1,FALSE)</f>
        <v>【日曜限定】 青と黄の素材</v>
      </c>
      <c r="D45" s="84" t="str">
        <f ca="1">VLOOKUP($B45,OFFSET([2]quests!$A$1,0,0,COUNTA([2]quests!$A:$A),MATCH(D$1,[2]quests!$1:$1,0)-MATCH($B$1,[2]quests!$1:$1,0)+1),MATCH(D$1,[2]quests!$1:$1,0)-MATCH($B$1,[2]quests!$1:$1,0)+1,FALSE)</f>
        <v>日曜クエスト</v>
      </c>
      <c r="E45" s="88">
        <v>5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日曜クエスト</v>
      </c>
      <c r="H45" s="86">
        <v>0</v>
      </c>
      <c r="I45">
        <v>29</v>
      </c>
      <c r="J45" s="85" t="s">
        <v>193</v>
      </c>
      <c r="K45" s="94" t="str">
        <f>VLOOKUP(I45,[7]stage_hints!$A:$C,3,FALSE)</f>
        <v>「バグ」のメリット</v>
      </c>
      <c r="L45" s="95" t="str">
        <f>VLOOKUP(I45,[7]stage_hints!$A:$D,4,FALSE)</f>
        <v>ユニットの「バグ」を増やすと_x000D_報酬をもらえる確率がアップします</v>
      </c>
      <c r="M45" s="57" t="s">
        <v>195</v>
      </c>
    </row>
    <row r="46" spans="1:13" x14ac:dyDescent="0.15">
      <c r="A46" s="82" t="s">
        <v>196</v>
      </c>
      <c r="B46" s="83">
        <v>11008</v>
      </c>
      <c r="C46" s="84" t="str">
        <f ca="1">VLOOKUP($B46,OFFSET([2]quests!$A$1,0,0,COUNTA([2]quests!$A:$A),MATCH(C$1,[2]quests!$1:$1,0)-MATCH($B$1,[2]quests!$1:$1,0)+1),MATCH(C$1,[2]quests!$1:$1,0)-MATCH($B$1,[2]quests!$1:$1,0)+1,FALSE)</f>
        <v>【日曜限定】 青と黄の素材</v>
      </c>
      <c r="D46" s="84" t="str">
        <f ca="1">VLOOKUP($B46,OFFSET([2]quests!$A$1,0,0,COUNTA([2]quests!$A:$A),MATCH(D$1,[2]quests!$1:$1,0)-MATCH($B$1,[2]quests!$1:$1,0)+1),MATCH(D$1,[2]quests!$1:$1,0)-MATCH($B$1,[2]quests!$1:$1,0)+1,FALSE)</f>
        <v>日曜クエスト</v>
      </c>
      <c r="E46" s="88">
        <v>5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日曜クエスト</v>
      </c>
      <c r="H46" s="86">
        <v>0</v>
      </c>
      <c r="I46">
        <v>30</v>
      </c>
      <c r="J46" s="85" t="s">
        <v>193</v>
      </c>
      <c r="K46" s="94" t="str">
        <f>VLOOKUP(I46,[7]stage_hints!$A:$C,3,FALSE)</f>
        <v>「バグ」の増やし方</v>
      </c>
      <c r="L46" s="95" t="str">
        <f>VLOOKUP(I46,[7]stage_hints!$A:$D,4,FALSE)</f>
        <v>同じユニット同士を強化で合成すると_x000D_「バグ」を増やすことができます</v>
      </c>
      <c r="M46" s="57" t="s">
        <v>195</v>
      </c>
    </row>
    <row r="47" spans="1:13" x14ac:dyDescent="0.15">
      <c r="A47" s="82" t="s">
        <v>196</v>
      </c>
      <c r="B47" s="83">
        <v>11008</v>
      </c>
      <c r="C47" s="84" t="str">
        <f ca="1">VLOOKUP($B47,OFFSET([2]quests!$A$1,0,0,COUNTA([2]quests!$A:$A),MATCH(C$1,[2]quests!$1:$1,0)-MATCH($B$1,[2]quests!$1:$1,0)+1),MATCH(C$1,[2]quests!$1:$1,0)-MATCH($B$1,[2]quests!$1:$1,0)+1,FALSE)</f>
        <v>【日曜限定】 青と黄の素材</v>
      </c>
      <c r="D47" s="84" t="str">
        <f ca="1">VLOOKUP($B47,OFFSET([2]quests!$A$1,0,0,COUNTA([2]quests!$A:$A),MATCH(D$1,[2]quests!$1:$1,0)-MATCH($B$1,[2]quests!$1:$1,0)+1),MATCH(D$1,[2]quests!$1:$1,0)-MATCH($B$1,[2]quests!$1:$1,0)+1,FALSE)</f>
        <v>日曜クエスト</v>
      </c>
      <c r="E47" s="88">
        <v>5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日曜クエスト</v>
      </c>
      <c r="H47" s="86">
        <v>0</v>
      </c>
      <c r="I47">
        <v>32</v>
      </c>
      <c r="J47" s="85" t="s">
        <v>193</v>
      </c>
      <c r="K47" s="94" t="str">
        <f>VLOOKUP(I47,[7]stage_hints!$A:$C,3,FALSE)</f>
        <v>敵の連続攻撃には</v>
      </c>
      <c r="L47" s="95" t="str">
        <f>VLOOKUP(I47,[7]stage_hints!$A:$D,4,FALSE)</f>
        <v>カウンタースキルを持つユニットがいれば_x000D_ダメージ回数分の反撃ができます</v>
      </c>
      <c r="M47" s="57" t="s">
        <v>195</v>
      </c>
    </row>
    <row r="48" spans="1:13" x14ac:dyDescent="0.15">
      <c r="A48" s="82" t="s">
        <v>196</v>
      </c>
      <c r="B48" s="83">
        <v>11008</v>
      </c>
      <c r="C48" s="84" t="str">
        <f ca="1">VLOOKUP($B48,OFFSET([2]quests!$A$1,0,0,COUNTA([2]quests!$A:$A),MATCH(C$1,[2]quests!$1:$1,0)-MATCH($B$1,[2]quests!$1:$1,0)+1),MATCH(C$1,[2]quests!$1:$1,0)-MATCH($B$1,[2]quests!$1:$1,0)+1,FALSE)</f>
        <v>【日曜限定】 青と黄の素材</v>
      </c>
      <c r="D48" s="84" t="str">
        <f ca="1">VLOOKUP($B48,OFFSET([2]quests!$A$1,0,0,COUNTA([2]quests!$A:$A),MATCH(D$1,[2]quests!$1:$1,0)-MATCH($B$1,[2]quests!$1:$1,0)+1),MATCH(D$1,[2]quests!$1:$1,0)-MATCH($B$1,[2]quests!$1:$1,0)+1,FALSE)</f>
        <v>日曜クエスト</v>
      </c>
      <c r="E48" s="88">
        <v>5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日曜クエスト</v>
      </c>
      <c r="H48" s="86">
        <v>0</v>
      </c>
      <c r="I48">
        <v>33</v>
      </c>
      <c r="J48" s="85" t="s">
        <v>193</v>
      </c>
      <c r="K48" s="94" t="str">
        <f>VLOOKUP(I48,[7]stage_hints!$A:$C,3,FALSE)</f>
        <v>敵のカウンター攻撃には</v>
      </c>
      <c r="L48" s="95" t="str">
        <f>VLOOKUP(I48,[7]stage_hints!$A:$D,4,FALSE)</f>
        <v>カウンターブレイクスキルを持っていれば_x000D_敵のカウンターを解除して攻撃ができます</v>
      </c>
      <c r="M48" s="57" t="s">
        <v>195</v>
      </c>
    </row>
    <row r="49" spans="1:13" x14ac:dyDescent="0.15">
      <c r="A49" s="82" t="s">
        <v>196</v>
      </c>
      <c r="B49" s="83">
        <v>11008</v>
      </c>
      <c r="C49" s="84" t="str">
        <f ca="1">VLOOKUP($B49,OFFSET([2]quests!$A$1,0,0,COUNTA([2]quests!$A:$A),MATCH(C$1,[2]quests!$1:$1,0)-MATCH($B$1,[2]quests!$1:$1,0)+1),MATCH(C$1,[2]quests!$1:$1,0)-MATCH($B$1,[2]quests!$1:$1,0)+1,FALSE)</f>
        <v>【日曜限定】 青と黄の素材</v>
      </c>
      <c r="D49" s="84" t="str">
        <f ca="1">VLOOKUP($B49,OFFSET([2]quests!$A$1,0,0,COUNTA([2]quests!$A:$A),MATCH(D$1,[2]quests!$1:$1,0)-MATCH($B$1,[2]quests!$1:$1,0)+1),MATCH(D$1,[2]quests!$1:$1,0)-MATCH($B$1,[2]quests!$1:$1,0)+1,FALSE)</f>
        <v>日曜クエスト</v>
      </c>
      <c r="E49" s="88">
        <v>5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日曜クエスト</v>
      </c>
      <c r="H49" s="86">
        <v>0</v>
      </c>
      <c r="I49">
        <v>34</v>
      </c>
      <c r="J49" s="85" t="s">
        <v>193</v>
      </c>
      <c r="K49" s="94" t="str">
        <f>VLOOKUP(I49,[7]stage_hints!$A:$C,3,FALSE)</f>
        <v>ステータスをスキルで下げられたら</v>
      </c>
      <c r="L49" s="95" t="str">
        <f>VLOOKUP(I49,[7]stage_hints!$A:$D,4,FALSE)</f>
        <v>ステータスダウンのスキルを受けたら_x000D_ステータスアップスキルで上書きしましょう</v>
      </c>
      <c r="M49" s="57" t="s">
        <v>195</v>
      </c>
    </row>
    <row r="50" spans="1:13" x14ac:dyDescent="0.15">
      <c r="A50" s="82" t="s">
        <v>196</v>
      </c>
      <c r="B50" s="83">
        <v>11008</v>
      </c>
      <c r="C50" s="84" t="str">
        <f ca="1">VLOOKUP($B50,OFFSET([2]quests!$A$1,0,0,COUNTA([2]quests!$A:$A),MATCH(C$1,[2]quests!$1:$1,0)-MATCH($B$1,[2]quests!$1:$1,0)+1),MATCH(C$1,[2]quests!$1:$1,0)-MATCH($B$1,[2]quests!$1:$1,0)+1,FALSE)</f>
        <v>【日曜限定】 青と黄の素材</v>
      </c>
      <c r="D50" s="84" t="str">
        <f ca="1">VLOOKUP($B50,OFFSET([2]quests!$A$1,0,0,COUNTA([2]quests!$A:$A),MATCH(D$1,[2]quests!$1:$1,0)-MATCH($B$1,[2]quests!$1:$1,0)+1),MATCH(D$1,[2]quests!$1:$1,0)-MATCH($B$1,[2]quests!$1:$1,0)+1,FALSE)</f>
        <v>日曜クエスト</v>
      </c>
      <c r="E50" s="88">
        <v>5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日曜クエスト</v>
      </c>
      <c r="H50" s="86">
        <v>0</v>
      </c>
      <c r="I50">
        <v>35</v>
      </c>
      <c r="J50" s="85" t="s">
        <v>193</v>
      </c>
      <c r="K50" s="94" t="str">
        <f>VLOOKUP(I50,[7]stage_hints!$A:$C,3,FALSE)</f>
        <v>敵のステータスがスキルで上がったら</v>
      </c>
      <c r="L50" s="95" t="str">
        <f>VLOOKUP(I50,[7]stage_hints!$A:$D,4,FALSE)</f>
        <v>敵のステータスがスキルでアップしたときは_x000D_ステータスダウンスキルで上書きしましょう</v>
      </c>
      <c r="M50" s="57" t="s">
        <v>195</v>
      </c>
    </row>
    <row r="51" spans="1:13" x14ac:dyDescent="0.15">
      <c r="A51" s="82" t="s">
        <v>196</v>
      </c>
      <c r="B51" s="83">
        <v>11008</v>
      </c>
      <c r="C51" s="84" t="str">
        <f ca="1">VLOOKUP($B51,OFFSET([2]quests!$A$1,0,0,COUNTA([2]quests!$A:$A),MATCH(C$1,[2]quests!$1:$1,0)-MATCH($B$1,[2]quests!$1:$1,0)+1),MATCH(C$1,[2]quests!$1:$1,0)-MATCH($B$1,[2]quests!$1:$1,0)+1,FALSE)</f>
        <v>【日曜限定】 青と黄の素材</v>
      </c>
      <c r="D51" s="84" t="str">
        <f ca="1">VLOOKUP($B51,OFFSET([2]quests!$A$1,0,0,COUNTA([2]quests!$A:$A),MATCH(D$1,[2]quests!$1:$1,0)-MATCH($B$1,[2]quests!$1:$1,0)+1),MATCH(D$1,[2]quests!$1:$1,0)-MATCH($B$1,[2]quests!$1:$1,0)+1,FALSE)</f>
        <v>日曜クエスト</v>
      </c>
      <c r="E51" s="88">
        <v>5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日曜クエスト</v>
      </c>
      <c r="H51" s="86">
        <v>0</v>
      </c>
      <c r="I51">
        <v>36</v>
      </c>
      <c r="J51" s="85" t="s">
        <v>193</v>
      </c>
      <c r="K51" s="94" t="str">
        <f>VLOOKUP(I51,[7]stage_hints!$A:$C,3,FALSE)</f>
        <v>チャレンジタワーのボス</v>
      </c>
      <c r="L51" s="95" t="str">
        <f>VLOOKUP(I51,[7]stage_hints!$A:$D,4,FALSE)</f>
        <v>チャレンジタワーでのみ登場するボスは_x000D_一定確率で獲得することができます</v>
      </c>
      <c r="M51" s="57" t="s">
        <v>195</v>
      </c>
    </row>
    <row r="52" spans="1:13" x14ac:dyDescent="0.15">
      <c r="A52" s="82" t="s">
        <v>196</v>
      </c>
      <c r="B52" s="83">
        <v>11008</v>
      </c>
      <c r="C52" s="84" t="str">
        <f ca="1">VLOOKUP($B52,OFFSET([2]quests!$A$1,0,0,COUNTA([2]quests!$A:$A),MATCH(C$1,[2]quests!$1:$1,0)-MATCH($B$1,[2]quests!$1:$1,0)+1),MATCH(C$1,[2]quests!$1:$1,0)-MATCH($B$1,[2]quests!$1:$1,0)+1,FALSE)</f>
        <v>【日曜限定】 青と黄の素材</v>
      </c>
      <c r="D52" s="84" t="str">
        <f ca="1">VLOOKUP($B52,OFFSET([2]quests!$A$1,0,0,COUNTA([2]quests!$A:$A),MATCH(D$1,[2]quests!$1:$1,0)-MATCH($B$1,[2]quests!$1:$1,0)+1),MATCH(D$1,[2]quests!$1:$1,0)-MATCH($B$1,[2]quests!$1:$1,0)+1,FALSE)</f>
        <v>日曜クエスト</v>
      </c>
      <c r="E52" s="88">
        <v>5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日曜クエスト</v>
      </c>
      <c r="H52" s="86">
        <v>0</v>
      </c>
      <c r="I52">
        <v>37</v>
      </c>
      <c r="J52" s="85" t="s">
        <v>193</v>
      </c>
      <c r="K52" s="94" t="str">
        <f>VLOOKUP(I52,[7]stage_hints!$A:$C,3,FALSE)</f>
        <v>限界突破値の引き継ぎ</v>
      </c>
      <c r="L52" s="95" t="str">
        <f>VLOOKUP(I52,[7]stage_hints!$A:$D,4,FALSE)</f>
        <v>同じユニットを強化で合成すると_x000D_限界突破値を引き継げます（覚醒前後も可）</v>
      </c>
      <c r="M52" s="57" t="s">
        <v>195</v>
      </c>
    </row>
    <row r="53" spans="1:13" x14ac:dyDescent="0.15">
      <c r="A53" s="105" t="s">
        <v>196</v>
      </c>
      <c r="B53" s="83">
        <v>11008</v>
      </c>
      <c r="C53" s="84" t="str">
        <f ca="1">VLOOKUP($B53,OFFSET([2]quests!$A$1,0,0,COUNTA([2]quests!$A:$A),MATCH(C$1,[2]quests!$1:$1,0)-MATCH($B$1,[2]quests!$1:$1,0)+1),MATCH(C$1,[2]quests!$1:$1,0)-MATCH($B$1,[2]quests!$1:$1,0)+1,FALSE)</f>
        <v>【日曜限定】 青と黄の素材</v>
      </c>
      <c r="D53" s="84" t="str">
        <f ca="1">VLOOKUP($B53,OFFSET([2]quests!$A$1,0,0,COUNTA([2]quests!$A:$A),MATCH(D$1,[2]quests!$1:$1,0)-MATCH($B$1,[2]quests!$1:$1,0)+1),MATCH(D$1,[2]quests!$1:$1,0)-MATCH($B$1,[2]quests!$1:$1,0)+1,FALSE)</f>
        <v>日曜クエスト</v>
      </c>
      <c r="E53" s="88">
        <v>5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【超絶級】ウミガメとネズミ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日曜クエスト</v>
      </c>
      <c r="H53" s="86">
        <v>0</v>
      </c>
      <c r="I53">
        <v>39</v>
      </c>
      <c r="J53" s="85" t="s">
        <v>193</v>
      </c>
      <c r="K53" s="94" t="str">
        <f>VLOOKUP(I53,[7]stage_hints!$A:$C,3,FALSE)</f>
        <v>システム適合者を確認</v>
      </c>
      <c r="L53" s="95" t="str">
        <f>VLOOKUP(I53,[7]stage_hints!$A:$D,4,FALSE)</f>
        <v>ALICEが 「アナタ」を呼んでいます</v>
      </c>
      <c r="M53" s="57" t="s">
        <v>195</v>
      </c>
    </row>
    <row r="54" spans="1:13" x14ac:dyDescent="0.15">
      <c r="A54" s="82" t="s">
        <v>196</v>
      </c>
      <c r="B54" s="83">
        <f>floors!$C$14</f>
        <v>11102</v>
      </c>
      <c r="C54" s="84" t="str">
        <f ca="1">VLOOKUP($B54,OFFSET([2]quests!$A$1,0,0,COUNTA([2]quests!$A:$A),MATCH(C$1,[2]quests!$1:$1,0)-MATCH($B$1,[2]quests!$1:$1,0)+1),MATCH(C$1,[2]quests!$1:$1,0)-MATCH($B$1,[2]quests!$1:$1,0)+1,FALSE)</f>
        <v>【期間限定】 赤の素材</v>
      </c>
      <c r="D54" s="84" t="str">
        <f ca="1">VLOOKUP($B54,OFFSET([2]quests!$A$1,0,0,COUNTA([2]quests!$A:$A),MATCH(D$1,[2]quests!$1:$1,0)-MATCH($B$1,[2]quests!$1:$1,0)+1),MATCH(D$1,[2]quests!$1:$1,0)-MATCH($B$1,[2]quests!$1:$1,0)+1,FALSE)</f>
        <v>火曜クエスト</v>
      </c>
      <c r="E54" s="88">
        <v>10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【超絶級】炎上のドードー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火曜クエスト</v>
      </c>
      <c r="H54" s="86">
        <v>0</v>
      </c>
      <c r="I54">
        <v>12</v>
      </c>
      <c r="J54" s="85" t="s">
        <v>193</v>
      </c>
      <c r="K54" s="94" t="str">
        <f>VLOOKUP(I54,[7]stage_hints!$A:$C,3,FALSE)</f>
        <v>ユニットのお気に入り登録</v>
      </c>
      <c r="L54" s="95" t="str">
        <f>VLOOKUP(I54,[7]stage_hints!$A:$D,4,FALSE)</f>
        <v>大事なユニットを誤って消さないように_x000D_フォルダから「お気に入り登録」しましょう</v>
      </c>
      <c r="M54" s="57" t="s">
        <v>206</v>
      </c>
    </row>
    <row r="55" spans="1:13" x14ac:dyDescent="0.15">
      <c r="A55" s="82" t="s">
        <v>196</v>
      </c>
      <c r="B55" s="83">
        <f>floors!$C$14</f>
        <v>11102</v>
      </c>
      <c r="C55" s="84" t="str">
        <f ca="1">VLOOKUP($B55,OFFSET([2]quests!$A$1,0,0,COUNTA([2]quests!$A:$A),MATCH(C$1,[2]quests!$1:$1,0)-MATCH($B$1,[2]quests!$1:$1,0)+1),MATCH(C$1,[2]quests!$1:$1,0)-MATCH($B$1,[2]quests!$1:$1,0)+1,FALSE)</f>
        <v>【期間限定】 赤の素材</v>
      </c>
      <c r="D55" s="84" t="str">
        <f ca="1">VLOOKUP($B55,OFFSET([2]quests!$A$1,0,0,COUNTA([2]quests!$A:$A),MATCH(D$1,[2]quests!$1:$1,0)-MATCH($B$1,[2]quests!$1:$1,0)+1),MATCH(D$1,[2]quests!$1:$1,0)-MATCH($B$1,[2]quests!$1:$1,0)+1,FALSE)</f>
        <v>火曜クエスト</v>
      </c>
      <c r="E55" s="88">
        <v>10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【超絶級】炎上のドードー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火曜クエスト</v>
      </c>
      <c r="H55" s="86">
        <v>0</v>
      </c>
      <c r="I55">
        <v>17</v>
      </c>
      <c r="J55" s="85" t="s">
        <v>193</v>
      </c>
      <c r="K55" s="94" t="str">
        <f>VLOOKUP(I55,[7]stage_hints!$A:$C,3,FALSE)</f>
        <v>リンクガチャ</v>
      </c>
      <c r="L55" s="95" t="str">
        <f>VLOOKUP(I55,[7]stage_hints!$A:$D,4,FALSE)</f>
        <v>無料のリンクガチャを回して_x000D_経験値素材や売却素材を獲得しましょう</v>
      </c>
      <c r="M55" s="57" t="s">
        <v>206</v>
      </c>
    </row>
    <row r="56" spans="1:13" x14ac:dyDescent="0.15">
      <c r="A56" s="82" t="s">
        <v>196</v>
      </c>
      <c r="B56" s="83">
        <f>floors!$C$14</f>
        <v>11102</v>
      </c>
      <c r="C56" s="84" t="str">
        <f ca="1">VLOOKUP($B56,OFFSET([2]quests!$A$1,0,0,COUNTA([2]quests!$A:$A),MATCH(C$1,[2]quests!$1:$1,0)-MATCH($B$1,[2]quests!$1:$1,0)+1),MATCH(C$1,[2]quests!$1:$1,0)-MATCH($B$1,[2]quests!$1:$1,0)+1,FALSE)</f>
        <v>【期間限定】 赤の素材</v>
      </c>
      <c r="D56" s="84" t="str">
        <f ca="1">VLOOKUP($B56,OFFSET([2]quests!$A$1,0,0,COUNTA([2]quests!$A:$A),MATCH(D$1,[2]quests!$1:$1,0)-MATCH($B$1,[2]quests!$1:$1,0)+1),MATCH(D$1,[2]quests!$1:$1,0)-MATCH($B$1,[2]quests!$1:$1,0)+1,FALSE)</f>
        <v>火曜クエスト</v>
      </c>
      <c r="E56" s="88">
        <v>10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【超絶級】炎上のドードー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火曜クエスト</v>
      </c>
      <c r="H56" s="86">
        <v>0</v>
      </c>
      <c r="I56">
        <v>19</v>
      </c>
      <c r="J56" s="85" t="s">
        <v>193</v>
      </c>
      <c r="K56" s="94" t="str">
        <f>VLOOKUP(I56,[7]stage_hints!$A:$C,3,FALSE)</f>
        <v>ソロ専用チャレンジタワー</v>
      </c>
      <c r="L56" s="95" t="str">
        <f>VLOOKUP(I56,[7]stage_hints!$A:$D,4,FALSE)</f>
        <v>ソロ専用の「チャレンジタワー」では_x000D_各フロアごとにクリア報酬がもらえます</v>
      </c>
      <c r="M56" s="57" t="s">
        <v>206</v>
      </c>
    </row>
    <row r="57" spans="1:13" x14ac:dyDescent="0.15">
      <c r="A57" s="82" t="s">
        <v>196</v>
      </c>
      <c r="B57" s="83">
        <f>floors!$C$14</f>
        <v>11102</v>
      </c>
      <c r="C57" s="84" t="str">
        <f ca="1">VLOOKUP($B57,OFFSET([2]quests!$A$1,0,0,COUNTA([2]quests!$A:$A),MATCH(C$1,[2]quests!$1:$1,0)-MATCH($B$1,[2]quests!$1:$1,0)+1),MATCH(C$1,[2]quests!$1:$1,0)-MATCH($B$1,[2]quests!$1:$1,0)+1,FALSE)</f>
        <v>【期間限定】 赤の素材</v>
      </c>
      <c r="D57" s="84" t="str">
        <f ca="1">VLOOKUP($B57,OFFSET([2]quests!$A$1,0,0,COUNTA([2]quests!$A:$A),MATCH(D$1,[2]quests!$1:$1,0)-MATCH($B$1,[2]quests!$1:$1,0)+1),MATCH(D$1,[2]quests!$1:$1,0)-MATCH($B$1,[2]quests!$1:$1,0)+1,FALSE)</f>
        <v>火曜クエスト</v>
      </c>
      <c r="E57" s="88">
        <v>10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【超絶級】炎上のドードー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火曜クエスト</v>
      </c>
      <c r="H57" s="86">
        <v>0</v>
      </c>
      <c r="I57">
        <v>21</v>
      </c>
      <c r="J57" s="85" t="s">
        <v>193</v>
      </c>
      <c r="K57" s="94" t="str">
        <f>VLOOKUP(I57,[7]stage_hints!$A:$C,3,FALSE)</f>
        <v>スキルを有効に</v>
      </c>
      <c r="L57" s="95" t="str">
        <f>VLOOKUP(I57,[7]stage_hints!$A:$D,4,FALSE)</f>
        <v>ターン経過でユニットのスキルが使えます_x000D_強力スキルでバトルを有利に進めましょう</v>
      </c>
      <c r="M57" s="57" t="s">
        <v>206</v>
      </c>
    </row>
    <row r="58" spans="1:13" x14ac:dyDescent="0.15">
      <c r="A58" s="82" t="s">
        <v>196</v>
      </c>
      <c r="B58" s="83">
        <f>floors!$C$14</f>
        <v>11102</v>
      </c>
      <c r="C58" s="84" t="str">
        <f ca="1">VLOOKUP($B58,OFFSET([2]quests!$A$1,0,0,COUNTA([2]quests!$A:$A),MATCH(C$1,[2]quests!$1:$1,0)-MATCH($B$1,[2]quests!$1:$1,0)+1),MATCH(C$1,[2]quests!$1:$1,0)-MATCH($B$1,[2]quests!$1:$1,0)+1,FALSE)</f>
        <v>【期間限定】 赤の素材</v>
      </c>
      <c r="D58" s="84" t="str">
        <f ca="1">VLOOKUP($B58,OFFSET([2]quests!$A$1,0,0,COUNTA([2]quests!$A:$A),MATCH(D$1,[2]quests!$1:$1,0)-MATCH($B$1,[2]quests!$1:$1,0)+1),MATCH(D$1,[2]quests!$1:$1,0)-MATCH($B$1,[2]quests!$1:$1,0)+1,FALSE)</f>
        <v>火曜クエスト</v>
      </c>
      <c r="E58" s="88">
        <v>10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【超絶級】炎上のドードー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火曜クエスト</v>
      </c>
      <c r="H58" s="86">
        <v>0</v>
      </c>
      <c r="I58">
        <v>29</v>
      </c>
      <c r="J58" s="85" t="s">
        <v>193</v>
      </c>
      <c r="K58" s="94" t="str">
        <f>VLOOKUP(I58,[7]stage_hints!$A:$C,3,FALSE)</f>
        <v>「バグ」のメリット</v>
      </c>
      <c r="L58" s="95" t="str">
        <f>VLOOKUP(I58,[7]stage_hints!$A:$D,4,FALSE)</f>
        <v>ユニットの「バグ」を増やすと_x000D_報酬をもらえる確率がアップします</v>
      </c>
      <c r="M58" s="57" t="s">
        <v>206</v>
      </c>
    </row>
    <row r="59" spans="1:13" x14ac:dyDescent="0.15">
      <c r="A59" s="82" t="s">
        <v>196</v>
      </c>
      <c r="B59" s="83">
        <f>floors!$C$14</f>
        <v>11102</v>
      </c>
      <c r="C59" s="84" t="str">
        <f ca="1">VLOOKUP($B59,OFFSET([2]quests!$A$1,0,0,COUNTA([2]quests!$A:$A),MATCH(C$1,[2]quests!$1:$1,0)-MATCH($B$1,[2]quests!$1:$1,0)+1),MATCH(C$1,[2]quests!$1:$1,0)-MATCH($B$1,[2]quests!$1:$1,0)+1,FALSE)</f>
        <v>【期間限定】 赤の素材</v>
      </c>
      <c r="D59" s="84" t="str">
        <f ca="1">VLOOKUP($B59,OFFSET([2]quests!$A$1,0,0,COUNTA([2]quests!$A:$A),MATCH(D$1,[2]quests!$1:$1,0)-MATCH($B$1,[2]quests!$1:$1,0)+1),MATCH(D$1,[2]quests!$1:$1,0)-MATCH($B$1,[2]quests!$1:$1,0)+1,FALSE)</f>
        <v>火曜クエスト</v>
      </c>
      <c r="E59" s="88">
        <v>10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【超絶級】炎上のドードー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火曜クエスト</v>
      </c>
      <c r="H59" s="86">
        <v>0</v>
      </c>
      <c r="I59">
        <v>30</v>
      </c>
      <c r="J59" s="85" t="s">
        <v>193</v>
      </c>
      <c r="K59" s="94" t="str">
        <f>VLOOKUP(I59,[7]stage_hints!$A:$C,3,FALSE)</f>
        <v>「バグ」の増やし方</v>
      </c>
      <c r="L59" s="95" t="str">
        <f>VLOOKUP(I59,[7]stage_hints!$A:$D,4,FALSE)</f>
        <v>同じユニット同士を強化で合成すると_x000D_「バグ」を増やすことができます</v>
      </c>
      <c r="M59" s="57" t="s">
        <v>206</v>
      </c>
    </row>
    <row r="60" spans="1:13" x14ac:dyDescent="0.15">
      <c r="A60" s="82" t="s">
        <v>196</v>
      </c>
      <c r="B60" s="83">
        <f>floors!$C$14</f>
        <v>11102</v>
      </c>
      <c r="C60" s="84" t="str">
        <f ca="1">VLOOKUP($B60,OFFSET([2]quests!$A$1,0,0,COUNTA([2]quests!$A:$A),MATCH(C$1,[2]quests!$1:$1,0)-MATCH($B$1,[2]quests!$1:$1,0)+1),MATCH(C$1,[2]quests!$1:$1,0)-MATCH($B$1,[2]quests!$1:$1,0)+1,FALSE)</f>
        <v>【期間限定】 赤の素材</v>
      </c>
      <c r="D60" s="84" t="str">
        <f ca="1">VLOOKUP($B60,OFFSET([2]quests!$A$1,0,0,COUNTA([2]quests!$A:$A),MATCH(D$1,[2]quests!$1:$1,0)-MATCH($B$1,[2]quests!$1:$1,0)+1),MATCH(D$1,[2]quests!$1:$1,0)-MATCH($B$1,[2]quests!$1:$1,0)+1,FALSE)</f>
        <v>火曜クエスト</v>
      </c>
      <c r="E60" s="88">
        <v>10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【超絶級】炎上のドードー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火曜クエスト</v>
      </c>
      <c r="H60" s="86">
        <v>0</v>
      </c>
      <c r="I60">
        <v>32</v>
      </c>
      <c r="J60" s="85" t="s">
        <v>193</v>
      </c>
      <c r="K60" s="94" t="str">
        <f>VLOOKUP(I60,[7]stage_hints!$A:$C,3,FALSE)</f>
        <v>敵の連続攻撃には</v>
      </c>
      <c r="L60" s="95" t="str">
        <f>VLOOKUP(I60,[7]stage_hints!$A:$D,4,FALSE)</f>
        <v>カウンタースキルを持つユニットがいれば_x000D_ダメージ回数分の反撃ができます</v>
      </c>
      <c r="M60" s="57" t="s">
        <v>206</v>
      </c>
    </row>
    <row r="61" spans="1:13" x14ac:dyDescent="0.15">
      <c r="A61" s="82" t="s">
        <v>196</v>
      </c>
      <c r="B61" s="83">
        <f>floors!$C$14</f>
        <v>11102</v>
      </c>
      <c r="C61" s="84" t="str">
        <f ca="1">VLOOKUP($B61,OFFSET([2]quests!$A$1,0,0,COUNTA([2]quests!$A:$A),MATCH(C$1,[2]quests!$1:$1,0)-MATCH($B$1,[2]quests!$1:$1,0)+1),MATCH(C$1,[2]quests!$1:$1,0)-MATCH($B$1,[2]quests!$1:$1,0)+1,FALSE)</f>
        <v>【期間限定】 赤の素材</v>
      </c>
      <c r="D61" s="84" t="str">
        <f ca="1">VLOOKUP($B61,OFFSET([2]quests!$A$1,0,0,COUNTA([2]quests!$A:$A),MATCH(D$1,[2]quests!$1:$1,0)-MATCH($B$1,[2]quests!$1:$1,0)+1),MATCH(D$1,[2]quests!$1:$1,0)-MATCH($B$1,[2]quests!$1:$1,0)+1,FALSE)</f>
        <v>火曜クエスト</v>
      </c>
      <c r="E61" s="88">
        <v>10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【超絶級】炎上のドードー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火曜クエスト</v>
      </c>
      <c r="H61" s="86">
        <v>0</v>
      </c>
      <c r="I61">
        <v>33</v>
      </c>
      <c r="J61" s="85" t="s">
        <v>193</v>
      </c>
      <c r="K61" s="94" t="str">
        <f>VLOOKUP(I61,[7]stage_hints!$A:$C,3,FALSE)</f>
        <v>敵のカウンター攻撃には</v>
      </c>
      <c r="L61" s="95" t="str">
        <f>VLOOKUP(I61,[7]stage_hints!$A:$D,4,FALSE)</f>
        <v>カウンターブレイクスキルを持っていれば_x000D_敵のカウンターを解除して攻撃ができます</v>
      </c>
      <c r="M61" s="57" t="s">
        <v>206</v>
      </c>
    </row>
    <row r="62" spans="1:13" x14ac:dyDescent="0.15">
      <c r="A62" s="82" t="s">
        <v>196</v>
      </c>
      <c r="B62" s="83">
        <f>floors!$C$14</f>
        <v>11102</v>
      </c>
      <c r="C62" s="84" t="str">
        <f ca="1">VLOOKUP($B62,OFFSET([2]quests!$A$1,0,0,COUNTA([2]quests!$A:$A),MATCH(C$1,[2]quests!$1:$1,0)-MATCH($B$1,[2]quests!$1:$1,0)+1),MATCH(C$1,[2]quests!$1:$1,0)-MATCH($B$1,[2]quests!$1:$1,0)+1,FALSE)</f>
        <v>【期間限定】 赤の素材</v>
      </c>
      <c r="D62" s="84" t="str">
        <f ca="1">VLOOKUP($B62,OFFSET([2]quests!$A$1,0,0,COUNTA([2]quests!$A:$A),MATCH(D$1,[2]quests!$1:$1,0)-MATCH($B$1,[2]quests!$1:$1,0)+1),MATCH(D$1,[2]quests!$1:$1,0)-MATCH($B$1,[2]quests!$1:$1,0)+1,FALSE)</f>
        <v>火曜クエスト</v>
      </c>
      <c r="E62" s="88">
        <v>10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【超絶級】炎上のドードー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火曜クエスト</v>
      </c>
      <c r="H62" s="86">
        <v>0</v>
      </c>
      <c r="I62">
        <v>34</v>
      </c>
      <c r="J62" s="85" t="s">
        <v>193</v>
      </c>
      <c r="K62" s="94" t="str">
        <f>VLOOKUP(I62,[7]stage_hints!$A:$C,3,FALSE)</f>
        <v>ステータスをスキルで下げられたら</v>
      </c>
      <c r="L62" s="95" t="str">
        <f>VLOOKUP(I62,[7]stage_hints!$A:$D,4,FALSE)</f>
        <v>ステータスダウンのスキルを受けたら_x000D_ステータスアップスキルで上書きしましょう</v>
      </c>
      <c r="M62" s="57" t="s">
        <v>206</v>
      </c>
    </row>
    <row r="63" spans="1:13" x14ac:dyDescent="0.15">
      <c r="A63" s="82" t="s">
        <v>196</v>
      </c>
      <c r="B63" s="83">
        <f>floors!$C$14</f>
        <v>11102</v>
      </c>
      <c r="C63" s="84" t="str">
        <f ca="1">VLOOKUP($B63,OFFSET([2]quests!$A$1,0,0,COUNTA([2]quests!$A:$A),MATCH(C$1,[2]quests!$1:$1,0)-MATCH($B$1,[2]quests!$1:$1,0)+1),MATCH(C$1,[2]quests!$1:$1,0)-MATCH($B$1,[2]quests!$1:$1,0)+1,FALSE)</f>
        <v>【期間限定】 赤の素材</v>
      </c>
      <c r="D63" s="84" t="str">
        <f ca="1">VLOOKUP($B63,OFFSET([2]quests!$A$1,0,0,COUNTA([2]quests!$A:$A),MATCH(D$1,[2]quests!$1:$1,0)-MATCH($B$1,[2]quests!$1:$1,0)+1),MATCH(D$1,[2]quests!$1:$1,0)-MATCH($B$1,[2]quests!$1:$1,0)+1,FALSE)</f>
        <v>火曜クエスト</v>
      </c>
      <c r="E63" s="88">
        <v>10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【超絶級】炎上のドードー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火曜クエスト</v>
      </c>
      <c r="H63" s="86">
        <v>0</v>
      </c>
      <c r="I63">
        <v>35</v>
      </c>
      <c r="J63" s="85" t="s">
        <v>193</v>
      </c>
      <c r="K63" s="94" t="str">
        <f>VLOOKUP(I63,[7]stage_hints!$A:$C,3,FALSE)</f>
        <v>敵のステータスがスキルで上がったら</v>
      </c>
      <c r="L63" s="95" t="str">
        <f>VLOOKUP(I63,[7]stage_hints!$A:$D,4,FALSE)</f>
        <v>敵のステータスがスキルでアップしたときは_x000D_ステータスダウンスキルで上書きしましょう</v>
      </c>
      <c r="M63" s="57" t="s">
        <v>206</v>
      </c>
    </row>
    <row r="64" spans="1:13" x14ac:dyDescent="0.15">
      <c r="A64" s="82" t="s">
        <v>196</v>
      </c>
      <c r="B64" s="83">
        <f>floors!$C$14</f>
        <v>11102</v>
      </c>
      <c r="C64" s="84" t="str">
        <f ca="1">VLOOKUP($B64,OFFSET([2]quests!$A$1,0,0,COUNTA([2]quests!$A:$A),MATCH(C$1,[2]quests!$1:$1,0)-MATCH($B$1,[2]quests!$1:$1,0)+1),MATCH(C$1,[2]quests!$1:$1,0)-MATCH($B$1,[2]quests!$1:$1,0)+1,FALSE)</f>
        <v>【期間限定】 赤の素材</v>
      </c>
      <c r="D64" s="84" t="str">
        <f ca="1">VLOOKUP($B64,OFFSET([2]quests!$A$1,0,0,COUNTA([2]quests!$A:$A),MATCH(D$1,[2]quests!$1:$1,0)-MATCH($B$1,[2]quests!$1:$1,0)+1),MATCH(D$1,[2]quests!$1:$1,0)-MATCH($B$1,[2]quests!$1:$1,0)+1,FALSE)</f>
        <v>火曜クエスト</v>
      </c>
      <c r="E64" s="88">
        <v>10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【超絶級】炎上のドードー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火曜クエスト</v>
      </c>
      <c r="H64" s="86">
        <v>0</v>
      </c>
      <c r="I64">
        <v>36</v>
      </c>
      <c r="J64" s="85" t="s">
        <v>193</v>
      </c>
      <c r="K64" s="94" t="str">
        <f>VLOOKUP(I64,[7]stage_hints!$A:$C,3,FALSE)</f>
        <v>チャレンジタワーのボス</v>
      </c>
      <c r="L64" s="95" t="str">
        <f>VLOOKUP(I64,[7]stage_hints!$A:$D,4,FALSE)</f>
        <v>チャレンジタワーでのみ登場するボスは_x000D_一定確率で獲得することができます</v>
      </c>
      <c r="M64" s="57" t="s">
        <v>206</v>
      </c>
    </row>
    <row r="65" spans="1:13" x14ac:dyDescent="0.15">
      <c r="A65" s="82" t="s">
        <v>196</v>
      </c>
      <c r="B65" s="83">
        <f>floors!$C$14</f>
        <v>11102</v>
      </c>
      <c r="C65" s="84" t="str">
        <f ca="1">VLOOKUP($B65,OFFSET([2]quests!$A$1,0,0,COUNTA([2]quests!$A:$A),MATCH(C$1,[2]quests!$1:$1,0)-MATCH($B$1,[2]quests!$1:$1,0)+1),MATCH(C$1,[2]quests!$1:$1,0)-MATCH($B$1,[2]quests!$1:$1,0)+1,FALSE)</f>
        <v>【期間限定】 赤の素材</v>
      </c>
      <c r="D65" s="84" t="str">
        <f ca="1">VLOOKUP($B65,OFFSET([2]quests!$A$1,0,0,COUNTA([2]quests!$A:$A),MATCH(D$1,[2]quests!$1:$1,0)-MATCH($B$1,[2]quests!$1:$1,0)+1),MATCH(D$1,[2]quests!$1:$1,0)-MATCH($B$1,[2]quests!$1:$1,0)+1,FALSE)</f>
        <v>火曜クエスト</v>
      </c>
      <c r="E65" s="88">
        <v>10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【超絶級】炎上のドードー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火曜クエスト</v>
      </c>
      <c r="H65" s="86">
        <v>0</v>
      </c>
      <c r="I65">
        <v>37</v>
      </c>
      <c r="J65" s="85" t="s">
        <v>193</v>
      </c>
      <c r="K65" s="94" t="str">
        <f>VLOOKUP(I65,[7]stage_hints!$A:$C,3,FALSE)</f>
        <v>限界突破値の引き継ぎ</v>
      </c>
      <c r="L65" s="95" t="str">
        <f>VLOOKUP(I65,[7]stage_hints!$A:$D,4,FALSE)</f>
        <v>同じユニットを強化で合成すると_x000D_限界突破値を引き継げます（覚醒前後も可）</v>
      </c>
      <c r="M65" s="57" t="s">
        <v>206</v>
      </c>
    </row>
    <row r="66" spans="1:13" x14ac:dyDescent="0.15">
      <c r="A66" s="105" t="s">
        <v>196</v>
      </c>
      <c r="B66" s="83">
        <f>floors!$C$14</f>
        <v>11102</v>
      </c>
      <c r="C66" s="84" t="str">
        <f ca="1">VLOOKUP($B66,OFFSET([2]quests!$A$1,0,0,COUNTA([2]quests!$A:$A),MATCH(C$1,[2]quests!$1:$1,0)-MATCH($B$1,[2]quests!$1:$1,0)+1),MATCH(C$1,[2]quests!$1:$1,0)-MATCH($B$1,[2]quests!$1:$1,0)+1,FALSE)</f>
        <v>【期間限定】 赤の素材</v>
      </c>
      <c r="D66" s="84" t="str">
        <f ca="1">VLOOKUP($B66,OFFSET([2]quests!$A$1,0,0,COUNTA([2]quests!$A:$A),MATCH(D$1,[2]quests!$1:$1,0)-MATCH($B$1,[2]quests!$1:$1,0)+1),MATCH(D$1,[2]quests!$1:$1,0)-MATCH($B$1,[2]quests!$1:$1,0)+1,FALSE)</f>
        <v>火曜クエスト</v>
      </c>
      <c r="E66" s="88">
        <v>10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【超絶級】炎上のドードー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火曜クエスト</v>
      </c>
      <c r="H66" s="86">
        <v>0</v>
      </c>
      <c r="I66">
        <v>39</v>
      </c>
      <c r="J66" s="85" t="s">
        <v>193</v>
      </c>
      <c r="K66" s="94" t="str">
        <f>VLOOKUP(I66,[7]stage_hints!$A:$C,3,FALSE)</f>
        <v>システム適合者を確認</v>
      </c>
      <c r="L66" s="95" t="str">
        <f>VLOOKUP(I66,[7]stage_hints!$A:$D,4,FALSE)</f>
        <v>ALICEが 「アナタ」を呼んでいます</v>
      </c>
      <c r="M66" s="57" t="s">
        <v>206</v>
      </c>
    </row>
    <row r="67" spans="1:13" x14ac:dyDescent="0.15">
      <c r="A67" s="82" t="s">
        <v>196</v>
      </c>
      <c r="B67" s="83">
        <f>floors!$C$20</f>
        <v>11104</v>
      </c>
      <c r="C67" s="84" t="str">
        <f ca="1">VLOOKUP($B67,OFFSET([2]quests!$A$1,0,0,COUNTA([2]quests!$A:$A),MATCH(C$1,[2]quests!$1:$1,0)-MATCH($B$1,[2]quests!$1:$1,0)+1),MATCH(C$1,[2]quests!$1:$1,0)-MATCH($B$1,[2]quests!$1:$1,0)+1,FALSE)</f>
        <v>【期間限定】 緑の素材</v>
      </c>
      <c r="D67" s="84" t="str">
        <f ca="1">VLOOKUP($B67,OFFSET([2]quests!$A$1,0,0,COUNTA([2]quests!$A:$A),MATCH(D$1,[2]quests!$1:$1,0)-MATCH($B$1,[2]quests!$1:$1,0)+1),MATCH(D$1,[2]quests!$1:$1,0)-MATCH($B$1,[2]quests!$1:$1,0)+1,FALSE)</f>
        <v>木曜クエスト</v>
      </c>
      <c r="E67" s="88">
        <v>10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木曜クエスト</v>
      </c>
      <c r="H67" s="86">
        <v>0</v>
      </c>
      <c r="I67">
        <v>12</v>
      </c>
      <c r="J67" s="85" t="s">
        <v>193</v>
      </c>
      <c r="K67" s="94" t="str">
        <f>VLOOKUP(I67,[7]stage_hints!$A:$C,3,FALSE)</f>
        <v>ユニットのお気に入り登録</v>
      </c>
      <c r="L67" s="95" t="str">
        <f>VLOOKUP(I67,[7]stage_hints!$A:$D,4,FALSE)</f>
        <v>大事なユニットを誤って消さないように_x000D_フォルダから「お気に入り登録」しましょう</v>
      </c>
      <c r="M67" s="57" t="s">
        <v>206</v>
      </c>
    </row>
    <row r="68" spans="1:13" x14ac:dyDescent="0.15">
      <c r="A68" s="82" t="s">
        <v>196</v>
      </c>
      <c r="B68" s="83">
        <f>floors!$C$20</f>
        <v>11104</v>
      </c>
      <c r="C68" s="84" t="str">
        <f ca="1">VLOOKUP($B68,OFFSET([2]quests!$A$1,0,0,COUNTA([2]quests!$A:$A),MATCH(C$1,[2]quests!$1:$1,0)-MATCH($B$1,[2]quests!$1:$1,0)+1),MATCH(C$1,[2]quests!$1:$1,0)-MATCH($B$1,[2]quests!$1:$1,0)+1,FALSE)</f>
        <v>【期間限定】 緑の素材</v>
      </c>
      <c r="D68" s="84" t="str">
        <f ca="1">VLOOKUP($B68,OFFSET([2]quests!$A$1,0,0,COUNTA([2]quests!$A:$A),MATCH(D$1,[2]quests!$1:$1,0)-MATCH($B$1,[2]quests!$1:$1,0)+1),MATCH(D$1,[2]quests!$1:$1,0)-MATCH($B$1,[2]quests!$1:$1,0)+1,FALSE)</f>
        <v>木曜クエスト</v>
      </c>
      <c r="E68" s="88">
        <v>10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木曜クエスト</v>
      </c>
      <c r="H68" s="86">
        <v>0</v>
      </c>
      <c r="I68">
        <v>17</v>
      </c>
      <c r="J68" s="85" t="s">
        <v>193</v>
      </c>
      <c r="K68" s="94" t="str">
        <f>VLOOKUP(I68,[7]stage_hints!$A:$C,3,FALSE)</f>
        <v>リンクガチャ</v>
      </c>
      <c r="L68" s="95" t="str">
        <f>VLOOKUP(I68,[7]stage_hints!$A:$D,4,FALSE)</f>
        <v>無料のリンクガチャを回して_x000D_経験値素材や売却素材を獲得しましょう</v>
      </c>
      <c r="M68" s="57" t="s">
        <v>206</v>
      </c>
    </row>
    <row r="69" spans="1:13" x14ac:dyDescent="0.15">
      <c r="A69" s="82" t="s">
        <v>196</v>
      </c>
      <c r="B69" s="83">
        <f>floors!$C$20</f>
        <v>11104</v>
      </c>
      <c r="C69" s="84" t="str">
        <f ca="1">VLOOKUP($B69,OFFSET([2]quests!$A$1,0,0,COUNTA([2]quests!$A:$A),MATCH(C$1,[2]quests!$1:$1,0)-MATCH($B$1,[2]quests!$1:$1,0)+1),MATCH(C$1,[2]quests!$1:$1,0)-MATCH($B$1,[2]quests!$1:$1,0)+1,FALSE)</f>
        <v>【期間限定】 緑の素材</v>
      </c>
      <c r="D69" s="84" t="str">
        <f ca="1">VLOOKUP($B69,OFFSET([2]quests!$A$1,0,0,COUNTA([2]quests!$A:$A),MATCH(D$1,[2]quests!$1:$1,0)-MATCH($B$1,[2]quests!$1:$1,0)+1),MATCH(D$1,[2]quests!$1:$1,0)-MATCH($B$1,[2]quests!$1:$1,0)+1,FALSE)</f>
        <v>木曜クエスト</v>
      </c>
      <c r="E69" s="88">
        <v>10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木曜クエスト</v>
      </c>
      <c r="H69" s="86">
        <v>0</v>
      </c>
      <c r="I69">
        <v>19</v>
      </c>
      <c r="J69" s="85" t="s">
        <v>193</v>
      </c>
      <c r="K69" s="94" t="str">
        <f>VLOOKUP(I69,[7]stage_hints!$A:$C,3,FALSE)</f>
        <v>ソロ専用チャレンジタワー</v>
      </c>
      <c r="L69" s="95" t="str">
        <f>VLOOKUP(I69,[7]stage_hints!$A:$D,4,FALSE)</f>
        <v>ソロ専用の「チャレンジタワー」では_x000D_各フロアごとにクリア報酬がもらえます</v>
      </c>
      <c r="M69" s="57" t="s">
        <v>206</v>
      </c>
    </row>
    <row r="70" spans="1:13" x14ac:dyDescent="0.15">
      <c r="A70" s="82" t="s">
        <v>196</v>
      </c>
      <c r="B70" s="83">
        <f>floors!$C$20</f>
        <v>11104</v>
      </c>
      <c r="C70" s="84" t="str">
        <f ca="1">VLOOKUP($B70,OFFSET([2]quests!$A$1,0,0,COUNTA([2]quests!$A:$A),MATCH(C$1,[2]quests!$1:$1,0)-MATCH($B$1,[2]quests!$1:$1,0)+1),MATCH(C$1,[2]quests!$1:$1,0)-MATCH($B$1,[2]quests!$1:$1,0)+1,FALSE)</f>
        <v>【期間限定】 緑の素材</v>
      </c>
      <c r="D70" s="84" t="str">
        <f ca="1">VLOOKUP($B70,OFFSET([2]quests!$A$1,0,0,COUNTA([2]quests!$A:$A),MATCH(D$1,[2]quests!$1:$1,0)-MATCH($B$1,[2]quests!$1:$1,0)+1),MATCH(D$1,[2]quests!$1:$1,0)-MATCH($B$1,[2]quests!$1:$1,0)+1,FALSE)</f>
        <v>木曜クエスト</v>
      </c>
      <c r="E70" s="88">
        <v>10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木曜クエスト</v>
      </c>
      <c r="H70" s="86">
        <v>0</v>
      </c>
      <c r="I70">
        <v>21</v>
      </c>
      <c r="J70" s="85" t="s">
        <v>193</v>
      </c>
      <c r="K70" s="94" t="str">
        <f>VLOOKUP(I70,[7]stage_hints!$A:$C,3,FALSE)</f>
        <v>スキルを有効に</v>
      </c>
      <c r="L70" s="95" t="str">
        <f>VLOOKUP(I70,[7]stage_hints!$A:$D,4,FALSE)</f>
        <v>ターン経過でユニットのスキルが使えます_x000D_強力スキルでバトルを有利に進めましょう</v>
      </c>
      <c r="M70" s="57" t="s">
        <v>206</v>
      </c>
    </row>
    <row r="71" spans="1:13" x14ac:dyDescent="0.15">
      <c r="A71" s="82" t="s">
        <v>196</v>
      </c>
      <c r="B71" s="83">
        <f>floors!$C$20</f>
        <v>11104</v>
      </c>
      <c r="C71" s="84" t="str">
        <f ca="1">VLOOKUP($B71,OFFSET([2]quests!$A$1,0,0,COUNTA([2]quests!$A:$A),MATCH(C$1,[2]quests!$1:$1,0)-MATCH($B$1,[2]quests!$1:$1,0)+1),MATCH(C$1,[2]quests!$1:$1,0)-MATCH($B$1,[2]quests!$1:$1,0)+1,FALSE)</f>
        <v>【期間限定】 緑の素材</v>
      </c>
      <c r="D71" s="84" t="str">
        <f ca="1">VLOOKUP($B71,OFFSET([2]quests!$A$1,0,0,COUNTA([2]quests!$A:$A),MATCH(D$1,[2]quests!$1:$1,0)-MATCH($B$1,[2]quests!$1:$1,0)+1),MATCH(D$1,[2]quests!$1:$1,0)-MATCH($B$1,[2]quests!$1:$1,0)+1,FALSE)</f>
        <v>木曜クエスト</v>
      </c>
      <c r="E71" s="88">
        <v>10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木曜クエスト</v>
      </c>
      <c r="H71" s="86">
        <v>0</v>
      </c>
      <c r="I71">
        <v>29</v>
      </c>
      <c r="J71" s="85" t="s">
        <v>193</v>
      </c>
      <c r="K71" s="94" t="str">
        <f>VLOOKUP(I71,[7]stage_hints!$A:$C,3,FALSE)</f>
        <v>「バグ」のメリット</v>
      </c>
      <c r="L71" s="95" t="str">
        <f>VLOOKUP(I71,[7]stage_hints!$A:$D,4,FALSE)</f>
        <v>ユニットの「バグ」を増やすと_x000D_報酬をもらえる確率がアップします</v>
      </c>
      <c r="M71" s="57" t="s">
        <v>206</v>
      </c>
    </row>
    <row r="72" spans="1:13" x14ac:dyDescent="0.15">
      <c r="A72" s="82" t="s">
        <v>196</v>
      </c>
      <c r="B72" s="83">
        <f>floors!$C$20</f>
        <v>11104</v>
      </c>
      <c r="C72" s="84" t="str">
        <f ca="1">VLOOKUP($B72,OFFSET([2]quests!$A$1,0,0,COUNTA([2]quests!$A:$A),MATCH(C$1,[2]quests!$1:$1,0)-MATCH($B$1,[2]quests!$1:$1,0)+1),MATCH(C$1,[2]quests!$1:$1,0)-MATCH($B$1,[2]quests!$1:$1,0)+1,FALSE)</f>
        <v>【期間限定】 緑の素材</v>
      </c>
      <c r="D72" s="84" t="str">
        <f ca="1">VLOOKUP($B72,OFFSET([2]quests!$A$1,0,0,COUNTA([2]quests!$A:$A),MATCH(D$1,[2]quests!$1:$1,0)-MATCH($B$1,[2]quests!$1:$1,0)+1),MATCH(D$1,[2]quests!$1:$1,0)-MATCH($B$1,[2]quests!$1:$1,0)+1,FALSE)</f>
        <v>木曜クエスト</v>
      </c>
      <c r="E72" s="88">
        <v>10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木曜クエスト</v>
      </c>
      <c r="H72" s="86">
        <v>0</v>
      </c>
      <c r="I72">
        <v>30</v>
      </c>
      <c r="J72" s="85" t="s">
        <v>193</v>
      </c>
      <c r="K72" s="94" t="str">
        <f>VLOOKUP(I72,[7]stage_hints!$A:$C,3,FALSE)</f>
        <v>「バグ」の増やし方</v>
      </c>
      <c r="L72" s="95" t="str">
        <f>VLOOKUP(I72,[7]stage_hints!$A:$D,4,FALSE)</f>
        <v>同じユニット同士を強化で合成すると_x000D_「バグ」を増やすことができます</v>
      </c>
      <c r="M72" s="57" t="s">
        <v>206</v>
      </c>
    </row>
    <row r="73" spans="1:13" x14ac:dyDescent="0.15">
      <c r="A73" s="82" t="s">
        <v>196</v>
      </c>
      <c r="B73" s="83">
        <f>floors!$C$20</f>
        <v>11104</v>
      </c>
      <c r="C73" s="84" t="str">
        <f ca="1">VLOOKUP($B73,OFFSET([2]quests!$A$1,0,0,COUNTA([2]quests!$A:$A),MATCH(C$1,[2]quests!$1:$1,0)-MATCH($B$1,[2]quests!$1:$1,0)+1),MATCH(C$1,[2]quests!$1:$1,0)-MATCH($B$1,[2]quests!$1:$1,0)+1,FALSE)</f>
        <v>【期間限定】 緑の素材</v>
      </c>
      <c r="D73" s="84" t="str">
        <f ca="1">VLOOKUP($B73,OFFSET([2]quests!$A$1,0,0,COUNTA([2]quests!$A:$A),MATCH(D$1,[2]quests!$1:$1,0)-MATCH($B$1,[2]quests!$1:$1,0)+1),MATCH(D$1,[2]quests!$1:$1,0)-MATCH($B$1,[2]quests!$1:$1,0)+1,FALSE)</f>
        <v>木曜クエスト</v>
      </c>
      <c r="E73" s="88">
        <v>10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木曜クエスト</v>
      </c>
      <c r="H73" s="86">
        <v>0</v>
      </c>
      <c r="I73">
        <v>32</v>
      </c>
      <c r="J73" s="85" t="s">
        <v>193</v>
      </c>
      <c r="K73" s="94" t="str">
        <f>VLOOKUP(I73,[7]stage_hints!$A:$C,3,FALSE)</f>
        <v>敵の連続攻撃には</v>
      </c>
      <c r="L73" s="95" t="str">
        <f>VLOOKUP(I73,[7]stage_hints!$A:$D,4,FALSE)</f>
        <v>カウンタースキルを持つユニットがいれば_x000D_ダメージ回数分の反撃ができます</v>
      </c>
      <c r="M73" s="57" t="s">
        <v>206</v>
      </c>
    </row>
    <row r="74" spans="1:13" x14ac:dyDescent="0.15">
      <c r="A74" s="82" t="s">
        <v>196</v>
      </c>
      <c r="B74" s="83">
        <f>floors!$C$20</f>
        <v>11104</v>
      </c>
      <c r="C74" s="84" t="str">
        <f ca="1">VLOOKUP($B74,OFFSET([2]quests!$A$1,0,0,COUNTA([2]quests!$A:$A),MATCH(C$1,[2]quests!$1:$1,0)-MATCH($B$1,[2]quests!$1:$1,0)+1),MATCH(C$1,[2]quests!$1:$1,0)-MATCH($B$1,[2]quests!$1:$1,0)+1,FALSE)</f>
        <v>【期間限定】 緑の素材</v>
      </c>
      <c r="D74" s="84" t="str">
        <f ca="1">VLOOKUP($B74,OFFSET([2]quests!$A$1,0,0,COUNTA([2]quests!$A:$A),MATCH(D$1,[2]quests!$1:$1,0)-MATCH($B$1,[2]quests!$1:$1,0)+1),MATCH(D$1,[2]quests!$1:$1,0)-MATCH($B$1,[2]quests!$1:$1,0)+1,FALSE)</f>
        <v>木曜クエスト</v>
      </c>
      <c r="E74" s="88">
        <v>10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木曜クエスト</v>
      </c>
      <c r="H74" s="86">
        <v>0</v>
      </c>
      <c r="I74">
        <v>33</v>
      </c>
      <c r="J74" s="85" t="s">
        <v>193</v>
      </c>
      <c r="K74" s="94" t="str">
        <f>VLOOKUP(I74,[7]stage_hints!$A:$C,3,FALSE)</f>
        <v>敵のカウンター攻撃には</v>
      </c>
      <c r="L74" s="95" t="str">
        <f>VLOOKUP(I74,[7]stage_hints!$A:$D,4,FALSE)</f>
        <v>カウンターブレイクスキルを持っていれば_x000D_敵のカウンターを解除して攻撃ができます</v>
      </c>
      <c r="M74" s="57" t="s">
        <v>206</v>
      </c>
    </row>
    <row r="75" spans="1:13" x14ac:dyDescent="0.15">
      <c r="A75" s="82" t="s">
        <v>196</v>
      </c>
      <c r="B75" s="83">
        <f>floors!$C$20</f>
        <v>11104</v>
      </c>
      <c r="C75" s="84" t="str">
        <f ca="1">VLOOKUP($B75,OFFSET([2]quests!$A$1,0,0,COUNTA([2]quests!$A:$A),MATCH(C$1,[2]quests!$1:$1,0)-MATCH($B$1,[2]quests!$1:$1,0)+1),MATCH(C$1,[2]quests!$1:$1,0)-MATCH($B$1,[2]quests!$1:$1,0)+1,FALSE)</f>
        <v>【期間限定】 緑の素材</v>
      </c>
      <c r="D75" s="84" t="str">
        <f ca="1">VLOOKUP($B75,OFFSET([2]quests!$A$1,0,0,COUNTA([2]quests!$A:$A),MATCH(D$1,[2]quests!$1:$1,0)-MATCH($B$1,[2]quests!$1:$1,0)+1),MATCH(D$1,[2]quests!$1:$1,0)-MATCH($B$1,[2]quests!$1:$1,0)+1,FALSE)</f>
        <v>木曜クエスト</v>
      </c>
      <c r="E75" s="88">
        <v>10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木曜クエスト</v>
      </c>
      <c r="H75" s="86">
        <v>0</v>
      </c>
      <c r="I75">
        <v>34</v>
      </c>
      <c r="J75" s="85" t="s">
        <v>193</v>
      </c>
      <c r="K75" s="94" t="str">
        <f>VLOOKUP(I75,[7]stage_hints!$A:$C,3,FALSE)</f>
        <v>ステータスをスキルで下げられたら</v>
      </c>
      <c r="L75" s="95" t="str">
        <f>VLOOKUP(I75,[7]stage_hints!$A:$D,4,FALSE)</f>
        <v>ステータスダウンのスキルを受けたら_x000D_ステータスアップスキルで上書きしましょう</v>
      </c>
      <c r="M75" s="57" t="s">
        <v>206</v>
      </c>
    </row>
    <row r="76" spans="1:13" x14ac:dyDescent="0.15">
      <c r="A76" s="82" t="s">
        <v>196</v>
      </c>
      <c r="B76" s="83">
        <f>floors!$C$20</f>
        <v>11104</v>
      </c>
      <c r="C76" s="84" t="str">
        <f ca="1">VLOOKUP($B76,OFFSET([2]quests!$A$1,0,0,COUNTA([2]quests!$A:$A),MATCH(C$1,[2]quests!$1:$1,0)-MATCH($B$1,[2]quests!$1:$1,0)+1),MATCH(C$1,[2]quests!$1:$1,0)-MATCH($B$1,[2]quests!$1:$1,0)+1,FALSE)</f>
        <v>【期間限定】 緑の素材</v>
      </c>
      <c r="D76" s="84" t="str">
        <f ca="1">VLOOKUP($B76,OFFSET([2]quests!$A$1,0,0,COUNTA([2]quests!$A:$A),MATCH(D$1,[2]quests!$1:$1,0)-MATCH($B$1,[2]quests!$1:$1,0)+1),MATCH(D$1,[2]quests!$1:$1,0)-MATCH($B$1,[2]quests!$1:$1,0)+1,FALSE)</f>
        <v>木曜クエスト</v>
      </c>
      <c r="E76" s="88">
        <v>10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木曜クエスト</v>
      </c>
      <c r="H76" s="86">
        <v>0</v>
      </c>
      <c r="I76">
        <v>35</v>
      </c>
      <c r="J76" s="85" t="s">
        <v>193</v>
      </c>
      <c r="K76" s="94" t="str">
        <f>VLOOKUP(I76,[7]stage_hints!$A:$C,3,FALSE)</f>
        <v>敵のステータスがスキルで上がったら</v>
      </c>
      <c r="L76" s="95" t="str">
        <f>VLOOKUP(I76,[7]stage_hints!$A:$D,4,FALSE)</f>
        <v>敵のステータスがスキルでアップしたときは_x000D_ステータスダウンスキルで上書きしましょう</v>
      </c>
      <c r="M76" s="57" t="s">
        <v>206</v>
      </c>
    </row>
    <row r="77" spans="1:13" x14ac:dyDescent="0.15">
      <c r="A77" s="82" t="s">
        <v>196</v>
      </c>
      <c r="B77" s="83">
        <f>floors!$C$20</f>
        <v>11104</v>
      </c>
      <c r="C77" s="84" t="str">
        <f ca="1">VLOOKUP($B77,OFFSET([2]quests!$A$1,0,0,COUNTA([2]quests!$A:$A),MATCH(C$1,[2]quests!$1:$1,0)-MATCH($B$1,[2]quests!$1:$1,0)+1),MATCH(C$1,[2]quests!$1:$1,0)-MATCH($B$1,[2]quests!$1:$1,0)+1,FALSE)</f>
        <v>【期間限定】 緑の素材</v>
      </c>
      <c r="D77" s="84" t="str">
        <f ca="1">VLOOKUP($B77,OFFSET([2]quests!$A$1,0,0,COUNTA([2]quests!$A:$A),MATCH(D$1,[2]quests!$1:$1,0)-MATCH($B$1,[2]quests!$1:$1,0)+1),MATCH(D$1,[2]quests!$1:$1,0)-MATCH($B$1,[2]quests!$1:$1,0)+1,FALSE)</f>
        <v>木曜クエスト</v>
      </c>
      <c r="E77" s="88">
        <v>10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木曜クエスト</v>
      </c>
      <c r="H77" s="86">
        <v>0</v>
      </c>
      <c r="I77">
        <v>36</v>
      </c>
      <c r="J77" s="85" t="s">
        <v>193</v>
      </c>
      <c r="K77" s="94" t="str">
        <f>VLOOKUP(I77,[7]stage_hints!$A:$C,3,FALSE)</f>
        <v>チャレンジタワーのボス</v>
      </c>
      <c r="L77" s="95" t="str">
        <f>VLOOKUP(I77,[7]stage_hints!$A:$D,4,FALSE)</f>
        <v>チャレンジタワーでのみ登場するボスは_x000D_一定確率で獲得することができます</v>
      </c>
      <c r="M77" s="57" t="s">
        <v>206</v>
      </c>
    </row>
    <row r="78" spans="1:13" x14ac:dyDescent="0.15">
      <c r="A78" s="82" t="s">
        <v>196</v>
      </c>
      <c r="B78" s="83">
        <f>floors!$C$20</f>
        <v>11104</v>
      </c>
      <c r="C78" s="84" t="str">
        <f ca="1">VLOOKUP($B78,OFFSET([2]quests!$A$1,0,0,COUNTA([2]quests!$A:$A),MATCH(C$1,[2]quests!$1:$1,0)-MATCH($B$1,[2]quests!$1:$1,0)+1),MATCH(C$1,[2]quests!$1:$1,0)-MATCH($B$1,[2]quests!$1:$1,0)+1,FALSE)</f>
        <v>【期間限定】 緑の素材</v>
      </c>
      <c r="D78" s="84" t="str">
        <f ca="1">VLOOKUP($B78,OFFSET([2]quests!$A$1,0,0,COUNTA([2]quests!$A:$A),MATCH(D$1,[2]quests!$1:$1,0)-MATCH($B$1,[2]quests!$1:$1,0)+1),MATCH(D$1,[2]quests!$1:$1,0)-MATCH($B$1,[2]quests!$1:$1,0)+1,FALSE)</f>
        <v>木曜クエスト</v>
      </c>
      <c r="E78" s="88">
        <v>10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木曜クエスト</v>
      </c>
      <c r="H78" s="86">
        <v>0</v>
      </c>
      <c r="I78">
        <v>37</v>
      </c>
      <c r="J78" s="85" t="s">
        <v>193</v>
      </c>
      <c r="K78" s="94" t="str">
        <f>VLOOKUP(I78,[7]stage_hints!$A:$C,3,FALSE)</f>
        <v>限界突破値の引き継ぎ</v>
      </c>
      <c r="L78" s="95" t="str">
        <f>VLOOKUP(I78,[7]stage_hints!$A:$D,4,FALSE)</f>
        <v>同じユニットを強化で合成すると_x000D_限界突破値を引き継げます（覚醒前後も可）</v>
      </c>
      <c r="M78" s="57" t="s">
        <v>206</v>
      </c>
    </row>
    <row r="79" spans="1:13" x14ac:dyDescent="0.15">
      <c r="A79" s="105" t="s">
        <v>196</v>
      </c>
      <c r="B79" s="83">
        <f>floors!$C$20</f>
        <v>11104</v>
      </c>
      <c r="C79" s="84" t="str">
        <f ca="1">VLOOKUP($B79,OFFSET([2]quests!$A$1,0,0,COUNTA([2]quests!$A:$A),MATCH(C$1,[2]quests!$1:$1,0)-MATCH($B$1,[2]quests!$1:$1,0)+1),MATCH(C$1,[2]quests!$1:$1,0)-MATCH($B$1,[2]quests!$1:$1,0)+1,FALSE)</f>
        <v>【期間限定】 緑の素材</v>
      </c>
      <c r="D79" s="84" t="str">
        <f ca="1">VLOOKUP($B79,OFFSET([2]quests!$A$1,0,0,COUNTA([2]quests!$A:$A),MATCH(D$1,[2]quests!$1:$1,0)-MATCH($B$1,[2]quests!$1:$1,0)+1),MATCH(D$1,[2]quests!$1:$1,0)-MATCH($B$1,[2]quests!$1:$1,0)+1,FALSE)</f>
        <v>木曜クエスト</v>
      </c>
      <c r="E79" s="88">
        <v>10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木曜クエスト</v>
      </c>
      <c r="H79" s="86">
        <v>0</v>
      </c>
      <c r="I79">
        <v>39</v>
      </c>
      <c r="J79" s="85" t="s">
        <v>193</v>
      </c>
      <c r="K79" s="94" t="str">
        <f>VLOOKUP(I79,[7]stage_hints!$A:$C,3,FALSE)</f>
        <v>システム適合者を確認</v>
      </c>
      <c r="L79" s="95" t="str">
        <f>VLOOKUP(I79,[7]stage_hints!$A:$D,4,FALSE)</f>
        <v>ALICEが 「アナタ」を呼んでいます</v>
      </c>
      <c r="M79" s="57" t="s">
        <v>206</v>
      </c>
    </row>
    <row r="80" spans="1:13" x14ac:dyDescent="0.15">
      <c r="A80" s="82" t="s">
        <v>196</v>
      </c>
      <c r="B80" s="83">
        <f>floors!$C$26</f>
        <v>11001</v>
      </c>
      <c r="C80" s="84" t="str">
        <f ca="1">VLOOKUP($B80,OFFSET([2]quests!$A$1,0,0,COUNTA([2]quests!$A:$A),MATCH(C$1,[2]quests!$1:$1,0)-MATCH($B$1,[2]quests!$1:$1,0)+1),MATCH(C$1,[2]quests!$1:$1,0)-MATCH($B$1,[2]quests!$1:$1,0)+1,FALSE)</f>
        <v>【月曜限定】 黄の素材</v>
      </c>
      <c r="D80" s="84" t="str">
        <f ca="1">VLOOKUP($B80,OFFSET([2]quests!$A$1,0,0,COUNTA([2]quests!$A:$A),MATCH(D$1,[2]quests!$1:$1,0)-MATCH($B$1,[2]quests!$1:$1,0)+1),MATCH(D$1,[2]quests!$1:$1,0)-MATCH($B$1,[2]quests!$1:$1,0)+1,FALSE)</f>
        <v>月曜クエスト</v>
      </c>
      <c r="E80" s="88">
        <v>10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月曜クエスト</v>
      </c>
      <c r="H80" s="86">
        <v>0</v>
      </c>
      <c r="I80">
        <v>12</v>
      </c>
      <c r="J80" s="85" t="s">
        <v>193</v>
      </c>
      <c r="K80" s="94" t="str">
        <f>VLOOKUP(I80,[7]stage_hints!$A:$C,3,FALSE)</f>
        <v>ユニットのお気に入り登録</v>
      </c>
      <c r="L80" s="95" t="str">
        <f>VLOOKUP(I80,[7]stage_hints!$A:$D,4,FALSE)</f>
        <v>大事なユニットを誤って消さないように_x000D_フォルダから「お気に入り登録」しましょう</v>
      </c>
      <c r="M80" s="57" t="s">
        <v>195</v>
      </c>
    </row>
    <row r="81" spans="1:13" x14ac:dyDescent="0.15">
      <c r="A81" s="82" t="s">
        <v>196</v>
      </c>
      <c r="B81" s="83">
        <f>floors!$C$26</f>
        <v>11001</v>
      </c>
      <c r="C81" s="84" t="str">
        <f ca="1">VLOOKUP($B81,OFFSET([2]quests!$A$1,0,0,COUNTA([2]quests!$A:$A),MATCH(C$1,[2]quests!$1:$1,0)-MATCH($B$1,[2]quests!$1:$1,0)+1),MATCH(C$1,[2]quests!$1:$1,0)-MATCH($B$1,[2]quests!$1:$1,0)+1,FALSE)</f>
        <v>【月曜限定】 黄の素材</v>
      </c>
      <c r="D81" s="84" t="str">
        <f ca="1">VLOOKUP($B81,OFFSET([2]quests!$A$1,0,0,COUNTA([2]quests!$A:$A),MATCH(D$1,[2]quests!$1:$1,0)-MATCH($B$1,[2]quests!$1:$1,0)+1),MATCH(D$1,[2]quests!$1:$1,0)-MATCH($B$1,[2]quests!$1:$1,0)+1,FALSE)</f>
        <v>月曜クエスト</v>
      </c>
      <c r="E81" s="88">
        <v>10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月曜クエスト</v>
      </c>
      <c r="H81" s="86">
        <v>0</v>
      </c>
      <c r="I81">
        <v>17</v>
      </c>
      <c r="J81" s="85" t="s">
        <v>193</v>
      </c>
      <c r="K81" s="94" t="str">
        <f>VLOOKUP(I81,[7]stage_hints!$A:$C,3,FALSE)</f>
        <v>リンクガチャ</v>
      </c>
      <c r="L81" s="95" t="str">
        <f>VLOOKUP(I81,[7]stage_hints!$A:$D,4,FALSE)</f>
        <v>無料のリンクガチャを回して_x000D_経験値素材や売却素材を獲得しましょう</v>
      </c>
      <c r="M81" s="57" t="s">
        <v>195</v>
      </c>
    </row>
    <row r="82" spans="1:13" x14ac:dyDescent="0.15">
      <c r="A82" s="82" t="s">
        <v>196</v>
      </c>
      <c r="B82" s="83">
        <f>floors!$C$26</f>
        <v>11001</v>
      </c>
      <c r="C82" s="84" t="str">
        <f ca="1">VLOOKUP($B82,OFFSET([2]quests!$A$1,0,0,COUNTA([2]quests!$A:$A),MATCH(C$1,[2]quests!$1:$1,0)-MATCH($B$1,[2]quests!$1:$1,0)+1),MATCH(C$1,[2]quests!$1:$1,0)-MATCH($B$1,[2]quests!$1:$1,0)+1,FALSE)</f>
        <v>【月曜限定】 黄の素材</v>
      </c>
      <c r="D82" s="84" t="str">
        <f ca="1">VLOOKUP($B82,OFFSET([2]quests!$A$1,0,0,COUNTA([2]quests!$A:$A),MATCH(D$1,[2]quests!$1:$1,0)-MATCH($B$1,[2]quests!$1:$1,0)+1),MATCH(D$1,[2]quests!$1:$1,0)-MATCH($B$1,[2]quests!$1:$1,0)+1,FALSE)</f>
        <v>月曜クエスト</v>
      </c>
      <c r="E82" s="88">
        <v>10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月曜クエスト</v>
      </c>
      <c r="H82" s="86">
        <v>0</v>
      </c>
      <c r="I82">
        <v>19</v>
      </c>
      <c r="J82" s="85" t="s">
        <v>193</v>
      </c>
      <c r="K82" s="94" t="str">
        <f>VLOOKUP(I82,[7]stage_hints!$A:$C,3,FALSE)</f>
        <v>ソロ専用チャレンジタワー</v>
      </c>
      <c r="L82" s="95" t="str">
        <f>VLOOKUP(I82,[7]stage_hints!$A:$D,4,FALSE)</f>
        <v>ソロ専用の「チャレンジタワー」では_x000D_各フロアごとにクリア報酬がもらえます</v>
      </c>
      <c r="M82" s="57" t="s">
        <v>195</v>
      </c>
    </row>
    <row r="83" spans="1:13" x14ac:dyDescent="0.15">
      <c r="A83" s="82" t="s">
        <v>196</v>
      </c>
      <c r="B83" s="83">
        <f>floors!$C$26</f>
        <v>11001</v>
      </c>
      <c r="C83" s="84" t="str">
        <f ca="1">VLOOKUP($B83,OFFSET([2]quests!$A$1,0,0,COUNTA([2]quests!$A:$A),MATCH(C$1,[2]quests!$1:$1,0)-MATCH($B$1,[2]quests!$1:$1,0)+1),MATCH(C$1,[2]quests!$1:$1,0)-MATCH($B$1,[2]quests!$1:$1,0)+1,FALSE)</f>
        <v>【月曜限定】 黄の素材</v>
      </c>
      <c r="D83" s="84" t="str">
        <f ca="1">VLOOKUP($B83,OFFSET([2]quests!$A$1,0,0,COUNTA([2]quests!$A:$A),MATCH(D$1,[2]quests!$1:$1,0)-MATCH($B$1,[2]quests!$1:$1,0)+1),MATCH(D$1,[2]quests!$1:$1,0)-MATCH($B$1,[2]quests!$1:$1,0)+1,FALSE)</f>
        <v>月曜クエスト</v>
      </c>
      <c r="E83" s="88">
        <v>10</v>
      </c>
      <c r="F83" s="84" t="str">
        <f ca="1">VLOOKUP($B83&amp;"_"&amp;$E83,OFFSET([2]stages!$A$1,0,0,COUNTA([2]stages!$A:$A),MATCH(F$1,[2]stages!$2:$2,0)-MATCH("temp_stage",[2]stages!$2:$2,0)+1),MATCH(F$1,[2]stages!$2:$2,0)-MATCH("temp_stage",[2]stages!$2:$2,0)+1,FALSE)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3" s="84" t="str">
        <f ca="1">VLOOKUP($B83&amp;"_"&amp;$E83,OFFSET([2]stages!$A$1,0,0,COUNTA([2]stages!$A:$A),MATCH(G$1,[2]stages!$2:$2,0)-MATCH("temp_stage",[2]stages!$2:$2,0)+1),MATCH(G$1,[2]stages!$2:$2,0)-MATCH("temp_stage",[2]stages!$2:$2,0)+1,FALSE)</f>
        <v>月曜クエスト</v>
      </c>
      <c r="H83" s="86">
        <v>0</v>
      </c>
      <c r="I83">
        <v>21</v>
      </c>
      <c r="J83" s="85" t="s">
        <v>193</v>
      </c>
      <c r="K83" s="94" t="str">
        <f>VLOOKUP(I83,[7]stage_hints!$A:$C,3,FALSE)</f>
        <v>スキルを有効に</v>
      </c>
      <c r="L83" s="95" t="str">
        <f>VLOOKUP(I83,[7]stage_hints!$A:$D,4,FALSE)</f>
        <v>ターン経過でユニットのスキルが使えます_x000D_強力スキルでバトルを有利に進めましょう</v>
      </c>
      <c r="M83" s="57" t="s">
        <v>195</v>
      </c>
    </row>
    <row r="84" spans="1:13" x14ac:dyDescent="0.15">
      <c r="A84" s="82" t="s">
        <v>196</v>
      </c>
      <c r="B84" s="83">
        <f>floors!$C$26</f>
        <v>11001</v>
      </c>
      <c r="C84" s="84" t="str">
        <f ca="1">VLOOKUP($B84,OFFSET([2]quests!$A$1,0,0,COUNTA([2]quests!$A:$A),MATCH(C$1,[2]quests!$1:$1,0)-MATCH($B$1,[2]quests!$1:$1,0)+1),MATCH(C$1,[2]quests!$1:$1,0)-MATCH($B$1,[2]quests!$1:$1,0)+1,FALSE)</f>
        <v>【月曜限定】 黄の素材</v>
      </c>
      <c r="D84" s="84" t="str">
        <f ca="1">VLOOKUP($B84,OFFSET([2]quests!$A$1,0,0,COUNTA([2]quests!$A:$A),MATCH(D$1,[2]quests!$1:$1,0)-MATCH($B$1,[2]quests!$1:$1,0)+1),MATCH(D$1,[2]quests!$1:$1,0)-MATCH($B$1,[2]quests!$1:$1,0)+1,FALSE)</f>
        <v>月曜クエスト</v>
      </c>
      <c r="E84" s="88">
        <v>10</v>
      </c>
      <c r="F84" s="84" t="str">
        <f ca="1">VLOOKUP($B84&amp;"_"&amp;$E84,OFFSET([2]stages!$A$1,0,0,COUNTA([2]stages!$A:$A),MATCH(F$1,[2]stages!$2:$2,0)-MATCH("temp_stage",[2]stages!$2:$2,0)+1),MATCH(F$1,[2]stages!$2:$2,0)-MATCH("temp_stage",[2]stages!$2:$2,0)+1,FALSE)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4" s="84" t="str">
        <f ca="1">VLOOKUP($B84&amp;"_"&amp;$E84,OFFSET([2]stages!$A$1,0,0,COUNTA([2]stages!$A:$A),MATCH(G$1,[2]stages!$2:$2,0)-MATCH("temp_stage",[2]stages!$2:$2,0)+1),MATCH(G$1,[2]stages!$2:$2,0)-MATCH("temp_stage",[2]stages!$2:$2,0)+1,FALSE)</f>
        <v>月曜クエスト</v>
      </c>
      <c r="H84" s="86">
        <v>0</v>
      </c>
      <c r="I84">
        <v>29</v>
      </c>
      <c r="J84" s="85" t="s">
        <v>193</v>
      </c>
      <c r="K84" s="94" t="str">
        <f>VLOOKUP(I84,[7]stage_hints!$A:$C,3,FALSE)</f>
        <v>「バグ」のメリット</v>
      </c>
      <c r="L84" s="95" t="str">
        <f>VLOOKUP(I84,[7]stage_hints!$A:$D,4,FALSE)</f>
        <v>ユニットの「バグ」を増やすと_x000D_報酬をもらえる確率がアップします</v>
      </c>
      <c r="M84" s="57" t="s">
        <v>195</v>
      </c>
    </row>
    <row r="85" spans="1:13" x14ac:dyDescent="0.15">
      <c r="A85" s="82" t="s">
        <v>196</v>
      </c>
      <c r="B85" s="83">
        <f>floors!$C$26</f>
        <v>11001</v>
      </c>
      <c r="C85" s="84" t="str">
        <f ca="1">VLOOKUP($B85,OFFSET([2]quests!$A$1,0,0,COUNTA([2]quests!$A:$A),MATCH(C$1,[2]quests!$1:$1,0)-MATCH($B$1,[2]quests!$1:$1,0)+1),MATCH(C$1,[2]quests!$1:$1,0)-MATCH($B$1,[2]quests!$1:$1,0)+1,FALSE)</f>
        <v>【月曜限定】 黄の素材</v>
      </c>
      <c r="D85" s="84" t="str">
        <f ca="1">VLOOKUP($B85,OFFSET([2]quests!$A$1,0,0,COUNTA([2]quests!$A:$A),MATCH(D$1,[2]quests!$1:$1,0)-MATCH($B$1,[2]quests!$1:$1,0)+1),MATCH(D$1,[2]quests!$1:$1,0)-MATCH($B$1,[2]quests!$1:$1,0)+1,FALSE)</f>
        <v>月曜クエスト</v>
      </c>
      <c r="E85" s="88">
        <v>10</v>
      </c>
      <c r="F85" s="84" t="str">
        <f ca="1">VLOOKUP($B85&amp;"_"&amp;$E85,OFFSET([2]stages!$A$1,0,0,COUNTA([2]stages!$A:$A),MATCH(F$1,[2]stages!$2:$2,0)-MATCH("temp_stage",[2]stages!$2:$2,0)+1),MATCH(F$1,[2]stages!$2:$2,0)-MATCH("temp_stage",[2]stages!$2:$2,0)+1,FALSE)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5" s="84" t="str">
        <f ca="1">VLOOKUP($B85&amp;"_"&amp;$E85,OFFSET([2]stages!$A$1,0,0,COUNTA([2]stages!$A:$A),MATCH(G$1,[2]stages!$2:$2,0)-MATCH("temp_stage",[2]stages!$2:$2,0)+1),MATCH(G$1,[2]stages!$2:$2,0)-MATCH("temp_stage",[2]stages!$2:$2,0)+1,FALSE)</f>
        <v>月曜クエスト</v>
      </c>
      <c r="H85" s="86">
        <v>0</v>
      </c>
      <c r="I85">
        <v>30</v>
      </c>
      <c r="J85" s="85" t="s">
        <v>193</v>
      </c>
      <c r="K85" s="94" t="str">
        <f>VLOOKUP(I85,[7]stage_hints!$A:$C,3,FALSE)</f>
        <v>「バグ」の増やし方</v>
      </c>
      <c r="L85" s="95" t="str">
        <f>VLOOKUP(I85,[7]stage_hints!$A:$D,4,FALSE)</f>
        <v>同じユニット同士を強化で合成すると_x000D_「バグ」を増やすことができます</v>
      </c>
      <c r="M85" s="57" t="s">
        <v>195</v>
      </c>
    </row>
    <row r="86" spans="1:13" x14ac:dyDescent="0.15">
      <c r="A86" s="82" t="s">
        <v>196</v>
      </c>
      <c r="B86" s="83">
        <f>floors!$C$26</f>
        <v>11001</v>
      </c>
      <c r="C86" s="84" t="str">
        <f ca="1">VLOOKUP($B86,OFFSET([2]quests!$A$1,0,0,COUNTA([2]quests!$A:$A),MATCH(C$1,[2]quests!$1:$1,0)-MATCH($B$1,[2]quests!$1:$1,0)+1),MATCH(C$1,[2]quests!$1:$1,0)-MATCH($B$1,[2]quests!$1:$1,0)+1,FALSE)</f>
        <v>【月曜限定】 黄の素材</v>
      </c>
      <c r="D86" s="84" t="str">
        <f ca="1">VLOOKUP($B86,OFFSET([2]quests!$A$1,0,0,COUNTA([2]quests!$A:$A),MATCH(D$1,[2]quests!$1:$1,0)-MATCH($B$1,[2]quests!$1:$1,0)+1),MATCH(D$1,[2]quests!$1:$1,0)-MATCH($B$1,[2]quests!$1:$1,0)+1,FALSE)</f>
        <v>月曜クエスト</v>
      </c>
      <c r="E86" s="88">
        <v>10</v>
      </c>
      <c r="F86" s="84" t="str">
        <f ca="1">VLOOKUP($B86&amp;"_"&amp;$E86,OFFSET([2]stages!$A$1,0,0,COUNTA([2]stages!$A:$A),MATCH(F$1,[2]stages!$2:$2,0)-MATCH("temp_stage",[2]stages!$2:$2,0)+1),MATCH(F$1,[2]stages!$2:$2,0)-MATCH("temp_stage",[2]stages!$2:$2,0)+1,FALSE)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6" s="84" t="str">
        <f ca="1">VLOOKUP($B86&amp;"_"&amp;$E86,OFFSET([2]stages!$A$1,0,0,COUNTA([2]stages!$A:$A),MATCH(G$1,[2]stages!$2:$2,0)-MATCH("temp_stage",[2]stages!$2:$2,0)+1),MATCH(G$1,[2]stages!$2:$2,0)-MATCH("temp_stage",[2]stages!$2:$2,0)+1,FALSE)</f>
        <v>月曜クエスト</v>
      </c>
      <c r="H86" s="86">
        <v>0</v>
      </c>
      <c r="I86">
        <v>32</v>
      </c>
      <c r="J86" s="85" t="s">
        <v>193</v>
      </c>
      <c r="K86" s="94" t="str">
        <f>VLOOKUP(I86,[7]stage_hints!$A:$C,3,FALSE)</f>
        <v>敵の連続攻撃には</v>
      </c>
      <c r="L86" s="95" t="str">
        <f>VLOOKUP(I86,[7]stage_hints!$A:$D,4,FALSE)</f>
        <v>カウンタースキルを持つユニットがいれば_x000D_ダメージ回数分の反撃ができます</v>
      </c>
      <c r="M86" s="57" t="s">
        <v>195</v>
      </c>
    </row>
    <row r="87" spans="1:13" x14ac:dyDescent="0.15">
      <c r="A87" s="82" t="s">
        <v>196</v>
      </c>
      <c r="B87" s="83">
        <f>floors!$C$26</f>
        <v>11001</v>
      </c>
      <c r="C87" s="84" t="str">
        <f ca="1">VLOOKUP($B87,OFFSET([2]quests!$A$1,0,0,COUNTA([2]quests!$A:$A),MATCH(C$1,[2]quests!$1:$1,0)-MATCH($B$1,[2]quests!$1:$1,0)+1),MATCH(C$1,[2]quests!$1:$1,0)-MATCH($B$1,[2]quests!$1:$1,0)+1,FALSE)</f>
        <v>【月曜限定】 黄の素材</v>
      </c>
      <c r="D87" s="84" t="str">
        <f ca="1">VLOOKUP($B87,OFFSET([2]quests!$A$1,0,0,COUNTA([2]quests!$A:$A),MATCH(D$1,[2]quests!$1:$1,0)-MATCH($B$1,[2]quests!$1:$1,0)+1),MATCH(D$1,[2]quests!$1:$1,0)-MATCH($B$1,[2]quests!$1:$1,0)+1,FALSE)</f>
        <v>月曜クエスト</v>
      </c>
      <c r="E87" s="88">
        <v>10</v>
      </c>
      <c r="F87" s="84" t="str">
        <f ca="1">VLOOKUP($B87&amp;"_"&amp;$E87,OFFSET([2]stages!$A$1,0,0,COUNTA([2]stages!$A:$A),MATCH(F$1,[2]stages!$2:$2,0)-MATCH("temp_stage",[2]stages!$2:$2,0)+1),MATCH(F$1,[2]stages!$2:$2,0)-MATCH("temp_stage",[2]stages!$2:$2,0)+1,FALSE)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7" s="84" t="str">
        <f ca="1">VLOOKUP($B87&amp;"_"&amp;$E87,OFFSET([2]stages!$A$1,0,0,COUNTA([2]stages!$A:$A),MATCH(G$1,[2]stages!$2:$2,0)-MATCH("temp_stage",[2]stages!$2:$2,0)+1),MATCH(G$1,[2]stages!$2:$2,0)-MATCH("temp_stage",[2]stages!$2:$2,0)+1,FALSE)</f>
        <v>月曜クエスト</v>
      </c>
      <c r="H87" s="86">
        <v>0</v>
      </c>
      <c r="I87">
        <v>33</v>
      </c>
      <c r="J87" s="85" t="s">
        <v>193</v>
      </c>
      <c r="K87" s="94" t="str">
        <f>VLOOKUP(I87,[7]stage_hints!$A:$C,3,FALSE)</f>
        <v>敵のカウンター攻撃には</v>
      </c>
      <c r="L87" s="95" t="str">
        <f>VLOOKUP(I87,[7]stage_hints!$A:$D,4,FALSE)</f>
        <v>カウンターブレイクスキルを持っていれば_x000D_敵のカウンターを解除して攻撃ができます</v>
      </c>
      <c r="M87" s="57" t="s">
        <v>195</v>
      </c>
    </row>
    <row r="88" spans="1:13" x14ac:dyDescent="0.15">
      <c r="A88" s="82" t="s">
        <v>196</v>
      </c>
      <c r="B88" s="83">
        <f>floors!$C$26</f>
        <v>11001</v>
      </c>
      <c r="C88" s="84" t="str">
        <f ca="1">VLOOKUP($B88,OFFSET([2]quests!$A$1,0,0,COUNTA([2]quests!$A:$A),MATCH(C$1,[2]quests!$1:$1,0)-MATCH($B$1,[2]quests!$1:$1,0)+1),MATCH(C$1,[2]quests!$1:$1,0)-MATCH($B$1,[2]quests!$1:$1,0)+1,FALSE)</f>
        <v>【月曜限定】 黄の素材</v>
      </c>
      <c r="D88" s="84" t="str">
        <f ca="1">VLOOKUP($B88,OFFSET([2]quests!$A$1,0,0,COUNTA([2]quests!$A:$A),MATCH(D$1,[2]quests!$1:$1,0)-MATCH($B$1,[2]quests!$1:$1,0)+1),MATCH(D$1,[2]quests!$1:$1,0)-MATCH($B$1,[2]quests!$1:$1,0)+1,FALSE)</f>
        <v>月曜クエスト</v>
      </c>
      <c r="E88" s="88">
        <v>10</v>
      </c>
      <c r="F88" s="84" t="str">
        <f ca="1">VLOOKUP($B88&amp;"_"&amp;$E88,OFFSET([2]stages!$A$1,0,0,COUNTA([2]stages!$A:$A),MATCH(F$1,[2]stages!$2:$2,0)-MATCH("temp_stage",[2]stages!$2:$2,0)+1),MATCH(F$1,[2]stages!$2:$2,0)-MATCH("temp_stage",[2]stages!$2:$2,0)+1,FALSE)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8" s="84" t="str">
        <f ca="1">VLOOKUP($B88&amp;"_"&amp;$E88,OFFSET([2]stages!$A$1,0,0,COUNTA([2]stages!$A:$A),MATCH(G$1,[2]stages!$2:$2,0)-MATCH("temp_stage",[2]stages!$2:$2,0)+1),MATCH(G$1,[2]stages!$2:$2,0)-MATCH("temp_stage",[2]stages!$2:$2,0)+1,FALSE)</f>
        <v>月曜クエスト</v>
      </c>
      <c r="H88" s="86">
        <v>0</v>
      </c>
      <c r="I88">
        <v>34</v>
      </c>
      <c r="J88" s="85" t="s">
        <v>193</v>
      </c>
      <c r="K88" s="94" t="str">
        <f>VLOOKUP(I88,[7]stage_hints!$A:$C,3,FALSE)</f>
        <v>ステータスをスキルで下げられたら</v>
      </c>
      <c r="L88" s="95" t="str">
        <f>VLOOKUP(I88,[7]stage_hints!$A:$D,4,FALSE)</f>
        <v>ステータスダウンのスキルを受けたら_x000D_ステータスアップスキルで上書きしましょう</v>
      </c>
      <c r="M88" s="57" t="s">
        <v>195</v>
      </c>
    </row>
    <row r="89" spans="1:13" x14ac:dyDescent="0.15">
      <c r="A89" s="82" t="s">
        <v>196</v>
      </c>
      <c r="B89" s="83">
        <f>floors!$C$26</f>
        <v>11001</v>
      </c>
      <c r="C89" s="84" t="str">
        <f ca="1">VLOOKUP($B89,OFFSET([2]quests!$A$1,0,0,COUNTA([2]quests!$A:$A),MATCH(C$1,[2]quests!$1:$1,0)-MATCH($B$1,[2]quests!$1:$1,0)+1),MATCH(C$1,[2]quests!$1:$1,0)-MATCH($B$1,[2]quests!$1:$1,0)+1,FALSE)</f>
        <v>【月曜限定】 黄の素材</v>
      </c>
      <c r="D89" s="84" t="str">
        <f ca="1">VLOOKUP($B89,OFFSET([2]quests!$A$1,0,0,COUNTA([2]quests!$A:$A),MATCH(D$1,[2]quests!$1:$1,0)-MATCH($B$1,[2]quests!$1:$1,0)+1),MATCH(D$1,[2]quests!$1:$1,0)-MATCH($B$1,[2]quests!$1:$1,0)+1,FALSE)</f>
        <v>月曜クエスト</v>
      </c>
      <c r="E89" s="88">
        <v>10</v>
      </c>
      <c r="F89" s="84" t="str">
        <f ca="1">VLOOKUP($B89&amp;"_"&amp;$E89,OFFSET([2]stages!$A$1,0,0,COUNTA([2]stages!$A:$A),MATCH(F$1,[2]stages!$2:$2,0)-MATCH("temp_stage",[2]stages!$2:$2,0)+1),MATCH(F$1,[2]stages!$2:$2,0)-MATCH("temp_stage",[2]stages!$2:$2,0)+1,FALSE)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89" s="84" t="str">
        <f ca="1">VLOOKUP($B89&amp;"_"&amp;$E89,OFFSET([2]stages!$A$1,0,0,COUNTA([2]stages!$A:$A),MATCH(G$1,[2]stages!$2:$2,0)-MATCH("temp_stage",[2]stages!$2:$2,0)+1),MATCH(G$1,[2]stages!$2:$2,0)-MATCH("temp_stage",[2]stages!$2:$2,0)+1,FALSE)</f>
        <v>月曜クエスト</v>
      </c>
      <c r="H89" s="86">
        <v>0</v>
      </c>
      <c r="I89">
        <v>35</v>
      </c>
      <c r="J89" s="85" t="s">
        <v>193</v>
      </c>
      <c r="K89" s="94" t="str">
        <f>VLOOKUP(I89,[7]stage_hints!$A:$C,3,FALSE)</f>
        <v>敵のステータスがスキルで上がったら</v>
      </c>
      <c r="L89" s="95" t="str">
        <f>VLOOKUP(I89,[7]stage_hints!$A:$D,4,FALSE)</f>
        <v>敵のステータスがスキルでアップしたときは_x000D_ステータスダウンスキルで上書きしましょう</v>
      </c>
      <c r="M89" s="57" t="s">
        <v>195</v>
      </c>
    </row>
    <row r="90" spans="1:13" x14ac:dyDescent="0.15">
      <c r="A90" s="82" t="s">
        <v>196</v>
      </c>
      <c r="B90" s="83">
        <f>floors!$C$26</f>
        <v>11001</v>
      </c>
      <c r="C90" s="84" t="str">
        <f ca="1">VLOOKUP($B90,OFFSET([2]quests!$A$1,0,0,COUNTA([2]quests!$A:$A),MATCH(C$1,[2]quests!$1:$1,0)-MATCH($B$1,[2]quests!$1:$1,0)+1),MATCH(C$1,[2]quests!$1:$1,0)-MATCH($B$1,[2]quests!$1:$1,0)+1,FALSE)</f>
        <v>【月曜限定】 黄の素材</v>
      </c>
      <c r="D90" s="84" t="str">
        <f ca="1">VLOOKUP($B90,OFFSET([2]quests!$A$1,0,0,COUNTA([2]quests!$A:$A),MATCH(D$1,[2]quests!$1:$1,0)-MATCH($B$1,[2]quests!$1:$1,0)+1),MATCH(D$1,[2]quests!$1:$1,0)-MATCH($B$1,[2]quests!$1:$1,0)+1,FALSE)</f>
        <v>月曜クエスト</v>
      </c>
      <c r="E90" s="88">
        <v>10</v>
      </c>
      <c r="F90" s="84" t="str">
        <f ca="1">VLOOKUP($B90&amp;"_"&amp;$E90,OFFSET([2]stages!$A$1,0,0,COUNTA([2]stages!$A:$A),MATCH(F$1,[2]stages!$2:$2,0)-MATCH("temp_stage",[2]stages!$2:$2,0)+1),MATCH(F$1,[2]stages!$2:$2,0)-MATCH("temp_stage",[2]stages!$2:$2,0)+1,FALSE)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90" s="84" t="str">
        <f ca="1">VLOOKUP($B90&amp;"_"&amp;$E90,OFFSET([2]stages!$A$1,0,0,COUNTA([2]stages!$A:$A),MATCH(G$1,[2]stages!$2:$2,0)-MATCH("temp_stage",[2]stages!$2:$2,0)+1),MATCH(G$1,[2]stages!$2:$2,0)-MATCH("temp_stage",[2]stages!$2:$2,0)+1,FALSE)</f>
        <v>月曜クエスト</v>
      </c>
      <c r="H90" s="86">
        <v>0</v>
      </c>
      <c r="I90">
        <v>36</v>
      </c>
      <c r="J90" s="85" t="s">
        <v>193</v>
      </c>
      <c r="K90" s="94" t="str">
        <f>VLOOKUP(I90,[7]stage_hints!$A:$C,3,FALSE)</f>
        <v>チャレンジタワーのボス</v>
      </c>
      <c r="L90" s="95" t="str">
        <f>VLOOKUP(I90,[7]stage_hints!$A:$D,4,FALSE)</f>
        <v>チャレンジタワーでのみ登場するボスは_x000D_一定確率で獲得することができます</v>
      </c>
      <c r="M90" s="57" t="s">
        <v>195</v>
      </c>
    </row>
    <row r="91" spans="1:13" x14ac:dyDescent="0.15">
      <c r="A91" s="82" t="s">
        <v>196</v>
      </c>
      <c r="B91" s="83">
        <f>floors!$C$26</f>
        <v>11001</v>
      </c>
      <c r="C91" s="84" t="str">
        <f ca="1">VLOOKUP($B91,OFFSET([2]quests!$A$1,0,0,COUNTA([2]quests!$A:$A),MATCH(C$1,[2]quests!$1:$1,0)-MATCH($B$1,[2]quests!$1:$1,0)+1),MATCH(C$1,[2]quests!$1:$1,0)-MATCH($B$1,[2]quests!$1:$1,0)+1,FALSE)</f>
        <v>【月曜限定】 黄の素材</v>
      </c>
      <c r="D91" s="84" t="str">
        <f ca="1">VLOOKUP($B91,OFFSET([2]quests!$A$1,0,0,COUNTA([2]quests!$A:$A),MATCH(D$1,[2]quests!$1:$1,0)-MATCH($B$1,[2]quests!$1:$1,0)+1),MATCH(D$1,[2]quests!$1:$1,0)-MATCH($B$1,[2]quests!$1:$1,0)+1,FALSE)</f>
        <v>月曜クエスト</v>
      </c>
      <c r="E91" s="88">
        <v>10</v>
      </c>
      <c r="F91" s="84" t="str">
        <f ca="1">VLOOKUP($B91&amp;"_"&amp;$E91,OFFSET([2]stages!$A$1,0,0,COUNTA([2]stages!$A:$A),MATCH(F$1,[2]stages!$2:$2,0)-MATCH("temp_stage",[2]stages!$2:$2,0)+1),MATCH(F$1,[2]stages!$2:$2,0)-MATCH("temp_stage",[2]stages!$2:$2,0)+1,FALSE)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91" s="84" t="str">
        <f ca="1">VLOOKUP($B91&amp;"_"&amp;$E91,OFFSET([2]stages!$A$1,0,0,COUNTA([2]stages!$A:$A),MATCH(G$1,[2]stages!$2:$2,0)-MATCH("temp_stage",[2]stages!$2:$2,0)+1),MATCH(G$1,[2]stages!$2:$2,0)-MATCH("temp_stage",[2]stages!$2:$2,0)+1,FALSE)</f>
        <v>月曜クエスト</v>
      </c>
      <c r="H91" s="86">
        <v>0</v>
      </c>
      <c r="I91">
        <v>37</v>
      </c>
      <c r="J91" s="85" t="s">
        <v>193</v>
      </c>
      <c r="K91" s="94" t="str">
        <f>VLOOKUP(I91,[7]stage_hints!$A:$C,3,FALSE)</f>
        <v>限界突破値の引き継ぎ</v>
      </c>
      <c r="L91" s="95" t="str">
        <f>VLOOKUP(I91,[7]stage_hints!$A:$D,4,FALSE)</f>
        <v>同じユニットを強化で合成すると_x000D_限界突破値を引き継げます（覚醒前後も可）</v>
      </c>
      <c r="M91" s="57" t="s">
        <v>195</v>
      </c>
    </row>
    <row r="92" spans="1:13" x14ac:dyDescent="0.15">
      <c r="A92" s="105" t="s">
        <v>196</v>
      </c>
      <c r="B92" s="83">
        <f>floors!$C$26</f>
        <v>11001</v>
      </c>
      <c r="C92" s="84" t="str">
        <f ca="1">VLOOKUP($B92,OFFSET([2]quests!$A$1,0,0,COUNTA([2]quests!$A:$A),MATCH(C$1,[2]quests!$1:$1,0)-MATCH($B$1,[2]quests!$1:$1,0)+1),MATCH(C$1,[2]quests!$1:$1,0)-MATCH($B$1,[2]quests!$1:$1,0)+1,FALSE)</f>
        <v>【月曜限定】 黄の素材</v>
      </c>
      <c r="D92" s="84" t="str">
        <f ca="1">VLOOKUP($B92,OFFSET([2]quests!$A$1,0,0,COUNTA([2]quests!$A:$A),MATCH(D$1,[2]quests!$1:$1,0)-MATCH($B$1,[2]quests!$1:$1,0)+1),MATCH(D$1,[2]quests!$1:$1,0)-MATCH($B$1,[2]quests!$1:$1,0)+1,FALSE)</f>
        <v>月曜クエスト</v>
      </c>
      <c r="E92" s="88">
        <v>10</v>
      </c>
      <c r="F92" s="84" t="str">
        <f ca="1">VLOOKUP($B92&amp;"_"&amp;$E92,OFFSET([2]stages!$A$1,0,0,COUNTA([2]stages!$A:$A),MATCH(F$1,[2]stages!$2:$2,0)-MATCH("temp_stage",[2]stages!$2:$2,0)+1),MATCH(F$1,[2]stages!$2:$2,0)-MATCH("temp_stage",[2]stages!$2:$2,0)+1,FALSE)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92" s="84" t="str">
        <f ca="1">VLOOKUP($B92&amp;"_"&amp;$E92,OFFSET([2]stages!$A$1,0,0,COUNTA([2]stages!$A:$A),MATCH(G$1,[2]stages!$2:$2,0)-MATCH("temp_stage",[2]stages!$2:$2,0)+1),MATCH(G$1,[2]stages!$2:$2,0)-MATCH("temp_stage",[2]stages!$2:$2,0)+1,FALSE)</f>
        <v>月曜クエスト</v>
      </c>
      <c r="H92" s="86">
        <v>0</v>
      </c>
      <c r="I92">
        <v>39</v>
      </c>
      <c r="J92" s="85" t="s">
        <v>193</v>
      </c>
      <c r="K92" s="94" t="str">
        <f>VLOOKUP(I92,[7]stage_hints!$A:$C,3,FALSE)</f>
        <v>システム適合者を確認</v>
      </c>
      <c r="L92" s="95" t="str">
        <f>VLOOKUP(I92,[7]stage_hints!$A:$D,4,FALSE)</f>
        <v>ALICEが 「アナタ」を呼んでいます</v>
      </c>
      <c r="M92" s="57" t="s">
        <v>195</v>
      </c>
    </row>
    <row r="93" spans="1:13" x14ac:dyDescent="0.15">
      <c r="A93" s="82" t="s">
        <v>196</v>
      </c>
      <c r="B93" s="83">
        <f>floors!$C$32</f>
        <v>11003</v>
      </c>
      <c r="C93" s="84" t="str">
        <f ca="1">VLOOKUP($B93,OFFSET([2]quests!$A$1,0,0,COUNTA([2]quests!$A:$A),MATCH(C$1,[2]quests!$1:$1,0)-MATCH($B$1,[2]quests!$1:$1,0)+1),MATCH(C$1,[2]quests!$1:$1,0)-MATCH($B$1,[2]quests!$1:$1,0)+1,FALSE)</f>
        <v>【水曜限定】 青の素材</v>
      </c>
      <c r="D93" s="84" t="str">
        <f ca="1">VLOOKUP($B93,OFFSET([2]quests!$A$1,0,0,COUNTA([2]quests!$A:$A),MATCH(D$1,[2]quests!$1:$1,0)-MATCH($B$1,[2]quests!$1:$1,0)+1),MATCH(D$1,[2]quests!$1:$1,0)-MATCH($B$1,[2]quests!$1:$1,0)+1,FALSE)</f>
        <v>水曜クエスト</v>
      </c>
      <c r="E93" s="88">
        <v>10</v>
      </c>
      <c r="F93" s="84" t="str">
        <f ca="1">VLOOKUP($B93&amp;"_"&amp;$E93,OFFSET([2]stages!$A$1,0,0,COUNTA([2]stages!$A:$A),MATCH(F$1,[2]stages!$2:$2,0)-MATCH("temp_stage",[2]stages!$2:$2,0)+1),MATCH(F$1,[2]stages!$2:$2,0)-MATCH("temp_stage",[2]stages!$2:$2,0)+1,FALSE)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93" s="84" t="str">
        <f ca="1">VLOOKUP($B93&amp;"_"&amp;$E93,OFFSET([2]stages!$A$1,0,0,COUNTA([2]stages!$A:$A),MATCH(G$1,[2]stages!$2:$2,0)-MATCH("temp_stage",[2]stages!$2:$2,0)+1),MATCH(G$1,[2]stages!$2:$2,0)-MATCH("temp_stage",[2]stages!$2:$2,0)+1,FALSE)</f>
        <v>水曜クエスト</v>
      </c>
      <c r="H93" s="86">
        <v>0</v>
      </c>
      <c r="I93">
        <v>12</v>
      </c>
      <c r="J93" s="85" t="s">
        <v>193</v>
      </c>
      <c r="K93" s="94" t="str">
        <f>VLOOKUP(I93,[7]stage_hints!$A:$C,3,FALSE)</f>
        <v>ユニットのお気に入り登録</v>
      </c>
      <c r="L93" s="95" t="str">
        <f>VLOOKUP(I93,[7]stage_hints!$A:$D,4,FALSE)</f>
        <v>大事なユニットを誤って消さないように_x000D_フォルダから「お気に入り登録」しましょう</v>
      </c>
      <c r="M93" s="57" t="s">
        <v>195</v>
      </c>
    </row>
    <row r="94" spans="1:13" x14ac:dyDescent="0.15">
      <c r="A94" s="82" t="s">
        <v>196</v>
      </c>
      <c r="B94" s="83">
        <f>floors!$C$32</f>
        <v>11003</v>
      </c>
      <c r="C94" s="84" t="str">
        <f ca="1">VLOOKUP($B94,OFFSET([2]quests!$A$1,0,0,COUNTA([2]quests!$A:$A),MATCH(C$1,[2]quests!$1:$1,0)-MATCH($B$1,[2]quests!$1:$1,0)+1),MATCH(C$1,[2]quests!$1:$1,0)-MATCH($B$1,[2]quests!$1:$1,0)+1,FALSE)</f>
        <v>【水曜限定】 青の素材</v>
      </c>
      <c r="D94" s="84" t="str">
        <f ca="1">VLOOKUP($B94,OFFSET([2]quests!$A$1,0,0,COUNTA([2]quests!$A:$A),MATCH(D$1,[2]quests!$1:$1,0)-MATCH($B$1,[2]quests!$1:$1,0)+1),MATCH(D$1,[2]quests!$1:$1,0)-MATCH($B$1,[2]quests!$1:$1,0)+1,FALSE)</f>
        <v>水曜クエスト</v>
      </c>
      <c r="E94" s="88">
        <v>10</v>
      </c>
      <c r="F94" s="84" t="str">
        <f ca="1">VLOOKUP($B94&amp;"_"&amp;$E94,OFFSET([2]stages!$A$1,0,0,COUNTA([2]stages!$A:$A),MATCH(F$1,[2]stages!$2:$2,0)-MATCH("temp_stage",[2]stages!$2:$2,0)+1),MATCH(F$1,[2]stages!$2:$2,0)-MATCH("temp_stage",[2]stages!$2:$2,0)+1,FALSE)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94" s="84" t="str">
        <f ca="1">VLOOKUP($B94&amp;"_"&amp;$E94,OFFSET([2]stages!$A$1,0,0,COUNTA([2]stages!$A:$A),MATCH(G$1,[2]stages!$2:$2,0)-MATCH("temp_stage",[2]stages!$2:$2,0)+1),MATCH(G$1,[2]stages!$2:$2,0)-MATCH("temp_stage",[2]stages!$2:$2,0)+1,FALSE)</f>
        <v>水曜クエスト</v>
      </c>
      <c r="H94" s="86">
        <v>0</v>
      </c>
      <c r="I94">
        <v>17</v>
      </c>
      <c r="J94" s="85" t="s">
        <v>193</v>
      </c>
      <c r="K94" s="94" t="str">
        <f>VLOOKUP(I94,[7]stage_hints!$A:$C,3,FALSE)</f>
        <v>リンクガチャ</v>
      </c>
      <c r="L94" s="95" t="str">
        <f>VLOOKUP(I94,[7]stage_hints!$A:$D,4,FALSE)</f>
        <v>無料のリンクガチャを回して_x000D_経験値素材や売却素材を獲得しましょう</v>
      </c>
      <c r="M94" s="57" t="s">
        <v>195</v>
      </c>
    </row>
    <row r="95" spans="1:13" x14ac:dyDescent="0.15">
      <c r="A95" s="82" t="s">
        <v>196</v>
      </c>
      <c r="B95" s="83">
        <f>floors!$C$32</f>
        <v>11003</v>
      </c>
      <c r="C95" s="84" t="str">
        <f ca="1">VLOOKUP($B95,OFFSET([2]quests!$A$1,0,0,COUNTA([2]quests!$A:$A),MATCH(C$1,[2]quests!$1:$1,0)-MATCH($B$1,[2]quests!$1:$1,0)+1),MATCH(C$1,[2]quests!$1:$1,0)-MATCH($B$1,[2]quests!$1:$1,0)+1,FALSE)</f>
        <v>【水曜限定】 青の素材</v>
      </c>
      <c r="D95" s="84" t="str">
        <f ca="1">VLOOKUP($B95,OFFSET([2]quests!$A$1,0,0,COUNTA([2]quests!$A:$A),MATCH(D$1,[2]quests!$1:$1,0)-MATCH($B$1,[2]quests!$1:$1,0)+1),MATCH(D$1,[2]quests!$1:$1,0)-MATCH($B$1,[2]quests!$1:$1,0)+1,FALSE)</f>
        <v>水曜クエスト</v>
      </c>
      <c r="E95" s="88">
        <v>10</v>
      </c>
      <c r="F95" s="84" t="str">
        <f ca="1">VLOOKUP($B95&amp;"_"&amp;$E95,OFFSET([2]stages!$A$1,0,0,COUNTA([2]stages!$A:$A),MATCH(F$1,[2]stages!$2:$2,0)-MATCH("temp_stage",[2]stages!$2:$2,0)+1),MATCH(F$1,[2]stages!$2:$2,0)-MATCH("temp_stage",[2]stages!$2:$2,0)+1,FALSE)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95" s="84" t="str">
        <f ca="1">VLOOKUP($B95&amp;"_"&amp;$E95,OFFSET([2]stages!$A$1,0,0,COUNTA([2]stages!$A:$A),MATCH(G$1,[2]stages!$2:$2,0)-MATCH("temp_stage",[2]stages!$2:$2,0)+1),MATCH(G$1,[2]stages!$2:$2,0)-MATCH("temp_stage",[2]stages!$2:$2,0)+1,FALSE)</f>
        <v>水曜クエスト</v>
      </c>
      <c r="H95" s="86">
        <v>0</v>
      </c>
      <c r="I95">
        <v>19</v>
      </c>
      <c r="J95" s="85" t="s">
        <v>193</v>
      </c>
      <c r="K95" s="94" t="str">
        <f>VLOOKUP(I95,[7]stage_hints!$A:$C,3,FALSE)</f>
        <v>ソロ専用チャレンジタワー</v>
      </c>
      <c r="L95" s="95" t="str">
        <f>VLOOKUP(I95,[7]stage_hints!$A:$D,4,FALSE)</f>
        <v>ソロ専用の「チャレンジタワー」では_x000D_各フロアごとにクリア報酬がもらえます</v>
      </c>
      <c r="M95" s="57" t="s">
        <v>195</v>
      </c>
    </row>
    <row r="96" spans="1:13" x14ac:dyDescent="0.15">
      <c r="A96" s="82" t="s">
        <v>196</v>
      </c>
      <c r="B96" s="83">
        <f>floors!$C$32</f>
        <v>11003</v>
      </c>
      <c r="C96" s="84" t="str">
        <f ca="1">VLOOKUP($B96,OFFSET([2]quests!$A$1,0,0,COUNTA([2]quests!$A:$A),MATCH(C$1,[2]quests!$1:$1,0)-MATCH($B$1,[2]quests!$1:$1,0)+1),MATCH(C$1,[2]quests!$1:$1,0)-MATCH($B$1,[2]quests!$1:$1,0)+1,FALSE)</f>
        <v>【水曜限定】 青の素材</v>
      </c>
      <c r="D96" s="84" t="str">
        <f ca="1">VLOOKUP($B96,OFFSET([2]quests!$A$1,0,0,COUNTA([2]quests!$A:$A),MATCH(D$1,[2]quests!$1:$1,0)-MATCH($B$1,[2]quests!$1:$1,0)+1),MATCH(D$1,[2]quests!$1:$1,0)-MATCH($B$1,[2]quests!$1:$1,0)+1,FALSE)</f>
        <v>水曜クエスト</v>
      </c>
      <c r="E96" s="88">
        <v>10</v>
      </c>
      <c r="F96" s="84" t="str">
        <f ca="1">VLOOKUP($B96&amp;"_"&amp;$E96,OFFSET([2]stages!$A$1,0,0,COUNTA([2]stages!$A:$A),MATCH(F$1,[2]stages!$2:$2,0)-MATCH("temp_stage",[2]stages!$2:$2,0)+1),MATCH(F$1,[2]stages!$2:$2,0)-MATCH("temp_stage",[2]stages!$2:$2,0)+1,FALSE)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96" s="84" t="str">
        <f ca="1">VLOOKUP($B96&amp;"_"&amp;$E96,OFFSET([2]stages!$A$1,0,0,COUNTA([2]stages!$A:$A),MATCH(G$1,[2]stages!$2:$2,0)-MATCH("temp_stage",[2]stages!$2:$2,0)+1),MATCH(G$1,[2]stages!$2:$2,0)-MATCH("temp_stage",[2]stages!$2:$2,0)+1,FALSE)</f>
        <v>水曜クエスト</v>
      </c>
      <c r="H96" s="86">
        <v>0</v>
      </c>
      <c r="I96">
        <v>21</v>
      </c>
      <c r="J96" s="85" t="s">
        <v>193</v>
      </c>
      <c r="K96" s="94" t="str">
        <f>VLOOKUP(I96,[7]stage_hints!$A:$C,3,FALSE)</f>
        <v>スキルを有効に</v>
      </c>
      <c r="L96" s="95" t="str">
        <f>VLOOKUP(I96,[7]stage_hints!$A:$D,4,FALSE)</f>
        <v>ターン経過でユニットのスキルが使えます_x000D_強力スキルでバトルを有利に進めましょう</v>
      </c>
      <c r="M96" s="57" t="s">
        <v>195</v>
      </c>
    </row>
    <row r="97" spans="1:13" x14ac:dyDescent="0.15">
      <c r="A97" s="82" t="s">
        <v>196</v>
      </c>
      <c r="B97" s="83">
        <f>floors!$C$32</f>
        <v>11003</v>
      </c>
      <c r="C97" s="84" t="str">
        <f ca="1">VLOOKUP($B97,OFFSET([2]quests!$A$1,0,0,COUNTA([2]quests!$A:$A),MATCH(C$1,[2]quests!$1:$1,0)-MATCH($B$1,[2]quests!$1:$1,0)+1),MATCH(C$1,[2]quests!$1:$1,0)-MATCH($B$1,[2]quests!$1:$1,0)+1,FALSE)</f>
        <v>【水曜限定】 青の素材</v>
      </c>
      <c r="D97" s="84" t="str">
        <f ca="1">VLOOKUP($B97,OFFSET([2]quests!$A$1,0,0,COUNTA([2]quests!$A:$A),MATCH(D$1,[2]quests!$1:$1,0)-MATCH($B$1,[2]quests!$1:$1,0)+1),MATCH(D$1,[2]quests!$1:$1,0)-MATCH($B$1,[2]quests!$1:$1,0)+1,FALSE)</f>
        <v>水曜クエスト</v>
      </c>
      <c r="E97" s="88">
        <v>10</v>
      </c>
      <c r="F97" s="84" t="str">
        <f ca="1">VLOOKUP($B97&amp;"_"&amp;$E97,OFFSET([2]stages!$A$1,0,0,COUNTA([2]stages!$A:$A),MATCH(F$1,[2]stages!$2:$2,0)-MATCH("temp_stage",[2]stages!$2:$2,0)+1),MATCH(F$1,[2]stages!$2:$2,0)-MATCH("temp_stage",[2]stages!$2:$2,0)+1,FALSE)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97" s="84" t="str">
        <f ca="1">VLOOKUP($B97&amp;"_"&amp;$E97,OFFSET([2]stages!$A$1,0,0,COUNTA([2]stages!$A:$A),MATCH(G$1,[2]stages!$2:$2,0)-MATCH("temp_stage",[2]stages!$2:$2,0)+1),MATCH(G$1,[2]stages!$2:$2,0)-MATCH("temp_stage",[2]stages!$2:$2,0)+1,FALSE)</f>
        <v>水曜クエスト</v>
      </c>
      <c r="H97" s="86">
        <v>0</v>
      </c>
      <c r="I97">
        <v>29</v>
      </c>
      <c r="J97" s="85" t="s">
        <v>193</v>
      </c>
      <c r="K97" s="94" t="str">
        <f>VLOOKUP(I97,[7]stage_hints!$A:$C,3,FALSE)</f>
        <v>「バグ」のメリット</v>
      </c>
      <c r="L97" s="95" t="str">
        <f>VLOOKUP(I97,[7]stage_hints!$A:$D,4,FALSE)</f>
        <v>ユニットの「バグ」を増やすと_x000D_報酬をもらえる確率がアップします</v>
      </c>
      <c r="M97" s="57" t="s">
        <v>195</v>
      </c>
    </row>
    <row r="98" spans="1:13" x14ac:dyDescent="0.15">
      <c r="A98" s="82" t="s">
        <v>196</v>
      </c>
      <c r="B98" s="83">
        <f>floors!$C$32</f>
        <v>11003</v>
      </c>
      <c r="C98" s="84" t="str">
        <f ca="1">VLOOKUP($B98,OFFSET([2]quests!$A$1,0,0,COUNTA([2]quests!$A:$A),MATCH(C$1,[2]quests!$1:$1,0)-MATCH($B$1,[2]quests!$1:$1,0)+1),MATCH(C$1,[2]quests!$1:$1,0)-MATCH($B$1,[2]quests!$1:$1,0)+1,FALSE)</f>
        <v>【水曜限定】 青の素材</v>
      </c>
      <c r="D98" s="84" t="str">
        <f ca="1">VLOOKUP($B98,OFFSET([2]quests!$A$1,0,0,COUNTA([2]quests!$A:$A),MATCH(D$1,[2]quests!$1:$1,0)-MATCH($B$1,[2]quests!$1:$1,0)+1),MATCH(D$1,[2]quests!$1:$1,0)-MATCH($B$1,[2]quests!$1:$1,0)+1,FALSE)</f>
        <v>水曜クエスト</v>
      </c>
      <c r="E98" s="88">
        <v>10</v>
      </c>
      <c r="F98" s="84" t="str">
        <f ca="1">VLOOKUP($B98&amp;"_"&amp;$E98,OFFSET([2]stages!$A$1,0,0,COUNTA([2]stages!$A:$A),MATCH(F$1,[2]stages!$2:$2,0)-MATCH("temp_stage",[2]stages!$2:$2,0)+1),MATCH(F$1,[2]stages!$2:$2,0)-MATCH("temp_stage",[2]stages!$2:$2,0)+1,FALSE)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98" s="84" t="str">
        <f ca="1">VLOOKUP($B98&amp;"_"&amp;$E98,OFFSET([2]stages!$A$1,0,0,COUNTA([2]stages!$A:$A),MATCH(G$1,[2]stages!$2:$2,0)-MATCH("temp_stage",[2]stages!$2:$2,0)+1),MATCH(G$1,[2]stages!$2:$2,0)-MATCH("temp_stage",[2]stages!$2:$2,0)+1,FALSE)</f>
        <v>水曜クエスト</v>
      </c>
      <c r="H98" s="86">
        <v>0</v>
      </c>
      <c r="I98">
        <v>30</v>
      </c>
      <c r="J98" s="85" t="s">
        <v>193</v>
      </c>
      <c r="K98" s="94" t="str">
        <f>VLOOKUP(I98,[7]stage_hints!$A:$C,3,FALSE)</f>
        <v>「バグ」の増やし方</v>
      </c>
      <c r="L98" s="95" t="str">
        <f>VLOOKUP(I98,[7]stage_hints!$A:$D,4,FALSE)</f>
        <v>同じユニット同士を強化で合成すると_x000D_「バグ」を増やすことができます</v>
      </c>
      <c r="M98" s="57" t="s">
        <v>195</v>
      </c>
    </row>
    <row r="99" spans="1:13" x14ac:dyDescent="0.15">
      <c r="A99" s="82" t="s">
        <v>196</v>
      </c>
      <c r="B99" s="83">
        <f>floors!$C$32</f>
        <v>11003</v>
      </c>
      <c r="C99" s="84" t="str">
        <f ca="1">VLOOKUP($B99,OFFSET([2]quests!$A$1,0,0,COUNTA([2]quests!$A:$A),MATCH(C$1,[2]quests!$1:$1,0)-MATCH($B$1,[2]quests!$1:$1,0)+1),MATCH(C$1,[2]quests!$1:$1,0)-MATCH($B$1,[2]quests!$1:$1,0)+1,FALSE)</f>
        <v>【水曜限定】 青の素材</v>
      </c>
      <c r="D99" s="84" t="str">
        <f ca="1">VLOOKUP($B99,OFFSET([2]quests!$A$1,0,0,COUNTA([2]quests!$A:$A),MATCH(D$1,[2]quests!$1:$1,0)-MATCH($B$1,[2]quests!$1:$1,0)+1),MATCH(D$1,[2]quests!$1:$1,0)-MATCH($B$1,[2]quests!$1:$1,0)+1,FALSE)</f>
        <v>水曜クエスト</v>
      </c>
      <c r="E99" s="88">
        <v>10</v>
      </c>
      <c r="F99" s="84" t="str">
        <f ca="1">VLOOKUP($B99&amp;"_"&amp;$E99,OFFSET([2]stages!$A$1,0,0,COUNTA([2]stages!$A:$A),MATCH(F$1,[2]stages!$2:$2,0)-MATCH("temp_stage",[2]stages!$2:$2,0)+1),MATCH(F$1,[2]stages!$2:$2,0)-MATCH("temp_stage",[2]stages!$2:$2,0)+1,FALSE)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99" s="84" t="str">
        <f ca="1">VLOOKUP($B99&amp;"_"&amp;$E99,OFFSET([2]stages!$A$1,0,0,COUNTA([2]stages!$A:$A),MATCH(G$1,[2]stages!$2:$2,0)-MATCH("temp_stage",[2]stages!$2:$2,0)+1),MATCH(G$1,[2]stages!$2:$2,0)-MATCH("temp_stage",[2]stages!$2:$2,0)+1,FALSE)</f>
        <v>水曜クエスト</v>
      </c>
      <c r="H99" s="86">
        <v>0</v>
      </c>
      <c r="I99">
        <v>32</v>
      </c>
      <c r="J99" s="85" t="s">
        <v>193</v>
      </c>
      <c r="K99" s="94" t="str">
        <f>VLOOKUP(I99,[7]stage_hints!$A:$C,3,FALSE)</f>
        <v>敵の連続攻撃には</v>
      </c>
      <c r="L99" s="95" t="str">
        <f>VLOOKUP(I99,[7]stage_hints!$A:$D,4,FALSE)</f>
        <v>カウンタースキルを持つユニットがいれば_x000D_ダメージ回数分の反撃ができます</v>
      </c>
      <c r="M99" s="57" t="s">
        <v>195</v>
      </c>
    </row>
    <row r="100" spans="1:13" x14ac:dyDescent="0.15">
      <c r="A100" s="82" t="s">
        <v>196</v>
      </c>
      <c r="B100" s="83">
        <f>floors!$C$32</f>
        <v>11003</v>
      </c>
      <c r="C100" s="84" t="str">
        <f ca="1">VLOOKUP($B100,OFFSET([2]quests!$A$1,0,0,COUNTA([2]quests!$A:$A),MATCH(C$1,[2]quests!$1:$1,0)-MATCH($B$1,[2]quests!$1:$1,0)+1),MATCH(C$1,[2]quests!$1:$1,0)-MATCH($B$1,[2]quests!$1:$1,0)+1,FALSE)</f>
        <v>【水曜限定】 青の素材</v>
      </c>
      <c r="D100" s="84" t="str">
        <f ca="1">VLOOKUP($B100,OFFSET([2]quests!$A$1,0,0,COUNTA([2]quests!$A:$A),MATCH(D$1,[2]quests!$1:$1,0)-MATCH($B$1,[2]quests!$1:$1,0)+1),MATCH(D$1,[2]quests!$1:$1,0)-MATCH($B$1,[2]quests!$1:$1,0)+1,FALSE)</f>
        <v>水曜クエスト</v>
      </c>
      <c r="E100" s="88">
        <v>10</v>
      </c>
      <c r="F100" s="84" t="str">
        <f ca="1">VLOOKUP($B100&amp;"_"&amp;$E100,OFFSET([2]stages!$A$1,0,0,COUNTA([2]stages!$A:$A),MATCH(F$1,[2]stages!$2:$2,0)-MATCH("temp_stage",[2]stages!$2:$2,0)+1),MATCH(F$1,[2]stages!$2:$2,0)-MATCH("temp_stage",[2]stages!$2:$2,0)+1,FALSE)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00" s="84" t="str">
        <f ca="1">VLOOKUP($B100&amp;"_"&amp;$E100,OFFSET([2]stages!$A$1,0,0,COUNTA([2]stages!$A:$A),MATCH(G$1,[2]stages!$2:$2,0)-MATCH("temp_stage",[2]stages!$2:$2,0)+1),MATCH(G$1,[2]stages!$2:$2,0)-MATCH("temp_stage",[2]stages!$2:$2,0)+1,FALSE)</f>
        <v>水曜クエスト</v>
      </c>
      <c r="H100" s="86">
        <v>0</v>
      </c>
      <c r="I100">
        <v>33</v>
      </c>
      <c r="J100" s="85" t="s">
        <v>193</v>
      </c>
      <c r="K100" s="94" t="str">
        <f>VLOOKUP(I100,[7]stage_hints!$A:$C,3,FALSE)</f>
        <v>敵のカウンター攻撃には</v>
      </c>
      <c r="L100" s="95" t="str">
        <f>VLOOKUP(I100,[7]stage_hints!$A:$D,4,FALSE)</f>
        <v>カウンターブレイクスキルを持っていれば_x000D_敵のカウンターを解除して攻撃ができます</v>
      </c>
      <c r="M100" s="57" t="s">
        <v>195</v>
      </c>
    </row>
    <row r="101" spans="1:13" x14ac:dyDescent="0.15">
      <c r="A101" s="82" t="s">
        <v>196</v>
      </c>
      <c r="B101" s="83">
        <f>floors!$C$32</f>
        <v>11003</v>
      </c>
      <c r="C101" s="84" t="str">
        <f ca="1">VLOOKUP($B101,OFFSET([2]quests!$A$1,0,0,COUNTA([2]quests!$A:$A),MATCH(C$1,[2]quests!$1:$1,0)-MATCH($B$1,[2]quests!$1:$1,0)+1),MATCH(C$1,[2]quests!$1:$1,0)-MATCH($B$1,[2]quests!$1:$1,0)+1,FALSE)</f>
        <v>【水曜限定】 青の素材</v>
      </c>
      <c r="D101" s="84" t="str">
        <f ca="1">VLOOKUP($B101,OFFSET([2]quests!$A$1,0,0,COUNTA([2]quests!$A:$A),MATCH(D$1,[2]quests!$1:$1,0)-MATCH($B$1,[2]quests!$1:$1,0)+1),MATCH(D$1,[2]quests!$1:$1,0)-MATCH($B$1,[2]quests!$1:$1,0)+1,FALSE)</f>
        <v>水曜クエスト</v>
      </c>
      <c r="E101" s="88">
        <v>10</v>
      </c>
      <c r="F101" s="84" t="str">
        <f ca="1">VLOOKUP($B101&amp;"_"&amp;$E101,OFFSET([2]stages!$A$1,0,0,COUNTA([2]stages!$A:$A),MATCH(F$1,[2]stages!$2:$2,0)-MATCH("temp_stage",[2]stages!$2:$2,0)+1),MATCH(F$1,[2]stages!$2:$2,0)-MATCH("temp_stage",[2]stages!$2:$2,0)+1,FALSE)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01" s="84" t="str">
        <f ca="1">VLOOKUP($B101&amp;"_"&amp;$E101,OFFSET([2]stages!$A$1,0,0,COUNTA([2]stages!$A:$A),MATCH(G$1,[2]stages!$2:$2,0)-MATCH("temp_stage",[2]stages!$2:$2,0)+1),MATCH(G$1,[2]stages!$2:$2,0)-MATCH("temp_stage",[2]stages!$2:$2,0)+1,FALSE)</f>
        <v>水曜クエスト</v>
      </c>
      <c r="H101" s="86">
        <v>0</v>
      </c>
      <c r="I101">
        <v>34</v>
      </c>
      <c r="J101" s="85" t="s">
        <v>193</v>
      </c>
      <c r="K101" s="94" t="str">
        <f>VLOOKUP(I101,[7]stage_hints!$A:$C,3,FALSE)</f>
        <v>ステータスをスキルで下げられたら</v>
      </c>
      <c r="L101" s="95" t="str">
        <f>VLOOKUP(I101,[7]stage_hints!$A:$D,4,FALSE)</f>
        <v>ステータスダウンのスキルを受けたら_x000D_ステータスアップスキルで上書きしましょう</v>
      </c>
      <c r="M101" s="57" t="s">
        <v>195</v>
      </c>
    </row>
    <row r="102" spans="1:13" x14ac:dyDescent="0.15">
      <c r="A102" s="82" t="s">
        <v>196</v>
      </c>
      <c r="B102" s="83">
        <f>floors!$C$32</f>
        <v>11003</v>
      </c>
      <c r="C102" s="84" t="str">
        <f ca="1">VLOOKUP($B102,OFFSET([2]quests!$A$1,0,0,COUNTA([2]quests!$A:$A),MATCH(C$1,[2]quests!$1:$1,0)-MATCH($B$1,[2]quests!$1:$1,0)+1),MATCH(C$1,[2]quests!$1:$1,0)-MATCH($B$1,[2]quests!$1:$1,0)+1,FALSE)</f>
        <v>【水曜限定】 青の素材</v>
      </c>
      <c r="D102" s="84" t="str">
        <f ca="1">VLOOKUP($B102,OFFSET([2]quests!$A$1,0,0,COUNTA([2]quests!$A:$A),MATCH(D$1,[2]quests!$1:$1,0)-MATCH($B$1,[2]quests!$1:$1,0)+1),MATCH(D$1,[2]quests!$1:$1,0)-MATCH($B$1,[2]quests!$1:$1,0)+1,FALSE)</f>
        <v>水曜クエスト</v>
      </c>
      <c r="E102" s="88">
        <v>10</v>
      </c>
      <c r="F102" s="84" t="str">
        <f ca="1">VLOOKUP($B102&amp;"_"&amp;$E102,OFFSET([2]stages!$A$1,0,0,COUNTA([2]stages!$A:$A),MATCH(F$1,[2]stages!$2:$2,0)-MATCH("temp_stage",[2]stages!$2:$2,0)+1),MATCH(F$1,[2]stages!$2:$2,0)-MATCH("temp_stage",[2]stages!$2:$2,0)+1,FALSE)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02" s="84" t="str">
        <f ca="1">VLOOKUP($B102&amp;"_"&amp;$E102,OFFSET([2]stages!$A$1,0,0,COUNTA([2]stages!$A:$A),MATCH(G$1,[2]stages!$2:$2,0)-MATCH("temp_stage",[2]stages!$2:$2,0)+1),MATCH(G$1,[2]stages!$2:$2,0)-MATCH("temp_stage",[2]stages!$2:$2,0)+1,FALSE)</f>
        <v>水曜クエスト</v>
      </c>
      <c r="H102" s="86">
        <v>0</v>
      </c>
      <c r="I102">
        <v>35</v>
      </c>
      <c r="J102" s="85" t="s">
        <v>193</v>
      </c>
      <c r="K102" s="94" t="str">
        <f>VLOOKUP(I102,[7]stage_hints!$A:$C,3,FALSE)</f>
        <v>敵のステータスがスキルで上がったら</v>
      </c>
      <c r="L102" s="95" t="str">
        <f>VLOOKUP(I102,[7]stage_hints!$A:$D,4,FALSE)</f>
        <v>敵のステータスがスキルでアップしたときは_x000D_ステータスダウンスキルで上書きしましょう</v>
      </c>
      <c r="M102" s="57" t="s">
        <v>195</v>
      </c>
    </row>
    <row r="103" spans="1:13" x14ac:dyDescent="0.15">
      <c r="A103" s="82" t="s">
        <v>196</v>
      </c>
      <c r="B103" s="83">
        <f>floors!$C$32</f>
        <v>11003</v>
      </c>
      <c r="C103" s="84" t="str">
        <f ca="1">VLOOKUP($B103,OFFSET([2]quests!$A$1,0,0,COUNTA([2]quests!$A:$A),MATCH(C$1,[2]quests!$1:$1,0)-MATCH($B$1,[2]quests!$1:$1,0)+1),MATCH(C$1,[2]quests!$1:$1,0)-MATCH($B$1,[2]quests!$1:$1,0)+1,FALSE)</f>
        <v>【水曜限定】 青の素材</v>
      </c>
      <c r="D103" s="84" t="str">
        <f ca="1">VLOOKUP($B103,OFFSET([2]quests!$A$1,0,0,COUNTA([2]quests!$A:$A),MATCH(D$1,[2]quests!$1:$1,0)-MATCH($B$1,[2]quests!$1:$1,0)+1),MATCH(D$1,[2]quests!$1:$1,0)-MATCH($B$1,[2]quests!$1:$1,0)+1,FALSE)</f>
        <v>水曜クエスト</v>
      </c>
      <c r="E103" s="88">
        <v>10</v>
      </c>
      <c r="F103" s="84" t="str">
        <f ca="1">VLOOKUP($B103&amp;"_"&amp;$E103,OFFSET([2]stages!$A$1,0,0,COUNTA([2]stages!$A:$A),MATCH(F$1,[2]stages!$2:$2,0)-MATCH("temp_stage",[2]stages!$2:$2,0)+1),MATCH(F$1,[2]stages!$2:$2,0)-MATCH("temp_stage",[2]stages!$2:$2,0)+1,FALSE)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03" s="84" t="str">
        <f ca="1">VLOOKUP($B103&amp;"_"&amp;$E103,OFFSET([2]stages!$A$1,0,0,COUNTA([2]stages!$A:$A),MATCH(G$1,[2]stages!$2:$2,0)-MATCH("temp_stage",[2]stages!$2:$2,0)+1),MATCH(G$1,[2]stages!$2:$2,0)-MATCH("temp_stage",[2]stages!$2:$2,0)+1,FALSE)</f>
        <v>水曜クエスト</v>
      </c>
      <c r="H103" s="86">
        <v>0</v>
      </c>
      <c r="I103">
        <v>36</v>
      </c>
      <c r="J103" s="85" t="s">
        <v>193</v>
      </c>
      <c r="K103" s="94" t="str">
        <f>VLOOKUP(I103,[7]stage_hints!$A:$C,3,FALSE)</f>
        <v>チャレンジタワーのボス</v>
      </c>
      <c r="L103" s="95" t="str">
        <f>VLOOKUP(I103,[7]stage_hints!$A:$D,4,FALSE)</f>
        <v>チャレンジタワーでのみ登場するボスは_x000D_一定確率で獲得することができます</v>
      </c>
      <c r="M103" s="57" t="s">
        <v>195</v>
      </c>
    </row>
    <row r="104" spans="1:13" x14ac:dyDescent="0.15">
      <c r="A104" s="82" t="s">
        <v>196</v>
      </c>
      <c r="B104" s="83">
        <f>floors!$C$32</f>
        <v>11003</v>
      </c>
      <c r="C104" s="84" t="str">
        <f ca="1">VLOOKUP($B104,OFFSET([2]quests!$A$1,0,0,COUNTA([2]quests!$A:$A),MATCH(C$1,[2]quests!$1:$1,0)-MATCH($B$1,[2]quests!$1:$1,0)+1),MATCH(C$1,[2]quests!$1:$1,0)-MATCH($B$1,[2]quests!$1:$1,0)+1,FALSE)</f>
        <v>【水曜限定】 青の素材</v>
      </c>
      <c r="D104" s="84" t="str">
        <f ca="1">VLOOKUP($B104,OFFSET([2]quests!$A$1,0,0,COUNTA([2]quests!$A:$A),MATCH(D$1,[2]quests!$1:$1,0)-MATCH($B$1,[2]quests!$1:$1,0)+1),MATCH(D$1,[2]quests!$1:$1,0)-MATCH($B$1,[2]quests!$1:$1,0)+1,FALSE)</f>
        <v>水曜クエスト</v>
      </c>
      <c r="E104" s="88">
        <v>10</v>
      </c>
      <c r="F104" s="84" t="str">
        <f ca="1">VLOOKUP($B104&amp;"_"&amp;$E104,OFFSET([2]stages!$A$1,0,0,COUNTA([2]stages!$A:$A),MATCH(F$1,[2]stages!$2:$2,0)-MATCH("temp_stage",[2]stages!$2:$2,0)+1),MATCH(F$1,[2]stages!$2:$2,0)-MATCH("temp_stage",[2]stages!$2:$2,0)+1,FALSE)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04" s="84" t="str">
        <f ca="1">VLOOKUP($B104&amp;"_"&amp;$E104,OFFSET([2]stages!$A$1,0,0,COUNTA([2]stages!$A:$A),MATCH(G$1,[2]stages!$2:$2,0)-MATCH("temp_stage",[2]stages!$2:$2,0)+1),MATCH(G$1,[2]stages!$2:$2,0)-MATCH("temp_stage",[2]stages!$2:$2,0)+1,FALSE)</f>
        <v>水曜クエスト</v>
      </c>
      <c r="H104" s="86">
        <v>0</v>
      </c>
      <c r="I104">
        <v>37</v>
      </c>
      <c r="J104" s="85" t="s">
        <v>193</v>
      </c>
      <c r="K104" s="94" t="str">
        <f>VLOOKUP(I104,[7]stage_hints!$A:$C,3,FALSE)</f>
        <v>限界突破値の引き継ぎ</v>
      </c>
      <c r="L104" s="95" t="str">
        <f>VLOOKUP(I104,[7]stage_hints!$A:$D,4,FALSE)</f>
        <v>同じユニットを強化で合成すると_x000D_限界突破値を引き継げます（覚醒前後も可）</v>
      </c>
      <c r="M104" s="57" t="s">
        <v>195</v>
      </c>
    </row>
    <row r="105" spans="1:13" x14ac:dyDescent="0.15">
      <c r="A105" s="105" t="s">
        <v>196</v>
      </c>
      <c r="B105" s="83">
        <f>floors!$C$32</f>
        <v>11003</v>
      </c>
      <c r="C105" s="84" t="str">
        <f ca="1">VLOOKUP($B105,OFFSET([2]quests!$A$1,0,0,COUNTA([2]quests!$A:$A),MATCH(C$1,[2]quests!$1:$1,0)-MATCH($B$1,[2]quests!$1:$1,0)+1),MATCH(C$1,[2]quests!$1:$1,0)-MATCH($B$1,[2]quests!$1:$1,0)+1,FALSE)</f>
        <v>【水曜限定】 青の素材</v>
      </c>
      <c r="D105" s="84" t="str">
        <f ca="1">VLOOKUP($B105,OFFSET([2]quests!$A$1,0,0,COUNTA([2]quests!$A:$A),MATCH(D$1,[2]quests!$1:$1,0)-MATCH($B$1,[2]quests!$1:$1,0)+1),MATCH(D$1,[2]quests!$1:$1,0)-MATCH($B$1,[2]quests!$1:$1,0)+1,FALSE)</f>
        <v>水曜クエスト</v>
      </c>
      <c r="E105" s="88">
        <v>10</v>
      </c>
      <c r="F105" s="84" t="str">
        <f ca="1">VLOOKUP($B105&amp;"_"&amp;$E105,OFFSET([2]stages!$A$1,0,0,COUNTA([2]stages!$A:$A),MATCH(F$1,[2]stages!$2:$2,0)-MATCH("temp_stage",[2]stages!$2:$2,0)+1),MATCH(F$1,[2]stages!$2:$2,0)-MATCH("temp_stage",[2]stages!$2:$2,0)+1,FALSE)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05" s="84" t="str">
        <f ca="1">VLOOKUP($B105&amp;"_"&amp;$E105,OFFSET([2]stages!$A$1,0,0,COUNTA([2]stages!$A:$A),MATCH(G$1,[2]stages!$2:$2,0)-MATCH("temp_stage",[2]stages!$2:$2,0)+1),MATCH(G$1,[2]stages!$2:$2,0)-MATCH("temp_stage",[2]stages!$2:$2,0)+1,FALSE)</f>
        <v>水曜クエスト</v>
      </c>
      <c r="H105" s="86">
        <v>0</v>
      </c>
      <c r="I105">
        <v>39</v>
      </c>
      <c r="J105" s="85" t="s">
        <v>193</v>
      </c>
      <c r="K105" s="94" t="str">
        <f>VLOOKUP(I105,[7]stage_hints!$A:$C,3,FALSE)</f>
        <v>システム適合者を確認</v>
      </c>
      <c r="L105" s="95" t="str">
        <f>VLOOKUP(I105,[7]stage_hints!$A:$D,4,FALSE)</f>
        <v>ALICEが 「アナタ」を呼んでいます</v>
      </c>
      <c r="M105" s="57" t="s">
        <v>195</v>
      </c>
    </row>
    <row r="106" spans="1:13" x14ac:dyDescent="0.15">
      <c r="A106" s="82" t="s">
        <v>196</v>
      </c>
      <c r="B106" s="83">
        <f>floors!$C$50</f>
        <v>11101</v>
      </c>
      <c r="C106" s="84" t="str">
        <f ca="1">VLOOKUP($B106,OFFSET([2]quests!$A$1,0,0,COUNTA([2]quests!$A:$A),MATCH(C$1,[2]quests!$1:$1,0)-MATCH($B$1,[2]quests!$1:$1,0)+1),MATCH(C$1,[2]quests!$1:$1,0)-MATCH($B$1,[2]quests!$1:$1,0)+1,FALSE)</f>
        <v>【期間限定】 黄の素材</v>
      </c>
      <c r="D106" s="84" t="str">
        <f ca="1">VLOOKUP($B106,OFFSET([2]quests!$A$1,0,0,COUNTA([2]quests!$A:$A),MATCH(D$1,[2]quests!$1:$1,0)-MATCH($B$1,[2]quests!$1:$1,0)+1),MATCH(D$1,[2]quests!$1:$1,0)-MATCH($B$1,[2]quests!$1:$1,0)+1,FALSE)</f>
        <v>月曜クエスト</v>
      </c>
      <c r="E106" s="88">
        <v>10</v>
      </c>
      <c r="F106" s="84" t="str">
        <f ca="1">VLOOKUP($B106&amp;"_"&amp;$E106,OFFSET([2]stages!$A$1,0,0,COUNTA([2]stages!$A:$A),MATCH(F$1,[2]stages!$2:$2,0)-MATCH("temp_stage",[2]stages!$2:$2,0)+1),MATCH(F$1,[2]stages!$2:$2,0)-MATCH("temp_stage",[2]stages!$2:$2,0)+1,FALSE)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06" s="84" t="str">
        <f ca="1">VLOOKUP($B106&amp;"_"&amp;$E106,OFFSET([2]stages!$A$1,0,0,COUNTA([2]stages!$A:$A),MATCH(G$1,[2]stages!$2:$2,0)-MATCH("temp_stage",[2]stages!$2:$2,0)+1),MATCH(G$1,[2]stages!$2:$2,0)-MATCH("temp_stage",[2]stages!$2:$2,0)+1,FALSE)</f>
        <v>月曜クエスト</v>
      </c>
      <c r="H106" s="86">
        <v>0</v>
      </c>
      <c r="I106">
        <v>12</v>
      </c>
      <c r="J106" s="85" t="s">
        <v>193</v>
      </c>
      <c r="K106" s="94" t="str">
        <f>VLOOKUP(I106,[7]stage_hints!$A:$C,3,FALSE)</f>
        <v>ユニットのお気に入り登録</v>
      </c>
      <c r="L106" s="95" t="str">
        <f>VLOOKUP(I106,[7]stage_hints!$A:$D,4,FALSE)</f>
        <v>大事なユニットを誤って消さないように_x000D_フォルダから「お気に入り登録」しましょう</v>
      </c>
      <c r="M106" s="57" t="s">
        <v>195</v>
      </c>
    </row>
    <row r="107" spans="1:13" x14ac:dyDescent="0.15">
      <c r="A107" s="82" t="s">
        <v>196</v>
      </c>
      <c r="B107" s="83">
        <f>floors!$C$50</f>
        <v>11101</v>
      </c>
      <c r="C107" s="84" t="str">
        <f ca="1">VLOOKUP($B107,OFFSET([2]quests!$A$1,0,0,COUNTA([2]quests!$A:$A),MATCH(C$1,[2]quests!$1:$1,0)-MATCH($B$1,[2]quests!$1:$1,0)+1),MATCH(C$1,[2]quests!$1:$1,0)-MATCH($B$1,[2]quests!$1:$1,0)+1,FALSE)</f>
        <v>【期間限定】 黄の素材</v>
      </c>
      <c r="D107" s="84" t="str">
        <f ca="1">VLOOKUP($B107,OFFSET([2]quests!$A$1,0,0,COUNTA([2]quests!$A:$A),MATCH(D$1,[2]quests!$1:$1,0)-MATCH($B$1,[2]quests!$1:$1,0)+1),MATCH(D$1,[2]quests!$1:$1,0)-MATCH($B$1,[2]quests!$1:$1,0)+1,FALSE)</f>
        <v>月曜クエスト</v>
      </c>
      <c r="E107" s="88">
        <v>10</v>
      </c>
      <c r="F107" s="84" t="str">
        <f ca="1">VLOOKUP($B107&amp;"_"&amp;$E107,OFFSET([2]stages!$A$1,0,0,COUNTA([2]stages!$A:$A),MATCH(F$1,[2]stages!$2:$2,0)-MATCH("temp_stage",[2]stages!$2:$2,0)+1),MATCH(F$1,[2]stages!$2:$2,0)-MATCH("temp_stage",[2]stages!$2:$2,0)+1,FALSE)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07" s="84" t="str">
        <f ca="1">VLOOKUP($B107&amp;"_"&amp;$E107,OFFSET([2]stages!$A$1,0,0,COUNTA([2]stages!$A:$A),MATCH(G$1,[2]stages!$2:$2,0)-MATCH("temp_stage",[2]stages!$2:$2,0)+1),MATCH(G$1,[2]stages!$2:$2,0)-MATCH("temp_stage",[2]stages!$2:$2,0)+1,FALSE)</f>
        <v>月曜クエスト</v>
      </c>
      <c r="H107" s="86">
        <v>0</v>
      </c>
      <c r="I107">
        <v>17</v>
      </c>
      <c r="J107" s="85" t="s">
        <v>193</v>
      </c>
      <c r="K107" s="94" t="str">
        <f>VLOOKUP(I107,[7]stage_hints!$A:$C,3,FALSE)</f>
        <v>リンクガチャ</v>
      </c>
      <c r="L107" s="95" t="str">
        <f>VLOOKUP(I107,[7]stage_hints!$A:$D,4,FALSE)</f>
        <v>無料のリンクガチャを回して_x000D_経験値素材や売却素材を獲得しましょう</v>
      </c>
      <c r="M107" s="57" t="s">
        <v>195</v>
      </c>
    </row>
    <row r="108" spans="1:13" x14ac:dyDescent="0.15">
      <c r="A108" s="82" t="s">
        <v>196</v>
      </c>
      <c r="B108" s="83">
        <f>floors!$C$50</f>
        <v>11101</v>
      </c>
      <c r="C108" s="84" t="str">
        <f ca="1">VLOOKUP($B108,OFFSET([2]quests!$A$1,0,0,COUNTA([2]quests!$A:$A),MATCH(C$1,[2]quests!$1:$1,0)-MATCH($B$1,[2]quests!$1:$1,0)+1),MATCH(C$1,[2]quests!$1:$1,0)-MATCH($B$1,[2]quests!$1:$1,0)+1,FALSE)</f>
        <v>【期間限定】 黄の素材</v>
      </c>
      <c r="D108" s="84" t="str">
        <f ca="1">VLOOKUP($B108,OFFSET([2]quests!$A$1,0,0,COUNTA([2]quests!$A:$A),MATCH(D$1,[2]quests!$1:$1,0)-MATCH($B$1,[2]quests!$1:$1,0)+1),MATCH(D$1,[2]quests!$1:$1,0)-MATCH($B$1,[2]quests!$1:$1,0)+1,FALSE)</f>
        <v>月曜クエスト</v>
      </c>
      <c r="E108" s="88">
        <v>10</v>
      </c>
      <c r="F108" s="84" t="str">
        <f ca="1">VLOOKUP($B108&amp;"_"&amp;$E108,OFFSET([2]stages!$A$1,0,0,COUNTA([2]stages!$A:$A),MATCH(F$1,[2]stages!$2:$2,0)-MATCH("temp_stage",[2]stages!$2:$2,0)+1),MATCH(F$1,[2]stages!$2:$2,0)-MATCH("temp_stage",[2]stages!$2:$2,0)+1,FALSE)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08" s="84" t="str">
        <f ca="1">VLOOKUP($B108&amp;"_"&amp;$E108,OFFSET([2]stages!$A$1,0,0,COUNTA([2]stages!$A:$A),MATCH(G$1,[2]stages!$2:$2,0)-MATCH("temp_stage",[2]stages!$2:$2,0)+1),MATCH(G$1,[2]stages!$2:$2,0)-MATCH("temp_stage",[2]stages!$2:$2,0)+1,FALSE)</f>
        <v>月曜クエスト</v>
      </c>
      <c r="H108" s="86">
        <v>0</v>
      </c>
      <c r="I108">
        <v>19</v>
      </c>
      <c r="J108" s="85" t="s">
        <v>193</v>
      </c>
      <c r="K108" s="94" t="str">
        <f>VLOOKUP(I108,[7]stage_hints!$A:$C,3,FALSE)</f>
        <v>ソロ専用チャレンジタワー</v>
      </c>
      <c r="L108" s="95" t="str">
        <f>VLOOKUP(I108,[7]stage_hints!$A:$D,4,FALSE)</f>
        <v>ソロ専用の「チャレンジタワー」では_x000D_各フロアごとにクリア報酬がもらえます</v>
      </c>
      <c r="M108" s="57" t="s">
        <v>195</v>
      </c>
    </row>
    <row r="109" spans="1:13" x14ac:dyDescent="0.15">
      <c r="A109" s="82" t="s">
        <v>196</v>
      </c>
      <c r="B109" s="83">
        <f>floors!$C$50</f>
        <v>11101</v>
      </c>
      <c r="C109" s="84" t="str">
        <f ca="1">VLOOKUP($B109,OFFSET([2]quests!$A$1,0,0,COUNTA([2]quests!$A:$A),MATCH(C$1,[2]quests!$1:$1,0)-MATCH($B$1,[2]quests!$1:$1,0)+1),MATCH(C$1,[2]quests!$1:$1,0)-MATCH($B$1,[2]quests!$1:$1,0)+1,FALSE)</f>
        <v>【期間限定】 黄の素材</v>
      </c>
      <c r="D109" s="84" t="str">
        <f ca="1">VLOOKUP($B109,OFFSET([2]quests!$A$1,0,0,COUNTA([2]quests!$A:$A),MATCH(D$1,[2]quests!$1:$1,0)-MATCH($B$1,[2]quests!$1:$1,0)+1),MATCH(D$1,[2]quests!$1:$1,0)-MATCH($B$1,[2]quests!$1:$1,0)+1,FALSE)</f>
        <v>月曜クエスト</v>
      </c>
      <c r="E109" s="88">
        <v>10</v>
      </c>
      <c r="F109" s="84" t="str">
        <f ca="1">VLOOKUP($B109&amp;"_"&amp;$E109,OFFSET([2]stages!$A$1,0,0,COUNTA([2]stages!$A:$A),MATCH(F$1,[2]stages!$2:$2,0)-MATCH("temp_stage",[2]stages!$2:$2,0)+1),MATCH(F$1,[2]stages!$2:$2,0)-MATCH("temp_stage",[2]stages!$2:$2,0)+1,FALSE)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09" s="84" t="str">
        <f ca="1">VLOOKUP($B109&amp;"_"&amp;$E109,OFFSET([2]stages!$A$1,0,0,COUNTA([2]stages!$A:$A),MATCH(G$1,[2]stages!$2:$2,0)-MATCH("temp_stage",[2]stages!$2:$2,0)+1),MATCH(G$1,[2]stages!$2:$2,0)-MATCH("temp_stage",[2]stages!$2:$2,0)+1,FALSE)</f>
        <v>月曜クエスト</v>
      </c>
      <c r="H109" s="86">
        <v>0</v>
      </c>
      <c r="I109">
        <v>21</v>
      </c>
      <c r="J109" s="85" t="s">
        <v>193</v>
      </c>
      <c r="K109" s="94" t="str">
        <f>VLOOKUP(I109,[7]stage_hints!$A:$C,3,FALSE)</f>
        <v>スキルを有効に</v>
      </c>
      <c r="L109" s="95" t="str">
        <f>VLOOKUP(I109,[7]stage_hints!$A:$D,4,FALSE)</f>
        <v>ターン経過でユニットのスキルが使えます_x000D_強力スキルでバトルを有利に進めましょう</v>
      </c>
      <c r="M109" s="57" t="s">
        <v>195</v>
      </c>
    </row>
    <row r="110" spans="1:13" x14ac:dyDescent="0.15">
      <c r="A110" s="82" t="s">
        <v>196</v>
      </c>
      <c r="B110" s="83">
        <f>floors!$C$50</f>
        <v>11101</v>
      </c>
      <c r="C110" s="84" t="str">
        <f ca="1">VLOOKUP($B110,OFFSET([2]quests!$A$1,0,0,COUNTA([2]quests!$A:$A),MATCH(C$1,[2]quests!$1:$1,0)-MATCH($B$1,[2]quests!$1:$1,0)+1),MATCH(C$1,[2]quests!$1:$1,0)-MATCH($B$1,[2]quests!$1:$1,0)+1,FALSE)</f>
        <v>【期間限定】 黄の素材</v>
      </c>
      <c r="D110" s="84" t="str">
        <f ca="1">VLOOKUP($B110,OFFSET([2]quests!$A$1,0,0,COUNTA([2]quests!$A:$A),MATCH(D$1,[2]quests!$1:$1,0)-MATCH($B$1,[2]quests!$1:$1,0)+1),MATCH(D$1,[2]quests!$1:$1,0)-MATCH($B$1,[2]quests!$1:$1,0)+1,FALSE)</f>
        <v>月曜クエスト</v>
      </c>
      <c r="E110" s="88">
        <v>10</v>
      </c>
      <c r="F110" s="84" t="str">
        <f ca="1">VLOOKUP($B110&amp;"_"&amp;$E110,OFFSET([2]stages!$A$1,0,0,COUNTA([2]stages!$A:$A),MATCH(F$1,[2]stages!$2:$2,0)-MATCH("temp_stage",[2]stages!$2:$2,0)+1),MATCH(F$1,[2]stages!$2:$2,0)-MATCH("temp_stage",[2]stages!$2:$2,0)+1,FALSE)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10" s="84" t="str">
        <f ca="1">VLOOKUP($B110&amp;"_"&amp;$E110,OFFSET([2]stages!$A$1,0,0,COUNTA([2]stages!$A:$A),MATCH(G$1,[2]stages!$2:$2,0)-MATCH("temp_stage",[2]stages!$2:$2,0)+1),MATCH(G$1,[2]stages!$2:$2,0)-MATCH("temp_stage",[2]stages!$2:$2,0)+1,FALSE)</f>
        <v>月曜クエスト</v>
      </c>
      <c r="H110" s="86">
        <v>0</v>
      </c>
      <c r="I110">
        <v>29</v>
      </c>
      <c r="J110" s="85" t="s">
        <v>193</v>
      </c>
      <c r="K110" s="94" t="str">
        <f>VLOOKUP(I110,[7]stage_hints!$A:$C,3,FALSE)</f>
        <v>「バグ」のメリット</v>
      </c>
      <c r="L110" s="95" t="str">
        <f>VLOOKUP(I110,[7]stage_hints!$A:$D,4,FALSE)</f>
        <v>ユニットの「バグ」を増やすと_x000D_報酬をもらえる確率がアップします</v>
      </c>
      <c r="M110" s="57" t="s">
        <v>195</v>
      </c>
    </row>
    <row r="111" spans="1:13" x14ac:dyDescent="0.15">
      <c r="A111" s="82" t="s">
        <v>196</v>
      </c>
      <c r="B111" s="83">
        <f>floors!$C$50</f>
        <v>11101</v>
      </c>
      <c r="C111" s="84" t="str">
        <f ca="1">VLOOKUP($B111,OFFSET([2]quests!$A$1,0,0,COUNTA([2]quests!$A:$A),MATCH(C$1,[2]quests!$1:$1,0)-MATCH($B$1,[2]quests!$1:$1,0)+1),MATCH(C$1,[2]quests!$1:$1,0)-MATCH($B$1,[2]quests!$1:$1,0)+1,FALSE)</f>
        <v>【期間限定】 黄の素材</v>
      </c>
      <c r="D111" s="84" t="str">
        <f ca="1">VLOOKUP($B111,OFFSET([2]quests!$A$1,0,0,COUNTA([2]quests!$A:$A),MATCH(D$1,[2]quests!$1:$1,0)-MATCH($B$1,[2]quests!$1:$1,0)+1),MATCH(D$1,[2]quests!$1:$1,0)-MATCH($B$1,[2]quests!$1:$1,0)+1,FALSE)</f>
        <v>月曜クエスト</v>
      </c>
      <c r="E111" s="88">
        <v>10</v>
      </c>
      <c r="F111" s="84" t="str">
        <f ca="1">VLOOKUP($B111&amp;"_"&amp;$E111,OFFSET([2]stages!$A$1,0,0,COUNTA([2]stages!$A:$A),MATCH(F$1,[2]stages!$2:$2,0)-MATCH("temp_stage",[2]stages!$2:$2,0)+1),MATCH(F$1,[2]stages!$2:$2,0)-MATCH("temp_stage",[2]stages!$2:$2,0)+1,FALSE)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11" s="84" t="str">
        <f ca="1">VLOOKUP($B111&amp;"_"&amp;$E111,OFFSET([2]stages!$A$1,0,0,COUNTA([2]stages!$A:$A),MATCH(G$1,[2]stages!$2:$2,0)-MATCH("temp_stage",[2]stages!$2:$2,0)+1),MATCH(G$1,[2]stages!$2:$2,0)-MATCH("temp_stage",[2]stages!$2:$2,0)+1,FALSE)</f>
        <v>月曜クエスト</v>
      </c>
      <c r="H111" s="86">
        <v>0</v>
      </c>
      <c r="I111">
        <v>30</v>
      </c>
      <c r="J111" s="85" t="s">
        <v>193</v>
      </c>
      <c r="K111" s="94" t="str">
        <f>VLOOKUP(I111,[7]stage_hints!$A:$C,3,FALSE)</f>
        <v>「バグ」の増やし方</v>
      </c>
      <c r="L111" s="95" t="str">
        <f>VLOOKUP(I111,[7]stage_hints!$A:$D,4,FALSE)</f>
        <v>同じユニット同士を強化で合成すると_x000D_「バグ」を増やすことができます</v>
      </c>
      <c r="M111" s="57" t="s">
        <v>195</v>
      </c>
    </row>
    <row r="112" spans="1:13" x14ac:dyDescent="0.15">
      <c r="A112" s="82" t="s">
        <v>196</v>
      </c>
      <c r="B112" s="83">
        <f>floors!$C$50</f>
        <v>11101</v>
      </c>
      <c r="C112" s="84" t="str">
        <f ca="1">VLOOKUP($B112,OFFSET([2]quests!$A$1,0,0,COUNTA([2]quests!$A:$A),MATCH(C$1,[2]quests!$1:$1,0)-MATCH($B$1,[2]quests!$1:$1,0)+1),MATCH(C$1,[2]quests!$1:$1,0)-MATCH($B$1,[2]quests!$1:$1,0)+1,FALSE)</f>
        <v>【期間限定】 黄の素材</v>
      </c>
      <c r="D112" s="84" t="str">
        <f ca="1">VLOOKUP($B112,OFFSET([2]quests!$A$1,0,0,COUNTA([2]quests!$A:$A),MATCH(D$1,[2]quests!$1:$1,0)-MATCH($B$1,[2]quests!$1:$1,0)+1),MATCH(D$1,[2]quests!$1:$1,0)-MATCH($B$1,[2]quests!$1:$1,0)+1,FALSE)</f>
        <v>月曜クエスト</v>
      </c>
      <c r="E112" s="88">
        <v>10</v>
      </c>
      <c r="F112" s="84" t="str">
        <f ca="1">VLOOKUP($B112&amp;"_"&amp;$E112,OFFSET([2]stages!$A$1,0,0,COUNTA([2]stages!$A:$A),MATCH(F$1,[2]stages!$2:$2,0)-MATCH("temp_stage",[2]stages!$2:$2,0)+1),MATCH(F$1,[2]stages!$2:$2,0)-MATCH("temp_stage",[2]stages!$2:$2,0)+1,FALSE)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12" s="84" t="str">
        <f ca="1">VLOOKUP($B112&amp;"_"&amp;$E112,OFFSET([2]stages!$A$1,0,0,COUNTA([2]stages!$A:$A),MATCH(G$1,[2]stages!$2:$2,0)-MATCH("temp_stage",[2]stages!$2:$2,0)+1),MATCH(G$1,[2]stages!$2:$2,0)-MATCH("temp_stage",[2]stages!$2:$2,0)+1,FALSE)</f>
        <v>月曜クエスト</v>
      </c>
      <c r="H112" s="86">
        <v>0</v>
      </c>
      <c r="I112">
        <v>32</v>
      </c>
      <c r="J112" s="85" t="s">
        <v>193</v>
      </c>
      <c r="K112" s="94" t="str">
        <f>VLOOKUP(I112,[7]stage_hints!$A:$C,3,FALSE)</f>
        <v>敵の連続攻撃には</v>
      </c>
      <c r="L112" s="95" t="str">
        <f>VLOOKUP(I112,[7]stage_hints!$A:$D,4,FALSE)</f>
        <v>カウンタースキルを持つユニットがいれば_x000D_ダメージ回数分の反撃ができます</v>
      </c>
      <c r="M112" s="57" t="s">
        <v>195</v>
      </c>
    </row>
    <row r="113" spans="1:13" x14ac:dyDescent="0.15">
      <c r="A113" s="82" t="s">
        <v>196</v>
      </c>
      <c r="B113" s="83">
        <f>floors!$C$50</f>
        <v>11101</v>
      </c>
      <c r="C113" s="84" t="str">
        <f ca="1">VLOOKUP($B113,OFFSET([2]quests!$A$1,0,0,COUNTA([2]quests!$A:$A),MATCH(C$1,[2]quests!$1:$1,0)-MATCH($B$1,[2]quests!$1:$1,0)+1),MATCH(C$1,[2]quests!$1:$1,0)-MATCH($B$1,[2]quests!$1:$1,0)+1,FALSE)</f>
        <v>【期間限定】 黄の素材</v>
      </c>
      <c r="D113" s="84" t="str">
        <f ca="1">VLOOKUP($B113,OFFSET([2]quests!$A$1,0,0,COUNTA([2]quests!$A:$A),MATCH(D$1,[2]quests!$1:$1,0)-MATCH($B$1,[2]quests!$1:$1,0)+1),MATCH(D$1,[2]quests!$1:$1,0)-MATCH($B$1,[2]quests!$1:$1,0)+1,FALSE)</f>
        <v>月曜クエスト</v>
      </c>
      <c r="E113" s="88">
        <v>10</v>
      </c>
      <c r="F113" s="84" t="str">
        <f ca="1">VLOOKUP($B113&amp;"_"&amp;$E113,OFFSET([2]stages!$A$1,0,0,COUNTA([2]stages!$A:$A),MATCH(F$1,[2]stages!$2:$2,0)-MATCH("temp_stage",[2]stages!$2:$2,0)+1),MATCH(F$1,[2]stages!$2:$2,0)-MATCH("temp_stage",[2]stages!$2:$2,0)+1,FALSE)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13" s="84" t="str">
        <f ca="1">VLOOKUP($B113&amp;"_"&amp;$E113,OFFSET([2]stages!$A$1,0,0,COUNTA([2]stages!$A:$A),MATCH(G$1,[2]stages!$2:$2,0)-MATCH("temp_stage",[2]stages!$2:$2,0)+1),MATCH(G$1,[2]stages!$2:$2,0)-MATCH("temp_stage",[2]stages!$2:$2,0)+1,FALSE)</f>
        <v>月曜クエスト</v>
      </c>
      <c r="H113" s="86">
        <v>0</v>
      </c>
      <c r="I113">
        <v>33</v>
      </c>
      <c r="J113" s="85" t="s">
        <v>193</v>
      </c>
      <c r="K113" s="94" t="str">
        <f>VLOOKUP(I113,[7]stage_hints!$A:$C,3,FALSE)</f>
        <v>敵のカウンター攻撃には</v>
      </c>
      <c r="L113" s="95" t="str">
        <f>VLOOKUP(I113,[7]stage_hints!$A:$D,4,FALSE)</f>
        <v>カウンターブレイクスキルを持っていれば_x000D_敵のカウンターを解除して攻撃ができます</v>
      </c>
      <c r="M113" s="57" t="s">
        <v>195</v>
      </c>
    </row>
    <row r="114" spans="1:13" x14ac:dyDescent="0.15">
      <c r="A114" s="82" t="s">
        <v>196</v>
      </c>
      <c r="B114" s="83">
        <f>floors!$C$50</f>
        <v>11101</v>
      </c>
      <c r="C114" s="84" t="str">
        <f ca="1">VLOOKUP($B114,OFFSET([2]quests!$A$1,0,0,COUNTA([2]quests!$A:$A),MATCH(C$1,[2]quests!$1:$1,0)-MATCH($B$1,[2]quests!$1:$1,0)+1),MATCH(C$1,[2]quests!$1:$1,0)-MATCH($B$1,[2]quests!$1:$1,0)+1,FALSE)</f>
        <v>【期間限定】 黄の素材</v>
      </c>
      <c r="D114" s="84" t="str">
        <f ca="1">VLOOKUP($B114,OFFSET([2]quests!$A$1,0,0,COUNTA([2]quests!$A:$A),MATCH(D$1,[2]quests!$1:$1,0)-MATCH($B$1,[2]quests!$1:$1,0)+1),MATCH(D$1,[2]quests!$1:$1,0)-MATCH($B$1,[2]quests!$1:$1,0)+1,FALSE)</f>
        <v>月曜クエスト</v>
      </c>
      <c r="E114" s="88">
        <v>10</v>
      </c>
      <c r="F114" s="84" t="str">
        <f ca="1">VLOOKUP($B114&amp;"_"&amp;$E114,OFFSET([2]stages!$A$1,0,0,COUNTA([2]stages!$A:$A),MATCH(F$1,[2]stages!$2:$2,0)-MATCH("temp_stage",[2]stages!$2:$2,0)+1),MATCH(F$1,[2]stages!$2:$2,0)-MATCH("temp_stage",[2]stages!$2:$2,0)+1,FALSE)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14" s="84" t="str">
        <f ca="1">VLOOKUP($B114&amp;"_"&amp;$E114,OFFSET([2]stages!$A$1,0,0,COUNTA([2]stages!$A:$A),MATCH(G$1,[2]stages!$2:$2,0)-MATCH("temp_stage",[2]stages!$2:$2,0)+1),MATCH(G$1,[2]stages!$2:$2,0)-MATCH("temp_stage",[2]stages!$2:$2,0)+1,FALSE)</f>
        <v>月曜クエスト</v>
      </c>
      <c r="H114" s="86">
        <v>0</v>
      </c>
      <c r="I114">
        <v>34</v>
      </c>
      <c r="J114" s="85" t="s">
        <v>193</v>
      </c>
      <c r="K114" s="94" t="str">
        <f>VLOOKUP(I114,[7]stage_hints!$A:$C,3,FALSE)</f>
        <v>ステータスをスキルで下げられたら</v>
      </c>
      <c r="L114" s="95" t="str">
        <f>VLOOKUP(I114,[7]stage_hints!$A:$D,4,FALSE)</f>
        <v>ステータスダウンのスキルを受けたら_x000D_ステータスアップスキルで上書きしましょう</v>
      </c>
      <c r="M114" s="57" t="s">
        <v>195</v>
      </c>
    </row>
    <row r="115" spans="1:13" x14ac:dyDescent="0.15">
      <c r="A115" s="82" t="s">
        <v>196</v>
      </c>
      <c r="B115" s="83">
        <f>floors!$C$50</f>
        <v>11101</v>
      </c>
      <c r="C115" s="84" t="str">
        <f ca="1">VLOOKUP($B115,OFFSET([2]quests!$A$1,0,0,COUNTA([2]quests!$A:$A),MATCH(C$1,[2]quests!$1:$1,0)-MATCH($B$1,[2]quests!$1:$1,0)+1),MATCH(C$1,[2]quests!$1:$1,0)-MATCH($B$1,[2]quests!$1:$1,0)+1,FALSE)</f>
        <v>【期間限定】 黄の素材</v>
      </c>
      <c r="D115" s="84" t="str">
        <f ca="1">VLOOKUP($B115,OFFSET([2]quests!$A$1,0,0,COUNTA([2]quests!$A:$A),MATCH(D$1,[2]quests!$1:$1,0)-MATCH($B$1,[2]quests!$1:$1,0)+1),MATCH(D$1,[2]quests!$1:$1,0)-MATCH($B$1,[2]quests!$1:$1,0)+1,FALSE)</f>
        <v>月曜クエスト</v>
      </c>
      <c r="E115" s="88">
        <v>10</v>
      </c>
      <c r="F115" s="84" t="str">
        <f ca="1">VLOOKUP($B115&amp;"_"&amp;$E115,OFFSET([2]stages!$A$1,0,0,COUNTA([2]stages!$A:$A),MATCH(F$1,[2]stages!$2:$2,0)-MATCH("temp_stage",[2]stages!$2:$2,0)+1),MATCH(F$1,[2]stages!$2:$2,0)-MATCH("temp_stage",[2]stages!$2:$2,0)+1,FALSE)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15" s="84" t="str">
        <f ca="1">VLOOKUP($B115&amp;"_"&amp;$E115,OFFSET([2]stages!$A$1,0,0,COUNTA([2]stages!$A:$A),MATCH(G$1,[2]stages!$2:$2,0)-MATCH("temp_stage",[2]stages!$2:$2,0)+1),MATCH(G$1,[2]stages!$2:$2,0)-MATCH("temp_stage",[2]stages!$2:$2,0)+1,FALSE)</f>
        <v>月曜クエスト</v>
      </c>
      <c r="H115" s="86">
        <v>0</v>
      </c>
      <c r="I115">
        <v>35</v>
      </c>
      <c r="J115" s="85" t="s">
        <v>193</v>
      </c>
      <c r="K115" s="94" t="str">
        <f>VLOOKUP(I115,[7]stage_hints!$A:$C,3,FALSE)</f>
        <v>敵のステータスがスキルで上がったら</v>
      </c>
      <c r="L115" s="95" t="str">
        <f>VLOOKUP(I115,[7]stage_hints!$A:$D,4,FALSE)</f>
        <v>敵のステータスがスキルでアップしたときは_x000D_ステータスダウンスキルで上書きしましょう</v>
      </c>
      <c r="M115" s="57" t="s">
        <v>195</v>
      </c>
    </row>
    <row r="116" spans="1:13" x14ac:dyDescent="0.15">
      <c r="A116" s="82" t="s">
        <v>196</v>
      </c>
      <c r="B116" s="83">
        <f>floors!$C$50</f>
        <v>11101</v>
      </c>
      <c r="C116" s="84" t="str">
        <f ca="1">VLOOKUP($B116,OFFSET([2]quests!$A$1,0,0,COUNTA([2]quests!$A:$A),MATCH(C$1,[2]quests!$1:$1,0)-MATCH($B$1,[2]quests!$1:$1,0)+1),MATCH(C$1,[2]quests!$1:$1,0)-MATCH($B$1,[2]quests!$1:$1,0)+1,FALSE)</f>
        <v>【期間限定】 黄の素材</v>
      </c>
      <c r="D116" s="84" t="str">
        <f ca="1">VLOOKUP($B116,OFFSET([2]quests!$A$1,0,0,COUNTA([2]quests!$A:$A),MATCH(D$1,[2]quests!$1:$1,0)-MATCH($B$1,[2]quests!$1:$1,0)+1),MATCH(D$1,[2]quests!$1:$1,0)-MATCH($B$1,[2]quests!$1:$1,0)+1,FALSE)</f>
        <v>月曜クエスト</v>
      </c>
      <c r="E116" s="88">
        <v>10</v>
      </c>
      <c r="F116" s="84" t="str">
        <f ca="1">VLOOKUP($B116&amp;"_"&amp;$E116,OFFSET([2]stages!$A$1,0,0,COUNTA([2]stages!$A:$A),MATCH(F$1,[2]stages!$2:$2,0)-MATCH("temp_stage",[2]stages!$2:$2,0)+1),MATCH(F$1,[2]stages!$2:$2,0)-MATCH("temp_stage",[2]stages!$2:$2,0)+1,FALSE)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16" s="84" t="str">
        <f ca="1">VLOOKUP($B116&amp;"_"&amp;$E116,OFFSET([2]stages!$A$1,0,0,COUNTA([2]stages!$A:$A),MATCH(G$1,[2]stages!$2:$2,0)-MATCH("temp_stage",[2]stages!$2:$2,0)+1),MATCH(G$1,[2]stages!$2:$2,0)-MATCH("temp_stage",[2]stages!$2:$2,0)+1,FALSE)</f>
        <v>月曜クエスト</v>
      </c>
      <c r="H116" s="86">
        <v>0</v>
      </c>
      <c r="I116">
        <v>36</v>
      </c>
      <c r="J116" s="85" t="s">
        <v>193</v>
      </c>
      <c r="K116" s="94" t="str">
        <f>VLOOKUP(I116,[7]stage_hints!$A:$C,3,FALSE)</f>
        <v>チャレンジタワーのボス</v>
      </c>
      <c r="L116" s="95" t="str">
        <f>VLOOKUP(I116,[7]stage_hints!$A:$D,4,FALSE)</f>
        <v>チャレンジタワーでのみ登場するボスは_x000D_一定確率で獲得することができます</v>
      </c>
      <c r="M116" s="57" t="s">
        <v>195</v>
      </c>
    </row>
    <row r="117" spans="1:13" x14ac:dyDescent="0.15">
      <c r="A117" s="82" t="s">
        <v>196</v>
      </c>
      <c r="B117" s="83">
        <f>floors!$C$50</f>
        <v>11101</v>
      </c>
      <c r="C117" s="84" t="str">
        <f ca="1">VLOOKUP($B117,OFFSET([2]quests!$A$1,0,0,COUNTA([2]quests!$A:$A),MATCH(C$1,[2]quests!$1:$1,0)-MATCH($B$1,[2]quests!$1:$1,0)+1),MATCH(C$1,[2]quests!$1:$1,0)-MATCH($B$1,[2]quests!$1:$1,0)+1,FALSE)</f>
        <v>【期間限定】 黄の素材</v>
      </c>
      <c r="D117" s="84" t="str">
        <f ca="1">VLOOKUP($B117,OFFSET([2]quests!$A$1,0,0,COUNTA([2]quests!$A:$A),MATCH(D$1,[2]quests!$1:$1,0)-MATCH($B$1,[2]quests!$1:$1,0)+1),MATCH(D$1,[2]quests!$1:$1,0)-MATCH($B$1,[2]quests!$1:$1,0)+1,FALSE)</f>
        <v>月曜クエスト</v>
      </c>
      <c r="E117" s="88">
        <v>10</v>
      </c>
      <c r="F117" s="84" t="str">
        <f ca="1">VLOOKUP($B117&amp;"_"&amp;$E117,OFFSET([2]stages!$A$1,0,0,COUNTA([2]stages!$A:$A),MATCH(F$1,[2]stages!$2:$2,0)-MATCH("temp_stage",[2]stages!$2:$2,0)+1),MATCH(F$1,[2]stages!$2:$2,0)-MATCH("temp_stage",[2]stages!$2:$2,0)+1,FALSE)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17" s="84" t="str">
        <f ca="1">VLOOKUP($B117&amp;"_"&amp;$E117,OFFSET([2]stages!$A$1,0,0,COUNTA([2]stages!$A:$A),MATCH(G$1,[2]stages!$2:$2,0)-MATCH("temp_stage",[2]stages!$2:$2,0)+1),MATCH(G$1,[2]stages!$2:$2,0)-MATCH("temp_stage",[2]stages!$2:$2,0)+1,FALSE)</f>
        <v>月曜クエスト</v>
      </c>
      <c r="H117" s="86">
        <v>0</v>
      </c>
      <c r="I117">
        <v>37</v>
      </c>
      <c r="J117" s="85" t="s">
        <v>193</v>
      </c>
      <c r="K117" s="94" t="str">
        <f>VLOOKUP(I117,[7]stage_hints!$A:$C,3,FALSE)</f>
        <v>限界突破値の引き継ぎ</v>
      </c>
      <c r="L117" s="95" t="str">
        <f>VLOOKUP(I117,[7]stage_hints!$A:$D,4,FALSE)</f>
        <v>同じユニットを強化で合成すると_x000D_限界突破値を引き継げます（覚醒前後も可）</v>
      </c>
      <c r="M117" s="57" t="s">
        <v>195</v>
      </c>
    </row>
    <row r="118" spans="1:13" x14ac:dyDescent="0.15">
      <c r="A118" s="105" t="s">
        <v>196</v>
      </c>
      <c r="B118" s="83">
        <f>floors!$C$50</f>
        <v>11101</v>
      </c>
      <c r="C118" s="84" t="str">
        <f ca="1">VLOOKUP($B118,OFFSET([2]quests!$A$1,0,0,COUNTA([2]quests!$A:$A),MATCH(C$1,[2]quests!$1:$1,0)-MATCH($B$1,[2]quests!$1:$1,0)+1),MATCH(C$1,[2]quests!$1:$1,0)-MATCH($B$1,[2]quests!$1:$1,0)+1,FALSE)</f>
        <v>【期間限定】 黄の素材</v>
      </c>
      <c r="D118" s="84" t="str">
        <f ca="1">VLOOKUP($B118,OFFSET([2]quests!$A$1,0,0,COUNTA([2]quests!$A:$A),MATCH(D$1,[2]quests!$1:$1,0)-MATCH($B$1,[2]quests!$1:$1,0)+1),MATCH(D$1,[2]quests!$1:$1,0)-MATCH($B$1,[2]quests!$1:$1,0)+1,FALSE)</f>
        <v>月曜クエスト</v>
      </c>
      <c r="E118" s="88">
        <v>10</v>
      </c>
      <c r="F118" s="84" t="str">
        <f ca="1">VLOOKUP($B118&amp;"_"&amp;$E118,OFFSET([2]stages!$A$1,0,0,COUNTA([2]stages!$A:$A),MATCH(F$1,[2]stages!$2:$2,0)-MATCH("temp_stage",[2]stages!$2:$2,0)+1),MATCH(F$1,[2]stages!$2:$2,0)-MATCH("temp_stage",[2]stages!$2:$2,0)+1,FALSE)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118" s="84" t="str">
        <f ca="1">VLOOKUP($B118&amp;"_"&amp;$E118,OFFSET([2]stages!$A$1,0,0,COUNTA([2]stages!$A:$A),MATCH(G$1,[2]stages!$2:$2,0)-MATCH("temp_stage",[2]stages!$2:$2,0)+1),MATCH(G$1,[2]stages!$2:$2,0)-MATCH("temp_stage",[2]stages!$2:$2,0)+1,FALSE)</f>
        <v>月曜クエスト</v>
      </c>
      <c r="H118" s="86">
        <v>0</v>
      </c>
      <c r="I118">
        <v>39</v>
      </c>
      <c r="J118" s="85" t="s">
        <v>193</v>
      </c>
      <c r="K118" s="94" t="str">
        <f>VLOOKUP(I118,[7]stage_hints!$A:$C,3,FALSE)</f>
        <v>システム適合者を確認</v>
      </c>
      <c r="L118" s="95" t="str">
        <f>VLOOKUP(I118,[7]stage_hints!$A:$D,4,FALSE)</f>
        <v>ALICEが 「アナタ」を呼んでいます</v>
      </c>
      <c r="M118" s="57" t="s">
        <v>195</v>
      </c>
    </row>
    <row r="119" spans="1:13" x14ac:dyDescent="0.15">
      <c r="A119" s="82" t="s">
        <v>196</v>
      </c>
      <c r="B119" s="83">
        <f>floors!$C$56</f>
        <v>11103</v>
      </c>
      <c r="C119" s="84" t="str">
        <f ca="1">VLOOKUP($B119,OFFSET([2]quests!$A$1,0,0,COUNTA([2]quests!$A:$A),MATCH(C$1,[2]quests!$1:$1,0)-MATCH($B$1,[2]quests!$1:$1,0)+1),MATCH(C$1,[2]quests!$1:$1,0)-MATCH($B$1,[2]quests!$1:$1,0)+1,FALSE)</f>
        <v>【期間限定】 青の素材</v>
      </c>
      <c r="D119" s="84" t="str">
        <f ca="1">VLOOKUP($B119,OFFSET([2]quests!$A$1,0,0,COUNTA([2]quests!$A:$A),MATCH(D$1,[2]quests!$1:$1,0)-MATCH($B$1,[2]quests!$1:$1,0)+1),MATCH(D$1,[2]quests!$1:$1,0)-MATCH($B$1,[2]quests!$1:$1,0)+1,FALSE)</f>
        <v>水曜クエスト</v>
      </c>
      <c r="E119" s="88">
        <v>10</v>
      </c>
      <c r="F119" s="84" t="str">
        <f ca="1">VLOOKUP($B119&amp;"_"&amp;$E119,OFFSET([2]stages!$A$1,0,0,COUNTA([2]stages!$A:$A),MATCH(F$1,[2]stages!$2:$2,0)-MATCH("temp_stage",[2]stages!$2:$2,0)+1),MATCH(F$1,[2]stages!$2:$2,0)-MATCH("temp_stage",[2]stages!$2:$2,0)+1,FALSE)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19" s="84" t="str">
        <f ca="1">VLOOKUP($B119&amp;"_"&amp;$E119,OFFSET([2]stages!$A$1,0,0,COUNTA([2]stages!$A:$A),MATCH(G$1,[2]stages!$2:$2,0)-MATCH("temp_stage",[2]stages!$2:$2,0)+1),MATCH(G$1,[2]stages!$2:$2,0)-MATCH("temp_stage",[2]stages!$2:$2,0)+1,FALSE)</f>
        <v>水曜クエスト</v>
      </c>
      <c r="H119" s="86">
        <v>0</v>
      </c>
      <c r="I119">
        <v>12</v>
      </c>
      <c r="J119" s="85" t="s">
        <v>193</v>
      </c>
      <c r="K119" s="94" t="str">
        <f>VLOOKUP(I119,[7]stage_hints!$A:$C,3,FALSE)</f>
        <v>ユニットのお気に入り登録</v>
      </c>
      <c r="L119" s="95" t="str">
        <f>VLOOKUP(I119,[7]stage_hints!$A:$D,4,FALSE)</f>
        <v>大事なユニットを誤って消さないように_x000D_フォルダから「お気に入り登録」しましょう</v>
      </c>
      <c r="M119" s="57" t="s">
        <v>195</v>
      </c>
    </row>
    <row r="120" spans="1:13" x14ac:dyDescent="0.15">
      <c r="A120" s="82" t="s">
        <v>196</v>
      </c>
      <c r="B120" s="83">
        <f>floors!$C$56</f>
        <v>11103</v>
      </c>
      <c r="C120" s="84" t="str">
        <f ca="1">VLOOKUP($B120,OFFSET([2]quests!$A$1,0,0,COUNTA([2]quests!$A:$A),MATCH(C$1,[2]quests!$1:$1,0)-MATCH($B$1,[2]quests!$1:$1,0)+1),MATCH(C$1,[2]quests!$1:$1,0)-MATCH($B$1,[2]quests!$1:$1,0)+1,FALSE)</f>
        <v>【期間限定】 青の素材</v>
      </c>
      <c r="D120" s="84" t="str">
        <f ca="1">VLOOKUP($B120,OFFSET([2]quests!$A$1,0,0,COUNTA([2]quests!$A:$A),MATCH(D$1,[2]quests!$1:$1,0)-MATCH($B$1,[2]quests!$1:$1,0)+1),MATCH(D$1,[2]quests!$1:$1,0)-MATCH($B$1,[2]quests!$1:$1,0)+1,FALSE)</f>
        <v>水曜クエスト</v>
      </c>
      <c r="E120" s="88">
        <v>10</v>
      </c>
      <c r="F120" s="84" t="str">
        <f ca="1">VLOOKUP($B120&amp;"_"&amp;$E120,OFFSET([2]stages!$A$1,0,0,COUNTA([2]stages!$A:$A),MATCH(F$1,[2]stages!$2:$2,0)-MATCH("temp_stage",[2]stages!$2:$2,0)+1),MATCH(F$1,[2]stages!$2:$2,0)-MATCH("temp_stage",[2]stages!$2:$2,0)+1,FALSE)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0" s="84" t="str">
        <f ca="1">VLOOKUP($B120&amp;"_"&amp;$E120,OFFSET([2]stages!$A$1,0,0,COUNTA([2]stages!$A:$A),MATCH(G$1,[2]stages!$2:$2,0)-MATCH("temp_stage",[2]stages!$2:$2,0)+1),MATCH(G$1,[2]stages!$2:$2,0)-MATCH("temp_stage",[2]stages!$2:$2,0)+1,FALSE)</f>
        <v>水曜クエスト</v>
      </c>
      <c r="H120" s="86">
        <v>0</v>
      </c>
      <c r="I120">
        <v>17</v>
      </c>
      <c r="J120" s="85" t="s">
        <v>193</v>
      </c>
      <c r="K120" s="94" t="str">
        <f>VLOOKUP(I120,[7]stage_hints!$A:$C,3,FALSE)</f>
        <v>リンクガチャ</v>
      </c>
      <c r="L120" s="95" t="str">
        <f>VLOOKUP(I120,[7]stage_hints!$A:$D,4,FALSE)</f>
        <v>無料のリンクガチャを回して_x000D_経験値素材や売却素材を獲得しましょう</v>
      </c>
      <c r="M120" s="57" t="s">
        <v>195</v>
      </c>
    </row>
    <row r="121" spans="1:13" x14ac:dyDescent="0.15">
      <c r="A121" s="82" t="s">
        <v>196</v>
      </c>
      <c r="B121" s="83">
        <f>floors!$C$56</f>
        <v>11103</v>
      </c>
      <c r="C121" s="84" t="str">
        <f ca="1">VLOOKUP($B121,OFFSET([2]quests!$A$1,0,0,COUNTA([2]quests!$A:$A),MATCH(C$1,[2]quests!$1:$1,0)-MATCH($B$1,[2]quests!$1:$1,0)+1),MATCH(C$1,[2]quests!$1:$1,0)-MATCH($B$1,[2]quests!$1:$1,0)+1,FALSE)</f>
        <v>【期間限定】 青の素材</v>
      </c>
      <c r="D121" s="84" t="str">
        <f ca="1">VLOOKUP($B121,OFFSET([2]quests!$A$1,0,0,COUNTA([2]quests!$A:$A),MATCH(D$1,[2]quests!$1:$1,0)-MATCH($B$1,[2]quests!$1:$1,0)+1),MATCH(D$1,[2]quests!$1:$1,0)-MATCH($B$1,[2]quests!$1:$1,0)+1,FALSE)</f>
        <v>水曜クエスト</v>
      </c>
      <c r="E121" s="88">
        <v>10</v>
      </c>
      <c r="F121" s="84" t="str">
        <f ca="1">VLOOKUP($B121&amp;"_"&amp;$E121,OFFSET([2]stages!$A$1,0,0,COUNTA([2]stages!$A:$A),MATCH(F$1,[2]stages!$2:$2,0)-MATCH("temp_stage",[2]stages!$2:$2,0)+1),MATCH(F$1,[2]stages!$2:$2,0)-MATCH("temp_stage",[2]stages!$2:$2,0)+1,FALSE)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1" s="84" t="str">
        <f ca="1">VLOOKUP($B121&amp;"_"&amp;$E121,OFFSET([2]stages!$A$1,0,0,COUNTA([2]stages!$A:$A),MATCH(G$1,[2]stages!$2:$2,0)-MATCH("temp_stage",[2]stages!$2:$2,0)+1),MATCH(G$1,[2]stages!$2:$2,0)-MATCH("temp_stage",[2]stages!$2:$2,0)+1,FALSE)</f>
        <v>水曜クエスト</v>
      </c>
      <c r="H121" s="86">
        <v>0</v>
      </c>
      <c r="I121">
        <v>19</v>
      </c>
      <c r="J121" s="85" t="s">
        <v>193</v>
      </c>
      <c r="K121" s="94" t="str">
        <f>VLOOKUP(I121,[7]stage_hints!$A:$C,3,FALSE)</f>
        <v>ソロ専用チャレンジタワー</v>
      </c>
      <c r="L121" s="95" t="str">
        <f>VLOOKUP(I121,[7]stage_hints!$A:$D,4,FALSE)</f>
        <v>ソロ専用の「チャレンジタワー」では_x000D_各フロアごとにクリア報酬がもらえます</v>
      </c>
      <c r="M121" s="57" t="s">
        <v>195</v>
      </c>
    </row>
    <row r="122" spans="1:13" x14ac:dyDescent="0.15">
      <c r="A122" s="82" t="s">
        <v>196</v>
      </c>
      <c r="B122" s="83">
        <f>floors!$C$56</f>
        <v>11103</v>
      </c>
      <c r="C122" s="84" t="str">
        <f ca="1">VLOOKUP($B122,OFFSET([2]quests!$A$1,0,0,COUNTA([2]quests!$A:$A),MATCH(C$1,[2]quests!$1:$1,0)-MATCH($B$1,[2]quests!$1:$1,0)+1),MATCH(C$1,[2]quests!$1:$1,0)-MATCH($B$1,[2]quests!$1:$1,0)+1,FALSE)</f>
        <v>【期間限定】 青の素材</v>
      </c>
      <c r="D122" s="84" t="str">
        <f ca="1">VLOOKUP($B122,OFFSET([2]quests!$A$1,0,0,COUNTA([2]quests!$A:$A),MATCH(D$1,[2]quests!$1:$1,0)-MATCH($B$1,[2]quests!$1:$1,0)+1),MATCH(D$1,[2]quests!$1:$1,0)-MATCH($B$1,[2]quests!$1:$1,0)+1,FALSE)</f>
        <v>水曜クエスト</v>
      </c>
      <c r="E122" s="88">
        <v>10</v>
      </c>
      <c r="F122" s="84" t="str">
        <f ca="1">VLOOKUP($B122&amp;"_"&amp;$E122,OFFSET([2]stages!$A$1,0,0,COUNTA([2]stages!$A:$A),MATCH(F$1,[2]stages!$2:$2,0)-MATCH("temp_stage",[2]stages!$2:$2,0)+1),MATCH(F$1,[2]stages!$2:$2,0)-MATCH("temp_stage",[2]stages!$2:$2,0)+1,FALSE)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2" s="84" t="str">
        <f ca="1">VLOOKUP($B122&amp;"_"&amp;$E122,OFFSET([2]stages!$A$1,0,0,COUNTA([2]stages!$A:$A),MATCH(G$1,[2]stages!$2:$2,0)-MATCH("temp_stage",[2]stages!$2:$2,0)+1),MATCH(G$1,[2]stages!$2:$2,0)-MATCH("temp_stage",[2]stages!$2:$2,0)+1,FALSE)</f>
        <v>水曜クエスト</v>
      </c>
      <c r="H122" s="86">
        <v>0</v>
      </c>
      <c r="I122">
        <v>21</v>
      </c>
      <c r="J122" s="85" t="s">
        <v>193</v>
      </c>
      <c r="K122" s="94" t="str">
        <f>VLOOKUP(I122,[7]stage_hints!$A:$C,3,FALSE)</f>
        <v>スキルを有効に</v>
      </c>
      <c r="L122" s="95" t="str">
        <f>VLOOKUP(I122,[7]stage_hints!$A:$D,4,FALSE)</f>
        <v>ターン経過でユニットのスキルが使えます_x000D_強力スキルでバトルを有利に進めましょう</v>
      </c>
      <c r="M122" s="57" t="s">
        <v>195</v>
      </c>
    </row>
    <row r="123" spans="1:13" x14ac:dyDescent="0.15">
      <c r="A123" s="82" t="s">
        <v>196</v>
      </c>
      <c r="B123" s="83">
        <f>floors!$C$56</f>
        <v>11103</v>
      </c>
      <c r="C123" s="84" t="str">
        <f ca="1">VLOOKUP($B123,OFFSET([2]quests!$A$1,0,0,COUNTA([2]quests!$A:$A),MATCH(C$1,[2]quests!$1:$1,0)-MATCH($B$1,[2]quests!$1:$1,0)+1),MATCH(C$1,[2]quests!$1:$1,0)-MATCH($B$1,[2]quests!$1:$1,0)+1,FALSE)</f>
        <v>【期間限定】 青の素材</v>
      </c>
      <c r="D123" s="84" t="str">
        <f ca="1">VLOOKUP($B123,OFFSET([2]quests!$A$1,0,0,COUNTA([2]quests!$A:$A),MATCH(D$1,[2]quests!$1:$1,0)-MATCH($B$1,[2]quests!$1:$1,0)+1),MATCH(D$1,[2]quests!$1:$1,0)-MATCH($B$1,[2]quests!$1:$1,0)+1,FALSE)</f>
        <v>水曜クエスト</v>
      </c>
      <c r="E123" s="88">
        <v>10</v>
      </c>
      <c r="F123" s="84" t="str">
        <f ca="1">VLOOKUP($B123&amp;"_"&amp;$E123,OFFSET([2]stages!$A$1,0,0,COUNTA([2]stages!$A:$A),MATCH(F$1,[2]stages!$2:$2,0)-MATCH("temp_stage",[2]stages!$2:$2,0)+1),MATCH(F$1,[2]stages!$2:$2,0)-MATCH("temp_stage",[2]stages!$2:$2,0)+1,FALSE)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3" s="84" t="str">
        <f ca="1">VLOOKUP($B123&amp;"_"&amp;$E123,OFFSET([2]stages!$A$1,0,0,COUNTA([2]stages!$A:$A),MATCH(G$1,[2]stages!$2:$2,0)-MATCH("temp_stage",[2]stages!$2:$2,0)+1),MATCH(G$1,[2]stages!$2:$2,0)-MATCH("temp_stage",[2]stages!$2:$2,0)+1,FALSE)</f>
        <v>水曜クエスト</v>
      </c>
      <c r="H123" s="86">
        <v>0</v>
      </c>
      <c r="I123">
        <v>29</v>
      </c>
      <c r="J123" s="85" t="s">
        <v>193</v>
      </c>
      <c r="K123" s="94" t="str">
        <f>VLOOKUP(I123,[7]stage_hints!$A:$C,3,FALSE)</f>
        <v>「バグ」のメリット</v>
      </c>
      <c r="L123" s="95" t="str">
        <f>VLOOKUP(I123,[7]stage_hints!$A:$D,4,FALSE)</f>
        <v>ユニットの「バグ」を増やすと_x000D_報酬をもらえる確率がアップします</v>
      </c>
      <c r="M123" s="57" t="s">
        <v>195</v>
      </c>
    </row>
    <row r="124" spans="1:13" x14ac:dyDescent="0.15">
      <c r="A124" s="82" t="s">
        <v>196</v>
      </c>
      <c r="B124" s="83">
        <f>floors!$C$56</f>
        <v>11103</v>
      </c>
      <c r="C124" s="84" t="str">
        <f ca="1">VLOOKUP($B124,OFFSET([2]quests!$A$1,0,0,COUNTA([2]quests!$A:$A),MATCH(C$1,[2]quests!$1:$1,0)-MATCH($B$1,[2]quests!$1:$1,0)+1),MATCH(C$1,[2]quests!$1:$1,0)-MATCH($B$1,[2]quests!$1:$1,0)+1,FALSE)</f>
        <v>【期間限定】 青の素材</v>
      </c>
      <c r="D124" s="84" t="str">
        <f ca="1">VLOOKUP($B124,OFFSET([2]quests!$A$1,0,0,COUNTA([2]quests!$A:$A),MATCH(D$1,[2]quests!$1:$1,0)-MATCH($B$1,[2]quests!$1:$1,0)+1),MATCH(D$1,[2]quests!$1:$1,0)-MATCH($B$1,[2]quests!$1:$1,0)+1,FALSE)</f>
        <v>水曜クエスト</v>
      </c>
      <c r="E124" s="88">
        <v>10</v>
      </c>
      <c r="F124" s="84" t="str">
        <f ca="1">VLOOKUP($B124&amp;"_"&amp;$E124,OFFSET([2]stages!$A$1,0,0,COUNTA([2]stages!$A:$A),MATCH(F$1,[2]stages!$2:$2,0)-MATCH("temp_stage",[2]stages!$2:$2,0)+1),MATCH(F$1,[2]stages!$2:$2,0)-MATCH("temp_stage",[2]stages!$2:$2,0)+1,FALSE)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4" s="84" t="str">
        <f ca="1">VLOOKUP($B124&amp;"_"&amp;$E124,OFFSET([2]stages!$A$1,0,0,COUNTA([2]stages!$A:$A),MATCH(G$1,[2]stages!$2:$2,0)-MATCH("temp_stage",[2]stages!$2:$2,0)+1),MATCH(G$1,[2]stages!$2:$2,0)-MATCH("temp_stage",[2]stages!$2:$2,0)+1,FALSE)</f>
        <v>水曜クエスト</v>
      </c>
      <c r="H124" s="86">
        <v>0</v>
      </c>
      <c r="I124">
        <v>30</v>
      </c>
      <c r="J124" s="85" t="s">
        <v>193</v>
      </c>
      <c r="K124" s="94" t="str">
        <f>VLOOKUP(I124,[7]stage_hints!$A:$C,3,FALSE)</f>
        <v>「バグ」の増やし方</v>
      </c>
      <c r="L124" s="95" t="str">
        <f>VLOOKUP(I124,[7]stage_hints!$A:$D,4,FALSE)</f>
        <v>同じユニット同士を強化で合成すると_x000D_「バグ」を増やすことができます</v>
      </c>
      <c r="M124" s="57" t="s">
        <v>195</v>
      </c>
    </row>
    <row r="125" spans="1:13" x14ac:dyDescent="0.15">
      <c r="A125" s="82" t="s">
        <v>196</v>
      </c>
      <c r="B125" s="83">
        <f>floors!$C$56</f>
        <v>11103</v>
      </c>
      <c r="C125" s="84" t="str">
        <f ca="1">VLOOKUP($B125,OFFSET([2]quests!$A$1,0,0,COUNTA([2]quests!$A:$A),MATCH(C$1,[2]quests!$1:$1,0)-MATCH($B$1,[2]quests!$1:$1,0)+1),MATCH(C$1,[2]quests!$1:$1,0)-MATCH($B$1,[2]quests!$1:$1,0)+1,FALSE)</f>
        <v>【期間限定】 青の素材</v>
      </c>
      <c r="D125" s="84" t="str">
        <f ca="1">VLOOKUP($B125,OFFSET([2]quests!$A$1,0,0,COUNTA([2]quests!$A:$A),MATCH(D$1,[2]quests!$1:$1,0)-MATCH($B$1,[2]quests!$1:$1,0)+1),MATCH(D$1,[2]quests!$1:$1,0)-MATCH($B$1,[2]quests!$1:$1,0)+1,FALSE)</f>
        <v>水曜クエスト</v>
      </c>
      <c r="E125" s="88">
        <v>10</v>
      </c>
      <c r="F125" s="84" t="str">
        <f ca="1">VLOOKUP($B125&amp;"_"&amp;$E125,OFFSET([2]stages!$A$1,0,0,COUNTA([2]stages!$A:$A),MATCH(F$1,[2]stages!$2:$2,0)-MATCH("temp_stage",[2]stages!$2:$2,0)+1),MATCH(F$1,[2]stages!$2:$2,0)-MATCH("temp_stage",[2]stages!$2:$2,0)+1,FALSE)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5" s="84" t="str">
        <f ca="1">VLOOKUP($B125&amp;"_"&amp;$E125,OFFSET([2]stages!$A$1,0,0,COUNTA([2]stages!$A:$A),MATCH(G$1,[2]stages!$2:$2,0)-MATCH("temp_stage",[2]stages!$2:$2,0)+1),MATCH(G$1,[2]stages!$2:$2,0)-MATCH("temp_stage",[2]stages!$2:$2,0)+1,FALSE)</f>
        <v>水曜クエスト</v>
      </c>
      <c r="H125" s="86">
        <v>0</v>
      </c>
      <c r="I125">
        <v>32</v>
      </c>
      <c r="J125" s="85" t="s">
        <v>193</v>
      </c>
      <c r="K125" s="94" t="str">
        <f>VLOOKUP(I125,[7]stage_hints!$A:$C,3,FALSE)</f>
        <v>敵の連続攻撃には</v>
      </c>
      <c r="L125" s="95" t="str">
        <f>VLOOKUP(I125,[7]stage_hints!$A:$D,4,FALSE)</f>
        <v>カウンタースキルを持つユニットがいれば_x000D_ダメージ回数分の反撃ができます</v>
      </c>
      <c r="M125" s="57" t="s">
        <v>195</v>
      </c>
    </row>
    <row r="126" spans="1:13" x14ac:dyDescent="0.15">
      <c r="A126" s="82" t="s">
        <v>196</v>
      </c>
      <c r="B126" s="83">
        <f>floors!$C$56</f>
        <v>11103</v>
      </c>
      <c r="C126" s="84" t="str">
        <f ca="1">VLOOKUP($B126,OFFSET([2]quests!$A$1,0,0,COUNTA([2]quests!$A:$A),MATCH(C$1,[2]quests!$1:$1,0)-MATCH($B$1,[2]quests!$1:$1,0)+1),MATCH(C$1,[2]quests!$1:$1,0)-MATCH($B$1,[2]quests!$1:$1,0)+1,FALSE)</f>
        <v>【期間限定】 青の素材</v>
      </c>
      <c r="D126" s="84" t="str">
        <f ca="1">VLOOKUP($B126,OFFSET([2]quests!$A$1,0,0,COUNTA([2]quests!$A:$A),MATCH(D$1,[2]quests!$1:$1,0)-MATCH($B$1,[2]quests!$1:$1,0)+1),MATCH(D$1,[2]quests!$1:$1,0)-MATCH($B$1,[2]quests!$1:$1,0)+1,FALSE)</f>
        <v>水曜クエスト</v>
      </c>
      <c r="E126" s="88">
        <v>10</v>
      </c>
      <c r="F126" s="84" t="str">
        <f ca="1">VLOOKUP($B126&amp;"_"&amp;$E126,OFFSET([2]stages!$A$1,0,0,COUNTA([2]stages!$A:$A),MATCH(F$1,[2]stages!$2:$2,0)-MATCH("temp_stage",[2]stages!$2:$2,0)+1),MATCH(F$1,[2]stages!$2:$2,0)-MATCH("temp_stage",[2]stages!$2:$2,0)+1,FALSE)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6" s="84" t="str">
        <f ca="1">VLOOKUP($B126&amp;"_"&amp;$E126,OFFSET([2]stages!$A$1,0,0,COUNTA([2]stages!$A:$A),MATCH(G$1,[2]stages!$2:$2,0)-MATCH("temp_stage",[2]stages!$2:$2,0)+1),MATCH(G$1,[2]stages!$2:$2,0)-MATCH("temp_stage",[2]stages!$2:$2,0)+1,FALSE)</f>
        <v>水曜クエスト</v>
      </c>
      <c r="H126" s="86">
        <v>0</v>
      </c>
      <c r="I126">
        <v>33</v>
      </c>
      <c r="J126" s="85" t="s">
        <v>193</v>
      </c>
      <c r="K126" s="94" t="str">
        <f>VLOOKUP(I126,[7]stage_hints!$A:$C,3,FALSE)</f>
        <v>敵のカウンター攻撃には</v>
      </c>
      <c r="L126" s="95" t="str">
        <f>VLOOKUP(I126,[7]stage_hints!$A:$D,4,FALSE)</f>
        <v>カウンターブレイクスキルを持っていれば_x000D_敵のカウンターを解除して攻撃ができます</v>
      </c>
      <c r="M126" s="57" t="s">
        <v>195</v>
      </c>
    </row>
    <row r="127" spans="1:13" x14ac:dyDescent="0.15">
      <c r="A127" s="82" t="s">
        <v>196</v>
      </c>
      <c r="B127" s="83">
        <f>floors!$C$56</f>
        <v>11103</v>
      </c>
      <c r="C127" s="84" t="str">
        <f ca="1">VLOOKUP($B127,OFFSET([2]quests!$A$1,0,0,COUNTA([2]quests!$A:$A),MATCH(C$1,[2]quests!$1:$1,0)-MATCH($B$1,[2]quests!$1:$1,0)+1),MATCH(C$1,[2]quests!$1:$1,0)-MATCH($B$1,[2]quests!$1:$1,0)+1,FALSE)</f>
        <v>【期間限定】 青の素材</v>
      </c>
      <c r="D127" s="84" t="str">
        <f ca="1">VLOOKUP($B127,OFFSET([2]quests!$A$1,0,0,COUNTA([2]quests!$A:$A),MATCH(D$1,[2]quests!$1:$1,0)-MATCH($B$1,[2]quests!$1:$1,0)+1),MATCH(D$1,[2]quests!$1:$1,0)-MATCH($B$1,[2]quests!$1:$1,0)+1,FALSE)</f>
        <v>水曜クエスト</v>
      </c>
      <c r="E127" s="88">
        <v>10</v>
      </c>
      <c r="F127" s="84" t="str">
        <f ca="1">VLOOKUP($B127&amp;"_"&amp;$E127,OFFSET([2]stages!$A$1,0,0,COUNTA([2]stages!$A:$A),MATCH(F$1,[2]stages!$2:$2,0)-MATCH("temp_stage",[2]stages!$2:$2,0)+1),MATCH(F$1,[2]stages!$2:$2,0)-MATCH("temp_stage",[2]stages!$2:$2,0)+1,FALSE)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7" s="84" t="str">
        <f ca="1">VLOOKUP($B127&amp;"_"&amp;$E127,OFFSET([2]stages!$A$1,0,0,COUNTA([2]stages!$A:$A),MATCH(G$1,[2]stages!$2:$2,0)-MATCH("temp_stage",[2]stages!$2:$2,0)+1),MATCH(G$1,[2]stages!$2:$2,0)-MATCH("temp_stage",[2]stages!$2:$2,0)+1,FALSE)</f>
        <v>水曜クエスト</v>
      </c>
      <c r="H127" s="86">
        <v>0</v>
      </c>
      <c r="I127">
        <v>34</v>
      </c>
      <c r="J127" s="85" t="s">
        <v>193</v>
      </c>
      <c r="K127" s="94" t="str">
        <f>VLOOKUP(I127,[7]stage_hints!$A:$C,3,FALSE)</f>
        <v>ステータスをスキルで下げられたら</v>
      </c>
      <c r="L127" s="95" t="str">
        <f>VLOOKUP(I127,[7]stage_hints!$A:$D,4,FALSE)</f>
        <v>ステータスダウンのスキルを受けたら_x000D_ステータスアップスキルで上書きしましょう</v>
      </c>
      <c r="M127" s="57" t="s">
        <v>195</v>
      </c>
    </row>
    <row r="128" spans="1:13" x14ac:dyDescent="0.15">
      <c r="A128" s="82" t="s">
        <v>196</v>
      </c>
      <c r="B128" s="83">
        <f>floors!$C$56</f>
        <v>11103</v>
      </c>
      <c r="C128" s="84" t="str">
        <f ca="1">VLOOKUP($B128,OFFSET([2]quests!$A$1,0,0,COUNTA([2]quests!$A:$A),MATCH(C$1,[2]quests!$1:$1,0)-MATCH($B$1,[2]quests!$1:$1,0)+1),MATCH(C$1,[2]quests!$1:$1,0)-MATCH($B$1,[2]quests!$1:$1,0)+1,FALSE)</f>
        <v>【期間限定】 青の素材</v>
      </c>
      <c r="D128" s="84" t="str">
        <f ca="1">VLOOKUP($B128,OFFSET([2]quests!$A$1,0,0,COUNTA([2]quests!$A:$A),MATCH(D$1,[2]quests!$1:$1,0)-MATCH($B$1,[2]quests!$1:$1,0)+1),MATCH(D$1,[2]quests!$1:$1,0)-MATCH($B$1,[2]quests!$1:$1,0)+1,FALSE)</f>
        <v>水曜クエスト</v>
      </c>
      <c r="E128" s="88">
        <v>10</v>
      </c>
      <c r="F128" s="84" t="str">
        <f ca="1">VLOOKUP($B128&amp;"_"&amp;$E128,OFFSET([2]stages!$A$1,0,0,COUNTA([2]stages!$A:$A),MATCH(F$1,[2]stages!$2:$2,0)-MATCH("temp_stage",[2]stages!$2:$2,0)+1),MATCH(F$1,[2]stages!$2:$2,0)-MATCH("temp_stage",[2]stages!$2:$2,0)+1,FALSE)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8" s="84" t="str">
        <f ca="1">VLOOKUP($B128&amp;"_"&amp;$E128,OFFSET([2]stages!$A$1,0,0,COUNTA([2]stages!$A:$A),MATCH(G$1,[2]stages!$2:$2,0)-MATCH("temp_stage",[2]stages!$2:$2,0)+1),MATCH(G$1,[2]stages!$2:$2,0)-MATCH("temp_stage",[2]stages!$2:$2,0)+1,FALSE)</f>
        <v>水曜クエスト</v>
      </c>
      <c r="H128" s="86">
        <v>0</v>
      </c>
      <c r="I128">
        <v>35</v>
      </c>
      <c r="J128" s="85" t="s">
        <v>193</v>
      </c>
      <c r="K128" s="94" t="str">
        <f>VLOOKUP(I128,[7]stage_hints!$A:$C,3,FALSE)</f>
        <v>敵のステータスがスキルで上がったら</v>
      </c>
      <c r="L128" s="95" t="str">
        <f>VLOOKUP(I128,[7]stage_hints!$A:$D,4,FALSE)</f>
        <v>敵のステータスがスキルでアップしたときは_x000D_ステータスダウンスキルで上書きしましょう</v>
      </c>
      <c r="M128" s="57" t="s">
        <v>195</v>
      </c>
    </row>
    <row r="129" spans="1:13" x14ac:dyDescent="0.15">
      <c r="A129" s="82" t="s">
        <v>196</v>
      </c>
      <c r="B129" s="83">
        <f>floors!$C$56</f>
        <v>11103</v>
      </c>
      <c r="C129" s="84" t="str">
        <f ca="1">VLOOKUP($B129,OFFSET([2]quests!$A$1,0,0,COUNTA([2]quests!$A:$A),MATCH(C$1,[2]quests!$1:$1,0)-MATCH($B$1,[2]quests!$1:$1,0)+1),MATCH(C$1,[2]quests!$1:$1,0)-MATCH($B$1,[2]quests!$1:$1,0)+1,FALSE)</f>
        <v>【期間限定】 青の素材</v>
      </c>
      <c r="D129" s="84" t="str">
        <f ca="1">VLOOKUP($B129,OFFSET([2]quests!$A$1,0,0,COUNTA([2]quests!$A:$A),MATCH(D$1,[2]quests!$1:$1,0)-MATCH($B$1,[2]quests!$1:$1,0)+1),MATCH(D$1,[2]quests!$1:$1,0)-MATCH($B$1,[2]quests!$1:$1,0)+1,FALSE)</f>
        <v>水曜クエスト</v>
      </c>
      <c r="E129" s="88">
        <v>10</v>
      </c>
      <c r="F129" s="84" t="str">
        <f ca="1">VLOOKUP($B129&amp;"_"&amp;$E129,OFFSET([2]stages!$A$1,0,0,COUNTA([2]stages!$A:$A),MATCH(F$1,[2]stages!$2:$2,0)-MATCH("temp_stage",[2]stages!$2:$2,0)+1),MATCH(F$1,[2]stages!$2:$2,0)-MATCH("temp_stage",[2]stages!$2:$2,0)+1,FALSE)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29" s="84" t="str">
        <f ca="1">VLOOKUP($B129&amp;"_"&amp;$E129,OFFSET([2]stages!$A$1,0,0,COUNTA([2]stages!$A:$A),MATCH(G$1,[2]stages!$2:$2,0)-MATCH("temp_stage",[2]stages!$2:$2,0)+1),MATCH(G$1,[2]stages!$2:$2,0)-MATCH("temp_stage",[2]stages!$2:$2,0)+1,FALSE)</f>
        <v>水曜クエスト</v>
      </c>
      <c r="H129" s="86">
        <v>0</v>
      </c>
      <c r="I129">
        <v>36</v>
      </c>
      <c r="J129" s="85" t="s">
        <v>193</v>
      </c>
      <c r="K129" s="94" t="str">
        <f>VLOOKUP(I129,[7]stage_hints!$A:$C,3,FALSE)</f>
        <v>チャレンジタワーのボス</v>
      </c>
      <c r="L129" s="95" t="str">
        <f>VLOOKUP(I129,[7]stage_hints!$A:$D,4,FALSE)</f>
        <v>チャレンジタワーでのみ登場するボスは_x000D_一定確率で獲得することができます</v>
      </c>
      <c r="M129" s="57" t="s">
        <v>195</v>
      </c>
    </row>
    <row r="130" spans="1:13" x14ac:dyDescent="0.15">
      <c r="A130" s="82" t="s">
        <v>196</v>
      </c>
      <c r="B130" s="83">
        <f>floors!$C$56</f>
        <v>11103</v>
      </c>
      <c r="C130" s="84" t="str">
        <f ca="1">VLOOKUP($B130,OFFSET([2]quests!$A$1,0,0,COUNTA([2]quests!$A:$A),MATCH(C$1,[2]quests!$1:$1,0)-MATCH($B$1,[2]quests!$1:$1,0)+1),MATCH(C$1,[2]quests!$1:$1,0)-MATCH($B$1,[2]quests!$1:$1,0)+1,FALSE)</f>
        <v>【期間限定】 青の素材</v>
      </c>
      <c r="D130" s="84" t="str">
        <f ca="1">VLOOKUP($B130,OFFSET([2]quests!$A$1,0,0,COUNTA([2]quests!$A:$A),MATCH(D$1,[2]quests!$1:$1,0)-MATCH($B$1,[2]quests!$1:$1,0)+1),MATCH(D$1,[2]quests!$1:$1,0)-MATCH($B$1,[2]quests!$1:$1,0)+1,FALSE)</f>
        <v>水曜クエスト</v>
      </c>
      <c r="E130" s="88">
        <v>10</v>
      </c>
      <c r="F130" s="84" t="str">
        <f ca="1">VLOOKUP($B130&amp;"_"&amp;$E130,OFFSET([2]stages!$A$1,0,0,COUNTA([2]stages!$A:$A),MATCH(F$1,[2]stages!$2:$2,0)-MATCH("temp_stage",[2]stages!$2:$2,0)+1),MATCH(F$1,[2]stages!$2:$2,0)-MATCH("temp_stage",[2]stages!$2:$2,0)+1,FALSE)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30" s="84" t="str">
        <f ca="1">VLOOKUP($B130&amp;"_"&amp;$E130,OFFSET([2]stages!$A$1,0,0,COUNTA([2]stages!$A:$A),MATCH(G$1,[2]stages!$2:$2,0)-MATCH("temp_stage",[2]stages!$2:$2,0)+1),MATCH(G$1,[2]stages!$2:$2,0)-MATCH("temp_stage",[2]stages!$2:$2,0)+1,FALSE)</f>
        <v>水曜クエスト</v>
      </c>
      <c r="H130" s="86">
        <v>0</v>
      </c>
      <c r="I130">
        <v>37</v>
      </c>
      <c r="J130" s="85" t="s">
        <v>193</v>
      </c>
      <c r="K130" s="94" t="str">
        <f>VLOOKUP(I130,[7]stage_hints!$A:$C,3,FALSE)</f>
        <v>限界突破値の引き継ぎ</v>
      </c>
      <c r="L130" s="95" t="str">
        <f>VLOOKUP(I130,[7]stage_hints!$A:$D,4,FALSE)</f>
        <v>同じユニットを強化で合成すると_x000D_限界突破値を引き継げます（覚醒前後も可）</v>
      </c>
      <c r="M130" s="57" t="s">
        <v>195</v>
      </c>
    </row>
    <row r="131" spans="1:13" x14ac:dyDescent="0.15">
      <c r="A131" s="105" t="s">
        <v>196</v>
      </c>
      <c r="B131" s="83">
        <f>floors!$C$56</f>
        <v>11103</v>
      </c>
      <c r="C131" s="84" t="str">
        <f ca="1">VLOOKUP($B131,OFFSET([2]quests!$A$1,0,0,COUNTA([2]quests!$A:$A),MATCH(C$1,[2]quests!$1:$1,0)-MATCH($B$1,[2]quests!$1:$1,0)+1),MATCH(C$1,[2]quests!$1:$1,0)-MATCH($B$1,[2]quests!$1:$1,0)+1,FALSE)</f>
        <v>【期間限定】 青の素材</v>
      </c>
      <c r="D131" s="84" t="str">
        <f ca="1">VLOOKUP($B131,OFFSET([2]quests!$A$1,0,0,COUNTA([2]quests!$A:$A),MATCH(D$1,[2]quests!$1:$1,0)-MATCH($B$1,[2]quests!$1:$1,0)+1),MATCH(D$1,[2]quests!$1:$1,0)-MATCH($B$1,[2]quests!$1:$1,0)+1,FALSE)</f>
        <v>水曜クエスト</v>
      </c>
      <c r="E131" s="88">
        <v>10</v>
      </c>
      <c r="F131" s="84" t="str">
        <f ca="1">VLOOKUP($B131&amp;"_"&amp;$E131,OFFSET([2]stages!$A$1,0,0,COUNTA([2]stages!$A:$A),MATCH(F$1,[2]stages!$2:$2,0)-MATCH("temp_stage",[2]stages!$2:$2,0)+1),MATCH(F$1,[2]stages!$2:$2,0)-MATCH("temp_stage",[2]stages!$2:$2,0)+1,FALSE)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131" s="84" t="str">
        <f ca="1">VLOOKUP($B131&amp;"_"&amp;$E131,OFFSET([2]stages!$A$1,0,0,COUNTA([2]stages!$A:$A),MATCH(G$1,[2]stages!$2:$2,0)-MATCH("temp_stage",[2]stages!$2:$2,0)+1),MATCH(G$1,[2]stages!$2:$2,0)-MATCH("temp_stage",[2]stages!$2:$2,0)+1,FALSE)</f>
        <v>水曜クエスト</v>
      </c>
      <c r="H131" s="86">
        <v>0</v>
      </c>
      <c r="I131">
        <v>39</v>
      </c>
      <c r="J131" s="85" t="s">
        <v>193</v>
      </c>
      <c r="K131" s="94" t="str">
        <f>VLOOKUP(I131,[7]stage_hints!$A:$C,3,FALSE)</f>
        <v>システム適合者を確認</v>
      </c>
      <c r="L131" s="95" t="str">
        <f>VLOOKUP(I131,[7]stage_hints!$A:$D,4,FALSE)</f>
        <v>ALICEが 「アナタ」を呼んでいます</v>
      </c>
      <c r="M131" s="57" t="s">
        <v>195</v>
      </c>
    </row>
  </sheetData>
  <phoneticPr fontId="5"/>
  <dataValidations disablePrompts="1" count="1">
    <dataValidation type="list" allowBlank="1" showInputMessage="1" showErrorMessage="1" sqref="A2:A13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49"/>
  <sheetViews>
    <sheetView showGridLines="0" workbookViewId="0">
      <pane ySplit="1" topLeftCell="A2" activePane="bottomLeft" state="frozen"/>
      <selection pane="bottomLeft" activeCell="B43" sqref="B43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183</v>
      </c>
      <c r="B1" s="73" t="s">
        <v>147</v>
      </c>
      <c r="C1" s="78" t="s">
        <v>185</v>
      </c>
      <c r="D1" s="78" t="s">
        <v>33</v>
      </c>
      <c r="E1" s="73" t="s">
        <v>186</v>
      </c>
      <c r="F1" s="78" t="s">
        <v>18</v>
      </c>
      <c r="G1" s="78" t="s">
        <v>33</v>
      </c>
      <c r="H1" s="73" t="s">
        <v>188</v>
      </c>
      <c r="I1" s="90" t="s">
        <v>189</v>
      </c>
      <c r="J1" s="92" t="s">
        <v>190</v>
      </c>
      <c r="K1" s="80" t="s">
        <v>124</v>
      </c>
      <c r="L1" s="79" t="s">
        <v>182</v>
      </c>
      <c r="M1" s="93" t="s">
        <v>181</v>
      </c>
      <c r="N1" s="81" t="s">
        <v>191</v>
      </c>
    </row>
    <row r="2" spans="1:14" ht="42" x14ac:dyDescent="0.15">
      <c r="A2" s="82" t="s">
        <v>192</v>
      </c>
      <c r="B2" s="83">
        <f>floors!$C$2</f>
        <v>11002</v>
      </c>
      <c r="C2" s="84" t="str">
        <f ca="1">VLOOKUP($B2,OFFSET([2]quests!$A$1,0,0,COUNTA([2]quests!$A:$A),MATCH(C$1,[2]quests!$1:$1,0)-MATCH($B$1,[2]quests!$1:$1,0)+1),MATCH(C$1,[2]quests!$1:$1,0)-MATCH($B$1,[2]quests!$1:$1,0)+1,FALSE)</f>
        <v>【火曜限定】 赤の素材</v>
      </c>
      <c r="D2" s="84" t="str">
        <f ca="1">VLOOKUP($B2,OFFSET([2]quests!$A$1,0,0,COUNTA([2]quests!$A:$A),MATCH(D$1,[2]quests!$1:$1,0)-MATCH($B$1,[2]quests!$1:$1,0)+1),MATCH(D$1,[2]quests!$1:$1,0)-MATCH($B$1,[2]quests!$1:$1,0)+1,FALSE)</f>
        <v>火曜クエスト</v>
      </c>
      <c r="E2" s="85">
        <v>10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【超絶級】炎上のドードー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火曜クエスト</v>
      </c>
      <c r="H2" s="86">
        <v>1</v>
      </c>
      <c r="I2" s="91">
        <f>ROW()-1</f>
        <v>1</v>
      </c>
      <c r="J2" s="87" t="str">
        <f>B2&amp;TEXT(I2,"00")</f>
        <v>1100201</v>
      </c>
      <c r="K2" s="85" t="s">
        <v>193</v>
      </c>
      <c r="L2" s="88" t="s">
        <v>194</v>
      </c>
      <c r="M2" s="106" t="s">
        <v>248</v>
      </c>
      <c r="N2" s="57" t="s">
        <v>195</v>
      </c>
    </row>
    <row r="3" spans="1:14" ht="42" x14ac:dyDescent="0.15">
      <c r="A3" s="82" t="s">
        <v>192</v>
      </c>
      <c r="B3" s="83">
        <f>floors!$C$2</f>
        <v>11002</v>
      </c>
      <c r="C3" s="84" t="str">
        <f ca="1">VLOOKUP($B3,OFFSET([2]quests!$A$1,0,0,COUNTA([2]quests!$A:$A),MATCH(C$1,[2]quests!$1:$1,0)-MATCH($B$1,[2]quests!$1:$1,0)+1),MATCH(C$1,[2]quests!$1:$1,0)-MATCH($B$1,[2]quests!$1:$1,0)+1,FALSE)</f>
        <v>【火曜限定】 赤の素材</v>
      </c>
      <c r="D3" s="84" t="str">
        <f ca="1">VLOOKUP($B3,OFFSET([2]quests!$A$1,0,0,COUNTA([2]quests!$A:$A),MATCH(D$1,[2]quests!$1:$1,0)-MATCH($B$1,[2]quests!$1:$1,0)+1),MATCH(D$1,[2]quests!$1:$1,0)-MATCH($B$1,[2]quests!$1:$1,0)+1,FALSE)</f>
        <v>火曜クエスト</v>
      </c>
      <c r="E3" s="85">
        <v>10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【超絶級】炎上のドードー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火曜クエスト</v>
      </c>
      <c r="H3" s="86">
        <v>2</v>
      </c>
      <c r="I3" s="91">
        <f t="shared" ref="I3:I49" si="0">ROW()-1</f>
        <v>2</v>
      </c>
      <c r="J3" s="87" t="str">
        <f t="shared" ref="J3:J25" si="1">B3&amp;TEXT(I3,"00")</f>
        <v>1100202</v>
      </c>
      <c r="K3" s="85" t="s">
        <v>193</v>
      </c>
      <c r="L3" s="88" t="s">
        <v>194</v>
      </c>
      <c r="M3" s="106" t="s">
        <v>249</v>
      </c>
      <c r="N3" s="57" t="s">
        <v>195</v>
      </c>
    </row>
    <row r="4" spans="1:14" ht="42" x14ac:dyDescent="0.15">
      <c r="A4" s="82" t="s">
        <v>192</v>
      </c>
      <c r="B4" s="83">
        <f>floors!$C$2</f>
        <v>11002</v>
      </c>
      <c r="C4" s="84" t="str">
        <f ca="1">VLOOKUP($B4,OFFSET([2]quests!$A$1,0,0,COUNTA([2]quests!$A:$A),MATCH(C$1,[2]quests!$1:$1,0)-MATCH($B$1,[2]quests!$1:$1,0)+1),MATCH(C$1,[2]quests!$1:$1,0)-MATCH($B$1,[2]quests!$1:$1,0)+1,FALSE)</f>
        <v>【火曜限定】 赤の素材</v>
      </c>
      <c r="D4" s="84" t="str">
        <f ca="1">VLOOKUP($B4,OFFSET([2]quests!$A$1,0,0,COUNTA([2]quests!$A:$A),MATCH(D$1,[2]quests!$1:$1,0)-MATCH($B$1,[2]quests!$1:$1,0)+1),MATCH(D$1,[2]quests!$1:$1,0)-MATCH($B$1,[2]quests!$1:$1,0)+1,FALSE)</f>
        <v>火曜クエスト</v>
      </c>
      <c r="E4" s="85">
        <v>10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【超絶級】炎上のドードー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火曜クエスト</v>
      </c>
      <c r="H4" s="86">
        <v>3</v>
      </c>
      <c r="I4" s="91">
        <f t="shared" si="0"/>
        <v>3</v>
      </c>
      <c r="J4" s="87" t="str">
        <f t="shared" si="1"/>
        <v>1100203</v>
      </c>
      <c r="K4" s="85" t="s">
        <v>193</v>
      </c>
      <c r="L4" s="88" t="s">
        <v>194</v>
      </c>
      <c r="M4" s="106" t="s">
        <v>250</v>
      </c>
      <c r="N4" s="57" t="s">
        <v>195</v>
      </c>
    </row>
    <row r="5" spans="1:14" ht="42" x14ac:dyDescent="0.15">
      <c r="A5" s="82" t="s">
        <v>192</v>
      </c>
      <c r="B5" s="83">
        <f>floors!$C$2</f>
        <v>11002</v>
      </c>
      <c r="C5" s="84" t="str">
        <f ca="1">VLOOKUP($B5,OFFSET([2]quests!$A$1,0,0,COUNTA([2]quests!$A:$A),MATCH(C$1,[2]quests!$1:$1,0)-MATCH($B$1,[2]quests!$1:$1,0)+1),MATCH(C$1,[2]quests!$1:$1,0)-MATCH($B$1,[2]quests!$1:$1,0)+1,FALSE)</f>
        <v>【火曜限定】 赤の素材</v>
      </c>
      <c r="D5" s="84" t="str">
        <f ca="1">VLOOKUP($B5,OFFSET([2]quests!$A$1,0,0,COUNTA([2]quests!$A:$A),MATCH(D$1,[2]quests!$1:$1,0)-MATCH($B$1,[2]quests!$1:$1,0)+1),MATCH(D$1,[2]quests!$1:$1,0)-MATCH($B$1,[2]quests!$1:$1,0)+1,FALSE)</f>
        <v>火曜クエスト</v>
      </c>
      <c r="E5" s="85">
        <v>10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【超絶級】炎上のドードー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火曜クエスト</v>
      </c>
      <c r="H5" s="86">
        <v>4</v>
      </c>
      <c r="I5" s="91">
        <f t="shared" si="0"/>
        <v>4</v>
      </c>
      <c r="J5" s="87" t="str">
        <f t="shared" si="1"/>
        <v>1100204</v>
      </c>
      <c r="K5" s="85" t="s">
        <v>193</v>
      </c>
      <c r="L5" s="88" t="s">
        <v>194</v>
      </c>
      <c r="M5" s="106" t="s">
        <v>251</v>
      </c>
      <c r="N5" s="57" t="s">
        <v>195</v>
      </c>
    </row>
    <row r="6" spans="1:14" ht="42" x14ac:dyDescent="0.15">
      <c r="A6" s="82" t="s">
        <v>192</v>
      </c>
      <c r="B6" s="83">
        <f>floors!$C$2</f>
        <v>11002</v>
      </c>
      <c r="C6" s="84" t="str">
        <f ca="1">VLOOKUP($B6,OFFSET([2]quests!$A$1,0,0,COUNTA([2]quests!$A:$A),MATCH(C$1,[2]quests!$1:$1,0)-MATCH($B$1,[2]quests!$1:$1,0)+1),MATCH(C$1,[2]quests!$1:$1,0)-MATCH($B$1,[2]quests!$1:$1,0)+1,FALSE)</f>
        <v>【火曜限定】 赤の素材</v>
      </c>
      <c r="D6" s="84" t="str">
        <f ca="1">VLOOKUP($B6,OFFSET([2]quests!$A$1,0,0,COUNTA([2]quests!$A:$A),MATCH(D$1,[2]quests!$1:$1,0)-MATCH($B$1,[2]quests!$1:$1,0)+1),MATCH(D$1,[2]quests!$1:$1,0)-MATCH($B$1,[2]quests!$1:$1,0)+1,FALSE)</f>
        <v>火曜クエスト</v>
      </c>
      <c r="E6" s="85">
        <v>10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【超絶級】炎上のドードー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火曜クエスト</v>
      </c>
      <c r="H6" s="86">
        <v>5</v>
      </c>
      <c r="I6" s="91">
        <f t="shared" si="0"/>
        <v>5</v>
      </c>
      <c r="J6" s="87" t="str">
        <f t="shared" si="1"/>
        <v>1100205</v>
      </c>
      <c r="K6" s="85" t="s">
        <v>193</v>
      </c>
      <c r="L6" s="88" t="s">
        <v>194</v>
      </c>
      <c r="M6" s="106" t="s">
        <v>252</v>
      </c>
      <c r="N6" s="57" t="s">
        <v>195</v>
      </c>
    </row>
    <row r="7" spans="1:14" ht="42" x14ac:dyDescent="0.15">
      <c r="A7" s="82" t="s">
        <v>192</v>
      </c>
      <c r="B7" s="83">
        <f>floors!$C$2</f>
        <v>11002</v>
      </c>
      <c r="C7" s="84" t="str">
        <f ca="1">VLOOKUP($B7,OFFSET([2]quests!$A$1,0,0,COUNTA([2]quests!$A:$A),MATCH(C$1,[2]quests!$1:$1,0)-MATCH($B$1,[2]quests!$1:$1,0)+1),MATCH(C$1,[2]quests!$1:$1,0)-MATCH($B$1,[2]quests!$1:$1,0)+1,FALSE)</f>
        <v>【火曜限定】 赤の素材</v>
      </c>
      <c r="D7" s="84" t="str">
        <f ca="1">VLOOKUP($B7,OFFSET([2]quests!$A$1,0,0,COUNTA([2]quests!$A:$A),MATCH(D$1,[2]quests!$1:$1,0)-MATCH($B$1,[2]quests!$1:$1,0)+1),MATCH(D$1,[2]quests!$1:$1,0)-MATCH($B$1,[2]quests!$1:$1,0)+1,FALSE)</f>
        <v>火曜クエスト</v>
      </c>
      <c r="E7" s="85">
        <v>10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【超絶級】炎上のドードー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火曜クエスト</v>
      </c>
      <c r="H7" s="86">
        <v>6</v>
      </c>
      <c r="I7" s="91">
        <f t="shared" si="0"/>
        <v>6</v>
      </c>
      <c r="J7" s="87" t="str">
        <f t="shared" si="1"/>
        <v>1100206</v>
      </c>
      <c r="K7" s="85" t="s">
        <v>193</v>
      </c>
      <c r="L7" s="88" t="s">
        <v>194</v>
      </c>
      <c r="M7" s="106" t="s">
        <v>253</v>
      </c>
      <c r="N7" s="57" t="s">
        <v>195</v>
      </c>
    </row>
    <row r="8" spans="1:14" ht="42" x14ac:dyDescent="0.15">
      <c r="A8" s="82" t="s">
        <v>192</v>
      </c>
      <c r="B8" s="83">
        <f>floors!$C$8</f>
        <v>11004</v>
      </c>
      <c r="C8" s="84" t="str">
        <f ca="1">VLOOKUP($B8,OFFSET([2]quests!$A$1,0,0,COUNTA([2]quests!$A:$A),MATCH(C$1,[2]quests!$1:$1,0)-MATCH($B$1,[2]quests!$1:$1,0)+1),MATCH(C$1,[2]quests!$1:$1,0)-MATCH($B$1,[2]quests!$1:$1,0)+1,FALSE)</f>
        <v>【木曜限定】 緑の素材</v>
      </c>
      <c r="D8" s="84" t="str">
        <f ca="1">VLOOKUP($B8,OFFSET([2]quests!$A$1,0,0,COUNTA([2]quests!$A:$A),MATCH(D$1,[2]quests!$1:$1,0)-MATCH($B$1,[2]quests!$1:$1,0)+1),MATCH(D$1,[2]quests!$1:$1,0)-MATCH($B$1,[2]quests!$1:$1,0)+1,FALSE)</f>
        <v>木曜クエスト</v>
      </c>
      <c r="E8" s="85">
        <v>10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木曜クエスト</v>
      </c>
      <c r="H8" s="86">
        <v>1</v>
      </c>
      <c r="I8" s="91">
        <f t="shared" si="0"/>
        <v>7</v>
      </c>
      <c r="J8" s="87" t="str">
        <f t="shared" si="1"/>
        <v>1100407</v>
      </c>
      <c r="K8" s="85" t="s">
        <v>193</v>
      </c>
      <c r="L8" s="88" t="s">
        <v>194</v>
      </c>
      <c r="M8" s="106" t="s">
        <v>242</v>
      </c>
      <c r="N8" s="57" t="s">
        <v>195</v>
      </c>
    </row>
    <row r="9" spans="1:14" ht="42" x14ac:dyDescent="0.15">
      <c r="A9" s="82" t="s">
        <v>192</v>
      </c>
      <c r="B9" s="83">
        <f>floors!$C$8</f>
        <v>11004</v>
      </c>
      <c r="C9" s="84" t="str">
        <f ca="1">VLOOKUP($B9,OFFSET([2]quests!$A$1,0,0,COUNTA([2]quests!$A:$A),MATCH(C$1,[2]quests!$1:$1,0)-MATCH($B$1,[2]quests!$1:$1,0)+1),MATCH(C$1,[2]quests!$1:$1,0)-MATCH($B$1,[2]quests!$1:$1,0)+1,FALSE)</f>
        <v>【木曜限定】 緑の素材</v>
      </c>
      <c r="D9" s="84" t="str">
        <f ca="1">VLOOKUP($B9,OFFSET([2]quests!$A$1,0,0,COUNTA([2]quests!$A:$A),MATCH(D$1,[2]quests!$1:$1,0)-MATCH($B$1,[2]quests!$1:$1,0)+1),MATCH(D$1,[2]quests!$1:$1,0)-MATCH($B$1,[2]quests!$1:$1,0)+1,FALSE)</f>
        <v>木曜クエスト</v>
      </c>
      <c r="E9" s="85">
        <v>10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木曜クエスト</v>
      </c>
      <c r="H9" s="86">
        <v>2</v>
      </c>
      <c r="I9" s="91">
        <f t="shared" si="0"/>
        <v>8</v>
      </c>
      <c r="J9" s="87" t="str">
        <f t="shared" si="1"/>
        <v>1100408</v>
      </c>
      <c r="K9" s="85" t="s">
        <v>193</v>
      </c>
      <c r="L9" s="88" t="s">
        <v>194</v>
      </c>
      <c r="M9" s="106" t="s">
        <v>243</v>
      </c>
      <c r="N9" s="57" t="s">
        <v>195</v>
      </c>
    </row>
    <row r="10" spans="1:14" ht="42" x14ac:dyDescent="0.15">
      <c r="A10" s="82" t="s">
        <v>192</v>
      </c>
      <c r="B10" s="83">
        <f>floors!$C$8</f>
        <v>11004</v>
      </c>
      <c r="C10" s="84" t="str">
        <f ca="1">VLOOKUP($B10,OFFSET([2]quests!$A$1,0,0,COUNTA([2]quests!$A:$A),MATCH(C$1,[2]quests!$1:$1,0)-MATCH($B$1,[2]quests!$1:$1,0)+1),MATCH(C$1,[2]quests!$1:$1,0)-MATCH($B$1,[2]quests!$1:$1,0)+1,FALSE)</f>
        <v>【木曜限定】 緑の素材</v>
      </c>
      <c r="D10" s="84" t="str">
        <f ca="1">VLOOKUP($B10,OFFSET([2]quests!$A$1,0,0,COUNTA([2]quests!$A:$A),MATCH(D$1,[2]quests!$1:$1,0)-MATCH($B$1,[2]quests!$1:$1,0)+1),MATCH(D$1,[2]quests!$1:$1,0)-MATCH($B$1,[2]quests!$1:$1,0)+1,FALSE)</f>
        <v>木曜クエスト</v>
      </c>
      <c r="E10" s="85">
        <v>10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木曜クエスト</v>
      </c>
      <c r="H10" s="86">
        <v>3</v>
      </c>
      <c r="I10" s="91">
        <f t="shared" si="0"/>
        <v>9</v>
      </c>
      <c r="J10" s="87" t="str">
        <f t="shared" si="1"/>
        <v>1100409</v>
      </c>
      <c r="K10" s="85" t="s">
        <v>193</v>
      </c>
      <c r="L10" s="88" t="s">
        <v>194</v>
      </c>
      <c r="M10" s="106" t="s">
        <v>244</v>
      </c>
      <c r="N10" s="57" t="s">
        <v>195</v>
      </c>
    </row>
    <row r="11" spans="1:14" ht="42" x14ac:dyDescent="0.15">
      <c r="A11" s="82" t="s">
        <v>192</v>
      </c>
      <c r="B11" s="83">
        <f>floors!$C$8</f>
        <v>11004</v>
      </c>
      <c r="C11" s="84" t="str">
        <f ca="1">VLOOKUP($B11,OFFSET([2]quests!$A$1,0,0,COUNTA([2]quests!$A:$A),MATCH(C$1,[2]quests!$1:$1,0)-MATCH($B$1,[2]quests!$1:$1,0)+1),MATCH(C$1,[2]quests!$1:$1,0)-MATCH($B$1,[2]quests!$1:$1,0)+1,FALSE)</f>
        <v>【木曜限定】 緑の素材</v>
      </c>
      <c r="D11" s="84" t="str">
        <f ca="1">VLOOKUP($B11,OFFSET([2]quests!$A$1,0,0,COUNTA([2]quests!$A:$A),MATCH(D$1,[2]quests!$1:$1,0)-MATCH($B$1,[2]quests!$1:$1,0)+1),MATCH(D$1,[2]quests!$1:$1,0)-MATCH($B$1,[2]quests!$1:$1,0)+1,FALSE)</f>
        <v>木曜クエスト</v>
      </c>
      <c r="E11" s="85">
        <v>10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木曜クエスト</v>
      </c>
      <c r="H11" s="86">
        <v>4</v>
      </c>
      <c r="I11" s="91">
        <f t="shared" si="0"/>
        <v>10</v>
      </c>
      <c r="J11" s="87" t="str">
        <f t="shared" si="1"/>
        <v>1100410</v>
      </c>
      <c r="K11" s="85" t="s">
        <v>193</v>
      </c>
      <c r="L11" s="88" t="s">
        <v>194</v>
      </c>
      <c r="M11" s="106" t="s">
        <v>245</v>
      </c>
      <c r="N11" s="57" t="s">
        <v>195</v>
      </c>
    </row>
    <row r="12" spans="1:14" ht="42" x14ac:dyDescent="0.15">
      <c r="A12" s="82" t="s">
        <v>192</v>
      </c>
      <c r="B12" s="83">
        <f>floors!$C$8</f>
        <v>11004</v>
      </c>
      <c r="C12" s="84" t="str">
        <f ca="1">VLOOKUP($B12,OFFSET([2]quests!$A$1,0,0,COUNTA([2]quests!$A:$A),MATCH(C$1,[2]quests!$1:$1,0)-MATCH($B$1,[2]quests!$1:$1,0)+1),MATCH(C$1,[2]quests!$1:$1,0)-MATCH($B$1,[2]quests!$1:$1,0)+1,FALSE)</f>
        <v>【木曜限定】 緑の素材</v>
      </c>
      <c r="D12" s="84" t="str">
        <f ca="1">VLOOKUP($B12,OFFSET([2]quests!$A$1,0,0,COUNTA([2]quests!$A:$A),MATCH(D$1,[2]quests!$1:$1,0)-MATCH($B$1,[2]quests!$1:$1,0)+1),MATCH(D$1,[2]quests!$1:$1,0)-MATCH($B$1,[2]quests!$1:$1,0)+1,FALSE)</f>
        <v>木曜クエスト</v>
      </c>
      <c r="E12" s="85">
        <v>10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木曜クエスト</v>
      </c>
      <c r="H12" s="86">
        <v>5</v>
      </c>
      <c r="I12" s="91">
        <f t="shared" si="0"/>
        <v>11</v>
      </c>
      <c r="J12" s="87" t="str">
        <f t="shared" si="1"/>
        <v>1100411</v>
      </c>
      <c r="K12" s="85" t="s">
        <v>193</v>
      </c>
      <c r="L12" s="88" t="s">
        <v>194</v>
      </c>
      <c r="M12" s="106" t="s">
        <v>246</v>
      </c>
      <c r="N12" s="57" t="s">
        <v>195</v>
      </c>
    </row>
    <row r="13" spans="1:14" ht="42" x14ac:dyDescent="0.15">
      <c r="A13" s="82" t="s">
        <v>192</v>
      </c>
      <c r="B13" s="83">
        <f>floors!$C$8</f>
        <v>11004</v>
      </c>
      <c r="C13" s="84" t="str">
        <f ca="1">VLOOKUP($B13,OFFSET([2]quests!$A$1,0,0,COUNTA([2]quests!$A:$A),MATCH(C$1,[2]quests!$1:$1,0)-MATCH($B$1,[2]quests!$1:$1,0)+1),MATCH(C$1,[2]quests!$1:$1,0)-MATCH($B$1,[2]quests!$1:$1,0)+1,FALSE)</f>
        <v>【木曜限定】 緑の素材</v>
      </c>
      <c r="D13" s="84" t="str">
        <f ca="1">VLOOKUP($B13,OFFSET([2]quests!$A$1,0,0,COUNTA([2]quests!$A:$A),MATCH(D$1,[2]quests!$1:$1,0)-MATCH($B$1,[2]quests!$1:$1,0)+1),MATCH(D$1,[2]quests!$1:$1,0)-MATCH($B$1,[2]quests!$1:$1,0)+1,FALSE)</f>
        <v>木曜クエスト</v>
      </c>
      <c r="E13" s="85">
        <v>10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木曜クエスト</v>
      </c>
      <c r="H13" s="86">
        <v>6</v>
      </c>
      <c r="I13" s="91">
        <f t="shared" si="0"/>
        <v>12</v>
      </c>
      <c r="J13" s="87" t="str">
        <f t="shared" si="1"/>
        <v>1100412</v>
      </c>
      <c r="K13" s="85" t="s">
        <v>193</v>
      </c>
      <c r="L13" s="88" t="s">
        <v>194</v>
      </c>
      <c r="M13" s="106" t="s">
        <v>247</v>
      </c>
      <c r="N13" s="57" t="s">
        <v>195</v>
      </c>
    </row>
    <row r="14" spans="1:14" ht="42" x14ac:dyDescent="0.15">
      <c r="A14" s="82" t="s">
        <v>192</v>
      </c>
      <c r="B14" s="83">
        <f>floors!$C$14</f>
        <v>11102</v>
      </c>
      <c r="C14" s="84" t="str">
        <f ca="1">VLOOKUP($B14,OFFSET([2]quests!$A$1,0,0,COUNTA([2]quests!$A:$A),MATCH(C$1,[2]quests!$1:$1,0)-MATCH($B$1,[2]quests!$1:$1,0)+1),MATCH(C$1,[2]quests!$1:$1,0)-MATCH($B$1,[2]quests!$1:$1,0)+1,FALSE)</f>
        <v>【期間限定】 赤の素材</v>
      </c>
      <c r="D14" s="84" t="str">
        <f ca="1">VLOOKUP($B14,OFFSET([2]quests!$A$1,0,0,COUNTA([2]quests!$A:$A),MATCH(D$1,[2]quests!$1:$1,0)-MATCH($B$1,[2]quests!$1:$1,0)+1),MATCH(D$1,[2]quests!$1:$1,0)-MATCH($B$1,[2]quests!$1:$1,0)+1,FALSE)</f>
        <v>火曜クエスト</v>
      </c>
      <c r="E14" s="85">
        <v>10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【超絶級】炎上のドードー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火曜クエスト</v>
      </c>
      <c r="H14" s="86">
        <v>1</v>
      </c>
      <c r="I14" s="91">
        <f t="shared" si="0"/>
        <v>13</v>
      </c>
      <c r="J14" s="87" t="str">
        <f t="shared" si="1"/>
        <v>1110213</v>
      </c>
      <c r="K14" s="85" t="s">
        <v>193</v>
      </c>
      <c r="L14" s="88" t="s">
        <v>194</v>
      </c>
      <c r="M14" s="106" t="s">
        <v>248</v>
      </c>
      <c r="N14" s="57" t="s">
        <v>195</v>
      </c>
    </row>
    <row r="15" spans="1:14" ht="42" x14ac:dyDescent="0.15">
      <c r="A15" s="82" t="s">
        <v>192</v>
      </c>
      <c r="B15" s="83">
        <f>floors!$C$14</f>
        <v>11102</v>
      </c>
      <c r="C15" s="84" t="str">
        <f ca="1">VLOOKUP($B15,OFFSET([2]quests!$A$1,0,0,COUNTA([2]quests!$A:$A),MATCH(C$1,[2]quests!$1:$1,0)-MATCH($B$1,[2]quests!$1:$1,0)+1),MATCH(C$1,[2]quests!$1:$1,0)-MATCH($B$1,[2]quests!$1:$1,0)+1,FALSE)</f>
        <v>【期間限定】 赤の素材</v>
      </c>
      <c r="D15" s="84" t="str">
        <f ca="1">VLOOKUP($B15,OFFSET([2]quests!$A$1,0,0,COUNTA([2]quests!$A:$A),MATCH(D$1,[2]quests!$1:$1,0)-MATCH($B$1,[2]quests!$1:$1,0)+1),MATCH(D$1,[2]quests!$1:$1,0)-MATCH($B$1,[2]quests!$1:$1,0)+1,FALSE)</f>
        <v>火曜クエスト</v>
      </c>
      <c r="E15" s="85">
        <v>10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【超絶級】炎上のドードー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火曜クエスト</v>
      </c>
      <c r="H15" s="86">
        <v>2</v>
      </c>
      <c r="I15" s="91">
        <f t="shared" si="0"/>
        <v>14</v>
      </c>
      <c r="J15" s="87" t="str">
        <f t="shared" si="1"/>
        <v>1110214</v>
      </c>
      <c r="K15" s="85" t="s">
        <v>193</v>
      </c>
      <c r="L15" s="88" t="s">
        <v>194</v>
      </c>
      <c r="M15" s="106" t="s">
        <v>249</v>
      </c>
      <c r="N15" s="57" t="s">
        <v>195</v>
      </c>
    </row>
    <row r="16" spans="1:14" ht="42" x14ac:dyDescent="0.15">
      <c r="A16" s="82" t="s">
        <v>192</v>
      </c>
      <c r="B16" s="83">
        <f>floors!$C$14</f>
        <v>11102</v>
      </c>
      <c r="C16" s="84" t="str">
        <f ca="1">VLOOKUP($B16,OFFSET([2]quests!$A$1,0,0,COUNTA([2]quests!$A:$A),MATCH(C$1,[2]quests!$1:$1,0)-MATCH($B$1,[2]quests!$1:$1,0)+1),MATCH(C$1,[2]quests!$1:$1,0)-MATCH($B$1,[2]quests!$1:$1,0)+1,FALSE)</f>
        <v>【期間限定】 赤の素材</v>
      </c>
      <c r="D16" s="84" t="str">
        <f ca="1">VLOOKUP($B16,OFFSET([2]quests!$A$1,0,0,COUNTA([2]quests!$A:$A),MATCH(D$1,[2]quests!$1:$1,0)-MATCH($B$1,[2]quests!$1:$1,0)+1),MATCH(D$1,[2]quests!$1:$1,0)-MATCH($B$1,[2]quests!$1:$1,0)+1,FALSE)</f>
        <v>火曜クエスト</v>
      </c>
      <c r="E16" s="85">
        <v>10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【超絶級】炎上のドードー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火曜クエスト</v>
      </c>
      <c r="H16" s="86">
        <v>3</v>
      </c>
      <c r="I16" s="91">
        <f t="shared" si="0"/>
        <v>15</v>
      </c>
      <c r="J16" s="87" t="str">
        <f t="shared" si="1"/>
        <v>1110215</v>
      </c>
      <c r="K16" s="85" t="s">
        <v>193</v>
      </c>
      <c r="L16" s="88" t="s">
        <v>194</v>
      </c>
      <c r="M16" s="106" t="s">
        <v>250</v>
      </c>
      <c r="N16" s="57" t="s">
        <v>195</v>
      </c>
    </row>
    <row r="17" spans="1:14" ht="42" x14ac:dyDescent="0.15">
      <c r="A17" s="82" t="s">
        <v>192</v>
      </c>
      <c r="B17" s="83">
        <f>floors!$C$14</f>
        <v>11102</v>
      </c>
      <c r="C17" s="84" t="str">
        <f ca="1">VLOOKUP($B17,OFFSET([2]quests!$A$1,0,0,COUNTA([2]quests!$A:$A),MATCH(C$1,[2]quests!$1:$1,0)-MATCH($B$1,[2]quests!$1:$1,0)+1),MATCH(C$1,[2]quests!$1:$1,0)-MATCH($B$1,[2]quests!$1:$1,0)+1,FALSE)</f>
        <v>【期間限定】 赤の素材</v>
      </c>
      <c r="D17" s="84" t="str">
        <f ca="1">VLOOKUP($B17,OFFSET([2]quests!$A$1,0,0,COUNTA([2]quests!$A:$A),MATCH(D$1,[2]quests!$1:$1,0)-MATCH($B$1,[2]quests!$1:$1,0)+1),MATCH(D$1,[2]quests!$1:$1,0)-MATCH($B$1,[2]quests!$1:$1,0)+1,FALSE)</f>
        <v>火曜クエスト</v>
      </c>
      <c r="E17" s="85">
        <v>10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【超絶級】炎上のドードー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火曜クエスト</v>
      </c>
      <c r="H17" s="86">
        <v>4</v>
      </c>
      <c r="I17" s="91">
        <f t="shared" si="0"/>
        <v>16</v>
      </c>
      <c r="J17" s="87" t="str">
        <f t="shared" si="1"/>
        <v>1110216</v>
      </c>
      <c r="K17" s="85" t="s">
        <v>193</v>
      </c>
      <c r="L17" s="88" t="s">
        <v>194</v>
      </c>
      <c r="M17" s="106" t="s">
        <v>251</v>
      </c>
      <c r="N17" s="57" t="s">
        <v>195</v>
      </c>
    </row>
    <row r="18" spans="1:14" ht="42" x14ac:dyDescent="0.15">
      <c r="A18" s="82" t="s">
        <v>192</v>
      </c>
      <c r="B18" s="83">
        <f>floors!$C$14</f>
        <v>11102</v>
      </c>
      <c r="C18" s="84" t="str">
        <f ca="1">VLOOKUP($B18,OFFSET([2]quests!$A$1,0,0,COUNTA([2]quests!$A:$A),MATCH(C$1,[2]quests!$1:$1,0)-MATCH($B$1,[2]quests!$1:$1,0)+1),MATCH(C$1,[2]quests!$1:$1,0)-MATCH($B$1,[2]quests!$1:$1,0)+1,FALSE)</f>
        <v>【期間限定】 赤の素材</v>
      </c>
      <c r="D18" s="84" t="str">
        <f ca="1">VLOOKUP($B18,OFFSET([2]quests!$A$1,0,0,COUNTA([2]quests!$A:$A),MATCH(D$1,[2]quests!$1:$1,0)-MATCH($B$1,[2]quests!$1:$1,0)+1),MATCH(D$1,[2]quests!$1:$1,0)-MATCH($B$1,[2]quests!$1:$1,0)+1,FALSE)</f>
        <v>火曜クエスト</v>
      </c>
      <c r="E18" s="85">
        <v>10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【超絶級】炎上のドードー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火曜クエスト</v>
      </c>
      <c r="H18" s="86">
        <v>5</v>
      </c>
      <c r="I18" s="91">
        <f t="shared" si="0"/>
        <v>17</v>
      </c>
      <c r="J18" s="87" t="str">
        <f t="shared" si="1"/>
        <v>1110217</v>
      </c>
      <c r="K18" s="85" t="s">
        <v>193</v>
      </c>
      <c r="L18" s="88" t="s">
        <v>194</v>
      </c>
      <c r="M18" s="106" t="s">
        <v>252</v>
      </c>
      <c r="N18" s="57" t="s">
        <v>195</v>
      </c>
    </row>
    <row r="19" spans="1:14" ht="42" x14ac:dyDescent="0.15">
      <c r="A19" s="82" t="s">
        <v>192</v>
      </c>
      <c r="B19" s="83">
        <f>floors!$C$14</f>
        <v>11102</v>
      </c>
      <c r="C19" s="84" t="str">
        <f ca="1">VLOOKUP($B19,OFFSET([2]quests!$A$1,0,0,COUNTA([2]quests!$A:$A),MATCH(C$1,[2]quests!$1:$1,0)-MATCH($B$1,[2]quests!$1:$1,0)+1),MATCH(C$1,[2]quests!$1:$1,0)-MATCH($B$1,[2]quests!$1:$1,0)+1,FALSE)</f>
        <v>【期間限定】 赤の素材</v>
      </c>
      <c r="D19" s="84" t="str">
        <f ca="1">VLOOKUP($B19,OFFSET([2]quests!$A$1,0,0,COUNTA([2]quests!$A:$A),MATCH(D$1,[2]quests!$1:$1,0)-MATCH($B$1,[2]quests!$1:$1,0)+1),MATCH(D$1,[2]quests!$1:$1,0)-MATCH($B$1,[2]quests!$1:$1,0)+1,FALSE)</f>
        <v>火曜クエスト</v>
      </c>
      <c r="E19" s="85">
        <v>10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【超絶級】炎上のドードー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火曜クエスト</v>
      </c>
      <c r="H19" s="86">
        <v>6</v>
      </c>
      <c r="I19" s="91">
        <f t="shared" si="0"/>
        <v>18</v>
      </c>
      <c r="J19" s="87" t="str">
        <f t="shared" si="1"/>
        <v>1110218</v>
      </c>
      <c r="K19" s="85" t="s">
        <v>193</v>
      </c>
      <c r="L19" s="88" t="s">
        <v>194</v>
      </c>
      <c r="M19" s="106" t="s">
        <v>253</v>
      </c>
      <c r="N19" s="57" t="s">
        <v>195</v>
      </c>
    </row>
    <row r="20" spans="1:14" ht="42" x14ac:dyDescent="0.15">
      <c r="A20" s="82" t="s">
        <v>192</v>
      </c>
      <c r="B20" s="83">
        <f>floors!$C$20</f>
        <v>11104</v>
      </c>
      <c r="C20" s="84" t="str">
        <f ca="1">VLOOKUP($B20,OFFSET([2]quests!$A$1,0,0,COUNTA([2]quests!$A:$A),MATCH(C$1,[2]quests!$1:$1,0)-MATCH($B$1,[2]quests!$1:$1,0)+1),MATCH(C$1,[2]quests!$1:$1,0)-MATCH($B$1,[2]quests!$1:$1,0)+1,FALSE)</f>
        <v>【期間限定】 緑の素材</v>
      </c>
      <c r="D20" s="84" t="str">
        <f ca="1">VLOOKUP($B20,OFFSET([2]quests!$A$1,0,0,COUNTA([2]quests!$A:$A),MATCH(D$1,[2]quests!$1:$1,0)-MATCH($B$1,[2]quests!$1:$1,0)+1),MATCH(D$1,[2]quests!$1:$1,0)-MATCH($B$1,[2]quests!$1:$1,0)+1,FALSE)</f>
        <v>木曜クエスト</v>
      </c>
      <c r="E20" s="85">
        <v>10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木曜クエスト</v>
      </c>
      <c r="H20" s="86">
        <v>1</v>
      </c>
      <c r="I20" s="91">
        <f t="shared" si="0"/>
        <v>19</v>
      </c>
      <c r="J20" s="87" t="str">
        <f t="shared" si="1"/>
        <v>1110419</v>
      </c>
      <c r="K20" s="85" t="s">
        <v>193</v>
      </c>
      <c r="L20" s="88" t="s">
        <v>194</v>
      </c>
      <c r="M20" s="106" t="s">
        <v>242</v>
      </c>
      <c r="N20" s="57" t="s">
        <v>195</v>
      </c>
    </row>
    <row r="21" spans="1:14" ht="42" x14ac:dyDescent="0.15">
      <c r="A21" s="82" t="s">
        <v>192</v>
      </c>
      <c r="B21" s="83">
        <f>floors!$C$20</f>
        <v>11104</v>
      </c>
      <c r="C21" s="84" t="str">
        <f ca="1">VLOOKUP($B21,OFFSET([2]quests!$A$1,0,0,COUNTA([2]quests!$A:$A),MATCH(C$1,[2]quests!$1:$1,0)-MATCH($B$1,[2]quests!$1:$1,0)+1),MATCH(C$1,[2]quests!$1:$1,0)-MATCH($B$1,[2]quests!$1:$1,0)+1,FALSE)</f>
        <v>【期間限定】 緑の素材</v>
      </c>
      <c r="D21" s="84" t="str">
        <f ca="1">VLOOKUP($B21,OFFSET([2]quests!$A$1,0,0,COUNTA([2]quests!$A:$A),MATCH(D$1,[2]quests!$1:$1,0)-MATCH($B$1,[2]quests!$1:$1,0)+1),MATCH(D$1,[2]quests!$1:$1,0)-MATCH($B$1,[2]quests!$1:$1,0)+1,FALSE)</f>
        <v>木曜クエスト</v>
      </c>
      <c r="E21" s="85">
        <v>10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木曜クエスト</v>
      </c>
      <c r="H21" s="86">
        <v>2</v>
      </c>
      <c r="I21" s="91">
        <f t="shared" si="0"/>
        <v>20</v>
      </c>
      <c r="J21" s="87" t="str">
        <f t="shared" si="1"/>
        <v>1110420</v>
      </c>
      <c r="K21" s="85" t="s">
        <v>193</v>
      </c>
      <c r="L21" s="88" t="s">
        <v>194</v>
      </c>
      <c r="M21" s="106" t="s">
        <v>243</v>
      </c>
      <c r="N21" s="57" t="s">
        <v>195</v>
      </c>
    </row>
    <row r="22" spans="1:14" ht="42" x14ac:dyDescent="0.15">
      <c r="A22" s="82" t="s">
        <v>192</v>
      </c>
      <c r="B22" s="83">
        <f>floors!$C$20</f>
        <v>11104</v>
      </c>
      <c r="C22" s="84" t="str">
        <f ca="1">VLOOKUP($B22,OFFSET([2]quests!$A$1,0,0,COUNTA([2]quests!$A:$A),MATCH(C$1,[2]quests!$1:$1,0)-MATCH($B$1,[2]quests!$1:$1,0)+1),MATCH(C$1,[2]quests!$1:$1,0)-MATCH($B$1,[2]quests!$1:$1,0)+1,FALSE)</f>
        <v>【期間限定】 緑の素材</v>
      </c>
      <c r="D22" s="84" t="str">
        <f ca="1">VLOOKUP($B22,OFFSET([2]quests!$A$1,0,0,COUNTA([2]quests!$A:$A),MATCH(D$1,[2]quests!$1:$1,0)-MATCH($B$1,[2]quests!$1:$1,0)+1),MATCH(D$1,[2]quests!$1:$1,0)-MATCH($B$1,[2]quests!$1:$1,0)+1,FALSE)</f>
        <v>木曜クエスト</v>
      </c>
      <c r="E22" s="85">
        <v>10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木曜クエスト</v>
      </c>
      <c r="H22" s="86">
        <v>3</v>
      </c>
      <c r="I22" s="91">
        <f t="shared" si="0"/>
        <v>21</v>
      </c>
      <c r="J22" s="87" t="str">
        <f t="shared" si="1"/>
        <v>1110421</v>
      </c>
      <c r="K22" s="85" t="s">
        <v>193</v>
      </c>
      <c r="L22" s="88" t="s">
        <v>194</v>
      </c>
      <c r="M22" s="106" t="s">
        <v>244</v>
      </c>
      <c r="N22" s="57" t="s">
        <v>195</v>
      </c>
    </row>
    <row r="23" spans="1:14" ht="42" x14ac:dyDescent="0.15">
      <c r="A23" s="82" t="s">
        <v>192</v>
      </c>
      <c r="B23" s="83">
        <f>floors!$C$20</f>
        <v>11104</v>
      </c>
      <c r="C23" s="84" t="str">
        <f ca="1">VLOOKUP($B23,OFFSET([2]quests!$A$1,0,0,COUNTA([2]quests!$A:$A),MATCH(C$1,[2]quests!$1:$1,0)-MATCH($B$1,[2]quests!$1:$1,0)+1),MATCH(C$1,[2]quests!$1:$1,0)-MATCH($B$1,[2]quests!$1:$1,0)+1,FALSE)</f>
        <v>【期間限定】 緑の素材</v>
      </c>
      <c r="D23" s="84" t="str">
        <f ca="1">VLOOKUP($B23,OFFSET([2]quests!$A$1,0,0,COUNTA([2]quests!$A:$A),MATCH(D$1,[2]quests!$1:$1,0)-MATCH($B$1,[2]quests!$1:$1,0)+1),MATCH(D$1,[2]quests!$1:$1,0)-MATCH($B$1,[2]quests!$1:$1,0)+1,FALSE)</f>
        <v>木曜クエスト</v>
      </c>
      <c r="E23" s="85">
        <v>10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木曜クエスト</v>
      </c>
      <c r="H23" s="86">
        <v>4</v>
      </c>
      <c r="I23" s="91">
        <f t="shared" si="0"/>
        <v>22</v>
      </c>
      <c r="J23" s="87" t="str">
        <f t="shared" si="1"/>
        <v>1110422</v>
      </c>
      <c r="K23" s="85" t="s">
        <v>193</v>
      </c>
      <c r="L23" s="88" t="s">
        <v>194</v>
      </c>
      <c r="M23" s="106" t="s">
        <v>245</v>
      </c>
      <c r="N23" s="57" t="s">
        <v>195</v>
      </c>
    </row>
    <row r="24" spans="1:14" ht="42" x14ac:dyDescent="0.15">
      <c r="A24" s="82" t="s">
        <v>192</v>
      </c>
      <c r="B24" s="83">
        <f>floors!$C$20</f>
        <v>11104</v>
      </c>
      <c r="C24" s="84" t="str">
        <f ca="1">VLOOKUP($B24,OFFSET([2]quests!$A$1,0,0,COUNTA([2]quests!$A:$A),MATCH(C$1,[2]quests!$1:$1,0)-MATCH($B$1,[2]quests!$1:$1,0)+1),MATCH(C$1,[2]quests!$1:$1,0)-MATCH($B$1,[2]quests!$1:$1,0)+1,FALSE)</f>
        <v>【期間限定】 緑の素材</v>
      </c>
      <c r="D24" s="84" t="str">
        <f ca="1">VLOOKUP($B24,OFFSET([2]quests!$A$1,0,0,COUNTA([2]quests!$A:$A),MATCH(D$1,[2]quests!$1:$1,0)-MATCH($B$1,[2]quests!$1:$1,0)+1),MATCH(D$1,[2]quests!$1:$1,0)-MATCH($B$1,[2]quests!$1:$1,0)+1,FALSE)</f>
        <v>木曜クエスト</v>
      </c>
      <c r="E24" s="85">
        <v>10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木曜クエスト</v>
      </c>
      <c r="H24" s="86">
        <v>5</v>
      </c>
      <c r="I24" s="91">
        <f t="shared" si="0"/>
        <v>23</v>
      </c>
      <c r="J24" s="87" t="str">
        <f t="shared" si="1"/>
        <v>1110423</v>
      </c>
      <c r="K24" s="85" t="s">
        <v>193</v>
      </c>
      <c r="L24" s="88" t="s">
        <v>194</v>
      </c>
      <c r="M24" s="106" t="s">
        <v>246</v>
      </c>
      <c r="N24" s="57" t="s">
        <v>195</v>
      </c>
    </row>
    <row r="25" spans="1:14" ht="42" x14ac:dyDescent="0.15">
      <c r="A25" s="82" t="s">
        <v>192</v>
      </c>
      <c r="B25" s="83">
        <f>floors!$C$20</f>
        <v>11104</v>
      </c>
      <c r="C25" s="84" t="str">
        <f ca="1">VLOOKUP($B25,OFFSET([2]quests!$A$1,0,0,COUNTA([2]quests!$A:$A),MATCH(C$1,[2]quests!$1:$1,0)-MATCH($B$1,[2]quests!$1:$1,0)+1),MATCH(C$1,[2]quests!$1:$1,0)-MATCH($B$1,[2]quests!$1:$1,0)+1,FALSE)</f>
        <v>【期間限定】 緑の素材</v>
      </c>
      <c r="D25" s="84" t="str">
        <f ca="1">VLOOKUP($B25,OFFSET([2]quests!$A$1,0,0,COUNTA([2]quests!$A:$A),MATCH(D$1,[2]quests!$1:$1,0)-MATCH($B$1,[2]quests!$1:$1,0)+1),MATCH(D$1,[2]quests!$1:$1,0)-MATCH($B$1,[2]quests!$1:$1,0)+1,FALSE)</f>
        <v>木曜クエスト</v>
      </c>
      <c r="E25" s="85">
        <v>10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【超絶級】千風のグリフォン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木曜クエスト</v>
      </c>
      <c r="H25" s="86">
        <v>6</v>
      </c>
      <c r="I25" s="91">
        <f t="shared" si="0"/>
        <v>24</v>
      </c>
      <c r="J25" s="87" t="str">
        <f t="shared" si="1"/>
        <v>1110424</v>
      </c>
      <c r="K25" s="85" t="s">
        <v>193</v>
      </c>
      <c r="L25" s="88" t="s">
        <v>194</v>
      </c>
      <c r="M25" s="106" t="s">
        <v>247</v>
      </c>
      <c r="N25" s="57" t="s">
        <v>195</v>
      </c>
    </row>
    <row r="26" spans="1:14" ht="42" x14ac:dyDescent="0.15">
      <c r="A26" s="82" t="s">
        <v>192</v>
      </c>
      <c r="B26" s="83">
        <f>floors!$C$26</f>
        <v>11001</v>
      </c>
      <c r="C26" s="84" t="str">
        <f ca="1">VLOOKUP($B26,OFFSET([2]quests!$A$1,0,0,COUNTA([2]quests!$A:$A),MATCH(C$1,[2]quests!$1:$1,0)-MATCH($B$1,[2]quests!$1:$1,0)+1),MATCH(C$1,[2]quests!$1:$1,0)-MATCH($B$1,[2]quests!$1:$1,0)+1,FALSE)</f>
        <v>【月曜限定】 黄の素材</v>
      </c>
      <c r="D26" s="84" t="str">
        <f ca="1">VLOOKUP($B26,OFFSET([2]quests!$A$1,0,0,COUNTA([2]quests!$A:$A),MATCH(D$1,[2]quests!$1:$1,0)-MATCH($B$1,[2]quests!$1:$1,0)+1),MATCH(D$1,[2]quests!$1:$1,0)-MATCH($B$1,[2]quests!$1:$1,0)+1,FALSE)</f>
        <v>月曜クエスト</v>
      </c>
      <c r="E26" s="85">
        <v>10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月曜クエスト</v>
      </c>
      <c r="H26" s="86">
        <v>1</v>
      </c>
      <c r="I26" s="91">
        <f>ROW()-1</f>
        <v>25</v>
      </c>
      <c r="J26" s="87" t="str">
        <f>B26&amp;TEXT(I26,"00")</f>
        <v>1100125</v>
      </c>
      <c r="K26" s="85" t="s">
        <v>193</v>
      </c>
      <c r="L26" s="88" t="s">
        <v>194</v>
      </c>
      <c r="M26" s="106" t="s">
        <v>291</v>
      </c>
      <c r="N26" s="57" t="s">
        <v>195</v>
      </c>
    </row>
    <row r="27" spans="1:14" ht="42" x14ac:dyDescent="0.15">
      <c r="A27" s="82" t="s">
        <v>192</v>
      </c>
      <c r="B27" s="83">
        <f>floors!$C$26</f>
        <v>11001</v>
      </c>
      <c r="C27" s="84" t="str">
        <f ca="1">VLOOKUP($B27,OFFSET([2]quests!$A$1,0,0,COUNTA([2]quests!$A:$A),MATCH(C$1,[2]quests!$1:$1,0)-MATCH($B$1,[2]quests!$1:$1,0)+1),MATCH(C$1,[2]quests!$1:$1,0)-MATCH($B$1,[2]quests!$1:$1,0)+1,FALSE)</f>
        <v>【月曜限定】 黄の素材</v>
      </c>
      <c r="D27" s="84" t="str">
        <f ca="1">VLOOKUP($B27,OFFSET([2]quests!$A$1,0,0,COUNTA([2]quests!$A:$A),MATCH(D$1,[2]quests!$1:$1,0)-MATCH($B$1,[2]quests!$1:$1,0)+1),MATCH(D$1,[2]quests!$1:$1,0)-MATCH($B$1,[2]quests!$1:$1,0)+1,FALSE)</f>
        <v>月曜クエスト</v>
      </c>
      <c r="E27" s="85">
        <v>10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月曜クエスト</v>
      </c>
      <c r="H27" s="86">
        <v>2</v>
      </c>
      <c r="I27" s="91">
        <f t="shared" si="0"/>
        <v>26</v>
      </c>
      <c r="J27" s="87" t="str">
        <f t="shared" ref="J27:J37" si="2">B27&amp;TEXT(I27,"00")</f>
        <v>1100126</v>
      </c>
      <c r="K27" s="85" t="s">
        <v>193</v>
      </c>
      <c r="L27" s="88" t="s">
        <v>194</v>
      </c>
      <c r="M27" s="106" t="s">
        <v>292</v>
      </c>
      <c r="N27" s="57" t="s">
        <v>195</v>
      </c>
    </row>
    <row r="28" spans="1:14" ht="42" x14ac:dyDescent="0.15">
      <c r="A28" s="82" t="s">
        <v>192</v>
      </c>
      <c r="B28" s="83">
        <f>floors!$C$26</f>
        <v>11001</v>
      </c>
      <c r="C28" s="84" t="str">
        <f ca="1">VLOOKUP($B28,OFFSET([2]quests!$A$1,0,0,COUNTA([2]quests!$A:$A),MATCH(C$1,[2]quests!$1:$1,0)-MATCH($B$1,[2]quests!$1:$1,0)+1),MATCH(C$1,[2]quests!$1:$1,0)-MATCH($B$1,[2]quests!$1:$1,0)+1,FALSE)</f>
        <v>【月曜限定】 黄の素材</v>
      </c>
      <c r="D28" s="84" t="str">
        <f ca="1">VLOOKUP($B28,OFFSET([2]quests!$A$1,0,0,COUNTA([2]quests!$A:$A),MATCH(D$1,[2]quests!$1:$1,0)-MATCH($B$1,[2]quests!$1:$1,0)+1),MATCH(D$1,[2]quests!$1:$1,0)-MATCH($B$1,[2]quests!$1:$1,0)+1,FALSE)</f>
        <v>月曜クエスト</v>
      </c>
      <c r="E28" s="85">
        <v>10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月曜クエスト</v>
      </c>
      <c r="H28" s="86">
        <v>3</v>
      </c>
      <c r="I28" s="91">
        <f t="shared" si="0"/>
        <v>27</v>
      </c>
      <c r="J28" s="87" t="str">
        <f t="shared" si="2"/>
        <v>1100127</v>
      </c>
      <c r="K28" s="85" t="s">
        <v>193</v>
      </c>
      <c r="L28" s="88" t="s">
        <v>194</v>
      </c>
      <c r="M28" s="106" t="s">
        <v>293</v>
      </c>
      <c r="N28" s="57" t="s">
        <v>195</v>
      </c>
    </row>
    <row r="29" spans="1:14" ht="42" x14ac:dyDescent="0.15">
      <c r="A29" s="82" t="s">
        <v>192</v>
      </c>
      <c r="B29" s="83">
        <f>floors!$C$26</f>
        <v>11001</v>
      </c>
      <c r="C29" s="84" t="str">
        <f ca="1">VLOOKUP($B29,OFFSET([2]quests!$A$1,0,0,COUNTA([2]quests!$A:$A),MATCH(C$1,[2]quests!$1:$1,0)-MATCH($B$1,[2]quests!$1:$1,0)+1),MATCH(C$1,[2]quests!$1:$1,0)-MATCH($B$1,[2]quests!$1:$1,0)+1,FALSE)</f>
        <v>【月曜限定】 黄の素材</v>
      </c>
      <c r="D29" s="84" t="str">
        <f ca="1">VLOOKUP($B29,OFFSET([2]quests!$A$1,0,0,COUNTA([2]quests!$A:$A),MATCH(D$1,[2]quests!$1:$1,0)-MATCH($B$1,[2]quests!$1:$1,0)+1),MATCH(D$1,[2]quests!$1:$1,0)-MATCH($B$1,[2]quests!$1:$1,0)+1,FALSE)</f>
        <v>月曜クエスト</v>
      </c>
      <c r="E29" s="85">
        <v>10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月曜クエスト</v>
      </c>
      <c r="H29" s="86">
        <v>4</v>
      </c>
      <c r="I29" s="91">
        <f t="shared" si="0"/>
        <v>28</v>
      </c>
      <c r="J29" s="87" t="str">
        <f t="shared" si="2"/>
        <v>1100128</v>
      </c>
      <c r="K29" s="85" t="s">
        <v>193</v>
      </c>
      <c r="L29" s="88" t="s">
        <v>194</v>
      </c>
      <c r="M29" s="106" t="s">
        <v>294</v>
      </c>
      <c r="N29" s="57" t="s">
        <v>195</v>
      </c>
    </row>
    <row r="30" spans="1:14" ht="42" x14ac:dyDescent="0.15">
      <c r="A30" s="82" t="s">
        <v>192</v>
      </c>
      <c r="B30" s="83">
        <f>floors!$C$26</f>
        <v>11001</v>
      </c>
      <c r="C30" s="84" t="str">
        <f ca="1">VLOOKUP($B30,OFFSET([2]quests!$A$1,0,0,COUNTA([2]quests!$A:$A),MATCH(C$1,[2]quests!$1:$1,0)-MATCH($B$1,[2]quests!$1:$1,0)+1),MATCH(C$1,[2]quests!$1:$1,0)-MATCH($B$1,[2]quests!$1:$1,0)+1,FALSE)</f>
        <v>【月曜限定】 黄の素材</v>
      </c>
      <c r="D30" s="84" t="str">
        <f ca="1">VLOOKUP($B30,OFFSET([2]quests!$A$1,0,0,COUNTA([2]quests!$A:$A),MATCH(D$1,[2]quests!$1:$1,0)-MATCH($B$1,[2]quests!$1:$1,0)+1),MATCH(D$1,[2]quests!$1:$1,0)-MATCH($B$1,[2]quests!$1:$1,0)+1,FALSE)</f>
        <v>月曜クエスト</v>
      </c>
      <c r="E30" s="85">
        <v>10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月曜クエスト</v>
      </c>
      <c r="H30" s="86">
        <v>5</v>
      </c>
      <c r="I30" s="91">
        <f t="shared" si="0"/>
        <v>29</v>
      </c>
      <c r="J30" s="87" t="str">
        <f t="shared" si="2"/>
        <v>1100129</v>
      </c>
      <c r="K30" s="85" t="s">
        <v>193</v>
      </c>
      <c r="L30" s="88" t="s">
        <v>194</v>
      </c>
      <c r="M30" s="106" t="s">
        <v>295</v>
      </c>
      <c r="N30" s="57" t="s">
        <v>195</v>
      </c>
    </row>
    <row r="31" spans="1:14" ht="42" x14ac:dyDescent="0.15">
      <c r="A31" s="82" t="s">
        <v>192</v>
      </c>
      <c r="B31" s="83">
        <f>floors!$C$26</f>
        <v>11001</v>
      </c>
      <c r="C31" s="84" t="str">
        <f ca="1">VLOOKUP($B31,OFFSET([2]quests!$A$1,0,0,COUNTA([2]quests!$A:$A),MATCH(C$1,[2]quests!$1:$1,0)-MATCH($B$1,[2]quests!$1:$1,0)+1),MATCH(C$1,[2]quests!$1:$1,0)-MATCH($B$1,[2]quests!$1:$1,0)+1,FALSE)</f>
        <v>【月曜限定】 黄の素材</v>
      </c>
      <c r="D31" s="84" t="str">
        <f ca="1">VLOOKUP($B31,OFFSET([2]quests!$A$1,0,0,COUNTA([2]quests!$A:$A),MATCH(D$1,[2]quests!$1:$1,0)-MATCH($B$1,[2]quests!$1:$1,0)+1),MATCH(D$1,[2]quests!$1:$1,0)-MATCH($B$1,[2]quests!$1:$1,0)+1,FALSE)</f>
        <v>月曜クエスト</v>
      </c>
      <c r="E31" s="85">
        <v>10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月曜クエスト</v>
      </c>
      <c r="H31" s="86">
        <v>6</v>
      </c>
      <c r="I31" s="91">
        <f t="shared" si="0"/>
        <v>30</v>
      </c>
      <c r="J31" s="87" t="str">
        <f t="shared" si="2"/>
        <v>1100130</v>
      </c>
      <c r="K31" s="85" t="s">
        <v>193</v>
      </c>
      <c r="L31" s="88" t="s">
        <v>194</v>
      </c>
      <c r="M31" s="106" t="s">
        <v>296</v>
      </c>
      <c r="N31" s="57" t="s">
        <v>195</v>
      </c>
    </row>
    <row r="32" spans="1:14" ht="42" x14ac:dyDescent="0.15">
      <c r="A32" s="82" t="s">
        <v>192</v>
      </c>
      <c r="B32" s="83">
        <f>floors!$C$32</f>
        <v>11003</v>
      </c>
      <c r="C32" s="84" t="str">
        <f ca="1">VLOOKUP($B32,OFFSET([2]quests!$A$1,0,0,COUNTA([2]quests!$A:$A),MATCH(C$1,[2]quests!$1:$1,0)-MATCH($B$1,[2]quests!$1:$1,0)+1),MATCH(C$1,[2]quests!$1:$1,0)-MATCH($B$1,[2]quests!$1:$1,0)+1,FALSE)</f>
        <v>【水曜限定】 青の素材</v>
      </c>
      <c r="D32" s="84" t="str">
        <f ca="1">VLOOKUP($B32,OFFSET([2]quests!$A$1,0,0,COUNTA([2]quests!$A:$A),MATCH(D$1,[2]quests!$1:$1,0)-MATCH($B$1,[2]quests!$1:$1,0)+1),MATCH(D$1,[2]quests!$1:$1,0)-MATCH($B$1,[2]quests!$1:$1,0)+1,FALSE)</f>
        <v>水曜クエスト</v>
      </c>
      <c r="E32" s="85">
        <v>10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水曜クエスト</v>
      </c>
      <c r="H32" s="86">
        <v>1</v>
      </c>
      <c r="I32" s="91">
        <f t="shared" si="0"/>
        <v>31</v>
      </c>
      <c r="J32" s="87" t="str">
        <f t="shared" si="2"/>
        <v>1100331</v>
      </c>
      <c r="K32" s="85" t="s">
        <v>193</v>
      </c>
      <c r="L32" s="88" t="s">
        <v>194</v>
      </c>
      <c r="M32" s="106" t="s">
        <v>297</v>
      </c>
      <c r="N32" s="57" t="s">
        <v>195</v>
      </c>
    </row>
    <row r="33" spans="1:14" ht="42" x14ac:dyDescent="0.15">
      <c r="A33" s="82" t="s">
        <v>192</v>
      </c>
      <c r="B33" s="83">
        <f>floors!$C$32</f>
        <v>11003</v>
      </c>
      <c r="C33" s="84" t="str">
        <f ca="1">VLOOKUP($B33,OFFSET([2]quests!$A$1,0,0,COUNTA([2]quests!$A:$A),MATCH(C$1,[2]quests!$1:$1,0)-MATCH($B$1,[2]quests!$1:$1,0)+1),MATCH(C$1,[2]quests!$1:$1,0)-MATCH($B$1,[2]quests!$1:$1,0)+1,FALSE)</f>
        <v>【水曜限定】 青の素材</v>
      </c>
      <c r="D33" s="84" t="str">
        <f ca="1">VLOOKUP($B33,OFFSET([2]quests!$A$1,0,0,COUNTA([2]quests!$A:$A),MATCH(D$1,[2]quests!$1:$1,0)-MATCH($B$1,[2]quests!$1:$1,0)+1),MATCH(D$1,[2]quests!$1:$1,0)-MATCH($B$1,[2]quests!$1:$1,0)+1,FALSE)</f>
        <v>水曜クエスト</v>
      </c>
      <c r="E33" s="85">
        <v>10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水曜クエスト</v>
      </c>
      <c r="H33" s="86">
        <v>2</v>
      </c>
      <c r="I33" s="91">
        <f t="shared" si="0"/>
        <v>32</v>
      </c>
      <c r="J33" s="87" t="str">
        <f t="shared" si="2"/>
        <v>1100332</v>
      </c>
      <c r="K33" s="85" t="s">
        <v>193</v>
      </c>
      <c r="L33" s="88" t="s">
        <v>194</v>
      </c>
      <c r="M33" s="106" t="s">
        <v>298</v>
      </c>
      <c r="N33" s="57" t="s">
        <v>195</v>
      </c>
    </row>
    <row r="34" spans="1:14" ht="42" x14ac:dyDescent="0.15">
      <c r="A34" s="82" t="s">
        <v>192</v>
      </c>
      <c r="B34" s="83">
        <f>floors!$C$32</f>
        <v>11003</v>
      </c>
      <c r="C34" s="84" t="str">
        <f ca="1">VLOOKUP($B34,OFFSET([2]quests!$A$1,0,0,COUNTA([2]quests!$A:$A),MATCH(C$1,[2]quests!$1:$1,0)-MATCH($B$1,[2]quests!$1:$1,0)+1),MATCH(C$1,[2]quests!$1:$1,0)-MATCH($B$1,[2]quests!$1:$1,0)+1,FALSE)</f>
        <v>【水曜限定】 青の素材</v>
      </c>
      <c r="D34" s="84" t="str">
        <f ca="1">VLOOKUP($B34,OFFSET([2]quests!$A$1,0,0,COUNTA([2]quests!$A:$A),MATCH(D$1,[2]quests!$1:$1,0)-MATCH($B$1,[2]quests!$1:$1,0)+1),MATCH(D$1,[2]quests!$1:$1,0)-MATCH($B$1,[2]quests!$1:$1,0)+1,FALSE)</f>
        <v>水曜クエスト</v>
      </c>
      <c r="E34" s="85">
        <v>10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水曜クエスト</v>
      </c>
      <c r="H34" s="86">
        <v>3</v>
      </c>
      <c r="I34" s="91">
        <f t="shared" si="0"/>
        <v>33</v>
      </c>
      <c r="J34" s="87" t="str">
        <f t="shared" si="2"/>
        <v>1100333</v>
      </c>
      <c r="K34" s="85" t="s">
        <v>193</v>
      </c>
      <c r="L34" s="88" t="s">
        <v>194</v>
      </c>
      <c r="M34" s="106" t="s">
        <v>299</v>
      </c>
      <c r="N34" s="57" t="s">
        <v>195</v>
      </c>
    </row>
    <row r="35" spans="1:14" ht="42" x14ac:dyDescent="0.15">
      <c r="A35" s="82" t="s">
        <v>192</v>
      </c>
      <c r="B35" s="83">
        <f>floors!$C$32</f>
        <v>11003</v>
      </c>
      <c r="C35" s="84" t="str">
        <f ca="1">VLOOKUP($B35,OFFSET([2]quests!$A$1,0,0,COUNTA([2]quests!$A:$A),MATCH(C$1,[2]quests!$1:$1,0)-MATCH($B$1,[2]quests!$1:$1,0)+1),MATCH(C$1,[2]quests!$1:$1,0)-MATCH($B$1,[2]quests!$1:$1,0)+1,FALSE)</f>
        <v>【水曜限定】 青の素材</v>
      </c>
      <c r="D35" s="84" t="str">
        <f ca="1">VLOOKUP($B35,OFFSET([2]quests!$A$1,0,0,COUNTA([2]quests!$A:$A),MATCH(D$1,[2]quests!$1:$1,0)-MATCH($B$1,[2]quests!$1:$1,0)+1),MATCH(D$1,[2]quests!$1:$1,0)-MATCH($B$1,[2]quests!$1:$1,0)+1,FALSE)</f>
        <v>水曜クエスト</v>
      </c>
      <c r="E35" s="85">
        <v>10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水曜クエスト</v>
      </c>
      <c r="H35" s="86">
        <v>4</v>
      </c>
      <c r="I35" s="91">
        <f t="shared" si="0"/>
        <v>34</v>
      </c>
      <c r="J35" s="87" t="str">
        <f t="shared" si="2"/>
        <v>1100334</v>
      </c>
      <c r="K35" s="85" t="s">
        <v>193</v>
      </c>
      <c r="L35" s="88" t="s">
        <v>194</v>
      </c>
      <c r="M35" s="106" t="s">
        <v>300</v>
      </c>
      <c r="N35" s="57" t="s">
        <v>195</v>
      </c>
    </row>
    <row r="36" spans="1:14" ht="42" x14ac:dyDescent="0.15">
      <c r="A36" s="82" t="s">
        <v>192</v>
      </c>
      <c r="B36" s="83">
        <f>floors!$C$32</f>
        <v>11003</v>
      </c>
      <c r="C36" s="84" t="str">
        <f ca="1">VLOOKUP($B36,OFFSET([2]quests!$A$1,0,0,COUNTA([2]quests!$A:$A),MATCH(C$1,[2]quests!$1:$1,0)-MATCH($B$1,[2]quests!$1:$1,0)+1),MATCH(C$1,[2]quests!$1:$1,0)-MATCH($B$1,[2]quests!$1:$1,0)+1,FALSE)</f>
        <v>【水曜限定】 青の素材</v>
      </c>
      <c r="D36" s="84" t="str">
        <f ca="1">VLOOKUP($B36,OFFSET([2]quests!$A$1,0,0,COUNTA([2]quests!$A:$A),MATCH(D$1,[2]quests!$1:$1,0)-MATCH($B$1,[2]quests!$1:$1,0)+1),MATCH(D$1,[2]quests!$1:$1,0)-MATCH($B$1,[2]quests!$1:$1,0)+1,FALSE)</f>
        <v>水曜クエスト</v>
      </c>
      <c r="E36" s="85">
        <v>10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水曜クエスト</v>
      </c>
      <c r="H36" s="86">
        <v>5</v>
      </c>
      <c r="I36" s="91">
        <f t="shared" si="0"/>
        <v>35</v>
      </c>
      <c r="J36" s="87" t="str">
        <f t="shared" si="2"/>
        <v>1100335</v>
      </c>
      <c r="K36" s="85" t="s">
        <v>193</v>
      </c>
      <c r="L36" s="88" t="s">
        <v>194</v>
      </c>
      <c r="M36" s="106" t="s">
        <v>302</v>
      </c>
      <c r="N36" s="57" t="s">
        <v>195</v>
      </c>
    </row>
    <row r="37" spans="1:14" ht="42" x14ac:dyDescent="0.15">
      <c r="A37" s="82" t="s">
        <v>192</v>
      </c>
      <c r="B37" s="83">
        <f>floors!$C$32</f>
        <v>11003</v>
      </c>
      <c r="C37" s="84" t="str">
        <f ca="1">VLOOKUP($B37,OFFSET([2]quests!$A$1,0,0,COUNTA([2]quests!$A:$A),MATCH(C$1,[2]quests!$1:$1,0)-MATCH($B$1,[2]quests!$1:$1,0)+1),MATCH(C$1,[2]quests!$1:$1,0)-MATCH($B$1,[2]quests!$1:$1,0)+1,FALSE)</f>
        <v>【水曜限定】 青の素材</v>
      </c>
      <c r="D37" s="84" t="str">
        <f ca="1">VLOOKUP($B37,OFFSET([2]quests!$A$1,0,0,COUNTA([2]quests!$A:$A),MATCH(D$1,[2]quests!$1:$1,0)-MATCH($B$1,[2]quests!$1:$1,0)+1),MATCH(D$1,[2]quests!$1:$1,0)-MATCH($B$1,[2]quests!$1:$1,0)+1,FALSE)</f>
        <v>水曜クエスト</v>
      </c>
      <c r="E37" s="85">
        <v>10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水曜クエスト</v>
      </c>
      <c r="H37" s="86">
        <v>6</v>
      </c>
      <c r="I37" s="91">
        <f t="shared" si="0"/>
        <v>36</v>
      </c>
      <c r="J37" s="87" t="str">
        <f t="shared" si="2"/>
        <v>1100336</v>
      </c>
      <c r="K37" s="85" t="s">
        <v>193</v>
      </c>
      <c r="L37" s="88" t="s">
        <v>194</v>
      </c>
      <c r="M37" s="106" t="s">
        <v>301</v>
      </c>
      <c r="N37" s="57" t="s">
        <v>195</v>
      </c>
    </row>
    <row r="38" spans="1:14" ht="42" x14ac:dyDescent="0.15">
      <c r="A38" s="82" t="s">
        <v>192</v>
      </c>
      <c r="B38" s="83">
        <f>floors!$C$50</f>
        <v>11101</v>
      </c>
      <c r="C38" s="84" t="str">
        <f ca="1">VLOOKUP($B38,OFFSET([2]quests!$A$1,0,0,COUNTA([2]quests!$A:$A),MATCH(C$1,[2]quests!$1:$1,0)-MATCH($B$1,[2]quests!$1:$1,0)+1),MATCH(C$1,[2]quests!$1:$1,0)-MATCH($B$1,[2]quests!$1:$1,0)+1,FALSE)</f>
        <v>【期間限定】 黄の素材</v>
      </c>
      <c r="D38" s="84" t="str">
        <f ca="1">VLOOKUP($B38,OFFSET([2]quests!$A$1,0,0,COUNTA([2]quests!$A:$A),MATCH(D$1,[2]quests!$1:$1,0)-MATCH($B$1,[2]quests!$1:$1,0)+1),MATCH(D$1,[2]quests!$1:$1,0)-MATCH($B$1,[2]quests!$1:$1,0)+1,FALSE)</f>
        <v>月曜クエスト</v>
      </c>
      <c r="E38" s="85">
        <v>10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月曜クエスト</v>
      </c>
      <c r="H38" s="86">
        <v>1</v>
      </c>
      <c r="I38" s="91">
        <f>ROW()-1</f>
        <v>37</v>
      </c>
      <c r="J38" s="87" t="str">
        <f>B38&amp;TEXT(I38,"00")</f>
        <v>1110137</v>
      </c>
      <c r="K38" s="85" t="s">
        <v>193</v>
      </c>
      <c r="L38" s="88" t="s">
        <v>194</v>
      </c>
      <c r="M38" s="106" t="s">
        <v>291</v>
      </c>
      <c r="N38" s="57" t="s">
        <v>195</v>
      </c>
    </row>
    <row r="39" spans="1:14" ht="42" x14ac:dyDescent="0.15">
      <c r="A39" s="82" t="s">
        <v>192</v>
      </c>
      <c r="B39" s="83">
        <f>floors!$C$50</f>
        <v>11101</v>
      </c>
      <c r="C39" s="84" t="str">
        <f ca="1">VLOOKUP($B39,OFFSET([2]quests!$A$1,0,0,COUNTA([2]quests!$A:$A),MATCH(C$1,[2]quests!$1:$1,0)-MATCH($B$1,[2]quests!$1:$1,0)+1),MATCH(C$1,[2]quests!$1:$1,0)-MATCH($B$1,[2]quests!$1:$1,0)+1,FALSE)</f>
        <v>【期間限定】 黄の素材</v>
      </c>
      <c r="D39" s="84" t="str">
        <f ca="1">VLOOKUP($B39,OFFSET([2]quests!$A$1,0,0,COUNTA([2]quests!$A:$A),MATCH(D$1,[2]quests!$1:$1,0)-MATCH($B$1,[2]quests!$1:$1,0)+1),MATCH(D$1,[2]quests!$1:$1,0)-MATCH($B$1,[2]quests!$1:$1,0)+1,FALSE)</f>
        <v>月曜クエスト</v>
      </c>
      <c r="E39" s="85">
        <v>10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月曜クエスト</v>
      </c>
      <c r="H39" s="86">
        <v>2</v>
      </c>
      <c r="I39" s="91">
        <f t="shared" si="0"/>
        <v>38</v>
      </c>
      <c r="J39" s="87" t="str">
        <f t="shared" ref="J39:J49" si="3">B39&amp;TEXT(I39,"00")</f>
        <v>1110138</v>
      </c>
      <c r="K39" s="85" t="s">
        <v>193</v>
      </c>
      <c r="L39" s="88" t="s">
        <v>194</v>
      </c>
      <c r="M39" s="106" t="s">
        <v>292</v>
      </c>
      <c r="N39" s="57" t="s">
        <v>195</v>
      </c>
    </row>
    <row r="40" spans="1:14" ht="42" x14ac:dyDescent="0.15">
      <c r="A40" s="82" t="s">
        <v>192</v>
      </c>
      <c r="B40" s="83">
        <f>floors!$C$50</f>
        <v>11101</v>
      </c>
      <c r="C40" s="84" t="str">
        <f ca="1">VLOOKUP($B40,OFFSET([2]quests!$A$1,0,0,COUNTA([2]quests!$A:$A),MATCH(C$1,[2]quests!$1:$1,0)-MATCH($B$1,[2]quests!$1:$1,0)+1),MATCH(C$1,[2]quests!$1:$1,0)-MATCH($B$1,[2]quests!$1:$1,0)+1,FALSE)</f>
        <v>【期間限定】 黄の素材</v>
      </c>
      <c r="D40" s="84" t="str">
        <f ca="1">VLOOKUP($B40,OFFSET([2]quests!$A$1,0,0,COUNTA([2]quests!$A:$A),MATCH(D$1,[2]quests!$1:$1,0)-MATCH($B$1,[2]quests!$1:$1,0)+1),MATCH(D$1,[2]quests!$1:$1,0)-MATCH($B$1,[2]quests!$1:$1,0)+1,FALSE)</f>
        <v>月曜クエスト</v>
      </c>
      <c r="E40" s="85">
        <v>10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月曜クエスト</v>
      </c>
      <c r="H40" s="86">
        <v>3</v>
      </c>
      <c r="I40" s="91">
        <f t="shared" si="0"/>
        <v>39</v>
      </c>
      <c r="J40" s="87" t="str">
        <f t="shared" si="3"/>
        <v>1110139</v>
      </c>
      <c r="K40" s="85" t="s">
        <v>193</v>
      </c>
      <c r="L40" s="88" t="s">
        <v>194</v>
      </c>
      <c r="M40" s="106" t="s">
        <v>293</v>
      </c>
      <c r="N40" s="57" t="s">
        <v>195</v>
      </c>
    </row>
    <row r="41" spans="1:14" ht="42" x14ac:dyDescent="0.15">
      <c r="A41" s="82" t="s">
        <v>192</v>
      </c>
      <c r="B41" s="83">
        <f>floors!$C$50</f>
        <v>11101</v>
      </c>
      <c r="C41" s="84" t="str">
        <f ca="1">VLOOKUP($B41,OFFSET([2]quests!$A$1,0,0,COUNTA([2]quests!$A:$A),MATCH(C$1,[2]quests!$1:$1,0)-MATCH($B$1,[2]quests!$1:$1,0)+1),MATCH(C$1,[2]quests!$1:$1,0)-MATCH($B$1,[2]quests!$1:$1,0)+1,FALSE)</f>
        <v>【期間限定】 黄の素材</v>
      </c>
      <c r="D41" s="84" t="str">
        <f ca="1">VLOOKUP($B41,OFFSET([2]quests!$A$1,0,0,COUNTA([2]quests!$A:$A),MATCH(D$1,[2]quests!$1:$1,0)-MATCH($B$1,[2]quests!$1:$1,0)+1),MATCH(D$1,[2]quests!$1:$1,0)-MATCH($B$1,[2]quests!$1:$1,0)+1,FALSE)</f>
        <v>月曜クエスト</v>
      </c>
      <c r="E41" s="85">
        <v>10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月曜クエスト</v>
      </c>
      <c r="H41" s="86">
        <v>4</v>
      </c>
      <c r="I41" s="91">
        <f t="shared" si="0"/>
        <v>40</v>
      </c>
      <c r="J41" s="87" t="str">
        <f t="shared" si="3"/>
        <v>1110140</v>
      </c>
      <c r="K41" s="85" t="s">
        <v>193</v>
      </c>
      <c r="L41" s="88" t="s">
        <v>194</v>
      </c>
      <c r="M41" s="106" t="s">
        <v>294</v>
      </c>
      <c r="N41" s="57" t="s">
        <v>195</v>
      </c>
    </row>
    <row r="42" spans="1:14" ht="42" x14ac:dyDescent="0.15">
      <c r="A42" s="82" t="s">
        <v>192</v>
      </c>
      <c r="B42" s="83">
        <f>floors!$C$50</f>
        <v>11101</v>
      </c>
      <c r="C42" s="84" t="str">
        <f ca="1">VLOOKUP($B42,OFFSET([2]quests!$A$1,0,0,COUNTA([2]quests!$A:$A),MATCH(C$1,[2]quests!$1:$1,0)-MATCH($B$1,[2]quests!$1:$1,0)+1),MATCH(C$1,[2]quests!$1:$1,0)-MATCH($B$1,[2]quests!$1:$1,0)+1,FALSE)</f>
        <v>【期間限定】 黄の素材</v>
      </c>
      <c r="D42" s="84" t="str">
        <f ca="1">VLOOKUP($B42,OFFSET([2]quests!$A$1,0,0,COUNTA([2]quests!$A:$A),MATCH(D$1,[2]quests!$1:$1,0)-MATCH($B$1,[2]quests!$1:$1,0)+1),MATCH(D$1,[2]quests!$1:$1,0)-MATCH($B$1,[2]quests!$1:$1,0)+1,FALSE)</f>
        <v>月曜クエスト</v>
      </c>
      <c r="E42" s="85">
        <v>10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月曜クエスト</v>
      </c>
      <c r="H42" s="86">
        <v>5</v>
      </c>
      <c r="I42" s="91">
        <f t="shared" si="0"/>
        <v>41</v>
      </c>
      <c r="J42" s="87" t="str">
        <f t="shared" si="3"/>
        <v>1110141</v>
      </c>
      <c r="K42" s="85" t="s">
        <v>193</v>
      </c>
      <c r="L42" s="88" t="s">
        <v>194</v>
      </c>
      <c r="M42" s="106" t="s">
        <v>295</v>
      </c>
      <c r="N42" s="57" t="s">
        <v>195</v>
      </c>
    </row>
    <row r="43" spans="1:14" ht="42" x14ac:dyDescent="0.15">
      <c r="A43" s="82" t="s">
        <v>192</v>
      </c>
      <c r="B43" s="83">
        <f>floors!$C$50</f>
        <v>11101</v>
      </c>
      <c r="C43" s="84" t="str">
        <f ca="1">VLOOKUP($B43,OFFSET([2]quests!$A$1,0,0,COUNTA([2]quests!$A:$A),MATCH(C$1,[2]quests!$1:$1,0)-MATCH($B$1,[2]quests!$1:$1,0)+1),MATCH(C$1,[2]quests!$1:$1,0)-MATCH($B$1,[2]quests!$1:$1,0)+1,FALSE)</f>
        <v>【期間限定】 黄の素材</v>
      </c>
      <c r="D43" s="84" t="str">
        <f ca="1">VLOOKUP($B43,OFFSET([2]quests!$A$1,0,0,COUNTA([2]quests!$A:$A),MATCH(D$1,[2]quests!$1:$1,0)-MATCH($B$1,[2]quests!$1:$1,0)+1),MATCH(D$1,[2]quests!$1:$1,0)-MATCH($B$1,[2]quests!$1:$1,0)+1,FALSE)</f>
        <v>月曜クエスト</v>
      </c>
      <c r="E43" s="85">
        <v>10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【超絶級】醒電の眠りネズミ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月曜クエスト</v>
      </c>
      <c r="H43" s="86">
        <v>6</v>
      </c>
      <c r="I43" s="91">
        <f t="shared" si="0"/>
        <v>42</v>
      </c>
      <c r="J43" s="87" t="str">
        <f t="shared" si="3"/>
        <v>1110142</v>
      </c>
      <c r="K43" s="85" t="s">
        <v>193</v>
      </c>
      <c r="L43" s="88" t="s">
        <v>194</v>
      </c>
      <c r="M43" s="106" t="s">
        <v>296</v>
      </c>
      <c r="N43" s="57" t="s">
        <v>195</v>
      </c>
    </row>
    <row r="44" spans="1:14" ht="42" x14ac:dyDescent="0.15">
      <c r="A44" s="82" t="s">
        <v>192</v>
      </c>
      <c r="B44" s="83">
        <f>floors!$C$56</f>
        <v>11103</v>
      </c>
      <c r="C44" s="84" t="str">
        <f ca="1">VLOOKUP($B44,OFFSET([2]quests!$A$1,0,0,COUNTA([2]quests!$A:$A),MATCH(C$1,[2]quests!$1:$1,0)-MATCH($B$1,[2]quests!$1:$1,0)+1),MATCH(C$1,[2]quests!$1:$1,0)-MATCH($B$1,[2]quests!$1:$1,0)+1,FALSE)</f>
        <v>【期間限定】 青の素材</v>
      </c>
      <c r="D44" s="84" t="str">
        <f ca="1">VLOOKUP($B44,OFFSET([2]quests!$A$1,0,0,COUNTA([2]quests!$A:$A),MATCH(D$1,[2]quests!$1:$1,0)-MATCH($B$1,[2]quests!$1:$1,0)+1),MATCH(D$1,[2]quests!$1:$1,0)-MATCH($B$1,[2]quests!$1:$1,0)+1,FALSE)</f>
        <v>水曜クエスト</v>
      </c>
      <c r="E44" s="85">
        <v>10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水曜クエスト</v>
      </c>
      <c r="H44" s="86">
        <v>1</v>
      </c>
      <c r="I44" s="91">
        <f t="shared" si="0"/>
        <v>43</v>
      </c>
      <c r="J44" s="87" t="str">
        <f t="shared" si="3"/>
        <v>1110343</v>
      </c>
      <c r="K44" s="85" t="s">
        <v>193</v>
      </c>
      <c r="L44" s="88" t="s">
        <v>194</v>
      </c>
      <c r="M44" s="106" t="s">
        <v>297</v>
      </c>
      <c r="N44" s="57" t="s">
        <v>195</v>
      </c>
    </row>
    <row r="45" spans="1:14" ht="42" x14ac:dyDescent="0.15">
      <c r="A45" s="82" t="s">
        <v>192</v>
      </c>
      <c r="B45" s="83">
        <f>floors!$C$56</f>
        <v>11103</v>
      </c>
      <c r="C45" s="84" t="str">
        <f ca="1">VLOOKUP($B45,OFFSET([2]quests!$A$1,0,0,COUNTA([2]quests!$A:$A),MATCH(C$1,[2]quests!$1:$1,0)-MATCH($B$1,[2]quests!$1:$1,0)+1),MATCH(C$1,[2]quests!$1:$1,0)-MATCH($B$1,[2]quests!$1:$1,0)+1,FALSE)</f>
        <v>【期間限定】 青の素材</v>
      </c>
      <c r="D45" s="84" t="str">
        <f ca="1">VLOOKUP($B45,OFFSET([2]quests!$A$1,0,0,COUNTA([2]quests!$A:$A),MATCH(D$1,[2]quests!$1:$1,0)-MATCH($B$1,[2]quests!$1:$1,0)+1),MATCH(D$1,[2]quests!$1:$1,0)-MATCH($B$1,[2]quests!$1:$1,0)+1,FALSE)</f>
        <v>水曜クエスト</v>
      </c>
      <c r="E45" s="85">
        <v>10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水曜クエスト</v>
      </c>
      <c r="H45" s="86">
        <v>2</v>
      </c>
      <c r="I45" s="91">
        <f t="shared" si="0"/>
        <v>44</v>
      </c>
      <c r="J45" s="87" t="str">
        <f t="shared" si="3"/>
        <v>1110344</v>
      </c>
      <c r="K45" s="85" t="s">
        <v>193</v>
      </c>
      <c r="L45" s="88" t="s">
        <v>194</v>
      </c>
      <c r="M45" s="106" t="s">
        <v>298</v>
      </c>
      <c r="N45" s="57" t="s">
        <v>195</v>
      </c>
    </row>
    <row r="46" spans="1:14" ht="42" x14ac:dyDescent="0.15">
      <c r="A46" s="82" t="s">
        <v>192</v>
      </c>
      <c r="B46" s="83">
        <f>floors!$C$56</f>
        <v>11103</v>
      </c>
      <c r="C46" s="84" t="str">
        <f ca="1">VLOOKUP($B46,OFFSET([2]quests!$A$1,0,0,COUNTA([2]quests!$A:$A),MATCH(C$1,[2]quests!$1:$1,0)-MATCH($B$1,[2]quests!$1:$1,0)+1),MATCH(C$1,[2]quests!$1:$1,0)-MATCH($B$1,[2]quests!$1:$1,0)+1,FALSE)</f>
        <v>【期間限定】 青の素材</v>
      </c>
      <c r="D46" s="84" t="str">
        <f ca="1">VLOOKUP($B46,OFFSET([2]quests!$A$1,0,0,COUNTA([2]quests!$A:$A),MATCH(D$1,[2]quests!$1:$1,0)-MATCH($B$1,[2]quests!$1:$1,0)+1),MATCH(D$1,[2]quests!$1:$1,0)-MATCH($B$1,[2]quests!$1:$1,0)+1,FALSE)</f>
        <v>水曜クエスト</v>
      </c>
      <c r="E46" s="85">
        <v>10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水曜クエスト</v>
      </c>
      <c r="H46" s="86">
        <v>3</v>
      </c>
      <c r="I46" s="91">
        <f t="shared" si="0"/>
        <v>45</v>
      </c>
      <c r="J46" s="87" t="str">
        <f t="shared" si="3"/>
        <v>1110345</v>
      </c>
      <c r="K46" s="85" t="s">
        <v>193</v>
      </c>
      <c r="L46" s="88" t="s">
        <v>194</v>
      </c>
      <c r="M46" s="106" t="s">
        <v>299</v>
      </c>
      <c r="N46" s="57" t="s">
        <v>195</v>
      </c>
    </row>
    <row r="47" spans="1:14" ht="42" x14ac:dyDescent="0.15">
      <c r="A47" s="82" t="s">
        <v>192</v>
      </c>
      <c r="B47" s="83">
        <f>floors!$C$56</f>
        <v>11103</v>
      </c>
      <c r="C47" s="84" t="str">
        <f ca="1">VLOOKUP($B47,OFFSET([2]quests!$A$1,0,0,COUNTA([2]quests!$A:$A),MATCH(C$1,[2]quests!$1:$1,0)-MATCH($B$1,[2]quests!$1:$1,0)+1),MATCH(C$1,[2]quests!$1:$1,0)-MATCH($B$1,[2]quests!$1:$1,0)+1,FALSE)</f>
        <v>【期間限定】 青の素材</v>
      </c>
      <c r="D47" s="84" t="str">
        <f ca="1">VLOOKUP($B47,OFFSET([2]quests!$A$1,0,0,COUNTA([2]quests!$A:$A),MATCH(D$1,[2]quests!$1:$1,0)-MATCH($B$1,[2]quests!$1:$1,0)+1),MATCH(D$1,[2]quests!$1:$1,0)-MATCH($B$1,[2]quests!$1:$1,0)+1,FALSE)</f>
        <v>水曜クエスト</v>
      </c>
      <c r="E47" s="85">
        <v>10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水曜クエスト</v>
      </c>
      <c r="H47" s="86">
        <v>4</v>
      </c>
      <c r="I47" s="91">
        <f t="shared" si="0"/>
        <v>46</v>
      </c>
      <c r="J47" s="87" t="str">
        <f t="shared" si="3"/>
        <v>1110346</v>
      </c>
      <c r="K47" s="85" t="s">
        <v>193</v>
      </c>
      <c r="L47" s="88" t="s">
        <v>194</v>
      </c>
      <c r="M47" s="106" t="s">
        <v>300</v>
      </c>
      <c r="N47" s="57" t="s">
        <v>195</v>
      </c>
    </row>
    <row r="48" spans="1:14" ht="42" x14ac:dyDescent="0.15">
      <c r="A48" s="82" t="s">
        <v>192</v>
      </c>
      <c r="B48" s="83">
        <f>floors!$C$56</f>
        <v>11103</v>
      </c>
      <c r="C48" s="84" t="str">
        <f ca="1">VLOOKUP($B48,OFFSET([2]quests!$A$1,0,0,COUNTA([2]quests!$A:$A),MATCH(C$1,[2]quests!$1:$1,0)-MATCH($B$1,[2]quests!$1:$1,0)+1),MATCH(C$1,[2]quests!$1:$1,0)-MATCH($B$1,[2]quests!$1:$1,0)+1,FALSE)</f>
        <v>【期間限定】 青の素材</v>
      </c>
      <c r="D48" s="84" t="str">
        <f ca="1">VLOOKUP($B48,OFFSET([2]quests!$A$1,0,0,COUNTA([2]quests!$A:$A),MATCH(D$1,[2]quests!$1:$1,0)-MATCH($B$1,[2]quests!$1:$1,0)+1),MATCH(D$1,[2]quests!$1:$1,0)-MATCH($B$1,[2]quests!$1:$1,0)+1,FALSE)</f>
        <v>水曜クエスト</v>
      </c>
      <c r="E48" s="85">
        <v>10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水曜クエスト</v>
      </c>
      <c r="H48" s="86">
        <v>5</v>
      </c>
      <c r="I48" s="91">
        <f t="shared" si="0"/>
        <v>47</v>
      </c>
      <c r="J48" s="87" t="str">
        <f t="shared" si="3"/>
        <v>1110347</v>
      </c>
      <c r="K48" s="85" t="s">
        <v>193</v>
      </c>
      <c r="L48" s="88" t="s">
        <v>194</v>
      </c>
      <c r="M48" s="106" t="s">
        <v>302</v>
      </c>
      <c r="N48" s="57" t="s">
        <v>195</v>
      </c>
    </row>
    <row r="49" spans="1:14" ht="42" x14ac:dyDescent="0.15">
      <c r="A49" s="82" t="s">
        <v>192</v>
      </c>
      <c r="B49" s="83">
        <f>floors!$C$56</f>
        <v>11103</v>
      </c>
      <c r="C49" s="84" t="str">
        <f ca="1">VLOOKUP($B49,OFFSET([2]quests!$A$1,0,0,COUNTA([2]quests!$A:$A),MATCH(C$1,[2]quests!$1:$1,0)-MATCH($B$1,[2]quests!$1:$1,0)+1),MATCH(C$1,[2]quests!$1:$1,0)-MATCH($B$1,[2]quests!$1:$1,0)+1,FALSE)</f>
        <v>【期間限定】 青の素材</v>
      </c>
      <c r="D49" s="84" t="str">
        <f ca="1">VLOOKUP($B49,OFFSET([2]quests!$A$1,0,0,COUNTA([2]quests!$A:$A),MATCH(D$1,[2]quests!$1:$1,0)-MATCH($B$1,[2]quests!$1:$1,0)+1),MATCH(D$1,[2]quests!$1:$1,0)-MATCH($B$1,[2]quests!$1:$1,0)+1,FALSE)</f>
        <v>水曜クエスト</v>
      </c>
      <c r="E49" s="85">
        <v>10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【超絶級】深淵の代用ウミガメ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水曜クエスト</v>
      </c>
      <c r="H49" s="86">
        <v>6</v>
      </c>
      <c r="I49" s="91">
        <f t="shared" si="0"/>
        <v>48</v>
      </c>
      <c r="J49" s="87" t="str">
        <f t="shared" si="3"/>
        <v>1110348</v>
      </c>
      <c r="K49" s="85" t="s">
        <v>193</v>
      </c>
      <c r="L49" s="88" t="s">
        <v>194</v>
      </c>
      <c r="M49" s="106" t="s">
        <v>301</v>
      </c>
      <c r="N49" s="57" t="s">
        <v>195</v>
      </c>
    </row>
  </sheetData>
  <phoneticPr fontId="5"/>
  <dataValidations count="1">
    <dataValidation type="list" allowBlank="1" showInputMessage="1" showErrorMessage="1" sqref="A2:A4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2016-07-26T07:44:03Z</dcterms:modified>
</cp:coreProperties>
</file>