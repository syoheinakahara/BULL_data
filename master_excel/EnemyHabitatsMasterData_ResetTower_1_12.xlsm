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0" yWindow="460" windowWidth="28800" windowHeight="16340" tabRatio="740" firstSheet="1" activeTab="2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9" l="1"/>
  <c r="O3" i="9"/>
  <c r="N3" i="9"/>
  <c r="M3" i="9"/>
  <c r="L3" i="9"/>
  <c r="K3" i="9"/>
  <c r="J3" i="9"/>
  <c r="I3" i="9"/>
  <c r="H3" i="9"/>
  <c r="G3" i="9"/>
  <c r="E3" i="9"/>
  <c r="D3" i="9"/>
  <c r="J3" i="11"/>
  <c r="M4" i="10"/>
  <c r="T4" i="10"/>
  <c r="W4" i="10"/>
  <c r="V4" i="10"/>
  <c r="X4" i="10"/>
  <c r="U4" i="10"/>
  <c r="Y4" i="10"/>
  <c r="M14" i="10"/>
  <c r="M2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Q4" i="10"/>
  <c r="P4" i="10"/>
  <c r="R4" i="10"/>
  <c r="O4" i="10"/>
  <c r="S4" i="10"/>
  <c r="G4" i="10"/>
  <c r="J4" i="10"/>
  <c r="I4" i="10"/>
  <c r="K4" i="10"/>
  <c r="H4" i="10"/>
  <c r="L4" i="10"/>
  <c r="G7" i="9"/>
  <c r="J4" i="11"/>
  <c r="O4" i="9"/>
  <c r="N4" i="9"/>
  <c r="M4" i="9"/>
  <c r="L4" i="9"/>
  <c r="K4" i="9"/>
  <c r="J4" i="9"/>
  <c r="I4" i="9"/>
  <c r="H4" i="9"/>
  <c r="G4" i="9"/>
  <c r="E4" i="9"/>
  <c r="D4" i="9"/>
  <c r="A4" i="9"/>
  <c r="G4" i="2"/>
  <c r="H4" i="2"/>
  <c r="E4" i="2"/>
  <c r="D4" i="2"/>
  <c r="A4" i="2"/>
  <c r="H2" i="1"/>
  <c r="H3" i="1"/>
  <c r="H4" i="1"/>
  <c r="H5" i="1"/>
  <c r="H6" i="1"/>
  <c r="H7" i="1"/>
  <c r="B4" i="2"/>
  <c r="G3" i="2"/>
  <c r="H3" i="2"/>
  <c r="E3" i="2"/>
  <c r="D3" i="2"/>
  <c r="A3" i="2"/>
  <c r="B3" i="2"/>
  <c r="A7" i="1"/>
  <c r="A6" i="1"/>
  <c r="A5" i="1"/>
  <c r="A4" i="1"/>
  <c r="A3" i="1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D2" i="1"/>
  <c r="AF2" i="1"/>
  <c r="AI2" i="1"/>
  <c r="AG2" i="1"/>
  <c r="AE2" i="1"/>
  <c r="X2" i="1"/>
  <c r="V2" i="1"/>
  <c r="T2" i="1"/>
  <c r="Q2" i="1"/>
  <c r="P2" i="1"/>
  <c r="O2" i="1"/>
  <c r="N2" i="1"/>
  <c r="M2" i="1"/>
  <c r="J2" i="1"/>
  <c r="I2" i="1"/>
  <c r="D2" i="1"/>
  <c r="F2" i="1"/>
  <c r="E2" i="1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O27" i="9"/>
  <c r="N27" i="9"/>
  <c r="M27" i="9"/>
  <c r="L27" i="9"/>
  <c r="K27" i="9"/>
  <c r="J27" i="9"/>
  <c r="I27" i="9"/>
  <c r="H27" i="9"/>
  <c r="G27" i="9"/>
  <c r="E27" i="9"/>
  <c r="D27" i="9"/>
  <c r="O26" i="9"/>
  <c r="N26" i="9"/>
  <c r="M26" i="9"/>
  <c r="L26" i="9"/>
  <c r="K26" i="9"/>
  <c r="J26" i="9"/>
  <c r="I26" i="9"/>
  <c r="H26" i="9"/>
  <c r="G26" i="9"/>
  <c r="E26" i="9"/>
  <c r="D26" i="9"/>
  <c r="O25" i="9"/>
  <c r="N25" i="9"/>
  <c r="M25" i="9"/>
  <c r="L25" i="9"/>
  <c r="K25" i="9"/>
  <c r="J25" i="9"/>
  <c r="I25" i="9"/>
  <c r="H25" i="9"/>
  <c r="G25" i="9"/>
  <c r="E25" i="9"/>
  <c r="D25" i="9"/>
  <c r="O24" i="9"/>
  <c r="N24" i="9"/>
  <c r="M24" i="9"/>
  <c r="L24" i="9"/>
  <c r="K24" i="9"/>
  <c r="J24" i="9"/>
  <c r="I24" i="9"/>
  <c r="H24" i="9"/>
  <c r="G24" i="9"/>
  <c r="E24" i="9"/>
  <c r="D24" i="9"/>
  <c r="O23" i="9"/>
  <c r="N23" i="9"/>
  <c r="M23" i="9"/>
  <c r="L23" i="9"/>
  <c r="K23" i="9"/>
  <c r="J23" i="9"/>
  <c r="I23" i="9"/>
  <c r="H23" i="9"/>
  <c r="G23" i="9"/>
  <c r="E23" i="9"/>
  <c r="D23" i="9"/>
  <c r="O22" i="9"/>
  <c r="N22" i="9"/>
  <c r="M22" i="9"/>
  <c r="L22" i="9"/>
  <c r="K22" i="9"/>
  <c r="J22" i="9"/>
  <c r="I22" i="9"/>
  <c r="H22" i="9"/>
  <c r="G22" i="9"/>
  <c r="E22" i="9"/>
  <c r="D22" i="9"/>
  <c r="O21" i="9"/>
  <c r="N21" i="9"/>
  <c r="M21" i="9"/>
  <c r="L21" i="9"/>
  <c r="K21" i="9"/>
  <c r="J21" i="9"/>
  <c r="I21" i="9"/>
  <c r="H21" i="9"/>
  <c r="G21" i="9"/>
  <c r="E21" i="9"/>
  <c r="D21" i="9"/>
  <c r="O20" i="9"/>
  <c r="N20" i="9"/>
  <c r="M20" i="9"/>
  <c r="L20" i="9"/>
  <c r="K20" i="9"/>
  <c r="J20" i="9"/>
  <c r="I20" i="9"/>
  <c r="H20" i="9"/>
  <c r="G20" i="9"/>
  <c r="E20" i="9"/>
  <c r="D20" i="9"/>
  <c r="O19" i="9"/>
  <c r="N19" i="9"/>
  <c r="M19" i="9"/>
  <c r="L19" i="9"/>
  <c r="K19" i="9"/>
  <c r="J19" i="9"/>
  <c r="I19" i="9"/>
  <c r="H19" i="9"/>
  <c r="G19" i="9"/>
  <c r="E19" i="9"/>
  <c r="D19" i="9"/>
  <c r="O18" i="9"/>
  <c r="N18" i="9"/>
  <c r="M18" i="9"/>
  <c r="L18" i="9"/>
  <c r="K18" i="9"/>
  <c r="J18" i="9"/>
  <c r="I18" i="9"/>
  <c r="H18" i="9"/>
  <c r="G18" i="9"/>
  <c r="E18" i="9"/>
  <c r="D18" i="9"/>
  <c r="O17" i="9"/>
  <c r="N17" i="9"/>
  <c r="M17" i="9"/>
  <c r="L17" i="9"/>
  <c r="K17" i="9"/>
  <c r="J17" i="9"/>
  <c r="I17" i="9"/>
  <c r="H17" i="9"/>
  <c r="G17" i="9"/>
  <c r="E17" i="9"/>
  <c r="D17" i="9"/>
  <c r="O16" i="9"/>
  <c r="N16" i="9"/>
  <c r="M16" i="9"/>
  <c r="L16" i="9"/>
  <c r="K16" i="9"/>
  <c r="J16" i="9"/>
  <c r="I16" i="9"/>
  <c r="H16" i="9"/>
  <c r="G16" i="9"/>
  <c r="E16" i="9"/>
  <c r="D16" i="9"/>
  <c r="O15" i="9"/>
  <c r="N15" i="9"/>
  <c r="M15" i="9"/>
  <c r="L15" i="9"/>
  <c r="K15" i="9"/>
  <c r="J15" i="9"/>
  <c r="I15" i="9"/>
  <c r="H15" i="9"/>
  <c r="G15" i="9"/>
  <c r="E15" i="9"/>
  <c r="D15" i="9"/>
  <c r="O14" i="9"/>
  <c r="N14" i="9"/>
  <c r="M14" i="9"/>
  <c r="L14" i="9"/>
  <c r="K14" i="9"/>
  <c r="J14" i="9"/>
  <c r="I14" i="9"/>
  <c r="H14" i="9"/>
  <c r="G14" i="9"/>
  <c r="E14" i="9"/>
  <c r="D14" i="9"/>
  <c r="O13" i="9"/>
  <c r="N13" i="9"/>
  <c r="M13" i="9"/>
  <c r="L13" i="9"/>
  <c r="K13" i="9"/>
  <c r="J13" i="9"/>
  <c r="I13" i="9"/>
  <c r="H13" i="9"/>
  <c r="G13" i="9"/>
  <c r="E13" i="9"/>
  <c r="D13" i="9"/>
  <c r="O12" i="9"/>
  <c r="N12" i="9"/>
  <c r="M12" i="9"/>
  <c r="L12" i="9"/>
  <c r="K12" i="9"/>
  <c r="J12" i="9"/>
  <c r="I12" i="9"/>
  <c r="H12" i="9"/>
  <c r="G12" i="9"/>
  <c r="E12" i="9"/>
  <c r="D12" i="9"/>
  <c r="O11" i="9"/>
  <c r="N11" i="9"/>
  <c r="M11" i="9"/>
  <c r="L11" i="9"/>
  <c r="K11" i="9"/>
  <c r="J11" i="9"/>
  <c r="I11" i="9"/>
  <c r="H11" i="9"/>
  <c r="G11" i="9"/>
  <c r="E11" i="9"/>
  <c r="D11" i="9"/>
  <c r="O10" i="9"/>
  <c r="N10" i="9"/>
  <c r="M10" i="9"/>
  <c r="L10" i="9"/>
  <c r="K10" i="9"/>
  <c r="J10" i="9"/>
  <c r="I10" i="9"/>
  <c r="H10" i="9"/>
  <c r="G10" i="9"/>
  <c r="E10" i="9"/>
  <c r="D10" i="9"/>
  <c r="O9" i="9"/>
  <c r="N9" i="9"/>
  <c r="M9" i="9"/>
  <c r="L9" i="9"/>
  <c r="K9" i="9"/>
  <c r="J9" i="9"/>
  <c r="I9" i="9"/>
  <c r="H9" i="9"/>
  <c r="G9" i="9"/>
  <c r="E9" i="9"/>
  <c r="D9" i="9"/>
  <c r="O8" i="9"/>
  <c r="N8" i="9"/>
  <c r="M8" i="9"/>
  <c r="L8" i="9"/>
  <c r="K8" i="9"/>
  <c r="J8" i="9"/>
  <c r="I8" i="9"/>
  <c r="H8" i="9"/>
  <c r="G8" i="9"/>
  <c r="E8" i="9"/>
  <c r="D8" i="9"/>
  <c r="O7" i="9"/>
  <c r="N7" i="9"/>
  <c r="M7" i="9"/>
  <c r="L7" i="9"/>
  <c r="K7" i="9"/>
  <c r="J7" i="9"/>
  <c r="I7" i="9"/>
  <c r="H7" i="9"/>
  <c r="E7" i="9"/>
  <c r="D7" i="9"/>
  <c r="O6" i="9"/>
  <c r="N6" i="9"/>
  <c r="M6" i="9"/>
  <c r="L6" i="9"/>
  <c r="K6" i="9"/>
  <c r="J6" i="9"/>
  <c r="I6" i="9"/>
  <c r="H6" i="9"/>
  <c r="G6" i="9"/>
  <c r="E6" i="9"/>
  <c r="D6" i="9"/>
  <c r="O5" i="9"/>
  <c r="N5" i="9"/>
  <c r="M5" i="9"/>
  <c r="L5" i="9"/>
  <c r="K5" i="9"/>
  <c r="J5" i="9"/>
  <c r="I5" i="9"/>
  <c r="H5" i="9"/>
  <c r="G5" i="9"/>
  <c r="E5" i="9"/>
  <c r="D5" i="9"/>
  <c r="O2" i="9"/>
  <c r="N2" i="9"/>
  <c r="M2" i="9"/>
  <c r="L2" i="9"/>
  <c r="K2" i="9"/>
  <c r="J2" i="9"/>
  <c r="I2" i="9"/>
  <c r="H2" i="9"/>
  <c r="G2" i="9"/>
  <c r="E2" i="9"/>
  <c r="D2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T14" i="10"/>
  <c r="W14" i="10"/>
  <c r="V14" i="10"/>
  <c r="X14" i="10"/>
  <c r="U14" i="10"/>
  <c r="Y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2" i="11"/>
  <c r="C10" i="18"/>
  <c r="D10" i="18"/>
  <c r="I8" i="21"/>
  <c r="G8" i="21"/>
  <c r="F8" i="21"/>
  <c r="D8" i="21"/>
  <c r="C8" i="21"/>
  <c r="I7" i="21"/>
  <c r="G7" i="21"/>
  <c r="F7" i="21"/>
  <c r="D7" i="21"/>
  <c r="C7" i="21"/>
  <c r="I6" i="21"/>
  <c r="G6" i="21"/>
  <c r="F6" i="21"/>
  <c r="D6" i="21"/>
  <c r="C6" i="21"/>
  <c r="I5" i="21"/>
  <c r="G5" i="21"/>
  <c r="F5" i="21"/>
  <c r="D5" i="21"/>
  <c r="C5" i="21"/>
  <c r="I4" i="21"/>
  <c r="G4" i="21"/>
  <c r="F4" i="21"/>
  <c r="D4" i="21"/>
  <c r="C4" i="21"/>
  <c r="I3" i="21"/>
  <c r="G3" i="21"/>
  <c r="F3" i="21"/>
  <c r="D3" i="21"/>
  <c r="C3" i="21"/>
  <c r="I2" i="21"/>
  <c r="G2" i="21"/>
  <c r="F2" i="21"/>
  <c r="D2" i="21"/>
  <c r="C2" i="21"/>
  <c r="G2" i="2"/>
  <c r="A2" i="2"/>
  <c r="A3" i="22"/>
  <c r="C9" i="18"/>
  <c r="D9" i="18"/>
  <c r="C8" i="18"/>
  <c r="D8" i="18"/>
  <c r="C7" i="18"/>
  <c r="D7" i="18"/>
  <c r="C6" i="18"/>
  <c r="D6" i="18"/>
  <c r="C3" i="18"/>
  <c r="D3" i="18"/>
  <c r="C4" i="18"/>
  <c r="D4" i="18"/>
  <c r="C5" i="18"/>
  <c r="D5" i="18"/>
  <c r="O2" i="21"/>
  <c r="N3" i="22"/>
  <c r="G3" i="22"/>
  <c r="F3" i="22"/>
  <c r="D3" i="22"/>
  <c r="C3" i="22"/>
  <c r="E13" i="16"/>
  <c r="N2" i="22"/>
  <c r="G2" i="22"/>
  <c r="F2" i="22"/>
  <c r="D2" i="22"/>
  <c r="C2" i="22"/>
  <c r="A2" i="22"/>
  <c r="E12" i="16"/>
  <c r="E11" i="16"/>
  <c r="E10" i="16"/>
  <c r="C2" i="18"/>
  <c r="D2" i="18"/>
  <c r="E9" i="16"/>
  <c r="E8" i="16"/>
  <c r="E7" i="16"/>
  <c r="E6" i="16"/>
  <c r="E5" i="16"/>
  <c r="E4" i="16"/>
  <c r="E3" i="16"/>
  <c r="E2" i="16"/>
  <c r="A2" i="1"/>
  <c r="A2" i="9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<sst xmlns="http://schemas.openxmlformats.org/spreadsheetml/2006/main" count="659" uniqueCount="348">
  <si>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</si>
  <si>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</si>
  <si>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</si>
  <si>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</si>
  <si>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</si>
  <si>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</si>
  <si>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</si>
  <si>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</si>
  <si>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</si>
  <si>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</si>
  <si>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</si>
  <si>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</si>
  <si>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</si>
  <si>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</si>
  <si>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</si>
  <si>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</si>
  <si>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</si>
  <si>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</si>
  <si>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</si>
  <si>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</si>
  <si>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</si>
  <si>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</si>
  <si>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</si>
  <si>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</si>
  <si>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</si>
  <si>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</si>
  <si>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</si>
  <si>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</si>
  <si>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</si>
  <si>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</si>
  <si>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</si>
  <si>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</si>
  <si>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</si>
  <si>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</si>
  <si>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</si>
  <si>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</si>
  <si>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</si>
  <si>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</si>
  <si>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</si>
  <si>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</si>
  <si>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</si>
  <si>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</si>
  <si>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</si>
  <si>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</si>
  <si>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</si>
  <si>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</si>
  <si>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</si>
  <si>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</si>
  <si>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</si>
  <si>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</si>
  <si>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</si>
  <si>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</si>
  <si>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</si>
  <si>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</si>
  <si>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</si>
  <si>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</si>
  <si>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</si>
  <si>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</si>
  <si>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</si>
  <si>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</si>
  <si>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</si>
  <si>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</si>
  <si>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</si>
  <si>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</si>
  <si>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</si>
  <si>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</si>
  <si>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</si>
  <si>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</si>
  <si>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</si>
  <si>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</si>
  <si>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</si>
  <si>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</si>
  <si>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</si>
  <si>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</si>
  <si>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</si>
  <si>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</si>
  <si>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</si>
  <si>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</si>
  <si>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</si>
  <si>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</si>
  <si>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</si>
  <si>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</si>
  <si>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</si>
  <si>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</si>
  <si>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</si>
  <si>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</si>
  <si>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</si>
  <si>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</si>
  <si>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</si>
  <si>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</si>
  <si>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</si>
  <si>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</si>
  <si>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</si>
  <si>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</si>
  <si>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</si>
  <si>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</si>
  <si>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</si>
  <si>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</si>
  <si>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</si>
  <si>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</si>
  <si>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</si>
  <si>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</si>
  <si>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</si>
  <si>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</si>
  <si>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</si>
  <si>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</si>
  <si>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</si>
  <si>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</si>
  <si>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</si>
  <si>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</si>
  <si>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</si>
  <si>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</si>
  <si>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</si>
  <si>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</si>
  <si>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</si>
  <si>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</si>
  <si>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</si>
  <si>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</si>
  <si>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</si>
  <si>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</si>
  <si>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</si>
  <si>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</si>
  <si>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</si>
  <si>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</si>
  <si>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</si>
  <si>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</si>
  <si>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</si>
  <si>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</si>
  <si>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</si>
  <si>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</si>
  <si>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</si>
  <si>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</si>
  <si>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</si>
  <si>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</si>
  <si>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</si>
  <si>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</si>
  <si>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</si>
  <si>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</si>
  <si>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</si>
  <si>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</si>
  <si>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</si>
  <si>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</si>
  <si>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</si>
  <si>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</si>
  <si>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</si>
  <si>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</si>
  <si>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</si>
  <si>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</si>
  <si>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</si>
  <si>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</si>
  <si>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</si>
  <si>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</si>
  <si>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</si>
  <si>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</si>
  <si>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</si>
  <si>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</si>
  <si>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</si>
  <si>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</si>
  <si>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</si>
  <si>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</si>
  <si>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</si>
  <si>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</si>
  <si>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</si>
  <si>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</si>
  <si>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</si>
  <si>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</si>
  <si>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</si>
  <si>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</si>
  <si>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</si>
  <si>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</si>
  <si>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</si>
  <si>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</si>
  <si>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</si>
  <si>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</si>
  <si>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</si>
  <si>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</si>
  <si>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</si>
  <si>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</si>
  <si>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</si>
  <si>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</si>
  <si>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</si>
  <si>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</si>
  <si>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</si>
  <si>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</si>
  <si>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</si>
  <si>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</si>
  <si>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</si>
  <si>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</si>
  <si>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</si>
  <si>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</si>
  <si>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</si>
  <si>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</si>
  <si>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</si>
  <si>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</si>
  <si>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</si>
  <si>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</si>
  <si>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</si>
  <si>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</si>
  <si>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</si>
  <si>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</si>
  <si>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</si>
  <si>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</si>
  <si>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</si>
  <si>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</si>
  <si>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</si>
  <si>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</si>
  <si>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</si>
  <si>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</si>
  <si>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</si>
  <si>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</si>
  <si>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</si>
  <si>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</si>
  <si>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</si>
  <si>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</si>
  <si>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</si>
  <si>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</si>
  <si>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</si>
  <si>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</si>
  <si>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</si>
  <si>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</si>
  <si>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</si>
  <si>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</si>
  <si>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</si>
  <si>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</si>
  <si>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</si>
  <si>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</si>
  <si>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</si>
  <si>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</si>
  <si>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</si>
  <si>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</si>
  <si>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</si>
  <si>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</si>
  <si>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</si>
  <si>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</si>
  <si>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</si>
  <si>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</si>
  <si>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</si>
  <si>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</si>
  <si>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</si>
  <si>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</si>
  <si>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</si>
  <si>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</si>
  <si>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</si>
  <si>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</si>
  <si>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</si>
  <si>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</si>
  <si>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</si>
  <si>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</si>
  <si>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</si>
  <si>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</si>
  <si>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state_no</t>
    <phoneticPr fontId="5"/>
  </si>
  <si>
    <t>old</t>
  </si>
  <si>
    <t>unit</t>
  </si>
  <si>
    <t>link</t>
  </si>
  <si>
    <t>null</t>
    <phoneticPr fontId="5"/>
  </si>
  <si>
    <t>singleonly</t>
    <phoneticPr fontId="5"/>
  </si>
  <si>
    <t>bit</t>
    <phoneticPr fontId="5"/>
  </si>
  <si>
    <t>bit</t>
    <phoneticPr fontId="5"/>
  </si>
  <si>
    <t>old</t>
    <phoneticPr fontId="5"/>
  </si>
  <si>
    <t>このフロアの敵は
ターンが経過すると攻撃力がUPします
なるべく素早く抜けましょう</t>
    <phoneticPr fontId="5"/>
  </si>
  <si>
    <t>ja</t>
    <phoneticPr fontId="5"/>
  </si>
  <si>
    <t>クルミが使用する攻撃力DOWNや
回復力DOWNはターンが経過するほど
強力になるので注意しましょう</t>
    <rPh sb="43" eb="45">
      <t>チュウイ</t>
    </rPh>
    <phoneticPr fontId="5"/>
  </si>
  <si>
    <t>テマリが使用する攻撃力UPは
ターンが経過するほど強力になります
優先的に狙って早めに撃破しましょう</t>
    <rPh sb="4" eb="6">
      <t>シヨウスル</t>
    </rPh>
    <rPh sb="41" eb="42">
      <t>ハヤメニ</t>
    </rPh>
    <rPh sb="44" eb="46">
      <t>ゲキハ</t>
    </rPh>
    <phoneticPr fontId="5"/>
  </si>
  <si>
    <t>ウシュムガルはHPが半分を切ると
緑パネルを出現させなくした後に
自身のHPを犠牲にして
強力な赤パネル吸収攻撃を使用します</t>
    <rPh sb="39" eb="41">
      <t>ギセイニ</t>
    </rPh>
    <phoneticPr fontId="5"/>
  </si>
  <si>
    <t>アルフヘイムはHPが半分を切ると
青パネルを出現させなくした後に
自身のHPを犠牲にして
強力な黄パネル吸収攻撃を使用します</t>
    <rPh sb="39" eb="41">
      <t>ギセイニ</t>
    </rPh>
    <phoneticPr fontId="5"/>
  </si>
  <si>
    <t>アルフヘイムとウシュムガルは
どちらかが倒れると
残った片方が自身のHPを犠牲にして
非常に強力な連続攻撃を使用します</t>
    <rPh sb="37" eb="39">
      <t>ギセイニ</t>
    </rPh>
    <rPh sb="49" eb="51">
      <t>レンゾク</t>
    </rPh>
    <phoneticPr fontId="5"/>
  </si>
  <si>
    <t>ja</t>
    <phoneticPr fontId="5"/>
  </si>
  <si>
    <t>怪異への誘い</t>
    <rPh sb="0" eb="2">
      <t>カイイ</t>
    </rPh>
    <rPh sb="4" eb="5">
      <t>イザナイ</t>
    </rPh>
    <phoneticPr fontId="5"/>
  </si>
  <si>
    <t>ja</t>
    <phoneticPr fontId="5"/>
  </si>
  <si>
    <t>ボムあそび</t>
    <phoneticPr fontId="5"/>
  </si>
  <si>
    <t>鮮血飛沫</t>
    <rPh sb="0" eb="2">
      <t>センケツ</t>
    </rPh>
    <rPh sb="2" eb="4">
      <t>シブキ</t>
    </rPh>
    <phoneticPr fontId="5"/>
  </si>
  <si>
    <t>金色風車</t>
    <rPh sb="0" eb="2">
      <t>コンジキ</t>
    </rPh>
    <rPh sb="2" eb="4">
      <t>カザグルマ</t>
    </rPh>
    <phoneticPr fontId="5"/>
  </si>
  <si>
    <t>[effect:enhance_enemy, target:myself, turn:-1, status:attack, val:0.2, calc:mul, animation:enemy_enhance_attack],</t>
    <phoneticPr fontId="5"/>
  </si>
  <si>
    <t>童の祝福</t>
    <rPh sb="0" eb="1">
      <t>ワラシ</t>
    </rPh>
    <rPh sb="2" eb="4">
      <t>シュクフク</t>
    </rPh>
    <phoneticPr fontId="5"/>
  </si>
  <si>
    <t>[effect:rush, count:6, val:0.2]</t>
    <phoneticPr fontId="5"/>
  </si>
  <si>
    <t>投擲遊戯・連</t>
    <rPh sb="0" eb="2">
      <t>トウテキ</t>
    </rPh>
    <rPh sb="2" eb="4">
      <t>ユウギ</t>
    </rPh>
    <rPh sb="5" eb="6">
      <t>レン</t>
    </rPh>
    <phoneticPr fontId="5"/>
  </si>
  <si>
    <t>6回連続攻撃</t>
    <rPh sb="1" eb="2">
      <t>カイ</t>
    </rPh>
    <phoneticPr fontId="5"/>
  </si>
  <si>
    <t>3ターン全ユニットの回復力65％DOWN</t>
    <rPh sb="4" eb="5">
      <t>ゼンユニット</t>
    </rPh>
    <rPh sb="10" eb="13">
      <t>カイフクリョク</t>
    </rPh>
    <phoneticPr fontId="5"/>
  </si>
  <si>
    <t>[effect:rush, count:8, val:0.2]</t>
    <phoneticPr fontId="5"/>
  </si>
  <si>
    <t>疾風怒濤猫パンチ</t>
    <rPh sb="0" eb="2">
      <t>シップウ</t>
    </rPh>
    <rPh sb="2" eb="4">
      <t>シップウドトウ</t>
    </rPh>
    <rPh sb="4" eb="5">
      <t>ネコ</t>
    </rPh>
    <phoneticPr fontId="5"/>
  </si>
  <si>
    <t>8回連続攻撃</t>
  </si>
  <si>
    <t>[effect:enhance_enemy, target:myself, turn:3, status:attack, val:0.4, calc:mul, animation:enemy_enhance_attack]</t>
    <phoneticPr fontId="5"/>
  </si>
  <si>
    <t>5ターン全ユニットの攻撃力＆回復力95％DOWN</t>
    <rPh sb="14" eb="17">
      <t>カイフクリョク</t>
    </rPh>
    <phoneticPr fontId="5"/>
  </si>
  <si>
    <t>[effect:dis_panel, target:block_green, turn:3, animation:enemy_dis_green]</t>
    <phoneticPr fontId="5"/>
  </si>
  <si>
    <t>ディスグリーン</t>
    <phoneticPr fontId="5"/>
  </si>
  <si>
    <t>3ターン緑パネル無効</t>
    <rPh sb="4" eb="5">
      <t>ミドリパネル</t>
    </rPh>
    <rPh sb="8" eb="10">
      <t>ムコウ</t>
    </rPh>
    <phoneticPr fontId="5"/>
  </si>
  <si>
    <t>[effect:dis_panel, target:block_blue, turn:3, animation:enemy_dis_blue]</t>
    <phoneticPr fontId="5"/>
  </si>
  <si>
    <t>ディスブルー</t>
    <phoneticPr fontId="5"/>
  </si>
  <si>
    <t>3ターン青パネル無効</t>
    <rPh sb="4" eb="5">
      <t>アオパネル</t>
    </rPh>
    <rPh sb="8" eb="10">
      <t>ムコウ</t>
    </rPh>
    <phoneticPr fontId="5"/>
  </si>
  <si>
    <t>[effect:enemy_message, val1:1, val2:2.4],[effect:change_panel_ratio, turn:2, block_type:green, val:0, animation:block_incidence04],[effect:force_change_block, new_block:crack_bomb, target:block_all, ignore01:crash, color:block_blue, count:1, val:36, animation:change_block]</t>
    <phoneticPr fontId="5"/>
  </si>
  <si>
    <t>リジェクトグリーン</t>
    <phoneticPr fontId="5"/>
  </si>
  <si>
    <t>[effect:enemy_message, val1:1, val2:2.4],[effect:change_panel_ratio, turn:2, block_type:blue, val:0, animation:block_incidence04],[effect:force_change_block, new_block:crack_bomb, target:block_all, ignore01:crash, color:block_green, count:1, val:36, animation:change_block]</t>
    <phoneticPr fontId="5"/>
  </si>
  <si>
    <t>ja</t>
    <phoneticPr fontId="5"/>
  </si>
  <si>
    <t>リジェクトブルー</t>
    <phoneticPr fontId="5"/>
  </si>
  <si>
    <t>ドラゴニックフレア</t>
    <phoneticPr fontId="5"/>
  </si>
  <si>
    <t>ドラゴニックスパーク</t>
    <phoneticPr fontId="5"/>
  </si>
  <si>
    <t>竜の怒り</t>
    <rPh sb="0" eb="1">
      <t>リュウノ</t>
    </rPh>
    <rPh sb="2" eb="3">
      <t>イカリ</t>
    </rPh>
    <phoneticPr fontId="5"/>
  </si>
  <si>
    <t>薙ぎ払い</t>
    <rPh sb="0" eb="1">
      <t>ナギハライ</t>
    </rPh>
    <phoneticPr fontId="5"/>
  </si>
  <si>
    <t>全体攻撃</t>
    <rPh sb="0" eb="4">
      <t>ゼンタイコウゲキ</t>
    </rPh>
    <phoneticPr fontId="5"/>
  </si>
  <si>
    <t>[effect:suicide, val:0.50, animation:enemy_suicide],[effect:rush, count:12, val:0.2]</t>
    <phoneticPr fontId="5"/>
  </si>
  <si>
    <t>[effect:rush, count:4, val:0.25]</t>
    <phoneticPr fontId="5"/>
  </si>
  <si>
    <t>ja</t>
    <phoneticPr fontId="5"/>
  </si>
  <si>
    <t>噛み付き</t>
    <rPh sb="0" eb="1">
      <t>カミツキ</t>
    </rPh>
    <phoneticPr fontId="5"/>
  </si>
  <si>
    <t>4回連続攻撃</t>
    <rPh sb="2" eb="6">
      <t>レンゾクコウゲキ</t>
    </rPh>
    <phoneticPr fontId="5"/>
  </si>
  <si>
    <t>塔の結界・ヒューマン</t>
    <rPh sb="0" eb="1">
      <t>トウノ</t>
    </rPh>
    <rPh sb="2" eb="4">
      <t>ケッカイ</t>
    </rPh>
    <phoneticPr fontId="5"/>
  </si>
  <si>
    <t>「塔の結界・ヒューマン」はコスト31以上と
種族ヒューマン以外のユニットに
即死級のダメージを与えます
注意しましょう</t>
    <rPh sb="29" eb="31">
      <t>イガイノ</t>
    </rPh>
    <phoneticPr fontId="5"/>
  </si>
  <si>
    <t>童の祝福・放出</t>
    <rPh sb="0" eb="1">
      <t>ワラシ</t>
    </rPh>
    <rPh sb="2" eb="4">
      <t>シュクフク</t>
    </rPh>
    <phoneticPr fontId="5"/>
  </si>
  <si>
    <t>緑ボムパネル（特大）を1個生成</t>
    <rPh sb="7" eb="9">
      <t>トクダイ</t>
    </rPh>
    <phoneticPr fontId="5"/>
  </si>
  <si>
    <t>[effect:force_change_block, new_block:crack_bomb, target:block_all, ignore01:crash, color:block_green, count:1, val:36, animation:change_block]</t>
    <phoneticPr fontId="5"/>
  </si>
  <si>
    <t>[effect:enhance_enemy, target:myself, turn:3, status:attack, val:0.6, calc:mul, animation:enemy_enhance_attack]</t>
    <phoneticPr fontId="5"/>
  </si>
  <si>
    <t>[effect:spread, val:0.2]</t>
    <phoneticPr fontId="5"/>
  </si>
  <si>
    <t>[effect:suicide, val:0.50, animation:enemy_suicide],[effect:spread, val:0.2],[effect:spread, val:0.2],[effect:spread, val:0.2]</t>
    <phoneticPr fontId="5"/>
  </si>
  <si>
    <t>[effect:suicide, val:0.50, animation:enemy_suicide],[effect:break_attack_fix, target:unit_all, val:145, lowest_val:1500, count:-1, color:red, block01:block_red]</t>
    <phoneticPr fontId="5"/>
  </si>
  <si>
    <t>[effect:suicide, val:0.50, animation:enemy_suicide],[effect:break_attack_fix, target:unit_all, val:145, lowest_val:1500, count:-1, color:yellow, block01:block_yellow]</t>
    <phoneticPr fontId="5"/>
  </si>
  <si>
    <t>種族ヒューマン以外のユニットに大ダメージ+
コスト31以上のユニットに大ダメージ</t>
    <rPh sb="0" eb="2">
      <t>シュゾクヒューマン</t>
    </rPh>
    <rPh sb="7" eb="9">
      <t>イガイ</t>
    </rPh>
    <rPh sb="15" eb="16">
      <t>ダイダメージ</t>
    </rPh>
    <rPh sb="35" eb="36">
      <t>ダイダメージ</t>
    </rPh>
    <phoneticPr fontId="5"/>
  </si>
  <si>
    <t>8ターン全ユニットの攻撃力60％DOWN+
3ターン全ユニットの回復力60％DOWN</t>
    <rPh sb="32" eb="35">
      <t>カイフクリョク</t>
    </rPh>
    <phoneticPr fontId="5"/>
  </si>
  <si>
    <t>2回連続攻撃（赤属性のユニットに大ダメージ）+
バランスタイプのユニットのスキルゲージ1上昇</t>
    <rPh sb="7" eb="10">
      <t>アカゾクセイ</t>
    </rPh>
    <rPh sb="16" eb="17">
      <t>ダイダメージ</t>
    </rPh>
    <phoneticPr fontId="5"/>
  </si>
  <si>
    <t>2回連続攻撃（黄属性のユニットに大ダメージ）+
バランスタイプのユニットのスキルゲージ1上昇</t>
    <rPh sb="7" eb="8">
      <t>キ</t>
    </rPh>
    <rPh sb="8" eb="10">
      <t>アカゾクセイ</t>
    </rPh>
    <rPh sb="16" eb="17">
      <t>ダイダメージ</t>
    </rPh>
    <phoneticPr fontId="5"/>
  </si>
  <si>
    <t>[effect:damage_anti_color, target:unit_one, color:red, val1:1.6, val2:0.5],[effect:damage_anti_color, target:unit_one, color:red, val1:2.5, val2:0.9],[effect:sp_boost, target:unit_balance, val:1, animation:sp_boost_one03],[effect:enemy_message, val1:1.1, val2:2.8]</t>
    <phoneticPr fontId="5"/>
  </si>
  <si>
    <t>攻撃力UP</t>
    <phoneticPr fontId="5"/>
  </si>
  <si>
    <t>3ターン攻撃力大UP</t>
    <rPh sb="7" eb="8">
      <t>ダイ</t>
    </rPh>
    <phoneticPr fontId="5"/>
  </si>
  <si>
    <t>3ターン全ユニットの攻撃力＆回復力75％DOWN</t>
    <phoneticPr fontId="5"/>
  </si>
  <si>
    <t>3ターン攻撃力超大UP</t>
    <rPh sb="7" eb="9">
      <t>チョウダイ</t>
    </rPh>
    <phoneticPr fontId="5"/>
  </si>
  <si>
    <t>HPを消費して強力な赤パネル吸収攻撃</t>
    <rPh sb="3" eb="5">
      <t>ショウヒ</t>
    </rPh>
    <rPh sb="7" eb="9">
      <t>キョウリョクナ</t>
    </rPh>
    <rPh sb="10" eb="11">
      <t>アカ</t>
    </rPh>
    <rPh sb="14" eb="16">
      <t>キュウシュウシテ</t>
    </rPh>
    <rPh sb="16" eb="18">
      <t>コウゲキ</t>
    </rPh>
    <phoneticPr fontId="5"/>
  </si>
  <si>
    <t>HPを消費して強力な黄パネル吸収攻撃</t>
    <rPh sb="3" eb="5">
      <t>ショウヒ</t>
    </rPh>
    <rPh sb="7" eb="9">
      <t>キョウリョクナ</t>
    </rPh>
    <rPh sb="10" eb="11">
      <t>キイロ</t>
    </rPh>
    <rPh sb="14" eb="16">
      <t>キュウシュウ</t>
    </rPh>
    <rPh sb="16" eb="18">
      <t>コウゲキ</t>
    </rPh>
    <phoneticPr fontId="5"/>
  </si>
  <si>
    <t>HPを消費して強力な3回全体攻撃</t>
    <rPh sb="7" eb="9">
      <t>キョウリョクナ</t>
    </rPh>
    <rPh sb="12" eb="16">
      <t>レンゾクゼンタイコウゲキ</t>
    </rPh>
    <phoneticPr fontId="5"/>
  </si>
  <si>
    <t>HPを消費して強力な12回連続攻撃</t>
    <rPh sb="3" eb="5">
      <t>ショウヒ</t>
    </rPh>
    <rPh sb="7" eb="9">
      <t>キョウリョクナ</t>
    </rPh>
    <rPh sb="12" eb="13">
      <t>カイ</t>
    </rPh>
    <rPh sb="13" eb="15">
      <t>レンゾク</t>
    </rPh>
    <rPh sb="15" eb="17">
      <t>コウゲキ</t>
    </rPh>
    <phoneticPr fontId="5"/>
  </si>
  <si>
    <t>2ターン緑パネルが出現しない+
青ボムパネル（特大）を1個生成</t>
    <rPh sb="4" eb="5">
      <t>ミドリパネル</t>
    </rPh>
    <rPh sb="16" eb="17">
      <t>アオ</t>
    </rPh>
    <rPh sb="23" eb="25">
      <t>トクダイ</t>
    </rPh>
    <phoneticPr fontId="5"/>
  </si>
  <si>
    <t>2ターン青パネルが出現しない+
緑ボムパネル（特大）を1個生成</t>
    <rPh sb="4" eb="5">
      <t>アオ</t>
    </rPh>
    <rPh sb="16" eb="17">
      <t>ミドリ</t>
    </rPh>
    <rPh sb="23" eb="25">
      <t>トクダイ</t>
    </rPh>
    <phoneticPr fontId="5"/>
  </si>
  <si>
    <t>[effect:damage_anti_color, target:unit_one, color:yellow, val1:1.6, val2:0.5],[effect:damage_anti_color, target:unit_one, color:yellow, val1:2.5, val2:0.9],[effect:sp_boost, target:unit_balance, val:1, animation:sp_boost_one03],[effect:enemy_message, val1:1.1, val2:2.8]</t>
    <phoneticPr fontId="5"/>
  </si>
  <si>
    <t>[effect:enemy_message, val1:1, val2:2.8],[effect:degrade_unit, target:unit_all, turn:8, status:attack, val:0.6, calc:mul],[effect:degrade_unit, target:unit_all, turn:3, status:heal, val:0.6, calc:mul, animation:degrade_unit_all_heal]</t>
    <phoneticPr fontId="5"/>
  </si>
  <si>
    <t>[effect:degrade_unit, target:unit_all, turn:3, status:heal, val:0.65, calc:mul, animation:degrade_unit_all_heal],[effect:enemy_message, val1:1.4, val2:1.8]</t>
    <phoneticPr fontId="5"/>
  </si>
  <si>
    <t>[effect:degrade_unit, target:unit_all, turn:3, status:heal, val:0.75, calc:mul, animation:degrade_unit_all_heal],[effect:degrade_unit, target:unit_all, turn:3, status:attack, val:0.75, calc:mul],[effect:enemy_message, val1:1.4, val2:2.3]</t>
    <phoneticPr fontId="5"/>
  </si>
  <si>
    <t>[effect:degrade_unit, target:unit_all, turn:5, status:heal, val:0.95, calc:mul, animation:degrade_unit_all_heal],[effect:degrade_unit, target:unit_all, turn:5, status:attack, val:0.95, calc:mul],[effect:enemy_message, val1:1.4, val2:2.3]</t>
    <phoneticPr fontId="5"/>
  </si>
  <si>
    <t>[effect:enemy_message, val1:1, val2:2.8],[effect:damage_anti_tribe, target:unit_all, tribe:human, val1:0.01, val2:99.9],[effect:damage_anti_cost, target:unit_all, lower:31, val1:99.9, val2:0.01, cost_type:unit],[effect:damage_anti_cost, target:unit_all, lower:31, val1:99.9, val2:0.01, cost_type:unit]</t>
    <phoneticPr fontId="5"/>
  </si>
  <si>
    <t>ヒールポイズン</t>
    <phoneticPr fontId="5"/>
  </si>
  <si>
    <t>セルフエンチャント</t>
    <phoneticPr fontId="5"/>
  </si>
  <si>
    <t>攻撃力超大UP</t>
    <phoneticPr fontId="5"/>
  </si>
  <si>
    <t>回復タイプのユニットに12ターンウィルス</t>
    <phoneticPr fontId="5"/>
  </si>
  <si>
    <t>[effect:enhance_enemy, target:myself, turn:-1, status:attack, val:1.1, calc:mul, animation:enemy_enhance_attack],[effect:enemy_message, val1:1.4, val2:1.6]</t>
    <phoneticPr fontId="5"/>
  </si>
  <si>
    <t>[effect:virus, target:unit_heal, turn:12, rate:1, val:0.66, animation:enemy_virus],[effect:enemy_message, val1:1.4, val2:2.1]</t>
    <phoneticPr fontId="5"/>
  </si>
  <si>
    <t>13301_12</t>
    <phoneticPr fontId="5"/>
  </si>
  <si>
    <t>13301_12</t>
    <phoneticPr fontId="5"/>
  </si>
  <si>
    <t>13301_12</t>
    <phoneticPr fontId="5"/>
  </si>
  <si>
    <t>13301_12</t>
    <phoneticPr fontId="5"/>
  </si>
  <si>
    <t>13301_12</t>
    <phoneticPr fontId="5"/>
  </si>
  <si>
    <t>13301_12</t>
    <phoneticPr fontId="5"/>
  </si>
  <si>
    <t>13301_12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</si>
</sst>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30" fillId="14" borderId="7" xfId="0" applyFont="1" applyFill="1" applyBorder="1"/>
    <xf numFmtId="0" fontId="16" fillId="33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7EEDA"/>
      <color rgb="FFFEC9C5"/>
      <color rgb="FFFEA896"/>
      <color rgb="FFA7EDD4"/>
      <color rgb="FF43EA87"/>
      <color rgb="FFFE87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HabitatsMasterData_ResetTower_1_1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floors"/>
      <sheetName val="enemy_habitats"/>
      <sheetName val="enemy_habitat_S"/>
      <sheetName val="enemy_skill_sets"/>
      <sheetName val="enemy_skills"/>
      <sheetName val="enemy_skill_triggers"/>
      <sheetName val="bugbonuses"/>
      <sheetName val="stage_hints_complete"/>
      <sheetName val="stage_hints_failure"/>
      <sheetName val="stage_bonuses"/>
    </sheetNames>
    <sheetDataSet>
      <sheetData sheetId="0" refreshError="1"/>
      <sheetData sheetId="1" refreshError="1">
        <row r="1">
          <cell r="A1" t="str">
            <v>temp_floor</v>
          </cell>
          <cell r="B1" t="str">
            <v>status</v>
          </cell>
          <cell r="C1" t="str">
            <v>quest_id</v>
          </cell>
          <cell r="D1" t="str">
            <v>name</v>
          </cell>
          <cell r="E1" t="str">
            <v>位置付け</v>
          </cell>
          <cell r="F1" t="str">
            <v>stage_id</v>
          </cell>
          <cell r="G1" t="str">
            <v>temp_stage</v>
          </cell>
          <cell r="H1" t="str">
            <v>name</v>
          </cell>
          <cell r="I1" t="str">
            <v>floor_id</v>
          </cell>
          <cell r="J1" t="str">
            <v>total_size_min</v>
          </cell>
          <cell r="K1" t="str">
            <v>total_size_max</v>
          </cell>
        </row>
        <row r="2">
          <cell r="A2" t="str">
            <v>13300_14-1</v>
          </cell>
        </row>
        <row r="3">
          <cell r="A3" t="str">
            <v>13300_14-2</v>
          </cell>
        </row>
        <row r="4">
          <cell r="A4" t="str">
            <v>13300_14-3</v>
          </cell>
        </row>
      </sheetData>
      <sheetData sheetId="2" refreshError="1"/>
      <sheetData sheetId="3" refreshError="1"/>
      <sheetData sheetId="4" refreshError="1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priority</v>
          </cell>
          <cell r="I1" t="str">
            <v>invoke_rate</v>
          </cell>
          <cell r="J1" t="str">
            <v>hp_threshold</v>
          </cell>
          <cell r="K1" t="str">
            <v>hp_termination</v>
          </cell>
          <cell r="L1" t="str">
            <v>invoke_times</v>
          </cell>
          <cell r="M1" t="str">
            <v>every_time_count</v>
          </cell>
          <cell r="N1" t="str">
            <v>neighbor_dead_id</v>
          </cell>
          <cell r="O1" t="str">
            <v>invoke_weight</v>
          </cell>
          <cell r="P1" t="str">
            <v>作成者</v>
          </cell>
          <cell r="Q1" t="str">
            <v>更新日</v>
          </cell>
          <cell r="R1" t="str">
            <v>備考（使用箇所）</v>
          </cell>
        </row>
        <row r="2">
          <cell r="B2">
            <v>13300800</v>
          </cell>
        </row>
        <row r="3">
          <cell r="B3">
            <v>13300801</v>
          </cell>
        </row>
        <row r="4">
          <cell r="B4">
            <v>13300800</v>
          </cell>
        </row>
        <row r="5">
          <cell r="B5">
            <v>13300801</v>
          </cell>
        </row>
        <row r="6">
          <cell r="B6">
            <v>13300802</v>
          </cell>
        </row>
        <row r="7">
          <cell r="B7">
            <v>13300803</v>
          </cell>
        </row>
        <row r="8">
          <cell r="B8">
            <v>13300802</v>
          </cell>
        </row>
        <row r="9">
          <cell r="B9">
            <v>13300803</v>
          </cell>
        </row>
        <row r="10">
          <cell r="B10">
            <v>13300803</v>
          </cell>
        </row>
        <row r="11">
          <cell r="B11">
            <v>13300803</v>
          </cell>
        </row>
        <row r="12">
          <cell r="B12">
            <v>13300802</v>
          </cell>
        </row>
        <row r="13">
          <cell r="B13">
            <v>13300802</v>
          </cell>
        </row>
        <row r="14">
          <cell r="B14">
            <v>13300803</v>
          </cell>
        </row>
        <row r="15">
          <cell r="B15">
            <v>13300802</v>
          </cell>
        </row>
        <row r="16">
          <cell r="B16">
            <v>13300803</v>
          </cell>
        </row>
        <row r="17">
          <cell r="B17">
            <v>13300802</v>
          </cell>
        </row>
        <row r="18">
          <cell r="B18">
            <v>13300804</v>
          </cell>
        </row>
        <row r="19">
          <cell r="B19">
            <v>13300805</v>
          </cell>
        </row>
        <row r="20">
          <cell r="B20">
            <v>13300804</v>
          </cell>
        </row>
        <row r="21">
          <cell r="B21">
            <v>13300805</v>
          </cell>
        </row>
        <row r="22">
          <cell r="B22">
            <v>13300804</v>
          </cell>
        </row>
        <row r="23">
          <cell r="B23">
            <v>13300805</v>
          </cell>
        </row>
        <row r="24">
          <cell r="B24">
            <v>13300805</v>
          </cell>
        </row>
        <row r="25">
          <cell r="B25">
            <v>13300805</v>
          </cell>
        </row>
        <row r="26">
          <cell r="B26">
            <v>13300804</v>
          </cell>
        </row>
        <row r="27">
          <cell r="B27">
            <v>13300804</v>
          </cell>
        </row>
      </sheetData>
      <sheetData sheetId="5" refreshError="1">
        <row r="1">
          <cell r="A1" t="str">
            <v>enemy_skill_id</v>
          </cell>
          <cell r="B1" t="str">
            <v>effect_param</v>
          </cell>
          <cell r="C1" t="str">
            <v>valid_flg</v>
          </cell>
          <cell r="D1" t="str">
            <v>language</v>
          </cell>
          <cell r="E1" t="str">
            <v>name</v>
          </cell>
          <cell r="F1" t="str">
            <v>comment</v>
          </cell>
          <cell r="G1" t="str">
            <v>効果１文字列</v>
          </cell>
          <cell r="H1" t="str">
            <v>効果１efect位置</v>
          </cell>
          <cell r="I1" t="str">
            <v>効果1終了位置</v>
          </cell>
          <cell r="J1" t="str">
            <v>効果１target位置</v>
          </cell>
          <cell r="K1" t="str">
            <v>効果1target終了位置</v>
          </cell>
          <cell r="L1" t="str">
            <v>効果１簡易デコード</v>
          </cell>
          <cell r="M1" t="str">
            <v>中間文字列１</v>
          </cell>
          <cell r="N1" t="str">
            <v>効果２文字列</v>
          </cell>
          <cell r="O1" t="str">
            <v>効果2efect位置</v>
          </cell>
          <cell r="P1" t="str">
            <v>効果2終了位置</v>
          </cell>
          <cell r="Q1" t="str">
            <v>効果2target位置</v>
          </cell>
          <cell r="R1" t="str">
            <v>効果2target終了位置</v>
          </cell>
          <cell r="S1" t="str">
            <v>効果２簡易デコード</v>
          </cell>
          <cell r="T1" t="str">
            <v>効果３文字列</v>
          </cell>
          <cell r="U1" t="str">
            <v>効果3efect位置</v>
          </cell>
          <cell r="V1" t="str">
            <v>効果3終了位置</v>
          </cell>
          <cell r="W1" t="str">
            <v>効果3target位置</v>
          </cell>
          <cell r="X1" t="str">
            <v>効果3target終了位置</v>
          </cell>
          <cell r="Y1" t="str">
            <v>効果３簡易デコード</v>
          </cell>
          <cell r="Z1" t="str">
            <v>作成者</v>
          </cell>
          <cell r="AA1" t="str">
            <v>更新日</v>
          </cell>
          <cell r="AB1" t="str">
            <v>備考（使用箇所）</v>
          </cell>
        </row>
        <row r="2">
          <cell r="A2">
            <v>13300800</v>
          </cell>
        </row>
        <row r="3">
          <cell r="A3">
            <v>13300801</v>
          </cell>
        </row>
        <row r="4">
          <cell r="A4">
            <v>13300802</v>
          </cell>
        </row>
        <row r="5">
          <cell r="A5">
            <v>13300803</v>
          </cell>
        </row>
        <row r="6">
          <cell r="A6">
            <v>13300804</v>
          </cell>
        </row>
        <row r="7">
          <cell r="A7">
            <v>13300805</v>
          </cell>
        </row>
        <row r="8">
          <cell r="A8">
            <v>13300806</v>
          </cell>
        </row>
        <row r="9">
          <cell r="A9">
            <v>13300807</v>
          </cell>
        </row>
        <row r="10">
          <cell r="A10">
            <v>13300808</v>
          </cell>
        </row>
        <row r="11">
          <cell r="A11">
            <v>13300809</v>
          </cell>
        </row>
        <row r="12">
          <cell r="A12">
            <v>13300810</v>
          </cell>
        </row>
        <row r="13">
          <cell r="A13">
            <v>13300811</v>
          </cell>
        </row>
        <row r="14">
          <cell r="A14">
            <v>13300812</v>
          </cell>
        </row>
        <row r="15">
          <cell r="A15">
            <v>13300813</v>
          </cell>
        </row>
        <row r="16">
          <cell r="A16">
            <v>13300814</v>
          </cell>
        </row>
        <row r="17">
          <cell r="A17">
            <v>13300815</v>
          </cell>
        </row>
        <row r="18">
          <cell r="A18">
            <v>13300816</v>
          </cell>
        </row>
        <row r="19">
          <cell r="A19">
            <v>13300817</v>
          </cell>
        </row>
        <row r="20">
          <cell r="A20">
            <v>13300818</v>
          </cell>
        </row>
        <row r="21">
          <cell r="A21">
            <v>13300819</v>
          </cell>
        </row>
        <row r="22">
          <cell r="A22">
            <v>13300820</v>
          </cell>
        </row>
        <row r="23">
          <cell r="A23">
            <v>13300821</v>
          </cell>
        </row>
        <row r="24">
          <cell r="A24">
            <v>13300822</v>
          </cell>
        </row>
        <row r="25">
          <cell r="A25">
            <v>13300823</v>
          </cell>
        </row>
        <row r="26">
          <cell r="A26">
            <v>13300824</v>
          </cell>
        </row>
      </sheetData>
      <sheetData sheetId="6" refreshError="1">
        <row r="1">
          <cell r="A1" t="str">
            <v>skill_trigger_id</v>
          </cell>
          <cell r="B1" t="str">
            <v>first_time</v>
          </cell>
          <cell r="C1" t="str">
            <v>priority</v>
          </cell>
          <cell r="D1" t="str">
            <v>invoke_rate</v>
          </cell>
          <cell r="E1" t="str">
            <v>hp_threshold</v>
          </cell>
          <cell r="F1" t="str">
            <v>hp_termination</v>
          </cell>
          <cell r="G1" t="str">
            <v>invoke_times</v>
          </cell>
          <cell r="H1" t="str">
            <v>every_time_count</v>
          </cell>
          <cell r="I1" t="str">
            <v>neighbor_dead_id</v>
          </cell>
          <cell r="J1" t="str">
            <v>invoke_weight</v>
          </cell>
          <cell r="K1" t="str">
            <v>重複チェック</v>
          </cell>
        </row>
        <row r="2">
          <cell r="A2">
            <v>13300800</v>
          </cell>
        </row>
        <row r="3">
          <cell r="A3">
            <v>13300801</v>
          </cell>
        </row>
        <row r="4">
          <cell r="A4">
            <v>13300802</v>
          </cell>
        </row>
        <row r="5">
          <cell r="A5">
            <v>13300803</v>
          </cell>
        </row>
        <row r="6">
          <cell r="A6">
            <v>13300804</v>
          </cell>
        </row>
        <row r="7">
          <cell r="A7">
            <v>13300805</v>
          </cell>
        </row>
        <row r="8">
          <cell r="A8">
            <v>13300806</v>
          </cell>
        </row>
        <row r="9">
          <cell r="A9">
            <v>13300807</v>
          </cell>
        </row>
        <row r="10">
          <cell r="A10">
            <v>13300808</v>
          </cell>
        </row>
        <row r="11">
          <cell r="A11">
            <v>13300809</v>
          </cell>
        </row>
        <row r="12">
          <cell r="A12">
            <v>13300810</v>
          </cell>
        </row>
        <row r="13">
          <cell r="A13">
            <v>13300811</v>
          </cell>
        </row>
        <row r="14">
          <cell r="A14">
            <v>13300812</v>
          </cell>
        </row>
        <row r="15">
          <cell r="A15">
            <v>13300813</v>
          </cell>
        </row>
        <row r="16">
          <cell r="A16">
            <v>13300814</v>
          </cell>
        </row>
        <row r="17">
          <cell r="A17">
            <v>13300815</v>
          </cell>
        </row>
        <row r="18">
          <cell r="A18">
            <v>13300816</v>
          </cell>
        </row>
        <row r="19">
          <cell r="A19">
            <v>13300817</v>
          </cell>
        </row>
        <row r="20">
          <cell r="A20">
            <v>13300818</v>
          </cell>
        </row>
        <row r="21">
          <cell r="A21">
            <v>13300819</v>
          </cell>
        </row>
        <row r="22">
          <cell r="A22">
            <v>13300820</v>
          </cell>
        </row>
        <row r="23">
          <cell r="A23">
            <v>13300821</v>
          </cell>
        </row>
        <row r="24">
          <cell r="A24">
            <v>13300822</v>
          </cell>
        </row>
        <row r="25">
          <cell r="A25">
            <v>13300823</v>
          </cell>
        </row>
        <row r="26">
          <cell r="A26">
            <v>13300824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15" sqref="E15"/>
    </sheetView>
  </sheetViews>
  <sheetFormatPr baseColWidth="12" defaultRowHeight="15" x14ac:dyDescent="0.15"/>
  <cols>
    <col min="2" max="2" width="14.83203125" customWidth="1"/>
    <col min="5" max="5" width="26.83203125" bestFit="1" customWidth="1"/>
    <col min="6" max="6" width="22.1640625" bestFit="1" customWidth="1"/>
  </cols>
  <sheetData>
    <row r="1" spans="1:30" x14ac:dyDescent="0.15">
      <c r="A1" s="57" t="s">
        <v>130</v>
      </c>
      <c r="B1" s="52" t="s">
        <v>100</v>
      </c>
      <c r="C1" s="52" t="s">
        <v>101</v>
      </c>
      <c r="D1" s="52" t="s">
        <v>102</v>
      </c>
      <c r="E1" s="52" t="s">
        <v>103</v>
      </c>
      <c r="F1" s="52" t="s">
        <v>104</v>
      </c>
      <c r="G1" s="52" t="s">
        <v>105</v>
      </c>
      <c r="H1" s="52"/>
      <c r="I1" s="52"/>
      <c r="J1" s="52"/>
      <c r="K1" s="52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</row>
    <row r="2" spans="1:30" x14ac:dyDescent="0.15">
      <c r="A2" s="58" t="s">
        <v>258</v>
      </c>
      <c r="B2" s="54" t="s">
        <v>106</v>
      </c>
      <c r="C2" s="59" t="s">
        <v>341</v>
      </c>
      <c r="D2" s="54" t="s">
        <v>107</v>
      </c>
      <c r="E2" s="53" t="str">
        <f>B2&amp;C2&amp;D2</f>
        <v>floors_13301_12.tmp</v>
      </c>
      <c r="F2" s="54" t="s">
        <v>108</v>
      </c>
      <c r="G2" s="55" t="s">
        <v>0</v>
      </c>
      <c r="H2" s="55" t="s">
        <v>1</v>
      </c>
      <c r="I2" s="55" t="s">
        <v>13</v>
      </c>
      <c r="J2" s="55" t="s">
        <v>14</v>
      </c>
      <c r="K2" s="55" t="s">
        <v>15</v>
      </c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</row>
    <row r="3" spans="1:30" x14ac:dyDescent="0.15">
      <c r="A3" s="58" t="s">
        <v>258</v>
      </c>
      <c r="B3" s="54" t="s">
        <v>109</v>
      </c>
      <c r="C3" s="59" t="s">
        <v>342</v>
      </c>
      <c r="D3" s="54" t="s">
        <v>107</v>
      </c>
      <c r="E3" s="53" t="str">
        <f>B3&amp;C3&amp;D3</f>
        <v>enemy_habitats_13301_12.tmp</v>
      </c>
      <c r="F3" s="54" t="s">
        <v>110</v>
      </c>
      <c r="G3" s="55" t="s">
        <v>0</v>
      </c>
      <c r="H3" s="55" t="s">
        <v>1</v>
      </c>
      <c r="I3" s="55" t="s">
        <v>13</v>
      </c>
      <c r="J3" s="55" t="s">
        <v>2</v>
      </c>
      <c r="K3" s="55" t="s">
        <v>3</v>
      </c>
      <c r="L3" s="55" t="s">
        <v>47</v>
      </c>
      <c r="M3" s="55" t="s">
        <v>49</v>
      </c>
      <c r="N3" s="55" t="s">
        <v>51</v>
      </c>
      <c r="O3" s="55" t="s">
        <v>22</v>
      </c>
      <c r="P3" s="55" t="s">
        <v>5</v>
      </c>
      <c r="Q3" s="55" t="s">
        <v>6</v>
      </c>
      <c r="R3" s="55" t="s">
        <v>7</v>
      </c>
      <c r="S3" s="55" t="s">
        <v>8</v>
      </c>
      <c r="T3" s="55" t="s">
        <v>9</v>
      </c>
      <c r="U3" s="55" t="s">
        <v>10</v>
      </c>
      <c r="V3" s="55" t="s">
        <v>11</v>
      </c>
      <c r="W3" s="55" t="s">
        <v>12</v>
      </c>
      <c r="X3" s="55" t="s">
        <v>37</v>
      </c>
      <c r="Y3" s="55" t="s">
        <v>39</v>
      </c>
      <c r="Z3" s="55" t="s">
        <v>41</v>
      </c>
      <c r="AA3" s="55" t="s">
        <v>43</v>
      </c>
      <c r="AB3" s="55" t="s">
        <v>45</v>
      </c>
      <c r="AC3" s="55" t="s">
        <v>54</v>
      </c>
      <c r="AD3" s="55" t="s">
        <v>177</v>
      </c>
    </row>
    <row r="4" spans="1:30" x14ac:dyDescent="0.15">
      <c r="A4" s="58" t="s">
        <v>258</v>
      </c>
      <c r="B4" s="54" t="s">
        <v>111</v>
      </c>
      <c r="C4" s="59" t="s">
        <v>343</v>
      </c>
      <c r="D4" s="54" t="s">
        <v>107</v>
      </c>
      <c r="E4" s="53" t="str">
        <f>B4&amp;C4&amp;D4</f>
        <v>enemy_habitat_S_13301_12.tmp</v>
      </c>
      <c r="F4" s="54" t="s">
        <v>112</v>
      </c>
      <c r="G4" s="55" t="s">
        <v>0</v>
      </c>
      <c r="H4" s="55" t="s">
        <v>1</v>
      </c>
      <c r="I4" s="55" t="s">
        <v>13</v>
      </c>
      <c r="J4" s="55" t="s">
        <v>54</v>
      </c>
      <c r="K4" s="55" t="s">
        <v>55</v>
      </c>
      <c r="L4" s="55" t="s">
        <v>56</v>
      </c>
      <c r="M4" s="55" t="s">
        <v>57</v>
      </c>
      <c r="N4" s="55" t="s">
        <v>58</v>
      </c>
      <c r="O4" s="55" t="s">
        <v>59</v>
      </c>
      <c r="P4" s="55" t="s">
        <v>48</v>
      </c>
      <c r="Q4" s="55" t="s">
        <v>50</v>
      </c>
      <c r="R4" s="55" t="s">
        <v>52</v>
      </c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</row>
    <row r="5" spans="1:30" x14ac:dyDescent="0.15">
      <c r="A5" s="58" t="s">
        <v>258</v>
      </c>
      <c r="B5" s="54" t="s">
        <v>113</v>
      </c>
      <c r="C5" s="59" t="s">
        <v>344</v>
      </c>
      <c r="D5" s="54" t="s">
        <v>107</v>
      </c>
      <c r="E5" s="53" t="str">
        <f>B5&amp;C5&amp;D5</f>
        <v>enemy_skill_sets_13301_12.tmp</v>
      </c>
      <c r="F5" s="54" t="s">
        <v>114</v>
      </c>
      <c r="G5" s="56" t="s">
        <v>22</v>
      </c>
      <c r="H5" s="56" t="s">
        <v>99</v>
      </c>
      <c r="I5" s="56" t="s">
        <v>94</v>
      </c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</row>
    <row r="6" spans="1:30" x14ac:dyDescent="0.15">
      <c r="A6" s="58" t="s">
        <v>258</v>
      </c>
      <c r="B6" s="54" t="s">
        <v>115</v>
      </c>
      <c r="C6" s="59" t="s">
        <v>341</v>
      </c>
      <c r="D6" s="54" t="s">
        <v>116</v>
      </c>
      <c r="E6" s="53" t="str">
        <f t="shared" ref="E6:E10" si="0">B6&amp;C6&amp;D6</f>
        <v>enemy_skills_tmp_13301_12.tmp</v>
      </c>
      <c r="F6" s="54" t="s">
        <v>90</v>
      </c>
      <c r="G6" s="55" t="s">
        <v>79</v>
      </c>
      <c r="H6" s="55" t="s">
        <v>80</v>
      </c>
      <c r="I6" s="55" t="s">
        <v>81</v>
      </c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</row>
    <row r="7" spans="1:30" x14ac:dyDescent="0.15">
      <c r="A7" s="58" t="s">
        <v>258</v>
      </c>
      <c r="B7" s="54" t="s">
        <v>117</v>
      </c>
      <c r="C7" s="59" t="s">
        <v>345</v>
      </c>
      <c r="D7" s="54" t="s">
        <v>107</v>
      </c>
      <c r="E7" s="53" t="str">
        <f>B7&amp;C7&amp;D7</f>
        <v>enemy_skills_i18n_13301_12.tmp</v>
      </c>
      <c r="F7" s="54" t="s">
        <v>118</v>
      </c>
      <c r="G7" s="55" t="s">
        <v>79</v>
      </c>
      <c r="H7" s="55" t="s">
        <v>91</v>
      </c>
      <c r="I7" s="55" t="s">
        <v>92</v>
      </c>
      <c r="J7" s="55" t="s">
        <v>93</v>
      </c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</row>
    <row r="8" spans="1:30" x14ac:dyDescent="0.15">
      <c r="A8" s="58" t="s">
        <v>258</v>
      </c>
      <c r="B8" s="54" t="s">
        <v>119</v>
      </c>
      <c r="C8" s="59" t="s">
        <v>346</v>
      </c>
      <c r="D8" s="54" t="s">
        <v>120</v>
      </c>
      <c r="E8" s="53" t="str">
        <f t="shared" si="0"/>
        <v>enemy_skill_triggers_13301_12.tmp</v>
      </c>
      <c r="F8" s="54" t="s">
        <v>121</v>
      </c>
      <c r="G8" s="55" t="s">
        <v>94</v>
      </c>
      <c r="H8" s="55" t="s">
        <v>95</v>
      </c>
      <c r="I8" s="55" t="s">
        <v>96</v>
      </c>
      <c r="J8" s="55" t="s">
        <v>97</v>
      </c>
      <c r="K8" s="55" t="s">
        <v>122</v>
      </c>
      <c r="L8" s="55" t="s">
        <v>98</v>
      </c>
      <c r="M8" s="55" t="s">
        <v>123</v>
      </c>
      <c r="N8" s="55" t="s">
        <v>124</v>
      </c>
      <c r="O8" s="55" t="s">
        <v>125</v>
      </c>
      <c r="P8" s="55" t="s">
        <v>67</v>
      </c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</row>
    <row r="9" spans="1:30" x14ac:dyDescent="0.15">
      <c r="A9" s="58" t="s">
        <v>258</v>
      </c>
      <c r="B9" s="64" t="s">
        <v>176</v>
      </c>
      <c r="C9" s="59" t="s">
        <v>341</v>
      </c>
      <c r="D9" s="64" t="s">
        <v>170</v>
      </c>
      <c r="E9" s="65" t="str">
        <f t="shared" si="0"/>
        <v>stage_bug_bonuses_13301_12.tmp</v>
      </c>
      <c r="F9" s="64" t="s">
        <v>171</v>
      </c>
      <c r="G9" s="61" t="s">
        <v>150</v>
      </c>
      <c r="H9" s="61" t="s">
        <v>172</v>
      </c>
      <c r="I9" s="61" t="s">
        <v>173</v>
      </c>
      <c r="J9" s="63" t="s">
        <v>174</v>
      </c>
      <c r="K9" s="61" t="s">
        <v>175</v>
      </c>
      <c r="L9" s="61" t="s">
        <v>156</v>
      </c>
      <c r="M9" s="61" t="s">
        <v>157</v>
      </c>
      <c r="N9" s="61" t="s">
        <v>158</v>
      </c>
      <c r="O9" s="61" t="s">
        <v>159</v>
      </c>
      <c r="P9" s="61" t="s">
        <v>160</v>
      </c>
      <c r="Q9" s="61" t="s">
        <v>161</v>
      </c>
      <c r="R9" s="61" t="s">
        <v>162</v>
      </c>
      <c r="S9" s="61" t="s">
        <v>163</v>
      </c>
      <c r="T9" s="61" t="s">
        <v>164</v>
      </c>
      <c r="U9" s="61" t="s">
        <v>165</v>
      </c>
      <c r="V9" s="61" t="s">
        <v>166</v>
      </c>
      <c r="W9" s="61" t="s">
        <v>167</v>
      </c>
      <c r="X9" s="54"/>
      <c r="Y9" s="54"/>
      <c r="Z9" s="54"/>
      <c r="AA9" s="54"/>
      <c r="AB9" s="54"/>
      <c r="AC9" s="54"/>
      <c r="AD9" s="54"/>
    </row>
    <row r="10" spans="1:30" s="71" customFormat="1" x14ac:dyDescent="0.15">
      <c r="A10" s="58" t="s">
        <v>186</v>
      </c>
      <c r="B10" s="64" t="s">
        <v>199</v>
      </c>
      <c r="C10" s="59" t="s">
        <v>343</v>
      </c>
      <c r="D10" s="64" t="s">
        <v>179</v>
      </c>
      <c r="E10" s="65" t="str">
        <f t="shared" si="0"/>
        <v>stage_hints_data_c_13301_12.tmp</v>
      </c>
      <c r="F10" s="64" t="s">
        <v>207</v>
      </c>
      <c r="G10" s="69" t="s">
        <v>180</v>
      </c>
      <c r="H10" s="69" t="s">
        <v>172</v>
      </c>
      <c r="I10" s="70" t="s">
        <v>181</v>
      </c>
      <c r="J10" s="63" t="s">
        <v>182</v>
      </c>
      <c r="K10" s="63" t="s">
        <v>183</v>
      </c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  <c r="AC10" s="95"/>
      <c r="AD10" s="95"/>
    </row>
    <row r="11" spans="1:30" s="71" customFormat="1" x14ac:dyDescent="0.15">
      <c r="A11" s="58" t="s">
        <v>258</v>
      </c>
      <c r="B11" s="64" t="s">
        <v>200</v>
      </c>
      <c r="C11" s="59" t="s">
        <v>343</v>
      </c>
      <c r="D11" s="64" t="s">
        <v>170</v>
      </c>
      <c r="E11" s="65" t="str">
        <f t="shared" ref="E11:E13" si="1">B11&amp;C11&amp;D11</f>
        <v>stage_hints_data_f_13301_12.tmp</v>
      </c>
      <c r="F11" s="64" t="s">
        <v>208</v>
      </c>
      <c r="G11" s="69" t="s">
        <v>180</v>
      </c>
      <c r="H11" s="69" t="s">
        <v>172</v>
      </c>
      <c r="I11" s="70" t="s">
        <v>181</v>
      </c>
      <c r="J11" s="63" t="s">
        <v>182</v>
      </c>
      <c r="K11" s="63" t="s">
        <v>183</v>
      </c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</row>
    <row r="12" spans="1:30" s="71" customFormat="1" x14ac:dyDescent="0.15">
      <c r="A12" s="58" t="s">
        <v>258</v>
      </c>
      <c r="B12" s="64" t="s">
        <v>201</v>
      </c>
      <c r="C12" s="59" t="s">
        <v>341</v>
      </c>
      <c r="D12" s="64" t="s">
        <v>170</v>
      </c>
      <c r="E12" s="65" t="str">
        <f t="shared" si="1"/>
        <v>stage_hints_i18n_13301_12.tmp</v>
      </c>
      <c r="F12" s="64" t="s">
        <v>209</v>
      </c>
      <c r="G12" s="70" t="s">
        <v>202</v>
      </c>
      <c r="H12" s="88" t="s">
        <v>203</v>
      </c>
      <c r="I12" s="69" t="s">
        <v>204</v>
      </c>
      <c r="J12" s="96" t="s">
        <v>205</v>
      </c>
      <c r="K12" s="63" t="s">
        <v>206</v>
      </c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</row>
    <row r="13" spans="1:30" s="71" customFormat="1" x14ac:dyDescent="0.15">
      <c r="A13" s="58" t="s">
        <v>251</v>
      </c>
      <c r="B13" s="64" t="s">
        <v>247</v>
      </c>
      <c r="C13" s="59" t="s">
        <v>347</v>
      </c>
      <c r="D13" s="64" t="s">
        <v>228</v>
      </c>
      <c r="E13" s="65" t="str">
        <f t="shared" si="1"/>
        <v>stage_bonuses_13301_12.tmp</v>
      </c>
      <c r="F13" s="64" t="s">
        <v>227</v>
      </c>
      <c r="G13" s="69" t="s">
        <v>229</v>
      </c>
      <c r="H13" s="69" t="s">
        <v>230</v>
      </c>
      <c r="I13" s="69" t="s">
        <v>231</v>
      </c>
      <c r="J13" s="69" t="s">
        <v>232</v>
      </c>
      <c r="K13" s="69" t="s">
        <v>233</v>
      </c>
      <c r="L13" s="69" t="s">
        <v>234</v>
      </c>
      <c r="M13" s="69" t="s">
        <v>235</v>
      </c>
      <c r="N13" s="69" t="s">
        <v>236</v>
      </c>
      <c r="O13" s="69" t="s">
        <v>237</v>
      </c>
      <c r="P13" s="69" t="s">
        <v>238</v>
      </c>
      <c r="Q13" s="69" t="s">
        <v>239</v>
      </c>
      <c r="R13" s="69" t="s">
        <v>240</v>
      </c>
      <c r="S13" s="69" t="s">
        <v>241</v>
      </c>
      <c r="T13" s="69" t="s">
        <v>242</v>
      </c>
      <c r="U13" s="69" t="s">
        <v>243</v>
      </c>
      <c r="V13" s="69" t="s">
        <v>244</v>
      </c>
      <c r="W13" s="69" t="s">
        <v>245</v>
      </c>
      <c r="X13" s="69" t="s">
        <v>246</v>
      </c>
      <c r="Y13" s="95"/>
      <c r="Z13" s="95"/>
      <c r="AA13" s="95"/>
      <c r="AB13" s="95"/>
      <c r="AC13" s="95"/>
      <c r="AD13" s="9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C5" sqref="C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13301_12-1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0">
        <v>12</v>
      </c>
      <c r="G2" s="22" t="str">
        <f>C2&amp;"_"&amp;F2</f>
        <v>13301_12</v>
      </c>
      <c r="H2" s="15" t="str">
        <f ca="1">VLOOKUP($G2,OFFSET([2]stages!$A$1,0,0,COUNTA([2]stages!$A:$A),MATCH(H$1,[2]stages!$2:$2,0)-MATCH($G$1,[2]stages!$2:$2,0)+1),MATCH(H$1,[2]stages!$2:$2,0)-MATCH($G$1,[2]stages!$2:$2,0)+1,FALSE)</f>
        <v>12階 コスト30以下ヒューマン限定</v>
      </c>
      <c r="I2" s="20">
        <v>1</v>
      </c>
      <c r="J2" s="12">
        <v>40</v>
      </c>
      <c r="K2" s="12">
        <v>40</v>
      </c>
    </row>
    <row r="3" spans="1:11" ht="21" customHeight="1" x14ac:dyDescent="0.15">
      <c r="A3" s="16" t="str">
        <f>G3&amp;"-"&amp;I3</f>
        <v>13301_12-2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0">
        <v>12</v>
      </c>
      <c r="G3" s="22" t="str">
        <f>C3&amp;"_"&amp;F3</f>
        <v>13301_12</v>
      </c>
      <c r="H3" s="15" t="str">
        <f ca="1">VLOOKUP($G3,OFFSET([2]stages!$A$1,0,0,COUNTA([2]stages!$A:$A),MATCH(H$1,[2]stages!$2:$2,0)-MATCH($G$1,[2]stages!$2:$2,0)+1),MATCH(H$1,[2]stages!$2:$2,0)-MATCH($G$1,[2]stages!$2:$2,0)+1,FALSE)</f>
        <v>12階 コスト30以下ヒューマン限定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13301_12-3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0">
        <v>12</v>
      </c>
      <c r="G4" s="22" t="str">
        <f>C4&amp;"_"&amp;F4</f>
        <v>13301_12</v>
      </c>
      <c r="H4" s="15" t="str">
        <f ca="1">VLOOKUP($G4,OFFSET([2]stages!$A$1,0,0,COUNTA([2]stages!$A:$A),MATCH(H$1,[2]stages!$2:$2,0)-MATCH($G$1,[2]stages!$2:$2,0)+1),MATCH(H$1,[2]stages!$2:$2,0)-MATCH($G$1,[2]stages!$2:$2,0)+1,FALSE)</f>
        <v>12階 コスト30以下ヒューマン限定</v>
      </c>
      <c r="I4" s="20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tabSelected="1" zoomScale="120" zoomScaleNormal="120" zoomScalePageLayoutView="12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P11" sqref="P11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31.16406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9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54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97" t="s">
        <v>248</v>
      </c>
      <c r="U1" s="24" t="s">
        <v>50</v>
      </c>
      <c r="V1" s="97" t="s">
        <v>249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178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13301_12-1/75&lt;lv50&gt;s2</v>
      </c>
      <c r="B2" s="21">
        <v>13301</v>
      </c>
      <c r="C2" s="112">
        <v>12</v>
      </c>
      <c r="D2" s="15" t="str">
        <f t="shared" ref="D2:D7" si="1">B2&amp;"_"&amp;C2</f>
        <v>13301_12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12階 コスト30以下ヒューマン限定</v>
      </c>
      <c r="G2" s="112">
        <v>1</v>
      </c>
      <c r="H2" s="15" t="str">
        <f t="shared" ref="H2:H7" si="2">B2&amp;"_"&amp;C2&amp;"-"&amp;G2</f>
        <v>13301_12-1</v>
      </c>
      <c r="I2" s="4" t="e">
        <f ca="1">VLOOKUP($H2,OFFSET([3]floors!$A$1,0,0,COUNTA([3]floors!$A:$A),MATCH(I$1,[3]floors!$1:$1,0)-MATCH($H$1,[3]floors!$1:$1,0)+1),MATCH(I$1,[3]floors!$1:$1,0)-MATCH($H$1,[3]floors!$1:$1,0)+1,FALSE)</f>
        <v>#VALUE!</v>
      </c>
      <c r="J2" s="4" t="e">
        <f ca="1">VLOOKUP($H2,OFFSET([3]floors!$A$1,0,0,COUNTA([3]floors!$A:$A),MATCH(J$1,[3]floors!$1:$1,0)-MATCH($H$1,[3]floors!$1:$1,0)+1),MATCH(J$1,[3]floors!$1:$1,0)-MATCH($H$1,[3]floors!$1:$1,0)+1,FALSE)</f>
        <v>#VALUE!</v>
      </c>
      <c r="K2" s="36" t="s">
        <v>53</v>
      </c>
      <c r="L2" s="113">
        <v>75</v>
      </c>
      <c r="M2" s="17" t="str">
        <f ca="1">VLOOKUP($L2,OFFSET([4]enemies!$A$1,0,0,COUNTA([4]enemies!$A:$A),MATCH(M$1,[4]enemies!$1:$1,0)-MATCH($L$1,[4]enemies!$1:$1,0)+1),MATCH(M$1,[4]enemies!$1:$1,0)-MATCH($L$1,[4]enemies!$1:$1,0)+1,FALSE)</f>
        <v>伝令者 サンダーバード</v>
      </c>
      <c r="N2" s="17" t="str">
        <f ca="1">VLOOKUP($L2,OFFSET([4]enemies!$A$1,0,0,COUNTA([4]enemies!$A:$A),MATCH(N$1,[4]enemies!$1:$1,0)-MATCH($L$1,[4]enemies!$1:$1,0)+1),MATCH(N$1,[4]enemies!$1:$1,0)-MATCH($L$1,[4]enemies!$1:$1,0)+1,FALSE)</f>
        <v>yellow</v>
      </c>
      <c r="O2" s="17" t="str">
        <f ca="1">VLOOKUP($L2,OFFSET([5]characters!$A$1,0,0,COUNTA([5]characters!$A:$A),MATCH(O$1,[5]characters!$1:$1,0)-MATCH($L$1,[5]characters!$1:$1,0)+1),MATCH(O$1,[5]characters!$1:$1,0)-MATCH($L$1,[5]characters!$1:$1,0)+1,FALSE)</f>
        <v>Drop1S</v>
      </c>
      <c r="P2" s="17" t="str">
        <f ca="1">VLOOKUP($L2,OFFSET([4]enemies!$A$1,0,0,COUNTA([4]enemies!$A:$A),MATCH(P$1,[4]enemies!$1:$1,0)-MATCH($L$1,[4]enemies!$1:$1,0)+1),MATCH(P$1,[4]enemies!$1:$1,0)-MATCH($L$1,[4]enemies!$1:$1,0)+1,FALSE)</f>
        <v>animal</v>
      </c>
      <c r="Q2" s="17">
        <f ca="1">VLOOKUP($L2,OFFSET([4]enemies!$A$1,0,0,COUNTA([4]enemies!$A:$A),MATCH(Q$1,[4]enemies!$1:$1,0)-MATCH($L$1,[4]enemies!$1:$1,0)+1),MATCH(Q$1,[4]enemies!$1:$1,0)-MATCH($L$1,[4]enemies!$1:$1,0)+1,FALSE)</f>
        <v>20</v>
      </c>
      <c r="R2" s="5">
        <v>50</v>
      </c>
      <c r="S2" s="23">
        <v>1.8</v>
      </c>
      <c r="T2" s="98">
        <f ca="1">ROUND(VLOOKUP(R2,[4]enemy_base_stats!$A:$F,2,FALSE)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INDIRECT("[EnemyMasterData.xlsm]enemies!AD"&amp;(L2+1))*[5]ステータス!$B$2,0)*S2</f>
        <v>59958</v>
      </c>
      <c r="U2" s="23">
        <v>0.4</v>
      </c>
      <c r="V2" s="98">
        <f ca="1">ROUND(VLOOKUP(R2,[4]enemy_base_stats!$A:$F,3,FALSE)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INDIRECT("[EnemyMasterData.xlsm]enemies!AE"&amp;(L2+1))*[5]ステータス!$C$2,0)*U2</f>
        <v>3068.4</v>
      </c>
      <c r="W2" s="5">
        <v>0</v>
      </c>
      <c r="X2" s="4" t="e">
        <f ca="1">VLOOKUP($Y2,OFFSET([3]enemy_skill_sets!$B$1,0,0,COUNTA([3]enemy_skill_sets!$B:$B),MATCH(M$1,[3]enemy_skill_sets!$1:$1,0)-MATCH($Y$1,[3]enemy_skill_sets!$1:$1,0)+2),MATCH(M$1,[3]enemy_skill_sets!$1:$1,0)-MATCH($Y$1,[3]enemy_skill_sets!$1:$1,0)+2,FALSE)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2" s="45">
        <v>13301801</v>
      </c>
      <c r="Z2" s="6">
        <v>1</v>
      </c>
      <c r="AA2" s="6">
        <v>100</v>
      </c>
      <c r="AB2" s="6">
        <v>1</v>
      </c>
      <c r="AC2" s="17">
        <v>2</v>
      </c>
      <c r="AD2" s="114">
        <f t="shared" ref="AD2:AD7" si="3">L2</f>
        <v>75</v>
      </c>
      <c r="AE2" s="4" t="str">
        <f ca="1">VLOOKUP($AD2,OFFSET([5]characters!$A$1,0,0,COUNTA([5]characters!$A:$A),MATCH(AE$1,[5]characters!$1:$1,0)-MATCH("character_id",[5]characters!$1:$1,0)+1),MATCH(AE$1,[5]characters!$1:$1,0)-MATCH("character_id",[5]characters!$1:$1,0)+1,FALSE)</f>
        <v>伝令者 サンダーバード</v>
      </c>
      <c r="AF2" s="4">
        <f ca="1">VLOOKUP($AD2,OFFSET([5]characters!$A$1,0,0,COUNTA([5]characters!$A:$A),MATCH(AF$1,[5]characters!$1:$1,0)-MATCH("character_id",[5]characters!$1:$1,0)+1),MATCH(AF$1,[5]characters!$1:$1,0)-MATCH("character_id",[5]characters!$1:$1,0)+1,FALSE)</f>
        <v>3</v>
      </c>
      <c r="AG2" s="4" t="str">
        <f ca="1">VLOOKUP($AD2,OFFSET([5]characters!$A$1,0,0,COUNTA([5]characters!$A:$A),MATCH(AG$1,[5]characters!$1:$1,0)-MATCH("character_id",[5]characters!$1:$1,0)+1),MATCH(AG$1,[5]characters!$1:$1,0)-MATCH("character_id",[5]characters!$1:$1,0)+1,FALSE)</f>
        <v>Drop1S</v>
      </c>
      <c r="AH2" s="115">
        <v>1</v>
      </c>
      <c r="AI2" s="114">
        <f t="shared" ref="AI2:AI7" ca="1" si="4">AF2</f>
        <v>3</v>
      </c>
      <c r="AJ2" s="8">
        <v>0</v>
      </c>
      <c r="AK2" s="115">
        <v>0</v>
      </c>
      <c r="AL2" s="115">
        <v>0</v>
      </c>
      <c r="AM2" s="115">
        <v>0</v>
      </c>
      <c r="AN2" s="115">
        <v>0</v>
      </c>
      <c r="AO2" s="115">
        <v>1</v>
      </c>
      <c r="AP2" s="66">
        <v>1</v>
      </c>
    </row>
    <row r="3" spans="1:42" ht="21" customHeight="1" x14ac:dyDescent="0.15">
      <c r="A3" s="16" t="str">
        <f t="shared" si="0"/>
        <v>13301_12-1/42&lt;lv50&gt;s2</v>
      </c>
      <c r="B3" s="21">
        <v>13301</v>
      </c>
      <c r="C3" s="112">
        <v>12</v>
      </c>
      <c r="D3" s="15" t="str">
        <f t="shared" si="1"/>
        <v>13301_12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12階 コスト30以下ヒューマン限定</v>
      </c>
      <c r="G3" s="112">
        <v>1</v>
      </c>
      <c r="H3" s="15" t="str">
        <f t="shared" si="2"/>
        <v>13301_12-1</v>
      </c>
      <c r="I3" s="4" t="e">
        <f ca="1">VLOOKUP($H3,OFFSET([3]floors!$A$1,0,0,COUNTA([3]floors!$A:$A),MATCH(I$1,[3]floors!$1:$1,0)-MATCH($H$1,[3]floors!$1:$1,0)+1),MATCH(I$1,[3]floors!$1:$1,0)-MATCH($H$1,[3]floors!$1:$1,0)+1,FALSE)</f>
        <v>#VALUE!</v>
      </c>
      <c r="J3" s="4" t="e">
        <f ca="1">VLOOKUP($H3,OFFSET([3]floors!$A$1,0,0,COUNTA([3]floors!$A:$A),MATCH(J$1,[3]floors!$1:$1,0)-MATCH($H$1,[3]floors!$1:$1,0)+1),MATCH(J$1,[3]floors!$1:$1,0)-MATCH($H$1,[3]floors!$1:$1,0)+1,FALSE)</f>
        <v>#VALUE!</v>
      </c>
      <c r="K3" s="36" t="s">
        <v>53</v>
      </c>
      <c r="L3" s="113">
        <v>42</v>
      </c>
      <c r="M3" s="17" t="str">
        <f ca="1">VLOOKUP($L3,OFFSET([4]enemies!$A$1,0,0,COUNTA([4]enemies!$A:$A),MATCH(M$1,[4]enemies!$1:$1,0)-MATCH($L$1,[4]enemies!$1:$1,0)+1),MATCH(M$1,[4]enemies!$1:$1,0)-MATCH($L$1,[4]enemies!$1:$1,0)+1,FALSE)</f>
        <v>燃えゆる吐息 ヒュウガ</v>
      </c>
      <c r="N3" s="17" t="str">
        <f ca="1">VLOOKUP($L3,OFFSET([4]enemies!$A$1,0,0,COUNTA([4]enemies!$A:$A),MATCH(N$1,[4]enemies!$1:$1,0)-MATCH($L$1,[4]enemies!$1:$1,0)+1),MATCH(N$1,[4]enemies!$1:$1,0)-MATCH($L$1,[4]enemies!$1:$1,0)+1,FALSE)</f>
        <v>red</v>
      </c>
      <c r="O3" s="17" t="str">
        <f ca="1">VLOOKUP($L3,OFFSET([5]characters!$A$1,0,0,COUNTA([5]characters!$A:$A),MATCH(O$1,[5]characters!$1:$1,0)-MATCH($L$1,[5]characters!$1:$1,0)+1),MATCH(O$1,[5]characters!$1:$1,0)-MATCH($L$1,[5]characters!$1:$1,0)+1,FALSE)</f>
        <v>Drop1N</v>
      </c>
      <c r="P3" s="17" t="str">
        <f ca="1">VLOOKUP($L3,OFFSET([4]enemies!$A$1,0,0,COUNTA([4]enemies!$A:$A),MATCH(P$1,[4]enemies!$1:$1,0)-MATCH($L$1,[4]enemies!$1:$1,0)+1),MATCH(P$1,[4]enemies!$1:$1,0)-MATCH($L$1,[4]enemies!$1:$1,0)+1,FALSE)</f>
        <v>dragon</v>
      </c>
      <c r="Q3" s="17">
        <f ca="1">VLOOKUP($L3,OFFSET([4]enemies!$A$1,0,0,COUNTA([4]enemies!$A:$A),MATCH(Q$1,[4]enemies!$1:$1,0)-MATCH($L$1,[4]enemies!$1:$1,0)+1),MATCH(Q$1,[4]enemies!$1:$1,0)-MATCH($L$1,[4]enemies!$1:$1,0)+1,FALSE)</f>
        <v>20</v>
      </c>
      <c r="R3" s="5">
        <v>50</v>
      </c>
      <c r="S3" s="23">
        <v>1.6</v>
      </c>
      <c r="T3" s="98">
        <f ca="1">ROUND(VLOOKUP(R3,[4]enemy_base_stats!$A:$F,2,FALSE)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INDIRECT("[EnemyMasterData.xlsm]enemies!AD"&amp;(L3+1))*[5]ステータス!$B$2,0)*S3</f>
        <v>62542.400000000001</v>
      </c>
      <c r="U3" s="23">
        <v>0.7</v>
      </c>
      <c r="V3" s="98">
        <f ca="1">ROUND(VLOOKUP(R3,[4]enemy_base_stats!$A:$F,3,FALSE)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INDIRECT("[EnemyMasterData.xlsm]enemies!AE"&amp;(L3+1))*[5]ステータス!$C$2,0)*U3</f>
        <v>5422.9</v>
      </c>
      <c r="W3" s="5">
        <v>0</v>
      </c>
      <c r="X3" s="4" t="e">
        <f ca="1">VLOOKUP($Y3,OFFSET([3]enemy_skill_sets!$B$1,0,0,COUNTA([3]enemy_skill_sets!$B:$B),MATCH(M$1,[3]enemy_skill_sets!$1:$1,0)-MATCH($Y$1,[3]enemy_skill_sets!$1:$1,0)+2),MATCH(M$1,[3]enemy_skill_sets!$1:$1,0)-MATCH($Y$1,[3]enemy_skill_sets!$1:$1,0)+2,FALSE)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3" s="45">
        <v>13301800</v>
      </c>
      <c r="Z3" s="6">
        <v>1</v>
      </c>
      <c r="AA3" s="6">
        <v>100</v>
      </c>
      <c r="AB3" s="6">
        <v>1</v>
      </c>
      <c r="AC3" s="17">
        <v>2</v>
      </c>
      <c r="AD3" s="114">
        <f t="shared" si="3"/>
        <v>42</v>
      </c>
      <c r="AE3" s="4" t="str">
        <f ca="1">VLOOKUP($AD3,OFFSET([5]characters!$A$1,0,0,COUNTA([5]characters!$A:$A),MATCH(AE$1,[5]characters!$1:$1,0)-MATCH("character_id",[5]characters!$1:$1,0)+1),MATCH(AE$1,[5]characters!$1:$1,0)-MATCH("character_id",[5]characters!$1:$1,0)+1,FALSE)</f>
        <v>燃えゆる吐息 ヒュウガ</v>
      </c>
      <c r="AF3" s="4">
        <f ca="1">VLOOKUP($AD3,OFFSET([5]characters!$A$1,0,0,COUNTA([5]characters!$A:$A),MATCH(AF$1,[5]characters!$1:$1,0)-MATCH("character_id",[5]characters!$1:$1,0)+1),MATCH(AF$1,[5]characters!$1:$1,0)-MATCH("character_id",[5]characters!$1:$1,0)+1,FALSE)</f>
        <v>3</v>
      </c>
      <c r="AG3" s="4" t="str">
        <f ca="1">VLOOKUP($AD3,OFFSET([5]characters!$A$1,0,0,COUNTA([5]characters!$A:$A),MATCH(AG$1,[5]characters!$1:$1,0)-MATCH("character_id",[5]characters!$1:$1,0)+1),MATCH(AG$1,[5]characters!$1:$1,0)-MATCH("character_id",[5]characters!$1:$1,0)+1,FALSE)</f>
        <v>Drop1N</v>
      </c>
      <c r="AH3" s="115">
        <v>1</v>
      </c>
      <c r="AI3" s="114">
        <f t="shared" ca="1" si="4"/>
        <v>3</v>
      </c>
      <c r="AJ3" s="8">
        <v>0</v>
      </c>
      <c r="AK3" s="115">
        <v>0</v>
      </c>
      <c r="AL3" s="115">
        <v>0</v>
      </c>
      <c r="AM3" s="115">
        <v>0</v>
      </c>
      <c r="AN3" s="115">
        <v>0</v>
      </c>
      <c r="AO3" s="115">
        <v>1</v>
      </c>
      <c r="AP3" s="66">
        <v>1</v>
      </c>
    </row>
    <row r="4" spans="1:42" ht="21" customHeight="1" x14ac:dyDescent="0.15">
      <c r="A4" s="16" t="str">
        <f t="shared" si="0"/>
        <v>13301_12-2/658&lt;lv60&gt;s1</v>
      </c>
      <c r="B4" s="21">
        <v>13301</v>
      </c>
      <c r="C4" s="112">
        <v>12</v>
      </c>
      <c r="D4" s="15" t="str">
        <f t="shared" si="1"/>
        <v>13301_12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12階 コスト30以下ヒューマン限定</v>
      </c>
      <c r="G4" s="112">
        <v>2</v>
      </c>
      <c r="H4" s="15" t="str">
        <f t="shared" si="2"/>
        <v>13301_12-2</v>
      </c>
      <c r="I4" s="4" t="e">
        <f ca="1">VLOOKUP($H4,OFFSET([3]floors!$A$1,0,0,COUNTA([3]floors!$A:$A),MATCH(I$1,[3]floors!$1:$1,0)-MATCH($H$1,[3]floors!$1:$1,0)+1),MATCH(I$1,[3]floors!$1:$1,0)-MATCH($H$1,[3]floors!$1:$1,0)+1,FALSE)</f>
        <v>#VALUE!</v>
      </c>
      <c r="J4" s="4" t="e">
        <f ca="1">VLOOKUP($H4,OFFSET([3]floors!$A$1,0,0,COUNTA([3]floors!$A:$A),MATCH(J$1,[3]floors!$1:$1,0)-MATCH($H$1,[3]floors!$1:$1,0)+1),MATCH(J$1,[3]floors!$1:$1,0)-MATCH($H$1,[3]floors!$1:$1,0)+1,FALSE)</f>
        <v>#VALUE!</v>
      </c>
      <c r="K4" s="36" t="s">
        <v>53</v>
      </c>
      <c r="L4" s="113">
        <v>658</v>
      </c>
      <c r="M4" s="17" t="str">
        <f ca="1">VLOOKUP($L4,OFFSET([4]enemies!$A$1,0,0,COUNTA([4]enemies!$A:$A),MATCH(M$1,[4]enemies!$1:$1,0)-MATCH($L$1,[4]enemies!$1:$1,0)+1),MATCH(M$1,[4]enemies!$1:$1,0)-MATCH($L$1,[4]enemies!$1:$1,0)+1,FALSE)</f>
        <v>猫又 クルミ</v>
      </c>
      <c r="N4" s="17" t="str">
        <f ca="1">VLOOKUP($L4,OFFSET([4]enemies!$A$1,0,0,COUNTA([4]enemies!$A:$A),MATCH(N$1,[4]enemies!$1:$1,0)-MATCH($L$1,[4]enemies!$1:$1,0)+1),MATCH(N$1,[4]enemies!$1:$1,0)-MATCH($L$1,[4]enemies!$1:$1,0)+1,FALSE)</f>
        <v>red</v>
      </c>
      <c r="O4" s="17" t="str">
        <f ca="1">VLOOKUP($L4,OFFSET([5]characters!$A$1,0,0,COUNTA([5]characters!$A:$A),MATCH(O$1,[5]characters!$1:$1,0)-MATCH($L$1,[5]characters!$1:$1,0)+1),MATCH(O$1,[5]characters!$1:$1,0)-MATCH($L$1,[5]characters!$1:$1,0)+1,FALSE)</f>
        <v>PremiumSS</v>
      </c>
      <c r="P4" s="17" t="str">
        <f ca="1">VLOOKUP($L4,OFFSET([4]enemies!$A$1,0,0,COUNTA([4]enemies!$A:$A),MATCH(P$1,[4]enemies!$1:$1,0)-MATCH($L$1,[4]enemies!$1:$1,0)+1),MATCH(P$1,[4]enemies!$1:$1,0)-MATCH($L$1,[4]enemies!$1:$1,0)+1,FALSE)</f>
        <v>animal</v>
      </c>
      <c r="Q4" s="17">
        <f ca="1">VLOOKUP($L4,OFFSET([4]enemies!$A$1,0,0,COUNTA([4]enemies!$A:$A),MATCH(Q$1,[4]enemies!$1:$1,0)-MATCH($L$1,[4]enemies!$1:$1,0)+1),MATCH(Q$1,[4]enemies!$1:$1,0)-MATCH($L$1,[4]enemies!$1:$1,0)+1,FALSE)</f>
        <v>30</v>
      </c>
      <c r="R4" s="5">
        <v>60</v>
      </c>
      <c r="S4" s="23">
        <v>2.1</v>
      </c>
      <c r="T4" s="98">
        <f ca="1">ROUND(VLOOKUP(R4,[4]enemy_base_stats!$A:$F,2,FALSE)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INDIRECT("[EnemyMasterData.xlsm]enemies!AD"&amp;(L4+1))*[5]ステータス!$B$2,0)*S4</f>
        <v>167895</v>
      </c>
      <c r="U4" s="23">
        <v>0.5</v>
      </c>
      <c r="V4" s="98">
        <f ca="1">ROUND(VLOOKUP(R4,[4]enemy_base_stats!$A:$F,3,FALSE)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INDIRECT("[EnemyMasterData.xlsm]enemies!AE"&amp;(L4+1))*[5]ステータス!$C$2,0)*U4</f>
        <v>4653</v>
      </c>
      <c r="W4" s="5">
        <v>0</v>
      </c>
      <c r="X4" s="4" t="e">
        <f ca="1">VLOOKUP($Y4,OFFSET([3]enemy_skill_sets!$B$1,0,0,COUNTA([3]enemy_skill_sets!$B:$B),MATCH(M$1,[3]enemy_skill_sets!$1:$1,0)-MATCH($Y$1,[3]enemy_skill_sets!$1:$1,0)+2),MATCH(M$1,[3]enemy_skill_sets!$1:$1,0)-MATCH($Y$1,[3]enemy_skill_sets!$1:$1,0)+2,FALSE)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4" s="45">
        <v>13301802</v>
      </c>
      <c r="Z4" s="6">
        <v>1</v>
      </c>
      <c r="AA4" s="6">
        <v>100</v>
      </c>
      <c r="AB4" s="6">
        <v>1</v>
      </c>
      <c r="AC4" s="17">
        <v>1</v>
      </c>
      <c r="AD4" s="114">
        <f t="shared" si="3"/>
        <v>658</v>
      </c>
      <c r="AE4" s="4" t="str">
        <f ca="1">VLOOKUP($AD4,OFFSET([5]characters!$A$1,0,0,COUNTA([5]characters!$A:$A),MATCH(AE$1,[5]characters!$1:$1,0)-MATCH("character_id",[5]characters!$1:$1,0)+1),MATCH(AE$1,[5]characters!$1:$1,0)-MATCH("character_id",[5]characters!$1:$1,0)+1,FALSE)</f>
        <v>猫又 クルミ</v>
      </c>
      <c r="AF4" s="4">
        <f ca="1">VLOOKUP($AD4,OFFSET([5]characters!$A$1,0,0,COUNTA([5]characters!$A:$A),MATCH(AF$1,[5]characters!$1:$1,0)-MATCH("character_id",[5]characters!$1:$1,0)+1),MATCH(AF$1,[5]characters!$1:$1,0)-MATCH("character_id",[5]characters!$1:$1,0)+1,FALSE)</f>
        <v>4</v>
      </c>
      <c r="AG4" s="4" t="str">
        <f ca="1">VLOOKUP($AD4,OFFSET([5]characters!$A$1,0,0,COUNTA([5]characters!$A:$A),MATCH(AG$1,[5]characters!$1:$1,0)-MATCH("character_id",[5]characters!$1:$1,0)+1),MATCH(AG$1,[5]characters!$1:$1,0)-MATCH("character_id",[5]characters!$1:$1,0)+1,FALSE)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4" s="115">
        <v>1</v>
      </c>
      <c r="AI4" s="114">
        <f t="shared" ca="1" si="4"/>
        <v>4</v>
      </c>
      <c r="AJ4" s="8">
        <v>0</v>
      </c>
      <c r="AK4" s="115">
        <v>0</v>
      </c>
      <c r="AL4" s="115">
        <v>0</v>
      </c>
      <c r="AM4" s="115">
        <v>0</v>
      </c>
      <c r="AN4" s="115">
        <v>0</v>
      </c>
      <c r="AO4" s="115">
        <v>1</v>
      </c>
      <c r="AP4" s="66">
        <v>1</v>
      </c>
    </row>
    <row r="5" spans="1:42" ht="21" customHeight="1" x14ac:dyDescent="0.15">
      <c r="A5" s="16" t="str">
        <f t="shared" si="0"/>
        <v>13301_12-2/666&lt;lv60&gt;s1</v>
      </c>
      <c r="B5" s="21">
        <v>13301</v>
      </c>
      <c r="C5" s="112">
        <v>12</v>
      </c>
      <c r="D5" s="15" t="str">
        <f t="shared" si="1"/>
        <v>13301_12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12階 コスト30以下ヒューマン限定</v>
      </c>
      <c r="G5" s="112">
        <v>2</v>
      </c>
      <c r="H5" s="15" t="str">
        <f t="shared" si="2"/>
        <v>13301_12-2</v>
      </c>
      <c r="I5" s="4" t="e">
        <f ca="1">VLOOKUP($H5,OFFSET([3]floors!$A$1,0,0,COUNTA([3]floors!$A:$A),MATCH(I$1,[3]floors!$1:$1,0)-MATCH($H$1,[3]floors!$1:$1,0)+1),MATCH(I$1,[3]floors!$1:$1,0)-MATCH($H$1,[3]floors!$1:$1,0)+1,FALSE)</f>
        <v>#VALUE!</v>
      </c>
      <c r="J5" s="4" t="e">
        <f ca="1">VLOOKUP($H5,OFFSET([3]floors!$A$1,0,0,COUNTA([3]floors!$A:$A),MATCH(J$1,[3]floors!$1:$1,0)-MATCH($H$1,[3]floors!$1:$1,0)+1),MATCH(J$1,[3]floors!$1:$1,0)-MATCH($H$1,[3]floors!$1:$1,0)+1,FALSE)</f>
        <v>#VALUE!</v>
      </c>
      <c r="K5" s="36" t="s">
        <v>53</v>
      </c>
      <c r="L5" s="113">
        <v>666</v>
      </c>
      <c r="M5" s="17" t="str">
        <f ca="1">VLOOKUP($L5,OFFSET([4]enemies!$A$1,0,0,COUNTA([4]enemies!$A:$A),MATCH(M$1,[4]enemies!$1:$1,0)-MATCH($L$1,[4]enemies!$1:$1,0)+1),MATCH(M$1,[4]enemies!$1:$1,0)-MATCH($L$1,[4]enemies!$1:$1,0)+1,FALSE)</f>
        <v>拡散する幸福 テマリ</v>
      </c>
      <c r="N5" s="17" t="str">
        <f ca="1">VLOOKUP($L5,OFFSET([4]enemies!$A$1,0,0,COUNTA([4]enemies!$A:$A),MATCH(N$1,[4]enemies!$1:$1,0)-MATCH($L$1,[4]enemies!$1:$1,0)+1),MATCH(N$1,[4]enemies!$1:$1,0)-MATCH($L$1,[4]enemies!$1:$1,0)+1,FALSE)</f>
        <v>yellow</v>
      </c>
      <c r="O5" s="17" t="str">
        <f ca="1">VLOOKUP($L5,OFFSET([5]characters!$A$1,0,0,COUNTA([5]characters!$A:$A),MATCH(O$1,[5]characters!$1:$1,0)-MATCH($L$1,[5]characters!$1:$1,0)+1),MATCH(O$1,[5]characters!$1:$1,0)-MATCH($L$1,[5]characters!$1:$1,0)+1,FALSE)</f>
        <v>PremiumS</v>
      </c>
      <c r="P5" s="17" t="str">
        <f ca="1">VLOOKUP($L5,OFFSET([4]enemies!$A$1,0,0,COUNTA([4]enemies!$A:$A),MATCH(P$1,[4]enemies!$1:$1,0)-MATCH($L$1,[4]enemies!$1:$1,0)+1),MATCH(P$1,[4]enemies!$1:$1,0)-MATCH($L$1,[4]enemies!$1:$1,0)+1,FALSE)</f>
        <v>unknown</v>
      </c>
      <c r="Q5" s="17">
        <f ca="1">VLOOKUP($L5,OFFSET([4]enemies!$A$1,0,0,COUNTA([4]enemies!$A:$A),MATCH(Q$1,[4]enemies!$1:$1,0)-MATCH($L$1,[4]enemies!$1:$1,0)+1),MATCH(Q$1,[4]enemies!$1:$1,0)-MATCH($L$1,[4]enemies!$1:$1,0)+1,FALSE)</f>
        <v>30</v>
      </c>
      <c r="R5" s="5">
        <v>60</v>
      </c>
      <c r="S5" s="23">
        <v>2.1</v>
      </c>
      <c r="T5" s="98">
        <f ca="1">ROUND(VLOOKUP(R5,[4]enemy_base_stats!$A:$F,2,FALSE)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INDIRECT("[EnemyMasterData.xlsm]enemies!AD"&amp;(L5+1))*[5]ステータス!$B$2,0)*S5</f>
        <v>164537.1</v>
      </c>
      <c r="U5" s="23">
        <v>0.6</v>
      </c>
      <c r="V5" s="98">
        <f ca="1">ROUND(VLOOKUP(R5,[4]enemy_base_stats!$A:$F,3,FALSE)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INDIRECT("[EnemyMasterData.xlsm]enemies!AE"&amp;(L5+1))*[5]ステータス!$C$2,0)*U5</f>
        <v>3778.7999999999997</v>
      </c>
      <c r="W5" s="5">
        <v>0</v>
      </c>
      <c r="X5" s="4" t="e">
        <f ca="1">VLOOKUP($Y5,OFFSET([3]enemy_skill_sets!$B$1,0,0,COUNTA([3]enemy_skill_sets!$B:$B),MATCH(M$1,[3]enemy_skill_sets!$1:$1,0)-MATCH($Y$1,[3]enemy_skill_sets!$1:$1,0)+2),MATCH(M$1,[3]enemy_skill_sets!$1:$1,0)-MATCH($Y$1,[3]enemy_skill_sets!$1:$1,0)+2,FALSE)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5" s="45">
        <v>13301803</v>
      </c>
      <c r="Z5" s="6">
        <v>1</v>
      </c>
      <c r="AA5" s="6">
        <v>100</v>
      </c>
      <c r="AB5" s="6">
        <v>1</v>
      </c>
      <c r="AC5" s="17">
        <v>1</v>
      </c>
      <c r="AD5" s="114">
        <f t="shared" si="3"/>
        <v>666</v>
      </c>
      <c r="AE5" s="4" t="str">
        <f ca="1">VLOOKUP($AD5,OFFSET([5]characters!$A$1,0,0,COUNTA([5]characters!$A:$A),MATCH(AE$1,[5]characters!$1:$1,0)-MATCH("character_id",[5]characters!$1:$1,0)+1),MATCH(AE$1,[5]characters!$1:$1,0)-MATCH("character_id",[5]characters!$1:$1,0)+1,FALSE)</f>
        <v>拡散する幸福 テマリ</v>
      </c>
      <c r="AF5" s="4">
        <f ca="1">VLOOKUP($AD5,OFFSET([5]characters!$A$1,0,0,COUNTA([5]characters!$A:$A),MATCH(AF$1,[5]characters!$1:$1,0)-MATCH("character_id",[5]characters!$1:$1,0)+1),MATCH(AF$1,[5]characters!$1:$1,0)-MATCH("character_id",[5]characters!$1:$1,0)+1,FALSE)</f>
        <v>4</v>
      </c>
      <c r="AG5" s="4" t="str">
        <f ca="1">VLOOKUP($AD5,OFFSET([5]characters!$A$1,0,0,COUNTA([5]characters!$A:$A),MATCH(AG$1,[5]characters!$1:$1,0)-MATCH("character_id",[5]characters!$1:$1,0)+1),MATCH(AG$1,[5]characters!$1:$1,0)-MATCH("character_id",[5]characters!$1:$1,0)+1,FALSE)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5" s="115">
        <v>1</v>
      </c>
      <c r="AI5" s="114">
        <f t="shared" ca="1" si="4"/>
        <v>4</v>
      </c>
      <c r="AJ5" s="8">
        <v>0</v>
      </c>
      <c r="AK5" s="115">
        <v>0</v>
      </c>
      <c r="AL5" s="115">
        <v>0</v>
      </c>
      <c r="AM5" s="115">
        <v>0</v>
      </c>
      <c r="AN5" s="115">
        <v>0</v>
      </c>
      <c r="AO5" s="115">
        <v>1</v>
      </c>
      <c r="AP5" s="66">
        <v>1</v>
      </c>
    </row>
    <row r="6" spans="1:42" ht="21" customHeight="1" x14ac:dyDescent="0.15">
      <c r="A6" s="16" t="str">
        <f t="shared" si="0"/>
        <v>13301_12-3/594&lt;lv80&gt;s2</v>
      </c>
      <c r="B6" s="21">
        <v>13301</v>
      </c>
      <c r="C6" s="112">
        <v>12</v>
      </c>
      <c r="D6" s="15" t="str">
        <f t="shared" si="1"/>
        <v>13301_12</v>
      </c>
      <c r="E6" s="4" t="str">
        <f ca="1">VLOOKUP($B6,OFFSET([2]quests!$A$1,0,0,COUNTA([2]quests!$A:$A),MATCH(E$1,[2]quests!$1:$1,0)-MATCH($B$1,[2]quests!$1:$1,0)+1),MATCH(E$1,[2]quests!$1:$1,0)-MATCH($B$1,[2]quests!$1:$1,0)+1,FALSE)</f>
        <v>タワーオブザクイーン -アヴァルシア-</v>
      </c>
      <c r="F6" s="4" t="str">
        <f ca="1">VLOOKUP($D6,OFFSET([2]stages!$A$1,0,0,COUNTA([2]stages!$A:$A),MATCH(F$1,[2]stages!$2:$2,0)-MATCH($D$1,[2]stages!$2:$2,0)+1),MATCH(F$1,[2]stages!$2:$2,0)-MATCH($D$1,[2]stages!$2:$2,0)+1,FALSE)</f>
        <v>12階 コスト30以下ヒューマン限定</v>
      </c>
      <c r="G6" s="112">
        <v>3</v>
      </c>
      <c r="H6" s="15" t="str">
        <f t="shared" si="2"/>
        <v>13301_12-3</v>
      </c>
      <c r="I6" s="4" t="e">
        <f ca="1">VLOOKUP($H6,OFFSET([3]floors!$A$1,0,0,COUNTA([3]floors!$A:$A),MATCH(I$1,[3]floors!$1:$1,0)-MATCH($H$1,[3]floors!$1:$1,0)+1),MATCH(I$1,[3]floors!$1:$1,0)-MATCH($H$1,[3]floors!$1:$1,0)+1,FALSE)</f>
        <v>#VALUE!</v>
      </c>
      <c r="J6" s="4" t="e">
        <f ca="1">VLOOKUP($H6,OFFSET([3]floors!$A$1,0,0,COUNTA([3]floors!$A:$A),MATCH(J$1,[3]floors!$1:$1,0)-MATCH($H$1,[3]floors!$1:$1,0)+1),MATCH(J$1,[3]floors!$1:$1,0)-MATCH($H$1,[3]floors!$1:$1,0)+1,FALSE)</f>
        <v>#VALUE!</v>
      </c>
      <c r="K6" s="36" t="s">
        <v>53</v>
      </c>
      <c r="L6" s="113">
        <v>594</v>
      </c>
      <c r="M6" s="17" t="str">
        <f ca="1">VLOOKUP($L6,OFFSET([4]enemies!$A$1,0,0,COUNTA([4]enemies!$A:$A),MATCH(M$1,[4]enemies!$1:$1,0)-MATCH($L$1,[4]enemies!$1:$1,0)+1),MATCH(M$1,[4]enemies!$1:$1,0)-MATCH($L$1,[4]enemies!$1:$1,0)+1,FALSE)</f>
        <v>アルフヘイム</v>
      </c>
      <c r="N6" s="17" t="str">
        <f ca="1">VLOOKUP($L6,OFFSET([4]enemies!$A$1,0,0,COUNTA([4]enemies!$A:$A),MATCH(N$1,[4]enemies!$1:$1,0)-MATCH($L$1,[4]enemies!$1:$1,0)+1),MATCH(N$1,[4]enemies!$1:$1,0)-MATCH($L$1,[4]enemies!$1:$1,0)+1,FALSE)</f>
        <v>yellow</v>
      </c>
      <c r="O6" s="17" t="str">
        <f ca="1">VLOOKUP($L6,OFFSET([5]characters!$A$1,0,0,COUNTA([5]characters!$A:$A),MATCH(O$1,[5]characters!$1:$1,0)-MATCH($L$1,[5]characters!$1:$1,0)+1),MATCH(O$1,[5]characters!$1:$1,0)-MATCH($L$1,[5]characters!$1:$1,0)+1,FALSE)</f>
        <v>PremiumSS</v>
      </c>
      <c r="P6" s="17" t="str">
        <f ca="1">VLOOKUP($L6,OFFSET([4]enemies!$A$1,0,0,COUNTA([4]enemies!$A:$A),MATCH(P$1,[4]enemies!$1:$1,0)-MATCH($L$1,[4]enemies!$1:$1,0)+1),MATCH(P$1,[4]enemies!$1:$1,0)-MATCH($L$1,[4]enemies!$1:$1,0)+1,FALSE)</f>
        <v>dragon</v>
      </c>
      <c r="Q6" s="17">
        <f ca="1">VLOOKUP($L6,OFFSET([4]enemies!$A$1,0,0,COUNTA([4]enemies!$A:$A),MATCH(Q$1,[4]enemies!$1:$1,0)-MATCH($L$1,[4]enemies!$1:$1,0)+1),MATCH(Q$1,[4]enemies!$1:$1,0)-MATCH($L$1,[4]enemies!$1:$1,0)+1,FALSE)</f>
        <v>30</v>
      </c>
      <c r="R6" s="5">
        <v>80</v>
      </c>
      <c r="S6" s="23">
        <v>2.7</v>
      </c>
      <c r="T6" s="98">
        <f ca="1">ROUND(VLOOKUP(R6,[4]enemy_base_stats!$A:$F,2,FALSE)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INDIRECT("[EnemyMasterData.xlsm]enemies!AD"&amp;(L6+1))*[5]ステータス!$B$2,0)*S6</f>
        <v>322396.2</v>
      </c>
      <c r="U6" s="23">
        <v>0.5</v>
      </c>
      <c r="V6" s="98">
        <f ca="1">ROUND(VLOOKUP(R6,[4]enemy_base_stats!$A:$F,3,FALSE)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INDIRECT("[EnemyMasterData.xlsm]enemies!AE"&amp;(L6+1))*[5]ステータス!$C$2,0)*U6</f>
        <v>6105.5</v>
      </c>
      <c r="W6" s="5">
        <v>0</v>
      </c>
      <c r="X6" s="4" t="e">
        <f ca="1">VLOOKUP($Y6,OFFSET([3]enemy_skill_sets!$B$1,0,0,COUNTA([3]enemy_skill_sets!$B:$B),MATCH(M$1,[3]enemy_skill_sets!$1:$1,0)-MATCH($Y$1,[3]enemy_skill_sets!$1:$1,0)+2),MATCH(M$1,[3]enemy_skill_sets!$1:$1,0)-MATCH($Y$1,[3]enemy_skill_sets!$1:$1,0)+2,FALSE)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6" s="45">
        <v>13301805</v>
      </c>
      <c r="Z6" s="6">
        <v>1</v>
      </c>
      <c r="AA6" s="6">
        <v>100</v>
      </c>
      <c r="AB6" s="6">
        <v>1</v>
      </c>
      <c r="AC6" s="17">
        <v>2</v>
      </c>
      <c r="AD6" s="114">
        <f t="shared" si="3"/>
        <v>594</v>
      </c>
      <c r="AE6" s="4" t="str">
        <f ca="1">VLOOKUP($AD6,OFFSET([5]characters!$A$1,0,0,COUNTA([5]characters!$A:$A),MATCH(AE$1,[5]characters!$1:$1,0)-MATCH("character_id",[5]characters!$1:$1,0)+1),MATCH(AE$1,[5]characters!$1:$1,0)-MATCH("character_id",[5]characters!$1:$1,0)+1,FALSE)</f>
        <v>アルフヘイム</v>
      </c>
      <c r="AF6" s="4">
        <f ca="1">VLOOKUP($AD6,OFFSET([5]characters!$A$1,0,0,COUNTA([5]characters!$A:$A),MATCH(AF$1,[5]characters!$1:$1,0)-MATCH("character_id",[5]characters!$1:$1,0)+1),MATCH(AF$1,[5]characters!$1:$1,0)-MATCH("character_id",[5]characters!$1:$1,0)+1,FALSE)</f>
        <v>4</v>
      </c>
      <c r="AG6" s="4" t="str">
        <f ca="1">VLOOKUP($AD6,OFFSET([5]characters!$A$1,0,0,COUNTA([5]characters!$A:$A),MATCH(AG$1,[5]characters!$1:$1,0)-MATCH("character_id",[5]characters!$1:$1,0)+1),MATCH(AG$1,[5]characters!$1:$1,0)-MATCH("character_id",[5]characters!$1:$1,0)+1,FALSE)</f>
        <v>PremiumSS</v>
      </c>
      <c r="AH6" s="115">
        <v>1</v>
      </c>
      <c r="AI6" s="114">
        <f t="shared" ca="1" si="4"/>
        <v>4</v>
      </c>
      <c r="AJ6" s="8">
        <v>0</v>
      </c>
      <c r="AK6" s="115">
        <v>0</v>
      </c>
      <c r="AL6" s="115">
        <v>0</v>
      </c>
      <c r="AM6" s="115">
        <v>0</v>
      </c>
      <c r="AN6" s="115">
        <v>0</v>
      </c>
      <c r="AO6" s="115">
        <v>1</v>
      </c>
      <c r="AP6" s="66">
        <v>1</v>
      </c>
    </row>
    <row r="7" spans="1:42" ht="21" customHeight="1" x14ac:dyDescent="0.15">
      <c r="A7" s="16" t="str">
        <f t="shared" si="0"/>
        <v>13301_12-3/1067&lt;lv80&gt;s2</v>
      </c>
      <c r="B7" s="21">
        <v>13301</v>
      </c>
      <c r="C7" s="112">
        <v>12</v>
      </c>
      <c r="D7" s="15" t="str">
        <f t="shared" si="1"/>
        <v>13301_12</v>
      </c>
      <c r="E7" s="4" t="str">
        <f ca="1">VLOOKUP($B7,OFFSET([2]quests!$A$1,0,0,COUNTA([2]quests!$A:$A),MATCH(E$1,[2]quests!$1:$1,0)-MATCH($B$1,[2]quests!$1:$1,0)+1),MATCH(E$1,[2]quests!$1:$1,0)-MATCH($B$1,[2]quests!$1:$1,0)+1,FALSE)</f>
        <v>タワーオブザクイーン -アヴァルシア-</v>
      </c>
      <c r="F7" s="4" t="str">
        <f ca="1">VLOOKUP($D7,OFFSET([2]stages!$A$1,0,0,COUNTA([2]stages!$A:$A),MATCH(F$1,[2]stages!$2:$2,0)-MATCH($D$1,[2]stages!$2:$2,0)+1),MATCH(F$1,[2]stages!$2:$2,0)-MATCH($D$1,[2]stages!$2:$2,0)+1,FALSE)</f>
        <v>12階 コスト30以下ヒューマン限定</v>
      </c>
      <c r="G7" s="112">
        <v>3</v>
      </c>
      <c r="H7" s="15" t="str">
        <f t="shared" si="2"/>
        <v>13301_12-3</v>
      </c>
      <c r="I7" s="4" t="e">
        <f ca="1">VLOOKUP($H7,OFFSET([3]floors!$A$1,0,0,COUNTA([3]floors!$A:$A),MATCH(I$1,[3]floors!$1:$1,0)-MATCH($H$1,[3]floors!$1:$1,0)+1),MATCH(I$1,[3]floors!$1:$1,0)-MATCH($H$1,[3]floors!$1:$1,0)+1,FALSE)</f>
        <v>#VALUE!</v>
      </c>
      <c r="J7" s="4" t="e">
        <f ca="1">VLOOKUP($H7,OFFSET([3]floors!$A$1,0,0,COUNTA([3]floors!$A:$A),MATCH(J$1,[3]floors!$1:$1,0)-MATCH($H$1,[3]floors!$1:$1,0)+1),MATCH(J$1,[3]floors!$1:$1,0)-MATCH($H$1,[3]floors!$1:$1,0)+1,FALSE)</f>
        <v>#VALUE!</v>
      </c>
      <c r="K7" s="36" t="s">
        <v>53</v>
      </c>
      <c r="L7" s="113">
        <v>1067</v>
      </c>
      <c r="M7" s="17" t="str">
        <f ca="1">VLOOKUP($L7,OFFSET([4]enemies!$A$1,0,0,COUNTA([4]enemies!$A:$A),MATCH(M$1,[4]enemies!$1:$1,0)-MATCH($L$1,[4]enemies!$1:$1,0)+1),MATCH(M$1,[4]enemies!$1:$1,0)-MATCH($L$1,[4]enemies!$1:$1,0)+1,FALSE)</f>
        <v>ウシュムガル</v>
      </c>
      <c r="N7" s="17" t="str">
        <f ca="1">VLOOKUP($L7,OFFSET([4]enemies!$A$1,0,0,COUNTA([4]enemies!$A:$A),MATCH(N$1,[4]enemies!$1:$1,0)-MATCH($L$1,[4]enemies!$1:$1,0)+1),MATCH(N$1,[4]enemies!$1:$1,0)-MATCH($L$1,[4]enemies!$1:$1,0)+1,FALSE)</f>
        <v>red</v>
      </c>
      <c r="O7" s="17" t="str">
        <f ca="1">VLOOKUP($L7,OFFSET([5]characters!$A$1,0,0,COUNTA([5]characters!$A:$A),MATCH(O$1,[5]characters!$1:$1,0)-MATCH($L$1,[5]characters!$1:$1,0)+1),MATCH(O$1,[5]characters!$1:$1,0)-MATCH($L$1,[5]characters!$1:$1,0)+1,FALSE)</f>
        <v>PremiumS</v>
      </c>
      <c r="P7" s="17" t="str">
        <f ca="1">VLOOKUP($L7,OFFSET([4]enemies!$A$1,0,0,COUNTA([4]enemies!$A:$A),MATCH(P$1,[4]enemies!$1:$1,0)-MATCH($L$1,[4]enemies!$1:$1,0)+1),MATCH(P$1,[4]enemies!$1:$1,0)-MATCH($L$1,[4]enemies!$1:$1,0)+1,FALSE)</f>
        <v>dragon</v>
      </c>
      <c r="Q7" s="17">
        <f ca="1">VLOOKUP($L7,OFFSET([4]enemies!$A$1,0,0,COUNTA([4]enemies!$A:$A),MATCH(Q$1,[4]enemies!$1:$1,0)-MATCH($L$1,[4]enemies!$1:$1,0)+1),MATCH(Q$1,[4]enemies!$1:$1,0)-MATCH($L$1,[4]enemies!$1:$1,0)+1,FALSE)</f>
        <v>30</v>
      </c>
      <c r="R7" s="5">
        <v>80</v>
      </c>
      <c r="S7" s="23">
        <v>2.5</v>
      </c>
      <c r="T7" s="98">
        <f ca="1">ROUND(VLOOKUP(R7,[4]enemy_base_stats!$A:$F,2,FALSE)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INDIRECT("[EnemyMasterData.xlsm]enemies!AD"&amp;(L7+1))*[5]ステータス!$B$2,0)*S7</f>
        <v>304607.5</v>
      </c>
      <c r="U7" s="23">
        <v>0.6</v>
      </c>
      <c r="V7" s="98">
        <f ca="1">ROUND(VLOOKUP(R7,[4]enemy_base_stats!$A:$F,3,FALSE)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INDIRECT("[EnemyMasterData.xlsm]enemies!AE"&amp;(L7+1))*[5]ステータス!$C$2,0)*U7</f>
        <v>5563.2</v>
      </c>
      <c r="W7" s="5">
        <v>0</v>
      </c>
      <c r="X7" s="4" t="e">
        <f ca="1">VLOOKUP($Y7,OFFSET([3]enemy_skill_sets!$B$1,0,0,COUNTA([3]enemy_skill_sets!$B:$B),MATCH(M$1,[3]enemy_skill_sets!$1:$1,0)-MATCH($Y$1,[3]enemy_skill_sets!$1:$1,0)+2),MATCH(M$1,[3]enemy_skill_sets!$1:$1,0)-MATCH($Y$1,[3]enemy_skill_sets!$1:$1,0)+2,FALSE)</f>
        <v>#VALUE!</v>
      </c>
      <c r="Y7" s="45">
        <v>13301804</v>
      </c>
      <c r="Z7" s="6">
        <v>1</v>
      </c>
      <c r="AA7" s="6">
        <v>100</v>
      </c>
      <c r="AB7" s="6">
        <v>1</v>
      </c>
      <c r="AC7" s="17">
        <v>2</v>
      </c>
      <c r="AD7" s="114">
        <f t="shared" si="3"/>
        <v>1067</v>
      </c>
      <c r="AE7" s="4" t="str">
        <f ca="1">VLOOKUP($AD7,OFFSET([5]characters!$A$1,0,0,COUNTA([5]characters!$A:$A),MATCH(AE$1,[5]characters!$1:$1,0)-MATCH("character_id",[5]characters!$1:$1,0)+1),MATCH(AE$1,[5]characters!$1:$1,0)-MATCH("character_id",[5]characters!$1:$1,0)+1,FALSE)</f>
        <v>ウシュムガル</v>
      </c>
      <c r="AF7" s="4">
        <f ca="1">VLOOKUP($AD7,OFFSET([5]characters!$A$1,0,0,COUNTA([5]characters!$A:$A),MATCH(AF$1,[5]characters!$1:$1,0)-MATCH("character_id",[5]characters!$1:$1,0)+1),MATCH(AF$1,[5]characters!$1:$1,0)-MATCH("character_id",[5]characters!$1:$1,0)+1,FALSE)</f>
        <v>4</v>
      </c>
      <c r="AG7" s="4" t="str">
        <f ca="1">VLOOKUP($AD7,OFFSET([5]characters!$A$1,0,0,COUNTA([5]characters!$A:$A),MATCH(AG$1,[5]characters!$1:$1,0)-MATCH("character_id",[5]characters!$1:$1,0)+1),MATCH(AG$1,[5]characters!$1:$1,0)-MATCH("character_id",[5]characters!$1:$1,0)+1,FALSE)</f>
        <v>PremiumS</v>
      </c>
      <c r="AH7" s="115">
        <v>1</v>
      </c>
      <c r="AI7" s="114">
        <f t="shared" ca="1" si="4"/>
        <v>4</v>
      </c>
      <c r="AJ7" s="8">
        <v>0</v>
      </c>
      <c r="AK7" s="115">
        <v>0</v>
      </c>
      <c r="AL7" s="115">
        <v>0</v>
      </c>
      <c r="AM7" s="115">
        <v>0</v>
      </c>
      <c r="AN7" s="115">
        <v>0</v>
      </c>
      <c r="AO7" s="115">
        <v>1</v>
      </c>
      <c r="AP7" s="66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U12" sqref="U1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54</v>
      </c>
      <c r="L1" s="34" t="s">
        <v>250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97" t="s">
        <v>248</v>
      </c>
      <c r="V1" s="24" t="s">
        <v>50</v>
      </c>
      <c r="W1" s="97" t="s">
        <v>249</v>
      </c>
      <c r="X1" s="24" t="s">
        <v>52</v>
      </c>
      <c r="Y1" s="26" t="s">
        <v>129</v>
      </c>
      <c r="Z1" s="27" t="s">
        <v>128</v>
      </c>
      <c r="AA1" s="26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7"/>
  <sheetViews>
    <sheetView showGridLines="0" zoomScale="120" zoomScaleNormal="120" zoomScalePageLayoutView="120" workbookViewId="0">
      <pane ySplit="1" topLeftCell="A2" activePane="bottomLeft" state="frozenSplit"/>
      <selection pane="bottomLeft" activeCell="B7" sqref="B7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51" style="47" customWidth="1"/>
    <col min="3" max="3" width="7.33203125" style="47" customWidth="1"/>
    <col min="4" max="4" width="5.33203125" style="47" customWidth="1"/>
    <col min="5" max="5" width="23.6640625" style="47" bestFit="1" customWidth="1"/>
    <col min="6" max="6" width="44.1640625" style="47" bestFit="1" customWidth="1"/>
    <col min="7" max="7" width="52" style="47" hidden="1" customWidth="1" outlineLevel="1"/>
    <col min="8" max="8" width="18.33203125" style="47" hidden="1" customWidth="1" outlineLevel="1"/>
    <col min="9" max="11" width="18.6640625" style="47" hidden="1" customWidth="1" outlineLevel="1"/>
    <col min="12" max="12" width="23.6640625" style="47" customWidth="1" collapsed="1"/>
    <col min="13" max="18" width="23.6640625" style="47" hidden="1" customWidth="1" outlineLevel="1"/>
    <col min="19" max="19" width="23.6640625" style="47" customWidth="1" collapsed="1"/>
    <col min="20" max="24" width="23.6640625" style="47" hidden="1" customWidth="1" outlineLevel="1"/>
    <col min="25" max="25" width="23.6640625" style="47" customWidth="1" collapsed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79</v>
      </c>
      <c r="B1" s="38" t="s">
        <v>80</v>
      </c>
      <c r="C1" s="38" t="s">
        <v>81</v>
      </c>
      <c r="D1" s="38" t="s">
        <v>126</v>
      </c>
      <c r="E1" s="38" t="s">
        <v>82</v>
      </c>
      <c r="F1" s="38" t="s">
        <v>83</v>
      </c>
      <c r="G1" s="39" t="s">
        <v>132</v>
      </c>
      <c r="H1" s="39" t="s">
        <v>138</v>
      </c>
      <c r="I1" s="39" t="s">
        <v>140</v>
      </c>
      <c r="J1" s="39" t="s">
        <v>139</v>
      </c>
      <c r="K1" s="39" t="s">
        <v>141</v>
      </c>
      <c r="L1" s="39" t="s">
        <v>133</v>
      </c>
      <c r="M1" s="39" t="s">
        <v>131</v>
      </c>
      <c r="N1" s="39" t="s">
        <v>134</v>
      </c>
      <c r="O1" s="39" t="s">
        <v>142</v>
      </c>
      <c r="P1" s="39" t="s">
        <v>143</v>
      </c>
      <c r="Q1" s="39" t="s">
        <v>144</v>
      </c>
      <c r="R1" s="39" t="s">
        <v>145</v>
      </c>
      <c r="S1" s="39" t="s">
        <v>135</v>
      </c>
      <c r="T1" s="39" t="s">
        <v>136</v>
      </c>
      <c r="U1" s="39" t="s">
        <v>146</v>
      </c>
      <c r="V1" s="39" t="s">
        <v>147</v>
      </c>
      <c r="W1" s="39" t="s">
        <v>148</v>
      </c>
      <c r="X1" s="39" t="s">
        <v>149</v>
      </c>
      <c r="Y1" s="39" t="s">
        <v>137</v>
      </c>
      <c r="Z1" s="39" t="s">
        <v>76</v>
      </c>
      <c r="AA1" s="39" t="s">
        <v>77</v>
      </c>
      <c r="AB1" s="39" t="s">
        <v>78</v>
      </c>
    </row>
    <row r="2" spans="1:28" ht="68" customHeight="1" x14ac:dyDescent="0.15">
      <c r="A2" s="102">
        <v>13301825</v>
      </c>
      <c r="B2" s="102" t="s">
        <v>334</v>
      </c>
      <c r="C2" s="106">
        <v>3</v>
      </c>
      <c r="D2" s="106" t="s">
        <v>260</v>
      </c>
      <c r="E2" s="107" t="s">
        <v>304</v>
      </c>
      <c r="F2" s="107" t="s">
        <v>314</v>
      </c>
      <c r="G2" s="60" t="str">
        <f t="shared" ref="G2:G27" si="0">IFERROR(LEFT(B2,FIND("],",B2)),B2)</f>
        <v>[effect:enemy_message, val1:1, val2:2.8]</v>
      </c>
      <c r="H2" s="60">
        <f t="shared" ref="H2:H27" si="1">FIND("effect:",G2)+7</f>
        <v>9</v>
      </c>
      <c r="I2" s="60">
        <f t="shared" ref="I2:I27" si="2">IFERROR(FIND(",",G2),LEN(G2))</f>
        <v>22</v>
      </c>
      <c r="J2" s="60" t="e">
        <f t="shared" ref="J2:J27" si="3">FIND("target:",G2)+7</f>
        <v>#VALUE!</v>
      </c>
      <c r="K2" s="60">
        <f t="shared" ref="K2:K27" si="4">FIND(",",G2,I2+1)</f>
        <v>30</v>
      </c>
      <c r="L2" s="60" t="str">
        <f>IFERROR(VLOOKUP(MID(G2,J2,K2-J2),[6]skilldef!$C:$D,2,FALSE),"-") &amp; " / " &amp; IFERROR(VLOOKUP(MID(G2,H2,I2-H2),[6]skilldef!$A:$B,2,FALSE),"-")</f>
        <v>- / -</v>
      </c>
      <c r="M2" s="60" t="str">
        <f t="shared" ref="M2:M27" si="5">IFERROR(RIGHT(B2,LEN(B2)-FIND("],",B2)-1),"none")</f>
        <v>[effect:damage_anti_tribe, target:unit_all, tribe:human, val1:0.01, val2:99.9],[effect:damage_anti_cost, target:unit_all, lower:31, val1:99.9, val2:0.01, cost_type:unit],[effect:damage_anti_cost, target:unit_all, lower:31, val1:99.9, val2:0.01, cost_type:unit]</v>
      </c>
      <c r="N2" s="46" t="str">
        <f>IFERROR(LEFT(M2,FIND("],",M2)+S13),M2)</f>
        <v>[effect:damage_anti_tribe, target:unit_all, tribe:human, val1:0.01, val2:99.9],[effect:damage_anti_cost, target:unit_all, lower:31, val1:99.9, val2:0.01, cost_type:unit],[effect:damage_anti_cost, target:unit_all, lower:31, val1:99.9, val2:0.01, cost_type:unit]</v>
      </c>
      <c r="O2" s="60">
        <f t="shared" ref="O2:O27" si="6">FIND("effect:",N2)+7</f>
        <v>9</v>
      </c>
      <c r="P2" s="60">
        <f t="shared" ref="P2:P27" si="7">IFERROR(FIND(",",N2),LEN(N2))</f>
        <v>26</v>
      </c>
      <c r="Q2" s="60">
        <f t="shared" ref="Q2:Q27" si="8">FIND("target:",N2)+7</f>
        <v>35</v>
      </c>
      <c r="R2" s="60">
        <f t="shared" ref="R2:R27" si="9">FIND(",",N2,P2+1)</f>
        <v>43</v>
      </c>
      <c r="S2" s="60" t="str">
        <f>IFERROR(VLOOKUP(MID(N2,Q2,R2-Q2),[6]skilldef!$C:$D,2,FALSE),"-") &amp; " / " &amp; IFERROR(VLOOKUP(MID(N2,O2,P2-O2),[6]skilldef!$A:$B,2,FALSE),"-")</f>
        <v>味方全体に / 種族キラー</v>
      </c>
      <c r="T2" s="46" t="str">
        <f t="shared" ref="T2:T27" si="10">IFERROR(RIGHT(M2,LEN(M2)-FIND("],",M2)-1),"none")</f>
        <v>[effect:damage_anti_cost, target:unit_all, lower:31, val1:99.9, val2:0.01, cost_type:unit],[effect:damage_anti_cost, target:unit_all, lower:31, val1:99.9, val2:0.01, cost_type:unit]</v>
      </c>
      <c r="U2" s="60">
        <f t="shared" ref="U2:U27" si="11">FIND("effect:",T2)+7</f>
        <v>9</v>
      </c>
      <c r="V2" s="60">
        <f t="shared" ref="V2:V27" si="12">IFERROR(FIND(",",T2),LEN(T2))</f>
        <v>25</v>
      </c>
      <c r="W2" s="60">
        <f t="shared" ref="W2:W27" si="13">FIND("target:",T2)+7</f>
        <v>34</v>
      </c>
      <c r="X2" s="60">
        <f t="shared" ref="X2:X27" si="14">FIND(",",T2,V2+1)</f>
        <v>42</v>
      </c>
      <c r="Y2" s="60" t="str">
        <f>IFERROR(VLOOKUP(MID(T2,W2,X2-W2),[6]skilldef!$C:$D,2,FALSE),"-") &amp; " / " &amp; IFERROR(VLOOKUP(MID(T2,U2,V2-U2),[6]skilldef!$A:$B,2,FALSE),"-")</f>
        <v>味方全体に / -</v>
      </c>
      <c r="Z2" s="48"/>
      <c r="AA2" s="49"/>
      <c r="AB2" s="48"/>
    </row>
    <row r="3" spans="1:28" ht="48" customHeight="1" x14ac:dyDescent="0.15">
      <c r="A3" s="102">
        <v>13301826</v>
      </c>
      <c r="B3" s="102" t="s">
        <v>340</v>
      </c>
      <c r="C3" s="106">
        <v>3</v>
      </c>
      <c r="D3" s="106" t="s">
        <v>127</v>
      </c>
      <c r="E3" s="107" t="s">
        <v>335</v>
      </c>
      <c r="F3" s="107" t="s">
        <v>338</v>
      </c>
      <c r="G3" s="60"/>
      <c r="H3" s="60"/>
      <c r="I3" s="60"/>
      <c r="J3" s="60"/>
      <c r="K3" s="60"/>
      <c r="L3" s="60"/>
      <c r="M3" s="60"/>
      <c r="N3" s="46"/>
      <c r="O3" s="60"/>
      <c r="P3" s="60"/>
      <c r="Q3" s="60"/>
      <c r="R3" s="60"/>
      <c r="S3" s="60"/>
      <c r="T3" s="46"/>
      <c r="U3" s="60"/>
      <c r="V3" s="60"/>
      <c r="W3" s="60"/>
      <c r="X3" s="60"/>
      <c r="Y3" s="60"/>
      <c r="Z3" s="48"/>
      <c r="AA3" s="49"/>
      <c r="AB3" s="48"/>
    </row>
    <row r="4" spans="1:28" ht="38" customHeight="1" x14ac:dyDescent="0.15">
      <c r="A4" s="102">
        <v>13301801</v>
      </c>
      <c r="B4" s="102" t="s">
        <v>339</v>
      </c>
      <c r="C4" s="106">
        <v>3</v>
      </c>
      <c r="D4" s="106" t="s">
        <v>127</v>
      </c>
      <c r="E4" s="107" t="s">
        <v>336</v>
      </c>
      <c r="F4" s="107" t="s">
        <v>337</v>
      </c>
      <c r="G4" s="60" t="str">
        <f t="shared" ref="G4" si="15">IFERROR(LEFT(B4,FIND("],",B4)),B4)</f>
        <v>[effect:enhance_enemy, target:myself, turn:-1, status:attack, val:1.1, calc:mul, animation:enemy_enhance_attack]</v>
      </c>
      <c r="H4" s="60">
        <f t="shared" ref="H4" si="16">FIND("effect:",G4)+7</f>
        <v>9</v>
      </c>
      <c r="I4" s="60">
        <f t="shared" ref="I4" si="17">IFERROR(FIND(",",G4),LEN(G4))</f>
        <v>22</v>
      </c>
      <c r="J4" s="60">
        <f t="shared" ref="J4" si="18">FIND("target:",G4)+7</f>
        <v>31</v>
      </c>
      <c r="K4" s="60">
        <f t="shared" ref="K4" si="19">FIND(",",G4,I4+1)</f>
        <v>37</v>
      </c>
      <c r="L4" s="60" t="str">
        <f>IFERROR(VLOOKUP(MID(G4,J4,K4-J4),[6]skilldef!$C:$D,2,FALSE),"-") &amp; " / " &amp; IFERROR(VLOOKUP(MID(G4,H4,I4-H4),[6]skilldef!$A:$B,2,FALSE),"-")</f>
        <v>自分自身に / ステータス強化</v>
      </c>
      <c r="M4" s="60" t="str">
        <f t="shared" ref="M4" si="20">IFERROR(RIGHT(B4,LEN(B4)-FIND("],",B4)-1),"none")</f>
        <v>[effect:enemy_message, val1:1.4, val2:1.6]</v>
      </c>
      <c r="N4" s="46" t="str">
        <f t="shared" ref="N4" si="21">IFERROR(LEFT(M4,FIND("],",M4)+S14),M4)</f>
        <v>[effect:enemy_message, val1:1.4, val2:1.6]</v>
      </c>
      <c r="O4" s="60">
        <f t="shared" ref="O4" si="22">FIND("effect:",N4)+7</f>
        <v>9</v>
      </c>
      <c r="P4" s="60">
        <f t="shared" ref="P4" si="23">IFERROR(FIND(",",N4),LEN(N4))</f>
        <v>22</v>
      </c>
      <c r="Q4" s="60" t="e">
        <f t="shared" ref="Q4" si="24">FIND("target:",N4)+7</f>
        <v>#VALUE!</v>
      </c>
      <c r="R4" s="60">
        <f t="shared" ref="R4" si="25">FIND(",",N4,P4+1)</f>
        <v>32</v>
      </c>
      <c r="S4" s="60" t="str">
        <f>IFERROR(VLOOKUP(MID(N4,Q4,R4-Q4),[6]skilldef!$C:$D,2,FALSE),"-") &amp; " / " &amp; IFERROR(VLOOKUP(MID(N4,O4,P4-O4),[6]skilldef!$A:$B,2,FALSE),"-")</f>
        <v>- / -</v>
      </c>
      <c r="T4" s="46" t="str">
        <f t="shared" ref="T4" si="26">IFERROR(RIGHT(M4,LEN(M4)-FIND("],",M4)-1),"none")</f>
        <v>none</v>
      </c>
      <c r="U4" s="60" t="e">
        <f t="shared" ref="U4" si="27">FIND("effect:",T4)+7</f>
        <v>#VALUE!</v>
      </c>
      <c r="V4" s="60">
        <f t="shared" ref="V4" si="28">IFERROR(FIND(",",T4),LEN(T4))</f>
        <v>4</v>
      </c>
      <c r="W4" s="60" t="e">
        <f t="shared" ref="W4" si="29">FIND("target:",T4)+7</f>
        <v>#VALUE!</v>
      </c>
      <c r="X4" s="60" t="e">
        <f t="shared" ref="X4" si="30">FIND(",",T4,V4+1)</f>
        <v>#VALUE!</v>
      </c>
      <c r="Y4" s="60" t="str">
        <f>IFERROR(VLOOKUP(MID(T4,W4,X4-W4),[6]skilldef!$C:$D,2,FALSE),"-") &amp; " / " &amp; IFERROR(VLOOKUP(MID(T4,U4,V4-U4),[6]skilldef!$A:$B,2,FALSE),"-")</f>
        <v>- / -</v>
      </c>
      <c r="Z4" s="48"/>
      <c r="AA4" s="49"/>
      <c r="AB4" s="48"/>
    </row>
    <row r="5" spans="1:28" ht="38" customHeight="1" x14ac:dyDescent="0.15">
      <c r="A5" s="102">
        <v>13301802</v>
      </c>
      <c r="B5" s="102" t="s">
        <v>339</v>
      </c>
      <c r="C5" s="106">
        <v>3</v>
      </c>
      <c r="D5" s="106" t="s">
        <v>260</v>
      </c>
      <c r="E5" s="107" t="s">
        <v>336</v>
      </c>
      <c r="F5" s="107" t="s">
        <v>337</v>
      </c>
      <c r="G5" s="60" t="str">
        <f t="shared" si="0"/>
        <v>[effect:enhance_enemy, target:myself, turn:-1, status:attack, val:1.1, calc:mul, animation:enemy_enhance_attack]</v>
      </c>
      <c r="H5" s="60">
        <f t="shared" si="1"/>
        <v>9</v>
      </c>
      <c r="I5" s="60">
        <f t="shared" si="2"/>
        <v>22</v>
      </c>
      <c r="J5" s="60">
        <f t="shared" si="3"/>
        <v>31</v>
      </c>
      <c r="K5" s="60">
        <f t="shared" si="4"/>
        <v>37</v>
      </c>
      <c r="L5" s="60" t="str">
        <f>IFERROR(VLOOKUP(MID(G5,J5,K5-J5),[6]skilldef!$C:$D,2,FALSE),"-") &amp; " / " &amp; IFERROR(VLOOKUP(MID(G5,H5,I5-H5),[6]skilldef!$A:$B,2,FALSE),"-")</f>
        <v>自分自身に / ステータス強化</v>
      </c>
      <c r="M5" s="60" t="str">
        <f t="shared" si="5"/>
        <v>[effect:enemy_message, val1:1.4, val2:1.6]</v>
      </c>
      <c r="N5" s="46" t="str">
        <f t="shared" ref="N5:N17" si="31">IFERROR(LEFT(M5,FIND("],",M5)+S15),M5)</f>
        <v>[effect:enemy_message, val1:1.4, val2:1.6]</v>
      </c>
      <c r="O5" s="60">
        <f t="shared" si="6"/>
        <v>9</v>
      </c>
      <c r="P5" s="60">
        <f t="shared" si="7"/>
        <v>22</v>
      </c>
      <c r="Q5" s="60" t="e">
        <f t="shared" si="8"/>
        <v>#VALUE!</v>
      </c>
      <c r="R5" s="60">
        <f t="shared" si="9"/>
        <v>32</v>
      </c>
      <c r="S5" s="60" t="str">
        <f>IFERROR(VLOOKUP(MID(N5,Q5,R5-Q5),[6]skilldef!$C:$D,2,FALSE),"-") &amp; " / " &amp; IFERROR(VLOOKUP(MID(N5,O5,P5-O5),[6]skilldef!$A:$B,2,FALSE),"-")</f>
        <v>- / -</v>
      </c>
      <c r="T5" s="46" t="str">
        <f t="shared" si="10"/>
        <v>none</v>
      </c>
      <c r="U5" s="60" t="e">
        <f t="shared" si="11"/>
        <v>#VALUE!</v>
      </c>
      <c r="V5" s="60">
        <f t="shared" si="12"/>
        <v>4</v>
      </c>
      <c r="W5" s="60" t="e">
        <f t="shared" si="13"/>
        <v>#VALUE!</v>
      </c>
      <c r="X5" s="60" t="e">
        <f t="shared" si="14"/>
        <v>#VALUE!</v>
      </c>
      <c r="Y5" s="60" t="str">
        <f>IFERROR(VLOOKUP(MID(T5,W5,X5-W5),[6]skilldef!$C:$D,2,FALSE),"-") &amp; " / " &amp; IFERROR(VLOOKUP(MID(T5,U5,V5-U5),[6]skilldef!$A:$B,2,FALSE),"-")</f>
        <v>- / -</v>
      </c>
      <c r="Z5" s="48"/>
      <c r="AA5" s="49"/>
      <c r="AB5" s="48"/>
    </row>
    <row r="6" spans="1:28" ht="41" customHeight="1" x14ac:dyDescent="0.15">
      <c r="A6" s="104">
        <v>13301803</v>
      </c>
      <c r="B6" s="104" t="s">
        <v>330</v>
      </c>
      <c r="C6" s="108">
        <v>3</v>
      </c>
      <c r="D6" s="108" t="s">
        <v>266</v>
      </c>
      <c r="E6" s="109" t="s">
        <v>267</v>
      </c>
      <c r="F6" s="109" t="s">
        <v>315</v>
      </c>
      <c r="G6" s="60" t="str">
        <f t="shared" si="0"/>
        <v>[effect:enemy_message, val1:1, val2:2.8]</v>
      </c>
      <c r="H6" s="60">
        <f t="shared" si="1"/>
        <v>9</v>
      </c>
      <c r="I6" s="60">
        <f t="shared" si="2"/>
        <v>22</v>
      </c>
      <c r="J6" s="60" t="e">
        <f t="shared" si="3"/>
        <v>#VALUE!</v>
      </c>
      <c r="K6" s="60">
        <f t="shared" si="4"/>
        <v>30</v>
      </c>
      <c r="L6" s="60" t="str">
        <f>IFERROR(VLOOKUP(MID(G6,J6,K6-J6),[6]skilldef!$C:$D,2,FALSE),"-") &amp; " / " &amp; IFERROR(VLOOKUP(MID(G6,H6,I6-H6),[6]skilldef!$A:$B,2,FALSE),"-")</f>
        <v>- / -</v>
      </c>
      <c r="M6" s="60" t="str">
        <f t="shared" si="5"/>
        <v>[effect:degrade_unit, target:unit_all, turn:8, status:attack, val:0.6, calc:mul],[effect:degrade_unit, target:unit_all, turn:3, status:heal, val:0.6, calc:mul, animation:degrade_unit_all_heal]</v>
      </c>
      <c r="N6" s="46" t="str">
        <f t="shared" si="31"/>
        <v>[effect:degrade_unit, target:unit_all, turn:8, status:attack, val:0.6, calc:mul],[effect:degrade_unit, target:unit_all, turn:3, status:heal, val:0.6, calc:mul, animation:degrade_unit_all_heal]</v>
      </c>
      <c r="O6" s="60">
        <f t="shared" si="6"/>
        <v>9</v>
      </c>
      <c r="P6" s="60">
        <f t="shared" si="7"/>
        <v>21</v>
      </c>
      <c r="Q6" s="60">
        <f t="shared" si="8"/>
        <v>30</v>
      </c>
      <c r="R6" s="60">
        <f t="shared" si="9"/>
        <v>38</v>
      </c>
      <c r="S6" s="60" t="str">
        <f>IFERROR(VLOOKUP(MID(N6,Q6,R6-Q6),[6]skilldef!$C:$D,2,FALSE),"-") &amp; " / " &amp; IFERROR(VLOOKUP(MID(N6,O6,P6-O6),[6]skilldef!$A:$B,2,FALSE),"-")</f>
        <v>味方全体に / ステータスDOWN</v>
      </c>
      <c r="T6" s="46" t="str">
        <f t="shared" si="10"/>
        <v>[effect:degrade_unit, target:unit_all, turn:3, status:heal, val:0.6, calc:mul, animation:degrade_unit_all_heal]</v>
      </c>
      <c r="U6" s="60">
        <f t="shared" si="11"/>
        <v>9</v>
      </c>
      <c r="V6" s="60">
        <f t="shared" si="12"/>
        <v>21</v>
      </c>
      <c r="W6" s="60">
        <f t="shared" si="13"/>
        <v>30</v>
      </c>
      <c r="X6" s="60">
        <f t="shared" si="14"/>
        <v>38</v>
      </c>
      <c r="Y6" s="60" t="str">
        <f>IFERROR(VLOOKUP(MID(T6,W6,X6-W6),[6]skilldef!$C:$D,2,FALSE),"-") &amp; " / " &amp; IFERROR(VLOOKUP(MID(T6,U6,V6-U6),[6]skilldef!$A:$B,2,FALSE),"-")</f>
        <v>味方全体に / ステータスDOWN</v>
      </c>
      <c r="Z6" s="48"/>
      <c r="AA6" s="49"/>
      <c r="AB6" s="48"/>
    </row>
    <row r="7" spans="1:28" ht="38" customHeight="1" x14ac:dyDescent="0.15">
      <c r="A7" s="104">
        <v>13301804</v>
      </c>
      <c r="B7" s="104" t="s">
        <v>308</v>
      </c>
      <c r="C7" s="108">
        <v>3</v>
      </c>
      <c r="D7" s="108" t="s">
        <v>268</v>
      </c>
      <c r="E7" s="109" t="s">
        <v>269</v>
      </c>
      <c r="F7" s="109" t="s">
        <v>307</v>
      </c>
      <c r="G7" s="60" t="str">
        <f t="shared" si="0"/>
        <v>[effect:force_change_block, new_block:crack_bomb, target:block_all, ignore01:crash, color:block_green, count:1, val:36, animation:change_block]</v>
      </c>
      <c r="H7" s="60">
        <f t="shared" si="1"/>
        <v>9</v>
      </c>
      <c r="I7" s="60">
        <f t="shared" si="2"/>
        <v>27</v>
      </c>
      <c r="J7" s="60">
        <f t="shared" si="3"/>
        <v>58</v>
      </c>
      <c r="K7" s="60">
        <f t="shared" si="4"/>
        <v>49</v>
      </c>
      <c r="L7" s="60" t="str">
        <f>IFERROR(VLOOKUP(MID(G7,J7,K7-J7),[6]skilldef!$C:$D,2,FALSE),"-") &amp; " / " &amp; IFERROR(VLOOKUP(MID(G7,H7,I7-H7),[6]skilldef!$A:$B,2,FALSE),"-")</f>
        <v>- / -</v>
      </c>
      <c r="M7" s="60" t="str">
        <f t="shared" si="5"/>
        <v>none</v>
      </c>
      <c r="N7" s="46" t="str">
        <f t="shared" si="31"/>
        <v>none</v>
      </c>
      <c r="O7" s="60" t="e">
        <f t="shared" si="6"/>
        <v>#VALUE!</v>
      </c>
      <c r="P7" s="60">
        <f t="shared" si="7"/>
        <v>4</v>
      </c>
      <c r="Q7" s="60" t="e">
        <f t="shared" si="8"/>
        <v>#VALUE!</v>
      </c>
      <c r="R7" s="60" t="e">
        <f t="shared" si="9"/>
        <v>#VALUE!</v>
      </c>
      <c r="S7" s="60" t="str">
        <f>IFERROR(VLOOKUP(MID(N7,Q7,R7-Q7),[6]skilldef!$C:$D,2,FALSE),"-") &amp; " / " &amp; IFERROR(VLOOKUP(MID(N7,O7,P7-O7),[6]skilldef!$A:$B,2,FALSE),"-")</f>
        <v>- / -</v>
      </c>
      <c r="T7" s="46" t="str">
        <f t="shared" si="10"/>
        <v>none</v>
      </c>
      <c r="U7" s="60" t="e">
        <f t="shared" si="11"/>
        <v>#VALUE!</v>
      </c>
      <c r="V7" s="60">
        <f t="shared" si="12"/>
        <v>4</v>
      </c>
      <c r="W7" s="60" t="e">
        <f t="shared" si="13"/>
        <v>#VALUE!</v>
      </c>
      <c r="X7" s="60" t="e">
        <f t="shared" si="14"/>
        <v>#VALUE!</v>
      </c>
      <c r="Y7" s="60" t="str">
        <f>IFERROR(VLOOKUP(MID(T7,W7,X7-W7),[6]skilldef!$C:$D,2,FALSE),"-") &amp; " / " &amp; IFERROR(VLOOKUP(MID(T7,U7,V7-U7),[6]skilldef!$A:$B,2,FALSE),"-")</f>
        <v>- / -</v>
      </c>
      <c r="Z7" s="48"/>
      <c r="AA7" s="49"/>
      <c r="AB7" s="48"/>
    </row>
    <row r="8" spans="1:28" ht="29" customHeight="1" x14ac:dyDescent="0.15">
      <c r="A8" s="104">
        <v>13301805</v>
      </c>
      <c r="B8" s="104" t="s">
        <v>318</v>
      </c>
      <c r="C8" s="108">
        <v>3</v>
      </c>
      <c r="D8" s="108" t="s">
        <v>260</v>
      </c>
      <c r="E8" s="109" t="s">
        <v>270</v>
      </c>
      <c r="F8" s="109" t="s">
        <v>316</v>
      </c>
      <c r="G8" s="60" t="str">
        <f t="shared" si="0"/>
        <v>[effect:damage_anti_color, target:unit_one, color:red, val1:1.6, val2:0.5]</v>
      </c>
      <c r="H8" s="60">
        <f t="shared" si="1"/>
        <v>9</v>
      </c>
      <c r="I8" s="60">
        <f t="shared" si="2"/>
        <v>26</v>
      </c>
      <c r="J8" s="60">
        <f t="shared" si="3"/>
        <v>35</v>
      </c>
      <c r="K8" s="60">
        <f t="shared" si="4"/>
        <v>43</v>
      </c>
      <c r="L8" s="60" t="str">
        <f>IFERROR(VLOOKUP(MID(G8,J8,K8-J8),[6]skilldef!$C:$D,2,FALSE),"-") &amp; " / " &amp; IFERROR(VLOOKUP(MID(G8,H8,I8-H8),[6]skilldef!$A:$B,2,FALSE),"-")</f>
        <v>味方単体に / 属性キラー</v>
      </c>
      <c r="M8" s="60" t="str">
        <f t="shared" si="5"/>
        <v>[effect:damage_anti_color, target:unit_one, color:red, val1:2.5, val2:0.9],[effect:sp_boost, target:unit_balance, val:1, animation:sp_boost_one03],[effect:enemy_message, val1:1.1, val2:2.8]</v>
      </c>
      <c r="N8" s="46" t="str">
        <f t="shared" si="31"/>
        <v>[effect:damage_anti_color, target:unit_one, color:red, val1:2.5, val2:0.9],[effect:sp_boost, target:unit_balance, val:1, animation:sp_boost_one03],[effect:enemy_message, val1:1.1, val2:2.8]</v>
      </c>
      <c r="O8" s="60">
        <f t="shared" si="6"/>
        <v>9</v>
      </c>
      <c r="P8" s="60">
        <f t="shared" si="7"/>
        <v>26</v>
      </c>
      <c r="Q8" s="60">
        <f t="shared" si="8"/>
        <v>35</v>
      </c>
      <c r="R8" s="60">
        <f t="shared" si="9"/>
        <v>43</v>
      </c>
      <c r="S8" s="60" t="str">
        <f>IFERROR(VLOOKUP(MID(N8,Q8,R8-Q8),[6]skilldef!$C:$D,2,FALSE),"-") &amp; " / " &amp; IFERROR(VLOOKUP(MID(N8,O8,P8-O8),[6]skilldef!$A:$B,2,FALSE),"-")</f>
        <v>味方単体に / 属性キラー</v>
      </c>
      <c r="T8" s="46" t="str">
        <f t="shared" si="10"/>
        <v>[effect:sp_boost, target:unit_balance, val:1, animation:sp_boost_one03],[effect:enemy_message, val1:1.1, val2:2.8]</v>
      </c>
      <c r="U8" s="60">
        <f t="shared" si="11"/>
        <v>9</v>
      </c>
      <c r="V8" s="60">
        <f t="shared" si="12"/>
        <v>17</v>
      </c>
      <c r="W8" s="60">
        <f t="shared" si="13"/>
        <v>26</v>
      </c>
      <c r="X8" s="60">
        <f t="shared" si="14"/>
        <v>38</v>
      </c>
      <c r="Y8" s="60" t="str">
        <f>IFERROR(VLOOKUP(MID(T8,W8,X8-W8),[6]skilldef!$C:$D,2,FALSE),"-") &amp; " / " &amp; IFERROR(VLOOKUP(MID(T8,U8,V8-U8),[6]skilldef!$A:$B,2,FALSE),"-")</f>
        <v>バランスタイプの味方に / -</v>
      </c>
      <c r="Z8" s="48"/>
      <c r="AA8" s="49"/>
      <c r="AB8" s="48"/>
    </row>
    <row r="9" spans="1:28" ht="28" customHeight="1" x14ac:dyDescent="0.15">
      <c r="A9" s="104">
        <v>13301806</v>
      </c>
      <c r="B9" s="104" t="s">
        <v>329</v>
      </c>
      <c r="C9" s="108">
        <v>3</v>
      </c>
      <c r="D9" s="108" t="s">
        <v>260</v>
      </c>
      <c r="E9" s="109" t="s">
        <v>271</v>
      </c>
      <c r="F9" s="109" t="s">
        <v>317</v>
      </c>
      <c r="G9" s="60" t="str">
        <f t="shared" si="0"/>
        <v>[effect:damage_anti_color, target:unit_one, color:yellow, val1:1.6, val2:0.5]</v>
      </c>
      <c r="H9" s="60">
        <f t="shared" si="1"/>
        <v>9</v>
      </c>
      <c r="I9" s="60">
        <f t="shared" si="2"/>
        <v>26</v>
      </c>
      <c r="J9" s="60">
        <f t="shared" si="3"/>
        <v>35</v>
      </c>
      <c r="K9" s="60">
        <f t="shared" si="4"/>
        <v>43</v>
      </c>
      <c r="L9" s="60" t="str">
        <f>IFERROR(VLOOKUP(MID(G9,J9,K9-J9),[6]skilldef!$C:$D,2,FALSE),"-") &amp; " / " &amp; IFERROR(VLOOKUP(MID(G9,H9,I9-H9),[6]skilldef!$A:$B,2,FALSE),"-")</f>
        <v>味方単体に / 属性キラー</v>
      </c>
      <c r="M9" s="60" t="str">
        <f t="shared" si="5"/>
        <v>[effect:damage_anti_color, target:unit_one, color:yellow, val1:2.5, val2:0.9],[effect:sp_boost, target:unit_balance, val:1, animation:sp_boost_one03],[effect:enemy_message, val1:1.1, val2:2.8]</v>
      </c>
      <c r="N9" s="46" t="str">
        <f t="shared" si="31"/>
        <v>[effect:damage_anti_color, target:unit_one, color:yellow, val1:2.5, val2:0.9],[effect:sp_boost, target:unit_balance, val:1, animation:sp_boost_one03],[effect:enemy_message, val1:1.1, val2:2.8]</v>
      </c>
      <c r="O9" s="60">
        <f t="shared" si="6"/>
        <v>9</v>
      </c>
      <c r="P9" s="60">
        <f t="shared" si="7"/>
        <v>26</v>
      </c>
      <c r="Q9" s="60">
        <f t="shared" si="8"/>
        <v>35</v>
      </c>
      <c r="R9" s="60">
        <f t="shared" si="9"/>
        <v>43</v>
      </c>
      <c r="S9" s="60" t="str">
        <f>IFERROR(VLOOKUP(MID(N9,Q9,R9-Q9),[6]skilldef!$C:$D,2,FALSE),"-") &amp; " / " &amp; IFERROR(VLOOKUP(MID(N9,O9,P9-O9),[6]skilldef!$A:$B,2,FALSE),"-")</f>
        <v>味方単体に / 属性キラー</v>
      </c>
      <c r="T9" s="46" t="str">
        <f t="shared" si="10"/>
        <v>[effect:sp_boost, target:unit_balance, val:1, animation:sp_boost_one03],[effect:enemy_message, val1:1.1, val2:2.8]</v>
      </c>
      <c r="U9" s="60">
        <f t="shared" si="11"/>
        <v>9</v>
      </c>
      <c r="V9" s="60">
        <f t="shared" si="12"/>
        <v>17</v>
      </c>
      <c r="W9" s="60">
        <f t="shared" si="13"/>
        <v>26</v>
      </c>
      <c r="X9" s="60">
        <f t="shared" si="14"/>
        <v>38</v>
      </c>
      <c r="Y9" s="60" t="str">
        <f>IFERROR(VLOOKUP(MID(T9,W9,X9-W9),[6]skilldef!$C:$D,2,FALSE),"-") &amp; " / " &amp; IFERROR(VLOOKUP(MID(T9,U9,V9-U9),[6]skilldef!$A:$B,2,FALSE),"-")</f>
        <v>バランスタイプの味方に / -</v>
      </c>
      <c r="Z9" s="48"/>
      <c r="AA9" s="49"/>
      <c r="AB9" s="48"/>
    </row>
    <row r="10" spans="1:28" ht="21" customHeight="1" x14ac:dyDescent="0.15">
      <c r="A10" s="104">
        <v>13301807</v>
      </c>
      <c r="B10" s="104" t="s">
        <v>272</v>
      </c>
      <c r="C10" s="108">
        <v>3</v>
      </c>
      <c r="D10" s="108" t="s">
        <v>260</v>
      </c>
      <c r="E10" s="109" t="s">
        <v>273</v>
      </c>
      <c r="F10" s="109" t="s">
        <v>319</v>
      </c>
      <c r="G10" s="60" t="str">
        <f t="shared" si="0"/>
        <v>[effect:enhance_enemy, target:myself, turn:-1, status:attack, val:0.2, calc:mul, animation:enemy_enhance_attack]</v>
      </c>
      <c r="H10" s="60">
        <f t="shared" si="1"/>
        <v>9</v>
      </c>
      <c r="I10" s="60">
        <f t="shared" si="2"/>
        <v>22</v>
      </c>
      <c r="J10" s="60">
        <f t="shared" si="3"/>
        <v>31</v>
      </c>
      <c r="K10" s="60">
        <f t="shared" si="4"/>
        <v>37</v>
      </c>
      <c r="L10" s="60" t="str">
        <f>IFERROR(VLOOKUP(MID(G10,J10,K10-J10),[6]skilldef!$C:$D,2,FALSE),"-") &amp; " / " &amp; IFERROR(VLOOKUP(MID(G10,H10,I10-H10),[6]skilldef!$A:$B,2,FALSE),"-")</f>
        <v>自分自身に / ステータス強化</v>
      </c>
      <c r="M10" s="60" t="str">
        <f t="shared" si="5"/>
        <v/>
      </c>
      <c r="N10" s="46" t="str">
        <f t="shared" si="31"/>
        <v/>
      </c>
      <c r="O10" s="60" t="e">
        <f t="shared" si="6"/>
        <v>#VALUE!</v>
      </c>
      <c r="P10" s="60">
        <f t="shared" si="7"/>
        <v>0</v>
      </c>
      <c r="Q10" s="60" t="e">
        <f t="shared" si="8"/>
        <v>#VALUE!</v>
      </c>
      <c r="R10" s="60" t="e">
        <f t="shared" si="9"/>
        <v>#VALUE!</v>
      </c>
      <c r="S10" s="60" t="str">
        <f>IFERROR(VLOOKUP(MID(N10,Q10,R10-Q10),[6]skilldef!$C:$D,2,FALSE),"-") &amp; " / " &amp; IFERROR(VLOOKUP(MID(N10,O10,P10-O10),[6]skilldef!$A:$B,2,FALSE),"-")</f>
        <v>- / -</v>
      </c>
      <c r="T10" s="46" t="str">
        <f t="shared" si="10"/>
        <v>none</v>
      </c>
      <c r="U10" s="60" t="e">
        <f t="shared" si="11"/>
        <v>#VALUE!</v>
      </c>
      <c r="V10" s="60">
        <f t="shared" si="12"/>
        <v>4</v>
      </c>
      <c r="W10" s="60" t="e">
        <f t="shared" si="13"/>
        <v>#VALUE!</v>
      </c>
      <c r="X10" s="60" t="e">
        <f t="shared" si="14"/>
        <v>#VALUE!</v>
      </c>
      <c r="Y10" s="60" t="str">
        <f>IFERROR(VLOOKUP(MID(T10,W10,X10-W10),[6]skilldef!$C:$D,2,FALSE),"-") &amp; " / " &amp; IFERROR(VLOOKUP(MID(T10,U10,V10-U10),[6]skilldef!$A:$B,2,FALSE),"-")</f>
        <v>- / -</v>
      </c>
      <c r="Z10" s="48"/>
      <c r="AA10" s="49"/>
      <c r="AB10" s="48"/>
    </row>
    <row r="11" spans="1:28" ht="21" customHeight="1" x14ac:dyDescent="0.15">
      <c r="A11" s="104">
        <v>13301808</v>
      </c>
      <c r="B11" s="104" t="s">
        <v>274</v>
      </c>
      <c r="C11" s="108">
        <v>3</v>
      </c>
      <c r="D11" s="108" t="s">
        <v>260</v>
      </c>
      <c r="E11" s="109" t="s">
        <v>275</v>
      </c>
      <c r="F11" s="109" t="s">
        <v>276</v>
      </c>
      <c r="G11" s="60" t="str">
        <f t="shared" si="0"/>
        <v>[effect:rush, count:6, val:0.2]</v>
      </c>
      <c r="H11" s="60">
        <f t="shared" si="1"/>
        <v>9</v>
      </c>
      <c r="I11" s="60">
        <f t="shared" si="2"/>
        <v>13</v>
      </c>
      <c r="J11" s="60" t="e">
        <f t="shared" si="3"/>
        <v>#VALUE!</v>
      </c>
      <c r="K11" s="60">
        <f t="shared" si="4"/>
        <v>22</v>
      </c>
      <c r="L11" s="60" t="str">
        <f>IFERROR(VLOOKUP(MID(G11,J11,K11-J11),[6]skilldef!$C:$D,2,FALSE),"-") &amp; " / " &amp; IFERROR(VLOOKUP(MID(G11,H11,I11-H11),[6]skilldef!$A:$B,2,FALSE),"-")</f>
        <v>- / 連続攻撃</v>
      </c>
      <c r="M11" s="60" t="str">
        <f t="shared" si="5"/>
        <v>none</v>
      </c>
      <c r="N11" s="46" t="str">
        <f t="shared" si="31"/>
        <v>none</v>
      </c>
      <c r="O11" s="60" t="e">
        <f t="shared" si="6"/>
        <v>#VALUE!</v>
      </c>
      <c r="P11" s="60">
        <f t="shared" si="7"/>
        <v>4</v>
      </c>
      <c r="Q11" s="60" t="e">
        <f t="shared" si="8"/>
        <v>#VALUE!</v>
      </c>
      <c r="R11" s="60" t="e">
        <f t="shared" si="9"/>
        <v>#VALUE!</v>
      </c>
      <c r="S11" s="60" t="str">
        <f>IFERROR(VLOOKUP(MID(N11,Q11,R11-Q11),[6]skilldef!$C:$D,2,FALSE),"-") &amp; " / " &amp; IFERROR(VLOOKUP(MID(N11,O11,P11-O11),[6]skilldef!$A:$B,2,FALSE),"-")</f>
        <v>- / -</v>
      </c>
      <c r="T11" s="46" t="str">
        <f t="shared" si="10"/>
        <v>none</v>
      </c>
      <c r="U11" s="60" t="e">
        <f t="shared" si="11"/>
        <v>#VALUE!</v>
      </c>
      <c r="V11" s="60">
        <f t="shared" si="12"/>
        <v>4</v>
      </c>
      <c r="W11" s="60" t="e">
        <f t="shared" si="13"/>
        <v>#VALUE!</v>
      </c>
      <c r="X11" s="60" t="e">
        <f t="shared" si="14"/>
        <v>#VALUE!</v>
      </c>
      <c r="Y11" s="60" t="str">
        <f>IFERROR(VLOOKUP(MID(T11,W11,X11-W11),[6]skilldef!$C:$D,2,FALSE),"-") &amp; " / " &amp; IFERROR(VLOOKUP(MID(T11,U11,V11-U11),[6]skilldef!$A:$B,2,FALSE),"-")</f>
        <v>- / -</v>
      </c>
      <c r="Z11" s="48"/>
      <c r="AA11" s="49"/>
      <c r="AB11" s="48"/>
    </row>
    <row r="12" spans="1:28" ht="21" customHeight="1" x14ac:dyDescent="0.15">
      <c r="A12" s="104">
        <v>13301809</v>
      </c>
      <c r="B12" s="104" t="s">
        <v>331</v>
      </c>
      <c r="C12" s="108">
        <v>3</v>
      </c>
      <c r="D12" s="108" t="s">
        <v>260</v>
      </c>
      <c r="E12" s="109" t="s">
        <v>267</v>
      </c>
      <c r="F12" s="109" t="s">
        <v>277</v>
      </c>
      <c r="G12" s="60" t="str">
        <f t="shared" si="0"/>
        <v>[effect:degrade_unit, target:unit_all, turn:3, status:heal, val:0.65, calc:mul, animation:degrade_unit_all_heal]</v>
      </c>
      <c r="H12" s="60">
        <f t="shared" si="1"/>
        <v>9</v>
      </c>
      <c r="I12" s="60">
        <f t="shared" si="2"/>
        <v>21</v>
      </c>
      <c r="J12" s="60">
        <f t="shared" si="3"/>
        <v>30</v>
      </c>
      <c r="K12" s="60">
        <f t="shared" si="4"/>
        <v>38</v>
      </c>
      <c r="L12" s="60" t="str">
        <f>IFERROR(VLOOKUP(MID(G12,J12,K12-J12),[6]skilldef!$C:$D,2,FALSE),"-") &amp; " / " &amp; IFERROR(VLOOKUP(MID(G12,H12,I12-H12),[6]skilldef!$A:$B,2,FALSE),"-")</f>
        <v>味方全体に / ステータスDOWN</v>
      </c>
      <c r="M12" s="60" t="str">
        <f t="shared" si="5"/>
        <v>[effect:enemy_message, val1:1.4, val2:1.8]</v>
      </c>
      <c r="N12" s="46" t="str">
        <f t="shared" si="31"/>
        <v>[effect:enemy_message, val1:1.4, val2:1.8]</v>
      </c>
      <c r="O12" s="60">
        <f t="shared" si="6"/>
        <v>9</v>
      </c>
      <c r="P12" s="60">
        <f t="shared" si="7"/>
        <v>22</v>
      </c>
      <c r="Q12" s="60" t="e">
        <f t="shared" si="8"/>
        <v>#VALUE!</v>
      </c>
      <c r="R12" s="60">
        <f t="shared" si="9"/>
        <v>32</v>
      </c>
      <c r="S12" s="60" t="str">
        <f>IFERROR(VLOOKUP(MID(N12,Q12,R12-Q12),[6]skilldef!$C:$D,2,FALSE),"-") &amp; " / " &amp; IFERROR(VLOOKUP(MID(N12,O12,P12-O12),[6]skilldef!$A:$B,2,FALSE),"-")</f>
        <v>- / -</v>
      </c>
      <c r="T12" s="46" t="str">
        <f t="shared" si="10"/>
        <v>none</v>
      </c>
      <c r="U12" s="60" t="e">
        <f t="shared" si="11"/>
        <v>#VALUE!</v>
      </c>
      <c r="V12" s="60">
        <f t="shared" si="12"/>
        <v>4</v>
      </c>
      <c r="W12" s="60" t="e">
        <f t="shared" si="13"/>
        <v>#VALUE!</v>
      </c>
      <c r="X12" s="60" t="e">
        <f t="shared" si="14"/>
        <v>#VALUE!</v>
      </c>
      <c r="Y12" s="60" t="str">
        <f>IFERROR(VLOOKUP(MID(T12,W12,X12-W12),[6]skilldef!$C:$D,2,FALSE),"-") &amp; " / " &amp; IFERROR(VLOOKUP(MID(T12,U12,V12-U12),[6]skilldef!$A:$B,2,FALSE),"-")</f>
        <v>- / -</v>
      </c>
      <c r="Z12" s="48"/>
      <c r="AA12" s="49"/>
      <c r="AB12" s="48"/>
    </row>
    <row r="13" spans="1:28" ht="21" customHeight="1" x14ac:dyDescent="0.15">
      <c r="A13" s="104">
        <v>13301810</v>
      </c>
      <c r="B13" s="104" t="s">
        <v>278</v>
      </c>
      <c r="C13" s="108">
        <v>3</v>
      </c>
      <c r="D13" s="108" t="s">
        <v>260</v>
      </c>
      <c r="E13" s="109" t="s">
        <v>279</v>
      </c>
      <c r="F13" s="109" t="s">
        <v>280</v>
      </c>
      <c r="G13" s="60" t="str">
        <f t="shared" si="0"/>
        <v>[effect:rush, count:8, val:0.2]</v>
      </c>
      <c r="H13" s="60">
        <f t="shared" si="1"/>
        <v>9</v>
      </c>
      <c r="I13" s="60">
        <f t="shared" si="2"/>
        <v>13</v>
      </c>
      <c r="J13" s="60" t="e">
        <f t="shared" si="3"/>
        <v>#VALUE!</v>
      </c>
      <c r="K13" s="60">
        <f t="shared" si="4"/>
        <v>22</v>
      </c>
      <c r="L13" s="60" t="str">
        <f>IFERROR(VLOOKUP(MID(G13,J13,K13-J13),[6]skilldef!$C:$D,2,FALSE),"-") &amp; " / " &amp; IFERROR(VLOOKUP(MID(G13,H13,I13-H13),[6]skilldef!$A:$B,2,FALSE),"-")</f>
        <v>- / 連続攻撃</v>
      </c>
      <c r="M13" s="60" t="str">
        <f t="shared" si="5"/>
        <v>none</v>
      </c>
      <c r="N13" s="46" t="str">
        <f t="shared" si="31"/>
        <v>none</v>
      </c>
      <c r="O13" s="60" t="e">
        <f t="shared" si="6"/>
        <v>#VALUE!</v>
      </c>
      <c r="P13" s="60">
        <f t="shared" si="7"/>
        <v>4</v>
      </c>
      <c r="Q13" s="60" t="e">
        <f t="shared" si="8"/>
        <v>#VALUE!</v>
      </c>
      <c r="R13" s="60" t="e">
        <f t="shared" si="9"/>
        <v>#VALUE!</v>
      </c>
      <c r="S13" s="60" t="str">
        <f>IFERROR(VLOOKUP(MID(N13,Q13,R13-Q13),[6]skilldef!$C:$D,2,FALSE),"-") &amp; " / " &amp; IFERROR(VLOOKUP(MID(N13,O13,P13-O13),[6]skilldef!$A:$B,2,FALSE),"-")</f>
        <v>- / -</v>
      </c>
      <c r="T13" s="46" t="str">
        <f t="shared" si="10"/>
        <v>none</v>
      </c>
      <c r="U13" s="60" t="e">
        <f t="shared" si="11"/>
        <v>#VALUE!</v>
      </c>
      <c r="V13" s="60">
        <f t="shared" si="12"/>
        <v>4</v>
      </c>
      <c r="W13" s="60" t="e">
        <f t="shared" si="13"/>
        <v>#VALUE!</v>
      </c>
      <c r="X13" s="60" t="e">
        <f t="shared" si="14"/>
        <v>#VALUE!</v>
      </c>
      <c r="Y13" s="60" t="str">
        <f>IFERROR(VLOOKUP(MID(T13,W13,X13-W13),[6]skilldef!$C:$D,2,FALSE),"-") &amp; " / " &amp; IFERROR(VLOOKUP(MID(T13,U13,V13-U13),[6]skilldef!$A:$B,2,FALSE),"-")</f>
        <v>- / -</v>
      </c>
      <c r="Z13" s="48"/>
      <c r="AA13" s="49"/>
      <c r="AB13" s="48"/>
    </row>
    <row r="14" spans="1:28" ht="21" customHeight="1" x14ac:dyDescent="0.15">
      <c r="A14" s="104">
        <v>13301811</v>
      </c>
      <c r="B14" s="104" t="s">
        <v>281</v>
      </c>
      <c r="C14" s="108">
        <v>3</v>
      </c>
      <c r="D14" s="108" t="s">
        <v>260</v>
      </c>
      <c r="E14" s="109" t="s">
        <v>273</v>
      </c>
      <c r="F14" s="109" t="s">
        <v>320</v>
      </c>
      <c r="G14" s="60" t="str">
        <f t="shared" si="0"/>
        <v>[effect:enhance_enemy, target:myself, turn:3, status:attack, val:0.4, calc:mul, animation:enemy_enhance_attack]</v>
      </c>
      <c r="H14" s="60">
        <f t="shared" si="1"/>
        <v>9</v>
      </c>
      <c r="I14" s="60">
        <f t="shared" si="2"/>
        <v>22</v>
      </c>
      <c r="J14" s="60">
        <f t="shared" si="3"/>
        <v>31</v>
      </c>
      <c r="K14" s="60">
        <f t="shared" si="4"/>
        <v>37</v>
      </c>
      <c r="L14" s="60" t="str">
        <f>IFERROR(VLOOKUP(MID(G14,J14,K14-J14),[6]skilldef!$C:$D,2,FALSE),"-") &amp; " / " &amp; IFERROR(VLOOKUP(MID(G14,H14,I14-H14),[6]skilldef!$A:$B,2,FALSE),"-")</f>
        <v>自分自身に / ステータス強化</v>
      </c>
      <c r="M14" s="60" t="str">
        <f t="shared" si="5"/>
        <v>none</v>
      </c>
      <c r="N14" s="46" t="str">
        <f t="shared" si="31"/>
        <v>none</v>
      </c>
      <c r="O14" s="60" t="e">
        <f t="shared" si="6"/>
        <v>#VALUE!</v>
      </c>
      <c r="P14" s="60">
        <f t="shared" si="7"/>
        <v>4</v>
      </c>
      <c r="Q14" s="60" t="e">
        <f t="shared" si="8"/>
        <v>#VALUE!</v>
      </c>
      <c r="R14" s="60" t="e">
        <f t="shared" si="9"/>
        <v>#VALUE!</v>
      </c>
      <c r="S14" s="60" t="str">
        <f>IFERROR(VLOOKUP(MID(N14,Q14,R14-Q14),[6]skilldef!$C:$D,2,FALSE),"-") &amp; " / " &amp; IFERROR(VLOOKUP(MID(N14,O14,P14-O14),[6]skilldef!$A:$B,2,FALSE),"-")</f>
        <v>- / -</v>
      </c>
      <c r="T14" s="46" t="str">
        <f t="shared" si="10"/>
        <v>none</v>
      </c>
      <c r="U14" s="60" t="e">
        <f t="shared" si="11"/>
        <v>#VALUE!</v>
      </c>
      <c r="V14" s="60">
        <f t="shared" si="12"/>
        <v>4</v>
      </c>
      <c r="W14" s="60" t="e">
        <f t="shared" si="13"/>
        <v>#VALUE!</v>
      </c>
      <c r="X14" s="60" t="e">
        <f t="shared" si="14"/>
        <v>#VALUE!</v>
      </c>
      <c r="Y14" s="60" t="str">
        <f>IFERROR(VLOOKUP(MID(T14,W14,X14-W14),[6]skilldef!$C:$D,2,FALSE),"-") &amp; " / " &amp; IFERROR(VLOOKUP(MID(T14,U14,V14-U14),[6]skilldef!$A:$B,2,FALSE),"-")</f>
        <v>- / -</v>
      </c>
      <c r="Z14" s="48"/>
      <c r="AA14" s="49"/>
      <c r="AB14" s="48"/>
    </row>
    <row r="15" spans="1:28" ht="21" customHeight="1" x14ac:dyDescent="0.15">
      <c r="A15" s="104">
        <v>13301812</v>
      </c>
      <c r="B15" s="104" t="s">
        <v>332</v>
      </c>
      <c r="C15" s="108">
        <v>3</v>
      </c>
      <c r="D15" s="108" t="s">
        <v>260</v>
      </c>
      <c r="E15" s="109" t="s">
        <v>267</v>
      </c>
      <c r="F15" s="109" t="s">
        <v>321</v>
      </c>
      <c r="G15" s="60" t="str">
        <f t="shared" si="0"/>
        <v>[effect:degrade_unit, target:unit_all, turn:3, status:heal, val:0.75, calc:mul, animation:degrade_unit_all_heal]</v>
      </c>
      <c r="H15" s="60">
        <f t="shared" si="1"/>
        <v>9</v>
      </c>
      <c r="I15" s="60">
        <f t="shared" si="2"/>
        <v>21</v>
      </c>
      <c r="J15" s="60">
        <f t="shared" si="3"/>
        <v>30</v>
      </c>
      <c r="K15" s="60">
        <f t="shared" si="4"/>
        <v>38</v>
      </c>
      <c r="L15" s="60" t="str">
        <f>IFERROR(VLOOKUP(MID(G15,J15,K15-J15),[6]skilldef!$C:$D,2,FALSE),"-") &amp; " / " &amp; IFERROR(VLOOKUP(MID(G15,H15,I15-H15),[6]skilldef!$A:$B,2,FALSE),"-")</f>
        <v>味方全体に / ステータスDOWN</v>
      </c>
      <c r="M15" s="60" t="str">
        <f t="shared" si="5"/>
        <v>[effect:degrade_unit, target:unit_all, turn:3, status:attack, val:0.75, calc:mul],[effect:enemy_message, val1:1.4, val2:2.3]</v>
      </c>
      <c r="N15" s="46" t="str">
        <f t="shared" si="31"/>
        <v>[effect:degrade_unit, target:unit_all, turn:3, status:attack, val:0.75, calc:mul],[effect:enemy_message, val1:1.4, val2:2.3]</v>
      </c>
      <c r="O15" s="60">
        <f t="shared" si="6"/>
        <v>9</v>
      </c>
      <c r="P15" s="60">
        <f t="shared" si="7"/>
        <v>21</v>
      </c>
      <c r="Q15" s="60">
        <f t="shared" si="8"/>
        <v>30</v>
      </c>
      <c r="R15" s="60">
        <f t="shared" si="9"/>
        <v>38</v>
      </c>
      <c r="S15" s="60" t="str">
        <f>IFERROR(VLOOKUP(MID(N15,Q15,R15-Q15),[6]skilldef!$C:$D,2,FALSE),"-") &amp; " / " &amp; IFERROR(VLOOKUP(MID(N15,O15,P15-O15),[6]skilldef!$A:$B,2,FALSE),"-")</f>
        <v>味方全体に / ステータスDOWN</v>
      </c>
      <c r="T15" s="46" t="str">
        <f t="shared" si="10"/>
        <v>[effect:enemy_message, val1:1.4, val2:2.3]</v>
      </c>
      <c r="U15" s="60">
        <f t="shared" si="11"/>
        <v>9</v>
      </c>
      <c r="V15" s="60">
        <f t="shared" si="12"/>
        <v>22</v>
      </c>
      <c r="W15" s="60" t="e">
        <f t="shared" si="13"/>
        <v>#VALUE!</v>
      </c>
      <c r="X15" s="60">
        <f t="shared" si="14"/>
        <v>32</v>
      </c>
      <c r="Y15" s="60" t="str">
        <f>IFERROR(VLOOKUP(MID(T15,W15,X15-W15),[6]skilldef!$C:$D,2,FALSE),"-") &amp; " / " &amp; IFERROR(VLOOKUP(MID(T15,U15,V15-U15),[6]skilldef!$A:$B,2,FALSE),"-")</f>
        <v>- / -</v>
      </c>
      <c r="Z15" s="48"/>
      <c r="AA15" s="49"/>
      <c r="AB15" s="48"/>
    </row>
    <row r="16" spans="1:28" ht="43" customHeight="1" x14ac:dyDescent="0.15">
      <c r="A16" s="104">
        <v>13301813</v>
      </c>
      <c r="B16" s="104" t="s">
        <v>309</v>
      </c>
      <c r="C16" s="108">
        <v>3</v>
      </c>
      <c r="D16" s="108" t="s">
        <v>260</v>
      </c>
      <c r="E16" s="109" t="s">
        <v>306</v>
      </c>
      <c r="F16" s="109" t="s">
        <v>322</v>
      </c>
      <c r="G16" s="60" t="str">
        <f t="shared" si="0"/>
        <v>[effect:enhance_enemy, target:myself, turn:3, status:attack, val:0.6, calc:mul, animation:enemy_enhance_attack]</v>
      </c>
      <c r="H16" s="60">
        <f t="shared" si="1"/>
        <v>9</v>
      </c>
      <c r="I16" s="60">
        <f t="shared" si="2"/>
        <v>22</v>
      </c>
      <c r="J16" s="60">
        <f t="shared" si="3"/>
        <v>31</v>
      </c>
      <c r="K16" s="60">
        <f t="shared" si="4"/>
        <v>37</v>
      </c>
      <c r="L16" s="60" t="str">
        <f>IFERROR(VLOOKUP(MID(G16,J16,K16-J16),[6]skilldef!$C:$D,2,FALSE),"-") &amp; " / " &amp; IFERROR(VLOOKUP(MID(G16,H16,I16-H16),[6]skilldef!$A:$B,2,FALSE),"-")</f>
        <v>自分自身に / ステータス強化</v>
      </c>
      <c r="M16" s="60" t="str">
        <f t="shared" si="5"/>
        <v>none</v>
      </c>
      <c r="N16" s="46" t="str">
        <f t="shared" si="31"/>
        <v>none</v>
      </c>
      <c r="O16" s="60" t="e">
        <f t="shared" si="6"/>
        <v>#VALUE!</v>
      </c>
      <c r="P16" s="60">
        <f t="shared" si="7"/>
        <v>4</v>
      </c>
      <c r="Q16" s="60" t="e">
        <f t="shared" si="8"/>
        <v>#VALUE!</v>
      </c>
      <c r="R16" s="60" t="e">
        <f t="shared" si="9"/>
        <v>#VALUE!</v>
      </c>
      <c r="S16" s="60" t="str">
        <f>IFERROR(VLOOKUP(MID(N16,Q16,R16-Q16),[6]skilldef!$C:$D,2,FALSE),"-") &amp; " / " &amp; IFERROR(VLOOKUP(MID(N16,O16,P16-O16),[6]skilldef!$A:$B,2,FALSE),"-")</f>
        <v>- / -</v>
      </c>
      <c r="T16" s="46" t="str">
        <f t="shared" si="10"/>
        <v>none</v>
      </c>
      <c r="U16" s="60" t="e">
        <f t="shared" si="11"/>
        <v>#VALUE!</v>
      </c>
      <c r="V16" s="60">
        <f t="shared" si="12"/>
        <v>4</v>
      </c>
      <c r="W16" s="60" t="e">
        <f t="shared" si="13"/>
        <v>#VALUE!</v>
      </c>
      <c r="X16" s="60" t="e">
        <f t="shared" si="14"/>
        <v>#VALUE!</v>
      </c>
      <c r="Y16" s="60" t="str">
        <f>IFERROR(VLOOKUP(MID(T16,W16,X16-W16),[6]skilldef!$C:$D,2,FALSE),"-") &amp; " / " &amp; IFERROR(VLOOKUP(MID(T16,U16,V16-U16),[6]skilldef!$A:$B,2,FALSE),"-")</f>
        <v>- / -</v>
      </c>
      <c r="Z16" s="48"/>
      <c r="AA16" s="49"/>
      <c r="AB16" s="48"/>
    </row>
    <row r="17" spans="1:28" ht="21" customHeight="1" x14ac:dyDescent="0.15">
      <c r="A17" s="104">
        <v>13301814</v>
      </c>
      <c r="B17" s="104" t="s">
        <v>333</v>
      </c>
      <c r="C17" s="108">
        <v>3</v>
      </c>
      <c r="D17" s="108" t="s">
        <v>260</v>
      </c>
      <c r="E17" s="109" t="s">
        <v>267</v>
      </c>
      <c r="F17" s="109" t="s">
        <v>282</v>
      </c>
      <c r="G17" s="60" t="str">
        <f t="shared" si="0"/>
        <v>[effect:degrade_unit, target:unit_all, turn:5, status:heal, val:0.95, calc:mul, animation:degrade_unit_all_heal]</v>
      </c>
      <c r="H17" s="60">
        <f t="shared" si="1"/>
        <v>9</v>
      </c>
      <c r="I17" s="60">
        <f t="shared" si="2"/>
        <v>21</v>
      </c>
      <c r="J17" s="60">
        <f t="shared" si="3"/>
        <v>30</v>
      </c>
      <c r="K17" s="60">
        <f t="shared" si="4"/>
        <v>38</v>
      </c>
      <c r="L17" s="60" t="str">
        <f>IFERROR(VLOOKUP(MID(G17,J17,K17-J17),[6]skilldef!$C:$D,2,FALSE),"-") &amp; " / " &amp; IFERROR(VLOOKUP(MID(G17,H17,I17-H17),[6]skilldef!$A:$B,2,FALSE),"-")</f>
        <v>味方全体に / ステータスDOWN</v>
      </c>
      <c r="M17" s="60" t="str">
        <f t="shared" si="5"/>
        <v>[effect:degrade_unit, target:unit_all, turn:5, status:attack, val:0.95, calc:mul],[effect:enemy_message, val1:1.4, val2:2.3]</v>
      </c>
      <c r="N17" s="46" t="str">
        <f t="shared" si="31"/>
        <v>[effect:degrade_unit, target:unit_all, turn:5, status:attack, val:0.95, calc:mul],[effect:enemy_message, val1:1.4, val2:2.3]</v>
      </c>
      <c r="O17" s="60">
        <f t="shared" si="6"/>
        <v>9</v>
      </c>
      <c r="P17" s="60">
        <f t="shared" si="7"/>
        <v>21</v>
      </c>
      <c r="Q17" s="60">
        <f t="shared" si="8"/>
        <v>30</v>
      </c>
      <c r="R17" s="60">
        <f t="shared" si="9"/>
        <v>38</v>
      </c>
      <c r="S17" s="60" t="str">
        <f>IFERROR(VLOOKUP(MID(N17,Q17,R17-Q17),[6]skilldef!$C:$D,2,FALSE),"-") &amp; " / " &amp; IFERROR(VLOOKUP(MID(N17,O17,P17-O17),[6]skilldef!$A:$B,2,FALSE),"-")</f>
        <v>味方全体に / ステータスDOWN</v>
      </c>
      <c r="T17" s="46" t="str">
        <f t="shared" si="10"/>
        <v>[effect:enemy_message, val1:1.4, val2:2.3]</v>
      </c>
      <c r="U17" s="60">
        <f t="shared" si="11"/>
        <v>9</v>
      </c>
      <c r="V17" s="60">
        <f t="shared" si="12"/>
        <v>22</v>
      </c>
      <c r="W17" s="60" t="e">
        <f t="shared" si="13"/>
        <v>#VALUE!</v>
      </c>
      <c r="X17" s="60">
        <f t="shared" si="14"/>
        <v>32</v>
      </c>
      <c r="Y17" s="60" t="str">
        <f>IFERROR(VLOOKUP(MID(T17,W17,X17-W17),[6]skilldef!$C:$D,2,FALSE),"-") &amp; " / " &amp; IFERROR(VLOOKUP(MID(T17,U17,V17-U17),[6]skilldef!$A:$B,2,FALSE),"-")</f>
        <v>- / -</v>
      </c>
      <c r="Z17" s="48"/>
      <c r="AA17" s="49"/>
      <c r="AB17" s="48"/>
    </row>
    <row r="18" spans="1:28" ht="21" customHeight="1" x14ac:dyDescent="0.15">
      <c r="A18" s="105">
        <v>13301815</v>
      </c>
      <c r="B18" s="105" t="s">
        <v>283</v>
      </c>
      <c r="C18" s="110">
        <v>3</v>
      </c>
      <c r="D18" s="110" t="s">
        <v>260</v>
      </c>
      <c r="E18" s="111" t="s">
        <v>284</v>
      </c>
      <c r="F18" s="111" t="s">
        <v>285</v>
      </c>
      <c r="G18" s="60" t="str">
        <f t="shared" si="0"/>
        <v>[effect:dis_panel, target:block_green, turn:3, animation:enemy_dis_green]</v>
      </c>
      <c r="H18" s="60">
        <f t="shared" si="1"/>
        <v>9</v>
      </c>
      <c r="I18" s="60">
        <f t="shared" si="2"/>
        <v>18</v>
      </c>
      <c r="J18" s="60">
        <f t="shared" si="3"/>
        <v>27</v>
      </c>
      <c r="K18" s="60">
        <f t="shared" si="4"/>
        <v>38</v>
      </c>
      <c r="L18" s="60" t="str">
        <f>IFERROR(VLOOKUP(MID(G18,J18,K18-J18),[6]skilldef!$C:$D,2,FALSE),"-") &amp; " / " &amp; IFERROR(VLOOKUP(MID(G18,H18,I18-H18),[6]skilldef!$A:$B,2,FALSE),"-")</f>
        <v>緑パネルを / ディスパネル</v>
      </c>
      <c r="M18" s="60" t="str">
        <f t="shared" si="5"/>
        <v>none</v>
      </c>
      <c r="N18" s="46" t="str">
        <f>IFERROR(LEFT(M18,FIND("],",M18)+#REF!),M18)</f>
        <v>none</v>
      </c>
      <c r="O18" s="60" t="e">
        <f t="shared" si="6"/>
        <v>#VALUE!</v>
      </c>
      <c r="P18" s="60">
        <f t="shared" si="7"/>
        <v>4</v>
      </c>
      <c r="Q18" s="60" t="e">
        <f t="shared" si="8"/>
        <v>#VALUE!</v>
      </c>
      <c r="R18" s="60" t="e">
        <f t="shared" si="9"/>
        <v>#VALUE!</v>
      </c>
      <c r="S18" s="60" t="str">
        <f>IFERROR(VLOOKUP(MID(N18,Q18,R18-Q18),[6]skilldef!$C:$D,2,FALSE),"-") &amp; " / " &amp; IFERROR(VLOOKUP(MID(N18,O18,P18-O18),[6]skilldef!$A:$B,2,FALSE),"-")</f>
        <v>- / -</v>
      </c>
      <c r="T18" s="46" t="str">
        <f t="shared" si="10"/>
        <v>none</v>
      </c>
      <c r="U18" s="60" t="e">
        <f t="shared" si="11"/>
        <v>#VALUE!</v>
      </c>
      <c r="V18" s="60">
        <f t="shared" si="12"/>
        <v>4</v>
      </c>
      <c r="W18" s="60" t="e">
        <f t="shared" si="13"/>
        <v>#VALUE!</v>
      </c>
      <c r="X18" s="60" t="e">
        <f t="shared" si="14"/>
        <v>#VALUE!</v>
      </c>
      <c r="Y18" s="60" t="str">
        <f>IFERROR(VLOOKUP(MID(T18,W18,X18-W18),[6]skilldef!$C:$D,2,FALSE),"-") &amp; " / " &amp; IFERROR(VLOOKUP(MID(T18,U18,V18-U18),[6]skilldef!$A:$B,2,FALSE),"-")</f>
        <v>- / -</v>
      </c>
      <c r="Z18" s="48"/>
      <c r="AA18" s="49"/>
      <c r="AB18" s="48"/>
    </row>
    <row r="19" spans="1:28" ht="29" customHeight="1" x14ac:dyDescent="0.15">
      <c r="A19" s="105">
        <v>13301816</v>
      </c>
      <c r="B19" s="105" t="s">
        <v>286</v>
      </c>
      <c r="C19" s="110">
        <v>3</v>
      </c>
      <c r="D19" s="110" t="s">
        <v>260</v>
      </c>
      <c r="E19" s="111" t="s">
        <v>287</v>
      </c>
      <c r="F19" s="111" t="s">
        <v>288</v>
      </c>
      <c r="G19" s="60" t="str">
        <f t="shared" si="0"/>
        <v>[effect:dis_panel, target:block_blue, turn:3, animation:enemy_dis_blue]</v>
      </c>
      <c r="H19" s="60">
        <f t="shared" si="1"/>
        <v>9</v>
      </c>
      <c r="I19" s="60">
        <f t="shared" si="2"/>
        <v>18</v>
      </c>
      <c r="J19" s="60">
        <f t="shared" si="3"/>
        <v>27</v>
      </c>
      <c r="K19" s="60">
        <f t="shared" si="4"/>
        <v>37</v>
      </c>
      <c r="L19" s="60" t="str">
        <f>IFERROR(VLOOKUP(MID(G19,J19,K19-J19),[6]skilldef!$C:$D,2,FALSE),"-") &amp; " / " &amp; IFERROR(VLOOKUP(MID(G19,H19,I19-H19),[6]skilldef!$A:$B,2,FALSE),"-")</f>
        <v>青パネルを / ディスパネル</v>
      </c>
      <c r="M19" s="60" t="str">
        <f t="shared" si="5"/>
        <v>none</v>
      </c>
      <c r="N19" s="46" t="str">
        <f>IFERROR(LEFT(M19,FIND("],",M19)+#REF!),M19)</f>
        <v>none</v>
      </c>
      <c r="O19" s="60" t="e">
        <f t="shared" si="6"/>
        <v>#VALUE!</v>
      </c>
      <c r="P19" s="60">
        <f t="shared" si="7"/>
        <v>4</v>
      </c>
      <c r="Q19" s="60" t="e">
        <f t="shared" si="8"/>
        <v>#VALUE!</v>
      </c>
      <c r="R19" s="60" t="e">
        <f t="shared" si="9"/>
        <v>#VALUE!</v>
      </c>
      <c r="S19" s="60" t="str">
        <f>IFERROR(VLOOKUP(MID(N19,Q19,R19-Q19),[6]skilldef!$C:$D,2,FALSE),"-") &amp; " / " &amp; IFERROR(VLOOKUP(MID(N19,O19,P19-O19),[6]skilldef!$A:$B,2,FALSE),"-")</f>
        <v>- / -</v>
      </c>
      <c r="T19" s="46" t="str">
        <f t="shared" si="10"/>
        <v>none</v>
      </c>
      <c r="U19" s="60" t="e">
        <f t="shared" si="11"/>
        <v>#VALUE!</v>
      </c>
      <c r="V19" s="60">
        <f t="shared" si="12"/>
        <v>4</v>
      </c>
      <c r="W19" s="60" t="e">
        <f t="shared" si="13"/>
        <v>#VALUE!</v>
      </c>
      <c r="X19" s="60" t="e">
        <f t="shared" si="14"/>
        <v>#VALUE!</v>
      </c>
      <c r="Y19" s="60" t="str">
        <f>IFERROR(VLOOKUP(MID(T19,W19,X19-W19),[6]skilldef!$C:$D,2,FALSE),"-") &amp; " / " &amp; IFERROR(VLOOKUP(MID(T19,U19,V19-U19),[6]skilldef!$A:$B,2,FALSE),"-")</f>
        <v>- / -</v>
      </c>
      <c r="Z19" s="48"/>
      <c r="AA19" s="49"/>
      <c r="AB19" s="48"/>
    </row>
    <row r="20" spans="1:28" ht="31" customHeight="1" x14ac:dyDescent="0.15">
      <c r="A20" s="105">
        <v>13301817</v>
      </c>
      <c r="B20" s="105" t="s">
        <v>289</v>
      </c>
      <c r="C20" s="110">
        <v>3</v>
      </c>
      <c r="D20" s="110" t="s">
        <v>260</v>
      </c>
      <c r="E20" s="111" t="s">
        <v>290</v>
      </c>
      <c r="F20" s="111" t="s">
        <v>327</v>
      </c>
      <c r="G20" s="60" t="str">
        <f t="shared" si="0"/>
        <v>[effect:enemy_message, val1:1, val2:2.4]</v>
      </c>
      <c r="H20" s="60">
        <f t="shared" si="1"/>
        <v>9</v>
      </c>
      <c r="I20" s="60">
        <f t="shared" si="2"/>
        <v>22</v>
      </c>
      <c r="J20" s="60" t="e">
        <f t="shared" si="3"/>
        <v>#VALUE!</v>
      </c>
      <c r="K20" s="60">
        <f t="shared" si="4"/>
        <v>30</v>
      </c>
      <c r="L20" s="60" t="str">
        <f>IFERROR(VLOOKUP(MID(G20,J20,K20-J20),[6]skilldef!$C:$D,2,FALSE),"-") &amp; " / " &amp; IFERROR(VLOOKUP(MID(G20,H20,I20-H20),[6]skilldef!$A:$B,2,FALSE),"-")</f>
        <v>- / -</v>
      </c>
      <c r="M20" s="60" t="str">
        <f t="shared" si="5"/>
        <v>[effect:change_panel_ratio, turn:2, block_type:green, val:0, animation:block_incidence04],[effect:force_change_block, new_block:crack_bomb, target:block_all, ignore01:crash, color:block_blue, count:1, val:36, animation:change_block]</v>
      </c>
      <c r="N20" s="46" t="str">
        <f>IFERROR(LEFT(M20,FIND("],",M20)+#REF!),M20)</f>
        <v>[effect:change_panel_ratio, turn:2, block_type:green, val:0, animation:block_incidence04],[effect:force_change_block, new_block:crack_bomb, target:block_all, ignore01:crash, color:block_blue, count:1, val:36, animation:change_block]</v>
      </c>
      <c r="O20" s="60">
        <f t="shared" si="6"/>
        <v>9</v>
      </c>
      <c r="P20" s="60">
        <f t="shared" si="7"/>
        <v>27</v>
      </c>
      <c r="Q20" s="60">
        <f t="shared" si="8"/>
        <v>148</v>
      </c>
      <c r="R20" s="60">
        <f t="shared" si="9"/>
        <v>35</v>
      </c>
      <c r="S20" s="60" t="str">
        <f>IFERROR(VLOOKUP(MID(N20,Q20,R20-Q20),[6]skilldef!$C:$D,2,FALSE),"-") &amp; " / " &amp; IFERROR(VLOOKUP(MID(N20,O20,P20-O20),[6]skilldef!$A:$B,2,FALSE),"-")</f>
        <v>- / -</v>
      </c>
      <c r="T20" s="46" t="str">
        <f t="shared" si="10"/>
        <v>[effect:force_change_block, new_block:crack_bomb, target:block_all, ignore01:crash, color:block_blue, count:1, val:36, animation:change_block]</v>
      </c>
      <c r="U20" s="60">
        <f t="shared" si="11"/>
        <v>9</v>
      </c>
      <c r="V20" s="60">
        <f t="shared" si="12"/>
        <v>27</v>
      </c>
      <c r="W20" s="60">
        <f t="shared" si="13"/>
        <v>58</v>
      </c>
      <c r="X20" s="60">
        <f t="shared" si="14"/>
        <v>49</v>
      </c>
      <c r="Y20" s="60" t="str">
        <f>IFERROR(VLOOKUP(MID(T20,W20,X20-W20),[6]skilldef!$C:$D,2,FALSE),"-") &amp; " / " &amp; IFERROR(VLOOKUP(MID(T20,U20,V20-U20),[6]skilldef!$A:$B,2,FALSE),"-")</f>
        <v>- / -</v>
      </c>
      <c r="Z20" s="48"/>
      <c r="AA20" s="49"/>
      <c r="AB20" s="48"/>
    </row>
    <row r="21" spans="1:28" ht="32" customHeight="1" x14ac:dyDescent="0.15">
      <c r="A21" s="105">
        <v>13301818</v>
      </c>
      <c r="B21" s="105" t="s">
        <v>291</v>
      </c>
      <c r="C21" s="110">
        <v>3</v>
      </c>
      <c r="D21" s="110" t="s">
        <v>292</v>
      </c>
      <c r="E21" s="111" t="s">
        <v>293</v>
      </c>
      <c r="F21" s="111" t="s">
        <v>328</v>
      </c>
      <c r="G21" s="60" t="str">
        <f t="shared" si="0"/>
        <v>[effect:enemy_message, val1:1, val2:2.4]</v>
      </c>
      <c r="H21" s="60">
        <f t="shared" si="1"/>
        <v>9</v>
      </c>
      <c r="I21" s="60">
        <f t="shared" si="2"/>
        <v>22</v>
      </c>
      <c r="J21" s="60" t="e">
        <f t="shared" si="3"/>
        <v>#VALUE!</v>
      </c>
      <c r="K21" s="60">
        <f t="shared" si="4"/>
        <v>30</v>
      </c>
      <c r="L21" s="60" t="str">
        <f>IFERROR(VLOOKUP(MID(G21,J21,K21-J21),[6]skilldef!$C:$D,2,FALSE),"-") &amp; " / " &amp; IFERROR(VLOOKUP(MID(G21,H21,I21-H21),[6]skilldef!$A:$B,2,FALSE),"-")</f>
        <v>- / -</v>
      </c>
      <c r="M21" s="60" t="str">
        <f t="shared" si="5"/>
        <v>[effect:change_panel_ratio, turn:2, block_type:blue, val:0, animation:block_incidence04],[effect:force_change_block, new_block:crack_bomb, target:block_all, ignore01:crash, color:block_green, count:1, val:36, animation:change_block]</v>
      </c>
      <c r="N21" s="46" t="str">
        <f>IFERROR(LEFT(M21,FIND("],",M21)+#REF!),M21)</f>
        <v>[effect:change_panel_ratio, turn:2, block_type:blue, val:0, animation:block_incidence04],[effect:force_change_block, new_block:crack_bomb, target:block_all, ignore01:crash, color:block_green, count:1, val:36, animation:change_block]</v>
      </c>
      <c r="O21" s="60">
        <f t="shared" si="6"/>
        <v>9</v>
      </c>
      <c r="P21" s="60">
        <f t="shared" si="7"/>
        <v>27</v>
      </c>
      <c r="Q21" s="60">
        <f t="shared" si="8"/>
        <v>147</v>
      </c>
      <c r="R21" s="60">
        <f t="shared" si="9"/>
        <v>35</v>
      </c>
      <c r="S21" s="60" t="str">
        <f>IFERROR(VLOOKUP(MID(N21,Q21,R21-Q21),[6]skilldef!$C:$D,2,FALSE),"-") &amp; " / " &amp; IFERROR(VLOOKUP(MID(N21,O21,P21-O21),[6]skilldef!$A:$B,2,FALSE),"-")</f>
        <v>- / -</v>
      </c>
      <c r="T21" s="46" t="str">
        <f t="shared" si="10"/>
        <v>[effect:force_change_block, new_block:crack_bomb, target:block_all, ignore01:crash, color:block_green, count:1, val:36, animation:change_block]</v>
      </c>
      <c r="U21" s="60">
        <f t="shared" si="11"/>
        <v>9</v>
      </c>
      <c r="V21" s="60">
        <f t="shared" si="12"/>
        <v>27</v>
      </c>
      <c r="W21" s="60">
        <f t="shared" si="13"/>
        <v>58</v>
      </c>
      <c r="X21" s="60">
        <f t="shared" si="14"/>
        <v>49</v>
      </c>
      <c r="Y21" s="60" t="str">
        <f>IFERROR(VLOOKUP(MID(T21,W21,X21-W21),[6]skilldef!$C:$D,2,FALSE),"-") &amp; " / " &amp; IFERROR(VLOOKUP(MID(T21,U21,V21-U21),[6]skilldef!$A:$B,2,FALSE),"-")</f>
        <v>- / -</v>
      </c>
      <c r="Z21" s="48"/>
      <c r="AA21" s="49"/>
      <c r="AB21" s="48"/>
    </row>
    <row r="22" spans="1:28" ht="21" customHeight="1" x14ac:dyDescent="0.15">
      <c r="A22" s="105">
        <v>13301819</v>
      </c>
      <c r="B22" s="105" t="s">
        <v>312</v>
      </c>
      <c r="C22" s="110">
        <v>3</v>
      </c>
      <c r="D22" s="110" t="s">
        <v>260</v>
      </c>
      <c r="E22" s="111" t="s">
        <v>294</v>
      </c>
      <c r="F22" s="111" t="s">
        <v>323</v>
      </c>
      <c r="G22" s="60" t="str">
        <f t="shared" si="0"/>
        <v>[effect:suicide, val:0.50, animation:enemy_suicide]</v>
      </c>
      <c r="H22" s="60">
        <f t="shared" si="1"/>
        <v>9</v>
      </c>
      <c r="I22" s="60">
        <f t="shared" si="2"/>
        <v>16</v>
      </c>
      <c r="J22" s="60" t="e">
        <f t="shared" si="3"/>
        <v>#VALUE!</v>
      </c>
      <c r="K22" s="60">
        <f t="shared" si="4"/>
        <v>26</v>
      </c>
      <c r="L22" s="60" t="str">
        <f>IFERROR(VLOOKUP(MID(G22,J22,K22-J22),[6]skilldef!$C:$D,2,FALSE),"-") &amp; " / " &amp; IFERROR(VLOOKUP(MID(G22,H22,I22-H22),[6]skilldef!$A:$B,2,FALSE),"-")</f>
        <v>- / -</v>
      </c>
      <c r="M22" s="60" t="str">
        <f t="shared" si="5"/>
        <v>[effect:break_attack_fix, target:unit_all, val:145, lowest_val:1500, count:-1, color:red, block01:block_red]</v>
      </c>
      <c r="N22" s="46" t="str">
        <f>IFERROR(LEFT(M22,FIND("],",M22)+#REF!),M22)</f>
        <v>[effect:break_attack_fix, target:unit_all, val:145, lowest_val:1500, count:-1, color:red, block01:block_red]</v>
      </c>
      <c r="O22" s="60">
        <f t="shared" si="6"/>
        <v>9</v>
      </c>
      <c r="P22" s="60">
        <f t="shared" si="7"/>
        <v>25</v>
      </c>
      <c r="Q22" s="60">
        <f t="shared" si="8"/>
        <v>34</v>
      </c>
      <c r="R22" s="60">
        <f t="shared" si="9"/>
        <v>42</v>
      </c>
      <c r="S22" s="60" t="str">
        <f>IFERROR(VLOOKUP(MID(N22,Q22,R22-Q22),[6]skilldef!$C:$D,2,FALSE),"-") &amp; " / " &amp; IFERROR(VLOOKUP(MID(N22,O22,P22-O22),[6]skilldef!$A:$B,2,FALSE),"-")</f>
        <v>味方全体に / -</v>
      </c>
      <c r="T22" s="46" t="str">
        <f t="shared" si="10"/>
        <v>none</v>
      </c>
      <c r="U22" s="60" t="e">
        <f t="shared" si="11"/>
        <v>#VALUE!</v>
      </c>
      <c r="V22" s="60">
        <f t="shared" si="12"/>
        <v>4</v>
      </c>
      <c r="W22" s="60" t="e">
        <f t="shared" si="13"/>
        <v>#VALUE!</v>
      </c>
      <c r="X22" s="60" t="e">
        <f t="shared" si="14"/>
        <v>#VALUE!</v>
      </c>
      <c r="Y22" s="60" t="str">
        <f>IFERROR(VLOOKUP(MID(T22,W22,X22-W22),[6]skilldef!$C:$D,2,FALSE),"-") &amp; " / " &amp; IFERROR(VLOOKUP(MID(T22,U22,V22-U22),[6]skilldef!$A:$B,2,FALSE),"-")</f>
        <v>- / -</v>
      </c>
      <c r="Z22" s="48"/>
      <c r="AA22" s="49"/>
      <c r="AB22" s="48"/>
    </row>
    <row r="23" spans="1:28" ht="21" customHeight="1" x14ac:dyDescent="0.15">
      <c r="A23" s="105">
        <v>13301820</v>
      </c>
      <c r="B23" s="105" t="s">
        <v>313</v>
      </c>
      <c r="C23" s="110">
        <v>3</v>
      </c>
      <c r="D23" s="110" t="s">
        <v>260</v>
      </c>
      <c r="E23" s="111" t="s">
        <v>295</v>
      </c>
      <c r="F23" s="111" t="s">
        <v>324</v>
      </c>
      <c r="G23" s="60" t="str">
        <f t="shared" si="0"/>
        <v>[effect:suicide, val:0.50, animation:enemy_suicide]</v>
      </c>
      <c r="H23" s="60">
        <f t="shared" si="1"/>
        <v>9</v>
      </c>
      <c r="I23" s="60">
        <f t="shared" si="2"/>
        <v>16</v>
      </c>
      <c r="J23" s="60" t="e">
        <f t="shared" si="3"/>
        <v>#VALUE!</v>
      </c>
      <c r="K23" s="60">
        <f t="shared" si="4"/>
        <v>26</v>
      </c>
      <c r="L23" s="60" t="str">
        <f>IFERROR(VLOOKUP(MID(G23,J23,K23-J23),[6]skilldef!$C:$D,2,FALSE),"-") &amp; " / " &amp; IFERROR(VLOOKUP(MID(G23,H23,I23-H23),[6]skilldef!$A:$B,2,FALSE),"-")</f>
        <v>- / -</v>
      </c>
      <c r="M23" s="60" t="str">
        <f t="shared" si="5"/>
        <v>[effect:break_attack_fix, target:unit_all, val:145, lowest_val:1500, count:-1, color:yellow, block01:block_yellow]</v>
      </c>
      <c r="N23" s="46" t="str">
        <f>IFERROR(LEFT(M23,FIND("],",M23)+#REF!),M23)</f>
        <v>[effect:break_attack_fix, target:unit_all, val:145, lowest_val:1500, count:-1, color:yellow, block01:block_yellow]</v>
      </c>
      <c r="O23" s="60">
        <f t="shared" si="6"/>
        <v>9</v>
      </c>
      <c r="P23" s="60">
        <f t="shared" si="7"/>
        <v>25</v>
      </c>
      <c r="Q23" s="60">
        <f t="shared" si="8"/>
        <v>34</v>
      </c>
      <c r="R23" s="60">
        <f t="shared" si="9"/>
        <v>42</v>
      </c>
      <c r="S23" s="60" t="str">
        <f>IFERROR(VLOOKUP(MID(N23,Q23,R23-Q23),[6]skilldef!$C:$D,2,FALSE),"-") &amp; " / " &amp; IFERROR(VLOOKUP(MID(N23,O23,P23-O23),[6]skilldef!$A:$B,2,FALSE),"-")</f>
        <v>味方全体に / -</v>
      </c>
      <c r="T23" s="46" t="str">
        <f t="shared" si="10"/>
        <v>none</v>
      </c>
      <c r="U23" s="60" t="e">
        <f t="shared" si="11"/>
        <v>#VALUE!</v>
      </c>
      <c r="V23" s="60">
        <f t="shared" si="12"/>
        <v>4</v>
      </c>
      <c r="W23" s="60" t="e">
        <f t="shared" si="13"/>
        <v>#VALUE!</v>
      </c>
      <c r="X23" s="60" t="e">
        <f t="shared" si="14"/>
        <v>#VALUE!</v>
      </c>
      <c r="Y23" s="60" t="str">
        <f>IFERROR(VLOOKUP(MID(T23,W23,X23-W23),[6]skilldef!$C:$D,2,FALSE),"-") &amp; " / " &amp; IFERROR(VLOOKUP(MID(T23,U23,V23-U23),[6]skilldef!$A:$B,2,FALSE),"-")</f>
        <v>- / -</v>
      </c>
      <c r="Z23" s="48"/>
      <c r="AA23" s="49"/>
      <c r="AB23" s="48"/>
    </row>
    <row r="24" spans="1:28" ht="21" customHeight="1" x14ac:dyDescent="0.15">
      <c r="A24" s="105">
        <v>13301821</v>
      </c>
      <c r="B24" s="105" t="s">
        <v>311</v>
      </c>
      <c r="C24" s="110">
        <v>3</v>
      </c>
      <c r="D24" s="110" t="s">
        <v>260</v>
      </c>
      <c r="E24" s="111" t="s">
        <v>296</v>
      </c>
      <c r="F24" s="111" t="s">
        <v>325</v>
      </c>
      <c r="G24" s="60" t="str">
        <f t="shared" si="0"/>
        <v>[effect:suicide, val:0.50, animation:enemy_suicide]</v>
      </c>
      <c r="H24" s="60">
        <f t="shared" si="1"/>
        <v>9</v>
      </c>
      <c r="I24" s="60">
        <f t="shared" si="2"/>
        <v>16</v>
      </c>
      <c r="J24" s="60" t="e">
        <f t="shared" si="3"/>
        <v>#VALUE!</v>
      </c>
      <c r="K24" s="60">
        <f t="shared" si="4"/>
        <v>26</v>
      </c>
      <c r="L24" s="60" t="str">
        <f>IFERROR(VLOOKUP(MID(G24,J24,K24-J24),[6]skilldef!$C:$D,2,FALSE),"-") &amp; " / " &amp; IFERROR(VLOOKUP(MID(G24,H24,I24-H24),[6]skilldef!$A:$B,2,FALSE),"-")</f>
        <v>- / -</v>
      </c>
      <c r="M24" s="60" t="str">
        <f t="shared" si="5"/>
        <v>[effect:spread, val:0.2],[effect:spread, val:0.2],[effect:spread, val:0.2]</v>
      </c>
      <c r="N24" s="46" t="str">
        <f>IFERROR(LEFT(M24,FIND("],",M24)+#REF!),M24)</f>
        <v>[effect:spread, val:0.2],[effect:spread, val:0.2],[effect:spread, val:0.2]</v>
      </c>
      <c r="O24" s="60">
        <f t="shared" si="6"/>
        <v>9</v>
      </c>
      <c r="P24" s="60">
        <f t="shared" si="7"/>
        <v>15</v>
      </c>
      <c r="Q24" s="60" t="e">
        <f t="shared" si="8"/>
        <v>#VALUE!</v>
      </c>
      <c r="R24" s="60">
        <f t="shared" si="9"/>
        <v>25</v>
      </c>
      <c r="S24" s="60" t="str">
        <f>IFERROR(VLOOKUP(MID(N24,Q24,R24-Q24),[6]skilldef!$C:$D,2,FALSE),"-") &amp; " / " &amp; IFERROR(VLOOKUP(MID(N24,O24,P24-O24),[6]skilldef!$A:$B,2,FALSE),"-")</f>
        <v>- / 全体攻撃</v>
      </c>
      <c r="T24" s="46" t="str">
        <f t="shared" si="10"/>
        <v>[effect:spread, val:0.2],[effect:spread, val:0.2]</v>
      </c>
      <c r="U24" s="60">
        <f t="shared" si="11"/>
        <v>9</v>
      </c>
      <c r="V24" s="60">
        <f t="shared" si="12"/>
        <v>15</v>
      </c>
      <c r="W24" s="60" t="e">
        <f t="shared" si="13"/>
        <v>#VALUE!</v>
      </c>
      <c r="X24" s="60">
        <f t="shared" si="14"/>
        <v>25</v>
      </c>
      <c r="Y24" s="60" t="str">
        <f>IFERROR(VLOOKUP(MID(T24,W24,X24-W24),[6]skilldef!$C:$D,2,FALSE),"-") &amp; " / " &amp; IFERROR(VLOOKUP(MID(T24,U24,V24-U24),[6]skilldef!$A:$B,2,FALSE),"-")</f>
        <v>- / 全体攻撃</v>
      </c>
      <c r="Z24" s="48"/>
      <c r="AA24" s="49"/>
      <c r="AB24" s="48"/>
    </row>
    <row r="25" spans="1:28" ht="21" customHeight="1" x14ac:dyDescent="0.15">
      <c r="A25" s="105">
        <v>13301822</v>
      </c>
      <c r="B25" s="105" t="s">
        <v>310</v>
      </c>
      <c r="C25" s="110">
        <v>3</v>
      </c>
      <c r="D25" s="110" t="s">
        <v>260</v>
      </c>
      <c r="E25" s="111" t="s">
        <v>297</v>
      </c>
      <c r="F25" s="111" t="s">
        <v>298</v>
      </c>
      <c r="G25" s="60" t="str">
        <f t="shared" si="0"/>
        <v>[effect:spread, val:0.2]</v>
      </c>
      <c r="H25" s="60">
        <f t="shared" si="1"/>
        <v>9</v>
      </c>
      <c r="I25" s="60">
        <f t="shared" si="2"/>
        <v>15</v>
      </c>
      <c r="J25" s="60" t="e">
        <f t="shared" si="3"/>
        <v>#VALUE!</v>
      </c>
      <c r="K25" s="60" t="e">
        <f t="shared" si="4"/>
        <v>#VALUE!</v>
      </c>
      <c r="L25" s="60" t="str">
        <f>IFERROR(VLOOKUP(MID(G25,J25,K25-J25),[6]skilldef!$C:$D,2,FALSE),"-") &amp; " / " &amp; IFERROR(VLOOKUP(MID(G25,H25,I25-H25),[6]skilldef!$A:$B,2,FALSE),"-")</f>
        <v>- / 全体攻撃</v>
      </c>
      <c r="M25" s="60" t="str">
        <f t="shared" si="5"/>
        <v>none</v>
      </c>
      <c r="N25" s="46" t="str">
        <f>IFERROR(LEFT(M25,FIND("],",M25)+#REF!),M25)</f>
        <v>none</v>
      </c>
      <c r="O25" s="60" t="e">
        <f t="shared" si="6"/>
        <v>#VALUE!</v>
      </c>
      <c r="P25" s="60">
        <f t="shared" si="7"/>
        <v>4</v>
      </c>
      <c r="Q25" s="60" t="e">
        <f t="shared" si="8"/>
        <v>#VALUE!</v>
      </c>
      <c r="R25" s="60" t="e">
        <f t="shared" si="9"/>
        <v>#VALUE!</v>
      </c>
      <c r="S25" s="60" t="str">
        <f>IFERROR(VLOOKUP(MID(N25,Q25,R25-Q25),[6]skilldef!$C:$D,2,FALSE),"-") &amp; " / " &amp; IFERROR(VLOOKUP(MID(N25,O25,P25-O25),[6]skilldef!$A:$B,2,FALSE),"-")</f>
        <v>- / -</v>
      </c>
      <c r="T25" s="46" t="str">
        <f t="shared" si="10"/>
        <v>none</v>
      </c>
      <c r="U25" s="60" t="e">
        <f t="shared" si="11"/>
        <v>#VALUE!</v>
      </c>
      <c r="V25" s="60">
        <f t="shared" si="12"/>
        <v>4</v>
      </c>
      <c r="W25" s="60" t="e">
        <f t="shared" si="13"/>
        <v>#VALUE!</v>
      </c>
      <c r="X25" s="60" t="e">
        <f t="shared" si="14"/>
        <v>#VALUE!</v>
      </c>
      <c r="Y25" s="60" t="str">
        <f>IFERROR(VLOOKUP(MID(T25,W25,X25-W25),[6]skilldef!$C:$D,2,FALSE),"-") &amp; " / " &amp; IFERROR(VLOOKUP(MID(T25,U25,V25-U25),[6]skilldef!$A:$B,2,FALSE),"-")</f>
        <v>- / -</v>
      </c>
      <c r="Z25" s="48"/>
      <c r="AA25" s="49"/>
      <c r="AB25" s="48"/>
    </row>
    <row r="26" spans="1:28" ht="21" customHeight="1" x14ac:dyDescent="0.15">
      <c r="A26" s="105">
        <v>13301823</v>
      </c>
      <c r="B26" s="105" t="s">
        <v>299</v>
      </c>
      <c r="C26" s="110">
        <v>3</v>
      </c>
      <c r="D26" s="110" t="s">
        <v>260</v>
      </c>
      <c r="E26" s="111" t="s">
        <v>296</v>
      </c>
      <c r="F26" s="111" t="s">
        <v>326</v>
      </c>
      <c r="G26" s="60" t="str">
        <f t="shared" si="0"/>
        <v>[effect:suicide, val:0.50, animation:enemy_suicide]</v>
      </c>
      <c r="H26" s="60">
        <f t="shared" si="1"/>
        <v>9</v>
      </c>
      <c r="I26" s="60">
        <f t="shared" si="2"/>
        <v>16</v>
      </c>
      <c r="J26" s="60" t="e">
        <f t="shared" si="3"/>
        <v>#VALUE!</v>
      </c>
      <c r="K26" s="60">
        <f t="shared" si="4"/>
        <v>26</v>
      </c>
      <c r="L26" s="60" t="str">
        <f>IFERROR(VLOOKUP(MID(G26,J26,K26-J26),[6]skilldef!$C:$D,2,FALSE),"-") &amp; " / " &amp; IFERROR(VLOOKUP(MID(G26,H26,I26-H26),[6]skilldef!$A:$B,2,FALSE),"-")</f>
        <v>- / -</v>
      </c>
      <c r="M26" s="60" t="str">
        <f t="shared" si="5"/>
        <v>[effect:rush, count:12, val:0.2]</v>
      </c>
      <c r="N26" s="46" t="str">
        <f>IFERROR(LEFT(M26,FIND("],",M26)+#REF!),M26)</f>
        <v>[effect:rush, count:12, val:0.2]</v>
      </c>
      <c r="O26" s="60">
        <f t="shared" si="6"/>
        <v>9</v>
      </c>
      <c r="P26" s="60">
        <f t="shared" si="7"/>
        <v>13</v>
      </c>
      <c r="Q26" s="60" t="e">
        <f t="shared" si="8"/>
        <v>#VALUE!</v>
      </c>
      <c r="R26" s="60">
        <f t="shared" si="9"/>
        <v>23</v>
      </c>
      <c r="S26" s="60" t="str">
        <f>IFERROR(VLOOKUP(MID(N26,Q26,R26-Q26),[6]skilldef!$C:$D,2,FALSE),"-") &amp; " / " &amp; IFERROR(VLOOKUP(MID(N26,O26,P26-O26),[6]skilldef!$A:$B,2,FALSE),"-")</f>
        <v>- / 連続攻撃</v>
      </c>
      <c r="T26" s="46" t="str">
        <f t="shared" si="10"/>
        <v>none</v>
      </c>
      <c r="U26" s="60" t="e">
        <f t="shared" si="11"/>
        <v>#VALUE!</v>
      </c>
      <c r="V26" s="60">
        <f t="shared" si="12"/>
        <v>4</v>
      </c>
      <c r="W26" s="60" t="e">
        <f t="shared" si="13"/>
        <v>#VALUE!</v>
      </c>
      <c r="X26" s="60" t="e">
        <f t="shared" si="14"/>
        <v>#VALUE!</v>
      </c>
      <c r="Y26" s="60" t="str">
        <f>IFERROR(VLOOKUP(MID(T26,W26,X26-W26),[6]skilldef!$C:$D,2,FALSE),"-") &amp; " / " &amp; IFERROR(VLOOKUP(MID(T26,U26,V26-U26),[6]skilldef!$A:$B,2,FALSE),"-")</f>
        <v>- / -</v>
      </c>
      <c r="Z26" s="48"/>
      <c r="AA26" s="49"/>
      <c r="AB26" s="48"/>
    </row>
    <row r="27" spans="1:28" ht="21" customHeight="1" x14ac:dyDescent="0.15">
      <c r="A27" s="105">
        <v>13301824</v>
      </c>
      <c r="B27" s="105" t="s">
        <v>300</v>
      </c>
      <c r="C27" s="110">
        <v>3</v>
      </c>
      <c r="D27" s="110" t="s">
        <v>301</v>
      </c>
      <c r="E27" s="111" t="s">
        <v>302</v>
      </c>
      <c r="F27" s="111" t="s">
        <v>303</v>
      </c>
      <c r="G27" s="60" t="str">
        <f t="shared" si="0"/>
        <v>[effect:rush, count:4, val:0.25]</v>
      </c>
      <c r="H27" s="60">
        <f t="shared" si="1"/>
        <v>9</v>
      </c>
      <c r="I27" s="60">
        <f t="shared" si="2"/>
        <v>13</v>
      </c>
      <c r="J27" s="60" t="e">
        <f t="shared" si="3"/>
        <v>#VALUE!</v>
      </c>
      <c r="K27" s="60">
        <f t="shared" si="4"/>
        <v>22</v>
      </c>
      <c r="L27" s="60" t="str">
        <f>IFERROR(VLOOKUP(MID(G27,J27,K27-J27),[6]skilldef!$C:$D,2,FALSE),"-") &amp; " / " &amp; IFERROR(VLOOKUP(MID(G27,H27,I27-H27),[6]skilldef!$A:$B,2,FALSE),"-")</f>
        <v>- / 連続攻撃</v>
      </c>
      <c r="M27" s="60" t="str">
        <f t="shared" si="5"/>
        <v>none</v>
      </c>
      <c r="N27" s="46" t="str">
        <f>IFERROR(LEFT(M27,FIND("],",M27)+#REF!),M27)</f>
        <v>none</v>
      </c>
      <c r="O27" s="60" t="e">
        <f t="shared" si="6"/>
        <v>#VALUE!</v>
      </c>
      <c r="P27" s="60">
        <f t="shared" si="7"/>
        <v>4</v>
      </c>
      <c r="Q27" s="60" t="e">
        <f t="shared" si="8"/>
        <v>#VALUE!</v>
      </c>
      <c r="R27" s="60" t="e">
        <f t="shared" si="9"/>
        <v>#VALUE!</v>
      </c>
      <c r="S27" s="60" t="str">
        <f>IFERROR(VLOOKUP(MID(N27,Q27,R27-Q27),[6]skilldef!$C:$D,2,FALSE),"-") &amp; " / " &amp; IFERROR(VLOOKUP(MID(N27,O27,P27-O27),[6]skilldef!$A:$B,2,FALSE),"-")</f>
        <v>- / -</v>
      </c>
      <c r="T27" s="46" t="str">
        <f t="shared" si="10"/>
        <v>none</v>
      </c>
      <c r="U27" s="60" t="e">
        <f t="shared" si="11"/>
        <v>#VALUE!</v>
      </c>
      <c r="V27" s="60">
        <f t="shared" si="12"/>
        <v>4</v>
      </c>
      <c r="W27" s="60" t="e">
        <f t="shared" si="13"/>
        <v>#VALUE!</v>
      </c>
      <c r="X27" s="60" t="e">
        <f t="shared" si="14"/>
        <v>#VALUE!</v>
      </c>
      <c r="Y27" s="60" t="str">
        <f>IFERROR(VLOOKUP(MID(T27,W27,X27-W27),[6]skilldef!$C:$D,2,FALSE),"-") &amp; " / " &amp; IFERROR(VLOOKUP(MID(T27,U27,V27-U27),[6]skilldef!$A:$B,2,FALSE),"-")</f>
        <v>- / -</v>
      </c>
      <c r="Z27" s="48"/>
      <c r="AA27" s="49"/>
      <c r="AB27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zoomScale="140" zoomScaleNormal="140" zoomScalePageLayoutView="140" workbookViewId="0">
      <pane xSplit="5" ySplit="1" topLeftCell="F2" activePane="bottomRight" state="frozen"/>
      <selection pane="topRight"/>
      <selection pane="bottomLeft"/>
      <selection pane="bottomRight" activeCell="B5" sqref="B5"/>
    </sheetView>
  </sheetViews>
  <sheetFormatPr baseColWidth="12" defaultColWidth="12.83203125" defaultRowHeight="21" customHeight="1" outlineLevelCol="1" x14ac:dyDescent="0.15"/>
  <cols>
    <col min="1" max="1" width="16.83203125" style="37" customWidth="1"/>
    <col min="2" max="2" width="9.5" style="47" bestFit="1" customWidth="1"/>
    <col min="3" max="3" width="9.6640625" style="47" customWidth="1"/>
    <col min="4" max="4" width="7.83203125" style="47" customWidth="1" outlineLevel="1"/>
    <col min="5" max="5" width="8.5" style="47" customWidth="1" outlineLevel="1"/>
    <col min="6" max="6" width="11.1640625" style="47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60</v>
      </c>
      <c r="B1" s="38" t="s">
        <v>61</v>
      </c>
      <c r="C1" s="38" t="s">
        <v>62</v>
      </c>
      <c r="D1" s="39" t="s">
        <v>63</v>
      </c>
      <c r="E1" s="39" t="s">
        <v>64</v>
      </c>
      <c r="F1" s="40" t="s">
        <v>65</v>
      </c>
      <c r="G1" s="41" t="s">
        <v>66</v>
      </c>
      <c r="H1" s="41" t="s">
        <v>68</v>
      </c>
      <c r="I1" s="41" t="s">
        <v>69</v>
      </c>
      <c r="J1" s="41" t="s">
        <v>70</v>
      </c>
      <c r="K1" s="42" t="s">
        <v>71</v>
      </c>
      <c r="L1" s="42" t="s">
        <v>72</v>
      </c>
      <c r="M1" s="41" t="s">
        <v>73</v>
      </c>
      <c r="N1" s="41" t="s">
        <v>74</v>
      </c>
      <c r="O1" s="41" t="s">
        <v>75</v>
      </c>
      <c r="P1" s="39" t="s">
        <v>76</v>
      </c>
      <c r="Q1" s="39" t="s">
        <v>77</v>
      </c>
      <c r="R1" s="39" t="s">
        <v>78</v>
      </c>
    </row>
    <row r="2" spans="1:18" ht="21" customHeight="1" x14ac:dyDescent="0.15">
      <c r="A2" s="37" t="str">
        <f t="shared" ref="A2:A27" si="0">B2&amp;"_"&amp;C2</f>
        <v>13301800_13301825</v>
      </c>
      <c r="B2" s="45">
        <v>13301800</v>
      </c>
      <c r="C2" s="102">
        <v>13301825</v>
      </c>
      <c r="D2" s="44" t="e">
        <f ca="1">VLOOKUP($C2,OFFSET([3]enemy_skills!$A$1,0,0,COUNTA([3]enemy_skills!$A:$A),MATCH(D$1,[3]enemy_skills!$1:$1,0)-MATCH("enemy_skill_id",[3]enemy_skills!$1:$1,0)+1),MATCH(D$1,[3]enemy_skills!$1:$1,0)-MATCH("enemy_skill_id",[3]enemy_skills!$1:$1,0)+1,FALSE)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" s="44" t="e">
        <f ca="1">VLOOKUP($C2,OFFSET([3]enemy_skills!$A$1,0,0,COUNTA([3]enemy_skills!$A:$A),MATCH(E$1,[3]enemy_skills!$1:$1,0)-MATCH("enemy_skill_id",[3]enemy_skills!$1:$1,0)+1),MATCH(E$1,[3]enemy_skills!$1:$1,0)-MATCH("enemy_skill_id",[3]enemy_skills!$1:$1,0)+1,FALSE)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" s="102">
        <v>13301825</v>
      </c>
      <c r="G2" s="46" t="e">
        <f ca="1">VLOOKUP($F2,OFFSET([3]enemy_skill_triggers!$A$1,0,0,COUNTA([3]enemy_skill_triggers!$A:$A),MATCH(G$1,[3]enemy_skill_triggers!$1:$1,0)-MATCH($F$1,[3]enemy_skill_triggers!$1:$1,0)+1),MATCH(G$1,[3]enemy_skill_triggers!$1:$1,0)-MATCH($F$1,[3]enemy_skill_triggers!$1:$1,0)+1,FALSE)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" s="46" t="e">
        <f ca="1">VLOOKUP($F2,OFFSET([3]enemy_skill_triggers!$A$1,0,0,COUNTA([3]enemy_skill_triggers!$A:$A),MATCH(H$1,[3]enemy_skill_triggers!$1:$1,0)-MATCH($F$1,[3]enemy_skill_triggers!$1:$1,0)+1),MATCH(H$1,[3]enemy_skill_triggers!$1:$1,0)-MATCH($F$1,[3]enemy_skill_triggers!$1:$1,0)+1,FALSE)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" s="46" t="e">
        <f ca="1">VLOOKUP($F2,OFFSET([3]enemy_skill_triggers!$A$1,0,0,COUNTA([3]enemy_skill_triggers!$A:$A),MATCH(I$1,[3]enemy_skill_triggers!$1:$1,0)-MATCH($F$1,[3]enemy_skill_triggers!$1:$1,0)+1),MATCH(I$1,[3]enemy_skill_triggers!$1:$1,0)-MATCH($F$1,[3]enemy_skill_triggers!$1:$1,0)+1,FALSE)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" s="46" t="e">
        <f ca="1">VLOOKUP($F2,OFFSET([3]enemy_skill_triggers!$A$1,0,0,COUNTA([3]enemy_skill_triggers!$A:$A),MATCH(J$1,[3]enemy_skill_triggers!$1:$1,0)-MATCH($F$1,[3]enemy_skill_triggers!$1:$1,0)+1),MATCH(J$1,[3]enemy_skill_triggers!$1:$1,0)-MATCH($F$1,[3]enemy_skill_triggers!$1:$1,0)+1,FALSE)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" s="46" t="e">
        <f ca="1">VLOOKUP($F2,OFFSET([3]enemy_skill_triggers!$A$1,0,0,COUNTA([3]enemy_skill_triggers!$A:$A),MATCH(K$1,[3]enemy_skill_triggers!$1:$1,0)-MATCH($F$1,[3]enemy_skill_triggers!$1:$1,0)+1),MATCH(K$1,[3]enemy_skill_triggers!$1:$1,0)-MATCH($F$1,[3]enemy_skill_triggers!$1:$1,0)+1,FALSE)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" s="46" t="e">
        <f ca="1">VLOOKUP($F2,OFFSET([3]enemy_skill_triggers!$A$1,0,0,COUNTA([3]enemy_skill_triggers!$A:$A),MATCH(L$1,[3]enemy_skill_triggers!$1:$1,0)-MATCH($F$1,[3]enemy_skill_triggers!$1:$1,0)+1),MATCH(L$1,[3]enemy_skill_triggers!$1:$1,0)-MATCH($F$1,[3]enemy_skill_triggers!$1:$1,0)+1,FALSE)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" s="46" t="e">
        <f ca="1">VLOOKUP($F2,OFFSET([3]enemy_skill_triggers!$A$1,0,0,COUNTA([3]enemy_skill_triggers!$A:$A),MATCH(M$1,[3]enemy_skill_triggers!$1:$1,0)-MATCH($F$1,[3]enemy_skill_triggers!$1:$1,0)+1),MATCH(M$1,[3]enemy_skill_triggers!$1:$1,0)-MATCH($F$1,[3]enemy_skill_triggers!$1:$1,0)+1,FALSE)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" s="46" t="e">
        <f ca="1">VLOOKUP($F2,OFFSET([3]enemy_skill_triggers!$A$1,0,0,COUNTA([3]enemy_skill_triggers!$A:$A),MATCH(N$1,[3]enemy_skill_triggers!$1:$1,0)-MATCH($F$1,[3]enemy_skill_triggers!$1:$1,0)+1),MATCH(N$1,[3]enemy_skill_triggers!$1:$1,0)-MATCH($F$1,[3]enemy_skill_triggers!$1:$1,0)+1,FALSE)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" s="46" t="e">
        <f ca="1">VLOOKUP($F2,OFFSET([3]enemy_skill_triggers!$A$1,0,0,COUNTA([3]enemy_skill_triggers!$A:$A),MATCH(O$1,[3]enemy_skill_triggers!$1:$1,0)-MATCH($F$1,[3]enemy_skill_triggers!$1:$1,0)+1),MATCH(O$1,[3]enemy_skill_triggers!$1:$1,0)-MATCH($F$1,[3]enemy_skill_triggers!$1:$1,0)+1,FALSE)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" s="45"/>
      <c r="Q2" s="45"/>
      <c r="R2" s="45"/>
    </row>
    <row r="3" spans="1:18" ht="21" customHeight="1" x14ac:dyDescent="0.15">
      <c r="A3" s="37" t="str">
        <f t="shared" si="0"/>
        <v>13301801_13301826</v>
      </c>
      <c r="B3" s="45">
        <v>13301801</v>
      </c>
      <c r="C3" s="102">
        <v>13301826</v>
      </c>
      <c r="D3" s="44" t="e">
        <f ca="1">VLOOKUP($C3,OFFSET([3]enemy_skills!$A$1,0,0,COUNTA([3]enemy_skills!$A:$A),MATCH(D$1,[3]enemy_skills!$1:$1,0)-MATCH("enemy_skill_id",[3]enemy_skills!$1:$1,0)+1),MATCH(D$1,[3]enemy_skills!$1:$1,0)-MATCH("enemy_skill_id",[3]enemy_skills!$1:$1,0)+1,FALSE)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3" s="44" t="e">
        <f ca="1">VLOOKUP($C3,OFFSET([3]enemy_skills!$A$1,0,0,COUNTA([3]enemy_skills!$A:$A),MATCH(E$1,[3]enemy_skills!$1:$1,0)-MATCH("enemy_skill_id",[3]enemy_skills!$1:$1,0)+1),MATCH(E$1,[3]enemy_skills!$1:$1,0)-MATCH("enemy_skill_id",[3]enemy_skills!$1:$1,0)+1,FALSE)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3" s="102">
        <v>13301826</v>
      </c>
      <c r="G3" s="46" t="e">
        <f ca="1">VLOOKUP($F3,OFFSET([3]enemy_skill_triggers!$A$1,0,0,COUNTA([3]enemy_skill_triggers!$A:$A),MATCH(G$1,[3]enemy_skill_triggers!$1:$1,0)-MATCH($F$1,[3]enemy_skill_triggers!$1:$1,0)+1),MATCH(G$1,[3]enemy_skill_triggers!$1:$1,0)-MATCH($F$1,[3]enemy_skill_triggers!$1:$1,0)+1,FALSE)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3" s="46" t="e">
        <f ca="1">VLOOKUP($F3,OFFSET([3]enemy_skill_triggers!$A$1,0,0,COUNTA([3]enemy_skill_triggers!$A:$A),MATCH(H$1,[3]enemy_skill_triggers!$1:$1,0)-MATCH($F$1,[3]enemy_skill_triggers!$1:$1,0)+1),MATCH(H$1,[3]enemy_skill_triggers!$1:$1,0)-MATCH($F$1,[3]enemy_skill_triggers!$1:$1,0)+1,FALSE)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3" s="46" t="e">
        <f ca="1">VLOOKUP($F3,OFFSET([3]enemy_skill_triggers!$A$1,0,0,COUNTA([3]enemy_skill_triggers!$A:$A),MATCH(I$1,[3]enemy_skill_triggers!$1:$1,0)-MATCH($F$1,[3]enemy_skill_triggers!$1:$1,0)+1),MATCH(I$1,[3]enemy_skill_triggers!$1:$1,0)-MATCH($F$1,[3]enemy_skill_triggers!$1:$1,0)+1,FALSE)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3" s="46" t="e">
        <f ca="1">VLOOKUP($F3,OFFSET([3]enemy_skill_triggers!$A$1,0,0,COUNTA([3]enemy_skill_triggers!$A:$A),MATCH(J$1,[3]enemy_skill_triggers!$1:$1,0)-MATCH($F$1,[3]enemy_skill_triggers!$1:$1,0)+1),MATCH(J$1,[3]enemy_skill_triggers!$1:$1,0)-MATCH($F$1,[3]enemy_skill_triggers!$1:$1,0)+1,FALSE)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3" s="46" t="e">
        <f ca="1">VLOOKUP($F3,OFFSET([3]enemy_skill_triggers!$A$1,0,0,COUNTA([3]enemy_skill_triggers!$A:$A),MATCH(K$1,[3]enemy_skill_triggers!$1:$1,0)-MATCH($F$1,[3]enemy_skill_triggers!$1:$1,0)+1),MATCH(K$1,[3]enemy_skill_triggers!$1:$1,0)-MATCH($F$1,[3]enemy_skill_triggers!$1:$1,0)+1,FALSE)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3" s="46" t="e">
        <f ca="1">VLOOKUP($F3,OFFSET([3]enemy_skill_triggers!$A$1,0,0,COUNTA([3]enemy_skill_triggers!$A:$A),MATCH(L$1,[3]enemy_skill_triggers!$1:$1,0)-MATCH($F$1,[3]enemy_skill_triggers!$1:$1,0)+1),MATCH(L$1,[3]enemy_skill_triggers!$1:$1,0)-MATCH($F$1,[3]enemy_skill_triggers!$1:$1,0)+1,FALSE)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3" s="46" t="e">
        <f ca="1">VLOOKUP($F3,OFFSET([3]enemy_skill_triggers!$A$1,0,0,COUNTA([3]enemy_skill_triggers!$A:$A),MATCH(M$1,[3]enemy_skill_triggers!$1:$1,0)-MATCH($F$1,[3]enemy_skill_triggers!$1:$1,0)+1),MATCH(M$1,[3]enemy_skill_triggers!$1:$1,0)-MATCH($F$1,[3]enemy_skill_triggers!$1:$1,0)+1,FALSE)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3" s="46" t="e">
        <f ca="1">VLOOKUP($F3,OFFSET([3]enemy_skill_triggers!$A$1,0,0,COUNTA([3]enemy_skill_triggers!$A:$A),MATCH(N$1,[3]enemy_skill_triggers!$1:$1,0)-MATCH($F$1,[3]enemy_skill_triggers!$1:$1,0)+1),MATCH(N$1,[3]enemy_skill_triggers!$1:$1,0)-MATCH($F$1,[3]enemy_skill_triggers!$1:$1,0)+1,FALSE)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3" s="46" t="e">
        <f ca="1">VLOOKUP($F3,OFFSET([3]enemy_skill_triggers!$A$1,0,0,COUNTA([3]enemy_skill_triggers!$A:$A),MATCH(O$1,[3]enemy_skill_triggers!$1:$1,0)-MATCH($F$1,[3]enemy_skill_triggers!$1:$1,0)+1),MATCH(O$1,[3]enemy_skill_triggers!$1:$1,0)-MATCH($F$1,[3]enemy_skill_triggers!$1:$1,0)+1,FALSE)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3" s="45"/>
      <c r="Q3" s="45"/>
      <c r="R3" s="45"/>
    </row>
    <row r="4" spans="1:18" ht="21" customHeight="1" x14ac:dyDescent="0.15">
      <c r="A4" s="37" t="str">
        <f t="shared" ref="A4" si="1">B4&amp;"_"&amp;C4</f>
        <v>13301800_13301801</v>
      </c>
      <c r="B4" s="45">
        <v>13301800</v>
      </c>
      <c r="C4" s="102">
        <v>13301801</v>
      </c>
      <c r="D4" s="44" t="e">
        <f ca="1">VLOOKUP($C4,OFFSET([3]enemy_skills!$A$1,0,0,COUNTA([3]enemy_skills!$A:$A),MATCH(D$1,[3]enemy_skills!$1:$1,0)-MATCH("enemy_skill_id",[3]enemy_skills!$1:$1,0)+1),MATCH(D$1,[3]enemy_skills!$1:$1,0)-MATCH("enemy_skill_id",[3]enemy_skills!$1:$1,0)+1,FALSE)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4" s="44" t="e">
        <f ca="1">VLOOKUP($C4,OFFSET([3]enemy_skills!$A$1,0,0,COUNTA([3]enemy_skills!$A:$A),MATCH(E$1,[3]enemy_skills!$1:$1,0)-MATCH("enemy_skill_id",[3]enemy_skills!$1:$1,0)+1),MATCH(E$1,[3]enemy_skills!$1:$1,0)-MATCH("enemy_skill_id",[3]enemy_skills!$1:$1,0)+1,FALSE)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4" s="102">
        <v>13301801</v>
      </c>
      <c r="G4" s="46" t="e">
        <f ca="1">VLOOKUP($F4,OFFSET([3]enemy_skill_triggers!$A$1,0,0,COUNTA([3]enemy_skill_triggers!$A:$A),MATCH(G$1,[3]enemy_skill_triggers!$1:$1,0)-MATCH($F$1,[3]enemy_skill_triggers!$1:$1,0)+1),MATCH(G$1,[3]enemy_skill_triggers!$1:$1,0)-MATCH($F$1,[3]enemy_skill_triggers!$1:$1,0)+1,FALSE)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4" s="46" t="e">
        <f ca="1">VLOOKUP($F4,OFFSET([3]enemy_skill_triggers!$A$1,0,0,COUNTA([3]enemy_skill_triggers!$A:$A),MATCH(H$1,[3]enemy_skill_triggers!$1:$1,0)-MATCH($F$1,[3]enemy_skill_triggers!$1:$1,0)+1),MATCH(H$1,[3]enemy_skill_triggers!$1:$1,0)-MATCH($F$1,[3]enemy_skill_triggers!$1:$1,0)+1,FALSE)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4" s="46" t="e">
        <f ca="1">VLOOKUP($F4,OFFSET([3]enemy_skill_triggers!$A$1,0,0,COUNTA([3]enemy_skill_triggers!$A:$A),MATCH(I$1,[3]enemy_skill_triggers!$1:$1,0)-MATCH($F$1,[3]enemy_skill_triggers!$1:$1,0)+1),MATCH(I$1,[3]enemy_skill_triggers!$1:$1,0)-MATCH($F$1,[3]enemy_skill_triggers!$1:$1,0)+1,FALSE)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4" s="46" t="e">
        <f ca="1">VLOOKUP($F4,OFFSET([3]enemy_skill_triggers!$A$1,0,0,COUNTA([3]enemy_skill_triggers!$A:$A),MATCH(J$1,[3]enemy_skill_triggers!$1:$1,0)-MATCH($F$1,[3]enemy_skill_triggers!$1:$1,0)+1),MATCH(J$1,[3]enemy_skill_triggers!$1:$1,0)-MATCH($F$1,[3]enemy_skill_triggers!$1:$1,0)+1,FALSE)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4" s="46" t="e">
        <f ca="1">VLOOKUP($F4,OFFSET([3]enemy_skill_triggers!$A$1,0,0,COUNTA([3]enemy_skill_triggers!$A:$A),MATCH(K$1,[3]enemy_skill_triggers!$1:$1,0)-MATCH($F$1,[3]enemy_skill_triggers!$1:$1,0)+1),MATCH(K$1,[3]enemy_skill_triggers!$1:$1,0)-MATCH($F$1,[3]enemy_skill_triggers!$1:$1,0)+1,FALSE)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4" s="46" t="e">
        <f ca="1">VLOOKUP($F4,OFFSET([3]enemy_skill_triggers!$A$1,0,0,COUNTA([3]enemy_skill_triggers!$A:$A),MATCH(L$1,[3]enemy_skill_triggers!$1:$1,0)-MATCH($F$1,[3]enemy_skill_triggers!$1:$1,0)+1),MATCH(L$1,[3]enemy_skill_triggers!$1:$1,0)-MATCH($F$1,[3]enemy_skill_triggers!$1:$1,0)+1,FALSE)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4" s="46" t="e">
        <f ca="1">VLOOKUP($F4,OFFSET([3]enemy_skill_triggers!$A$1,0,0,COUNTA([3]enemy_skill_triggers!$A:$A),MATCH(M$1,[3]enemy_skill_triggers!$1:$1,0)-MATCH($F$1,[3]enemy_skill_triggers!$1:$1,0)+1),MATCH(M$1,[3]enemy_skill_triggers!$1:$1,0)-MATCH($F$1,[3]enemy_skill_triggers!$1:$1,0)+1,FALSE)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4" s="46" t="e">
        <f ca="1">VLOOKUP($F4,OFFSET([3]enemy_skill_triggers!$A$1,0,0,COUNTA([3]enemy_skill_triggers!$A:$A),MATCH(N$1,[3]enemy_skill_triggers!$1:$1,0)-MATCH($F$1,[3]enemy_skill_triggers!$1:$1,0)+1),MATCH(N$1,[3]enemy_skill_triggers!$1:$1,0)-MATCH($F$1,[3]enemy_skill_triggers!$1:$1,0)+1,FALSE)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4" s="46" t="e">
        <f ca="1">VLOOKUP($F4,OFFSET([3]enemy_skill_triggers!$A$1,0,0,COUNTA([3]enemy_skill_triggers!$A:$A),MATCH(O$1,[3]enemy_skill_triggers!$1:$1,0)-MATCH($F$1,[3]enemy_skill_triggers!$1:$1,0)+1),MATCH(O$1,[3]enemy_skill_triggers!$1:$1,0)-MATCH($F$1,[3]enemy_skill_triggers!$1:$1,0)+1,FALSE)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4" s="45"/>
      <c r="Q4" s="45"/>
      <c r="R4" s="45"/>
    </row>
    <row r="5" spans="1:18" ht="21" customHeight="1" x14ac:dyDescent="0.15">
      <c r="A5" s="37" t="str">
        <f t="shared" si="0"/>
        <v>13301801_13301802</v>
      </c>
      <c r="B5" s="45">
        <v>13301801</v>
      </c>
      <c r="C5" s="102">
        <v>13301802</v>
      </c>
      <c r="D5" s="44" t="e">
        <f ca="1">VLOOKUP($C5,OFFSET([3]enemy_skills!$A$1,0,0,COUNTA([3]enemy_skills!$A:$A),MATCH(D$1,[3]enemy_skills!$1:$1,0)-MATCH("enemy_skill_id",[3]enemy_skills!$1:$1,0)+1),MATCH(D$1,[3]enemy_skills!$1:$1,0)-MATCH("enemy_skill_id",[3]enemy_skills!$1:$1,0)+1,FALSE)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5" s="44" t="e">
        <f ca="1">VLOOKUP($C5,OFFSET([3]enemy_skills!$A$1,0,0,COUNTA([3]enemy_skills!$A:$A),MATCH(E$1,[3]enemy_skills!$1:$1,0)-MATCH("enemy_skill_id",[3]enemy_skills!$1:$1,0)+1),MATCH(E$1,[3]enemy_skills!$1:$1,0)-MATCH("enemy_skill_id",[3]enemy_skills!$1:$1,0)+1,FALSE)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5" s="102">
        <v>13301802</v>
      </c>
      <c r="G5" s="46" t="e">
        <f ca="1">VLOOKUP($F5,OFFSET([3]enemy_skill_triggers!$A$1,0,0,COUNTA([3]enemy_skill_triggers!$A:$A),MATCH(G$1,[3]enemy_skill_triggers!$1:$1,0)-MATCH($F$1,[3]enemy_skill_triggers!$1:$1,0)+1),MATCH(G$1,[3]enemy_skill_triggers!$1:$1,0)-MATCH($F$1,[3]enemy_skill_triggers!$1:$1,0)+1,FALSE)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5" s="46" t="e">
        <f ca="1">VLOOKUP($F5,OFFSET([3]enemy_skill_triggers!$A$1,0,0,COUNTA([3]enemy_skill_triggers!$A:$A),MATCH(H$1,[3]enemy_skill_triggers!$1:$1,0)-MATCH($F$1,[3]enemy_skill_triggers!$1:$1,0)+1),MATCH(H$1,[3]enemy_skill_triggers!$1:$1,0)-MATCH($F$1,[3]enemy_skill_triggers!$1:$1,0)+1,FALSE)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5" s="46" t="e">
        <f ca="1">VLOOKUP($F5,OFFSET([3]enemy_skill_triggers!$A$1,0,0,COUNTA([3]enemy_skill_triggers!$A:$A),MATCH(I$1,[3]enemy_skill_triggers!$1:$1,0)-MATCH($F$1,[3]enemy_skill_triggers!$1:$1,0)+1),MATCH(I$1,[3]enemy_skill_triggers!$1:$1,0)-MATCH($F$1,[3]enemy_skill_triggers!$1:$1,0)+1,FALSE)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5" s="46" t="e">
        <f ca="1">VLOOKUP($F5,OFFSET([3]enemy_skill_triggers!$A$1,0,0,COUNTA([3]enemy_skill_triggers!$A:$A),MATCH(J$1,[3]enemy_skill_triggers!$1:$1,0)-MATCH($F$1,[3]enemy_skill_triggers!$1:$1,0)+1),MATCH(J$1,[3]enemy_skill_triggers!$1:$1,0)-MATCH($F$1,[3]enemy_skill_triggers!$1:$1,0)+1,FALSE)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5" s="46" t="e">
        <f ca="1">VLOOKUP($F5,OFFSET([3]enemy_skill_triggers!$A$1,0,0,COUNTA([3]enemy_skill_triggers!$A:$A),MATCH(K$1,[3]enemy_skill_triggers!$1:$1,0)-MATCH($F$1,[3]enemy_skill_triggers!$1:$1,0)+1),MATCH(K$1,[3]enemy_skill_triggers!$1:$1,0)-MATCH($F$1,[3]enemy_skill_triggers!$1:$1,0)+1,FALSE)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5" s="46" t="e">
        <f ca="1">VLOOKUP($F5,OFFSET([3]enemy_skill_triggers!$A$1,0,0,COUNTA([3]enemy_skill_triggers!$A:$A),MATCH(L$1,[3]enemy_skill_triggers!$1:$1,0)-MATCH($F$1,[3]enemy_skill_triggers!$1:$1,0)+1),MATCH(L$1,[3]enemy_skill_triggers!$1:$1,0)-MATCH($F$1,[3]enemy_skill_triggers!$1:$1,0)+1,FALSE)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5" s="46" t="e">
        <f ca="1">VLOOKUP($F5,OFFSET([3]enemy_skill_triggers!$A$1,0,0,COUNTA([3]enemy_skill_triggers!$A:$A),MATCH(M$1,[3]enemy_skill_triggers!$1:$1,0)-MATCH($F$1,[3]enemy_skill_triggers!$1:$1,0)+1),MATCH(M$1,[3]enemy_skill_triggers!$1:$1,0)-MATCH($F$1,[3]enemy_skill_triggers!$1:$1,0)+1,FALSE)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5" s="46" t="e">
        <f ca="1">VLOOKUP($F5,OFFSET([3]enemy_skill_triggers!$A$1,0,0,COUNTA([3]enemy_skill_triggers!$A:$A),MATCH(N$1,[3]enemy_skill_triggers!$1:$1,0)-MATCH($F$1,[3]enemy_skill_triggers!$1:$1,0)+1),MATCH(N$1,[3]enemy_skill_triggers!$1:$1,0)-MATCH($F$1,[3]enemy_skill_triggers!$1:$1,0)+1,FALSE)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5" s="46" t="e">
        <f ca="1">VLOOKUP($F5,OFFSET([3]enemy_skill_triggers!$A$1,0,0,COUNTA([3]enemy_skill_triggers!$A:$A),MATCH(O$1,[3]enemy_skill_triggers!$1:$1,0)-MATCH($F$1,[3]enemy_skill_triggers!$1:$1,0)+1),MATCH(O$1,[3]enemy_skill_triggers!$1:$1,0)-MATCH($F$1,[3]enemy_skill_triggers!$1:$1,0)+1,FALSE)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5" s="45"/>
      <c r="Q5" s="45"/>
      <c r="R5" s="45"/>
    </row>
    <row r="6" spans="1:18" ht="21" customHeight="1" x14ac:dyDescent="0.15">
      <c r="A6" s="37" t="str">
        <f t="shared" si="0"/>
        <v>13301802_13301803</v>
      </c>
      <c r="B6" s="45">
        <v>13301802</v>
      </c>
      <c r="C6" s="104">
        <v>13301803</v>
      </c>
      <c r="D6" s="44" t="e">
        <f ca="1">VLOOKUP($C6,OFFSET([3]enemy_skills!$A$1,0,0,COUNTA([3]enemy_skills!$A:$A),MATCH(D$1,[3]enemy_skills!$1:$1,0)-MATCH("enemy_skill_id",[3]enemy_skills!$1:$1,0)+1),MATCH(D$1,[3]enemy_skills!$1:$1,0)-MATCH("enemy_skill_id",[3]enemy_skills!$1:$1,0)+1,FALSE)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6" s="44" t="e">
        <f ca="1">VLOOKUP($C6,OFFSET([3]enemy_skills!$A$1,0,0,COUNTA([3]enemy_skills!$A:$A),MATCH(E$1,[3]enemy_skills!$1:$1,0)-MATCH("enemy_skill_id",[3]enemy_skills!$1:$1,0)+1),MATCH(E$1,[3]enemy_skills!$1:$1,0)-MATCH("enemy_skill_id",[3]enemy_skills!$1:$1,0)+1,FALSE)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6" s="104">
        <v>13301803</v>
      </c>
      <c r="G6" s="46" t="e">
        <f ca="1">VLOOKUP($F6,OFFSET([3]enemy_skill_triggers!$A$1,0,0,COUNTA([3]enemy_skill_triggers!$A:$A),MATCH(G$1,[3]enemy_skill_triggers!$1:$1,0)-MATCH($F$1,[3]enemy_skill_triggers!$1:$1,0)+1),MATCH(G$1,[3]enemy_skill_triggers!$1:$1,0)-MATCH($F$1,[3]enemy_skill_triggers!$1:$1,0)+1,FALSE)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6" s="46" t="e">
        <f ca="1">VLOOKUP($F6,OFFSET([3]enemy_skill_triggers!$A$1,0,0,COUNTA([3]enemy_skill_triggers!$A:$A),MATCH(H$1,[3]enemy_skill_triggers!$1:$1,0)-MATCH($F$1,[3]enemy_skill_triggers!$1:$1,0)+1),MATCH(H$1,[3]enemy_skill_triggers!$1:$1,0)-MATCH($F$1,[3]enemy_skill_triggers!$1:$1,0)+1,FALSE)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6" s="46" t="e">
        <f ca="1">VLOOKUP($F6,OFFSET([3]enemy_skill_triggers!$A$1,0,0,COUNTA([3]enemy_skill_triggers!$A:$A),MATCH(I$1,[3]enemy_skill_triggers!$1:$1,0)-MATCH($F$1,[3]enemy_skill_triggers!$1:$1,0)+1),MATCH(I$1,[3]enemy_skill_triggers!$1:$1,0)-MATCH($F$1,[3]enemy_skill_triggers!$1:$1,0)+1,FALSE)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6" s="46" t="e">
        <f ca="1">VLOOKUP($F6,OFFSET([3]enemy_skill_triggers!$A$1,0,0,COUNTA([3]enemy_skill_triggers!$A:$A),MATCH(J$1,[3]enemy_skill_triggers!$1:$1,0)-MATCH($F$1,[3]enemy_skill_triggers!$1:$1,0)+1),MATCH(J$1,[3]enemy_skill_triggers!$1:$1,0)-MATCH($F$1,[3]enemy_skill_triggers!$1:$1,0)+1,FALSE)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6" s="46" t="e">
        <f ca="1">VLOOKUP($F6,OFFSET([3]enemy_skill_triggers!$A$1,0,0,COUNTA([3]enemy_skill_triggers!$A:$A),MATCH(K$1,[3]enemy_skill_triggers!$1:$1,0)-MATCH($F$1,[3]enemy_skill_triggers!$1:$1,0)+1),MATCH(K$1,[3]enemy_skill_triggers!$1:$1,0)-MATCH($F$1,[3]enemy_skill_triggers!$1:$1,0)+1,FALSE)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6" s="46" t="e">
        <f ca="1">VLOOKUP($F6,OFFSET([3]enemy_skill_triggers!$A$1,0,0,COUNTA([3]enemy_skill_triggers!$A:$A),MATCH(L$1,[3]enemy_skill_triggers!$1:$1,0)-MATCH($F$1,[3]enemy_skill_triggers!$1:$1,0)+1),MATCH(L$1,[3]enemy_skill_triggers!$1:$1,0)-MATCH($F$1,[3]enemy_skill_triggers!$1:$1,0)+1,FALSE)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6" s="46" t="e">
        <f ca="1">VLOOKUP($F6,OFFSET([3]enemy_skill_triggers!$A$1,0,0,COUNTA([3]enemy_skill_triggers!$A:$A),MATCH(M$1,[3]enemy_skill_triggers!$1:$1,0)-MATCH($F$1,[3]enemy_skill_triggers!$1:$1,0)+1),MATCH(M$1,[3]enemy_skill_triggers!$1:$1,0)-MATCH($F$1,[3]enemy_skill_triggers!$1:$1,0)+1,FALSE)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6" s="46" t="e">
        <f ca="1">VLOOKUP($F6,OFFSET([3]enemy_skill_triggers!$A$1,0,0,COUNTA([3]enemy_skill_triggers!$A:$A),MATCH(N$1,[3]enemy_skill_triggers!$1:$1,0)-MATCH($F$1,[3]enemy_skill_triggers!$1:$1,0)+1),MATCH(N$1,[3]enemy_skill_triggers!$1:$1,0)-MATCH($F$1,[3]enemy_skill_triggers!$1:$1,0)+1,FALSE)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6" s="46" t="e">
        <f ca="1">VLOOKUP($F6,OFFSET([3]enemy_skill_triggers!$A$1,0,0,COUNTA([3]enemy_skill_triggers!$A:$A),MATCH(O$1,[3]enemy_skill_triggers!$1:$1,0)-MATCH($F$1,[3]enemy_skill_triggers!$1:$1,0)+1),MATCH(O$1,[3]enemy_skill_triggers!$1:$1,0)-MATCH($F$1,[3]enemy_skill_triggers!$1:$1,0)+1,FALSE)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6" s="45"/>
      <c r="Q6" s="45"/>
      <c r="R6" s="45"/>
    </row>
    <row r="7" spans="1:18" ht="21" customHeight="1" x14ac:dyDescent="0.15">
      <c r="A7" s="37" t="str">
        <f t="shared" si="0"/>
        <v>13301803_13301804</v>
      </c>
      <c r="B7" s="45">
        <v>13301803</v>
      </c>
      <c r="C7" s="104">
        <v>13301804</v>
      </c>
      <c r="D7" s="44" t="e">
        <f ca="1">VLOOKUP($C7,OFFSET([3]enemy_skills!$A$1,0,0,COUNTA([3]enemy_skills!$A:$A),MATCH(D$1,[3]enemy_skills!$1:$1,0)-MATCH("enemy_skill_id",[3]enemy_skills!$1:$1,0)+1),MATCH(D$1,[3]enemy_skills!$1:$1,0)-MATCH("enemy_skill_id",[3]enemy_skills!$1:$1,0)+1,FALSE)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7" s="44" t="e">
        <f ca="1">VLOOKUP($C7,OFFSET([3]enemy_skills!$A$1,0,0,COUNTA([3]enemy_skills!$A:$A),MATCH(E$1,[3]enemy_skills!$1:$1,0)-MATCH("enemy_skill_id",[3]enemy_skills!$1:$1,0)+1),MATCH(E$1,[3]enemy_skills!$1:$1,0)-MATCH("enemy_skill_id",[3]enemy_skills!$1:$1,0)+1,FALSE)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7" s="104">
        <v>13301804</v>
      </c>
      <c r="G7" s="46" t="e">
        <f ca="1">VLOOKUP($F7,OFFSET([3]enemy_skill_triggers!$A$1,0,0,COUNTA([3]enemy_skill_triggers!$A:$A),MATCH(G$1,[3]enemy_skill_triggers!$1:$1,0)-MATCH($F$1,[3]enemy_skill_triggers!$1:$1,0)+1),MATCH(G$1,[3]enemy_skill_triggers!$1:$1,0)-MATCH($F$1,[3]enemy_skill_triggers!$1:$1,0)+1,FALSE)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7" s="46" t="e">
        <f ca="1">VLOOKUP($F7,OFFSET([3]enemy_skill_triggers!$A$1,0,0,COUNTA([3]enemy_skill_triggers!$A:$A),MATCH(H$1,[3]enemy_skill_triggers!$1:$1,0)-MATCH($F$1,[3]enemy_skill_triggers!$1:$1,0)+1),MATCH(H$1,[3]enemy_skill_triggers!$1:$1,0)-MATCH($F$1,[3]enemy_skill_triggers!$1:$1,0)+1,FALSE)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7" s="46" t="e">
        <f ca="1">VLOOKUP($F7,OFFSET([3]enemy_skill_triggers!$A$1,0,0,COUNTA([3]enemy_skill_triggers!$A:$A),MATCH(I$1,[3]enemy_skill_triggers!$1:$1,0)-MATCH($F$1,[3]enemy_skill_triggers!$1:$1,0)+1),MATCH(I$1,[3]enemy_skill_triggers!$1:$1,0)-MATCH($F$1,[3]enemy_skill_triggers!$1:$1,0)+1,FALSE)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7" s="46" t="e">
        <f ca="1">VLOOKUP($F7,OFFSET([3]enemy_skill_triggers!$A$1,0,0,COUNTA([3]enemy_skill_triggers!$A:$A),MATCH(J$1,[3]enemy_skill_triggers!$1:$1,0)-MATCH($F$1,[3]enemy_skill_triggers!$1:$1,0)+1),MATCH(J$1,[3]enemy_skill_triggers!$1:$1,0)-MATCH($F$1,[3]enemy_skill_triggers!$1:$1,0)+1,FALSE)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7" s="46" t="e">
        <f ca="1">VLOOKUP($F7,OFFSET([3]enemy_skill_triggers!$A$1,0,0,COUNTA([3]enemy_skill_triggers!$A:$A),MATCH(K$1,[3]enemy_skill_triggers!$1:$1,0)-MATCH($F$1,[3]enemy_skill_triggers!$1:$1,0)+1),MATCH(K$1,[3]enemy_skill_triggers!$1:$1,0)-MATCH($F$1,[3]enemy_skill_triggers!$1:$1,0)+1,FALSE)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7" s="46" t="e">
        <f ca="1">VLOOKUP($F7,OFFSET([3]enemy_skill_triggers!$A$1,0,0,COUNTA([3]enemy_skill_triggers!$A:$A),MATCH(L$1,[3]enemy_skill_triggers!$1:$1,0)-MATCH($F$1,[3]enemy_skill_triggers!$1:$1,0)+1),MATCH(L$1,[3]enemy_skill_triggers!$1:$1,0)-MATCH($F$1,[3]enemy_skill_triggers!$1:$1,0)+1,FALSE)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7" s="46" t="e">
        <f ca="1">VLOOKUP($F7,OFFSET([3]enemy_skill_triggers!$A$1,0,0,COUNTA([3]enemy_skill_triggers!$A:$A),MATCH(M$1,[3]enemy_skill_triggers!$1:$1,0)-MATCH($F$1,[3]enemy_skill_triggers!$1:$1,0)+1),MATCH(M$1,[3]enemy_skill_triggers!$1:$1,0)-MATCH($F$1,[3]enemy_skill_triggers!$1:$1,0)+1,FALSE)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7" s="46" t="e">
        <f ca="1">VLOOKUP($F7,OFFSET([3]enemy_skill_triggers!$A$1,0,0,COUNTA([3]enemy_skill_triggers!$A:$A),MATCH(N$1,[3]enemy_skill_triggers!$1:$1,0)-MATCH($F$1,[3]enemy_skill_triggers!$1:$1,0)+1),MATCH(N$1,[3]enemy_skill_triggers!$1:$1,0)-MATCH($F$1,[3]enemy_skill_triggers!$1:$1,0)+1,FALSE)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7" s="46" t="e">
        <f ca="1">VLOOKUP($F7,OFFSET([3]enemy_skill_triggers!$A$1,0,0,COUNTA([3]enemy_skill_triggers!$A:$A),MATCH(O$1,[3]enemy_skill_triggers!$1:$1,0)-MATCH($F$1,[3]enemy_skill_triggers!$1:$1,0)+1),MATCH(O$1,[3]enemy_skill_triggers!$1:$1,0)-MATCH($F$1,[3]enemy_skill_triggers!$1:$1,0)+1,FALSE)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7" s="45"/>
      <c r="Q7" s="45"/>
      <c r="R7" s="45"/>
    </row>
    <row r="8" spans="1:18" ht="21" customHeight="1" x14ac:dyDescent="0.15">
      <c r="A8" s="37" t="str">
        <f t="shared" si="0"/>
        <v>13301802_13301805</v>
      </c>
      <c r="B8" s="45">
        <v>13301802</v>
      </c>
      <c r="C8" s="104">
        <v>13301805</v>
      </c>
      <c r="D8" s="44" t="e">
        <f ca="1">VLOOKUP($C8,OFFSET([3]enemy_skills!$A$1,0,0,COUNTA([3]enemy_skills!$A:$A),MATCH(D$1,[3]enemy_skills!$1:$1,0)-MATCH("enemy_skill_id",[3]enemy_skills!$1:$1,0)+1),MATCH(D$1,[3]enemy_skills!$1:$1,0)-MATCH("enemy_skill_id",[3]enemy_skills!$1:$1,0)+1,FALSE)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8" s="44" t="e">
        <f ca="1">VLOOKUP($C8,OFFSET([3]enemy_skills!$A$1,0,0,COUNTA([3]enemy_skills!$A:$A),MATCH(E$1,[3]enemy_skills!$1:$1,0)-MATCH("enemy_skill_id",[3]enemy_skills!$1:$1,0)+1),MATCH(E$1,[3]enemy_skills!$1:$1,0)-MATCH("enemy_skill_id",[3]enemy_skills!$1:$1,0)+1,FALSE)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8" s="104">
        <v>13301805</v>
      </c>
      <c r="G8" s="46" t="e">
        <f ca="1">VLOOKUP($F8,OFFSET([3]enemy_skill_triggers!$A$1,0,0,COUNTA([3]enemy_skill_triggers!$A:$A),MATCH(G$1,[3]enemy_skill_triggers!$1:$1,0)-MATCH($F$1,[3]enemy_skill_triggers!$1:$1,0)+1),MATCH(G$1,[3]enemy_skill_triggers!$1:$1,0)-MATCH($F$1,[3]enemy_skill_triggers!$1:$1,0)+1,FALSE)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8" s="46" t="e">
        <f ca="1">VLOOKUP($F8,OFFSET([3]enemy_skill_triggers!$A$1,0,0,COUNTA([3]enemy_skill_triggers!$A:$A),MATCH(H$1,[3]enemy_skill_triggers!$1:$1,0)-MATCH($F$1,[3]enemy_skill_triggers!$1:$1,0)+1),MATCH(H$1,[3]enemy_skill_triggers!$1:$1,0)-MATCH($F$1,[3]enemy_skill_triggers!$1:$1,0)+1,FALSE)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8" s="46" t="e">
        <f ca="1">VLOOKUP($F8,OFFSET([3]enemy_skill_triggers!$A$1,0,0,COUNTA([3]enemy_skill_triggers!$A:$A),MATCH(I$1,[3]enemy_skill_triggers!$1:$1,0)-MATCH($F$1,[3]enemy_skill_triggers!$1:$1,0)+1),MATCH(I$1,[3]enemy_skill_triggers!$1:$1,0)-MATCH($F$1,[3]enemy_skill_triggers!$1:$1,0)+1,FALSE)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8" s="46" t="e">
        <f ca="1">VLOOKUP($F8,OFFSET([3]enemy_skill_triggers!$A$1,0,0,COUNTA([3]enemy_skill_triggers!$A:$A),MATCH(J$1,[3]enemy_skill_triggers!$1:$1,0)-MATCH($F$1,[3]enemy_skill_triggers!$1:$1,0)+1),MATCH(J$1,[3]enemy_skill_triggers!$1:$1,0)-MATCH($F$1,[3]enemy_skill_triggers!$1:$1,0)+1,FALSE)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8" s="46" t="e">
        <f ca="1">VLOOKUP($F8,OFFSET([3]enemy_skill_triggers!$A$1,0,0,COUNTA([3]enemy_skill_triggers!$A:$A),MATCH(K$1,[3]enemy_skill_triggers!$1:$1,0)-MATCH($F$1,[3]enemy_skill_triggers!$1:$1,0)+1),MATCH(K$1,[3]enemy_skill_triggers!$1:$1,0)-MATCH($F$1,[3]enemy_skill_triggers!$1:$1,0)+1,FALSE)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8" s="46" t="e">
        <f ca="1">VLOOKUP($F8,OFFSET([3]enemy_skill_triggers!$A$1,0,0,COUNTA([3]enemy_skill_triggers!$A:$A),MATCH(L$1,[3]enemy_skill_triggers!$1:$1,0)-MATCH($F$1,[3]enemy_skill_triggers!$1:$1,0)+1),MATCH(L$1,[3]enemy_skill_triggers!$1:$1,0)-MATCH($F$1,[3]enemy_skill_triggers!$1:$1,0)+1,FALSE)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8" s="46" t="e">
        <f ca="1">VLOOKUP($F8,OFFSET([3]enemy_skill_triggers!$A$1,0,0,COUNTA([3]enemy_skill_triggers!$A:$A),MATCH(M$1,[3]enemy_skill_triggers!$1:$1,0)-MATCH($F$1,[3]enemy_skill_triggers!$1:$1,0)+1),MATCH(M$1,[3]enemy_skill_triggers!$1:$1,0)-MATCH($F$1,[3]enemy_skill_triggers!$1:$1,0)+1,FALSE)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8" s="46" t="e">
        <f ca="1">VLOOKUP($F8,OFFSET([3]enemy_skill_triggers!$A$1,0,0,COUNTA([3]enemy_skill_triggers!$A:$A),MATCH(N$1,[3]enemy_skill_triggers!$1:$1,0)-MATCH($F$1,[3]enemy_skill_triggers!$1:$1,0)+1),MATCH(N$1,[3]enemy_skill_triggers!$1:$1,0)-MATCH($F$1,[3]enemy_skill_triggers!$1:$1,0)+1,FALSE)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8" s="46" t="e">
        <f ca="1">VLOOKUP($F8,OFFSET([3]enemy_skill_triggers!$A$1,0,0,COUNTA([3]enemy_skill_triggers!$A:$A),MATCH(O$1,[3]enemy_skill_triggers!$1:$1,0)-MATCH($F$1,[3]enemy_skill_triggers!$1:$1,0)+1),MATCH(O$1,[3]enemy_skill_triggers!$1:$1,0)-MATCH($F$1,[3]enemy_skill_triggers!$1:$1,0)+1,FALSE)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8" s="45"/>
      <c r="Q8" s="45"/>
      <c r="R8" s="45"/>
    </row>
    <row r="9" spans="1:18" ht="21" customHeight="1" x14ac:dyDescent="0.15">
      <c r="A9" s="37" t="str">
        <f t="shared" si="0"/>
        <v>13301803_13301806</v>
      </c>
      <c r="B9" s="45">
        <v>13301803</v>
      </c>
      <c r="C9" s="104">
        <v>13301806</v>
      </c>
      <c r="D9" s="44" t="e">
        <f ca="1">VLOOKUP($C9,OFFSET([3]enemy_skills!$A$1,0,0,COUNTA([3]enemy_skills!$A:$A),MATCH(D$1,[3]enemy_skills!$1:$1,0)-MATCH("enemy_skill_id",[3]enemy_skills!$1:$1,0)+1),MATCH(D$1,[3]enemy_skills!$1:$1,0)-MATCH("enemy_skill_id",[3]enemy_skills!$1:$1,0)+1,FALSE)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9" s="44" t="e">
        <f ca="1">VLOOKUP($C9,OFFSET([3]enemy_skills!$A$1,0,0,COUNTA([3]enemy_skills!$A:$A),MATCH(E$1,[3]enemy_skills!$1:$1,0)-MATCH("enemy_skill_id",[3]enemy_skills!$1:$1,0)+1),MATCH(E$1,[3]enemy_skills!$1:$1,0)-MATCH("enemy_skill_id",[3]enemy_skills!$1:$1,0)+1,FALSE)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9" s="104">
        <v>13301806</v>
      </c>
      <c r="G9" s="46" t="e">
        <f ca="1">VLOOKUP($F9,OFFSET([3]enemy_skill_triggers!$A$1,0,0,COUNTA([3]enemy_skill_triggers!$A:$A),MATCH(G$1,[3]enemy_skill_triggers!$1:$1,0)-MATCH($F$1,[3]enemy_skill_triggers!$1:$1,0)+1),MATCH(G$1,[3]enemy_skill_triggers!$1:$1,0)-MATCH($F$1,[3]enemy_skill_triggers!$1:$1,0)+1,FALSE)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9" s="46" t="e">
        <f ca="1">VLOOKUP($F9,OFFSET([3]enemy_skill_triggers!$A$1,0,0,COUNTA([3]enemy_skill_triggers!$A:$A),MATCH(H$1,[3]enemy_skill_triggers!$1:$1,0)-MATCH($F$1,[3]enemy_skill_triggers!$1:$1,0)+1),MATCH(H$1,[3]enemy_skill_triggers!$1:$1,0)-MATCH($F$1,[3]enemy_skill_triggers!$1:$1,0)+1,FALSE)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9" s="46" t="e">
        <f ca="1">VLOOKUP($F9,OFFSET([3]enemy_skill_triggers!$A$1,0,0,COUNTA([3]enemy_skill_triggers!$A:$A),MATCH(I$1,[3]enemy_skill_triggers!$1:$1,0)-MATCH($F$1,[3]enemy_skill_triggers!$1:$1,0)+1),MATCH(I$1,[3]enemy_skill_triggers!$1:$1,0)-MATCH($F$1,[3]enemy_skill_triggers!$1:$1,0)+1,FALSE)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9" s="46" t="e">
        <f ca="1">VLOOKUP($F9,OFFSET([3]enemy_skill_triggers!$A$1,0,0,COUNTA([3]enemy_skill_triggers!$A:$A),MATCH(J$1,[3]enemy_skill_triggers!$1:$1,0)-MATCH($F$1,[3]enemy_skill_triggers!$1:$1,0)+1),MATCH(J$1,[3]enemy_skill_triggers!$1:$1,0)-MATCH($F$1,[3]enemy_skill_triggers!$1:$1,0)+1,FALSE)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9" s="46" t="e">
        <f ca="1">VLOOKUP($F9,OFFSET([3]enemy_skill_triggers!$A$1,0,0,COUNTA([3]enemy_skill_triggers!$A:$A),MATCH(K$1,[3]enemy_skill_triggers!$1:$1,0)-MATCH($F$1,[3]enemy_skill_triggers!$1:$1,0)+1),MATCH(K$1,[3]enemy_skill_triggers!$1:$1,0)-MATCH($F$1,[3]enemy_skill_triggers!$1:$1,0)+1,FALSE)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9" s="46" t="e">
        <f ca="1">VLOOKUP($F9,OFFSET([3]enemy_skill_triggers!$A$1,0,0,COUNTA([3]enemy_skill_triggers!$A:$A),MATCH(L$1,[3]enemy_skill_triggers!$1:$1,0)-MATCH($F$1,[3]enemy_skill_triggers!$1:$1,0)+1),MATCH(L$1,[3]enemy_skill_triggers!$1:$1,0)-MATCH($F$1,[3]enemy_skill_triggers!$1:$1,0)+1,FALSE)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9" s="46" t="e">
        <f ca="1">VLOOKUP($F9,OFFSET([3]enemy_skill_triggers!$A$1,0,0,COUNTA([3]enemy_skill_triggers!$A:$A),MATCH(M$1,[3]enemy_skill_triggers!$1:$1,0)-MATCH($F$1,[3]enemy_skill_triggers!$1:$1,0)+1),MATCH(M$1,[3]enemy_skill_triggers!$1:$1,0)-MATCH($F$1,[3]enemy_skill_triggers!$1:$1,0)+1,FALSE)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9" s="46" t="e">
        <f ca="1">VLOOKUP($F9,OFFSET([3]enemy_skill_triggers!$A$1,0,0,COUNTA([3]enemy_skill_triggers!$A:$A),MATCH(N$1,[3]enemy_skill_triggers!$1:$1,0)-MATCH($F$1,[3]enemy_skill_triggers!$1:$1,0)+1),MATCH(N$1,[3]enemy_skill_triggers!$1:$1,0)-MATCH($F$1,[3]enemy_skill_triggers!$1:$1,0)+1,FALSE)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9" s="46" t="e">
        <f ca="1">VLOOKUP($F9,OFFSET([3]enemy_skill_triggers!$A$1,0,0,COUNTA([3]enemy_skill_triggers!$A:$A),MATCH(O$1,[3]enemy_skill_triggers!$1:$1,0)-MATCH($F$1,[3]enemy_skill_triggers!$1:$1,0)+1),MATCH(O$1,[3]enemy_skill_triggers!$1:$1,0)-MATCH($F$1,[3]enemy_skill_triggers!$1:$1,0)+1,FALSE)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9" s="45"/>
      <c r="Q9" s="45"/>
      <c r="R9" s="45"/>
    </row>
    <row r="10" spans="1:18" ht="21" customHeight="1" x14ac:dyDescent="0.15">
      <c r="A10" s="37" t="str">
        <f t="shared" si="0"/>
        <v>13301803_13301807</v>
      </c>
      <c r="B10" s="45">
        <v>13301803</v>
      </c>
      <c r="C10" s="104">
        <v>13301807</v>
      </c>
      <c r="D10" s="44" t="e">
        <f ca="1">VLOOKUP($C10,OFFSET([3]enemy_skills!$A$1,0,0,COUNTA([3]enemy_skills!$A:$A),MATCH(D$1,[3]enemy_skills!$1:$1,0)-MATCH("enemy_skill_id",[3]enemy_skills!$1:$1,0)+1),MATCH(D$1,[3]enemy_skills!$1:$1,0)-MATCH("enemy_skill_id",[3]enemy_skills!$1:$1,0)+1,FALSE)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0" s="44" t="e">
        <f ca="1">VLOOKUP($C10,OFFSET([3]enemy_skills!$A$1,0,0,COUNTA([3]enemy_skills!$A:$A),MATCH(E$1,[3]enemy_skills!$1:$1,0)-MATCH("enemy_skill_id",[3]enemy_skills!$1:$1,0)+1),MATCH(E$1,[3]enemy_skills!$1:$1,0)-MATCH("enemy_skill_id",[3]enemy_skills!$1:$1,0)+1,FALSE)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0" s="104">
        <v>13301807</v>
      </c>
      <c r="G10" s="46" t="e">
        <f ca="1">VLOOKUP($F10,OFFSET([3]enemy_skill_triggers!$A$1,0,0,COUNTA([3]enemy_skill_triggers!$A:$A),MATCH(G$1,[3]enemy_skill_triggers!$1:$1,0)-MATCH($F$1,[3]enemy_skill_triggers!$1:$1,0)+1),MATCH(G$1,[3]enemy_skill_triggers!$1:$1,0)-MATCH($F$1,[3]enemy_skill_triggers!$1:$1,0)+1,FALSE)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0" s="46" t="e">
        <f ca="1">VLOOKUP($F10,OFFSET([3]enemy_skill_triggers!$A$1,0,0,COUNTA([3]enemy_skill_triggers!$A:$A),MATCH(H$1,[3]enemy_skill_triggers!$1:$1,0)-MATCH($F$1,[3]enemy_skill_triggers!$1:$1,0)+1),MATCH(H$1,[3]enemy_skill_triggers!$1:$1,0)-MATCH($F$1,[3]enemy_skill_triggers!$1:$1,0)+1,FALSE)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0" s="46" t="e">
        <f ca="1">VLOOKUP($F10,OFFSET([3]enemy_skill_triggers!$A$1,0,0,COUNTA([3]enemy_skill_triggers!$A:$A),MATCH(I$1,[3]enemy_skill_triggers!$1:$1,0)-MATCH($F$1,[3]enemy_skill_triggers!$1:$1,0)+1),MATCH(I$1,[3]enemy_skill_triggers!$1:$1,0)-MATCH($F$1,[3]enemy_skill_triggers!$1:$1,0)+1,FALSE)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0" s="46" t="e">
        <f ca="1">VLOOKUP($F10,OFFSET([3]enemy_skill_triggers!$A$1,0,0,COUNTA([3]enemy_skill_triggers!$A:$A),MATCH(J$1,[3]enemy_skill_triggers!$1:$1,0)-MATCH($F$1,[3]enemy_skill_triggers!$1:$1,0)+1),MATCH(J$1,[3]enemy_skill_triggers!$1:$1,0)-MATCH($F$1,[3]enemy_skill_triggers!$1:$1,0)+1,FALSE)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0" s="46" t="e">
        <f ca="1">VLOOKUP($F10,OFFSET([3]enemy_skill_triggers!$A$1,0,0,COUNTA([3]enemy_skill_triggers!$A:$A),MATCH(K$1,[3]enemy_skill_triggers!$1:$1,0)-MATCH($F$1,[3]enemy_skill_triggers!$1:$1,0)+1),MATCH(K$1,[3]enemy_skill_triggers!$1:$1,0)-MATCH($F$1,[3]enemy_skill_triggers!$1:$1,0)+1,FALSE)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0" s="46" t="e">
        <f ca="1">VLOOKUP($F10,OFFSET([3]enemy_skill_triggers!$A$1,0,0,COUNTA([3]enemy_skill_triggers!$A:$A),MATCH(L$1,[3]enemy_skill_triggers!$1:$1,0)-MATCH($F$1,[3]enemy_skill_triggers!$1:$1,0)+1),MATCH(L$1,[3]enemy_skill_triggers!$1:$1,0)-MATCH($F$1,[3]enemy_skill_triggers!$1:$1,0)+1,FALSE)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0" s="46" t="e">
        <f ca="1">VLOOKUP($F10,OFFSET([3]enemy_skill_triggers!$A$1,0,0,COUNTA([3]enemy_skill_triggers!$A:$A),MATCH(M$1,[3]enemy_skill_triggers!$1:$1,0)-MATCH($F$1,[3]enemy_skill_triggers!$1:$1,0)+1),MATCH(M$1,[3]enemy_skill_triggers!$1:$1,0)-MATCH($F$1,[3]enemy_skill_triggers!$1:$1,0)+1,FALSE)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0" s="46" t="e">
        <f ca="1">VLOOKUP($F10,OFFSET([3]enemy_skill_triggers!$A$1,0,0,COUNTA([3]enemy_skill_triggers!$A:$A),MATCH(N$1,[3]enemy_skill_triggers!$1:$1,0)-MATCH($F$1,[3]enemy_skill_triggers!$1:$1,0)+1),MATCH(N$1,[3]enemy_skill_triggers!$1:$1,0)-MATCH($F$1,[3]enemy_skill_triggers!$1:$1,0)+1,FALSE)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0" s="46" t="e">
        <f ca="1">VLOOKUP($F10,OFFSET([3]enemy_skill_triggers!$A$1,0,0,COUNTA([3]enemy_skill_triggers!$A:$A),MATCH(O$1,[3]enemy_skill_triggers!$1:$1,0)-MATCH($F$1,[3]enemy_skill_triggers!$1:$1,0)+1),MATCH(O$1,[3]enemy_skill_triggers!$1:$1,0)-MATCH($F$1,[3]enemy_skill_triggers!$1:$1,0)+1,FALSE)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0" s="45"/>
      <c r="Q10" s="45"/>
      <c r="R10" s="45"/>
    </row>
    <row r="11" spans="1:18" ht="21" customHeight="1" x14ac:dyDescent="0.15">
      <c r="A11" s="37" t="str">
        <f t="shared" si="0"/>
        <v>13301803_13301808</v>
      </c>
      <c r="B11" s="45">
        <v>13301803</v>
      </c>
      <c r="C11" s="104">
        <v>13301808</v>
      </c>
      <c r="D11" s="44" t="e">
        <f ca="1">VLOOKUP($C11,OFFSET([3]enemy_skills!$A$1,0,0,COUNTA([3]enemy_skills!$A:$A),MATCH(D$1,[3]enemy_skills!$1:$1,0)-MATCH("enemy_skill_id",[3]enemy_skills!$1:$1,0)+1),MATCH(D$1,[3]enemy_skills!$1:$1,0)-MATCH("enemy_skill_id",[3]enemy_skills!$1:$1,0)+1,FALSE)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1" s="44" t="e">
        <f ca="1">VLOOKUP($C11,OFFSET([3]enemy_skills!$A$1,0,0,COUNTA([3]enemy_skills!$A:$A),MATCH(E$1,[3]enemy_skills!$1:$1,0)-MATCH("enemy_skill_id",[3]enemy_skills!$1:$1,0)+1),MATCH(E$1,[3]enemy_skills!$1:$1,0)-MATCH("enemy_skill_id",[3]enemy_skills!$1:$1,0)+1,FALSE)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1" s="104">
        <v>13301808</v>
      </c>
      <c r="G11" s="46" t="e">
        <f ca="1">VLOOKUP($F11,OFFSET([3]enemy_skill_triggers!$A$1,0,0,COUNTA([3]enemy_skill_triggers!$A:$A),MATCH(G$1,[3]enemy_skill_triggers!$1:$1,0)-MATCH($F$1,[3]enemy_skill_triggers!$1:$1,0)+1),MATCH(G$1,[3]enemy_skill_triggers!$1:$1,0)-MATCH($F$1,[3]enemy_skill_triggers!$1:$1,0)+1,FALSE)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1" s="46" t="e">
        <f ca="1">VLOOKUP($F11,OFFSET([3]enemy_skill_triggers!$A$1,0,0,COUNTA([3]enemy_skill_triggers!$A:$A),MATCH(H$1,[3]enemy_skill_triggers!$1:$1,0)-MATCH($F$1,[3]enemy_skill_triggers!$1:$1,0)+1),MATCH(H$1,[3]enemy_skill_triggers!$1:$1,0)-MATCH($F$1,[3]enemy_skill_triggers!$1:$1,0)+1,FALSE)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1" s="46" t="e">
        <f ca="1">VLOOKUP($F11,OFFSET([3]enemy_skill_triggers!$A$1,0,0,COUNTA([3]enemy_skill_triggers!$A:$A),MATCH(I$1,[3]enemy_skill_triggers!$1:$1,0)-MATCH($F$1,[3]enemy_skill_triggers!$1:$1,0)+1),MATCH(I$1,[3]enemy_skill_triggers!$1:$1,0)-MATCH($F$1,[3]enemy_skill_triggers!$1:$1,0)+1,FALSE)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1" s="46" t="e">
        <f ca="1">VLOOKUP($F11,OFFSET([3]enemy_skill_triggers!$A$1,0,0,COUNTA([3]enemy_skill_triggers!$A:$A),MATCH(J$1,[3]enemy_skill_triggers!$1:$1,0)-MATCH($F$1,[3]enemy_skill_triggers!$1:$1,0)+1),MATCH(J$1,[3]enemy_skill_triggers!$1:$1,0)-MATCH($F$1,[3]enemy_skill_triggers!$1:$1,0)+1,FALSE)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1" s="46" t="e">
        <f ca="1">VLOOKUP($F11,OFFSET([3]enemy_skill_triggers!$A$1,0,0,COUNTA([3]enemy_skill_triggers!$A:$A),MATCH(K$1,[3]enemy_skill_triggers!$1:$1,0)-MATCH($F$1,[3]enemy_skill_triggers!$1:$1,0)+1),MATCH(K$1,[3]enemy_skill_triggers!$1:$1,0)-MATCH($F$1,[3]enemy_skill_triggers!$1:$1,0)+1,FALSE)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1" s="46" t="e">
        <f ca="1">VLOOKUP($F11,OFFSET([3]enemy_skill_triggers!$A$1,0,0,COUNTA([3]enemy_skill_triggers!$A:$A),MATCH(L$1,[3]enemy_skill_triggers!$1:$1,0)-MATCH($F$1,[3]enemy_skill_triggers!$1:$1,0)+1),MATCH(L$1,[3]enemy_skill_triggers!$1:$1,0)-MATCH($F$1,[3]enemy_skill_triggers!$1:$1,0)+1,FALSE)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1" s="46" t="e">
        <f ca="1">VLOOKUP($F11,OFFSET([3]enemy_skill_triggers!$A$1,0,0,COUNTA([3]enemy_skill_triggers!$A:$A),MATCH(M$1,[3]enemy_skill_triggers!$1:$1,0)-MATCH($F$1,[3]enemy_skill_triggers!$1:$1,0)+1),MATCH(M$1,[3]enemy_skill_triggers!$1:$1,0)-MATCH($F$1,[3]enemy_skill_triggers!$1:$1,0)+1,FALSE)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1" s="46" t="e">
        <f ca="1">VLOOKUP($F11,OFFSET([3]enemy_skill_triggers!$A$1,0,0,COUNTA([3]enemy_skill_triggers!$A:$A),MATCH(N$1,[3]enemy_skill_triggers!$1:$1,0)-MATCH($F$1,[3]enemy_skill_triggers!$1:$1,0)+1),MATCH(N$1,[3]enemy_skill_triggers!$1:$1,0)-MATCH($F$1,[3]enemy_skill_triggers!$1:$1,0)+1,FALSE)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1" s="46" t="e">
        <f ca="1">VLOOKUP($F11,OFFSET([3]enemy_skill_triggers!$A$1,0,0,COUNTA([3]enemy_skill_triggers!$A:$A),MATCH(O$1,[3]enemy_skill_triggers!$1:$1,0)-MATCH($F$1,[3]enemy_skill_triggers!$1:$1,0)+1),MATCH(O$1,[3]enemy_skill_triggers!$1:$1,0)-MATCH($F$1,[3]enemy_skill_triggers!$1:$1,0)+1,FALSE)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1" s="45"/>
      <c r="Q11" s="45"/>
      <c r="R11" s="45"/>
    </row>
    <row r="12" spans="1:18" ht="21" customHeight="1" x14ac:dyDescent="0.15">
      <c r="A12" s="37" t="str">
        <f t="shared" si="0"/>
        <v>13301802_13301809</v>
      </c>
      <c r="B12" s="45">
        <v>13301802</v>
      </c>
      <c r="C12" s="104">
        <v>13301809</v>
      </c>
      <c r="D12" s="44" t="e">
        <f ca="1">VLOOKUP($C12,OFFSET([3]enemy_skills!$A$1,0,0,COUNTA([3]enemy_skills!$A:$A),MATCH(D$1,[3]enemy_skills!$1:$1,0)-MATCH("enemy_skill_id",[3]enemy_skills!$1:$1,0)+1),MATCH(D$1,[3]enemy_skills!$1:$1,0)-MATCH("enemy_skill_id",[3]enemy_skills!$1:$1,0)+1,FALSE)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2" s="44" t="e">
        <f ca="1">VLOOKUP($C12,OFFSET([3]enemy_skills!$A$1,0,0,COUNTA([3]enemy_skills!$A:$A),MATCH(E$1,[3]enemy_skills!$1:$1,0)-MATCH("enemy_skill_id",[3]enemy_skills!$1:$1,0)+1),MATCH(E$1,[3]enemy_skills!$1:$1,0)-MATCH("enemy_skill_id",[3]enemy_skills!$1:$1,0)+1,FALSE)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2" s="104">
        <v>13301809</v>
      </c>
      <c r="G12" s="46" t="e">
        <f ca="1">VLOOKUP($F12,OFFSET([3]enemy_skill_triggers!$A$1,0,0,COUNTA([3]enemy_skill_triggers!$A:$A),MATCH(G$1,[3]enemy_skill_triggers!$1:$1,0)-MATCH($F$1,[3]enemy_skill_triggers!$1:$1,0)+1),MATCH(G$1,[3]enemy_skill_triggers!$1:$1,0)-MATCH($F$1,[3]enemy_skill_triggers!$1:$1,0)+1,FALSE)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2" s="46" t="e">
        <f ca="1">VLOOKUP($F12,OFFSET([3]enemy_skill_triggers!$A$1,0,0,COUNTA([3]enemy_skill_triggers!$A:$A),MATCH(H$1,[3]enemy_skill_triggers!$1:$1,0)-MATCH($F$1,[3]enemy_skill_triggers!$1:$1,0)+1),MATCH(H$1,[3]enemy_skill_triggers!$1:$1,0)-MATCH($F$1,[3]enemy_skill_triggers!$1:$1,0)+1,FALSE)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2" s="46" t="e">
        <f ca="1">VLOOKUP($F12,OFFSET([3]enemy_skill_triggers!$A$1,0,0,COUNTA([3]enemy_skill_triggers!$A:$A),MATCH(I$1,[3]enemy_skill_triggers!$1:$1,0)-MATCH($F$1,[3]enemy_skill_triggers!$1:$1,0)+1),MATCH(I$1,[3]enemy_skill_triggers!$1:$1,0)-MATCH($F$1,[3]enemy_skill_triggers!$1:$1,0)+1,FALSE)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2" s="46" t="e">
        <f ca="1">VLOOKUP($F12,OFFSET([3]enemy_skill_triggers!$A$1,0,0,COUNTA([3]enemy_skill_triggers!$A:$A),MATCH(J$1,[3]enemy_skill_triggers!$1:$1,0)-MATCH($F$1,[3]enemy_skill_triggers!$1:$1,0)+1),MATCH(J$1,[3]enemy_skill_triggers!$1:$1,0)-MATCH($F$1,[3]enemy_skill_triggers!$1:$1,0)+1,FALSE)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2" s="46" t="e">
        <f ca="1">VLOOKUP($F12,OFFSET([3]enemy_skill_triggers!$A$1,0,0,COUNTA([3]enemy_skill_triggers!$A:$A),MATCH(K$1,[3]enemy_skill_triggers!$1:$1,0)-MATCH($F$1,[3]enemy_skill_triggers!$1:$1,0)+1),MATCH(K$1,[3]enemy_skill_triggers!$1:$1,0)-MATCH($F$1,[3]enemy_skill_triggers!$1:$1,0)+1,FALSE)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2" s="46" t="e">
        <f ca="1">VLOOKUP($F12,OFFSET([3]enemy_skill_triggers!$A$1,0,0,COUNTA([3]enemy_skill_triggers!$A:$A),MATCH(L$1,[3]enemy_skill_triggers!$1:$1,0)-MATCH($F$1,[3]enemy_skill_triggers!$1:$1,0)+1),MATCH(L$1,[3]enemy_skill_triggers!$1:$1,0)-MATCH($F$1,[3]enemy_skill_triggers!$1:$1,0)+1,FALSE)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2" s="46" t="e">
        <f ca="1">VLOOKUP($F12,OFFSET([3]enemy_skill_triggers!$A$1,0,0,COUNTA([3]enemy_skill_triggers!$A:$A),MATCH(M$1,[3]enemy_skill_triggers!$1:$1,0)-MATCH($F$1,[3]enemy_skill_triggers!$1:$1,0)+1),MATCH(M$1,[3]enemy_skill_triggers!$1:$1,0)-MATCH($F$1,[3]enemy_skill_triggers!$1:$1,0)+1,FALSE)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2" s="46" t="e">
        <f ca="1">VLOOKUP($F12,OFFSET([3]enemy_skill_triggers!$A$1,0,0,COUNTA([3]enemy_skill_triggers!$A:$A),MATCH(N$1,[3]enemy_skill_triggers!$1:$1,0)-MATCH($F$1,[3]enemy_skill_triggers!$1:$1,0)+1),MATCH(N$1,[3]enemy_skill_triggers!$1:$1,0)-MATCH($F$1,[3]enemy_skill_triggers!$1:$1,0)+1,FALSE)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2" s="46" t="e">
        <f ca="1">VLOOKUP($F12,OFFSET([3]enemy_skill_triggers!$A$1,0,0,COUNTA([3]enemy_skill_triggers!$A:$A),MATCH(O$1,[3]enemy_skill_triggers!$1:$1,0)-MATCH($F$1,[3]enemy_skill_triggers!$1:$1,0)+1),MATCH(O$1,[3]enemy_skill_triggers!$1:$1,0)-MATCH($F$1,[3]enemy_skill_triggers!$1:$1,0)+1,FALSE)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2" s="45"/>
      <c r="Q12" s="45"/>
      <c r="R12" s="45"/>
    </row>
    <row r="13" spans="1:18" ht="21" customHeight="1" x14ac:dyDescent="0.15">
      <c r="A13" s="37" t="str">
        <f t="shared" si="0"/>
        <v>13301802_13301810</v>
      </c>
      <c r="B13" s="45">
        <v>13301802</v>
      </c>
      <c r="C13" s="104">
        <v>13301810</v>
      </c>
      <c r="D13" s="44" t="e">
        <f ca="1">VLOOKUP($C13,OFFSET([3]enemy_skills!$A$1,0,0,COUNTA([3]enemy_skills!$A:$A),MATCH(D$1,[3]enemy_skills!$1:$1,0)-MATCH("enemy_skill_id",[3]enemy_skills!$1:$1,0)+1),MATCH(D$1,[3]enemy_skills!$1:$1,0)-MATCH("enemy_skill_id",[3]enemy_skills!$1:$1,0)+1,FALSE)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3" s="44" t="e">
        <f ca="1">VLOOKUP($C13,OFFSET([3]enemy_skills!$A$1,0,0,COUNTA([3]enemy_skills!$A:$A),MATCH(E$1,[3]enemy_skills!$1:$1,0)-MATCH("enemy_skill_id",[3]enemy_skills!$1:$1,0)+1),MATCH(E$1,[3]enemy_skills!$1:$1,0)-MATCH("enemy_skill_id",[3]enemy_skills!$1:$1,0)+1,FALSE)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3" s="104">
        <v>13301810</v>
      </c>
      <c r="G13" s="46" t="e">
        <f ca="1">VLOOKUP($F13,OFFSET([3]enemy_skill_triggers!$A$1,0,0,COUNTA([3]enemy_skill_triggers!$A:$A),MATCH(G$1,[3]enemy_skill_triggers!$1:$1,0)-MATCH($F$1,[3]enemy_skill_triggers!$1:$1,0)+1),MATCH(G$1,[3]enemy_skill_triggers!$1:$1,0)-MATCH($F$1,[3]enemy_skill_triggers!$1:$1,0)+1,FALSE)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3" s="46" t="e">
        <f ca="1">VLOOKUP($F13,OFFSET([3]enemy_skill_triggers!$A$1,0,0,COUNTA([3]enemy_skill_triggers!$A:$A),MATCH(H$1,[3]enemy_skill_triggers!$1:$1,0)-MATCH($F$1,[3]enemy_skill_triggers!$1:$1,0)+1),MATCH(H$1,[3]enemy_skill_triggers!$1:$1,0)-MATCH($F$1,[3]enemy_skill_triggers!$1:$1,0)+1,FALSE)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3" s="46" t="e">
        <f ca="1">VLOOKUP($F13,OFFSET([3]enemy_skill_triggers!$A$1,0,0,COUNTA([3]enemy_skill_triggers!$A:$A),MATCH(I$1,[3]enemy_skill_triggers!$1:$1,0)-MATCH($F$1,[3]enemy_skill_triggers!$1:$1,0)+1),MATCH(I$1,[3]enemy_skill_triggers!$1:$1,0)-MATCH($F$1,[3]enemy_skill_triggers!$1:$1,0)+1,FALSE)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3" s="46" t="e">
        <f ca="1">VLOOKUP($F13,OFFSET([3]enemy_skill_triggers!$A$1,0,0,COUNTA([3]enemy_skill_triggers!$A:$A),MATCH(J$1,[3]enemy_skill_triggers!$1:$1,0)-MATCH($F$1,[3]enemy_skill_triggers!$1:$1,0)+1),MATCH(J$1,[3]enemy_skill_triggers!$1:$1,0)-MATCH($F$1,[3]enemy_skill_triggers!$1:$1,0)+1,FALSE)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3" s="46" t="e">
        <f ca="1">VLOOKUP($F13,OFFSET([3]enemy_skill_triggers!$A$1,0,0,COUNTA([3]enemy_skill_triggers!$A:$A),MATCH(K$1,[3]enemy_skill_triggers!$1:$1,0)-MATCH($F$1,[3]enemy_skill_triggers!$1:$1,0)+1),MATCH(K$1,[3]enemy_skill_triggers!$1:$1,0)-MATCH($F$1,[3]enemy_skill_triggers!$1:$1,0)+1,FALSE)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3" s="46" t="e">
        <f ca="1">VLOOKUP($F13,OFFSET([3]enemy_skill_triggers!$A$1,0,0,COUNTA([3]enemy_skill_triggers!$A:$A),MATCH(L$1,[3]enemy_skill_triggers!$1:$1,0)-MATCH($F$1,[3]enemy_skill_triggers!$1:$1,0)+1),MATCH(L$1,[3]enemy_skill_triggers!$1:$1,0)-MATCH($F$1,[3]enemy_skill_triggers!$1:$1,0)+1,FALSE)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3" s="46" t="e">
        <f ca="1">VLOOKUP($F13,OFFSET([3]enemy_skill_triggers!$A$1,0,0,COUNTA([3]enemy_skill_triggers!$A:$A),MATCH(M$1,[3]enemy_skill_triggers!$1:$1,0)-MATCH($F$1,[3]enemy_skill_triggers!$1:$1,0)+1),MATCH(M$1,[3]enemy_skill_triggers!$1:$1,0)-MATCH($F$1,[3]enemy_skill_triggers!$1:$1,0)+1,FALSE)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3" s="46" t="e">
        <f ca="1">VLOOKUP($F13,OFFSET([3]enemy_skill_triggers!$A$1,0,0,COUNTA([3]enemy_skill_triggers!$A:$A),MATCH(N$1,[3]enemy_skill_triggers!$1:$1,0)-MATCH($F$1,[3]enemy_skill_triggers!$1:$1,0)+1),MATCH(N$1,[3]enemy_skill_triggers!$1:$1,0)-MATCH($F$1,[3]enemy_skill_triggers!$1:$1,0)+1,FALSE)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3" s="46" t="e">
        <f ca="1">VLOOKUP($F13,OFFSET([3]enemy_skill_triggers!$A$1,0,0,COUNTA([3]enemy_skill_triggers!$A:$A),MATCH(O$1,[3]enemy_skill_triggers!$1:$1,0)-MATCH($F$1,[3]enemy_skill_triggers!$1:$1,0)+1),MATCH(O$1,[3]enemy_skill_triggers!$1:$1,0)-MATCH($F$1,[3]enemy_skill_triggers!$1:$1,0)+1,FALSE)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3" s="45"/>
      <c r="Q13" s="45"/>
      <c r="R13" s="45"/>
    </row>
    <row r="14" spans="1:18" ht="21" customHeight="1" x14ac:dyDescent="0.15">
      <c r="A14" s="37" t="str">
        <f t="shared" si="0"/>
        <v>13301803_13301811</v>
      </c>
      <c r="B14" s="45">
        <v>13301803</v>
      </c>
      <c r="C14" s="104">
        <v>13301811</v>
      </c>
      <c r="D14" s="44" t="e">
        <f ca="1">VLOOKUP($C14,OFFSET([3]enemy_skills!$A$1,0,0,COUNTA([3]enemy_skills!$A:$A),MATCH(D$1,[3]enemy_skills!$1:$1,0)-MATCH("enemy_skill_id",[3]enemy_skills!$1:$1,0)+1),MATCH(D$1,[3]enemy_skills!$1:$1,0)-MATCH("enemy_skill_id",[3]enemy_skills!$1:$1,0)+1,FALSE)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4" s="44" t="e">
        <f ca="1">VLOOKUP($C14,OFFSET([3]enemy_skills!$A$1,0,0,COUNTA([3]enemy_skills!$A:$A),MATCH(E$1,[3]enemy_skills!$1:$1,0)-MATCH("enemy_skill_id",[3]enemy_skills!$1:$1,0)+1),MATCH(E$1,[3]enemy_skills!$1:$1,0)-MATCH("enemy_skill_id",[3]enemy_skills!$1:$1,0)+1,FALSE)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4" s="104">
        <v>13301811</v>
      </c>
      <c r="G14" s="46" t="e">
        <f ca="1">VLOOKUP($F14,OFFSET([3]enemy_skill_triggers!$A$1,0,0,COUNTA([3]enemy_skill_triggers!$A:$A),MATCH(G$1,[3]enemy_skill_triggers!$1:$1,0)-MATCH($F$1,[3]enemy_skill_triggers!$1:$1,0)+1),MATCH(G$1,[3]enemy_skill_triggers!$1:$1,0)-MATCH($F$1,[3]enemy_skill_triggers!$1:$1,0)+1,FALSE)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4" s="46" t="e">
        <f ca="1">VLOOKUP($F14,OFFSET([3]enemy_skill_triggers!$A$1,0,0,COUNTA([3]enemy_skill_triggers!$A:$A),MATCH(H$1,[3]enemy_skill_triggers!$1:$1,0)-MATCH($F$1,[3]enemy_skill_triggers!$1:$1,0)+1),MATCH(H$1,[3]enemy_skill_triggers!$1:$1,0)-MATCH($F$1,[3]enemy_skill_triggers!$1:$1,0)+1,FALSE)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4" s="46" t="e">
        <f ca="1">VLOOKUP($F14,OFFSET([3]enemy_skill_triggers!$A$1,0,0,COUNTA([3]enemy_skill_triggers!$A:$A),MATCH(I$1,[3]enemy_skill_triggers!$1:$1,0)-MATCH($F$1,[3]enemy_skill_triggers!$1:$1,0)+1),MATCH(I$1,[3]enemy_skill_triggers!$1:$1,0)-MATCH($F$1,[3]enemy_skill_triggers!$1:$1,0)+1,FALSE)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4" s="46" t="e">
        <f ca="1">VLOOKUP($F14,OFFSET([3]enemy_skill_triggers!$A$1,0,0,COUNTA([3]enemy_skill_triggers!$A:$A),MATCH(J$1,[3]enemy_skill_triggers!$1:$1,0)-MATCH($F$1,[3]enemy_skill_triggers!$1:$1,0)+1),MATCH(J$1,[3]enemy_skill_triggers!$1:$1,0)-MATCH($F$1,[3]enemy_skill_triggers!$1:$1,0)+1,FALSE)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4" s="46" t="e">
        <f ca="1">VLOOKUP($F14,OFFSET([3]enemy_skill_triggers!$A$1,0,0,COUNTA([3]enemy_skill_triggers!$A:$A),MATCH(K$1,[3]enemy_skill_triggers!$1:$1,0)-MATCH($F$1,[3]enemy_skill_triggers!$1:$1,0)+1),MATCH(K$1,[3]enemy_skill_triggers!$1:$1,0)-MATCH($F$1,[3]enemy_skill_triggers!$1:$1,0)+1,FALSE)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4" s="46" t="e">
        <f ca="1">VLOOKUP($F14,OFFSET([3]enemy_skill_triggers!$A$1,0,0,COUNTA([3]enemy_skill_triggers!$A:$A),MATCH(L$1,[3]enemy_skill_triggers!$1:$1,0)-MATCH($F$1,[3]enemy_skill_triggers!$1:$1,0)+1),MATCH(L$1,[3]enemy_skill_triggers!$1:$1,0)-MATCH($F$1,[3]enemy_skill_triggers!$1:$1,0)+1,FALSE)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4" s="46" t="e">
        <f ca="1">VLOOKUP($F14,OFFSET([3]enemy_skill_triggers!$A$1,0,0,COUNTA([3]enemy_skill_triggers!$A:$A),MATCH(M$1,[3]enemy_skill_triggers!$1:$1,0)-MATCH($F$1,[3]enemy_skill_triggers!$1:$1,0)+1),MATCH(M$1,[3]enemy_skill_triggers!$1:$1,0)-MATCH($F$1,[3]enemy_skill_triggers!$1:$1,0)+1,FALSE)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4" s="46" t="e">
        <f ca="1">VLOOKUP($F14,OFFSET([3]enemy_skill_triggers!$A$1,0,0,COUNTA([3]enemy_skill_triggers!$A:$A),MATCH(N$1,[3]enemy_skill_triggers!$1:$1,0)-MATCH($F$1,[3]enemy_skill_triggers!$1:$1,0)+1),MATCH(N$1,[3]enemy_skill_triggers!$1:$1,0)-MATCH($F$1,[3]enemy_skill_triggers!$1:$1,0)+1,FALSE)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4" s="46" t="e">
        <f ca="1">VLOOKUP($F14,OFFSET([3]enemy_skill_triggers!$A$1,0,0,COUNTA([3]enemy_skill_triggers!$A:$A),MATCH(O$1,[3]enemy_skill_triggers!$1:$1,0)-MATCH($F$1,[3]enemy_skill_triggers!$1:$1,0)+1),MATCH(O$1,[3]enemy_skill_triggers!$1:$1,0)-MATCH($F$1,[3]enemy_skill_triggers!$1:$1,0)+1,FALSE)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4" s="45"/>
      <c r="Q14" s="45"/>
      <c r="R14" s="45"/>
    </row>
    <row r="15" spans="1:18" ht="21" customHeight="1" x14ac:dyDescent="0.15">
      <c r="A15" s="37" t="str">
        <f t="shared" si="0"/>
        <v>13301802_13301812</v>
      </c>
      <c r="B15" s="45">
        <v>13301802</v>
      </c>
      <c r="C15" s="104">
        <v>13301812</v>
      </c>
      <c r="D15" s="44" t="e">
        <f ca="1">VLOOKUP($C15,OFFSET([3]enemy_skills!$A$1,0,0,COUNTA([3]enemy_skills!$A:$A),MATCH(D$1,[3]enemy_skills!$1:$1,0)-MATCH("enemy_skill_id",[3]enemy_skills!$1:$1,0)+1),MATCH(D$1,[3]enemy_skills!$1:$1,0)-MATCH("enemy_skill_id",[3]enemy_skills!$1:$1,0)+1,FALSE)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5" s="44" t="e">
        <f ca="1">VLOOKUP($C15,OFFSET([3]enemy_skills!$A$1,0,0,COUNTA([3]enemy_skills!$A:$A),MATCH(E$1,[3]enemy_skills!$1:$1,0)-MATCH("enemy_skill_id",[3]enemy_skills!$1:$1,0)+1),MATCH(E$1,[3]enemy_skills!$1:$1,0)-MATCH("enemy_skill_id",[3]enemy_skills!$1:$1,0)+1,FALSE)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5" s="104">
        <v>13301812</v>
      </c>
      <c r="G15" s="46" t="e">
        <f ca="1">VLOOKUP($F15,OFFSET([3]enemy_skill_triggers!$A$1,0,0,COUNTA([3]enemy_skill_triggers!$A:$A),MATCH(G$1,[3]enemy_skill_triggers!$1:$1,0)-MATCH($F$1,[3]enemy_skill_triggers!$1:$1,0)+1),MATCH(G$1,[3]enemy_skill_triggers!$1:$1,0)-MATCH($F$1,[3]enemy_skill_triggers!$1:$1,0)+1,FALSE)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5" s="46" t="e">
        <f ca="1">VLOOKUP($F15,OFFSET([3]enemy_skill_triggers!$A$1,0,0,COUNTA([3]enemy_skill_triggers!$A:$A),MATCH(H$1,[3]enemy_skill_triggers!$1:$1,0)-MATCH($F$1,[3]enemy_skill_triggers!$1:$1,0)+1),MATCH(H$1,[3]enemy_skill_triggers!$1:$1,0)-MATCH($F$1,[3]enemy_skill_triggers!$1:$1,0)+1,FALSE)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5" s="46" t="e">
        <f ca="1">VLOOKUP($F15,OFFSET([3]enemy_skill_triggers!$A$1,0,0,COUNTA([3]enemy_skill_triggers!$A:$A),MATCH(I$1,[3]enemy_skill_triggers!$1:$1,0)-MATCH($F$1,[3]enemy_skill_triggers!$1:$1,0)+1),MATCH(I$1,[3]enemy_skill_triggers!$1:$1,0)-MATCH($F$1,[3]enemy_skill_triggers!$1:$1,0)+1,FALSE)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5" s="46" t="e">
        <f ca="1">VLOOKUP($F15,OFFSET([3]enemy_skill_triggers!$A$1,0,0,COUNTA([3]enemy_skill_triggers!$A:$A),MATCH(J$1,[3]enemy_skill_triggers!$1:$1,0)-MATCH($F$1,[3]enemy_skill_triggers!$1:$1,0)+1),MATCH(J$1,[3]enemy_skill_triggers!$1:$1,0)-MATCH($F$1,[3]enemy_skill_triggers!$1:$1,0)+1,FALSE)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5" s="46" t="e">
        <f ca="1">VLOOKUP($F15,OFFSET([3]enemy_skill_triggers!$A$1,0,0,COUNTA([3]enemy_skill_triggers!$A:$A),MATCH(K$1,[3]enemy_skill_triggers!$1:$1,0)-MATCH($F$1,[3]enemy_skill_triggers!$1:$1,0)+1),MATCH(K$1,[3]enemy_skill_triggers!$1:$1,0)-MATCH($F$1,[3]enemy_skill_triggers!$1:$1,0)+1,FALSE)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5" s="46" t="e">
        <f ca="1">VLOOKUP($F15,OFFSET([3]enemy_skill_triggers!$A$1,0,0,COUNTA([3]enemy_skill_triggers!$A:$A),MATCH(L$1,[3]enemy_skill_triggers!$1:$1,0)-MATCH($F$1,[3]enemy_skill_triggers!$1:$1,0)+1),MATCH(L$1,[3]enemy_skill_triggers!$1:$1,0)-MATCH($F$1,[3]enemy_skill_triggers!$1:$1,0)+1,FALSE)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5" s="46" t="e">
        <f ca="1">VLOOKUP($F15,OFFSET([3]enemy_skill_triggers!$A$1,0,0,COUNTA([3]enemy_skill_triggers!$A:$A),MATCH(M$1,[3]enemy_skill_triggers!$1:$1,0)-MATCH($F$1,[3]enemy_skill_triggers!$1:$1,0)+1),MATCH(M$1,[3]enemy_skill_triggers!$1:$1,0)-MATCH($F$1,[3]enemy_skill_triggers!$1:$1,0)+1,FALSE)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5" s="46" t="e">
        <f ca="1">VLOOKUP($F15,OFFSET([3]enemy_skill_triggers!$A$1,0,0,COUNTA([3]enemy_skill_triggers!$A:$A),MATCH(N$1,[3]enemy_skill_triggers!$1:$1,0)-MATCH($F$1,[3]enemy_skill_triggers!$1:$1,0)+1),MATCH(N$1,[3]enemy_skill_triggers!$1:$1,0)-MATCH($F$1,[3]enemy_skill_triggers!$1:$1,0)+1,FALSE)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5" s="46" t="e">
        <f ca="1">VLOOKUP($F15,OFFSET([3]enemy_skill_triggers!$A$1,0,0,COUNTA([3]enemy_skill_triggers!$A:$A),MATCH(O$1,[3]enemy_skill_triggers!$1:$1,0)-MATCH($F$1,[3]enemy_skill_triggers!$1:$1,0)+1),MATCH(O$1,[3]enemy_skill_triggers!$1:$1,0)-MATCH($F$1,[3]enemy_skill_triggers!$1:$1,0)+1,FALSE)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5" s="45"/>
      <c r="Q15" s="45"/>
      <c r="R15" s="45"/>
    </row>
    <row r="16" spans="1:18" ht="21" customHeight="1" x14ac:dyDescent="0.15">
      <c r="A16" s="37" t="str">
        <f t="shared" si="0"/>
        <v>13301803_13301813</v>
      </c>
      <c r="B16" s="45">
        <v>13301803</v>
      </c>
      <c r="C16" s="104">
        <v>13301813</v>
      </c>
      <c r="D16" s="44" t="e">
        <f ca="1">VLOOKUP($C16,OFFSET([3]enemy_skills!$A$1,0,0,COUNTA([3]enemy_skills!$A:$A),MATCH(D$1,[3]enemy_skills!$1:$1,0)-MATCH("enemy_skill_id",[3]enemy_skills!$1:$1,0)+1),MATCH(D$1,[3]enemy_skills!$1:$1,0)-MATCH("enemy_skill_id",[3]enemy_skills!$1:$1,0)+1,FALSE)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6" s="44" t="e">
        <f ca="1">VLOOKUP($C16,OFFSET([3]enemy_skills!$A$1,0,0,COUNTA([3]enemy_skills!$A:$A),MATCH(E$1,[3]enemy_skills!$1:$1,0)-MATCH("enemy_skill_id",[3]enemy_skills!$1:$1,0)+1),MATCH(E$1,[3]enemy_skills!$1:$1,0)-MATCH("enemy_skill_id",[3]enemy_skills!$1:$1,0)+1,FALSE)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6" s="104">
        <v>13301813</v>
      </c>
      <c r="G16" s="46" t="e">
        <f ca="1">VLOOKUP($F16,OFFSET([3]enemy_skill_triggers!$A$1,0,0,COUNTA([3]enemy_skill_triggers!$A:$A),MATCH(G$1,[3]enemy_skill_triggers!$1:$1,0)-MATCH($F$1,[3]enemy_skill_triggers!$1:$1,0)+1),MATCH(G$1,[3]enemy_skill_triggers!$1:$1,0)-MATCH($F$1,[3]enemy_skill_triggers!$1:$1,0)+1,FALSE)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6" s="46" t="e">
        <f ca="1">VLOOKUP($F16,OFFSET([3]enemy_skill_triggers!$A$1,0,0,COUNTA([3]enemy_skill_triggers!$A:$A),MATCH(H$1,[3]enemy_skill_triggers!$1:$1,0)-MATCH($F$1,[3]enemy_skill_triggers!$1:$1,0)+1),MATCH(H$1,[3]enemy_skill_triggers!$1:$1,0)-MATCH($F$1,[3]enemy_skill_triggers!$1:$1,0)+1,FALSE)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6" s="46" t="e">
        <f ca="1">VLOOKUP($F16,OFFSET([3]enemy_skill_triggers!$A$1,0,0,COUNTA([3]enemy_skill_triggers!$A:$A),MATCH(I$1,[3]enemy_skill_triggers!$1:$1,0)-MATCH($F$1,[3]enemy_skill_triggers!$1:$1,0)+1),MATCH(I$1,[3]enemy_skill_triggers!$1:$1,0)-MATCH($F$1,[3]enemy_skill_triggers!$1:$1,0)+1,FALSE)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6" s="46" t="e">
        <f ca="1">VLOOKUP($F16,OFFSET([3]enemy_skill_triggers!$A$1,0,0,COUNTA([3]enemy_skill_triggers!$A:$A),MATCH(J$1,[3]enemy_skill_triggers!$1:$1,0)-MATCH($F$1,[3]enemy_skill_triggers!$1:$1,0)+1),MATCH(J$1,[3]enemy_skill_triggers!$1:$1,0)-MATCH($F$1,[3]enemy_skill_triggers!$1:$1,0)+1,FALSE)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6" s="46" t="e">
        <f ca="1">VLOOKUP($F16,OFFSET([3]enemy_skill_triggers!$A$1,0,0,COUNTA([3]enemy_skill_triggers!$A:$A),MATCH(K$1,[3]enemy_skill_triggers!$1:$1,0)-MATCH($F$1,[3]enemy_skill_triggers!$1:$1,0)+1),MATCH(K$1,[3]enemy_skill_triggers!$1:$1,0)-MATCH($F$1,[3]enemy_skill_triggers!$1:$1,0)+1,FALSE)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6" s="46" t="e">
        <f ca="1">VLOOKUP($F16,OFFSET([3]enemy_skill_triggers!$A$1,0,0,COUNTA([3]enemy_skill_triggers!$A:$A),MATCH(L$1,[3]enemy_skill_triggers!$1:$1,0)-MATCH($F$1,[3]enemy_skill_triggers!$1:$1,0)+1),MATCH(L$1,[3]enemy_skill_triggers!$1:$1,0)-MATCH($F$1,[3]enemy_skill_triggers!$1:$1,0)+1,FALSE)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6" s="46" t="e">
        <f ca="1">VLOOKUP($F16,OFFSET([3]enemy_skill_triggers!$A$1,0,0,COUNTA([3]enemy_skill_triggers!$A:$A),MATCH(M$1,[3]enemy_skill_triggers!$1:$1,0)-MATCH($F$1,[3]enemy_skill_triggers!$1:$1,0)+1),MATCH(M$1,[3]enemy_skill_triggers!$1:$1,0)-MATCH($F$1,[3]enemy_skill_triggers!$1:$1,0)+1,FALSE)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6" s="46" t="e">
        <f ca="1">VLOOKUP($F16,OFFSET([3]enemy_skill_triggers!$A$1,0,0,COUNTA([3]enemy_skill_triggers!$A:$A),MATCH(N$1,[3]enemy_skill_triggers!$1:$1,0)-MATCH($F$1,[3]enemy_skill_triggers!$1:$1,0)+1),MATCH(N$1,[3]enemy_skill_triggers!$1:$1,0)-MATCH($F$1,[3]enemy_skill_triggers!$1:$1,0)+1,FALSE)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6" s="46" t="e">
        <f ca="1">VLOOKUP($F16,OFFSET([3]enemy_skill_triggers!$A$1,0,0,COUNTA([3]enemy_skill_triggers!$A:$A),MATCH(O$1,[3]enemy_skill_triggers!$1:$1,0)-MATCH($F$1,[3]enemy_skill_triggers!$1:$1,0)+1),MATCH(O$1,[3]enemy_skill_triggers!$1:$1,0)-MATCH($F$1,[3]enemy_skill_triggers!$1:$1,0)+1,FALSE)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6" s="45"/>
      <c r="Q16" s="45"/>
      <c r="R16" s="45"/>
    </row>
    <row r="17" spans="1:18" ht="21" customHeight="1" x14ac:dyDescent="0.15">
      <c r="A17" s="37" t="str">
        <f t="shared" si="0"/>
        <v>13301802_13301814</v>
      </c>
      <c r="B17" s="45">
        <v>13301802</v>
      </c>
      <c r="C17" s="104">
        <v>13301814</v>
      </c>
      <c r="D17" s="44" t="e">
        <f ca="1">VLOOKUP($C17,OFFSET([3]enemy_skills!$A$1,0,0,COUNTA([3]enemy_skills!$A:$A),MATCH(D$1,[3]enemy_skills!$1:$1,0)-MATCH("enemy_skill_id",[3]enemy_skills!$1:$1,0)+1),MATCH(D$1,[3]enemy_skills!$1:$1,0)-MATCH("enemy_skill_id",[3]enemy_skills!$1:$1,0)+1,FALSE)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7" s="44" t="e">
        <f ca="1">VLOOKUP($C17,OFFSET([3]enemy_skills!$A$1,0,0,COUNTA([3]enemy_skills!$A:$A),MATCH(E$1,[3]enemy_skills!$1:$1,0)-MATCH("enemy_skill_id",[3]enemy_skills!$1:$1,0)+1),MATCH(E$1,[3]enemy_skills!$1:$1,0)-MATCH("enemy_skill_id",[3]enemy_skills!$1:$1,0)+1,FALSE)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7" s="104">
        <v>13301814</v>
      </c>
      <c r="G17" s="46" t="e">
        <f ca="1">VLOOKUP($F17,OFFSET([3]enemy_skill_triggers!$A$1,0,0,COUNTA([3]enemy_skill_triggers!$A:$A),MATCH(G$1,[3]enemy_skill_triggers!$1:$1,0)-MATCH($F$1,[3]enemy_skill_triggers!$1:$1,0)+1),MATCH(G$1,[3]enemy_skill_triggers!$1:$1,0)-MATCH($F$1,[3]enemy_skill_triggers!$1:$1,0)+1,FALSE)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7" s="46" t="e">
        <f ca="1">VLOOKUP($F17,OFFSET([3]enemy_skill_triggers!$A$1,0,0,COUNTA([3]enemy_skill_triggers!$A:$A),MATCH(H$1,[3]enemy_skill_triggers!$1:$1,0)-MATCH($F$1,[3]enemy_skill_triggers!$1:$1,0)+1),MATCH(H$1,[3]enemy_skill_triggers!$1:$1,0)-MATCH($F$1,[3]enemy_skill_triggers!$1:$1,0)+1,FALSE)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7" s="46" t="e">
        <f ca="1">VLOOKUP($F17,OFFSET([3]enemy_skill_triggers!$A$1,0,0,COUNTA([3]enemy_skill_triggers!$A:$A),MATCH(I$1,[3]enemy_skill_triggers!$1:$1,0)-MATCH($F$1,[3]enemy_skill_triggers!$1:$1,0)+1),MATCH(I$1,[3]enemy_skill_triggers!$1:$1,0)-MATCH($F$1,[3]enemy_skill_triggers!$1:$1,0)+1,FALSE)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7" s="46" t="e">
        <f ca="1">VLOOKUP($F17,OFFSET([3]enemy_skill_triggers!$A$1,0,0,COUNTA([3]enemy_skill_triggers!$A:$A),MATCH(J$1,[3]enemy_skill_triggers!$1:$1,0)-MATCH($F$1,[3]enemy_skill_triggers!$1:$1,0)+1),MATCH(J$1,[3]enemy_skill_triggers!$1:$1,0)-MATCH($F$1,[3]enemy_skill_triggers!$1:$1,0)+1,FALSE)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7" s="46" t="e">
        <f ca="1">VLOOKUP($F17,OFFSET([3]enemy_skill_triggers!$A$1,0,0,COUNTA([3]enemy_skill_triggers!$A:$A),MATCH(K$1,[3]enemy_skill_triggers!$1:$1,0)-MATCH($F$1,[3]enemy_skill_triggers!$1:$1,0)+1),MATCH(K$1,[3]enemy_skill_triggers!$1:$1,0)-MATCH($F$1,[3]enemy_skill_triggers!$1:$1,0)+1,FALSE)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7" s="46" t="e">
        <f ca="1">VLOOKUP($F17,OFFSET([3]enemy_skill_triggers!$A$1,0,0,COUNTA([3]enemy_skill_triggers!$A:$A),MATCH(L$1,[3]enemy_skill_triggers!$1:$1,0)-MATCH($F$1,[3]enemy_skill_triggers!$1:$1,0)+1),MATCH(L$1,[3]enemy_skill_triggers!$1:$1,0)-MATCH($F$1,[3]enemy_skill_triggers!$1:$1,0)+1,FALSE)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7" s="46" t="e">
        <f ca="1">VLOOKUP($F17,OFFSET([3]enemy_skill_triggers!$A$1,0,0,COUNTA([3]enemy_skill_triggers!$A:$A),MATCH(M$1,[3]enemy_skill_triggers!$1:$1,0)-MATCH($F$1,[3]enemy_skill_triggers!$1:$1,0)+1),MATCH(M$1,[3]enemy_skill_triggers!$1:$1,0)-MATCH($F$1,[3]enemy_skill_triggers!$1:$1,0)+1,FALSE)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7" s="46" t="e">
        <f ca="1">VLOOKUP($F17,OFFSET([3]enemy_skill_triggers!$A$1,0,0,COUNTA([3]enemy_skill_triggers!$A:$A),MATCH(N$1,[3]enemy_skill_triggers!$1:$1,0)-MATCH($F$1,[3]enemy_skill_triggers!$1:$1,0)+1),MATCH(N$1,[3]enemy_skill_triggers!$1:$1,0)-MATCH($F$1,[3]enemy_skill_triggers!$1:$1,0)+1,FALSE)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7" s="46" t="e">
        <f ca="1">VLOOKUP($F17,OFFSET([3]enemy_skill_triggers!$A$1,0,0,COUNTA([3]enemy_skill_triggers!$A:$A),MATCH(O$1,[3]enemy_skill_triggers!$1:$1,0)-MATCH($F$1,[3]enemy_skill_triggers!$1:$1,0)+1),MATCH(O$1,[3]enemy_skill_triggers!$1:$1,0)-MATCH($F$1,[3]enemy_skill_triggers!$1:$1,0)+1,FALSE)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7" s="45"/>
      <c r="Q17" s="45"/>
      <c r="R17" s="45"/>
    </row>
    <row r="18" spans="1:18" ht="21" customHeight="1" x14ac:dyDescent="0.15">
      <c r="A18" s="37" t="str">
        <f t="shared" si="0"/>
        <v>13301804_13301815</v>
      </c>
      <c r="B18" s="45">
        <v>13301804</v>
      </c>
      <c r="C18" s="105">
        <v>13301815</v>
      </c>
      <c r="D18" s="44" t="e">
        <f ca="1">VLOOKUP($C18,OFFSET([3]enemy_skills!$A$1,0,0,COUNTA([3]enemy_skills!$A:$A),MATCH(D$1,[3]enemy_skills!$1:$1,0)-MATCH("enemy_skill_id",[3]enemy_skills!$1:$1,0)+1),MATCH(D$1,[3]enemy_skills!$1:$1,0)-MATCH("enemy_skill_id",[3]enemy_skills!$1:$1,0)+1,FALSE)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8" s="44" t="e">
        <f ca="1">VLOOKUP($C18,OFFSET([3]enemy_skills!$A$1,0,0,COUNTA([3]enemy_skills!$A:$A),MATCH(E$1,[3]enemy_skills!$1:$1,0)-MATCH("enemy_skill_id",[3]enemy_skills!$1:$1,0)+1),MATCH(E$1,[3]enemy_skills!$1:$1,0)-MATCH("enemy_skill_id",[3]enemy_skills!$1:$1,0)+1,FALSE)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8" s="105">
        <v>13301815</v>
      </c>
      <c r="G18" s="46" t="e">
        <f ca="1">VLOOKUP($F18,OFFSET([3]enemy_skill_triggers!$A$1,0,0,COUNTA([3]enemy_skill_triggers!$A:$A),MATCH(G$1,[3]enemy_skill_triggers!$1:$1,0)-MATCH($F$1,[3]enemy_skill_triggers!$1:$1,0)+1),MATCH(G$1,[3]enemy_skill_triggers!$1:$1,0)-MATCH($F$1,[3]enemy_skill_triggers!$1:$1,0)+1,FALSE)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8" s="46" t="e">
        <f ca="1">VLOOKUP($F18,OFFSET([3]enemy_skill_triggers!$A$1,0,0,COUNTA([3]enemy_skill_triggers!$A:$A),MATCH(H$1,[3]enemy_skill_triggers!$1:$1,0)-MATCH($F$1,[3]enemy_skill_triggers!$1:$1,0)+1),MATCH(H$1,[3]enemy_skill_triggers!$1:$1,0)-MATCH($F$1,[3]enemy_skill_triggers!$1:$1,0)+1,FALSE)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8" s="46" t="e">
        <f ca="1">VLOOKUP($F18,OFFSET([3]enemy_skill_triggers!$A$1,0,0,COUNTA([3]enemy_skill_triggers!$A:$A),MATCH(I$1,[3]enemy_skill_triggers!$1:$1,0)-MATCH($F$1,[3]enemy_skill_triggers!$1:$1,0)+1),MATCH(I$1,[3]enemy_skill_triggers!$1:$1,0)-MATCH($F$1,[3]enemy_skill_triggers!$1:$1,0)+1,FALSE)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8" s="46" t="e">
        <f ca="1">VLOOKUP($F18,OFFSET([3]enemy_skill_triggers!$A$1,0,0,COUNTA([3]enemy_skill_triggers!$A:$A),MATCH(J$1,[3]enemy_skill_triggers!$1:$1,0)-MATCH($F$1,[3]enemy_skill_triggers!$1:$1,0)+1),MATCH(J$1,[3]enemy_skill_triggers!$1:$1,0)-MATCH($F$1,[3]enemy_skill_triggers!$1:$1,0)+1,FALSE)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8" s="46" t="e">
        <f ca="1">VLOOKUP($F18,OFFSET([3]enemy_skill_triggers!$A$1,0,0,COUNTA([3]enemy_skill_triggers!$A:$A),MATCH(K$1,[3]enemy_skill_triggers!$1:$1,0)-MATCH($F$1,[3]enemy_skill_triggers!$1:$1,0)+1),MATCH(K$1,[3]enemy_skill_triggers!$1:$1,0)-MATCH($F$1,[3]enemy_skill_triggers!$1:$1,0)+1,FALSE)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8" s="46" t="e">
        <f ca="1">VLOOKUP($F18,OFFSET([3]enemy_skill_triggers!$A$1,0,0,COUNTA([3]enemy_skill_triggers!$A:$A),MATCH(L$1,[3]enemy_skill_triggers!$1:$1,0)-MATCH($F$1,[3]enemy_skill_triggers!$1:$1,0)+1),MATCH(L$1,[3]enemy_skill_triggers!$1:$1,0)-MATCH($F$1,[3]enemy_skill_triggers!$1:$1,0)+1,FALSE)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8" s="46" t="e">
        <f ca="1">VLOOKUP($F18,OFFSET([3]enemy_skill_triggers!$A$1,0,0,COUNTA([3]enemy_skill_triggers!$A:$A),MATCH(M$1,[3]enemy_skill_triggers!$1:$1,0)-MATCH($F$1,[3]enemy_skill_triggers!$1:$1,0)+1),MATCH(M$1,[3]enemy_skill_triggers!$1:$1,0)-MATCH($F$1,[3]enemy_skill_triggers!$1:$1,0)+1,FALSE)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8" s="46" t="e">
        <f ca="1">VLOOKUP($F18,OFFSET([3]enemy_skill_triggers!$A$1,0,0,COUNTA([3]enemy_skill_triggers!$A:$A),MATCH(N$1,[3]enemy_skill_triggers!$1:$1,0)-MATCH($F$1,[3]enemy_skill_triggers!$1:$1,0)+1),MATCH(N$1,[3]enemy_skill_triggers!$1:$1,0)-MATCH($F$1,[3]enemy_skill_triggers!$1:$1,0)+1,FALSE)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8" s="46" t="e">
        <f ca="1">VLOOKUP($F18,OFFSET([3]enemy_skill_triggers!$A$1,0,0,COUNTA([3]enemy_skill_triggers!$A:$A),MATCH(O$1,[3]enemy_skill_triggers!$1:$1,0)-MATCH($F$1,[3]enemy_skill_triggers!$1:$1,0)+1),MATCH(O$1,[3]enemy_skill_triggers!$1:$1,0)-MATCH($F$1,[3]enemy_skill_triggers!$1:$1,0)+1,FALSE)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8" s="45"/>
      <c r="Q18" s="45"/>
      <c r="R18" s="45"/>
    </row>
    <row r="19" spans="1:18" ht="21" customHeight="1" x14ac:dyDescent="0.15">
      <c r="A19" s="37" t="str">
        <f t="shared" si="0"/>
        <v>13301805_13301816</v>
      </c>
      <c r="B19" s="45">
        <v>13301805</v>
      </c>
      <c r="C19" s="105">
        <v>13301816</v>
      </c>
      <c r="D19" s="44" t="e">
        <f ca="1">VLOOKUP($C19,OFFSET([3]enemy_skills!$A$1,0,0,COUNTA([3]enemy_skills!$A:$A),MATCH(D$1,[3]enemy_skills!$1:$1,0)-MATCH("enemy_skill_id",[3]enemy_skills!$1:$1,0)+1),MATCH(D$1,[3]enemy_skills!$1:$1,0)-MATCH("enemy_skill_id",[3]enemy_skills!$1:$1,0)+1,FALSE)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19" s="44" t="e">
        <f ca="1">VLOOKUP($C19,OFFSET([3]enemy_skills!$A$1,0,0,COUNTA([3]enemy_skills!$A:$A),MATCH(E$1,[3]enemy_skills!$1:$1,0)-MATCH("enemy_skill_id",[3]enemy_skills!$1:$1,0)+1),MATCH(E$1,[3]enemy_skills!$1:$1,0)-MATCH("enemy_skill_id",[3]enemy_skills!$1:$1,0)+1,FALSE)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19" s="105">
        <v>13301816</v>
      </c>
      <c r="G19" s="46" t="e">
        <f ca="1">VLOOKUP($F19,OFFSET([3]enemy_skill_triggers!$A$1,0,0,COUNTA([3]enemy_skill_triggers!$A:$A),MATCH(G$1,[3]enemy_skill_triggers!$1:$1,0)-MATCH($F$1,[3]enemy_skill_triggers!$1:$1,0)+1),MATCH(G$1,[3]enemy_skill_triggers!$1:$1,0)-MATCH($F$1,[3]enemy_skill_triggers!$1:$1,0)+1,FALSE)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19" s="46" t="e">
        <f ca="1">VLOOKUP($F19,OFFSET([3]enemy_skill_triggers!$A$1,0,0,COUNTA([3]enemy_skill_triggers!$A:$A),MATCH(H$1,[3]enemy_skill_triggers!$1:$1,0)-MATCH($F$1,[3]enemy_skill_triggers!$1:$1,0)+1),MATCH(H$1,[3]enemy_skill_triggers!$1:$1,0)-MATCH($F$1,[3]enemy_skill_triggers!$1:$1,0)+1,FALSE)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19" s="46" t="e">
        <f ca="1">VLOOKUP($F19,OFFSET([3]enemy_skill_triggers!$A$1,0,0,COUNTA([3]enemy_skill_triggers!$A:$A),MATCH(I$1,[3]enemy_skill_triggers!$1:$1,0)-MATCH($F$1,[3]enemy_skill_triggers!$1:$1,0)+1),MATCH(I$1,[3]enemy_skill_triggers!$1:$1,0)-MATCH($F$1,[3]enemy_skill_triggers!$1:$1,0)+1,FALSE)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19" s="46" t="e">
        <f ca="1">VLOOKUP($F19,OFFSET([3]enemy_skill_triggers!$A$1,0,0,COUNTA([3]enemy_skill_triggers!$A:$A),MATCH(J$1,[3]enemy_skill_triggers!$1:$1,0)-MATCH($F$1,[3]enemy_skill_triggers!$1:$1,0)+1),MATCH(J$1,[3]enemy_skill_triggers!$1:$1,0)-MATCH($F$1,[3]enemy_skill_triggers!$1:$1,0)+1,FALSE)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19" s="46" t="e">
        <f ca="1">VLOOKUP($F19,OFFSET([3]enemy_skill_triggers!$A$1,0,0,COUNTA([3]enemy_skill_triggers!$A:$A),MATCH(K$1,[3]enemy_skill_triggers!$1:$1,0)-MATCH($F$1,[3]enemy_skill_triggers!$1:$1,0)+1),MATCH(K$1,[3]enemy_skill_triggers!$1:$1,0)-MATCH($F$1,[3]enemy_skill_triggers!$1:$1,0)+1,FALSE)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19" s="46" t="e">
        <f ca="1">VLOOKUP($F19,OFFSET([3]enemy_skill_triggers!$A$1,0,0,COUNTA([3]enemy_skill_triggers!$A:$A),MATCH(L$1,[3]enemy_skill_triggers!$1:$1,0)-MATCH($F$1,[3]enemy_skill_triggers!$1:$1,0)+1),MATCH(L$1,[3]enemy_skill_triggers!$1:$1,0)-MATCH($F$1,[3]enemy_skill_triggers!$1:$1,0)+1,FALSE)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19" s="46" t="e">
        <f ca="1">VLOOKUP($F19,OFFSET([3]enemy_skill_triggers!$A$1,0,0,COUNTA([3]enemy_skill_triggers!$A:$A),MATCH(M$1,[3]enemy_skill_triggers!$1:$1,0)-MATCH($F$1,[3]enemy_skill_triggers!$1:$1,0)+1),MATCH(M$1,[3]enemy_skill_triggers!$1:$1,0)-MATCH($F$1,[3]enemy_skill_triggers!$1:$1,0)+1,FALSE)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19" s="46" t="e">
        <f ca="1">VLOOKUP($F19,OFFSET([3]enemy_skill_triggers!$A$1,0,0,COUNTA([3]enemy_skill_triggers!$A:$A),MATCH(N$1,[3]enemy_skill_triggers!$1:$1,0)-MATCH($F$1,[3]enemy_skill_triggers!$1:$1,0)+1),MATCH(N$1,[3]enemy_skill_triggers!$1:$1,0)-MATCH($F$1,[3]enemy_skill_triggers!$1:$1,0)+1,FALSE)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19" s="46" t="e">
        <f ca="1">VLOOKUP($F19,OFFSET([3]enemy_skill_triggers!$A$1,0,0,COUNTA([3]enemy_skill_triggers!$A:$A),MATCH(O$1,[3]enemy_skill_triggers!$1:$1,0)-MATCH($F$1,[3]enemy_skill_triggers!$1:$1,0)+1),MATCH(O$1,[3]enemy_skill_triggers!$1:$1,0)-MATCH($F$1,[3]enemy_skill_triggers!$1:$1,0)+1,FALSE)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19" s="45"/>
      <c r="Q19" s="45"/>
      <c r="R19" s="45"/>
    </row>
    <row r="20" spans="1:18" ht="21" customHeight="1" x14ac:dyDescent="0.15">
      <c r="A20" s="37" t="str">
        <f t="shared" si="0"/>
        <v>13301804_13301817</v>
      </c>
      <c r="B20" s="45">
        <v>13301804</v>
      </c>
      <c r="C20" s="105">
        <v>13301817</v>
      </c>
      <c r="D20" s="44" t="e">
        <f ca="1">VLOOKUP($C20,OFFSET([3]enemy_skills!$A$1,0,0,COUNTA([3]enemy_skills!$A:$A),MATCH(D$1,[3]enemy_skills!$1:$1,0)-MATCH("enemy_skill_id",[3]enemy_skills!$1:$1,0)+1),MATCH(D$1,[3]enemy_skills!$1:$1,0)-MATCH("enemy_skill_id",[3]enemy_skills!$1:$1,0)+1,FALSE)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0" s="44" t="e">
        <f ca="1">VLOOKUP($C20,OFFSET([3]enemy_skills!$A$1,0,0,COUNTA([3]enemy_skills!$A:$A),MATCH(E$1,[3]enemy_skills!$1:$1,0)-MATCH("enemy_skill_id",[3]enemy_skills!$1:$1,0)+1),MATCH(E$1,[3]enemy_skills!$1:$1,0)-MATCH("enemy_skill_id",[3]enemy_skills!$1:$1,0)+1,FALSE)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0" s="105">
        <v>13301817</v>
      </c>
      <c r="G20" s="46" t="e">
        <f ca="1">VLOOKUP($F20,OFFSET([3]enemy_skill_triggers!$A$1,0,0,COUNTA([3]enemy_skill_triggers!$A:$A),MATCH(G$1,[3]enemy_skill_triggers!$1:$1,0)-MATCH($F$1,[3]enemy_skill_triggers!$1:$1,0)+1),MATCH(G$1,[3]enemy_skill_triggers!$1:$1,0)-MATCH($F$1,[3]enemy_skill_triggers!$1:$1,0)+1,FALSE)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0" s="46" t="e">
        <f ca="1">VLOOKUP($F20,OFFSET([3]enemy_skill_triggers!$A$1,0,0,COUNTA([3]enemy_skill_triggers!$A:$A),MATCH(H$1,[3]enemy_skill_triggers!$1:$1,0)-MATCH($F$1,[3]enemy_skill_triggers!$1:$1,0)+1),MATCH(H$1,[3]enemy_skill_triggers!$1:$1,0)-MATCH($F$1,[3]enemy_skill_triggers!$1:$1,0)+1,FALSE)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0" s="46" t="e">
        <f ca="1">VLOOKUP($F20,OFFSET([3]enemy_skill_triggers!$A$1,0,0,COUNTA([3]enemy_skill_triggers!$A:$A),MATCH(I$1,[3]enemy_skill_triggers!$1:$1,0)-MATCH($F$1,[3]enemy_skill_triggers!$1:$1,0)+1),MATCH(I$1,[3]enemy_skill_triggers!$1:$1,0)-MATCH($F$1,[3]enemy_skill_triggers!$1:$1,0)+1,FALSE)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0" s="46" t="e">
        <f ca="1">VLOOKUP($F20,OFFSET([3]enemy_skill_triggers!$A$1,0,0,COUNTA([3]enemy_skill_triggers!$A:$A),MATCH(J$1,[3]enemy_skill_triggers!$1:$1,0)-MATCH($F$1,[3]enemy_skill_triggers!$1:$1,0)+1),MATCH(J$1,[3]enemy_skill_triggers!$1:$1,0)-MATCH($F$1,[3]enemy_skill_triggers!$1:$1,0)+1,FALSE)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0" s="46" t="e">
        <f ca="1">VLOOKUP($F20,OFFSET([3]enemy_skill_triggers!$A$1,0,0,COUNTA([3]enemy_skill_triggers!$A:$A),MATCH(K$1,[3]enemy_skill_triggers!$1:$1,0)-MATCH($F$1,[3]enemy_skill_triggers!$1:$1,0)+1),MATCH(K$1,[3]enemy_skill_triggers!$1:$1,0)-MATCH($F$1,[3]enemy_skill_triggers!$1:$1,0)+1,FALSE)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0" s="46" t="e">
        <f ca="1">VLOOKUP($F20,OFFSET([3]enemy_skill_triggers!$A$1,0,0,COUNTA([3]enemy_skill_triggers!$A:$A),MATCH(L$1,[3]enemy_skill_triggers!$1:$1,0)-MATCH($F$1,[3]enemy_skill_triggers!$1:$1,0)+1),MATCH(L$1,[3]enemy_skill_triggers!$1:$1,0)-MATCH($F$1,[3]enemy_skill_triggers!$1:$1,0)+1,FALSE)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0" s="46" t="e">
        <f ca="1">VLOOKUP($F20,OFFSET([3]enemy_skill_triggers!$A$1,0,0,COUNTA([3]enemy_skill_triggers!$A:$A),MATCH(M$1,[3]enemy_skill_triggers!$1:$1,0)-MATCH($F$1,[3]enemy_skill_triggers!$1:$1,0)+1),MATCH(M$1,[3]enemy_skill_triggers!$1:$1,0)-MATCH($F$1,[3]enemy_skill_triggers!$1:$1,0)+1,FALSE)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0" s="46" t="e">
        <f ca="1">VLOOKUP($F20,OFFSET([3]enemy_skill_triggers!$A$1,0,0,COUNTA([3]enemy_skill_triggers!$A:$A),MATCH(N$1,[3]enemy_skill_triggers!$1:$1,0)-MATCH($F$1,[3]enemy_skill_triggers!$1:$1,0)+1),MATCH(N$1,[3]enemy_skill_triggers!$1:$1,0)-MATCH($F$1,[3]enemy_skill_triggers!$1:$1,0)+1,FALSE)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0" s="46" t="e">
        <f ca="1">VLOOKUP($F20,OFFSET([3]enemy_skill_triggers!$A$1,0,0,COUNTA([3]enemy_skill_triggers!$A:$A),MATCH(O$1,[3]enemy_skill_triggers!$1:$1,0)-MATCH($F$1,[3]enemy_skill_triggers!$1:$1,0)+1),MATCH(O$1,[3]enemy_skill_triggers!$1:$1,0)-MATCH($F$1,[3]enemy_skill_triggers!$1:$1,0)+1,FALSE)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0" s="45"/>
      <c r="Q20" s="45"/>
      <c r="R20" s="45"/>
    </row>
    <row r="21" spans="1:18" ht="21" customHeight="1" x14ac:dyDescent="0.15">
      <c r="A21" s="37" t="str">
        <f t="shared" si="0"/>
        <v>13301805_13301818</v>
      </c>
      <c r="B21" s="45">
        <v>13301805</v>
      </c>
      <c r="C21" s="105">
        <v>13301818</v>
      </c>
      <c r="D21" s="44" t="e">
        <f ca="1">VLOOKUP($C21,OFFSET([3]enemy_skills!$A$1,0,0,COUNTA([3]enemy_skills!$A:$A),MATCH(D$1,[3]enemy_skills!$1:$1,0)-MATCH("enemy_skill_id",[3]enemy_skills!$1:$1,0)+1),MATCH(D$1,[3]enemy_skills!$1:$1,0)-MATCH("enemy_skill_id",[3]enemy_skills!$1:$1,0)+1,FALSE)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1" s="44" t="e">
        <f ca="1">VLOOKUP($C21,OFFSET([3]enemy_skills!$A$1,0,0,COUNTA([3]enemy_skills!$A:$A),MATCH(E$1,[3]enemy_skills!$1:$1,0)-MATCH("enemy_skill_id",[3]enemy_skills!$1:$1,0)+1),MATCH(E$1,[3]enemy_skills!$1:$1,0)-MATCH("enemy_skill_id",[3]enemy_skills!$1:$1,0)+1,FALSE)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1" s="105">
        <v>13301818</v>
      </c>
      <c r="G21" s="46" t="e">
        <f ca="1">VLOOKUP($F21,OFFSET([3]enemy_skill_triggers!$A$1,0,0,COUNTA([3]enemy_skill_triggers!$A:$A),MATCH(G$1,[3]enemy_skill_triggers!$1:$1,0)-MATCH($F$1,[3]enemy_skill_triggers!$1:$1,0)+1),MATCH(G$1,[3]enemy_skill_triggers!$1:$1,0)-MATCH($F$1,[3]enemy_skill_triggers!$1:$1,0)+1,FALSE)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1" s="46" t="e">
        <f ca="1">VLOOKUP($F21,OFFSET([3]enemy_skill_triggers!$A$1,0,0,COUNTA([3]enemy_skill_triggers!$A:$A),MATCH(H$1,[3]enemy_skill_triggers!$1:$1,0)-MATCH($F$1,[3]enemy_skill_triggers!$1:$1,0)+1),MATCH(H$1,[3]enemy_skill_triggers!$1:$1,0)-MATCH($F$1,[3]enemy_skill_triggers!$1:$1,0)+1,FALSE)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1" s="46" t="e">
        <f ca="1">VLOOKUP($F21,OFFSET([3]enemy_skill_triggers!$A$1,0,0,COUNTA([3]enemy_skill_triggers!$A:$A),MATCH(I$1,[3]enemy_skill_triggers!$1:$1,0)-MATCH($F$1,[3]enemy_skill_triggers!$1:$1,0)+1),MATCH(I$1,[3]enemy_skill_triggers!$1:$1,0)-MATCH($F$1,[3]enemy_skill_triggers!$1:$1,0)+1,FALSE)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1" s="46" t="e">
        <f ca="1">VLOOKUP($F21,OFFSET([3]enemy_skill_triggers!$A$1,0,0,COUNTA([3]enemy_skill_triggers!$A:$A),MATCH(J$1,[3]enemy_skill_triggers!$1:$1,0)-MATCH($F$1,[3]enemy_skill_triggers!$1:$1,0)+1),MATCH(J$1,[3]enemy_skill_triggers!$1:$1,0)-MATCH($F$1,[3]enemy_skill_triggers!$1:$1,0)+1,FALSE)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1" s="46" t="e">
        <f ca="1">VLOOKUP($F21,OFFSET([3]enemy_skill_triggers!$A$1,0,0,COUNTA([3]enemy_skill_triggers!$A:$A),MATCH(K$1,[3]enemy_skill_triggers!$1:$1,0)-MATCH($F$1,[3]enemy_skill_triggers!$1:$1,0)+1),MATCH(K$1,[3]enemy_skill_triggers!$1:$1,0)-MATCH($F$1,[3]enemy_skill_triggers!$1:$1,0)+1,FALSE)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1" s="46" t="e">
        <f ca="1">VLOOKUP($F21,OFFSET([3]enemy_skill_triggers!$A$1,0,0,COUNTA([3]enemy_skill_triggers!$A:$A),MATCH(L$1,[3]enemy_skill_triggers!$1:$1,0)-MATCH($F$1,[3]enemy_skill_triggers!$1:$1,0)+1),MATCH(L$1,[3]enemy_skill_triggers!$1:$1,0)-MATCH($F$1,[3]enemy_skill_triggers!$1:$1,0)+1,FALSE)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1" s="46" t="e">
        <f ca="1">VLOOKUP($F21,OFFSET([3]enemy_skill_triggers!$A$1,0,0,COUNTA([3]enemy_skill_triggers!$A:$A),MATCH(M$1,[3]enemy_skill_triggers!$1:$1,0)-MATCH($F$1,[3]enemy_skill_triggers!$1:$1,0)+1),MATCH(M$1,[3]enemy_skill_triggers!$1:$1,0)-MATCH($F$1,[3]enemy_skill_triggers!$1:$1,0)+1,FALSE)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1" s="46" t="e">
        <f ca="1">VLOOKUP($F21,OFFSET([3]enemy_skill_triggers!$A$1,0,0,COUNTA([3]enemy_skill_triggers!$A:$A),MATCH(N$1,[3]enemy_skill_triggers!$1:$1,0)-MATCH($F$1,[3]enemy_skill_triggers!$1:$1,0)+1),MATCH(N$1,[3]enemy_skill_triggers!$1:$1,0)-MATCH($F$1,[3]enemy_skill_triggers!$1:$1,0)+1,FALSE)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1" s="46" t="e">
        <f ca="1">VLOOKUP($F21,OFFSET([3]enemy_skill_triggers!$A$1,0,0,COUNTA([3]enemy_skill_triggers!$A:$A),MATCH(O$1,[3]enemy_skill_triggers!$1:$1,0)-MATCH($F$1,[3]enemy_skill_triggers!$1:$1,0)+1),MATCH(O$1,[3]enemy_skill_triggers!$1:$1,0)-MATCH($F$1,[3]enemy_skill_triggers!$1:$1,0)+1,FALSE)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1" s="45"/>
      <c r="Q21" s="45"/>
      <c r="R21" s="45"/>
    </row>
    <row r="22" spans="1:18" ht="21" customHeight="1" x14ac:dyDescent="0.15">
      <c r="A22" s="37" t="str">
        <f t="shared" si="0"/>
        <v>13301804_13301819</v>
      </c>
      <c r="B22" s="45">
        <v>13301804</v>
      </c>
      <c r="C22" s="105">
        <v>13301819</v>
      </c>
      <c r="D22" s="44" t="e">
        <f ca="1">VLOOKUP($C22,OFFSET([3]enemy_skills!$A$1,0,0,COUNTA([3]enemy_skills!$A:$A),MATCH(D$1,[3]enemy_skills!$1:$1,0)-MATCH("enemy_skill_id",[3]enemy_skills!$1:$1,0)+1),MATCH(D$1,[3]enemy_skills!$1:$1,0)-MATCH("enemy_skill_id",[3]enemy_skills!$1:$1,0)+1,FALSE)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2" s="44" t="e">
        <f ca="1">VLOOKUP($C22,OFFSET([3]enemy_skills!$A$1,0,0,COUNTA([3]enemy_skills!$A:$A),MATCH(E$1,[3]enemy_skills!$1:$1,0)-MATCH("enemy_skill_id",[3]enemy_skills!$1:$1,0)+1),MATCH(E$1,[3]enemy_skills!$1:$1,0)-MATCH("enemy_skill_id",[3]enemy_skills!$1:$1,0)+1,FALSE)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2" s="105">
        <v>13301819</v>
      </c>
      <c r="G22" s="46" t="e">
        <f ca="1">VLOOKUP($F22,OFFSET([3]enemy_skill_triggers!$A$1,0,0,COUNTA([3]enemy_skill_triggers!$A:$A),MATCH(G$1,[3]enemy_skill_triggers!$1:$1,0)-MATCH($F$1,[3]enemy_skill_triggers!$1:$1,0)+1),MATCH(G$1,[3]enemy_skill_triggers!$1:$1,0)-MATCH($F$1,[3]enemy_skill_triggers!$1:$1,0)+1,FALSE)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2" s="46" t="e">
        <f ca="1">VLOOKUP($F22,OFFSET([3]enemy_skill_triggers!$A$1,0,0,COUNTA([3]enemy_skill_triggers!$A:$A),MATCH(H$1,[3]enemy_skill_triggers!$1:$1,0)-MATCH($F$1,[3]enemy_skill_triggers!$1:$1,0)+1),MATCH(H$1,[3]enemy_skill_triggers!$1:$1,0)-MATCH($F$1,[3]enemy_skill_triggers!$1:$1,0)+1,FALSE)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2" s="46" t="e">
        <f ca="1">VLOOKUP($F22,OFFSET([3]enemy_skill_triggers!$A$1,0,0,COUNTA([3]enemy_skill_triggers!$A:$A),MATCH(I$1,[3]enemy_skill_triggers!$1:$1,0)-MATCH($F$1,[3]enemy_skill_triggers!$1:$1,0)+1),MATCH(I$1,[3]enemy_skill_triggers!$1:$1,0)-MATCH($F$1,[3]enemy_skill_triggers!$1:$1,0)+1,FALSE)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2" s="46" t="e">
        <f ca="1">VLOOKUP($F22,OFFSET([3]enemy_skill_triggers!$A$1,0,0,COUNTA([3]enemy_skill_triggers!$A:$A),MATCH(J$1,[3]enemy_skill_triggers!$1:$1,0)-MATCH($F$1,[3]enemy_skill_triggers!$1:$1,0)+1),MATCH(J$1,[3]enemy_skill_triggers!$1:$1,0)-MATCH($F$1,[3]enemy_skill_triggers!$1:$1,0)+1,FALSE)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2" s="46" t="e">
        <f ca="1">VLOOKUP($F22,OFFSET([3]enemy_skill_triggers!$A$1,0,0,COUNTA([3]enemy_skill_triggers!$A:$A),MATCH(K$1,[3]enemy_skill_triggers!$1:$1,0)-MATCH($F$1,[3]enemy_skill_triggers!$1:$1,0)+1),MATCH(K$1,[3]enemy_skill_triggers!$1:$1,0)-MATCH($F$1,[3]enemy_skill_triggers!$1:$1,0)+1,FALSE)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2" s="46" t="e">
        <f ca="1">VLOOKUP($F22,OFFSET([3]enemy_skill_triggers!$A$1,0,0,COUNTA([3]enemy_skill_triggers!$A:$A),MATCH(L$1,[3]enemy_skill_triggers!$1:$1,0)-MATCH($F$1,[3]enemy_skill_triggers!$1:$1,0)+1),MATCH(L$1,[3]enemy_skill_triggers!$1:$1,0)-MATCH($F$1,[3]enemy_skill_triggers!$1:$1,0)+1,FALSE)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2" s="46" t="e">
        <f ca="1">VLOOKUP($F22,OFFSET([3]enemy_skill_triggers!$A$1,0,0,COUNTA([3]enemy_skill_triggers!$A:$A),MATCH(M$1,[3]enemy_skill_triggers!$1:$1,0)-MATCH($F$1,[3]enemy_skill_triggers!$1:$1,0)+1),MATCH(M$1,[3]enemy_skill_triggers!$1:$1,0)-MATCH($F$1,[3]enemy_skill_triggers!$1:$1,0)+1,FALSE)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2" s="46" t="e">
        <f ca="1">VLOOKUP($F22,OFFSET([3]enemy_skill_triggers!$A$1,0,0,COUNTA([3]enemy_skill_triggers!$A:$A),MATCH(N$1,[3]enemy_skill_triggers!$1:$1,0)-MATCH($F$1,[3]enemy_skill_triggers!$1:$1,0)+1),MATCH(N$1,[3]enemy_skill_triggers!$1:$1,0)-MATCH($F$1,[3]enemy_skill_triggers!$1:$1,0)+1,FALSE)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2" s="46" t="e">
        <f ca="1">VLOOKUP($F22,OFFSET([3]enemy_skill_triggers!$A$1,0,0,COUNTA([3]enemy_skill_triggers!$A:$A),MATCH(O$1,[3]enemy_skill_triggers!$1:$1,0)-MATCH($F$1,[3]enemy_skill_triggers!$1:$1,0)+1),MATCH(O$1,[3]enemy_skill_triggers!$1:$1,0)-MATCH($F$1,[3]enemy_skill_triggers!$1:$1,0)+1,FALSE)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2" s="45"/>
      <c r="Q22" s="45"/>
      <c r="R22" s="45"/>
    </row>
    <row r="23" spans="1:18" ht="21" customHeight="1" x14ac:dyDescent="0.15">
      <c r="A23" s="37" t="str">
        <f t="shared" si="0"/>
        <v>13301805_13301820</v>
      </c>
      <c r="B23" s="45">
        <v>13301805</v>
      </c>
      <c r="C23" s="105">
        <v>13301820</v>
      </c>
      <c r="D23" s="44" t="e">
        <f ca="1">VLOOKUP($C23,OFFSET([3]enemy_skills!$A$1,0,0,COUNTA([3]enemy_skills!$A:$A),MATCH(D$1,[3]enemy_skills!$1:$1,0)-MATCH("enemy_skill_id",[3]enemy_skills!$1:$1,0)+1),MATCH(D$1,[3]enemy_skills!$1:$1,0)-MATCH("enemy_skill_id",[3]enemy_skills!$1:$1,0)+1,FALSE)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3" s="44" t="e">
        <f ca="1">VLOOKUP($C23,OFFSET([3]enemy_skills!$A$1,0,0,COUNTA([3]enemy_skills!$A:$A),MATCH(E$1,[3]enemy_skills!$1:$1,0)-MATCH("enemy_skill_id",[3]enemy_skills!$1:$1,0)+1),MATCH(E$1,[3]enemy_skills!$1:$1,0)-MATCH("enemy_skill_id",[3]enemy_skills!$1:$1,0)+1,FALSE)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3" s="105">
        <v>13301820</v>
      </c>
      <c r="G23" s="46" t="e">
        <f ca="1">VLOOKUP($F23,OFFSET([3]enemy_skill_triggers!$A$1,0,0,COUNTA([3]enemy_skill_triggers!$A:$A),MATCH(G$1,[3]enemy_skill_triggers!$1:$1,0)-MATCH($F$1,[3]enemy_skill_triggers!$1:$1,0)+1),MATCH(G$1,[3]enemy_skill_triggers!$1:$1,0)-MATCH($F$1,[3]enemy_skill_triggers!$1:$1,0)+1,FALSE)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3" s="46" t="e">
        <f ca="1">VLOOKUP($F23,OFFSET([3]enemy_skill_triggers!$A$1,0,0,COUNTA([3]enemy_skill_triggers!$A:$A),MATCH(H$1,[3]enemy_skill_triggers!$1:$1,0)-MATCH($F$1,[3]enemy_skill_triggers!$1:$1,0)+1),MATCH(H$1,[3]enemy_skill_triggers!$1:$1,0)-MATCH($F$1,[3]enemy_skill_triggers!$1:$1,0)+1,FALSE)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3" s="46" t="e">
        <f ca="1">VLOOKUP($F23,OFFSET([3]enemy_skill_triggers!$A$1,0,0,COUNTA([3]enemy_skill_triggers!$A:$A),MATCH(I$1,[3]enemy_skill_triggers!$1:$1,0)-MATCH($F$1,[3]enemy_skill_triggers!$1:$1,0)+1),MATCH(I$1,[3]enemy_skill_triggers!$1:$1,0)-MATCH($F$1,[3]enemy_skill_triggers!$1:$1,0)+1,FALSE)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3" s="46" t="e">
        <f ca="1">VLOOKUP($F23,OFFSET([3]enemy_skill_triggers!$A$1,0,0,COUNTA([3]enemy_skill_triggers!$A:$A),MATCH(J$1,[3]enemy_skill_triggers!$1:$1,0)-MATCH($F$1,[3]enemy_skill_triggers!$1:$1,0)+1),MATCH(J$1,[3]enemy_skill_triggers!$1:$1,0)-MATCH($F$1,[3]enemy_skill_triggers!$1:$1,0)+1,FALSE)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3" s="46" t="e">
        <f ca="1">VLOOKUP($F23,OFFSET([3]enemy_skill_triggers!$A$1,0,0,COUNTA([3]enemy_skill_triggers!$A:$A),MATCH(K$1,[3]enemy_skill_triggers!$1:$1,0)-MATCH($F$1,[3]enemy_skill_triggers!$1:$1,0)+1),MATCH(K$1,[3]enemy_skill_triggers!$1:$1,0)-MATCH($F$1,[3]enemy_skill_triggers!$1:$1,0)+1,FALSE)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3" s="46" t="e">
        <f ca="1">VLOOKUP($F23,OFFSET([3]enemy_skill_triggers!$A$1,0,0,COUNTA([3]enemy_skill_triggers!$A:$A),MATCH(L$1,[3]enemy_skill_triggers!$1:$1,0)-MATCH($F$1,[3]enemy_skill_triggers!$1:$1,0)+1),MATCH(L$1,[3]enemy_skill_triggers!$1:$1,0)-MATCH($F$1,[3]enemy_skill_triggers!$1:$1,0)+1,FALSE)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3" s="46" t="e">
        <f ca="1">VLOOKUP($F23,OFFSET([3]enemy_skill_triggers!$A$1,0,0,COUNTA([3]enemy_skill_triggers!$A:$A),MATCH(M$1,[3]enemy_skill_triggers!$1:$1,0)-MATCH($F$1,[3]enemy_skill_triggers!$1:$1,0)+1),MATCH(M$1,[3]enemy_skill_triggers!$1:$1,0)-MATCH($F$1,[3]enemy_skill_triggers!$1:$1,0)+1,FALSE)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3" s="46" t="e">
        <f ca="1">VLOOKUP($F23,OFFSET([3]enemy_skill_triggers!$A$1,0,0,COUNTA([3]enemy_skill_triggers!$A:$A),MATCH(N$1,[3]enemy_skill_triggers!$1:$1,0)-MATCH($F$1,[3]enemy_skill_triggers!$1:$1,0)+1),MATCH(N$1,[3]enemy_skill_triggers!$1:$1,0)-MATCH($F$1,[3]enemy_skill_triggers!$1:$1,0)+1,FALSE)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3" s="46" t="e">
        <f ca="1">VLOOKUP($F23,OFFSET([3]enemy_skill_triggers!$A$1,0,0,COUNTA([3]enemy_skill_triggers!$A:$A),MATCH(O$1,[3]enemy_skill_triggers!$1:$1,0)-MATCH($F$1,[3]enemy_skill_triggers!$1:$1,0)+1),MATCH(O$1,[3]enemy_skill_triggers!$1:$1,0)-MATCH($F$1,[3]enemy_skill_triggers!$1:$1,0)+1,FALSE)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3" s="45"/>
      <c r="Q23" s="45"/>
      <c r="R23" s="45"/>
    </row>
    <row r="24" spans="1:18" ht="21" customHeight="1" x14ac:dyDescent="0.15">
      <c r="A24" s="37" t="str">
        <f t="shared" si="0"/>
        <v>13301805_13301821</v>
      </c>
      <c r="B24" s="45">
        <v>13301805</v>
      </c>
      <c r="C24" s="105">
        <v>13301821</v>
      </c>
      <c r="D24" s="44" t="e">
        <f ca="1">VLOOKUP($C24,OFFSET([3]enemy_skills!$A$1,0,0,COUNTA([3]enemy_skills!$A:$A),MATCH(D$1,[3]enemy_skills!$1:$1,0)-MATCH("enemy_skill_id",[3]enemy_skills!$1:$1,0)+1),MATCH(D$1,[3]enemy_skills!$1:$1,0)-MATCH("enemy_skill_id",[3]enemy_skills!$1:$1,0)+1,FALSE)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4" s="44" t="e">
        <f ca="1">VLOOKUP($C24,OFFSET([3]enemy_skills!$A$1,0,0,COUNTA([3]enemy_skills!$A:$A),MATCH(E$1,[3]enemy_skills!$1:$1,0)-MATCH("enemy_skill_id",[3]enemy_skills!$1:$1,0)+1),MATCH(E$1,[3]enemy_skills!$1:$1,0)-MATCH("enemy_skill_id",[3]enemy_skills!$1:$1,0)+1,FALSE)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4" s="105">
        <v>13301821</v>
      </c>
      <c r="G24" s="46" t="e">
        <f ca="1">VLOOKUP($F24,OFFSET([3]enemy_skill_triggers!$A$1,0,0,COUNTA([3]enemy_skill_triggers!$A:$A),MATCH(G$1,[3]enemy_skill_triggers!$1:$1,0)-MATCH($F$1,[3]enemy_skill_triggers!$1:$1,0)+1),MATCH(G$1,[3]enemy_skill_triggers!$1:$1,0)-MATCH($F$1,[3]enemy_skill_triggers!$1:$1,0)+1,FALSE)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4" s="46" t="e">
        <f ca="1">VLOOKUP($F24,OFFSET([3]enemy_skill_triggers!$A$1,0,0,COUNTA([3]enemy_skill_triggers!$A:$A),MATCH(H$1,[3]enemy_skill_triggers!$1:$1,0)-MATCH($F$1,[3]enemy_skill_triggers!$1:$1,0)+1),MATCH(H$1,[3]enemy_skill_triggers!$1:$1,0)-MATCH($F$1,[3]enemy_skill_triggers!$1:$1,0)+1,FALSE)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4" s="46" t="e">
        <f ca="1">VLOOKUP($F24,OFFSET([3]enemy_skill_triggers!$A$1,0,0,COUNTA([3]enemy_skill_triggers!$A:$A),MATCH(I$1,[3]enemy_skill_triggers!$1:$1,0)-MATCH($F$1,[3]enemy_skill_triggers!$1:$1,0)+1),MATCH(I$1,[3]enemy_skill_triggers!$1:$1,0)-MATCH($F$1,[3]enemy_skill_triggers!$1:$1,0)+1,FALSE)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4" s="46" t="e">
        <f ca="1">VLOOKUP($F24,OFFSET([3]enemy_skill_triggers!$A$1,0,0,COUNTA([3]enemy_skill_triggers!$A:$A),MATCH(J$1,[3]enemy_skill_triggers!$1:$1,0)-MATCH($F$1,[3]enemy_skill_triggers!$1:$1,0)+1),MATCH(J$1,[3]enemy_skill_triggers!$1:$1,0)-MATCH($F$1,[3]enemy_skill_triggers!$1:$1,0)+1,FALSE)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4" s="46" t="e">
        <f ca="1">VLOOKUP($F24,OFFSET([3]enemy_skill_triggers!$A$1,0,0,COUNTA([3]enemy_skill_triggers!$A:$A),MATCH(K$1,[3]enemy_skill_triggers!$1:$1,0)-MATCH($F$1,[3]enemy_skill_triggers!$1:$1,0)+1),MATCH(K$1,[3]enemy_skill_triggers!$1:$1,0)-MATCH($F$1,[3]enemy_skill_triggers!$1:$1,0)+1,FALSE)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4" s="46" t="e">
        <f ca="1">VLOOKUP($F24,OFFSET([3]enemy_skill_triggers!$A$1,0,0,COUNTA([3]enemy_skill_triggers!$A:$A),MATCH(L$1,[3]enemy_skill_triggers!$1:$1,0)-MATCH($F$1,[3]enemy_skill_triggers!$1:$1,0)+1),MATCH(L$1,[3]enemy_skill_triggers!$1:$1,0)-MATCH($F$1,[3]enemy_skill_triggers!$1:$1,0)+1,FALSE)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4" s="46" t="e">
        <f ca="1">VLOOKUP($F24,OFFSET([3]enemy_skill_triggers!$A$1,0,0,COUNTA([3]enemy_skill_triggers!$A:$A),MATCH(M$1,[3]enemy_skill_triggers!$1:$1,0)-MATCH($F$1,[3]enemy_skill_triggers!$1:$1,0)+1),MATCH(M$1,[3]enemy_skill_triggers!$1:$1,0)-MATCH($F$1,[3]enemy_skill_triggers!$1:$1,0)+1,FALSE)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4" s="46" t="e">
        <f ca="1">VLOOKUP($F24,OFFSET([3]enemy_skill_triggers!$A$1,0,0,COUNTA([3]enemy_skill_triggers!$A:$A),MATCH(N$1,[3]enemy_skill_triggers!$1:$1,0)-MATCH($F$1,[3]enemy_skill_triggers!$1:$1,0)+1),MATCH(N$1,[3]enemy_skill_triggers!$1:$1,0)-MATCH($F$1,[3]enemy_skill_triggers!$1:$1,0)+1,FALSE)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4" s="46" t="e">
        <f ca="1">VLOOKUP($F24,OFFSET([3]enemy_skill_triggers!$A$1,0,0,COUNTA([3]enemy_skill_triggers!$A:$A),MATCH(O$1,[3]enemy_skill_triggers!$1:$1,0)-MATCH($F$1,[3]enemy_skill_triggers!$1:$1,0)+1),MATCH(O$1,[3]enemy_skill_triggers!$1:$1,0)-MATCH($F$1,[3]enemy_skill_triggers!$1:$1,0)+1,FALSE)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4" s="45"/>
      <c r="Q24" s="45"/>
      <c r="R24" s="45"/>
    </row>
    <row r="25" spans="1:18" ht="21" customHeight="1" x14ac:dyDescent="0.15">
      <c r="A25" s="37" t="str">
        <f t="shared" si="0"/>
        <v>13301805_13301822</v>
      </c>
      <c r="B25" s="45">
        <v>13301805</v>
      </c>
      <c r="C25" s="105">
        <v>13301822</v>
      </c>
      <c r="D25" s="44" t="e">
        <f ca="1">VLOOKUP($C25,OFFSET([3]enemy_skills!$A$1,0,0,COUNTA([3]enemy_skills!$A:$A),MATCH(D$1,[3]enemy_skills!$1:$1,0)-MATCH("enemy_skill_id",[3]enemy_skills!$1:$1,0)+1),MATCH(D$1,[3]enemy_skills!$1:$1,0)-MATCH("enemy_skill_id",[3]enemy_skills!$1:$1,0)+1,FALSE)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5" s="44" t="e">
        <f ca="1">VLOOKUP($C25,OFFSET([3]enemy_skills!$A$1,0,0,COUNTA([3]enemy_skills!$A:$A),MATCH(E$1,[3]enemy_skills!$1:$1,0)-MATCH("enemy_skill_id",[3]enemy_skills!$1:$1,0)+1),MATCH(E$1,[3]enemy_skills!$1:$1,0)-MATCH("enemy_skill_id",[3]enemy_skills!$1:$1,0)+1,FALSE)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5" s="105">
        <v>13301822</v>
      </c>
      <c r="G25" s="46" t="e">
        <f ca="1">VLOOKUP($F25,OFFSET([3]enemy_skill_triggers!$A$1,0,0,COUNTA([3]enemy_skill_triggers!$A:$A),MATCH(G$1,[3]enemy_skill_triggers!$1:$1,0)-MATCH($F$1,[3]enemy_skill_triggers!$1:$1,0)+1),MATCH(G$1,[3]enemy_skill_triggers!$1:$1,0)-MATCH($F$1,[3]enemy_skill_triggers!$1:$1,0)+1,FALSE)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5" s="46" t="e">
        <f ca="1">VLOOKUP($F25,OFFSET([3]enemy_skill_triggers!$A$1,0,0,COUNTA([3]enemy_skill_triggers!$A:$A),MATCH(H$1,[3]enemy_skill_triggers!$1:$1,0)-MATCH($F$1,[3]enemy_skill_triggers!$1:$1,0)+1),MATCH(H$1,[3]enemy_skill_triggers!$1:$1,0)-MATCH($F$1,[3]enemy_skill_triggers!$1:$1,0)+1,FALSE)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5" s="46" t="e">
        <f ca="1">VLOOKUP($F25,OFFSET([3]enemy_skill_triggers!$A$1,0,0,COUNTA([3]enemy_skill_triggers!$A:$A),MATCH(I$1,[3]enemy_skill_triggers!$1:$1,0)-MATCH($F$1,[3]enemy_skill_triggers!$1:$1,0)+1),MATCH(I$1,[3]enemy_skill_triggers!$1:$1,0)-MATCH($F$1,[3]enemy_skill_triggers!$1:$1,0)+1,FALSE)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5" s="46" t="e">
        <f ca="1">VLOOKUP($F25,OFFSET([3]enemy_skill_triggers!$A$1,0,0,COUNTA([3]enemy_skill_triggers!$A:$A),MATCH(J$1,[3]enemy_skill_triggers!$1:$1,0)-MATCH($F$1,[3]enemy_skill_triggers!$1:$1,0)+1),MATCH(J$1,[3]enemy_skill_triggers!$1:$1,0)-MATCH($F$1,[3]enemy_skill_triggers!$1:$1,0)+1,FALSE)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5" s="46" t="e">
        <f ca="1">VLOOKUP($F25,OFFSET([3]enemy_skill_triggers!$A$1,0,0,COUNTA([3]enemy_skill_triggers!$A:$A),MATCH(K$1,[3]enemy_skill_triggers!$1:$1,0)-MATCH($F$1,[3]enemy_skill_triggers!$1:$1,0)+1),MATCH(K$1,[3]enemy_skill_triggers!$1:$1,0)-MATCH($F$1,[3]enemy_skill_triggers!$1:$1,0)+1,FALSE)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5" s="46" t="e">
        <f ca="1">VLOOKUP($F25,OFFSET([3]enemy_skill_triggers!$A$1,0,0,COUNTA([3]enemy_skill_triggers!$A:$A),MATCH(L$1,[3]enemy_skill_triggers!$1:$1,0)-MATCH($F$1,[3]enemy_skill_triggers!$1:$1,0)+1),MATCH(L$1,[3]enemy_skill_triggers!$1:$1,0)-MATCH($F$1,[3]enemy_skill_triggers!$1:$1,0)+1,FALSE)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5" s="46" t="e">
        <f ca="1">VLOOKUP($F25,OFFSET([3]enemy_skill_triggers!$A$1,0,0,COUNTA([3]enemy_skill_triggers!$A:$A),MATCH(M$1,[3]enemy_skill_triggers!$1:$1,0)-MATCH($F$1,[3]enemy_skill_triggers!$1:$1,0)+1),MATCH(M$1,[3]enemy_skill_triggers!$1:$1,0)-MATCH($F$1,[3]enemy_skill_triggers!$1:$1,0)+1,FALSE)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5" s="46" t="e">
        <f ca="1">VLOOKUP($F25,OFFSET([3]enemy_skill_triggers!$A$1,0,0,COUNTA([3]enemy_skill_triggers!$A:$A),MATCH(N$1,[3]enemy_skill_triggers!$1:$1,0)-MATCH($F$1,[3]enemy_skill_triggers!$1:$1,0)+1),MATCH(N$1,[3]enemy_skill_triggers!$1:$1,0)-MATCH($F$1,[3]enemy_skill_triggers!$1:$1,0)+1,FALSE)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5" s="46" t="e">
        <f ca="1">VLOOKUP($F25,OFFSET([3]enemy_skill_triggers!$A$1,0,0,COUNTA([3]enemy_skill_triggers!$A:$A),MATCH(O$1,[3]enemy_skill_triggers!$1:$1,0)-MATCH($F$1,[3]enemy_skill_triggers!$1:$1,0)+1),MATCH(O$1,[3]enemy_skill_triggers!$1:$1,0)-MATCH($F$1,[3]enemy_skill_triggers!$1:$1,0)+1,FALSE)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5" s="45"/>
      <c r="Q25" s="45"/>
      <c r="R25" s="45"/>
    </row>
    <row r="26" spans="1:18" ht="21" customHeight="1" x14ac:dyDescent="0.15">
      <c r="A26" s="37" t="str">
        <f t="shared" si="0"/>
        <v>13301804_13301823</v>
      </c>
      <c r="B26" s="45">
        <v>13301804</v>
      </c>
      <c r="C26" s="105">
        <v>13301823</v>
      </c>
      <c r="D26" s="44" t="e">
        <f ca="1">VLOOKUP($C26,OFFSET([3]enemy_skills!$A$1,0,0,COUNTA([3]enemy_skills!$A:$A),MATCH(D$1,[3]enemy_skills!$1:$1,0)-MATCH("enemy_skill_id",[3]enemy_skills!$1:$1,0)+1),MATCH(D$1,[3]enemy_skills!$1:$1,0)-MATCH("enemy_skill_id",[3]enemy_skills!$1:$1,0)+1,FALSE)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6" s="44" t="e">
        <f ca="1">VLOOKUP($C26,OFFSET([3]enemy_skills!$A$1,0,0,COUNTA([3]enemy_skills!$A:$A),MATCH(E$1,[3]enemy_skills!$1:$1,0)-MATCH("enemy_skill_id",[3]enemy_skills!$1:$1,0)+1),MATCH(E$1,[3]enemy_skills!$1:$1,0)-MATCH("enemy_skill_id",[3]enemy_skills!$1:$1,0)+1,FALSE)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6" s="105">
        <v>13301823</v>
      </c>
      <c r="G26" s="46" t="e">
        <f ca="1">VLOOKUP($F26,OFFSET([3]enemy_skill_triggers!$A$1,0,0,COUNTA([3]enemy_skill_triggers!$A:$A),MATCH(G$1,[3]enemy_skill_triggers!$1:$1,0)-MATCH($F$1,[3]enemy_skill_triggers!$1:$1,0)+1),MATCH(G$1,[3]enemy_skill_triggers!$1:$1,0)-MATCH($F$1,[3]enemy_skill_triggers!$1:$1,0)+1,FALSE)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6" s="46" t="e">
        <f ca="1">VLOOKUP($F26,OFFSET([3]enemy_skill_triggers!$A$1,0,0,COUNTA([3]enemy_skill_triggers!$A:$A),MATCH(H$1,[3]enemy_skill_triggers!$1:$1,0)-MATCH($F$1,[3]enemy_skill_triggers!$1:$1,0)+1),MATCH(H$1,[3]enemy_skill_triggers!$1:$1,0)-MATCH($F$1,[3]enemy_skill_triggers!$1:$1,0)+1,FALSE)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6" s="46" t="e">
        <f ca="1">VLOOKUP($F26,OFFSET([3]enemy_skill_triggers!$A$1,0,0,COUNTA([3]enemy_skill_triggers!$A:$A),MATCH(I$1,[3]enemy_skill_triggers!$1:$1,0)-MATCH($F$1,[3]enemy_skill_triggers!$1:$1,0)+1),MATCH(I$1,[3]enemy_skill_triggers!$1:$1,0)-MATCH($F$1,[3]enemy_skill_triggers!$1:$1,0)+1,FALSE)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6" s="46" t="e">
        <f ca="1">VLOOKUP($F26,OFFSET([3]enemy_skill_triggers!$A$1,0,0,COUNTA([3]enemy_skill_triggers!$A:$A),MATCH(J$1,[3]enemy_skill_triggers!$1:$1,0)-MATCH($F$1,[3]enemy_skill_triggers!$1:$1,0)+1),MATCH(J$1,[3]enemy_skill_triggers!$1:$1,0)-MATCH($F$1,[3]enemy_skill_triggers!$1:$1,0)+1,FALSE)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6" s="46" t="e">
        <f ca="1">VLOOKUP($F26,OFFSET([3]enemy_skill_triggers!$A$1,0,0,COUNTA([3]enemy_skill_triggers!$A:$A),MATCH(K$1,[3]enemy_skill_triggers!$1:$1,0)-MATCH($F$1,[3]enemy_skill_triggers!$1:$1,0)+1),MATCH(K$1,[3]enemy_skill_triggers!$1:$1,0)-MATCH($F$1,[3]enemy_skill_triggers!$1:$1,0)+1,FALSE)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6" s="46" t="e">
        <f ca="1">VLOOKUP($F26,OFFSET([3]enemy_skill_triggers!$A$1,0,0,COUNTA([3]enemy_skill_triggers!$A:$A),MATCH(L$1,[3]enemy_skill_triggers!$1:$1,0)-MATCH($F$1,[3]enemy_skill_triggers!$1:$1,0)+1),MATCH(L$1,[3]enemy_skill_triggers!$1:$1,0)-MATCH($F$1,[3]enemy_skill_triggers!$1:$1,0)+1,FALSE)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6" s="46" t="e">
        <f ca="1">VLOOKUP($F26,OFFSET([3]enemy_skill_triggers!$A$1,0,0,COUNTA([3]enemy_skill_triggers!$A:$A),MATCH(M$1,[3]enemy_skill_triggers!$1:$1,0)-MATCH($F$1,[3]enemy_skill_triggers!$1:$1,0)+1),MATCH(M$1,[3]enemy_skill_triggers!$1:$1,0)-MATCH($F$1,[3]enemy_skill_triggers!$1:$1,0)+1,FALSE)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6" s="46" t="e">
        <f ca="1">VLOOKUP($F26,OFFSET([3]enemy_skill_triggers!$A$1,0,0,COUNTA([3]enemy_skill_triggers!$A:$A),MATCH(N$1,[3]enemy_skill_triggers!$1:$1,0)-MATCH($F$1,[3]enemy_skill_triggers!$1:$1,0)+1),MATCH(N$1,[3]enemy_skill_triggers!$1:$1,0)-MATCH($F$1,[3]enemy_skill_triggers!$1:$1,0)+1,FALSE)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6" s="46" t="e">
        <f ca="1">VLOOKUP($F26,OFFSET([3]enemy_skill_triggers!$A$1,0,0,COUNTA([3]enemy_skill_triggers!$A:$A),MATCH(O$1,[3]enemy_skill_triggers!$1:$1,0)-MATCH($F$1,[3]enemy_skill_triggers!$1:$1,0)+1),MATCH(O$1,[3]enemy_skill_triggers!$1:$1,0)-MATCH($F$1,[3]enemy_skill_triggers!$1:$1,0)+1,FALSE)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6" s="45"/>
      <c r="Q26" s="45"/>
      <c r="R26" s="45"/>
    </row>
    <row r="27" spans="1:18" ht="21" customHeight="1" x14ac:dyDescent="0.15">
      <c r="A27" s="37" t="str">
        <f t="shared" si="0"/>
        <v>13301804_13301824</v>
      </c>
      <c r="B27" s="45">
        <v>13301804</v>
      </c>
      <c r="C27" s="105">
        <v>13301824</v>
      </c>
      <c r="D27" s="44" t="e">
        <f ca="1">VLOOKUP($C27,OFFSET([3]enemy_skills!$A$1,0,0,COUNTA([3]enemy_skills!$A:$A),MATCH(D$1,[3]enemy_skills!$1:$1,0)-MATCH("enemy_skill_id",[3]enemy_skills!$1:$1,0)+1),MATCH(D$1,[3]enemy_skills!$1:$1,0)-MATCH("enemy_skill_id",[3]enemy_skills!$1:$1,0)+1,FALSE)</f>
        <v>#VALUE!</v>
      </c>
      <c r="E27" s="44" t="e">
        <f ca="1">VLOOKUP($C27,OFFSET([3]enemy_skills!$A$1,0,0,COUNTA([3]enemy_skills!$A:$A),MATCH(E$1,[3]enemy_skills!$1:$1,0)-MATCH("enemy_skill_id",[3]enemy_skills!$1:$1,0)+1),MATCH(E$1,[3]enemy_skills!$1:$1,0)-MATCH("enemy_skill_id",[3]enemy_skills!$1:$1,0)+1,FALSE)</f>
        <v>#VALUE!</v>
      </c>
      <c r="F27" s="105">
        <v>13301824</v>
      </c>
      <c r="G27" s="46" t="e">
        <f ca="1">VLOOKUP($F27,OFFSET([3]enemy_skill_triggers!$A$1,0,0,COUNTA([3]enemy_skill_triggers!$A:$A),MATCH(G$1,[3]enemy_skill_triggers!$1:$1,0)-MATCH($F$1,[3]enemy_skill_triggers!$1:$1,0)+1),MATCH(G$1,[3]enemy_skill_triggers!$1:$1,0)-MATCH($F$1,[3]enemy_skill_triggers!$1:$1,0)+1,FALSE)</f>
        <v>#VALUE!</v>
      </c>
      <c r="H27" s="46" t="e">
        <f ca="1">VLOOKUP($F27,OFFSET([3]enemy_skill_triggers!$A$1,0,0,COUNTA([3]enemy_skill_triggers!$A:$A),MATCH(H$1,[3]enemy_skill_triggers!$1:$1,0)-MATCH($F$1,[3]enemy_skill_triggers!$1:$1,0)+1),MATCH(H$1,[3]enemy_skill_triggers!$1:$1,0)-MATCH($F$1,[3]enemy_skill_triggers!$1:$1,0)+1,FALSE)</f>
        <v>#VALUE!</v>
      </c>
      <c r="I27" s="46" t="e">
        <f ca="1">VLOOKUP($F27,OFFSET([3]enemy_skill_triggers!$A$1,0,0,COUNTA([3]enemy_skill_triggers!$A:$A),MATCH(I$1,[3]enemy_skill_triggers!$1:$1,0)-MATCH($F$1,[3]enemy_skill_triggers!$1:$1,0)+1),MATCH(I$1,[3]enemy_skill_triggers!$1:$1,0)-MATCH($F$1,[3]enemy_skill_triggers!$1:$1,0)+1,FALSE)</f>
        <v>#VALUE!</v>
      </c>
      <c r="J27" s="46" t="e">
        <f ca="1">VLOOKUP($F27,OFFSET([3]enemy_skill_triggers!$A$1,0,0,COUNTA([3]enemy_skill_triggers!$A:$A),MATCH(J$1,[3]enemy_skill_triggers!$1:$1,0)-MATCH($F$1,[3]enemy_skill_triggers!$1:$1,0)+1),MATCH(J$1,[3]enemy_skill_triggers!$1:$1,0)-MATCH($F$1,[3]enemy_skill_triggers!$1:$1,0)+1,FALSE)</f>
        <v>#VALUE!</v>
      </c>
      <c r="K27" s="46" t="e">
        <f ca="1">VLOOKUP($F27,OFFSET([3]enemy_skill_triggers!$A$1,0,0,COUNTA([3]enemy_skill_triggers!$A:$A),MATCH(K$1,[3]enemy_skill_triggers!$1:$1,0)-MATCH($F$1,[3]enemy_skill_triggers!$1:$1,0)+1),MATCH(K$1,[3]enemy_skill_triggers!$1:$1,0)-MATCH($F$1,[3]enemy_skill_triggers!$1:$1,0)+1,FALSE)</f>
        <v>#VALUE!</v>
      </c>
      <c r="L27" s="46" t="e">
        <f ca="1">VLOOKUP($F27,OFFSET([3]enemy_skill_triggers!$A$1,0,0,COUNTA([3]enemy_skill_triggers!$A:$A),MATCH(L$1,[3]enemy_skill_triggers!$1:$1,0)-MATCH($F$1,[3]enemy_skill_triggers!$1:$1,0)+1),MATCH(L$1,[3]enemy_skill_triggers!$1:$1,0)-MATCH($F$1,[3]enemy_skill_triggers!$1:$1,0)+1,FALSE)</f>
        <v>#VALUE!</v>
      </c>
      <c r="M27" s="46" t="e">
        <f ca="1">VLOOKUP($F27,OFFSET([3]enemy_skill_triggers!$A$1,0,0,COUNTA([3]enemy_skill_triggers!$A:$A),MATCH(M$1,[3]enemy_skill_triggers!$1:$1,0)-MATCH($F$1,[3]enemy_skill_triggers!$1:$1,0)+1),MATCH(M$1,[3]enemy_skill_triggers!$1:$1,0)-MATCH($F$1,[3]enemy_skill_triggers!$1:$1,0)+1,FALSE)</f>
        <v>#VALUE!</v>
      </c>
      <c r="N27" s="46" t="e">
        <f ca="1">VLOOKUP($F27,OFFSET([3]enemy_skill_triggers!$A$1,0,0,COUNTA([3]enemy_skill_triggers!$A:$A),MATCH(N$1,[3]enemy_skill_triggers!$1:$1,0)-MATCH($F$1,[3]enemy_skill_triggers!$1:$1,0)+1),MATCH(N$1,[3]enemy_skill_triggers!$1:$1,0)-MATCH($F$1,[3]enemy_skill_triggers!$1:$1,0)+1,FALSE)</f>
        <v>#VALUE!</v>
      </c>
      <c r="O27" s="46" t="e">
        <f ca="1">VLOOKUP($F27,OFFSET([3]enemy_skill_triggers!$A$1,0,0,COUNTA([3]enemy_skill_triggers!$A:$A),MATCH(O$1,[3]enemy_skill_triggers!$1:$1,0)-MATCH($F$1,[3]enemy_skill_triggers!$1:$1,0)+1),MATCH(O$1,[3]enemy_skill_triggers!$1:$1,0)-MATCH($F$1,[3]enemy_skill_triggers!$1:$1,0)+1,FALSE)</f>
        <v>#VALUE!</v>
      </c>
      <c r="P27" s="45"/>
      <c r="Q27" s="45"/>
      <c r="R27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7"/>
  <sheetViews>
    <sheetView showGridLines="0" zoomScale="110" zoomScaleNormal="110" zoomScalePageLayoutView="110" workbookViewId="0">
      <pane ySplit="1" topLeftCell="A28" activePane="bottomLeft" state="frozenSplit"/>
      <selection pane="bottomLeft" activeCell="F32" sqref="F32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84</v>
      </c>
      <c r="B1" s="40" t="s">
        <v>85</v>
      </c>
      <c r="C1" s="40" t="s">
        <v>86</v>
      </c>
      <c r="D1" s="40" t="s">
        <v>87</v>
      </c>
      <c r="E1" s="40" t="s">
        <v>70</v>
      </c>
      <c r="F1" s="50" t="s">
        <v>71</v>
      </c>
      <c r="G1" s="50" t="s">
        <v>72</v>
      </c>
      <c r="H1" s="40" t="s">
        <v>73</v>
      </c>
      <c r="I1" s="40" t="s">
        <v>74</v>
      </c>
      <c r="J1" s="40" t="s">
        <v>75</v>
      </c>
      <c r="K1" s="51" t="s">
        <v>88</v>
      </c>
    </row>
    <row r="2" spans="1:11" ht="21" customHeight="1" x14ac:dyDescent="0.15">
      <c r="A2" s="102">
        <v>13301825</v>
      </c>
      <c r="B2" s="103">
        <v>1</v>
      </c>
      <c r="C2" s="103" t="s">
        <v>53</v>
      </c>
      <c r="D2" s="103">
        <v>100</v>
      </c>
      <c r="E2" s="103" t="s">
        <v>53</v>
      </c>
      <c r="F2" s="103" t="s">
        <v>53</v>
      </c>
      <c r="G2" s="103">
        <v>1</v>
      </c>
      <c r="H2" s="103" t="s">
        <v>53</v>
      </c>
      <c r="I2" s="103" t="s">
        <v>53</v>
      </c>
      <c r="J2" s="46">
        <f t="shared" ref="J2:J27" si="0">D2</f>
        <v>100</v>
      </c>
    </row>
    <row r="3" spans="1:11" ht="21" customHeight="1" x14ac:dyDescent="0.15">
      <c r="A3" s="102">
        <v>13301826</v>
      </c>
      <c r="B3" s="103">
        <v>0</v>
      </c>
      <c r="C3" s="103">
        <v>20</v>
      </c>
      <c r="D3" s="103">
        <v>100</v>
      </c>
      <c r="E3" s="103" t="s">
        <v>53</v>
      </c>
      <c r="F3" s="103" t="s">
        <v>53</v>
      </c>
      <c r="G3" s="103">
        <v>1</v>
      </c>
      <c r="H3" s="103">
        <v>1</v>
      </c>
      <c r="I3" s="103" t="s">
        <v>53</v>
      </c>
      <c r="J3" s="46">
        <f t="shared" si="0"/>
        <v>100</v>
      </c>
    </row>
    <row r="4" spans="1:11" ht="21" customHeight="1" x14ac:dyDescent="0.15">
      <c r="A4" s="102">
        <v>13301801</v>
      </c>
      <c r="B4" s="103">
        <v>0</v>
      </c>
      <c r="C4" s="103">
        <v>10</v>
      </c>
      <c r="D4" s="103">
        <v>100</v>
      </c>
      <c r="E4" s="103" t="s">
        <v>53</v>
      </c>
      <c r="F4" s="103" t="s">
        <v>53</v>
      </c>
      <c r="G4" s="103">
        <v>1</v>
      </c>
      <c r="H4" s="103">
        <v>3</v>
      </c>
      <c r="I4" s="103" t="s">
        <v>53</v>
      </c>
      <c r="J4" s="46">
        <f t="shared" ref="J4" si="1">D4</f>
        <v>100</v>
      </c>
    </row>
    <row r="5" spans="1:11" ht="21" customHeight="1" x14ac:dyDescent="0.15">
      <c r="A5" s="102">
        <v>13301802</v>
      </c>
      <c r="B5" s="103">
        <v>0</v>
      </c>
      <c r="C5" s="103">
        <v>10</v>
      </c>
      <c r="D5" s="103">
        <v>100</v>
      </c>
      <c r="E5" s="103" t="s">
        <v>53</v>
      </c>
      <c r="F5" s="103" t="s">
        <v>53</v>
      </c>
      <c r="G5" s="103">
        <v>1</v>
      </c>
      <c r="H5" s="103">
        <v>3</v>
      </c>
      <c r="I5" s="103" t="s">
        <v>53</v>
      </c>
      <c r="J5" s="46">
        <f t="shared" si="0"/>
        <v>100</v>
      </c>
    </row>
    <row r="6" spans="1:11" ht="21" customHeight="1" x14ac:dyDescent="0.15">
      <c r="A6" s="104">
        <v>13301803</v>
      </c>
      <c r="B6" s="103">
        <v>1</v>
      </c>
      <c r="C6" s="103" t="s">
        <v>53</v>
      </c>
      <c r="D6" s="103">
        <v>100</v>
      </c>
      <c r="E6" s="103" t="s">
        <v>53</v>
      </c>
      <c r="F6" s="103" t="s">
        <v>53</v>
      </c>
      <c r="G6" s="103">
        <v>1</v>
      </c>
      <c r="H6" s="103" t="s">
        <v>53</v>
      </c>
      <c r="I6" s="103" t="s">
        <v>53</v>
      </c>
      <c r="J6" s="46">
        <f t="shared" si="0"/>
        <v>100</v>
      </c>
    </row>
    <row r="7" spans="1:11" ht="21" customHeight="1" x14ac:dyDescent="0.15">
      <c r="A7" s="104">
        <v>13301804</v>
      </c>
      <c r="B7" s="103">
        <v>1</v>
      </c>
      <c r="C7" s="103" t="s">
        <v>53</v>
      </c>
      <c r="D7" s="103">
        <v>100</v>
      </c>
      <c r="E7" s="103" t="s">
        <v>53</v>
      </c>
      <c r="F7" s="103" t="s">
        <v>53</v>
      </c>
      <c r="G7" s="103">
        <v>1</v>
      </c>
      <c r="H7" s="103" t="s">
        <v>53</v>
      </c>
      <c r="I7" s="103" t="s">
        <v>53</v>
      </c>
      <c r="J7" s="46">
        <f t="shared" si="0"/>
        <v>100</v>
      </c>
    </row>
    <row r="8" spans="1:11" ht="21" customHeight="1" x14ac:dyDescent="0.15">
      <c r="A8" s="104">
        <v>13301805</v>
      </c>
      <c r="B8" s="103">
        <v>0</v>
      </c>
      <c r="C8" s="103">
        <v>10</v>
      </c>
      <c r="D8" s="103">
        <v>100</v>
      </c>
      <c r="E8" s="103" t="s">
        <v>53</v>
      </c>
      <c r="F8" s="103" t="s">
        <v>53</v>
      </c>
      <c r="G8" s="103" t="s">
        <v>53</v>
      </c>
      <c r="H8" s="103">
        <v>1</v>
      </c>
      <c r="I8" s="103" t="s">
        <v>53</v>
      </c>
      <c r="J8" s="46">
        <f t="shared" si="0"/>
        <v>100</v>
      </c>
    </row>
    <row r="9" spans="1:11" ht="21" customHeight="1" x14ac:dyDescent="0.15">
      <c r="A9" s="104">
        <v>13301806</v>
      </c>
      <c r="B9" s="103">
        <v>0</v>
      </c>
      <c r="C9" s="103">
        <v>10</v>
      </c>
      <c r="D9" s="103">
        <v>100</v>
      </c>
      <c r="E9" s="103" t="s">
        <v>53</v>
      </c>
      <c r="F9" s="103" t="s">
        <v>53</v>
      </c>
      <c r="G9" s="103" t="s">
        <v>53</v>
      </c>
      <c r="H9" s="103">
        <v>1</v>
      </c>
      <c r="I9" s="103" t="s">
        <v>53</v>
      </c>
      <c r="J9" s="46">
        <f t="shared" si="0"/>
        <v>100</v>
      </c>
    </row>
    <row r="10" spans="1:11" ht="21" customHeight="1" x14ac:dyDescent="0.15">
      <c r="A10" s="104">
        <v>13301807</v>
      </c>
      <c r="B10" s="103">
        <v>0</v>
      </c>
      <c r="C10" s="103">
        <v>50</v>
      </c>
      <c r="D10" s="103">
        <v>100</v>
      </c>
      <c r="E10" s="103" t="s">
        <v>53</v>
      </c>
      <c r="F10" s="103" t="s">
        <v>53</v>
      </c>
      <c r="G10" s="103">
        <v>1</v>
      </c>
      <c r="H10" s="103">
        <v>3</v>
      </c>
      <c r="I10" s="103" t="s">
        <v>53</v>
      </c>
      <c r="J10" s="46">
        <f t="shared" si="0"/>
        <v>100</v>
      </c>
    </row>
    <row r="11" spans="1:11" ht="21" customHeight="1" x14ac:dyDescent="0.15">
      <c r="A11" s="104">
        <v>13301808</v>
      </c>
      <c r="B11" s="103">
        <v>0</v>
      </c>
      <c r="C11" s="103">
        <v>20</v>
      </c>
      <c r="D11" s="103">
        <v>100</v>
      </c>
      <c r="E11" s="103" t="s">
        <v>53</v>
      </c>
      <c r="F11" s="103" t="s">
        <v>53</v>
      </c>
      <c r="G11" s="103" t="s">
        <v>53</v>
      </c>
      <c r="H11" s="103">
        <v>2</v>
      </c>
      <c r="I11" s="103" t="s">
        <v>53</v>
      </c>
      <c r="J11" s="46">
        <f t="shared" si="0"/>
        <v>100</v>
      </c>
    </row>
    <row r="12" spans="1:11" ht="21" customHeight="1" x14ac:dyDescent="0.15">
      <c r="A12" s="104">
        <v>13301809</v>
      </c>
      <c r="B12" s="103">
        <v>0</v>
      </c>
      <c r="C12" s="103">
        <v>50</v>
      </c>
      <c r="D12" s="103">
        <v>100</v>
      </c>
      <c r="E12" s="103" t="s">
        <v>53</v>
      </c>
      <c r="F12" s="103" t="s">
        <v>53</v>
      </c>
      <c r="G12" s="103">
        <v>1</v>
      </c>
      <c r="H12" s="103">
        <v>3</v>
      </c>
      <c r="I12" s="103" t="s">
        <v>53</v>
      </c>
      <c r="J12" s="46">
        <f t="shared" si="0"/>
        <v>100</v>
      </c>
    </row>
    <row r="13" spans="1:11" ht="21" customHeight="1" x14ac:dyDescent="0.15">
      <c r="A13" s="104">
        <v>13301810</v>
      </c>
      <c r="B13" s="103">
        <v>0</v>
      </c>
      <c r="C13" s="103">
        <v>20</v>
      </c>
      <c r="D13" s="103">
        <v>100</v>
      </c>
      <c r="E13" s="103" t="s">
        <v>53</v>
      </c>
      <c r="F13" s="103" t="s">
        <v>53</v>
      </c>
      <c r="G13" s="103" t="s">
        <v>53</v>
      </c>
      <c r="H13" s="103">
        <v>2</v>
      </c>
      <c r="I13" s="103" t="s">
        <v>53</v>
      </c>
      <c r="J13" s="46">
        <f t="shared" si="0"/>
        <v>100</v>
      </c>
    </row>
    <row r="14" spans="1:11" ht="21" customHeight="1" x14ac:dyDescent="0.15">
      <c r="A14" s="104">
        <v>13301811</v>
      </c>
      <c r="B14" s="103">
        <v>0</v>
      </c>
      <c r="C14" s="103">
        <v>40</v>
      </c>
      <c r="D14" s="103">
        <v>100</v>
      </c>
      <c r="E14" s="103" t="s">
        <v>53</v>
      </c>
      <c r="F14" s="103" t="s">
        <v>53</v>
      </c>
      <c r="G14" s="103">
        <v>1</v>
      </c>
      <c r="H14" s="103">
        <v>3</v>
      </c>
      <c r="I14" s="103" t="s">
        <v>53</v>
      </c>
      <c r="J14" s="46">
        <f t="shared" si="0"/>
        <v>100</v>
      </c>
    </row>
    <row r="15" spans="1:11" ht="21" customHeight="1" x14ac:dyDescent="0.15">
      <c r="A15" s="104">
        <v>13301812</v>
      </c>
      <c r="B15" s="103">
        <v>0</v>
      </c>
      <c r="C15" s="103">
        <v>40</v>
      </c>
      <c r="D15" s="103">
        <v>100</v>
      </c>
      <c r="E15" s="103" t="s">
        <v>53</v>
      </c>
      <c r="F15" s="103" t="s">
        <v>53</v>
      </c>
      <c r="G15" s="103">
        <v>1</v>
      </c>
      <c r="H15" s="103">
        <v>3</v>
      </c>
      <c r="I15" s="103" t="s">
        <v>53</v>
      </c>
      <c r="J15" s="46">
        <f t="shared" si="0"/>
        <v>100</v>
      </c>
    </row>
    <row r="16" spans="1:11" ht="21" customHeight="1" x14ac:dyDescent="0.15">
      <c r="A16" s="104">
        <v>13301813</v>
      </c>
      <c r="B16" s="103">
        <v>0</v>
      </c>
      <c r="C16" s="103">
        <v>30</v>
      </c>
      <c r="D16" s="103">
        <v>100</v>
      </c>
      <c r="E16" s="103" t="s">
        <v>53</v>
      </c>
      <c r="F16" s="103" t="s">
        <v>53</v>
      </c>
      <c r="G16" s="103">
        <v>1</v>
      </c>
      <c r="H16" s="103">
        <v>3</v>
      </c>
      <c r="I16" s="103" t="s">
        <v>53</v>
      </c>
      <c r="J16" s="46">
        <f t="shared" si="0"/>
        <v>100</v>
      </c>
    </row>
    <row r="17" spans="1:10" ht="21" customHeight="1" x14ac:dyDescent="0.15">
      <c r="A17" s="104">
        <v>13301814</v>
      </c>
      <c r="B17" s="103">
        <v>0</v>
      </c>
      <c r="C17" s="103">
        <v>30</v>
      </c>
      <c r="D17" s="103">
        <v>100</v>
      </c>
      <c r="E17" s="103" t="s">
        <v>53</v>
      </c>
      <c r="F17" s="103" t="s">
        <v>53</v>
      </c>
      <c r="G17" s="103">
        <v>1</v>
      </c>
      <c r="H17" s="103">
        <v>3</v>
      </c>
      <c r="I17" s="103" t="s">
        <v>53</v>
      </c>
      <c r="J17" s="46">
        <f t="shared" si="0"/>
        <v>100</v>
      </c>
    </row>
    <row r="18" spans="1:10" ht="21" customHeight="1" x14ac:dyDescent="0.15">
      <c r="A18" s="105">
        <v>13301815</v>
      </c>
      <c r="B18" s="103">
        <v>1</v>
      </c>
      <c r="C18" s="103" t="s">
        <v>53</v>
      </c>
      <c r="D18" s="103">
        <v>100</v>
      </c>
      <c r="E18" s="103" t="s">
        <v>53</v>
      </c>
      <c r="F18" s="103" t="s">
        <v>53</v>
      </c>
      <c r="G18" s="103">
        <v>1</v>
      </c>
      <c r="H18" s="103" t="s">
        <v>53</v>
      </c>
      <c r="I18" s="103" t="s">
        <v>53</v>
      </c>
      <c r="J18" s="46">
        <f t="shared" si="0"/>
        <v>100</v>
      </c>
    </row>
    <row r="19" spans="1:10" ht="21" customHeight="1" x14ac:dyDescent="0.15">
      <c r="A19" s="105">
        <v>13301816</v>
      </c>
      <c r="B19" s="103">
        <v>1</v>
      </c>
      <c r="C19" s="103" t="s">
        <v>53</v>
      </c>
      <c r="D19" s="103">
        <v>100</v>
      </c>
      <c r="E19" s="103" t="s">
        <v>53</v>
      </c>
      <c r="F19" s="103" t="s">
        <v>53</v>
      </c>
      <c r="G19" s="103">
        <v>1</v>
      </c>
      <c r="H19" s="103" t="s">
        <v>53</v>
      </c>
      <c r="I19" s="103" t="s">
        <v>53</v>
      </c>
      <c r="J19" s="46">
        <f t="shared" si="0"/>
        <v>100</v>
      </c>
    </row>
    <row r="20" spans="1:10" ht="21" customHeight="1" x14ac:dyDescent="0.15">
      <c r="A20" s="105">
        <v>13301817</v>
      </c>
      <c r="B20" s="103">
        <v>0</v>
      </c>
      <c r="C20" s="103">
        <v>50</v>
      </c>
      <c r="D20" s="103">
        <v>100</v>
      </c>
      <c r="E20" s="103">
        <v>50</v>
      </c>
      <c r="F20" s="103" t="s">
        <v>53</v>
      </c>
      <c r="G20" s="103">
        <v>1</v>
      </c>
      <c r="H20" s="103">
        <v>1</v>
      </c>
      <c r="I20" s="103" t="s">
        <v>53</v>
      </c>
      <c r="J20" s="46">
        <f t="shared" si="0"/>
        <v>100</v>
      </c>
    </row>
    <row r="21" spans="1:10" ht="21" customHeight="1" x14ac:dyDescent="0.15">
      <c r="A21" s="105">
        <v>13301818</v>
      </c>
      <c r="B21" s="103">
        <v>0</v>
      </c>
      <c r="C21" s="103">
        <v>50</v>
      </c>
      <c r="D21" s="103">
        <v>100</v>
      </c>
      <c r="E21" s="103">
        <v>50</v>
      </c>
      <c r="F21" s="103" t="s">
        <v>53</v>
      </c>
      <c r="G21" s="103">
        <v>1</v>
      </c>
      <c r="H21" s="103">
        <v>1</v>
      </c>
      <c r="I21" s="103" t="s">
        <v>53</v>
      </c>
      <c r="J21" s="46">
        <f t="shared" si="0"/>
        <v>100</v>
      </c>
    </row>
    <row r="22" spans="1:10" ht="21" customHeight="1" x14ac:dyDescent="0.15">
      <c r="A22" s="105">
        <v>13301819</v>
      </c>
      <c r="B22" s="103">
        <v>0</v>
      </c>
      <c r="C22" s="103">
        <v>40</v>
      </c>
      <c r="D22" s="103">
        <v>100</v>
      </c>
      <c r="E22" s="103">
        <v>50</v>
      </c>
      <c r="F22" s="103" t="s">
        <v>53</v>
      </c>
      <c r="G22" s="103">
        <v>1</v>
      </c>
      <c r="H22" s="103">
        <v>1</v>
      </c>
      <c r="I22" s="103" t="s">
        <v>53</v>
      </c>
      <c r="J22" s="46">
        <f t="shared" si="0"/>
        <v>100</v>
      </c>
    </row>
    <row r="23" spans="1:10" ht="21" customHeight="1" x14ac:dyDescent="0.15">
      <c r="A23" s="105">
        <v>13301820</v>
      </c>
      <c r="B23" s="103">
        <v>0</v>
      </c>
      <c r="C23" s="103">
        <v>40</v>
      </c>
      <c r="D23" s="103">
        <v>100</v>
      </c>
      <c r="E23" s="103">
        <v>50</v>
      </c>
      <c r="F23" s="103" t="s">
        <v>53</v>
      </c>
      <c r="G23" s="103">
        <v>1</v>
      </c>
      <c r="H23" s="103">
        <v>1</v>
      </c>
      <c r="I23" s="103" t="s">
        <v>53</v>
      </c>
      <c r="J23" s="46">
        <f t="shared" si="0"/>
        <v>100</v>
      </c>
    </row>
    <row r="24" spans="1:10" ht="21" customHeight="1" x14ac:dyDescent="0.15">
      <c r="A24" s="105">
        <v>13301821</v>
      </c>
      <c r="B24" s="103">
        <v>0</v>
      </c>
      <c r="C24" s="103">
        <v>100</v>
      </c>
      <c r="D24" s="103">
        <v>100</v>
      </c>
      <c r="E24" s="103" t="s">
        <v>53</v>
      </c>
      <c r="F24" s="103" t="s">
        <v>53</v>
      </c>
      <c r="G24" s="103">
        <v>1</v>
      </c>
      <c r="H24" s="103" t="s">
        <v>53</v>
      </c>
      <c r="I24" s="103">
        <v>1067</v>
      </c>
      <c r="J24" s="46">
        <f t="shared" si="0"/>
        <v>100</v>
      </c>
    </row>
    <row r="25" spans="1:10" ht="21" customHeight="1" x14ac:dyDescent="0.15">
      <c r="A25" s="105">
        <v>13301822</v>
      </c>
      <c r="B25" s="103">
        <v>0</v>
      </c>
      <c r="C25" s="103">
        <v>10</v>
      </c>
      <c r="D25" s="103">
        <v>100</v>
      </c>
      <c r="E25" s="103" t="s">
        <v>53</v>
      </c>
      <c r="F25" s="103" t="s">
        <v>53</v>
      </c>
      <c r="G25" s="103" t="s">
        <v>53</v>
      </c>
      <c r="H25" s="103">
        <v>1</v>
      </c>
      <c r="I25" s="103" t="s">
        <v>53</v>
      </c>
      <c r="J25" s="46">
        <f t="shared" si="0"/>
        <v>100</v>
      </c>
    </row>
    <row r="26" spans="1:10" ht="21" customHeight="1" x14ac:dyDescent="0.15">
      <c r="A26" s="105">
        <v>13301823</v>
      </c>
      <c r="B26" s="103">
        <v>0</v>
      </c>
      <c r="C26" s="103">
        <v>100</v>
      </c>
      <c r="D26" s="103">
        <v>100</v>
      </c>
      <c r="E26" s="103" t="s">
        <v>53</v>
      </c>
      <c r="F26" s="103" t="s">
        <v>53</v>
      </c>
      <c r="G26" s="103">
        <v>1</v>
      </c>
      <c r="H26" s="103" t="s">
        <v>53</v>
      </c>
      <c r="I26" s="103">
        <v>594</v>
      </c>
      <c r="J26" s="46">
        <f t="shared" si="0"/>
        <v>100</v>
      </c>
    </row>
    <row r="27" spans="1:10" ht="21" customHeight="1" x14ac:dyDescent="0.15">
      <c r="A27" s="105">
        <v>13301824</v>
      </c>
      <c r="B27" s="103">
        <v>0</v>
      </c>
      <c r="C27" s="103">
        <v>10</v>
      </c>
      <c r="D27" s="103">
        <v>100</v>
      </c>
      <c r="E27" s="103" t="s">
        <v>53</v>
      </c>
      <c r="F27" s="103" t="s">
        <v>53</v>
      </c>
      <c r="G27" s="103" t="s">
        <v>53</v>
      </c>
      <c r="H27" s="103">
        <v>1</v>
      </c>
      <c r="I27" s="103" t="s">
        <v>53</v>
      </c>
      <c r="J27" s="46">
        <f t="shared" si="0"/>
        <v>100</v>
      </c>
    </row>
  </sheetData>
  <autoFilter ref="A1:G1"/>
  <phoneticPr fontId="5"/>
  <conditionalFormatting sqref="K5:K1048576 K1:K2">
    <cfRule type="duplicateValues" dxfId="2" priority="32"/>
  </conditionalFormatting>
  <conditionalFormatting sqref="K4">
    <cfRule type="duplicateValues" dxfId="1" priority="2"/>
  </conditionalFormatting>
  <conditionalFormatting sqref="K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>
      <selection activeCell="C16" sqref="C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1" t="s">
        <v>150</v>
      </c>
      <c r="B1" s="61" t="s">
        <v>151</v>
      </c>
      <c r="C1" s="62" t="s">
        <v>152</v>
      </c>
      <c r="D1" s="68" t="s">
        <v>153</v>
      </c>
      <c r="E1" s="63" t="s">
        <v>154</v>
      </c>
      <c r="F1" s="61" t="s">
        <v>155</v>
      </c>
      <c r="G1" s="61" t="s">
        <v>156</v>
      </c>
      <c r="H1" s="61" t="s">
        <v>157</v>
      </c>
      <c r="I1" s="61" t="s">
        <v>158</v>
      </c>
      <c r="J1" s="61" t="s">
        <v>159</v>
      </c>
      <c r="K1" s="61" t="s">
        <v>160</v>
      </c>
      <c r="L1" s="61" t="s">
        <v>161</v>
      </c>
      <c r="M1" s="61" t="s">
        <v>162</v>
      </c>
      <c r="N1" s="61" t="s">
        <v>163</v>
      </c>
      <c r="O1" s="61" t="s">
        <v>164</v>
      </c>
      <c r="P1" s="61" t="s">
        <v>165</v>
      </c>
      <c r="Q1" s="61" t="s">
        <v>166</v>
      </c>
      <c r="R1" s="61" t="s">
        <v>167</v>
      </c>
    </row>
    <row r="2" spans="1:18" x14ac:dyDescent="0.15">
      <c r="A2" s="54">
        <v>13301</v>
      </c>
      <c r="B2" s="54">
        <v>12</v>
      </c>
      <c r="C2" s="67" t="str">
        <f>A2&amp; "_"&amp;B2</f>
        <v>13301_12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4">
        <v>1</v>
      </c>
      <c r="F2" s="54" t="s">
        <v>252</v>
      </c>
      <c r="G2" s="54">
        <v>121</v>
      </c>
      <c r="H2" s="54">
        <v>1</v>
      </c>
      <c r="I2" s="54">
        <v>1</v>
      </c>
      <c r="J2" s="54">
        <v>1</v>
      </c>
      <c r="K2" s="54">
        <v>0</v>
      </c>
      <c r="L2" s="54">
        <v>0</v>
      </c>
      <c r="M2" s="54">
        <v>0</v>
      </c>
      <c r="N2" s="54">
        <v>0</v>
      </c>
      <c r="O2" s="54">
        <v>1</v>
      </c>
      <c r="P2" s="54">
        <v>10</v>
      </c>
      <c r="Q2" s="54" t="s">
        <v>168</v>
      </c>
      <c r="R2" s="54" t="s">
        <v>169</v>
      </c>
    </row>
    <row r="3" spans="1:18" x14ac:dyDescent="0.15">
      <c r="A3" s="54">
        <v>13301</v>
      </c>
      <c r="B3" s="54">
        <v>12</v>
      </c>
      <c r="C3" s="67" t="str">
        <f t="shared" ref="C3:C5" si="0">A3&amp; "_"&amp;B3</f>
        <v>13301_12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4">
        <v>2</v>
      </c>
      <c r="F3" s="54" t="s">
        <v>252</v>
      </c>
      <c r="G3" s="54">
        <v>607</v>
      </c>
      <c r="H3" s="54">
        <v>1</v>
      </c>
      <c r="I3" s="54">
        <v>1</v>
      </c>
      <c r="J3" s="54">
        <v>1</v>
      </c>
      <c r="K3" s="54">
        <v>0</v>
      </c>
      <c r="L3" s="54">
        <v>0</v>
      </c>
      <c r="M3" s="54">
        <v>0</v>
      </c>
      <c r="N3" s="54">
        <v>0</v>
      </c>
      <c r="O3" s="54">
        <v>1</v>
      </c>
      <c r="P3" s="54">
        <v>20</v>
      </c>
      <c r="Q3" s="54" t="s">
        <v>168</v>
      </c>
      <c r="R3" s="54" t="s">
        <v>169</v>
      </c>
    </row>
    <row r="4" spans="1:18" x14ac:dyDescent="0.15">
      <c r="A4" s="54">
        <v>13301</v>
      </c>
      <c r="B4" s="54">
        <v>12</v>
      </c>
      <c r="C4" s="67" t="str">
        <f t="shared" si="0"/>
        <v>13301_12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4">
        <v>3</v>
      </c>
      <c r="F4" s="54" t="s">
        <v>252</v>
      </c>
      <c r="G4" s="54">
        <v>611</v>
      </c>
      <c r="H4" s="54">
        <v>1</v>
      </c>
      <c r="I4" s="54">
        <v>1</v>
      </c>
      <c r="J4" s="54">
        <v>1</v>
      </c>
      <c r="K4" s="54">
        <v>0</v>
      </c>
      <c r="L4" s="54">
        <v>0</v>
      </c>
      <c r="M4" s="54">
        <v>0</v>
      </c>
      <c r="N4" s="54">
        <v>0</v>
      </c>
      <c r="O4" s="54">
        <v>1</v>
      </c>
      <c r="P4" s="54">
        <v>230</v>
      </c>
      <c r="Q4" s="54" t="s">
        <v>168</v>
      </c>
      <c r="R4" s="54" t="s">
        <v>169</v>
      </c>
    </row>
    <row r="5" spans="1:18" x14ac:dyDescent="0.15">
      <c r="A5" s="54">
        <v>13301</v>
      </c>
      <c r="B5" s="54">
        <v>12</v>
      </c>
      <c r="C5" s="67" t="str">
        <f t="shared" si="0"/>
        <v>13301_12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4">
        <v>4</v>
      </c>
      <c r="F5" s="54" t="s">
        <v>252</v>
      </c>
      <c r="G5" s="54">
        <v>125</v>
      </c>
      <c r="H5" s="54">
        <v>1</v>
      </c>
      <c r="I5" s="54">
        <v>1</v>
      </c>
      <c r="J5" s="54">
        <v>1</v>
      </c>
      <c r="K5" s="54">
        <v>0</v>
      </c>
      <c r="L5" s="54">
        <v>0</v>
      </c>
      <c r="M5" s="54">
        <v>0</v>
      </c>
      <c r="N5" s="54">
        <v>0</v>
      </c>
      <c r="O5" s="54">
        <v>1</v>
      </c>
      <c r="P5" s="54">
        <v>10</v>
      </c>
      <c r="Q5" s="54" t="s">
        <v>168</v>
      </c>
      <c r="R5" s="54" t="s">
        <v>169</v>
      </c>
    </row>
    <row r="6" spans="1:18" x14ac:dyDescent="0.15">
      <c r="A6" s="54">
        <v>13301</v>
      </c>
      <c r="B6" s="54">
        <v>12</v>
      </c>
      <c r="C6" s="67" t="str">
        <f>A6&amp; "_"&amp;B6</f>
        <v>13301_12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4">
        <v>5</v>
      </c>
      <c r="F6" s="54" t="s">
        <v>252</v>
      </c>
      <c r="G6" s="54">
        <v>610</v>
      </c>
      <c r="H6" s="54">
        <v>1</v>
      </c>
      <c r="I6" s="54">
        <v>1</v>
      </c>
      <c r="J6" s="54">
        <v>1</v>
      </c>
      <c r="K6" s="54">
        <v>0</v>
      </c>
      <c r="L6" s="54">
        <v>0</v>
      </c>
      <c r="M6" s="54">
        <v>0</v>
      </c>
      <c r="N6" s="54">
        <v>0</v>
      </c>
      <c r="O6" s="54">
        <v>1</v>
      </c>
      <c r="P6" s="54">
        <v>40</v>
      </c>
      <c r="Q6" s="54" t="s">
        <v>168</v>
      </c>
      <c r="R6" s="54" t="s">
        <v>169</v>
      </c>
    </row>
    <row r="7" spans="1:18" x14ac:dyDescent="0.15">
      <c r="A7" s="54">
        <v>13301</v>
      </c>
      <c r="B7" s="54">
        <v>12</v>
      </c>
      <c r="C7" s="67" t="str">
        <f t="shared" ref="C7:C9" si="1">A7&amp; "_"&amp;B7</f>
        <v>13301_12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4">
        <v>6</v>
      </c>
      <c r="F7" s="54" t="s">
        <v>253</v>
      </c>
      <c r="G7" s="54">
        <v>500</v>
      </c>
      <c r="H7" s="54" t="s">
        <v>254</v>
      </c>
      <c r="I7" s="54">
        <v>1</v>
      </c>
      <c r="J7" s="54">
        <v>1</v>
      </c>
      <c r="K7" s="54">
        <v>0</v>
      </c>
      <c r="L7" s="54">
        <v>0</v>
      </c>
      <c r="M7" s="54">
        <v>0</v>
      </c>
      <c r="N7" s="54">
        <v>0</v>
      </c>
      <c r="O7" s="54">
        <v>1</v>
      </c>
      <c r="P7" s="54">
        <v>530</v>
      </c>
      <c r="Q7" s="54" t="s">
        <v>168</v>
      </c>
      <c r="R7" s="54" t="s">
        <v>169</v>
      </c>
    </row>
    <row r="8" spans="1:18" x14ac:dyDescent="0.15">
      <c r="A8" s="54">
        <v>13301</v>
      </c>
      <c r="B8" s="54">
        <v>12</v>
      </c>
      <c r="C8" s="67" t="str">
        <f t="shared" si="1"/>
        <v>13301_12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4">
        <v>7</v>
      </c>
      <c r="F8" s="54" t="s">
        <v>252</v>
      </c>
      <c r="G8" s="54">
        <v>346</v>
      </c>
      <c r="H8" s="54">
        <v>1</v>
      </c>
      <c r="I8" s="54">
        <v>1</v>
      </c>
      <c r="J8" s="54">
        <v>1</v>
      </c>
      <c r="K8" s="54">
        <v>0</v>
      </c>
      <c r="L8" s="54">
        <v>0</v>
      </c>
      <c r="M8" s="54">
        <v>0</v>
      </c>
      <c r="N8" s="54">
        <v>0</v>
      </c>
      <c r="O8" s="54">
        <v>1</v>
      </c>
      <c r="P8" s="54">
        <v>10</v>
      </c>
      <c r="Q8" s="54" t="s">
        <v>168</v>
      </c>
      <c r="R8" s="54" t="s">
        <v>169</v>
      </c>
    </row>
    <row r="9" spans="1:18" x14ac:dyDescent="0.15">
      <c r="A9" s="54">
        <v>13301</v>
      </c>
      <c r="B9" s="54">
        <v>12</v>
      </c>
      <c r="C9" s="67" t="str">
        <f t="shared" si="1"/>
        <v>13301_12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4">
        <v>8</v>
      </c>
      <c r="F9" s="54" t="s">
        <v>252</v>
      </c>
      <c r="G9" s="54">
        <v>347</v>
      </c>
      <c r="H9" s="54">
        <v>1</v>
      </c>
      <c r="I9" s="54">
        <v>1</v>
      </c>
      <c r="J9" s="54">
        <v>1</v>
      </c>
      <c r="K9" s="54">
        <v>0</v>
      </c>
      <c r="L9" s="54">
        <v>0</v>
      </c>
      <c r="M9" s="54">
        <v>0</v>
      </c>
      <c r="N9" s="54">
        <v>0</v>
      </c>
      <c r="O9" s="54">
        <v>1</v>
      </c>
      <c r="P9" s="54">
        <v>100</v>
      </c>
      <c r="Q9" s="54" t="s">
        <v>168</v>
      </c>
      <c r="R9" s="54" t="s">
        <v>169</v>
      </c>
    </row>
    <row r="10" spans="1:18" x14ac:dyDescent="0.15">
      <c r="A10" s="54">
        <v>13301</v>
      </c>
      <c r="B10" s="54">
        <v>12</v>
      </c>
      <c r="C10" s="67" t="str">
        <f t="shared" ref="C10" si="2">A10&amp; "_"&amp;B10</f>
        <v>13301_12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4">
        <v>9</v>
      </c>
      <c r="F10" s="54" t="s">
        <v>252</v>
      </c>
      <c r="G10" s="54">
        <v>837</v>
      </c>
      <c r="H10" s="54">
        <v>1</v>
      </c>
      <c r="I10" s="54">
        <v>1</v>
      </c>
      <c r="J10" s="54">
        <v>1</v>
      </c>
      <c r="K10" s="54">
        <v>0</v>
      </c>
      <c r="L10" s="54">
        <v>0</v>
      </c>
      <c r="M10" s="54">
        <v>0</v>
      </c>
      <c r="N10" s="54">
        <v>0</v>
      </c>
      <c r="O10" s="54">
        <v>1</v>
      </c>
      <c r="P10" s="54">
        <v>50</v>
      </c>
      <c r="Q10" s="54" t="s">
        <v>168</v>
      </c>
      <c r="R10" s="54" t="s">
        <v>169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35" sqref="L35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187</v>
      </c>
      <c r="B1" s="69" t="s">
        <v>188</v>
      </c>
      <c r="C1" s="73" t="s">
        <v>189</v>
      </c>
      <c r="D1" s="73" t="s">
        <v>33</v>
      </c>
      <c r="E1" s="69" t="s">
        <v>190</v>
      </c>
      <c r="F1" s="73" t="s">
        <v>191</v>
      </c>
      <c r="G1" s="73" t="s">
        <v>33</v>
      </c>
      <c r="H1" s="69" t="s">
        <v>192</v>
      </c>
      <c r="I1" s="86" t="s">
        <v>194</v>
      </c>
      <c r="J1" s="75" t="s">
        <v>126</v>
      </c>
      <c r="K1" s="74" t="s">
        <v>185</v>
      </c>
      <c r="L1" s="87" t="s">
        <v>184</v>
      </c>
      <c r="M1" s="76" t="s">
        <v>195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8"/>
  <sheetViews>
    <sheetView showGridLines="0" workbookViewId="0">
      <pane ySplit="1" topLeftCell="A2" activePane="bottomLeft" state="frozen"/>
      <selection pane="bottomLeft" activeCell="K10" sqref="K10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2" t="s">
        <v>187</v>
      </c>
      <c r="B1" s="69" t="s">
        <v>150</v>
      </c>
      <c r="C1" s="73" t="s">
        <v>189</v>
      </c>
      <c r="D1" s="73" t="s">
        <v>33</v>
      </c>
      <c r="E1" s="69" t="s">
        <v>190</v>
      </c>
      <c r="F1" s="73" t="s">
        <v>18</v>
      </c>
      <c r="G1" s="73" t="s">
        <v>33</v>
      </c>
      <c r="H1" s="69" t="s">
        <v>192</v>
      </c>
      <c r="I1" s="84" t="s">
        <v>193</v>
      </c>
      <c r="J1" s="86" t="s">
        <v>194</v>
      </c>
      <c r="K1" s="75" t="s">
        <v>126</v>
      </c>
      <c r="L1" s="74" t="s">
        <v>185</v>
      </c>
      <c r="M1" s="87" t="s">
        <v>184</v>
      </c>
      <c r="N1" s="76" t="s">
        <v>195</v>
      </c>
    </row>
    <row r="2" spans="1:15" ht="70" x14ac:dyDescent="0.15">
      <c r="A2" s="77" t="s">
        <v>196</v>
      </c>
      <c r="B2" s="78">
        <v>13301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0">
        <v>12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1">
        <v>1</v>
      </c>
      <c r="I2" s="85">
        <f t="shared" ref="I2:I8" si="0">ROW()-1</f>
        <v>1</v>
      </c>
      <c r="J2" s="101">
        <v>13301800</v>
      </c>
      <c r="K2" s="80" t="s">
        <v>127</v>
      </c>
      <c r="L2" s="82" t="s">
        <v>197</v>
      </c>
      <c r="M2" s="100" t="s">
        <v>305</v>
      </c>
      <c r="N2" s="54" t="s">
        <v>198</v>
      </c>
      <c r="O2">
        <f>LEN(M2)</f>
        <v>60</v>
      </c>
    </row>
    <row r="3" spans="1:15" ht="56" x14ac:dyDescent="0.15">
      <c r="A3" s="77" t="s">
        <v>196</v>
      </c>
      <c r="B3" s="78">
        <v>13301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0">
        <v>12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1">
        <v>1</v>
      </c>
      <c r="I3" s="85">
        <f t="shared" si="0"/>
        <v>2</v>
      </c>
      <c r="J3" s="101">
        <v>13301801</v>
      </c>
      <c r="K3" s="80" t="s">
        <v>127</v>
      </c>
      <c r="L3" s="82" t="s">
        <v>197</v>
      </c>
      <c r="M3" s="100" t="s">
        <v>259</v>
      </c>
      <c r="N3" s="54" t="s">
        <v>198</v>
      </c>
    </row>
    <row r="4" spans="1:15" ht="42" x14ac:dyDescent="0.15">
      <c r="A4" s="77" t="s">
        <v>196</v>
      </c>
      <c r="B4" s="78">
        <v>13301</v>
      </c>
      <c r="C4" s="79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79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0">
        <v>12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1">
        <v>2</v>
      </c>
      <c r="I4" s="85">
        <f t="shared" si="0"/>
        <v>3</v>
      </c>
      <c r="J4" s="101">
        <v>13301802</v>
      </c>
      <c r="K4" s="80" t="s">
        <v>260</v>
      </c>
      <c r="L4" s="82" t="s">
        <v>197</v>
      </c>
      <c r="M4" s="100" t="s">
        <v>261</v>
      </c>
      <c r="N4" s="54" t="s">
        <v>198</v>
      </c>
    </row>
    <row r="5" spans="1:15" ht="56" x14ac:dyDescent="0.15">
      <c r="A5" s="77" t="s">
        <v>196</v>
      </c>
      <c r="B5" s="78">
        <v>13301</v>
      </c>
      <c r="C5" s="79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79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0">
        <v>12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1">
        <v>2</v>
      </c>
      <c r="I5" s="85">
        <f t="shared" si="0"/>
        <v>4</v>
      </c>
      <c r="J5" s="101">
        <v>13301803</v>
      </c>
      <c r="K5" s="80" t="s">
        <v>127</v>
      </c>
      <c r="L5" s="82" t="s">
        <v>197</v>
      </c>
      <c r="M5" s="100" t="s">
        <v>262</v>
      </c>
      <c r="N5" s="54" t="s">
        <v>198</v>
      </c>
    </row>
    <row r="6" spans="1:15" ht="56" x14ac:dyDescent="0.15">
      <c r="A6" s="77" t="s">
        <v>196</v>
      </c>
      <c r="B6" s="78">
        <v>13301</v>
      </c>
      <c r="C6" s="79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79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0">
        <v>12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1">
        <v>3</v>
      </c>
      <c r="I6" s="85">
        <f t="shared" si="0"/>
        <v>5</v>
      </c>
      <c r="J6" s="101">
        <v>13301804</v>
      </c>
      <c r="K6" s="80" t="s">
        <v>127</v>
      </c>
      <c r="L6" s="82" t="s">
        <v>197</v>
      </c>
      <c r="M6" s="100" t="s">
        <v>263</v>
      </c>
      <c r="N6" s="54" t="s">
        <v>198</v>
      </c>
    </row>
    <row r="7" spans="1:15" ht="56" x14ac:dyDescent="0.15">
      <c r="A7" s="77" t="s">
        <v>196</v>
      </c>
      <c r="B7" s="78">
        <v>13301</v>
      </c>
      <c r="C7" s="79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79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0">
        <v>12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1">
        <v>3</v>
      </c>
      <c r="I7" s="85">
        <f t="shared" si="0"/>
        <v>6</v>
      </c>
      <c r="J7" s="101">
        <v>13301805</v>
      </c>
      <c r="K7" s="80" t="s">
        <v>127</v>
      </c>
      <c r="L7" s="82" t="s">
        <v>197</v>
      </c>
      <c r="M7" s="100" t="s">
        <v>264</v>
      </c>
      <c r="N7" s="54" t="s">
        <v>198</v>
      </c>
    </row>
    <row r="8" spans="1:15" ht="56" x14ac:dyDescent="0.15">
      <c r="A8" s="77" t="s">
        <v>196</v>
      </c>
      <c r="B8" s="78">
        <v>13301</v>
      </c>
      <c r="C8" s="79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79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0">
        <v>12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1">
        <v>3</v>
      </c>
      <c r="I8" s="85">
        <f t="shared" si="0"/>
        <v>7</v>
      </c>
      <c r="J8" s="101">
        <v>13301806</v>
      </c>
      <c r="K8" s="80" t="s">
        <v>127</v>
      </c>
      <c r="L8" s="82" t="s">
        <v>197</v>
      </c>
      <c r="M8" s="100" t="s">
        <v>265</v>
      </c>
      <c r="N8" s="54" t="s">
        <v>198</v>
      </c>
    </row>
  </sheetData>
  <phoneticPr fontId="5"/>
  <dataValidations count="1">
    <dataValidation type="list" allowBlank="1" showInputMessage="1" showErrorMessage="1" sqref="A2:A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D11" sqref="D11"/>
    </sheetView>
  </sheetViews>
  <sheetFormatPr baseColWidth="12" defaultColWidth="13" defaultRowHeight="15" outlineLevelCol="1" x14ac:dyDescent="0.15"/>
  <cols>
    <col min="1" max="1" width="27.8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9" t="s">
        <v>210</v>
      </c>
      <c r="B1" s="90" t="s">
        <v>211</v>
      </c>
      <c r="C1" s="73" t="s">
        <v>212</v>
      </c>
      <c r="D1" s="73" t="s">
        <v>33</v>
      </c>
      <c r="E1" s="90" t="s">
        <v>213</v>
      </c>
      <c r="F1" s="73" t="s">
        <v>214</v>
      </c>
      <c r="G1" s="73" t="s">
        <v>33</v>
      </c>
      <c r="H1" s="90" t="s">
        <v>215</v>
      </c>
      <c r="I1" s="90" t="s">
        <v>216</v>
      </c>
      <c r="J1" s="90" t="s">
        <v>217</v>
      </c>
      <c r="K1" s="69" t="s">
        <v>218</v>
      </c>
      <c r="L1" s="69" t="s">
        <v>219</v>
      </c>
      <c r="M1" s="69" t="s">
        <v>156</v>
      </c>
      <c r="N1" s="73" t="s">
        <v>16</v>
      </c>
      <c r="O1" s="69" t="s">
        <v>220</v>
      </c>
      <c r="P1" s="69" t="s">
        <v>57</v>
      </c>
      <c r="Q1" s="69" t="s">
        <v>221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222</v>
      </c>
      <c r="X1" s="69" t="s">
        <v>223</v>
      </c>
    </row>
    <row r="2" spans="1:24" x14ac:dyDescent="0.15">
      <c r="A2" s="91" t="str">
        <f>B2&amp;"_"&amp;E2&amp;"_"&amp;H2&amp;"_"&amp;I2&amp;"_"&amp;J2</f>
        <v>13301_12_singleonly_clear_1</v>
      </c>
      <c r="B2" s="78">
        <v>13301</v>
      </c>
      <c r="C2" s="79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79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0">
        <v>12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1" t="s">
        <v>255</v>
      </c>
      <c r="I2" s="80" t="s">
        <v>224</v>
      </c>
      <c r="J2" s="80">
        <v>1</v>
      </c>
      <c r="K2" s="80">
        <v>490</v>
      </c>
      <c r="L2" s="80" t="s">
        <v>256</v>
      </c>
      <c r="M2" s="80">
        <v>24000</v>
      </c>
      <c r="N2" s="92" t="str">
        <f ca="1">IF(L2="unit",VLOOKUP($M2,OFFSET([5]characters!$A$1,0,0,COUNTA([5]characters!$A:$A),MATCH(N$1,[5]characters!$1:$1,0)-MATCH("character_id",[5]characters!$1:$1,0)+1),MATCH(N$1,[5]characters!$1:$1,0)-MATCH("character_id",[5]characters!$1:$1,0)+1,FALSE),"")</f>
        <v/>
      </c>
      <c r="O2" s="80" t="s">
        <v>89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3" t="s">
        <v>225</v>
      </c>
      <c r="X2" s="94" t="s">
        <v>226</v>
      </c>
    </row>
    <row r="3" spans="1:24" x14ac:dyDescent="0.15">
      <c r="A3" s="91" t="str">
        <f>B3&amp;"_"&amp;E3&amp;"_"&amp;H3&amp;"_"&amp;I3&amp;"_"&amp;J3</f>
        <v>13301_12_singleonly_clear_2</v>
      </c>
      <c r="B3" s="78">
        <v>13301</v>
      </c>
      <c r="C3" s="79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79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0">
        <v>12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12階 コスト30以下ヒューマン限定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1" t="s">
        <v>255</v>
      </c>
      <c r="I3" s="80" t="s">
        <v>224</v>
      </c>
      <c r="J3" s="80">
        <v>2</v>
      </c>
      <c r="K3" s="80">
        <v>510</v>
      </c>
      <c r="L3" s="80" t="s">
        <v>257</v>
      </c>
      <c r="M3" s="80">
        <v>59000</v>
      </c>
      <c r="N3" s="92" t="str">
        <f ca="1">IF(L3="unit",VLOOKUP($M3,OFFSET([5]characters!$A$1,0,0,COUNTA([5]characters!$A:$A),MATCH(N$1,[5]characters!$1:$1,0)-MATCH("character_id",[5]characters!$1:$1,0)+1),MATCH(N$1,[5]characters!$1:$1,0)-MATCH("character_id",[5]characters!$1:$1,0)+1,FALSE),"")</f>
        <v/>
      </c>
      <c r="O3" s="80" t="s">
        <v>89</v>
      </c>
      <c r="P3" s="80">
        <v>1</v>
      </c>
      <c r="Q3" s="80">
        <v>1</v>
      </c>
      <c r="R3" s="80">
        <v>0</v>
      </c>
      <c r="S3" s="80">
        <v>0</v>
      </c>
      <c r="T3" s="80">
        <v>0</v>
      </c>
      <c r="U3" s="80">
        <v>0</v>
      </c>
      <c r="V3" s="80">
        <v>1</v>
      </c>
      <c r="W3" s="93" t="s">
        <v>225</v>
      </c>
      <c r="X3" s="94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2016-11-14T02:18:44Z</dcterms:modified>
</cp:coreProperties>
</file>