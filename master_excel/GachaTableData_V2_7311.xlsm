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3"/>
  </bookViews>
  <sheets>
    <sheet name="確率の考え方" sheetId="110" r:id="rId1"/>
    <sheet name="Sheet1" sheetId="107" r:id="rId2"/>
    <sheet name="output" sheetId="103" r:id="rId3"/>
    <sheet name="tables_7311" sheetId="159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tables_7311!$A$1:$V$95</definedName>
  </definedNames>
  <calcPr calcId="150001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2" i="159" l="1"/>
  <c r="D92" i="159"/>
  <c r="J92" i="159"/>
  <c r="E92" i="159"/>
  <c r="F92" i="159"/>
  <c r="C92" i="159"/>
  <c r="H92" i="159"/>
  <c r="K92" i="159"/>
  <c r="L92" i="159"/>
  <c r="M92" i="159"/>
  <c r="N92" i="159"/>
  <c r="P92" i="159"/>
  <c r="I93" i="159"/>
  <c r="D93" i="159"/>
  <c r="J93" i="159"/>
  <c r="E93" i="159"/>
  <c r="F93" i="159"/>
  <c r="C93" i="159"/>
  <c r="H93" i="159"/>
  <c r="K93" i="159"/>
  <c r="L93" i="159"/>
  <c r="M93" i="159"/>
  <c r="N93" i="159"/>
  <c r="P93" i="159"/>
  <c r="I94" i="159"/>
  <c r="D94" i="159"/>
  <c r="J94" i="159"/>
  <c r="E94" i="159"/>
  <c r="F94" i="159"/>
  <c r="C94" i="159"/>
  <c r="H94" i="159"/>
  <c r="K94" i="159"/>
  <c r="L94" i="159"/>
  <c r="M94" i="159"/>
  <c r="N94" i="159"/>
  <c r="P94" i="159"/>
  <c r="I95" i="159"/>
  <c r="D95" i="159"/>
  <c r="J95" i="159"/>
  <c r="E95" i="159"/>
  <c r="F95" i="159"/>
  <c r="C95" i="159"/>
  <c r="H95" i="159"/>
  <c r="K95" i="159"/>
  <c r="L95" i="159"/>
  <c r="M95" i="159"/>
  <c r="N95" i="159"/>
  <c r="P95" i="159"/>
  <c r="I84" i="159"/>
  <c r="D84" i="159"/>
  <c r="J84" i="159"/>
  <c r="E84" i="159"/>
  <c r="F84" i="159"/>
  <c r="C84" i="159"/>
  <c r="H84" i="159"/>
  <c r="K84" i="159"/>
  <c r="L84" i="159"/>
  <c r="M84" i="159"/>
  <c r="N84" i="159"/>
  <c r="P84" i="159"/>
  <c r="I85" i="159"/>
  <c r="D85" i="159"/>
  <c r="J85" i="159"/>
  <c r="E85" i="159"/>
  <c r="F85" i="159"/>
  <c r="C85" i="159"/>
  <c r="H85" i="159"/>
  <c r="K85" i="159"/>
  <c r="L85" i="159"/>
  <c r="M85" i="159"/>
  <c r="N85" i="159"/>
  <c r="P85" i="159"/>
  <c r="I86" i="159"/>
  <c r="D86" i="159"/>
  <c r="J86" i="159"/>
  <c r="E86" i="159"/>
  <c r="F86" i="159"/>
  <c r="C86" i="159"/>
  <c r="H86" i="159"/>
  <c r="K86" i="159"/>
  <c r="L86" i="159"/>
  <c r="M86" i="159"/>
  <c r="N86" i="159"/>
  <c r="P86" i="159"/>
  <c r="I87" i="159"/>
  <c r="D87" i="159"/>
  <c r="J87" i="159"/>
  <c r="E87" i="159"/>
  <c r="F87" i="159"/>
  <c r="C87" i="159"/>
  <c r="H87" i="159"/>
  <c r="K87" i="159"/>
  <c r="L87" i="159"/>
  <c r="M87" i="159"/>
  <c r="N87" i="159"/>
  <c r="P87" i="159"/>
  <c r="I88" i="159"/>
  <c r="D88" i="159"/>
  <c r="J88" i="159"/>
  <c r="E88" i="159"/>
  <c r="F88" i="159"/>
  <c r="C88" i="159"/>
  <c r="H88" i="159"/>
  <c r="K88" i="159"/>
  <c r="L88" i="159"/>
  <c r="M88" i="159"/>
  <c r="N88" i="159"/>
  <c r="P88" i="159"/>
  <c r="I89" i="159"/>
  <c r="D89" i="159"/>
  <c r="J89" i="159"/>
  <c r="E89" i="159"/>
  <c r="F89" i="159"/>
  <c r="C89" i="159"/>
  <c r="H89" i="159"/>
  <c r="K89" i="159"/>
  <c r="L89" i="159"/>
  <c r="M89" i="159"/>
  <c r="N89" i="159"/>
  <c r="P89" i="159"/>
  <c r="I90" i="159"/>
  <c r="D90" i="159"/>
  <c r="J90" i="159"/>
  <c r="E90" i="159"/>
  <c r="F90" i="159"/>
  <c r="C90" i="159"/>
  <c r="H90" i="159"/>
  <c r="K90" i="159"/>
  <c r="L90" i="159"/>
  <c r="M90" i="159"/>
  <c r="N90" i="159"/>
  <c r="P90" i="159"/>
  <c r="I91" i="159"/>
  <c r="D91" i="159"/>
  <c r="J91" i="159"/>
  <c r="E91" i="159"/>
  <c r="F91" i="159"/>
  <c r="C91" i="159"/>
  <c r="H91" i="159"/>
  <c r="K91" i="159"/>
  <c r="L91" i="159"/>
  <c r="M91" i="159"/>
  <c r="N91" i="159"/>
  <c r="P91" i="159"/>
  <c r="I81" i="159"/>
  <c r="D81" i="159"/>
  <c r="J81" i="159"/>
  <c r="E81" i="159"/>
  <c r="F81" i="159"/>
  <c r="C81" i="159"/>
  <c r="H81" i="159"/>
  <c r="K81" i="159"/>
  <c r="L81" i="159"/>
  <c r="M81" i="159"/>
  <c r="N81" i="159"/>
  <c r="P81" i="159"/>
  <c r="I82" i="159"/>
  <c r="D82" i="159"/>
  <c r="J82" i="159"/>
  <c r="E82" i="159"/>
  <c r="F82" i="159"/>
  <c r="C82" i="159"/>
  <c r="H82" i="159"/>
  <c r="K82" i="159"/>
  <c r="L82" i="159"/>
  <c r="M82" i="159"/>
  <c r="N82" i="159"/>
  <c r="P82" i="159"/>
  <c r="I83" i="159"/>
  <c r="D83" i="159"/>
  <c r="J83" i="159"/>
  <c r="E83" i="159"/>
  <c r="F83" i="159"/>
  <c r="C83" i="159"/>
  <c r="H83" i="159"/>
  <c r="K83" i="159"/>
  <c r="L83" i="159"/>
  <c r="M83" i="159"/>
  <c r="N83" i="159"/>
  <c r="P83" i="159"/>
  <c r="I78" i="159"/>
  <c r="D78" i="159"/>
  <c r="J78" i="159"/>
  <c r="E78" i="159"/>
  <c r="F78" i="159"/>
  <c r="C78" i="159"/>
  <c r="H78" i="159"/>
  <c r="K78" i="159"/>
  <c r="L78" i="159"/>
  <c r="M78" i="159"/>
  <c r="N78" i="159"/>
  <c r="P78" i="159"/>
  <c r="I79" i="159"/>
  <c r="D79" i="159"/>
  <c r="J79" i="159"/>
  <c r="E79" i="159"/>
  <c r="F79" i="159"/>
  <c r="C79" i="159"/>
  <c r="H79" i="159"/>
  <c r="K79" i="159"/>
  <c r="L79" i="159"/>
  <c r="M79" i="159"/>
  <c r="N79" i="159"/>
  <c r="P79" i="159"/>
  <c r="I80" i="159"/>
  <c r="D80" i="159"/>
  <c r="J80" i="159"/>
  <c r="E80" i="159"/>
  <c r="F80" i="159"/>
  <c r="C80" i="159"/>
  <c r="H80" i="159"/>
  <c r="K80" i="159"/>
  <c r="L80" i="159"/>
  <c r="M80" i="159"/>
  <c r="N80" i="159"/>
  <c r="P80" i="159"/>
  <c r="I75" i="159"/>
  <c r="D75" i="159"/>
  <c r="J75" i="159"/>
  <c r="E75" i="159"/>
  <c r="F75" i="159"/>
  <c r="C75" i="159"/>
  <c r="H75" i="159"/>
  <c r="K75" i="159"/>
  <c r="L75" i="159"/>
  <c r="M75" i="159"/>
  <c r="N75" i="159"/>
  <c r="P75" i="159"/>
  <c r="I76" i="159"/>
  <c r="D76" i="159"/>
  <c r="J76" i="159"/>
  <c r="E76" i="159"/>
  <c r="F76" i="159"/>
  <c r="C76" i="159"/>
  <c r="H76" i="159"/>
  <c r="K76" i="159"/>
  <c r="L76" i="159"/>
  <c r="M76" i="159"/>
  <c r="N76" i="159"/>
  <c r="P76" i="159"/>
  <c r="I77" i="159"/>
  <c r="D77" i="159"/>
  <c r="J77" i="159"/>
  <c r="E77" i="159"/>
  <c r="F77" i="159"/>
  <c r="C77" i="159"/>
  <c r="H77" i="159"/>
  <c r="K77" i="159"/>
  <c r="L77" i="159"/>
  <c r="M77" i="159"/>
  <c r="N77" i="159"/>
  <c r="P77" i="159"/>
  <c r="I72" i="159"/>
  <c r="D72" i="159"/>
  <c r="J72" i="159"/>
  <c r="E72" i="159"/>
  <c r="F72" i="159"/>
  <c r="C72" i="159"/>
  <c r="H72" i="159"/>
  <c r="K72" i="159"/>
  <c r="L72" i="159"/>
  <c r="M72" i="159"/>
  <c r="N72" i="159"/>
  <c r="P72" i="159"/>
  <c r="I73" i="159"/>
  <c r="D73" i="159"/>
  <c r="J73" i="159"/>
  <c r="E73" i="159"/>
  <c r="F73" i="159"/>
  <c r="C73" i="159"/>
  <c r="H73" i="159"/>
  <c r="K73" i="159"/>
  <c r="L73" i="159"/>
  <c r="M73" i="159"/>
  <c r="N73" i="159"/>
  <c r="P73" i="159"/>
  <c r="I74" i="159"/>
  <c r="D74" i="159"/>
  <c r="J74" i="159"/>
  <c r="E74" i="159"/>
  <c r="F74" i="159"/>
  <c r="C74" i="159"/>
  <c r="H74" i="159"/>
  <c r="K74" i="159"/>
  <c r="L74" i="159"/>
  <c r="M74" i="159"/>
  <c r="N74" i="159"/>
  <c r="P74" i="159"/>
  <c r="C4" i="103"/>
  <c r="E4" i="103"/>
  <c r="C3" i="103"/>
  <c r="E3" i="103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<sst xmlns="http://schemas.openxmlformats.org/spreadsheetml/2006/main" count="290" uniqueCount="176">
  <si>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</si>
  <si>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</si>
  <si>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</si>
  <si>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</si>
  <si>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</si>
  <si>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</si>
  <si>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</si>
  <si>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</si>
  <si>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</si>
  <si>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</si>
  <si>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</si>
  <si>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</si>
  <si>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</si>
  <si>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</si>
  <si>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</si>
  <si>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</si>
  <si>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</si>
  <si>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</si>
  <si>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</si>
  <si>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</si>
  <si>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</si>
  <si>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</si>
  <si>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</si>
  <si>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</si>
  <si>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</si>
  <si>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</si>
  <si>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</si>
  <si>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</si>
  <si>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</si>
  <si>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</si>
  <si>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</si>
  <si>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</si>
  <si>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</si>
  <si>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</si>
  <si>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</si>
  <si>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</si>
  <si>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</si>
  <si>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</si>
  <si>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</si>
  <si>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</si>
  <si>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</si>
  <si>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</si>
  <si>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</si>
  <si>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</si>
  <si>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</si>
  <si>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性別</t>
    <rPh sb="0" eb="2">
      <t>セイベツ</t>
    </rPh>
    <phoneticPr fontId="21"/>
  </si>
  <si>
    <t>ピックアップ確率</t>
    <rPh sb="6" eb="8">
      <t>カクリツ</t>
    </rPh>
    <phoneticPr fontId="21"/>
  </si>
  <si>
    <t>確率</t>
    <rPh sb="0" eb="2">
      <t>カクリツ</t>
    </rPh>
    <phoneticPr fontId="21"/>
  </si>
  <si>
    <t>名前</t>
    <rPh sb="0" eb="2">
      <t>ナマエ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</si>
  <si>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</si>
  <si>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</si>
  <si>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</si>
  <si>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</si>
  <si>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table_no</t>
    <phoneticPr fontId="21"/>
  </si>
  <si>
    <t>table_no</t>
    <phoneticPr fontId="21"/>
  </si>
  <si>
    <t>skill_level</t>
  </si>
  <si>
    <t>level</t>
  </si>
  <si>
    <t>drop_label2</t>
    <phoneticPr fontId="21"/>
  </si>
  <si>
    <t>color2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</si>
  <si>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</si>
  <si>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</si>
  <si>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</si>
  <si>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</si>
  <si>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</si>
  <si>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</si>
  <si>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</si>
  <si>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</si>
  <si>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</si>
  <si>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</si>
  <si>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</si>
  <si>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</si>
  <si>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</si>
  <si>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</si>
  <si>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</si>
  <si>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</si>
  <si>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</si>
  <si>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</si>
  <si>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</si>
  <si>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</si>
  <si>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</si>
  <si>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</si>
  <si>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</si>
  <si>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</si>
  <si>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</si>
  <si>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</si>
  <si>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</si>
  <si>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</si>
  <si>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</si>
  <si>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</si>
  <si>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</si>
  <si>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</si>
  <si>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</si>
  <si>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</si>
  <si>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</si>
  <si>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</si>
  <si>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</si>
  <si>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</si>
  <si>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</si>
  <si>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</si>
  <si>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</si>
  <si>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</si>
  <si>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</si>
  <si>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</si>
  <si>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</si>
  <si>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</si>
  <si>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</si>
  <si>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</si>
  <si>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</si>
  <si>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</si>
  <si>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</si>
  <si>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</si>
  <si>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</si>
  <si>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</si>
  <si>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</si>
  <si>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</si>
  <si>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</si>
  <si>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</si>
  <si>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</si>
  <si>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</si>
  <si>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</si>
  <si>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</si>
  <si>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</si>
  <si>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</si>
  <si>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</si>
  <si>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</si>
  <si>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</si>
  <si>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</si>
  <si>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</si>
  <si>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</si>
  <si>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</si>
  <si>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</si>
  <si>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</si>
  <si>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</si>
  <si>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</si>
  <si>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</si>
  <si>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</si>
  <si>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</si>
  <si>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</si>
  <si>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</si>
  <si>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</si>
  <si>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</si>
  <si>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</si>
  <si>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</si>
  <si>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</si>
  <si>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</si>
  <si>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</si>
  <si>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</si>
  <si>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</si>
  <si>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</si>
  <si>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</si>
  <si>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</si>
  <si>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</si>
  <si>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</si>
  <si>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</si>
  <si>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</si>
  <si>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</si>
  <si>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</si>
  <si>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</si>
  <si>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</si>
  <si>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</si>
  <si>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</si>
  <si>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</si>
  <si>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</si>
  <si>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</si>
  <si>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</si>
  <si>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</si>
  <si>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skip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</si>
  <si>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</si>
  <si>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</si>
  <si>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</si>
  <si>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</si>
  <si>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</si>
  <si>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tables_settle_426104</t>
    <phoneticPr fontId="21"/>
  </si>
  <si>
    <t>tables_settle_426105</t>
    <phoneticPr fontId="21"/>
  </si>
  <si>
    <t>tables_426101</t>
    <phoneticPr fontId="21"/>
  </si>
  <si>
    <t>tables_7311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</si>
</sst>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9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56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3" xfId="0" applyFont="1" applyFill="1" applyBorder="1" applyAlignment="1">
      <alignment horizontal="right" vertical="center"/>
    </xf>
    <xf numFmtId="0" fontId="26" fillId="2" borderId="1" xfId="2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1" borderId="1" xfId="2978" applyFont="1" applyFill="1" applyBorder="1"/>
    <xf numFmtId="0" fontId="14" fillId="21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1" borderId="1" xfId="0" applyFont="1" applyFill="1" applyBorder="1"/>
    <xf numFmtId="0" fontId="53" fillId="22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11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25" fillId="23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0" fontId="7" fillId="0" borderId="0" xfId="3662" applyFont="1"/>
    <xf numFmtId="0" fontId="6" fillId="0" borderId="1" xfId="3036" applyFont="1" applyBorder="1"/>
    <xf numFmtId="0" fontId="5" fillId="4" borderId="1" xfId="2978" applyFont="1" applyFill="1" applyBorder="1"/>
    <xf numFmtId="0" fontId="5" fillId="0" borderId="1" xfId="3036" applyFont="1" applyBorder="1"/>
    <xf numFmtId="0" fontId="26" fillId="3" borderId="13" xfId="2" applyFont="1" applyFill="1" applyBorder="1" applyAlignment="1">
      <alignment vertical="center"/>
    </xf>
    <xf numFmtId="176" fontId="0" fillId="25" borderId="13" xfId="3575" applyNumberFormat="1" applyFont="1" applyFill="1" applyBorder="1"/>
    <xf numFmtId="0" fontId="53" fillId="3" borderId="13" xfId="0" applyFont="1" applyFill="1" applyBorder="1" applyAlignment="1">
      <alignment vertical="center"/>
    </xf>
    <xf numFmtId="0" fontId="4" fillId="0" borderId="1" xfId="2978" applyFont="1" applyBorder="1"/>
    <xf numFmtId="0" fontId="4" fillId="4" borderId="1" xfId="2978" applyFont="1" applyFill="1" applyBorder="1"/>
    <xf numFmtId="0" fontId="3" fillId="4" borderId="1" xfId="2978" applyFont="1" applyFill="1" applyBorder="1"/>
    <xf numFmtId="0" fontId="2" fillId="4" borderId="1" xfId="2978" applyFont="1" applyFill="1" applyBorder="1"/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39" customWidth="1"/>
    <col min="2" max="16384" width="13" style="39"/>
  </cols>
  <sheetData>
    <row r="1" spans="1:13" x14ac:dyDescent="0.15">
      <c r="A1" s="39" t="s">
        <v>60</v>
      </c>
      <c r="B1" s="39" t="s">
        <v>61</v>
      </c>
    </row>
    <row r="2" spans="1:13" x14ac:dyDescent="0.15">
      <c r="A2" s="39" t="s">
        <v>62</v>
      </c>
      <c r="B2" s="39" t="s">
        <v>63</v>
      </c>
      <c r="C2" s="39" t="s">
        <v>64</v>
      </c>
      <c r="D2" s="39" t="s">
        <v>65</v>
      </c>
      <c r="E2" s="39" t="s">
        <v>66</v>
      </c>
      <c r="F2" s="39" t="s">
        <v>67</v>
      </c>
      <c r="G2" s="39" t="s">
        <v>68</v>
      </c>
      <c r="H2" s="39" t="s">
        <v>69</v>
      </c>
    </row>
    <row r="3" spans="1:13" x14ac:dyDescent="0.15">
      <c r="A3" s="39">
        <v>3</v>
      </c>
      <c r="B3" s="40" t="s">
        <v>70</v>
      </c>
      <c r="C3" s="40" t="s">
        <v>71</v>
      </c>
      <c r="D3" s="39">
        <v>0</v>
      </c>
      <c r="E3" s="40" t="s">
        <v>72</v>
      </c>
      <c r="F3" s="39">
        <v>0</v>
      </c>
      <c r="G3" s="39">
        <v>0</v>
      </c>
      <c r="H3" s="41">
        <v>0.5</v>
      </c>
    </row>
    <row r="4" spans="1:13" x14ac:dyDescent="0.15">
      <c r="A4" s="39">
        <v>4</v>
      </c>
      <c r="B4" s="40" t="s">
        <v>73</v>
      </c>
      <c r="C4" s="40" t="s">
        <v>74</v>
      </c>
      <c r="D4" s="40" t="s">
        <v>75</v>
      </c>
      <c r="E4" s="40" t="s">
        <v>76</v>
      </c>
      <c r="F4" s="40" t="s">
        <v>77</v>
      </c>
      <c r="G4" s="39">
        <v>0</v>
      </c>
      <c r="H4" s="41">
        <v>0.45</v>
      </c>
    </row>
    <row r="5" spans="1:13" x14ac:dyDescent="0.15">
      <c r="A5" s="39">
        <v>5</v>
      </c>
      <c r="B5" s="42">
        <v>0</v>
      </c>
      <c r="C5" s="40" t="s">
        <v>78</v>
      </c>
      <c r="D5" s="40" t="s">
        <v>79</v>
      </c>
      <c r="E5" s="40" t="s">
        <v>80</v>
      </c>
      <c r="F5" s="40" t="s">
        <v>81</v>
      </c>
      <c r="G5" s="40" t="s">
        <v>82</v>
      </c>
      <c r="H5" s="41">
        <v>0.05</v>
      </c>
    </row>
    <row r="6" spans="1:13" x14ac:dyDescent="0.15">
      <c r="B6" s="41" t="s">
        <v>83</v>
      </c>
      <c r="C6" s="41" t="s">
        <v>83</v>
      </c>
      <c r="D6" s="41" t="s">
        <v>84</v>
      </c>
      <c r="E6" s="41" t="s">
        <v>83</v>
      </c>
      <c r="F6" s="41" t="s">
        <v>83</v>
      </c>
      <c r="G6" s="43" t="s">
        <v>85</v>
      </c>
      <c r="H6" s="41">
        <v>1</v>
      </c>
    </row>
    <row r="7" spans="1:13" x14ac:dyDescent="0.15">
      <c r="B7" s="41"/>
      <c r="C7" s="41"/>
      <c r="D7" s="41"/>
      <c r="E7" s="41"/>
      <c r="F7" s="41"/>
      <c r="G7" s="43"/>
      <c r="H7" s="41"/>
    </row>
    <row r="8" spans="1:13" x14ac:dyDescent="0.15">
      <c r="A8" s="39" t="s">
        <v>86</v>
      </c>
      <c r="B8" s="41"/>
      <c r="C8" s="41"/>
      <c r="D8" s="41"/>
      <c r="E8" s="41"/>
      <c r="F8" s="41"/>
      <c r="G8" s="43"/>
      <c r="H8" s="41"/>
    </row>
    <row r="9" spans="1:13" x14ac:dyDescent="0.15">
      <c r="A9" s="39" t="s">
        <v>87</v>
      </c>
      <c r="B9" s="41"/>
      <c r="C9" s="41"/>
      <c r="D9" s="41"/>
      <c r="E9" s="41"/>
      <c r="F9" s="41"/>
      <c r="G9" s="43"/>
      <c r="H9" s="41"/>
    </row>
    <row r="10" spans="1:13" x14ac:dyDescent="0.15">
      <c r="A10" s="39" t="s">
        <v>88</v>
      </c>
      <c r="B10" s="41"/>
      <c r="C10" s="41"/>
      <c r="D10" s="41"/>
      <c r="E10" s="41"/>
      <c r="F10" s="41"/>
      <c r="G10" s="43"/>
      <c r="H10" s="41"/>
    </row>
    <row r="11" spans="1:13" x14ac:dyDescent="0.15">
      <c r="A11" s="39" t="s">
        <v>89</v>
      </c>
      <c r="B11" s="41"/>
      <c r="C11" s="41"/>
      <c r="D11" s="41"/>
      <c r="E11" s="41"/>
      <c r="F11" s="41"/>
      <c r="G11" s="43"/>
      <c r="H11" s="41"/>
    </row>
    <row r="12" spans="1:13" x14ac:dyDescent="0.15">
      <c r="A12" s="39" t="s">
        <v>82</v>
      </c>
      <c r="B12" s="41" t="s">
        <v>90</v>
      </c>
      <c r="C12" s="41" t="s">
        <v>91</v>
      </c>
      <c r="D12" s="41"/>
      <c r="E12" s="41"/>
      <c r="F12" s="41"/>
      <c r="G12" s="43"/>
      <c r="H12" s="41"/>
    </row>
    <row r="13" spans="1:13" x14ac:dyDescent="0.15">
      <c r="A13" s="39" t="s">
        <v>92</v>
      </c>
      <c r="B13" s="39" t="s">
        <v>93</v>
      </c>
      <c r="C13" s="39" t="s">
        <v>94</v>
      </c>
    </row>
    <row r="14" spans="1:13" x14ac:dyDescent="0.15">
      <c r="A14" s="39" t="s">
        <v>95</v>
      </c>
      <c r="B14" s="39" t="s">
        <v>90</v>
      </c>
      <c r="C14" s="42" t="s">
        <v>96</v>
      </c>
      <c r="E14" s="42"/>
      <c r="F14" s="42"/>
      <c r="M14" s="41"/>
    </row>
    <row r="15" spans="1:13" x14ac:dyDescent="0.15">
      <c r="A15" s="39" t="s">
        <v>72</v>
      </c>
      <c r="B15" s="41" t="s">
        <v>90</v>
      </c>
      <c r="C15" s="41" t="s">
        <v>97</v>
      </c>
      <c r="H15" s="44"/>
      <c r="M15" s="41"/>
    </row>
    <row r="16" spans="1:13" x14ac:dyDescent="0.15">
      <c r="A16" s="39" t="s">
        <v>76</v>
      </c>
      <c r="B16" s="41" t="s">
        <v>90</v>
      </c>
      <c r="C16" s="41" t="s">
        <v>98</v>
      </c>
      <c r="M16" s="41"/>
    </row>
    <row r="17" spans="1:13" x14ac:dyDescent="0.15">
      <c r="A17" s="39" t="s">
        <v>99</v>
      </c>
      <c r="B17" s="41" t="s">
        <v>90</v>
      </c>
      <c r="C17" s="41" t="s">
        <v>100</v>
      </c>
      <c r="M17" s="41"/>
    </row>
    <row r="18" spans="1:13" x14ac:dyDescent="0.15">
      <c r="B18" s="41"/>
      <c r="C18" s="41"/>
    </row>
    <row r="19" spans="1:13" x14ac:dyDescent="0.15">
      <c r="A19" s="39" t="s">
        <v>101</v>
      </c>
    </row>
    <row r="20" spans="1:13" x14ac:dyDescent="0.15">
      <c r="A20" s="39" t="s">
        <v>102</v>
      </c>
      <c r="B20" s="41"/>
      <c r="C20" s="41"/>
    </row>
    <row r="21" spans="1:13" x14ac:dyDescent="0.15">
      <c r="A21" s="39" t="s">
        <v>103</v>
      </c>
      <c r="B21" s="41" t="s">
        <v>104</v>
      </c>
      <c r="C21" s="41" t="s">
        <v>105</v>
      </c>
      <c r="D21" s="39" t="s">
        <v>106</v>
      </c>
    </row>
    <row r="22" spans="1:13" x14ac:dyDescent="0.15">
      <c r="A22" s="39" t="s">
        <v>107</v>
      </c>
      <c r="B22" s="41" t="s">
        <v>90</v>
      </c>
      <c r="C22" s="41" t="s">
        <v>108</v>
      </c>
      <c r="D22" s="39" t="s">
        <v>109</v>
      </c>
    </row>
    <row r="23" spans="1:13" x14ac:dyDescent="0.15">
      <c r="A23" s="39" t="s">
        <v>110</v>
      </c>
      <c r="B23" s="41" t="s">
        <v>90</v>
      </c>
      <c r="C23" s="39" t="s">
        <v>111</v>
      </c>
      <c r="D23" s="39" t="s">
        <v>112</v>
      </c>
    </row>
    <row r="24" spans="1:13" x14ac:dyDescent="0.15">
      <c r="A24" s="39" t="s">
        <v>113</v>
      </c>
      <c r="B24" s="41" t="s">
        <v>90</v>
      </c>
      <c r="C24" s="41" t="s">
        <v>114</v>
      </c>
      <c r="D24" s="39" t="s">
        <v>115</v>
      </c>
    </row>
    <row r="25" spans="1:13" x14ac:dyDescent="0.15">
      <c r="A25" s="39" t="s">
        <v>116</v>
      </c>
      <c r="B25" s="41" t="s">
        <v>90</v>
      </c>
      <c r="C25" s="41" t="s">
        <v>117</v>
      </c>
      <c r="D25" s="39" t="s">
        <v>118</v>
      </c>
    </row>
    <row r="26" spans="1:13" x14ac:dyDescent="0.15">
      <c r="A26" s="39" t="s">
        <v>119</v>
      </c>
      <c r="B26" s="41" t="s">
        <v>90</v>
      </c>
      <c r="C26" s="41" t="s">
        <v>120</v>
      </c>
      <c r="D26" s="39" t="s">
        <v>121</v>
      </c>
    </row>
    <row r="27" spans="1:13" x14ac:dyDescent="0.15">
      <c r="A27" s="39" t="s">
        <v>122</v>
      </c>
      <c r="B27" s="41" t="s">
        <v>90</v>
      </c>
      <c r="C27" s="41" t="s">
        <v>84</v>
      </c>
      <c r="D27" s="39" t="s">
        <v>123</v>
      </c>
      <c r="E27" s="39" t="s">
        <v>124</v>
      </c>
    </row>
    <row r="28" spans="1:13" x14ac:dyDescent="0.15">
      <c r="A28" s="39" t="s">
        <v>71</v>
      </c>
      <c r="B28" s="41" t="s">
        <v>90</v>
      </c>
      <c r="C28" s="41" t="s">
        <v>125</v>
      </c>
      <c r="E28" s="39" t="s">
        <v>126</v>
      </c>
    </row>
    <row r="29" spans="1:13" x14ac:dyDescent="0.15">
      <c r="A29" s="39" t="s">
        <v>74</v>
      </c>
      <c r="B29" s="41" t="s">
        <v>90</v>
      </c>
      <c r="C29" s="41" t="s">
        <v>127</v>
      </c>
    </row>
    <row r="30" spans="1:13" x14ac:dyDescent="0.15">
      <c r="B30" s="41"/>
    </row>
    <row r="31" spans="1:13" x14ac:dyDescent="0.15">
      <c r="A31" s="39" t="s">
        <v>128</v>
      </c>
    </row>
    <row r="32" spans="1:13" x14ac:dyDescent="0.15">
      <c r="A32" s="39" t="s">
        <v>129</v>
      </c>
      <c r="B32" s="41" t="s">
        <v>90</v>
      </c>
      <c r="C32" s="41" t="s">
        <v>130</v>
      </c>
    </row>
    <row r="33" spans="1:13" x14ac:dyDescent="0.15">
      <c r="A33" s="39" t="s">
        <v>74</v>
      </c>
      <c r="B33" s="41" t="s">
        <v>90</v>
      </c>
      <c r="C33" s="41" t="s">
        <v>131</v>
      </c>
    </row>
    <row r="34" spans="1:13" x14ac:dyDescent="0.15">
      <c r="A34" s="39" t="s">
        <v>71</v>
      </c>
      <c r="B34" s="41" t="s">
        <v>90</v>
      </c>
      <c r="C34" s="41" t="s">
        <v>132</v>
      </c>
    </row>
    <row r="35" spans="1:13" x14ac:dyDescent="0.15">
      <c r="A35" s="39" t="s">
        <v>70</v>
      </c>
      <c r="B35" s="41" t="s">
        <v>90</v>
      </c>
      <c r="C35" s="41" t="s">
        <v>133</v>
      </c>
    </row>
    <row r="36" spans="1:13" x14ac:dyDescent="0.15">
      <c r="A36" s="39" t="s">
        <v>73</v>
      </c>
      <c r="B36" s="41" t="s">
        <v>90</v>
      </c>
      <c r="C36" s="41" t="s">
        <v>134</v>
      </c>
    </row>
    <row r="37" spans="1:13" x14ac:dyDescent="0.15">
      <c r="A37" s="39" t="s">
        <v>79</v>
      </c>
      <c r="B37" s="41" t="s">
        <v>90</v>
      </c>
      <c r="C37" s="41" t="s">
        <v>135</v>
      </c>
    </row>
    <row r="38" spans="1:13" x14ac:dyDescent="0.15">
      <c r="A38" s="39" t="s">
        <v>75</v>
      </c>
      <c r="B38" s="41" t="s">
        <v>90</v>
      </c>
      <c r="C38" s="41" t="s">
        <v>136</v>
      </c>
    </row>
    <row r="40" spans="1:13" x14ac:dyDescent="0.15">
      <c r="J40" s="45" t="s">
        <v>140</v>
      </c>
      <c r="K40" s="45" t="s">
        <v>139</v>
      </c>
      <c r="M40" s="45" t="s">
        <v>165</v>
      </c>
    </row>
    <row r="41" spans="1:13" x14ac:dyDescent="0.15">
      <c r="J41" s="45" t="s">
        <v>141</v>
      </c>
      <c r="K41" s="45" t="s">
        <v>142</v>
      </c>
      <c r="M41" s="41" t="s">
        <v>134</v>
      </c>
    </row>
    <row r="42" spans="1:13" x14ac:dyDescent="0.15">
      <c r="J42" s="45" t="s">
        <v>143</v>
      </c>
      <c r="K42" s="45" t="s">
        <v>144</v>
      </c>
    </row>
    <row r="43" spans="1:13" x14ac:dyDescent="0.15">
      <c r="J43" s="45" t="s">
        <v>145</v>
      </c>
      <c r="K43" s="45" t="s">
        <v>146</v>
      </c>
    </row>
    <row r="44" spans="1:13" x14ac:dyDescent="0.15">
      <c r="J44" s="45" t="s">
        <v>147</v>
      </c>
      <c r="K44" s="45" t="s">
        <v>148</v>
      </c>
    </row>
    <row r="45" spans="1:13" x14ac:dyDescent="0.15">
      <c r="J45" s="45" t="s">
        <v>149</v>
      </c>
      <c r="K45" s="45" t="s">
        <v>150</v>
      </c>
    </row>
    <row r="46" spans="1:13" x14ac:dyDescent="0.15">
      <c r="J46" s="45" t="s">
        <v>151</v>
      </c>
      <c r="K46" s="45" t="s">
        <v>152</v>
      </c>
    </row>
    <row r="47" spans="1:13" x14ac:dyDescent="0.15">
      <c r="J47" s="45" t="s">
        <v>153</v>
      </c>
      <c r="K47" s="45" t="s">
        <v>157</v>
      </c>
    </row>
    <row r="48" spans="1:13" x14ac:dyDescent="0.15">
      <c r="J48" s="45" t="s">
        <v>154</v>
      </c>
      <c r="K48" s="45" t="s">
        <v>158</v>
      </c>
    </row>
    <row r="49" spans="10:11" x14ac:dyDescent="0.15">
      <c r="J49" s="45" t="s">
        <v>155</v>
      </c>
      <c r="K49" s="45" t="s">
        <v>159</v>
      </c>
    </row>
    <row r="50" spans="10:11" x14ac:dyDescent="0.15">
      <c r="J50" s="45" t="s">
        <v>156</v>
      </c>
      <c r="K50" s="45" t="s">
        <v>160</v>
      </c>
    </row>
    <row r="51" spans="10:11" x14ac:dyDescent="0.15">
      <c r="J51" s="45" t="s">
        <v>162</v>
      </c>
      <c r="K51" s="45" t="s">
        <v>161</v>
      </c>
    </row>
    <row r="52" spans="10:11" x14ac:dyDescent="0.15">
      <c r="J52" s="45" t="s">
        <v>163</v>
      </c>
      <c r="K52" s="45" t="s">
        <v>164</v>
      </c>
    </row>
    <row r="53" spans="10:11" x14ac:dyDescent="0.15">
      <c r="J53" s="45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49</v>
      </c>
    </row>
    <row r="2" spans="1:1" x14ac:dyDescent="0.15">
      <c r="A2" t="s">
        <v>50</v>
      </c>
    </row>
    <row r="3" spans="1:1" x14ac:dyDescent="0.15">
      <c r="A3" t="s">
        <v>51</v>
      </c>
    </row>
    <row r="4" spans="1:1" x14ac:dyDescent="0.15">
      <c r="A4" t="s">
        <v>52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G15" sqref="G15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8" t="s">
        <v>169</v>
      </c>
      <c r="B2" s="38" t="s">
        <v>59</v>
      </c>
      <c r="C2" s="35">
        <v>7311</v>
      </c>
      <c r="D2" s="16" t="s">
        <v>37</v>
      </c>
      <c r="E2" s="14" t="str">
        <f t="shared" ref="E2:E3" si="0">B2&amp;C2&amp;D2</f>
        <v>gacha_select_tables_7311.tmp</v>
      </c>
      <c r="F2" s="55" t="s">
        <v>175</v>
      </c>
      <c r="G2" s="34" t="s">
        <v>54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46" t="s">
        <v>166</v>
      </c>
      <c r="B3" s="52" t="s">
        <v>170</v>
      </c>
      <c r="C3" s="53" t="str">
        <f t="shared" ref="C3" si="1">RIGHT(F3,6)</f>
        <v>426104</v>
      </c>
      <c r="D3" s="16" t="s">
        <v>171</v>
      </c>
      <c r="E3" s="14" t="str">
        <f t="shared" si="0"/>
        <v>gacha_settle_tables_426104.tmp</v>
      </c>
      <c r="F3" s="53" t="s">
        <v>172</v>
      </c>
      <c r="G3" s="34" t="s">
        <v>54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46" t="s">
        <v>166</v>
      </c>
      <c r="B4" s="52" t="s">
        <v>170</v>
      </c>
      <c r="C4" s="53" t="str">
        <f t="shared" ref="C4" si="2">RIGHT(F4,6)</f>
        <v>426105</v>
      </c>
      <c r="D4" s="16" t="s">
        <v>171</v>
      </c>
      <c r="E4" s="14" t="str">
        <f t="shared" ref="E4" si="3">B4&amp;C4&amp;D4</f>
        <v>gacha_settle_tables_426105.tmp</v>
      </c>
      <c r="F4" s="53" t="s">
        <v>173</v>
      </c>
      <c r="G4" s="34" t="s">
        <v>54</v>
      </c>
      <c r="H4" s="19" t="s">
        <v>0</v>
      </c>
      <c r="I4" s="19" t="s">
        <v>3</v>
      </c>
      <c r="J4" s="19" t="s">
        <v>4</v>
      </c>
      <c r="K4" s="19" t="s">
        <v>5</v>
      </c>
      <c r="L4" s="19" t="s">
        <v>6</v>
      </c>
      <c r="M4" s="19" t="s">
        <v>7</v>
      </c>
      <c r="N4" s="19" t="s">
        <v>8</v>
      </c>
      <c r="O4" s="19" t="s">
        <v>9</v>
      </c>
    </row>
    <row r="5" spans="1:21" x14ac:dyDescent="0.15">
      <c r="A5" s="46" t="s">
        <v>166</v>
      </c>
      <c r="B5" s="38" t="s">
        <v>59</v>
      </c>
      <c r="C5" s="35" t="str">
        <f t="shared" ref="C5:C7" si="4">RIGHT(F5,6)</f>
        <v>426101</v>
      </c>
      <c r="D5" s="16" t="s">
        <v>37</v>
      </c>
      <c r="E5" s="14" t="str">
        <f t="shared" ref="E5:E7" si="5">B5&amp;C5&amp;D5</f>
        <v>gacha_select_tables_426101.tmp</v>
      </c>
      <c r="F5" s="54" t="s">
        <v>174</v>
      </c>
      <c r="G5" s="34" t="s">
        <v>53</v>
      </c>
      <c r="H5" s="19" t="s">
        <v>0</v>
      </c>
      <c r="I5" s="19" t="s">
        <v>3</v>
      </c>
      <c r="J5" s="19" t="s">
        <v>4</v>
      </c>
      <c r="K5" s="19" t="s">
        <v>5</v>
      </c>
      <c r="L5" s="19" t="s">
        <v>6</v>
      </c>
      <c r="M5" s="19" t="s">
        <v>7</v>
      </c>
      <c r="N5" s="19" t="s">
        <v>8</v>
      </c>
      <c r="O5" s="19" t="s">
        <v>9</v>
      </c>
    </row>
    <row r="6" spans="1:21" x14ac:dyDescent="0.15">
      <c r="A6" s="46" t="s">
        <v>166</v>
      </c>
      <c r="B6" s="38" t="s">
        <v>59</v>
      </c>
      <c r="C6" s="35" t="str">
        <f t="shared" ref="C6" si="6">RIGHT(F6,6)</f>
        <v>363105</v>
      </c>
      <c r="D6" s="16" t="s">
        <v>37</v>
      </c>
      <c r="E6" s="14" t="str">
        <f t="shared" ref="E6" si="7">B6&amp;C6&amp;D6</f>
        <v>gacha_select_tables_363105.tmp</v>
      </c>
      <c r="F6" s="47" t="s">
        <v>167</v>
      </c>
      <c r="G6" s="34" t="s">
        <v>53</v>
      </c>
      <c r="H6" s="19" t="s">
        <v>0</v>
      </c>
      <c r="I6" s="19" t="s">
        <v>3</v>
      </c>
      <c r="J6" s="19" t="s">
        <v>4</v>
      </c>
      <c r="K6" s="19" t="s">
        <v>5</v>
      </c>
      <c r="L6" s="19" t="s">
        <v>6</v>
      </c>
      <c r="M6" s="19" t="s">
        <v>7</v>
      </c>
      <c r="N6" s="19" t="s">
        <v>8</v>
      </c>
      <c r="O6" s="19" t="s">
        <v>9</v>
      </c>
    </row>
    <row r="7" spans="1:21" x14ac:dyDescent="0.15">
      <c r="A7" s="46" t="s">
        <v>166</v>
      </c>
      <c r="B7" s="38" t="s">
        <v>59</v>
      </c>
      <c r="C7" s="35" t="str">
        <f t="shared" si="4"/>
        <v>363100</v>
      </c>
      <c r="D7" s="16" t="s">
        <v>37</v>
      </c>
      <c r="E7" s="14" t="str">
        <f t="shared" si="5"/>
        <v>gacha_select_tables_363100.tmp</v>
      </c>
      <c r="F7" s="47" t="s">
        <v>168</v>
      </c>
      <c r="G7" s="34" t="s">
        <v>53</v>
      </c>
      <c r="H7" s="19" t="s">
        <v>0</v>
      </c>
      <c r="I7" s="19" t="s">
        <v>3</v>
      </c>
      <c r="J7" s="19" t="s">
        <v>4</v>
      </c>
      <c r="K7" s="19" t="s">
        <v>5</v>
      </c>
      <c r="L7" s="19" t="s">
        <v>6</v>
      </c>
      <c r="M7" s="19" t="s">
        <v>7</v>
      </c>
      <c r="N7" s="19" t="s">
        <v>8</v>
      </c>
      <c r="O7" s="19" t="s">
        <v>9</v>
      </c>
    </row>
    <row r="8" spans="1:21" x14ac:dyDescent="0.15">
      <c r="A8" s="46" t="s">
        <v>166</v>
      </c>
      <c r="B8" s="24" t="s">
        <v>42</v>
      </c>
      <c r="C8" s="28">
        <v>426</v>
      </c>
      <c r="D8" s="16" t="s">
        <v>38</v>
      </c>
      <c r="E8" s="14" t="str">
        <f t="shared" ref="E8:E10" si="8">B8&amp;C8&amp;D8</f>
        <v>gacha_bonus_tables_426.tmp</v>
      </c>
      <c r="F8" s="16" t="s">
        <v>39</v>
      </c>
      <c r="G8" s="18" t="s">
        <v>10</v>
      </c>
      <c r="H8" s="20" t="s">
        <v>13</v>
      </c>
      <c r="I8" s="18" t="s">
        <v>11</v>
      </c>
      <c r="J8" s="17"/>
      <c r="K8" s="17"/>
      <c r="L8" s="17"/>
      <c r="M8" s="17"/>
      <c r="N8" s="17"/>
      <c r="O8" s="17"/>
    </row>
    <row r="9" spans="1:21" x14ac:dyDescent="0.15">
      <c r="A9" s="46" t="s">
        <v>166</v>
      </c>
      <c r="B9" s="16" t="s">
        <v>40</v>
      </c>
      <c r="C9" s="28">
        <v>426</v>
      </c>
      <c r="D9" s="16" t="s">
        <v>38</v>
      </c>
      <c r="E9" s="14" t="str">
        <f t="shared" si="8"/>
        <v>gifts_tmp_426.tmp</v>
      </c>
      <c r="F9" s="16" t="s">
        <v>39</v>
      </c>
      <c r="G9" s="20" t="s">
        <v>14</v>
      </c>
      <c r="H9" s="21" t="s">
        <v>22</v>
      </c>
      <c r="I9" s="20" t="s">
        <v>15</v>
      </c>
      <c r="J9" s="20" t="s">
        <v>16</v>
      </c>
      <c r="K9" s="20" t="s">
        <v>16</v>
      </c>
      <c r="L9" s="20" t="s">
        <v>17</v>
      </c>
      <c r="M9" s="20" t="s">
        <v>17</v>
      </c>
      <c r="N9" s="20" t="s">
        <v>17</v>
      </c>
      <c r="O9" s="36" t="s">
        <v>7</v>
      </c>
      <c r="P9" s="36" t="s">
        <v>9</v>
      </c>
      <c r="Q9" s="36" t="s">
        <v>6</v>
      </c>
      <c r="R9" s="36" t="s">
        <v>55</v>
      </c>
      <c r="S9" s="36" t="s">
        <v>8</v>
      </c>
      <c r="T9" s="36" t="s">
        <v>56</v>
      </c>
      <c r="U9" s="36" t="s">
        <v>5</v>
      </c>
    </row>
    <row r="10" spans="1:21" x14ac:dyDescent="0.15">
      <c r="A10" s="46" t="s">
        <v>166</v>
      </c>
      <c r="B10" s="16" t="s">
        <v>41</v>
      </c>
      <c r="C10" s="28">
        <v>426</v>
      </c>
      <c r="D10" s="16" t="s">
        <v>38</v>
      </c>
      <c r="E10" s="14" t="str">
        <f t="shared" si="8"/>
        <v>gifts_i18n_426.tmp</v>
      </c>
      <c r="F10" s="16" t="s">
        <v>39</v>
      </c>
      <c r="G10" s="20" t="s">
        <v>12</v>
      </c>
      <c r="H10" s="22" t="s">
        <v>18</v>
      </c>
      <c r="I10" s="22" t="s">
        <v>19</v>
      </c>
      <c r="J10" s="22" t="s">
        <v>20</v>
      </c>
      <c r="K10" s="22" t="s">
        <v>21</v>
      </c>
      <c r="L10" s="23"/>
      <c r="M10" s="20"/>
      <c r="N10" s="20"/>
      <c r="O10" s="16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9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53</v>
      </c>
      <c r="B1" s="12" t="s">
        <v>1</v>
      </c>
      <c r="C1" s="3" t="s">
        <v>23</v>
      </c>
      <c r="D1" s="3" t="s">
        <v>57</v>
      </c>
      <c r="E1" s="3" t="s">
        <v>137</v>
      </c>
      <c r="F1" s="3" t="s">
        <v>138</v>
      </c>
      <c r="G1" s="3" t="s">
        <v>58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>
        <v>7311010</v>
      </c>
      <c r="B2" s="5">
        <v>320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2">
        <v>19</v>
      </c>
      <c r="P2" s="33">
        <f t="shared" ref="P2:P33" si="1">O2/SUM(O:O)</f>
        <v>1.4393939393939395E-2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7311010</v>
      </c>
      <c r="B3" s="5">
        <v>321</v>
      </c>
      <c r="C3" s="7" t="str">
        <f t="shared" si="0"/>
        <v>PremiumSS5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32">
        <v>1</v>
      </c>
      <c r="P3" s="33">
        <f t="shared" si="1"/>
        <v>7.5757575757575758E-4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7311010</v>
      </c>
      <c r="B4" s="5">
        <v>324</v>
      </c>
      <c r="C4" s="7" t="str">
        <f t="shared" si="0"/>
        <v>PremiumSS4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2">
        <v>19</v>
      </c>
      <c r="P4" s="33">
        <f t="shared" si="1"/>
        <v>1.4393939393939395E-2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7311010</v>
      </c>
      <c r="B5" s="5">
        <v>325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32">
        <v>1</v>
      </c>
      <c r="P5" s="33">
        <f t="shared" si="1"/>
        <v>7.5757575757575758E-4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7311010</v>
      </c>
      <c r="B6" s="5">
        <v>383</v>
      </c>
      <c r="C6" s="7" t="str">
        <f t="shared" si="0"/>
        <v>PremiumSS4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2">
        <v>19</v>
      </c>
      <c r="P6" s="33">
        <f t="shared" si="1"/>
        <v>1.4393939393939395E-2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7311010</v>
      </c>
      <c r="B7" s="2">
        <v>384</v>
      </c>
      <c r="C7" s="7" t="str">
        <f t="shared" ref="C7:C70" si="3">D7&amp;J7&amp;E7&amp;F7&amp;G7</f>
        <v>PremiumSS5</v>
      </c>
      <c r="D7" s="7" t="str">
        <f t="shared" ref="D7:D70" si="4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32">
        <v>1</v>
      </c>
      <c r="P7" s="33">
        <f t="shared" si="1"/>
        <v>7.5757575757575758E-4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7311010</v>
      </c>
      <c r="B8" s="2">
        <v>385</v>
      </c>
      <c r="C8" s="7" t="str">
        <f t="shared" si="3"/>
        <v>PremiumSS4</v>
      </c>
      <c r="D8" s="7" t="str">
        <f t="shared" si="4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32">
        <v>19</v>
      </c>
      <c r="P8" s="33">
        <f t="shared" si="1"/>
        <v>1.4393939393939395E-2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7311010</v>
      </c>
      <c r="B9" s="2">
        <v>386</v>
      </c>
      <c r="C9" s="7" t="str">
        <f t="shared" si="3"/>
        <v>PremiumSS5</v>
      </c>
      <c r="D9" s="7" t="str">
        <f t="shared" si="4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32">
        <v>1</v>
      </c>
      <c r="P9" s="33">
        <f t="shared" si="1"/>
        <v>7.5757575757575758E-4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7311010</v>
      </c>
      <c r="B10" s="2">
        <v>390</v>
      </c>
      <c r="C10" s="7" t="str">
        <f t="shared" si="3"/>
        <v>PremiumSS4</v>
      </c>
      <c r="D10" s="7" t="str">
        <f t="shared" si="4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32">
        <v>19</v>
      </c>
      <c r="P10" s="33">
        <f t="shared" si="1"/>
        <v>1.4393939393939395E-2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7311010</v>
      </c>
      <c r="B11" s="2">
        <v>391</v>
      </c>
      <c r="C11" s="7" t="str">
        <f t="shared" si="3"/>
        <v>PremiumSS5</v>
      </c>
      <c r="D11" s="7" t="str">
        <f t="shared" si="4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32">
        <v>1</v>
      </c>
      <c r="P11" s="33">
        <f t="shared" si="1"/>
        <v>7.5757575757575758E-4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7311010</v>
      </c>
      <c r="B12" s="2">
        <v>398</v>
      </c>
      <c r="C12" s="7" t="str">
        <f t="shared" si="3"/>
        <v>PremiumSS4</v>
      </c>
      <c r="D12" s="7" t="str">
        <f t="shared" si="4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2">
        <v>19</v>
      </c>
      <c r="P12" s="33">
        <f t="shared" si="1"/>
        <v>1.4393939393939395E-2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7311010</v>
      </c>
      <c r="B13" s="2">
        <v>399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2">
        <v>1</v>
      </c>
      <c r="P13" s="33">
        <f t="shared" si="1"/>
        <v>7.5757575757575758E-4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7311010</v>
      </c>
      <c r="B14" s="2">
        <v>403</v>
      </c>
      <c r="C14" s="7" t="str">
        <f t="shared" si="3"/>
        <v>PremiumSS4</v>
      </c>
      <c r="D14" s="7" t="str">
        <f t="shared" si="4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32">
        <v>19</v>
      </c>
      <c r="P14" s="33">
        <f t="shared" si="1"/>
        <v>1.4393939393939395E-2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7311010</v>
      </c>
      <c r="B15" s="2">
        <v>404</v>
      </c>
      <c r="C15" s="7" t="str">
        <f t="shared" si="3"/>
        <v>PremiumSS5</v>
      </c>
      <c r="D15" s="7" t="str">
        <f t="shared" si="4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32">
        <v>1</v>
      </c>
      <c r="P15" s="33">
        <f t="shared" si="1"/>
        <v>7.5757575757575758E-4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7311010</v>
      </c>
      <c r="B16" s="2">
        <v>434</v>
      </c>
      <c r="C16" s="7" t="str">
        <f t="shared" si="3"/>
        <v>PremiumSS4</v>
      </c>
      <c r="D16" s="7" t="str">
        <f t="shared" si="4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32">
        <v>19</v>
      </c>
      <c r="P16" s="33">
        <f t="shared" si="1"/>
        <v>1.4393939393939395E-2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7311010</v>
      </c>
      <c r="B17" s="2">
        <v>435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32">
        <v>1</v>
      </c>
      <c r="P17" s="33">
        <f t="shared" si="1"/>
        <v>7.5757575757575758E-4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7311010</v>
      </c>
      <c r="B18" s="2">
        <v>465</v>
      </c>
      <c r="C18" s="7" t="str">
        <f t="shared" si="3"/>
        <v>PremiumSS4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32">
        <v>19</v>
      </c>
      <c r="P18" s="33">
        <f t="shared" si="1"/>
        <v>1.4393939393939395E-2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7311010</v>
      </c>
      <c r="B19" s="2">
        <v>466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32">
        <v>1</v>
      </c>
      <c r="P19" s="33">
        <f t="shared" si="1"/>
        <v>7.5757575757575758E-4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7311010</v>
      </c>
      <c r="B20" s="2">
        <v>467</v>
      </c>
      <c r="C20" s="7" t="str">
        <f t="shared" si="3"/>
        <v>PremiumSS4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32">
        <v>19</v>
      </c>
      <c r="P20" s="33">
        <f t="shared" si="1"/>
        <v>1.4393939393939395E-2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7311010</v>
      </c>
      <c r="B21" s="2">
        <v>468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32">
        <v>1</v>
      </c>
      <c r="P21" s="33">
        <f t="shared" si="1"/>
        <v>7.5757575757575758E-4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7311010</v>
      </c>
      <c r="B22" s="2">
        <v>474</v>
      </c>
      <c r="C22" s="7" t="str">
        <f t="shared" si="3"/>
        <v>PremiumSS4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2">
        <v>19</v>
      </c>
      <c r="P22" s="33">
        <f t="shared" si="1"/>
        <v>1.4393939393939395E-2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7311010</v>
      </c>
      <c r="B23" s="2">
        <v>475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32">
        <v>1</v>
      </c>
      <c r="P23" s="33">
        <f t="shared" si="1"/>
        <v>7.5757575757575758E-4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7311010</v>
      </c>
      <c r="B24" s="2">
        <v>492</v>
      </c>
      <c r="C24" s="7" t="str">
        <f t="shared" si="3"/>
        <v>PremiumSS4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32">
        <v>19</v>
      </c>
      <c r="P24" s="33">
        <f t="shared" si="1"/>
        <v>1.4393939393939395E-2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7311010</v>
      </c>
      <c r="B25" s="2">
        <v>493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32">
        <v>1</v>
      </c>
      <c r="P25" s="33">
        <f t="shared" si="1"/>
        <v>7.5757575757575758E-4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7311010</v>
      </c>
      <c r="B26" s="2">
        <v>494</v>
      </c>
      <c r="C26" s="7" t="str">
        <f t="shared" si="3"/>
        <v>PremiumSS4</v>
      </c>
      <c r="D26" s="7" t="str">
        <f t="shared" si="4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32">
        <v>19</v>
      </c>
      <c r="P26" s="33">
        <f t="shared" si="1"/>
        <v>1.4393939393939395E-2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7311010</v>
      </c>
      <c r="B27" s="2">
        <v>495</v>
      </c>
      <c r="C27" s="7" t="str">
        <f t="shared" si="3"/>
        <v>PremiumSS5</v>
      </c>
      <c r="D27" s="7" t="str">
        <f t="shared" si="4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32">
        <v>1</v>
      </c>
      <c r="P27" s="33">
        <f t="shared" si="1"/>
        <v>7.5757575757575758E-4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7311010</v>
      </c>
      <c r="B28" s="2">
        <v>499</v>
      </c>
      <c r="C28" s="7" t="str">
        <f t="shared" si="3"/>
        <v>PremiumSS4</v>
      </c>
      <c r="D28" s="7" t="str">
        <f t="shared" si="4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32">
        <v>19</v>
      </c>
      <c r="P28" s="33">
        <f t="shared" si="1"/>
        <v>1.4393939393939395E-2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7311010</v>
      </c>
      <c r="B29" s="2">
        <v>500</v>
      </c>
      <c r="C29" s="7" t="str">
        <f t="shared" si="3"/>
        <v>PremiumSS5</v>
      </c>
      <c r="D29" s="7" t="str">
        <f t="shared" si="4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32">
        <v>1</v>
      </c>
      <c r="P29" s="33">
        <f t="shared" si="1"/>
        <v>7.5757575757575758E-4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7311010</v>
      </c>
      <c r="B30" s="2">
        <v>594</v>
      </c>
      <c r="C30" s="7" t="str">
        <f t="shared" si="3"/>
        <v>PremiumSS4</v>
      </c>
      <c r="D30" s="7" t="str">
        <f t="shared" si="4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32">
        <v>19</v>
      </c>
      <c r="P30" s="33">
        <f t="shared" si="1"/>
        <v>1.4393939393939395E-2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7311010</v>
      </c>
      <c r="B31" s="2">
        <v>595</v>
      </c>
      <c r="C31" s="7" t="str">
        <f t="shared" si="3"/>
        <v>PremiumSS5</v>
      </c>
      <c r="D31" s="7" t="str">
        <f t="shared" si="4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32">
        <v>1</v>
      </c>
      <c r="P31" s="33">
        <f t="shared" si="1"/>
        <v>7.5757575757575758E-4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7311010</v>
      </c>
      <c r="B32" s="2">
        <v>602</v>
      </c>
      <c r="C32" s="7" t="str">
        <f t="shared" si="3"/>
        <v>PremiumSS4</v>
      </c>
      <c r="D32" s="7" t="str">
        <f t="shared" si="4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2">
        <v>19</v>
      </c>
      <c r="P32" s="33">
        <f t="shared" si="1"/>
        <v>1.4393939393939395E-2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7311010</v>
      </c>
      <c r="B33" s="2">
        <v>603</v>
      </c>
      <c r="C33" s="7" t="str">
        <f t="shared" si="3"/>
        <v>PremiumSS5</v>
      </c>
      <c r="D33" s="7" t="str">
        <f t="shared" si="4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2">
        <v>1</v>
      </c>
      <c r="P33" s="33">
        <f t="shared" si="1"/>
        <v>7.5757575757575758E-4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7311010</v>
      </c>
      <c r="B34" s="2">
        <v>658</v>
      </c>
      <c r="C34" s="7" t="str">
        <f t="shared" si="3"/>
        <v>PremiumSS4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32">
        <v>19</v>
      </c>
      <c r="P34" s="33">
        <f t="shared" ref="P34:P65" si="5">O34/SUM(O:O)</f>
        <v>1.4393939393939395E-2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7311010</v>
      </c>
      <c r="B35" s="2">
        <v>659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32">
        <v>1</v>
      </c>
      <c r="P35" s="33">
        <f t="shared" si="5"/>
        <v>7.5757575757575758E-4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7311010</v>
      </c>
      <c r="B36" s="2">
        <v>660</v>
      </c>
      <c r="C36" s="7" t="str">
        <f t="shared" si="3"/>
        <v>PremiumSS4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32">
        <v>19</v>
      </c>
      <c r="P36" s="33">
        <f t="shared" si="5"/>
        <v>1.4393939393939395E-2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7311010</v>
      </c>
      <c r="B37" s="2">
        <v>661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32">
        <v>1</v>
      </c>
      <c r="P37" s="33">
        <f t="shared" si="5"/>
        <v>7.5757575757575758E-4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7311010</v>
      </c>
      <c r="B38" s="2">
        <v>674</v>
      </c>
      <c r="C38" s="7" t="str">
        <f t="shared" si="3"/>
        <v>PremiumSS4</v>
      </c>
      <c r="D38" s="7" t="str">
        <f t="shared" si="4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32">
        <v>19</v>
      </c>
      <c r="P38" s="33">
        <f t="shared" si="5"/>
        <v>1.4393939393939395E-2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7311010</v>
      </c>
      <c r="B39" s="2">
        <v>675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32">
        <v>1</v>
      </c>
      <c r="P39" s="33">
        <f t="shared" si="5"/>
        <v>7.5757575757575758E-4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7311010</v>
      </c>
      <c r="B40" s="2">
        <v>676</v>
      </c>
      <c r="C40" s="7" t="str">
        <f t="shared" si="3"/>
        <v>PremiumSS4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32">
        <v>19</v>
      </c>
      <c r="P40" s="33">
        <f t="shared" si="5"/>
        <v>1.4393939393939395E-2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7311010</v>
      </c>
      <c r="B41" s="2">
        <v>677</v>
      </c>
      <c r="C41" s="7" t="str">
        <f t="shared" si="3"/>
        <v>PremiumSS5</v>
      </c>
      <c r="D41" s="7" t="str">
        <f t="shared" si="4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32">
        <v>1</v>
      </c>
      <c r="P41" s="33">
        <f t="shared" si="5"/>
        <v>7.5757575757575758E-4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7311010</v>
      </c>
      <c r="B42" s="2">
        <v>732</v>
      </c>
      <c r="C42" s="7" t="str">
        <f t="shared" si="3"/>
        <v>PremiumSS5R5only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32">
        <v>20</v>
      </c>
      <c r="P42" s="33">
        <f t="shared" si="5"/>
        <v>1.5151515151515152E-2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7311010</v>
      </c>
      <c r="B43" s="2">
        <v>734</v>
      </c>
      <c r="C43" s="7" t="str">
        <f t="shared" si="3"/>
        <v>PremiumSS5R5only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32">
        <v>20</v>
      </c>
      <c r="P43" s="33">
        <f t="shared" si="5"/>
        <v>1.5151515151515152E-2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7311010</v>
      </c>
      <c r="B44" s="2">
        <v>770</v>
      </c>
      <c r="C44" s="7" t="str">
        <f t="shared" si="3"/>
        <v>PremiumSS4</v>
      </c>
      <c r="D44" s="7" t="str">
        <f t="shared" si="4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32">
        <v>19</v>
      </c>
      <c r="P44" s="33">
        <f t="shared" si="5"/>
        <v>1.4393939393939395E-2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7311010</v>
      </c>
      <c r="B45" s="2">
        <v>771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32">
        <v>1</v>
      </c>
      <c r="P45" s="33">
        <f t="shared" si="5"/>
        <v>7.5757575757575758E-4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7311010</v>
      </c>
      <c r="B46" s="2">
        <v>772</v>
      </c>
      <c r="C46" s="7" t="str">
        <f t="shared" si="3"/>
        <v>PremiumSS4</v>
      </c>
      <c r="D46" s="7" t="str">
        <f t="shared" si="4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32">
        <v>19</v>
      </c>
      <c r="P46" s="33">
        <f t="shared" si="5"/>
        <v>1.4393939393939395E-2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7311010</v>
      </c>
      <c r="B47" s="2">
        <v>773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32">
        <v>1</v>
      </c>
      <c r="P47" s="33">
        <f t="shared" si="5"/>
        <v>7.5757575757575758E-4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7311010</v>
      </c>
      <c r="B48" s="2">
        <v>848</v>
      </c>
      <c r="C48" s="7" t="str">
        <f t="shared" si="3"/>
        <v>PremiumSS5R5only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32">
        <v>20</v>
      </c>
      <c r="P48" s="33">
        <f t="shared" si="5"/>
        <v>1.5151515151515152E-2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7311010</v>
      </c>
      <c r="B49" s="2">
        <v>850</v>
      </c>
      <c r="C49" s="7" t="str">
        <f t="shared" si="3"/>
        <v>PremiumSS5R5only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2">
        <v>20</v>
      </c>
      <c r="P49" s="33">
        <f t="shared" si="5"/>
        <v>1.5151515151515152E-2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7311010</v>
      </c>
      <c r="B50" s="2">
        <v>866</v>
      </c>
      <c r="C50" s="7" t="str">
        <f t="shared" si="3"/>
        <v>PremiumSS5R5only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32">
        <v>20</v>
      </c>
      <c r="P50" s="33">
        <f t="shared" si="5"/>
        <v>1.5151515151515152E-2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7311010</v>
      </c>
      <c r="B51" s="2">
        <v>868</v>
      </c>
      <c r="C51" s="7" t="str">
        <f t="shared" si="3"/>
        <v>PremiumSS5R5only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32">
        <v>20</v>
      </c>
      <c r="P51" s="33">
        <f t="shared" si="5"/>
        <v>1.5151515151515152E-2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7311010</v>
      </c>
      <c r="B52" s="2">
        <v>742</v>
      </c>
      <c r="C52" s="7" t="str">
        <f t="shared" si="3"/>
        <v>PremiumSS5R5only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32">
        <v>20</v>
      </c>
      <c r="P52" s="33">
        <f t="shared" si="5"/>
        <v>1.5151515151515152E-2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7311010</v>
      </c>
      <c r="B53" s="2">
        <v>744</v>
      </c>
      <c r="C53" s="7" t="str">
        <f t="shared" si="3"/>
        <v>PremiumSS5R5only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32">
        <v>20</v>
      </c>
      <c r="P53" s="33">
        <f t="shared" si="5"/>
        <v>1.5151515151515152E-2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7311010</v>
      </c>
      <c r="B54" s="2">
        <v>937</v>
      </c>
      <c r="C54" s="7" t="str">
        <f t="shared" si="3"/>
        <v>PremiumSS5R5only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32">
        <v>20</v>
      </c>
      <c r="P54" s="33">
        <f t="shared" si="5"/>
        <v>1.5151515151515152E-2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7311010</v>
      </c>
      <c r="B55" s="2">
        <v>941</v>
      </c>
      <c r="C55" s="7" t="str">
        <f t="shared" si="3"/>
        <v>PremiumSS5R5only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32">
        <v>20</v>
      </c>
      <c r="P55" s="33">
        <f t="shared" si="5"/>
        <v>1.5151515151515152E-2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7311010</v>
      </c>
      <c r="B56" s="2">
        <v>943</v>
      </c>
      <c r="C56" s="7" t="str">
        <f t="shared" si="3"/>
        <v>PremiumSS5R5only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32">
        <v>20</v>
      </c>
      <c r="P56" s="33">
        <f t="shared" si="5"/>
        <v>1.5151515151515152E-2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7311010</v>
      </c>
      <c r="B57" s="2">
        <v>1012</v>
      </c>
      <c r="C57" s="7" t="str">
        <f t="shared" si="3"/>
        <v>PremiumSS5R5only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32">
        <v>20</v>
      </c>
      <c r="P57" s="33">
        <f t="shared" si="5"/>
        <v>1.5151515151515152E-2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7311010</v>
      </c>
      <c r="B58" s="2">
        <v>1014</v>
      </c>
      <c r="C58" s="7" t="str">
        <f t="shared" si="3"/>
        <v>PremiumSS5R5only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32">
        <v>20</v>
      </c>
      <c r="P58" s="33">
        <f t="shared" si="5"/>
        <v>1.5151515151515152E-2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7311010</v>
      </c>
      <c r="B59" s="2">
        <v>1018</v>
      </c>
      <c r="C59" s="7" t="str">
        <f t="shared" si="3"/>
        <v>PremiumSS5R5only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32">
        <v>20</v>
      </c>
      <c r="P59" s="33">
        <f t="shared" si="5"/>
        <v>1.5151515151515152E-2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7311010</v>
      </c>
      <c r="B60" s="2">
        <v>1028</v>
      </c>
      <c r="C60" s="7" t="str">
        <f t="shared" si="3"/>
        <v>PremiumSS5R5only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32">
        <v>20</v>
      </c>
      <c r="P60" s="33">
        <f t="shared" si="5"/>
        <v>1.5151515151515152E-2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7311010</v>
      </c>
      <c r="B61" s="2">
        <v>1031</v>
      </c>
      <c r="C61" s="7" t="str">
        <f t="shared" si="3"/>
        <v>PremiumSS5R5only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32">
        <v>20</v>
      </c>
      <c r="P61" s="33">
        <f t="shared" si="5"/>
        <v>1.5151515151515152E-2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7311010</v>
      </c>
      <c r="B62" s="2">
        <v>1033</v>
      </c>
      <c r="C62" s="7" t="str">
        <f t="shared" si="3"/>
        <v>PremiumSS5R5only</v>
      </c>
      <c r="D62" s="7" t="str">
        <f t="shared" si="4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32">
        <v>20</v>
      </c>
      <c r="P62" s="33">
        <f t="shared" si="5"/>
        <v>1.5151515151515152E-2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7311010</v>
      </c>
      <c r="B63" s="2">
        <v>1072</v>
      </c>
      <c r="C63" s="7" t="str">
        <f t="shared" si="3"/>
        <v>PremiumSS5R5only</v>
      </c>
      <c r="D63" s="7" t="str">
        <f t="shared" si="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32">
        <v>20</v>
      </c>
      <c r="P63" s="33">
        <f t="shared" si="5"/>
        <v>1.5151515151515152E-2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7311010</v>
      </c>
      <c r="B64" s="2">
        <v>1074</v>
      </c>
      <c r="C64" s="7" t="str">
        <f t="shared" si="3"/>
        <v>PremiumSS5R5only</v>
      </c>
      <c r="D64" s="7" t="str">
        <f t="shared" si="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32">
        <v>20</v>
      </c>
      <c r="P64" s="33">
        <f t="shared" si="5"/>
        <v>1.5151515151515152E-2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7311010</v>
      </c>
      <c r="B65" s="2">
        <v>1069</v>
      </c>
      <c r="C65" s="7" t="str">
        <f t="shared" si="3"/>
        <v>PremiumSS5R5only</v>
      </c>
      <c r="D65" s="7" t="str">
        <f t="shared" si="4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32">
        <v>20</v>
      </c>
      <c r="P65" s="33">
        <f t="shared" si="5"/>
        <v>1.5151515151515152E-2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7311010</v>
      </c>
      <c r="B66" s="2">
        <v>1100</v>
      </c>
      <c r="C66" s="7" t="str">
        <f t="shared" si="3"/>
        <v>PremiumSS5R5only</v>
      </c>
      <c r="D66" s="7" t="str">
        <f t="shared" si="4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32">
        <v>20</v>
      </c>
      <c r="P66" s="33">
        <f t="shared" ref="P66:P97" si="6">O66/SUM(O:O)</f>
        <v>1.5151515151515152E-2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7311010</v>
      </c>
      <c r="B67" s="2">
        <v>1102</v>
      </c>
      <c r="C67" s="7" t="str">
        <f t="shared" si="3"/>
        <v>PremiumSS5R5only</v>
      </c>
      <c r="D67" s="7" t="str">
        <f t="shared" si="4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32">
        <v>20</v>
      </c>
      <c r="P67" s="33">
        <f t="shared" si="6"/>
        <v>1.5151515151515152E-2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7311010</v>
      </c>
      <c r="B68" s="2">
        <v>1106</v>
      </c>
      <c r="C68" s="7" t="str">
        <f t="shared" si="3"/>
        <v>PremiumSS5R5only</v>
      </c>
      <c r="D68" s="7" t="str">
        <f t="shared" si="4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32">
        <v>20</v>
      </c>
      <c r="P68" s="33">
        <f t="shared" si="6"/>
        <v>1.5151515151515152E-2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7311010</v>
      </c>
      <c r="B69" s="2">
        <v>1137</v>
      </c>
      <c r="C69" s="7" t="str">
        <f t="shared" si="3"/>
        <v>PremiumSS5R5only</v>
      </c>
      <c r="D69" s="7" t="str">
        <f t="shared" si="4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32">
        <v>20</v>
      </c>
      <c r="P69" s="33">
        <f t="shared" si="6"/>
        <v>1.5151515151515152E-2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7311010</v>
      </c>
      <c r="B70" s="2">
        <v>1141</v>
      </c>
      <c r="C70" s="49" t="str">
        <f t="shared" si="3"/>
        <v>PremiumSS5R5only</v>
      </c>
      <c r="D70" s="49" t="str">
        <f t="shared" si="4"/>
        <v>PremiumSS</v>
      </c>
      <c r="E70" s="49" t="str">
        <f>IF(COUNTIF('R6追加前'!A:A,B70)=0,IF(OR(I70="PremiumSS",I70="PremiumSSw"),"R5only","R3less"),"")</f>
        <v>R5only</v>
      </c>
      <c r="F70" s="49" t="str">
        <f>IF(COUNTIF('R6開放'!A:A,B70)&gt;0,"R6release","")</f>
        <v/>
      </c>
      <c r="G70" s="49"/>
      <c r="H70" s="49" t="str">
        <f>VLOOKUP(B70,[1]characters!$A:$C,3,FALSE)</f>
        <v>月英</v>
      </c>
      <c r="I70" s="49" t="str">
        <f>VLOOKUP(B70,[1]characters!$A:$J,10,FALSE)</f>
        <v>PremiumSS</v>
      </c>
      <c r="J70" s="49">
        <f>VLOOKUP(B70,[1]characters!$A:$I,9,FALSE)</f>
        <v>5</v>
      </c>
      <c r="K70" s="49" t="str">
        <f>VLOOKUP(B70,[1]characters!$A:$H,8,FALSE)</f>
        <v>blue</v>
      </c>
      <c r="L70" s="49" t="str">
        <f>VLOOKUP(B70,[1]characters!$A:$K,11,FALSE)</f>
        <v>balance</v>
      </c>
      <c r="M70" s="49" t="str">
        <f>VLOOKUP(B70,[1]characters!$A:$M,13,FALSE)</f>
        <v>human</v>
      </c>
      <c r="N70" s="49" t="str">
        <f>VLOOKUP(B70,[1]characters!$A:$G,7,FALSE)</f>
        <v>不明</v>
      </c>
      <c r="O70" s="32">
        <v>20</v>
      </c>
      <c r="P70" s="50">
        <f t="shared" si="6"/>
        <v>1.5151515151515152E-2</v>
      </c>
      <c r="Q70" s="51">
        <v>1</v>
      </c>
      <c r="R70" s="51">
        <v>0</v>
      </c>
      <c r="S70" s="51">
        <v>0</v>
      </c>
      <c r="T70" s="51">
        <v>0</v>
      </c>
      <c r="U70" s="51">
        <v>0</v>
      </c>
      <c r="V70" s="51">
        <v>1</v>
      </c>
    </row>
    <row r="71" spans="1:22" ht="21" customHeight="1" x14ac:dyDescent="0.15">
      <c r="A71" s="2">
        <v>7311010</v>
      </c>
      <c r="B71" s="2">
        <v>1139</v>
      </c>
      <c r="C71" s="7" t="str">
        <f t="shared" ref="C71" si="7">D71&amp;J71&amp;E71&amp;F71&amp;G71</f>
        <v>PremiumSS5R5only</v>
      </c>
      <c r="D71" s="7" t="str">
        <f t="shared" ref="D71" si="8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32">
        <v>20</v>
      </c>
      <c r="P71" s="33">
        <f t="shared" si="6"/>
        <v>1.5151515151515152E-2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2">
        <v>7311010</v>
      </c>
      <c r="B72" s="2">
        <v>1153</v>
      </c>
      <c r="C72" s="7" t="str">
        <f t="shared" ref="C72:C74" si="9">D72&amp;J72&amp;E72&amp;F72&amp;G72</f>
        <v>PremiumSS5R5only</v>
      </c>
      <c r="D72" s="7" t="str">
        <f t="shared" ref="D72:D74" si="10">IF(OR(I72="PremiumSS",I72="PremiumSSw"),"PremiumSS",IF(I72="PremiumSSS",I72,IF(I72="PremiumW",I72,"Premium")))</f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ラクシュミー</v>
      </c>
      <c r="I72" s="7" t="str">
        <f>VLOOKUP(B72,[1]characters!$A:$J,10,FALSE)</f>
        <v>PremiumSSw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god</v>
      </c>
      <c r="N72" s="7" t="str">
        <f>VLOOKUP(B72,[1]characters!$A:$G,7,FALSE)</f>
        <v>不明</v>
      </c>
      <c r="O72" s="32">
        <v>20</v>
      </c>
      <c r="P72" s="33">
        <f t="shared" si="6"/>
        <v>1.5151515151515152E-2</v>
      </c>
      <c r="Q72" s="27">
        <v>1</v>
      </c>
      <c r="R72" s="27">
        <v>0</v>
      </c>
      <c r="S72" s="27">
        <v>0</v>
      </c>
      <c r="T72" s="27">
        <v>0</v>
      </c>
      <c r="U72" s="27">
        <v>0</v>
      </c>
      <c r="V72" s="27">
        <v>1</v>
      </c>
    </row>
    <row r="73" spans="1:22" ht="21" customHeight="1" x14ac:dyDescent="0.15">
      <c r="A73" s="2">
        <v>7311010</v>
      </c>
      <c r="B73" s="2">
        <v>1155</v>
      </c>
      <c r="C73" s="7" t="str">
        <f t="shared" si="9"/>
        <v>PremiumSS5R5only</v>
      </c>
      <c r="D73" s="7" t="str">
        <f t="shared" si="10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ドゥルガー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balance</v>
      </c>
      <c r="M73" s="7" t="str">
        <f>VLOOKUP(B73,[1]characters!$A:$M,13,FALSE)</f>
        <v>god</v>
      </c>
      <c r="N73" s="7" t="str">
        <f>VLOOKUP(B73,[1]characters!$A:$G,7,FALSE)</f>
        <v>不明</v>
      </c>
      <c r="O73" s="32">
        <v>20</v>
      </c>
      <c r="P73" s="33">
        <f t="shared" si="6"/>
        <v>1.5151515151515152E-2</v>
      </c>
      <c r="Q73" s="27">
        <v>1</v>
      </c>
      <c r="R73" s="27">
        <v>0</v>
      </c>
      <c r="S73" s="27">
        <v>0</v>
      </c>
      <c r="T73" s="27">
        <v>0</v>
      </c>
      <c r="U73" s="27">
        <v>0</v>
      </c>
      <c r="V73" s="27">
        <v>1</v>
      </c>
    </row>
    <row r="74" spans="1:22" ht="21" customHeight="1" x14ac:dyDescent="0.15">
      <c r="A74" s="2">
        <v>7311010</v>
      </c>
      <c r="B74" s="2">
        <v>1157</v>
      </c>
      <c r="C74" s="7" t="str">
        <f t="shared" si="9"/>
        <v>PremiumSS5R5only</v>
      </c>
      <c r="D74" s="7" t="str">
        <f t="shared" si="10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インドラ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god</v>
      </c>
      <c r="N74" s="7" t="str">
        <f>VLOOKUP(B74,[1]characters!$A:$G,7,FALSE)</f>
        <v>不明</v>
      </c>
      <c r="O74" s="32">
        <v>20</v>
      </c>
      <c r="P74" s="33">
        <f t="shared" si="6"/>
        <v>1.5151515151515152E-2</v>
      </c>
      <c r="Q74" s="27">
        <v>1</v>
      </c>
      <c r="R74" s="27">
        <v>0</v>
      </c>
      <c r="S74" s="27">
        <v>0</v>
      </c>
      <c r="T74" s="27">
        <v>0</v>
      </c>
      <c r="U74" s="27">
        <v>0</v>
      </c>
      <c r="V74" s="27">
        <v>1</v>
      </c>
    </row>
    <row r="75" spans="1:22" ht="21" customHeight="1" x14ac:dyDescent="0.15">
      <c r="A75" s="2">
        <v>7311010</v>
      </c>
      <c r="B75" s="37">
        <v>1214</v>
      </c>
      <c r="C75" s="7" t="str">
        <f t="shared" ref="C75:C77" si="11">D75&amp;J75&amp;E75&amp;F75&amp;G75</f>
        <v>PremiumSS5R5only</v>
      </c>
      <c r="D75" s="7" t="str">
        <f t="shared" ref="D75:D77" si="12">IF(OR(I75="PremiumSS",I75="PremiumSSw"),"PremiumSS",IF(I75="PremiumSSS",I75,IF(I75="PremiumW",I75,"Premium")))</f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アルテミス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balance</v>
      </c>
      <c r="M75" s="7" t="str">
        <f>VLOOKUP(B75,[1]characters!$A:$M,13,FALSE)</f>
        <v>god</v>
      </c>
      <c r="N75" s="7">
        <f>VLOOKUP(B75,[1]characters!$A:$G,7,FALSE)</f>
        <v>0</v>
      </c>
      <c r="O75" s="32">
        <v>20</v>
      </c>
      <c r="P75" s="33">
        <f t="shared" si="6"/>
        <v>1.5151515151515152E-2</v>
      </c>
      <c r="Q75" s="27">
        <v>1</v>
      </c>
      <c r="R75" s="27">
        <v>0</v>
      </c>
      <c r="S75" s="27">
        <v>0</v>
      </c>
      <c r="T75" s="27">
        <v>0</v>
      </c>
      <c r="U75" s="27">
        <v>0</v>
      </c>
      <c r="V75" s="27">
        <v>1</v>
      </c>
    </row>
    <row r="76" spans="1:22" ht="21" customHeight="1" x14ac:dyDescent="0.15">
      <c r="A76" s="2">
        <v>7311010</v>
      </c>
      <c r="B76" s="37">
        <v>1212</v>
      </c>
      <c r="C76" s="7" t="str">
        <f t="shared" si="11"/>
        <v>PremiumSS5R5only</v>
      </c>
      <c r="D76" s="7" t="str">
        <f t="shared" si="12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クロノス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god</v>
      </c>
      <c r="N76" s="7">
        <f>VLOOKUP(B76,[1]characters!$A:$G,7,FALSE)</f>
        <v>0</v>
      </c>
      <c r="O76" s="32">
        <v>20</v>
      </c>
      <c r="P76" s="33">
        <f t="shared" si="6"/>
        <v>1.5151515151515152E-2</v>
      </c>
      <c r="Q76" s="27">
        <v>1</v>
      </c>
      <c r="R76" s="27">
        <v>0</v>
      </c>
      <c r="S76" s="27">
        <v>0</v>
      </c>
      <c r="T76" s="27">
        <v>0</v>
      </c>
      <c r="U76" s="27">
        <v>0</v>
      </c>
      <c r="V76" s="27">
        <v>1</v>
      </c>
    </row>
    <row r="77" spans="1:22" ht="21" customHeight="1" x14ac:dyDescent="0.15">
      <c r="A77" s="2">
        <v>7311010</v>
      </c>
      <c r="B77" s="37">
        <v>1208</v>
      </c>
      <c r="C77" s="7" t="str">
        <f t="shared" si="11"/>
        <v>PremiumSS5R5only</v>
      </c>
      <c r="D77" s="7" t="str">
        <f t="shared" si="12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ネメシス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>
        <f>VLOOKUP(B77,[1]characters!$A:$G,7,FALSE)</f>
        <v>0</v>
      </c>
      <c r="O77" s="32">
        <v>20</v>
      </c>
      <c r="P77" s="33">
        <f t="shared" si="6"/>
        <v>1.5151515151515152E-2</v>
      </c>
      <c r="Q77" s="27">
        <v>1</v>
      </c>
      <c r="R77" s="27">
        <v>0</v>
      </c>
      <c r="S77" s="27">
        <v>0</v>
      </c>
      <c r="T77" s="27">
        <v>0</v>
      </c>
      <c r="U77" s="27">
        <v>0</v>
      </c>
      <c r="V77" s="27">
        <v>1</v>
      </c>
    </row>
    <row r="78" spans="1:22" ht="21" customHeight="1" x14ac:dyDescent="0.15">
      <c r="A78" s="2">
        <v>7311010</v>
      </c>
      <c r="B78" s="37">
        <v>1244</v>
      </c>
      <c r="C78" s="7" t="str">
        <f t="shared" ref="C78:C80" si="13">D78&amp;J78&amp;E78&amp;F78&amp;G78</f>
        <v>PremiumSS5R5only</v>
      </c>
      <c r="D78" s="7" t="str">
        <f t="shared" ref="D78:D80" si="14">IF(OR(I78="PremiumSS",I78="PremiumSSw"),"PremiumSS",IF(I78="PremiumSSS",I78,IF(I78="PremiumW",I78,"Premium")))</f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猿飛佐助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attack</v>
      </c>
      <c r="M78" s="7" t="str">
        <f>VLOOKUP(B78,[1]characters!$A:$M,13,FALSE)</f>
        <v>human</v>
      </c>
      <c r="N78" s="7">
        <f>VLOOKUP(B78,[1]characters!$A:$G,7,FALSE)</f>
        <v>0</v>
      </c>
      <c r="O78" s="32">
        <v>20</v>
      </c>
      <c r="P78" s="33">
        <f t="shared" si="6"/>
        <v>1.5151515151515152E-2</v>
      </c>
      <c r="Q78" s="27">
        <v>1</v>
      </c>
      <c r="R78" s="27">
        <v>0</v>
      </c>
      <c r="S78" s="27">
        <v>0</v>
      </c>
      <c r="T78" s="27">
        <v>0</v>
      </c>
      <c r="U78" s="27">
        <v>0</v>
      </c>
      <c r="V78" s="27">
        <v>1</v>
      </c>
    </row>
    <row r="79" spans="1:22" ht="21" customHeight="1" x14ac:dyDescent="0.15">
      <c r="A79" s="2">
        <v>7311010</v>
      </c>
      <c r="B79" s="37">
        <v>1246</v>
      </c>
      <c r="C79" s="7" t="str">
        <f t="shared" si="13"/>
        <v>PremiumSS5R5only</v>
      </c>
      <c r="D79" s="7" t="str">
        <f t="shared" si="14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望月千代女</v>
      </c>
      <c r="I79" s="7" t="str">
        <f>VLOOKUP(B79,[1]characters!$A:$J,10,FALSE)</f>
        <v>PremiumSS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heal</v>
      </c>
      <c r="M79" s="7" t="str">
        <f>VLOOKUP(B79,[1]characters!$A:$M,13,FALSE)</f>
        <v>human</v>
      </c>
      <c r="N79" s="7">
        <f>VLOOKUP(B79,[1]characters!$A:$G,7,FALSE)</f>
        <v>0</v>
      </c>
      <c r="O79" s="32">
        <v>20</v>
      </c>
      <c r="P79" s="33">
        <f t="shared" si="6"/>
        <v>1.5151515151515152E-2</v>
      </c>
      <c r="Q79" s="27">
        <v>1</v>
      </c>
      <c r="R79" s="27">
        <v>0</v>
      </c>
      <c r="S79" s="27">
        <v>0</v>
      </c>
      <c r="T79" s="27">
        <v>0</v>
      </c>
      <c r="U79" s="27">
        <v>0</v>
      </c>
      <c r="V79" s="27">
        <v>1</v>
      </c>
    </row>
    <row r="80" spans="1:22" ht="21" customHeight="1" x14ac:dyDescent="0.15">
      <c r="A80" s="2">
        <v>7311010</v>
      </c>
      <c r="B80" s="37">
        <v>1250</v>
      </c>
      <c r="C80" s="7" t="str">
        <f t="shared" si="13"/>
        <v>PremiumSS5R5only</v>
      </c>
      <c r="D80" s="7" t="str">
        <f t="shared" si="14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真田幸村</v>
      </c>
      <c r="I80" s="7" t="str">
        <f>VLOOKUP(B80,[1]characters!$A:$J,10,FALSE)</f>
        <v>PremiumSSw</v>
      </c>
      <c r="J80" s="7">
        <f>VLOOKUP(B80,[1]characters!$A:$I,9,FALSE)</f>
        <v>5</v>
      </c>
      <c r="K80" s="7" t="str">
        <f>VLOOKUP(B80,[1]characters!$A:$H,8,FALSE)</f>
        <v>yellow</v>
      </c>
      <c r="L80" s="7" t="str">
        <f>VLOOKUP(B80,[1]characters!$A:$K,11,FALSE)</f>
        <v>attack</v>
      </c>
      <c r="M80" s="7" t="str">
        <f>VLOOKUP(B80,[1]characters!$A:$M,13,FALSE)</f>
        <v>human</v>
      </c>
      <c r="N80" s="7">
        <f>VLOOKUP(B80,[1]characters!$A:$G,7,FALSE)</f>
        <v>0</v>
      </c>
      <c r="O80" s="32">
        <v>20</v>
      </c>
      <c r="P80" s="33">
        <f t="shared" si="6"/>
        <v>1.5151515151515152E-2</v>
      </c>
      <c r="Q80" s="27">
        <v>1</v>
      </c>
      <c r="R80" s="27">
        <v>0</v>
      </c>
      <c r="S80" s="27">
        <v>0</v>
      </c>
      <c r="T80" s="27">
        <v>0</v>
      </c>
      <c r="U80" s="27">
        <v>0</v>
      </c>
      <c r="V80" s="27">
        <v>1</v>
      </c>
    </row>
    <row r="81" spans="1:22" ht="21" customHeight="1" x14ac:dyDescent="0.15">
      <c r="A81" s="2">
        <v>7311010</v>
      </c>
      <c r="B81" s="37">
        <v>1226</v>
      </c>
      <c r="C81" s="7" t="str">
        <f t="shared" ref="C81:C83" si="15">D81&amp;J81&amp;E81&amp;F81&amp;G81</f>
        <v>PremiumSS5R5only</v>
      </c>
      <c r="D81" s="7" t="str">
        <f t="shared" ref="D81:D83" si="16">IF(OR(I81="PremiumSS",I81="PremiumSSw"),"PremiumSS",IF(I81="PremiumSSS",I81,IF(I81="PremiumW",I81,"Premium")))</f>
        <v>PremiumSS</v>
      </c>
      <c r="E81" s="7" t="str">
        <f>IF(COUNTIF('R6追加前'!A:A,B81)=0,IF(OR(I81="PremiumSS",I81="PremiumSSw"),"R5only","R3less"),"")</f>
        <v>R5only</v>
      </c>
      <c r="F81" s="7" t="str">
        <f>IF(COUNTIF('R6開放'!A:A,B81)&gt;0,"R6release","")</f>
        <v/>
      </c>
      <c r="G81" s="7"/>
      <c r="H81" s="7" t="str">
        <f>VLOOKUP(B81,[1]characters!$A:$C,3,FALSE)</f>
        <v>トルストイ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attack</v>
      </c>
      <c r="M81" s="7" t="str">
        <f>VLOOKUP(B81,[1]characters!$A:$M,13,FALSE)</f>
        <v>human</v>
      </c>
      <c r="N81" s="7">
        <f>VLOOKUP(B81,[1]characters!$A:$G,7,FALSE)</f>
        <v>0</v>
      </c>
      <c r="O81" s="32">
        <v>20</v>
      </c>
      <c r="P81" s="33">
        <f t="shared" si="6"/>
        <v>1.5151515151515152E-2</v>
      </c>
      <c r="Q81" s="27">
        <v>1</v>
      </c>
      <c r="R81" s="27">
        <v>0</v>
      </c>
      <c r="S81" s="27">
        <v>0</v>
      </c>
      <c r="T81" s="27">
        <v>0</v>
      </c>
      <c r="U81" s="27">
        <v>0</v>
      </c>
      <c r="V81" s="27">
        <v>1</v>
      </c>
    </row>
    <row r="82" spans="1:22" ht="21" customHeight="1" x14ac:dyDescent="0.15">
      <c r="A82" s="2">
        <v>7311010</v>
      </c>
      <c r="B82" s="37">
        <v>1228</v>
      </c>
      <c r="C82" s="7" t="str">
        <f t="shared" si="15"/>
        <v>PremiumSS5R5only</v>
      </c>
      <c r="D82" s="7" t="str">
        <f t="shared" si="16"/>
        <v>PremiumSS</v>
      </c>
      <c r="E82" s="7" t="str">
        <f>IF(COUNTIF('R6追加前'!A:A,B82)=0,IF(OR(I82="PremiumSS",I82="PremiumSSw"),"R5only","R3less"),"")</f>
        <v>R5only</v>
      </c>
      <c r="F82" s="7" t="str">
        <f>IF(COUNTIF('R6開放'!A:A,B82)&gt;0,"R6release","")</f>
        <v/>
      </c>
      <c r="G82" s="7"/>
      <c r="H82" s="7" t="str">
        <f>VLOOKUP(B82,[1]characters!$A:$C,3,FALSE)</f>
        <v>芥川龍之介</v>
      </c>
      <c r="I82" s="7" t="str">
        <f>VLOOKUP(B82,[1]characters!$A:$J,10,FALSE)</f>
        <v>PremiumSSw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attack</v>
      </c>
      <c r="M82" s="7" t="str">
        <f>VLOOKUP(B82,[1]characters!$A:$M,13,FALSE)</f>
        <v>human</v>
      </c>
      <c r="N82" s="7">
        <f>VLOOKUP(B82,[1]characters!$A:$G,7,FALSE)</f>
        <v>0</v>
      </c>
      <c r="O82" s="32">
        <v>20</v>
      </c>
      <c r="P82" s="33">
        <f t="shared" si="6"/>
        <v>1.5151515151515152E-2</v>
      </c>
      <c r="Q82" s="27">
        <v>1</v>
      </c>
      <c r="R82" s="27">
        <v>0</v>
      </c>
      <c r="S82" s="27">
        <v>0</v>
      </c>
      <c r="T82" s="27">
        <v>0</v>
      </c>
      <c r="U82" s="27">
        <v>0</v>
      </c>
      <c r="V82" s="27">
        <v>1</v>
      </c>
    </row>
    <row r="83" spans="1:22" ht="21" customHeight="1" x14ac:dyDescent="0.15">
      <c r="A83" s="2">
        <v>7311010</v>
      </c>
      <c r="B83" s="37">
        <v>1230</v>
      </c>
      <c r="C83" s="7" t="str">
        <f t="shared" si="15"/>
        <v>PremiumSS5R5only</v>
      </c>
      <c r="D83" s="7" t="str">
        <f t="shared" si="16"/>
        <v>PremiumSS</v>
      </c>
      <c r="E83" s="7" t="str">
        <f>IF(COUNTIF('R6追加前'!A:A,B83)=0,IF(OR(I83="PremiumSS",I83="PremiumSSw"),"R5only","R3less"),"")</f>
        <v>R5only</v>
      </c>
      <c r="F83" s="7" t="str">
        <f>IF(COUNTIF('R6開放'!A:A,B83)&gt;0,"R6release","")</f>
        <v/>
      </c>
      <c r="G83" s="7"/>
      <c r="H83" s="7" t="str">
        <f>VLOOKUP(B83,[1]characters!$A:$C,3,FALSE)</f>
        <v>夏目漱石</v>
      </c>
      <c r="I83" s="7" t="str">
        <f>VLOOKUP(B83,[1]characters!$A:$J,10,FALSE)</f>
        <v>PremiumSS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heal</v>
      </c>
      <c r="M83" s="7" t="str">
        <f>VLOOKUP(B83,[1]characters!$A:$M,13,FALSE)</f>
        <v>animal</v>
      </c>
      <c r="N83" s="7">
        <f>VLOOKUP(B83,[1]characters!$A:$G,7,FALSE)</f>
        <v>0</v>
      </c>
      <c r="O83" s="32">
        <v>20</v>
      </c>
      <c r="P83" s="33">
        <f t="shared" si="6"/>
        <v>1.5151515151515152E-2</v>
      </c>
      <c r="Q83" s="27">
        <v>1</v>
      </c>
      <c r="R83" s="27">
        <v>0</v>
      </c>
      <c r="S83" s="27">
        <v>0</v>
      </c>
      <c r="T83" s="27">
        <v>0</v>
      </c>
      <c r="U83" s="27">
        <v>0</v>
      </c>
      <c r="V83" s="27">
        <v>1</v>
      </c>
    </row>
    <row r="84" spans="1:22" ht="21" customHeight="1" x14ac:dyDescent="0.15">
      <c r="A84" s="2">
        <v>7311010</v>
      </c>
      <c r="B84" s="37">
        <v>408</v>
      </c>
      <c r="C84" s="7" t="str">
        <f t="shared" ref="C84:C91" si="17">D84&amp;J84&amp;E84&amp;F84&amp;G84</f>
        <v>PremiumSS4</v>
      </c>
      <c r="D84" s="7" t="str">
        <f t="shared" ref="D84:D91" si="18">IF(OR(I84="PremiumSS",I84="PremiumSSw"),"PremiumSS",IF(I84="PremiumSSS",I84,IF(I84="PremiumW",I84,"Premium")))</f>
        <v>PremiumSS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皇魔 アスタロト</v>
      </c>
      <c r="I84" s="7" t="str">
        <f>VLOOKUP(B84,[1]characters!$A:$J,10,FALSE)</f>
        <v>PremiumSS</v>
      </c>
      <c r="J84" s="7">
        <f>VLOOKUP(B84,[1]characters!$A:$I,9,FALSE)</f>
        <v>4</v>
      </c>
      <c r="K84" s="7" t="str">
        <f>VLOOKUP(B84,[1]characters!$A:$H,8,FALSE)</f>
        <v>yellow</v>
      </c>
      <c r="L84" s="7" t="str">
        <f>VLOOKUP(B84,[1]characters!$A:$K,11,FALSE)</f>
        <v>attack</v>
      </c>
      <c r="M84" s="7" t="str">
        <f>VLOOKUP(B84,[1]characters!$A:$M,13,FALSE)</f>
        <v>god</v>
      </c>
      <c r="N84" s="7" t="str">
        <f>VLOOKUP(B84,[1]characters!$A:$G,7,FALSE)</f>
        <v>男性</v>
      </c>
      <c r="O84" s="32">
        <v>19</v>
      </c>
      <c r="P84" s="33">
        <f t="shared" si="6"/>
        <v>1.4393939393939395E-2</v>
      </c>
      <c r="Q84" s="27">
        <v>1</v>
      </c>
      <c r="R84" s="27">
        <v>0</v>
      </c>
      <c r="S84" s="27">
        <v>0</v>
      </c>
      <c r="T84" s="27">
        <v>0</v>
      </c>
      <c r="U84" s="27">
        <v>0</v>
      </c>
      <c r="V84" s="27">
        <v>1</v>
      </c>
    </row>
    <row r="85" spans="1:22" ht="21" customHeight="1" x14ac:dyDescent="0.15">
      <c r="A85" s="2">
        <v>7311010</v>
      </c>
      <c r="B85" s="37">
        <v>409</v>
      </c>
      <c r="C85" s="7" t="str">
        <f t="shared" si="17"/>
        <v>PremiumSS5</v>
      </c>
      <c r="D85" s="7" t="str">
        <f t="shared" si="18"/>
        <v>PremiumSS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天眼の皇貴魔 アスタロト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attack</v>
      </c>
      <c r="M85" s="7" t="str">
        <f>VLOOKUP(B85,[1]characters!$A:$M,13,FALSE)</f>
        <v>god</v>
      </c>
      <c r="N85" s="7" t="str">
        <f>VLOOKUP(B85,[1]characters!$A:$G,7,FALSE)</f>
        <v>男性</v>
      </c>
      <c r="O85" s="32">
        <v>1</v>
      </c>
      <c r="P85" s="33">
        <f t="shared" si="6"/>
        <v>7.5757575757575758E-4</v>
      </c>
      <c r="Q85" s="27">
        <v>1</v>
      </c>
      <c r="R85" s="27">
        <v>0</v>
      </c>
      <c r="S85" s="27">
        <v>0</v>
      </c>
      <c r="T85" s="27">
        <v>0</v>
      </c>
      <c r="U85" s="27">
        <v>0</v>
      </c>
      <c r="V85" s="27">
        <v>1</v>
      </c>
    </row>
    <row r="86" spans="1:22" ht="21" customHeight="1" x14ac:dyDescent="0.15">
      <c r="A86" s="2">
        <v>7311010</v>
      </c>
      <c r="B86" s="37">
        <v>442</v>
      </c>
      <c r="C86" s="7" t="str">
        <f t="shared" si="17"/>
        <v>PremiumSS4</v>
      </c>
      <c r="D86" s="7" t="str">
        <f t="shared" si="1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ブレイブリー・ライオン</v>
      </c>
      <c r="I86" s="7" t="str">
        <f>VLOOKUP(B86,[1]characters!$A:$J,10,FALSE)</f>
        <v>PremiumSS</v>
      </c>
      <c r="J86" s="7">
        <f>VLOOKUP(B86,[1]characters!$A:$I,9,FALSE)</f>
        <v>4</v>
      </c>
      <c r="K86" s="7" t="str">
        <f>VLOOKUP(B86,[1]characters!$A:$H,8,FALSE)</f>
        <v>yellow</v>
      </c>
      <c r="L86" s="7" t="str">
        <f>VLOOKUP(B86,[1]characters!$A:$K,11,FALSE)</f>
        <v>hp</v>
      </c>
      <c r="M86" s="7" t="str">
        <f>VLOOKUP(B86,[1]characters!$A:$M,13,FALSE)</f>
        <v>animal</v>
      </c>
      <c r="N86" s="7" t="str">
        <f>VLOOKUP(B86,[1]characters!$A:$G,7,FALSE)</f>
        <v>不明</v>
      </c>
      <c r="O86" s="32">
        <v>19</v>
      </c>
      <c r="P86" s="33">
        <f t="shared" si="6"/>
        <v>1.4393939393939395E-2</v>
      </c>
      <c r="Q86" s="27">
        <v>1</v>
      </c>
      <c r="R86" s="27">
        <v>0</v>
      </c>
      <c r="S86" s="27">
        <v>0</v>
      </c>
      <c r="T86" s="27">
        <v>0</v>
      </c>
      <c r="U86" s="27">
        <v>0</v>
      </c>
      <c r="V86" s="27">
        <v>1</v>
      </c>
    </row>
    <row r="87" spans="1:22" ht="21" customHeight="1" x14ac:dyDescent="0.15">
      <c r="A87" s="2">
        <v>7311010</v>
      </c>
      <c r="B87" s="37">
        <v>443</v>
      </c>
      <c r="C87" s="7" t="str">
        <f t="shared" si="17"/>
        <v>PremiumSS5</v>
      </c>
      <c r="D87" s="7" t="str">
        <f t="shared" si="1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勇機結集 ブレイブリー・ライオン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hp</v>
      </c>
      <c r="M87" s="7" t="str">
        <f>VLOOKUP(B87,[1]characters!$A:$M,13,FALSE)</f>
        <v>animal</v>
      </c>
      <c r="N87" s="7" t="str">
        <f>VLOOKUP(B87,[1]characters!$A:$G,7,FALSE)</f>
        <v>不明</v>
      </c>
      <c r="O87" s="32">
        <v>1</v>
      </c>
      <c r="P87" s="33">
        <f t="shared" si="6"/>
        <v>7.5757575757575758E-4</v>
      </c>
      <c r="Q87" s="27">
        <v>1</v>
      </c>
      <c r="R87" s="27">
        <v>0</v>
      </c>
      <c r="S87" s="27">
        <v>0</v>
      </c>
      <c r="T87" s="27">
        <v>0</v>
      </c>
      <c r="U87" s="27">
        <v>0</v>
      </c>
      <c r="V87" s="27">
        <v>1</v>
      </c>
    </row>
    <row r="88" spans="1:22" ht="21" customHeight="1" x14ac:dyDescent="0.15">
      <c r="A88" s="2">
        <v>7311010</v>
      </c>
      <c r="B88" s="37">
        <v>479</v>
      </c>
      <c r="C88" s="7" t="str">
        <f t="shared" si="17"/>
        <v>PremiumSS4</v>
      </c>
      <c r="D88" s="7" t="str">
        <f t="shared" si="18"/>
        <v>PremiumSS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フール</v>
      </c>
      <c r="I88" s="7" t="str">
        <f>VLOOKUP(B88,[1]characters!$A:$J,10,FALSE)</f>
        <v>PremiumSS</v>
      </c>
      <c r="J88" s="7">
        <f>VLOOKUP(B88,[1]characters!$A:$I,9,FALSE)</f>
        <v>4</v>
      </c>
      <c r="K88" s="7" t="str">
        <f>VLOOKUP(B88,[1]characters!$A:$H,8,FALSE)</f>
        <v>blue</v>
      </c>
      <c r="L88" s="7" t="str">
        <f>VLOOKUP(B88,[1]characters!$A:$K,11,FALSE)</f>
        <v>technical</v>
      </c>
      <c r="M88" s="7" t="str">
        <f>VLOOKUP(B88,[1]characters!$A:$M,13,FALSE)</f>
        <v>god</v>
      </c>
      <c r="N88" s="7" t="str">
        <f>VLOOKUP(B88,[1]characters!$A:$G,7,FALSE)</f>
        <v>男性</v>
      </c>
      <c r="O88" s="32">
        <v>19</v>
      </c>
      <c r="P88" s="33">
        <f t="shared" si="6"/>
        <v>1.4393939393939395E-2</v>
      </c>
      <c r="Q88" s="27">
        <v>1</v>
      </c>
      <c r="R88" s="27">
        <v>0</v>
      </c>
      <c r="S88" s="27">
        <v>0</v>
      </c>
      <c r="T88" s="27">
        <v>0</v>
      </c>
      <c r="U88" s="27">
        <v>0</v>
      </c>
      <c r="V88" s="27">
        <v>1</v>
      </c>
    </row>
    <row r="89" spans="1:22" ht="21" customHeight="1" x14ac:dyDescent="0.15">
      <c r="A89" s="2">
        <v>7311010</v>
      </c>
      <c r="B89" s="37">
        <v>480</v>
      </c>
      <c r="C89" s="7" t="str">
        <f t="shared" si="17"/>
        <v>PremiumSS5</v>
      </c>
      <c r="D89" s="7" t="str">
        <f t="shared" si="18"/>
        <v>PremiumSS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夢幻の愚者フール</v>
      </c>
      <c r="I89" s="7" t="str">
        <f>VLOOKUP(B89,[1]characters!$A:$J,10,FALSE)</f>
        <v>PremiumSS</v>
      </c>
      <c r="J89" s="7">
        <f>VLOOKUP(B89,[1]characters!$A:$I,9,FALSE)</f>
        <v>5</v>
      </c>
      <c r="K89" s="7" t="str">
        <f>VLOOKUP(B89,[1]characters!$A:$H,8,FALSE)</f>
        <v>blue</v>
      </c>
      <c r="L89" s="7" t="str">
        <f>VLOOKUP(B89,[1]characters!$A:$K,11,FALSE)</f>
        <v>technical</v>
      </c>
      <c r="M89" s="7" t="str">
        <f>VLOOKUP(B89,[1]characters!$A:$M,13,FALSE)</f>
        <v>god</v>
      </c>
      <c r="N89" s="7" t="str">
        <f>VLOOKUP(B89,[1]characters!$A:$G,7,FALSE)</f>
        <v>男性</v>
      </c>
      <c r="O89" s="32">
        <v>1</v>
      </c>
      <c r="P89" s="33">
        <f t="shared" si="6"/>
        <v>7.5757575757575758E-4</v>
      </c>
      <c r="Q89" s="27">
        <v>1</v>
      </c>
      <c r="R89" s="27">
        <v>0</v>
      </c>
      <c r="S89" s="27">
        <v>0</v>
      </c>
      <c r="T89" s="27">
        <v>0</v>
      </c>
      <c r="U89" s="27">
        <v>0</v>
      </c>
      <c r="V89" s="27">
        <v>1</v>
      </c>
    </row>
    <row r="90" spans="1:22" ht="21" customHeight="1" x14ac:dyDescent="0.15">
      <c r="A90" s="2">
        <v>7311010</v>
      </c>
      <c r="B90" s="37">
        <v>586</v>
      </c>
      <c r="C90" s="7" t="str">
        <f t="shared" si="17"/>
        <v>PremiumSS4</v>
      </c>
      <c r="D90" s="7" t="str">
        <f t="shared" si="18"/>
        <v>PremiumSS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ユミル</v>
      </c>
      <c r="I90" s="7" t="str">
        <f>VLOOKUP(B90,[1]characters!$A:$J,10,FALSE)</f>
        <v>PremiumSS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hp</v>
      </c>
      <c r="M90" s="7" t="str">
        <f>VLOOKUP(B90,[1]characters!$A:$M,13,FALSE)</f>
        <v>machine</v>
      </c>
      <c r="N90" s="7" t="str">
        <f>VLOOKUP(B90,[1]characters!$A:$G,7,FALSE)</f>
        <v>不明</v>
      </c>
      <c r="O90" s="32">
        <v>19</v>
      </c>
      <c r="P90" s="33">
        <f t="shared" si="6"/>
        <v>1.4393939393939395E-2</v>
      </c>
      <c r="Q90" s="27">
        <v>1</v>
      </c>
      <c r="R90" s="27">
        <v>0</v>
      </c>
      <c r="S90" s="27">
        <v>0</v>
      </c>
      <c r="T90" s="27">
        <v>0</v>
      </c>
      <c r="U90" s="27">
        <v>0</v>
      </c>
      <c r="V90" s="27">
        <v>1</v>
      </c>
    </row>
    <row r="91" spans="1:22" ht="21" customHeight="1" x14ac:dyDescent="0.15">
      <c r="A91" s="2">
        <v>7311010</v>
      </c>
      <c r="B91" s="37">
        <v>587</v>
      </c>
      <c r="C91" s="7" t="str">
        <f t="shared" si="17"/>
        <v>PremiumSS5</v>
      </c>
      <c r="D91" s="7" t="str">
        <f t="shared" si="18"/>
        <v>PremiumSS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原初の煉鋼巨刃 ユミル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hp</v>
      </c>
      <c r="M91" s="7" t="str">
        <f>VLOOKUP(B91,[1]characters!$A:$M,13,FALSE)</f>
        <v>machine</v>
      </c>
      <c r="N91" s="7" t="str">
        <f>VLOOKUP(B91,[1]characters!$A:$G,7,FALSE)</f>
        <v>不明</v>
      </c>
      <c r="O91" s="32">
        <v>1</v>
      </c>
      <c r="P91" s="33">
        <f t="shared" si="6"/>
        <v>7.5757575757575758E-4</v>
      </c>
      <c r="Q91" s="27">
        <v>1</v>
      </c>
      <c r="R91" s="27">
        <v>0</v>
      </c>
      <c r="S91" s="27">
        <v>0</v>
      </c>
      <c r="T91" s="27">
        <v>0</v>
      </c>
      <c r="U91" s="27">
        <v>0</v>
      </c>
      <c r="V91" s="27">
        <v>1</v>
      </c>
    </row>
    <row r="92" spans="1:22" ht="21" customHeight="1" x14ac:dyDescent="0.15">
      <c r="A92" s="2">
        <v>7311010</v>
      </c>
      <c r="B92" s="37">
        <v>322</v>
      </c>
      <c r="C92" s="7" t="str">
        <f t="shared" ref="C92:C95" si="19">D92&amp;J92&amp;E92&amp;F92&amp;G92</f>
        <v>PremiumSS4</v>
      </c>
      <c r="D92" s="7" t="str">
        <f t="shared" ref="D92:D95" si="20">IF(OR(I92="PremiumSS",I92="PremiumSSw"),"PremiumSS",IF(I92="PremiumSSS",I92,IF(I92="PremiumW",I92,"Premium")))</f>
        <v>PremiumSS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愛志士 土方歳三</v>
      </c>
      <c r="I92" s="7" t="str">
        <f>VLOOKUP(B92,[1]characters!$A:$J,10,FALSE)</f>
        <v>PremiumSS</v>
      </c>
      <c r="J92" s="7">
        <f>VLOOKUP(B92,[1]characters!$A:$I,9,FALSE)</f>
        <v>4</v>
      </c>
      <c r="K92" s="7" t="str">
        <f>VLOOKUP(B92,[1]characters!$A:$H,8,FALSE)</f>
        <v>green</v>
      </c>
      <c r="L92" s="7" t="str">
        <f>VLOOKUP(B92,[1]characters!$A:$K,11,FALSE)</f>
        <v>attack</v>
      </c>
      <c r="M92" s="7" t="str">
        <f>VLOOKUP(B92,[1]characters!$A:$M,13,FALSE)</f>
        <v>human</v>
      </c>
      <c r="N92" s="7" t="str">
        <f>VLOOKUP(B92,[1]characters!$A:$G,7,FALSE)</f>
        <v>女性</v>
      </c>
      <c r="O92" s="32">
        <v>19</v>
      </c>
      <c r="P92" s="33">
        <f t="shared" si="6"/>
        <v>1.4393939393939395E-2</v>
      </c>
      <c r="Q92" s="27">
        <v>1</v>
      </c>
      <c r="R92" s="27">
        <v>0</v>
      </c>
      <c r="S92" s="27">
        <v>0</v>
      </c>
      <c r="T92" s="27">
        <v>0</v>
      </c>
      <c r="U92" s="27">
        <v>0</v>
      </c>
      <c r="V92" s="27">
        <v>1</v>
      </c>
    </row>
    <row r="93" spans="1:22" ht="21" customHeight="1" x14ac:dyDescent="0.15">
      <c r="A93" s="2">
        <v>7311010</v>
      </c>
      <c r="B93" s="37">
        <v>323</v>
      </c>
      <c r="C93" s="7" t="str">
        <f t="shared" si="19"/>
        <v>PremiumSS5</v>
      </c>
      <c r="D93" s="7" t="str">
        <f t="shared" si="20"/>
        <v>PremiumSS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流麗の愛志士 土方歳三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attack</v>
      </c>
      <c r="M93" s="7" t="str">
        <f>VLOOKUP(B93,[1]characters!$A:$M,13,FALSE)</f>
        <v>human</v>
      </c>
      <c r="N93" s="7" t="str">
        <f>VLOOKUP(B93,[1]characters!$A:$G,7,FALSE)</f>
        <v>女性</v>
      </c>
      <c r="O93" s="32">
        <v>1</v>
      </c>
      <c r="P93" s="33">
        <f t="shared" si="6"/>
        <v>7.5757575757575758E-4</v>
      </c>
      <c r="Q93" s="27">
        <v>1</v>
      </c>
      <c r="R93" s="27">
        <v>0</v>
      </c>
      <c r="S93" s="27">
        <v>0</v>
      </c>
      <c r="T93" s="27">
        <v>0</v>
      </c>
      <c r="U93" s="27">
        <v>0</v>
      </c>
      <c r="V93" s="27">
        <v>1</v>
      </c>
    </row>
    <row r="94" spans="1:22" ht="21" customHeight="1" x14ac:dyDescent="0.15">
      <c r="A94" s="2">
        <v>7311010</v>
      </c>
      <c r="B94" s="37">
        <v>326</v>
      </c>
      <c r="C94" s="7" t="str">
        <f t="shared" si="19"/>
        <v>PremiumSS4</v>
      </c>
      <c r="D94" s="7" t="str">
        <f t="shared" si="20"/>
        <v>PremiumSS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妖志士 斎藤一</v>
      </c>
      <c r="I94" s="7" t="str">
        <f>VLOOKUP(B94,[1]characters!$A:$J,10,FALSE)</f>
        <v>PremiumSS</v>
      </c>
      <c r="J94" s="7">
        <f>VLOOKUP(B94,[1]characters!$A:$I,9,FALSE)</f>
        <v>4</v>
      </c>
      <c r="K94" s="7" t="str">
        <f>VLOOKUP(B94,[1]characters!$A:$H,8,FALSE)</f>
        <v>yellow</v>
      </c>
      <c r="L94" s="7" t="str">
        <f>VLOOKUP(B94,[1]characters!$A:$K,11,FALSE)</f>
        <v>technical</v>
      </c>
      <c r="M94" s="7" t="str">
        <f>VLOOKUP(B94,[1]characters!$A:$M,13,FALSE)</f>
        <v>human</v>
      </c>
      <c r="N94" s="7" t="str">
        <f>VLOOKUP(B94,[1]characters!$A:$G,7,FALSE)</f>
        <v>女性</v>
      </c>
      <c r="O94" s="32">
        <v>19</v>
      </c>
      <c r="P94" s="33">
        <f t="shared" si="6"/>
        <v>1.4393939393939395E-2</v>
      </c>
      <c r="Q94" s="27">
        <v>1</v>
      </c>
      <c r="R94" s="27">
        <v>0</v>
      </c>
      <c r="S94" s="27">
        <v>0</v>
      </c>
      <c r="T94" s="27">
        <v>0</v>
      </c>
      <c r="U94" s="27">
        <v>0</v>
      </c>
      <c r="V94" s="27">
        <v>1</v>
      </c>
    </row>
    <row r="95" spans="1:22" ht="21" customHeight="1" x14ac:dyDescent="0.15">
      <c r="A95" s="2">
        <v>7311010</v>
      </c>
      <c r="B95" s="37">
        <v>327</v>
      </c>
      <c r="C95" s="7" t="str">
        <f t="shared" si="19"/>
        <v>PremiumSS5</v>
      </c>
      <c r="D95" s="7" t="str">
        <f t="shared" si="20"/>
        <v>PremiumSS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千殺の妖志士 斎藤一</v>
      </c>
      <c r="I95" s="7" t="str">
        <f>VLOOKUP(B95,[1]characters!$A:$J,10,FALSE)</f>
        <v>PremiumSS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technical</v>
      </c>
      <c r="M95" s="7" t="str">
        <f>VLOOKUP(B95,[1]characters!$A:$M,13,FALSE)</f>
        <v>human</v>
      </c>
      <c r="N95" s="7" t="str">
        <f>VLOOKUP(B95,[1]characters!$A:$G,7,FALSE)</f>
        <v>女性</v>
      </c>
      <c r="O95" s="32">
        <v>1</v>
      </c>
      <c r="P95" s="33">
        <f t="shared" si="6"/>
        <v>7.5757575757575758E-4</v>
      </c>
      <c r="Q95" s="27">
        <v>1</v>
      </c>
      <c r="R95" s="27">
        <v>0</v>
      </c>
      <c r="S95" s="27">
        <v>0</v>
      </c>
      <c r="T95" s="27">
        <v>0</v>
      </c>
      <c r="U95" s="27">
        <v>0</v>
      </c>
      <c r="V95" s="27">
        <v>1</v>
      </c>
    </row>
  </sheetData>
  <autoFilter ref="A1:V9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7">
        <v>668</v>
      </c>
      <c r="B246" s="7" t="str">
        <f>VLOOKUP(A246,[1]characters!$A:$C,3,FALSE)</f>
        <v>アグニ</v>
      </c>
    </row>
    <row r="247" spans="1:2" x14ac:dyDescent="0.15">
      <c r="A247" s="37">
        <v>669</v>
      </c>
      <c r="B247" s="7" t="str">
        <f>VLOOKUP(A247,[1]characters!$A:$C,3,FALSE)</f>
        <v>天地の仲界 アグニ</v>
      </c>
    </row>
    <row r="248" spans="1:2" x14ac:dyDescent="0.15">
      <c r="A248" s="37">
        <v>670</v>
      </c>
      <c r="B248" s="7" t="str">
        <f>VLOOKUP(A248,[1]characters!$A:$C,3,FALSE)</f>
        <v>陽天の噴煙 アグニ</v>
      </c>
    </row>
    <row r="249" spans="1:2" x14ac:dyDescent="0.15">
      <c r="A249" s="37">
        <v>671</v>
      </c>
      <c r="B249" s="7" t="str">
        <f>VLOOKUP(A249,[1]characters!$A:$C,3,FALSE)</f>
        <v>ハヌマーン</v>
      </c>
    </row>
    <row r="250" spans="1:2" x14ac:dyDescent="0.15">
      <c r="A250" s="37">
        <v>672</v>
      </c>
      <c r="B250" s="7" t="str">
        <f>VLOOKUP(A250,[1]characters!$A:$C,3,FALSE)</f>
        <v>西遊韋駄天 ハヌマーン</v>
      </c>
    </row>
    <row r="251" spans="1:2" x14ac:dyDescent="0.15">
      <c r="A251" s="37">
        <v>673</v>
      </c>
      <c r="B251" s="7" t="str">
        <f>VLOOKUP(A251,[1]characters!$A:$C,3,FALSE)</f>
        <v>変幻自在の猿王 ハヌマーン</v>
      </c>
    </row>
    <row r="252" spans="1:2" x14ac:dyDescent="0.15">
      <c r="A252" s="37">
        <v>674</v>
      </c>
      <c r="B252" s="7" t="str">
        <f>VLOOKUP(A252,[1]characters!$A:$C,3,FALSE)</f>
        <v>サラスヴァティ</v>
      </c>
    </row>
    <row r="253" spans="1:2" x14ac:dyDescent="0.15">
      <c r="A253" s="37">
        <v>675</v>
      </c>
      <c r="B253" s="7" t="str">
        <f>VLOOKUP(A253,[1]characters!$A:$C,3,FALSE)</f>
        <v>芸楽の奔流 サラスヴァティ</v>
      </c>
    </row>
    <row r="254" spans="1:2" x14ac:dyDescent="0.15">
      <c r="A254" s="37">
        <v>676</v>
      </c>
      <c r="B254" s="7" t="str">
        <f>VLOOKUP(A254,[1]characters!$A:$C,3,FALSE)</f>
        <v>ヴィシュヌ</v>
      </c>
    </row>
    <row r="255" spans="1:2" x14ac:dyDescent="0.15">
      <c r="A255" s="37">
        <v>677</v>
      </c>
      <c r="B255" s="7" t="str">
        <f>VLOOKUP(A255,[1]characters!$A:$C,3,FALSE)</f>
        <v>武遊闊歩 ヴィシュヌ</v>
      </c>
    </row>
    <row r="256" spans="1:2" x14ac:dyDescent="0.15">
      <c r="A256" s="37">
        <v>770</v>
      </c>
      <c r="B256" s="7" t="str">
        <f>VLOOKUP(A256,[1]characters!$A:$C,3,FALSE)</f>
        <v>ハヅル</v>
      </c>
    </row>
    <row r="257" spans="1:2" x14ac:dyDescent="0.15">
      <c r="A257" s="37">
        <v>771</v>
      </c>
      <c r="B257" s="7" t="str">
        <f>VLOOKUP(A257,[1]characters!$A:$C,3,FALSE)</f>
        <v>天織羽鶴 ハヅル</v>
      </c>
    </row>
    <row r="258" spans="1:2" x14ac:dyDescent="0.15">
      <c r="A258" s="37">
        <v>772</v>
      </c>
      <c r="B258" s="7" t="str">
        <f>VLOOKUP(A258,[1]characters!$A:$C,3,FALSE)</f>
        <v>イナバ</v>
      </c>
    </row>
    <row r="259" spans="1:2" x14ac:dyDescent="0.15">
      <c r="A259" s="37">
        <v>773</v>
      </c>
      <c r="B259" s="7" t="str">
        <f>VLOOKUP(A259,[1]characters!$A:$C,3,FALSE)</f>
        <v>浮跳天兎 イナバ</v>
      </c>
    </row>
    <row r="260" spans="1:2" x14ac:dyDescent="0.15">
      <c r="A260" s="37">
        <v>774</v>
      </c>
      <c r="B260" s="7" t="str">
        <f>VLOOKUP(A260,[1]characters!$A:$C,3,FALSE)</f>
        <v>ミズチ</v>
      </c>
    </row>
    <row r="261" spans="1:2" x14ac:dyDescent="0.15">
      <c r="A261" s="37">
        <v>775</v>
      </c>
      <c r="B261" s="7" t="str">
        <f>VLOOKUP(A261,[1]characters!$A:$C,3,FALSE)</f>
        <v>水底霊竜 ミズチ</v>
      </c>
    </row>
    <row r="262" spans="1:2" x14ac:dyDescent="0.15">
      <c r="A262" s="37">
        <v>776</v>
      </c>
      <c r="B262" s="7" t="str">
        <f>VLOOKUP(A262,[1]characters!$A:$C,3,FALSE)</f>
        <v>水竜底主 ミズチ</v>
      </c>
    </row>
    <row r="263" spans="1:2" x14ac:dyDescent="0.15">
      <c r="A263" s="37">
        <v>777</v>
      </c>
      <c r="B263" s="7" t="str">
        <f>VLOOKUP(A263,[1]characters!$A:$C,3,FALSE)</f>
        <v>ガメック</v>
      </c>
    </row>
    <row r="264" spans="1:2" x14ac:dyDescent="0.15">
      <c r="A264" s="37">
        <v>778</v>
      </c>
      <c r="B264" s="7" t="str">
        <f>VLOOKUP(A264,[1]characters!$A:$C,3,FALSE)</f>
        <v>一亀懸明 ガメック</v>
      </c>
    </row>
    <row r="265" spans="1:2" x14ac:dyDescent="0.15">
      <c r="A265" s="37">
        <v>779</v>
      </c>
      <c r="B265" s="7" t="str">
        <f>VLOOKUP(A265,[1]characters!$A:$C,3,FALSE)</f>
        <v>頑堅咬亀 ガメック</v>
      </c>
    </row>
    <row r="266" spans="1:2" x14ac:dyDescent="0.15">
      <c r="A266" s="37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46</v>
      </c>
      <c r="B1" s="31"/>
    </row>
    <row r="2" spans="1:2" x14ac:dyDescent="0.15">
      <c r="A2" s="29" t="s">
        <v>1</v>
      </c>
      <c r="B2" s="30" t="s">
        <v>48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9">
        <v>169</v>
      </c>
      <c r="B6" s="30" t="str">
        <f>VLOOKUP(A6,[1]characters!$A:$C,3,FALSE)</f>
        <v>オセ</v>
      </c>
    </row>
    <row r="7" spans="1:2" x14ac:dyDescent="0.15">
      <c r="A7" s="29">
        <v>170</v>
      </c>
      <c r="B7" s="30" t="str">
        <f>VLOOKUP(A7,[1]characters!$A:$C,3,FALSE)</f>
        <v>識徒 オセ</v>
      </c>
    </row>
    <row r="8" spans="1:2" x14ac:dyDescent="0.15">
      <c r="A8" s="29">
        <v>171</v>
      </c>
      <c r="B8" s="30" t="str">
        <f>VLOOKUP(A8,[1]characters!$A:$C,3,FALSE)</f>
        <v>精解の預知者 オセ</v>
      </c>
    </row>
    <row r="9" spans="1:2" x14ac:dyDescent="0.15">
      <c r="A9" s="29">
        <v>172</v>
      </c>
      <c r="B9" s="30" t="str">
        <f>VLOOKUP(A9,[1]characters!$A:$C,3,FALSE)</f>
        <v>フォルネウス</v>
      </c>
    </row>
    <row r="10" spans="1:2" x14ac:dyDescent="0.15">
      <c r="A10" s="29">
        <v>173</v>
      </c>
      <c r="B10" s="30" t="str">
        <f>VLOOKUP(A10,[1]characters!$A:$C,3,FALSE)</f>
        <v>公爵 フォルネウス</v>
      </c>
    </row>
    <row r="11" spans="1:2" x14ac:dyDescent="0.15">
      <c r="A11" s="29">
        <v>174</v>
      </c>
      <c r="B11" s="30" t="str">
        <f>VLOOKUP(A11,[1]characters!$A:$C,3,FALSE)</f>
        <v>偽愛の大公爵 フォルネウス</v>
      </c>
    </row>
    <row r="12" spans="1:2" x14ac:dyDescent="0.15">
      <c r="A12" s="29">
        <v>235</v>
      </c>
      <c r="B12" s="30" t="str">
        <f>VLOOKUP(A12,[1]characters!$A:$C,3,FALSE)</f>
        <v>イザナミ</v>
      </c>
    </row>
    <row r="13" spans="1:2" x14ac:dyDescent="0.15">
      <c r="A13" s="29">
        <v>236</v>
      </c>
      <c r="B13" s="30" t="str">
        <f>VLOOKUP(A13,[1]characters!$A:$C,3,FALSE)</f>
        <v>神産 イザナミ</v>
      </c>
    </row>
    <row r="14" spans="1:2" x14ac:dyDescent="0.15">
      <c r="A14" s="29">
        <v>237</v>
      </c>
      <c r="B14" s="30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tables_7311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2017-02-16T13:23:55Z</dcterms:modified>
</cp:coreProperties>
</file>