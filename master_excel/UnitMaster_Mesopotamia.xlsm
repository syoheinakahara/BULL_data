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0" yWindow="460" windowWidth="28800" windowHeight="1626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fork_awake_units!$A$1:$U$9</definedName>
    <definedName name="_xlnm._FilterDatabase" localSheetId="2" hidden="1">unit_skills!$A$1:$S$1</definedName>
    <definedName name="_xlnm._FilterDatabase" localSheetId="1" hidden="1">units!$A$1:$BQ$1</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3" i="23" l="1"/>
  <c r="BR3" i="23"/>
  <c r="H4" i="23"/>
  <c r="BR4" i="23"/>
  <c r="H5" i="23"/>
  <c r="BR5" i="23"/>
  <c r="H6" i="23"/>
  <c r="BR6" i="23"/>
  <c r="H7" i="23"/>
  <c r="BR7" i="23"/>
  <c r="H8" i="23"/>
  <c r="BR8" i="23"/>
  <c r="H9" i="23"/>
  <c r="BR9" i="23"/>
  <c r="H10" i="23"/>
  <c r="BR10" i="23"/>
  <c r="H11" i="23"/>
  <c r="BR11" i="23"/>
  <c r="H12" i="23"/>
  <c r="BR12" i="23"/>
  <c r="H13" i="23"/>
  <c r="BR13" i="23"/>
  <c r="H14" i="23"/>
  <c r="BR14" i="23"/>
  <c r="H15" i="23"/>
  <c r="BR15" i="23"/>
  <c r="H16" i="23"/>
  <c r="BR16" i="23"/>
  <c r="H17" i="23"/>
  <c r="BR17" i="23"/>
  <c r="H2" i="23"/>
  <c r="BR2" i="23"/>
  <c r="J14" i="3"/>
  <c r="E9" i="52"/>
  <c r="I3" i="56"/>
  <c r="E4" i="57"/>
  <c r="F4" i="57"/>
  <c r="B4" i="57"/>
  <c r="B3" i="57"/>
  <c r="F3" i="57"/>
  <c r="E3" i="57"/>
  <c r="E8" i="52"/>
  <c r="F7" i="57"/>
  <c r="E7" i="57"/>
  <c r="F5" i="57"/>
  <c r="E5" i="57"/>
  <c r="AE2" i="23"/>
  <c r="AE4" i="23"/>
  <c r="AE6" i="23"/>
  <c r="AE8" i="23"/>
  <c r="AE10" i="23"/>
  <c r="AE12" i="23"/>
  <c r="AE14" i="23"/>
  <c r="AE16" i="23"/>
  <c r="AG4" i="23"/>
  <c r="AG5" i="23"/>
  <c r="E48" i="54"/>
  <c r="B48" i="54"/>
  <c r="E43" i="54"/>
  <c r="B43" i="54"/>
  <c r="J29" i="3"/>
  <c r="J26" i="3"/>
  <c r="J28" i="3"/>
  <c r="J24" i="3"/>
  <c r="J17" i="3"/>
  <c r="J16" i="3"/>
  <c r="J18" i="3"/>
  <c r="J12" i="3"/>
  <c r="J11" i="3"/>
  <c r="J10" i="3"/>
  <c r="J6" i="3"/>
  <c r="J5" i="3"/>
  <c r="J4" i="3"/>
  <c r="J3" i="3"/>
  <c r="E67" i="54"/>
  <c r="B67" i="54"/>
  <c r="E66" i="54"/>
  <c r="B66" i="54"/>
  <c r="E65" i="54"/>
  <c r="B65" i="54"/>
  <c r="E64" i="54"/>
  <c r="B64" i="54"/>
  <c r="E63" i="54"/>
  <c r="B63" i="54"/>
  <c r="E62" i="54"/>
  <c r="B62" i="54"/>
  <c r="E61" i="54"/>
  <c r="B61" i="54"/>
  <c r="E60" i="54"/>
  <c r="B60" i="54"/>
  <c r="E59" i="54"/>
  <c r="B59" i="54"/>
  <c r="F2" i="57"/>
  <c r="E2" i="57"/>
  <c r="B2" i="57"/>
  <c r="Q15" i="23"/>
  <c r="T15" i="23"/>
  <c r="G9" i="13"/>
  <c r="G2" i="13"/>
  <c r="I2" i="56"/>
  <c r="F6" i="57"/>
  <c r="B7" i="57"/>
  <c r="B5" i="57"/>
  <c r="E6" i="57"/>
  <c r="B6" i="57"/>
  <c r="G3" i="53"/>
  <c r="G4" i="53"/>
  <c r="G5" i="53"/>
  <c r="G6" i="53"/>
  <c r="G7" i="53"/>
  <c r="G8" i="53"/>
  <c r="G9" i="53"/>
  <c r="G10" i="53"/>
  <c r="G11" i="53"/>
  <c r="G12" i="53"/>
  <c r="G13" i="53"/>
  <c r="G14" i="53"/>
  <c r="G15" i="53"/>
  <c r="G16" i="53"/>
  <c r="G17" i="53"/>
  <c r="G2" i="53"/>
  <c r="J3" i="52"/>
  <c r="J4" i="52"/>
  <c r="J5" i="52"/>
  <c r="J6" i="52"/>
  <c r="J7" i="52"/>
  <c r="J8" i="52"/>
  <c r="J9" i="52"/>
  <c r="J10" i="52"/>
  <c r="J11" i="52"/>
  <c r="J12" i="52"/>
  <c r="J13" i="52"/>
  <c r="J14" i="52"/>
  <c r="J15" i="52"/>
  <c r="J16" i="52"/>
  <c r="J17" i="52"/>
  <c r="J2" i="52"/>
  <c r="J33" i="3"/>
  <c r="H33" i="3"/>
  <c r="C33" i="3"/>
  <c r="F33" i="3"/>
  <c r="E33" i="3"/>
  <c r="D33" i="3"/>
  <c r="A33" i="3"/>
  <c r="J32" i="3"/>
  <c r="H32" i="3"/>
  <c r="C32" i="3"/>
  <c r="F32" i="3"/>
  <c r="E32" i="3"/>
  <c r="D32" i="3"/>
  <c r="A32" i="3"/>
  <c r="J31" i="3"/>
  <c r="H31" i="3"/>
  <c r="C31" i="3"/>
  <c r="F31" i="3"/>
  <c r="E31" i="3"/>
  <c r="D31" i="3"/>
  <c r="A31" i="3"/>
  <c r="J30" i="3"/>
  <c r="H30" i="3"/>
  <c r="C30" i="3"/>
  <c r="F30" i="3"/>
  <c r="E30" i="3"/>
  <c r="D30" i="3"/>
  <c r="A30" i="3"/>
  <c r="H29" i="3"/>
  <c r="C29" i="3"/>
  <c r="F29" i="3"/>
  <c r="E29" i="3"/>
  <c r="D29" i="3"/>
  <c r="A29" i="3"/>
  <c r="C2" i="3"/>
  <c r="D2" i="3"/>
  <c r="S2" i="58"/>
  <c r="B6" i="58"/>
  <c r="E24" i="54"/>
  <c r="B24" i="54"/>
  <c r="E23" i="54"/>
  <c r="B23" i="54"/>
  <c r="E22" i="54"/>
  <c r="B22" i="54"/>
  <c r="E21" i="54"/>
  <c r="B21" i="54"/>
  <c r="E20" i="54"/>
  <c r="B20" i="54"/>
  <c r="E19" i="54"/>
  <c r="B19" i="54"/>
  <c r="E18" i="54"/>
  <c r="B18" i="54"/>
  <c r="E17" i="54"/>
  <c r="B17" i="54"/>
  <c r="E16" i="54"/>
  <c r="B16" i="54"/>
  <c r="E15" i="54"/>
  <c r="B15" i="54"/>
  <c r="E14" i="54"/>
  <c r="B14" i="54"/>
  <c r="E13" i="54"/>
  <c r="B13" i="54"/>
  <c r="E12" i="54"/>
  <c r="B12" i="54"/>
  <c r="E11" i="54"/>
  <c r="B11" i="54"/>
  <c r="E10" i="54"/>
  <c r="B10" i="54"/>
  <c r="E9" i="54"/>
  <c r="B9" i="54"/>
  <c r="B2" i="54"/>
  <c r="E8" i="54"/>
  <c r="B8" i="54"/>
  <c r="E7" i="54"/>
  <c r="B7" i="54"/>
  <c r="E6" i="54"/>
  <c r="B6" i="54"/>
  <c r="E5" i="54"/>
  <c r="B5" i="54"/>
  <c r="E4" i="54"/>
  <c r="B4" i="54"/>
  <c r="E3" i="54"/>
  <c r="B3" i="54"/>
  <c r="E2" i="54"/>
  <c r="H24" i="3"/>
  <c r="C24" i="3"/>
  <c r="F24" i="3"/>
  <c r="D24" i="3"/>
  <c r="E24" i="3"/>
  <c r="A24" i="3"/>
  <c r="J22" i="3"/>
  <c r="H22" i="3"/>
  <c r="C22" i="3"/>
  <c r="F22" i="3"/>
  <c r="E22" i="3"/>
  <c r="D22" i="3"/>
  <c r="A22" i="3"/>
  <c r="E58" i="54"/>
  <c r="B58" i="54"/>
  <c r="E57" i="54"/>
  <c r="B57" i="54"/>
  <c r="E56" i="54"/>
  <c r="B56" i="54"/>
  <c r="E55" i="54"/>
  <c r="B55" i="54"/>
  <c r="E54" i="54"/>
  <c r="B54" i="54"/>
  <c r="E53" i="54"/>
  <c r="B53" i="54"/>
  <c r="E52" i="54"/>
  <c r="B52" i="54"/>
  <c r="E51" i="54"/>
  <c r="B51" i="54"/>
  <c r="E50" i="54"/>
  <c r="B50" i="54"/>
  <c r="E49" i="54"/>
  <c r="B49" i="54"/>
  <c r="E47" i="54"/>
  <c r="B47" i="54"/>
  <c r="E46" i="54"/>
  <c r="B46" i="54"/>
  <c r="E45" i="54"/>
  <c r="B45" i="54"/>
  <c r="E44" i="54"/>
  <c r="B44" i="54"/>
  <c r="E42" i="54"/>
  <c r="B42" i="54"/>
  <c r="E41" i="54"/>
  <c r="B41" i="54"/>
  <c r="E40" i="54"/>
  <c r="B40" i="54"/>
  <c r="E39" i="54"/>
  <c r="B39" i="54"/>
  <c r="E38" i="54"/>
  <c r="B38" i="54"/>
  <c r="E37" i="54"/>
  <c r="B37" i="54"/>
  <c r="E36" i="54"/>
  <c r="B36" i="54"/>
  <c r="E35" i="54"/>
  <c r="B35" i="54"/>
  <c r="E34" i="54"/>
  <c r="B34" i="54"/>
  <c r="E33" i="54"/>
  <c r="B33" i="54"/>
  <c r="E32" i="54"/>
  <c r="B32" i="54"/>
  <c r="E31" i="54"/>
  <c r="B31" i="54"/>
  <c r="E30" i="54"/>
  <c r="B30" i="54"/>
  <c r="E29" i="54"/>
  <c r="B29" i="54"/>
  <c r="E26" i="54"/>
  <c r="E27" i="54"/>
  <c r="E28" i="54"/>
  <c r="E25" i="54"/>
  <c r="B27" i="54"/>
  <c r="B28" i="54"/>
  <c r="J2" i="3"/>
  <c r="H2" i="3"/>
  <c r="F2" i="3"/>
  <c r="E2" i="3"/>
  <c r="A2" i="3"/>
  <c r="C7" i="3"/>
  <c r="H10" i="3"/>
  <c r="C10" i="3"/>
  <c r="F10" i="3"/>
  <c r="E10" i="3"/>
  <c r="D10" i="3"/>
  <c r="A10" i="3"/>
  <c r="J9" i="3"/>
  <c r="H9" i="3"/>
  <c r="C9" i="3"/>
  <c r="F9" i="3"/>
  <c r="E9" i="3"/>
  <c r="D9" i="3"/>
  <c r="A9" i="3"/>
  <c r="J8" i="3"/>
  <c r="H8" i="3"/>
  <c r="C8" i="3"/>
  <c r="F8" i="3"/>
  <c r="E8" i="3"/>
  <c r="D8" i="3"/>
  <c r="A8" i="3"/>
  <c r="J7" i="3"/>
  <c r="H7" i="3"/>
  <c r="F7" i="3"/>
  <c r="E7" i="3"/>
  <c r="D7" i="3"/>
  <c r="A7" i="3"/>
  <c r="H14" i="3"/>
  <c r="C14" i="3"/>
  <c r="F14" i="3"/>
  <c r="E14" i="3"/>
  <c r="D14" i="3"/>
  <c r="A14" i="3"/>
  <c r="C16" i="3"/>
  <c r="D16" i="3"/>
  <c r="H16" i="3"/>
  <c r="C17" i="3"/>
  <c r="C18" i="3"/>
  <c r="H18" i="3"/>
  <c r="F18" i="3"/>
  <c r="E18" i="3"/>
  <c r="D18" i="3"/>
  <c r="A18" i="3"/>
  <c r="H17" i="3"/>
  <c r="F17" i="3"/>
  <c r="E17" i="3"/>
  <c r="D17" i="3"/>
  <c r="A17" i="3"/>
  <c r="F16" i="3"/>
  <c r="E16" i="3"/>
  <c r="A16" i="3"/>
  <c r="J19" i="3"/>
  <c r="J23" i="3"/>
  <c r="C19" i="3"/>
  <c r="D19" i="3"/>
  <c r="C20" i="3"/>
  <c r="H23" i="3"/>
  <c r="C23" i="3"/>
  <c r="F23" i="3"/>
  <c r="E23" i="3"/>
  <c r="D23" i="3"/>
  <c r="A23" i="3"/>
  <c r="J21" i="3"/>
  <c r="H21" i="3"/>
  <c r="C21" i="3"/>
  <c r="F21" i="3"/>
  <c r="E21" i="3"/>
  <c r="D21" i="3"/>
  <c r="A21" i="3"/>
  <c r="J20" i="3"/>
  <c r="H20" i="3"/>
  <c r="F20" i="3"/>
  <c r="E20" i="3"/>
  <c r="D20" i="3"/>
  <c r="A20" i="3"/>
  <c r="H19" i="3"/>
  <c r="F19" i="3"/>
  <c r="E19" i="3"/>
  <c r="A19" i="3"/>
  <c r="C25" i="3"/>
  <c r="D25" i="3"/>
  <c r="H28" i="3"/>
  <c r="C28" i="3"/>
  <c r="F28" i="3"/>
  <c r="E28" i="3"/>
  <c r="D28" i="3"/>
  <c r="A28" i="3"/>
  <c r="J27" i="3"/>
  <c r="H27" i="3"/>
  <c r="C27" i="3"/>
  <c r="F27" i="3"/>
  <c r="E27" i="3"/>
  <c r="D27" i="3"/>
  <c r="A27" i="3"/>
  <c r="H26" i="3"/>
  <c r="C26" i="3"/>
  <c r="F26" i="3"/>
  <c r="E26" i="3"/>
  <c r="D26" i="3"/>
  <c r="A26" i="3"/>
  <c r="J25" i="3"/>
  <c r="H25" i="3"/>
  <c r="F25" i="3"/>
  <c r="E25" i="3"/>
  <c r="A25" i="3"/>
  <c r="C11" i="3"/>
  <c r="E11" i="3"/>
  <c r="D11" i="3"/>
  <c r="J15" i="3"/>
  <c r="H15" i="3"/>
  <c r="C15" i="3"/>
  <c r="F15" i="3"/>
  <c r="E15" i="3"/>
  <c r="D15" i="3"/>
  <c r="A15" i="3"/>
  <c r="J13" i="3"/>
  <c r="H13" i="3"/>
  <c r="C13" i="3"/>
  <c r="F13" i="3"/>
  <c r="E13" i="3"/>
  <c r="D13" i="3"/>
  <c r="A13" i="3"/>
  <c r="H12" i="3"/>
  <c r="C12" i="3"/>
  <c r="F12" i="3"/>
  <c r="E12" i="3"/>
  <c r="D12" i="3"/>
  <c r="A12" i="3"/>
  <c r="H11" i="3"/>
  <c r="F11" i="3"/>
  <c r="A11" i="3"/>
  <c r="A4" i="3"/>
  <c r="C4" i="3"/>
  <c r="D4" i="3"/>
  <c r="E4" i="3"/>
  <c r="F4" i="3"/>
  <c r="H4" i="3"/>
  <c r="A5" i="3"/>
  <c r="C5" i="3"/>
  <c r="D5" i="3"/>
  <c r="E5" i="3"/>
  <c r="F5" i="3"/>
  <c r="H5" i="3"/>
  <c r="A6" i="3"/>
  <c r="C6" i="3"/>
  <c r="D6" i="3"/>
  <c r="E6" i="3"/>
  <c r="F6" i="3"/>
  <c r="H6" i="3"/>
  <c r="H3" i="3"/>
  <c r="C3" i="3"/>
  <c r="E3" i="3"/>
  <c r="D3" i="3"/>
  <c r="E6" i="53"/>
  <c r="H8" i="52"/>
  <c r="F3" i="3"/>
  <c r="E5" i="49"/>
  <c r="E3" i="49"/>
  <c r="G9" i="58"/>
  <c r="U9" i="58"/>
  <c r="W9" i="58"/>
  <c r="S9" i="58"/>
  <c r="T9" i="58"/>
  <c r="R9" i="58"/>
  <c r="O9" i="58"/>
  <c r="N9" i="58"/>
  <c r="M9" i="58"/>
  <c r="L9" i="58"/>
  <c r="J9" i="58"/>
  <c r="K9" i="58"/>
  <c r="I9" i="58"/>
  <c r="H9" i="58"/>
  <c r="F9" i="58"/>
  <c r="E9" i="58"/>
  <c r="D9" i="58"/>
  <c r="C9" i="58"/>
  <c r="B9" i="58"/>
  <c r="G8" i="58"/>
  <c r="U8" i="58"/>
  <c r="W8" i="58"/>
  <c r="S8" i="58"/>
  <c r="T8" i="58"/>
  <c r="R8" i="58"/>
  <c r="O8" i="58"/>
  <c r="N8" i="58"/>
  <c r="M8" i="58"/>
  <c r="L8" i="58"/>
  <c r="J8" i="58"/>
  <c r="K8" i="58"/>
  <c r="I8" i="58"/>
  <c r="H8" i="58"/>
  <c r="F8" i="58"/>
  <c r="E8" i="58"/>
  <c r="D8" i="58"/>
  <c r="C8" i="58"/>
  <c r="B8" i="58"/>
  <c r="G7" i="58"/>
  <c r="U7" i="58"/>
  <c r="W7" i="58"/>
  <c r="S7" i="58"/>
  <c r="T7" i="58"/>
  <c r="R7" i="58"/>
  <c r="O7" i="58"/>
  <c r="N7" i="58"/>
  <c r="M7" i="58"/>
  <c r="L7" i="58"/>
  <c r="J7" i="58"/>
  <c r="K7" i="58"/>
  <c r="I7" i="58"/>
  <c r="H7" i="58"/>
  <c r="F7" i="58"/>
  <c r="E7" i="58"/>
  <c r="D7" i="58"/>
  <c r="C7" i="58"/>
  <c r="B7" i="58"/>
  <c r="G6" i="58"/>
  <c r="U6" i="58"/>
  <c r="W6" i="58"/>
  <c r="S6" i="58"/>
  <c r="T6" i="58"/>
  <c r="R6" i="58"/>
  <c r="O6" i="58"/>
  <c r="N6" i="58"/>
  <c r="M6" i="58"/>
  <c r="L6" i="58"/>
  <c r="J6" i="58"/>
  <c r="K6" i="58"/>
  <c r="I6" i="58"/>
  <c r="H6" i="58"/>
  <c r="F6" i="58"/>
  <c r="E6" i="58"/>
  <c r="D6" i="58"/>
  <c r="C6" i="58"/>
  <c r="G5" i="58"/>
  <c r="U5" i="58"/>
  <c r="W5" i="58"/>
  <c r="S5" i="58"/>
  <c r="T5" i="58"/>
  <c r="R5" i="58"/>
  <c r="O5" i="58"/>
  <c r="N5" i="58"/>
  <c r="M5" i="58"/>
  <c r="L5" i="58"/>
  <c r="J5" i="58"/>
  <c r="K5" i="58"/>
  <c r="I5" i="58"/>
  <c r="H5" i="58"/>
  <c r="F5" i="58"/>
  <c r="E5" i="58"/>
  <c r="D5" i="58"/>
  <c r="C5" i="58"/>
  <c r="B5" i="58"/>
  <c r="G4" i="58"/>
  <c r="U4" i="58"/>
  <c r="W4" i="58"/>
  <c r="S4" i="58"/>
  <c r="T4" i="58"/>
  <c r="R4" i="58"/>
  <c r="O4" i="58"/>
  <c r="N4" i="58"/>
  <c r="M4" i="58"/>
  <c r="L4" i="58"/>
  <c r="J4" i="58"/>
  <c r="K4" i="58"/>
  <c r="I4" i="58"/>
  <c r="H4" i="58"/>
  <c r="F4" i="58"/>
  <c r="E4" i="58"/>
  <c r="D4" i="58"/>
  <c r="C4" i="58"/>
  <c r="B4" i="58"/>
  <c r="G3" i="58"/>
  <c r="U3" i="58"/>
  <c r="W3" i="58"/>
  <c r="S3" i="58"/>
  <c r="T3" i="58"/>
  <c r="R3" i="58"/>
  <c r="O3" i="58"/>
  <c r="N3" i="58"/>
  <c r="M3" i="58"/>
  <c r="L3" i="58"/>
  <c r="J3" i="58"/>
  <c r="K3" i="58"/>
  <c r="I3" i="58"/>
  <c r="H3" i="58"/>
  <c r="F3" i="58"/>
  <c r="E3" i="58"/>
  <c r="D3" i="58"/>
  <c r="C3" i="58"/>
  <c r="B3" i="58"/>
  <c r="G2" i="58"/>
  <c r="U2" i="58"/>
  <c r="W2" i="58"/>
  <c r="T2" i="58"/>
  <c r="R2" i="58"/>
  <c r="O2" i="58"/>
  <c r="N2" i="58"/>
  <c r="M2" i="58"/>
  <c r="L2" i="58"/>
  <c r="J2" i="58"/>
  <c r="K2" i="58"/>
  <c r="I2" i="58"/>
  <c r="H2" i="58"/>
  <c r="F2" i="58"/>
  <c r="E2" i="58"/>
  <c r="D2" i="58"/>
  <c r="C2" i="58"/>
  <c r="B2" i="58"/>
  <c r="E15" i="49"/>
  <c r="E14" i="49"/>
  <c r="E13" i="49"/>
  <c r="E3" i="53"/>
  <c r="E4" i="53"/>
  <c r="E5" i="53"/>
  <c r="E7" i="53"/>
  <c r="E8" i="53"/>
  <c r="E9" i="53"/>
  <c r="E10" i="53"/>
  <c r="E11" i="53"/>
  <c r="E12" i="53"/>
  <c r="E13" i="53"/>
  <c r="E14" i="53"/>
  <c r="E15" i="53"/>
  <c r="E16" i="53"/>
  <c r="E17" i="53"/>
  <c r="E14" i="52"/>
  <c r="H14" i="52"/>
  <c r="E15" i="52"/>
  <c r="H15" i="52"/>
  <c r="E16" i="52"/>
  <c r="H16" i="52"/>
  <c r="E17" i="52"/>
  <c r="H17" i="52"/>
  <c r="E3" i="52"/>
  <c r="H3" i="52"/>
  <c r="E4" i="52"/>
  <c r="H4" i="52"/>
  <c r="E5" i="52"/>
  <c r="H5" i="52"/>
  <c r="E6" i="52"/>
  <c r="H6" i="52"/>
  <c r="E7" i="52"/>
  <c r="H7" i="52"/>
  <c r="H9" i="52"/>
  <c r="E10" i="52"/>
  <c r="H10" i="52"/>
  <c r="E11" i="52"/>
  <c r="H11" i="52"/>
  <c r="E12" i="52"/>
  <c r="H12" i="52"/>
  <c r="E13" i="52"/>
  <c r="H13" i="52"/>
  <c r="AT3" i="23"/>
  <c r="AT4" i="23"/>
  <c r="AT5" i="23"/>
  <c r="AT6" i="23"/>
  <c r="AT7" i="23"/>
  <c r="AT8" i="23"/>
  <c r="AT9" i="23"/>
  <c r="AT10" i="23"/>
  <c r="AT11" i="23"/>
  <c r="AT12" i="23"/>
  <c r="AT13" i="23"/>
  <c r="AT14" i="23"/>
  <c r="AT15" i="23"/>
  <c r="AT16" i="23"/>
  <c r="AT17" i="23"/>
  <c r="AT2" i="23"/>
  <c r="AP3" i="23"/>
  <c r="AP4" i="23"/>
  <c r="AP5" i="23"/>
  <c r="AP6" i="23"/>
  <c r="AP7" i="23"/>
  <c r="AP8" i="23"/>
  <c r="AP9" i="23"/>
  <c r="AP10" i="23"/>
  <c r="AP11" i="23"/>
  <c r="AP12" i="23"/>
  <c r="AP13" i="23"/>
  <c r="AP14" i="23"/>
  <c r="AP15" i="23"/>
  <c r="AP16" i="23"/>
  <c r="AP17" i="23"/>
  <c r="AP2" i="23"/>
  <c r="B4" i="23"/>
  <c r="C4" i="23"/>
  <c r="D4" i="23"/>
  <c r="E4" i="23"/>
  <c r="F4" i="23"/>
  <c r="G4" i="23"/>
  <c r="I4" i="23"/>
  <c r="J4" i="23"/>
  <c r="K4" i="23"/>
  <c r="L4" i="23"/>
  <c r="M4" i="23"/>
  <c r="N4" i="23"/>
  <c r="O4" i="23"/>
  <c r="P4" i="23"/>
  <c r="Q4" i="23"/>
  <c r="R4" i="23"/>
  <c r="S4" i="23"/>
  <c r="T4" i="23"/>
  <c r="U4" i="23"/>
  <c r="V4" i="23"/>
  <c r="W4" i="23"/>
  <c r="X4" i="23"/>
  <c r="Y4" i="23"/>
  <c r="Z4" i="23"/>
  <c r="AA4" i="23"/>
  <c r="AB4" i="23"/>
  <c r="AC4" i="23"/>
  <c r="AD4" i="23"/>
  <c r="AF4" i="23"/>
  <c r="AH4" i="23"/>
  <c r="AI4" i="23"/>
  <c r="AK4" i="23"/>
  <c r="AL4" i="23"/>
  <c r="AM4" i="23"/>
  <c r="AN4" i="23"/>
  <c r="AQ4" i="23"/>
  <c r="AR4" i="23"/>
  <c r="AS4" i="23"/>
  <c r="AU4" i="23"/>
  <c r="AV4" i="23"/>
  <c r="AW4" i="23"/>
  <c r="AX4" i="23"/>
  <c r="BC4" i="23"/>
  <c r="BD4" i="23"/>
  <c r="BE4" i="23"/>
  <c r="BF4" i="23"/>
  <c r="BK4" i="23"/>
  <c r="BG4" i="23"/>
  <c r="BL4" i="23"/>
  <c r="BH4" i="23"/>
  <c r="BM4" i="23"/>
  <c r="BI4" i="23"/>
  <c r="BN4" i="23"/>
  <c r="BJ4" i="23"/>
  <c r="B5" i="23"/>
  <c r="C5" i="23"/>
  <c r="D5" i="23"/>
  <c r="E5" i="23"/>
  <c r="F5" i="23"/>
  <c r="G5" i="23"/>
  <c r="I5" i="23"/>
  <c r="J5" i="23"/>
  <c r="K5" i="23"/>
  <c r="L5" i="23"/>
  <c r="M5" i="23"/>
  <c r="N5" i="23"/>
  <c r="O5" i="23"/>
  <c r="P5" i="23"/>
  <c r="Q5" i="23"/>
  <c r="R5" i="23"/>
  <c r="S5" i="23"/>
  <c r="T5" i="23"/>
  <c r="U5" i="23"/>
  <c r="V5" i="23"/>
  <c r="W5" i="23"/>
  <c r="X5" i="23"/>
  <c r="Y5" i="23"/>
  <c r="Z5" i="23"/>
  <c r="AA5" i="23"/>
  <c r="AB5" i="23"/>
  <c r="AC5" i="23"/>
  <c r="AD5" i="23"/>
  <c r="AF5" i="23"/>
  <c r="AH5" i="23"/>
  <c r="AI5" i="23"/>
  <c r="AK5" i="23"/>
  <c r="AL5" i="23"/>
  <c r="AM5" i="23"/>
  <c r="AN5" i="23"/>
  <c r="AQ5" i="23"/>
  <c r="AR5" i="23"/>
  <c r="AS5" i="23"/>
  <c r="AU5" i="23"/>
  <c r="AV5" i="23"/>
  <c r="AW5" i="23"/>
  <c r="AX5" i="23"/>
  <c r="BC5" i="23"/>
  <c r="BD5" i="23"/>
  <c r="BE5" i="23"/>
  <c r="BF5" i="23"/>
  <c r="BK5" i="23"/>
  <c r="BG5" i="23"/>
  <c r="BL5" i="23"/>
  <c r="BH5" i="23"/>
  <c r="BM5" i="23"/>
  <c r="BI5" i="23"/>
  <c r="BN5" i="23"/>
  <c r="BJ5" i="23"/>
  <c r="B6" i="23"/>
  <c r="C6" i="23"/>
  <c r="D6" i="23"/>
  <c r="E6" i="23"/>
  <c r="F6" i="23"/>
  <c r="G6" i="23"/>
  <c r="I6" i="23"/>
  <c r="J6" i="23"/>
  <c r="K6" i="23"/>
  <c r="L6" i="23"/>
  <c r="M6" i="23"/>
  <c r="N6" i="23"/>
  <c r="O6" i="23"/>
  <c r="P6" i="23"/>
  <c r="Q6" i="23"/>
  <c r="R6" i="23"/>
  <c r="S6" i="23"/>
  <c r="T6" i="23"/>
  <c r="U6" i="23"/>
  <c r="V6" i="23"/>
  <c r="W6" i="23"/>
  <c r="X6" i="23"/>
  <c r="Y6" i="23"/>
  <c r="Z6" i="23"/>
  <c r="AA6" i="23"/>
  <c r="AB6" i="23"/>
  <c r="AC6" i="23"/>
  <c r="AD6" i="23"/>
  <c r="AF6" i="23"/>
  <c r="AG6" i="23"/>
  <c r="AH6" i="23"/>
  <c r="AI6" i="23"/>
  <c r="AK6" i="23"/>
  <c r="AL6" i="23"/>
  <c r="AM6" i="23"/>
  <c r="AN6" i="23"/>
  <c r="AQ6" i="23"/>
  <c r="AR6" i="23"/>
  <c r="AS6" i="23"/>
  <c r="AU6" i="23"/>
  <c r="AV6" i="23"/>
  <c r="AW6" i="23"/>
  <c r="AX6" i="23"/>
  <c r="BC6" i="23"/>
  <c r="BD6" i="23"/>
  <c r="BE6" i="23"/>
  <c r="BF6" i="23"/>
  <c r="BK6" i="23"/>
  <c r="BG6" i="23"/>
  <c r="BL6" i="23"/>
  <c r="BH6" i="23"/>
  <c r="BM6" i="23"/>
  <c r="BI6" i="23"/>
  <c r="BN6" i="23"/>
  <c r="BJ6" i="23"/>
  <c r="B7" i="23"/>
  <c r="C7" i="23"/>
  <c r="D7" i="23"/>
  <c r="E7" i="23"/>
  <c r="F7" i="23"/>
  <c r="G7" i="23"/>
  <c r="I7" i="23"/>
  <c r="J7" i="23"/>
  <c r="K7" i="23"/>
  <c r="L7" i="23"/>
  <c r="M7" i="23"/>
  <c r="G4" i="13"/>
  <c r="N7" i="23"/>
  <c r="O7" i="23"/>
  <c r="P7" i="23"/>
  <c r="Q7" i="23"/>
  <c r="R7" i="23"/>
  <c r="S7" i="23"/>
  <c r="T7" i="23"/>
  <c r="U7" i="23"/>
  <c r="V7" i="23"/>
  <c r="W7" i="23"/>
  <c r="X7" i="23"/>
  <c r="Y7" i="23"/>
  <c r="Z7" i="23"/>
  <c r="AA7" i="23"/>
  <c r="AB7" i="23"/>
  <c r="AC7" i="23"/>
  <c r="AD7" i="23"/>
  <c r="AF7" i="23"/>
  <c r="AG7" i="23"/>
  <c r="AH7" i="23"/>
  <c r="AI7" i="23"/>
  <c r="AK7" i="23"/>
  <c r="AL7" i="23"/>
  <c r="AM7" i="23"/>
  <c r="AN7" i="23"/>
  <c r="AQ7" i="23"/>
  <c r="AR7" i="23"/>
  <c r="AS7" i="23"/>
  <c r="AU7" i="23"/>
  <c r="AV7" i="23"/>
  <c r="AW7" i="23"/>
  <c r="AX7" i="23"/>
  <c r="BC7" i="23"/>
  <c r="BD7" i="23"/>
  <c r="BE7" i="23"/>
  <c r="BF7" i="23"/>
  <c r="BK7" i="23"/>
  <c r="BG7" i="23"/>
  <c r="BL7" i="23"/>
  <c r="BH7" i="23"/>
  <c r="BM7" i="23"/>
  <c r="BI7" i="23"/>
  <c r="BN7" i="23"/>
  <c r="BJ7" i="23"/>
  <c r="B8" i="23"/>
  <c r="C8" i="23"/>
  <c r="D8" i="23"/>
  <c r="E8" i="23"/>
  <c r="F8" i="23"/>
  <c r="G8" i="23"/>
  <c r="I8" i="23"/>
  <c r="J8" i="23"/>
  <c r="K8" i="23"/>
  <c r="L8" i="23"/>
  <c r="M8" i="23"/>
  <c r="N8" i="23"/>
  <c r="O8" i="23"/>
  <c r="P8" i="23"/>
  <c r="Q8" i="23"/>
  <c r="R8" i="23"/>
  <c r="S8" i="23"/>
  <c r="T8" i="23"/>
  <c r="U8" i="23"/>
  <c r="V8" i="23"/>
  <c r="W8" i="23"/>
  <c r="X8" i="23"/>
  <c r="Y8" i="23"/>
  <c r="Z8" i="23"/>
  <c r="AA8" i="23"/>
  <c r="AB8" i="23"/>
  <c r="AC8" i="23"/>
  <c r="AD8" i="23"/>
  <c r="AF8" i="23"/>
  <c r="AG8" i="23"/>
  <c r="AH8" i="23"/>
  <c r="AI8" i="23"/>
  <c r="AK8" i="23"/>
  <c r="AL8" i="23"/>
  <c r="AM8" i="23"/>
  <c r="AN8" i="23"/>
  <c r="AQ8" i="23"/>
  <c r="AR8" i="23"/>
  <c r="AS8" i="23"/>
  <c r="AU8" i="23"/>
  <c r="AV8" i="23"/>
  <c r="AW8" i="23"/>
  <c r="AX8" i="23"/>
  <c r="BC8" i="23"/>
  <c r="BD8" i="23"/>
  <c r="BE8" i="23"/>
  <c r="BF8" i="23"/>
  <c r="BK8" i="23"/>
  <c r="BG8" i="23"/>
  <c r="BL8" i="23"/>
  <c r="BH8" i="23"/>
  <c r="BM8" i="23"/>
  <c r="BI8" i="23"/>
  <c r="BN8" i="23"/>
  <c r="BJ8" i="23"/>
  <c r="B9" i="23"/>
  <c r="C9" i="23"/>
  <c r="D9" i="23"/>
  <c r="E9" i="23"/>
  <c r="F9" i="23"/>
  <c r="G9" i="23"/>
  <c r="I9" i="23"/>
  <c r="J9" i="23"/>
  <c r="K9" i="23"/>
  <c r="L9" i="23"/>
  <c r="M9" i="23"/>
  <c r="G3" i="13"/>
  <c r="N9" i="23"/>
  <c r="O9" i="23"/>
  <c r="P9" i="23"/>
  <c r="Q9" i="23"/>
  <c r="R9" i="23"/>
  <c r="S9" i="23"/>
  <c r="T9" i="23"/>
  <c r="U9" i="23"/>
  <c r="V9" i="23"/>
  <c r="W9" i="23"/>
  <c r="X9" i="23"/>
  <c r="Y9" i="23"/>
  <c r="Z9" i="23"/>
  <c r="AA9" i="23"/>
  <c r="AB9" i="23"/>
  <c r="AC9" i="23"/>
  <c r="AD9" i="23"/>
  <c r="AF9" i="23"/>
  <c r="AG9" i="23"/>
  <c r="AH9" i="23"/>
  <c r="AI9" i="23"/>
  <c r="AK9" i="23"/>
  <c r="AL9" i="23"/>
  <c r="AM9" i="23"/>
  <c r="AN9" i="23"/>
  <c r="AQ9" i="23"/>
  <c r="AR9" i="23"/>
  <c r="AS9" i="23"/>
  <c r="AU9" i="23"/>
  <c r="AV9" i="23"/>
  <c r="AW9" i="23"/>
  <c r="AX9" i="23"/>
  <c r="BC9" i="23"/>
  <c r="BD9" i="23"/>
  <c r="BE9" i="23"/>
  <c r="BF9" i="23"/>
  <c r="BK9" i="23"/>
  <c r="BG9" i="23"/>
  <c r="BL9" i="23"/>
  <c r="BH9" i="23"/>
  <c r="BM9" i="23"/>
  <c r="BI9" i="23"/>
  <c r="BN9" i="23"/>
  <c r="BJ9" i="23"/>
  <c r="B10" i="23"/>
  <c r="C10" i="23"/>
  <c r="D10" i="23"/>
  <c r="E10" i="23"/>
  <c r="F10" i="23"/>
  <c r="G10" i="23"/>
  <c r="I10" i="23"/>
  <c r="J10" i="23"/>
  <c r="K10" i="23"/>
  <c r="L10" i="23"/>
  <c r="M10" i="23"/>
  <c r="N10" i="23"/>
  <c r="O10" i="23"/>
  <c r="P10" i="23"/>
  <c r="Q10" i="23"/>
  <c r="R10" i="23"/>
  <c r="S10" i="23"/>
  <c r="T10" i="23"/>
  <c r="U10" i="23"/>
  <c r="V10" i="23"/>
  <c r="W10" i="23"/>
  <c r="X10" i="23"/>
  <c r="Y10" i="23"/>
  <c r="Z10" i="23"/>
  <c r="AA10" i="23"/>
  <c r="AB10" i="23"/>
  <c r="AC10" i="23"/>
  <c r="AD10" i="23"/>
  <c r="AF10" i="23"/>
  <c r="AG10" i="23"/>
  <c r="AH10" i="23"/>
  <c r="AI10" i="23"/>
  <c r="AK10" i="23"/>
  <c r="AL10" i="23"/>
  <c r="AM10" i="23"/>
  <c r="AN10" i="23"/>
  <c r="AQ10" i="23"/>
  <c r="AR10" i="23"/>
  <c r="AS10" i="23"/>
  <c r="AU10" i="23"/>
  <c r="AV10" i="23"/>
  <c r="AW10" i="23"/>
  <c r="AX10" i="23"/>
  <c r="BC10" i="23"/>
  <c r="BD10" i="23"/>
  <c r="BE10" i="23"/>
  <c r="BF10" i="23"/>
  <c r="BK10" i="23"/>
  <c r="BG10" i="23"/>
  <c r="BL10" i="23"/>
  <c r="BH10" i="23"/>
  <c r="BM10" i="23"/>
  <c r="BI10" i="23"/>
  <c r="BN10" i="23"/>
  <c r="BJ10" i="23"/>
  <c r="B11" i="23"/>
  <c r="C11" i="23"/>
  <c r="D11" i="23"/>
  <c r="E11" i="23"/>
  <c r="F11" i="23"/>
  <c r="G11" i="23"/>
  <c r="I11" i="23"/>
  <c r="J11" i="23"/>
  <c r="K11" i="23"/>
  <c r="L11" i="23"/>
  <c r="M11" i="23"/>
  <c r="N11" i="23"/>
  <c r="O11" i="23"/>
  <c r="P11" i="23"/>
  <c r="Q11" i="23"/>
  <c r="R11" i="23"/>
  <c r="S11" i="23"/>
  <c r="T11" i="23"/>
  <c r="U11" i="23"/>
  <c r="V11" i="23"/>
  <c r="W11" i="23"/>
  <c r="X11" i="23"/>
  <c r="Y11" i="23"/>
  <c r="Z11" i="23"/>
  <c r="AA11" i="23"/>
  <c r="AB11" i="23"/>
  <c r="AC11" i="23"/>
  <c r="AD11" i="23"/>
  <c r="AF11" i="23"/>
  <c r="AG11" i="23"/>
  <c r="AH11" i="23"/>
  <c r="AI11" i="23"/>
  <c r="AK11" i="23"/>
  <c r="AL11" i="23"/>
  <c r="AM11" i="23"/>
  <c r="AN11" i="23"/>
  <c r="AQ11" i="23"/>
  <c r="AR11" i="23"/>
  <c r="AS11" i="23"/>
  <c r="AU11" i="23"/>
  <c r="AV11" i="23"/>
  <c r="AW11" i="23"/>
  <c r="AX11" i="23"/>
  <c r="BC11" i="23"/>
  <c r="BD11" i="23"/>
  <c r="BE11" i="23"/>
  <c r="BF11" i="23"/>
  <c r="BK11" i="23"/>
  <c r="BG11" i="23"/>
  <c r="BL11" i="23"/>
  <c r="BH11" i="23"/>
  <c r="BM11" i="23"/>
  <c r="BI11" i="23"/>
  <c r="BN11" i="23"/>
  <c r="BJ11" i="23"/>
  <c r="B12" i="23"/>
  <c r="C12" i="23"/>
  <c r="D12" i="23"/>
  <c r="E12" i="23"/>
  <c r="F12" i="23"/>
  <c r="G12" i="23"/>
  <c r="I12" i="23"/>
  <c r="J12" i="23"/>
  <c r="K12" i="23"/>
  <c r="L12" i="23"/>
  <c r="M12" i="23"/>
  <c r="N12" i="23"/>
  <c r="O12" i="23"/>
  <c r="P12" i="23"/>
  <c r="Q12" i="23"/>
  <c r="R12" i="23"/>
  <c r="S12" i="23"/>
  <c r="T12" i="23"/>
  <c r="U12" i="23"/>
  <c r="V12" i="23"/>
  <c r="W12" i="23"/>
  <c r="X12" i="23"/>
  <c r="Y12" i="23"/>
  <c r="Z12" i="23"/>
  <c r="AA12" i="23"/>
  <c r="AB12" i="23"/>
  <c r="AC12" i="23"/>
  <c r="AD12" i="23"/>
  <c r="AF12" i="23"/>
  <c r="AG12" i="23"/>
  <c r="AH12" i="23"/>
  <c r="AI12" i="23"/>
  <c r="AK12" i="23"/>
  <c r="AL12" i="23"/>
  <c r="AM12" i="23"/>
  <c r="AN12" i="23"/>
  <c r="AQ12" i="23"/>
  <c r="AR12" i="23"/>
  <c r="AS12" i="23"/>
  <c r="AU12" i="23"/>
  <c r="AV12" i="23"/>
  <c r="AW12" i="23"/>
  <c r="AX12" i="23"/>
  <c r="BC12" i="23"/>
  <c r="BD12" i="23"/>
  <c r="BE12" i="23"/>
  <c r="BF12" i="23"/>
  <c r="BK12" i="23"/>
  <c r="BG12" i="23"/>
  <c r="BL12" i="23"/>
  <c r="BH12" i="23"/>
  <c r="BM12" i="23"/>
  <c r="BI12" i="23"/>
  <c r="BN12" i="23"/>
  <c r="BJ12" i="23"/>
  <c r="B13" i="23"/>
  <c r="C13" i="23"/>
  <c r="D13" i="23"/>
  <c r="E13" i="23"/>
  <c r="F13" i="23"/>
  <c r="G13" i="23"/>
  <c r="I13" i="23"/>
  <c r="J13" i="23"/>
  <c r="K13" i="23"/>
  <c r="L13" i="23"/>
  <c r="M13" i="23"/>
  <c r="G10" i="13"/>
  <c r="N13" i="23"/>
  <c r="O13" i="23"/>
  <c r="P13" i="23"/>
  <c r="Q13" i="23"/>
  <c r="R13" i="23"/>
  <c r="S13" i="23"/>
  <c r="T13" i="23"/>
  <c r="U13" i="23"/>
  <c r="V13" i="23"/>
  <c r="W13" i="23"/>
  <c r="X13" i="23"/>
  <c r="Y13" i="23"/>
  <c r="Z13" i="23"/>
  <c r="AA13" i="23"/>
  <c r="AB13" i="23"/>
  <c r="AC13" i="23"/>
  <c r="AD13" i="23"/>
  <c r="AF13" i="23"/>
  <c r="AG13" i="23"/>
  <c r="AH13" i="23"/>
  <c r="AI13" i="23"/>
  <c r="AK13" i="23"/>
  <c r="AL13" i="23"/>
  <c r="AM13" i="23"/>
  <c r="AN13" i="23"/>
  <c r="AQ13" i="23"/>
  <c r="AR13" i="23"/>
  <c r="AS13" i="23"/>
  <c r="AU13" i="23"/>
  <c r="AV13" i="23"/>
  <c r="AW13" i="23"/>
  <c r="AX13" i="23"/>
  <c r="BC13" i="23"/>
  <c r="BD13" i="23"/>
  <c r="BE13" i="23"/>
  <c r="BF13" i="23"/>
  <c r="BK13" i="23"/>
  <c r="BG13" i="23"/>
  <c r="BL13" i="23"/>
  <c r="BH13" i="23"/>
  <c r="BM13" i="23"/>
  <c r="BI13" i="23"/>
  <c r="BN13" i="23"/>
  <c r="BJ13" i="23"/>
  <c r="B14" i="23"/>
  <c r="C14" i="23"/>
  <c r="D14" i="23"/>
  <c r="E14" i="23"/>
  <c r="F14" i="23"/>
  <c r="G14" i="23"/>
  <c r="I14" i="23"/>
  <c r="J14" i="23"/>
  <c r="K14" i="23"/>
  <c r="L14" i="23"/>
  <c r="M14" i="23"/>
  <c r="N14" i="23"/>
  <c r="O14" i="23"/>
  <c r="P14" i="23"/>
  <c r="Q14" i="23"/>
  <c r="R14" i="23"/>
  <c r="S14" i="23"/>
  <c r="T14" i="23"/>
  <c r="U14" i="23"/>
  <c r="V14" i="23"/>
  <c r="W14" i="23"/>
  <c r="X14" i="23"/>
  <c r="Y14" i="23"/>
  <c r="Z14" i="23"/>
  <c r="AA14" i="23"/>
  <c r="AB14" i="23"/>
  <c r="AC14" i="23"/>
  <c r="AD14" i="23"/>
  <c r="AF14" i="23"/>
  <c r="AG14" i="23"/>
  <c r="AH14" i="23"/>
  <c r="AI14" i="23"/>
  <c r="AK14" i="23"/>
  <c r="AL14" i="23"/>
  <c r="AM14" i="23"/>
  <c r="AN14" i="23"/>
  <c r="AQ14" i="23"/>
  <c r="AR14" i="23"/>
  <c r="AS14" i="23"/>
  <c r="AU14" i="23"/>
  <c r="AV14" i="23"/>
  <c r="AW14" i="23"/>
  <c r="AX14" i="23"/>
  <c r="BC14" i="23"/>
  <c r="BD14" i="23"/>
  <c r="BE14" i="23"/>
  <c r="BF14" i="23"/>
  <c r="BK14" i="23"/>
  <c r="BG14" i="23"/>
  <c r="BL14" i="23"/>
  <c r="BH14" i="23"/>
  <c r="BM14" i="23"/>
  <c r="BI14" i="23"/>
  <c r="BN14" i="23"/>
  <c r="BJ14" i="23"/>
  <c r="B15" i="23"/>
  <c r="C15" i="23"/>
  <c r="D15" i="23"/>
  <c r="E15" i="23"/>
  <c r="F15" i="23"/>
  <c r="G15" i="23"/>
  <c r="I15" i="23"/>
  <c r="J15" i="23"/>
  <c r="K15" i="23"/>
  <c r="L15" i="23"/>
  <c r="M15" i="23"/>
  <c r="N15" i="23"/>
  <c r="O15" i="23"/>
  <c r="P15" i="23"/>
  <c r="R15" i="23"/>
  <c r="S15" i="23"/>
  <c r="U15" i="23"/>
  <c r="V15" i="23"/>
  <c r="W15" i="23"/>
  <c r="X15" i="23"/>
  <c r="Y15" i="23"/>
  <c r="Z15" i="23"/>
  <c r="AA15" i="23"/>
  <c r="AB15" i="23"/>
  <c r="AC15" i="23"/>
  <c r="AD15" i="23"/>
  <c r="AF15" i="23"/>
  <c r="AG15" i="23"/>
  <c r="AH15" i="23"/>
  <c r="AI15" i="23"/>
  <c r="AK15" i="23"/>
  <c r="AL15" i="23"/>
  <c r="AM15" i="23"/>
  <c r="AN15" i="23"/>
  <c r="AQ15" i="23"/>
  <c r="AR15" i="23"/>
  <c r="AS15" i="23"/>
  <c r="AU15" i="23"/>
  <c r="AV15" i="23"/>
  <c r="AW15" i="23"/>
  <c r="AX15" i="23"/>
  <c r="BC15" i="23"/>
  <c r="BD15" i="23"/>
  <c r="BE15" i="23"/>
  <c r="BF15" i="23"/>
  <c r="BK15" i="23"/>
  <c r="BG15" i="23"/>
  <c r="BL15" i="23"/>
  <c r="BH15" i="23"/>
  <c r="BM15" i="23"/>
  <c r="BI15" i="23"/>
  <c r="BN15" i="23"/>
  <c r="BJ15" i="23"/>
  <c r="B16" i="23"/>
  <c r="C16" i="23"/>
  <c r="D16" i="23"/>
  <c r="E16" i="23"/>
  <c r="F16" i="23"/>
  <c r="G16" i="23"/>
  <c r="I16" i="23"/>
  <c r="J16" i="23"/>
  <c r="K16" i="23"/>
  <c r="L16" i="23"/>
  <c r="M16" i="23"/>
  <c r="N16" i="23"/>
  <c r="O16" i="23"/>
  <c r="P16" i="23"/>
  <c r="R16" i="23"/>
  <c r="S16" i="23"/>
  <c r="T16" i="23"/>
  <c r="U16" i="23"/>
  <c r="V16" i="23"/>
  <c r="W16" i="23"/>
  <c r="X16" i="23"/>
  <c r="Y16" i="23"/>
  <c r="Z16" i="23"/>
  <c r="AA16" i="23"/>
  <c r="AB16" i="23"/>
  <c r="AC16" i="23"/>
  <c r="AD16" i="23"/>
  <c r="AF16" i="23"/>
  <c r="AG16" i="23"/>
  <c r="AH16" i="23"/>
  <c r="AI16" i="23"/>
  <c r="AK16" i="23"/>
  <c r="AL16" i="23"/>
  <c r="AM16" i="23"/>
  <c r="AN16" i="23"/>
  <c r="AQ16" i="23"/>
  <c r="AR16" i="23"/>
  <c r="AS16" i="23"/>
  <c r="AU16" i="23"/>
  <c r="AV16" i="23"/>
  <c r="AW16" i="23"/>
  <c r="AX16" i="23"/>
  <c r="BC16" i="23"/>
  <c r="BD16" i="23"/>
  <c r="BE16" i="23"/>
  <c r="BF16" i="23"/>
  <c r="BK16" i="23"/>
  <c r="BG16" i="23"/>
  <c r="BL16" i="23"/>
  <c r="BH16" i="23"/>
  <c r="BM16" i="23"/>
  <c r="BI16" i="23"/>
  <c r="BN16" i="23"/>
  <c r="BJ16" i="23"/>
  <c r="B17" i="23"/>
  <c r="C17" i="23"/>
  <c r="D17" i="23"/>
  <c r="E17" i="23"/>
  <c r="F17" i="23"/>
  <c r="G17" i="23"/>
  <c r="I17" i="23"/>
  <c r="J17" i="23"/>
  <c r="K17" i="23"/>
  <c r="L17" i="23"/>
  <c r="M17" i="23"/>
  <c r="N17" i="23"/>
  <c r="O17" i="23"/>
  <c r="P17" i="23"/>
  <c r="R17" i="23"/>
  <c r="S17" i="23"/>
  <c r="T17" i="23"/>
  <c r="U17" i="23"/>
  <c r="V17" i="23"/>
  <c r="W17" i="23"/>
  <c r="X17" i="23"/>
  <c r="Y17" i="23"/>
  <c r="Z17" i="23"/>
  <c r="AA17" i="23"/>
  <c r="AB17" i="23"/>
  <c r="AC17" i="23"/>
  <c r="AD17" i="23"/>
  <c r="AF17" i="23"/>
  <c r="AG17" i="23"/>
  <c r="AH17" i="23"/>
  <c r="AI17" i="23"/>
  <c r="AK17" i="23"/>
  <c r="AL17" i="23"/>
  <c r="AM17" i="23"/>
  <c r="AN17" i="23"/>
  <c r="AQ17" i="23"/>
  <c r="AR17" i="23"/>
  <c r="AS17" i="23"/>
  <c r="AU17" i="23"/>
  <c r="AV17" i="23"/>
  <c r="AW17" i="23"/>
  <c r="AX17" i="23"/>
  <c r="BC17" i="23"/>
  <c r="BD17" i="23"/>
  <c r="BE17" i="23"/>
  <c r="BF17" i="23"/>
  <c r="BK17" i="23"/>
  <c r="BG17" i="23"/>
  <c r="BL17" i="23"/>
  <c r="BH17" i="23"/>
  <c r="BM17" i="23"/>
  <c r="BI17" i="23"/>
  <c r="BN17" i="23"/>
  <c r="BJ17" i="23"/>
  <c r="G3" i="23"/>
  <c r="P3" i="23"/>
  <c r="G2" i="23"/>
  <c r="P2" i="23"/>
  <c r="G11" i="13"/>
  <c r="G8" i="13"/>
  <c r="B2" i="23"/>
  <c r="C2" i="23"/>
  <c r="D2" i="23"/>
  <c r="E2" i="23"/>
  <c r="F2" i="23"/>
  <c r="I2" i="23"/>
  <c r="J2" i="23"/>
  <c r="K2" i="23"/>
  <c r="L2" i="23"/>
  <c r="M2" i="23"/>
  <c r="N2" i="23"/>
  <c r="O2" i="23"/>
  <c r="Q2" i="23"/>
  <c r="R2" i="23"/>
  <c r="S2" i="23"/>
  <c r="T2" i="23"/>
  <c r="U2" i="23"/>
  <c r="V2" i="23"/>
  <c r="W2" i="23"/>
  <c r="X2" i="23"/>
  <c r="Y2" i="23"/>
  <c r="Z2" i="23"/>
  <c r="AA2" i="23"/>
  <c r="AB2" i="23"/>
  <c r="AC2" i="23"/>
  <c r="AD2" i="23"/>
  <c r="AF2" i="23"/>
  <c r="AG2" i="23"/>
  <c r="AH2" i="23"/>
  <c r="AI2" i="23"/>
  <c r="AK2" i="23"/>
  <c r="AL2" i="23"/>
  <c r="AM2" i="23"/>
  <c r="AN2" i="23"/>
  <c r="AQ2" i="23"/>
  <c r="AR2" i="23"/>
  <c r="AS2" i="23"/>
  <c r="AU2" i="23"/>
  <c r="AV2" i="23"/>
  <c r="AW2" i="23"/>
  <c r="AX2" i="23"/>
  <c r="BC2" i="23"/>
  <c r="BD2" i="23"/>
  <c r="BE2" i="23"/>
  <c r="BF2" i="23"/>
  <c r="BK2" i="23"/>
  <c r="BG2" i="23"/>
  <c r="BL2" i="23"/>
  <c r="BH2" i="23"/>
  <c r="BM2" i="23"/>
  <c r="BI2" i="23"/>
  <c r="BN2" i="23"/>
  <c r="BJ2" i="23"/>
  <c r="B3" i="23"/>
  <c r="C3" i="23"/>
  <c r="D3" i="23"/>
  <c r="E3" i="23"/>
  <c r="F3" i="23"/>
  <c r="I3" i="23"/>
  <c r="J3" i="23"/>
  <c r="K3" i="23"/>
  <c r="L3" i="23"/>
  <c r="M3" i="23"/>
  <c r="N3" i="23"/>
  <c r="O3" i="23"/>
  <c r="Q3" i="23"/>
  <c r="R3" i="23"/>
  <c r="S3" i="23"/>
  <c r="T3" i="23"/>
  <c r="U3" i="23"/>
  <c r="V3" i="23"/>
  <c r="W3" i="23"/>
  <c r="X3" i="23"/>
  <c r="Y3" i="23"/>
  <c r="Z3" i="23"/>
  <c r="AA3" i="23"/>
  <c r="AB3" i="23"/>
  <c r="AC3" i="23"/>
  <c r="AD3" i="23"/>
  <c r="AF3" i="23"/>
  <c r="AG3" i="23"/>
  <c r="AH3" i="23"/>
  <c r="AI3" i="23"/>
  <c r="AK3" i="23"/>
  <c r="AL3" i="23"/>
  <c r="AM3" i="23"/>
  <c r="AN3" i="23"/>
  <c r="AQ3" i="23"/>
  <c r="AR3" i="23"/>
  <c r="AS3" i="23"/>
  <c r="AU3" i="23"/>
  <c r="AV3" i="23"/>
  <c r="AW3" i="23"/>
  <c r="AX3" i="23"/>
  <c r="BC3" i="23"/>
  <c r="BD3" i="23"/>
  <c r="BE3" i="23"/>
  <c r="BF3" i="23"/>
  <c r="BK3" i="23"/>
  <c r="BG3" i="23"/>
  <c r="BL3" i="23"/>
  <c r="BH3" i="23"/>
  <c r="BM3" i="23"/>
  <c r="BI3" i="23"/>
  <c r="BN3" i="23"/>
  <c r="BJ3" i="23"/>
  <c r="B15" i="55"/>
  <c r="C15" i="55"/>
  <c r="D15" i="55"/>
  <c r="B16" i="55"/>
  <c r="C16" i="55"/>
  <c r="D16" i="55"/>
  <c r="D14" i="55"/>
  <c r="C14" i="55"/>
  <c r="B14" i="55"/>
  <c r="A21" i="55"/>
  <c r="A26" i="55"/>
  <c r="A3"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26" i="54"/>
  <c r="B25" i="54"/>
  <c r="E2" i="53"/>
  <c r="H2" i="52"/>
  <c r="E2" i="52"/>
  <c r="E10" i="49"/>
  <c r="E9" i="49"/>
  <c r="E8" i="49"/>
  <c r="E7" i="49"/>
  <c r="E11" i="49"/>
  <c r="E12" i="49"/>
  <c r="E4" i="49"/>
  <c r="E6" i="49"/>
  <c r="E2" i="49"/>
</calcChain>
</file>

<file path=xl/sharedStrings.xml><?xml version="1.0" encoding="utf-8"?>
<sst xmlns="http://schemas.openxmlformats.org/spreadsheetml/2006/main" count="1281" uniqueCount="506">
  <si>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</si>
  <si>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</si>
  <si>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</si>
  <si>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</si>
  <si>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</si>
  <si>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</si>
  <si>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</si>
  <si>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</si>
  <si>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</si>
  <si>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</si>
  <si>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</si>
  <si>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</si>
  <si>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</si>
  <si>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</si>
  <si>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</si>
  <si>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</si>
  <si>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</si>
  <si>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</si>
  <si>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</si>
  <si>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</si>
  <si>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</si>
  <si>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</si>
  <si>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</si>
  <si>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</si>
  <si>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</si>
  <si>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</si>
  <si>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</si>
  <si>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</si>
  <si>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</si>
  <si>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</si>
  <si>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</si>
  <si>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</si>
  <si>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</si>
  <si>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</si>
  <si>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</si>
  <si>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</si>
  <si>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</si>
  <si>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</si>
  <si>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</si>
  <si>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</si>
  <si>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</si>
  <si>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</si>
  <si>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</si>
  <si>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</si>
  <si>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</si>
  <si>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</si>
  <si>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</si>
  <si>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</si>
  <si>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</si>
  <si>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</si>
  <si>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</si>
  <si>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</si>
  <si>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</si>
  <si>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</si>
  <si>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</si>
  <si>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</si>
  <si>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</si>
  <si>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</si>
  <si>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</si>
  <si>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</si>
  <si>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</si>
  <si>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</si>
  <si>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</si>
  <si>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</si>
  <si>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</si>
  <si>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</si>
  <si>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</si>
  <si>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</si>
  <si>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</si>
  <si>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</si>
  <si>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</si>
  <si>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</si>
  <si>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</si>
  <si>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</si>
  <si>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</si>
  <si>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</si>
  <si>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</si>
  <si>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</si>
  <si>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</si>
  <si>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</si>
  <si>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</si>
  <si>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</si>
  <si>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</si>
  <si>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</si>
  <si>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</si>
  <si>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</si>
  <si>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</si>
  <si>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</si>
  <si>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</si>
  <si>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</si>
  <si>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</si>
  <si>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</si>
  <si>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</si>
  <si>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</si>
  <si>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</si>
  <si>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</si>
  <si>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</si>
  <si>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</si>
  <si>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</si>
  <si>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</si>
  <si>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</si>
  <si>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</si>
  <si>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</si>
  <si>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</si>
  <si>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</si>
  <si>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</si>
  <si>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</si>
  <si>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</si>
  <si>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</si>
  <si>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</si>
  <si>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</si>
  <si>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</si>
  <si>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</si>
  <si>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</si>
  <si>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</si>
  <si>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</si>
  <si>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</si>
  <si>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</si>
  <si>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</si>
  <si>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</si>
  <si>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</si>
  <si>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</si>
  <si>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</si>
  <si>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</si>
  <si>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</si>
  <si>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</si>
  <si>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</si>
  <si>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</si>
  <si>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</si>
  <si>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</si>
  <si>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</si>
  <si>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</si>
  <si>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</si>
  <si>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</si>
  <si>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</si>
  <si>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</si>
  <si>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</si>
  <si>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</si>
  <si>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</si>
  <si>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</si>
  <si>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</si>
  <si>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</si>
  <si>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</si>
  <si>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</si>
  <si>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</si>
  <si>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</si>
  <si>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</si>
  <si>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</si>
  <si>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</si>
  <si>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</si>
  <si>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</si>
  <si>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</si>
  <si>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</si>
  <si>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</si>
  <si>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</si>
  <si>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</si>
  <si>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</si>
  <si>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</si>
  <si>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</si>
  <si>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</si>
  <si>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</si>
  <si>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</si>
  <si>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</si>
  <si>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</si>
  <si>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</si>
  <si>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</si>
  <si>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</si>
  <si>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</si>
  <si>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</si>
  <si>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</si>
  <si>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</si>
  <si>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</si>
  <si>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</si>
  <si>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</si>
  <si>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</si>
  <si>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</si>
  <si>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</si>
  <si>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</si>
  <si>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</si>
  <si>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</si>
  <si>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</si>
  <si>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</si>
  <si>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</si>
  <si>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</si>
  <si>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</si>
  <si>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</si>
  <si>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</si>
  <si>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</si>
  <si>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</si>
  <si>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</si>
  <si>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</si>
  <si>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</si>
  <si>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</si>
  <si>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</si>
  <si>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</si>
  <si>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</si>
  <si>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</si>
  <si>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</si>
  <si>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</si>
  <si>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</si>
  <si>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</si>
  <si>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</si>
  <si>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</si>
  <si>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</si>
  <si>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</si>
  <si>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</si>
  <si>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</si>
  <si>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</si>
  <si>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</si>
  <si>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</si>
  <si>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</si>
  <si>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</si>
  <si>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</si>
  <si>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</si>
  <si>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</si>
  <si>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</si>
  <si>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</si>
  <si>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</si>
  <si>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</si>
  <si>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</si>
  <si>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</si>
  <si>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</si>
  <si>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</si>
  <si>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</si>
  <si>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</si>
  <si>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</si>
  <si>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</si>
  <si>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</si>
  <si>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</si>
  <si>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</si>
  <si>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</si>
  <si>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</si>
  <si>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</si>
  <si>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</si>
  <si>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</si>
  <si>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</si>
  <si>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</si>
  <si>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</si>
  <si>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</si>
  <si>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</si>
  <si>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</si>
  <si>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</si>
  <si>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</si>
  <si>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</si>
  <si>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</si>
  <si>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</si>
  <si>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</si>
  <si>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</si>
  <si>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</si>
  <si>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</si>
  <si>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</si>
  <si>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</si>
  <si>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old</t>
  </si>
  <si>
    <t>old</t>
    <phoneticPr fontId="22"/>
  </si>
  <si>
    <t>ability_id</t>
    <phoneticPr fontId="22"/>
  </si>
  <si>
    <t>ability_param</t>
    <phoneticPr fontId="22"/>
  </si>
  <si>
    <t>valid_flg</t>
    <phoneticPr fontId="22"/>
  </si>
  <si>
    <t>character_id</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</si>
  <si>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</si>
  <si>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</si>
  <si>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</si>
  <si>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</si>
  <si>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</si>
  <si>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</si>
  <si>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</si>
  <si>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abilities_tmp_</t>
    <phoneticPr fontId="22"/>
  </si>
  <si>
    <t>.tmp</t>
    <phoneticPr fontId="22"/>
  </si>
  <si>
    <t>abilities</t>
    <phoneticPr fontId="22"/>
  </si>
  <si>
    <t>ability_id</t>
    <phoneticPr fontId="22"/>
  </si>
  <si>
    <t>ability_param</t>
    <phoneticPr fontId="22"/>
  </si>
  <si>
    <t>valid_flg</t>
    <phoneticPr fontId="22"/>
  </si>
  <si>
    <t>abilities_i18n_</t>
    <phoneticPr fontId="22"/>
  </si>
  <si>
    <t>language</t>
    <phoneticPr fontId="22"/>
  </si>
  <si>
    <t>name</t>
    <phoneticPr fontId="22"/>
  </si>
  <si>
    <t>comment</t>
    <phoneticPr fontId="22"/>
  </si>
  <si>
    <t>unit_abilities_</t>
    <phoneticPr fontId="22"/>
  </si>
  <si>
    <t>unit_abilities</t>
    <phoneticPr fontId="22"/>
  </si>
  <si>
    <t>character_id</t>
    <phoneticPr fontId="22"/>
  </si>
  <si>
    <t>ability_slot</t>
    <phoneticPr fontId="22"/>
  </si>
  <si>
    <t>ability_id</t>
    <phoneticPr fontId="9"/>
  </si>
  <si>
    <t>unlock_type</t>
    <phoneticPr fontId="9"/>
  </si>
  <si>
    <t>unlock_value</t>
    <phoneticPr fontId="22"/>
  </si>
  <si>
    <t>character_id</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</si>
  <si>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</si>
  <si>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</si>
  <si>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</si>
  <si>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</si>
  <si>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</si>
  <si>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</si>
  <si>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</si>
  <si>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</si>
  <si>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</si>
  <si>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name</t>
    <phoneticPr fontId="9"/>
  </si>
  <si>
    <t>base_character_id</t>
    <phoneticPr fontId="9"/>
  </si>
  <si>
    <t>name</t>
    <phoneticPr fontId="9"/>
  </si>
  <si>
    <t>awake_cost</t>
    <phoneticPr fontId="9"/>
  </si>
  <si>
    <t>normal</t>
    <phoneticPr fontId="9"/>
  </si>
  <si>
    <t>normal</t>
    <phoneticPr fontId="9"/>
  </si>
  <si>
    <t>awake_character_id</t>
    <phoneticPr fontId="9"/>
  </si>
  <si>
    <t>name</t>
    <phoneticPr fontId="9"/>
  </si>
  <si>
    <t>priority</t>
    <phoneticPr fontId="9"/>
  </si>
  <si>
    <t>fork_awake_units_</t>
    <phoneticPr fontId="22"/>
  </si>
  <si>
    <t>.tmp</t>
    <phoneticPr fontId="22"/>
  </si>
  <si>
    <t>fork_awake_units</t>
    <phoneticPr fontId="22"/>
  </si>
  <si>
    <t>character_id</t>
    <phoneticPr fontId="22"/>
  </si>
  <si>
    <t>awake_character_id</t>
    <phoneticPr fontId="22"/>
  </si>
  <si>
    <t>awake_cost</t>
    <phoneticPr fontId="22"/>
  </si>
  <si>
    <t>awake_type</t>
    <phoneticPr fontId="22"/>
  </si>
  <si>
    <t>fork_awake_materials_</t>
    <phoneticPr fontId="22"/>
  </si>
  <si>
    <t>awake_character_id</t>
    <phoneticPr fontId="22"/>
  </si>
  <si>
    <t>material_character_id</t>
    <phoneticPr fontId="22"/>
  </si>
  <si>
    <t>priority</t>
    <phoneticPr fontId="22"/>
  </si>
  <si>
    <t>ver</t>
    <phoneticPr fontId="22"/>
  </si>
  <si>
    <t>conditions</t>
    <phoneticPr fontId="22"/>
  </si>
  <si>
    <t>effects</t>
    <phoneticPr fontId="22"/>
  </si>
  <si>
    <t>priority</t>
    <phoneticPr fontId="22"/>
  </si>
  <si>
    <t>1体に特大ダメージ</t>
    <phoneticPr fontId="22"/>
  </si>
  <si>
    <t>[effect:damage, target:enemy_one, color:red, val:2.25, animation:damage_one_red04]</t>
    <phoneticPr fontId="22"/>
  </si>
  <si>
    <t>[effect:damage, target:enemy_one, color:blue, val:2.25, animation:damage_one_blue04]</t>
    <phoneticPr fontId="22"/>
  </si>
  <si>
    <t>1体に特大ダメージ</t>
    <phoneticPr fontId="22"/>
  </si>
  <si>
    <t>bug</t>
    <phoneticPr fontId="22"/>
  </si>
  <si>
    <t>1</t>
    <phoneticPr fontId="22"/>
  </si>
  <si>
    <t>giza</t>
    <phoneticPr fontId="22"/>
  </si>
  <si>
    <t>kumo</t>
    <phoneticPr fontId="22"/>
  </si>
  <si>
    <t>mesopotamia01</t>
    <phoneticPr fontId="22"/>
  </si>
  <si>
    <t>1体に超大ダメージ+
1ターン黄属性の防御力UP</t>
    <phoneticPr fontId="22"/>
  </si>
  <si>
    <t>Cパネル生成短縮</t>
    <phoneticPr fontId="22"/>
  </si>
  <si>
    <t>自身が先頭の時、Cパネル生成に必要なチェイン数を1短縮する</t>
    <phoneticPr fontId="22"/>
  </si>
  <si>
    <t>1.7.0</t>
    <phoneticPr fontId="22"/>
  </si>
  <si>
    <t xml:space="preserve">[condition:active_unit]    </t>
    <phoneticPr fontId="22"/>
  </si>
  <si>
    <t>[effect:crash_condition, target:myself, val:-1, turn:1]</t>
    <phoneticPr fontId="22"/>
  </si>
  <si>
    <t>ja</t>
    <phoneticPr fontId="22"/>
  </si>
  <si>
    <t>0</t>
    <phoneticPr fontId="22"/>
  </si>
  <si>
    <t>required_exp_200</t>
    <phoneticPr fontId="9"/>
  </si>
  <si>
    <t>黄パネルをハートボムパネルに変換+2ターンドラゴンの攻撃力を超大UP</t>
    <phoneticPr fontId="22"/>
  </si>
  <si>
    <t>時限式ダメージパネルを緑パネルに変換+1ターン敵全体の防御力を0にする</t>
    <phoneticPr fontId="22"/>
  </si>
  <si>
    <t>[effect:force_change_block, new_block:block_green, target:time_bomb, ignore01:block_green, count:0, val:0, animation:change_block],[effect:guard_break, target:enemy_all, turn:1, val:1.0, calc:mul, animation:guard_break01]</t>
    <phoneticPr fontId="22"/>
  </si>
  <si>
    <t>PremiumSSw</t>
    <phoneticPr fontId="9"/>
  </si>
  <si>
    <t>PremiumSSw</t>
    <phoneticPr fontId="9"/>
  </si>
  <si>
    <t>1体に特大ダメージ</t>
    <phoneticPr fontId="22"/>
  </si>
  <si>
    <t>[effect:damage, target:enemy_one, color:yellow, val:1.2, animation:damage_one_yellow03],[effect:damage, target:enemy_one, color:yellow, val:1.2, animation:damage_one_yellow03]</t>
    <phoneticPr fontId="22"/>
  </si>
  <si>
    <t>単体に2回中ダメージ</t>
    <phoneticPr fontId="22"/>
  </si>
  <si>
    <t>3ターン青・緑属性の攻撃力を特大UP+赤パネルを緑パネルに、黄パネルを青パネルに変換する</t>
    <phoneticPr fontId="22"/>
  </si>
  <si>
    <t>1体に大ダメージ
Unknownに効果超大</t>
    <phoneticPr fontId="22"/>
  </si>
  <si>
    <t>1体に大ダメージ
Unknownに効果特大</t>
    <phoneticPr fontId="22"/>
  </si>
  <si>
    <t>30</t>
    <phoneticPr fontId="22"/>
  </si>
  <si>
    <t>お邪魔パネルを黄パネルに変換+2ターン黄属性の攻撃力特大UP</t>
    <phoneticPr fontId="22"/>
  </si>
  <si>
    <t>お邪魔パネルを黄パネルに変換+3ターン黄属性の攻撃力特大UP</t>
    <phoneticPr fontId="22"/>
  </si>
  <si>
    <t>[effect:force_change_block, new_block:block_yellow, target:jammer, count:0, val:0, animation:change_block],[effect:enhance_unit, target:unit_yellow, turn:3, status:attack, val:0.255, calc:mul, animation:enhance_unit_all_attack04_unit01]</t>
    <phoneticPr fontId="22"/>
  </si>
  <si>
    <t>[effect:force_change_block, new_block:crack_bomb, target:block_yellow, ignore:crack_bomb, color:block_heart, count:0, val:12, animation:change_block],[effect:enhance_unit, target:unit_dragon, turn:2, status:attack, val:0.28, calc:mul, animation:enhance_unit_one_attack02]</t>
    <phoneticPr fontId="22"/>
  </si>
  <si>
    <t>1体に超大ダメージ</t>
    <phoneticPr fontId="22"/>
  </si>
  <si>
    <t>[effect:damage, target:enemy_one, color:green, val:2.25, animation:damage_one_green04]</t>
    <phoneticPr fontId="22"/>
  </si>
  <si>
    <t>ヴァイオレット・ヴィーナス</t>
  </si>
  <si>
    <t>ヴァリアブル・ヴィーナス</t>
  </si>
  <si>
    <t>両断ティアリング</t>
    <rPh sb="0" eb="2">
      <t>リョウダン</t>
    </rPh>
    <phoneticPr fontId="22"/>
  </si>
  <si>
    <t>一投猟断ティアリング</t>
    <rPh sb="0" eb="4">
      <t>イットウリョウダン</t>
    </rPh>
    <phoneticPr fontId="22"/>
  </si>
  <si>
    <t>ジュディシャル・フェザース</t>
    <phoneticPr fontId="22"/>
  </si>
  <si>
    <t>ジュディシャル・ウィングス</t>
    <phoneticPr fontId="22"/>
  </si>
  <si>
    <t>発光性ドラゴニック・ファング</t>
    <rPh sb="0" eb="3">
      <t>ハッコウセイ</t>
    </rPh>
    <phoneticPr fontId="22"/>
  </si>
  <si>
    <t>激昂性ドラゴニック・ファング</t>
    <rPh sb="0" eb="2">
      <t>ゲッコウ</t>
    </rPh>
    <phoneticPr fontId="22"/>
  </si>
  <si>
    <t>インファント・トルネード</t>
    <phoneticPr fontId="22"/>
  </si>
  <si>
    <t>インファント・タービュランス</t>
    <phoneticPr fontId="22"/>
  </si>
  <si>
    <t>サーチ・アンド・スマッシュ</t>
    <phoneticPr fontId="22"/>
  </si>
  <si>
    <t>サーチ・アンド・デストロイ</t>
    <phoneticPr fontId="22"/>
  </si>
  <si>
    <t>紺沌・ドラゴニックアイズ</t>
    <rPh sb="0" eb="1">
      <t>コン</t>
    </rPh>
    <rPh sb="1" eb="2">
      <t>コントン</t>
    </rPh>
    <phoneticPr fontId="22"/>
  </si>
  <si>
    <t>聖婚・ドラゴニックスマイル</t>
    <rPh sb="0" eb="2">
      <t>セイコン</t>
    </rPh>
    <phoneticPr fontId="22"/>
  </si>
  <si>
    <t>階段状ジッグラト</t>
    <phoneticPr fontId="22"/>
  </si>
  <si>
    <t>天段上ジッグラト</t>
    <rPh sb="0" eb="1">
      <t>テンカイ</t>
    </rPh>
    <rPh sb="1" eb="2">
      <t>ダン</t>
    </rPh>
    <rPh sb="2" eb="3">
      <t>ジョウ</t>
    </rPh>
    <phoneticPr fontId="22"/>
  </si>
  <si>
    <t>ニヌルタ直伝・斧剣勇技</t>
    <rPh sb="7" eb="8">
      <t>オノ</t>
    </rPh>
    <phoneticPr fontId="22"/>
  </si>
  <si>
    <t>承認強制マグネティックボール</t>
    <phoneticPr fontId="22"/>
  </si>
  <si>
    <t>11ハーツ</t>
    <phoneticPr fontId="22"/>
  </si>
  <si>
    <t>11ソウルズ・レイジング</t>
    <phoneticPr fontId="22"/>
  </si>
  <si>
    <t>無邪気な風射</t>
    <phoneticPr fontId="22"/>
  </si>
  <si>
    <t>無責任な機動風射</t>
    <phoneticPr fontId="22"/>
  </si>
  <si>
    <t>1体に大ダメージ</t>
    <phoneticPr fontId="22"/>
  </si>
  <si>
    <t>1体に大ダメージ</t>
    <phoneticPr fontId="22"/>
  </si>
  <si>
    <t>大衝突グレイトホーン</t>
    <rPh sb="0" eb="3">
      <t>ダイショウトツ</t>
    </rPh>
    <phoneticPr fontId="22"/>
  </si>
  <si>
    <t>創世のテリブル・ウォーター</t>
  </si>
  <si>
    <t>giza</t>
    <phoneticPr fontId="22"/>
  </si>
  <si>
    <t>ふきとんじゃえー！</t>
    <phoneticPr fontId="22"/>
  </si>
  <si>
    <t>kumo</t>
    <phoneticPr fontId="22"/>
  </si>
  <si>
    <t>フルパワーにしちゃった…！</t>
    <phoneticPr fontId="22"/>
  </si>
  <si>
    <t>giza</t>
    <phoneticPr fontId="22"/>
  </si>
  <si>
    <r>
      <t>おレ おまエ にがサなイ</t>
    </r>
    <r>
      <rPr>
        <sz val="10"/>
        <color rgb="FF0070C0"/>
        <rFont val="ＭＳ Ｐゴシック"/>
        <family val="3"/>
        <charset val="128"/>
      </rPr>
      <t/>
    </r>
    <phoneticPr fontId="22"/>
  </si>
  <si>
    <t>こワす コれ メいれい</t>
    <phoneticPr fontId="22"/>
  </si>
  <si>
    <t>子供扱いしないで！！</t>
    <rPh sb="0" eb="2">
      <t>コドモ</t>
    </rPh>
    <phoneticPr fontId="22"/>
  </si>
  <si>
    <t>maru</t>
    <phoneticPr fontId="22"/>
  </si>
  <si>
    <r>
      <t>ワガママで何が悪いの？</t>
    </r>
    <r>
      <rPr>
        <sz val="10"/>
        <color rgb="FF0070C0"/>
        <rFont val="ＭＳ Ｐゴシック"/>
        <family val="3"/>
        <charset val="128"/>
      </rPr>
      <t/>
    </r>
    <phoneticPr fontId="22"/>
  </si>
  <si>
    <t>maru</t>
    <phoneticPr fontId="22"/>
  </si>
  <si>
    <t>輝く爪こそ母様の贈り物です</t>
    <phoneticPr fontId="22"/>
  </si>
  <si>
    <t>giza</t>
    <phoneticPr fontId="22"/>
  </si>
  <si>
    <t>無礼な！道を開けなさい！！</t>
    <phoneticPr fontId="22"/>
  </si>
  <si>
    <t>giza</t>
    <phoneticPr fontId="22"/>
  </si>
  <si>
    <t>ふっ…ここは私が裁こう！</t>
    <phoneticPr fontId="22"/>
  </si>
  <si>
    <t>私の手にかかるのだ…歓べ！</t>
    <rPh sb="10" eb="11">
      <t>ヨロコ</t>
    </rPh>
    <phoneticPr fontId="22"/>
  </si>
  <si>
    <r>
      <t>これで、オワリにする</t>
    </r>
    <r>
      <rPr>
        <sz val="10"/>
        <color rgb="FF0070C0"/>
        <rFont val="ＭＳ Ｐゴシック"/>
        <family val="3"/>
        <charset val="128"/>
      </rPr>
      <t/>
    </r>
    <phoneticPr fontId="22"/>
  </si>
  <si>
    <t>オマエ、死ぬつもりなのか？</t>
    <phoneticPr fontId="22"/>
  </si>
  <si>
    <t>力量、測ってあげるわ</t>
    <phoneticPr fontId="22"/>
  </si>
  <si>
    <t>maru</t>
    <phoneticPr fontId="22"/>
  </si>
  <si>
    <t>あなた、壊してあげるわ</t>
    <phoneticPr fontId="22"/>
  </si>
  <si>
    <t>maru</t>
    <phoneticPr fontId="22"/>
  </si>
  <si>
    <r>
      <t>もう戻ってこれないわよ</t>
    </r>
    <r>
      <rPr>
        <sz val="10"/>
        <color rgb="FF0070C0"/>
        <rFont val="ＭＳ Ｐゴシック"/>
        <family val="3"/>
        <charset val="128"/>
      </rPr>
      <t/>
    </r>
    <phoneticPr fontId="22"/>
  </si>
  <si>
    <t>giza</t>
    <phoneticPr fontId="22"/>
  </si>
  <si>
    <t>試させてもらうわよ！</t>
    <phoneticPr fontId="22"/>
  </si>
  <si>
    <t>maru</t>
    <phoneticPr fontId="22"/>
  </si>
  <si>
    <t>中々素敵じゃないのよ</t>
    <phoneticPr fontId="22"/>
  </si>
  <si>
    <t>これが最後の景色よ！</t>
    <phoneticPr fontId="22"/>
  </si>
  <si>
    <t>チカラは身を守るもの</t>
    <phoneticPr fontId="22"/>
  </si>
  <si>
    <t>オレの居場所を荒らすな</t>
    <phoneticPr fontId="22"/>
  </si>
  <si>
    <t>ナカマに、手をだすな！</t>
    <phoneticPr fontId="22"/>
  </si>
  <si>
    <t>見せる…オレのチカラ！</t>
    <phoneticPr fontId="22"/>
  </si>
  <si>
    <t>こっちを見ろ！…私を！</t>
    <phoneticPr fontId="22"/>
  </si>
  <si>
    <t>刑を執行する！私がな！</t>
    <phoneticPr fontId="22"/>
  </si>
  <si>
    <t>私の許可無く暴れるな！</t>
    <phoneticPr fontId="22"/>
  </si>
  <si>
    <t>私の命令だ…光栄だろう</t>
    <phoneticPr fontId="22"/>
  </si>
  <si>
    <t>同胞よ…わたしに力を</t>
    <phoneticPr fontId="22"/>
  </si>
  <si>
    <t>不躾は身を滅ぼしますよ</t>
    <phoneticPr fontId="22"/>
  </si>
  <si>
    <t>maru</t>
    <phoneticPr fontId="22"/>
  </si>
  <si>
    <t>母様、よろしいですね…</t>
    <phoneticPr fontId="22"/>
  </si>
  <si>
    <t>あははっ！どうだ〜！</t>
    <phoneticPr fontId="22"/>
  </si>
  <si>
    <t>maru</t>
    <phoneticPr fontId="22"/>
  </si>
  <si>
    <t>へへーん！こっちだよ！</t>
    <phoneticPr fontId="22"/>
  </si>
  <si>
    <t>僕のせいじゃないもん！</t>
    <phoneticPr fontId="22"/>
  </si>
  <si>
    <r>
      <t>みつケた おまエ</t>
    </r>
    <r>
      <rPr>
        <sz val="10"/>
        <color rgb="FFFF0000"/>
        <rFont val="ＭＳ Ｐゴシック"/>
        <family val="3"/>
        <charset val="128"/>
      </rPr>
      <t/>
    </r>
    <phoneticPr fontId="22"/>
  </si>
  <si>
    <t>おレ はヤい</t>
    <phoneticPr fontId="22"/>
  </si>
  <si>
    <r>
      <t>みつケた おまエ</t>
    </r>
    <r>
      <rPr>
        <sz val="10"/>
        <color rgb="FFFF0000"/>
        <rFont val="ＭＳ Ｐゴシック"/>
        <family val="3"/>
        <charset val="128"/>
      </rPr>
      <t/>
    </r>
    <phoneticPr fontId="22"/>
  </si>
  <si>
    <t>おレ はヤい</t>
    <phoneticPr fontId="22"/>
  </si>
  <si>
    <t>giza</t>
    <phoneticPr fontId="22"/>
  </si>
  <si>
    <t>かザあな あケる</t>
    <phoneticPr fontId="22"/>
  </si>
  <si>
    <r>
      <t>溺れてもらう、永遠に！</t>
    </r>
    <r>
      <rPr>
        <sz val="10"/>
        <color rgb="FFFF0000"/>
        <rFont val="ＭＳ Ｐゴシック"/>
        <family val="3"/>
        <charset val="128"/>
      </rPr>
      <t/>
    </r>
    <phoneticPr fontId="22"/>
  </si>
  <si>
    <t>あたしを見くびるからよ</t>
    <phoneticPr fontId="22"/>
  </si>
  <si>
    <t>好きにやらせてもらうわ</t>
    <phoneticPr fontId="22"/>
  </si>
  <si>
    <t>giza</t>
    <phoneticPr fontId="22"/>
  </si>
  <si>
    <r>
      <t>溺れてもらう、永遠に！</t>
    </r>
    <r>
      <rPr>
        <sz val="10"/>
        <color rgb="FFFF0000"/>
        <rFont val="ＭＳ Ｐゴシック"/>
        <family val="3"/>
        <charset val="128"/>
      </rPr>
      <t/>
    </r>
    <phoneticPr fontId="22"/>
  </si>
  <si>
    <t>maru</t>
    <phoneticPr fontId="22"/>
  </si>
  <si>
    <t>あたしを見くびるからよ</t>
    <phoneticPr fontId="22"/>
  </si>
  <si>
    <t>kumo</t>
    <phoneticPr fontId="22"/>
  </si>
  <si>
    <t>好きにやらせてもらうわ</t>
    <phoneticPr fontId="22"/>
  </si>
  <si>
    <t>あーもう！邪魔なのよ！</t>
    <phoneticPr fontId="22"/>
  </si>
  <si>
    <t>balance</t>
    <phoneticPr fontId="10"/>
  </si>
  <si>
    <t>[effect:force_change_block, new_block:block_yellow, target:jammer, count:0, val:0, animation:change_block],[effect:enhance_unit, target:unit_yellow, turn:2, status:attack, val:0.255, calc:mul, animation:enhance_unit_all_attack04_unit01]</t>
    <phoneticPr fontId="22"/>
  </si>
  <si>
    <t>2ターン黄属性の攻撃力、回復力を超大UPする+青・お邪魔パネルを吸収してHP大回復</t>
    <phoneticPr fontId="22"/>
  </si>
  <si>
    <t>[effect:damage, target:enemy_one, color:green, val:2, animation:damage_one_green03]</t>
    <phoneticPr fontId="22"/>
  </si>
  <si>
    <t>[effect:force_change_block, new_block:crack_bomb, target:block_yellow, ignore:crack_bomb, color:block_heart, count:0, val:12, animation:change_block],[effect:enhance_unit, target:unit_dragon, turn:2, status:attack, val:0.28, calc:mul, animation:enhance_unit_one_attack02]</t>
    <phoneticPr fontId="22"/>
  </si>
  <si>
    <t>[effect:damage, target:enemy_one, color:red, val:2, animation:damage_one_red03]</t>
    <phoneticPr fontId="22"/>
  </si>
  <si>
    <t>[effect:damage, target:enemy_one, color:yellow, val:1.2, animation:damage_one_yellow03],[effect:damage, target:enemy_one, color:yellow, val:1.2, animation:damage_one_yellow03]</t>
    <phoneticPr fontId="22"/>
  </si>
  <si>
    <t>[effect:damage, target:enemy_one, color:green, val:2.5, animation:damage_one_green04]</t>
    <phoneticPr fontId="22"/>
  </si>
  <si>
    <t>[effect:damage, target:enemy_one, color:yellow, val:2, animation:damage_one_yellow04],
[effect:enhance_unit, target:unit_yellow, turn:1, status:defense, val:72, calc:add,animation:enhance_unit_all_deffence02_unit01]</t>
    <phoneticPr fontId="22"/>
  </si>
  <si>
    <t>[effect:force_change_block, new_block:block_green, target:time_bomb, ignore01:block_green, count:0, val:0, animation:change_block],[effect:guard_break, target:enemy_all, turn:1, val:1.0, calc:mul, animation:guard_break01]</t>
    <phoneticPr fontId="22"/>
  </si>
  <si>
    <t>ハートパネルを青パネルに変換+1ターン青属性の攻撃力をUP(黄パネルを吸収し効果超大UP)し、黄パネルが出現しなくなる</t>
    <phoneticPr fontId="22"/>
  </si>
  <si>
    <t>ハートパネルを青パネルに変換+1ターン青属性の攻撃力をUP(黄パネルを吸収し効果超大UP)し、黄パネルが出現しなくなる</t>
    <phoneticPr fontId="22"/>
  </si>
  <si>
    <t>[effect:force_change_block, new_block:block_blue, target:block_heart, ignore01:block_blue, count:0, val:0, animation:change_block],[effect:break_enchance_unit, target:unit_blue, val:0.018, lowest_val:0.1, count :-1, status:attack, turn:1,  block01:block_yellow, calc:mul, animation:enhance_unit_all_attack04],[effect:change_panel_ratio, turn:1, block_type:yellow, val:0]</t>
    <phoneticPr fontId="22"/>
  </si>
  <si>
    <t xml:space="preserve">[effect:damage_gravity, target:enemy_one, val:0.3, animation:damage_gravity_one05],[effect:force_change_block, new_block:block_green, target:block_heart, ignore01:block_green, count:0, val:0, animation:change_block]    </t>
    <phoneticPr fontId="22"/>
  </si>
  <si>
    <t>2ターン黄属性の攻撃力、回復力を超大UPする+青・お邪魔パネルを吸収してHP大回復</t>
    <phoneticPr fontId="22"/>
  </si>
  <si>
    <t>[effect:enhance_unit, target:unit_yellow, turn:2, status:attack, val:0.28, calc:mul, animation:enhance_unit_all_attack04_unit01],[effect:enhance_unit, target:unit_yellow, turn:2, status:heal, val:0.54, calc:mul, animation:enhance_unit_all_heal04],[effect:break_heal_ratio, val:0.15, lowest_val:1000, count:-1, block01:block_blue, block02:jammer, animation:heal03]</t>
    <phoneticPr fontId="22"/>
  </si>
  <si>
    <t>[effect:enhance_unit, target:unit_yellow, turn:2, status:attack, val:0.28, calc:mul, animation:enhance_unit_all_attack04_unit01],[effect:enhance_unit, target:unit_yellow, turn:2, status:heal, val:0.54, calc:mul, animation:enhance_unit_all_heal04],[effect:break_heal_ratio, val:0.15, lowest_val:1000, count:-1, block01:block_blue, block02:jammer, animation:heal03]</t>
    <phoneticPr fontId="22"/>
  </si>
  <si>
    <t>ja</t>
    <phoneticPr fontId="22"/>
  </si>
  <si>
    <t>[effect:enhance_unit, target:myself, turn:1, status:attack, val:0.2, calc:mul, animation:enhance_unit_all_attack03]</t>
    <phoneticPr fontId="22"/>
  </si>
  <si>
    <t>15</t>
    <phoneticPr fontId="22"/>
  </si>
  <si>
    <t>[effect:damage_anti_tribe, target:enemy_one, tribe:unknown, val1:3.75, val2:1.31,  animation:damage_one_blue04]</t>
    <phoneticPr fontId="22"/>
  </si>
  <si>
    <t>[effect:damage_anti_tribe, target:enemy_one, tribe:unknown, val1:3.375, val2:1.31,  animation:damage_one_blue04]</t>
    <phoneticPr fontId="22"/>
  </si>
  <si>
    <t>[effect:force_change_block, new_block:block_blue, target:block_yellow, ignore01:block_blue, ignore02:block_red, count:0, val:0, animation:change_block],[effect:force_change_block, new_block:block_green, target:block_red, ignore01:block_green, ignore02:block_yellow, count:0, val:0, animation:change_block],[effect:enhance_unit, target:unit_blue/unit_green/or, turn:3, status:attack, val:0.255, calc:mul, animation:enhance_unit_all_attack03]</t>
    <phoneticPr fontId="22"/>
  </si>
  <si>
    <t>[effect:force_change_block, new_block:block_blue, target:block_yellow, ignore01:block_blue, ignore02:block_red, count:0, val:0, animation:change_block],[effect:force_change_block, new_block:block_green, target:block_red, ignore01:block_green, ignore02:block_yellow, count:0, val:0, animation:change_block],[effect:enhance_unit, target:unit_blue/unit_green/or, turn:3, status:attack, val:0.255, calc:mul, animation:enhance_unit_all_attack03]</t>
    <phoneticPr fontId="22"/>
  </si>
  <si>
    <t>強制ステイル・メイト</t>
    <phoneticPr fontId="22"/>
  </si>
  <si>
    <t>凶性スマザード・メイト</t>
    <phoneticPr fontId="22"/>
  </si>
  <si>
    <t>キングス・コマンド</t>
    <phoneticPr fontId="22"/>
  </si>
  <si>
    <t>中々いい手だったけどな</t>
    <phoneticPr fontId="22"/>
  </si>
  <si>
    <t>決めるのはオレ！！</t>
    <phoneticPr fontId="22"/>
  </si>
  <si>
    <t>ちぇ…つまんねーの！</t>
    <phoneticPr fontId="22"/>
  </si>
  <si>
    <r>
      <t>オレが絶対だ！</t>
    </r>
    <r>
      <rPr>
        <sz val="10"/>
        <color rgb="FF0070C0"/>
        <rFont val="ＭＳ Ｐゴシック"/>
        <family val="3"/>
        <charset val="128"/>
      </rPr>
      <t/>
    </r>
    <rPh sb="3" eb="5">
      <t>ゼッタイ</t>
    </rPh>
    <phoneticPr fontId="22"/>
  </si>
  <si>
    <t>決着はまだ早いぜ？</t>
    <phoneticPr fontId="22"/>
  </si>
  <si>
    <t>これでスマザードメイトだ！</t>
    <phoneticPr fontId="22"/>
  </si>
  <si>
    <t>[effect:force_change_block, new_block:crash, target:block_all, ignore01:crash, count:1, val:36, animation:change_block],[effect:force_change_block, new_block:crash, target:block_all, ignore01:crash, count:1, val:24, animation:change_block],[effect:force_change_block, new_block:crash, target:block_all, ignore01:crash, count:4, val:8, animation:change_block],</t>
    <phoneticPr fontId="22"/>
  </si>
  <si>
    <t>ランダムでパネルをSCパネル(特大)に1つ、SCパネル(大)に1つ、Cパネル(大)に4つ変換</t>
    <phoneticPr fontId="22"/>
  </si>
  <si>
    <t>ランダムでパネルをSCパネル(特大)に1つ、SCパネル(大)に1つ、Cパネル(大)に4つ変換</t>
    <phoneticPr fontId="22"/>
  </si>
  <si>
    <t>[condition:enclose,[condition:active_unit],[condition:panel_chain,count:12],logic:and]</t>
    <phoneticPr fontId="22"/>
  </si>
  <si>
    <t>自身が先頭の時、1タップで12チェイン以上をした時に自身の攻撃力UP(1ターンに1度だけ発動)</t>
    <phoneticPr fontId="22"/>
  </si>
  <si>
    <t>sell_ghosts</t>
    <phoneticPr fontId="10"/>
  </si>
  <si>
    <t>sell_ghosts</t>
    <phoneticPr fontId="22"/>
  </si>
  <si>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</si>
  <si>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</si>
  <si>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</si>
  <si>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</si>
  <si>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</si>
  <si>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</si>
  <si>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</si>
  <si>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</si>
  <si>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</si>
  <si>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</si>
  <si>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</si>
  <si>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</si>
  <si>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</si>
  <si>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</si>
  <si>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</si>
  <si>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</si>
  <si>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</si>
  <si>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</si>
  <si>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</si>
  <si>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</si>
  <si>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[effect:damage_gravity, target:enemy_one, val:0.3, animation:damage_gravity_one05],[effect:force_change_block, new_block:crack_bomb, target:time_bomb, color:block_green, count:0, val:12, animation:change_block],[effect:force_change_block, new_block:block_yellow, target:damage, count:0, val:0, animation:change_block]</t>
    <phoneticPr fontId="22"/>
  </si>
  <si>
    <t>敵1体の残りHPを30%減少+ハートパネルを緑パネルに変換</t>
    <rPh sb="4" eb="5">
      <t>ノコr</t>
    </rPh>
    <phoneticPr fontId="22"/>
  </si>
  <si>
    <t>敵1体の残りHPを30%減少+時限式ダメージパネルを緑ボムパネルに、ダメージパネルを黄パネルに変換</t>
    <phoneticPr fontId="22"/>
  </si>
  <si>
    <t>チェイン12 攻撃力UP</t>
    <phoneticPr fontId="22"/>
  </si>
  <si>
    <t>category</t>
    <phoneticPr fontId="22"/>
  </si>
  <si>
    <t>Cパネル生成短縮</t>
    <phoneticPr fontId="22"/>
  </si>
  <si>
    <t>攻撃力UP</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</si>
</sst>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0"/>
      <color rgb="FF0070C0"/>
      <name val="ＭＳ Ｐゴシック"/>
      <family val="3"/>
      <charset val="128"/>
    </font>
    <font>
      <sz val="10"/>
      <color rgb="FFFF0000"/>
      <name val="ＭＳ Ｐゴシック"/>
      <family val="3"/>
      <charset val="128"/>
    </font>
  </fonts>
  <fills count="31">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9" tint="0.79998168889431442"/>
        <bgColor indexed="59"/>
      </patternFill>
    </fill>
    <fill>
      <patternFill patternType="solid">
        <fgColor theme="4" tint="0.79998168889431442"/>
        <bgColor indexed="59"/>
      </patternFill>
    </fill>
    <fill>
      <patternFill patternType="solid">
        <fgColor theme="0" tint="-0.14999847407452621"/>
        <bgColor indexed="55"/>
      </patternFill>
    </fill>
    <fill>
      <patternFill patternType="solid">
        <fgColor rgb="FFCCFFCC"/>
        <bgColor indexed="64"/>
      </patternFill>
    </fill>
  </fills>
  <borders count="29">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
      <left/>
      <right/>
      <top style="thin">
        <color indexed="8"/>
      </top>
      <bottom style="thin">
        <color indexed="8"/>
      </bottom>
      <diagonal/>
    </border>
  </borders>
  <cellStyleXfs count="4586">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11">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0" fillId="0" borderId="0" xfId="0" applyFill="1"/>
    <xf numFmtId="0" fontId="16" fillId="0" borderId="1" xfId="0" applyFont="1" applyFill="1" applyBorder="1" applyAlignment="1">
      <alignment horizontal="left" vertical="center"/>
    </xf>
    <xf numFmtId="0" fontId="16" fillId="0" borderId="4" xfId="0" applyFont="1" applyFill="1" applyBorder="1" applyAlignment="1">
      <alignment horizontal="left" vertical="center"/>
    </xf>
    <xf numFmtId="0" fontId="16" fillId="0" borderId="0" xfId="0" applyFont="1" applyFill="1" applyAlignment="1">
      <alignment horizontal="lef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6" fillId="0" borderId="4" xfId="0" applyFont="1" applyFill="1" applyBorder="1"/>
    <xf numFmtId="0" fontId="12" fillId="28" borderId="4" xfId="0" applyFont="1" applyFill="1" applyBorder="1" applyAlignment="1">
      <alignment horizontal="center"/>
    </xf>
    <xf numFmtId="0" fontId="16" fillId="7" borderId="28" xfId="0" applyFont="1" applyFill="1" applyBorder="1" applyAlignment="1">
      <alignment horizontal="left" vertical="center"/>
    </xf>
    <xf numFmtId="0" fontId="13" fillId="8" borderId="4" xfId="0" applyFont="1" applyFill="1" applyBorder="1" applyAlignment="1">
      <alignment horizontal="center" vertical="center"/>
    </xf>
    <xf numFmtId="0" fontId="16" fillId="8" borderId="4" xfId="0" applyFont="1" applyFill="1" applyBorder="1" applyAlignment="1">
      <alignment horizontal="center" vertical="center"/>
    </xf>
    <xf numFmtId="0" fontId="13" fillId="8" borderId="4" xfId="0" applyFont="1" applyFill="1" applyBorder="1"/>
    <xf numFmtId="0" fontId="13" fillId="0" borderId="6" xfId="0" applyFont="1" applyFill="1" applyBorder="1"/>
    <xf numFmtId="0" fontId="13" fillId="0" borderId="4" xfId="0" applyFont="1" applyFill="1" applyBorder="1"/>
    <xf numFmtId="0" fontId="13" fillId="0" borderId="4" xfId="0" applyFont="1" applyFill="1" applyBorder="1" applyAlignment="1">
      <alignment vertical="center" wrapText="1"/>
    </xf>
    <xf numFmtId="0" fontId="16" fillId="29" borderId="4" xfId="0" applyFont="1" applyFill="1" applyBorder="1"/>
    <xf numFmtId="49" fontId="12" fillId="0" borderId="4" xfId="0" applyNumberFormat="1" applyFont="1" applyFill="1" applyBorder="1" applyAlignment="1">
      <alignment vertical="center"/>
    </xf>
    <xf numFmtId="49" fontId="12" fillId="0" borderId="4" xfId="0" applyNumberFormat="1" applyFont="1" applyFill="1" applyBorder="1" applyAlignment="1">
      <alignment vertical="center" wrapText="1"/>
    </xf>
    <xf numFmtId="0" fontId="12" fillId="22" borderId="4" xfId="0" applyNumberFormat="1" applyFont="1" applyFill="1" applyBorder="1" applyAlignment="1">
      <alignment vertical="center"/>
    </xf>
    <xf numFmtId="0" fontId="12" fillId="0" borderId="4" xfId="0" applyFont="1" applyFill="1" applyBorder="1" applyAlignment="1">
      <alignment vertical="center"/>
    </xf>
    <xf numFmtId="0" fontId="8" fillId="14" borderId="1" xfId="0" applyFont="1" applyFill="1" applyBorder="1" applyAlignment="1">
      <alignment horizontal="center" vertical="center"/>
    </xf>
    <xf numFmtId="0" fontId="12" fillId="30" borderId="4" xfId="0" applyFont="1" applyFill="1" applyBorder="1" applyAlignment="1">
      <alignment horizontal="left" vertical="center" wrapText="1"/>
    </xf>
    <xf numFmtId="0" fontId="12" fillId="30" borderId="4" xfId="0" applyFont="1" applyFill="1" applyBorder="1" applyAlignment="1">
      <alignment horizontal="left" vertical="center"/>
    </xf>
    <xf numFmtId="56" fontId="12" fillId="30" borderId="4" xfId="0" applyNumberFormat="1" applyFont="1" applyFill="1" applyBorder="1" applyAlignment="1">
      <alignment horizontal="left" vertical="center"/>
    </xf>
    <xf numFmtId="0" fontId="30" fillId="30" borderId="4" xfId="0" applyFont="1" applyFill="1" applyBorder="1" applyAlignment="1">
      <alignment horizontal="left" vertical="center" wrapText="1"/>
    </xf>
    <xf numFmtId="0" fontId="16" fillId="30" borderId="4" xfId="0" applyFont="1" applyFill="1" applyBorder="1" applyAlignment="1">
      <alignment horizontal="left" vertical="center" wrapText="1"/>
    </xf>
    <xf numFmtId="0" fontId="16" fillId="14" borderId="1" xfId="0" applyFont="1" applyFill="1" applyBorder="1" applyAlignment="1">
      <alignment horizontal="left" vertical="center"/>
    </xf>
    <xf numFmtId="0" fontId="16" fillId="14" borderId="4" xfId="0" applyFont="1" applyFill="1" applyBorder="1" applyAlignment="1">
      <alignment horizontal="left" vertical="center"/>
    </xf>
    <xf numFmtId="0" fontId="0" fillId="25" borderId="4" xfId="0" applyFill="1" applyBorder="1" applyAlignment="1">
      <alignment horizontal="center"/>
    </xf>
  </cellXfs>
  <cellStyles count="4586">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赤字強調" xfId="4"/>
    <cellStyle name="青字強調" xfId="3"/>
  </cellStyles>
  <dxfs count="32">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row>
        <row r="3">
          <cell r="A3">
            <v>2</v>
          </cell>
          <cell r="B3" t="str">
            <v>ja</v>
          </cell>
          <cell r="C3" t="str">
            <v>イレギュラー・ジェリー</v>
          </cell>
        </row>
        <row r="4">
          <cell r="A4">
            <v>3</v>
          </cell>
          <cell r="B4" t="str">
            <v>ja</v>
          </cell>
          <cell r="C4" t="str">
            <v>エージェント ジョー</v>
          </cell>
        </row>
        <row r="5">
          <cell r="A5">
            <v>4</v>
          </cell>
          <cell r="B5" t="str">
            <v>ja</v>
          </cell>
          <cell r="C5" t="str">
            <v>エースエージェント ジョー</v>
          </cell>
        </row>
        <row r="6">
          <cell r="A6">
            <v>5</v>
          </cell>
          <cell r="B6" t="str">
            <v>ja</v>
          </cell>
          <cell r="C6" t="str">
            <v>パトドッグ ポチ</v>
          </cell>
        </row>
        <row r="7">
          <cell r="A7">
            <v>6</v>
          </cell>
          <cell r="B7" t="str">
            <v>ja</v>
          </cell>
          <cell r="C7" t="str">
            <v>パトドッグリーダー ポチ</v>
          </cell>
        </row>
        <row r="8">
          <cell r="A8">
            <v>7</v>
          </cell>
          <cell r="B8" t="str">
            <v>ja</v>
          </cell>
          <cell r="C8" t="str">
            <v>エレキポット</v>
          </cell>
        </row>
        <row r="9">
          <cell r="A9">
            <v>8</v>
          </cell>
          <cell r="B9" t="str">
            <v>ja</v>
          </cell>
          <cell r="C9" t="str">
            <v>ハイボルテージ エレキポット</v>
          </cell>
        </row>
        <row r="10">
          <cell r="A10">
            <v>9</v>
          </cell>
          <cell r="B10" t="str">
            <v>ja</v>
          </cell>
          <cell r="C10" t="str">
            <v>ブレット</v>
          </cell>
        </row>
        <row r="11">
          <cell r="A11">
            <v>10</v>
          </cell>
          <cell r="B11" t="str">
            <v>ja</v>
          </cell>
          <cell r="C11" t="str">
            <v>燃える悪戯魂 ブレット</v>
          </cell>
        </row>
        <row r="12">
          <cell r="A12">
            <v>11</v>
          </cell>
          <cell r="B12" t="str">
            <v>ja</v>
          </cell>
          <cell r="C12" t="str">
            <v>マグリット</v>
          </cell>
        </row>
        <row r="13">
          <cell r="A13">
            <v>12</v>
          </cell>
          <cell r="B13" t="str">
            <v>ja</v>
          </cell>
          <cell r="C13" t="str">
            <v>癒しのグラフィティ マグリット</v>
          </cell>
        </row>
        <row r="14">
          <cell r="A14">
            <v>13</v>
          </cell>
          <cell r="B14" t="str">
            <v>ja</v>
          </cell>
          <cell r="C14" t="str">
            <v>ミミ</v>
          </cell>
        </row>
        <row r="15">
          <cell r="A15">
            <v>14</v>
          </cell>
          <cell r="B15" t="str">
            <v>ja</v>
          </cell>
          <cell r="C15" t="str">
            <v>ミミ・ザ・ガンマンキャット</v>
          </cell>
        </row>
        <row r="16">
          <cell r="A16">
            <v>15</v>
          </cell>
          <cell r="B16" t="str">
            <v>ja</v>
          </cell>
          <cell r="C16" t="str">
            <v>アカネ</v>
          </cell>
        </row>
        <row r="17">
          <cell r="A17">
            <v>16</v>
          </cell>
          <cell r="B17" t="str">
            <v>ja</v>
          </cell>
          <cell r="C17" t="str">
            <v>炎戦少女 アカネ</v>
          </cell>
        </row>
        <row r="18">
          <cell r="A18">
            <v>17</v>
          </cell>
          <cell r="B18" t="str">
            <v>ja</v>
          </cell>
          <cell r="C18" t="str">
            <v>リム</v>
          </cell>
        </row>
        <row r="19">
          <cell r="A19">
            <v>18</v>
          </cell>
          <cell r="B19" t="str">
            <v>ja</v>
          </cell>
          <cell r="C19" t="str">
            <v>戦闘案内人 リム</v>
          </cell>
        </row>
        <row r="20">
          <cell r="A20">
            <v>19</v>
          </cell>
          <cell r="B20" t="str">
            <v>ja</v>
          </cell>
          <cell r="C20" t="str">
            <v>ティンク</v>
          </cell>
        </row>
        <row r="21">
          <cell r="A21">
            <v>20</v>
          </cell>
          <cell r="B21" t="str">
            <v>ja</v>
          </cell>
          <cell r="C21" t="str">
            <v>電子妖精 ティンク</v>
          </cell>
        </row>
        <row r="22">
          <cell r="A22">
            <v>21</v>
          </cell>
          <cell r="B22" t="str">
            <v>ja</v>
          </cell>
          <cell r="C22" t="str">
            <v>ヴェロキー</v>
          </cell>
        </row>
        <row r="23">
          <cell r="A23">
            <v>22</v>
          </cell>
          <cell r="B23" t="str">
            <v>ja</v>
          </cell>
          <cell r="C23" t="str">
            <v>突然変異ヴェロキー</v>
          </cell>
        </row>
        <row r="24">
          <cell r="A24">
            <v>23</v>
          </cell>
          <cell r="B24" t="str">
            <v>ja</v>
          </cell>
          <cell r="C24" t="str">
            <v>ミール</v>
          </cell>
        </row>
        <row r="25">
          <cell r="A25">
            <v>24</v>
          </cell>
          <cell r="B25" t="str">
            <v>ja</v>
          </cell>
          <cell r="C25" t="str">
            <v>天翔のミール</v>
          </cell>
        </row>
        <row r="26">
          <cell r="A26">
            <v>25</v>
          </cell>
          <cell r="B26" t="str">
            <v>ja</v>
          </cell>
          <cell r="C26" t="str">
            <v>ハチ</v>
          </cell>
        </row>
        <row r="27">
          <cell r="A27">
            <v>26</v>
          </cell>
          <cell r="B27" t="str">
            <v>ja</v>
          </cell>
          <cell r="C27" t="str">
            <v>勇犬 ハチ</v>
          </cell>
        </row>
        <row r="28">
          <cell r="A28">
            <v>27</v>
          </cell>
          <cell r="B28" t="str">
            <v>ja</v>
          </cell>
          <cell r="C28" t="str">
            <v>パトライン</v>
          </cell>
        </row>
        <row r="29">
          <cell r="A29">
            <v>28</v>
          </cell>
          <cell r="B29" t="str">
            <v>ja</v>
          </cell>
          <cell r="C29" t="str">
            <v>現場急行 パトラインカスタム</v>
          </cell>
        </row>
        <row r="30">
          <cell r="A30">
            <v>29</v>
          </cell>
          <cell r="B30" t="str">
            <v>ja</v>
          </cell>
          <cell r="C30" t="str">
            <v>スケアクロウ</v>
          </cell>
        </row>
        <row r="31">
          <cell r="A31">
            <v>30</v>
          </cell>
          <cell r="B31" t="str">
            <v>ja</v>
          </cell>
          <cell r="C31" t="str">
            <v>護衛機人 スケアクロウ</v>
          </cell>
        </row>
        <row r="32">
          <cell r="A32">
            <v>31</v>
          </cell>
          <cell r="B32" t="str">
            <v>ja</v>
          </cell>
          <cell r="C32" t="str">
            <v>マービー</v>
          </cell>
        </row>
        <row r="33">
          <cell r="A33">
            <v>32</v>
          </cell>
          <cell r="B33" t="str">
            <v>ja</v>
          </cell>
          <cell r="C33" t="str">
            <v>沈黙のジャミング マービー</v>
          </cell>
        </row>
        <row r="34">
          <cell r="A34">
            <v>33</v>
          </cell>
          <cell r="B34" t="str">
            <v>ja</v>
          </cell>
          <cell r="C34" t="str">
            <v>ゴクウ</v>
          </cell>
        </row>
        <row r="35">
          <cell r="A35">
            <v>34</v>
          </cell>
          <cell r="B35" t="str">
            <v>ja</v>
          </cell>
          <cell r="C35" t="str">
            <v>斉天大聖 ゴクウ</v>
          </cell>
        </row>
        <row r="36">
          <cell r="A36">
            <v>35</v>
          </cell>
          <cell r="B36" t="str">
            <v>ja</v>
          </cell>
          <cell r="C36" t="str">
            <v>F2</v>
          </cell>
        </row>
        <row r="37">
          <cell r="A37">
            <v>36</v>
          </cell>
          <cell r="B37" t="str">
            <v>ja</v>
          </cell>
          <cell r="C37" t="str">
            <v>オフィス追尾型移動地雷F3</v>
          </cell>
        </row>
        <row r="38">
          <cell r="A38">
            <v>37</v>
          </cell>
          <cell r="B38" t="str">
            <v>ja</v>
          </cell>
          <cell r="C38" t="str">
            <v>ガイル</v>
          </cell>
        </row>
        <row r="39">
          <cell r="A39">
            <v>38</v>
          </cell>
          <cell r="B39" t="str">
            <v>ja</v>
          </cell>
          <cell r="C39" t="str">
            <v>通話対応型 ガイル</v>
          </cell>
        </row>
        <row r="40">
          <cell r="A40">
            <v>39</v>
          </cell>
          <cell r="B40" t="str">
            <v>ja</v>
          </cell>
          <cell r="C40" t="str">
            <v>マーロン</v>
          </cell>
        </row>
        <row r="41">
          <cell r="A41">
            <v>40</v>
          </cell>
          <cell r="B41" t="str">
            <v>ja</v>
          </cell>
          <cell r="C41" t="str">
            <v>デジタルマジシャン マーロン</v>
          </cell>
        </row>
        <row r="42">
          <cell r="A42">
            <v>41</v>
          </cell>
          <cell r="B42" t="str">
            <v>ja</v>
          </cell>
          <cell r="C42" t="str">
            <v>ヒュウガ</v>
          </cell>
        </row>
        <row r="43">
          <cell r="A43">
            <v>42</v>
          </cell>
          <cell r="B43" t="str">
            <v>ja</v>
          </cell>
          <cell r="C43" t="str">
            <v>燃えゆる吐息 ヒュウガ</v>
          </cell>
        </row>
        <row r="44">
          <cell r="A44">
            <v>43</v>
          </cell>
          <cell r="B44" t="str">
            <v>ja</v>
          </cell>
          <cell r="C44" t="str">
            <v>ムゥ</v>
          </cell>
        </row>
        <row r="45">
          <cell r="A45">
            <v>44</v>
          </cell>
          <cell r="B45" t="str">
            <v>ja</v>
          </cell>
          <cell r="C45" t="str">
            <v>遠い星からやってきたムゥ</v>
          </cell>
        </row>
        <row r="46">
          <cell r="A46">
            <v>45</v>
          </cell>
          <cell r="B46" t="str">
            <v>ja</v>
          </cell>
          <cell r="C46" t="str">
            <v>ショウイン</v>
          </cell>
        </row>
        <row r="47">
          <cell r="A47">
            <v>46</v>
          </cell>
          <cell r="B47" t="str">
            <v>ja</v>
          </cell>
          <cell r="C47" t="str">
            <v>微笑みの筆跡 ショウイン</v>
          </cell>
        </row>
        <row r="48">
          <cell r="A48">
            <v>47</v>
          </cell>
          <cell r="B48" t="str">
            <v>ja</v>
          </cell>
          <cell r="C48" t="str">
            <v>ヒロ</v>
          </cell>
        </row>
        <row r="49">
          <cell r="A49">
            <v>48</v>
          </cell>
          <cell r="B49" t="str">
            <v>ja</v>
          </cell>
          <cell r="C49" t="str">
            <v>サンダーステップのヒロ</v>
          </cell>
        </row>
        <row r="50">
          <cell r="A50">
            <v>49</v>
          </cell>
          <cell r="B50" t="str">
            <v>ja</v>
          </cell>
          <cell r="C50" t="str">
            <v>ヨシタカ</v>
          </cell>
        </row>
        <row r="51">
          <cell r="A51">
            <v>50</v>
          </cell>
          <cell r="B51" t="str">
            <v>ja</v>
          </cell>
          <cell r="C51" t="str">
            <v>炎銃のレジスタンス ヨシタカ</v>
          </cell>
        </row>
        <row r="52">
          <cell r="A52">
            <v>51</v>
          </cell>
          <cell r="B52" t="str">
            <v>ja</v>
          </cell>
          <cell r="C52" t="str">
            <v>マイ</v>
          </cell>
        </row>
        <row r="53">
          <cell r="A53">
            <v>52</v>
          </cell>
          <cell r="B53" t="str">
            <v>ja</v>
          </cell>
          <cell r="C53" t="str">
            <v>翠槍のレジスタンス マイ</v>
          </cell>
        </row>
        <row r="54">
          <cell r="A54">
            <v>53</v>
          </cell>
          <cell r="B54" t="str">
            <v>ja</v>
          </cell>
          <cell r="C54" t="str">
            <v>ケンジ</v>
          </cell>
        </row>
        <row r="55">
          <cell r="A55">
            <v>54</v>
          </cell>
          <cell r="B55" t="str">
            <v>ja</v>
          </cell>
          <cell r="C55" t="str">
            <v>蒼斬のレジスタンス ケンジ</v>
          </cell>
        </row>
        <row r="56">
          <cell r="A56">
            <v>55</v>
          </cell>
          <cell r="B56" t="str">
            <v>ja</v>
          </cell>
          <cell r="C56" t="str">
            <v>マミコ</v>
          </cell>
        </row>
        <row r="57">
          <cell r="A57">
            <v>56</v>
          </cell>
          <cell r="B57" t="str">
            <v>ja</v>
          </cell>
          <cell r="C57" t="str">
            <v>黄槌のレジスタンス マミコ</v>
          </cell>
        </row>
        <row r="58">
          <cell r="A58">
            <v>57</v>
          </cell>
          <cell r="B58" t="str">
            <v>ja</v>
          </cell>
          <cell r="C58" t="str">
            <v>チェン・リー</v>
          </cell>
        </row>
        <row r="59">
          <cell r="A59">
            <v>58</v>
          </cell>
          <cell r="B59" t="str">
            <v>ja</v>
          </cell>
          <cell r="C59" t="str">
            <v>ドランクマスター チェン・リー</v>
          </cell>
        </row>
        <row r="60">
          <cell r="A60">
            <v>59</v>
          </cell>
          <cell r="B60" t="str">
            <v>ja</v>
          </cell>
          <cell r="C60" t="str">
            <v>マーチ</v>
          </cell>
        </row>
        <row r="61">
          <cell r="A61">
            <v>60</v>
          </cell>
          <cell r="B61" t="str">
            <v>ja</v>
          </cell>
          <cell r="C61" t="str">
            <v>おでかけマーチ</v>
          </cell>
        </row>
        <row r="62">
          <cell r="A62">
            <v>61</v>
          </cell>
          <cell r="B62" t="str">
            <v>ja</v>
          </cell>
          <cell r="C62" t="str">
            <v>クロウ</v>
          </cell>
        </row>
        <row r="63">
          <cell r="A63">
            <v>62</v>
          </cell>
          <cell r="B63" t="str">
            <v>ja</v>
          </cell>
          <cell r="C63" t="str">
            <v>脈動旋律のクロウ</v>
          </cell>
        </row>
        <row r="64">
          <cell r="A64">
            <v>63</v>
          </cell>
          <cell r="B64" t="str">
            <v>ja</v>
          </cell>
          <cell r="C64" t="str">
            <v>トニー</v>
          </cell>
        </row>
        <row r="65">
          <cell r="A65">
            <v>64</v>
          </cell>
          <cell r="B65" t="str">
            <v>ja</v>
          </cell>
          <cell r="C65" t="str">
            <v>フレイムエッジ トニー</v>
          </cell>
        </row>
        <row r="66">
          <cell r="A66">
            <v>65</v>
          </cell>
          <cell r="B66" t="str">
            <v>ja</v>
          </cell>
          <cell r="C66" t="str">
            <v>ファイアフォックス</v>
          </cell>
        </row>
        <row r="67">
          <cell r="A67">
            <v>66</v>
          </cell>
          <cell r="B67" t="str">
            <v>ja</v>
          </cell>
          <cell r="C67" t="str">
            <v>探索者 ファイアフォックス</v>
          </cell>
        </row>
        <row r="68">
          <cell r="A68">
            <v>67</v>
          </cell>
          <cell r="B68" t="str">
            <v>ja</v>
          </cell>
          <cell r="C68" t="str">
            <v>双炎の探索者 ファイアフォックス</v>
          </cell>
        </row>
        <row r="69">
          <cell r="A69">
            <v>68</v>
          </cell>
          <cell r="B69" t="str">
            <v>ja</v>
          </cell>
          <cell r="C69" t="str">
            <v>ストール</v>
          </cell>
        </row>
        <row r="70">
          <cell r="A70">
            <v>69</v>
          </cell>
          <cell r="B70" t="str">
            <v>ja</v>
          </cell>
          <cell r="C70" t="str">
            <v>思想家 ストール</v>
          </cell>
        </row>
        <row r="71">
          <cell r="A71">
            <v>70</v>
          </cell>
          <cell r="B71" t="str">
            <v>ja</v>
          </cell>
          <cell r="C71" t="str">
            <v>自由の思想家 ストール</v>
          </cell>
        </row>
        <row r="72">
          <cell r="A72">
            <v>71</v>
          </cell>
          <cell r="B72" t="str">
            <v>ja</v>
          </cell>
          <cell r="C72" t="str">
            <v>ダックス</v>
          </cell>
        </row>
        <row r="73">
          <cell r="A73">
            <v>72</v>
          </cell>
          <cell r="B73" t="str">
            <v>ja</v>
          </cell>
          <cell r="C73" t="str">
            <v>探求者 ダックス</v>
          </cell>
        </row>
        <row r="74">
          <cell r="A74">
            <v>73</v>
          </cell>
          <cell r="B74" t="str">
            <v>ja</v>
          </cell>
          <cell r="C74" t="str">
            <v>自由の探求者 ダックス</v>
          </cell>
        </row>
        <row r="75">
          <cell r="A75">
            <v>74</v>
          </cell>
          <cell r="B75" t="str">
            <v>ja</v>
          </cell>
          <cell r="C75" t="str">
            <v>サンダーバード</v>
          </cell>
        </row>
        <row r="76">
          <cell r="A76">
            <v>75</v>
          </cell>
          <cell r="B76" t="str">
            <v>ja</v>
          </cell>
          <cell r="C76" t="str">
            <v>伝令者 サンダーバード</v>
          </cell>
        </row>
        <row r="77">
          <cell r="A77">
            <v>76</v>
          </cell>
          <cell r="B77" t="str">
            <v>ja</v>
          </cell>
          <cell r="C77" t="str">
            <v>閃速の伝令者 サンダーバード</v>
          </cell>
        </row>
        <row r="78">
          <cell r="A78">
            <v>77</v>
          </cell>
          <cell r="B78" t="str">
            <v>ja</v>
          </cell>
          <cell r="C78" t="str">
            <v>潜伏型メリッサ</v>
          </cell>
        </row>
        <row r="79">
          <cell r="A79">
            <v>78</v>
          </cell>
          <cell r="B79" t="str">
            <v>ja</v>
          </cell>
          <cell r="C79" t="str">
            <v>擬態潜伏型メリッサ2.0</v>
          </cell>
        </row>
        <row r="80">
          <cell r="A80">
            <v>79</v>
          </cell>
          <cell r="B80" t="str">
            <v>ja</v>
          </cell>
          <cell r="C80" t="str">
            <v>ハッピー100</v>
          </cell>
        </row>
        <row r="81">
          <cell r="A81">
            <v>80</v>
          </cell>
          <cell r="B81" t="str">
            <v>ja</v>
          </cell>
          <cell r="C81" t="str">
            <v>ハッピー101</v>
          </cell>
        </row>
        <row r="82">
          <cell r="A82">
            <v>81</v>
          </cell>
          <cell r="B82" t="str">
            <v>ja</v>
          </cell>
          <cell r="C82" t="str">
            <v>増幅型モリス</v>
          </cell>
        </row>
        <row r="83">
          <cell r="A83">
            <v>82</v>
          </cell>
          <cell r="B83" t="str">
            <v>ja</v>
          </cell>
          <cell r="C83" t="str">
            <v>偽装増幅型G・モリス</v>
          </cell>
        </row>
        <row r="84">
          <cell r="A84">
            <v>83</v>
          </cell>
          <cell r="B84" t="str">
            <v>ja</v>
          </cell>
          <cell r="C84" t="str">
            <v>拡散性ニムダ</v>
          </cell>
        </row>
        <row r="85">
          <cell r="A85">
            <v>84</v>
          </cell>
          <cell r="B85" t="str">
            <v>ja</v>
          </cell>
          <cell r="C85" t="str">
            <v>高速拡散性ニムダE</v>
          </cell>
        </row>
        <row r="86">
          <cell r="A86">
            <v>85</v>
          </cell>
          <cell r="B86" t="str">
            <v>ja</v>
          </cell>
          <cell r="C86" t="str">
            <v>朱雀</v>
          </cell>
        </row>
        <row r="87">
          <cell r="A87">
            <v>86</v>
          </cell>
          <cell r="B87" t="str">
            <v>ja</v>
          </cell>
          <cell r="C87" t="str">
            <v>守護者 朱雀</v>
          </cell>
        </row>
        <row r="88">
          <cell r="A88">
            <v>87</v>
          </cell>
          <cell r="B88" t="str">
            <v>ja</v>
          </cell>
          <cell r="C88" t="str">
            <v>朱南の守護神 朱雀</v>
          </cell>
        </row>
        <row r="89">
          <cell r="A89">
            <v>88</v>
          </cell>
          <cell r="B89" t="str">
            <v>ja</v>
          </cell>
          <cell r="C89" t="str">
            <v>玄武</v>
          </cell>
        </row>
        <row r="90">
          <cell r="A90">
            <v>89</v>
          </cell>
          <cell r="B90" t="str">
            <v>ja</v>
          </cell>
          <cell r="C90" t="str">
            <v>守護者 玄武</v>
          </cell>
        </row>
        <row r="91">
          <cell r="A91">
            <v>90</v>
          </cell>
          <cell r="B91" t="str">
            <v>ja</v>
          </cell>
          <cell r="C91" t="str">
            <v>翠北の守護神 玄武</v>
          </cell>
        </row>
        <row r="92">
          <cell r="A92">
            <v>91</v>
          </cell>
          <cell r="B92" t="str">
            <v>ja</v>
          </cell>
          <cell r="C92" t="str">
            <v>青龍</v>
          </cell>
        </row>
        <row r="93">
          <cell r="A93">
            <v>92</v>
          </cell>
          <cell r="B93" t="str">
            <v>ja</v>
          </cell>
          <cell r="C93" t="str">
            <v>守護者 青龍</v>
          </cell>
        </row>
        <row r="94">
          <cell r="A94">
            <v>93</v>
          </cell>
          <cell r="B94" t="str">
            <v>ja</v>
          </cell>
          <cell r="C94" t="str">
            <v>碧東の守護神 青龍</v>
          </cell>
        </row>
        <row r="95">
          <cell r="A95">
            <v>94</v>
          </cell>
          <cell r="B95" t="str">
            <v>ja</v>
          </cell>
          <cell r="C95" t="str">
            <v>白虎</v>
          </cell>
        </row>
        <row r="96">
          <cell r="A96">
            <v>95</v>
          </cell>
          <cell r="B96" t="str">
            <v>ja</v>
          </cell>
          <cell r="C96" t="str">
            <v>守護者 白虎</v>
          </cell>
        </row>
        <row r="97">
          <cell r="A97">
            <v>96</v>
          </cell>
          <cell r="B97" t="str">
            <v>ja</v>
          </cell>
          <cell r="C97" t="str">
            <v>金西の守護神 白虎</v>
          </cell>
        </row>
        <row r="98">
          <cell r="A98">
            <v>97</v>
          </cell>
          <cell r="B98" t="str">
            <v>ja</v>
          </cell>
          <cell r="C98" t="str">
            <v>炎のミリオンダック</v>
          </cell>
        </row>
        <row r="99">
          <cell r="A99">
            <v>98</v>
          </cell>
          <cell r="B99" t="str">
            <v>ja</v>
          </cell>
          <cell r="C99" t="str">
            <v>森のミリオンダック</v>
          </cell>
        </row>
        <row r="100">
          <cell r="A100">
            <v>99</v>
          </cell>
          <cell r="B100" t="str">
            <v>ja</v>
          </cell>
          <cell r="C100" t="str">
            <v>水のミリオンダック</v>
          </cell>
        </row>
        <row r="101">
          <cell r="A101">
            <v>100</v>
          </cell>
          <cell r="B101" t="str">
            <v>ja</v>
          </cell>
          <cell r="C101" t="str">
            <v>雷のミリオンダック</v>
          </cell>
        </row>
        <row r="102">
          <cell r="A102">
            <v>101</v>
          </cell>
          <cell r="B102" t="str">
            <v>ja</v>
          </cell>
          <cell r="C102" t="str">
            <v>レッドチェシャ</v>
          </cell>
        </row>
        <row r="103">
          <cell r="A103">
            <v>102</v>
          </cell>
          <cell r="B103" t="str">
            <v>ja</v>
          </cell>
          <cell r="C103" t="str">
            <v>レッドラビット</v>
          </cell>
        </row>
        <row r="104">
          <cell r="A104">
            <v>103</v>
          </cell>
          <cell r="B104" t="str">
            <v>ja</v>
          </cell>
          <cell r="C104" t="str">
            <v>レッドキャタップ</v>
          </cell>
        </row>
        <row r="105">
          <cell r="A105">
            <v>104</v>
          </cell>
          <cell r="B105" t="str">
            <v>ja</v>
          </cell>
          <cell r="C105" t="str">
            <v>炎のマッドハッター</v>
          </cell>
        </row>
        <row r="106">
          <cell r="A106">
            <v>105</v>
          </cell>
          <cell r="B106" t="str">
            <v>ja</v>
          </cell>
          <cell r="C106" t="str">
            <v>グリーンチェシャ</v>
          </cell>
        </row>
        <row r="107">
          <cell r="A107">
            <v>106</v>
          </cell>
          <cell r="B107" t="str">
            <v>ja</v>
          </cell>
          <cell r="C107" t="str">
            <v>グリーンラビット</v>
          </cell>
        </row>
        <row r="108">
          <cell r="A108">
            <v>107</v>
          </cell>
          <cell r="B108" t="str">
            <v>ja</v>
          </cell>
          <cell r="C108" t="str">
            <v>グリーンキャタップ</v>
          </cell>
        </row>
        <row r="109">
          <cell r="A109">
            <v>108</v>
          </cell>
          <cell r="B109" t="str">
            <v>ja</v>
          </cell>
          <cell r="C109" t="str">
            <v>森のマッドハッター</v>
          </cell>
        </row>
        <row r="110">
          <cell r="A110">
            <v>109</v>
          </cell>
          <cell r="B110" t="str">
            <v>ja</v>
          </cell>
          <cell r="C110" t="str">
            <v>ブルーチェシャ</v>
          </cell>
        </row>
        <row r="111">
          <cell r="A111">
            <v>110</v>
          </cell>
          <cell r="B111" t="str">
            <v>ja</v>
          </cell>
          <cell r="C111" t="str">
            <v>ブルーラビット</v>
          </cell>
        </row>
        <row r="112">
          <cell r="A112">
            <v>111</v>
          </cell>
          <cell r="B112" t="str">
            <v>ja</v>
          </cell>
          <cell r="C112" t="str">
            <v>ブルーキャタップ</v>
          </cell>
        </row>
        <row r="113">
          <cell r="A113">
            <v>112</v>
          </cell>
          <cell r="B113" t="str">
            <v>ja</v>
          </cell>
          <cell r="C113" t="str">
            <v>水のマッドハッター</v>
          </cell>
        </row>
        <row r="114">
          <cell r="A114">
            <v>113</v>
          </cell>
          <cell r="B114" t="str">
            <v>ja</v>
          </cell>
          <cell r="C114" t="str">
            <v>イエローチェシャ</v>
          </cell>
        </row>
        <row r="115">
          <cell r="A115">
            <v>114</v>
          </cell>
          <cell r="B115" t="str">
            <v>ja</v>
          </cell>
          <cell r="C115" t="str">
            <v>イエローラビット</v>
          </cell>
        </row>
        <row r="116">
          <cell r="A116">
            <v>115</v>
          </cell>
          <cell r="B116" t="str">
            <v>ja</v>
          </cell>
          <cell r="C116" t="str">
            <v>イエローキャタップ</v>
          </cell>
        </row>
        <row r="117">
          <cell r="A117">
            <v>116</v>
          </cell>
          <cell r="B117" t="str">
            <v>ja</v>
          </cell>
          <cell r="C117" t="str">
            <v>雷のマッドハッター</v>
          </cell>
        </row>
        <row r="118">
          <cell r="A118">
            <v>117</v>
          </cell>
          <cell r="B118" t="str">
            <v>ja</v>
          </cell>
          <cell r="C118" t="str">
            <v>ゴールドピヨピヨ</v>
          </cell>
        </row>
        <row r="119">
          <cell r="A119">
            <v>118</v>
          </cell>
          <cell r="B119" t="str">
            <v>ja</v>
          </cell>
          <cell r="C119" t="str">
            <v>ゴールドチック</v>
          </cell>
        </row>
        <row r="120">
          <cell r="A120">
            <v>119</v>
          </cell>
          <cell r="B120" t="str">
            <v>ja</v>
          </cell>
          <cell r="C120" t="str">
            <v>ゴールドダック</v>
          </cell>
        </row>
        <row r="121">
          <cell r="A121">
            <v>120</v>
          </cell>
          <cell r="B121" t="str">
            <v>ja</v>
          </cell>
          <cell r="C121" t="str">
            <v>ゴールドキング</v>
          </cell>
        </row>
        <row r="122">
          <cell r="A122">
            <v>121</v>
          </cell>
          <cell r="B122" t="str">
            <v>ja</v>
          </cell>
          <cell r="C122" t="str">
            <v>攻めの果実</v>
          </cell>
        </row>
        <row r="123">
          <cell r="A123">
            <v>122</v>
          </cell>
          <cell r="B123" t="str">
            <v>ja</v>
          </cell>
          <cell r="C123" t="str">
            <v>生命の果実</v>
          </cell>
        </row>
        <row r="124">
          <cell r="A124">
            <v>123</v>
          </cell>
          <cell r="B124" t="str">
            <v>ja</v>
          </cell>
          <cell r="C124" t="str">
            <v>癒しの果実</v>
          </cell>
        </row>
        <row r="125">
          <cell r="A125">
            <v>124</v>
          </cell>
          <cell r="B125" t="str">
            <v>ja</v>
          </cell>
          <cell r="C125" t="str">
            <v>黄金の果実</v>
          </cell>
        </row>
        <row r="126">
          <cell r="A126">
            <v>125</v>
          </cell>
          <cell r="B126" t="str">
            <v>ja</v>
          </cell>
          <cell r="C126" t="str">
            <v>秘術の果実</v>
          </cell>
        </row>
        <row r="127">
          <cell r="A127">
            <v>126</v>
          </cell>
          <cell r="B127" t="str">
            <v>ja</v>
          </cell>
          <cell r="C127" t="str">
            <v>骨器使い ユノ</v>
          </cell>
        </row>
        <row r="128">
          <cell r="A128">
            <v>127</v>
          </cell>
          <cell r="B128" t="str">
            <v>ja</v>
          </cell>
          <cell r="C128" t="str">
            <v>狂喜の賢者 ユノ</v>
          </cell>
        </row>
        <row r="129">
          <cell r="A129">
            <v>128</v>
          </cell>
          <cell r="B129" t="str">
            <v>ja</v>
          </cell>
          <cell r="C129" t="str">
            <v>野生児 アマラ</v>
          </cell>
        </row>
        <row r="130">
          <cell r="A130">
            <v>129</v>
          </cell>
          <cell r="B130" t="str">
            <v>ja</v>
          </cell>
          <cell r="C130" t="str">
            <v>孤高の狼憑き アマラ</v>
          </cell>
        </row>
        <row r="131">
          <cell r="A131">
            <v>130</v>
          </cell>
          <cell r="B131" t="str">
            <v>ja</v>
          </cell>
          <cell r="C131" t="str">
            <v>狼男 ローレンス</v>
          </cell>
        </row>
        <row r="132">
          <cell r="A132">
            <v>131</v>
          </cell>
          <cell r="B132" t="str">
            <v>ja</v>
          </cell>
          <cell r="C132" t="str">
            <v>月下の人狼 ローレンス</v>
          </cell>
        </row>
        <row r="133">
          <cell r="A133">
            <v>132</v>
          </cell>
          <cell r="B133" t="str">
            <v>ja</v>
          </cell>
          <cell r="C133" t="str">
            <v>鳥人ハヤト</v>
          </cell>
        </row>
        <row r="134">
          <cell r="A134">
            <v>133</v>
          </cell>
          <cell r="B134" t="str">
            <v>ja</v>
          </cell>
          <cell r="C134" t="str">
            <v>迅雷の刀剣 ハヤト</v>
          </cell>
        </row>
        <row r="135">
          <cell r="A135">
            <v>134</v>
          </cell>
          <cell r="B135" t="str">
            <v>ja</v>
          </cell>
          <cell r="C135" t="str">
            <v>妖炎の夕霧</v>
          </cell>
        </row>
        <row r="136">
          <cell r="A136">
            <v>135</v>
          </cell>
          <cell r="B136" t="str">
            <v>ja</v>
          </cell>
          <cell r="C136" t="str">
            <v>京の炎華夕霧</v>
          </cell>
        </row>
        <row r="137">
          <cell r="A137">
            <v>136</v>
          </cell>
          <cell r="B137" t="str">
            <v>ja</v>
          </cell>
          <cell r="C137" t="str">
            <v>お針子チハヤ</v>
          </cell>
        </row>
        <row r="138">
          <cell r="A138">
            <v>137</v>
          </cell>
          <cell r="B138" t="str">
            <v>ja</v>
          </cell>
          <cell r="C138" t="str">
            <v>清福の仕立屋 チハヤ</v>
          </cell>
        </row>
        <row r="139">
          <cell r="A139">
            <v>138</v>
          </cell>
          <cell r="B139" t="str">
            <v>ja</v>
          </cell>
          <cell r="C139" t="str">
            <v>蒼薙のトモエ</v>
          </cell>
        </row>
        <row r="140">
          <cell r="A140">
            <v>139</v>
          </cell>
          <cell r="B140" t="str">
            <v>ja</v>
          </cell>
          <cell r="C140" t="str">
            <v>蒼昇刃姫 トモエ</v>
          </cell>
        </row>
        <row r="141">
          <cell r="A141">
            <v>140</v>
          </cell>
          <cell r="B141" t="str">
            <v>ja</v>
          </cell>
          <cell r="C141" t="str">
            <v>秋祭のタマモ</v>
          </cell>
        </row>
        <row r="142">
          <cell r="A142">
            <v>141</v>
          </cell>
          <cell r="B142" t="str">
            <v>ja</v>
          </cell>
          <cell r="C142" t="str">
            <v>妖狐演舞 タマモ</v>
          </cell>
        </row>
        <row r="143">
          <cell r="A143">
            <v>142</v>
          </cell>
          <cell r="B143" t="str">
            <v>ja</v>
          </cell>
          <cell r="C143" t="str">
            <v>赤ずきん</v>
          </cell>
        </row>
        <row r="144">
          <cell r="A144">
            <v>143</v>
          </cell>
          <cell r="B144" t="str">
            <v>ja</v>
          </cell>
          <cell r="C144" t="str">
            <v>深紅の死神 赤ずきん</v>
          </cell>
        </row>
        <row r="145">
          <cell r="A145">
            <v>144</v>
          </cell>
          <cell r="B145" t="str">
            <v>ja</v>
          </cell>
          <cell r="C145" t="str">
            <v>かぐや</v>
          </cell>
        </row>
        <row r="146">
          <cell r="A146">
            <v>145</v>
          </cell>
          <cell r="B146" t="str">
            <v>ja</v>
          </cell>
          <cell r="C146" t="str">
            <v>魔性妖艶 かぐや</v>
          </cell>
        </row>
        <row r="147">
          <cell r="A147">
            <v>146</v>
          </cell>
          <cell r="B147" t="str">
            <v>ja</v>
          </cell>
          <cell r="C147" t="str">
            <v>マーメイド</v>
          </cell>
        </row>
        <row r="148">
          <cell r="A148">
            <v>147</v>
          </cell>
          <cell r="B148" t="str">
            <v>ja</v>
          </cell>
          <cell r="C148" t="str">
            <v>蒼き閃光 元マーメイド</v>
          </cell>
        </row>
        <row r="149">
          <cell r="A149">
            <v>148</v>
          </cell>
          <cell r="B149" t="str">
            <v>ja</v>
          </cell>
          <cell r="C149" t="str">
            <v>シンデレラ</v>
          </cell>
        </row>
        <row r="150">
          <cell r="A150">
            <v>149</v>
          </cell>
          <cell r="B150" t="str">
            <v>ja</v>
          </cell>
          <cell r="C150" t="str">
            <v>雷撃蹴技を極めし者 シンデレラ</v>
          </cell>
        </row>
        <row r="151">
          <cell r="A151">
            <v>150</v>
          </cell>
          <cell r="B151" t="str">
            <v>ja</v>
          </cell>
          <cell r="C151" t="str">
            <v>ポイズンマスターサキ</v>
          </cell>
        </row>
        <row r="152">
          <cell r="A152">
            <v>151</v>
          </cell>
          <cell r="B152" t="str">
            <v>ja</v>
          </cell>
          <cell r="C152" t="str">
            <v>毒煙の処刑人サキ</v>
          </cell>
        </row>
        <row r="153">
          <cell r="A153">
            <v>152</v>
          </cell>
          <cell r="B153" t="str">
            <v>ja</v>
          </cell>
          <cell r="C153" t="str">
            <v>功夫少女ランラン</v>
          </cell>
        </row>
        <row r="154">
          <cell r="A154">
            <v>153</v>
          </cell>
          <cell r="B154" t="str">
            <v>ja</v>
          </cell>
          <cell r="C154" t="str">
            <v>拳聖ランラン</v>
          </cell>
        </row>
        <row r="155">
          <cell r="A155">
            <v>154</v>
          </cell>
          <cell r="B155" t="str">
            <v>ja</v>
          </cell>
          <cell r="C155" t="str">
            <v>始末屋 ハンナ</v>
          </cell>
        </row>
        <row r="156">
          <cell r="A156">
            <v>155</v>
          </cell>
          <cell r="B156" t="str">
            <v>ja</v>
          </cell>
          <cell r="C156" t="str">
            <v>隻眼の掃除屋 ハンナ</v>
          </cell>
        </row>
        <row r="157">
          <cell r="A157">
            <v>156</v>
          </cell>
          <cell r="B157" t="str">
            <v>ja</v>
          </cell>
          <cell r="C157" t="str">
            <v>踊り子 エレナ</v>
          </cell>
        </row>
        <row r="158">
          <cell r="A158">
            <v>157</v>
          </cell>
          <cell r="B158" t="str">
            <v>ja</v>
          </cell>
          <cell r="C158" t="str">
            <v>雷光舞姫 エレナ</v>
          </cell>
        </row>
        <row r="159">
          <cell r="A159">
            <v>158</v>
          </cell>
          <cell r="B159" t="str">
            <v>ja</v>
          </cell>
          <cell r="C159" t="str">
            <v>シスター シャルロッテ</v>
          </cell>
        </row>
        <row r="160">
          <cell r="A160">
            <v>159</v>
          </cell>
          <cell r="B160" t="str">
            <v>ja</v>
          </cell>
          <cell r="C160" t="str">
            <v>邪を狩りし者 シャルロッテ</v>
          </cell>
        </row>
        <row r="161">
          <cell r="A161">
            <v>160</v>
          </cell>
          <cell r="B161" t="str">
            <v>ja</v>
          </cell>
          <cell r="C161" t="str">
            <v>反逆者 クリエ</v>
          </cell>
        </row>
        <row r="162">
          <cell r="A162">
            <v>161</v>
          </cell>
          <cell r="B162" t="str">
            <v>ja</v>
          </cell>
          <cell r="C162" t="str">
            <v>咆哮の先導者 クリエ</v>
          </cell>
        </row>
        <row r="163">
          <cell r="A163">
            <v>162</v>
          </cell>
          <cell r="B163" t="str">
            <v>ja</v>
          </cell>
          <cell r="C163" t="str">
            <v>狂女 クララ</v>
          </cell>
        </row>
        <row r="164">
          <cell r="A164">
            <v>163</v>
          </cell>
          <cell r="B164" t="str">
            <v>ja</v>
          </cell>
          <cell r="C164" t="str">
            <v>冷酷な狂嬢 クララ</v>
          </cell>
        </row>
        <row r="165">
          <cell r="A165">
            <v>164</v>
          </cell>
          <cell r="B165" t="str">
            <v>ja</v>
          </cell>
          <cell r="C165" t="str">
            <v>イブとトモダチ</v>
          </cell>
        </row>
        <row r="166">
          <cell r="A166">
            <v>165</v>
          </cell>
          <cell r="B166" t="str">
            <v>ja</v>
          </cell>
          <cell r="C166" t="str">
            <v>イブとたったひとりのトモダチ</v>
          </cell>
        </row>
        <row r="167">
          <cell r="A167">
            <v>166</v>
          </cell>
          <cell r="B167" t="str">
            <v>ja</v>
          </cell>
          <cell r="C167" t="str">
            <v>ベリアル</v>
          </cell>
        </row>
        <row r="168">
          <cell r="A168">
            <v>167</v>
          </cell>
          <cell r="B168" t="str">
            <v>ja</v>
          </cell>
          <cell r="C168" t="str">
            <v>逆徒 ベリアル</v>
          </cell>
        </row>
        <row r="169">
          <cell r="A169">
            <v>168</v>
          </cell>
          <cell r="B169" t="str">
            <v>ja</v>
          </cell>
          <cell r="C169" t="str">
            <v>猛進の大逆者 ベリアル</v>
          </cell>
        </row>
        <row r="170">
          <cell r="A170">
            <v>169</v>
          </cell>
          <cell r="B170" t="str">
            <v>ja</v>
          </cell>
          <cell r="C170" t="str">
            <v>オセ</v>
          </cell>
        </row>
        <row r="171">
          <cell r="A171">
            <v>170</v>
          </cell>
          <cell r="B171" t="str">
            <v>ja</v>
          </cell>
          <cell r="C171" t="str">
            <v>識徒 オセ</v>
          </cell>
        </row>
        <row r="172">
          <cell r="A172">
            <v>171</v>
          </cell>
          <cell r="B172" t="str">
            <v>ja</v>
          </cell>
          <cell r="C172" t="str">
            <v>精解の預知者 オセ</v>
          </cell>
        </row>
        <row r="173">
          <cell r="A173">
            <v>172</v>
          </cell>
          <cell r="B173" t="str">
            <v>ja</v>
          </cell>
          <cell r="C173" t="str">
            <v>フォルネウス</v>
          </cell>
        </row>
        <row r="174">
          <cell r="A174">
            <v>173</v>
          </cell>
          <cell r="B174" t="str">
            <v>ja</v>
          </cell>
          <cell r="C174" t="str">
            <v>公爵 フォルネウス</v>
          </cell>
        </row>
        <row r="175">
          <cell r="A175">
            <v>174</v>
          </cell>
          <cell r="B175" t="str">
            <v>ja</v>
          </cell>
          <cell r="C175" t="str">
            <v>偽愛の大公爵 フォルネウス</v>
          </cell>
        </row>
        <row r="176">
          <cell r="A176">
            <v>175</v>
          </cell>
          <cell r="B176" t="str">
            <v>ja</v>
          </cell>
          <cell r="C176" t="str">
            <v>バフォメット</v>
          </cell>
        </row>
        <row r="177">
          <cell r="A177">
            <v>176</v>
          </cell>
          <cell r="B177" t="str">
            <v>ja</v>
          </cell>
          <cell r="C177" t="str">
            <v>異教徒 バフォメット</v>
          </cell>
        </row>
        <row r="178">
          <cell r="A178">
            <v>177</v>
          </cell>
          <cell r="B178" t="str">
            <v>ja</v>
          </cell>
          <cell r="C178" t="str">
            <v>黒魔の異端師 バフォメット</v>
          </cell>
        </row>
        <row r="179">
          <cell r="A179">
            <v>178</v>
          </cell>
          <cell r="B179" t="str">
            <v>ja</v>
          </cell>
          <cell r="C179" t="str">
            <v>ケルベロス</v>
          </cell>
        </row>
        <row r="180">
          <cell r="A180">
            <v>179</v>
          </cell>
          <cell r="B180" t="str">
            <v>ja</v>
          </cell>
          <cell r="C180" t="str">
            <v>番犬 ケルベロス</v>
          </cell>
        </row>
        <row r="181">
          <cell r="A181">
            <v>180</v>
          </cell>
          <cell r="B181" t="str">
            <v>ja</v>
          </cell>
          <cell r="C181" t="str">
            <v>地獄の大門番 ケルベロス</v>
          </cell>
        </row>
        <row r="182">
          <cell r="A182">
            <v>181</v>
          </cell>
          <cell r="B182" t="str">
            <v>ja</v>
          </cell>
          <cell r="C182" t="str">
            <v>ベヒモス</v>
          </cell>
        </row>
        <row r="183">
          <cell r="A183">
            <v>182</v>
          </cell>
          <cell r="B183" t="str">
            <v>ja</v>
          </cell>
          <cell r="C183" t="str">
            <v>放蕩者 ベヒモス</v>
          </cell>
        </row>
        <row r="184">
          <cell r="A184">
            <v>183</v>
          </cell>
          <cell r="B184" t="str">
            <v>ja</v>
          </cell>
          <cell r="C184" t="str">
            <v>鈍重な彷徨者 ベヒモス</v>
          </cell>
        </row>
        <row r="185">
          <cell r="A185">
            <v>184</v>
          </cell>
          <cell r="B185" t="str">
            <v>ja</v>
          </cell>
          <cell r="C185" t="str">
            <v>クラーケン</v>
          </cell>
        </row>
        <row r="186">
          <cell r="A186">
            <v>185</v>
          </cell>
          <cell r="B186" t="str">
            <v>ja</v>
          </cell>
          <cell r="C186" t="str">
            <v>海姫 クラーケン</v>
          </cell>
        </row>
        <row r="187">
          <cell r="A187">
            <v>186</v>
          </cell>
          <cell r="B187" t="str">
            <v>ja</v>
          </cell>
          <cell r="C187" t="str">
            <v>誇り高き多触姫・クラーケン</v>
          </cell>
        </row>
        <row r="188">
          <cell r="A188">
            <v>187</v>
          </cell>
          <cell r="B188" t="str">
            <v>ja</v>
          </cell>
          <cell r="C188" t="str">
            <v>ホルス</v>
          </cell>
        </row>
        <row r="189">
          <cell r="A189">
            <v>188</v>
          </cell>
          <cell r="B189" t="str">
            <v>ja</v>
          </cell>
          <cell r="C189" t="str">
            <v>猛禽 ホルス</v>
          </cell>
        </row>
        <row r="190">
          <cell r="A190">
            <v>189</v>
          </cell>
          <cell r="B190" t="str">
            <v>ja</v>
          </cell>
          <cell r="C190" t="str">
            <v>迅雷の王禽 ホルス</v>
          </cell>
        </row>
        <row r="191">
          <cell r="A191">
            <v>190</v>
          </cell>
          <cell r="B191" t="str">
            <v>ja</v>
          </cell>
          <cell r="C191" t="str">
            <v>卑弥呼</v>
          </cell>
        </row>
        <row r="192">
          <cell r="A192">
            <v>191</v>
          </cell>
          <cell r="B192" t="str">
            <v>ja</v>
          </cell>
          <cell r="C192" t="str">
            <v>始祖 卑弥呼</v>
          </cell>
        </row>
        <row r="193">
          <cell r="A193">
            <v>192</v>
          </cell>
          <cell r="B193" t="str">
            <v>ja</v>
          </cell>
          <cell r="C193" t="str">
            <v>荘厳なる始祖帝 卑弥呼</v>
          </cell>
        </row>
        <row r="194">
          <cell r="A194">
            <v>193</v>
          </cell>
          <cell r="B194" t="str">
            <v>ja</v>
          </cell>
          <cell r="C194" t="str">
            <v>ロビンフッド</v>
          </cell>
        </row>
        <row r="195">
          <cell r="A195">
            <v>194</v>
          </cell>
          <cell r="B195" t="str">
            <v>ja</v>
          </cell>
          <cell r="C195" t="str">
            <v>スナイパー ロビンフッド</v>
          </cell>
        </row>
        <row r="196">
          <cell r="A196">
            <v>195</v>
          </cell>
          <cell r="B196" t="str">
            <v>ja</v>
          </cell>
          <cell r="C196" t="str">
            <v>グランドハンター ロビンフッド</v>
          </cell>
        </row>
        <row r="197">
          <cell r="A197">
            <v>196</v>
          </cell>
          <cell r="B197" t="str">
            <v>ja</v>
          </cell>
          <cell r="C197" t="str">
            <v>アキレス</v>
          </cell>
        </row>
        <row r="198">
          <cell r="A198">
            <v>197</v>
          </cell>
          <cell r="B198" t="str">
            <v>ja</v>
          </cell>
          <cell r="C198" t="str">
            <v>鉄腕 アキレス</v>
          </cell>
        </row>
        <row r="199">
          <cell r="A199">
            <v>198</v>
          </cell>
          <cell r="B199" t="str">
            <v>ja</v>
          </cell>
          <cell r="C199" t="str">
            <v>砕骨の剛腕 アキレス</v>
          </cell>
        </row>
        <row r="200">
          <cell r="A200">
            <v>199</v>
          </cell>
          <cell r="B200" t="str">
            <v>ja</v>
          </cell>
          <cell r="C200" t="str">
            <v>ジークフリート</v>
          </cell>
        </row>
        <row r="201">
          <cell r="A201">
            <v>200</v>
          </cell>
          <cell r="B201" t="str">
            <v>ja</v>
          </cell>
          <cell r="C201" t="str">
            <v>大剣士 ジークフリート</v>
          </cell>
        </row>
        <row r="202">
          <cell r="A202">
            <v>201</v>
          </cell>
          <cell r="B202" t="str">
            <v>ja</v>
          </cell>
          <cell r="C202" t="str">
            <v>斬空の大破剣 ジークフリート</v>
          </cell>
        </row>
        <row r="203">
          <cell r="A203">
            <v>202</v>
          </cell>
          <cell r="B203" t="str">
            <v>ja</v>
          </cell>
          <cell r="C203" t="str">
            <v>プロメテウス</v>
          </cell>
        </row>
        <row r="204">
          <cell r="A204">
            <v>203</v>
          </cell>
          <cell r="B204" t="str">
            <v>ja</v>
          </cell>
          <cell r="C204" t="str">
            <v>焔神 プロメテウス</v>
          </cell>
        </row>
        <row r="205">
          <cell r="A205">
            <v>204</v>
          </cell>
          <cell r="B205" t="str">
            <v>ja</v>
          </cell>
          <cell r="C205" t="str">
            <v>慟哭の巨焔 プロメテウス</v>
          </cell>
        </row>
        <row r="206">
          <cell r="A206">
            <v>205</v>
          </cell>
          <cell r="B206" t="str">
            <v>ja</v>
          </cell>
          <cell r="C206" t="str">
            <v>アフロディーテ</v>
          </cell>
        </row>
        <row r="207">
          <cell r="A207">
            <v>206</v>
          </cell>
          <cell r="B207" t="str">
            <v>ja</v>
          </cell>
          <cell r="C207" t="str">
            <v>美神 アフロディーテ</v>
          </cell>
        </row>
        <row r="208">
          <cell r="A208">
            <v>207</v>
          </cell>
          <cell r="B208" t="str">
            <v>ja</v>
          </cell>
          <cell r="C208" t="str">
            <v>豊穣の麗神・アフロディーテ</v>
          </cell>
        </row>
        <row r="209">
          <cell r="A209">
            <v>208</v>
          </cell>
          <cell r="B209" t="str">
            <v>ja</v>
          </cell>
          <cell r="C209" t="str">
            <v>テティス</v>
          </cell>
        </row>
        <row r="210">
          <cell r="A210">
            <v>209</v>
          </cell>
          <cell r="B210" t="str">
            <v>ja</v>
          </cell>
          <cell r="C210" t="str">
            <v>孤神 テティス</v>
          </cell>
        </row>
        <row r="211">
          <cell r="A211">
            <v>210</v>
          </cell>
          <cell r="B211" t="str">
            <v>ja</v>
          </cell>
          <cell r="C211" t="str">
            <v>海底の孤高神 テティス</v>
          </cell>
        </row>
        <row r="212">
          <cell r="A212">
            <v>211</v>
          </cell>
          <cell r="B212" t="str">
            <v>ja</v>
          </cell>
          <cell r="C212" t="str">
            <v>アストライアー</v>
          </cell>
        </row>
        <row r="213">
          <cell r="A213">
            <v>212</v>
          </cell>
          <cell r="B213" t="str">
            <v>ja</v>
          </cell>
          <cell r="C213" t="str">
            <v>星神 アストライアー</v>
          </cell>
        </row>
        <row r="214">
          <cell r="A214">
            <v>213</v>
          </cell>
          <cell r="B214" t="str">
            <v>ja</v>
          </cell>
          <cell r="C214" t="str">
            <v>満天の星降神 アストライアー</v>
          </cell>
        </row>
        <row r="215">
          <cell r="A215">
            <v>214</v>
          </cell>
          <cell r="B215" t="str">
            <v>ja</v>
          </cell>
          <cell r="C215" t="str">
            <v>アズラエル</v>
          </cell>
        </row>
        <row r="216">
          <cell r="A216">
            <v>215</v>
          </cell>
          <cell r="B216" t="str">
            <v>ja</v>
          </cell>
          <cell r="C216" t="str">
            <v>死導者 アズラエル</v>
          </cell>
        </row>
        <row r="217">
          <cell r="A217">
            <v>216</v>
          </cell>
          <cell r="B217" t="str">
            <v>ja</v>
          </cell>
          <cell r="C217" t="str">
            <v>百読の死導司書 アズラエル</v>
          </cell>
        </row>
        <row r="218">
          <cell r="A218">
            <v>217</v>
          </cell>
          <cell r="B218" t="str">
            <v>ja</v>
          </cell>
          <cell r="C218" t="str">
            <v>ケツァクアトル</v>
          </cell>
        </row>
        <row r="219">
          <cell r="A219">
            <v>218</v>
          </cell>
          <cell r="B219" t="str">
            <v>ja</v>
          </cell>
          <cell r="C219" t="str">
            <v>聖蛇 ケツァクアトル</v>
          </cell>
        </row>
        <row r="220">
          <cell r="A220">
            <v>219</v>
          </cell>
          <cell r="B220" t="str">
            <v>ja</v>
          </cell>
          <cell r="C220" t="str">
            <v>覇翼の聖蛇竜 ケツァクアトル</v>
          </cell>
        </row>
        <row r="221">
          <cell r="A221">
            <v>220</v>
          </cell>
          <cell r="B221" t="str">
            <v>ja</v>
          </cell>
          <cell r="C221" t="str">
            <v>ルキフグス</v>
          </cell>
        </row>
        <row r="222">
          <cell r="A222">
            <v>221</v>
          </cell>
          <cell r="B222" t="str">
            <v>ja</v>
          </cell>
          <cell r="C222" t="str">
            <v>宰相 ルキフグス</v>
          </cell>
        </row>
        <row r="223">
          <cell r="A223">
            <v>222</v>
          </cell>
          <cell r="B223" t="str">
            <v>ja</v>
          </cell>
          <cell r="C223" t="str">
            <v>避光の鉄鎖宰相 ルキフグス</v>
          </cell>
        </row>
        <row r="224">
          <cell r="A224">
            <v>223</v>
          </cell>
          <cell r="B224" t="str">
            <v>ja</v>
          </cell>
          <cell r="C224" t="str">
            <v>ヘラクレス</v>
          </cell>
        </row>
        <row r="225">
          <cell r="A225">
            <v>224</v>
          </cell>
          <cell r="B225" t="str">
            <v>ja</v>
          </cell>
          <cell r="C225" t="str">
            <v>巨腕 ヘラクレス</v>
          </cell>
        </row>
        <row r="226">
          <cell r="A226">
            <v>225</v>
          </cell>
          <cell r="B226" t="str">
            <v>ja</v>
          </cell>
          <cell r="C226" t="str">
            <v>咆哮の巨獅腕 ヘラクレス</v>
          </cell>
        </row>
        <row r="227">
          <cell r="A227">
            <v>226</v>
          </cell>
          <cell r="B227" t="str">
            <v>ja</v>
          </cell>
          <cell r="C227" t="str">
            <v>アレス</v>
          </cell>
        </row>
        <row r="228">
          <cell r="A228">
            <v>227</v>
          </cell>
          <cell r="B228" t="str">
            <v>ja</v>
          </cell>
          <cell r="C228" t="str">
            <v>滅弾 アレス</v>
          </cell>
        </row>
        <row r="229">
          <cell r="A229">
            <v>228</v>
          </cell>
          <cell r="B229" t="str">
            <v>ja</v>
          </cell>
          <cell r="C229" t="str">
            <v>殲滅の掃射砲 アレス</v>
          </cell>
        </row>
        <row r="230">
          <cell r="A230">
            <v>229</v>
          </cell>
          <cell r="B230" t="str">
            <v>ja</v>
          </cell>
          <cell r="C230" t="str">
            <v>ヨルムンガンド</v>
          </cell>
        </row>
        <row r="231">
          <cell r="A231">
            <v>230</v>
          </cell>
          <cell r="B231" t="str">
            <v>ja</v>
          </cell>
          <cell r="C231" t="str">
            <v>毒銃 ヨルムンガンド</v>
          </cell>
        </row>
        <row r="232">
          <cell r="A232">
            <v>231</v>
          </cell>
          <cell r="B232" t="str">
            <v>ja</v>
          </cell>
          <cell r="C232" t="str">
            <v>必中の咬銃 ヨルムンガンド</v>
          </cell>
        </row>
        <row r="233">
          <cell r="A233">
            <v>232</v>
          </cell>
          <cell r="B233" t="str">
            <v>ja</v>
          </cell>
          <cell r="C233" t="str">
            <v>パーシヴァル</v>
          </cell>
        </row>
        <row r="234">
          <cell r="A234">
            <v>233</v>
          </cell>
          <cell r="B234" t="str">
            <v>ja</v>
          </cell>
          <cell r="C234" t="str">
            <v>遂行 パーシヴァル</v>
          </cell>
        </row>
        <row r="235">
          <cell r="A235">
            <v>234</v>
          </cell>
          <cell r="B235" t="str">
            <v>ja</v>
          </cell>
          <cell r="C235" t="str">
            <v>精密なる照準 パーシヴァル</v>
          </cell>
        </row>
        <row r="236">
          <cell r="A236">
            <v>235</v>
          </cell>
          <cell r="B236" t="str">
            <v>ja</v>
          </cell>
          <cell r="C236" t="str">
            <v>イザナミ</v>
          </cell>
        </row>
        <row r="237">
          <cell r="A237">
            <v>236</v>
          </cell>
          <cell r="B237" t="str">
            <v>ja</v>
          </cell>
          <cell r="C237" t="str">
            <v>神産 イザナミ</v>
          </cell>
        </row>
        <row r="238">
          <cell r="A238">
            <v>237</v>
          </cell>
          <cell r="B238" t="str">
            <v>ja</v>
          </cell>
          <cell r="C238" t="str">
            <v>森羅万象の神母 イザナミ</v>
          </cell>
        </row>
        <row r="239">
          <cell r="A239">
            <v>238</v>
          </cell>
          <cell r="B239" t="str">
            <v>ja</v>
          </cell>
          <cell r="C239" t="str">
            <v>ウリエル</v>
          </cell>
        </row>
        <row r="240">
          <cell r="A240">
            <v>239</v>
          </cell>
          <cell r="B240" t="str">
            <v>ja</v>
          </cell>
          <cell r="C240" t="str">
            <v>豪炎の天使 ウリエル</v>
          </cell>
        </row>
        <row r="241">
          <cell r="A241">
            <v>240</v>
          </cell>
          <cell r="B241" t="str">
            <v>ja</v>
          </cell>
          <cell r="C241" t="str">
            <v>轟炎の天使 ウリエル・スレイヤー</v>
          </cell>
        </row>
        <row r="242">
          <cell r="A242">
            <v>241</v>
          </cell>
          <cell r="B242" t="str">
            <v>ja</v>
          </cell>
          <cell r="C242" t="str">
            <v>ガブリエル</v>
          </cell>
        </row>
        <row r="243">
          <cell r="A243">
            <v>242</v>
          </cell>
          <cell r="B243" t="str">
            <v>ja</v>
          </cell>
          <cell r="C243" t="str">
            <v>百花の天使 ガブリエル</v>
          </cell>
        </row>
        <row r="244">
          <cell r="A244">
            <v>243</v>
          </cell>
          <cell r="B244" t="str">
            <v>ja</v>
          </cell>
          <cell r="C244" t="str">
            <v>万花の天使 ガブリエル・ブルーム</v>
          </cell>
        </row>
        <row r="245">
          <cell r="A245">
            <v>244</v>
          </cell>
          <cell r="B245" t="str">
            <v>ja</v>
          </cell>
          <cell r="C245" t="str">
            <v>ラファエル</v>
          </cell>
        </row>
        <row r="246">
          <cell r="A246">
            <v>245</v>
          </cell>
          <cell r="B246" t="str">
            <v>ja</v>
          </cell>
          <cell r="C246" t="str">
            <v>鎮癒の天使 ラファエル</v>
          </cell>
        </row>
        <row r="247">
          <cell r="A247">
            <v>246</v>
          </cell>
          <cell r="B247" t="str">
            <v>ja</v>
          </cell>
          <cell r="C247" t="str">
            <v>真癒の天使 ラファエル・メディカ</v>
          </cell>
        </row>
        <row r="248">
          <cell r="A248">
            <v>247</v>
          </cell>
          <cell r="B248" t="str">
            <v>ja</v>
          </cell>
          <cell r="C248" t="str">
            <v>ミカエル</v>
          </cell>
        </row>
        <row r="249">
          <cell r="A249">
            <v>248</v>
          </cell>
          <cell r="B249" t="str">
            <v>ja</v>
          </cell>
          <cell r="C249" t="str">
            <v>彩電の天使 ミカエル</v>
          </cell>
        </row>
        <row r="250">
          <cell r="A250">
            <v>249</v>
          </cell>
          <cell r="B250" t="str">
            <v>ja</v>
          </cell>
          <cell r="C250" t="str">
            <v>雷電の天使 ミカエル・ゲイナー</v>
          </cell>
        </row>
        <row r="251">
          <cell r="A251">
            <v>250</v>
          </cell>
          <cell r="B251" t="str">
            <v>ja</v>
          </cell>
          <cell r="C251" t="str">
            <v>マンモン</v>
          </cell>
        </row>
        <row r="252">
          <cell r="A252">
            <v>251</v>
          </cell>
          <cell r="B252" t="str">
            <v>ja</v>
          </cell>
          <cell r="C252" t="str">
            <v>強欲 マンモン</v>
          </cell>
        </row>
        <row r="253">
          <cell r="A253">
            <v>252</v>
          </cell>
          <cell r="B253" t="str">
            <v>ja</v>
          </cell>
          <cell r="C253" t="str">
            <v>強欲の沸騰 マンモン</v>
          </cell>
        </row>
        <row r="254">
          <cell r="A254">
            <v>253</v>
          </cell>
          <cell r="B254" t="str">
            <v>ja</v>
          </cell>
          <cell r="C254" t="str">
            <v>ベルフェゴール</v>
          </cell>
        </row>
        <row r="255">
          <cell r="A255">
            <v>254</v>
          </cell>
          <cell r="B255" t="str">
            <v>ja</v>
          </cell>
          <cell r="C255" t="str">
            <v>怠惰 ベルフェゴール</v>
          </cell>
        </row>
        <row r="256">
          <cell r="A256">
            <v>255</v>
          </cell>
          <cell r="B256" t="str">
            <v>ja</v>
          </cell>
          <cell r="C256" t="str">
            <v>怠惰の頂点 ベルフェゴール</v>
          </cell>
        </row>
        <row r="257">
          <cell r="A257">
            <v>256</v>
          </cell>
          <cell r="B257" t="str">
            <v>ja</v>
          </cell>
          <cell r="C257" t="str">
            <v>アスモデウス</v>
          </cell>
        </row>
        <row r="258">
          <cell r="A258">
            <v>257</v>
          </cell>
          <cell r="B258" t="str">
            <v>ja</v>
          </cell>
          <cell r="C258" t="str">
            <v>色欲 アスモデウス</v>
          </cell>
        </row>
        <row r="259">
          <cell r="A259">
            <v>258</v>
          </cell>
          <cell r="B259" t="str">
            <v>ja</v>
          </cell>
          <cell r="C259" t="str">
            <v>色欲の源流 アスモデウス</v>
          </cell>
        </row>
        <row r="260">
          <cell r="A260">
            <v>259</v>
          </cell>
          <cell r="B260" t="str">
            <v>ja</v>
          </cell>
          <cell r="C260" t="str">
            <v>ウロボロス</v>
          </cell>
        </row>
        <row r="261">
          <cell r="A261">
            <v>260</v>
          </cell>
          <cell r="B261" t="str">
            <v>ja</v>
          </cell>
          <cell r="C261" t="str">
            <v>輪廻 ウロボロス</v>
          </cell>
        </row>
        <row r="262">
          <cell r="A262">
            <v>261</v>
          </cell>
          <cell r="B262" t="str">
            <v>ja</v>
          </cell>
          <cell r="C262" t="str">
            <v>輪廻の蛇龍 ウロボロス</v>
          </cell>
        </row>
        <row r="263">
          <cell r="A263">
            <v>262</v>
          </cell>
          <cell r="B263" t="str">
            <v>ja</v>
          </cell>
          <cell r="C263" t="str">
            <v>アシュリー</v>
          </cell>
        </row>
        <row r="264">
          <cell r="A264">
            <v>263</v>
          </cell>
          <cell r="B264" t="str">
            <v>ja</v>
          </cell>
          <cell r="C264" t="str">
            <v>鉤爪姫 アシュリー</v>
          </cell>
        </row>
        <row r="265">
          <cell r="A265">
            <v>264</v>
          </cell>
          <cell r="B265" t="str">
            <v>ja</v>
          </cell>
          <cell r="C265" t="str">
            <v>ユニコーン</v>
          </cell>
        </row>
        <row r="266">
          <cell r="A266">
            <v>265</v>
          </cell>
          <cell r="B266" t="str">
            <v>ja</v>
          </cell>
          <cell r="C266" t="str">
            <v>翠角馬 ユニコーン</v>
          </cell>
        </row>
        <row r="267">
          <cell r="A267">
            <v>266</v>
          </cell>
          <cell r="B267" t="str">
            <v>ja</v>
          </cell>
          <cell r="C267" t="str">
            <v>リリアンブルー</v>
          </cell>
        </row>
        <row r="268">
          <cell r="A268">
            <v>267</v>
          </cell>
          <cell r="B268" t="str">
            <v>ja</v>
          </cell>
          <cell r="C268" t="str">
            <v>奇術猫 リリアンブルー</v>
          </cell>
        </row>
        <row r="269">
          <cell r="A269">
            <v>268</v>
          </cell>
          <cell r="B269" t="str">
            <v>ja</v>
          </cell>
          <cell r="C269" t="str">
            <v>鵺</v>
          </cell>
        </row>
        <row r="270">
          <cell r="A270">
            <v>269</v>
          </cell>
          <cell r="B270" t="str">
            <v>ja</v>
          </cell>
          <cell r="C270" t="str">
            <v>合雷獣 鵺</v>
          </cell>
        </row>
        <row r="271">
          <cell r="A271">
            <v>270</v>
          </cell>
          <cell r="B271" t="str">
            <v>ja</v>
          </cell>
          <cell r="C271" t="str">
            <v>風爪のミリー</v>
          </cell>
        </row>
        <row r="272">
          <cell r="A272">
            <v>271</v>
          </cell>
          <cell r="B272" t="str">
            <v>ja</v>
          </cell>
          <cell r="C272" t="str">
            <v>疾風五花 ミリー</v>
          </cell>
        </row>
        <row r="273">
          <cell r="A273">
            <v>272</v>
          </cell>
          <cell r="B273" t="str">
            <v>ja</v>
          </cell>
          <cell r="C273" t="str">
            <v>魔札のシルベール</v>
          </cell>
        </row>
        <row r="274">
          <cell r="A274">
            <v>273</v>
          </cell>
          <cell r="B274" t="str">
            <v>ja</v>
          </cell>
          <cell r="C274" t="str">
            <v>円環魔道 シルベール</v>
          </cell>
        </row>
        <row r="275">
          <cell r="A275">
            <v>274</v>
          </cell>
          <cell r="B275" t="str">
            <v>ja</v>
          </cell>
          <cell r="C275" t="str">
            <v>砕棒のガエル</v>
          </cell>
        </row>
        <row r="276">
          <cell r="A276">
            <v>275</v>
          </cell>
          <cell r="B276" t="str">
            <v>ja</v>
          </cell>
          <cell r="C276" t="str">
            <v>轟雷砕棒 ガエル</v>
          </cell>
        </row>
        <row r="277">
          <cell r="A277">
            <v>276</v>
          </cell>
          <cell r="B277" t="str">
            <v>ja</v>
          </cell>
          <cell r="C277" t="str">
            <v>機拳のイリア</v>
          </cell>
        </row>
        <row r="278">
          <cell r="A278">
            <v>277</v>
          </cell>
          <cell r="B278" t="str">
            <v>ja</v>
          </cell>
          <cell r="C278" t="str">
            <v>機拳恐慌 イリア</v>
          </cell>
        </row>
        <row r="279">
          <cell r="A279">
            <v>278</v>
          </cell>
          <cell r="B279" t="str">
            <v>ja</v>
          </cell>
          <cell r="C279" t="str">
            <v>アマテラス</v>
          </cell>
        </row>
        <row r="280">
          <cell r="A280">
            <v>279</v>
          </cell>
          <cell r="B280" t="str">
            <v>ja</v>
          </cell>
          <cell r="C280" t="str">
            <v>統空大神 アマテラス</v>
          </cell>
        </row>
        <row r="281">
          <cell r="A281">
            <v>280</v>
          </cell>
          <cell r="B281" t="str">
            <v>ja</v>
          </cell>
          <cell r="C281" t="str">
            <v>リンドブルム</v>
          </cell>
        </row>
        <row r="282">
          <cell r="A282">
            <v>281</v>
          </cell>
          <cell r="B282" t="str">
            <v>ja</v>
          </cell>
          <cell r="C282" t="str">
            <v>リンドブルム・コンデンス</v>
          </cell>
        </row>
        <row r="283">
          <cell r="A283">
            <v>282</v>
          </cell>
          <cell r="B283" t="str">
            <v>ja</v>
          </cell>
          <cell r="C283" t="str">
            <v>ラーフ</v>
          </cell>
        </row>
        <row r="284">
          <cell r="A284">
            <v>283</v>
          </cell>
          <cell r="B284" t="str">
            <v>ja</v>
          </cell>
          <cell r="C284" t="str">
            <v>ラーフ・メテオ</v>
          </cell>
        </row>
        <row r="285">
          <cell r="A285">
            <v>284</v>
          </cell>
          <cell r="B285" t="str">
            <v>ja</v>
          </cell>
          <cell r="C285" t="str">
            <v>フェルニゲシュ</v>
          </cell>
        </row>
        <row r="286">
          <cell r="A286">
            <v>285</v>
          </cell>
          <cell r="B286" t="str">
            <v>ja</v>
          </cell>
          <cell r="C286" t="str">
            <v>フェルニゲシュ・オーバードライヴ</v>
          </cell>
        </row>
        <row r="287">
          <cell r="A287">
            <v>286</v>
          </cell>
          <cell r="B287" t="str">
            <v>ja</v>
          </cell>
          <cell r="C287" t="str">
            <v>ヒュドラ</v>
          </cell>
        </row>
        <row r="288">
          <cell r="A288">
            <v>287</v>
          </cell>
          <cell r="B288" t="str">
            <v>ja</v>
          </cell>
          <cell r="C288" t="str">
            <v>ヒュドラ・フルオープン</v>
          </cell>
        </row>
        <row r="289">
          <cell r="A289">
            <v>288</v>
          </cell>
          <cell r="B289" t="str">
            <v>ja</v>
          </cell>
          <cell r="C289" t="str">
            <v>ミカド</v>
          </cell>
        </row>
        <row r="290">
          <cell r="A290">
            <v>289</v>
          </cell>
          <cell r="B290" t="str">
            <v>ja</v>
          </cell>
          <cell r="C290" t="str">
            <v>高圧なるミカド</v>
          </cell>
        </row>
        <row r="291">
          <cell r="A291">
            <v>290</v>
          </cell>
          <cell r="B291" t="str">
            <v>ja</v>
          </cell>
          <cell r="C291" t="str">
            <v>ウィッチ・オクトパス</v>
          </cell>
        </row>
        <row r="292">
          <cell r="A292">
            <v>291</v>
          </cell>
          <cell r="B292" t="str">
            <v>ja</v>
          </cell>
          <cell r="C292" t="str">
            <v>魔改造のウィッチ・オクトパス</v>
          </cell>
        </row>
        <row r="293">
          <cell r="A293">
            <v>292</v>
          </cell>
          <cell r="B293" t="str">
            <v>ja</v>
          </cell>
          <cell r="C293" t="str">
            <v>アナスタシア</v>
          </cell>
        </row>
        <row r="294">
          <cell r="A294">
            <v>293</v>
          </cell>
          <cell r="B294" t="str">
            <v>ja</v>
          </cell>
          <cell r="C294" t="str">
            <v>激流拳技を極めし者 アナスタシア</v>
          </cell>
        </row>
        <row r="295">
          <cell r="A295">
            <v>294</v>
          </cell>
          <cell r="B295" t="str">
            <v>ja</v>
          </cell>
          <cell r="C295" t="str">
            <v>ウルフ・ザ・レッドイーター</v>
          </cell>
        </row>
        <row r="296">
          <cell r="A296">
            <v>295</v>
          </cell>
          <cell r="B296" t="str">
            <v>ja</v>
          </cell>
          <cell r="C296" t="str">
            <v>ウルフ・ザ・レッドクラッシャー</v>
          </cell>
        </row>
        <row r="297">
          <cell r="A297">
            <v>296</v>
          </cell>
          <cell r="B297" t="str">
            <v>ja</v>
          </cell>
          <cell r="C297" t="str">
            <v>アザゼル</v>
          </cell>
        </row>
        <row r="298">
          <cell r="A298">
            <v>297</v>
          </cell>
          <cell r="B298" t="str">
            <v>ja</v>
          </cell>
          <cell r="C298" t="str">
            <v>狂靭なる双撃 アザゼル</v>
          </cell>
        </row>
        <row r="299">
          <cell r="A299">
            <v>298</v>
          </cell>
          <cell r="B299" t="str">
            <v>ja</v>
          </cell>
          <cell r="C299" t="str">
            <v>炎殺のミサコ</v>
          </cell>
        </row>
        <row r="300">
          <cell r="A300">
            <v>299</v>
          </cell>
          <cell r="B300" t="str">
            <v>ja</v>
          </cell>
          <cell r="C300" t="str">
            <v>狂気の炎風 ミサコ</v>
          </cell>
        </row>
        <row r="301">
          <cell r="A301">
            <v>300</v>
          </cell>
          <cell r="B301" t="str">
            <v>ja</v>
          </cell>
          <cell r="C301" t="str">
            <v>毒殺のチカ</v>
          </cell>
        </row>
        <row r="302">
          <cell r="A302">
            <v>301</v>
          </cell>
          <cell r="B302" t="str">
            <v>ja</v>
          </cell>
          <cell r="C302" t="str">
            <v>宿痾の葬送 チカ</v>
          </cell>
        </row>
        <row r="303">
          <cell r="A303">
            <v>302</v>
          </cell>
          <cell r="B303" t="str">
            <v>ja</v>
          </cell>
          <cell r="C303" t="str">
            <v>絞殺のリサ</v>
          </cell>
        </row>
        <row r="304">
          <cell r="A304">
            <v>303</v>
          </cell>
          <cell r="B304" t="str">
            <v>ja</v>
          </cell>
          <cell r="C304" t="str">
            <v>哄笑の禁縛 リサ</v>
          </cell>
        </row>
        <row r="305">
          <cell r="A305">
            <v>304</v>
          </cell>
          <cell r="B305" t="str">
            <v>ja</v>
          </cell>
          <cell r="C305" t="str">
            <v>電殺のチエミ</v>
          </cell>
        </row>
        <row r="306">
          <cell r="A306">
            <v>305</v>
          </cell>
          <cell r="B306" t="str">
            <v>ja</v>
          </cell>
          <cell r="C306" t="str">
            <v>螺旋の雷電 チエミ</v>
          </cell>
        </row>
        <row r="307">
          <cell r="A307">
            <v>306</v>
          </cell>
          <cell r="B307" t="str">
            <v>ja</v>
          </cell>
          <cell r="C307" t="str">
            <v>メガロドン</v>
          </cell>
        </row>
        <row r="308">
          <cell r="A308">
            <v>307</v>
          </cell>
          <cell r="B308" t="str">
            <v>ja</v>
          </cell>
          <cell r="C308" t="str">
            <v>古の鋼拳 メガロドン</v>
          </cell>
        </row>
        <row r="309">
          <cell r="A309">
            <v>308</v>
          </cell>
          <cell r="B309" t="str">
            <v>ja</v>
          </cell>
          <cell r="C309" t="str">
            <v>アーケロン</v>
          </cell>
        </row>
        <row r="310">
          <cell r="A310">
            <v>309</v>
          </cell>
          <cell r="B310" t="str">
            <v>ja</v>
          </cell>
          <cell r="C310" t="str">
            <v>古の博学 アーケロン</v>
          </cell>
        </row>
        <row r="311">
          <cell r="A311">
            <v>310</v>
          </cell>
          <cell r="B311" t="str">
            <v>ja</v>
          </cell>
          <cell r="C311" t="str">
            <v>リードシクティス</v>
          </cell>
        </row>
        <row r="312">
          <cell r="A312">
            <v>311</v>
          </cell>
          <cell r="B312" t="str">
            <v>ja</v>
          </cell>
          <cell r="C312" t="str">
            <v>古の暴食 リードシクティス</v>
          </cell>
        </row>
        <row r="313">
          <cell r="A313">
            <v>312</v>
          </cell>
          <cell r="B313" t="str">
            <v>ja</v>
          </cell>
          <cell r="C313" t="str">
            <v>アノマロカリス</v>
          </cell>
        </row>
        <row r="314">
          <cell r="A314">
            <v>313</v>
          </cell>
          <cell r="B314" t="str">
            <v>ja</v>
          </cell>
          <cell r="C314" t="str">
            <v>古の先鋭 アノマロカリス</v>
          </cell>
        </row>
        <row r="315">
          <cell r="A315">
            <v>314</v>
          </cell>
          <cell r="B315" t="str">
            <v>ja</v>
          </cell>
          <cell r="C315" t="str">
            <v>ジャンヌ</v>
          </cell>
        </row>
        <row r="316">
          <cell r="A316">
            <v>315</v>
          </cell>
          <cell r="B316" t="str">
            <v>ja</v>
          </cell>
          <cell r="C316" t="str">
            <v>鉄馬駆る聖女 ジャンヌ</v>
          </cell>
        </row>
        <row r="317">
          <cell r="A317">
            <v>316</v>
          </cell>
          <cell r="B317" t="str">
            <v>ja</v>
          </cell>
          <cell r="C317" t="str">
            <v>テスラ</v>
          </cell>
        </row>
        <row r="318">
          <cell r="A318">
            <v>317</v>
          </cell>
          <cell r="B318" t="str">
            <v>ja</v>
          </cell>
          <cell r="C318" t="str">
            <v>異能の電気師 テスラ</v>
          </cell>
        </row>
        <row r="319">
          <cell r="A319">
            <v>318</v>
          </cell>
          <cell r="B319" t="str">
            <v>ja</v>
          </cell>
          <cell r="C319" t="str">
            <v>シャルル</v>
          </cell>
        </row>
        <row r="320">
          <cell r="A320">
            <v>319</v>
          </cell>
          <cell r="B320" t="str">
            <v>ja</v>
          </cell>
          <cell r="C320" t="str">
            <v>夢想の学士 シャルル</v>
          </cell>
        </row>
        <row r="321">
          <cell r="A321">
            <v>320</v>
          </cell>
          <cell r="B321" t="str">
            <v>ja</v>
          </cell>
          <cell r="C321" t="str">
            <v>烈志士 近藤勇</v>
          </cell>
        </row>
        <row r="322">
          <cell r="A322">
            <v>321</v>
          </cell>
          <cell r="B322" t="str">
            <v>ja</v>
          </cell>
          <cell r="C322" t="str">
            <v>巌鉄の烈志士 近藤勇</v>
          </cell>
        </row>
        <row r="323">
          <cell r="A323">
            <v>322</v>
          </cell>
          <cell r="B323" t="str">
            <v>ja</v>
          </cell>
          <cell r="C323" t="str">
            <v>愛志士 土方歳三</v>
          </cell>
        </row>
        <row r="324">
          <cell r="A324">
            <v>323</v>
          </cell>
          <cell r="B324" t="str">
            <v>ja</v>
          </cell>
          <cell r="C324" t="str">
            <v>流麗の愛志士 土方歳三</v>
          </cell>
        </row>
        <row r="325">
          <cell r="A325">
            <v>324</v>
          </cell>
          <cell r="B325" t="str">
            <v>ja</v>
          </cell>
          <cell r="C325" t="str">
            <v>凛志士 沖田総司</v>
          </cell>
        </row>
        <row r="326">
          <cell r="A326">
            <v>325</v>
          </cell>
          <cell r="B326" t="str">
            <v>ja</v>
          </cell>
          <cell r="C326" t="str">
            <v>天賦の凛志士 沖田総司</v>
          </cell>
        </row>
        <row r="327">
          <cell r="A327">
            <v>326</v>
          </cell>
          <cell r="B327" t="str">
            <v>ja</v>
          </cell>
          <cell r="C327" t="str">
            <v>妖志士 斎藤一</v>
          </cell>
        </row>
        <row r="328">
          <cell r="A328">
            <v>327</v>
          </cell>
          <cell r="B328" t="str">
            <v>ja</v>
          </cell>
          <cell r="C328" t="str">
            <v>千殺の妖志士 斎藤一</v>
          </cell>
        </row>
        <row r="329">
          <cell r="A329">
            <v>328</v>
          </cell>
          <cell r="B329" t="str">
            <v>ja</v>
          </cell>
          <cell r="C329" t="str">
            <v>麒麟クエストアイコンシルエット</v>
          </cell>
        </row>
        <row r="330">
          <cell r="A330">
            <v>329</v>
          </cell>
          <cell r="B330" t="str">
            <v>ja</v>
          </cell>
          <cell r="C330" t="str">
            <v>麒麟クエストアイコンシルエット</v>
          </cell>
        </row>
        <row r="331">
          <cell r="A331">
            <v>330</v>
          </cell>
          <cell r="B331" t="str">
            <v>ja</v>
          </cell>
          <cell r="C331" t="str">
            <v>Usagi-chan</v>
          </cell>
        </row>
        <row r="332">
          <cell r="A332">
            <v>331</v>
          </cell>
          <cell r="B332" t="str">
            <v>ja</v>
          </cell>
          <cell r="C332" t="str">
            <v>オーディンクエストアイコンシルエット</v>
          </cell>
        </row>
        <row r="333">
          <cell r="A333">
            <v>332</v>
          </cell>
          <cell r="B333" t="str">
            <v>ja</v>
          </cell>
          <cell r="C333" t="str">
            <v>炎のメタルピヨピヨ</v>
          </cell>
        </row>
        <row r="334">
          <cell r="A334">
            <v>333</v>
          </cell>
          <cell r="B334" t="str">
            <v>ja</v>
          </cell>
          <cell r="C334" t="str">
            <v>炎のメタルチック</v>
          </cell>
        </row>
        <row r="335">
          <cell r="A335">
            <v>334</v>
          </cell>
          <cell r="B335" t="str">
            <v>ja</v>
          </cell>
          <cell r="C335" t="str">
            <v>炎のメタルダック</v>
          </cell>
        </row>
        <row r="336">
          <cell r="A336">
            <v>335</v>
          </cell>
          <cell r="B336" t="str">
            <v>ja</v>
          </cell>
          <cell r="C336" t="str">
            <v>炎のメタルジェントル</v>
          </cell>
        </row>
        <row r="337">
          <cell r="A337">
            <v>336</v>
          </cell>
          <cell r="B337" t="str">
            <v>ja</v>
          </cell>
          <cell r="C337" t="str">
            <v>森のメタルピヨピヨ</v>
          </cell>
        </row>
        <row r="338">
          <cell r="A338">
            <v>337</v>
          </cell>
          <cell r="B338" t="str">
            <v>ja</v>
          </cell>
          <cell r="C338" t="str">
            <v>森のメタルチック</v>
          </cell>
        </row>
        <row r="339">
          <cell r="A339">
            <v>338</v>
          </cell>
          <cell r="B339" t="str">
            <v>ja</v>
          </cell>
          <cell r="C339" t="str">
            <v>森のメタルダック</v>
          </cell>
        </row>
        <row r="340">
          <cell r="A340">
            <v>339</v>
          </cell>
          <cell r="B340" t="str">
            <v>ja</v>
          </cell>
          <cell r="C340" t="str">
            <v>森のメタルジェントル</v>
          </cell>
        </row>
        <row r="341">
          <cell r="A341">
            <v>340</v>
          </cell>
          <cell r="B341" t="str">
            <v>ja</v>
          </cell>
          <cell r="C341" t="str">
            <v>水のメタルピヨピヨ</v>
          </cell>
        </row>
        <row r="342">
          <cell r="A342">
            <v>341</v>
          </cell>
          <cell r="B342" t="str">
            <v>ja</v>
          </cell>
          <cell r="C342" t="str">
            <v>水のメタルチック</v>
          </cell>
        </row>
        <row r="343">
          <cell r="A343">
            <v>342</v>
          </cell>
          <cell r="B343" t="str">
            <v>ja</v>
          </cell>
          <cell r="C343" t="str">
            <v>水のメタルダック</v>
          </cell>
        </row>
        <row r="344">
          <cell r="A344">
            <v>343</v>
          </cell>
          <cell r="B344" t="str">
            <v>ja</v>
          </cell>
          <cell r="C344" t="str">
            <v>水のメタルジェントル</v>
          </cell>
        </row>
        <row r="345">
          <cell r="A345">
            <v>344</v>
          </cell>
          <cell r="B345" t="str">
            <v>ja</v>
          </cell>
          <cell r="C345" t="str">
            <v>雷のメタルピヨピヨ</v>
          </cell>
        </row>
        <row r="346">
          <cell r="A346">
            <v>345</v>
          </cell>
          <cell r="B346" t="str">
            <v>ja</v>
          </cell>
          <cell r="C346" t="str">
            <v>雷のメタルチック</v>
          </cell>
        </row>
        <row r="347">
          <cell r="A347">
            <v>346</v>
          </cell>
          <cell r="B347" t="str">
            <v>ja</v>
          </cell>
          <cell r="C347" t="str">
            <v>雷のメタルダック</v>
          </cell>
        </row>
        <row r="348">
          <cell r="A348">
            <v>347</v>
          </cell>
          <cell r="B348" t="str">
            <v>ja</v>
          </cell>
          <cell r="C348" t="str">
            <v>雷のメタルジェントル</v>
          </cell>
        </row>
        <row r="349">
          <cell r="A349">
            <v>348</v>
          </cell>
          <cell r="B349" t="str">
            <v>ja</v>
          </cell>
          <cell r="C349" t="str">
            <v>炎のケロケロ</v>
          </cell>
        </row>
        <row r="350">
          <cell r="A350">
            <v>349</v>
          </cell>
          <cell r="B350" t="str">
            <v>ja</v>
          </cell>
          <cell r="C350" t="str">
            <v>炎のメタルフロッグ</v>
          </cell>
        </row>
        <row r="351">
          <cell r="A351">
            <v>350</v>
          </cell>
          <cell r="B351" t="str">
            <v>ja</v>
          </cell>
          <cell r="C351" t="str">
            <v>森のケロケロ</v>
          </cell>
        </row>
        <row r="352">
          <cell r="A352">
            <v>351</v>
          </cell>
          <cell r="B352" t="str">
            <v>ja</v>
          </cell>
          <cell r="C352" t="str">
            <v>森のメタルフロッグ</v>
          </cell>
        </row>
        <row r="353">
          <cell r="A353">
            <v>352</v>
          </cell>
          <cell r="B353" t="str">
            <v>ja</v>
          </cell>
          <cell r="C353" t="str">
            <v>水のケロケロ</v>
          </cell>
        </row>
        <row r="354">
          <cell r="A354">
            <v>353</v>
          </cell>
          <cell r="B354" t="str">
            <v>ja</v>
          </cell>
          <cell r="C354" t="str">
            <v>水のメタルフロッグ</v>
          </cell>
        </row>
        <row r="355">
          <cell r="A355">
            <v>354</v>
          </cell>
          <cell r="B355" t="str">
            <v>ja</v>
          </cell>
          <cell r="C355" t="str">
            <v>雷のケロケロ</v>
          </cell>
        </row>
        <row r="356">
          <cell r="A356">
            <v>355</v>
          </cell>
          <cell r="B356" t="str">
            <v>ja</v>
          </cell>
          <cell r="C356" t="str">
            <v>雷のメタルフロッグ</v>
          </cell>
        </row>
        <row r="357">
          <cell r="A357">
            <v>356</v>
          </cell>
          <cell r="B357" t="str">
            <v>ja</v>
          </cell>
          <cell r="C357" t="str">
            <v>炎上のドードー</v>
          </cell>
        </row>
        <row r="358">
          <cell r="A358">
            <v>357</v>
          </cell>
          <cell r="B358" t="str">
            <v>ja</v>
          </cell>
          <cell r="C358" t="str">
            <v>千風のグリフォン</v>
          </cell>
        </row>
        <row r="359">
          <cell r="A359">
            <v>358</v>
          </cell>
          <cell r="B359" t="str">
            <v>ja</v>
          </cell>
          <cell r="C359" t="str">
            <v>深淵の代用ウミガメ</v>
          </cell>
        </row>
        <row r="360">
          <cell r="A360">
            <v>359</v>
          </cell>
          <cell r="B360" t="str">
            <v>ja</v>
          </cell>
          <cell r="C360" t="str">
            <v>醒電の眠りネズミ</v>
          </cell>
        </row>
        <row r="361">
          <cell r="A361">
            <v>360</v>
          </cell>
          <cell r="B361" t="str">
            <v>ja</v>
          </cell>
          <cell r="C361" t="str">
            <v>ガンテツ</v>
          </cell>
        </row>
        <row r="362">
          <cell r="A362">
            <v>361</v>
          </cell>
          <cell r="B362" t="str">
            <v>ja</v>
          </cell>
          <cell r="C362" t="str">
            <v>灼熱の鉄板 ガンテツ</v>
          </cell>
        </row>
        <row r="363">
          <cell r="A363">
            <v>362</v>
          </cell>
          <cell r="B363" t="str">
            <v>ja</v>
          </cell>
          <cell r="C363" t="str">
            <v>ゆらら</v>
          </cell>
        </row>
        <row r="364">
          <cell r="A364">
            <v>363</v>
          </cell>
          <cell r="B364" t="str">
            <v>ja</v>
          </cell>
          <cell r="C364" t="str">
            <v>花咲く幼精 ゆらら</v>
          </cell>
        </row>
        <row r="365">
          <cell r="A365">
            <v>364</v>
          </cell>
          <cell r="B365" t="str">
            <v>ja</v>
          </cell>
          <cell r="C365" t="str">
            <v>ノエル</v>
          </cell>
        </row>
        <row r="366">
          <cell r="A366">
            <v>365</v>
          </cell>
          <cell r="B366" t="str">
            <v>ja</v>
          </cell>
          <cell r="C366" t="str">
            <v>惨劇の人形 ノエル</v>
          </cell>
        </row>
        <row r="367">
          <cell r="A367">
            <v>366</v>
          </cell>
          <cell r="B367" t="str">
            <v>ja</v>
          </cell>
          <cell r="C367" t="str">
            <v>トト</v>
          </cell>
        </row>
        <row r="368">
          <cell r="A368">
            <v>367</v>
          </cell>
          <cell r="B368" t="str">
            <v>ja</v>
          </cell>
          <cell r="C368" t="str">
            <v>爆進の小兵 トト</v>
          </cell>
        </row>
        <row r="369">
          <cell r="A369">
            <v>368</v>
          </cell>
          <cell r="B369" t="str">
            <v>ja</v>
          </cell>
          <cell r="C369" t="str">
            <v>ボイル</v>
          </cell>
        </row>
        <row r="370">
          <cell r="A370">
            <v>369</v>
          </cell>
          <cell r="B370" t="str">
            <v>ja</v>
          </cell>
          <cell r="C370" t="str">
            <v>赫熱の重腕 ボイル</v>
          </cell>
        </row>
        <row r="371">
          <cell r="A371">
            <v>370</v>
          </cell>
          <cell r="B371" t="str">
            <v>ja</v>
          </cell>
          <cell r="C371" t="str">
            <v>タイチ</v>
          </cell>
        </row>
        <row r="372">
          <cell r="A372">
            <v>371</v>
          </cell>
          <cell r="B372" t="str">
            <v>ja</v>
          </cell>
          <cell r="C372" t="str">
            <v>行灯達磨 タイチ</v>
          </cell>
        </row>
        <row r="373">
          <cell r="A373">
            <v>372</v>
          </cell>
          <cell r="B373" t="str">
            <v>ja</v>
          </cell>
          <cell r="C373" t="str">
            <v>バショー</v>
          </cell>
        </row>
        <row r="374">
          <cell r="A374">
            <v>373</v>
          </cell>
          <cell r="B374" t="str">
            <v>ja</v>
          </cell>
          <cell r="C374" t="str">
            <v>夢幻俳聖 バショー</v>
          </cell>
        </row>
        <row r="375">
          <cell r="A375">
            <v>374</v>
          </cell>
          <cell r="B375" t="str">
            <v>ja</v>
          </cell>
          <cell r="C375" t="str">
            <v>影丸</v>
          </cell>
        </row>
        <row r="376">
          <cell r="A376">
            <v>375</v>
          </cell>
          <cell r="B376" t="str">
            <v>ja</v>
          </cell>
          <cell r="C376" t="str">
            <v>蒼術兎忍 影丸</v>
          </cell>
        </row>
        <row r="377">
          <cell r="A377">
            <v>376</v>
          </cell>
          <cell r="B377" t="str">
            <v>ja</v>
          </cell>
          <cell r="C377" t="str">
            <v>勘兵衛</v>
          </cell>
        </row>
        <row r="378">
          <cell r="A378">
            <v>377</v>
          </cell>
          <cell r="B378" t="str">
            <v>ja</v>
          </cell>
          <cell r="C378" t="str">
            <v>光明鹿剣 勘兵衛</v>
          </cell>
        </row>
        <row r="379">
          <cell r="A379">
            <v>378</v>
          </cell>
          <cell r="B379" t="str">
            <v>ja</v>
          </cell>
          <cell r="C379" t="str">
            <v>オイラー</v>
          </cell>
        </row>
        <row r="380">
          <cell r="A380">
            <v>379</v>
          </cell>
          <cell r="B380" t="str">
            <v>ja</v>
          </cell>
          <cell r="C380" t="str">
            <v>幾何の機刃 オイラー</v>
          </cell>
        </row>
        <row r="381">
          <cell r="A381">
            <v>380</v>
          </cell>
          <cell r="B381" t="str">
            <v>ja</v>
          </cell>
          <cell r="C381" t="str">
            <v>バハムート</v>
          </cell>
        </row>
        <row r="382">
          <cell r="A382">
            <v>381</v>
          </cell>
          <cell r="B382" t="str">
            <v>ja</v>
          </cell>
          <cell r="C382" t="str">
            <v>肉食の恋火 バハムート</v>
          </cell>
        </row>
        <row r="383">
          <cell r="A383">
            <v>382</v>
          </cell>
          <cell r="B383" t="str">
            <v>ja</v>
          </cell>
          <cell r="C383" t="str">
            <v>激情の愛炎 バハムート</v>
          </cell>
        </row>
        <row r="384">
          <cell r="A384">
            <v>383</v>
          </cell>
          <cell r="B384" t="str">
            <v>ja</v>
          </cell>
          <cell r="C384" t="str">
            <v>酒宴の蟒蛇 ヤマタノオロチ</v>
          </cell>
        </row>
        <row r="385">
          <cell r="A385">
            <v>384</v>
          </cell>
          <cell r="B385" t="str">
            <v>ja</v>
          </cell>
          <cell r="C385" t="str">
            <v>破国の呑龍 ヤマタノオロチ</v>
          </cell>
        </row>
        <row r="386">
          <cell r="A386">
            <v>385</v>
          </cell>
          <cell r="B386" t="str">
            <v>ja</v>
          </cell>
          <cell r="C386" t="str">
            <v>波烈の出奔 リヴァイアサン</v>
          </cell>
        </row>
        <row r="387">
          <cell r="A387">
            <v>386</v>
          </cell>
          <cell r="B387" t="str">
            <v>ja</v>
          </cell>
          <cell r="C387" t="str">
            <v>氾乱の海龍 リヴァイアサン</v>
          </cell>
        </row>
        <row r="388">
          <cell r="A388">
            <v>387</v>
          </cell>
          <cell r="B388" t="str">
            <v>ja</v>
          </cell>
          <cell r="C388" t="str">
            <v>スフィンクス</v>
          </cell>
        </row>
        <row r="389">
          <cell r="A389">
            <v>388</v>
          </cell>
          <cell r="B389" t="str">
            <v>ja</v>
          </cell>
          <cell r="C389" t="str">
            <v>神円の恋姫 スフィンクス</v>
          </cell>
        </row>
        <row r="390">
          <cell r="A390">
            <v>389</v>
          </cell>
          <cell r="B390" t="str">
            <v>ja</v>
          </cell>
          <cell r="C390" t="str">
            <v>操神の愛姫 スフィンクス</v>
          </cell>
        </row>
        <row r="391">
          <cell r="A391">
            <v>390</v>
          </cell>
          <cell r="B391" t="str">
            <v>ja</v>
          </cell>
          <cell r="C391" t="str">
            <v>華環の旅客 親指姫</v>
          </cell>
        </row>
        <row r="392">
          <cell r="A392">
            <v>391</v>
          </cell>
          <cell r="B392" t="str">
            <v>ja</v>
          </cell>
          <cell r="C392" t="str">
            <v>燕翼の旅人 親指姫</v>
          </cell>
        </row>
        <row r="393">
          <cell r="A393">
            <v>392</v>
          </cell>
          <cell r="B393" t="str">
            <v>ja</v>
          </cell>
          <cell r="C393" t="str">
            <v>ピーターパン</v>
          </cell>
        </row>
        <row r="394">
          <cell r="A394">
            <v>393</v>
          </cell>
          <cell r="B394" t="str">
            <v>ja</v>
          </cell>
          <cell r="C394" t="str">
            <v>影縫い ピーターパン</v>
          </cell>
        </row>
        <row r="395">
          <cell r="A395">
            <v>394</v>
          </cell>
          <cell r="B395" t="str">
            <v>ja</v>
          </cell>
          <cell r="C395" t="str">
            <v>影求の悪童 ピーターパン</v>
          </cell>
        </row>
        <row r="396">
          <cell r="A396">
            <v>395</v>
          </cell>
          <cell r="B396" t="str">
            <v>ja</v>
          </cell>
          <cell r="C396" t="str">
            <v>乙姫</v>
          </cell>
        </row>
        <row r="397">
          <cell r="A397">
            <v>396</v>
          </cell>
          <cell r="B397" t="str">
            <v>ja</v>
          </cell>
          <cell r="C397" t="str">
            <v>竜宮の水雷 乙姫</v>
          </cell>
        </row>
        <row r="398">
          <cell r="A398">
            <v>397</v>
          </cell>
          <cell r="B398" t="str">
            <v>ja</v>
          </cell>
          <cell r="C398" t="str">
            <v>禁断の追箱 乙姫</v>
          </cell>
        </row>
        <row r="399">
          <cell r="A399">
            <v>398</v>
          </cell>
          <cell r="B399" t="str">
            <v>ja</v>
          </cell>
          <cell r="C399" t="str">
            <v>ヘンゼル＆グレーテル</v>
          </cell>
        </row>
        <row r="400">
          <cell r="A400">
            <v>399</v>
          </cell>
          <cell r="B400" t="str">
            <v>ja</v>
          </cell>
          <cell r="C400" t="str">
            <v>信愛の兄妹 ヘンゼル＆グレーテル</v>
          </cell>
        </row>
        <row r="401">
          <cell r="A401">
            <v>400</v>
          </cell>
          <cell r="B401" t="str">
            <v>ja</v>
          </cell>
          <cell r="C401" t="str">
            <v>フェンリル</v>
          </cell>
        </row>
        <row r="402">
          <cell r="A402">
            <v>401</v>
          </cell>
          <cell r="B402" t="str">
            <v>ja</v>
          </cell>
          <cell r="C402" t="str">
            <v>紅銀の孤狼 フェンリル</v>
          </cell>
        </row>
        <row r="403">
          <cell r="A403">
            <v>402</v>
          </cell>
          <cell r="B403" t="str">
            <v>ja</v>
          </cell>
          <cell r="C403" t="str">
            <v>天災の神狼 フェンリル</v>
          </cell>
        </row>
        <row r="404">
          <cell r="A404">
            <v>403</v>
          </cell>
          <cell r="B404" t="str">
            <v>ja</v>
          </cell>
          <cell r="C404" t="str">
            <v>静撃の翠眼 八咫烏</v>
          </cell>
        </row>
        <row r="405">
          <cell r="A405">
            <v>404</v>
          </cell>
          <cell r="B405" t="str">
            <v>ja</v>
          </cell>
          <cell r="C405" t="str">
            <v>空襲の神眼 八咫烏</v>
          </cell>
        </row>
        <row r="406">
          <cell r="A406">
            <v>405</v>
          </cell>
          <cell r="B406" t="str">
            <v>ja</v>
          </cell>
          <cell r="C406" t="str">
            <v>エキドナ</v>
          </cell>
        </row>
        <row r="407">
          <cell r="A407">
            <v>406</v>
          </cell>
          <cell r="B407" t="str">
            <v>ja</v>
          </cell>
          <cell r="C407" t="str">
            <v>美笑の蒼蛇 エキドナ</v>
          </cell>
        </row>
        <row r="408">
          <cell r="A408">
            <v>407</v>
          </cell>
          <cell r="B408" t="str">
            <v>ja</v>
          </cell>
          <cell r="C408" t="str">
            <v>蠱惑の飛刀 エキドナ</v>
          </cell>
        </row>
        <row r="409">
          <cell r="A409">
            <v>408</v>
          </cell>
          <cell r="B409" t="str">
            <v>ja</v>
          </cell>
          <cell r="C409" t="str">
            <v>皇魔 アスタロト</v>
          </cell>
        </row>
        <row r="410">
          <cell r="A410">
            <v>409</v>
          </cell>
          <cell r="B410" t="str">
            <v>ja</v>
          </cell>
          <cell r="C410" t="str">
            <v>天眼の皇貴魔 アスタロト</v>
          </cell>
        </row>
        <row r="411">
          <cell r="A411">
            <v>410</v>
          </cell>
          <cell r="B411" t="str">
            <v>ja</v>
          </cell>
          <cell r="C411" t="str">
            <v>ファラデー</v>
          </cell>
        </row>
        <row r="412">
          <cell r="A412">
            <v>411</v>
          </cell>
          <cell r="B412" t="str">
            <v>ja</v>
          </cell>
          <cell r="C412" t="str">
            <v>電隷の始祖 ファラデー</v>
          </cell>
        </row>
        <row r="413">
          <cell r="A413">
            <v>412</v>
          </cell>
          <cell r="B413" t="str">
            <v>ja</v>
          </cell>
          <cell r="C413" t="str">
            <v>コウネン</v>
          </cell>
        </row>
        <row r="414">
          <cell r="A414">
            <v>413</v>
          </cell>
          <cell r="B414" t="str">
            <v>ja</v>
          </cell>
          <cell r="C414" t="str">
            <v>狂騒地蔵 コウネン</v>
          </cell>
        </row>
        <row r="415">
          <cell r="A415">
            <v>414</v>
          </cell>
          <cell r="B415" t="str">
            <v>ja</v>
          </cell>
          <cell r="C415" t="str">
            <v>炎のミリオンダック 2</v>
          </cell>
        </row>
        <row r="416">
          <cell r="A416">
            <v>415</v>
          </cell>
          <cell r="B416" t="str">
            <v>ja</v>
          </cell>
          <cell r="C416" t="str">
            <v>森のミリオンダック 2</v>
          </cell>
        </row>
        <row r="417">
          <cell r="A417">
            <v>416</v>
          </cell>
          <cell r="B417" t="str">
            <v>ja</v>
          </cell>
          <cell r="C417" t="str">
            <v>水のミリオンダック 2</v>
          </cell>
        </row>
        <row r="418">
          <cell r="A418">
            <v>417</v>
          </cell>
          <cell r="B418" t="str">
            <v>ja</v>
          </cell>
          <cell r="C418" t="str">
            <v>雷のミリオンダック 2</v>
          </cell>
        </row>
        <row r="419">
          <cell r="A419">
            <v>418</v>
          </cell>
          <cell r="B419" t="str">
            <v>ja</v>
          </cell>
          <cell r="C419" t="str">
            <v>ウラシマ</v>
          </cell>
        </row>
        <row r="420">
          <cell r="A420">
            <v>419</v>
          </cell>
          <cell r="B420" t="str">
            <v>ja</v>
          </cell>
          <cell r="C420" t="str">
            <v>宣戦の解城 ウラシマ</v>
          </cell>
        </row>
        <row r="421">
          <cell r="A421">
            <v>420</v>
          </cell>
          <cell r="B421" t="str">
            <v>ja</v>
          </cell>
          <cell r="C421" t="str">
            <v>カエデ</v>
          </cell>
        </row>
        <row r="422">
          <cell r="A422">
            <v>421</v>
          </cell>
          <cell r="B422" t="str">
            <v>ja</v>
          </cell>
          <cell r="C422" t="str">
            <v>反親の彩壁 カエデ</v>
          </cell>
        </row>
        <row r="423">
          <cell r="A423">
            <v>422</v>
          </cell>
          <cell r="B423" t="str">
            <v>ja</v>
          </cell>
          <cell r="C423" t="str">
            <v>シュガフル</v>
          </cell>
        </row>
        <row r="424">
          <cell r="A424">
            <v>423</v>
          </cell>
          <cell r="B424" t="str">
            <v>ja</v>
          </cell>
          <cell r="C424" t="str">
            <v>甘罠の魔女 シュガフル</v>
          </cell>
        </row>
        <row r="425">
          <cell r="A425">
            <v>424</v>
          </cell>
          <cell r="B425" t="str">
            <v>ja</v>
          </cell>
          <cell r="C425" t="str">
            <v>フック</v>
          </cell>
        </row>
        <row r="426">
          <cell r="A426">
            <v>425</v>
          </cell>
          <cell r="B426" t="str">
            <v>ja</v>
          </cell>
          <cell r="C426" t="str">
            <v>怒髪の海賊 フック</v>
          </cell>
        </row>
        <row r="427">
          <cell r="A427">
            <v>426</v>
          </cell>
          <cell r="B427" t="str">
            <v>ja</v>
          </cell>
          <cell r="C427" t="str">
            <v>宮本武蔵</v>
          </cell>
        </row>
        <row r="428">
          <cell r="A428">
            <v>427</v>
          </cell>
          <cell r="B428" t="str">
            <v>ja</v>
          </cell>
          <cell r="C428" t="str">
            <v>極・剣豪 宮本武蔵</v>
          </cell>
        </row>
        <row r="429">
          <cell r="A429">
            <v>428</v>
          </cell>
          <cell r="B429" t="str">
            <v>ja</v>
          </cell>
          <cell r="C429" t="str">
            <v>レッドダムディ</v>
          </cell>
        </row>
        <row r="430">
          <cell r="A430">
            <v>429</v>
          </cell>
          <cell r="B430" t="str">
            <v>ja</v>
          </cell>
          <cell r="C430" t="str">
            <v>ブルーダムディ</v>
          </cell>
        </row>
        <row r="431">
          <cell r="A431">
            <v>430</v>
          </cell>
          <cell r="B431" t="str">
            <v>ja</v>
          </cell>
          <cell r="C431" t="str">
            <v>グリーンダムディ</v>
          </cell>
        </row>
        <row r="432">
          <cell r="A432">
            <v>431</v>
          </cell>
          <cell r="B432" t="str">
            <v>ja</v>
          </cell>
          <cell r="C432" t="str">
            <v>イエローダムディ</v>
          </cell>
        </row>
        <row r="433">
          <cell r="A433">
            <v>432</v>
          </cell>
          <cell r="B433" t="str">
            <v>ja</v>
          </cell>
          <cell r="C433" t="str">
            <v>麒麟</v>
          </cell>
        </row>
        <row r="434">
          <cell r="A434">
            <v>433</v>
          </cell>
          <cell r="B434" t="str">
            <v>ja</v>
          </cell>
          <cell r="C434" t="str">
            <v>世稀の現獣 麒麟</v>
          </cell>
        </row>
        <row r="435">
          <cell r="A435">
            <v>434</v>
          </cell>
          <cell r="B435" t="str">
            <v>ja</v>
          </cell>
          <cell r="C435" t="str">
            <v>D.R.T.H.</v>
          </cell>
        </row>
        <row r="436">
          <cell r="A436">
            <v>435</v>
          </cell>
          <cell r="B436" t="str">
            <v>ja</v>
          </cell>
          <cell r="C436" t="str">
            <v>曝弾の密偵 D.R.T.H.</v>
          </cell>
        </row>
        <row r="437">
          <cell r="A437">
            <v>436</v>
          </cell>
          <cell r="B437" t="str">
            <v>ja</v>
          </cell>
          <cell r="C437" t="str">
            <v>カカシ</v>
          </cell>
        </row>
        <row r="438">
          <cell r="A438">
            <v>437</v>
          </cell>
          <cell r="B438" t="str">
            <v>ja</v>
          </cell>
          <cell r="C438" t="str">
            <v>忘却者 カカシ</v>
          </cell>
        </row>
        <row r="439">
          <cell r="A439">
            <v>438</v>
          </cell>
          <cell r="B439" t="str">
            <v>ja</v>
          </cell>
          <cell r="C439" t="str">
            <v>記憶の奪還 カカシ</v>
          </cell>
        </row>
        <row r="440">
          <cell r="A440">
            <v>439</v>
          </cell>
          <cell r="B440" t="str">
            <v>ja</v>
          </cell>
          <cell r="C440" t="str">
            <v>ブリキロガー</v>
          </cell>
        </row>
        <row r="441">
          <cell r="A441">
            <v>440</v>
          </cell>
          <cell r="B441" t="str">
            <v>ja</v>
          </cell>
          <cell r="C441" t="str">
            <v>改良型 ブリキロガー</v>
          </cell>
        </row>
        <row r="442">
          <cell r="A442">
            <v>441</v>
          </cell>
          <cell r="B442" t="str">
            <v>ja</v>
          </cell>
          <cell r="C442" t="str">
            <v>求心の錻装 ブリキロガー</v>
          </cell>
        </row>
        <row r="443">
          <cell r="A443">
            <v>442</v>
          </cell>
          <cell r="B443" t="str">
            <v>ja</v>
          </cell>
          <cell r="C443" t="str">
            <v>ブレイブリー・ライオン</v>
          </cell>
        </row>
        <row r="444">
          <cell r="A444">
            <v>443</v>
          </cell>
          <cell r="B444" t="str">
            <v>ja</v>
          </cell>
          <cell r="C444" t="str">
            <v>勇機結集 ブレイブリー・ライオン</v>
          </cell>
        </row>
        <row r="445">
          <cell r="A445">
            <v>444</v>
          </cell>
          <cell r="B445" t="str">
            <v>ja</v>
          </cell>
          <cell r="C445" t="str">
            <v>炎のミリオンダック 4</v>
          </cell>
        </row>
        <row r="446">
          <cell r="A446">
            <v>445</v>
          </cell>
          <cell r="B446" t="str">
            <v>ja</v>
          </cell>
          <cell r="C446" t="str">
            <v>森のミリオンダック 4</v>
          </cell>
        </row>
        <row r="447">
          <cell r="A447">
            <v>446</v>
          </cell>
          <cell r="B447" t="str">
            <v>ja</v>
          </cell>
          <cell r="C447" t="str">
            <v>水のミリオンダック 4</v>
          </cell>
        </row>
        <row r="448">
          <cell r="A448">
            <v>447</v>
          </cell>
          <cell r="B448" t="str">
            <v>ja</v>
          </cell>
          <cell r="C448" t="str">
            <v>雷のミリオンダック 4</v>
          </cell>
        </row>
        <row r="449">
          <cell r="A449">
            <v>448</v>
          </cell>
          <cell r="B449" t="str">
            <v>ja</v>
          </cell>
          <cell r="C449" t="str">
            <v>浮上する夢想学士 シャルル</v>
          </cell>
        </row>
        <row r="450">
          <cell r="A450">
            <v>449</v>
          </cell>
          <cell r="B450" t="str">
            <v>ja</v>
          </cell>
          <cell r="C450" t="str">
            <v>未定</v>
          </cell>
        </row>
        <row r="451">
          <cell r="A451">
            <v>450</v>
          </cell>
          <cell r="B451" t="str">
            <v>ja</v>
          </cell>
          <cell r="C451" t="str">
            <v>イゾルデ</v>
          </cell>
        </row>
        <row r="452">
          <cell r="A452">
            <v>451</v>
          </cell>
          <cell r="B452" t="str">
            <v>ja</v>
          </cell>
          <cell r="C452" t="str">
            <v>シルエットオーディン2</v>
          </cell>
        </row>
        <row r="453">
          <cell r="A453">
            <v>452</v>
          </cell>
          <cell r="B453" t="str">
            <v>ja</v>
          </cell>
          <cell r="C453" t="str">
            <v>猛狐 エゾ</v>
          </cell>
        </row>
        <row r="454">
          <cell r="A454">
            <v>453</v>
          </cell>
          <cell r="B454" t="str">
            <v>ja</v>
          </cell>
          <cell r="C454" t="str">
            <v>急尾の猛狐 エゾ</v>
          </cell>
        </row>
        <row r="455">
          <cell r="A455">
            <v>454</v>
          </cell>
          <cell r="B455" t="str">
            <v>ja</v>
          </cell>
          <cell r="C455" t="str">
            <v>二闘 レッサとギガン</v>
          </cell>
        </row>
        <row r="456">
          <cell r="A456">
            <v>455</v>
          </cell>
          <cell r="B456" t="str">
            <v>ja</v>
          </cell>
          <cell r="C456" t="str">
            <v>廃街の二闘 レッサとギガン</v>
          </cell>
        </row>
        <row r="457">
          <cell r="A457">
            <v>456</v>
          </cell>
          <cell r="B457" t="str">
            <v>ja</v>
          </cell>
          <cell r="C457" t="str">
            <v>射絶 ユヅル</v>
          </cell>
        </row>
        <row r="458">
          <cell r="A458">
            <v>457</v>
          </cell>
          <cell r="B458" t="str">
            <v>ja</v>
          </cell>
          <cell r="C458" t="str">
            <v>京速射絶 ユヅル</v>
          </cell>
        </row>
        <row r="459">
          <cell r="A459">
            <v>458</v>
          </cell>
          <cell r="B459" t="str">
            <v>ja</v>
          </cell>
          <cell r="C459" t="str">
            <v>嵐龍 スガル</v>
          </cell>
        </row>
        <row r="460">
          <cell r="A460">
            <v>459</v>
          </cell>
          <cell r="B460" t="str">
            <v>ja</v>
          </cell>
          <cell r="C460" t="str">
            <v>威喝の嵐龍 スガル</v>
          </cell>
        </row>
        <row r="461">
          <cell r="A461">
            <v>460</v>
          </cell>
          <cell r="B461" t="str">
            <v>ja</v>
          </cell>
          <cell r="C461" t="str">
            <v>オズ</v>
          </cell>
        </row>
        <row r="462">
          <cell r="A462">
            <v>461</v>
          </cell>
          <cell r="B462" t="str">
            <v>ja</v>
          </cell>
          <cell r="C462" t="str">
            <v>大いなる虚像 オズ</v>
          </cell>
        </row>
        <row r="463">
          <cell r="A463">
            <v>462</v>
          </cell>
          <cell r="B463" t="str">
            <v>ja</v>
          </cell>
          <cell r="C463" t="str">
            <v>ガウェイン</v>
          </cell>
        </row>
        <row r="464">
          <cell r="A464">
            <v>463</v>
          </cell>
          <cell r="B464" t="str">
            <v>ja</v>
          </cell>
          <cell r="C464" t="str">
            <v>燻銀 ガウェイン</v>
          </cell>
        </row>
        <row r="465">
          <cell r="A465">
            <v>464</v>
          </cell>
          <cell r="B465" t="str">
            <v>ja</v>
          </cell>
          <cell r="C465" t="str">
            <v>円熟の弾導 ガウェイン</v>
          </cell>
        </row>
        <row r="466">
          <cell r="A466">
            <v>465</v>
          </cell>
          <cell r="B466" t="str">
            <v>ja</v>
          </cell>
          <cell r="C466" t="str">
            <v>真撃 ランスロット</v>
          </cell>
        </row>
        <row r="467">
          <cell r="A467">
            <v>466</v>
          </cell>
          <cell r="B467" t="str">
            <v>ja</v>
          </cell>
          <cell r="C467" t="str">
            <v>真断の勇覇 ランスロット</v>
          </cell>
        </row>
        <row r="468">
          <cell r="A468">
            <v>467</v>
          </cell>
          <cell r="B468" t="str">
            <v>ja</v>
          </cell>
          <cell r="C468" t="str">
            <v>報復 モルドレッド</v>
          </cell>
        </row>
        <row r="469">
          <cell r="A469">
            <v>468</v>
          </cell>
          <cell r="B469" t="str">
            <v>ja</v>
          </cell>
          <cell r="C469" t="str">
            <v>憎愛の尖鋒 モルドレッド</v>
          </cell>
        </row>
        <row r="470">
          <cell r="A470">
            <v>469</v>
          </cell>
          <cell r="B470" t="str">
            <v>ja</v>
          </cell>
          <cell r="C470" t="str">
            <v>トリスタン</v>
          </cell>
        </row>
        <row r="471">
          <cell r="A471">
            <v>470</v>
          </cell>
          <cell r="B471" t="str">
            <v>ja</v>
          </cell>
          <cell r="C471" t="str">
            <v>純心 トリスタン</v>
          </cell>
        </row>
        <row r="472">
          <cell r="A472">
            <v>471</v>
          </cell>
          <cell r="B472" t="str">
            <v>ja</v>
          </cell>
          <cell r="C472" t="str">
            <v>不可避の爆激 トリスタン</v>
          </cell>
        </row>
        <row r="473">
          <cell r="A473">
            <v>472</v>
          </cell>
          <cell r="B473" t="str">
            <v>ja</v>
          </cell>
          <cell r="C473" t="str">
            <v>アーサー</v>
          </cell>
        </row>
        <row r="474">
          <cell r="A474">
            <v>473</v>
          </cell>
          <cell r="B474" t="str">
            <v>ja</v>
          </cell>
          <cell r="C474" t="str">
            <v>凶堅なる正義 アーサー</v>
          </cell>
        </row>
        <row r="475">
          <cell r="A475">
            <v>474</v>
          </cell>
          <cell r="B475" t="str">
            <v>ja</v>
          </cell>
          <cell r="C475" t="str">
            <v>キング・ドライグ</v>
          </cell>
        </row>
        <row r="476">
          <cell r="A476">
            <v>475</v>
          </cell>
          <cell r="B476" t="str">
            <v>ja</v>
          </cell>
          <cell r="C476" t="str">
            <v>緋王 キング・ドライグ</v>
          </cell>
        </row>
        <row r="477">
          <cell r="A477">
            <v>476</v>
          </cell>
          <cell r="B477" t="str">
            <v>ja</v>
          </cell>
          <cell r="C477" t="str">
            <v>ファータ</v>
          </cell>
        </row>
        <row r="478">
          <cell r="A478">
            <v>477</v>
          </cell>
          <cell r="B478" t="str">
            <v>ja</v>
          </cell>
          <cell r="C478" t="str">
            <v>愛羽妖精 ファータ</v>
          </cell>
        </row>
        <row r="479">
          <cell r="A479">
            <v>478</v>
          </cell>
          <cell r="B479" t="str">
            <v>ja</v>
          </cell>
          <cell r="C479" t="str">
            <v>時計仕掛けの愛羽妖精 ファータ</v>
          </cell>
        </row>
        <row r="480">
          <cell r="A480">
            <v>479</v>
          </cell>
          <cell r="B480" t="str">
            <v>ja</v>
          </cell>
          <cell r="C480" t="str">
            <v>フール</v>
          </cell>
        </row>
        <row r="481">
          <cell r="A481">
            <v>480</v>
          </cell>
          <cell r="B481" t="str">
            <v>ja</v>
          </cell>
          <cell r="C481" t="str">
            <v>夢幻の愚者フール</v>
          </cell>
        </row>
        <row r="482">
          <cell r="A482">
            <v>481</v>
          </cell>
          <cell r="B482" t="str">
            <v>ja</v>
          </cell>
          <cell r="C482" t="str">
            <v>沢庵宗彭</v>
          </cell>
        </row>
        <row r="483">
          <cell r="A483">
            <v>482</v>
          </cell>
          <cell r="B483" t="str">
            <v>ja</v>
          </cell>
          <cell r="C483" t="str">
            <v>魁僧 沢庵宗彭</v>
          </cell>
        </row>
        <row r="484">
          <cell r="A484">
            <v>483</v>
          </cell>
          <cell r="B484" t="str">
            <v>ja</v>
          </cell>
          <cell r="C484" t="str">
            <v xml:space="preserve">命経死遂 沢庵宗彭 </v>
          </cell>
        </row>
        <row r="485">
          <cell r="A485">
            <v>484</v>
          </cell>
          <cell r="B485" t="str">
            <v>ja</v>
          </cell>
          <cell r="C485" t="str">
            <v>ラグランジュ</v>
          </cell>
        </row>
        <row r="486">
          <cell r="A486">
            <v>485</v>
          </cell>
          <cell r="B486" t="str">
            <v>ja</v>
          </cell>
          <cell r="C486" t="str">
            <v>超越自我 ラグランジュ</v>
          </cell>
        </row>
        <row r="487">
          <cell r="A487">
            <v>486</v>
          </cell>
          <cell r="B487" t="str">
            <v>ja</v>
          </cell>
          <cell r="C487" t="str">
            <v>重なる世解 シュレディンガー</v>
          </cell>
        </row>
        <row r="488">
          <cell r="A488">
            <v>487</v>
          </cell>
          <cell r="B488" t="str">
            <v>ja</v>
          </cell>
          <cell r="C488" t="str">
            <v>暴創の造物 チューリング</v>
          </cell>
        </row>
        <row r="489">
          <cell r="A489">
            <v>488</v>
          </cell>
          <cell r="B489" t="str">
            <v>ja</v>
          </cell>
          <cell r="C489" t="str">
            <v>直観の異論 ヘンペル</v>
          </cell>
        </row>
        <row r="490">
          <cell r="A490">
            <v>489</v>
          </cell>
          <cell r="B490" t="str">
            <v>ja</v>
          </cell>
          <cell r="C490" t="str">
            <v>宇宙の拡超 ハップル</v>
          </cell>
        </row>
        <row r="491">
          <cell r="A491">
            <v>490</v>
          </cell>
          <cell r="B491" t="str">
            <v>ja</v>
          </cell>
          <cell r="C491" t="str">
            <v>グリム</v>
          </cell>
        </row>
        <row r="492">
          <cell r="A492">
            <v>491</v>
          </cell>
          <cell r="B492" t="str">
            <v>ja</v>
          </cell>
          <cell r="C492" t="str">
            <v>収魂の群影 グリム</v>
          </cell>
        </row>
        <row r="493">
          <cell r="A493">
            <v>492</v>
          </cell>
          <cell r="B493" t="str">
            <v>ja</v>
          </cell>
          <cell r="C493" t="str">
            <v>ブートレグ・ペロー</v>
          </cell>
        </row>
        <row r="494">
          <cell r="A494">
            <v>493</v>
          </cell>
          <cell r="B494" t="str">
            <v>ja</v>
          </cell>
          <cell r="C494" t="str">
            <v>跋扈の機脚 ブートレグ・ペロー</v>
          </cell>
        </row>
        <row r="495">
          <cell r="A495">
            <v>494</v>
          </cell>
          <cell r="B495" t="str">
            <v>ja</v>
          </cell>
          <cell r="C495" t="str">
            <v>ハーメルン</v>
          </cell>
        </row>
        <row r="496">
          <cell r="A496">
            <v>495</v>
          </cell>
          <cell r="B496" t="str">
            <v>ja</v>
          </cell>
          <cell r="C496" t="str">
            <v>鼠災呼ぶ笛音 ハーメルン</v>
          </cell>
        </row>
        <row r="497">
          <cell r="A497">
            <v>496</v>
          </cell>
          <cell r="B497" t="str">
            <v>ja</v>
          </cell>
          <cell r="C497" t="str">
            <v>エスタブ</v>
          </cell>
        </row>
        <row r="498">
          <cell r="A498">
            <v>497</v>
          </cell>
          <cell r="B498" t="str">
            <v>ja</v>
          </cell>
          <cell r="C498" t="str">
            <v>偏愛の野獣 エスタブ</v>
          </cell>
        </row>
        <row r="499">
          <cell r="A499">
            <v>498</v>
          </cell>
          <cell r="B499" t="str">
            <v>ja</v>
          </cell>
          <cell r="C499" t="str">
            <v>自愛の高魔 エスタブ</v>
          </cell>
        </row>
        <row r="500">
          <cell r="A500">
            <v>499</v>
          </cell>
          <cell r="B500" t="str">
            <v>ja</v>
          </cell>
          <cell r="C500" t="str">
            <v>ラプンツェル</v>
          </cell>
        </row>
        <row r="501">
          <cell r="A501">
            <v>500</v>
          </cell>
          <cell r="B501" t="str">
            <v>ja</v>
          </cell>
          <cell r="C501" t="str">
            <v>脈動の禁髪 ラプンツェル</v>
          </cell>
        </row>
        <row r="502">
          <cell r="A502">
            <v>501</v>
          </cell>
          <cell r="B502" t="str">
            <v>ja</v>
          </cell>
          <cell r="C502" t="str">
            <v>ラプンツェルじゃなくなった</v>
          </cell>
        </row>
        <row r="503">
          <cell r="A503">
            <v>502</v>
          </cell>
          <cell r="B503" t="str">
            <v>ja</v>
          </cell>
          <cell r="C503" t="str">
            <v>テラベル</v>
          </cell>
        </row>
        <row r="504">
          <cell r="A504">
            <v>503</v>
          </cell>
          <cell r="B504" t="str">
            <v>ja</v>
          </cell>
          <cell r="C504" t="str">
            <v>破獣の爆姫 テラベル</v>
          </cell>
        </row>
        <row r="505">
          <cell r="A505">
            <v>504</v>
          </cell>
          <cell r="B505" t="str">
            <v>ja</v>
          </cell>
          <cell r="C505" t="str">
            <v>ハイディン・オーガ</v>
          </cell>
        </row>
        <row r="506">
          <cell r="A506">
            <v>505</v>
          </cell>
          <cell r="B506" t="str">
            <v>ja</v>
          </cell>
          <cell r="C506" t="str">
            <v>暴虐の漏洩 ハイディン・オーガ</v>
          </cell>
        </row>
        <row r="507">
          <cell r="A507">
            <v>506</v>
          </cell>
          <cell r="B507" t="str">
            <v>ja</v>
          </cell>
          <cell r="C507" t="str">
            <v>ゴーテル</v>
          </cell>
        </row>
        <row r="508">
          <cell r="A508">
            <v>507</v>
          </cell>
          <cell r="B508" t="str">
            <v>ja</v>
          </cell>
          <cell r="C508" t="str">
            <v>過保護な幽閉者 ゴーテル</v>
          </cell>
        </row>
        <row r="509">
          <cell r="A509">
            <v>508</v>
          </cell>
          <cell r="B509" t="str">
            <v>ja</v>
          </cell>
          <cell r="C509" t="str">
            <v>Gスター・チルドレン</v>
          </cell>
        </row>
        <row r="510">
          <cell r="A510">
            <v>509</v>
          </cell>
          <cell r="B510" t="str">
            <v>ja</v>
          </cell>
          <cell r="C510" t="str">
            <v>純粋悪意 Gスター・チルドレン</v>
          </cell>
        </row>
        <row r="511">
          <cell r="A511">
            <v>510</v>
          </cell>
          <cell r="B511" t="str">
            <v>ja</v>
          </cell>
          <cell r="C511" t="str">
            <v>燃えさかる豪息 ヒュウガ</v>
          </cell>
        </row>
        <row r="512">
          <cell r="A512">
            <v>511</v>
          </cell>
          <cell r="B512" t="str">
            <v>ja</v>
          </cell>
          <cell r="C512" t="str">
            <v>灼き尽くす紅息 ヒュウガ・レアル</v>
          </cell>
        </row>
        <row r="513">
          <cell r="A513">
            <v>512</v>
          </cell>
          <cell r="B513" t="str">
            <v>ja</v>
          </cell>
          <cell r="C513" t="str">
            <v>聖火の逆徒 クリスマス・ベリアル</v>
          </cell>
        </row>
        <row r="514">
          <cell r="A514">
            <v>513</v>
          </cell>
          <cell r="B514" t="str">
            <v>ja</v>
          </cell>
          <cell r="C514" t="str">
            <v>爆進の荷炎 クリスマス・ベリアル</v>
          </cell>
        </row>
        <row r="515">
          <cell r="A515">
            <v>514</v>
          </cell>
          <cell r="B515" t="str">
            <v>ja</v>
          </cell>
          <cell r="C515" t="str">
            <v>祝宴の識徒 サンタクロース・オセ</v>
          </cell>
        </row>
        <row r="516">
          <cell r="A516">
            <v>515</v>
          </cell>
          <cell r="B516" t="str">
            <v>ja</v>
          </cell>
          <cell r="C516" t="str">
            <v>聖夜の贈主 サンタクロース・オセ</v>
          </cell>
        </row>
        <row r="517">
          <cell r="A517">
            <v>516</v>
          </cell>
          <cell r="B517" t="str">
            <v>ja</v>
          </cell>
          <cell r="C517" t="str">
            <v>聖母 マリア</v>
          </cell>
        </row>
        <row r="518">
          <cell r="A518">
            <v>517</v>
          </cell>
          <cell r="B518" t="str">
            <v>ja</v>
          </cell>
          <cell r="C518" t="str">
            <v>真冬の誕生祭 マリア</v>
          </cell>
        </row>
        <row r="519">
          <cell r="A519">
            <v>518</v>
          </cell>
          <cell r="B519" t="str">
            <v>ja</v>
          </cell>
          <cell r="C519" t="str">
            <v>秘来の聖天使 ミカエル</v>
          </cell>
        </row>
        <row r="520">
          <cell r="A520">
            <v>519</v>
          </cell>
          <cell r="B520" t="str">
            <v>ja</v>
          </cell>
          <cell r="C520" t="str">
            <v>夜天の聖天使 ミカエル・ハレルヤ</v>
          </cell>
        </row>
        <row r="521">
          <cell r="A521">
            <v>520</v>
          </cell>
          <cell r="B521" t="str">
            <v>ja</v>
          </cell>
          <cell r="C521" t="str">
            <v>炎のサンタダック</v>
          </cell>
        </row>
        <row r="522">
          <cell r="A522">
            <v>521</v>
          </cell>
          <cell r="B522" t="str">
            <v>ja</v>
          </cell>
          <cell r="C522" t="str">
            <v>森のサンタダック</v>
          </cell>
        </row>
        <row r="523">
          <cell r="A523">
            <v>522</v>
          </cell>
          <cell r="B523" t="str">
            <v>ja</v>
          </cell>
          <cell r="C523" t="str">
            <v>水のサンタダック</v>
          </cell>
        </row>
        <row r="524">
          <cell r="A524">
            <v>523</v>
          </cell>
          <cell r="B524" t="str">
            <v>ja</v>
          </cell>
          <cell r="C524" t="str">
            <v>雷のサンタダック</v>
          </cell>
        </row>
        <row r="525">
          <cell r="A525">
            <v>524</v>
          </cell>
          <cell r="B525" t="str">
            <v>ja</v>
          </cell>
          <cell r="C525" t="str">
            <v>あけおめダック</v>
          </cell>
        </row>
        <row r="526">
          <cell r="A526">
            <v>525</v>
          </cell>
          <cell r="B526" t="str">
            <v>ja</v>
          </cell>
          <cell r="C526" t="str">
            <v>ウィンタースポーツ 雪ミク</v>
          </cell>
        </row>
        <row r="527">
          <cell r="A527">
            <v>526</v>
          </cell>
          <cell r="B527" t="str">
            <v>ja</v>
          </cell>
          <cell r="C527" t="str">
            <v>大滑走 雪ミク&amp;ラビットユキネ</v>
          </cell>
        </row>
        <row r="528">
          <cell r="A528">
            <v>527</v>
          </cell>
          <cell r="B528" t="str">
            <v>ja</v>
          </cell>
          <cell r="C528" t="str">
            <v>初音ミクV3</v>
          </cell>
        </row>
        <row r="529">
          <cell r="A529">
            <v>528</v>
          </cell>
          <cell r="B529" t="str">
            <v>ja</v>
          </cell>
          <cell r="C529" t="str">
            <v>新世の歌姫 初音ミクV3</v>
          </cell>
        </row>
        <row r="530">
          <cell r="A530">
            <v>529</v>
          </cell>
          <cell r="B530" t="str">
            <v>ja</v>
          </cell>
          <cell r="C530" t="str">
            <v>冬服ジェリー</v>
          </cell>
        </row>
        <row r="531">
          <cell r="A531">
            <v>530</v>
          </cell>
          <cell r="B531" t="str">
            <v>ja</v>
          </cell>
          <cell r="C531" t="str">
            <v>冬服ジョー</v>
          </cell>
        </row>
        <row r="532">
          <cell r="A532">
            <v>531</v>
          </cell>
          <cell r="B532" t="str">
            <v>ja</v>
          </cell>
          <cell r="C532" t="str">
            <v>冬服ポチ</v>
          </cell>
        </row>
        <row r="533">
          <cell r="A533">
            <v>532</v>
          </cell>
          <cell r="B533" t="str">
            <v>ja</v>
          </cell>
          <cell r="C533" t="str">
            <v>冬服エレキポット</v>
          </cell>
        </row>
        <row r="534">
          <cell r="A534">
            <v>533</v>
          </cell>
          <cell r="B534" t="str">
            <v>ja</v>
          </cell>
          <cell r="C534" t="str">
            <v>冬服アカネ</v>
          </cell>
        </row>
        <row r="535">
          <cell r="A535">
            <v>534</v>
          </cell>
          <cell r="B535" t="str">
            <v>ja</v>
          </cell>
          <cell r="C535" t="str">
            <v>冬服パトライン</v>
          </cell>
        </row>
        <row r="536">
          <cell r="A536">
            <v>535</v>
          </cell>
          <cell r="B536" t="str">
            <v>ja</v>
          </cell>
          <cell r="C536" t="str">
            <v>冬服リム</v>
          </cell>
        </row>
        <row r="537">
          <cell r="A537">
            <v>536</v>
          </cell>
          <cell r="B537" t="str">
            <v>ja</v>
          </cell>
          <cell r="C537" t="str">
            <v>冬服ミミ</v>
          </cell>
        </row>
        <row r="538">
          <cell r="A538">
            <v>537</v>
          </cell>
          <cell r="B538" t="str">
            <v>ja</v>
          </cell>
          <cell r="C538" t="str">
            <v>冬服ハッピー100</v>
          </cell>
        </row>
        <row r="539">
          <cell r="A539">
            <v>538</v>
          </cell>
          <cell r="B539" t="str">
            <v>ja</v>
          </cell>
          <cell r="C539" t="str">
            <v>冬服ニムダ</v>
          </cell>
        </row>
        <row r="540">
          <cell r="A540">
            <v>539</v>
          </cell>
          <cell r="B540" t="str">
            <v>ja</v>
          </cell>
          <cell r="C540" t="str">
            <v>初音ミク・アペンド</v>
          </cell>
        </row>
        <row r="541">
          <cell r="A541">
            <v>540</v>
          </cell>
          <cell r="B541" t="str">
            <v>ja</v>
          </cell>
          <cell r="C541" t="str">
            <v>来訪の歌姫 初音ミク・アペンド</v>
          </cell>
        </row>
        <row r="542">
          <cell r="A542">
            <v>541</v>
          </cell>
          <cell r="B542" t="str">
            <v>ja</v>
          </cell>
          <cell r="C542" t="str">
            <v>初音ミク</v>
          </cell>
        </row>
        <row r="543">
          <cell r="A543">
            <v>542</v>
          </cell>
          <cell r="B543" t="str">
            <v>ja</v>
          </cell>
          <cell r="C543" t="str">
            <v>革命の音撃 初音ミク</v>
          </cell>
        </row>
        <row r="544">
          <cell r="A544">
            <v>543</v>
          </cell>
          <cell r="B544" t="str">
            <v>ja</v>
          </cell>
          <cell r="C544" t="str">
            <v>鏡音リン</v>
          </cell>
        </row>
        <row r="545">
          <cell r="A545">
            <v>544</v>
          </cell>
          <cell r="B545" t="str">
            <v>ja</v>
          </cell>
          <cell r="C545" t="str">
            <v>反響の凛音 鏡音リン</v>
          </cell>
        </row>
        <row r="546">
          <cell r="A546">
            <v>545</v>
          </cell>
          <cell r="B546" t="str">
            <v>ja</v>
          </cell>
          <cell r="C546" t="str">
            <v>鏡音レン</v>
          </cell>
        </row>
        <row r="547">
          <cell r="A547">
            <v>546</v>
          </cell>
          <cell r="B547" t="str">
            <v>ja</v>
          </cell>
          <cell r="C547" t="str">
            <v>残響の連符 鏡音レン</v>
          </cell>
        </row>
        <row r="548">
          <cell r="A548">
            <v>547</v>
          </cell>
          <cell r="B548" t="str">
            <v>ja</v>
          </cell>
          <cell r="C548" t="str">
            <v>巡音ルカ</v>
          </cell>
        </row>
        <row r="549">
          <cell r="A549">
            <v>548</v>
          </cell>
          <cell r="B549" t="str">
            <v>ja</v>
          </cell>
          <cell r="C549" t="str">
            <v>乱舞の音環 巡音ルカ</v>
          </cell>
        </row>
        <row r="550">
          <cell r="A550">
            <v>549</v>
          </cell>
          <cell r="B550" t="str">
            <v>ja</v>
          </cell>
          <cell r="C550" t="str">
            <v>MEIKO</v>
          </cell>
        </row>
        <row r="551">
          <cell r="A551">
            <v>550</v>
          </cell>
          <cell r="B551" t="str">
            <v>ja</v>
          </cell>
          <cell r="C551" t="str">
            <v>解放の絶唱 MEIKO</v>
          </cell>
        </row>
        <row r="552">
          <cell r="A552">
            <v>551</v>
          </cell>
          <cell r="B552" t="str">
            <v>ja</v>
          </cell>
          <cell r="C552" t="str">
            <v>KAITO</v>
          </cell>
        </row>
        <row r="553">
          <cell r="A553">
            <v>552</v>
          </cell>
          <cell r="B553" t="str">
            <v>ja</v>
          </cell>
          <cell r="C553" t="str">
            <v>愉悦の愛唱 KAITO</v>
          </cell>
        </row>
        <row r="554">
          <cell r="A554">
            <v>553</v>
          </cell>
          <cell r="B554" t="str">
            <v>ja</v>
          </cell>
          <cell r="C554" t="str">
            <v>雪ミク2016</v>
          </cell>
        </row>
        <row r="555">
          <cell r="A555">
            <v>554</v>
          </cell>
          <cell r="B555" t="str">
            <v>ja</v>
          </cell>
          <cell r="C555" t="str">
            <v>雪ミク&amp;ラビット・ユキネ2016</v>
          </cell>
        </row>
        <row r="556">
          <cell r="A556">
            <v>555</v>
          </cell>
          <cell r="B556" t="str">
            <v>ja</v>
          </cell>
          <cell r="C556" t="str">
            <v>雪ミク2014</v>
          </cell>
        </row>
        <row r="557">
          <cell r="A557">
            <v>556</v>
          </cell>
          <cell r="B557" t="str">
            <v>ja</v>
          </cell>
          <cell r="C557" t="str">
            <v>雪ミク&amp;ラビットユキネ2014</v>
          </cell>
        </row>
        <row r="558">
          <cell r="A558">
            <v>557</v>
          </cell>
          <cell r="B558" t="str">
            <v>ja</v>
          </cell>
          <cell r="C558" t="str">
            <v>ラビット・ユキネ</v>
          </cell>
        </row>
        <row r="559">
          <cell r="A559">
            <v>558</v>
          </cell>
          <cell r="B559" t="str">
            <v>ja</v>
          </cell>
          <cell r="C559" t="str">
            <v>雪原の超躍 ラビット・ユキネ</v>
          </cell>
        </row>
        <row r="560">
          <cell r="A560">
            <v>559</v>
          </cell>
          <cell r="B560" t="str">
            <v>ja</v>
          </cell>
          <cell r="C560" t="str">
            <v>白銀の滑光 ラビット・ユキネ</v>
          </cell>
        </row>
        <row r="561">
          <cell r="A561">
            <v>560</v>
          </cell>
          <cell r="B561" t="str">
            <v>ja</v>
          </cell>
          <cell r="C561" t="str">
            <v>暴骨炎舞の狂賢者 ユノ</v>
          </cell>
        </row>
        <row r="562">
          <cell r="A562">
            <v>561</v>
          </cell>
          <cell r="B562" t="str">
            <v>ja</v>
          </cell>
          <cell r="C562" t="str">
            <v>森翠統べる獣姫 アマラ</v>
          </cell>
        </row>
        <row r="563">
          <cell r="A563">
            <v>562</v>
          </cell>
          <cell r="B563" t="str">
            <v>ja</v>
          </cell>
          <cell r="C563" t="str">
            <v>月夜砕く蒼狂狼 ローレンス</v>
          </cell>
        </row>
        <row r="564">
          <cell r="A564">
            <v>563</v>
          </cell>
          <cell r="B564" t="str">
            <v>ja</v>
          </cell>
          <cell r="C564" t="str">
            <v>電翔紫閃の雷刃 ハヤト</v>
          </cell>
        </row>
        <row r="565">
          <cell r="A565">
            <v>564</v>
          </cell>
          <cell r="B565" t="str">
            <v>ja</v>
          </cell>
          <cell r="C565" t="str">
            <v>赤ずきん</v>
          </cell>
        </row>
        <row r="566">
          <cell r="A566">
            <v>565</v>
          </cell>
          <cell r="B566" t="str">
            <v>ja</v>
          </cell>
          <cell r="C566" t="str">
            <v>かぐや</v>
          </cell>
        </row>
        <row r="567">
          <cell r="A567">
            <v>566</v>
          </cell>
          <cell r="B567" t="str">
            <v>ja</v>
          </cell>
          <cell r="C567" t="str">
            <v>遊歩遊泳プリンセス マーメイド</v>
          </cell>
        </row>
        <row r="568">
          <cell r="A568">
            <v>567</v>
          </cell>
          <cell r="B568" t="str">
            <v>ja</v>
          </cell>
          <cell r="C568" t="str">
            <v>紅揚の祭狐宴舞 タマモ</v>
          </cell>
        </row>
        <row r="569">
          <cell r="A569">
            <v>568</v>
          </cell>
          <cell r="B569" t="str">
            <v>ja</v>
          </cell>
          <cell r="C569" t="str">
            <v>空駆ける電能師 テスラ</v>
          </cell>
        </row>
        <row r="570">
          <cell r="A570">
            <v>569</v>
          </cell>
          <cell r="B570" t="str">
            <v>ja</v>
          </cell>
          <cell r="C570" t="str">
            <v>ハッピー102</v>
          </cell>
        </row>
        <row r="571">
          <cell r="A571">
            <v>570</v>
          </cell>
          <cell r="B571" t="str">
            <v>ja</v>
          </cell>
          <cell r="C571" t="str">
            <v>幸響の電心 ハッピー</v>
          </cell>
        </row>
        <row r="572">
          <cell r="A572">
            <v>571</v>
          </cell>
          <cell r="B572" t="str">
            <v>ja</v>
          </cell>
          <cell r="C572" t="str">
            <v>ハッピー バレンタイン</v>
          </cell>
        </row>
        <row r="573">
          <cell r="A573">
            <v>572</v>
          </cell>
          <cell r="B573" t="str">
            <v>ja</v>
          </cell>
          <cell r="C573" t="str">
            <v>恋する果実</v>
          </cell>
        </row>
        <row r="574">
          <cell r="A574">
            <v>573</v>
          </cell>
          <cell r="B574" t="str">
            <v>ja</v>
          </cell>
          <cell r="C574" t="str">
            <v>オーディン</v>
          </cell>
        </row>
        <row r="575">
          <cell r="A575">
            <v>574</v>
          </cell>
          <cell r="B575" t="str">
            <v>ja</v>
          </cell>
          <cell r="C575" t="str">
            <v>世慧の守神 オーディン</v>
          </cell>
        </row>
        <row r="576">
          <cell r="A576">
            <v>575</v>
          </cell>
          <cell r="B576" t="str">
            <v>ja</v>
          </cell>
          <cell r="C576" t="str">
            <v>フレイ</v>
          </cell>
        </row>
        <row r="577">
          <cell r="A577">
            <v>576</v>
          </cell>
          <cell r="B577" t="str">
            <v>ja</v>
          </cell>
          <cell r="C577" t="str">
            <v>統勝の豊穣王神 フレイ</v>
          </cell>
        </row>
        <row r="578">
          <cell r="A578">
            <v>577</v>
          </cell>
          <cell r="B578" t="str">
            <v>ja</v>
          </cell>
          <cell r="C578" t="str">
            <v>ビュグヴィルとベイラ</v>
          </cell>
        </row>
        <row r="579">
          <cell r="A579">
            <v>578</v>
          </cell>
          <cell r="B579" t="str">
            <v>ja</v>
          </cell>
          <cell r="C579" t="str">
            <v>穣神従事 ビュグヴィルとベイラ</v>
          </cell>
        </row>
        <row r="580">
          <cell r="A580">
            <v>579</v>
          </cell>
          <cell r="B580" t="str">
            <v>ja</v>
          </cell>
          <cell r="C580" t="str">
            <v>オーズ</v>
          </cell>
        </row>
        <row r="581">
          <cell r="A581">
            <v>580</v>
          </cell>
          <cell r="B581" t="str">
            <v>ja</v>
          </cell>
          <cell r="C581" t="str">
            <v>愛憐の旅神 オーズ</v>
          </cell>
        </row>
        <row r="582">
          <cell r="A582">
            <v>581</v>
          </cell>
          <cell r="B582" t="str">
            <v>ja</v>
          </cell>
          <cell r="C582" t="str">
            <v>フギンとムニン</v>
          </cell>
        </row>
        <row r="583">
          <cell r="A583">
            <v>582</v>
          </cell>
          <cell r="B583" t="str">
            <v>ja</v>
          </cell>
          <cell r="C583" t="str">
            <v>空を駆る双鴉 フギンとムニン</v>
          </cell>
        </row>
        <row r="584">
          <cell r="A584">
            <v>583</v>
          </cell>
          <cell r="B584" t="str">
            <v>ja</v>
          </cell>
          <cell r="C584" t="str">
            <v>ミョルニル</v>
          </cell>
        </row>
        <row r="585">
          <cell r="A585">
            <v>584</v>
          </cell>
          <cell r="B585" t="str">
            <v>ja</v>
          </cell>
          <cell r="C585" t="str">
            <v>自律する召雷鎚 ミョルニル</v>
          </cell>
        </row>
        <row r="586">
          <cell r="A586">
            <v>585</v>
          </cell>
          <cell r="B586" t="str">
            <v>ja</v>
          </cell>
          <cell r="C586" t="str">
            <v>未定</v>
          </cell>
        </row>
        <row r="587">
          <cell r="A587">
            <v>586</v>
          </cell>
          <cell r="B587" t="str">
            <v>ja</v>
          </cell>
          <cell r="C587" t="str">
            <v>ユミル</v>
          </cell>
        </row>
        <row r="588">
          <cell r="A588">
            <v>587</v>
          </cell>
          <cell r="B588" t="str">
            <v>ja</v>
          </cell>
          <cell r="C588" t="str">
            <v>原初の煉鋼巨刃 ユミル</v>
          </cell>
        </row>
        <row r="589">
          <cell r="A589">
            <v>588</v>
          </cell>
          <cell r="B589" t="str">
            <v>ja</v>
          </cell>
          <cell r="C589" t="str">
            <v>ニーベルゲン</v>
          </cell>
        </row>
        <row r="590">
          <cell r="A590">
            <v>589</v>
          </cell>
          <cell r="B590" t="str">
            <v>ja</v>
          </cell>
          <cell r="C590" t="str">
            <v>不幸の円環 ニーベルゲン</v>
          </cell>
        </row>
        <row r="591">
          <cell r="A591">
            <v>590</v>
          </cell>
          <cell r="B591" t="str">
            <v>ja</v>
          </cell>
          <cell r="C591" t="str">
            <v>永遠を廻る呪い ニーベルゲン</v>
          </cell>
        </row>
        <row r="592">
          <cell r="A592">
            <v>591</v>
          </cell>
          <cell r="B592" t="str">
            <v>ja</v>
          </cell>
          <cell r="C592" t="str">
            <v>ファフニール</v>
          </cell>
        </row>
        <row r="593">
          <cell r="A593">
            <v>592</v>
          </cell>
          <cell r="B593" t="str">
            <v>ja</v>
          </cell>
          <cell r="C593" t="str">
            <v>財宝への執着 ファフニール</v>
          </cell>
        </row>
        <row r="594">
          <cell r="A594">
            <v>593</v>
          </cell>
          <cell r="B594" t="str">
            <v>ja</v>
          </cell>
          <cell r="C594" t="str">
            <v>妄執する邪毒龍 ファフニール</v>
          </cell>
        </row>
        <row r="595">
          <cell r="A595">
            <v>594</v>
          </cell>
          <cell r="B595" t="str">
            <v>ja</v>
          </cell>
          <cell r="C595" t="str">
            <v>アルフヘイム</v>
          </cell>
        </row>
        <row r="596">
          <cell r="A596">
            <v>595</v>
          </cell>
          <cell r="B596" t="str">
            <v>ja</v>
          </cell>
          <cell r="C596" t="str">
            <v>光華なる神域 アルフヘイム</v>
          </cell>
        </row>
        <row r="597">
          <cell r="A597">
            <v>596</v>
          </cell>
          <cell r="B597" t="str">
            <v>ja</v>
          </cell>
          <cell r="C597" t="str">
            <v>ムスペルヘイム</v>
          </cell>
        </row>
        <row r="598">
          <cell r="A598">
            <v>597</v>
          </cell>
          <cell r="B598" t="str">
            <v>ja</v>
          </cell>
          <cell r="C598" t="str">
            <v>灼熱の魂 ムスペルヘイム</v>
          </cell>
        </row>
        <row r="599">
          <cell r="A599">
            <v>598</v>
          </cell>
          <cell r="B599" t="str">
            <v>ja</v>
          </cell>
          <cell r="C599" t="str">
            <v>焼燃の情熱 ムスペルヘイム</v>
          </cell>
        </row>
        <row r="600">
          <cell r="A600">
            <v>599</v>
          </cell>
          <cell r="B600" t="str">
            <v>ja</v>
          </cell>
          <cell r="C600" t="str">
            <v>ニーズヘッグ</v>
          </cell>
        </row>
        <row r="601">
          <cell r="A601">
            <v>600</v>
          </cell>
          <cell r="B601" t="str">
            <v>ja</v>
          </cell>
          <cell r="C601" t="str">
            <v>界下に潜む蛇 ニーズヘッグ</v>
          </cell>
        </row>
        <row r="602">
          <cell r="A602">
            <v>601</v>
          </cell>
          <cell r="B602" t="str">
            <v>ja</v>
          </cell>
          <cell r="C602" t="str">
            <v>界根蝕む悪食 ニーズヘッグ</v>
          </cell>
        </row>
        <row r="603">
          <cell r="A603">
            <v>602</v>
          </cell>
          <cell r="B603" t="str">
            <v>ja</v>
          </cell>
          <cell r="C603" t="str">
            <v>フレイヤ</v>
          </cell>
        </row>
        <row r="604">
          <cell r="A604">
            <v>603</v>
          </cell>
          <cell r="B604" t="str">
            <v>ja</v>
          </cell>
          <cell r="C604" t="str">
            <v>掌愛の豊穣女神 フレイヤ</v>
          </cell>
        </row>
        <row r="605">
          <cell r="A605">
            <v>604</v>
          </cell>
          <cell r="B605" t="str">
            <v>ja</v>
          </cell>
          <cell r="C605" t="str">
            <v>バルドル</v>
          </cell>
        </row>
        <row r="606">
          <cell r="A606">
            <v>605</v>
          </cell>
          <cell r="B606" t="str">
            <v>ja</v>
          </cell>
          <cell r="C606" t="str">
            <v>祝福される光耀 バルドル</v>
          </cell>
        </row>
        <row r="607">
          <cell r="A607">
            <v>606</v>
          </cell>
          <cell r="B607" t="str">
            <v>ja</v>
          </cell>
          <cell r="C607" t="str">
            <v>冀望の光芒 バルドル</v>
          </cell>
        </row>
        <row r="608">
          <cell r="A608">
            <v>607</v>
          </cell>
          <cell r="B608" t="str">
            <v>ja</v>
          </cell>
          <cell r="C608" t="str">
            <v>メガ攻めの果実</v>
          </cell>
        </row>
        <row r="609">
          <cell r="A609">
            <v>608</v>
          </cell>
          <cell r="B609" t="str">
            <v>ja</v>
          </cell>
          <cell r="C609" t="str">
            <v>メガ生命の果実</v>
          </cell>
        </row>
        <row r="610">
          <cell r="A610">
            <v>609</v>
          </cell>
          <cell r="B610" t="str">
            <v>ja</v>
          </cell>
          <cell r="C610" t="str">
            <v>メガ癒しの果実</v>
          </cell>
        </row>
        <row r="611">
          <cell r="A611">
            <v>610</v>
          </cell>
          <cell r="B611" t="str">
            <v>ja</v>
          </cell>
          <cell r="C611" t="str">
            <v>メガ秘術の果実</v>
          </cell>
        </row>
        <row r="612">
          <cell r="A612">
            <v>611</v>
          </cell>
          <cell r="B612" t="str">
            <v>ja</v>
          </cell>
          <cell r="C612" t="str">
            <v>ギガ攻めの果実</v>
          </cell>
        </row>
        <row r="613">
          <cell r="A613">
            <v>612</v>
          </cell>
          <cell r="B613" t="str">
            <v>ja</v>
          </cell>
          <cell r="C613" t="str">
            <v>ギガ生命の果実</v>
          </cell>
        </row>
        <row r="614">
          <cell r="A614">
            <v>613</v>
          </cell>
          <cell r="B614" t="str">
            <v>ja</v>
          </cell>
          <cell r="C614" t="str">
            <v>ギガ癒しの果実</v>
          </cell>
        </row>
        <row r="615">
          <cell r="A615">
            <v>614</v>
          </cell>
          <cell r="B615" t="str">
            <v>ja</v>
          </cell>
          <cell r="C615" t="str">
            <v>ギガ秘術の果実</v>
          </cell>
        </row>
        <row r="616">
          <cell r="A616">
            <v>615</v>
          </cell>
          <cell r="B616" t="str">
            <v>ja</v>
          </cell>
          <cell r="C616" t="str">
            <v>ヒュドラ・コスモブラスト</v>
          </cell>
        </row>
        <row r="617">
          <cell r="A617">
            <v>616</v>
          </cell>
          <cell r="B617" t="str">
            <v>ja</v>
          </cell>
          <cell r="C617" t="str">
            <v>リンドブルム・デルタクラスター</v>
          </cell>
        </row>
        <row r="618">
          <cell r="A618">
            <v>617</v>
          </cell>
          <cell r="B618" t="str">
            <v>ja</v>
          </cell>
          <cell r="C618" t="str">
            <v>ラーフ・アルマゲドン</v>
          </cell>
        </row>
        <row r="619">
          <cell r="A619">
            <v>618</v>
          </cell>
          <cell r="B619" t="str">
            <v>ja</v>
          </cell>
          <cell r="C619" t="str">
            <v>フェルニゲシュ・オメガドライブ</v>
          </cell>
        </row>
        <row r="620">
          <cell r="A620">
            <v>619</v>
          </cell>
          <cell r="B620" t="str">
            <v>ja</v>
          </cell>
          <cell r="C620" t="str">
            <v>メビウス</v>
          </cell>
        </row>
        <row r="621">
          <cell r="A621">
            <v>620</v>
          </cell>
          <cell r="B621" t="str">
            <v>ja</v>
          </cell>
          <cell r="C621" t="str">
            <v>奇跡の調和 メビウス</v>
          </cell>
        </row>
        <row r="622">
          <cell r="A622">
            <v>621</v>
          </cell>
          <cell r="B622" t="str">
            <v>ja</v>
          </cell>
          <cell r="C622" t="str">
            <v>終わりなき奇跡 メビウス</v>
          </cell>
        </row>
        <row r="623">
          <cell r="A623">
            <v>622</v>
          </cell>
          <cell r="B623" t="str">
            <v>ja</v>
          </cell>
          <cell r="C623" t="str">
            <v>未定</v>
          </cell>
        </row>
        <row r="624">
          <cell r="A624">
            <v>623</v>
          </cell>
          <cell r="B624" t="str">
            <v>ja</v>
          </cell>
          <cell r="C624" t="str">
            <v>フェルマー</v>
          </cell>
        </row>
        <row r="625">
          <cell r="A625">
            <v>624</v>
          </cell>
          <cell r="B625" t="str">
            <v>ja</v>
          </cell>
          <cell r="C625" t="str">
            <v>挑発の尖駆者 フェルマー</v>
          </cell>
        </row>
        <row r="626">
          <cell r="A626">
            <v>625</v>
          </cell>
          <cell r="B626" t="str">
            <v>ja</v>
          </cell>
          <cell r="C626" t="str">
            <v>デカルト</v>
          </cell>
        </row>
        <row r="627">
          <cell r="A627">
            <v>626</v>
          </cell>
          <cell r="B627" t="str">
            <v>ja</v>
          </cell>
          <cell r="C627" t="str">
            <v>デカルト</v>
          </cell>
        </row>
        <row r="628">
          <cell r="A628">
            <v>627</v>
          </cell>
          <cell r="B628" t="str">
            <v>ja</v>
          </cell>
          <cell r="C628" t="str">
            <v>メガラニカ</v>
          </cell>
        </row>
        <row r="629">
          <cell r="A629">
            <v>628</v>
          </cell>
          <cell r="B629" t="str">
            <v>ja</v>
          </cell>
          <cell r="C629" t="str">
            <v>玄装の指南隊 メガラニカ</v>
          </cell>
        </row>
        <row r="630">
          <cell r="A630">
            <v>629</v>
          </cell>
          <cell r="B630" t="str">
            <v>ja</v>
          </cell>
          <cell r="C630" t="str">
            <v>チャリオット</v>
          </cell>
        </row>
        <row r="631">
          <cell r="A631">
            <v>630</v>
          </cell>
          <cell r="B631" t="str">
            <v>ja</v>
          </cell>
          <cell r="C631" t="str">
            <v>明快の突戦車 チャリオット</v>
          </cell>
        </row>
        <row r="632">
          <cell r="A632">
            <v>631</v>
          </cell>
          <cell r="B632" t="str">
            <v>ja</v>
          </cell>
          <cell r="C632" t="str">
            <v>華恋なる宮護隊 パレ</v>
          </cell>
        </row>
        <row r="633">
          <cell r="A633">
            <v>632</v>
          </cell>
          <cell r="B633" t="str">
            <v>ja</v>
          </cell>
          <cell r="C633" t="str">
            <v>緋壁の城塞 アーグラ</v>
          </cell>
        </row>
        <row r="634">
          <cell r="A634">
            <v>633</v>
          </cell>
          <cell r="B634" t="str">
            <v>ja</v>
          </cell>
          <cell r="C634" t="str">
            <v>麗邸の遊撃守 エリゼ</v>
          </cell>
        </row>
        <row r="635">
          <cell r="A635">
            <v>634</v>
          </cell>
          <cell r="B635" t="str">
            <v>ja</v>
          </cell>
          <cell r="C635" t="str">
            <v>赤ドラゴン</v>
          </cell>
        </row>
        <row r="636">
          <cell r="A636">
            <v>635</v>
          </cell>
          <cell r="B636" t="str">
            <v>ja</v>
          </cell>
          <cell r="C636" t="str">
            <v>赤ドラゴン</v>
          </cell>
        </row>
        <row r="637">
          <cell r="A637">
            <v>636</v>
          </cell>
          <cell r="B637" t="str">
            <v>ja</v>
          </cell>
          <cell r="C637" t="str">
            <v>ローズR3(旧)</v>
          </cell>
        </row>
        <row r="638">
          <cell r="A638">
            <v>637</v>
          </cell>
          <cell r="B638" t="str">
            <v>ja</v>
          </cell>
          <cell r="C638" t="str">
            <v>ローズR4(旧)</v>
          </cell>
        </row>
        <row r="639">
          <cell r="A639">
            <v>638</v>
          </cell>
          <cell r="B639" t="str">
            <v>ja</v>
          </cell>
          <cell r="C639" t="str">
            <v>神さま</v>
          </cell>
        </row>
        <row r="640">
          <cell r="A640">
            <v>639</v>
          </cell>
          <cell r="B640" t="str">
            <v>ja</v>
          </cell>
          <cell r="C640" t="str">
            <v>看板娘</v>
          </cell>
        </row>
        <row r="641">
          <cell r="A641">
            <v>640</v>
          </cell>
          <cell r="B641" t="str">
            <v>ja</v>
          </cell>
          <cell r="C641" t="str">
            <v>ブラックマ</v>
          </cell>
        </row>
        <row r="642">
          <cell r="A642">
            <v>641</v>
          </cell>
          <cell r="B642" t="str">
            <v>ja</v>
          </cell>
          <cell r="C642" t="str">
            <v>砦</v>
          </cell>
        </row>
        <row r="643">
          <cell r="A643">
            <v>642</v>
          </cell>
          <cell r="B643" t="str">
            <v>ja</v>
          </cell>
          <cell r="C643" t="str">
            <v>カーマ</v>
          </cell>
        </row>
        <row r="644">
          <cell r="A644">
            <v>643</v>
          </cell>
          <cell r="B644" t="str">
            <v>ja</v>
          </cell>
          <cell r="C644" t="str">
            <v>愛花天神 カーマ</v>
          </cell>
        </row>
        <row r="645">
          <cell r="A645">
            <v>644</v>
          </cell>
          <cell r="B645" t="str">
            <v>ja</v>
          </cell>
          <cell r="C645" t="str">
            <v>滑瓢 ショウキ</v>
          </cell>
        </row>
        <row r="646">
          <cell r="A646">
            <v>645</v>
          </cell>
          <cell r="B646" t="str">
            <v>ja</v>
          </cell>
          <cell r="C646" t="str">
            <v>百鬼夜行の創大将 ショウキ</v>
          </cell>
        </row>
        <row r="647">
          <cell r="A647">
            <v>646</v>
          </cell>
          <cell r="B647" t="str">
            <v>ja</v>
          </cell>
          <cell r="C647" t="str">
            <v>雪女 ユキ</v>
          </cell>
        </row>
        <row r="648">
          <cell r="A648">
            <v>647</v>
          </cell>
          <cell r="B648" t="str">
            <v>ja</v>
          </cell>
          <cell r="C648" t="str">
            <v>氷麗の雪化生 ユキ</v>
          </cell>
        </row>
        <row r="649">
          <cell r="A649">
            <v>648</v>
          </cell>
          <cell r="B649" t="str">
            <v>ja</v>
          </cell>
          <cell r="C649" t="str">
            <v>パールヴァティ</v>
          </cell>
        </row>
        <row r="650">
          <cell r="A650">
            <v>649</v>
          </cell>
          <cell r="B650" t="str">
            <v>ja</v>
          </cell>
          <cell r="C650" t="str">
            <v>寄咲く一輪華 パールヴァティ</v>
          </cell>
        </row>
        <row r="651">
          <cell r="A651">
            <v>650</v>
          </cell>
          <cell r="B651" t="str">
            <v>ja</v>
          </cell>
          <cell r="C651" t="str">
            <v>土蜘蛛 ユウヤ</v>
          </cell>
        </row>
        <row r="652">
          <cell r="A652">
            <v>651</v>
          </cell>
          <cell r="B652" t="str">
            <v>ja</v>
          </cell>
          <cell r="C652" t="str">
            <v>八重祟障 ユウヤ</v>
          </cell>
        </row>
        <row r="653">
          <cell r="A653">
            <v>652</v>
          </cell>
          <cell r="B653" t="str">
            <v>ja</v>
          </cell>
          <cell r="C653" t="str">
            <v>アナンタ</v>
          </cell>
        </row>
        <row r="654">
          <cell r="A654">
            <v>653</v>
          </cell>
          <cell r="B654" t="str">
            <v>ja</v>
          </cell>
          <cell r="C654" t="str">
            <v>悠久の狡蛇 アナンタ</v>
          </cell>
        </row>
        <row r="655">
          <cell r="A655">
            <v>654</v>
          </cell>
          <cell r="B655" t="str">
            <v>ja</v>
          </cell>
          <cell r="C655" t="str">
            <v>酒呑童子 ヨミ</v>
          </cell>
        </row>
        <row r="656">
          <cell r="A656">
            <v>655</v>
          </cell>
          <cell r="B656" t="str">
            <v>ja</v>
          </cell>
          <cell r="C656" t="str">
            <v>桜花舞う嵐鬼神 ヨミ</v>
          </cell>
        </row>
        <row r="657">
          <cell r="A657">
            <v>656</v>
          </cell>
          <cell r="B657" t="str">
            <v>ja</v>
          </cell>
          <cell r="C657" t="str">
            <v>シヴァ</v>
          </cell>
        </row>
        <row r="658">
          <cell r="A658">
            <v>657</v>
          </cell>
          <cell r="B658" t="str">
            <v>ja</v>
          </cell>
          <cell r="C658" t="str">
            <v>解滅の裁神 シヴァ</v>
          </cell>
        </row>
        <row r="659">
          <cell r="A659">
            <v>658</v>
          </cell>
          <cell r="B659" t="str">
            <v>ja</v>
          </cell>
          <cell r="C659" t="str">
            <v>猫又 クルミ</v>
          </cell>
        </row>
        <row r="660">
          <cell r="A660">
            <v>659</v>
          </cell>
          <cell r="B660" t="str">
            <v>ja</v>
          </cell>
          <cell r="C660" t="str">
            <v>跳梁する化猫 クルミ</v>
          </cell>
        </row>
        <row r="661">
          <cell r="A661">
            <v>660</v>
          </cell>
          <cell r="B661" t="str">
            <v>ja</v>
          </cell>
          <cell r="C661" t="str">
            <v>烏天狗 フウガ</v>
          </cell>
        </row>
        <row r="662">
          <cell r="A662">
            <v>661</v>
          </cell>
          <cell r="B662" t="str">
            <v>ja</v>
          </cell>
          <cell r="C662" t="str">
            <v>疾風の天狗礫 フウガ</v>
          </cell>
        </row>
        <row r="663">
          <cell r="A663">
            <v>662</v>
          </cell>
          <cell r="B663" t="str">
            <v>ja</v>
          </cell>
          <cell r="C663" t="str">
            <v>ダイダラ</v>
          </cell>
        </row>
        <row r="664">
          <cell r="A664">
            <v>663</v>
          </cell>
          <cell r="B664" t="str">
            <v>ja</v>
          </cell>
          <cell r="C664" t="str">
            <v>都揺らす地響き ダイダラ</v>
          </cell>
        </row>
        <row r="665">
          <cell r="A665">
            <v>664</v>
          </cell>
          <cell r="B665" t="str">
            <v>ja</v>
          </cell>
          <cell r="C665" t="str">
            <v>山掴み国造り ダイダラ</v>
          </cell>
        </row>
        <row r="666">
          <cell r="A666">
            <v>665</v>
          </cell>
          <cell r="B666" t="str">
            <v>ja</v>
          </cell>
          <cell r="C666" t="str">
            <v>座敷童子 テマリ</v>
          </cell>
        </row>
        <row r="667">
          <cell r="A667">
            <v>666</v>
          </cell>
          <cell r="B667" t="str">
            <v>ja</v>
          </cell>
          <cell r="C667" t="str">
            <v>拡散する幸福 テマリ</v>
          </cell>
        </row>
        <row r="668">
          <cell r="A668">
            <v>667</v>
          </cell>
          <cell r="B668" t="str">
            <v>ja</v>
          </cell>
          <cell r="C668" t="str">
            <v>最幸運の妖童 テマリ</v>
          </cell>
        </row>
        <row r="669">
          <cell r="A669">
            <v>668</v>
          </cell>
          <cell r="B669" t="str">
            <v>ja</v>
          </cell>
          <cell r="C669" t="str">
            <v>アグニ</v>
          </cell>
        </row>
        <row r="670">
          <cell r="A670">
            <v>669</v>
          </cell>
          <cell r="B670" t="str">
            <v>ja</v>
          </cell>
          <cell r="C670" t="str">
            <v>天地の仲界 アグニ</v>
          </cell>
        </row>
        <row r="671">
          <cell r="A671">
            <v>670</v>
          </cell>
          <cell r="B671" t="str">
            <v>ja</v>
          </cell>
          <cell r="C671" t="str">
            <v>陽天の噴煙 アグニ</v>
          </cell>
        </row>
        <row r="672">
          <cell r="A672">
            <v>671</v>
          </cell>
          <cell r="B672" t="str">
            <v>ja</v>
          </cell>
          <cell r="C672" t="str">
            <v>ハヌマーン</v>
          </cell>
        </row>
        <row r="673">
          <cell r="A673">
            <v>672</v>
          </cell>
          <cell r="B673" t="str">
            <v>ja</v>
          </cell>
          <cell r="C673" t="str">
            <v>西遊韋駄天 ハヌマーン</v>
          </cell>
        </row>
        <row r="674">
          <cell r="A674">
            <v>673</v>
          </cell>
          <cell r="B674" t="str">
            <v>ja</v>
          </cell>
          <cell r="C674" t="str">
            <v>変幻自在の猿王 ハヌマーン</v>
          </cell>
        </row>
        <row r="675">
          <cell r="A675">
            <v>674</v>
          </cell>
          <cell r="B675" t="str">
            <v>ja</v>
          </cell>
          <cell r="C675" t="str">
            <v>サラスヴァティ</v>
          </cell>
        </row>
        <row r="676">
          <cell r="A676">
            <v>675</v>
          </cell>
          <cell r="B676" t="str">
            <v>ja</v>
          </cell>
          <cell r="C676" t="str">
            <v>芸楽の奔流 サラスヴァティ</v>
          </cell>
        </row>
        <row r="677">
          <cell r="A677">
            <v>676</v>
          </cell>
          <cell r="B677" t="str">
            <v>ja</v>
          </cell>
          <cell r="C677" t="str">
            <v>ヴィシュヌ</v>
          </cell>
        </row>
        <row r="678">
          <cell r="A678">
            <v>677</v>
          </cell>
          <cell r="B678" t="str">
            <v>ja</v>
          </cell>
          <cell r="C678" t="str">
            <v>武遊闊歩 ヴィシュヌ</v>
          </cell>
        </row>
        <row r="679">
          <cell r="A679">
            <v>678</v>
          </cell>
          <cell r="B679" t="str">
            <v>ja</v>
          </cell>
          <cell r="C679" t="str">
            <v>レイヴン</v>
          </cell>
        </row>
        <row r="680">
          <cell r="A680">
            <v>679</v>
          </cell>
          <cell r="B680" t="str">
            <v>ja</v>
          </cell>
          <cell r="C680" t="str">
            <v>孤高の王子 レイヴン</v>
          </cell>
        </row>
        <row r="681">
          <cell r="A681">
            <v>680</v>
          </cell>
          <cell r="B681" t="str">
            <v>ja</v>
          </cell>
          <cell r="C681" t="str">
            <v>炎のプレゼントケロケロ</v>
          </cell>
        </row>
        <row r="682">
          <cell r="A682">
            <v>681</v>
          </cell>
          <cell r="B682" t="str">
            <v>ja</v>
          </cell>
          <cell r="C682" t="str">
            <v>炎のプレゼントフロッグ</v>
          </cell>
        </row>
        <row r="683">
          <cell r="A683">
            <v>682</v>
          </cell>
          <cell r="B683" t="str">
            <v>ja</v>
          </cell>
          <cell r="C683" t="str">
            <v>森のプレゼントケロケロ</v>
          </cell>
        </row>
        <row r="684">
          <cell r="A684">
            <v>683</v>
          </cell>
          <cell r="B684" t="str">
            <v>ja</v>
          </cell>
          <cell r="C684" t="str">
            <v>森のプレゼントフロッグ</v>
          </cell>
        </row>
        <row r="685">
          <cell r="A685">
            <v>684</v>
          </cell>
          <cell r="B685" t="str">
            <v>ja</v>
          </cell>
          <cell r="C685" t="str">
            <v>水のプレゼントケロケロ</v>
          </cell>
        </row>
        <row r="686">
          <cell r="A686">
            <v>685</v>
          </cell>
          <cell r="B686" t="str">
            <v>ja</v>
          </cell>
          <cell r="C686" t="str">
            <v>水のプレゼントフロッグ</v>
          </cell>
        </row>
        <row r="687">
          <cell r="A687">
            <v>686</v>
          </cell>
          <cell r="B687" t="str">
            <v>ja</v>
          </cell>
          <cell r="C687" t="str">
            <v>雷のプレゼントケロケロ</v>
          </cell>
        </row>
        <row r="688">
          <cell r="A688">
            <v>687</v>
          </cell>
          <cell r="B688" t="str">
            <v>ja</v>
          </cell>
          <cell r="C688" t="str">
            <v>雷のプレゼントフロッグ</v>
          </cell>
        </row>
        <row r="689">
          <cell r="A689">
            <v>688</v>
          </cell>
          <cell r="B689" t="str">
            <v>ja</v>
          </cell>
          <cell r="C689" t="str">
            <v>ユークリッド</v>
          </cell>
        </row>
        <row r="690">
          <cell r="A690">
            <v>689</v>
          </cell>
          <cell r="B690" t="str">
            <v>ja</v>
          </cell>
          <cell r="C690" t="str">
            <v>根原論理 ユークリッド</v>
          </cell>
        </row>
        <row r="691">
          <cell r="A691">
            <v>690</v>
          </cell>
          <cell r="B691" t="str">
            <v>ja</v>
          </cell>
          <cell r="C691" t="str">
            <v>不朽の極論 ユークリッド</v>
          </cell>
        </row>
        <row r="692">
          <cell r="A692">
            <v>691</v>
          </cell>
          <cell r="B692" t="str">
            <v>ja</v>
          </cell>
          <cell r="C692" t="str">
            <v>黒沼青葉</v>
          </cell>
        </row>
        <row r="693">
          <cell r="A693">
            <v>692</v>
          </cell>
          <cell r="B693" t="str">
            <v>ja</v>
          </cell>
          <cell r="C693" t="str">
            <v>暗躍する偽帝 黒沼青葉</v>
          </cell>
        </row>
        <row r="694">
          <cell r="A694">
            <v>693</v>
          </cell>
          <cell r="B694" t="str">
            <v>ja</v>
          </cell>
          <cell r="C694" t="str">
            <v>紀田正臣</v>
          </cell>
        </row>
        <row r="695">
          <cell r="A695">
            <v>694</v>
          </cell>
          <cell r="B695" t="str">
            <v>ja</v>
          </cell>
          <cell r="C695" t="str">
            <v>黄巾賊の将軍 紀田正臣</v>
          </cell>
        </row>
        <row r="696">
          <cell r="A696">
            <v>695</v>
          </cell>
          <cell r="B696" t="str">
            <v>ja</v>
          </cell>
          <cell r="C696" t="str">
            <v>セルティ</v>
          </cell>
        </row>
        <row r="697">
          <cell r="A697">
            <v>696</v>
          </cell>
          <cell r="B697" t="str">
            <v>ja</v>
          </cell>
          <cell r="C697" t="str">
            <v>生きる都市伝説 セルティ</v>
          </cell>
        </row>
        <row r="698">
          <cell r="A698">
            <v>697</v>
          </cell>
          <cell r="B698" t="str">
            <v>ja</v>
          </cell>
          <cell r="C698" t="str">
            <v>黒影の首なしライダー セルティ</v>
          </cell>
        </row>
        <row r="699">
          <cell r="A699">
            <v>698</v>
          </cell>
          <cell r="B699" t="str">
            <v>ja</v>
          </cell>
          <cell r="C699" t="str">
            <v>園原杏里</v>
          </cell>
        </row>
        <row r="700">
          <cell r="A700">
            <v>699</v>
          </cell>
          <cell r="B700" t="str">
            <v>ja</v>
          </cell>
          <cell r="C700" t="str">
            <v>依存の母愛　園原杏里</v>
          </cell>
        </row>
        <row r="701">
          <cell r="A701">
            <v>700</v>
          </cell>
          <cell r="B701" t="str">
            <v>ja</v>
          </cell>
          <cell r="C701" t="str">
            <v>折原臨也</v>
          </cell>
        </row>
        <row r="702">
          <cell r="A702">
            <v>701</v>
          </cell>
          <cell r="B702" t="str">
            <v>ja</v>
          </cell>
          <cell r="C702" t="str">
            <v>謀略の情報屋 折原臨也</v>
          </cell>
        </row>
        <row r="703">
          <cell r="A703">
            <v>702</v>
          </cell>
          <cell r="B703" t="str">
            <v>ja</v>
          </cell>
          <cell r="C703" t="str">
            <v>サイモン</v>
          </cell>
        </row>
        <row r="704">
          <cell r="A704">
            <v>703</v>
          </cell>
          <cell r="B704" t="str">
            <v>ja</v>
          </cell>
          <cell r="C704" t="str">
            <v>豪腕静穏な寿司屋 サイモン</v>
          </cell>
        </row>
        <row r="705">
          <cell r="A705">
            <v>704</v>
          </cell>
          <cell r="B705" t="str">
            <v>ja</v>
          </cell>
          <cell r="C705" t="str">
            <v>贄川春奈</v>
          </cell>
        </row>
        <row r="706">
          <cell r="A706">
            <v>705</v>
          </cell>
          <cell r="B706" t="str">
            <v>ja</v>
          </cell>
          <cell r="C706" t="str">
            <v>狂愛なる罪歌の子　贄川春奈</v>
          </cell>
        </row>
        <row r="707">
          <cell r="A707">
            <v>706</v>
          </cell>
          <cell r="B707" t="str">
            <v>ja</v>
          </cell>
          <cell r="C707" t="str">
            <v>岸谷新羅</v>
          </cell>
        </row>
        <row r="708">
          <cell r="A708">
            <v>707</v>
          </cell>
          <cell r="B708" t="str">
            <v>ja</v>
          </cell>
          <cell r="C708" t="str">
            <v>愛月撤灯の闇医者 岸谷新羅</v>
          </cell>
        </row>
        <row r="709">
          <cell r="A709">
            <v>708</v>
          </cell>
          <cell r="B709" t="str">
            <v>ja</v>
          </cell>
          <cell r="C709" t="str">
            <v>門田京平</v>
          </cell>
        </row>
        <row r="710">
          <cell r="A710">
            <v>709</v>
          </cell>
          <cell r="B710" t="str">
            <v>ja</v>
          </cell>
          <cell r="C710" t="str">
            <v>不穢の抑止力　門田京平</v>
          </cell>
        </row>
        <row r="711">
          <cell r="A711">
            <v>710</v>
          </cell>
          <cell r="B711" t="str">
            <v>ja</v>
          </cell>
          <cell r="C711" t="str">
            <v>田中トム</v>
          </cell>
        </row>
        <row r="712">
          <cell r="A712">
            <v>711</v>
          </cell>
          <cell r="B712" t="str">
            <v>ja</v>
          </cell>
          <cell r="C712" t="str">
            <v>平衡調和の取り立て屋　田中トム</v>
          </cell>
        </row>
        <row r="713">
          <cell r="A713">
            <v>712</v>
          </cell>
          <cell r="B713" t="str">
            <v>ja</v>
          </cell>
          <cell r="C713" t="str">
            <v>竜ヶ峰帝人</v>
          </cell>
        </row>
        <row r="714">
          <cell r="A714">
            <v>713</v>
          </cell>
          <cell r="B714" t="str">
            <v>ja</v>
          </cell>
          <cell r="C714" t="str">
            <v>始まりの創始者　竜ヶ峰帝人</v>
          </cell>
        </row>
        <row r="715">
          <cell r="A715">
            <v>714</v>
          </cell>
          <cell r="B715" t="str">
            <v>ja</v>
          </cell>
          <cell r="C715" t="str">
            <v>粟楠茜</v>
          </cell>
        </row>
        <row r="716">
          <cell r="A716">
            <v>715</v>
          </cell>
          <cell r="B716" t="str">
            <v>ja</v>
          </cell>
          <cell r="C716" t="str">
            <v>小さな殺し屋　粟楠茜</v>
          </cell>
        </row>
        <row r="717">
          <cell r="A717">
            <v>716</v>
          </cell>
          <cell r="B717" t="str">
            <v>ja</v>
          </cell>
          <cell r="C717" t="str">
            <v>平和島静雄</v>
          </cell>
        </row>
        <row r="718">
          <cell r="A718">
            <v>717</v>
          </cell>
          <cell r="B718" t="str">
            <v>ja</v>
          </cell>
          <cell r="C718" t="str">
            <v>池袋最強の暴走 平和島静雄</v>
          </cell>
        </row>
        <row r="719">
          <cell r="A719">
            <v>718</v>
          </cell>
          <cell r="B719" t="str">
            <v>ja</v>
          </cell>
          <cell r="C719" t="str">
            <v>ヴァローナ</v>
          </cell>
        </row>
        <row r="720">
          <cell r="A720">
            <v>719</v>
          </cell>
          <cell r="B720" t="str">
            <v>ja</v>
          </cell>
          <cell r="C720" t="str">
            <v>聡明な戦狂女 ヴァローナ</v>
          </cell>
        </row>
        <row r="721">
          <cell r="A721">
            <v>720</v>
          </cell>
          <cell r="B721" t="str">
            <v>ja</v>
          </cell>
          <cell r="C721" t="str">
            <v>直江兼続</v>
          </cell>
        </row>
        <row r="722">
          <cell r="A722">
            <v>721</v>
          </cell>
          <cell r="B722" t="str">
            <v>ja</v>
          </cell>
          <cell r="C722" t="str">
            <v>迎激の愛銃 直江兼続</v>
          </cell>
        </row>
        <row r="723">
          <cell r="A723">
            <v>722</v>
          </cell>
          <cell r="B723" t="str">
            <v>ja</v>
          </cell>
          <cell r="C723" t="str">
            <v>森蘭丸</v>
          </cell>
        </row>
        <row r="724">
          <cell r="A724">
            <v>723</v>
          </cell>
          <cell r="B724" t="str">
            <v>ja</v>
          </cell>
          <cell r="C724" t="str">
            <v>萌芽の密心  森蘭丸</v>
          </cell>
        </row>
        <row r="725">
          <cell r="A725">
            <v>724</v>
          </cell>
          <cell r="B725" t="str">
            <v>ja</v>
          </cell>
          <cell r="C725" t="str">
            <v>武田信玄</v>
          </cell>
        </row>
        <row r="726">
          <cell r="A726">
            <v>725</v>
          </cell>
          <cell r="B726" t="str">
            <v>ja</v>
          </cell>
          <cell r="C726" t="str">
            <v>泰然の暴虎 武田信玄</v>
          </cell>
        </row>
        <row r="727">
          <cell r="A727">
            <v>726</v>
          </cell>
          <cell r="B727" t="str">
            <v>ja</v>
          </cell>
          <cell r="C727" t="str">
            <v>織田信長</v>
          </cell>
        </row>
        <row r="728">
          <cell r="A728">
            <v>727</v>
          </cell>
          <cell r="B728" t="str">
            <v>ja</v>
          </cell>
          <cell r="C728" t="str">
            <v>真鋭の征服者 織田信長</v>
          </cell>
        </row>
        <row r="729">
          <cell r="A729">
            <v>728</v>
          </cell>
          <cell r="B729" t="str">
            <v>ja</v>
          </cell>
          <cell r="C729" t="str">
            <v>井伊直虎</v>
          </cell>
        </row>
        <row r="730">
          <cell r="A730">
            <v>729</v>
          </cell>
          <cell r="B730" t="str">
            <v>ja</v>
          </cell>
          <cell r="C730" t="str">
            <v>暗厄の双刀 井伊直虎</v>
          </cell>
        </row>
        <row r="731">
          <cell r="A731">
            <v>730</v>
          </cell>
          <cell r="B731" t="str">
            <v>ja</v>
          </cell>
          <cell r="C731" t="str">
            <v>ガラシャ</v>
          </cell>
        </row>
        <row r="732">
          <cell r="A732">
            <v>731</v>
          </cell>
          <cell r="B732" t="str">
            <v>ja</v>
          </cell>
          <cell r="C732" t="str">
            <v>敬虔なる追銃 ガラシャ</v>
          </cell>
        </row>
        <row r="733">
          <cell r="A733">
            <v>732</v>
          </cell>
          <cell r="B733" t="str">
            <v>ja</v>
          </cell>
          <cell r="C733" t="str">
            <v>上杉謙信</v>
          </cell>
        </row>
        <row r="734">
          <cell r="A734">
            <v>733</v>
          </cell>
          <cell r="B734" t="str">
            <v>ja</v>
          </cell>
          <cell r="C734" t="str">
            <v>夢幻の千刃 上杉謙信</v>
          </cell>
        </row>
        <row r="735">
          <cell r="A735">
            <v>734</v>
          </cell>
          <cell r="B735" t="str">
            <v>ja</v>
          </cell>
          <cell r="C735" t="str">
            <v>伊達政宗</v>
          </cell>
        </row>
        <row r="736">
          <cell r="A736">
            <v>735</v>
          </cell>
          <cell r="B736" t="str">
            <v>ja</v>
          </cell>
          <cell r="C736" t="str">
            <v>破天の隻眼 伊達政宗</v>
          </cell>
        </row>
        <row r="737">
          <cell r="A737">
            <v>736</v>
          </cell>
          <cell r="B737" t="str">
            <v>ja</v>
          </cell>
          <cell r="C737" t="str">
            <v>オルトロス</v>
          </cell>
        </row>
        <row r="738">
          <cell r="A738">
            <v>737</v>
          </cell>
          <cell r="B738" t="str">
            <v>ja</v>
          </cell>
          <cell r="C738" t="str">
            <v>狂鳴の慟哭 オルトロス</v>
          </cell>
        </row>
        <row r="739">
          <cell r="A739">
            <v>738</v>
          </cell>
          <cell r="B739" t="str">
            <v>ja</v>
          </cell>
          <cell r="C739" t="str">
            <v>ラドン</v>
          </cell>
        </row>
        <row r="740">
          <cell r="A740">
            <v>739</v>
          </cell>
          <cell r="B740" t="str">
            <v>ja</v>
          </cell>
          <cell r="C740" t="str">
            <v>寡言の密使 ラドン</v>
          </cell>
        </row>
        <row r="741">
          <cell r="A741">
            <v>740</v>
          </cell>
          <cell r="B741" t="str">
            <v>ja</v>
          </cell>
          <cell r="C741" t="str">
            <v>テュポーン</v>
          </cell>
        </row>
        <row r="742">
          <cell r="A742">
            <v>741</v>
          </cell>
          <cell r="B742" t="str">
            <v>ja</v>
          </cell>
          <cell r="C742" t="str">
            <v>皆滅の戦鬼 テュポーン</v>
          </cell>
        </row>
        <row r="743">
          <cell r="A743">
            <v>742</v>
          </cell>
          <cell r="B743" t="str">
            <v>ja</v>
          </cell>
          <cell r="C743" t="str">
            <v>アポロン</v>
          </cell>
        </row>
        <row r="744">
          <cell r="A744">
            <v>743</v>
          </cell>
          <cell r="B744" t="str">
            <v>ja</v>
          </cell>
          <cell r="C744" t="str">
            <v>弩級の洸源 アポロン</v>
          </cell>
        </row>
        <row r="745">
          <cell r="A745">
            <v>744</v>
          </cell>
          <cell r="B745" t="str">
            <v>ja</v>
          </cell>
          <cell r="C745" t="str">
            <v>ヘルメス</v>
          </cell>
        </row>
        <row r="746">
          <cell r="A746">
            <v>745</v>
          </cell>
          <cell r="B746" t="str">
            <v>ja</v>
          </cell>
          <cell r="C746" t="str">
            <v>望羅の発神 ヘルメス</v>
          </cell>
        </row>
        <row r="747">
          <cell r="A747">
            <v>746</v>
          </cell>
          <cell r="B747" t="str">
            <v>ja</v>
          </cell>
          <cell r="C747" t="str">
            <v>ノルン</v>
          </cell>
        </row>
        <row r="748">
          <cell r="A748">
            <v>747</v>
          </cell>
          <cell r="B748" t="str">
            <v>ja</v>
          </cell>
          <cell r="C748" t="str">
            <v>潔碧の巡励神 ノルン</v>
          </cell>
        </row>
        <row r="749">
          <cell r="A749">
            <v>748</v>
          </cell>
          <cell r="B749" t="str">
            <v>ja</v>
          </cell>
          <cell r="C749" t="str">
            <v>パーン</v>
          </cell>
        </row>
        <row r="750">
          <cell r="A750">
            <v>749</v>
          </cell>
          <cell r="B750" t="str">
            <v>ja</v>
          </cell>
          <cell r="C750" t="str">
            <v>光喜の牧童 パーン</v>
          </cell>
        </row>
        <row r="751">
          <cell r="A751">
            <v>750</v>
          </cell>
          <cell r="B751" t="str">
            <v>ja</v>
          </cell>
          <cell r="C751" t="str">
            <v>ポアソン</v>
          </cell>
        </row>
        <row r="752">
          <cell r="A752">
            <v>751</v>
          </cell>
          <cell r="B752" t="str">
            <v>ja</v>
          </cell>
          <cell r="C752" t="str">
            <v>交錯の旋匣 ポアソン</v>
          </cell>
        </row>
        <row r="753">
          <cell r="A753">
            <v>752</v>
          </cell>
          <cell r="B753" t="str">
            <v>ja</v>
          </cell>
          <cell r="C753" t="str">
            <v>ムラマサ</v>
          </cell>
        </row>
        <row r="754">
          <cell r="A754">
            <v>753</v>
          </cell>
          <cell r="B754" t="str">
            <v>ja</v>
          </cell>
          <cell r="C754" t="str">
            <v>皆斬の虐器 ムラマサ</v>
          </cell>
        </row>
        <row r="755">
          <cell r="A755">
            <v>754</v>
          </cell>
          <cell r="B755" t="str">
            <v>ja</v>
          </cell>
          <cell r="C755" t="str">
            <v>マサムネ</v>
          </cell>
        </row>
        <row r="756">
          <cell r="A756">
            <v>755</v>
          </cell>
          <cell r="B756" t="str">
            <v>ja</v>
          </cell>
          <cell r="C756" t="str">
            <v>究覇の一剣 マサムネ</v>
          </cell>
        </row>
        <row r="757">
          <cell r="A757">
            <v>756</v>
          </cell>
          <cell r="B757" t="str">
            <v>ja</v>
          </cell>
          <cell r="C757" t="str">
            <v>アメノムラクモ</v>
          </cell>
        </row>
        <row r="758">
          <cell r="A758">
            <v>757</v>
          </cell>
          <cell r="B758" t="str">
            <v>ja</v>
          </cell>
          <cell r="C758" t="str">
            <v>荒龍の復魂 アメノムラクモ</v>
          </cell>
        </row>
        <row r="759">
          <cell r="A759">
            <v>758</v>
          </cell>
          <cell r="B759" t="str">
            <v>ja</v>
          </cell>
          <cell r="C759" t="str">
            <v>雷切</v>
          </cell>
        </row>
        <row r="760">
          <cell r="A760">
            <v>759</v>
          </cell>
          <cell r="B760" t="str">
            <v>ja</v>
          </cell>
          <cell r="C760" t="str">
            <v>超光の鳴鋒 雷切</v>
          </cell>
        </row>
        <row r="761">
          <cell r="A761">
            <v>760</v>
          </cell>
          <cell r="B761" t="str">
            <v>ja</v>
          </cell>
          <cell r="C761" t="str">
            <v>限論顕現 クロネッカー</v>
          </cell>
        </row>
        <row r="762">
          <cell r="A762">
            <v>761</v>
          </cell>
          <cell r="B762" t="str">
            <v>ja</v>
          </cell>
          <cell r="C762" t="str">
            <v>唯限の崇嬢 クロネッカー</v>
          </cell>
        </row>
        <row r="763">
          <cell r="A763">
            <v>762</v>
          </cell>
          <cell r="B763" t="str">
            <v>ja</v>
          </cell>
          <cell r="C763" t="str">
            <v>フィボナッチ</v>
          </cell>
        </row>
        <row r="764">
          <cell r="A764">
            <v>763</v>
          </cell>
          <cell r="B764" t="str">
            <v>ja</v>
          </cell>
          <cell r="C764" t="str">
            <v>螺旋の皇魂比 フィボナッチ</v>
          </cell>
        </row>
        <row r="765">
          <cell r="A765">
            <v>764</v>
          </cell>
          <cell r="B765" t="str">
            <v>ja</v>
          </cell>
          <cell r="C765" t="str">
            <v>ライオネル</v>
          </cell>
        </row>
        <row r="766">
          <cell r="A766">
            <v>765</v>
          </cell>
          <cell r="B766" t="str">
            <v>ja</v>
          </cell>
          <cell r="C766" t="str">
            <v>逆襲獣皇 ライオネル</v>
          </cell>
        </row>
        <row r="767">
          <cell r="A767">
            <v>766</v>
          </cell>
          <cell r="B767" t="str">
            <v>ja</v>
          </cell>
          <cell r="C767" t="str">
            <v>ランドラグ</v>
          </cell>
        </row>
        <row r="768">
          <cell r="A768">
            <v>767</v>
          </cell>
          <cell r="B768" t="str">
            <v>ja</v>
          </cell>
          <cell r="C768" t="str">
            <v>灼炎業竜 ランドラグ</v>
          </cell>
        </row>
        <row r="769">
          <cell r="A769">
            <v>768</v>
          </cell>
          <cell r="B769" t="str">
            <v>ja</v>
          </cell>
          <cell r="C769" t="str">
            <v>ガレス</v>
          </cell>
        </row>
        <row r="770">
          <cell r="A770">
            <v>769</v>
          </cell>
          <cell r="B770" t="str">
            <v>ja</v>
          </cell>
          <cell r="C770" t="str">
            <v>白域・純双剣 ガレス</v>
          </cell>
        </row>
        <row r="771">
          <cell r="A771">
            <v>770</v>
          </cell>
          <cell r="B771" t="str">
            <v>ja</v>
          </cell>
          <cell r="C771" t="str">
            <v>ハヅル</v>
          </cell>
        </row>
        <row r="772">
          <cell r="A772">
            <v>771</v>
          </cell>
          <cell r="B772" t="str">
            <v>ja</v>
          </cell>
          <cell r="C772" t="str">
            <v>天織羽鶴 ハヅル</v>
          </cell>
        </row>
        <row r="773">
          <cell r="A773">
            <v>772</v>
          </cell>
          <cell r="B773" t="str">
            <v>ja</v>
          </cell>
          <cell r="C773" t="str">
            <v>イナバ</v>
          </cell>
        </row>
        <row r="774">
          <cell r="A774">
            <v>773</v>
          </cell>
          <cell r="B774" t="str">
            <v>ja</v>
          </cell>
          <cell r="C774" t="str">
            <v>浮跳天兎 イナバ</v>
          </cell>
        </row>
        <row r="775">
          <cell r="A775">
            <v>774</v>
          </cell>
          <cell r="B775" t="str">
            <v>ja</v>
          </cell>
          <cell r="C775" t="str">
            <v>ミズチ</v>
          </cell>
        </row>
        <row r="776">
          <cell r="A776">
            <v>775</v>
          </cell>
          <cell r="B776" t="str">
            <v>ja</v>
          </cell>
          <cell r="C776" t="str">
            <v>水底霊竜 ミズチ</v>
          </cell>
        </row>
        <row r="777">
          <cell r="A777">
            <v>776</v>
          </cell>
          <cell r="B777" t="str">
            <v>ja</v>
          </cell>
          <cell r="C777" t="str">
            <v>水竜底主 ミズチ</v>
          </cell>
        </row>
        <row r="778">
          <cell r="A778">
            <v>777</v>
          </cell>
          <cell r="B778" t="str">
            <v>ja</v>
          </cell>
          <cell r="C778" t="str">
            <v>ガメック</v>
          </cell>
        </row>
        <row r="779">
          <cell r="A779">
            <v>778</v>
          </cell>
          <cell r="B779" t="str">
            <v>ja</v>
          </cell>
          <cell r="C779" t="str">
            <v>一亀懸明 ガメック</v>
          </cell>
        </row>
        <row r="780">
          <cell r="A780">
            <v>779</v>
          </cell>
          <cell r="B780" t="str">
            <v>ja</v>
          </cell>
          <cell r="C780" t="str">
            <v>頑堅咬亀 ガメック</v>
          </cell>
        </row>
        <row r="781">
          <cell r="A781">
            <v>780</v>
          </cell>
          <cell r="B781" t="str">
            <v>ja</v>
          </cell>
          <cell r="C781" t="str">
            <v>カスケード</v>
          </cell>
        </row>
        <row r="782">
          <cell r="A782">
            <v>781</v>
          </cell>
          <cell r="B782" t="str">
            <v>ja</v>
          </cell>
          <cell r="C782" t="str">
            <v>崩落の大瀑布 カスケード</v>
          </cell>
        </row>
        <row r="783">
          <cell r="A783">
            <v>782</v>
          </cell>
          <cell r="B783" t="str">
            <v>ja</v>
          </cell>
          <cell r="C783" t="str">
            <v>機甲雷天使 ミカエル・グロリアス</v>
          </cell>
        </row>
        <row r="784">
          <cell r="A784">
            <v>783</v>
          </cell>
          <cell r="B784" t="str">
            <v>ja</v>
          </cell>
          <cell r="C784" t="str">
            <v>モールス</v>
          </cell>
        </row>
        <row r="785">
          <cell r="A785">
            <v>784</v>
          </cell>
          <cell r="B785" t="str">
            <v>ja</v>
          </cell>
          <cell r="C785" t="str">
            <v>想心の恋鎖 モールス</v>
          </cell>
        </row>
        <row r="786">
          <cell r="A786">
            <v>785</v>
          </cell>
          <cell r="B786" t="str">
            <v>ja</v>
          </cell>
          <cell r="C786" t="str">
            <v>あけおめダック2017</v>
          </cell>
        </row>
        <row r="787">
          <cell r="A787">
            <v>786</v>
          </cell>
          <cell r="B787" t="str">
            <v>ja</v>
          </cell>
          <cell r="C787" t="str">
            <v>ヘイウェイ</v>
          </cell>
        </row>
        <row r="788">
          <cell r="A788">
            <v>787</v>
          </cell>
          <cell r="B788" t="str">
            <v>ja</v>
          </cell>
          <cell r="C788" t="str">
            <v>極閃描牙 ヘイウェイ</v>
          </cell>
        </row>
        <row r="789">
          <cell r="A789">
            <v>788</v>
          </cell>
          <cell r="B789" t="str">
            <v>ja</v>
          </cell>
          <cell r="C789" t="str">
            <v>アトラス</v>
          </cell>
        </row>
        <row r="790">
          <cell r="A790">
            <v>789</v>
          </cell>
          <cell r="B790" t="str">
            <v>ja</v>
          </cell>
          <cell r="C790" t="str">
            <v>極闘の大鋼腕 アトラス</v>
          </cell>
        </row>
        <row r="791">
          <cell r="A791">
            <v>790</v>
          </cell>
          <cell r="B791" t="str">
            <v>ja</v>
          </cell>
          <cell r="C791" t="str">
            <v>戦略級の才脳 ノイマン</v>
          </cell>
        </row>
        <row r="792">
          <cell r="A792">
            <v>791</v>
          </cell>
          <cell r="B792" t="str">
            <v>ja</v>
          </cell>
          <cell r="C792" t="str">
            <v>無差別求の破者 ノイマン</v>
          </cell>
        </row>
        <row r="793">
          <cell r="A793">
            <v>792</v>
          </cell>
          <cell r="B793" t="str">
            <v>ja</v>
          </cell>
          <cell r="C793" t="str">
            <v>片還の収波 フーリエ</v>
          </cell>
        </row>
        <row r="794">
          <cell r="A794">
            <v>793</v>
          </cell>
          <cell r="B794" t="str">
            <v>ja</v>
          </cell>
          <cell r="C794" t="str">
            <v>熱解する求波導 フーリエ</v>
          </cell>
        </row>
        <row r="795">
          <cell r="A795">
            <v>794</v>
          </cell>
          <cell r="B795" t="str">
            <v>ja</v>
          </cell>
          <cell r="C795" t="str">
            <v>卒業のウィルス ハッピー</v>
          </cell>
        </row>
        <row r="796">
          <cell r="A796">
            <v>795</v>
          </cell>
          <cell r="B796" t="str">
            <v>ja</v>
          </cell>
          <cell r="C796" t="str">
            <v>桜花の果実</v>
          </cell>
        </row>
        <row r="797">
          <cell r="A797">
            <v>796</v>
          </cell>
          <cell r="B797" t="str">
            <v>ja</v>
          </cell>
          <cell r="C797" t="str">
            <v>超越凌駕 ラグランジュ</v>
          </cell>
        </row>
        <row r="798">
          <cell r="A798">
            <v>797</v>
          </cell>
          <cell r="B798" t="str">
            <v>ja</v>
          </cell>
          <cell r="C798" t="str">
            <v>崩烙の世解 シュレディンガー</v>
          </cell>
        </row>
        <row r="799">
          <cell r="A799">
            <v>798</v>
          </cell>
          <cell r="B799" t="str">
            <v>ja</v>
          </cell>
          <cell r="C799" t="str">
            <v>煌式の大機刃 オイラー</v>
          </cell>
        </row>
        <row r="800">
          <cell r="A800">
            <v>799</v>
          </cell>
          <cell r="B800" t="str">
            <v>ja</v>
          </cell>
          <cell r="C800" t="str">
            <v>電讃の魔機 チューリング</v>
          </cell>
        </row>
        <row r="801">
          <cell r="A801">
            <v>800</v>
          </cell>
          <cell r="B801" t="str">
            <v>ja</v>
          </cell>
          <cell r="C801" t="str">
            <v>蒼穹包む命題 ヘンペル</v>
          </cell>
        </row>
        <row r="802">
          <cell r="A802">
            <v>801</v>
          </cell>
          <cell r="B802" t="str">
            <v>ja</v>
          </cell>
          <cell r="C802" t="str">
            <v>覚世の大機神 オーディン</v>
          </cell>
        </row>
        <row r="803">
          <cell r="A803">
            <v>802</v>
          </cell>
          <cell r="B803" t="str">
            <v>ja</v>
          </cell>
          <cell r="C803" t="str">
            <v>四聖結終の超獣 麒麟</v>
          </cell>
        </row>
        <row r="804">
          <cell r="A804">
            <v>803</v>
          </cell>
          <cell r="B804" t="str">
            <v>ja</v>
          </cell>
          <cell r="C804" t="str">
            <v>大宇宙の膨超 ハップル</v>
          </cell>
        </row>
        <row r="805">
          <cell r="A805">
            <v>804</v>
          </cell>
          <cell r="B805" t="str">
            <v>ja</v>
          </cell>
          <cell r="C805" t="str">
            <v>豪電の守護芯 ファラデー</v>
          </cell>
        </row>
        <row r="806">
          <cell r="A806">
            <v>805</v>
          </cell>
          <cell r="B806" t="str">
            <v>ja</v>
          </cell>
          <cell r="C806" t="str">
            <v>熱環の大逆聖 ベリアル</v>
          </cell>
        </row>
        <row r="807">
          <cell r="A807">
            <v>806</v>
          </cell>
          <cell r="B807" t="str">
            <v>ja</v>
          </cell>
          <cell r="C807" t="str">
            <v>全解の預智聖 オセ</v>
          </cell>
        </row>
        <row r="808">
          <cell r="A808">
            <v>807</v>
          </cell>
          <cell r="B808" t="str">
            <v>ja</v>
          </cell>
          <cell r="C808" t="str">
            <v>襲愛の真公爵 フォルネウス</v>
          </cell>
        </row>
        <row r="809">
          <cell r="A809">
            <v>808</v>
          </cell>
          <cell r="B809" t="str">
            <v>ja</v>
          </cell>
          <cell r="C809" t="str">
            <v>天地万物の烈神母 イザナミ</v>
          </cell>
        </row>
        <row r="810">
          <cell r="A810">
            <v>809</v>
          </cell>
          <cell r="B810" t="str">
            <v>ja</v>
          </cell>
          <cell r="C810" t="str">
            <v>天然理心の激凛 沖田総司</v>
          </cell>
        </row>
        <row r="811">
          <cell r="A811">
            <v>810</v>
          </cell>
          <cell r="B811" t="str">
            <v>ja</v>
          </cell>
          <cell r="C811" t="str">
            <v>君臨大御神 アマテラス</v>
          </cell>
        </row>
        <row r="812">
          <cell r="A812">
            <v>811</v>
          </cell>
          <cell r="B812" t="str">
            <v>ja</v>
          </cell>
          <cell r="C812" t="str">
            <v>咲き誇る旅航者 親指姫</v>
          </cell>
        </row>
        <row r="813">
          <cell r="A813">
            <v>812</v>
          </cell>
          <cell r="B813" t="str">
            <v>ja</v>
          </cell>
          <cell r="C813" t="str">
            <v>凶膨なる殲滅 アザゼル</v>
          </cell>
        </row>
        <row r="814">
          <cell r="A814">
            <v>813</v>
          </cell>
          <cell r="B814" t="str">
            <v>ja</v>
          </cell>
          <cell r="C814" t="str">
            <v>絆の大冒険 ヘンゼル＆グレーテル</v>
          </cell>
        </row>
        <row r="815">
          <cell r="A815">
            <v>814</v>
          </cell>
          <cell r="B815" t="str">
            <v>ja</v>
          </cell>
          <cell r="C815" t="str">
            <v>戦場疾駆の鋼蹄 ジャンヌ</v>
          </cell>
        </row>
        <row r="816">
          <cell r="A816">
            <v>815</v>
          </cell>
          <cell r="B816" t="str">
            <v>ja</v>
          </cell>
          <cell r="C816" t="str">
            <v>解砲の鴉眼 八咫烏</v>
          </cell>
        </row>
        <row r="817">
          <cell r="A817">
            <v>816</v>
          </cell>
          <cell r="B817" t="str">
            <v>ja</v>
          </cell>
          <cell r="C817" t="str">
            <v>極・二天一流 宮本武蔵</v>
          </cell>
        </row>
        <row r="818">
          <cell r="A818">
            <v>817</v>
          </cell>
          <cell r="B818" t="str">
            <v>ja</v>
          </cell>
          <cell r="C818" t="str">
            <v>決戦の抗弾 D.R.T.H.</v>
          </cell>
        </row>
        <row r="819">
          <cell r="A819">
            <v>818</v>
          </cell>
          <cell r="B819" t="str">
            <v>ja</v>
          </cell>
          <cell r="C819" t="str">
            <v>虚空を飾る大輪 オズ</v>
          </cell>
        </row>
        <row r="820">
          <cell r="A820">
            <v>819</v>
          </cell>
          <cell r="B820" t="str">
            <v>ja</v>
          </cell>
          <cell r="C820" t="str">
            <v>讐命の我突 モルドレッド</v>
          </cell>
        </row>
        <row r="821">
          <cell r="A821">
            <v>820</v>
          </cell>
          <cell r="B821" t="str">
            <v>ja</v>
          </cell>
          <cell r="C821" t="str">
            <v>凶心者の聖儀 アーサー</v>
          </cell>
        </row>
        <row r="822">
          <cell r="A822">
            <v>821</v>
          </cell>
          <cell r="B822" t="str">
            <v>ja</v>
          </cell>
          <cell r="C822" t="str">
            <v>急蹴の硬機脚 ブートレグ・ペロー</v>
          </cell>
        </row>
        <row r="823">
          <cell r="A823">
            <v>822</v>
          </cell>
          <cell r="B823" t="str">
            <v>ja</v>
          </cell>
          <cell r="C823" t="str">
            <v>操魂の蒐集家 グリム</v>
          </cell>
        </row>
        <row r="824">
          <cell r="A824">
            <v>823</v>
          </cell>
          <cell r="B824" t="str">
            <v>ja</v>
          </cell>
          <cell r="C824" t="str">
            <v>跳鼠の睡奏楽 ハーメルン</v>
          </cell>
        </row>
        <row r="825">
          <cell r="A825">
            <v>824</v>
          </cell>
          <cell r="B825" t="str">
            <v>ja</v>
          </cell>
          <cell r="C825" t="str">
            <v>悪意の団塊  Gスター・チルドレン</v>
          </cell>
        </row>
        <row r="826">
          <cell r="A826">
            <v>825</v>
          </cell>
          <cell r="B826" t="str">
            <v>ja</v>
          </cell>
          <cell r="C826" t="str">
            <v>彩愛なる豊穣妃神 フレイヤ</v>
          </cell>
        </row>
        <row r="827">
          <cell r="A827">
            <v>826</v>
          </cell>
          <cell r="B827" t="str">
            <v>ja</v>
          </cell>
          <cell r="C827" t="str">
            <v>崇紅なる豊穣皇神 フレイ</v>
          </cell>
        </row>
        <row r="828">
          <cell r="A828">
            <v>827</v>
          </cell>
          <cell r="B828" t="str">
            <v>ja</v>
          </cell>
          <cell r="C828" t="str">
            <v>光神しき彩雲龍 アルフヘイム</v>
          </cell>
        </row>
        <row r="829">
          <cell r="A829">
            <v>828</v>
          </cell>
          <cell r="B829" t="str">
            <v>ja</v>
          </cell>
          <cell r="C829" t="str">
            <v>双究の覇翼 フギンとムニン</v>
          </cell>
        </row>
        <row r="830">
          <cell r="A830">
            <v>829</v>
          </cell>
          <cell r="B830" t="str">
            <v>ja</v>
          </cell>
          <cell r="C830" t="str">
            <v>銃刃乱舞の怪猫 クルミ</v>
          </cell>
        </row>
        <row r="831">
          <cell r="A831">
            <v>830</v>
          </cell>
          <cell r="B831" t="str">
            <v>ja</v>
          </cell>
          <cell r="C831" t="str">
            <v>清兆の天狗礫 フウガ</v>
          </cell>
        </row>
        <row r="832">
          <cell r="A832">
            <v>831</v>
          </cell>
          <cell r="B832" t="str">
            <v>ja</v>
          </cell>
          <cell r="C832" t="str">
            <v>万鬼乱襲の大創帥 ショウキ</v>
          </cell>
        </row>
        <row r="833">
          <cell r="A833">
            <v>832</v>
          </cell>
          <cell r="B833" t="str">
            <v>ja</v>
          </cell>
          <cell r="C833" t="str">
            <v>狂花吹雪く旋獄鬼神 ヨミ</v>
          </cell>
        </row>
        <row r="834">
          <cell r="A834">
            <v>833</v>
          </cell>
          <cell r="B834" t="str">
            <v>ja</v>
          </cell>
          <cell r="C834" t="str">
            <v>維界の復世神 ヴィシュヌ</v>
          </cell>
        </row>
        <row r="835">
          <cell r="A835">
            <v>834</v>
          </cell>
          <cell r="B835" t="str">
            <v>ja</v>
          </cell>
          <cell r="C835" t="str">
            <v>破界する裁滅神 シヴァ</v>
          </cell>
        </row>
        <row r="836">
          <cell r="A836">
            <v>835</v>
          </cell>
          <cell r="B836" t="str">
            <v>ja</v>
          </cell>
          <cell r="C836" t="str">
            <v>流奏の鳳楽神 サラスヴァティ</v>
          </cell>
        </row>
        <row r="837">
          <cell r="A837">
            <v>836</v>
          </cell>
          <cell r="B837" t="str">
            <v>ja</v>
          </cell>
          <cell r="C837" t="str">
            <v>射愛の恋華天神 カーマ</v>
          </cell>
        </row>
        <row r="838">
          <cell r="A838">
            <v>837</v>
          </cell>
          <cell r="B838" t="str">
            <v>ja</v>
          </cell>
          <cell r="C838" t="str">
            <v>リトルハンプティ</v>
          </cell>
        </row>
        <row r="839">
          <cell r="A839">
            <v>838</v>
          </cell>
          <cell r="B839" t="str">
            <v>ja</v>
          </cell>
          <cell r="C839" t="str">
            <v>巌鋼の爆烈志士 近藤勇</v>
          </cell>
        </row>
        <row r="840">
          <cell r="A840">
            <v>839</v>
          </cell>
          <cell r="B840" t="str">
            <v>ja</v>
          </cell>
          <cell r="C840" t="str">
            <v>真覇の勇魔剣 ランスロット</v>
          </cell>
        </row>
        <row r="841">
          <cell r="A841">
            <v>840</v>
          </cell>
          <cell r="B841" t="str">
            <v>ja</v>
          </cell>
          <cell r="C841" t="str">
            <v>フェニックス</v>
          </cell>
        </row>
        <row r="842">
          <cell r="A842">
            <v>841</v>
          </cell>
          <cell r="B842" t="str">
            <v>ja</v>
          </cell>
          <cell r="C842" t="str">
            <v>排斥の不死鳥 フェニックス</v>
          </cell>
        </row>
        <row r="843">
          <cell r="A843">
            <v>842</v>
          </cell>
          <cell r="B843" t="str">
            <v>ja</v>
          </cell>
          <cell r="C843" t="str">
            <v>セイレーン</v>
          </cell>
        </row>
        <row r="844">
          <cell r="A844">
            <v>843</v>
          </cell>
          <cell r="B844" t="str">
            <v>ja</v>
          </cell>
          <cell r="C844" t="str">
            <v>荒れ狂う乱歌 セイレーン</v>
          </cell>
        </row>
        <row r="845">
          <cell r="A845">
            <v>844</v>
          </cell>
          <cell r="B845" t="str">
            <v>ja</v>
          </cell>
          <cell r="C845" t="str">
            <v>ベルゼブブ</v>
          </cell>
        </row>
        <row r="846">
          <cell r="A846">
            <v>845</v>
          </cell>
          <cell r="B846" t="str">
            <v>ja</v>
          </cell>
          <cell r="C846" t="str">
            <v>妖艶なる蝿王 ベルゼブブ</v>
          </cell>
        </row>
        <row r="847">
          <cell r="A847">
            <v>846</v>
          </cell>
          <cell r="B847" t="str">
            <v>ja</v>
          </cell>
          <cell r="C847" t="str">
            <v>ルシファー</v>
          </cell>
        </row>
        <row r="848">
          <cell r="A848">
            <v>847</v>
          </cell>
          <cell r="B848" t="str">
            <v>ja</v>
          </cell>
          <cell r="C848" t="str">
            <v>傲慢なる堕天史 ルシファー</v>
          </cell>
        </row>
        <row r="849">
          <cell r="A849">
            <v>848</v>
          </cell>
          <cell r="B849" t="str">
            <v>ja</v>
          </cell>
          <cell r="C849" t="str">
            <v>メタトロン</v>
          </cell>
        </row>
        <row r="850">
          <cell r="A850">
            <v>849</v>
          </cell>
          <cell r="B850" t="str">
            <v>ja</v>
          </cell>
          <cell r="C850" t="str">
            <v>燦然たる天使 メタトロン・ラヴァ</v>
          </cell>
        </row>
        <row r="851">
          <cell r="A851">
            <v>850</v>
          </cell>
          <cell r="B851" t="str">
            <v>ja</v>
          </cell>
          <cell r="C851" t="str">
            <v>バアル</v>
          </cell>
        </row>
        <row r="852">
          <cell r="A852">
            <v>851</v>
          </cell>
          <cell r="B852" t="str">
            <v>ja</v>
          </cell>
          <cell r="C852" t="str">
            <v>寡黙なる凶王 バアル</v>
          </cell>
        </row>
        <row r="853">
          <cell r="A853">
            <v>852</v>
          </cell>
          <cell r="B853" t="str">
            <v>ja</v>
          </cell>
          <cell r="C853" t="str">
            <v>サキエル</v>
          </cell>
        </row>
        <row r="854">
          <cell r="A854">
            <v>853</v>
          </cell>
          <cell r="B854" t="str">
            <v>ja</v>
          </cell>
          <cell r="C854" t="str">
            <v>裂爪の天使 サキエル・ティア</v>
          </cell>
        </row>
        <row r="855">
          <cell r="A855">
            <v>854</v>
          </cell>
          <cell r="B855" t="str">
            <v>ja</v>
          </cell>
          <cell r="C855" t="str">
            <v>フラウロス</v>
          </cell>
        </row>
        <row r="856">
          <cell r="A856">
            <v>855</v>
          </cell>
          <cell r="B856" t="str">
            <v>ja</v>
          </cell>
          <cell r="C856" t="str">
            <v>豹魔の侠客 フラウロス</v>
          </cell>
        </row>
        <row r="857">
          <cell r="A857">
            <v>856</v>
          </cell>
          <cell r="B857" t="str">
            <v>ja</v>
          </cell>
          <cell r="C857" t="str">
            <v>リフレクト＆M.I.R.R.O.R.</v>
          </cell>
        </row>
        <row r="858">
          <cell r="A858">
            <v>857</v>
          </cell>
          <cell r="B858" t="str">
            <v>ja</v>
          </cell>
          <cell r="C858" t="str">
            <v>嫉心のリフレクト＆M.I.R.R.O.R.</v>
          </cell>
        </row>
        <row r="859">
          <cell r="A859">
            <v>858</v>
          </cell>
          <cell r="B859" t="str">
            <v>ja</v>
          </cell>
          <cell r="C859" t="str">
            <v>Mr.ホエール</v>
          </cell>
        </row>
        <row r="860">
          <cell r="A860">
            <v>859</v>
          </cell>
          <cell r="B860" t="str">
            <v>ja</v>
          </cell>
          <cell r="C860" t="str">
            <v>夢鯨大食 Mr.ホエール</v>
          </cell>
        </row>
        <row r="861">
          <cell r="A861">
            <v>860</v>
          </cell>
          <cell r="B861" t="str">
            <v>ja</v>
          </cell>
          <cell r="C861" t="str">
            <v>叶望の幻燈 ジーナ</v>
          </cell>
        </row>
        <row r="862">
          <cell r="A862">
            <v>861</v>
          </cell>
          <cell r="B862" t="str">
            <v>ja</v>
          </cell>
          <cell r="C862" t="str">
            <v>青燈の巨躯 ジーナ</v>
          </cell>
        </row>
        <row r="863">
          <cell r="A863">
            <v>862</v>
          </cell>
          <cell r="B863" t="str">
            <v>ja</v>
          </cell>
          <cell r="C863" t="str">
            <v>ブレーメン</v>
          </cell>
        </row>
        <row r="864">
          <cell r="A864">
            <v>863</v>
          </cell>
          <cell r="B864" t="str">
            <v>ja</v>
          </cell>
          <cell r="C864" t="str">
            <v>歓揮の楽団長 ブレーメン</v>
          </cell>
        </row>
        <row r="865">
          <cell r="A865">
            <v>864</v>
          </cell>
          <cell r="B865" t="str">
            <v>ja</v>
          </cell>
          <cell r="C865" t="str">
            <v>ピノキオ</v>
          </cell>
        </row>
        <row r="866">
          <cell r="A866">
            <v>865</v>
          </cell>
          <cell r="B866" t="str">
            <v>ja</v>
          </cell>
          <cell r="C866" t="str">
            <v>無情の感線 ピノキオ</v>
          </cell>
        </row>
        <row r="867">
          <cell r="A867">
            <v>866</v>
          </cell>
          <cell r="B867" t="str">
            <v>ja</v>
          </cell>
          <cell r="C867" t="str">
            <v>無敗の司令姫 白雪姫</v>
          </cell>
        </row>
        <row r="868">
          <cell r="A868">
            <v>867</v>
          </cell>
          <cell r="B868" t="str">
            <v>ja</v>
          </cell>
          <cell r="C868" t="str">
            <v>華麗なる作戦 白雪姫</v>
          </cell>
        </row>
        <row r="869">
          <cell r="A869">
            <v>868</v>
          </cell>
          <cell r="B869" t="str">
            <v>ja</v>
          </cell>
          <cell r="C869" t="str">
            <v>アラジンと殲滅機兵LAMP</v>
          </cell>
        </row>
        <row r="870">
          <cell r="A870">
            <v>869</v>
          </cell>
          <cell r="B870" t="str">
            <v>ja</v>
          </cell>
          <cell r="C870" t="str">
            <v xml:space="preserve">マスター･アラジンと殲滅機兵LAMP </v>
          </cell>
        </row>
        <row r="871">
          <cell r="A871">
            <v>870</v>
          </cell>
          <cell r="B871" t="str">
            <v>ja</v>
          </cell>
          <cell r="C871" t="str">
            <v>フロイト</v>
          </cell>
        </row>
        <row r="872">
          <cell r="A872">
            <v>871</v>
          </cell>
          <cell r="B872" t="str">
            <v>ja</v>
          </cell>
          <cell r="C872" t="str">
            <v>無我夢中の羊狩り フロイト</v>
          </cell>
        </row>
        <row r="873">
          <cell r="A873">
            <v>872</v>
          </cell>
          <cell r="B873" t="str">
            <v>ja</v>
          </cell>
          <cell r="C873" t="str">
            <v>シュヴァルツシルト</v>
          </cell>
        </row>
        <row r="874">
          <cell r="A874">
            <v>873</v>
          </cell>
          <cell r="B874" t="str">
            <v>ja</v>
          </cell>
          <cell r="C874" t="str">
            <v>時歪の特異天 シュヴァルツシルト</v>
          </cell>
        </row>
        <row r="875">
          <cell r="A875">
            <v>874</v>
          </cell>
          <cell r="B875" t="str">
            <v>ja</v>
          </cell>
          <cell r="C875" t="str">
            <v>フレネル</v>
          </cell>
        </row>
        <row r="876">
          <cell r="A876">
            <v>875</v>
          </cell>
          <cell r="B876" t="str">
            <v>ja</v>
          </cell>
          <cell r="C876" t="str">
            <v>覇導の光跡 フレネル</v>
          </cell>
        </row>
        <row r="877">
          <cell r="A877">
            <v>876</v>
          </cell>
          <cell r="B877" t="str">
            <v>ja</v>
          </cell>
          <cell r="C877" t="str">
            <v>イフリート</v>
          </cell>
        </row>
        <row r="878">
          <cell r="A878">
            <v>877</v>
          </cell>
          <cell r="B878" t="str">
            <v>ja</v>
          </cell>
          <cell r="C878" t="str">
            <v>自律の協炎 イフリート</v>
          </cell>
        </row>
        <row r="879">
          <cell r="A879">
            <v>878</v>
          </cell>
          <cell r="B879" t="str">
            <v>ja</v>
          </cell>
          <cell r="C879" t="str">
            <v>イグニス</v>
          </cell>
        </row>
        <row r="880">
          <cell r="A880">
            <v>879</v>
          </cell>
          <cell r="B880" t="str">
            <v>ja</v>
          </cell>
          <cell r="C880" t="str">
            <v>イグニス・フューリー</v>
          </cell>
        </row>
        <row r="881">
          <cell r="A881">
            <v>880</v>
          </cell>
          <cell r="B881" t="str">
            <v>ja</v>
          </cell>
          <cell r="C881" t="str">
            <v>ハーシェル</v>
          </cell>
        </row>
        <row r="882">
          <cell r="A882">
            <v>881</v>
          </cell>
          <cell r="B882" t="str">
            <v>ja</v>
          </cell>
          <cell r="C882" t="str">
            <v>銀河究星の望観者 ハーシェル</v>
          </cell>
        </row>
        <row r="883">
          <cell r="A883">
            <v>882</v>
          </cell>
          <cell r="B883" t="str">
            <v>ja</v>
          </cell>
          <cell r="C883" t="str">
            <v>歪極する星壊 シュヴァルツシルト</v>
          </cell>
        </row>
        <row r="884">
          <cell r="A884">
            <v>883</v>
          </cell>
          <cell r="B884" t="str">
            <v>ja</v>
          </cell>
          <cell r="C884" t="str">
            <v>灼動する猛巨炎 プロメテウス</v>
          </cell>
        </row>
        <row r="885">
          <cell r="A885">
            <v>884</v>
          </cell>
          <cell r="B885" t="str">
            <v>ja</v>
          </cell>
          <cell r="C885" t="str">
            <v>咲園の爛漫神 アフロディーテ</v>
          </cell>
        </row>
        <row r="886">
          <cell r="A886">
            <v>885</v>
          </cell>
          <cell r="B886" t="str">
            <v>ja</v>
          </cell>
          <cell r="C886" t="str">
            <v>御群の絶海女神 テティス</v>
          </cell>
        </row>
        <row r="887">
          <cell r="A887">
            <v>886</v>
          </cell>
          <cell r="B887" t="str">
            <v>ja</v>
          </cell>
          <cell r="C887" t="str">
            <v>星義司る天聖神 アストライアー</v>
          </cell>
        </row>
        <row r="888">
          <cell r="A888">
            <v>887</v>
          </cell>
          <cell r="B888" t="str">
            <v>ja</v>
          </cell>
          <cell r="C888" t="str">
            <v>エリス</v>
          </cell>
        </row>
        <row r="889">
          <cell r="A889">
            <v>888</v>
          </cell>
          <cell r="B889" t="str">
            <v>ja</v>
          </cell>
          <cell r="C889" t="str">
            <v>禍根の暴送者 エリス</v>
          </cell>
        </row>
        <row r="890">
          <cell r="A890">
            <v>889</v>
          </cell>
          <cell r="B890" t="str">
            <v>ja</v>
          </cell>
          <cell r="C890" t="str">
            <v>未定</v>
          </cell>
        </row>
        <row r="891">
          <cell r="A891">
            <v>890</v>
          </cell>
          <cell r="B891" t="str">
            <v>ja</v>
          </cell>
          <cell r="C891" t="str">
            <v>未定</v>
          </cell>
        </row>
        <row r="892">
          <cell r="A892">
            <v>891</v>
          </cell>
          <cell r="B892" t="str">
            <v>ja</v>
          </cell>
          <cell r="C892" t="str">
            <v>コルキス</v>
          </cell>
        </row>
        <row r="893">
          <cell r="A893">
            <v>892</v>
          </cell>
          <cell r="B893" t="str">
            <v>ja</v>
          </cell>
          <cell r="C893" t="str">
            <v>金碧の羊星 コルキス</v>
          </cell>
        </row>
        <row r="894">
          <cell r="A894">
            <v>893</v>
          </cell>
          <cell r="B894" t="str">
            <v>ja</v>
          </cell>
          <cell r="C894" t="str">
            <v>アテナ</v>
          </cell>
        </row>
        <row r="895">
          <cell r="A895">
            <v>894</v>
          </cell>
          <cell r="B895" t="str">
            <v>ja</v>
          </cell>
          <cell r="C895" t="str">
            <v>聖澄の戦慧神 アテナ</v>
          </cell>
        </row>
        <row r="896">
          <cell r="A896">
            <v>895</v>
          </cell>
          <cell r="B896" t="str">
            <v>ja</v>
          </cell>
          <cell r="C896" t="str">
            <v>滅焼の大神狼 フェンリル</v>
          </cell>
        </row>
        <row r="897">
          <cell r="A897">
            <v>896</v>
          </cell>
          <cell r="B897" t="str">
            <v>ja</v>
          </cell>
          <cell r="C897" t="str">
            <v>天衣紡ぐ麗鶴 ハヅル</v>
          </cell>
        </row>
        <row r="898">
          <cell r="A898">
            <v>897</v>
          </cell>
          <cell r="B898" t="str">
            <v>ja</v>
          </cell>
          <cell r="C898" t="str">
            <v>天跳兎破 イナバ</v>
          </cell>
        </row>
        <row r="899">
          <cell r="A899">
            <v>898</v>
          </cell>
          <cell r="B899" t="str">
            <v>ja</v>
          </cell>
          <cell r="C899" t="str">
            <v>傾神の最愛姫 スフィンクス</v>
          </cell>
        </row>
        <row r="900">
          <cell r="A900">
            <v>899</v>
          </cell>
          <cell r="B900" t="str">
            <v>ja</v>
          </cell>
          <cell r="C900" t="str">
            <v>楽園からの帰還 アザゼル</v>
          </cell>
        </row>
        <row r="901">
          <cell r="A901">
            <v>900</v>
          </cell>
          <cell r="B901" t="str">
            <v>ja</v>
          </cell>
          <cell r="C901" t="str">
            <v>桃源郷での大宴会 アザゼル</v>
          </cell>
        </row>
        <row r="902">
          <cell r="A902">
            <v>901</v>
          </cell>
          <cell r="B902" t="str">
            <v>ja</v>
          </cell>
          <cell r="C902" t="str">
            <v>恩愛性ニムダ</v>
          </cell>
        </row>
        <row r="903">
          <cell r="A903">
            <v>902</v>
          </cell>
          <cell r="B903" t="str">
            <v>ja</v>
          </cell>
          <cell r="C903" t="str">
            <v>集団恩愛性ニムダL</v>
          </cell>
        </row>
        <row r="904">
          <cell r="A904">
            <v>903</v>
          </cell>
          <cell r="B904" t="str">
            <v>ja</v>
          </cell>
          <cell r="C904" t="str">
            <v>ハローキティ</v>
          </cell>
        </row>
        <row r="905">
          <cell r="A905">
            <v>904</v>
          </cell>
          <cell r="B905" t="str">
            <v>ja</v>
          </cell>
          <cell r="C905" t="str">
            <v>りんごの馬車　ハローキティ</v>
          </cell>
        </row>
        <row r="906">
          <cell r="A906">
            <v>905</v>
          </cell>
          <cell r="B906" t="str">
            <v>ja</v>
          </cell>
          <cell r="C906" t="str">
            <v>KIRIMIちゃん.</v>
          </cell>
        </row>
        <row r="907">
          <cell r="A907">
            <v>906</v>
          </cell>
          <cell r="B907" t="str">
            <v>ja</v>
          </cell>
          <cell r="C907" t="str">
            <v>おいしくたべてね KIRIMIちゃん.</v>
          </cell>
        </row>
        <row r="908">
          <cell r="A908">
            <v>907</v>
          </cell>
          <cell r="B908" t="str">
            <v>ja</v>
          </cell>
          <cell r="C908" t="str">
            <v>ハローキティのリボン</v>
          </cell>
        </row>
        <row r="909">
          <cell r="A909">
            <v>908</v>
          </cell>
          <cell r="B909" t="str">
            <v>ja</v>
          </cell>
          <cell r="C909" t="str">
            <v>ママの作ったアップルパイ</v>
          </cell>
        </row>
        <row r="910">
          <cell r="A910">
            <v>909</v>
          </cell>
          <cell r="B910" t="str">
            <v>ja</v>
          </cell>
          <cell r="C910" t="str">
            <v>光愛の弾幕 D.R.T.H.</v>
          </cell>
        </row>
        <row r="911">
          <cell r="A911">
            <v>910</v>
          </cell>
          <cell r="B911" t="str">
            <v>ja</v>
          </cell>
          <cell r="C911" t="str">
            <v>輝愛の大弾幕 D.R.T.H.</v>
          </cell>
        </row>
        <row r="912">
          <cell r="A912">
            <v>911</v>
          </cell>
          <cell r="B912" t="str">
            <v>ja</v>
          </cell>
          <cell r="C912" t="str">
            <v>マイメロディ</v>
          </cell>
        </row>
        <row r="913">
          <cell r="A913">
            <v>912</v>
          </cell>
          <cell r="B913" t="str">
            <v>ja</v>
          </cell>
          <cell r="C913" t="str">
            <v>フラットくんと一緒 マイメロディ</v>
          </cell>
        </row>
        <row r="914">
          <cell r="A914">
            <v>913</v>
          </cell>
          <cell r="B914" t="str">
            <v>ja</v>
          </cell>
          <cell r="C914" t="str">
            <v>幸福の縁廻　ニーベルゲン</v>
          </cell>
        </row>
        <row r="915">
          <cell r="A915">
            <v>914</v>
          </cell>
          <cell r="B915" t="str">
            <v>ja</v>
          </cell>
          <cell r="C915" t="str">
            <v>淡色を廻る倖せ　ニーベルゲン</v>
          </cell>
        </row>
        <row r="916">
          <cell r="A916">
            <v>915</v>
          </cell>
          <cell r="B916" t="str">
            <v>ja</v>
          </cell>
          <cell r="C916" t="str">
            <v>休息者　カカシ</v>
          </cell>
        </row>
        <row r="917">
          <cell r="A917">
            <v>916</v>
          </cell>
          <cell r="B917" t="str">
            <v>ja</v>
          </cell>
          <cell r="C917" t="str">
            <v>翠線譜の音色　カカシ</v>
          </cell>
        </row>
        <row r="918">
          <cell r="A918">
            <v>917</v>
          </cell>
          <cell r="B918" t="str">
            <v>ja</v>
          </cell>
          <cell r="C918" t="str">
            <v>けろけろけろっぴ</v>
          </cell>
        </row>
        <row r="919">
          <cell r="A919">
            <v>918</v>
          </cell>
          <cell r="B919" t="str">
            <v>ja</v>
          </cell>
          <cell r="C919" t="str">
            <v>てるてる天気 けろけろけろっぴ</v>
          </cell>
        </row>
        <row r="920">
          <cell r="A920">
            <v>919</v>
          </cell>
          <cell r="B920" t="str">
            <v>ja</v>
          </cell>
          <cell r="C920" t="str">
            <v>甘美の誘惑 モルドレッド</v>
          </cell>
        </row>
        <row r="921">
          <cell r="A921">
            <v>920</v>
          </cell>
          <cell r="B921" t="str">
            <v>ja</v>
          </cell>
          <cell r="C921" t="str">
            <v>甘美の誘迷 モルドレッド</v>
          </cell>
        </row>
        <row r="922">
          <cell r="A922">
            <v>921</v>
          </cell>
          <cell r="B922" t="str">
            <v>ja</v>
          </cell>
          <cell r="C922" t="str">
            <v>クロミ</v>
          </cell>
        </row>
        <row r="923">
          <cell r="A923">
            <v>922</v>
          </cell>
          <cell r="B923" t="str">
            <v>ja</v>
          </cell>
          <cell r="C923" t="str">
            <v>アタイとバク クロミ</v>
          </cell>
        </row>
        <row r="924">
          <cell r="A924">
            <v>923</v>
          </cell>
          <cell r="B924" t="str">
            <v>ja</v>
          </cell>
          <cell r="C924" t="str">
            <v>バッドばつ丸</v>
          </cell>
        </row>
        <row r="925">
          <cell r="A925">
            <v>924</v>
          </cell>
          <cell r="B925" t="str">
            <v>ja</v>
          </cell>
          <cell r="C925" t="str">
            <v>いたずら大好き　バッドばつ丸</v>
          </cell>
        </row>
        <row r="926">
          <cell r="A926">
            <v>925</v>
          </cell>
          <cell r="B926" t="str">
            <v>ja</v>
          </cell>
          <cell r="C926" t="str">
            <v>シナモロール</v>
          </cell>
        </row>
        <row r="927">
          <cell r="A927">
            <v>926</v>
          </cell>
          <cell r="B927" t="str">
            <v>ja</v>
          </cell>
          <cell r="C927" t="str">
            <v>ふわふわおさんぽ♪ シナモロール</v>
          </cell>
        </row>
        <row r="928">
          <cell r="A928">
            <v>927</v>
          </cell>
          <cell r="B928" t="str">
            <v>ja</v>
          </cell>
          <cell r="C928" t="str">
            <v>ポムポムプリン</v>
          </cell>
        </row>
        <row r="929">
          <cell r="A929">
            <v>928</v>
          </cell>
          <cell r="B929" t="str">
            <v>ja</v>
          </cell>
          <cell r="C929" t="str">
            <v>一緒におでかけ ポムポムプリン</v>
          </cell>
        </row>
        <row r="930">
          <cell r="A930">
            <v>929</v>
          </cell>
          <cell r="B930" t="str">
            <v>ja</v>
          </cell>
          <cell r="C930" t="str">
            <v>ゼウス</v>
          </cell>
        </row>
        <row r="931">
          <cell r="A931">
            <v>930</v>
          </cell>
          <cell r="B931" t="str">
            <v>ja</v>
          </cell>
          <cell r="C931" t="str">
            <v>烙雷の全能神 ゼウス</v>
          </cell>
        </row>
        <row r="932">
          <cell r="A932">
            <v>931</v>
          </cell>
          <cell r="B932" t="str">
            <v>ja</v>
          </cell>
          <cell r="C932" t="str">
            <v>ネルソン</v>
          </cell>
        </row>
        <row r="933">
          <cell r="A933">
            <v>932</v>
          </cell>
          <cell r="B933" t="str">
            <v>ja</v>
          </cell>
          <cell r="C933" t="str">
            <v>隻眼の英堤 ネルソン</v>
          </cell>
        </row>
        <row r="934">
          <cell r="A934">
            <v>933</v>
          </cell>
          <cell r="B934" t="str">
            <v>ja</v>
          </cell>
          <cell r="C934" t="str">
            <v>ヴェルサイユ</v>
          </cell>
        </row>
        <row r="935">
          <cell r="A935">
            <v>934</v>
          </cell>
          <cell r="B935" t="str">
            <v>ja</v>
          </cell>
          <cell r="C935" t="str">
            <v>絢爛たる燈城 ヴェルサイユ</v>
          </cell>
        </row>
        <row r="936">
          <cell r="A936">
            <v>935</v>
          </cell>
          <cell r="B936" t="str">
            <v>ja</v>
          </cell>
          <cell r="C936" t="str">
            <v>ルイ16世</v>
          </cell>
        </row>
        <row r="937">
          <cell r="A937">
            <v>936</v>
          </cell>
          <cell r="B937" t="str">
            <v>ja</v>
          </cell>
          <cell r="C937" t="str">
            <v>憲誓の煉王 ルイ16世</v>
          </cell>
        </row>
        <row r="938">
          <cell r="A938">
            <v>937</v>
          </cell>
          <cell r="B938" t="str">
            <v>ja</v>
          </cell>
          <cell r="C938" t="str">
            <v>ナポレオン</v>
          </cell>
        </row>
        <row r="939">
          <cell r="A939">
            <v>938</v>
          </cell>
          <cell r="B939" t="str">
            <v>ja</v>
          </cell>
          <cell r="C939" t="str">
            <v>炎焔宿す革命皇 ナポレオン</v>
          </cell>
        </row>
        <row r="940">
          <cell r="A940">
            <v>939</v>
          </cell>
          <cell r="B940" t="str">
            <v>ja</v>
          </cell>
          <cell r="C940" t="str">
            <v>バスティーユ</v>
          </cell>
        </row>
        <row r="941">
          <cell r="A941">
            <v>940</v>
          </cell>
          <cell r="B941" t="str">
            <v>ja</v>
          </cell>
          <cell r="C941" t="str">
            <v>不壊の大要塞 バスティーユ</v>
          </cell>
        </row>
        <row r="942">
          <cell r="A942">
            <v>941</v>
          </cell>
          <cell r="B942" t="str">
            <v>ja</v>
          </cell>
          <cell r="C942" t="str">
            <v>アントワネット</v>
          </cell>
        </row>
        <row r="943">
          <cell r="A943">
            <v>942</v>
          </cell>
          <cell r="B943" t="str">
            <v>ja</v>
          </cell>
          <cell r="C943" t="str">
            <v>華戯たる傲妃 アントワネット</v>
          </cell>
        </row>
        <row r="944">
          <cell r="A944">
            <v>943</v>
          </cell>
          <cell r="B944" t="str">
            <v>ja</v>
          </cell>
          <cell r="C944" t="str">
            <v>サンソン</v>
          </cell>
        </row>
        <row r="945">
          <cell r="A945">
            <v>944</v>
          </cell>
          <cell r="B945" t="str">
            <v>ja</v>
          </cell>
          <cell r="C945" t="str">
            <v>王敬の執行者 サンソン</v>
          </cell>
        </row>
        <row r="946">
          <cell r="A946">
            <v>945</v>
          </cell>
          <cell r="B946" t="str">
            <v>ja</v>
          </cell>
          <cell r="C946" t="str">
            <v>ブリューナク</v>
          </cell>
        </row>
        <row r="947">
          <cell r="A947">
            <v>946</v>
          </cell>
          <cell r="B947" t="str">
            <v>ja</v>
          </cell>
          <cell r="C947" t="str">
            <v>ブリューナク</v>
          </cell>
        </row>
        <row r="948">
          <cell r="A948">
            <v>947</v>
          </cell>
          <cell r="B948" t="str">
            <v>ja</v>
          </cell>
          <cell r="C948" t="str">
            <v>ゲイボルグ</v>
          </cell>
        </row>
        <row r="949">
          <cell r="A949">
            <v>948</v>
          </cell>
          <cell r="B949" t="str">
            <v>ja</v>
          </cell>
          <cell r="C949" t="str">
            <v>裂雷の必撃鏃 ゲイボルグ</v>
          </cell>
        </row>
        <row r="950">
          <cell r="A950">
            <v>949</v>
          </cell>
          <cell r="B950" t="str">
            <v>ja</v>
          </cell>
          <cell r="C950" t="str">
            <v>トライデント</v>
          </cell>
        </row>
        <row r="951">
          <cell r="A951">
            <v>950</v>
          </cell>
          <cell r="B951" t="str">
            <v>ja</v>
          </cell>
          <cell r="C951" t="str">
            <v>海洪操る三叉戟 トライデント</v>
          </cell>
        </row>
        <row r="952">
          <cell r="A952">
            <v>951</v>
          </cell>
          <cell r="B952" t="str">
            <v>ja</v>
          </cell>
          <cell r="C952" t="str">
            <v>グングニル</v>
          </cell>
        </row>
        <row r="953">
          <cell r="A953">
            <v>952</v>
          </cell>
          <cell r="B953" t="str">
            <v>ja</v>
          </cell>
          <cell r="C953" t="str">
            <v>勝臨の機鋭槍 グングニル</v>
          </cell>
        </row>
        <row r="954">
          <cell r="A954">
            <v>953</v>
          </cell>
          <cell r="B954" t="str">
            <v>ja</v>
          </cell>
          <cell r="C954" t="str">
            <v>ハイゼンベルク</v>
          </cell>
        </row>
        <row r="955">
          <cell r="A955">
            <v>954</v>
          </cell>
          <cell r="B955" t="str">
            <v>ja</v>
          </cell>
          <cell r="C955" t="str">
            <v>不確の量熔者 ハイゼンベルク</v>
          </cell>
        </row>
        <row r="956">
          <cell r="A956">
            <v>955</v>
          </cell>
          <cell r="B956" t="str">
            <v>ja</v>
          </cell>
          <cell r="C956" t="str">
            <v>マクローリン</v>
          </cell>
        </row>
        <row r="957">
          <cell r="A957">
            <v>956</v>
          </cell>
          <cell r="B957" t="str">
            <v>ja</v>
          </cell>
          <cell r="C957" t="str">
            <v>導環の崇論 マクローリン</v>
          </cell>
        </row>
        <row r="958">
          <cell r="A958">
            <v>957</v>
          </cell>
          <cell r="B958" t="str">
            <v>ja</v>
          </cell>
          <cell r="C958" t="str">
            <v>浮環の流律論 マクローリン</v>
          </cell>
        </row>
        <row r="959">
          <cell r="A959">
            <v>958</v>
          </cell>
          <cell r="B959" t="str">
            <v>ja</v>
          </cell>
          <cell r="C959" t="str">
            <v>ド・モルガン</v>
          </cell>
        </row>
        <row r="960">
          <cell r="A960">
            <v>959</v>
          </cell>
          <cell r="B960" t="str">
            <v>ja</v>
          </cell>
          <cell r="C960" t="str">
            <v>双世の論和 ド・モルガン</v>
          </cell>
        </row>
        <row r="961">
          <cell r="A961">
            <v>960</v>
          </cell>
          <cell r="B961" t="str">
            <v>ja</v>
          </cell>
          <cell r="C961" t="str">
            <v>双対する真偽者 ド・モルガン</v>
          </cell>
        </row>
        <row r="962">
          <cell r="A962">
            <v>961</v>
          </cell>
          <cell r="B962" t="str">
            <v>ja</v>
          </cell>
          <cell r="C962" t="str">
            <v>狂奏・混業剣 ガレス</v>
          </cell>
        </row>
        <row r="963">
          <cell r="A963">
            <v>962</v>
          </cell>
          <cell r="B963" t="str">
            <v>ja</v>
          </cell>
          <cell r="C963" t="str">
            <v>酩酊する大宴龍 ヤマタノオロチ</v>
          </cell>
        </row>
        <row r="964">
          <cell r="A964">
            <v>963</v>
          </cell>
          <cell r="B964" t="str">
            <v>ja</v>
          </cell>
          <cell r="C964" t="str">
            <v>天蛇の閃皇貴魔 アスタロト</v>
          </cell>
        </row>
        <row r="965">
          <cell r="A965">
            <v>964</v>
          </cell>
          <cell r="B965" t="str">
            <v>ja</v>
          </cell>
          <cell r="C965" t="str">
            <v>海破雨散の海龍 リヴァイアサン</v>
          </cell>
        </row>
        <row r="966">
          <cell r="A966">
            <v>965</v>
          </cell>
          <cell r="B966" t="str">
            <v>ja</v>
          </cell>
          <cell r="C966" t="str">
            <v>穿熱の緋龍王 キング・ドライグ</v>
          </cell>
        </row>
        <row r="967">
          <cell r="A967">
            <v>966</v>
          </cell>
          <cell r="B967" t="str">
            <v>ja</v>
          </cell>
          <cell r="C967" t="str">
            <v>麗嵐の颯愛志士 土方歳三</v>
          </cell>
        </row>
        <row r="968">
          <cell r="A968">
            <v>967</v>
          </cell>
          <cell r="B968" t="str">
            <v>ja</v>
          </cell>
          <cell r="C968" t="str">
            <v>討滅の凶妖志士 斎藤一</v>
          </cell>
        </row>
        <row r="969">
          <cell r="A969">
            <v>968</v>
          </cell>
          <cell r="B969" t="str">
            <v>ja</v>
          </cell>
          <cell r="C969" t="str">
            <v>夢謀の愚幻者 フール</v>
          </cell>
        </row>
        <row r="970">
          <cell r="A970">
            <v>969</v>
          </cell>
          <cell r="B970" t="str">
            <v>ja</v>
          </cell>
          <cell r="C970" t="str">
            <v>超排撃の焔砲巨神 ユミル</v>
          </cell>
        </row>
        <row r="971">
          <cell r="A971">
            <v>970</v>
          </cell>
          <cell r="B971" t="str">
            <v>ja</v>
          </cell>
          <cell r="C971" t="str">
            <v>目醒の鋏牙 ラプンツェル</v>
          </cell>
        </row>
        <row r="972">
          <cell r="A972">
            <v>971</v>
          </cell>
          <cell r="B972" t="str">
            <v>ja</v>
          </cell>
          <cell r="C972" t="str">
            <v>機獅蛮勇 ブレイブリー・ライオン</v>
          </cell>
        </row>
        <row r="973">
          <cell r="A973">
            <v>972</v>
          </cell>
          <cell r="B973" t="str">
            <v>ja</v>
          </cell>
          <cell r="C973" t="str">
            <v>コーシー</v>
          </cell>
        </row>
        <row r="974">
          <cell r="A974">
            <v>973</v>
          </cell>
          <cell r="B974" t="str">
            <v>ja</v>
          </cell>
          <cell r="C974" t="str">
            <v>幻蜜なる怪跡 コーシー</v>
          </cell>
        </row>
        <row r="975">
          <cell r="A975">
            <v>974</v>
          </cell>
          <cell r="B975" t="str">
            <v>ja</v>
          </cell>
          <cell r="C975" t="str">
            <v>ブール</v>
          </cell>
        </row>
        <row r="976">
          <cell r="A976">
            <v>975</v>
          </cell>
          <cell r="B976" t="str">
            <v>ja</v>
          </cell>
          <cell r="C976" t="str">
            <v>綺号を巡る輝翼 ブール</v>
          </cell>
        </row>
        <row r="977">
          <cell r="A977">
            <v>976</v>
          </cell>
          <cell r="B977" t="str">
            <v>ja</v>
          </cell>
          <cell r="C977" t="str">
            <v>ウザリーマン</v>
          </cell>
        </row>
        <row r="978">
          <cell r="A978">
            <v>977</v>
          </cell>
          <cell r="B978" t="str">
            <v>ja</v>
          </cell>
          <cell r="C978" t="str">
            <v>リヴァイ お掃除ver</v>
          </cell>
        </row>
        <row r="979">
          <cell r="A979">
            <v>978</v>
          </cell>
          <cell r="B979" t="str">
            <v>ja</v>
          </cell>
          <cell r="C979" t="str">
            <v>潔癖の掃討 リヴァイ お掃除ver</v>
          </cell>
        </row>
        <row r="980">
          <cell r="A980">
            <v>979</v>
          </cell>
          <cell r="B980" t="str">
            <v>ja</v>
          </cell>
          <cell r="C980" t="str">
            <v>超大型巨人</v>
          </cell>
        </row>
        <row r="981">
          <cell r="A981">
            <v>980</v>
          </cell>
          <cell r="B981" t="str">
            <v>ja</v>
          </cell>
          <cell r="C981" t="str">
            <v>猛熱の災厄 超大型巨人</v>
          </cell>
        </row>
        <row r="982">
          <cell r="A982">
            <v>981</v>
          </cell>
          <cell r="B982" t="str">
            <v>ja</v>
          </cell>
          <cell r="C982" t="str">
            <v>女型の巨人</v>
          </cell>
        </row>
        <row r="983">
          <cell r="A983">
            <v>982</v>
          </cell>
          <cell r="B983" t="str">
            <v>ja</v>
          </cell>
          <cell r="C983" t="str">
            <v>柔靭なる剛脚 女型の巨人</v>
          </cell>
        </row>
        <row r="984">
          <cell r="A984">
            <v>983</v>
          </cell>
          <cell r="B984" t="str">
            <v>ja</v>
          </cell>
          <cell r="C984" t="str">
            <v>鎧の巨人</v>
          </cell>
        </row>
        <row r="985">
          <cell r="A985">
            <v>984</v>
          </cell>
          <cell r="B985" t="str">
            <v>ja</v>
          </cell>
          <cell r="C985" t="str">
            <v>破壁の剛弾 鎧の巨人</v>
          </cell>
        </row>
        <row r="986">
          <cell r="A986">
            <v>985</v>
          </cell>
          <cell r="B986" t="str">
            <v>ja</v>
          </cell>
          <cell r="C986" t="str">
            <v>エレン</v>
          </cell>
        </row>
        <row r="987">
          <cell r="A987">
            <v>986</v>
          </cell>
          <cell r="B987" t="str">
            <v>ja</v>
          </cell>
          <cell r="C987" t="str">
            <v>復讐の誓約 エレン</v>
          </cell>
        </row>
        <row r="988">
          <cell r="A988">
            <v>987</v>
          </cell>
          <cell r="B988" t="str">
            <v>ja</v>
          </cell>
          <cell r="C988" t="str">
            <v>撃壊の眼煌 エレン巨人</v>
          </cell>
        </row>
        <row r="989">
          <cell r="A989">
            <v>988</v>
          </cell>
          <cell r="B989" t="str">
            <v>ja</v>
          </cell>
          <cell r="C989" t="str">
            <v>ミカサ</v>
          </cell>
        </row>
        <row r="990">
          <cell r="A990">
            <v>989</v>
          </cell>
          <cell r="B990" t="str">
            <v>ja</v>
          </cell>
          <cell r="C990" t="str">
            <v>稀代の逸材 ミカサ</v>
          </cell>
        </row>
        <row r="991">
          <cell r="A991">
            <v>990</v>
          </cell>
          <cell r="B991" t="str">
            <v>ja</v>
          </cell>
          <cell r="C991" t="str">
            <v>エルヴィン</v>
          </cell>
        </row>
        <row r="992">
          <cell r="A992">
            <v>991</v>
          </cell>
          <cell r="B992" t="str">
            <v>ja</v>
          </cell>
          <cell r="C992" t="str">
            <v>反撃の核心 エルヴィン</v>
          </cell>
        </row>
        <row r="993">
          <cell r="A993">
            <v>992</v>
          </cell>
          <cell r="B993" t="str">
            <v>ja</v>
          </cell>
          <cell r="C993" t="str">
            <v>ハンジ</v>
          </cell>
        </row>
        <row r="994">
          <cell r="A994">
            <v>993</v>
          </cell>
          <cell r="B994" t="str">
            <v>ja</v>
          </cell>
          <cell r="C994" t="str">
            <v>巨躯への執着 ハンジ</v>
          </cell>
        </row>
        <row r="995">
          <cell r="A995">
            <v>994</v>
          </cell>
          <cell r="B995" t="str">
            <v>ja</v>
          </cell>
          <cell r="C995" t="str">
            <v>アルミン</v>
          </cell>
        </row>
        <row r="996">
          <cell r="A996">
            <v>995</v>
          </cell>
          <cell r="B996" t="str">
            <v>ja</v>
          </cell>
          <cell r="C996" t="str">
            <v>疾駆する閃略 アルミン</v>
          </cell>
        </row>
        <row r="997">
          <cell r="A997">
            <v>996</v>
          </cell>
          <cell r="B997" t="str">
            <v>ja</v>
          </cell>
          <cell r="C997" t="str">
            <v>リヴァイ</v>
          </cell>
        </row>
        <row r="998">
          <cell r="A998">
            <v>997</v>
          </cell>
          <cell r="B998" t="str">
            <v>ja</v>
          </cell>
          <cell r="C998" t="str">
            <v>人類最強 リヴァイ</v>
          </cell>
        </row>
        <row r="999">
          <cell r="A999">
            <v>998</v>
          </cell>
          <cell r="B999" t="str">
            <v>ja</v>
          </cell>
          <cell r="C999" t="str">
            <v>サシャ</v>
          </cell>
        </row>
        <row r="1000">
          <cell r="A1000">
            <v>999</v>
          </cell>
          <cell r="B1000" t="str">
            <v>ja</v>
          </cell>
          <cell r="C1000" t="str">
            <v>無尽蔵の食猟 サシャ</v>
          </cell>
        </row>
        <row r="1001">
          <cell r="A1001">
            <v>1000</v>
          </cell>
          <cell r="B1001" t="str">
            <v>ja</v>
          </cell>
          <cell r="C1001" t="str">
            <v>クリスタ</v>
          </cell>
        </row>
        <row r="1002">
          <cell r="A1002">
            <v>1001</v>
          </cell>
          <cell r="B1002" t="str">
            <v>ja</v>
          </cell>
          <cell r="C1002" t="str">
            <v>細愛の女神 クリスタ</v>
          </cell>
        </row>
        <row r="1003">
          <cell r="A1003">
            <v>1002</v>
          </cell>
          <cell r="B1003" t="str">
            <v>ja</v>
          </cell>
          <cell r="C1003" t="str">
            <v>ジャン</v>
          </cell>
        </row>
        <row r="1004">
          <cell r="A1004">
            <v>1003</v>
          </cell>
          <cell r="B1004" t="str">
            <v>ja</v>
          </cell>
          <cell r="C1004" t="str">
            <v>真義の勇抱 ジャン</v>
          </cell>
        </row>
        <row r="1005">
          <cell r="A1005">
            <v>1004</v>
          </cell>
          <cell r="B1005" t="str">
            <v>ja</v>
          </cell>
          <cell r="C1005" t="str">
            <v>アメミット</v>
          </cell>
        </row>
        <row r="1006">
          <cell r="A1006">
            <v>1005</v>
          </cell>
          <cell r="B1006" t="str">
            <v>ja</v>
          </cell>
          <cell r="C1006" t="str">
            <v>恐牙なる魂喰獣 アメミット</v>
          </cell>
        </row>
        <row r="1007">
          <cell r="A1007">
            <v>1006</v>
          </cell>
          <cell r="B1007" t="str">
            <v>ja</v>
          </cell>
          <cell r="C1007" t="str">
            <v>セルケト</v>
          </cell>
        </row>
        <row r="1008">
          <cell r="A1008">
            <v>1007</v>
          </cell>
          <cell r="B1008" t="str">
            <v>ja</v>
          </cell>
          <cell r="C1008" t="str">
            <v>癒命の守蠍神 セルケト</v>
          </cell>
        </row>
        <row r="1009">
          <cell r="A1009">
            <v>1008</v>
          </cell>
          <cell r="B1009" t="str">
            <v>ja</v>
          </cell>
          <cell r="C1009" t="str">
            <v>オシリス</v>
          </cell>
        </row>
        <row r="1010">
          <cell r="A1010">
            <v>1009</v>
          </cell>
          <cell r="B1010" t="str">
            <v>ja</v>
          </cell>
          <cell r="C1010" t="str">
            <v>再醒の冥皇神 オシリス</v>
          </cell>
        </row>
        <row r="1011">
          <cell r="A1011">
            <v>1010</v>
          </cell>
          <cell r="B1011" t="str">
            <v>ja</v>
          </cell>
          <cell r="C1011" t="str">
            <v>セト</v>
          </cell>
        </row>
        <row r="1012">
          <cell r="A1012">
            <v>1011</v>
          </cell>
          <cell r="B1012" t="str">
            <v>ja</v>
          </cell>
          <cell r="C1012" t="str">
            <v>偉獰なる荒嵐神 セト</v>
          </cell>
        </row>
        <row r="1013">
          <cell r="A1013">
            <v>1012</v>
          </cell>
          <cell r="B1013" t="str">
            <v>ja</v>
          </cell>
          <cell r="C1013" t="str">
            <v>ラー</v>
          </cell>
        </row>
        <row r="1014">
          <cell r="A1014">
            <v>1013</v>
          </cell>
          <cell r="B1014" t="str">
            <v>ja</v>
          </cell>
          <cell r="C1014" t="str">
            <v>聖陽昇る緋洸神 ラー</v>
          </cell>
        </row>
        <row r="1015">
          <cell r="A1015">
            <v>1014</v>
          </cell>
          <cell r="B1015" t="str">
            <v>ja</v>
          </cell>
          <cell r="C1015" t="str">
            <v>イシス</v>
          </cell>
        </row>
        <row r="1016">
          <cell r="A1016">
            <v>1015</v>
          </cell>
          <cell r="B1016" t="str">
            <v>ja</v>
          </cell>
          <cell r="C1016" t="str">
            <v>繁翠なる蘇聖神 イシス</v>
          </cell>
        </row>
        <row r="1017">
          <cell r="A1017">
            <v>1016</v>
          </cell>
          <cell r="B1017" t="str">
            <v>ja</v>
          </cell>
          <cell r="C1017" t="str">
            <v>ハトホル</v>
          </cell>
        </row>
        <row r="1018">
          <cell r="A1018">
            <v>1017</v>
          </cell>
          <cell r="B1018" t="str">
            <v>ja</v>
          </cell>
          <cell r="C1018" t="str">
            <v>命瞳の慈母神 ハトホル</v>
          </cell>
        </row>
        <row r="1019">
          <cell r="A1019">
            <v>1018</v>
          </cell>
          <cell r="B1019" t="str">
            <v>ja</v>
          </cell>
          <cell r="C1019" t="str">
            <v>バステト</v>
          </cell>
        </row>
        <row r="1020">
          <cell r="A1020">
            <v>1019</v>
          </cell>
          <cell r="B1020" t="str">
            <v>ja</v>
          </cell>
          <cell r="C1020" t="str">
            <v>愛鈴鳴る寵猫神 バステト</v>
          </cell>
        </row>
        <row r="1021">
          <cell r="A1021">
            <v>1020</v>
          </cell>
          <cell r="B1021" t="str">
            <v>ja</v>
          </cell>
          <cell r="C1021" t="str">
            <v>静御前</v>
          </cell>
        </row>
        <row r="1022">
          <cell r="A1022">
            <v>1021</v>
          </cell>
          <cell r="B1022" t="str">
            <v>ja</v>
          </cell>
          <cell r="C1022" t="str">
            <v>焔耀の舞姫 静御前</v>
          </cell>
        </row>
        <row r="1023">
          <cell r="A1023">
            <v>1022</v>
          </cell>
          <cell r="B1023" t="str">
            <v>ja</v>
          </cell>
          <cell r="C1023" t="str">
            <v>那須与一</v>
          </cell>
        </row>
        <row r="1024">
          <cell r="A1024">
            <v>1023</v>
          </cell>
          <cell r="B1024" t="str">
            <v>ja</v>
          </cell>
          <cell r="C1024" t="str">
            <v>心射抜く投擲者 那須与一</v>
          </cell>
        </row>
        <row r="1025">
          <cell r="A1025">
            <v>1024</v>
          </cell>
          <cell r="B1025" t="str">
            <v>ja</v>
          </cell>
          <cell r="C1025" t="str">
            <v>武蔵坊弁慶</v>
          </cell>
        </row>
        <row r="1026">
          <cell r="A1026">
            <v>1025</v>
          </cell>
          <cell r="B1026" t="str">
            <v>ja</v>
          </cell>
          <cell r="C1026" t="str">
            <v>多重撃の荒法師 武蔵坊弁慶</v>
          </cell>
        </row>
        <row r="1027">
          <cell r="A1027">
            <v>1026</v>
          </cell>
          <cell r="B1027" t="str">
            <v>ja</v>
          </cell>
          <cell r="C1027" t="str">
            <v>蝉丸</v>
          </cell>
        </row>
        <row r="1028">
          <cell r="A1028">
            <v>1027</v>
          </cell>
          <cell r="B1028" t="str">
            <v>ja</v>
          </cell>
          <cell r="C1028" t="str">
            <v>弾丸多重奏 蝉丸</v>
          </cell>
        </row>
        <row r="1029">
          <cell r="A1029">
            <v>1028</v>
          </cell>
          <cell r="B1029" t="str">
            <v>ja</v>
          </cell>
          <cell r="C1029" t="str">
            <v>牛若丸</v>
          </cell>
        </row>
        <row r="1030">
          <cell r="A1030">
            <v>1029</v>
          </cell>
          <cell r="B1030" t="str">
            <v>ja</v>
          </cell>
          <cell r="C1030" t="str">
            <v>天賦の軍才 牛若丸</v>
          </cell>
        </row>
        <row r="1031">
          <cell r="A1031">
            <v>1030</v>
          </cell>
          <cell r="B1031" t="str">
            <v>ja</v>
          </cell>
          <cell r="C1031" t="str">
            <v>百戦錬磨のカリスマ 源義経</v>
          </cell>
        </row>
        <row r="1032">
          <cell r="A1032">
            <v>1031</v>
          </cell>
          <cell r="B1032" t="str">
            <v>ja</v>
          </cell>
          <cell r="C1032" t="str">
            <v>紫式部</v>
          </cell>
        </row>
        <row r="1033">
          <cell r="A1033">
            <v>1032</v>
          </cell>
          <cell r="B1033" t="str">
            <v>ja</v>
          </cell>
          <cell r="C1033" t="str">
            <v>彩気煥発の創作人 紫式部</v>
          </cell>
        </row>
        <row r="1034">
          <cell r="A1034">
            <v>1033</v>
          </cell>
          <cell r="B1034" t="str">
            <v>ja</v>
          </cell>
          <cell r="C1034" t="str">
            <v>清少納言</v>
          </cell>
        </row>
        <row r="1035">
          <cell r="A1035">
            <v>1034</v>
          </cell>
          <cell r="B1035" t="str">
            <v>ja</v>
          </cell>
          <cell r="C1035" t="str">
            <v>爛漫なる随筆家 清少納言</v>
          </cell>
        </row>
        <row r="1036">
          <cell r="A1036">
            <v>1035</v>
          </cell>
          <cell r="B1036" t="str">
            <v>ja</v>
          </cell>
          <cell r="C1036" t="str">
            <v>スカルズ</v>
          </cell>
        </row>
        <row r="1037">
          <cell r="A1037">
            <v>1036</v>
          </cell>
          <cell r="B1037" t="str">
            <v>ja</v>
          </cell>
          <cell r="C1037" t="str">
            <v>復讐の形骸 スカルズ</v>
          </cell>
        </row>
        <row r="1038">
          <cell r="A1038">
            <v>1037</v>
          </cell>
          <cell r="B1038" t="str">
            <v>ja</v>
          </cell>
          <cell r="C1038" t="str">
            <v>ミューズ</v>
          </cell>
        </row>
        <row r="1039">
          <cell r="A1039">
            <v>1038</v>
          </cell>
          <cell r="B1039" t="str">
            <v>ja</v>
          </cell>
          <cell r="C1039" t="str">
            <v>歌音届ける楽愛神 ミューズ</v>
          </cell>
        </row>
        <row r="1040">
          <cell r="A1040">
            <v>1039</v>
          </cell>
          <cell r="B1040" t="str">
            <v>ja</v>
          </cell>
          <cell r="C1040" t="str">
            <v>ディラック</v>
          </cell>
        </row>
        <row r="1041">
          <cell r="A1041">
            <v>1040</v>
          </cell>
          <cell r="B1041" t="str">
            <v>ja</v>
          </cell>
          <cell r="C1041" t="str">
            <v>蒼流の電磁団 ディラック</v>
          </cell>
        </row>
        <row r="1042">
          <cell r="A1042">
            <v>1041</v>
          </cell>
          <cell r="B1042" t="str">
            <v>ja</v>
          </cell>
          <cell r="C1042" t="str">
            <v>織姫</v>
          </cell>
        </row>
        <row r="1043">
          <cell r="A1043">
            <v>1042</v>
          </cell>
          <cell r="B1043" t="str">
            <v>ja</v>
          </cell>
          <cell r="C1043" t="str">
            <v>希紡の天帝姫 織姫</v>
          </cell>
        </row>
        <row r="1044">
          <cell r="A1044">
            <v>1043</v>
          </cell>
          <cell r="B1044" t="str">
            <v>ja</v>
          </cell>
          <cell r="C1044" t="str">
            <v>彦星</v>
          </cell>
        </row>
        <row r="1045">
          <cell r="A1045">
            <v>1044</v>
          </cell>
          <cell r="B1045" t="str">
            <v>ja</v>
          </cell>
          <cell r="C1045" t="str">
            <v>恋狩の色星主  彦星</v>
          </cell>
        </row>
        <row r="1046">
          <cell r="A1046">
            <v>1045</v>
          </cell>
          <cell r="B1046" t="str">
            <v>ja</v>
          </cell>
          <cell r="C1046" t="str">
            <v>漂解の海原 シュレディンガー</v>
          </cell>
        </row>
        <row r="1047">
          <cell r="A1047">
            <v>1046</v>
          </cell>
          <cell r="B1047" t="str">
            <v>ja</v>
          </cell>
          <cell r="C1047" t="str">
            <v>涼求の炎狼 フェンリル</v>
          </cell>
        </row>
        <row r="1048">
          <cell r="A1048">
            <v>1047</v>
          </cell>
          <cell r="B1048" t="str">
            <v>ja</v>
          </cell>
          <cell r="C1048" t="str">
            <v>波浪の夏閃 オイラー</v>
          </cell>
        </row>
        <row r="1049">
          <cell r="A1049">
            <v>1048</v>
          </cell>
          <cell r="B1049" t="str">
            <v>ja</v>
          </cell>
          <cell r="C1049" t="str">
            <v>砂上の城主竜 ケツァクアトル</v>
          </cell>
        </row>
        <row r="1050">
          <cell r="A1050">
            <v>1049</v>
          </cell>
          <cell r="B1050" t="str">
            <v>ja</v>
          </cell>
          <cell r="C1050" t="str">
            <v>深秘の水宙 メビウス</v>
          </cell>
        </row>
        <row r="1051">
          <cell r="A1051">
            <v>1050</v>
          </cell>
          <cell r="B1051" t="str">
            <v>ja</v>
          </cell>
          <cell r="C1051" t="str">
            <v>廻遊の水獣宰相 ルキフグス</v>
          </cell>
        </row>
        <row r="1052">
          <cell r="A1052">
            <v>1051</v>
          </cell>
          <cell r="B1052" t="str">
            <v>ja</v>
          </cell>
          <cell r="C1052" t="str">
            <v>嬌電の飛沫 ファラデー</v>
          </cell>
        </row>
        <row r="1053">
          <cell r="A1053">
            <v>1052</v>
          </cell>
          <cell r="B1053" t="str">
            <v>ja</v>
          </cell>
          <cell r="C1053" t="str">
            <v>戯魚群の潜光 バルドル</v>
          </cell>
        </row>
        <row r="1054">
          <cell r="A1054">
            <v>1053</v>
          </cell>
          <cell r="B1054" t="str">
            <v>ja</v>
          </cell>
          <cell r="C1054" t="str">
            <v>常夏の眩獣 麒麟</v>
          </cell>
        </row>
        <row r="1055">
          <cell r="A1055">
            <v>1054</v>
          </cell>
          <cell r="B1055" t="str">
            <v>ja</v>
          </cell>
          <cell r="C1055" t="str">
            <v>炎陽の臨海 麒麟</v>
          </cell>
        </row>
        <row r="1056">
          <cell r="A1056">
            <v>1055</v>
          </cell>
          <cell r="B1056" t="str">
            <v>ja</v>
          </cell>
          <cell r="C1056" t="str">
            <v>豪焔の轟暴聖 ベリアル</v>
          </cell>
        </row>
        <row r="1057">
          <cell r="A1057">
            <v>1056</v>
          </cell>
          <cell r="B1057" t="str">
            <v>ja</v>
          </cell>
          <cell r="C1057" t="str">
            <v>神解の預欺皇 オセ</v>
          </cell>
        </row>
        <row r="1058">
          <cell r="A1058">
            <v>1057</v>
          </cell>
          <cell r="B1058" t="str">
            <v>ja</v>
          </cell>
          <cell r="C1058" t="str">
            <v>疑愛の永遠公爵 フォルネウス</v>
          </cell>
        </row>
        <row r="1059">
          <cell r="A1059">
            <v>1058</v>
          </cell>
          <cell r="B1059" t="str">
            <v>ja</v>
          </cell>
          <cell r="C1059" t="str">
            <v>黄泉守誘の命神母 イザナミ</v>
          </cell>
        </row>
        <row r="1060">
          <cell r="A1060">
            <v>1059</v>
          </cell>
          <cell r="B1060" t="str">
            <v>ja</v>
          </cell>
          <cell r="C1060" t="str">
            <v>パズズ</v>
          </cell>
        </row>
        <row r="1061">
          <cell r="A1061">
            <v>1060</v>
          </cell>
          <cell r="B1061" t="str">
            <v>ja</v>
          </cell>
          <cell r="C1061" t="str">
            <v>熱扇風の幼魔 パズズ</v>
          </cell>
        </row>
        <row r="1062">
          <cell r="A1062">
            <v>1061</v>
          </cell>
          <cell r="B1062" t="str">
            <v>ja</v>
          </cell>
          <cell r="C1062" t="str">
            <v>フンババ</v>
          </cell>
        </row>
        <row r="1063">
          <cell r="A1063">
            <v>1062</v>
          </cell>
          <cell r="B1063" t="str">
            <v>ja</v>
          </cell>
          <cell r="C1063" t="str">
            <v>停止不能の蛮躯 フンババ</v>
          </cell>
        </row>
        <row r="1064">
          <cell r="A1064">
            <v>1063</v>
          </cell>
          <cell r="B1064" t="str">
            <v>ja</v>
          </cell>
          <cell r="C1064" t="str">
            <v>ティアマト</v>
          </cell>
        </row>
        <row r="1065">
          <cell r="A1065">
            <v>1064</v>
          </cell>
          <cell r="B1065" t="str">
            <v>ja</v>
          </cell>
          <cell r="C1065" t="str">
            <v>混沌の猛飛沫 ティアマト</v>
          </cell>
        </row>
        <row r="1066">
          <cell r="A1066">
            <v>1065</v>
          </cell>
          <cell r="B1066" t="str">
            <v>ja</v>
          </cell>
          <cell r="C1066" t="str">
            <v>ギルガメッシュ</v>
          </cell>
        </row>
        <row r="1067">
          <cell r="A1067">
            <v>1066</v>
          </cell>
          <cell r="B1067" t="str">
            <v>ja</v>
          </cell>
          <cell r="C1067" t="str">
            <v>放縦の序獅子 ギルガメッシュ</v>
          </cell>
        </row>
        <row r="1068">
          <cell r="A1068">
            <v>1067</v>
          </cell>
          <cell r="B1068" t="str">
            <v>ja</v>
          </cell>
          <cell r="C1068" t="str">
            <v>ウシュムガル</v>
          </cell>
        </row>
        <row r="1069">
          <cell r="A1069">
            <v>1068</v>
          </cell>
          <cell r="B1069" t="str">
            <v>ja</v>
          </cell>
          <cell r="C1069" t="str">
            <v>想母の羽龍 ウシュムガル</v>
          </cell>
        </row>
        <row r="1070">
          <cell r="A1070">
            <v>1069</v>
          </cell>
          <cell r="B1070" t="str">
            <v>ja</v>
          </cell>
          <cell r="C1070" t="str">
            <v>イシュタル</v>
          </cell>
        </row>
        <row r="1071">
          <cell r="A1071">
            <v>1070</v>
          </cell>
          <cell r="B1071" t="str">
            <v>ja</v>
          </cell>
          <cell r="C1071" t="str">
            <v>駆脳する造愛 イシュタル</v>
          </cell>
        </row>
        <row r="1072">
          <cell r="A1072">
            <v>1071</v>
          </cell>
          <cell r="B1072" t="str">
            <v>ja</v>
          </cell>
          <cell r="C1072" t="str">
            <v>イシュタル_分岐覚醒</v>
          </cell>
        </row>
        <row r="1073">
          <cell r="A1073">
            <v>1072</v>
          </cell>
          <cell r="B1073" t="str">
            <v>ja</v>
          </cell>
          <cell r="C1073" t="str">
            <v>エンキドゥ</v>
          </cell>
        </row>
        <row r="1074">
          <cell r="A1074">
            <v>1073</v>
          </cell>
          <cell r="B1074" t="str">
            <v>ja</v>
          </cell>
          <cell r="C1074" t="str">
            <v>静穏なる獣勇 エンキドゥ</v>
          </cell>
        </row>
        <row r="1075">
          <cell r="A1075">
            <v>1074</v>
          </cell>
          <cell r="B1075" t="str">
            <v>ja</v>
          </cell>
          <cell r="C1075" t="str">
            <v>マルドゥク</v>
          </cell>
        </row>
        <row r="1076">
          <cell r="A1076">
            <v>1075</v>
          </cell>
          <cell r="B1076" t="str">
            <v>ja</v>
          </cell>
          <cell r="C1076" t="str">
            <v>虚塔の神王 マルドゥク</v>
          </cell>
        </row>
        <row r="1077">
          <cell r="A1077">
            <v>1076</v>
          </cell>
          <cell r="B1077" t="str">
            <v>ja</v>
          </cell>
          <cell r="C1077" t="str">
            <v>パレート</v>
          </cell>
        </row>
        <row r="1078">
          <cell r="A1078">
            <v>1077</v>
          </cell>
          <cell r="B1078" t="str">
            <v>ja</v>
          </cell>
          <cell r="C1078" t="str">
            <v>彩適な幸詠隊 パレート</v>
          </cell>
        </row>
        <row r="1079">
          <cell r="A1079">
            <v>1078</v>
          </cell>
          <cell r="B1079" t="str">
            <v>ja</v>
          </cell>
          <cell r="C1079" t="str">
            <v>合奏の飛論理 パレート</v>
          </cell>
        </row>
        <row r="1080">
          <cell r="A1080">
            <v>1079</v>
          </cell>
          <cell r="B1080" t="str">
            <v>ja</v>
          </cell>
          <cell r="C1080" t="str">
            <v>炎のアニバーサリーダック</v>
          </cell>
        </row>
        <row r="1081">
          <cell r="A1081">
            <v>1080</v>
          </cell>
          <cell r="B1081" t="str">
            <v>ja</v>
          </cell>
          <cell r="C1081" t="str">
            <v>森のアニバーサリーダック</v>
          </cell>
        </row>
        <row r="1082">
          <cell r="A1082">
            <v>1081</v>
          </cell>
          <cell r="B1082" t="str">
            <v>ja</v>
          </cell>
          <cell r="C1082" t="str">
            <v>水のアニバーサリーダック</v>
          </cell>
        </row>
        <row r="1083">
          <cell r="A1083">
            <v>1082</v>
          </cell>
          <cell r="B1083" t="str">
            <v>ja</v>
          </cell>
          <cell r="C1083" t="str">
            <v>雷のアニバーサリーダック</v>
          </cell>
        </row>
        <row r="1084">
          <cell r="A1084">
            <v>1083</v>
          </cell>
          <cell r="B1084" t="str">
            <v>ja</v>
          </cell>
          <cell r="C1084" t="str">
            <v>マジシャン</v>
          </cell>
        </row>
        <row r="1085">
          <cell r="A1085">
            <v>1084</v>
          </cell>
          <cell r="B1085" t="str">
            <v>ja</v>
          </cell>
          <cell r="C1085" t="str">
            <v>驚創する術想師  マジシャン</v>
          </cell>
        </row>
        <row r="1086">
          <cell r="A1086">
            <v>1085</v>
          </cell>
          <cell r="B1086" t="str">
            <v>ja</v>
          </cell>
          <cell r="C1086" t="str">
            <v>ルメートル</v>
          </cell>
        </row>
        <row r="1087">
          <cell r="A1087">
            <v>1086</v>
          </cell>
          <cell r="B1087" t="str">
            <v>ja</v>
          </cell>
          <cell r="C1087" t="str">
            <v>宇宙の線術家 ルメートル</v>
          </cell>
        </row>
        <row r="1088">
          <cell r="A1088">
            <v>1087</v>
          </cell>
          <cell r="B1088" t="str">
            <v>ja</v>
          </cell>
          <cell r="C1088" t="str">
            <v>宇宙線の神業師 ルメートル</v>
          </cell>
        </row>
        <row r="1089">
          <cell r="A1089">
            <v>1088</v>
          </cell>
          <cell r="B1089" t="str">
            <v>ja</v>
          </cell>
          <cell r="C1089" t="str">
            <v>ミケランジェロ</v>
          </cell>
        </row>
        <row r="1090">
          <cell r="A1090">
            <v>1089</v>
          </cell>
          <cell r="B1090" t="str">
            <v>ja</v>
          </cell>
          <cell r="C1090" t="str">
            <v>破壊の発誕 ミケランジェロ</v>
          </cell>
        </row>
        <row r="1091">
          <cell r="A1091">
            <v>1090</v>
          </cell>
          <cell r="B1091" t="str">
            <v>ja</v>
          </cell>
          <cell r="C1091" t="str">
            <v>ラプラス</v>
          </cell>
        </row>
        <row r="1092">
          <cell r="A1092">
            <v>1091</v>
          </cell>
          <cell r="B1092" t="str">
            <v>ja</v>
          </cell>
          <cell r="C1092" t="str">
            <v>予眼する魔姫 ラプラス</v>
          </cell>
        </row>
        <row r="1093">
          <cell r="A1093">
            <v>1092</v>
          </cell>
          <cell r="B1093" t="str">
            <v>ja</v>
          </cell>
          <cell r="C1093" t="str">
            <v>究護の戦王子 レイヴン</v>
          </cell>
        </row>
        <row r="1094">
          <cell r="A1094">
            <v>1093</v>
          </cell>
          <cell r="B1094" t="str">
            <v>ja</v>
          </cell>
          <cell r="C1094" t="str">
            <v>未定</v>
          </cell>
        </row>
        <row r="1095">
          <cell r="A1095">
            <v>1094</v>
          </cell>
          <cell r="B1095" t="str">
            <v>ja</v>
          </cell>
          <cell r="C1095" t="str">
            <v>メルクシャ</v>
          </cell>
        </row>
        <row r="1096">
          <cell r="A1096">
            <v>1095</v>
          </cell>
          <cell r="B1096" t="str">
            <v>ja</v>
          </cell>
          <cell r="C1096" t="str">
            <v>誓愛の絵花 メルクシャ</v>
          </cell>
        </row>
        <row r="1097">
          <cell r="A1097">
            <v>1096</v>
          </cell>
          <cell r="B1097" t="str">
            <v>ja</v>
          </cell>
          <cell r="C1097" t="str">
            <v>ジャ・リダルサ</v>
          </cell>
        </row>
        <row r="1098">
          <cell r="A1098">
            <v>1097</v>
          </cell>
          <cell r="B1098" t="str">
            <v>ja</v>
          </cell>
          <cell r="C1098" t="str">
            <v>超現実才奇 ジャ・リダルサ</v>
          </cell>
        </row>
        <row r="1099">
          <cell r="A1099">
            <v>1098</v>
          </cell>
          <cell r="B1099" t="str">
            <v>ja</v>
          </cell>
          <cell r="C1099" t="str">
            <v>ルピカ</v>
          </cell>
        </row>
        <row r="1100">
          <cell r="A1100">
            <v>1099</v>
          </cell>
          <cell r="B1100" t="str">
            <v>ja</v>
          </cell>
          <cell r="C1100" t="str">
            <v>破築の連創 ルピカ</v>
          </cell>
        </row>
        <row r="1101">
          <cell r="A1101">
            <v>1100</v>
          </cell>
          <cell r="B1101" t="str">
            <v>ja</v>
          </cell>
          <cell r="C1101" t="str">
            <v>北斎</v>
          </cell>
        </row>
        <row r="1102">
          <cell r="A1102">
            <v>1101</v>
          </cell>
          <cell r="B1102" t="str">
            <v>ja</v>
          </cell>
          <cell r="C1102" t="str">
            <v>浮世万物の筆刻者 北斎</v>
          </cell>
        </row>
        <row r="1103">
          <cell r="A1103">
            <v>1102</v>
          </cell>
          <cell r="B1103" t="str">
            <v>ja</v>
          </cell>
          <cell r="C1103" t="str">
            <v>ドガ</v>
          </cell>
        </row>
        <row r="1104">
          <cell r="A1104">
            <v>1103</v>
          </cell>
          <cell r="B1104" t="str">
            <v>ja</v>
          </cell>
          <cell r="C1104" t="str">
            <v>舞台裏の鼠展 ドガ</v>
          </cell>
        </row>
        <row r="1105">
          <cell r="A1105">
            <v>1104</v>
          </cell>
          <cell r="B1105" t="str">
            <v>ja</v>
          </cell>
          <cell r="C1105" t="str">
            <v>クリムト</v>
          </cell>
        </row>
        <row r="1106">
          <cell r="A1106">
            <v>1105</v>
          </cell>
          <cell r="B1106" t="str">
            <v>ja</v>
          </cell>
          <cell r="C1106" t="str">
            <v>甘美なる背徳 クリムト</v>
          </cell>
        </row>
        <row r="1107">
          <cell r="A1107">
            <v>1106</v>
          </cell>
          <cell r="B1107" t="str">
            <v>ja</v>
          </cell>
          <cell r="C1107" t="str">
            <v>ラファエロ</v>
          </cell>
        </row>
        <row r="1108">
          <cell r="A1108">
            <v>1107</v>
          </cell>
          <cell r="B1108" t="str">
            <v>ja</v>
          </cell>
          <cell r="C1108" t="str">
            <v>天浄の鮮風 ラファエロ</v>
          </cell>
        </row>
        <row r="1109">
          <cell r="A1109">
            <v>1108</v>
          </cell>
          <cell r="B1109" t="str">
            <v>ja</v>
          </cell>
          <cell r="C1109" t="str">
            <v>交鏡の光波 フレネル</v>
          </cell>
        </row>
        <row r="1110">
          <cell r="A1110">
            <v>1109</v>
          </cell>
          <cell r="B1110" t="str">
            <v>ja</v>
          </cell>
          <cell r="C1110" t="str">
            <v>セキ</v>
          </cell>
        </row>
        <row r="1111">
          <cell r="A1111">
            <v>1110</v>
          </cell>
          <cell r="B1111" t="str">
            <v>ja</v>
          </cell>
          <cell r="C1111" t="str">
            <v>天竄の炎斬式 セキ</v>
          </cell>
        </row>
        <row r="1112">
          <cell r="A1112">
            <v>1111</v>
          </cell>
          <cell r="B1112" t="str">
            <v>ja</v>
          </cell>
          <cell r="C1112" t="str">
            <v>ウィグナー</v>
          </cell>
        </row>
        <row r="1113">
          <cell r="A1113">
            <v>1112</v>
          </cell>
          <cell r="B1113" t="str">
            <v>ja</v>
          </cell>
          <cell r="C1113" t="str">
            <v>正統なる傑晶 ウィグナー</v>
          </cell>
        </row>
        <row r="1114">
          <cell r="A1114">
            <v>1113</v>
          </cell>
          <cell r="B1114" t="str">
            <v>ja</v>
          </cell>
          <cell r="C1114" t="str">
            <v>聖結たる輝晶獣 ウィグナー</v>
          </cell>
        </row>
        <row r="1115">
          <cell r="A1115">
            <v>1114</v>
          </cell>
          <cell r="B1115" t="str">
            <v>ja</v>
          </cell>
          <cell r="C1115" t="str">
            <v>ボナンザ</v>
          </cell>
        </row>
        <row r="1116">
          <cell r="A1116">
            <v>1115</v>
          </cell>
          <cell r="B1116" t="str">
            <v>ja</v>
          </cell>
          <cell r="C1116" t="str">
            <v>アヴァルシアの女王 ボナンザ</v>
          </cell>
        </row>
        <row r="1117">
          <cell r="A1117">
            <v>1116</v>
          </cell>
          <cell r="B1117" t="str">
            <v>ja</v>
          </cell>
          <cell r="C1117" t="str">
            <v>天檄総氏神 アマテラス</v>
          </cell>
        </row>
        <row r="1118">
          <cell r="A1118">
            <v>1117</v>
          </cell>
          <cell r="B1118" t="str">
            <v>ja</v>
          </cell>
          <cell r="C1118" t="str">
            <v>凶天慟地の覇腕 アザゼル</v>
          </cell>
        </row>
        <row r="1119">
          <cell r="A1119">
            <v>1118</v>
          </cell>
          <cell r="B1119" t="str">
            <v>ja</v>
          </cell>
          <cell r="C1119" t="str">
            <v>超過速路の閃導者 ジャンヌ</v>
          </cell>
        </row>
        <row r="1120">
          <cell r="A1120">
            <v>1119</v>
          </cell>
          <cell r="B1120" t="str">
            <v>ja</v>
          </cell>
          <cell r="C1120" t="str">
            <v>刹・廻天一流 宮本武蔵</v>
          </cell>
        </row>
        <row r="1121">
          <cell r="A1121">
            <v>1120</v>
          </cell>
          <cell r="B1121" t="str">
            <v>ja</v>
          </cell>
          <cell r="C1121" t="str">
            <v>四聖猛煌の皇獣 麒麟</v>
          </cell>
        </row>
        <row r="1122">
          <cell r="A1122">
            <v>1121</v>
          </cell>
          <cell r="B1122" t="str">
            <v>ja</v>
          </cell>
          <cell r="C1122" t="str">
            <v>逆燦の機閃刃 オイラー</v>
          </cell>
        </row>
        <row r="1123">
          <cell r="A1123">
            <v>1122</v>
          </cell>
          <cell r="B1123" t="str">
            <v>ja</v>
          </cell>
          <cell r="C1123" t="str">
            <v>不可能性の現翼 メビウス</v>
          </cell>
        </row>
        <row r="1124">
          <cell r="A1124">
            <v>1123</v>
          </cell>
          <cell r="B1124" t="str">
            <v>ja</v>
          </cell>
          <cell r="C1124" t="str">
            <v>舞降りし綺鏡羽 ブール</v>
          </cell>
        </row>
        <row r="1125">
          <cell r="A1125">
            <v>1124</v>
          </cell>
          <cell r="B1125" t="str">
            <v>ja</v>
          </cell>
          <cell r="C1125" t="str">
            <v>超絶界析 ラグランジュ</v>
          </cell>
        </row>
        <row r="1126">
          <cell r="A1126">
            <v>1125</v>
          </cell>
          <cell r="B1126" t="str">
            <v>ja</v>
          </cell>
          <cell r="C1126" t="str">
            <v>累々たる世解 シュレディンガー</v>
          </cell>
        </row>
        <row r="1127">
          <cell r="A1127">
            <v>1126</v>
          </cell>
          <cell r="B1127" t="str">
            <v>ja</v>
          </cell>
          <cell r="C1127" t="str">
            <v>最終焉算の鋼砲 チューリング</v>
          </cell>
        </row>
        <row r="1128">
          <cell r="A1128">
            <v>1127</v>
          </cell>
          <cell r="B1128" t="str">
            <v>ja</v>
          </cell>
          <cell r="C1128" t="str">
            <v>真蒼導く対偶 ヘンペル</v>
          </cell>
        </row>
        <row r="1129">
          <cell r="A1129">
            <v>1128</v>
          </cell>
          <cell r="B1129" t="str">
            <v>ja</v>
          </cell>
          <cell r="C1129" t="str">
            <v>宇宙天紡の星明 ハップル</v>
          </cell>
        </row>
        <row r="1130">
          <cell r="A1130">
            <v>1129</v>
          </cell>
          <cell r="B1130" t="str">
            <v>ja</v>
          </cell>
          <cell r="C1130" t="str">
            <v>赤兎馬</v>
          </cell>
        </row>
        <row r="1131">
          <cell r="A1131">
            <v>1130</v>
          </cell>
          <cell r="B1131" t="str">
            <v>ja</v>
          </cell>
          <cell r="C1131" t="str">
            <v>紅鋼の疾躁獣 赤兎馬</v>
          </cell>
        </row>
        <row r="1132">
          <cell r="A1132">
            <v>1131</v>
          </cell>
          <cell r="B1132" t="str">
            <v>ja</v>
          </cell>
          <cell r="C1132" t="str">
            <v>董卓</v>
          </cell>
        </row>
        <row r="1133">
          <cell r="A1133">
            <v>1132</v>
          </cell>
          <cell r="B1133" t="str">
            <v>ja</v>
          </cell>
          <cell r="C1133" t="str">
            <v>偏執なる狂騒君 董卓</v>
          </cell>
        </row>
        <row r="1134">
          <cell r="A1134">
            <v>1133</v>
          </cell>
          <cell r="B1134" t="str">
            <v>ja</v>
          </cell>
          <cell r="C1134" t="str">
            <v>貂蝉</v>
          </cell>
        </row>
        <row r="1135">
          <cell r="A1135">
            <v>1134</v>
          </cell>
          <cell r="B1135" t="str">
            <v>ja</v>
          </cell>
          <cell r="C1135" t="str">
            <v>月隠れの美麗酔 貂蝉</v>
          </cell>
        </row>
        <row r="1136">
          <cell r="A1136">
            <v>1135</v>
          </cell>
          <cell r="B1136" t="str">
            <v>ja</v>
          </cell>
          <cell r="C1136" t="str">
            <v>呂布</v>
          </cell>
        </row>
        <row r="1137">
          <cell r="A1137">
            <v>1136</v>
          </cell>
          <cell r="B1137" t="str">
            <v>ja</v>
          </cell>
          <cell r="C1137" t="str">
            <v>豪拳烈創の激将 呂布</v>
          </cell>
        </row>
        <row r="1138">
          <cell r="A1138">
            <v>1137</v>
          </cell>
          <cell r="B1138" t="str">
            <v>ja</v>
          </cell>
          <cell r="C1138" t="str">
            <v>諸葛亮</v>
          </cell>
        </row>
        <row r="1139">
          <cell r="A1139">
            <v>1138</v>
          </cell>
          <cell r="B1139" t="str">
            <v>ja</v>
          </cell>
          <cell r="C1139" t="str">
            <v>神算鬼謀の宰相 諸葛亮</v>
          </cell>
        </row>
        <row r="1140">
          <cell r="A1140">
            <v>1139</v>
          </cell>
          <cell r="B1140" t="str">
            <v>ja</v>
          </cell>
          <cell r="C1140" t="str">
            <v>趙雲</v>
          </cell>
        </row>
        <row r="1141">
          <cell r="A1141">
            <v>1140</v>
          </cell>
          <cell r="B1141" t="str">
            <v>ja</v>
          </cell>
          <cell r="C1141" t="str">
            <v>綱紀粛正の傑璧 趙雲</v>
          </cell>
        </row>
        <row r="1142">
          <cell r="A1142">
            <v>1141</v>
          </cell>
          <cell r="B1142" t="str">
            <v>ja</v>
          </cell>
          <cell r="C1142" t="str">
            <v>月英</v>
          </cell>
        </row>
        <row r="1143">
          <cell r="A1143">
            <v>1142</v>
          </cell>
          <cell r="B1143" t="str">
            <v>ja</v>
          </cell>
          <cell r="C1143" t="str">
            <v>蒼明な機鋼士 月英</v>
          </cell>
        </row>
        <row r="1144">
          <cell r="A1144">
            <v>1143</v>
          </cell>
          <cell r="B1144" t="str">
            <v>ja</v>
          </cell>
          <cell r="C1144" t="str">
            <v>黄忠</v>
          </cell>
        </row>
        <row r="1145">
          <cell r="A1145">
            <v>1144</v>
          </cell>
          <cell r="B1145" t="str">
            <v>ja</v>
          </cell>
          <cell r="C1145" t="str">
            <v>白星を射る老将 黄忠</v>
          </cell>
        </row>
        <row r="1146">
          <cell r="A1146">
            <v>1145</v>
          </cell>
          <cell r="B1146" t="str">
            <v>ja</v>
          </cell>
          <cell r="C1146" t="str">
            <v>ヴリトラ</v>
          </cell>
        </row>
        <row r="1147">
          <cell r="A1147">
            <v>1146</v>
          </cell>
          <cell r="B1147" t="str">
            <v>ja</v>
          </cell>
          <cell r="C1147" t="str">
            <v>宙覆す破魃竜 ヴリトラ</v>
          </cell>
        </row>
        <row r="1148">
          <cell r="A1148">
            <v>1147</v>
          </cell>
          <cell r="B1148" t="str">
            <v>ja</v>
          </cell>
          <cell r="C1148" t="str">
            <v>カーリー</v>
          </cell>
        </row>
        <row r="1149">
          <cell r="A1149">
            <v>1148</v>
          </cell>
          <cell r="B1149" t="str">
            <v>ja</v>
          </cell>
          <cell r="C1149" t="str">
            <v>嫉神の黎き滅意 カーリー</v>
          </cell>
        </row>
        <row r="1150">
          <cell r="A1150">
            <v>1149</v>
          </cell>
          <cell r="B1150" t="str">
            <v>ja</v>
          </cell>
          <cell r="C1150" t="str">
            <v>ブラフマー</v>
          </cell>
        </row>
        <row r="1151">
          <cell r="A1151">
            <v>1150</v>
          </cell>
          <cell r="B1151" t="str">
            <v>ja</v>
          </cell>
          <cell r="C1151" t="str">
            <v>封智の元創神 ブラフマー</v>
          </cell>
        </row>
        <row r="1152">
          <cell r="A1152">
            <v>1151</v>
          </cell>
          <cell r="B1152" t="str">
            <v>ja</v>
          </cell>
          <cell r="C1152" t="str">
            <v>ガネーシャ</v>
          </cell>
        </row>
        <row r="1153">
          <cell r="A1153">
            <v>1152</v>
          </cell>
          <cell r="B1153" t="str">
            <v>ja</v>
          </cell>
          <cell r="C1153" t="str">
            <v>衆知の富益神 ガネーシャ</v>
          </cell>
        </row>
        <row r="1154">
          <cell r="A1154">
            <v>1153</v>
          </cell>
          <cell r="B1154" t="str">
            <v>ja</v>
          </cell>
          <cell r="C1154" t="str">
            <v>ラクシュミー</v>
          </cell>
        </row>
        <row r="1155">
          <cell r="A1155">
            <v>1154</v>
          </cell>
          <cell r="B1155" t="str">
            <v>ja</v>
          </cell>
          <cell r="C1155" t="str">
            <v>幸吹の蓮華粧 ラクシュミー</v>
          </cell>
        </row>
        <row r="1156">
          <cell r="A1156">
            <v>1155</v>
          </cell>
          <cell r="B1156" t="str">
            <v>ja</v>
          </cell>
          <cell r="C1156" t="str">
            <v>ドゥルガー</v>
          </cell>
        </row>
        <row r="1157">
          <cell r="A1157">
            <v>1156</v>
          </cell>
          <cell r="B1157" t="str">
            <v>ja</v>
          </cell>
          <cell r="C1157" t="str">
            <v>麗逆の武操神 ドゥルガー</v>
          </cell>
        </row>
        <row r="1158">
          <cell r="A1158">
            <v>1157</v>
          </cell>
          <cell r="B1158" t="str">
            <v>ja</v>
          </cell>
          <cell r="C1158" t="str">
            <v>インドラ</v>
          </cell>
        </row>
        <row r="1159">
          <cell r="A1159">
            <v>1158</v>
          </cell>
          <cell r="B1159" t="str">
            <v>ja</v>
          </cell>
          <cell r="C1159" t="str">
            <v>天英の雷霆神 インドラ</v>
          </cell>
        </row>
        <row r="1160">
          <cell r="A1160">
            <v>1159</v>
          </cell>
          <cell r="B1160" t="str">
            <v>ja</v>
          </cell>
          <cell r="C1160" t="str">
            <v>ガロア</v>
          </cell>
        </row>
        <row r="1161">
          <cell r="A1161">
            <v>1160</v>
          </cell>
          <cell r="B1161" t="str">
            <v>ja</v>
          </cell>
          <cell r="C1161" t="str">
            <v>拡命の大群論 ガロア</v>
          </cell>
        </row>
        <row r="1162">
          <cell r="A1162">
            <v>1161</v>
          </cell>
          <cell r="B1162" t="str">
            <v>ja</v>
          </cell>
          <cell r="C1162" t="str">
            <v>ヒルベルト</v>
          </cell>
        </row>
        <row r="1163">
          <cell r="A1163">
            <v>1162</v>
          </cell>
          <cell r="B1163" t="str">
            <v>ja</v>
          </cell>
          <cell r="C1163" t="str">
            <v>夢験次元の抽唱 ヒルベルト</v>
          </cell>
        </row>
        <row r="1164">
          <cell r="A1164">
            <v>1163</v>
          </cell>
          <cell r="B1164" t="str">
            <v>ja</v>
          </cell>
          <cell r="C1164" t="str">
            <v>命題唱鳴計画 ヒルベルト</v>
          </cell>
        </row>
        <row r="1165">
          <cell r="A1165">
            <v>1164</v>
          </cell>
          <cell r="B1165" t="str">
            <v>ja</v>
          </cell>
          <cell r="C1165" t="str">
            <v>ガンバンテイン</v>
          </cell>
        </row>
        <row r="1166">
          <cell r="A1166">
            <v>1165</v>
          </cell>
          <cell r="B1166" t="str">
            <v>ja</v>
          </cell>
          <cell r="C1166" t="str">
            <v>夢香華の耀杖 ガンバンテイン</v>
          </cell>
        </row>
        <row r="1167">
          <cell r="A1167">
            <v>1166</v>
          </cell>
          <cell r="B1167" t="str">
            <v>ja</v>
          </cell>
          <cell r="C1167" t="str">
            <v>降魔宝杖</v>
          </cell>
        </row>
        <row r="1168">
          <cell r="A1168">
            <v>1167</v>
          </cell>
          <cell r="B1168" t="str">
            <v>ja</v>
          </cell>
          <cell r="C1168" t="str">
            <v>月河の黄金器 降魔宝杖</v>
          </cell>
        </row>
        <row r="1169">
          <cell r="A1169">
            <v>1168</v>
          </cell>
          <cell r="B1169" t="str">
            <v>ja</v>
          </cell>
          <cell r="C1169" t="str">
            <v>カドゥケウス</v>
          </cell>
        </row>
        <row r="1170">
          <cell r="A1170">
            <v>1169</v>
          </cell>
          <cell r="B1170" t="str">
            <v>ja</v>
          </cell>
          <cell r="C1170" t="str">
            <v>睡醒の令杖 カドゥケウス</v>
          </cell>
        </row>
        <row r="1171">
          <cell r="A1171">
            <v>1170</v>
          </cell>
          <cell r="B1171" t="str">
            <v>ja</v>
          </cell>
          <cell r="C1171" t="str">
            <v>極彩龍筆 ヘイウェイ</v>
          </cell>
        </row>
        <row r="1172">
          <cell r="A1172">
            <v>1171</v>
          </cell>
          <cell r="B1172" t="str">
            <v>ja</v>
          </cell>
          <cell r="C1172" t="str">
            <v>解匣する交率 ポアソン</v>
          </cell>
        </row>
        <row r="1173">
          <cell r="A1173">
            <v>1172</v>
          </cell>
          <cell r="B1173" t="str">
            <v>ja</v>
          </cell>
          <cell r="C1173" t="str">
            <v>極限解析の讃嬢 クロネッカー</v>
          </cell>
        </row>
        <row r="1174">
          <cell r="A1174">
            <v>1173</v>
          </cell>
          <cell r="B1174" t="str">
            <v>ja</v>
          </cell>
          <cell r="C1174" t="str">
            <v>愛を咲かせる春羽妖精 ファータ</v>
          </cell>
        </row>
        <row r="1175">
          <cell r="A1175">
            <v>1174</v>
          </cell>
          <cell r="B1175" t="str">
            <v>ja</v>
          </cell>
          <cell r="C1175" t="str">
            <v>護翼の望詠光 バルドル</v>
          </cell>
        </row>
        <row r="1176">
          <cell r="A1176">
            <v>1175</v>
          </cell>
          <cell r="B1176" t="str">
            <v>ja</v>
          </cell>
          <cell r="C1176" t="str">
            <v>蘇尊の誓聖義 アーサー</v>
          </cell>
        </row>
        <row r="1177">
          <cell r="A1177">
            <v>1176</v>
          </cell>
          <cell r="B1177" t="str">
            <v>ja</v>
          </cell>
          <cell r="C1177" t="str">
            <v>夢二夢斬の遊猟 フロイト</v>
          </cell>
        </row>
        <row r="1178">
          <cell r="A1178">
            <v>1177</v>
          </cell>
          <cell r="B1178" t="str">
            <v>ja</v>
          </cell>
          <cell r="C1178" t="str">
            <v>虚閃を弄する豪輪 オズ</v>
          </cell>
        </row>
        <row r="1179">
          <cell r="A1179">
            <v>1178</v>
          </cell>
          <cell r="B1179" t="str">
            <v>ja</v>
          </cell>
          <cell r="C1179" t="str">
            <v>大蒐集総力戦 グリム</v>
          </cell>
        </row>
        <row r="1180">
          <cell r="A1180">
            <v>1179</v>
          </cell>
          <cell r="B1180" t="str">
            <v>ja</v>
          </cell>
          <cell r="C1180" t="str">
            <v>厳核なる巨大炉 ハイゼンベルク</v>
          </cell>
        </row>
        <row r="1181">
          <cell r="A1181">
            <v>1180</v>
          </cell>
          <cell r="B1181" t="str">
            <v>ja</v>
          </cell>
          <cell r="C1181" t="str">
            <v>毅戦たる蒼機神 オーディン</v>
          </cell>
        </row>
        <row r="1182">
          <cell r="A1182">
            <v>1181</v>
          </cell>
          <cell r="B1182" t="str">
            <v>ja</v>
          </cell>
          <cell r="C1182" t="str">
            <v>永存の究極論 ユークリッド</v>
          </cell>
        </row>
        <row r="1183">
          <cell r="A1183">
            <v>1182</v>
          </cell>
          <cell r="B1183" t="str">
            <v>ja</v>
          </cell>
          <cell r="C1183" t="str">
            <v>黄金螺旋の閃鋼機 フィボナッチ</v>
          </cell>
        </row>
        <row r="1184">
          <cell r="A1184">
            <v>1183</v>
          </cell>
          <cell r="B1184" t="str">
            <v>ja</v>
          </cell>
          <cell r="C1184" t="str">
            <v>世憚の悪害 Gスター・チルドレン</v>
          </cell>
        </row>
        <row r="1185">
          <cell r="A1185">
            <v>1184</v>
          </cell>
          <cell r="B1185" t="str">
            <v>ja</v>
          </cell>
          <cell r="C1185" t="str">
            <v>電装の烙雷芯 ファラデー</v>
          </cell>
        </row>
        <row r="1186">
          <cell r="A1186">
            <v>1185</v>
          </cell>
          <cell r="B1186" t="str">
            <v>ja</v>
          </cell>
          <cell r="C1186" t="str">
            <v>兆銀河団の星観者 ハーシェル</v>
          </cell>
        </row>
        <row r="1187">
          <cell r="A1187">
            <v>1186</v>
          </cell>
          <cell r="B1187" t="str">
            <v>ja</v>
          </cell>
          <cell r="C1187" t="str">
            <v>超疾の最理者 フェルマー</v>
          </cell>
        </row>
        <row r="1188">
          <cell r="A1188">
            <v>1187</v>
          </cell>
          <cell r="B1188" t="str">
            <v>ja</v>
          </cell>
          <cell r="C1188" t="str">
            <v>ハッピーハロウィン ポチ</v>
          </cell>
        </row>
        <row r="1189">
          <cell r="A1189">
            <v>1188</v>
          </cell>
          <cell r="B1189" t="str">
            <v>ja</v>
          </cell>
          <cell r="C1189" t="str">
            <v>ハッピーハロウィン ジョー</v>
          </cell>
        </row>
        <row r="1190">
          <cell r="A1190">
            <v>1189</v>
          </cell>
          <cell r="B1190" t="str">
            <v>ja</v>
          </cell>
          <cell r="C1190" t="str">
            <v>ハッピーハロウィン ジェリー</v>
          </cell>
        </row>
        <row r="1191">
          <cell r="A1191">
            <v>1190</v>
          </cell>
          <cell r="B1191" t="str">
            <v>ja</v>
          </cell>
          <cell r="C1191" t="str">
            <v>ハッピーハロウィン エレキポット</v>
          </cell>
        </row>
        <row r="1192">
          <cell r="A1192">
            <v>1191</v>
          </cell>
          <cell r="B1192" t="str">
            <v>ja</v>
          </cell>
          <cell r="C1192" t="str">
            <v>ドルチェ</v>
          </cell>
        </row>
        <row r="1193">
          <cell r="A1193">
            <v>1192</v>
          </cell>
          <cell r="B1193" t="str">
            <v>ja</v>
          </cell>
          <cell r="C1193" t="str">
            <v>徹宵悪戯の甘美魔 ドルチェ</v>
          </cell>
        </row>
        <row r="1194">
          <cell r="A1194">
            <v>1193</v>
          </cell>
          <cell r="B1194" t="str">
            <v>ja</v>
          </cell>
          <cell r="C1194" t="str">
            <v>血飢なる夜想卿 ランスロット</v>
          </cell>
        </row>
        <row r="1195">
          <cell r="A1195">
            <v>1194</v>
          </cell>
          <cell r="B1195" t="str">
            <v>ja</v>
          </cell>
          <cell r="C1195" t="str">
            <v>ハーヴェスト</v>
          </cell>
        </row>
        <row r="1196">
          <cell r="A1196">
            <v>1195</v>
          </cell>
          <cell r="B1196" t="str">
            <v>ja</v>
          </cell>
          <cell r="C1196" t="str">
            <v>賑夜の幼魔 ハーヴェスト</v>
          </cell>
        </row>
        <row r="1197">
          <cell r="A1197">
            <v>1196</v>
          </cell>
          <cell r="B1197" t="str">
            <v>ja</v>
          </cell>
          <cell r="C1197" t="str">
            <v>華装の闇鋏 ラプンツェル</v>
          </cell>
        </row>
        <row r="1198">
          <cell r="A1198">
            <v>1197</v>
          </cell>
          <cell r="B1198" t="str">
            <v>ja</v>
          </cell>
          <cell r="C1198" t="str">
            <v>冥装の闇黒魔 バフォメット</v>
          </cell>
        </row>
        <row r="1199">
          <cell r="A1199">
            <v>1198</v>
          </cell>
          <cell r="B1199" t="str">
            <v>ja</v>
          </cell>
          <cell r="C1199" t="str">
            <v>幽縛の霊線 ピノキオ</v>
          </cell>
        </row>
        <row r="1200">
          <cell r="A1200">
            <v>1199</v>
          </cell>
          <cell r="B1200" t="str">
            <v>ja</v>
          </cell>
          <cell r="C1200" t="str">
            <v>看装の巡回者 ケルベロス</v>
          </cell>
        </row>
        <row r="1201">
          <cell r="A1201">
            <v>1200</v>
          </cell>
          <cell r="B1201" t="str">
            <v>ja</v>
          </cell>
          <cell r="C1201" t="str">
            <v>サイクロプス</v>
          </cell>
        </row>
        <row r="1202">
          <cell r="A1202">
            <v>1201</v>
          </cell>
          <cell r="B1202" t="str">
            <v>ja</v>
          </cell>
          <cell r="C1202" t="str">
            <v>器装の眼囚徒 サイクロプス</v>
          </cell>
        </row>
        <row r="1203">
          <cell r="A1203">
            <v>1202</v>
          </cell>
          <cell r="B1203" t="str">
            <v>ja</v>
          </cell>
          <cell r="C1203" t="str">
            <v>ウラヌス</v>
          </cell>
        </row>
        <row r="1204">
          <cell r="A1204">
            <v>1203</v>
          </cell>
          <cell r="B1204" t="str">
            <v>ja</v>
          </cell>
          <cell r="C1204" t="str">
            <v>掌星の原天神 ウラヌス</v>
          </cell>
        </row>
        <row r="1205">
          <cell r="A1205">
            <v>1204</v>
          </cell>
          <cell r="B1205" t="str">
            <v>ja</v>
          </cell>
          <cell r="C1205" t="str">
            <v>デルピュネー</v>
          </cell>
        </row>
        <row r="1206">
          <cell r="A1206">
            <v>1205</v>
          </cell>
          <cell r="B1206" t="str">
            <v>ja</v>
          </cell>
          <cell r="C1206" t="str">
            <v>襲奪の竜鱗姫 デルピュネー</v>
          </cell>
        </row>
        <row r="1207">
          <cell r="A1207">
            <v>1206</v>
          </cell>
          <cell r="B1207" t="str">
            <v>ja</v>
          </cell>
          <cell r="C1207" t="str">
            <v>ヘラ</v>
          </cell>
        </row>
        <row r="1208">
          <cell r="A1208">
            <v>1207</v>
          </cell>
          <cell r="B1208" t="str">
            <v>ja</v>
          </cell>
          <cell r="C1208" t="str">
            <v>典麗なる悋気神 ヘラ</v>
          </cell>
        </row>
        <row r="1209">
          <cell r="A1209">
            <v>1208</v>
          </cell>
          <cell r="B1209" t="str">
            <v>ja</v>
          </cell>
          <cell r="C1209" t="str">
            <v>ネメシス</v>
          </cell>
        </row>
        <row r="1210">
          <cell r="A1210">
            <v>1209</v>
          </cell>
          <cell r="B1210" t="str">
            <v>ja</v>
          </cell>
          <cell r="C1210" t="str">
            <v>刹那の過罰神 ネメシス</v>
          </cell>
        </row>
        <row r="1211">
          <cell r="A1211">
            <v>1210</v>
          </cell>
          <cell r="B1211" t="str">
            <v>ja</v>
          </cell>
          <cell r="C1211" t="str">
            <v>ケンタウロス</v>
          </cell>
        </row>
        <row r="1212">
          <cell r="A1212">
            <v>1211</v>
          </cell>
          <cell r="B1212" t="str">
            <v>ja</v>
          </cell>
          <cell r="C1212" t="str">
            <v>奏駆の翻騎 ケンタウロス</v>
          </cell>
        </row>
        <row r="1213">
          <cell r="A1213">
            <v>1212</v>
          </cell>
          <cell r="B1213" t="str">
            <v>ja</v>
          </cell>
          <cell r="C1213" t="str">
            <v>クロノス</v>
          </cell>
        </row>
        <row r="1214">
          <cell r="A1214">
            <v>1213</v>
          </cell>
          <cell r="B1214" t="str">
            <v>ja</v>
          </cell>
          <cell r="C1214" t="str">
            <v>能洪の永地神 クロノス</v>
          </cell>
        </row>
        <row r="1215">
          <cell r="A1215">
            <v>1214</v>
          </cell>
          <cell r="B1215" t="str">
            <v>ja</v>
          </cell>
          <cell r="C1215" t="str">
            <v>アルテミス</v>
          </cell>
        </row>
        <row r="1216">
          <cell r="A1216">
            <v>1215</v>
          </cell>
          <cell r="B1216" t="str">
            <v>ja</v>
          </cell>
          <cell r="C1216" t="str">
            <v>穿潮の雷月神 アルテミス</v>
          </cell>
        </row>
        <row r="1217">
          <cell r="A1217">
            <v>1216</v>
          </cell>
          <cell r="B1217" t="str">
            <v>ja</v>
          </cell>
          <cell r="C1217" t="str">
            <v>梶井基次郎</v>
          </cell>
        </row>
        <row r="1218">
          <cell r="A1218">
            <v>1217</v>
          </cell>
          <cell r="B1218" t="str">
            <v>ja</v>
          </cell>
          <cell r="C1218" t="str">
            <v>鮮彩の鬱情 梶井基次郎</v>
          </cell>
        </row>
        <row r="1219">
          <cell r="A1219">
            <v>1218</v>
          </cell>
          <cell r="B1219" t="str">
            <v>ja</v>
          </cell>
          <cell r="C1219" t="str">
            <v>太宰治</v>
          </cell>
        </row>
        <row r="1220">
          <cell r="A1220">
            <v>1219</v>
          </cell>
          <cell r="B1220" t="str">
            <v>ja</v>
          </cell>
          <cell r="C1220" t="str">
            <v>世絶の失格者 太宰治</v>
          </cell>
        </row>
        <row r="1221">
          <cell r="A1221">
            <v>1220</v>
          </cell>
          <cell r="B1221" t="str">
            <v>ja</v>
          </cell>
          <cell r="C1221" t="str">
            <v>シェイクスピア</v>
          </cell>
        </row>
        <row r="1222">
          <cell r="A1222">
            <v>1221</v>
          </cell>
          <cell r="B1222" t="str">
            <v>ja</v>
          </cell>
          <cell r="C1222" t="str">
            <v>命愛の恋劇家 シェイクスピア</v>
          </cell>
        </row>
        <row r="1223">
          <cell r="A1223">
            <v>1222</v>
          </cell>
          <cell r="B1223" t="str">
            <v>ja</v>
          </cell>
          <cell r="C1223" t="str">
            <v>カフカ</v>
          </cell>
        </row>
        <row r="1224">
          <cell r="A1224">
            <v>1223</v>
          </cell>
          <cell r="B1224" t="str">
            <v>ja</v>
          </cell>
          <cell r="C1224" t="str">
            <v>凌蛾の変身 カフカ</v>
          </cell>
        </row>
        <row r="1225">
          <cell r="A1225">
            <v>1224</v>
          </cell>
          <cell r="B1225" t="str">
            <v>ja</v>
          </cell>
          <cell r="C1225" t="str">
            <v>セルバンテス</v>
          </cell>
        </row>
        <row r="1226">
          <cell r="A1226">
            <v>1225</v>
          </cell>
          <cell r="B1226" t="str">
            <v>ja</v>
          </cell>
          <cell r="C1226" t="str">
            <v>優柔なる風断者 セルバンテス</v>
          </cell>
        </row>
        <row r="1227">
          <cell r="A1227">
            <v>1226</v>
          </cell>
          <cell r="B1227" t="str">
            <v>ja</v>
          </cell>
          <cell r="C1227" t="str">
            <v>トルストイ</v>
          </cell>
        </row>
        <row r="1228">
          <cell r="A1228">
            <v>1227</v>
          </cell>
          <cell r="B1228" t="str">
            <v>ja</v>
          </cell>
          <cell r="C1228" t="str">
            <v>欲望の占猟者 トルストイ</v>
          </cell>
        </row>
        <row r="1229">
          <cell r="A1229">
            <v>1228</v>
          </cell>
          <cell r="B1229" t="str">
            <v>ja</v>
          </cell>
          <cell r="C1229" t="str">
            <v>芥川龍之介</v>
          </cell>
        </row>
        <row r="1230">
          <cell r="A1230">
            <v>1229</v>
          </cell>
          <cell r="B1230" t="str">
            <v>ja</v>
          </cell>
          <cell r="C1230" t="str">
            <v>羅生の鬼我 芥川龍之介</v>
          </cell>
        </row>
        <row r="1231">
          <cell r="A1231">
            <v>1230</v>
          </cell>
          <cell r="B1231" t="str">
            <v>ja</v>
          </cell>
          <cell r="C1231" t="str">
            <v>夏目漱石</v>
          </cell>
        </row>
        <row r="1232">
          <cell r="A1232">
            <v>1231</v>
          </cell>
          <cell r="B1232" t="str">
            <v>ja</v>
          </cell>
          <cell r="C1232" t="str">
            <v>思索する愛猫 夏目漱石</v>
          </cell>
        </row>
        <row r="1233">
          <cell r="A1233">
            <v>1232</v>
          </cell>
          <cell r="B1233" t="str">
            <v>ja</v>
          </cell>
          <cell r="C1233" t="str">
            <v>ケプラー</v>
          </cell>
        </row>
        <row r="1234">
          <cell r="A1234">
            <v>1233</v>
          </cell>
          <cell r="B1234" t="str">
            <v>ja</v>
          </cell>
          <cell r="C1234" t="str">
            <v>天体の大砲速 ケプラー</v>
          </cell>
        </row>
        <row r="1235">
          <cell r="A1235">
            <v>1234</v>
          </cell>
          <cell r="B1235" t="str">
            <v>ja</v>
          </cell>
          <cell r="C1235" t="str">
            <v>ボーア</v>
          </cell>
        </row>
        <row r="1236">
          <cell r="A1236">
            <v>1235</v>
          </cell>
          <cell r="B1236" t="str">
            <v>ja</v>
          </cell>
          <cell r="C1236" t="str">
            <v>哲壁の育護者 ボーア</v>
          </cell>
        </row>
        <row r="1237">
          <cell r="A1237">
            <v>1236</v>
          </cell>
          <cell r="B1237" t="str">
            <v>ja</v>
          </cell>
          <cell r="C1237" t="str">
            <v>千利休</v>
          </cell>
        </row>
        <row r="1238">
          <cell r="A1238">
            <v>1237</v>
          </cell>
          <cell r="B1238" t="str">
            <v>ja</v>
          </cell>
          <cell r="C1238" t="str">
            <v>夢茶の目付役 千利休</v>
          </cell>
        </row>
        <row r="1239">
          <cell r="A1239">
            <v>1238</v>
          </cell>
          <cell r="B1239" t="str">
            <v>ja</v>
          </cell>
          <cell r="C1239" t="str">
            <v>服部半蔵</v>
          </cell>
        </row>
        <row r="1240">
          <cell r="A1240">
            <v>1239</v>
          </cell>
          <cell r="B1240" t="str">
            <v>ja</v>
          </cell>
          <cell r="C1240" t="str">
            <v>音無の機密忍 服部半蔵</v>
          </cell>
        </row>
        <row r="1241">
          <cell r="A1241">
            <v>1240</v>
          </cell>
          <cell r="B1241" t="str">
            <v>ja</v>
          </cell>
          <cell r="C1241" t="str">
            <v>竹中半兵衛</v>
          </cell>
        </row>
        <row r="1242">
          <cell r="A1242">
            <v>1241</v>
          </cell>
          <cell r="B1242" t="str">
            <v>ja</v>
          </cell>
          <cell r="C1242" t="str">
            <v>巧妙なる嬢舌 竹中半兵衛</v>
          </cell>
        </row>
        <row r="1243">
          <cell r="A1243">
            <v>1242</v>
          </cell>
          <cell r="B1243" t="str">
            <v>ja</v>
          </cell>
          <cell r="C1243" t="str">
            <v>豊臣秀吉</v>
          </cell>
        </row>
        <row r="1244">
          <cell r="A1244">
            <v>1243</v>
          </cell>
          <cell r="B1244" t="str">
            <v>ja</v>
          </cell>
          <cell r="C1244" t="str">
            <v>新世覇の昇竜 豊臣秀吉</v>
          </cell>
        </row>
        <row r="1245">
          <cell r="A1245">
            <v>1244</v>
          </cell>
          <cell r="B1245" t="str">
            <v>ja</v>
          </cell>
          <cell r="C1245" t="str">
            <v>猿飛佐助</v>
          </cell>
        </row>
        <row r="1246">
          <cell r="A1246">
            <v>1245</v>
          </cell>
          <cell r="B1246" t="str">
            <v>ja</v>
          </cell>
          <cell r="C1246" t="str">
            <v>甲火の特殊忍 猿飛佐助</v>
          </cell>
        </row>
        <row r="1247">
          <cell r="A1247">
            <v>1246</v>
          </cell>
          <cell r="B1247" t="str">
            <v>ja</v>
          </cell>
          <cell r="C1247" t="str">
            <v>望月千代女</v>
          </cell>
        </row>
        <row r="1248">
          <cell r="A1248">
            <v>1247</v>
          </cell>
          <cell r="B1248" t="str">
            <v>ja</v>
          </cell>
          <cell r="C1248" t="str">
            <v>潜情のくノ一 望月千代女</v>
          </cell>
        </row>
        <row r="1249">
          <cell r="A1249">
            <v>1248</v>
          </cell>
          <cell r="B1249" t="str">
            <v>ja</v>
          </cell>
          <cell r="C1249" t="str">
            <v>寧々</v>
          </cell>
        </row>
        <row r="1250">
          <cell r="A1250">
            <v>1249</v>
          </cell>
          <cell r="B1250" t="str">
            <v>ja</v>
          </cell>
          <cell r="C1250" t="str">
            <v>君臨する姐御様 寧々</v>
          </cell>
        </row>
        <row r="1251">
          <cell r="A1251">
            <v>1250</v>
          </cell>
          <cell r="B1251" t="str">
            <v>ja</v>
          </cell>
          <cell r="C1251" t="str">
            <v>真田幸村</v>
          </cell>
        </row>
        <row r="1252">
          <cell r="A1252">
            <v>1251</v>
          </cell>
          <cell r="B1252" t="str">
            <v>ja</v>
          </cell>
          <cell r="C1252" t="str">
            <v>錯槍の英勇 真田幸村</v>
          </cell>
        </row>
        <row r="1253">
          <cell r="A1253">
            <v>1252</v>
          </cell>
          <cell r="B1253" t="str">
            <v>ja</v>
          </cell>
          <cell r="C1253" t="str">
            <v>ギャラルホルン</v>
          </cell>
        </row>
        <row r="1254">
          <cell r="A1254">
            <v>1253</v>
          </cell>
          <cell r="B1254" t="str">
            <v>ja</v>
          </cell>
          <cell r="C1254" t="str">
            <v>吹聴する廃徊者 ギャラルホルン</v>
          </cell>
        </row>
        <row r="1255">
          <cell r="A1255">
            <v>1254</v>
          </cell>
          <cell r="B1255" t="str">
            <v>ja</v>
          </cell>
          <cell r="C1255" t="str">
            <v>スリュム</v>
          </cell>
        </row>
        <row r="1256">
          <cell r="A1256">
            <v>1255</v>
          </cell>
          <cell r="B1256" t="str">
            <v>ja</v>
          </cell>
          <cell r="C1256" t="str">
            <v>驕奢の神犯 スリュム</v>
          </cell>
        </row>
        <row r="1257">
          <cell r="A1257">
            <v>1256</v>
          </cell>
          <cell r="B1257" t="str">
            <v>ja</v>
          </cell>
          <cell r="C1257" t="str">
            <v>ヘル</v>
          </cell>
        </row>
        <row r="1258">
          <cell r="A1258">
            <v>1257</v>
          </cell>
          <cell r="B1258" t="str">
            <v>ja</v>
          </cell>
          <cell r="C1258" t="str">
            <v>危能の幼魔神 ヘル</v>
          </cell>
        </row>
        <row r="1259">
          <cell r="A1259">
            <v>1258</v>
          </cell>
          <cell r="B1259" t="str">
            <v>ja</v>
          </cell>
          <cell r="C1259" t="str">
            <v>ロキ</v>
          </cell>
        </row>
        <row r="1260">
          <cell r="A1260">
            <v>1259</v>
          </cell>
          <cell r="B1260" t="str">
            <v>ja</v>
          </cell>
          <cell r="C1260" t="str">
            <v>崩世を叫ぶ悪戯 ロキ</v>
          </cell>
        </row>
        <row r="1261">
          <cell r="A1261">
            <v>1260</v>
          </cell>
          <cell r="B1261" t="str">
            <v>ja</v>
          </cell>
          <cell r="C1261" t="str">
            <v>トール</v>
          </cell>
        </row>
        <row r="1262">
          <cell r="A1262">
            <v>1261</v>
          </cell>
          <cell r="B1262" t="str">
            <v>ja</v>
          </cell>
          <cell r="C1262" t="str">
            <v>燃雷の鎚撃 トール</v>
          </cell>
        </row>
        <row r="1263">
          <cell r="A1263">
            <v>1262</v>
          </cell>
          <cell r="B1263" t="str">
            <v>ja</v>
          </cell>
          <cell r="C1263" t="str">
            <v>イズン</v>
          </cell>
        </row>
        <row r="1264">
          <cell r="A1264">
            <v>1263</v>
          </cell>
          <cell r="B1264" t="str">
            <v>ja</v>
          </cell>
          <cell r="C1264" t="str">
            <v>純朴なる檻理人 イズン</v>
          </cell>
        </row>
        <row r="1265">
          <cell r="A1265">
            <v>1264</v>
          </cell>
          <cell r="B1265" t="str">
            <v>ja</v>
          </cell>
          <cell r="C1265" t="str">
            <v>ウルズ</v>
          </cell>
        </row>
        <row r="1266">
          <cell r="A1266">
            <v>1265</v>
          </cell>
          <cell r="B1266" t="str">
            <v>ja</v>
          </cell>
          <cell r="C1266" t="str">
            <v>静観する世限者 ウルズ</v>
          </cell>
        </row>
        <row r="1267">
          <cell r="A1267">
            <v>1266</v>
          </cell>
          <cell r="B1267" t="str">
            <v>ja</v>
          </cell>
          <cell r="C1267" t="str">
            <v>ガルム</v>
          </cell>
        </row>
        <row r="1268">
          <cell r="A1268">
            <v>1267</v>
          </cell>
          <cell r="B1268" t="str">
            <v>ja</v>
          </cell>
          <cell r="C1268" t="str">
            <v>不遜の冥番犬 ガルム</v>
          </cell>
        </row>
        <row r="1269">
          <cell r="A1269">
            <v>1268</v>
          </cell>
          <cell r="B1269" t="str">
            <v>ja</v>
          </cell>
          <cell r="C1269" t="str">
            <v>ローズ</v>
          </cell>
        </row>
        <row r="1270">
          <cell r="A1270">
            <v>1269</v>
          </cell>
          <cell r="B1270" t="str">
            <v>ja</v>
          </cell>
          <cell r="C1270" t="str">
            <v>エルフラムの女王 ローズ</v>
          </cell>
        </row>
        <row r="1271">
          <cell r="A1271">
            <v>1270</v>
          </cell>
          <cell r="B1271" t="str">
            <v>ja</v>
          </cell>
          <cell r="C1271" t="str">
            <v>コードレッド超覚醒</v>
          </cell>
        </row>
        <row r="1272">
          <cell r="A1272">
            <v>1271</v>
          </cell>
          <cell r="B1272" t="str">
            <v>ja</v>
          </cell>
          <cell r="C1272" t="str">
            <v>ローズ(旧)</v>
          </cell>
        </row>
        <row r="1273">
          <cell r="A1273">
            <v>1272</v>
          </cell>
          <cell r="B1273" t="str">
            <v>ja</v>
          </cell>
          <cell r="C1273" t="str">
            <v>エルフラムの女王 ローズ(旧)</v>
          </cell>
        </row>
        <row r="1274">
          <cell r="A1274">
            <v>1273</v>
          </cell>
          <cell r="B1274" t="str">
            <v>ja</v>
          </cell>
          <cell r="C1274" t="str">
            <v>炎影纏う征討者 織田信長</v>
          </cell>
        </row>
        <row r="1275">
          <cell r="A1275">
            <v>1274</v>
          </cell>
          <cell r="B1275" t="str">
            <v>ja</v>
          </cell>
          <cell r="C1275" t="str">
            <v>神雪と戯れる聖母 マリア</v>
          </cell>
        </row>
        <row r="1276">
          <cell r="A1276">
            <v>1275</v>
          </cell>
          <cell r="B1276" t="str">
            <v>ja</v>
          </cell>
          <cell r="C1276" t="str">
            <v>聖進の贈炎 クリスマス・ベリアル</v>
          </cell>
        </row>
        <row r="1277">
          <cell r="A1277">
            <v>1276</v>
          </cell>
          <cell r="B1277" t="str">
            <v>ja</v>
          </cell>
          <cell r="C1277" t="str">
            <v>聖宴の主彩 サンタクロース・オセ</v>
          </cell>
        </row>
        <row r="1278">
          <cell r="A1278">
            <v>1277</v>
          </cell>
          <cell r="B1278" t="str">
            <v>ja</v>
          </cell>
          <cell r="C1278" t="str">
            <v>彩鈴鳴らす聖天使 ミカエル・イヴ</v>
          </cell>
        </row>
        <row r="1279">
          <cell r="A1279">
            <v>1278</v>
          </cell>
          <cell r="B1279" t="str">
            <v>ja</v>
          </cell>
          <cell r="C1279" t="str">
            <v>ラチカ</v>
          </cell>
        </row>
        <row r="1280">
          <cell r="A1280">
            <v>1279</v>
          </cell>
          <cell r="B1280" t="str">
            <v>ja</v>
          </cell>
          <cell r="C1280" t="str">
            <v>霜聖の雪姫 ラチカ</v>
          </cell>
        </row>
        <row r="1281">
          <cell r="A1281">
            <v>1280</v>
          </cell>
          <cell r="B1281" t="str">
            <v>ja</v>
          </cell>
          <cell r="C1281" t="str">
            <v>聖装の始祖帝 クリスマス卑弥呼</v>
          </cell>
        </row>
        <row r="1282">
          <cell r="A1282">
            <v>1281</v>
          </cell>
          <cell r="B1282" t="str">
            <v>ja</v>
          </cell>
          <cell r="C1282" t="str">
            <v>愛贈の白魔 ノエル・エスタブ</v>
          </cell>
        </row>
        <row r="1283">
          <cell r="A1283">
            <v>1282</v>
          </cell>
          <cell r="B1283" t="str">
            <v>ja</v>
          </cell>
          <cell r="C1283" t="str">
            <v>ポーラとダニー</v>
          </cell>
        </row>
        <row r="1284">
          <cell r="A1284">
            <v>1283</v>
          </cell>
          <cell r="B1284" t="str">
            <v>ja</v>
          </cell>
          <cell r="C1284" t="str">
            <v>連極の機関砲 ポーラとダニー</v>
          </cell>
        </row>
        <row r="1285">
          <cell r="A1285">
            <v>1284</v>
          </cell>
          <cell r="B1285" t="str">
            <v>ja</v>
          </cell>
          <cell r="C1285" t="str">
            <v>マシン・シュプール</v>
          </cell>
        </row>
        <row r="1286">
          <cell r="A1286">
            <v>1285</v>
          </cell>
          <cell r="B1286" t="str">
            <v>ja</v>
          </cell>
          <cell r="C1286" t="str">
            <v>災氷の魔導 シュプール</v>
          </cell>
        </row>
        <row r="1287">
          <cell r="A1287">
            <v>1286</v>
          </cell>
          <cell r="B1287" t="str">
            <v>ja</v>
          </cell>
          <cell r="C1287" t="str">
            <v>ニコラ</v>
          </cell>
        </row>
        <row r="1288">
          <cell r="A1288">
            <v>1287</v>
          </cell>
          <cell r="B1288" t="str">
            <v>ja</v>
          </cell>
          <cell r="C1288" t="str">
            <v>奇蹟呼ぶ聖砲 ニコラ</v>
          </cell>
        </row>
        <row r="1289">
          <cell r="A1289">
            <v>1288</v>
          </cell>
          <cell r="B1289" t="str">
            <v>ja</v>
          </cell>
          <cell r="C1289" t="str">
            <v>聖伝の大主教 セント・ニコラ</v>
          </cell>
        </row>
        <row r="1290">
          <cell r="A1290">
            <v>1289</v>
          </cell>
          <cell r="B1290" t="str">
            <v>ja</v>
          </cell>
          <cell r="C1290" t="str">
            <v>聖封の褒装 ベルベット</v>
          </cell>
        </row>
        <row r="1291">
          <cell r="A1291">
            <v>1290</v>
          </cell>
          <cell r="B1291" t="str">
            <v>ja</v>
          </cell>
          <cell r="C1291" t="str">
            <v>想飾の響鐘 リンジー</v>
          </cell>
        </row>
        <row r="1292">
          <cell r="A1292">
            <v>1291</v>
          </cell>
          <cell r="B1292" t="str">
            <v>ja</v>
          </cell>
          <cell r="C1292" t="str">
            <v>望雅の煌明鹿剣 勘兵衛</v>
          </cell>
        </row>
        <row r="1293">
          <cell r="A1293">
            <v>1292</v>
          </cell>
          <cell r="B1293" t="str">
            <v>ja</v>
          </cell>
          <cell r="C1293" t="str">
            <v>風光明媚の雅鹿剣 勘兵衛</v>
          </cell>
        </row>
        <row r="1294">
          <cell r="A1294">
            <v>1293</v>
          </cell>
          <cell r="B1294" t="str">
            <v>ja</v>
          </cell>
          <cell r="C1294" t="str">
            <v>トトリ</v>
          </cell>
        </row>
        <row r="1295">
          <cell r="A1295">
            <v>1294</v>
          </cell>
          <cell r="B1295" t="str">
            <v>ja</v>
          </cell>
          <cell r="C1295" t="str">
            <v>酉賀なる初飛翔 トトリ</v>
          </cell>
        </row>
        <row r="1296">
          <cell r="A1296">
            <v>1295</v>
          </cell>
          <cell r="B1296" t="str">
            <v>ja</v>
          </cell>
          <cell r="C1296" t="str">
            <v>星空の舞奏 ラビット・ユキネ</v>
          </cell>
        </row>
        <row r="1297">
          <cell r="A1297">
            <v>1296</v>
          </cell>
          <cell r="B1297" t="str">
            <v>ja</v>
          </cell>
          <cell r="C1297" t="str">
            <v>星々駆ける乱奏 ラビット・ユキネ</v>
          </cell>
        </row>
        <row r="1298">
          <cell r="A1298">
            <v>1297</v>
          </cell>
          <cell r="B1298" t="str">
            <v>ja</v>
          </cell>
          <cell r="C1298" t="str">
            <v>雪ミク2017</v>
          </cell>
        </row>
        <row r="1299">
          <cell r="A1299">
            <v>1298</v>
          </cell>
          <cell r="B1299" t="str">
            <v>ja</v>
          </cell>
          <cell r="C1299" t="str">
            <v>星空の歌姫 雪ミク2017</v>
          </cell>
        </row>
        <row r="1300">
          <cell r="A1300">
            <v>1299</v>
          </cell>
          <cell r="B1300" t="str">
            <v>ja</v>
          </cell>
          <cell r="C1300" t="str">
            <v>覚世の楽聖姫 初音ミクV3</v>
          </cell>
        </row>
        <row r="1301">
          <cell r="A1301">
            <v>1300</v>
          </cell>
          <cell r="B1301" t="str">
            <v>ja</v>
          </cell>
          <cell r="C1301" t="str">
            <v>歌装の彩唱 紫式部</v>
          </cell>
        </row>
        <row r="1302">
          <cell r="A1302">
            <v>1301</v>
          </cell>
          <cell r="B1302" t="str">
            <v>ja</v>
          </cell>
          <cell r="C1302" t="str">
            <v>歌装の萌響女 紫式部</v>
          </cell>
        </row>
        <row r="1303">
          <cell r="A1303">
            <v>1302</v>
          </cell>
          <cell r="B1303" t="str">
            <v>ja</v>
          </cell>
          <cell r="C1303" t="str">
            <v>超天突符 イナバ</v>
          </cell>
        </row>
        <row r="1304">
          <cell r="A1304">
            <v>1303</v>
          </cell>
          <cell r="B1304" t="str">
            <v>ja</v>
          </cell>
          <cell r="C1304" t="str">
            <v>転調･超天突符 イナバ</v>
          </cell>
        </row>
        <row r="1305">
          <cell r="A1305">
            <v>1304</v>
          </cell>
          <cell r="B1305" t="str">
            <v>ja</v>
          </cell>
          <cell r="C1305" t="str">
            <v>演鼠の響笛音 ハーメルン</v>
          </cell>
        </row>
        <row r="1306">
          <cell r="A1306">
            <v>1305</v>
          </cell>
          <cell r="B1306" t="str">
            <v>ja</v>
          </cell>
          <cell r="C1306" t="str">
            <v>響界廻る睡鼠楽 ハーメルン</v>
          </cell>
        </row>
        <row r="1307">
          <cell r="A1307">
            <v>1306</v>
          </cell>
          <cell r="B1307" t="str">
            <v>ja</v>
          </cell>
          <cell r="C1307" t="str">
            <v>玉響の唱天 ルシファー</v>
          </cell>
        </row>
        <row r="1308">
          <cell r="A1308">
            <v>1307</v>
          </cell>
          <cell r="B1308" t="str">
            <v>ja</v>
          </cell>
          <cell r="C1308" t="str">
            <v>彩翼の唱天史 ルシファー</v>
          </cell>
        </row>
        <row r="1309">
          <cell r="A1309">
            <v>1308</v>
          </cell>
          <cell r="B1309" t="str">
            <v>ja</v>
          </cell>
          <cell r="C1309" t="str">
            <v>革鳴の響奏撃 初音ミク</v>
          </cell>
        </row>
        <row r="1310">
          <cell r="A1310">
            <v>1309</v>
          </cell>
          <cell r="B1310" t="str">
            <v>ja</v>
          </cell>
          <cell r="C1310" t="str">
            <v>虹彩の美唱姫 初音ミク・アペンド</v>
          </cell>
        </row>
        <row r="1311">
          <cell r="A1311">
            <v>1310</v>
          </cell>
          <cell r="B1311" t="str">
            <v>ja</v>
          </cell>
          <cell r="C1311" t="str">
            <v>聖律する歌姫 初音ミク・アペンド</v>
          </cell>
        </row>
        <row r="1312">
          <cell r="A1312">
            <v>1311</v>
          </cell>
          <cell r="B1312" t="str">
            <v>ja</v>
          </cell>
          <cell r="C1312" t="str">
            <v>輪音する大反響 鏡音リン</v>
          </cell>
        </row>
        <row r="1313">
          <cell r="A1313">
            <v>1312</v>
          </cell>
          <cell r="B1313" t="str">
            <v>ja</v>
          </cell>
          <cell r="C1313" t="str">
            <v>連譜する大残響 鏡音レン</v>
          </cell>
        </row>
        <row r="1314">
          <cell r="A1314">
            <v>1313</v>
          </cell>
          <cell r="B1314" t="str">
            <v>ja</v>
          </cell>
          <cell r="C1314" t="str">
            <v>旋律する音廻 巡音ルカ</v>
          </cell>
        </row>
        <row r="1315">
          <cell r="A1315">
            <v>1314</v>
          </cell>
          <cell r="B1315" t="str">
            <v>ja</v>
          </cell>
          <cell r="C1315" t="str">
            <v>救声の唱動 MEIKO</v>
          </cell>
        </row>
        <row r="1316">
          <cell r="A1316">
            <v>1315</v>
          </cell>
          <cell r="B1316" t="str">
            <v>ja</v>
          </cell>
          <cell r="C1316" t="str">
            <v>快響の楽唱歌 KAITO</v>
          </cell>
        </row>
        <row r="1317">
          <cell r="A1317">
            <v>1316</v>
          </cell>
          <cell r="B1317" t="str">
            <v>ja</v>
          </cell>
          <cell r="C1317" t="str">
            <v>初音ミクV4X</v>
          </cell>
        </row>
        <row r="1318">
          <cell r="A1318">
            <v>1317</v>
          </cell>
          <cell r="B1318" t="str">
            <v>ja</v>
          </cell>
          <cell r="C1318" t="str">
            <v>進歌する声域 初音ミクV4X</v>
          </cell>
        </row>
        <row r="1319">
          <cell r="A1319">
            <v>1318</v>
          </cell>
          <cell r="B1319" t="str">
            <v>ja</v>
          </cell>
          <cell r="C1319" t="str">
            <v>鏡音リンV4X</v>
          </cell>
        </row>
        <row r="1320">
          <cell r="A1320">
            <v>1319</v>
          </cell>
          <cell r="B1320" t="str">
            <v>ja</v>
          </cell>
          <cell r="C1320" t="str">
            <v>甘恋の激唱歌 鏡音リンV4X</v>
          </cell>
        </row>
        <row r="1321">
          <cell r="A1321">
            <v>1320</v>
          </cell>
          <cell r="B1321" t="str">
            <v>ja</v>
          </cell>
          <cell r="C1321" t="str">
            <v>鏡音レンV4X</v>
          </cell>
        </row>
        <row r="1322">
          <cell r="A1322">
            <v>1321</v>
          </cell>
          <cell r="B1322" t="str">
            <v>ja</v>
          </cell>
          <cell r="C1322" t="str">
            <v>純凛の柔唱歌 鏡音レンV4X</v>
          </cell>
        </row>
        <row r="1323">
          <cell r="A1323">
            <v>1322</v>
          </cell>
          <cell r="B1323" t="str">
            <v>ja</v>
          </cell>
          <cell r="C1323" t="str">
            <v>巡音ルカV4X</v>
          </cell>
        </row>
        <row r="1324">
          <cell r="A1324">
            <v>1323</v>
          </cell>
          <cell r="B1324" t="str">
            <v>ja</v>
          </cell>
          <cell r="C1324" t="str">
            <v>吐鳴する響惹 巡音ルカV4X</v>
          </cell>
        </row>
        <row r="1325">
          <cell r="A1325">
            <v>1324</v>
          </cell>
          <cell r="B1325" t="str">
            <v>ja</v>
          </cell>
          <cell r="C1325" t="str">
            <v>アウリ</v>
          </cell>
        </row>
        <row r="1326">
          <cell r="A1326">
            <v>1325</v>
          </cell>
          <cell r="B1326" t="str">
            <v>ja</v>
          </cell>
          <cell r="C1326" t="str">
            <v>阿吽の神護犬 アウリ</v>
          </cell>
        </row>
        <row r="1327">
          <cell r="A1327">
            <v>1326</v>
          </cell>
          <cell r="B1327" t="str">
            <v>ja</v>
          </cell>
          <cell r="C1327" t="str">
            <v>ワカヒルメ</v>
          </cell>
        </row>
        <row r="1328">
          <cell r="A1328">
            <v>1327</v>
          </cell>
          <cell r="B1328" t="str">
            <v>ja</v>
          </cell>
          <cell r="C1328" t="str">
            <v>織神衣の幼神 ワカヒルメ</v>
          </cell>
        </row>
        <row r="1329">
          <cell r="A1329">
            <v>1328</v>
          </cell>
          <cell r="B1329" t="str">
            <v>ja</v>
          </cell>
          <cell r="C1329" t="str">
            <v>ヒノカグツチ</v>
          </cell>
        </row>
        <row r="1330">
          <cell r="A1330">
            <v>1329</v>
          </cell>
          <cell r="B1330" t="str">
            <v>ja</v>
          </cell>
          <cell r="C1330" t="str">
            <v>神抗の火産霊 ヒノカグツチ</v>
          </cell>
        </row>
        <row r="1331">
          <cell r="A1331">
            <v>1330</v>
          </cell>
          <cell r="B1331" t="str">
            <v>ja</v>
          </cell>
          <cell r="C1331" t="str">
            <v>スサノオ</v>
          </cell>
        </row>
        <row r="1332">
          <cell r="A1332">
            <v>1331</v>
          </cell>
          <cell r="B1332" t="str">
            <v>ja</v>
          </cell>
          <cell r="C1332" t="str">
            <v>傑戦の大強神 スサノオ</v>
          </cell>
        </row>
        <row r="1333">
          <cell r="A1333">
            <v>1332</v>
          </cell>
          <cell r="B1333" t="str">
            <v>ja</v>
          </cell>
          <cell r="C1333" t="str">
            <v>クシナダヒメ</v>
          </cell>
        </row>
        <row r="1334">
          <cell r="A1334">
            <v>1333</v>
          </cell>
          <cell r="B1334" t="str">
            <v>ja</v>
          </cell>
          <cell r="C1334" t="str">
            <v>神心を射る穂神 クシナダヒメ</v>
          </cell>
        </row>
        <row r="1335">
          <cell r="A1335">
            <v>1334</v>
          </cell>
          <cell r="B1335" t="str">
            <v>ja</v>
          </cell>
          <cell r="C1335" t="str">
            <v>タマヨリヒメ</v>
          </cell>
        </row>
        <row r="1336">
          <cell r="A1336">
            <v>1335</v>
          </cell>
          <cell r="B1336" t="str">
            <v>ja</v>
          </cell>
          <cell r="C1336" t="str">
            <v>霊司の神憑 タマヨリヒメ</v>
          </cell>
        </row>
        <row r="1337">
          <cell r="A1337">
            <v>1336</v>
          </cell>
          <cell r="B1337" t="str">
            <v>ja</v>
          </cell>
          <cell r="C1337" t="str">
            <v>イザナギ</v>
          </cell>
        </row>
        <row r="1338">
          <cell r="A1338">
            <v>1337</v>
          </cell>
          <cell r="B1338" t="str">
            <v>ja</v>
          </cell>
          <cell r="C1338" t="str">
            <v>成命の綜父神 イザナギ</v>
          </cell>
        </row>
        <row r="1339">
          <cell r="A1339">
            <v>1338</v>
          </cell>
          <cell r="B1339" t="str">
            <v>ja</v>
          </cell>
          <cell r="C1339" t="str">
            <v>アメノウズメ</v>
          </cell>
        </row>
        <row r="1340">
          <cell r="A1340">
            <v>1339</v>
          </cell>
          <cell r="B1340" t="str">
            <v>ja</v>
          </cell>
          <cell r="C1340" t="str">
            <v>復古の舞芸神 アメノウズメ</v>
          </cell>
        </row>
        <row r="1341">
          <cell r="A1341">
            <v>1340</v>
          </cell>
          <cell r="B1341" t="str">
            <v>ja</v>
          </cell>
          <cell r="C1341" t="str">
            <v>ハレー</v>
          </cell>
        </row>
        <row r="1342">
          <cell r="A1342">
            <v>1341</v>
          </cell>
          <cell r="B1342" t="str">
            <v>ja</v>
          </cell>
          <cell r="C1342" t="str">
            <v>攻核の翠星機導 ハレー</v>
          </cell>
        </row>
        <row r="1343">
          <cell r="A1343">
            <v>1342</v>
          </cell>
          <cell r="B1343" t="str">
            <v>ja</v>
          </cell>
          <cell r="C1343" t="str">
            <v>ヘルレイザー</v>
          </cell>
        </row>
        <row r="1344">
          <cell r="A1344">
            <v>1343</v>
          </cell>
          <cell r="B1344" t="str">
            <v>ja</v>
          </cell>
          <cell r="C1344" t="str">
            <v>処命する凶掌 ヘルレイザー</v>
          </cell>
        </row>
        <row r="1345">
          <cell r="A1345">
            <v>1344</v>
          </cell>
          <cell r="B1345" t="str">
            <v>ja</v>
          </cell>
          <cell r="C1345" t="str">
            <v>空き</v>
          </cell>
        </row>
        <row r="1346">
          <cell r="A1346">
            <v>1345</v>
          </cell>
          <cell r="B1346" t="str">
            <v>ja</v>
          </cell>
          <cell r="C1346" t="str">
            <v>空き</v>
          </cell>
        </row>
        <row r="1347">
          <cell r="A1347">
            <v>1346</v>
          </cell>
          <cell r="B1347" t="str">
            <v>ja</v>
          </cell>
          <cell r="C1347" t="str">
            <v>セルシウス</v>
          </cell>
        </row>
        <row r="1348">
          <cell r="A1348">
            <v>1347</v>
          </cell>
          <cell r="B1348" t="str">
            <v>ja</v>
          </cell>
          <cell r="C1348" t="str">
            <v>帝冷の剣氏 セルシウス</v>
          </cell>
        </row>
        <row r="1349">
          <cell r="A1349">
            <v>1348</v>
          </cell>
          <cell r="B1349" t="str">
            <v>ja</v>
          </cell>
          <cell r="C1349" t="str">
            <v>パウリ</v>
          </cell>
        </row>
        <row r="1350">
          <cell r="A1350">
            <v>1349</v>
          </cell>
          <cell r="B1350" t="str">
            <v>ja</v>
          </cell>
          <cell r="C1350" t="str">
            <v>機壊の輪旋 パウリ</v>
          </cell>
        </row>
        <row r="1351">
          <cell r="A1351">
            <v>1350</v>
          </cell>
          <cell r="B1351" t="str">
            <v>ja</v>
          </cell>
          <cell r="C1351" t="str">
            <v>ブラウニーR5</v>
          </cell>
        </row>
        <row r="1352">
          <cell r="A1352">
            <v>1351</v>
          </cell>
          <cell r="B1352" t="str">
            <v>ja</v>
          </cell>
          <cell r="C1352" t="str">
            <v>甘頬の魔糖菓 プラリーヌ</v>
          </cell>
        </row>
        <row r="1353">
          <cell r="A1353">
            <v>1352</v>
          </cell>
          <cell r="B1353" t="str">
            <v>ja</v>
          </cell>
          <cell r="C1353" t="str">
            <v>トウカ</v>
          </cell>
        </row>
        <row r="1354">
          <cell r="A1354">
            <v>1353</v>
          </cell>
          <cell r="B1354" t="str">
            <v>ja</v>
          </cell>
          <cell r="C1354" t="str">
            <v>恋待つ帰り道 トウカ</v>
          </cell>
        </row>
        <row r="1355">
          <cell r="A1355">
            <v>1354</v>
          </cell>
          <cell r="B1355" t="str">
            <v>ja</v>
          </cell>
          <cell r="C1355" t="str">
            <v>放課後の恋妃神 フレイヤ</v>
          </cell>
        </row>
        <row r="1356">
          <cell r="A1356">
            <v>1355</v>
          </cell>
          <cell r="B1356" t="str">
            <v>ja</v>
          </cell>
          <cell r="C1356" t="str">
            <v>恋する燦天使 メタトロン・エモ</v>
          </cell>
        </row>
        <row r="1357">
          <cell r="A1357">
            <v>1356</v>
          </cell>
          <cell r="B1357" t="str">
            <v>ja</v>
          </cell>
          <cell r="C1357" t="str">
            <v>恋狐の甘味振舞 タマモ</v>
          </cell>
        </row>
        <row r="1358">
          <cell r="A1358">
            <v>1357</v>
          </cell>
          <cell r="B1358" t="str">
            <v>ja</v>
          </cell>
          <cell r="C1358" t="str">
            <v>甘美なる想導司書 アズラエル</v>
          </cell>
        </row>
        <row r="1359">
          <cell r="A1359">
            <v>1358</v>
          </cell>
          <cell r="B1359" t="str">
            <v>ja</v>
          </cell>
          <cell r="C1359" t="str">
            <v>暴走する恋激火 バハムート</v>
          </cell>
        </row>
        <row r="1360">
          <cell r="A1360">
            <v>1359</v>
          </cell>
          <cell r="B1360" t="str">
            <v>ja</v>
          </cell>
          <cell r="C1360" t="str">
            <v>コルネ</v>
          </cell>
        </row>
        <row r="1361">
          <cell r="A1361">
            <v>1360</v>
          </cell>
          <cell r="B1361" t="str">
            <v>ja</v>
          </cell>
          <cell r="C1361" t="str">
            <v>恋話の散弾 コルネ</v>
          </cell>
        </row>
        <row r="1362">
          <cell r="A1362">
            <v>1361</v>
          </cell>
          <cell r="B1362" t="str">
            <v>ja</v>
          </cell>
          <cell r="C1362" t="str">
            <v>ショコラR6(使用せず)</v>
          </cell>
        </row>
        <row r="1363">
          <cell r="A1363">
            <v>1362</v>
          </cell>
          <cell r="B1363" t="str">
            <v>ja</v>
          </cell>
          <cell r="C1363" t="str">
            <v>刺撃する尖甘槍 フォンデュ</v>
          </cell>
        </row>
        <row r="1364">
          <cell r="A1364">
            <v>1363</v>
          </cell>
          <cell r="B1364" t="str">
            <v>ja</v>
          </cell>
          <cell r="C1364" t="str">
            <v>聖白の夢菓子 ヴァニレ</v>
          </cell>
        </row>
        <row r="1365">
          <cell r="A1365">
            <v>1364</v>
          </cell>
          <cell r="B1365" t="str">
            <v>ja</v>
          </cell>
          <cell r="C1365" t="str">
            <v>百菓の甘味家 パティ</v>
          </cell>
        </row>
        <row r="1366">
          <cell r="A1366">
            <v>1365</v>
          </cell>
          <cell r="B1366" t="str">
            <v>ja</v>
          </cell>
          <cell r="C1366" t="str">
            <v>バリアテスト</v>
          </cell>
        </row>
        <row r="1367">
          <cell r="A1367">
            <v>1366</v>
          </cell>
          <cell r="B1367" t="str">
            <v>ja</v>
          </cell>
          <cell r="C1367" t="str">
            <v>バリアテスト</v>
          </cell>
        </row>
        <row r="1368">
          <cell r="A1368">
            <v>1367</v>
          </cell>
          <cell r="B1368" t="str">
            <v>ja</v>
          </cell>
          <cell r="C1368" t="str">
            <v>ベルヌーイ</v>
          </cell>
        </row>
        <row r="1369">
          <cell r="A1369">
            <v>1368</v>
          </cell>
          <cell r="B1369" t="str">
            <v>ja</v>
          </cell>
          <cell r="C1369" t="str">
            <v>憤流する水鳴砲 ベルヌーイ</v>
          </cell>
        </row>
        <row r="1370">
          <cell r="A1370">
            <v>1369</v>
          </cell>
          <cell r="B1370" t="str">
            <v>ja</v>
          </cell>
          <cell r="C1370" t="str">
            <v>トロイア</v>
          </cell>
        </row>
        <row r="1371">
          <cell r="A1371">
            <v>1370</v>
          </cell>
          <cell r="B1371" t="str">
            <v>ja</v>
          </cell>
          <cell r="C1371" t="str">
            <v>美審なる神争 トロイア</v>
          </cell>
        </row>
        <row r="1372">
          <cell r="A1372">
            <v>1373</v>
          </cell>
          <cell r="B1372" t="str">
            <v>ja</v>
          </cell>
          <cell r="C1372" t="str">
            <v>スリー・ピギーズ</v>
          </cell>
        </row>
        <row r="1373">
          <cell r="A1373">
            <v>1374</v>
          </cell>
          <cell r="B1373" t="str">
            <v>ja</v>
          </cell>
          <cell r="C1373" t="str">
            <v>一級建築兄弟 スリー・ピギーズ</v>
          </cell>
        </row>
        <row r="1374">
          <cell r="A1374">
            <v>1375</v>
          </cell>
          <cell r="B1374" t="str">
            <v>ja</v>
          </cell>
          <cell r="C1374" t="str">
            <v>ジキル&amp;ハイド</v>
          </cell>
        </row>
        <row r="1375">
          <cell r="A1375">
            <v>1376</v>
          </cell>
          <cell r="B1375" t="str">
            <v>ja</v>
          </cell>
          <cell r="C1375" t="str">
            <v>剥離性異常衝動 ジキル&amp;ハイド</v>
          </cell>
        </row>
        <row r="1376">
          <cell r="A1376">
            <v>1377</v>
          </cell>
          <cell r="B1376" t="str">
            <v>ja</v>
          </cell>
          <cell r="C1376" t="str">
            <v>ダンテ・クリスト</v>
          </cell>
        </row>
        <row r="1377">
          <cell r="A1377">
            <v>1378</v>
          </cell>
          <cell r="B1377" t="str">
            <v>ja</v>
          </cell>
          <cell r="C1377" t="str">
            <v>巌窟の魔主 ダンテ・クリスト</v>
          </cell>
        </row>
        <row r="1378">
          <cell r="A1378">
            <v>1379</v>
          </cell>
          <cell r="B1378" t="str">
            <v>ja</v>
          </cell>
          <cell r="C1378" t="str">
            <v>アンデルセン</v>
          </cell>
        </row>
        <row r="1379">
          <cell r="A1379">
            <v>1380</v>
          </cell>
          <cell r="B1379" t="str">
            <v>ja</v>
          </cell>
          <cell r="C1379" t="str">
            <v>詩線上の導話 アンデルセン</v>
          </cell>
        </row>
        <row r="1380">
          <cell r="A1380">
            <v>1381</v>
          </cell>
          <cell r="B1380" t="str">
            <v>ja</v>
          </cell>
          <cell r="C1380" t="str">
            <v>ガリバー</v>
          </cell>
        </row>
        <row r="1381">
          <cell r="A1381">
            <v>1382</v>
          </cell>
          <cell r="B1381" t="str">
            <v>ja</v>
          </cell>
          <cell r="C1381" t="str">
            <v>賢巨なる渡来者 ガリバー</v>
          </cell>
        </row>
        <row r="1382">
          <cell r="A1382">
            <v>1383</v>
          </cell>
          <cell r="B1382" t="str">
            <v>ja</v>
          </cell>
          <cell r="C1382" t="str">
            <v>シンドバッド</v>
          </cell>
        </row>
        <row r="1383">
          <cell r="A1383">
            <v>1384</v>
          </cell>
          <cell r="B1383" t="str">
            <v>ja</v>
          </cell>
          <cell r="C1383" t="str">
            <v>獲宝の航界者 シンドバッド</v>
          </cell>
        </row>
        <row r="1384">
          <cell r="A1384">
            <v>1385</v>
          </cell>
          <cell r="B1384" t="str">
            <v>ja</v>
          </cell>
          <cell r="C1384" t="str">
            <v>いばら姫</v>
          </cell>
        </row>
        <row r="1385">
          <cell r="A1385">
            <v>1386</v>
          </cell>
          <cell r="B1385" t="str">
            <v>ja</v>
          </cell>
          <cell r="C1385" t="str">
            <v>荊棘の覚醒姫 いばら姫</v>
          </cell>
        </row>
        <row r="1386">
          <cell r="A1386">
            <v>1387</v>
          </cell>
          <cell r="B1386" t="str">
            <v>ja</v>
          </cell>
          <cell r="C1386" t="str">
            <v>ダルタニャン</v>
          </cell>
        </row>
        <row r="1387">
          <cell r="A1387">
            <v>1388</v>
          </cell>
          <cell r="B1387" t="str">
            <v>ja</v>
          </cell>
          <cell r="C1387" t="str">
            <v>讃勇の銃士長 ダルタニャン</v>
          </cell>
        </row>
        <row r="1388">
          <cell r="A1388">
            <v>1389</v>
          </cell>
          <cell r="B1388" t="str">
            <v>ja</v>
          </cell>
          <cell r="C1388" t="str">
            <v>ユング</v>
          </cell>
        </row>
        <row r="1389">
          <cell r="A1389">
            <v>1390</v>
          </cell>
          <cell r="B1389" t="str">
            <v>ja</v>
          </cell>
          <cell r="C1389" t="str">
            <v>夢誘心解の蒼翼 ユング</v>
          </cell>
        </row>
        <row r="1390">
          <cell r="A1390">
            <v>1393</v>
          </cell>
          <cell r="B1390" t="str">
            <v>ja</v>
          </cell>
          <cell r="C1390" t="str">
            <v>ライプニッツ</v>
          </cell>
        </row>
        <row r="1391">
          <cell r="A1391">
            <v>1394</v>
          </cell>
          <cell r="B1391" t="str">
            <v>ja</v>
          </cell>
          <cell r="C1391" t="str">
            <v>永普の存在論 ライプニッツ</v>
          </cell>
        </row>
        <row r="1392">
          <cell r="A1392">
            <v>1395</v>
          </cell>
          <cell r="B1392" t="str">
            <v>ja</v>
          </cell>
          <cell r="C1392" t="str">
            <v>神和の表象展開 ライプニッツ</v>
          </cell>
        </row>
        <row r="1393">
          <cell r="A1393">
            <v>1399</v>
          </cell>
          <cell r="B1393" t="str">
            <v>ja</v>
          </cell>
          <cell r="C1393" t="str">
            <v>ラヴァーズ</v>
          </cell>
        </row>
        <row r="1394">
          <cell r="A1394">
            <v>1400</v>
          </cell>
          <cell r="B1394" t="str">
            <v>ja</v>
          </cell>
          <cell r="C1394" t="str">
            <v>奏愛する虜籠 ラヴァーズ</v>
          </cell>
        </row>
        <row r="1395">
          <cell r="A1395">
            <v>1401</v>
          </cell>
          <cell r="B1395" t="str">
            <v>ja</v>
          </cell>
          <cell r="C1395" t="str">
            <v>レムリア</v>
          </cell>
        </row>
        <row r="1396">
          <cell r="A1396">
            <v>1402</v>
          </cell>
          <cell r="B1396" t="str">
            <v>ja</v>
          </cell>
          <cell r="C1396" t="str">
            <v>縞彩の豊嬢 レムリア</v>
          </cell>
        </row>
        <row r="1397">
          <cell r="A1397">
            <v>1403</v>
          </cell>
          <cell r="B1397" t="str">
            <v>ja</v>
          </cell>
          <cell r="C1397" t="str">
            <v>炎帝の守護獣神 朱雀</v>
          </cell>
        </row>
        <row r="1398">
          <cell r="A1398">
            <v>1404</v>
          </cell>
          <cell r="B1398" t="str">
            <v>ja</v>
          </cell>
          <cell r="C1398" t="str">
            <v>玄帝の守護獣神 玄武</v>
          </cell>
        </row>
        <row r="1399">
          <cell r="A1399">
            <v>1405</v>
          </cell>
          <cell r="B1399" t="str">
            <v>ja</v>
          </cell>
          <cell r="C1399" t="str">
            <v>蒼帝の守護獣神 青龍</v>
          </cell>
        </row>
        <row r="1400">
          <cell r="A1400">
            <v>1406</v>
          </cell>
          <cell r="B1400" t="str">
            <v>ja</v>
          </cell>
          <cell r="C1400" t="str">
            <v>白帝の守護獣神 白虎</v>
          </cell>
        </row>
        <row r="1401">
          <cell r="A1401">
            <v>1407</v>
          </cell>
          <cell r="B1401" t="str">
            <v>ja</v>
          </cell>
          <cell r="C1401" t="str">
            <v>グリム・ザ・ダンディ</v>
          </cell>
        </row>
        <row r="1402">
          <cell r="A1402">
            <v>1408</v>
          </cell>
          <cell r="B1402" t="str">
            <v>ja</v>
          </cell>
          <cell r="C1402" t="str">
            <v>爽愛の求魂 グリム・ザ・ダンディ</v>
          </cell>
        </row>
        <row r="1403">
          <cell r="A1403">
            <v>1409</v>
          </cell>
          <cell r="B1403" t="str">
            <v>ja</v>
          </cell>
          <cell r="C1403" t="str">
            <v>マシロ</v>
          </cell>
        </row>
        <row r="1404">
          <cell r="A1404">
            <v>1410</v>
          </cell>
          <cell r="B1404" t="str">
            <v>ja</v>
          </cell>
          <cell r="C1404" t="str">
            <v>浮遊する白恋 マシロ</v>
          </cell>
        </row>
        <row r="1405">
          <cell r="A1405">
            <v>1411</v>
          </cell>
          <cell r="B1405" t="str">
            <v>ja</v>
          </cell>
          <cell r="C1405" t="str">
            <v>ピーターパン・イノセンス</v>
          </cell>
        </row>
        <row r="1406">
          <cell r="A1406">
            <v>1412</v>
          </cell>
          <cell r="B1406" t="str">
            <v>ja</v>
          </cell>
          <cell r="C1406" t="str">
            <v>アレス・パッション</v>
          </cell>
        </row>
        <row r="1407">
          <cell r="A1407">
            <v>1413</v>
          </cell>
          <cell r="B1407" t="str">
            <v>ja</v>
          </cell>
          <cell r="C1407" t="str">
            <v>クリムト・ペリューシド</v>
          </cell>
        </row>
        <row r="1408">
          <cell r="A1408">
            <v>1414</v>
          </cell>
          <cell r="B1408" t="str">
            <v>ja</v>
          </cell>
          <cell r="C1408" t="str">
            <v>炎のミリオンダック 7</v>
          </cell>
        </row>
        <row r="1409">
          <cell r="A1409">
            <v>1415</v>
          </cell>
          <cell r="B1409" t="str">
            <v>ja</v>
          </cell>
          <cell r="C1409" t="str">
            <v>森のミリオンダック 7</v>
          </cell>
        </row>
        <row r="1410">
          <cell r="A1410">
            <v>1416</v>
          </cell>
          <cell r="B1410" t="str">
            <v>ja</v>
          </cell>
          <cell r="C1410" t="str">
            <v>水のミリオンダック 7</v>
          </cell>
        </row>
        <row r="1411">
          <cell r="A1411">
            <v>1417</v>
          </cell>
          <cell r="B1411" t="str">
            <v>ja</v>
          </cell>
          <cell r="C1411" t="str">
            <v>雷のミリオンダック 7</v>
          </cell>
        </row>
        <row r="1412">
          <cell r="A1412">
            <v>1418</v>
          </cell>
          <cell r="B1412" t="str">
            <v>ja</v>
          </cell>
          <cell r="C1412" t="str">
            <v>擬潜送侵型メリッサ2.0</v>
          </cell>
        </row>
        <row r="1413">
          <cell r="A1413">
            <v>1419</v>
          </cell>
          <cell r="B1413" t="str">
            <v>ja</v>
          </cell>
          <cell r="C1413" t="str">
            <v>感潜する侵感 メリッサ</v>
          </cell>
        </row>
        <row r="1414">
          <cell r="A1414">
            <v>1420</v>
          </cell>
          <cell r="B1414" t="str">
            <v>ja</v>
          </cell>
          <cell r="C1414" t="str">
            <v>脆侵増殖型G・モリス</v>
          </cell>
        </row>
        <row r="1415">
          <cell r="A1415">
            <v>1421</v>
          </cell>
          <cell r="B1415" t="str">
            <v>ja</v>
          </cell>
          <cell r="C1415" t="str">
            <v>拡勢する偽増 モリス</v>
          </cell>
        </row>
        <row r="1416">
          <cell r="A1416">
            <v>1422</v>
          </cell>
          <cell r="B1416" t="str">
            <v>ja</v>
          </cell>
          <cell r="C1416" t="str">
            <v>解錠放散性ニムダE</v>
          </cell>
        </row>
        <row r="1417">
          <cell r="A1417">
            <v>1423</v>
          </cell>
          <cell r="B1417" t="str">
            <v>ja</v>
          </cell>
          <cell r="C1417" t="str">
            <v>電播する環染 ニムダ</v>
          </cell>
        </row>
        <row r="1418">
          <cell r="A1418">
            <v>1424</v>
          </cell>
          <cell r="B1418" t="str">
            <v>ja</v>
          </cell>
          <cell r="C1418" t="str">
            <v>波打際の宴麗 フロイト</v>
          </cell>
        </row>
        <row r="1419">
          <cell r="A1419">
            <v>1425</v>
          </cell>
          <cell r="B1419" t="str">
            <v>ja</v>
          </cell>
          <cell r="C1419" t="str">
            <v>ヴォルタ</v>
          </cell>
        </row>
        <row r="1420">
          <cell r="A1420">
            <v>1426</v>
          </cell>
          <cell r="B1420" t="str">
            <v>ja</v>
          </cell>
          <cell r="C1420" t="str">
            <v>灼々たる電花 ヴォルタ</v>
          </cell>
        </row>
        <row r="1421">
          <cell r="A1421">
            <v>1427</v>
          </cell>
          <cell r="B1421" t="str">
            <v>ja</v>
          </cell>
          <cell r="C1421" t="str">
            <v>プラトー</v>
          </cell>
        </row>
        <row r="1422">
          <cell r="A1422">
            <v>1428</v>
          </cell>
          <cell r="B1422" t="str">
            <v>ja</v>
          </cell>
          <cell r="C1422" t="str">
            <v>幻影の泡沫 プラトー</v>
          </cell>
        </row>
        <row r="1423">
          <cell r="A1423">
            <v>1431</v>
          </cell>
          <cell r="B1423" t="str">
            <v>ja</v>
          </cell>
          <cell r="C1423" t="str">
            <v>センコ</v>
          </cell>
        </row>
        <row r="1424">
          <cell r="A1424">
            <v>1432</v>
          </cell>
          <cell r="B1424" t="str">
            <v>ja</v>
          </cell>
          <cell r="C1424" t="str">
            <v>華宴の千年狐 センコ</v>
          </cell>
        </row>
        <row r="1425">
          <cell r="A1425">
            <v>1433</v>
          </cell>
          <cell r="B1425" t="str">
            <v>ja</v>
          </cell>
          <cell r="C1425" t="str">
            <v>超越の果実</v>
          </cell>
        </row>
        <row r="1426">
          <cell r="A1426">
            <v>1434</v>
          </cell>
          <cell r="B1426" t="str">
            <v>ja</v>
          </cell>
          <cell r="C1426" t="str">
            <v>メガ超越の果実</v>
          </cell>
        </row>
        <row r="1427">
          <cell r="A1427">
            <v>1435</v>
          </cell>
          <cell r="B1427" t="str">
            <v>ja</v>
          </cell>
          <cell r="C1427" t="str">
            <v>ギガ超越の果実</v>
          </cell>
        </row>
        <row r="1428">
          <cell r="A1428">
            <v>1436</v>
          </cell>
          <cell r="B1428" t="str">
            <v>ja</v>
          </cell>
          <cell r="C1428" t="str">
            <v>スパルタ</v>
          </cell>
        </row>
        <row r="1429">
          <cell r="A1429">
            <v>1437</v>
          </cell>
          <cell r="B1429" t="str">
            <v>ja</v>
          </cell>
          <cell r="C1429" t="str">
            <v>暴厳の練磨師 スパルタ</v>
          </cell>
        </row>
        <row r="1430">
          <cell r="A1430">
            <v>1438</v>
          </cell>
          <cell r="B1430" t="str">
            <v>ja</v>
          </cell>
          <cell r="C1430" t="str">
            <v>ゼノビア</v>
          </cell>
        </row>
        <row r="1431">
          <cell r="A1431">
            <v>1439</v>
          </cell>
          <cell r="B1431" t="str">
            <v>ja</v>
          </cell>
          <cell r="C1431" t="str">
            <v>狡貴なる女傑 ゼノビア</v>
          </cell>
        </row>
        <row r="1432">
          <cell r="A1432">
            <v>1440</v>
          </cell>
          <cell r="B1432" t="str">
            <v>ja</v>
          </cell>
          <cell r="C1432" t="str">
            <v>ブルータス</v>
          </cell>
        </row>
        <row r="1433">
          <cell r="A1433">
            <v>1441</v>
          </cell>
          <cell r="B1433" t="str">
            <v>ja</v>
          </cell>
          <cell r="C1433" t="str">
            <v>背信の謀剣 ブルータス</v>
          </cell>
        </row>
        <row r="1434">
          <cell r="A1434">
            <v>1442</v>
          </cell>
          <cell r="B1434" t="str">
            <v>ja</v>
          </cell>
          <cell r="C1434" t="str">
            <v>アレキサンダー</v>
          </cell>
        </row>
        <row r="1435">
          <cell r="A1435">
            <v>1443</v>
          </cell>
          <cell r="B1435" t="str">
            <v>ja</v>
          </cell>
          <cell r="C1435" t="str">
            <v>征世の大英雄 アレキサンダー</v>
          </cell>
        </row>
        <row r="1436">
          <cell r="A1436">
            <v>1444</v>
          </cell>
          <cell r="B1436" t="str">
            <v>ja</v>
          </cell>
          <cell r="C1436" t="str">
            <v>クレオパトラ</v>
          </cell>
        </row>
        <row r="1437">
          <cell r="A1437">
            <v>1445</v>
          </cell>
          <cell r="B1437" t="str">
            <v>ja</v>
          </cell>
          <cell r="C1437" t="str">
            <v>絶征の魅女 クレオパトラ</v>
          </cell>
        </row>
        <row r="1438">
          <cell r="A1438">
            <v>1446</v>
          </cell>
          <cell r="B1438" t="str">
            <v>ja</v>
          </cell>
          <cell r="C1438" t="str">
            <v>カエサル</v>
          </cell>
        </row>
        <row r="1439">
          <cell r="A1439">
            <v>1447</v>
          </cell>
          <cell r="B1439" t="str">
            <v>ja</v>
          </cell>
          <cell r="C1439" t="str">
            <v>拓越の軍官 カエサル</v>
          </cell>
        </row>
        <row r="1440">
          <cell r="A1440">
            <v>1448</v>
          </cell>
          <cell r="B1440" t="str">
            <v>ja</v>
          </cell>
          <cell r="C1440" t="str">
            <v>ハンニバル</v>
          </cell>
        </row>
        <row r="1441">
          <cell r="A1441">
            <v>1449</v>
          </cell>
          <cell r="B1441" t="str">
            <v>ja</v>
          </cell>
          <cell r="C1441" t="str">
            <v>天賦の閃術家 ハンニバル</v>
          </cell>
        </row>
        <row r="1442">
          <cell r="A1442">
            <v>1450</v>
          </cell>
          <cell r="B1442" t="str">
            <v>ja</v>
          </cell>
          <cell r="C1442" t="str">
            <v>ブーディカ</v>
          </cell>
        </row>
        <row r="1443">
          <cell r="A1443">
            <v>1451</v>
          </cell>
          <cell r="B1443" t="str">
            <v>ja</v>
          </cell>
          <cell r="C1443" t="str">
            <v>沈黙の禁領 ブーディカ</v>
          </cell>
        </row>
        <row r="1444">
          <cell r="A1444">
            <v>1452</v>
          </cell>
          <cell r="B1444" t="str">
            <v>ja</v>
          </cell>
          <cell r="C1444" t="str">
            <v>メルセンヌ</v>
          </cell>
        </row>
        <row r="1445">
          <cell r="A1445">
            <v>1453</v>
          </cell>
          <cell r="B1445" t="str">
            <v>ja</v>
          </cell>
          <cell r="C1445" t="str">
            <v>数解の自鳴琴 メルセンヌ</v>
          </cell>
        </row>
        <row r="1446">
          <cell r="A1446">
            <v>1454</v>
          </cell>
          <cell r="B1446" t="str">
            <v>ja</v>
          </cell>
          <cell r="C1446" t="str">
            <v>ストレングス</v>
          </cell>
        </row>
        <row r="1447">
          <cell r="A1447">
            <v>1455</v>
          </cell>
          <cell r="B1447" t="str">
            <v>ja</v>
          </cell>
          <cell r="C1447" t="str">
            <v>豪毅なる征獣師 ストレングス</v>
          </cell>
        </row>
        <row r="1448">
          <cell r="A1448">
            <v>1456</v>
          </cell>
          <cell r="B1448" t="str">
            <v>ja</v>
          </cell>
          <cell r="C1448" t="str">
            <v>ネセバル</v>
          </cell>
        </row>
        <row r="1449">
          <cell r="A1449">
            <v>1457</v>
          </cell>
          <cell r="B1449" t="str">
            <v>ja</v>
          </cell>
          <cell r="C1449" t="str">
            <v>碧影の聖跡 ネセバル</v>
          </cell>
        </row>
        <row r="1450">
          <cell r="A1450">
            <v>1458</v>
          </cell>
          <cell r="B1450" t="str">
            <v>ja</v>
          </cell>
          <cell r="C1450" t="str">
            <v>ロイ・マスタング</v>
          </cell>
        </row>
        <row r="1451">
          <cell r="A1451">
            <v>1459</v>
          </cell>
          <cell r="B1451" t="str">
            <v>ja</v>
          </cell>
          <cell r="C1451" t="str">
            <v>焔の錬金術師 ロイ・マスタング</v>
          </cell>
        </row>
        <row r="1452">
          <cell r="A1452">
            <v>1460</v>
          </cell>
          <cell r="B1452" t="str">
            <v>ja</v>
          </cell>
          <cell r="C1452" t="str">
            <v>リザ・ホークアイ</v>
          </cell>
        </row>
        <row r="1453">
          <cell r="A1453">
            <v>1461</v>
          </cell>
          <cell r="B1453" t="str">
            <v>ja</v>
          </cell>
          <cell r="C1453" t="str">
            <v>鷹眼の国軍中尉 リザ・ホークアイ</v>
          </cell>
        </row>
        <row r="1454">
          <cell r="A1454">
            <v>1462</v>
          </cell>
          <cell r="B1454" t="str">
            <v>ja</v>
          </cell>
          <cell r="C1454" t="str">
            <v>エドワード・エルリック</v>
          </cell>
        </row>
        <row r="1455">
          <cell r="A1455">
            <v>1463</v>
          </cell>
          <cell r="B1455" t="str">
            <v>ja</v>
          </cell>
          <cell r="C1455" t="str">
            <v>鋼の錬金術師 エドワード</v>
          </cell>
        </row>
        <row r="1456">
          <cell r="A1456">
            <v>1464</v>
          </cell>
          <cell r="B1456" t="str">
            <v>ja</v>
          </cell>
          <cell r="C1456" t="str">
            <v>アルフォンス・エルリック</v>
          </cell>
        </row>
        <row r="1457">
          <cell r="A1457">
            <v>1465</v>
          </cell>
          <cell r="B1457" t="str">
            <v>ja</v>
          </cell>
          <cell r="C1457" t="str">
            <v>鋼腕なる闘鎧 アルフォンス</v>
          </cell>
        </row>
        <row r="1458">
          <cell r="A1458">
            <v>1466</v>
          </cell>
          <cell r="B1458" t="str">
            <v>ja</v>
          </cell>
          <cell r="C1458" t="str">
            <v>スカー</v>
          </cell>
        </row>
        <row r="1459">
          <cell r="A1459">
            <v>1467</v>
          </cell>
          <cell r="B1459" t="str">
            <v>ja</v>
          </cell>
          <cell r="C1459" t="str">
            <v>十字傷の男 スカー</v>
          </cell>
        </row>
        <row r="1460">
          <cell r="A1460">
            <v>1468</v>
          </cell>
          <cell r="B1460" t="str">
            <v>ja</v>
          </cell>
          <cell r="C1460" t="str">
            <v>嫉妬の猛心 エンヴィー</v>
          </cell>
        </row>
        <row r="1461">
          <cell r="A1461">
            <v>1469</v>
          </cell>
          <cell r="B1461" t="str">
            <v>ja</v>
          </cell>
          <cell r="C1461" t="str">
            <v>憤怒の大総統 ブラッドレイ</v>
          </cell>
        </row>
        <row r="1462">
          <cell r="A1462">
            <v>1470</v>
          </cell>
          <cell r="B1462" t="str">
            <v>ja</v>
          </cell>
          <cell r="C1462" t="str">
            <v>傲慢なる悪鬼 プライド</v>
          </cell>
        </row>
        <row r="1463">
          <cell r="A1463">
            <v>1471</v>
          </cell>
          <cell r="B1463" t="str">
            <v>ja</v>
          </cell>
          <cell r="C1463" t="str">
            <v>エイプリルアーサー</v>
          </cell>
        </row>
        <row r="1464">
          <cell r="A1464">
            <v>1488</v>
          </cell>
          <cell r="B1464" t="str">
            <v>ja</v>
          </cell>
          <cell r="C1464" t="str">
            <v>デカルトR5</v>
          </cell>
        </row>
        <row r="1465">
          <cell r="A1465">
            <v>1489</v>
          </cell>
          <cell r="B1465" t="str">
            <v>ja</v>
          </cell>
          <cell r="C1465" t="str">
            <v>デカルトR6</v>
          </cell>
        </row>
        <row r="1466">
          <cell r="A1466">
            <v>1490</v>
          </cell>
          <cell r="B1466" t="str">
            <v>ja</v>
          </cell>
          <cell r="C1466" t="str">
            <v>パラケルスス</v>
          </cell>
        </row>
        <row r="1467">
          <cell r="A1467">
            <v>1491</v>
          </cell>
          <cell r="B1467" t="str">
            <v>ja</v>
          </cell>
          <cell r="C1467" t="str">
            <v>真緋の紅玉 パラケルスス</v>
          </cell>
        </row>
        <row r="1468">
          <cell r="A1468">
            <v>1495</v>
          </cell>
          <cell r="B1468" t="str">
            <v>ja</v>
          </cell>
          <cell r="C1468" t="str">
            <v>桜乱の武奏術 牛若丸</v>
          </cell>
        </row>
        <row r="1469">
          <cell r="A1469">
            <v>1496</v>
          </cell>
          <cell r="B1469" t="str">
            <v>ja</v>
          </cell>
          <cell r="C1469" t="str">
            <v>晴眼桜花一文字 沖田総司</v>
          </cell>
        </row>
        <row r="1470">
          <cell r="A1470">
            <v>1497</v>
          </cell>
          <cell r="B1470" t="str">
            <v>ja</v>
          </cell>
          <cell r="C1470" t="str">
            <v>ヨシノ</v>
          </cell>
        </row>
        <row r="1471">
          <cell r="A1471">
            <v>1498</v>
          </cell>
          <cell r="B1471" t="str">
            <v>ja</v>
          </cell>
          <cell r="C1471" t="str">
            <v>咲誇る夢見草 ヨシノ</v>
          </cell>
        </row>
        <row r="1472">
          <cell r="A1472">
            <v>1499</v>
          </cell>
          <cell r="B1472" t="str">
            <v>ja</v>
          </cell>
          <cell r="C1472" t="str">
            <v>コノハナサクヤ</v>
          </cell>
        </row>
        <row r="1473">
          <cell r="A1473">
            <v>1500</v>
          </cell>
          <cell r="B1473" t="str">
            <v>ja</v>
          </cell>
          <cell r="C1473" t="str">
            <v>櫻歌する開華 コノハナサクヤ</v>
          </cell>
        </row>
        <row r="1474">
          <cell r="A1474">
            <v>1501</v>
          </cell>
          <cell r="B1474" t="str">
            <v>ja</v>
          </cell>
          <cell r="C1474" t="str">
            <v>晴舞台の桜舞 ドガ</v>
          </cell>
        </row>
        <row r="1475">
          <cell r="A1475">
            <v>1502</v>
          </cell>
          <cell r="B1475" t="str">
            <v>ja</v>
          </cell>
          <cell r="C1475" t="str">
            <v>打咲かす桜花灯 トリスタン</v>
          </cell>
        </row>
        <row r="1476">
          <cell r="A1476">
            <v>1503</v>
          </cell>
          <cell r="B1476" t="str">
            <v>ja</v>
          </cell>
          <cell r="C1476" t="str">
            <v>春纏う蛇撫子 ヨルムンガンド</v>
          </cell>
        </row>
        <row r="1477">
          <cell r="A1477">
            <v>1504</v>
          </cell>
          <cell r="B1477" t="str">
            <v>ja</v>
          </cell>
          <cell r="C1477" t="str">
            <v>ネコ</v>
          </cell>
        </row>
        <row r="1478">
          <cell r="A1478">
            <v>1505</v>
          </cell>
          <cell r="B1478" t="str">
            <v>ja</v>
          </cell>
          <cell r="C1478" t="str">
            <v>タンクネコ</v>
          </cell>
        </row>
        <row r="1479">
          <cell r="A1479">
            <v>1506</v>
          </cell>
          <cell r="B1479" t="str">
            <v>ja</v>
          </cell>
          <cell r="C1479" t="str">
            <v>バトルネコ</v>
          </cell>
        </row>
        <row r="1480">
          <cell r="A1480">
            <v>1507</v>
          </cell>
          <cell r="B1480" t="str">
            <v>ja</v>
          </cell>
          <cell r="C1480" t="str">
            <v>キモネコ</v>
          </cell>
        </row>
        <row r="1481">
          <cell r="A1481">
            <v>1508</v>
          </cell>
          <cell r="B1481" t="str">
            <v>ja</v>
          </cell>
          <cell r="C1481" t="str">
            <v>ネコノトリ</v>
          </cell>
        </row>
        <row r="1482">
          <cell r="A1482">
            <v>1509</v>
          </cell>
          <cell r="B1482" t="str">
            <v>ja</v>
          </cell>
          <cell r="C1482" t="str">
            <v>巨神ネコ</v>
          </cell>
        </row>
        <row r="1483">
          <cell r="A1483">
            <v>1510</v>
          </cell>
          <cell r="B1483" t="str">
            <v>ja</v>
          </cell>
          <cell r="C1483" t="str">
            <v>ネコヴァルキリー</v>
          </cell>
        </row>
        <row r="1484">
          <cell r="A1484">
            <v>1511</v>
          </cell>
          <cell r="B1484" t="str">
            <v>ja</v>
          </cell>
          <cell r="C1484" t="str">
            <v>ネコヴァルキリー･真</v>
          </cell>
        </row>
        <row r="1485">
          <cell r="A1485">
            <v>1512</v>
          </cell>
          <cell r="B1485" t="str">
            <v>ja</v>
          </cell>
          <cell r="C1485" t="str">
            <v>ネコヴァルキリー･聖</v>
          </cell>
        </row>
        <row r="1486">
          <cell r="A1486">
            <v>1513</v>
          </cell>
          <cell r="B1486" t="str">
            <v>ja</v>
          </cell>
          <cell r="C1486" t="str">
            <v>金ネコ</v>
          </cell>
        </row>
        <row r="1487">
          <cell r="A1487">
            <v>1514</v>
          </cell>
          <cell r="B1487" t="str">
            <v>ja</v>
          </cell>
          <cell r="C1487" t="str">
            <v>金ネコビルダー</v>
          </cell>
        </row>
        <row r="1488">
          <cell r="A1488">
            <v>1515</v>
          </cell>
          <cell r="B1488" t="str">
            <v>ja</v>
          </cell>
          <cell r="C1488" t="str">
            <v>赤メタルネコ</v>
          </cell>
        </row>
        <row r="1489">
          <cell r="A1489">
            <v>1516</v>
          </cell>
          <cell r="B1489" t="str">
            <v>ja</v>
          </cell>
          <cell r="C1489" t="str">
            <v>赤メタルネコビルダー</v>
          </cell>
        </row>
        <row r="1490">
          <cell r="A1490">
            <v>1517</v>
          </cell>
          <cell r="B1490" t="str">
            <v>ja</v>
          </cell>
          <cell r="C1490" t="str">
            <v>青メタルネコ</v>
          </cell>
        </row>
        <row r="1491">
          <cell r="A1491">
            <v>1518</v>
          </cell>
          <cell r="B1491" t="str">
            <v>ja</v>
          </cell>
          <cell r="C1491" t="str">
            <v>青メタルネコビルダー</v>
          </cell>
        </row>
        <row r="1492">
          <cell r="A1492">
            <v>1519</v>
          </cell>
          <cell r="B1492" t="str">
            <v>ja</v>
          </cell>
          <cell r="C1492" t="str">
            <v>緑メタルネコ</v>
          </cell>
        </row>
        <row r="1493">
          <cell r="A1493">
            <v>1520</v>
          </cell>
          <cell r="B1493" t="str">
            <v>ja</v>
          </cell>
          <cell r="C1493" t="str">
            <v>緑メタルネコビルダー</v>
          </cell>
        </row>
        <row r="1494">
          <cell r="A1494">
            <v>1521</v>
          </cell>
          <cell r="B1494" t="str">
            <v>ja</v>
          </cell>
          <cell r="C1494" t="str">
            <v>黄メタルネコ</v>
          </cell>
        </row>
        <row r="1495">
          <cell r="A1495">
            <v>1522</v>
          </cell>
          <cell r="B1495" t="str">
            <v>ja</v>
          </cell>
          <cell r="C1495" t="str">
            <v>黄メタルネコビルダー</v>
          </cell>
        </row>
        <row r="1496">
          <cell r="A1496">
            <v>1523</v>
          </cell>
          <cell r="B1496" t="str">
            <v>ja</v>
          </cell>
          <cell r="C1496" t="str">
            <v>ネコムート</v>
          </cell>
        </row>
        <row r="1497">
          <cell r="A1497">
            <v>1524</v>
          </cell>
          <cell r="B1497" t="str">
            <v>ja</v>
          </cell>
          <cell r="C1497" t="str">
            <v>狂乱のネコムート</v>
          </cell>
        </row>
        <row r="1498">
          <cell r="A1498">
            <v>1525</v>
          </cell>
          <cell r="B1498" t="str">
            <v>ja</v>
          </cell>
          <cell r="C1498" t="str">
            <v>狂乱のネコ</v>
          </cell>
        </row>
        <row r="1499">
          <cell r="A1499">
            <v>1526</v>
          </cell>
          <cell r="B1499" t="str">
            <v>ja</v>
          </cell>
          <cell r="C1499" t="str">
            <v>狂乱のネコビルダー</v>
          </cell>
        </row>
        <row r="1500">
          <cell r="A1500">
            <v>1527</v>
          </cell>
          <cell r="B1500" t="str">
            <v>ja</v>
          </cell>
          <cell r="C1500" t="str">
            <v>ネコ魔剣士</v>
          </cell>
        </row>
        <row r="1501">
          <cell r="A1501">
            <v>1528</v>
          </cell>
          <cell r="B1501" t="str">
            <v>ja</v>
          </cell>
          <cell r="C1501" t="str">
            <v>双剣ネコ魔剣士</v>
          </cell>
        </row>
        <row r="1502">
          <cell r="A1502">
            <v>1529</v>
          </cell>
          <cell r="B1502" t="str">
            <v>ja</v>
          </cell>
          <cell r="C1502" t="str">
            <v>ねこ海賊</v>
          </cell>
        </row>
        <row r="1503">
          <cell r="A1503">
            <v>1530</v>
          </cell>
          <cell r="B1503" t="str">
            <v>ja</v>
          </cell>
          <cell r="C1503" t="str">
            <v>ニャーコック船長</v>
          </cell>
        </row>
        <row r="1504">
          <cell r="A1504">
            <v>1531</v>
          </cell>
          <cell r="B1504" t="str">
            <v>ja</v>
          </cell>
          <cell r="C1504" t="str">
            <v>ねこジュラ</v>
          </cell>
        </row>
        <row r="1505">
          <cell r="A1505">
            <v>1532</v>
          </cell>
          <cell r="B1505" t="str">
            <v>ja</v>
          </cell>
          <cell r="C1505" t="str">
            <v>ねこジュラシッター</v>
          </cell>
        </row>
        <row r="1506">
          <cell r="A1506">
            <v>1533</v>
          </cell>
          <cell r="B1506" t="str">
            <v>ja</v>
          </cell>
          <cell r="C1506" t="str">
            <v>ネコエステ</v>
          </cell>
        </row>
        <row r="1507">
          <cell r="A1507">
            <v>1534</v>
          </cell>
          <cell r="B1507" t="str">
            <v>ja</v>
          </cell>
          <cell r="C1507" t="str">
            <v>ネコジェンヌ</v>
          </cell>
        </row>
        <row r="1508">
          <cell r="A1508">
            <v>1535</v>
          </cell>
          <cell r="B1508" t="str">
            <v>ja</v>
          </cell>
          <cell r="C1508" t="str">
            <v>ねこナース</v>
          </cell>
        </row>
        <row r="1509">
          <cell r="A1509">
            <v>1536</v>
          </cell>
          <cell r="B1509" t="str">
            <v>ja</v>
          </cell>
          <cell r="C1509" t="str">
            <v>ハートフルねこナース</v>
          </cell>
        </row>
        <row r="1510">
          <cell r="A1510">
            <v>1537</v>
          </cell>
          <cell r="B1510" t="str">
            <v>ja</v>
          </cell>
          <cell r="C1510" t="str">
            <v>キャットマンダディ</v>
          </cell>
        </row>
        <row r="1511">
          <cell r="A1511">
            <v>1538</v>
          </cell>
          <cell r="B1511" t="str">
            <v>ja</v>
          </cell>
          <cell r="C1511" t="str">
            <v>キャットマンダーク</v>
          </cell>
        </row>
        <row r="1512">
          <cell r="A1512">
            <v>1539</v>
          </cell>
          <cell r="B1512" t="str">
            <v>ja</v>
          </cell>
          <cell r="C1512" t="str">
            <v>雷神のサンディア</v>
          </cell>
        </row>
        <row r="1513">
          <cell r="A1513">
            <v>1540</v>
          </cell>
          <cell r="B1513" t="str">
            <v>ja</v>
          </cell>
          <cell r="C1513" t="str">
            <v>雷神のサンディアβ</v>
          </cell>
        </row>
        <row r="1514">
          <cell r="A1514">
            <v>1541</v>
          </cell>
          <cell r="B1514" t="str">
            <v>ja</v>
          </cell>
          <cell r="C1514" t="str">
            <v>美女神アフロディーテ</v>
          </cell>
        </row>
        <row r="1515">
          <cell r="A1515">
            <v>1542</v>
          </cell>
          <cell r="B1515" t="str">
            <v>ja</v>
          </cell>
          <cell r="C1515" t="str">
            <v>メガロディーテ</v>
          </cell>
        </row>
        <row r="1516">
          <cell r="A1516">
            <v>1543</v>
          </cell>
          <cell r="B1516" t="str">
            <v>ja</v>
          </cell>
          <cell r="C1516" t="str">
            <v>ツルの恩返し</v>
          </cell>
        </row>
        <row r="1517">
          <cell r="A1517">
            <v>1544</v>
          </cell>
          <cell r="B1517" t="str">
            <v>ja</v>
          </cell>
          <cell r="C1517" t="str">
            <v>銀河戦士コスモ</v>
          </cell>
        </row>
        <row r="1518">
          <cell r="A1518">
            <v>1545</v>
          </cell>
          <cell r="B1518" t="str">
            <v>ja</v>
          </cell>
          <cell r="C1518" t="str">
            <v>ネコルガ</v>
          </cell>
        </row>
        <row r="1519">
          <cell r="A1519">
            <v>1546</v>
          </cell>
          <cell r="B1519" t="str">
            <v>ja</v>
          </cell>
          <cell r="C1519" t="str">
            <v>ケサランパサラン</v>
          </cell>
        </row>
        <row r="1520">
          <cell r="A1520">
            <v>1547</v>
          </cell>
          <cell r="B1520" t="str">
            <v>ja</v>
          </cell>
          <cell r="C1520" t="str">
            <v>ネコフラワー</v>
          </cell>
        </row>
        <row r="1521">
          <cell r="A1521">
            <v>1548</v>
          </cell>
          <cell r="B1521" t="str">
            <v>ja</v>
          </cell>
          <cell r="C1521" t="str">
            <v>にゃんこ扇風</v>
          </cell>
        </row>
        <row r="1522">
          <cell r="A1522">
            <v>1549</v>
          </cell>
          <cell r="B1522" t="str">
            <v>ja</v>
          </cell>
          <cell r="C1522" t="str">
            <v>ネコリンゴ</v>
          </cell>
        </row>
        <row r="1523">
          <cell r="A1523">
            <v>1550</v>
          </cell>
          <cell r="B1523" t="str">
            <v>ja</v>
          </cell>
          <cell r="C1523" t="str">
            <v>カオルくん</v>
          </cell>
        </row>
        <row r="1524">
          <cell r="A1524">
            <v>1551</v>
          </cell>
          <cell r="B1524" t="str">
            <v>ja</v>
          </cell>
          <cell r="C1524" t="str">
            <v>Leo01</v>
          </cell>
        </row>
        <row r="1525">
          <cell r="A1525">
            <v>1552</v>
          </cell>
          <cell r="B1525" t="str">
            <v>ja</v>
          </cell>
          <cell r="C1525" t="str">
            <v>Leo02</v>
          </cell>
        </row>
        <row r="1526">
          <cell r="A1526">
            <v>1553</v>
          </cell>
          <cell r="B1526" t="str">
            <v>ja</v>
          </cell>
          <cell r="C1526" t="str">
            <v>Andromeda01</v>
          </cell>
        </row>
        <row r="1527">
          <cell r="A1527">
            <v>1554</v>
          </cell>
          <cell r="B1527" t="str">
            <v>ja</v>
          </cell>
          <cell r="C1527" t="str">
            <v>Andromeda02</v>
          </cell>
        </row>
        <row r="1528">
          <cell r="A1528">
            <v>1555</v>
          </cell>
          <cell r="B1528" t="str">
            <v>ja</v>
          </cell>
          <cell r="C1528" t="str">
            <v>Taurus01</v>
          </cell>
        </row>
        <row r="1529">
          <cell r="A1529">
            <v>1556</v>
          </cell>
          <cell r="B1529" t="str">
            <v>ja</v>
          </cell>
          <cell r="C1529" t="str">
            <v>Capricornus01</v>
          </cell>
        </row>
        <row r="1530">
          <cell r="A1530">
            <v>1557</v>
          </cell>
          <cell r="B1530" t="str">
            <v>ja</v>
          </cell>
          <cell r="C1530" t="str">
            <v>Capricornus02</v>
          </cell>
        </row>
        <row r="1531">
          <cell r="A1531">
            <v>1558</v>
          </cell>
          <cell r="B1531" t="str">
            <v>ja</v>
          </cell>
          <cell r="C1531" t="str">
            <v>Aries01</v>
          </cell>
        </row>
        <row r="1532">
          <cell r="A1532">
            <v>1559</v>
          </cell>
          <cell r="B1532" t="str">
            <v>ja</v>
          </cell>
          <cell r="C1532" t="str">
            <v>Aries02</v>
          </cell>
        </row>
        <row r="1533">
          <cell r="A1533">
            <v>1560</v>
          </cell>
          <cell r="B1533" t="str">
            <v>ja</v>
          </cell>
          <cell r="C1533" t="str">
            <v>Pisces01</v>
          </cell>
        </row>
        <row r="1534">
          <cell r="A1534">
            <v>1561</v>
          </cell>
          <cell r="B1534" t="str">
            <v>ja</v>
          </cell>
          <cell r="C1534" t="str">
            <v>Sagittarius01</v>
          </cell>
        </row>
        <row r="1535">
          <cell r="A1535">
            <v>1562</v>
          </cell>
          <cell r="B1535" t="str">
            <v>ja</v>
          </cell>
          <cell r="C1535" t="str">
            <v>Sagittarius02</v>
          </cell>
        </row>
        <row r="1536">
          <cell r="A1536">
            <v>1563</v>
          </cell>
          <cell r="B1536" t="str">
            <v>ja</v>
          </cell>
          <cell r="C1536" t="str">
            <v>Cassiopeia01</v>
          </cell>
        </row>
        <row r="1537">
          <cell r="A1537">
            <v>1564</v>
          </cell>
          <cell r="B1537" t="str">
            <v>ja</v>
          </cell>
          <cell r="C1537" t="str">
            <v>Cassiopeia02</v>
          </cell>
        </row>
        <row r="1538">
          <cell r="A1538">
            <v>1565</v>
          </cell>
          <cell r="B1538" t="str">
            <v>ja</v>
          </cell>
          <cell r="C1538" t="str">
            <v>Aquila01</v>
          </cell>
        </row>
        <row r="1539">
          <cell r="A1539">
            <v>1566</v>
          </cell>
          <cell r="B1539" t="str">
            <v>ja</v>
          </cell>
          <cell r="C1539" t="str">
            <v>Phoenix01</v>
          </cell>
        </row>
        <row r="1540">
          <cell r="A1540">
            <v>1567</v>
          </cell>
          <cell r="B1540" t="str">
            <v>ja</v>
          </cell>
          <cell r="C1540" t="str">
            <v>Phoenix02</v>
          </cell>
        </row>
        <row r="1541">
          <cell r="A1541">
            <v>1568</v>
          </cell>
          <cell r="B1541" t="str">
            <v>ja</v>
          </cell>
          <cell r="C1541" t="str">
            <v>Orion01</v>
          </cell>
        </row>
        <row r="1542">
          <cell r="A1542">
            <v>1569</v>
          </cell>
          <cell r="B1542" t="str">
            <v>ja</v>
          </cell>
          <cell r="C1542" t="str">
            <v>Orion02</v>
          </cell>
        </row>
        <row r="1543">
          <cell r="A1543">
            <v>1570</v>
          </cell>
          <cell r="B1543" t="str">
            <v>ja</v>
          </cell>
          <cell r="C1543" t="str">
            <v>Centaurus01</v>
          </cell>
        </row>
        <row r="1544">
          <cell r="A1544">
            <v>1571</v>
          </cell>
          <cell r="B1544" t="str">
            <v>ja</v>
          </cell>
          <cell r="C1544" t="str">
            <v>Lupus01</v>
          </cell>
        </row>
        <row r="1545">
          <cell r="A1545">
            <v>1572</v>
          </cell>
          <cell r="B1545" t="str">
            <v>ja</v>
          </cell>
          <cell r="C1545" t="str">
            <v>Lupus02</v>
          </cell>
        </row>
        <row r="1546">
          <cell r="A1546">
            <v>1573</v>
          </cell>
          <cell r="B1546" t="str">
            <v>ja</v>
          </cell>
          <cell r="C1546" t="str">
            <v>Scorpius01</v>
          </cell>
        </row>
        <row r="1547">
          <cell r="A1547">
            <v>1574</v>
          </cell>
          <cell r="B1547" t="str">
            <v>ja</v>
          </cell>
          <cell r="C1547" t="str">
            <v>Cancer01</v>
          </cell>
        </row>
        <row r="1548">
          <cell r="A1548">
            <v>1575</v>
          </cell>
          <cell r="B1548" t="str">
            <v>ja</v>
          </cell>
          <cell r="C1548" t="str">
            <v>Aquarius01</v>
          </cell>
        </row>
        <row r="1549">
          <cell r="A1549">
            <v>1576</v>
          </cell>
          <cell r="B1549" t="str">
            <v>ja</v>
          </cell>
          <cell r="C1549" t="str">
            <v>Aquarius02</v>
          </cell>
        </row>
        <row r="1550">
          <cell r="A1550">
            <v>1577</v>
          </cell>
          <cell r="B1550" t="str">
            <v>ja</v>
          </cell>
          <cell r="C1550" t="str">
            <v>Perseus01</v>
          </cell>
        </row>
        <row r="1551">
          <cell r="A1551">
            <v>1578</v>
          </cell>
          <cell r="B1551" t="str">
            <v>ja</v>
          </cell>
          <cell r="C1551" t="str">
            <v>Hydra01</v>
          </cell>
        </row>
        <row r="1552">
          <cell r="A1552">
            <v>1579</v>
          </cell>
          <cell r="B1552" t="str">
            <v>ja</v>
          </cell>
          <cell r="C1552" t="str">
            <v>Lyra01</v>
          </cell>
        </row>
        <row r="1553">
          <cell r="A1553">
            <v>1580</v>
          </cell>
          <cell r="B1553" t="str">
            <v>ja</v>
          </cell>
          <cell r="C1553" t="str">
            <v>Lyra02</v>
          </cell>
        </row>
        <row r="1554">
          <cell r="A1554">
            <v>1581</v>
          </cell>
          <cell r="B1554" t="str">
            <v>ja</v>
          </cell>
          <cell r="C1554" t="str">
            <v>Gemini01</v>
          </cell>
        </row>
        <row r="1555">
          <cell r="A1555">
            <v>1582</v>
          </cell>
          <cell r="B1555" t="str">
            <v>ja</v>
          </cell>
          <cell r="C1555" t="str">
            <v>Gemini02</v>
          </cell>
        </row>
        <row r="1556">
          <cell r="A1556">
            <v>1583</v>
          </cell>
          <cell r="B1556" t="str">
            <v>ja</v>
          </cell>
          <cell r="C1556" t="str">
            <v>Corvus01</v>
          </cell>
        </row>
        <row r="1557">
          <cell r="A1557">
            <v>1584</v>
          </cell>
          <cell r="B1557" t="str">
            <v>ja</v>
          </cell>
          <cell r="C1557" t="str">
            <v>Sirius01</v>
          </cell>
        </row>
        <row r="1558">
          <cell r="A1558">
            <v>1585</v>
          </cell>
          <cell r="B1558" t="str">
            <v>ja</v>
          </cell>
          <cell r="C1558" t="str">
            <v>Sirius02</v>
          </cell>
        </row>
        <row r="1559">
          <cell r="A1559">
            <v>1586</v>
          </cell>
          <cell r="B1559" t="str">
            <v>ja</v>
          </cell>
          <cell r="C1559" t="str">
            <v>Sirius03</v>
          </cell>
        </row>
        <row r="1560">
          <cell r="A1560">
            <v>1587</v>
          </cell>
          <cell r="B1560" t="str">
            <v>ja</v>
          </cell>
          <cell r="C1560" t="str">
            <v>Virgo01</v>
          </cell>
        </row>
        <row r="1561">
          <cell r="A1561">
            <v>1588</v>
          </cell>
          <cell r="B1561" t="str">
            <v>ja</v>
          </cell>
          <cell r="C1561" t="str">
            <v>Virgo02</v>
          </cell>
        </row>
        <row r="1562">
          <cell r="A1562">
            <v>1603</v>
          </cell>
          <cell r="B1562" t="str">
            <v>ja</v>
          </cell>
          <cell r="C1562" t="str">
            <v>麗貴なる洒落魔 エスタブ</v>
          </cell>
        </row>
        <row r="1563">
          <cell r="A1563">
            <v>1604</v>
          </cell>
          <cell r="B1563" t="str">
            <v>ja</v>
          </cell>
          <cell r="C1563" t="str">
            <v>籠絡する魔戦線 ピノキオ</v>
          </cell>
        </row>
        <row r="1564">
          <cell r="A1564">
            <v>1613</v>
          </cell>
          <cell r="B1564" t="str">
            <v>ja</v>
          </cell>
          <cell r="C1564" t="str">
            <v>ボスA</v>
          </cell>
        </row>
        <row r="1565">
          <cell r="A1565">
            <v>1614</v>
          </cell>
          <cell r="B1565" t="str">
            <v>ja</v>
          </cell>
          <cell r="C1565" t="str">
            <v>ボスB</v>
          </cell>
        </row>
        <row r="1566">
          <cell r="A1566">
            <v>1615</v>
          </cell>
          <cell r="B1566" t="str">
            <v>ja</v>
          </cell>
          <cell r="C1566" t="str">
            <v>ボスC</v>
          </cell>
        </row>
        <row r="1567">
          <cell r="A1567">
            <v>1616</v>
          </cell>
          <cell r="B1567" t="str">
            <v>ja</v>
          </cell>
          <cell r="C1567" t="str">
            <v>空欄</v>
          </cell>
        </row>
        <row r="1568">
          <cell r="A1568">
            <v>1617</v>
          </cell>
          <cell r="B1568" t="str">
            <v>ja</v>
          </cell>
          <cell r="C1568" t="str">
            <v>空欄</v>
          </cell>
        </row>
        <row r="1569">
          <cell r="A1569">
            <v>1618</v>
          </cell>
          <cell r="B1569" t="str">
            <v>ja</v>
          </cell>
          <cell r="C1569" t="str">
            <v>空欄</v>
          </cell>
        </row>
        <row r="1570">
          <cell r="A1570">
            <v>1619</v>
          </cell>
          <cell r="B1570" t="str">
            <v>ja</v>
          </cell>
          <cell r="C1570" t="str">
            <v>空欄</v>
          </cell>
        </row>
        <row r="1571">
          <cell r="A1571">
            <v>1620</v>
          </cell>
          <cell r="B1571" t="str">
            <v>ja</v>
          </cell>
          <cell r="C1571" t="str">
            <v>空欄</v>
          </cell>
        </row>
        <row r="1572">
          <cell r="A1572">
            <v>1621</v>
          </cell>
          <cell r="B1572" t="str">
            <v>ja</v>
          </cell>
          <cell r="C1572" t="str">
            <v>空欄</v>
          </cell>
        </row>
        <row r="1573">
          <cell r="A1573">
            <v>1622</v>
          </cell>
          <cell r="B1573" t="str">
            <v>ja</v>
          </cell>
          <cell r="C1573" t="str">
            <v>空欄</v>
          </cell>
        </row>
        <row r="1574">
          <cell r="A1574">
            <v>1623</v>
          </cell>
          <cell r="B1574" t="str">
            <v>ja</v>
          </cell>
          <cell r="C1574" t="str">
            <v>空欄</v>
          </cell>
        </row>
        <row r="1575">
          <cell r="A1575">
            <v>1624</v>
          </cell>
          <cell r="B1575" t="str">
            <v>ja</v>
          </cell>
          <cell r="C1575" t="str">
            <v>空欄</v>
          </cell>
        </row>
        <row r="1576">
          <cell r="A1576">
            <v>1687</v>
          </cell>
          <cell r="B1576" t="str">
            <v>ja</v>
          </cell>
          <cell r="C1576" t="str">
            <v>ファルネーゼ</v>
          </cell>
        </row>
        <row r="1577">
          <cell r="A1577">
            <v>1688</v>
          </cell>
          <cell r="B1577" t="str">
            <v>ja</v>
          </cell>
          <cell r="C1577" t="str">
            <v>ファルネーゼ・ロッソ</v>
          </cell>
        </row>
        <row r="1578">
          <cell r="A1578">
            <v>1689</v>
          </cell>
          <cell r="B1578" t="str">
            <v>ja</v>
          </cell>
          <cell r="C1578" t="str">
            <v>ファルネーゼ・ヴェルデ</v>
          </cell>
        </row>
        <row r="1579">
          <cell r="A1579">
            <v>1690</v>
          </cell>
          <cell r="B1579" t="str">
            <v>ja</v>
          </cell>
          <cell r="C1579" t="str">
            <v>ファルネーゼ・アズロ</v>
          </cell>
        </row>
        <row r="1580">
          <cell r="A1580">
            <v>1691</v>
          </cell>
          <cell r="B1580" t="str">
            <v>ja</v>
          </cell>
          <cell r="C1580" t="str">
            <v>ファルネーゼ・ジャロ</v>
          </cell>
        </row>
        <row r="1581">
          <cell r="A1581">
            <v>1692</v>
          </cell>
          <cell r="B1581" t="str">
            <v>ja</v>
          </cell>
          <cell r="C1581" t="str">
            <v>ロッソ・ハート</v>
          </cell>
        </row>
        <row r="1582">
          <cell r="A1582">
            <v>1693</v>
          </cell>
          <cell r="B1582" t="str">
            <v>ja</v>
          </cell>
          <cell r="C1582" t="str">
            <v>ヴェルデ・ハート</v>
          </cell>
        </row>
        <row r="1583">
          <cell r="A1583">
            <v>1694</v>
          </cell>
          <cell r="B1583" t="str">
            <v>ja</v>
          </cell>
          <cell r="C1583" t="str">
            <v>アズロ・ハート</v>
          </cell>
        </row>
        <row r="1584">
          <cell r="A1584">
            <v>1695</v>
          </cell>
          <cell r="B1584" t="str">
            <v>ja</v>
          </cell>
          <cell r="C1584" t="str">
            <v>ジャロ・ハート</v>
          </cell>
        </row>
        <row r="1585">
          <cell r="A1585">
            <v>1696</v>
          </cell>
          <cell r="B1585" t="str">
            <v>ja</v>
          </cell>
          <cell r="C1585" t="str">
            <v>ファルネーゼ・コア</v>
          </cell>
        </row>
        <row r="1586">
          <cell r="A1586">
            <v>1697</v>
          </cell>
          <cell r="B1586" t="str">
            <v>ja</v>
          </cell>
          <cell r="C1586" t="str">
            <v>駆動する機会 ガーネット</v>
          </cell>
        </row>
        <row r="1587">
          <cell r="A1587">
            <v>1698</v>
          </cell>
          <cell r="B1587" t="str">
            <v>ja</v>
          </cell>
          <cell r="C1587" t="str">
            <v>炎断の華嫁 ガーネット</v>
          </cell>
        </row>
        <row r="1588">
          <cell r="A1588">
            <v>1699</v>
          </cell>
          <cell r="B1588" t="str">
            <v>ja</v>
          </cell>
          <cell r="C1588" t="str">
            <v>崇高祝言 アマテラス</v>
          </cell>
        </row>
        <row r="1589">
          <cell r="A1589">
            <v>1700</v>
          </cell>
          <cell r="B1589" t="str">
            <v>ja</v>
          </cell>
          <cell r="C1589" t="str">
            <v>大慶総氏神 アマテラス</v>
          </cell>
        </row>
        <row r="1590">
          <cell r="A1590">
            <v>1701</v>
          </cell>
          <cell r="B1590" t="str">
            <v>ja</v>
          </cell>
          <cell r="C1590" t="str">
            <v>蒼嵐の婚戦 フォルトゥナ</v>
          </cell>
        </row>
        <row r="1591">
          <cell r="A1591">
            <v>1702</v>
          </cell>
          <cell r="B1591" t="str">
            <v>ja</v>
          </cell>
          <cell r="C1591" t="str">
            <v>求愛の夢想剣 フォルトゥナ</v>
          </cell>
        </row>
        <row r="1592">
          <cell r="A1592">
            <v>1703</v>
          </cell>
          <cell r="B1592" t="str">
            <v>ja</v>
          </cell>
          <cell r="C1592" t="str">
            <v>可恋なる花乙女 リリィ</v>
          </cell>
        </row>
        <row r="1593">
          <cell r="A1593">
            <v>1704</v>
          </cell>
          <cell r="B1593" t="str">
            <v>ja</v>
          </cell>
          <cell r="C1593" t="str">
            <v>恋焦がす夢乙女 リリィ</v>
          </cell>
        </row>
        <row r="1594">
          <cell r="A1594">
            <v>1705</v>
          </cell>
          <cell r="B1594" t="str">
            <v>ja</v>
          </cell>
          <cell r="C1594" t="str">
            <v>純白の新婦軍 白雪姫</v>
          </cell>
        </row>
        <row r="1595">
          <cell r="A1595">
            <v>1706</v>
          </cell>
          <cell r="B1595" t="str">
            <v>ja</v>
          </cell>
          <cell r="C1595" t="str">
            <v>幸福なる大祝砲 白雪姫</v>
          </cell>
        </row>
        <row r="1596">
          <cell r="A1596">
            <v>1707</v>
          </cell>
          <cell r="B1596" t="str">
            <v>ja</v>
          </cell>
          <cell r="C1596" t="str">
            <v>親愛なる猫嫁神 バステト</v>
          </cell>
        </row>
        <row r="1597">
          <cell r="A1597">
            <v>1708</v>
          </cell>
          <cell r="B1597" t="str">
            <v>ja</v>
          </cell>
          <cell r="C1597" t="str">
            <v>御聖婚の幸猫神 バステト</v>
          </cell>
        </row>
        <row r="1598">
          <cell r="A1598">
            <v>1709</v>
          </cell>
          <cell r="B1598" t="str">
            <v>ja</v>
          </cell>
          <cell r="C1598" t="str">
            <v>情花降る神婦 イズン</v>
          </cell>
        </row>
        <row r="1599">
          <cell r="A1599">
            <v>1710</v>
          </cell>
          <cell r="B1599" t="str">
            <v>ja</v>
          </cell>
          <cell r="C1599" t="str">
            <v>慎愛なる女神の契 イズン</v>
          </cell>
        </row>
        <row r="1600">
          <cell r="A1600">
            <v>1711</v>
          </cell>
          <cell r="B1600" t="str">
            <v>ja</v>
          </cell>
          <cell r="C1600" t="str">
            <v>誓愛求婚の新郎 諸葛亮</v>
          </cell>
        </row>
        <row r="1601">
          <cell r="A1601">
            <v>1712</v>
          </cell>
          <cell r="B1601" t="str">
            <v>ja</v>
          </cell>
          <cell r="C1601" t="str">
            <v>一蓮托生の双環 諸葛亮</v>
          </cell>
        </row>
        <row r="1602">
          <cell r="A1602">
            <v>1713</v>
          </cell>
          <cell r="B1602" t="str">
            <v>ja</v>
          </cell>
          <cell r="C1602" t="str">
            <v>誓約の挙剣 ジークフリート</v>
          </cell>
        </row>
        <row r="1603">
          <cell r="A1603">
            <v>1714</v>
          </cell>
          <cell r="B1603" t="str">
            <v>ja</v>
          </cell>
          <cell r="C1603" t="str">
            <v>仁愛の祝賀剣 ジークフリート</v>
          </cell>
        </row>
        <row r="1604">
          <cell r="A1604">
            <v>1715</v>
          </cell>
          <cell r="B1604" t="str">
            <v>ja</v>
          </cell>
          <cell r="C1604" t="str">
            <v>森歓の祝宴 アマラ</v>
          </cell>
        </row>
        <row r="1605">
          <cell r="A1605">
            <v>1716</v>
          </cell>
          <cell r="B1605" t="str">
            <v>ja</v>
          </cell>
          <cell r="C1605" t="str">
            <v>森婚の祝福祭 アマラ</v>
          </cell>
        </row>
        <row r="1606">
          <cell r="A1606">
            <v>1717</v>
          </cell>
          <cell r="B1606" t="str">
            <v>ja</v>
          </cell>
          <cell r="C1606" t="str">
            <v>ラブリーエンジェル</v>
          </cell>
        </row>
        <row r="1607">
          <cell r="A1607">
            <v>1718</v>
          </cell>
          <cell r="B1607" t="str">
            <v>ja</v>
          </cell>
          <cell r="C1607" t="str">
            <v>マリッジリング</v>
          </cell>
        </row>
        <row r="1608">
          <cell r="A1608">
            <v>1719</v>
          </cell>
          <cell r="B1608" t="str">
            <v>ja</v>
          </cell>
          <cell r="C1608" t="str">
            <v>トゥルー・マリッジリング</v>
          </cell>
        </row>
        <row r="1609">
          <cell r="A1609">
            <v>5001</v>
          </cell>
          <cell r="B1609" t="str">
            <v>ja</v>
          </cell>
          <cell r="C1609" t="str">
            <v>ガルーダ</v>
          </cell>
        </row>
        <row r="1610">
          <cell r="A1610">
            <v>5002</v>
          </cell>
          <cell r="B1610" t="str">
            <v>ja</v>
          </cell>
          <cell r="C1610" t="str">
            <v>光輝する美翼聖鳥 ガルーダ</v>
          </cell>
        </row>
        <row r="1611">
          <cell r="A1611">
            <v>5003</v>
          </cell>
          <cell r="B1611" t="str">
            <v>ja</v>
          </cell>
          <cell r="C1611" t="str">
            <v>ナーガ</v>
          </cell>
        </row>
        <row r="1612">
          <cell r="A1612">
            <v>5004</v>
          </cell>
          <cell r="B1612" t="str">
            <v>ja</v>
          </cell>
          <cell r="C1612" t="str">
            <v>深淵翠緑 ナーガ</v>
          </cell>
        </row>
        <row r="1613">
          <cell r="A1613">
            <v>5005</v>
          </cell>
          <cell r="B1613" t="str">
            <v>ja</v>
          </cell>
          <cell r="C1613" t="str">
            <v>カーミラ</v>
          </cell>
        </row>
        <row r="1614">
          <cell r="A1614">
            <v>5006</v>
          </cell>
          <cell r="B1614" t="str">
            <v>ja</v>
          </cell>
          <cell r="C1614" t="str">
            <v>カーミラ★６</v>
          </cell>
        </row>
        <row r="1615">
          <cell r="A1615">
            <v>5007</v>
          </cell>
          <cell r="B1615" t="str">
            <v>ja</v>
          </cell>
          <cell r="C1615" t="str">
            <v>ヘルシング</v>
          </cell>
        </row>
        <row r="1616">
          <cell r="A1616">
            <v>5008</v>
          </cell>
          <cell r="B1616" t="str">
            <v>ja</v>
          </cell>
          <cell r="C1616" t="str">
            <v>ヘルシング★６</v>
          </cell>
        </row>
        <row r="1617">
          <cell r="A1617">
            <v>5009</v>
          </cell>
          <cell r="B1617" t="str">
            <v>ja</v>
          </cell>
          <cell r="C1617" t="str">
            <v>星の王子様</v>
          </cell>
        </row>
        <row r="1618">
          <cell r="A1618">
            <v>5010</v>
          </cell>
          <cell r="B1618" t="str">
            <v>ja</v>
          </cell>
          <cell r="C1618" t="str">
            <v>星の王子様★６</v>
          </cell>
        </row>
        <row r="1619">
          <cell r="A1619">
            <v>5011</v>
          </cell>
          <cell r="B1619" t="str">
            <v>ja</v>
          </cell>
          <cell r="C1619" t="str">
            <v>サン=テグジュペリ</v>
          </cell>
        </row>
        <row r="1620">
          <cell r="A1620">
            <v>5012</v>
          </cell>
          <cell r="B1620" t="str">
            <v>ja</v>
          </cell>
          <cell r="C1620" t="str">
            <v>サン=テグジュペリ★６</v>
          </cell>
        </row>
        <row r="1621">
          <cell r="A1621">
            <v>6001</v>
          </cell>
          <cell r="B1621" t="str">
            <v>ja</v>
          </cell>
          <cell r="C1621" t="str">
            <v>ジェリー</v>
          </cell>
        </row>
        <row r="1622">
          <cell r="A1622">
            <v>6002</v>
          </cell>
          <cell r="B1622" t="str">
            <v>ja</v>
          </cell>
          <cell r="C1622" t="str">
            <v>ヨシタカ</v>
          </cell>
        </row>
        <row r="1623">
          <cell r="A1623">
            <v>6003</v>
          </cell>
          <cell r="B1623" t="str">
            <v>ja</v>
          </cell>
          <cell r="C1623" t="str">
            <v>朱雀</v>
          </cell>
        </row>
        <row r="1624">
          <cell r="A1624">
            <v>6004</v>
          </cell>
          <cell r="B1624" t="str">
            <v>ja</v>
          </cell>
          <cell r="C1624" t="str">
            <v>ブレット</v>
          </cell>
        </row>
        <row r="1625">
          <cell r="A1625">
            <v>6005</v>
          </cell>
          <cell r="B1625" t="str">
            <v>ja</v>
          </cell>
          <cell r="C1625" t="str">
            <v>孤神 テティス</v>
          </cell>
        </row>
        <row r="1626">
          <cell r="A1626">
            <v>6006</v>
          </cell>
          <cell r="B1626" t="str">
            <v>ja</v>
          </cell>
          <cell r="C1626" t="str">
            <v>海底の孤高神 テティス</v>
          </cell>
        </row>
        <row r="1627">
          <cell r="A1627">
            <v>6007</v>
          </cell>
          <cell r="B1627" t="str">
            <v>ja</v>
          </cell>
          <cell r="C1627" t="str">
            <v>番犬 ケルベロス</v>
          </cell>
        </row>
        <row r="1628">
          <cell r="A1628">
            <v>6008</v>
          </cell>
          <cell r="B1628" t="str">
            <v>ja</v>
          </cell>
          <cell r="C1628" t="str">
            <v>焔神 プロメテウス</v>
          </cell>
        </row>
        <row r="1629">
          <cell r="A1629">
            <v>6009</v>
          </cell>
          <cell r="B1629" t="str">
            <v>ja</v>
          </cell>
          <cell r="C1629" t="str">
            <v>超越自我 ラグランジュ</v>
          </cell>
        </row>
        <row r="1630">
          <cell r="A1630">
            <v>6010</v>
          </cell>
          <cell r="B1630" t="str">
            <v>ja</v>
          </cell>
          <cell r="C1630" t="str">
            <v>超越凌駕 ラグランジュ</v>
          </cell>
        </row>
        <row r="1631">
          <cell r="A1631">
            <v>6011</v>
          </cell>
          <cell r="B1631" t="str">
            <v>ja</v>
          </cell>
          <cell r="C1631" t="str">
            <v>パトドッグリーダー ポチ</v>
          </cell>
        </row>
        <row r="1632">
          <cell r="A1632">
            <v>6012</v>
          </cell>
          <cell r="B1632" t="str">
            <v>ja</v>
          </cell>
          <cell r="C1632" t="str">
            <v>ミミ</v>
          </cell>
        </row>
        <row r="1633">
          <cell r="A1633">
            <v>6013</v>
          </cell>
          <cell r="B1633" t="str">
            <v>ja</v>
          </cell>
          <cell r="C1633" t="str">
            <v>護衛機人 スケアクロウ</v>
          </cell>
        </row>
        <row r="1634">
          <cell r="A1634">
            <v>6014</v>
          </cell>
          <cell r="B1634" t="str">
            <v>ja</v>
          </cell>
          <cell r="C1634" t="str">
            <v>月下の人狼 ローレンス</v>
          </cell>
        </row>
        <row r="1635">
          <cell r="A1635">
            <v>6015</v>
          </cell>
          <cell r="B1635" t="str">
            <v>ja</v>
          </cell>
          <cell r="C1635" t="str">
            <v>フレイヤ</v>
          </cell>
        </row>
        <row r="1636">
          <cell r="A1636">
            <v>6016</v>
          </cell>
          <cell r="B1636" t="str">
            <v>ja</v>
          </cell>
          <cell r="C1636" t="str">
            <v>根原論理 ユークリッド</v>
          </cell>
        </row>
        <row r="1637">
          <cell r="A1637">
            <v>6017</v>
          </cell>
          <cell r="B1637" t="str">
            <v>ja</v>
          </cell>
          <cell r="C1637" t="str">
            <v>不朽の極論 ユークリッド</v>
          </cell>
        </row>
        <row r="1638">
          <cell r="A1638">
            <v>6018</v>
          </cell>
          <cell r="B1638" t="str">
            <v>ja</v>
          </cell>
          <cell r="C1638" t="str">
            <v>ハヅル</v>
          </cell>
        </row>
        <row r="1639">
          <cell r="A1639">
            <v>6019</v>
          </cell>
          <cell r="B1639" t="str">
            <v>ja</v>
          </cell>
          <cell r="C1639" t="str">
            <v>天織羽鶴 ハヅル</v>
          </cell>
        </row>
        <row r="1640">
          <cell r="A1640">
            <v>6020</v>
          </cell>
          <cell r="B1640" t="str">
            <v>ja</v>
          </cell>
          <cell r="C1640" t="str">
            <v>ミズチ</v>
          </cell>
        </row>
        <row r="1641">
          <cell r="A1641">
            <v>8001</v>
          </cell>
          <cell r="B1641" t="str">
            <v>ja</v>
          </cell>
          <cell r="C1641" t="str">
            <v>媽祖</v>
          </cell>
        </row>
        <row r="1642">
          <cell r="A1642">
            <v>8002</v>
          </cell>
          <cell r="B1642" t="str">
            <v>ja</v>
          </cell>
          <cell r="C1642" t="str">
            <v>宣導する天海妃 媽祖</v>
          </cell>
        </row>
        <row r="1643">
          <cell r="A1643">
            <v>8003</v>
          </cell>
          <cell r="B1643" t="str">
            <v>ja</v>
          </cell>
          <cell r="C1643" t="str">
            <v>蛟龍</v>
          </cell>
        </row>
        <row r="1644">
          <cell r="A1644">
            <v>8004</v>
          </cell>
          <cell r="B1644" t="str">
            <v>ja</v>
          </cell>
          <cell r="C1644" t="str">
            <v>呼嵐の蒼棲龍 蛟龍</v>
          </cell>
        </row>
        <row r="1645">
          <cell r="A1645">
            <v>8005</v>
          </cell>
          <cell r="B1645" t="str">
            <v>ja</v>
          </cell>
          <cell r="C1645" t="str">
            <v>三蔵法師</v>
          </cell>
        </row>
        <row r="1646">
          <cell r="A1646">
            <v>8006</v>
          </cell>
          <cell r="B1646" t="str">
            <v>ja</v>
          </cell>
          <cell r="C1646" t="str">
            <v>慈戒の呪封使 三蔵法師</v>
          </cell>
        </row>
        <row r="1647">
          <cell r="A1647">
            <v>8007</v>
          </cell>
          <cell r="B1647" t="str">
            <v>ja</v>
          </cell>
          <cell r="C1647" t="str">
            <v>孫悟空</v>
          </cell>
        </row>
        <row r="1648">
          <cell r="A1648">
            <v>8008</v>
          </cell>
          <cell r="B1648" t="str">
            <v>ja</v>
          </cell>
          <cell r="C1648" t="str">
            <v>花果の天猿仙人 孫悟空</v>
          </cell>
        </row>
        <row r="1649">
          <cell r="A1649">
            <v>8009</v>
          </cell>
          <cell r="B1649" t="str">
            <v>ja</v>
          </cell>
          <cell r="C1649" t="str">
            <v>西王娘娘</v>
          </cell>
        </row>
        <row r="1650">
          <cell r="A1650">
            <v>8010</v>
          </cell>
          <cell r="B1650" t="str">
            <v>ja</v>
          </cell>
          <cell r="C1650" t="str">
            <v>極楽瑶池の聖母 西王娘娘</v>
          </cell>
        </row>
        <row r="1651">
          <cell r="A1651">
            <v>8011</v>
          </cell>
          <cell r="B1651" t="str">
            <v>ja</v>
          </cell>
          <cell r="C1651" t="str">
            <v>月下老人</v>
          </cell>
        </row>
        <row r="1652">
          <cell r="A1652">
            <v>8012</v>
          </cell>
          <cell r="B1652" t="str">
            <v>ja</v>
          </cell>
          <cell r="C1652" t="str">
            <v>破戀斬る縁剣 月下老人</v>
          </cell>
        </row>
        <row r="1653">
          <cell r="A1653">
            <v>8013</v>
          </cell>
          <cell r="B1653" t="str">
            <v>ja</v>
          </cell>
          <cell r="C1653" t="str">
            <v>初音ミクV3</v>
          </cell>
        </row>
        <row r="1654">
          <cell r="A1654">
            <v>8014</v>
          </cell>
          <cell r="B1654" t="str">
            <v>ja</v>
          </cell>
          <cell r="C1654" t="str">
            <v>初音ミクV3</v>
          </cell>
        </row>
        <row r="1655">
          <cell r="A1655">
            <v>8015</v>
          </cell>
          <cell r="B1655" t="str">
            <v>ja</v>
          </cell>
          <cell r="C1655" t="str">
            <v>初音ミク・アペンド</v>
          </cell>
        </row>
        <row r="1656">
          <cell r="A1656">
            <v>8016</v>
          </cell>
          <cell r="B1656" t="str">
            <v>ja</v>
          </cell>
          <cell r="C1656" t="str">
            <v>初音ミク・アペンド</v>
          </cell>
        </row>
        <row r="1657">
          <cell r="A1657">
            <v>8017</v>
          </cell>
          <cell r="B1657" t="str">
            <v>ja</v>
          </cell>
          <cell r="C1657" t="str">
            <v>初音ミク</v>
          </cell>
        </row>
        <row r="1658">
          <cell r="A1658">
            <v>8018</v>
          </cell>
          <cell r="B1658" t="str">
            <v>ja</v>
          </cell>
          <cell r="C1658" t="str">
            <v>初音ミク</v>
          </cell>
        </row>
        <row r="1659">
          <cell r="A1659">
            <v>8019</v>
          </cell>
          <cell r="B1659" t="str">
            <v>ja</v>
          </cell>
          <cell r="C1659" t="str">
            <v>鏡音リン</v>
          </cell>
        </row>
        <row r="1660">
          <cell r="A1660">
            <v>8020</v>
          </cell>
          <cell r="B1660" t="str">
            <v>ja</v>
          </cell>
          <cell r="C1660" t="str">
            <v>鏡音リン</v>
          </cell>
        </row>
        <row r="1661">
          <cell r="A1661">
            <v>8021</v>
          </cell>
          <cell r="B1661" t="str">
            <v>ja</v>
          </cell>
          <cell r="C1661" t="str">
            <v>鏡音レン</v>
          </cell>
        </row>
        <row r="1662">
          <cell r="A1662">
            <v>8022</v>
          </cell>
          <cell r="B1662" t="str">
            <v>ja</v>
          </cell>
          <cell r="C1662" t="str">
            <v>鏡音レン</v>
          </cell>
        </row>
        <row r="1663">
          <cell r="A1663">
            <v>8023</v>
          </cell>
          <cell r="B1663" t="str">
            <v>ja</v>
          </cell>
          <cell r="C1663" t="str">
            <v>巡音ルカ</v>
          </cell>
        </row>
        <row r="1664">
          <cell r="A1664">
            <v>8024</v>
          </cell>
          <cell r="B1664" t="str">
            <v>ja</v>
          </cell>
          <cell r="C1664" t="str">
            <v>巡音ルカ</v>
          </cell>
        </row>
        <row r="1665">
          <cell r="A1665">
            <v>8025</v>
          </cell>
          <cell r="B1665" t="str">
            <v>ja</v>
          </cell>
          <cell r="C1665" t="str">
            <v>MEIKO</v>
          </cell>
        </row>
        <row r="1666">
          <cell r="A1666">
            <v>8026</v>
          </cell>
          <cell r="B1666" t="str">
            <v>ja</v>
          </cell>
          <cell r="C1666" t="str">
            <v>MEIKO</v>
          </cell>
        </row>
        <row r="1667">
          <cell r="A1667">
            <v>8027</v>
          </cell>
          <cell r="B1667" t="str">
            <v>ja</v>
          </cell>
          <cell r="C1667" t="str">
            <v>KAITO</v>
          </cell>
        </row>
        <row r="1668">
          <cell r="A1668">
            <v>8028</v>
          </cell>
          <cell r="B1668" t="str">
            <v>ja</v>
          </cell>
          <cell r="C1668" t="str">
            <v>KAITO</v>
          </cell>
        </row>
        <row r="1669">
          <cell r="A1669">
            <v>8029</v>
          </cell>
          <cell r="B1669" t="str">
            <v>ja</v>
          </cell>
          <cell r="C1669" t="str">
            <v>Expoミク</v>
          </cell>
        </row>
        <row r="1670">
          <cell r="A1670">
            <v>8030</v>
          </cell>
          <cell r="B1670" t="str">
            <v>ja</v>
          </cell>
          <cell r="C1670" t="str">
            <v>Expoミク</v>
          </cell>
        </row>
        <row r="1671">
          <cell r="A1671">
            <v>8031</v>
          </cell>
          <cell r="B1671" t="str">
            <v>ja</v>
          </cell>
          <cell r="C1671" t="str">
            <v>閻羅王</v>
          </cell>
        </row>
        <row r="1672">
          <cell r="A1672">
            <v>8032</v>
          </cell>
          <cell r="B1672" t="str">
            <v>ja</v>
          </cell>
          <cell r="C1672" t="str">
            <v>六道輪廻の絶獄 閻羅王</v>
          </cell>
        </row>
        <row r="1673">
          <cell r="A1673">
            <v>8033</v>
          </cell>
          <cell r="B1673" t="str">
            <v>ja</v>
          </cell>
          <cell r="C1673" t="str">
            <v>牛頭馬面</v>
          </cell>
        </row>
        <row r="1674">
          <cell r="A1674">
            <v>8034</v>
          </cell>
          <cell r="B1674" t="str">
            <v>ja</v>
          </cell>
          <cell r="C1674" t="str">
            <v>冥府狩る魂使 牛頭馬面</v>
          </cell>
        </row>
        <row r="1675">
          <cell r="A1675">
            <v>8035</v>
          </cell>
          <cell r="B1675" t="str">
            <v>ja</v>
          </cell>
          <cell r="C1675" t="str">
            <v>飛衛</v>
          </cell>
        </row>
        <row r="1676">
          <cell r="A1676">
            <v>8036</v>
          </cell>
          <cell r="B1676" t="str">
            <v>ja</v>
          </cell>
          <cell r="C1676" t="str">
            <v>レア６飛衛</v>
          </cell>
        </row>
        <row r="1677">
          <cell r="A1677">
            <v>8037</v>
          </cell>
          <cell r="B1677" t="str">
            <v>ja</v>
          </cell>
          <cell r="C1677" t="str">
            <v>紀昌</v>
          </cell>
        </row>
        <row r="1678">
          <cell r="A1678">
            <v>8038</v>
          </cell>
          <cell r="B1678" t="str">
            <v>ja</v>
          </cell>
          <cell r="C1678" t="str">
            <v>レア６紀昌</v>
          </cell>
        </row>
        <row r="1679">
          <cell r="A1679">
            <v>8039</v>
          </cell>
          <cell r="B1679" t="str">
            <v>ja</v>
          </cell>
          <cell r="C1679" t="str">
            <v>何仙姑</v>
          </cell>
        </row>
        <row r="1680">
          <cell r="A1680">
            <v>8040</v>
          </cell>
          <cell r="B1680" t="str">
            <v>ja</v>
          </cell>
          <cell r="C1680" t="str">
            <v>荷咲く九天 何仙姑</v>
          </cell>
        </row>
        <row r="1681">
          <cell r="A1681">
            <v>8041</v>
          </cell>
          <cell r="B1681" t="str">
            <v>ja</v>
          </cell>
          <cell r="C1681" t="str">
            <v>藍采和</v>
          </cell>
        </row>
        <row r="1682">
          <cell r="A1682">
            <v>8042</v>
          </cell>
          <cell r="B1682" t="str">
            <v>ja</v>
          </cell>
          <cell r="C1682" t="str">
            <v>天真浪漫 藍采和</v>
          </cell>
        </row>
        <row r="1683">
          <cell r="A1683">
            <v>8043</v>
          </cell>
          <cell r="B1683" t="str">
            <v>ja</v>
          </cell>
          <cell r="C1683" t="str">
            <v>サンリオキャラ大集合+アザゼル</v>
          </cell>
        </row>
        <row r="1684">
          <cell r="A1684">
            <v>8044</v>
          </cell>
          <cell r="B1684" t="str">
            <v>ja</v>
          </cell>
          <cell r="C1684" t="str">
            <v>サンリオキャラ大集合+アザゼル</v>
          </cell>
        </row>
        <row r="1685">
          <cell r="A1685">
            <v>8045</v>
          </cell>
          <cell r="B1685" t="str">
            <v>ja</v>
          </cell>
          <cell r="C1685" t="str">
            <v>ニムダ_サンリオキャラ混じり</v>
          </cell>
        </row>
        <row r="1686">
          <cell r="A1686">
            <v>8046</v>
          </cell>
          <cell r="B1686" t="str">
            <v>ja</v>
          </cell>
          <cell r="C1686" t="str">
            <v>ニムダ_サンリオキャラ混じり</v>
          </cell>
        </row>
        <row r="1687">
          <cell r="A1687">
            <v>8047</v>
          </cell>
          <cell r="B1687" t="str">
            <v>ja</v>
          </cell>
          <cell r="C1687" t="str">
            <v>ハローキティ</v>
          </cell>
        </row>
        <row r="1688">
          <cell r="A1688">
            <v>8048</v>
          </cell>
          <cell r="B1688" t="str">
            <v>ja</v>
          </cell>
          <cell r="C1688" t="str">
            <v>ハローキティ</v>
          </cell>
        </row>
        <row r="1689">
          <cell r="A1689">
            <v>8049</v>
          </cell>
          <cell r="B1689" t="str">
            <v>ja</v>
          </cell>
          <cell r="C1689" t="str">
            <v>KIRIMIちゃん</v>
          </cell>
        </row>
        <row r="1690">
          <cell r="A1690">
            <v>8050</v>
          </cell>
          <cell r="B1690" t="str">
            <v>ja</v>
          </cell>
          <cell r="C1690" t="str">
            <v>KIRIMIちゃん</v>
          </cell>
        </row>
        <row r="1691">
          <cell r="A1691">
            <v>8051</v>
          </cell>
          <cell r="B1691" t="str">
            <v>ja</v>
          </cell>
          <cell r="C1691" t="str">
            <v>ハローキティのリボン</v>
          </cell>
        </row>
        <row r="1692">
          <cell r="A1692">
            <v>8052</v>
          </cell>
          <cell r="B1692" t="str">
            <v>ja</v>
          </cell>
          <cell r="C1692" t="str">
            <v>ママの作ったアップルパイ</v>
          </cell>
        </row>
        <row r="1693">
          <cell r="A1693">
            <v>8053</v>
          </cell>
          <cell r="B1693" t="str">
            <v>ja</v>
          </cell>
          <cell r="C1693" t="str">
            <v>D.R.T.H__キティコスプレ</v>
          </cell>
        </row>
        <row r="1694">
          <cell r="A1694">
            <v>8054</v>
          </cell>
          <cell r="B1694" t="str">
            <v>ja</v>
          </cell>
          <cell r="C1694" t="str">
            <v>D.R.T.H__キティコスプレ</v>
          </cell>
        </row>
        <row r="1695">
          <cell r="A1695">
            <v>8055</v>
          </cell>
          <cell r="B1695" t="str">
            <v>ja</v>
          </cell>
          <cell r="C1695" t="str">
            <v>マイメロディ</v>
          </cell>
        </row>
        <row r="1696">
          <cell r="A1696">
            <v>8056</v>
          </cell>
          <cell r="B1696" t="str">
            <v>ja</v>
          </cell>
          <cell r="C1696" t="str">
            <v>マイメロディ</v>
          </cell>
        </row>
        <row r="1697">
          <cell r="A1697">
            <v>8057</v>
          </cell>
          <cell r="B1697" t="str">
            <v>ja</v>
          </cell>
          <cell r="C1697" t="str">
            <v>ニーベルゲン_シナモロールコスプレ</v>
          </cell>
        </row>
        <row r="1698">
          <cell r="A1698">
            <v>8058</v>
          </cell>
          <cell r="B1698" t="str">
            <v>ja</v>
          </cell>
          <cell r="C1698" t="str">
            <v>ニーベルゲン_シナモロールコスプレ</v>
          </cell>
        </row>
        <row r="1699">
          <cell r="A1699">
            <v>8059</v>
          </cell>
          <cell r="B1699" t="str">
            <v>ja</v>
          </cell>
          <cell r="C1699" t="str">
            <v>カカシ_マイメロディコスプレ</v>
          </cell>
        </row>
        <row r="1700">
          <cell r="A1700">
            <v>8060</v>
          </cell>
          <cell r="B1700" t="str">
            <v>ja</v>
          </cell>
          <cell r="C1700" t="str">
            <v>カカシ_マイメロディコスプレ</v>
          </cell>
        </row>
        <row r="1701">
          <cell r="A1701">
            <v>8061</v>
          </cell>
          <cell r="B1701" t="str">
            <v>ja</v>
          </cell>
          <cell r="C1701" t="str">
            <v>ケロケロけろっぴ</v>
          </cell>
        </row>
        <row r="1702">
          <cell r="A1702">
            <v>8062</v>
          </cell>
          <cell r="B1702" t="str">
            <v>ja</v>
          </cell>
          <cell r="C1702" t="str">
            <v>ケロケロけろっぴ</v>
          </cell>
        </row>
        <row r="1703">
          <cell r="A1703">
            <v>8063</v>
          </cell>
          <cell r="B1703" t="str">
            <v>ja</v>
          </cell>
          <cell r="C1703" t="str">
            <v>モルドレッド_ポムポムプリンコスプレ</v>
          </cell>
        </row>
        <row r="1704">
          <cell r="A1704">
            <v>8064</v>
          </cell>
          <cell r="B1704" t="str">
            <v>ja</v>
          </cell>
          <cell r="C1704" t="str">
            <v>モルドレッド_ポムポムプリンコスプレ</v>
          </cell>
        </row>
        <row r="1705">
          <cell r="A1705">
            <v>8065</v>
          </cell>
          <cell r="B1705" t="str">
            <v>ja</v>
          </cell>
          <cell r="C1705" t="str">
            <v>クロミ</v>
          </cell>
        </row>
        <row r="1706">
          <cell r="A1706">
            <v>8066</v>
          </cell>
          <cell r="B1706" t="str">
            <v>ja</v>
          </cell>
          <cell r="C1706" t="str">
            <v>クロミ</v>
          </cell>
        </row>
        <row r="1707">
          <cell r="A1707">
            <v>8067</v>
          </cell>
          <cell r="B1707" t="str">
            <v>ja</v>
          </cell>
          <cell r="C1707" t="str">
            <v>バッドばつ丸</v>
          </cell>
        </row>
        <row r="1708">
          <cell r="A1708">
            <v>8068</v>
          </cell>
          <cell r="B1708" t="str">
            <v>ja</v>
          </cell>
          <cell r="C1708" t="str">
            <v>バッドばつ丸</v>
          </cell>
        </row>
        <row r="1709">
          <cell r="A1709">
            <v>8069</v>
          </cell>
          <cell r="B1709" t="str">
            <v>ja</v>
          </cell>
          <cell r="C1709" t="str">
            <v>シナモロール</v>
          </cell>
        </row>
        <row r="1710">
          <cell r="A1710">
            <v>8070</v>
          </cell>
          <cell r="B1710" t="str">
            <v>ja</v>
          </cell>
          <cell r="C1710" t="str">
            <v>シナモロール</v>
          </cell>
        </row>
        <row r="1711">
          <cell r="A1711">
            <v>8071</v>
          </cell>
          <cell r="B1711" t="str">
            <v>ja</v>
          </cell>
          <cell r="C1711" t="str">
            <v>ポムポムプリン</v>
          </cell>
        </row>
        <row r="1712">
          <cell r="A1712">
            <v>8072</v>
          </cell>
          <cell r="B1712" t="str">
            <v>ja</v>
          </cell>
          <cell r="C1712" t="str">
            <v>ポムポムプリン</v>
          </cell>
        </row>
        <row r="1713">
          <cell r="A1713">
            <v>8073</v>
          </cell>
          <cell r="B1713" t="str">
            <v>ja</v>
          </cell>
          <cell r="C1713" t="str">
            <v>星海祈る天光妃 媽祖</v>
          </cell>
        </row>
        <row r="1714">
          <cell r="A1714">
            <v>8074</v>
          </cell>
          <cell r="B1714" t="str">
            <v>ja</v>
          </cell>
          <cell r="C1714" t="str">
            <v>海戀の絶龍姫 蛟龍</v>
          </cell>
        </row>
        <row r="1715">
          <cell r="A1715">
            <v>8075</v>
          </cell>
          <cell r="B1715" t="str">
            <v>ja</v>
          </cell>
          <cell r="C1715" t="str">
            <v>解脱天の知徳 三蔵法師</v>
          </cell>
        </row>
        <row r="1716">
          <cell r="A1716">
            <v>8076</v>
          </cell>
          <cell r="B1716" t="str">
            <v>ja</v>
          </cell>
          <cell r="C1716" t="str">
            <v>天暴の斉天大聖 孫悟空</v>
          </cell>
        </row>
        <row r="1717">
          <cell r="A1717">
            <v>8077</v>
          </cell>
          <cell r="B1717" t="str">
            <v>ja</v>
          </cell>
          <cell r="C1717" t="str">
            <v>鄭成功</v>
          </cell>
        </row>
        <row r="1718">
          <cell r="A1718">
            <v>8078</v>
          </cell>
          <cell r="B1718" t="str">
            <v>ja</v>
          </cell>
          <cell r="C1718" t="str">
            <v>レア６鄭成功</v>
          </cell>
        </row>
        <row r="1719">
          <cell r="A1719">
            <v>8079</v>
          </cell>
          <cell r="B1719" t="str">
            <v>ja</v>
          </cell>
          <cell r="C1719" t="str">
            <v>赤鬼</v>
          </cell>
        </row>
        <row r="1720">
          <cell r="A1720">
            <v>8080</v>
          </cell>
          <cell r="B1720" t="str">
            <v>ja</v>
          </cell>
          <cell r="C1720" t="str">
            <v>レア６赤鬼</v>
          </cell>
        </row>
        <row r="1721">
          <cell r="A1721">
            <v>8081</v>
          </cell>
          <cell r="B1721" t="str">
            <v>ja</v>
          </cell>
          <cell r="C1721" t="str">
            <v>関羽</v>
          </cell>
        </row>
        <row r="1722">
          <cell r="A1722">
            <v>8082</v>
          </cell>
          <cell r="B1722" t="str">
            <v>ja</v>
          </cell>
          <cell r="C1722" t="str">
            <v>千里突撃 関羽</v>
          </cell>
        </row>
        <row r="1723">
          <cell r="A1723">
            <v>8083</v>
          </cell>
          <cell r="B1723" t="str">
            <v>ja</v>
          </cell>
          <cell r="C1723" t="str">
            <v>曹操</v>
          </cell>
        </row>
        <row r="1724">
          <cell r="A1724">
            <v>8084</v>
          </cell>
          <cell r="B1724" t="str">
            <v>ja</v>
          </cell>
          <cell r="C1724" t="str">
            <v>混沌の覇道行者 曹操</v>
          </cell>
        </row>
        <row r="1725">
          <cell r="A1725">
            <v>8085</v>
          </cell>
          <cell r="B1725" t="str">
            <v>ja</v>
          </cell>
          <cell r="C1725" t="str">
            <v>九霊無上の聖母 西王娘娘</v>
          </cell>
        </row>
        <row r="1726">
          <cell r="A1726">
            <v>8086</v>
          </cell>
          <cell r="B1726" t="str">
            <v>ja</v>
          </cell>
          <cell r="C1726" t="str">
            <v>砕縁の情滅剣 月下老人</v>
          </cell>
        </row>
        <row r="1727">
          <cell r="A1727">
            <v>8087</v>
          </cell>
          <cell r="B1727" t="str">
            <v>ja</v>
          </cell>
          <cell r="C1727" t="str">
            <v>財神</v>
          </cell>
        </row>
        <row r="1728">
          <cell r="A1728">
            <v>8088</v>
          </cell>
          <cell r="B1728" t="str">
            <v>ja</v>
          </cell>
          <cell r="C1728" t="str">
            <v>★６財神</v>
          </cell>
        </row>
        <row r="1729">
          <cell r="A1729">
            <v>8089</v>
          </cell>
          <cell r="B1729" t="str">
            <v>ja</v>
          </cell>
          <cell r="C1729" t="str">
            <v>年獣</v>
          </cell>
        </row>
        <row r="1730">
          <cell r="A1730">
            <v>8090</v>
          </cell>
          <cell r="B1730" t="str">
            <v>ja</v>
          </cell>
          <cell r="C1730" t="str">
            <v>★６年獣</v>
          </cell>
        </row>
        <row r="1731">
          <cell r="A1731">
            <v>8095</v>
          </cell>
          <cell r="B1731" t="str">
            <v>ja</v>
          </cell>
          <cell r="C1731" t="str">
            <v>バハムートダック赤</v>
          </cell>
        </row>
        <row r="1732">
          <cell r="A1732">
            <v>8096</v>
          </cell>
          <cell r="B1732" t="str">
            <v>ja</v>
          </cell>
          <cell r="C1732" t="str">
            <v>バハムートダック緑</v>
          </cell>
        </row>
        <row r="1733">
          <cell r="A1733">
            <v>8097</v>
          </cell>
          <cell r="B1733" t="str">
            <v>ja</v>
          </cell>
          <cell r="C1733" t="str">
            <v>バハムートダック青</v>
          </cell>
        </row>
        <row r="1734">
          <cell r="A1734">
            <v>8098</v>
          </cell>
          <cell r="B1734" t="str">
            <v>ja</v>
          </cell>
          <cell r="C1734" t="str">
            <v>バハムートダック黄</v>
          </cell>
        </row>
        <row r="1735">
          <cell r="A1735">
            <v>8099</v>
          </cell>
          <cell r="B1735" t="str">
            <v>ja</v>
          </cell>
          <cell r="C1735" t="str">
            <v>韓湘子</v>
          </cell>
        </row>
        <row r="1736">
          <cell r="A1736">
            <v>8100</v>
          </cell>
          <cell r="B1736" t="str">
            <v>ja</v>
          </cell>
          <cell r="C1736" t="str">
            <v>韓湘子★６</v>
          </cell>
        </row>
        <row r="1737">
          <cell r="A1737">
            <v>8101</v>
          </cell>
          <cell r="B1737" t="str">
            <v>ja</v>
          </cell>
          <cell r="C1737" t="str">
            <v>張果老</v>
          </cell>
        </row>
        <row r="1738">
          <cell r="A1738">
            <v>8102</v>
          </cell>
          <cell r="B1738" t="str">
            <v>ja</v>
          </cell>
          <cell r="C1738" t="str">
            <v>張果老★６</v>
          </cell>
        </row>
        <row r="1739">
          <cell r="A1739">
            <v>8103</v>
          </cell>
          <cell r="B1739" t="str">
            <v>ja</v>
          </cell>
          <cell r="C1739" t="str">
            <v>李鐵拐</v>
          </cell>
        </row>
        <row r="1740">
          <cell r="A1740">
            <v>8104</v>
          </cell>
          <cell r="B1740" t="str">
            <v>ja</v>
          </cell>
          <cell r="C1740" t="str">
            <v>李鐵拐★６</v>
          </cell>
        </row>
        <row r="1741">
          <cell r="A1741">
            <v>8105</v>
          </cell>
          <cell r="B1741" t="str">
            <v>ja</v>
          </cell>
          <cell r="C1741" t="str">
            <v>曹國舅</v>
          </cell>
        </row>
        <row r="1742">
          <cell r="A1742">
            <v>8106</v>
          </cell>
          <cell r="B1742" t="str">
            <v>ja</v>
          </cell>
          <cell r="C1742" t="str">
            <v>曹國舅★６</v>
          </cell>
        </row>
        <row r="1743">
          <cell r="A1743">
            <v>8111</v>
          </cell>
          <cell r="B1743" t="str">
            <v>ja</v>
          </cell>
          <cell r="C1743" t="str">
            <v>福德正神</v>
          </cell>
        </row>
        <row r="1744">
          <cell r="A1744">
            <v>8112</v>
          </cell>
          <cell r="B1744" t="str">
            <v>ja</v>
          </cell>
          <cell r="C1744" t="str">
            <v>福德正神★６</v>
          </cell>
        </row>
        <row r="1745">
          <cell r="A1745">
            <v>8113</v>
          </cell>
          <cell r="B1745" t="str">
            <v>ja</v>
          </cell>
          <cell r="C1745" t="str">
            <v>孔子</v>
          </cell>
        </row>
        <row r="1746">
          <cell r="A1746">
            <v>8114</v>
          </cell>
          <cell r="B1746" t="str">
            <v>ja</v>
          </cell>
          <cell r="C1746" t="str">
            <v>孔子★６</v>
          </cell>
        </row>
        <row r="1747">
          <cell r="A1747">
            <v>8115</v>
          </cell>
          <cell r="B1747" t="str">
            <v>ja</v>
          </cell>
          <cell r="C1747" t="str">
            <v>贏政</v>
          </cell>
        </row>
        <row r="1748">
          <cell r="A1748">
            <v>8116</v>
          </cell>
          <cell r="B1748" t="str">
            <v>ja</v>
          </cell>
          <cell r="C1748" t="str">
            <v>贏政★６</v>
          </cell>
        </row>
        <row r="1749">
          <cell r="A1749">
            <v>8117</v>
          </cell>
          <cell r="B1749" t="str">
            <v>ja</v>
          </cell>
          <cell r="C1749" t="str">
            <v>白娘子</v>
          </cell>
        </row>
        <row r="1750">
          <cell r="A1750">
            <v>8118</v>
          </cell>
          <cell r="B1750" t="str">
            <v>ja</v>
          </cell>
          <cell r="C1750" t="str">
            <v>白娘子★６</v>
          </cell>
        </row>
        <row r="1751">
          <cell r="A1751">
            <v>8119</v>
          </cell>
          <cell r="B1751" t="str">
            <v>ja</v>
          </cell>
          <cell r="C1751" t="str">
            <v>小青</v>
          </cell>
        </row>
        <row r="1752">
          <cell r="A1752">
            <v>8120</v>
          </cell>
          <cell r="B1752" t="str">
            <v>ja</v>
          </cell>
          <cell r="C1752" t="str">
            <v>小青★６</v>
          </cell>
        </row>
        <row r="1753">
          <cell r="A1753">
            <v>8121</v>
          </cell>
          <cell r="B1753" t="str">
            <v>ja</v>
          </cell>
          <cell r="C1753" t="str">
            <v>法海</v>
          </cell>
        </row>
        <row r="1754">
          <cell r="A1754">
            <v>8122</v>
          </cell>
          <cell r="B1754" t="str">
            <v>ja</v>
          </cell>
          <cell r="C1754" t="str">
            <v>法海★６</v>
          </cell>
        </row>
        <row r="1755">
          <cell r="A1755">
            <v>8123</v>
          </cell>
          <cell r="B1755" t="str">
            <v>ja</v>
          </cell>
          <cell r="C1755" t="str">
            <v>哪吒</v>
          </cell>
        </row>
        <row r="1756">
          <cell r="A1756">
            <v>8124</v>
          </cell>
          <cell r="B1756" t="str">
            <v>ja</v>
          </cell>
          <cell r="C1756" t="str">
            <v>★6哪吒</v>
          </cell>
        </row>
        <row r="1757">
          <cell r="A1757">
            <v>8125</v>
          </cell>
          <cell r="B1757" t="str">
            <v>ja</v>
          </cell>
          <cell r="C1757" t="str">
            <v>東海龍王</v>
          </cell>
        </row>
        <row r="1758">
          <cell r="A1758">
            <v>8126</v>
          </cell>
          <cell r="B1758" t="str">
            <v>ja</v>
          </cell>
          <cell r="C1758" t="str">
            <v>★6東海龍王</v>
          </cell>
        </row>
        <row r="1759">
          <cell r="A1759">
            <v>8127</v>
          </cell>
          <cell r="B1759" t="str">
            <v>ja</v>
          </cell>
          <cell r="C1759" t="str">
            <v>鐵扇公主 ‧ 羅剎女</v>
          </cell>
        </row>
        <row r="1760">
          <cell r="A1760">
            <v>8128</v>
          </cell>
          <cell r="B1760" t="str">
            <v>ja</v>
          </cell>
          <cell r="C1760" t="str">
            <v>聖賢哲者 ‧ 唐三藏</v>
          </cell>
        </row>
        <row r="1761">
          <cell r="A1761">
            <v>8129</v>
          </cell>
          <cell r="B1761" t="str">
            <v>ja</v>
          </cell>
          <cell r="C1761" t="str">
            <v>放任孽魔 ‧ 撒旦</v>
          </cell>
        </row>
        <row r="1762">
          <cell r="A1762">
            <v>8130</v>
          </cell>
          <cell r="B1762" t="str">
            <v>ja</v>
          </cell>
          <cell r="C1762" t="str">
            <v>變臉火術 ‧ 切西亞</v>
          </cell>
        </row>
        <row r="1763">
          <cell r="A1763">
            <v>8131</v>
          </cell>
          <cell r="B1763" t="str">
            <v>ja</v>
          </cell>
          <cell r="C1763" t="str">
            <v>預知者之歷劫 ‧ 卡珊德拉</v>
          </cell>
        </row>
        <row r="1764">
          <cell r="A1764">
            <v>8132</v>
          </cell>
          <cell r="B1764" t="str">
            <v>ja</v>
          </cell>
          <cell r="C1764" t="str">
            <v>罪與責之承諾 ‧ 美狄亞</v>
          </cell>
        </row>
        <row r="1765">
          <cell r="A1765">
            <v>8133</v>
          </cell>
          <cell r="B1765" t="str">
            <v>ja</v>
          </cell>
          <cell r="C1765" t="str">
            <v>大魔導士 ‧ 莫莉</v>
          </cell>
        </row>
        <row r="1766">
          <cell r="A1766">
            <v>8134</v>
          </cell>
          <cell r="B1766" t="str">
            <v>ja</v>
          </cell>
          <cell r="C1766" t="str">
            <v>龍焰騎士 ‧ 肖恩</v>
          </cell>
        </row>
        <row r="1767">
          <cell r="A1767">
            <v>8135</v>
          </cell>
          <cell r="B1767" t="str">
            <v>ja</v>
          </cell>
          <cell r="C1767" t="str">
            <v>混沌之翼 ‧ 路西法</v>
          </cell>
        </row>
        <row r="1768">
          <cell r="A1768">
            <v>8136</v>
          </cell>
          <cell r="B1768" t="str">
            <v>ja</v>
          </cell>
          <cell r="C1768" t="str">
            <v>混沌之翼 ‧ 路西法★6</v>
          </cell>
        </row>
        <row r="1769">
          <cell r="A1769">
            <v>8137</v>
          </cell>
          <cell r="B1769" t="str">
            <v>ja</v>
          </cell>
          <cell r="C1769" t="str">
            <v>黑巫術之疚惡 ‧ 喀耳刻</v>
          </cell>
        </row>
        <row r="1770">
          <cell r="A1770">
            <v>8138</v>
          </cell>
          <cell r="B1770" t="str">
            <v>ja</v>
          </cell>
          <cell r="C1770" t="str">
            <v>死靈魔導 ‧ 安多</v>
          </cell>
        </row>
        <row r="1771">
          <cell r="A1771">
            <v>9001</v>
          </cell>
          <cell r="B1771" t="str">
            <v>ja</v>
          </cell>
          <cell r="C1771" t="str">
            <v>春香</v>
          </cell>
        </row>
        <row r="1772">
          <cell r="A1772">
            <v>9002</v>
          </cell>
          <cell r="B1772" t="str">
            <v>ja</v>
          </cell>
          <cell r="C1772" t="str">
            <v>春香★６</v>
          </cell>
        </row>
        <row r="1773">
          <cell r="A1773">
            <v>9003</v>
          </cell>
          <cell r="B1773" t="str">
            <v>ja</v>
          </cell>
          <cell r="C1773" t="str">
            <v>夢龍</v>
          </cell>
        </row>
        <row r="1774">
          <cell r="A1774">
            <v>9004</v>
          </cell>
          <cell r="B1774" t="str">
            <v>ja</v>
          </cell>
          <cell r="C1774" t="str">
            <v>夢龍★６</v>
          </cell>
        </row>
        <row r="1775">
          <cell r="A1775">
            <v>9005</v>
          </cell>
          <cell r="B1775" t="str">
            <v>ja</v>
          </cell>
          <cell r="C1775" t="str">
            <v>降臨</v>
          </cell>
        </row>
        <row r="1776">
          <cell r="A1776">
            <v>9006</v>
          </cell>
          <cell r="B1776" t="str">
            <v>ja</v>
          </cell>
          <cell r="C1776" t="str">
            <v>降臨★６</v>
          </cell>
        </row>
        <row r="1777">
          <cell r="A1777">
            <v>9007</v>
          </cell>
          <cell r="B1777" t="str">
            <v>ja</v>
          </cell>
          <cell r="C1777" t="str">
            <v>田禹治</v>
          </cell>
        </row>
        <row r="1778">
          <cell r="A1778">
            <v>9008</v>
          </cell>
          <cell r="B1778" t="str">
            <v>ja</v>
          </cell>
          <cell r="C1778" t="str">
            <v>田禹治★６</v>
          </cell>
        </row>
        <row r="1779">
          <cell r="A1779">
            <v>9009</v>
          </cell>
          <cell r="B1779" t="str">
            <v>ja</v>
          </cell>
          <cell r="C1779" t="str">
            <v>薔花</v>
          </cell>
        </row>
        <row r="1780">
          <cell r="A1780">
            <v>9010</v>
          </cell>
          <cell r="B1780" t="str">
            <v>ja</v>
          </cell>
          <cell r="C1780" t="str">
            <v>薔花★６</v>
          </cell>
        </row>
        <row r="1781">
          <cell r="A1781">
            <v>9011</v>
          </cell>
          <cell r="B1781" t="str">
            <v>ja</v>
          </cell>
          <cell r="C1781" t="str">
            <v>紅蓮</v>
          </cell>
        </row>
        <row r="1782">
          <cell r="A1782">
            <v>9012</v>
          </cell>
          <cell r="B1782" t="str">
            <v>ja</v>
          </cell>
          <cell r="C1782" t="str">
            <v>紅蓮★６</v>
          </cell>
        </row>
        <row r="1783">
          <cell r="A1783">
            <v>10001</v>
          </cell>
          <cell r="B1783" t="str">
            <v>ja</v>
          </cell>
          <cell r="C1783" t="str">
            <v>テストユニット01</v>
          </cell>
        </row>
        <row r="1784">
          <cell r="A1784">
            <v>10002</v>
          </cell>
          <cell r="B1784" t="str">
            <v>ja</v>
          </cell>
          <cell r="C1784" t="str">
            <v>テストユニット02</v>
          </cell>
        </row>
        <row r="1785">
          <cell r="A1785">
            <v>10003</v>
          </cell>
          <cell r="B1785" t="str">
            <v>ja</v>
          </cell>
          <cell r="C1785" t="str">
            <v>テストユニット03</v>
          </cell>
        </row>
        <row r="1786">
          <cell r="A1786">
            <v>10004</v>
          </cell>
          <cell r="B1786" t="str">
            <v>ja</v>
          </cell>
          <cell r="C1786" t="str">
            <v>テストユニット04</v>
          </cell>
        </row>
        <row r="1787">
          <cell r="A1787">
            <v>10005</v>
          </cell>
          <cell r="B1787" t="str">
            <v>ja</v>
          </cell>
          <cell r="C1787" t="str">
            <v>テストユニット05</v>
          </cell>
        </row>
        <row r="1788">
          <cell r="A1788">
            <v>10006</v>
          </cell>
          <cell r="B1788" t="str">
            <v>ja</v>
          </cell>
          <cell r="C1788" t="str">
            <v>テストユニット06</v>
          </cell>
        </row>
        <row r="1789">
          <cell r="A1789">
            <v>10007</v>
          </cell>
          <cell r="B1789" t="str">
            <v>ja</v>
          </cell>
          <cell r="C1789" t="str">
            <v>テストユニット07</v>
          </cell>
        </row>
        <row r="1790">
          <cell r="A1790">
            <v>10008</v>
          </cell>
          <cell r="B1790" t="str">
            <v>ja</v>
          </cell>
          <cell r="C1790" t="str">
            <v>テストユニット08</v>
          </cell>
        </row>
        <row r="1791">
          <cell r="A1791">
            <v>10009</v>
          </cell>
          <cell r="B1791" t="str">
            <v>ja</v>
          </cell>
          <cell r="C1791" t="str">
            <v>青テスト01</v>
          </cell>
        </row>
        <row r="1792">
          <cell r="A1792">
            <v>10010</v>
          </cell>
          <cell r="B1792" t="str">
            <v>ja</v>
          </cell>
          <cell r="C1792" t="str">
            <v>赤テスト01</v>
          </cell>
        </row>
        <row r="1793">
          <cell r="A1793">
            <v>10011</v>
          </cell>
          <cell r="B1793" t="str">
            <v>ja</v>
          </cell>
          <cell r="C1793" t="str">
            <v>テストユニット11</v>
          </cell>
        </row>
        <row r="1794">
          <cell r="A1794">
            <v>10012</v>
          </cell>
          <cell r="B1794" t="str">
            <v>ja</v>
          </cell>
          <cell r="C1794" t="str">
            <v>レイドテストユニット青</v>
          </cell>
        </row>
        <row r="1795">
          <cell r="A1795">
            <v>10013</v>
          </cell>
          <cell r="B1795" t="str">
            <v>ja</v>
          </cell>
          <cell r="C1795" t="str">
            <v>テストユニット13</v>
          </cell>
        </row>
        <row r="1796">
          <cell r="A1796">
            <v>10014</v>
          </cell>
          <cell r="B1796" t="str">
            <v>ja</v>
          </cell>
          <cell r="C1796" t="str">
            <v>テストユニット14</v>
          </cell>
        </row>
        <row r="1797">
          <cell r="A1797">
            <v>10015</v>
          </cell>
          <cell r="B1797" t="str">
            <v>ja</v>
          </cell>
          <cell r="C1797" t="str">
            <v>テストユニット15</v>
          </cell>
        </row>
        <row r="1798">
          <cell r="A1798">
            <v>10016</v>
          </cell>
          <cell r="B1798" t="str">
            <v>ja</v>
          </cell>
          <cell r="C1798" t="str">
            <v>テストユニット16</v>
          </cell>
        </row>
        <row r="1799">
          <cell r="A1799">
            <v>10017</v>
          </cell>
          <cell r="B1799" t="str">
            <v>ja</v>
          </cell>
          <cell r="C1799" t="str">
            <v>テストユニット17</v>
          </cell>
        </row>
        <row r="1800">
          <cell r="A1800">
            <v>10018</v>
          </cell>
          <cell r="B1800" t="str">
            <v>ja</v>
          </cell>
          <cell r="C1800" t="str">
            <v>テストユニット18</v>
          </cell>
        </row>
        <row r="1801">
          <cell r="A1801">
            <v>10019</v>
          </cell>
          <cell r="B1801" t="str">
            <v>ja</v>
          </cell>
          <cell r="C1801" t="str">
            <v>テストユニット19</v>
          </cell>
        </row>
        <row r="1802">
          <cell r="A1802">
            <v>10020</v>
          </cell>
          <cell r="B1802" t="str">
            <v>ja</v>
          </cell>
          <cell r="C1802" t="str">
            <v>テストユニット20</v>
          </cell>
        </row>
        <row r="1803">
          <cell r="A1803">
            <v>10021</v>
          </cell>
          <cell r="B1803" t="str">
            <v>ja</v>
          </cell>
          <cell r="C1803" t="str">
            <v>テストユニット21</v>
          </cell>
        </row>
        <row r="1804">
          <cell r="A1804">
            <v>10022</v>
          </cell>
          <cell r="B1804" t="str">
            <v>ja</v>
          </cell>
          <cell r="C1804" t="str">
            <v>テストユニット22</v>
          </cell>
        </row>
        <row r="1805">
          <cell r="A1805">
            <v>10023</v>
          </cell>
          <cell r="B1805" t="str">
            <v>ja</v>
          </cell>
          <cell r="C1805" t="str">
            <v>テストユニット23</v>
          </cell>
        </row>
        <row r="1806">
          <cell r="A1806">
            <v>10024</v>
          </cell>
          <cell r="B1806" t="str">
            <v>ja</v>
          </cell>
          <cell r="C1806" t="str">
            <v>テストユニット24</v>
          </cell>
        </row>
        <row r="1807">
          <cell r="A1807">
            <v>10025</v>
          </cell>
          <cell r="B1807" t="str">
            <v>ja</v>
          </cell>
          <cell r="C1807" t="str">
            <v>テストユニット25</v>
          </cell>
        </row>
        <row r="1808">
          <cell r="A1808">
            <v>10026</v>
          </cell>
          <cell r="B1808" t="str">
            <v>ja</v>
          </cell>
          <cell r="C1808" t="str">
            <v>テストユニット26</v>
          </cell>
        </row>
        <row r="1809">
          <cell r="A1809">
            <v>10027</v>
          </cell>
          <cell r="B1809" t="str">
            <v>ja</v>
          </cell>
          <cell r="C1809" t="str">
            <v>テストユニット27</v>
          </cell>
        </row>
        <row r="1810">
          <cell r="A1810">
            <v>10028</v>
          </cell>
          <cell r="B1810" t="str">
            <v>ja</v>
          </cell>
          <cell r="C1810" t="str">
            <v>テストユニット28</v>
          </cell>
        </row>
        <row r="1811">
          <cell r="A1811">
            <v>10029</v>
          </cell>
          <cell r="B1811" t="str">
            <v>ja</v>
          </cell>
          <cell r="C1811" t="str">
            <v>テストユニット29</v>
          </cell>
        </row>
        <row r="1812">
          <cell r="A1812">
            <v>10030</v>
          </cell>
          <cell r="B1812" t="str">
            <v>ja</v>
          </cell>
          <cell r="C1812" t="str">
            <v>テストユニット30</v>
          </cell>
        </row>
        <row r="1813">
          <cell r="A1813">
            <v>10031</v>
          </cell>
          <cell r="B1813" t="str">
            <v>ja</v>
          </cell>
          <cell r="C1813" t="str">
            <v>テストユニット31</v>
          </cell>
        </row>
        <row r="1814">
          <cell r="A1814">
            <v>10032</v>
          </cell>
          <cell r="B1814" t="str">
            <v>ja</v>
          </cell>
          <cell r="C1814" t="str">
            <v>テストユニット32</v>
          </cell>
        </row>
        <row r="1815">
          <cell r="A1815">
            <v>10033</v>
          </cell>
          <cell r="B1815" t="str">
            <v>ja</v>
          </cell>
          <cell r="C1815" t="str">
            <v>テストユニット33</v>
          </cell>
        </row>
        <row r="1816">
          <cell r="A1816">
            <v>10034</v>
          </cell>
          <cell r="B1816" t="str">
            <v>ja</v>
          </cell>
          <cell r="C1816" t="str">
            <v>テストユニット34</v>
          </cell>
        </row>
        <row r="1817">
          <cell r="A1817">
            <v>10035</v>
          </cell>
          <cell r="B1817" t="str">
            <v>ja</v>
          </cell>
          <cell r="C1817" t="str">
            <v>テストユニット35</v>
          </cell>
        </row>
        <row r="1818">
          <cell r="A1818">
            <v>10036</v>
          </cell>
          <cell r="B1818" t="str">
            <v>ja</v>
          </cell>
          <cell r="C1818" t="str">
            <v>テストユニット36</v>
          </cell>
        </row>
        <row r="1819">
          <cell r="A1819">
            <v>10037</v>
          </cell>
          <cell r="B1819" t="str">
            <v>ja</v>
          </cell>
          <cell r="C1819" t="str">
            <v>テストユニット37</v>
          </cell>
        </row>
        <row r="1820">
          <cell r="A1820">
            <v>10038</v>
          </cell>
          <cell r="B1820" t="str">
            <v>ja</v>
          </cell>
          <cell r="C1820" t="str">
            <v>テストユニット38</v>
          </cell>
        </row>
        <row r="1821">
          <cell r="A1821">
            <v>10039</v>
          </cell>
          <cell r="B1821" t="str">
            <v>ja</v>
          </cell>
          <cell r="C1821" t="str">
            <v>テストユニット39</v>
          </cell>
        </row>
        <row r="1822">
          <cell r="A1822">
            <v>10040</v>
          </cell>
          <cell r="B1822" t="str">
            <v>ja</v>
          </cell>
          <cell r="C1822" t="str">
            <v>テストユニット40</v>
          </cell>
        </row>
        <row r="1823">
          <cell r="A1823">
            <v>10041</v>
          </cell>
          <cell r="B1823" t="str">
            <v>ja</v>
          </cell>
          <cell r="C1823" t="str">
            <v>テストユニット41</v>
          </cell>
        </row>
        <row r="1824">
          <cell r="A1824">
            <v>10042</v>
          </cell>
          <cell r="B1824" t="str">
            <v>ja</v>
          </cell>
          <cell r="C1824" t="str">
            <v>テストユニット42</v>
          </cell>
        </row>
        <row r="1825">
          <cell r="A1825">
            <v>10043</v>
          </cell>
          <cell r="B1825" t="str">
            <v>ja</v>
          </cell>
          <cell r="C1825" t="str">
            <v>テストユニット43</v>
          </cell>
        </row>
        <row r="1826">
          <cell r="A1826">
            <v>10044</v>
          </cell>
          <cell r="B1826" t="str">
            <v>ja</v>
          </cell>
          <cell r="C1826" t="str">
            <v>テストユニット44</v>
          </cell>
        </row>
        <row r="1827">
          <cell r="A1827">
            <v>10045</v>
          </cell>
          <cell r="B1827" t="str">
            <v>ja</v>
          </cell>
          <cell r="C1827" t="str">
            <v>テストユニット45</v>
          </cell>
        </row>
        <row r="1828">
          <cell r="A1828">
            <v>10046</v>
          </cell>
          <cell r="B1828" t="str">
            <v>ja</v>
          </cell>
          <cell r="C1828" t="str">
            <v>テストユニット46</v>
          </cell>
        </row>
        <row r="1829">
          <cell r="A1829">
            <v>10047</v>
          </cell>
          <cell r="B1829" t="str">
            <v>ja</v>
          </cell>
          <cell r="C1829" t="str">
            <v>テストユニット47</v>
          </cell>
        </row>
        <row r="1830">
          <cell r="A1830">
            <v>10048</v>
          </cell>
          <cell r="B1830" t="str">
            <v>ja</v>
          </cell>
          <cell r="C1830" t="str">
            <v>テストユニット48</v>
          </cell>
        </row>
        <row r="1831">
          <cell r="A1831">
            <v>10049</v>
          </cell>
          <cell r="B1831" t="str">
            <v>ja</v>
          </cell>
          <cell r="C1831" t="str">
            <v>テストユニット49</v>
          </cell>
        </row>
        <row r="1832">
          <cell r="A1832">
            <v>10050</v>
          </cell>
          <cell r="B1832" t="str">
            <v>ja</v>
          </cell>
          <cell r="C1832" t="str">
            <v>テストユニット50</v>
          </cell>
        </row>
        <row r="1833">
          <cell r="A1833">
            <v>10051</v>
          </cell>
          <cell r="B1833" t="str">
            <v>ja</v>
          </cell>
          <cell r="C1833" t="str">
            <v>テストユニット51</v>
          </cell>
        </row>
        <row r="1834">
          <cell r="A1834">
            <v>10052</v>
          </cell>
          <cell r="B1834" t="str">
            <v>ja</v>
          </cell>
          <cell r="C1834" t="str">
            <v>テストユニット52</v>
          </cell>
        </row>
        <row r="1835">
          <cell r="A1835">
            <v>10053</v>
          </cell>
          <cell r="B1835" t="str">
            <v>ja</v>
          </cell>
          <cell r="C1835" t="str">
            <v>テストユニット53</v>
          </cell>
        </row>
        <row r="1836">
          <cell r="A1836">
            <v>10054</v>
          </cell>
          <cell r="B1836" t="str">
            <v>ja</v>
          </cell>
          <cell r="C1836" t="str">
            <v>テストユニット54</v>
          </cell>
        </row>
        <row r="1837">
          <cell r="A1837">
            <v>10055</v>
          </cell>
          <cell r="B1837" t="str">
            <v>ja</v>
          </cell>
          <cell r="C1837" t="str">
            <v>テストユニット55</v>
          </cell>
        </row>
        <row r="1838">
          <cell r="A1838">
            <v>10056</v>
          </cell>
          <cell r="B1838" t="str">
            <v>ja</v>
          </cell>
          <cell r="C1838" t="str">
            <v>テストユニット56</v>
          </cell>
        </row>
        <row r="1839">
          <cell r="A1839">
            <v>10057</v>
          </cell>
          <cell r="B1839" t="str">
            <v>ja</v>
          </cell>
          <cell r="C1839" t="str">
            <v>テストユニット57</v>
          </cell>
        </row>
        <row r="1840">
          <cell r="A1840">
            <v>10058</v>
          </cell>
          <cell r="B1840" t="str">
            <v>ja</v>
          </cell>
          <cell r="C1840" t="str">
            <v>テストユニット58</v>
          </cell>
        </row>
        <row r="1841">
          <cell r="A1841">
            <v>10059</v>
          </cell>
          <cell r="B1841" t="str">
            <v>ja</v>
          </cell>
          <cell r="C1841" t="str">
            <v>テストユニット59</v>
          </cell>
        </row>
        <row r="1842">
          <cell r="A1842">
            <v>10060</v>
          </cell>
          <cell r="B1842" t="str">
            <v>ja</v>
          </cell>
          <cell r="C1842" t="str">
            <v>テストユニット60</v>
          </cell>
        </row>
        <row r="1843">
          <cell r="A1843">
            <v>10061</v>
          </cell>
          <cell r="B1843" t="str">
            <v>ja</v>
          </cell>
          <cell r="C1843" t="str">
            <v>テストユニット61</v>
          </cell>
        </row>
        <row r="1844">
          <cell r="A1844">
            <v>10062</v>
          </cell>
          <cell r="B1844" t="str">
            <v>ja</v>
          </cell>
          <cell r="C1844" t="str">
            <v>テストユニット62</v>
          </cell>
        </row>
        <row r="1845">
          <cell r="A1845">
            <v>10063</v>
          </cell>
          <cell r="B1845" t="str">
            <v>ja</v>
          </cell>
          <cell r="C1845" t="str">
            <v>テストユニット63</v>
          </cell>
        </row>
        <row r="1846">
          <cell r="A1846">
            <v>10064</v>
          </cell>
          <cell r="B1846" t="str">
            <v>ja</v>
          </cell>
          <cell r="C1846" t="str">
            <v>テストユニット64</v>
          </cell>
        </row>
        <row r="1847">
          <cell r="A1847">
            <v>10065</v>
          </cell>
          <cell r="B1847" t="str">
            <v>ja</v>
          </cell>
          <cell r="C1847" t="str">
            <v>テストユニット65</v>
          </cell>
        </row>
        <row r="1848">
          <cell r="A1848">
            <v>10066</v>
          </cell>
          <cell r="B1848" t="str">
            <v>ja</v>
          </cell>
          <cell r="C1848" t="str">
            <v>テストユニット66</v>
          </cell>
        </row>
        <row r="1849">
          <cell r="A1849">
            <v>10067</v>
          </cell>
          <cell r="B1849" t="str">
            <v>ja</v>
          </cell>
          <cell r="C1849" t="str">
            <v>テストユニット67</v>
          </cell>
        </row>
        <row r="1850">
          <cell r="A1850">
            <v>10068</v>
          </cell>
          <cell r="B1850" t="str">
            <v>ja</v>
          </cell>
          <cell r="C1850" t="str">
            <v>テストユニット68</v>
          </cell>
        </row>
        <row r="1851">
          <cell r="A1851">
            <v>10069</v>
          </cell>
          <cell r="B1851" t="str">
            <v>ja</v>
          </cell>
          <cell r="C1851" t="str">
            <v>テストユニット69</v>
          </cell>
        </row>
        <row r="1852">
          <cell r="A1852">
            <v>10070</v>
          </cell>
          <cell r="B1852" t="str">
            <v>ja</v>
          </cell>
          <cell r="C1852" t="str">
            <v>テストユニット70</v>
          </cell>
        </row>
        <row r="1853">
          <cell r="A1853">
            <v>10071</v>
          </cell>
          <cell r="B1853" t="str">
            <v>ja</v>
          </cell>
          <cell r="C1853" t="str">
            <v>テストユニット71</v>
          </cell>
        </row>
        <row r="1854">
          <cell r="A1854">
            <v>10072</v>
          </cell>
          <cell r="B1854" t="str">
            <v>ja</v>
          </cell>
          <cell r="C1854" t="str">
            <v>テストユニット72</v>
          </cell>
        </row>
        <row r="1855">
          <cell r="A1855">
            <v>10073</v>
          </cell>
          <cell r="B1855" t="str">
            <v>ja</v>
          </cell>
          <cell r="C1855" t="str">
            <v>テストユニット73</v>
          </cell>
        </row>
        <row r="1856">
          <cell r="A1856">
            <v>10074</v>
          </cell>
          <cell r="B1856" t="str">
            <v>ja</v>
          </cell>
          <cell r="C1856" t="str">
            <v>テストユニット74</v>
          </cell>
        </row>
        <row r="1857">
          <cell r="A1857">
            <v>10075</v>
          </cell>
          <cell r="B1857" t="str">
            <v>ja</v>
          </cell>
          <cell r="C1857" t="str">
            <v>テストユニット75</v>
          </cell>
        </row>
        <row r="1858">
          <cell r="A1858">
            <v>10076</v>
          </cell>
          <cell r="B1858" t="str">
            <v>ja</v>
          </cell>
          <cell r="C1858" t="str">
            <v>テストユニット76</v>
          </cell>
        </row>
        <row r="1859">
          <cell r="A1859">
            <v>10077</v>
          </cell>
          <cell r="B1859" t="str">
            <v>ja</v>
          </cell>
          <cell r="C1859" t="str">
            <v>テストユニット77</v>
          </cell>
        </row>
        <row r="1860">
          <cell r="A1860">
            <v>10078</v>
          </cell>
          <cell r="B1860" t="str">
            <v>ja</v>
          </cell>
          <cell r="C1860" t="str">
            <v>テストユニット78</v>
          </cell>
        </row>
        <row r="1861">
          <cell r="A1861">
            <v>10079</v>
          </cell>
          <cell r="B1861" t="str">
            <v>ja</v>
          </cell>
          <cell r="C1861" t="str">
            <v>テストユニット79</v>
          </cell>
        </row>
        <row r="1862">
          <cell r="A1862">
            <v>10080</v>
          </cell>
          <cell r="B1862" t="str">
            <v>ja</v>
          </cell>
          <cell r="C1862" t="str">
            <v>テストユニット80</v>
          </cell>
        </row>
        <row r="1863">
          <cell r="A1863">
            <v>10081</v>
          </cell>
          <cell r="B1863" t="str">
            <v>ja</v>
          </cell>
          <cell r="C1863" t="str">
            <v>テストユニット81</v>
          </cell>
        </row>
        <row r="1864">
          <cell r="A1864">
            <v>10082</v>
          </cell>
          <cell r="B1864" t="str">
            <v>ja</v>
          </cell>
          <cell r="C1864" t="str">
            <v>テストユニット82</v>
          </cell>
        </row>
        <row r="1865">
          <cell r="A1865">
            <v>10083</v>
          </cell>
          <cell r="B1865" t="str">
            <v>ja</v>
          </cell>
          <cell r="C1865" t="str">
            <v>テストユニット83</v>
          </cell>
        </row>
        <row r="1866">
          <cell r="A1866">
            <v>10084</v>
          </cell>
          <cell r="B1866" t="str">
            <v>ja</v>
          </cell>
          <cell r="C1866" t="str">
            <v>テストユニット84</v>
          </cell>
        </row>
        <row r="1867">
          <cell r="A1867">
            <v>10085</v>
          </cell>
          <cell r="B1867" t="str">
            <v>ja</v>
          </cell>
          <cell r="C1867" t="str">
            <v>テストユニット85</v>
          </cell>
        </row>
        <row r="1868">
          <cell r="A1868">
            <v>10086</v>
          </cell>
          <cell r="B1868" t="str">
            <v>ja</v>
          </cell>
          <cell r="C1868" t="str">
            <v>テストユニット86</v>
          </cell>
        </row>
        <row r="1869">
          <cell r="A1869">
            <v>10087</v>
          </cell>
          <cell r="B1869" t="str">
            <v>ja</v>
          </cell>
          <cell r="C1869" t="str">
            <v>テストユニット87</v>
          </cell>
        </row>
        <row r="1870">
          <cell r="A1870">
            <v>10088</v>
          </cell>
          <cell r="B1870" t="str">
            <v>ja</v>
          </cell>
          <cell r="C1870" t="str">
            <v>テストユニット88</v>
          </cell>
        </row>
        <row r="1871">
          <cell r="A1871">
            <v>10089</v>
          </cell>
          <cell r="B1871" t="str">
            <v>ja</v>
          </cell>
          <cell r="C1871" t="str">
            <v>テストユニット89</v>
          </cell>
        </row>
        <row r="1872">
          <cell r="A1872">
            <v>10090</v>
          </cell>
          <cell r="B1872" t="str">
            <v>ja</v>
          </cell>
          <cell r="C1872" t="str">
            <v>テストユニット90</v>
          </cell>
        </row>
        <row r="1873">
          <cell r="A1873">
            <v>10101</v>
          </cell>
          <cell r="B1873" t="str">
            <v>ja</v>
          </cell>
          <cell r="C1873" t="str">
            <v>Usagi-kun</v>
          </cell>
        </row>
        <row r="1874">
          <cell r="A1874">
            <v>10102</v>
          </cell>
          <cell r="B1874" t="str">
            <v>ja</v>
          </cell>
          <cell r="C1874" t="str">
            <v>ローズ</v>
          </cell>
        </row>
        <row r="1875">
          <cell r="A1875">
            <v>10103</v>
          </cell>
          <cell r="B1875" t="str">
            <v>ja</v>
          </cell>
          <cell r="C1875" t="str">
            <v>ローズ</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row r="1">
          <cell r="G1" t="str">
            <v>condition</v>
          </cell>
        </row>
      </sheetData>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topLeftCell="D1" zoomScale="125" workbookViewId="0">
      <selection activeCell="E16" sqref="E16"/>
    </sheetView>
  </sheetViews>
  <sheetFormatPr baseColWidth="12" defaultRowHeight="15" x14ac:dyDescent="0.15"/>
  <cols>
    <col min="2" max="2" width="25.6640625" customWidth="1"/>
    <col min="5" max="5" width="54" customWidth="1"/>
    <col min="6" max="6" width="22.1640625" bestFit="1" customWidth="1"/>
    <col min="7" max="12" width="17.6640625" customWidth="1"/>
  </cols>
  <sheetData>
    <row r="1" spans="1:29" x14ac:dyDescent="0.15">
      <c r="A1" s="106" t="s">
        <v>125</v>
      </c>
      <c r="B1" s="106" t="s">
        <v>116</v>
      </c>
      <c r="C1" s="106" t="s">
        <v>117</v>
      </c>
      <c r="D1" s="106" t="s">
        <v>118</v>
      </c>
      <c r="E1" s="106" t="s">
        <v>119</v>
      </c>
      <c r="F1" s="106" t="s">
        <v>120</v>
      </c>
      <c r="G1" s="106" t="s">
        <v>121</v>
      </c>
      <c r="H1" s="106"/>
      <c r="I1" s="106"/>
      <c r="J1" s="106"/>
      <c r="K1" s="106"/>
      <c r="L1" s="107"/>
      <c r="M1" s="107"/>
      <c r="N1" s="107"/>
      <c r="O1" s="107"/>
      <c r="P1" s="107"/>
      <c r="Q1" s="107"/>
      <c r="R1" s="107"/>
      <c r="S1" s="107"/>
      <c r="T1" s="107"/>
      <c r="U1" s="107"/>
      <c r="V1" s="107"/>
      <c r="W1" s="107"/>
    </row>
    <row r="2" spans="1:29" x14ac:dyDescent="0.15">
      <c r="A2" s="108" t="s">
        <v>252</v>
      </c>
      <c r="B2" s="108" t="s">
        <v>129</v>
      </c>
      <c r="C2" s="166" t="s">
        <v>324</v>
      </c>
      <c r="D2" s="108" t="s">
        <v>128</v>
      </c>
      <c r="E2" s="107" t="str">
        <f>B2&amp;C2&amp;D2</f>
        <v>units_mesopotamia01.tmp</v>
      </c>
      <c r="F2" s="108" t="s">
        <v>124</v>
      </c>
      <c r="G2" s="62" t="s">
        <v>17</v>
      </c>
      <c r="H2" s="63" t="s">
        <v>96</v>
      </c>
      <c r="I2" s="63" t="s">
        <v>1</v>
      </c>
      <c r="J2" s="63" t="s">
        <v>3</v>
      </c>
      <c r="K2" s="63" t="s">
        <v>2</v>
      </c>
      <c r="L2" s="63" t="s">
        <v>98</v>
      </c>
      <c r="M2" s="63" t="s">
        <v>20</v>
      </c>
      <c r="N2" s="63" t="s">
        <v>103</v>
      </c>
      <c r="O2" s="63" t="s">
        <v>101</v>
      </c>
      <c r="P2" s="63" t="s">
        <v>39</v>
      </c>
      <c r="Q2" s="63" t="s">
        <v>57</v>
      </c>
      <c r="R2" s="108" t="s">
        <v>478</v>
      </c>
      <c r="S2" s="108"/>
      <c r="T2" s="108"/>
      <c r="U2" s="108"/>
      <c r="V2" s="108"/>
      <c r="W2" s="108"/>
    </row>
    <row r="3" spans="1:29" x14ac:dyDescent="0.15">
      <c r="A3" s="108" t="s">
        <v>252</v>
      </c>
      <c r="B3" s="108" t="s">
        <v>301</v>
      </c>
      <c r="C3" s="166" t="s">
        <v>324</v>
      </c>
      <c r="D3" s="108" t="s">
        <v>302</v>
      </c>
      <c r="E3" s="107" t="str">
        <f>B3&amp;C3&amp;D3</f>
        <v>fork_awake_units_mesopotamia01.tmp</v>
      </c>
      <c r="F3" s="108" t="s">
        <v>303</v>
      </c>
      <c r="G3" s="191" t="s">
        <v>304</v>
      </c>
      <c r="H3" s="192" t="s">
        <v>305</v>
      </c>
      <c r="I3" s="192" t="s">
        <v>306</v>
      </c>
      <c r="J3" s="193" t="s">
        <v>307</v>
      </c>
      <c r="K3" s="194"/>
      <c r="L3" s="195"/>
      <c r="M3" s="111"/>
      <c r="N3" s="111"/>
      <c r="O3" s="111"/>
      <c r="P3" s="111"/>
      <c r="Q3" s="111"/>
      <c r="R3" s="111"/>
      <c r="S3" s="111"/>
      <c r="T3" s="111"/>
      <c r="U3" s="111"/>
      <c r="V3" s="111"/>
      <c r="W3" s="111"/>
    </row>
    <row r="4" spans="1:29" x14ac:dyDescent="0.15">
      <c r="A4" s="108" t="s">
        <v>252</v>
      </c>
      <c r="B4" s="108" t="s">
        <v>130</v>
      </c>
      <c r="C4" s="166" t="s">
        <v>324</v>
      </c>
      <c r="D4" s="108" t="s">
        <v>128</v>
      </c>
      <c r="E4" s="107" t="str">
        <f>B4&amp;C4&amp;D4</f>
        <v>awake_materials_mesopotamia01.tmp</v>
      </c>
      <c r="F4" s="108" t="s">
        <v>123</v>
      </c>
      <c r="G4" s="109" t="s">
        <v>38</v>
      </c>
      <c r="H4" s="110" t="s">
        <v>36</v>
      </c>
      <c r="I4" s="110" t="s">
        <v>37</v>
      </c>
      <c r="J4" s="112" t="s">
        <v>126</v>
      </c>
      <c r="K4" s="111"/>
      <c r="L4" s="111"/>
      <c r="M4" s="111"/>
      <c r="N4" s="111"/>
      <c r="O4" s="111"/>
      <c r="P4" s="111"/>
      <c r="Q4" s="111"/>
      <c r="R4" s="111"/>
      <c r="S4" s="111"/>
      <c r="T4" s="111"/>
      <c r="U4" s="111"/>
      <c r="V4" s="111"/>
      <c r="W4" s="111"/>
    </row>
    <row r="5" spans="1:29" x14ac:dyDescent="0.15">
      <c r="A5" s="108" t="s">
        <v>252</v>
      </c>
      <c r="B5" s="108" t="s">
        <v>308</v>
      </c>
      <c r="C5" s="166" t="s">
        <v>324</v>
      </c>
      <c r="D5" s="108" t="s">
        <v>128</v>
      </c>
      <c r="E5" s="107" t="str">
        <f>B5&amp;C5&amp;D5</f>
        <v>fork_awake_materials_mesopotamia01.tmp</v>
      </c>
      <c r="F5" s="108" t="s">
        <v>123</v>
      </c>
      <c r="G5" s="191" t="s">
        <v>282</v>
      </c>
      <c r="H5" s="192" t="s">
        <v>309</v>
      </c>
      <c r="I5" s="192" t="s">
        <v>310</v>
      </c>
      <c r="J5" s="192" t="s">
        <v>37</v>
      </c>
      <c r="K5" s="193" t="s">
        <v>126</v>
      </c>
      <c r="L5" s="193" t="s">
        <v>311</v>
      </c>
      <c r="M5" s="111"/>
      <c r="N5" s="111"/>
      <c r="O5" s="111"/>
      <c r="P5" s="111"/>
      <c r="Q5" s="111"/>
      <c r="R5" s="111"/>
      <c r="S5" s="111"/>
      <c r="T5" s="111"/>
      <c r="U5" s="111"/>
      <c r="V5" s="111"/>
      <c r="W5" s="111"/>
    </row>
    <row r="6" spans="1:29" x14ac:dyDescent="0.15">
      <c r="A6" s="108" t="s">
        <v>253</v>
      </c>
      <c r="B6" s="108" t="s">
        <v>131</v>
      </c>
      <c r="C6" s="166" t="s">
        <v>324</v>
      </c>
      <c r="D6" s="108" t="s">
        <v>132</v>
      </c>
      <c r="E6" s="107" t="str">
        <f t="shared" ref="E6" si="0">B6&amp;C6&amp;D6</f>
        <v>unit_levels_calc_mesopotamia01.tmp</v>
      </c>
      <c r="F6" s="108" t="s">
        <v>122</v>
      </c>
      <c r="G6" s="58" t="s">
        <v>17</v>
      </c>
      <c r="H6" s="59" t="s">
        <v>2</v>
      </c>
      <c r="I6" s="60" t="s">
        <v>79</v>
      </c>
      <c r="J6" s="60" t="s">
        <v>80</v>
      </c>
      <c r="K6" s="60" t="s">
        <v>81</v>
      </c>
      <c r="L6" s="60" t="s">
        <v>82</v>
      </c>
      <c r="M6" s="60" t="s">
        <v>87</v>
      </c>
      <c r="N6" s="60" t="s">
        <v>88</v>
      </c>
      <c r="O6" s="60" t="s">
        <v>89</v>
      </c>
      <c r="P6" s="60" t="s">
        <v>90</v>
      </c>
      <c r="Q6" s="60" t="s">
        <v>91</v>
      </c>
      <c r="R6" s="60" t="s">
        <v>94</v>
      </c>
      <c r="S6" s="60" t="s">
        <v>92</v>
      </c>
      <c r="T6" s="60" t="s">
        <v>93</v>
      </c>
      <c r="U6" s="60" t="s">
        <v>83</v>
      </c>
      <c r="V6" s="60" t="s">
        <v>84</v>
      </c>
      <c r="W6" s="60" t="s">
        <v>85</v>
      </c>
    </row>
    <row r="7" spans="1:29" x14ac:dyDescent="0.15">
      <c r="A7" s="108" t="s">
        <v>253</v>
      </c>
      <c r="B7" s="108" t="s">
        <v>143</v>
      </c>
      <c r="C7" s="166" t="s">
        <v>324</v>
      </c>
      <c r="D7" s="108" t="s">
        <v>144</v>
      </c>
      <c r="E7" s="107" t="str">
        <f>B7&amp;C7&amp;D7</f>
        <v>unit_skills_data_mesopotamia01.tmp</v>
      </c>
      <c r="F7" s="108" t="s">
        <v>145</v>
      </c>
      <c r="G7" s="116" t="s">
        <v>20</v>
      </c>
      <c r="H7" s="116" t="s">
        <v>146</v>
      </c>
      <c r="I7" s="116" t="s">
        <v>2</v>
      </c>
      <c r="J7" s="116" t="s">
        <v>147</v>
      </c>
      <c r="K7" s="116" t="s">
        <v>148</v>
      </c>
      <c r="L7" s="116" t="s">
        <v>4</v>
      </c>
      <c r="M7" s="60"/>
      <c r="N7" s="60"/>
      <c r="O7" s="60"/>
      <c r="P7" s="60"/>
      <c r="Q7" s="60"/>
      <c r="R7" s="60"/>
      <c r="S7" s="60"/>
      <c r="T7" s="60"/>
      <c r="U7" s="60"/>
      <c r="V7" s="60"/>
      <c r="W7" s="60"/>
    </row>
    <row r="8" spans="1:29" x14ac:dyDescent="0.15">
      <c r="A8" s="108" t="s">
        <v>253</v>
      </c>
      <c r="B8" s="108" t="s">
        <v>149</v>
      </c>
      <c r="C8" s="166" t="s">
        <v>324</v>
      </c>
      <c r="D8" s="108" t="s">
        <v>128</v>
      </c>
      <c r="E8" s="107" t="str">
        <f>B8&amp;C8&amp;D8</f>
        <v>unit_skills_i18n_mesopotamia01.tmp</v>
      </c>
      <c r="F8" s="108" t="s">
        <v>145</v>
      </c>
      <c r="G8" s="116" t="s">
        <v>150</v>
      </c>
      <c r="H8" s="116" t="s">
        <v>134</v>
      </c>
      <c r="I8" s="116" t="s">
        <v>151</v>
      </c>
      <c r="J8" s="116" t="s">
        <v>152</v>
      </c>
      <c r="K8" s="111"/>
      <c r="L8" s="111"/>
      <c r="M8" s="60"/>
      <c r="N8" s="60"/>
      <c r="O8" s="60"/>
      <c r="P8" s="60"/>
      <c r="Q8" s="60"/>
      <c r="R8" s="60"/>
      <c r="S8" s="60"/>
      <c r="T8" s="60"/>
      <c r="U8" s="60"/>
      <c r="V8" s="60"/>
      <c r="W8" s="60"/>
    </row>
    <row r="9" spans="1:29" x14ac:dyDescent="0.15">
      <c r="A9" s="108" t="s">
        <v>253</v>
      </c>
      <c r="B9" s="108" t="s">
        <v>153</v>
      </c>
      <c r="C9" s="166" t="s">
        <v>324</v>
      </c>
      <c r="D9" s="108" t="s">
        <v>154</v>
      </c>
      <c r="E9" s="107" t="str">
        <f>B9&amp;C9&amp;D9</f>
        <v>crash_skills_data_mesopotamia01.tmp</v>
      </c>
      <c r="F9" s="108" t="s">
        <v>155</v>
      </c>
      <c r="G9" s="116" t="s">
        <v>156</v>
      </c>
      <c r="H9" s="116" t="s">
        <v>148</v>
      </c>
      <c r="I9" s="116" t="s">
        <v>4</v>
      </c>
      <c r="J9" s="111"/>
      <c r="K9" s="111"/>
      <c r="L9" s="111"/>
      <c r="M9" s="60"/>
      <c r="N9" s="60"/>
      <c r="O9" s="60"/>
      <c r="P9" s="60"/>
      <c r="Q9" s="60"/>
      <c r="R9" s="60"/>
      <c r="S9" s="60"/>
      <c r="T9" s="60"/>
      <c r="U9" s="60"/>
      <c r="V9" s="60"/>
      <c r="W9" s="60"/>
    </row>
    <row r="10" spans="1:29" x14ac:dyDescent="0.15">
      <c r="A10" s="108" t="s">
        <v>253</v>
      </c>
      <c r="B10" s="108" t="s">
        <v>157</v>
      </c>
      <c r="C10" s="166" t="s">
        <v>324</v>
      </c>
      <c r="D10" s="108" t="s">
        <v>158</v>
      </c>
      <c r="E10" s="107" t="str">
        <f t="shared" ref="E10" si="1">B10&amp;C10&amp;D10</f>
        <v>crash_skills_i18n_mesopotamia01.tmp</v>
      </c>
      <c r="F10" s="108" t="s">
        <v>155</v>
      </c>
      <c r="G10" s="116" t="s">
        <v>159</v>
      </c>
      <c r="H10" s="116" t="s">
        <v>160</v>
      </c>
      <c r="I10" s="116" t="s">
        <v>161</v>
      </c>
      <c r="J10" s="116" t="s">
        <v>162</v>
      </c>
      <c r="K10" s="117"/>
      <c r="L10" s="117"/>
      <c r="M10" s="60"/>
      <c r="N10" s="60"/>
      <c r="O10" s="60"/>
      <c r="P10" s="60"/>
      <c r="Q10" s="60"/>
      <c r="R10" s="60"/>
      <c r="S10" s="60"/>
      <c r="T10" s="60"/>
      <c r="U10" s="60"/>
      <c r="V10" s="60"/>
      <c r="W10" s="60"/>
    </row>
    <row r="11" spans="1:29" x14ac:dyDescent="0.15">
      <c r="A11" s="108" t="s">
        <v>253</v>
      </c>
      <c r="B11" s="111" t="s">
        <v>135</v>
      </c>
      <c r="C11" s="166" t="s">
        <v>324</v>
      </c>
      <c r="D11" s="108" t="s">
        <v>158</v>
      </c>
      <c r="E11" s="107" t="str">
        <f t="shared" ref="E11:E12" si="2">B11&amp;C11&amp;D11</f>
        <v>unit_serifs_data_mesopotamia01.tmp</v>
      </c>
      <c r="F11" s="111" t="s">
        <v>137</v>
      </c>
      <c r="G11" s="115" t="s">
        <v>138</v>
      </c>
      <c r="H11" s="116" t="s">
        <v>139</v>
      </c>
      <c r="I11" s="116" t="s">
        <v>133</v>
      </c>
      <c r="J11" s="114" t="s">
        <v>190</v>
      </c>
      <c r="K11" s="108"/>
      <c r="L11" s="108"/>
      <c r="M11" s="108"/>
      <c r="N11" s="108"/>
      <c r="O11" s="108"/>
      <c r="P11" s="108"/>
      <c r="Q11" s="108"/>
      <c r="R11" s="108"/>
      <c r="S11" s="108"/>
      <c r="T11" s="108"/>
      <c r="U11" s="108"/>
      <c r="V11" s="108"/>
      <c r="W11" s="108"/>
    </row>
    <row r="12" spans="1:29" x14ac:dyDescent="0.15">
      <c r="A12" s="108" t="s">
        <v>253</v>
      </c>
      <c r="B12" s="111" t="s">
        <v>136</v>
      </c>
      <c r="C12" s="166" t="s">
        <v>324</v>
      </c>
      <c r="D12" s="108" t="s">
        <v>158</v>
      </c>
      <c r="E12" s="107" t="str">
        <f t="shared" si="2"/>
        <v>unit_serifs_i18n_mesopotamia01.tmp</v>
      </c>
      <c r="F12" s="111" t="s">
        <v>137</v>
      </c>
      <c r="G12" s="115" t="s">
        <v>140</v>
      </c>
      <c r="H12" s="116" t="s">
        <v>141</v>
      </c>
      <c r="I12" s="116" t="s">
        <v>142</v>
      </c>
      <c r="J12" s="108"/>
      <c r="K12" s="108"/>
      <c r="L12" s="108"/>
      <c r="M12" s="108"/>
      <c r="N12" s="108"/>
      <c r="O12" s="108"/>
      <c r="P12" s="108"/>
      <c r="Q12" s="108"/>
      <c r="R12" s="108"/>
      <c r="S12" s="108"/>
      <c r="T12" s="108"/>
      <c r="U12" s="108"/>
      <c r="V12" s="108"/>
      <c r="W12" s="108"/>
    </row>
    <row r="13" spans="1:29" x14ac:dyDescent="0.15">
      <c r="A13" s="108" t="s">
        <v>253</v>
      </c>
      <c r="B13" s="108" t="s">
        <v>265</v>
      </c>
      <c r="C13" s="166" t="s">
        <v>324</v>
      </c>
      <c r="D13" s="108" t="s">
        <v>266</v>
      </c>
      <c r="E13" s="107" t="str">
        <f>B13&amp;C13&amp;D13</f>
        <v>abilities_tmp_mesopotamia01.tmp</v>
      </c>
      <c r="F13" s="108" t="s">
        <v>267</v>
      </c>
      <c r="G13" s="175" t="s">
        <v>268</v>
      </c>
      <c r="H13" s="175" t="s">
        <v>269</v>
      </c>
      <c r="I13" s="175" t="s">
        <v>270</v>
      </c>
      <c r="J13" s="175"/>
      <c r="K13" s="176"/>
      <c r="L13" s="108"/>
      <c r="M13" s="108"/>
      <c r="N13" s="108"/>
      <c r="O13" s="108"/>
      <c r="P13" s="108"/>
      <c r="Q13" s="108"/>
      <c r="R13" s="108"/>
      <c r="S13" s="108"/>
      <c r="T13" s="108"/>
      <c r="U13" s="108"/>
      <c r="V13" s="108"/>
      <c r="W13" s="108"/>
      <c r="X13" s="108"/>
      <c r="Y13" s="108"/>
      <c r="Z13" s="108"/>
      <c r="AA13" s="108"/>
      <c r="AB13" s="108"/>
      <c r="AC13" s="108"/>
    </row>
    <row r="14" spans="1:29" x14ac:dyDescent="0.15">
      <c r="A14" s="108" t="s">
        <v>253</v>
      </c>
      <c r="B14" s="108" t="s">
        <v>271</v>
      </c>
      <c r="C14" s="166" t="s">
        <v>324</v>
      </c>
      <c r="D14" s="108" t="s">
        <v>266</v>
      </c>
      <c r="E14" s="107" t="str">
        <f>B14&amp;C14&amp;D14</f>
        <v>abilities_i18n_mesopotamia01.tmp</v>
      </c>
      <c r="F14" s="108" t="s">
        <v>267</v>
      </c>
      <c r="G14" s="175" t="s">
        <v>268</v>
      </c>
      <c r="H14" s="175" t="s">
        <v>272</v>
      </c>
      <c r="I14" s="175" t="s">
        <v>273</v>
      </c>
      <c r="J14" s="175" t="s">
        <v>274</v>
      </c>
      <c r="K14" s="210" t="s">
        <v>503</v>
      </c>
      <c r="L14" s="108"/>
      <c r="M14" s="108"/>
      <c r="N14" s="108"/>
      <c r="O14" s="108"/>
      <c r="P14" s="108"/>
      <c r="Q14" s="108"/>
      <c r="R14" s="108"/>
      <c r="S14" s="108"/>
      <c r="T14" s="108"/>
      <c r="U14" s="108"/>
      <c r="V14" s="108"/>
      <c r="W14" s="108"/>
      <c r="X14" s="108"/>
      <c r="Y14" s="108"/>
      <c r="Z14" s="108"/>
      <c r="AA14" s="108"/>
      <c r="AB14" s="108"/>
      <c r="AC14" s="108"/>
    </row>
    <row r="15" spans="1:29" x14ac:dyDescent="0.15">
      <c r="A15" s="108" t="s">
        <v>253</v>
      </c>
      <c r="B15" s="108" t="s">
        <v>275</v>
      </c>
      <c r="C15" s="166" t="s">
        <v>324</v>
      </c>
      <c r="D15" s="108" t="s">
        <v>266</v>
      </c>
      <c r="E15" s="107" t="str">
        <f>B15&amp;C15&amp;D15</f>
        <v>unit_abilities_mesopotamia01.tmp</v>
      </c>
      <c r="F15" s="108" t="s">
        <v>276</v>
      </c>
      <c r="G15" s="175" t="s">
        <v>277</v>
      </c>
      <c r="H15" s="177" t="s">
        <v>278</v>
      </c>
      <c r="I15" s="177" t="s">
        <v>279</v>
      </c>
      <c r="J15" s="178" t="s">
        <v>280</v>
      </c>
      <c r="K15" s="175" t="s">
        <v>281</v>
      </c>
      <c r="L15" s="108"/>
      <c r="M15" s="108"/>
      <c r="N15" s="108"/>
      <c r="O15" s="108"/>
      <c r="P15" s="108"/>
      <c r="Q15" s="108"/>
      <c r="R15" s="108"/>
      <c r="S15" s="108"/>
      <c r="T15" s="108"/>
      <c r="U15" s="108"/>
      <c r="V15" s="108"/>
      <c r="W15" s="108"/>
      <c r="X15" s="108"/>
      <c r="Y15" s="108"/>
      <c r="Z15" s="108"/>
      <c r="AA15" s="108"/>
      <c r="AB15" s="108"/>
      <c r="AC15" s="108"/>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7"/>
  <sheetViews>
    <sheetView showGridLines="0" workbookViewId="0">
      <pane xSplit="9" ySplit="1" topLeftCell="BL2" activePane="bottomRight" state="frozen"/>
      <selection pane="topRight" activeCell="J1" sqref="J1"/>
      <selection pane="bottomLeft" activeCell="A3" sqref="A3"/>
      <selection pane="bottomRight" activeCell="H12" sqref="H12"/>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 min="19" max="19" width="12.33203125" style="13" customWidth="1" outlineLevel="1"/>
    <col min="20" max="22" width="13.6640625" style="13" customWidth="1" outlineLevel="1"/>
    <col min="23" max="23" width="22.83203125" style="12" bestFit="1" customWidth="1"/>
    <col min="24" max="24" width="14.1640625" style="13" customWidth="1" collapsed="1"/>
    <col min="25" max="25" width="22" style="13" hidden="1" customWidth="1" outlineLevel="1"/>
    <col min="26" max="26" width="14.1640625" style="13" hidden="1" customWidth="1" outlineLevel="1"/>
    <col min="27" max="27" width="12.33203125" style="13" hidden="1" customWidth="1" outlineLevel="1"/>
    <col min="28" max="30" width="13.6640625" style="13" hidden="1"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5"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80" t="s">
        <v>108</v>
      </c>
      <c r="B1" s="82" t="s">
        <v>44</v>
      </c>
      <c r="C1" s="85" t="s">
        <v>27</v>
      </c>
      <c r="D1" s="85" t="s">
        <v>30</v>
      </c>
      <c r="E1" s="85" t="s">
        <v>28</v>
      </c>
      <c r="F1" s="85" t="s">
        <v>29</v>
      </c>
      <c r="G1" s="80" t="s">
        <v>1</v>
      </c>
      <c r="H1" s="83" t="s">
        <v>19</v>
      </c>
      <c r="I1" s="84" t="s">
        <v>0</v>
      </c>
      <c r="J1" s="86" t="s">
        <v>49</v>
      </c>
      <c r="K1" s="86" t="s">
        <v>48</v>
      </c>
      <c r="L1" s="86" t="s">
        <v>50</v>
      </c>
      <c r="M1" s="86" t="s">
        <v>51</v>
      </c>
      <c r="N1" s="80" t="s">
        <v>3</v>
      </c>
      <c r="O1" s="87" t="s">
        <v>2</v>
      </c>
      <c r="P1" s="80" t="s">
        <v>97</v>
      </c>
      <c r="Q1" s="88" t="s">
        <v>18</v>
      </c>
      <c r="R1" s="79" t="s">
        <v>52</v>
      </c>
      <c r="S1" s="89" t="s">
        <v>23</v>
      </c>
      <c r="T1" s="89" t="s">
        <v>24</v>
      </c>
      <c r="U1" s="89" t="s">
        <v>26</v>
      </c>
      <c r="V1" s="89" t="s">
        <v>25</v>
      </c>
      <c r="W1" s="84" t="s">
        <v>32</v>
      </c>
      <c r="X1" s="85" t="s">
        <v>53</v>
      </c>
      <c r="Y1" s="84" t="s">
        <v>33</v>
      </c>
      <c r="Z1" s="85" t="s">
        <v>53</v>
      </c>
      <c r="AA1" s="86" t="s">
        <v>23</v>
      </c>
      <c r="AB1" s="86" t="s">
        <v>24</v>
      </c>
      <c r="AC1" s="86" t="s">
        <v>26</v>
      </c>
      <c r="AD1" s="86" t="s">
        <v>25</v>
      </c>
      <c r="AE1" s="90" t="s">
        <v>100</v>
      </c>
      <c r="AF1" s="79" t="s">
        <v>45</v>
      </c>
      <c r="AG1" s="91" t="s">
        <v>58</v>
      </c>
      <c r="AH1" s="79" t="s">
        <v>45</v>
      </c>
      <c r="AI1" s="91" t="s">
        <v>46</v>
      </c>
      <c r="AJ1" s="81" t="s">
        <v>67</v>
      </c>
      <c r="AK1" s="79" t="s">
        <v>21</v>
      </c>
      <c r="AL1" s="92" t="s">
        <v>68</v>
      </c>
      <c r="AM1" s="93" t="s">
        <v>66</v>
      </c>
      <c r="AN1" s="93" t="s">
        <v>69</v>
      </c>
      <c r="AO1" s="94" t="s">
        <v>31</v>
      </c>
      <c r="AP1" s="90" t="s">
        <v>20</v>
      </c>
      <c r="AQ1" s="95" t="s">
        <v>113</v>
      </c>
      <c r="AR1" s="95" t="s">
        <v>107</v>
      </c>
      <c r="AS1" s="79" t="s">
        <v>104</v>
      </c>
      <c r="AT1" s="90" t="s">
        <v>102</v>
      </c>
      <c r="AU1" s="79" t="s">
        <v>110</v>
      </c>
      <c r="AV1" s="95" t="s">
        <v>107</v>
      </c>
      <c r="AW1" s="79" t="s">
        <v>104</v>
      </c>
      <c r="AX1" s="85" t="s">
        <v>4</v>
      </c>
      <c r="AY1" s="96" t="s">
        <v>54</v>
      </c>
      <c r="AZ1" s="96" t="s">
        <v>55</v>
      </c>
      <c r="BA1" s="96" t="s">
        <v>114</v>
      </c>
      <c r="BB1" s="96" t="s">
        <v>56</v>
      </c>
      <c r="BC1" s="5" t="s">
        <v>22</v>
      </c>
      <c r="BD1" s="99" t="s">
        <v>34</v>
      </c>
      <c r="BE1" s="97" t="s">
        <v>5</v>
      </c>
      <c r="BF1" s="98" t="s">
        <v>6</v>
      </c>
      <c r="BG1" s="100" t="s">
        <v>70</v>
      </c>
      <c r="BH1" s="100" t="s">
        <v>71</v>
      </c>
      <c r="BI1" s="100" t="s">
        <v>72</v>
      </c>
      <c r="BJ1" s="100" t="s">
        <v>73</v>
      </c>
      <c r="BK1" s="101" t="s">
        <v>74</v>
      </c>
      <c r="BL1" s="101" t="s">
        <v>95</v>
      </c>
      <c r="BM1" s="101" t="s">
        <v>75</v>
      </c>
      <c r="BN1" s="101" t="s">
        <v>76</v>
      </c>
      <c r="BO1" s="102" t="s">
        <v>77</v>
      </c>
      <c r="BP1" s="103" t="s">
        <v>78</v>
      </c>
      <c r="BQ1" s="81" t="s">
        <v>86</v>
      </c>
      <c r="BR1" s="10" t="s">
        <v>477</v>
      </c>
    </row>
    <row r="2" spans="1:70" ht="26" customHeight="1" x14ac:dyDescent="0.15">
      <c r="A2" s="12">
        <v>1059</v>
      </c>
      <c r="B2" s="56" t="str">
        <f ca="1">VLOOKUP($A2,OFFSET([1]characters!$A$1,0,0,COUNTA([1]characters!$A:$A),MATCH(B$1,[1]characters!$1:$1,0)-MATCH($A$1,[1]characters!$1:$1,0)+1),MATCH(B$1,[1]characters!$1:$1,0)-MATCH($A$1,[1]characters!$1:$1,0)+1,FALSE)</f>
        <v>パズズ</v>
      </c>
      <c r="C2" s="56" t="str">
        <f ca="1">VLOOKUP($A2,OFFSET([1]characters!$A$1,0,0,COUNTA([1]characters!$A:$A),MATCH(C$1,[1]characters!$1:$1,0)-MATCH($A$1,[1]characters!$1:$1,0)+1),MATCH(C$1,[1]characters!$1:$1,0)-MATCH($A$1,[1]characters!$1:$1,0)+1,FALSE)</f>
        <v>イザナミ_分岐</v>
      </c>
      <c r="D2" s="56" t="str">
        <f ca="1">VLOOKUP($A2,OFFSET([1]characters!$A$1,0,0,COUNTA([1]characters!$A:$A),MATCH(D$1,[1]characters!$1:$1,0)-MATCH($A$1,[1]characters!$1:$1,0)+1),MATCH(D$1,[1]characters!$1:$1,0)-MATCH($A$1,[1]characters!$1:$1,0)+1,FALSE)</f>
        <v>執行者</v>
      </c>
      <c r="E2" s="56" t="str">
        <f ca="1">VLOOKUP($A2,OFFSET([1]characters!$A$1,0,0,COUNTA([1]characters!$A:$A),MATCH(E$1,[1]characters!$1:$1,0)-MATCH($A$1,[1]characters!$1:$1,0)+1),MATCH(E$1,[1]characters!$1:$1,0)-MATCH($A$1,[1]characters!$1:$1,0)+1,FALSE)</f>
        <v>格好いい</v>
      </c>
      <c r="F2" s="56" t="str">
        <f ca="1">VLOOKUP($A2,OFFSET([1]characters!$A$1,0,0,COUNTA([1]characters!$A:$A),MATCH(F$1,[1]characters!$1:$1,0)-MATCH($A$1,[1]characters!$1:$1,0)+1),MATCH(F$1,[1]characters!$1:$1,0)-MATCH($A$1,[1]characters!$1:$1,0)+1,FALSE)</f>
        <v>男性</v>
      </c>
      <c r="G2" s="56">
        <f ca="1">VLOOKUP($A2,OFFSET([1]characters!$A$1,0,0,COUNTA([1]characters!$A:$A),MATCH(G$1,[1]characters!$1:$1,0)-MATCH($A$1,[1]characters!$1:$1,0)+1),MATCH(G$1,[1]characters!$1:$1,0)-MATCH($A$1,[1]characters!$1:$1,0)+1,FALSE)</f>
        <v>4</v>
      </c>
      <c r="H2" s="56" t="str">
        <f ca="1">VLOOKUP($A2,OFFSET([1]characters!$A$1,0,0,COUNTA([1]characters!$A:$A),MATCH(H$1,[1]characters!$1:$1,0)-MATCH($A$1,[1]characters!$1:$1,0)+1),MATCH(H$1,[1]characters!$1:$1,0)-MATCH($A$1,[1]characters!$1:$1,0)+1,FALSE)</f>
        <v>Drop2N</v>
      </c>
      <c r="I2" s="56" t="str">
        <f ca="1">VLOOKUP($A2,OFFSET([1]characters!$A$1,0,0,COUNTA([1]characters!$A:$A),MATCH(I$1,[1]characters!$1:$1,0)-MATCH($A$1,[1]characters!$1:$1,0)+1),MATCH(I$1,[1]characters!$1:$1,0)-MATCH($A$1,[1]characters!$1:$1,0)+1,FALSE)</f>
        <v>green</v>
      </c>
      <c r="J2" s="11">
        <f ca="1">VLOOKUP(I2,[1]属性!$A:$E,2,FALSE)</f>
        <v>1.02</v>
      </c>
      <c r="K2" s="11">
        <f ca="1">VLOOKUP(I2,[1]属性!$A:$E,3,FALSE)</f>
        <v>0.98</v>
      </c>
      <c r="L2" s="11">
        <f ca="1">VLOOKUP(I2,[1]属性!$A:$E,4,FALSE)</f>
        <v>1</v>
      </c>
      <c r="M2" s="11">
        <f ca="1">VLOOKUP(I2,[1]属性!$A:$E,5,FALSE)</f>
        <v>1</v>
      </c>
      <c r="N2" s="11">
        <f ca="1">INDEX(コスト!$A$1:$I$21,MATCH(H2,コスト!$A$1:$A$21,FALSE),MATCH(G2,コスト!$A$1:$I$1,FALSE))</f>
        <v>17</v>
      </c>
      <c r="O2" s="11">
        <f ca="1">INDEX(レベル!$A$1:$I$22,MATCH(H2,レベル!$A$1:$A$22,FALSE),MATCH(G2,レベル!$A$1:$I$1,FALSE))</f>
        <v>60</v>
      </c>
      <c r="P2" s="47">
        <f ca="1">IF(G2 &gt;= 6, 99,G2*15)</f>
        <v>60</v>
      </c>
      <c r="Q2" s="56" t="str">
        <f ca="1">VLOOKUP($A2,OFFSET([1]characters!$A$1,0,0,COUNTA([1]characters!$A:$A),MATCH(Q$1,[1]characters!$1:$1,0)-MATCH($A$1,[1]characters!$1:$1,0)+1),MATCH(Q$1,[1]characters!$1:$1,0)-MATCH($A$1,[1]characters!$1:$1,0)+1,FALSE)</f>
        <v>balance</v>
      </c>
      <c r="R2" s="5" t="str">
        <f ca="1">VLOOKUP(Q2,[1]character_type_i18n!$A:$H,3,FALSE)</f>
        <v>バランスタイプ</v>
      </c>
      <c r="S2" s="11">
        <f ca="1">VLOOKUP(Q2,[1]character_type_i18n!$A:$H,4,FALSE)</f>
        <v>1</v>
      </c>
      <c r="T2" s="11">
        <f ca="1">VLOOKUP(Q2,[1]character_type_i18n!$A:$H,5,FALSE)</f>
        <v>1</v>
      </c>
      <c r="U2" s="11">
        <f ca="1">VLOOKUP(Q2,[1]character_type_i18n!$A:$H,6,FALSE)</f>
        <v>1</v>
      </c>
      <c r="V2" s="11">
        <f ca="1">VLOOKUP(Q2,[1]character_type_i18n!$A:$H,7,FALSE)</f>
        <v>1</v>
      </c>
      <c r="W2" s="56" t="str">
        <f ca="1">VLOOKUP($A2,OFFSET([1]characters!$A$1,0,0,COUNTA([1]characters!$A:$A),MATCH(W$1,[1]characters!$1:$1,0)-MATCH($A$1,[1]characters!$1:$1,0)+1),MATCH(W$1,[1]characters!$1:$1,0)-MATCH($A$1,[1]characters!$1:$1,0)+1,FALSE)</f>
        <v>god</v>
      </c>
      <c r="X2" s="5" t="str">
        <f ca="1">VLOOKUP(W2,[1]character_tribe_i18n!$A:$H,3,FALSE)</f>
        <v>ゴッド</v>
      </c>
      <c r="Y2" s="56" t="str">
        <f ca="1">VLOOKUP($A2,OFFSET([1]characters!$A$1,0,0,COUNTA([1]characters!$A:$A),MATCH(Y$1,[1]characters!$1:$1,0)-MATCH($A$1,[1]characters!$1:$1,0)+1),MATCH(Y$1,[1]characters!$1:$1,0)-MATCH($A$1,[1]characters!$1:$1,0)+1,FALSE)</f>
        <v>animal</v>
      </c>
      <c r="Z2" s="5" t="str">
        <f ca="1">VLOOKUP(Y2,[1]character_tribe_i18n!$A:$H,3,FALSE)</f>
        <v>アニマル</v>
      </c>
      <c r="AA2" s="11">
        <f ca="1">VLOOKUP(W2,[1]character_tribe_i18n!$A:$H,4,FALSE)</f>
        <v>0.96</v>
      </c>
      <c r="AB2" s="11">
        <f ca="1">VLOOKUP(W2,[1]character_tribe_i18n!$A:$H,5,FALSE)</f>
        <v>1.02</v>
      </c>
      <c r="AC2" s="11">
        <f ca="1">VLOOKUP(W2,[1]character_tribe_i18n!$A:$H,6,FALSE)</f>
        <v>1</v>
      </c>
      <c r="AD2" s="11">
        <f ca="1">VLOOKUP(W2,[1]character_tribe_i18n!$A:$H,7,FALSE)</f>
        <v>1.02</v>
      </c>
      <c r="AE2" s="9">
        <f>A3</f>
        <v>1060</v>
      </c>
      <c r="AF2" s="61" t="str">
        <f ca="1">IF(AE2="NULL","",VLOOKUP($AE2,OFFSET([1]characters!$A$1,0,0,COUNTA([1]characters!$A:$A),MATCH(AF$1,[1]characters!$1:$1,0)-MATCH($A$1,[1]characters!$1:$1,0)+1),MATCH(AF$1,[1]characters!$1:$1,0)-MATCH($A$1,[1]characters!$1:$1,0)+1,FALSE))</f>
        <v>熱扇風の幼魔 パズズ</v>
      </c>
      <c r="AG2" s="5">
        <f t="shared" ref="AG2:AG17" ca="1" si="0">IF(ISNA(MATCH(A2,AE:AE,0)),A2,INDIRECT(ADDRESS(MATCH(A2,AE:AE,0),COLUMN())))</f>
        <v>1059</v>
      </c>
      <c r="AH2" s="61" t="str">
        <f ca="1">VLOOKUP($AG2,OFFSET([1]characters!$A$1,0,0,COUNTA([1]characters!$A:$A),MATCH(AH$1,[1]characters!$1:$1,0)-MATCH($A$1,[1]characters!$1:$1,0)+1),MATCH(AH$1,[1]characters!$1:$1,0)-MATCH($A$1,[1]characters!$1:$1,0)+1,FALSE)</f>
        <v>パズズ</v>
      </c>
      <c r="AI2" s="11">
        <f ca="1">IF(AE2="NULL","NULL",VLOOKUP(G2,ビット!$A$2:$B$7,2))</f>
        <v>50000</v>
      </c>
      <c r="AJ2" s="6">
        <v>2</v>
      </c>
      <c r="AK2" s="7" t="str">
        <f t="shared" ref="AK2:AK3" si="1">IF(AJ2=1,"早熟",IF(AJ2=2,"普通",IF(AJ2=3,"晩成","")))</f>
        <v>普通</v>
      </c>
      <c r="AL2" s="11" t="str">
        <f ca="1">INDEX(経験値!$A$1:$I$21,MATCH(H2,経験値!$A$1:$A$21,FALSE),MATCH(G2,経験値!$A$1:$I$1,FALSE))</f>
        <v>required_exp_200</v>
      </c>
      <c r="AM2" s="8">
        <f ca="1">VLOOKUP(G2,経験値!$A$28:$B$32,2)</f>
        <v>3400</v>
      </c>
      <c r="AN2" s="17">
        <f ca="1">VLOOKUP(G2,ビット!$G$2:$H$7,2)</f>
        <v>600</v>
      </c>
      <c r="AO2" s="44"/>
      <c r="AP2" s="66">
        <f>A2</f>
        <v>1059</v>
      </c>
      <c r="AQ2" s="56" t="str">
        <f ca="1">VLOOKUP($AP2,OFFSET(unit_skills!$A$1,0,0,COUNTA(unit_skills!$A:$A),MATCH(AQ$1,unit_skills!$1:$1,0)-MATCH($AP$1,unit_skills!$1:$1,0)+1),MATCH(AQ$1,unit_skills!$1:$1,0)-MATCH($AP$1,unit_skills!$1:$1,0)+1,FALSE)</f>
        <v>インファント・トルネード</v>
      </c>
      <c r="AR2" s="56" t="str">
        <f ca="1">VLOOKUP($AP2,OFFSET(unit_skills!$A$1,0,0,COUNTA(unit_skills!$A:$A),MATCH(AR$1,unit_skills!$1:$1,0)-MATCH($AP$1,unit_skills!$1:$1,0)+1),MATCH(AR$1,unit_skills!$1:$1,0)-MATCH($AP$1,unit_skills!$1:$1,0)+1,FALSE)</f>
        <v>時限式ダメージパネルを緑パネルに変換+1ターン敵全体の防御力を0にする</v>
      </c>
      <c r="AS2" s="56">
        <f ca="1">VLOOKUP($AP2,OFFSET(unit_skills!$A$1,0,0,COUNTA(unit_skills!$A:$A),MATCH(AS$1,unit_skills!$1:$1,0)-MATCH($AP$1,unit_skills!$1:$1,0)+1),MATCH(AS$1,unit_skills!$1:$1,0)-MATCH($AP$1,unit_skills!$1:$1,0)+1,FALSE)</f>
        <v>0</v>
      </c>
      <c r="AT2" s="40">
        <f>A2</f>
        <v>1059</v>
      </c>
      <c r="AU2" s="56" t="str">
        <f ca="1">VLOOKUP($AT2,OFFSET(crash_skills!$A$1,0,0,COUNTA(crash_skills!$A:$A),MATCH(AU$1,crash_skills!$1:$1,0)-MATCH($AT$1,crash_skills!$1:$1,0)+1),MATCH(AU$1,crash_skills!$1:$1,0)-MATCH($AT$1,crash_skills!$1:$1,0)+1,FALSE)</f>
        <v>無邪気な風射</v>
      </c>
      <c r="AV2" s="56" t="str">
        <f ca="1">VLOOKUP($AT2,OFFSET(crash_skills!$A$1,0,0,COUNTA(crash_skills!$A:$A),MATCH(AV$1,crash_skills!$1:$1,0)-MATCH($AT$1,crash_skills!$1:$1,0)+1),MATCH(AV$1,crash_skills!$1:$1,0)-MATCH($AT$1,crash_skills!$1:$1,0)+1,FALSE)</f>
        <v>1体に大ダメージ</v>
      </c>
      <c r="AW2" s="56">
        <f ca="1">VLOOKUP($AT2,OFFSET(crash_skills!$A$1,0,0,COUNTA(crash_skills!$A:$A),MATCH(AW$1,crash_skills!$1:$1,0)-MATCH($AT$1,crash_skills!$1:$1,0)+1),MATCH(AW$1,crash_skills!$1:$1,0)-MATCH($AT$1,crash_skills!$1:$1,0)+1,FALSE)</f>
        <v>0</v>
      </c>
      <c r="AX2" s="57">
        <f ca="1">VLOOKUP($A2,OFFSET([1]characters!$A$1,0,0,COUNTA([1]characters!$A:$A),MATCH(AX$1,[1]characters!$1:$1,0)-MATCH($A$1,[1]characters!$1:$1,0)+1),MATCH(AX$1,[1]characters!$1:$1,0)-MATCH($A$1,[1]characters!$1:$1,0)+1,FALSE)</f>
        <v>3</v>
      </c>
      <c r="AY2" s="67">
        <v>1</v>
      </c>
      <c r="AZ2" s="67">
        <v>1.1299999999999999</v>
      </c>
      <c r="BA2" s="67">
        <v>0</v>
      </c>
      <c r="BB2" s="67">
        <v>1.23</v>
      </c>
      <c r="BC2" s="11">
        <f ca="1">INDEX('RC6SV'!$A$1:$G$21,MATCH(H2,'RC6SV'!$A$1:$A$21,FALSE),MATCH(G2,'RC6SV'!$A$1:$G$1,FALSE))</f>
        <v>5800</v>
      </c>
      <c r="BD2" s="47">
        <f t="shared" ref="BD2:BD3" ca="1" si="2">ROUND(BC2*IF(AJ2=1,0.95,IF(AJ2=2,1,IF(AJ2,1.05,0))),0)</f>
        <v>5800</v>
      </c>
      <c r="BE2" s="11">
        <f t="shared" ref="BE2:BE17" ca="1" si="3">ROUND(IFERROR(INDIRECT(ADDRESS(MATCH($A2,$AE:$AE,0),MATCH($BC$1,$1:$1,0))),0),0)</f>
        <v>0</v>
      </c>
      <c r="BF2" s="11">
        <f t="shared" ref="BF2:BF17" ca="1" si="4">ROUND(IFERROR(INDIRECT(ADDRESS(MATCH($A2,$AE:$AE,0),10)),INDIRECT(ADDRESS(MATCH($A2,$A:$A,0),10))),0)</f>
        <v>1</v>
      </c>
      <c r="BG2" s="16">
        <f ca="1">IF($BE2&lt;=0,ROUND(BK2*0.5,0), ROUND($BE2*S2*AA2*J2*AY2*0.8*[1]ステータス!$B$2,0))</f>
        <v>1420</v>
      </c>
      <c r="BH2" s="16">
        <f ca="1">IF($BE2&lt;=0,ROUND(BL2*0.5,0), ROUND($BE2*T2*AB2*K2*AZ2*0.8*[1]ステータス!$C$2,0))</f>
        <v>983</v>
      </c>
      <c r="BI2" s="16">
        <f ca="1">IF($BE2&lt;=0,ROUND(BM2*0.5,0), ROUND($BE2*U2*AC2*L2*BA2*0.8*[1]ステータス!$D$2,0))</f>
        <v>0</v>
      </c>
      <c r="BJ2" s="16">
        <f ca="1">IF($BE2&lt;=0,ROUND(BN2*0.5,0), ROUND($BE2*V2*AD2*M2*BB2*0.8*[1]ステータス!$E$2,0))</f>
        <v>910</v>
      </c>
      <c r="BK2" s="11">
        <f ca="1">ROUND(BD2*S2*AA2*J2*AY2*[1]ステータス!$B$2,0)</f>
        <v>2840</v>
      </c>
      <c r="BL2" s="11">
        <f ca="1">ROUND(BD2*T2*AB2*K2*AZ2*[1]ステータス!$C$2,0)</f>
        <v>1965</v>
      </c>
      <c r="BM2" s="11">
        <f ca="1">ROUND(BD2*U2*AC2*L2*BA2*[1]ステータス!$D$2,0)</f>
        <v>0</v>
      </c>
      <c r="BN2" s="11">
        <f ca="1">ROUND(BD2*V2*AD2*M2*BB2*[1]ステータス!$E$2,0)</f>
        <v>1819</v>
      </c>
      <c r="BO2" s="10">
        <v>0</v>
      </c>
      <c r="BP2" s="10">
        <v>1</v>
      </c>
      <c r="BQ2" s="10" t="s">
        <v>47</v>
      </c>
      <c r="BR2" s="10">
        <f ca="1">VLOOKUP(H2,ghosts_label!$A$2:$B$19,2,FALSE)</f>
        <v>1</v>
      </c>
    </row>
    <row r="3" spans="1:70" ht="26" customHeight="1" x14ac:dyDescent="0.15">
      <c r="A3" s="12">
        <v>1060</v>
      </c>
      <c r="B3" s="56" t="str">
        <f ca="1">VLOOKUP($A3,OFFSET([1]characters!$A$1,0,0,COUNTA([1]characters!$A:$A),MATCH(B$1,[1]characters!$1:$1,0)-MATCH($A$1,[1]characters!$1:$1,0)+1),MATCH(B$1,[1]characters!$1:$1,0)-MATCH($A$1,[1]characters!$1:$1,0)+1,FALSE)</f>
        <v>熱扇風の幼魔 パズズ</v>
      </c>
      <c r="C3" s="56" t="str">
        <f ca="1">VLOOKUP($A3,OFFSET([1]characters!$A$1,0,0,COUNTA([1]characters!$A:$A),MATCH(C$1,[1]characters!$1:$1,0)-MATCH($A$1,[1]characters!$1:$1,0)+1),MATCH(C$1,[1]characters!$1:$1,0)-MATCH($A$1,[1]characters!$1:$1,0)+1,FALSE)</f>
        <v>イザナミ_分岐</v>
      </c>
      <c r="D3" s="56" t="str">
        <f ca="1">VLOOKUP($A3,OFFSET([1]characters!$A$1,0,0,COUNTA([1]characters!$A:$A),MATCH(D$1,[1]characters!$1:$1,0)-MATCH($A$1,[1]characters!$1:$1,0)+1),MATCH(D$1,[1]characters!$1:$1,0)-MATCH($A$1,[1]characters!$1:$1,0)+1,FALSE)</f>
        <v>執行者</v>
      </c>
      <c r="E3" s="56" t="str">
        <f ca="1">VLOOKUP($A3,OFFSET([1]characters!$A$1,0,0,COUNTA([1]characters!$A:$A),MATCH(E$1,[1]characters!$1:$1,0)-MATCH($A$1,[1]characters!$1:$1,0)+1),MATCH(E$1,[1]characters!$1:$1,0)-MATCH($A$1,[1]characters!$1:$1,0)+1,FALSE)</f>
        <v>格好いい</v>
      </c>
      <c r="F3" s="56" t="str">
        <f ca="1">VLOOKUP($A3,OFFSET([1]characters!$A$1,0,0,COUNTA([1]characters!$A:$A),MATCH(F$1,[1]characters!$1:$1,0)-MATCH($A$1,[1]characters!$1:$1,0)+1),MATCH(F$1,[1]characters!$1:$1,0)-MATCH($A$1,[1]characters!$1:$1,0)+1,FALSE)</f>
        <v>男性</v>
      </c>
      <c r="G3" s="56">
        <f ca="1">VLOOKUP($A3,OFFSET([1]characters!$A$1,0,0,COUNTA([1]characters!$A:$A),MATCH(G$1,[1]characters!$1:$1,0)-MATCH($A$1,[1]characters!$1:$1,0)+1),MATCH(G$1,[1]characters!$1:$1,0)-MATCH($A$1,[1]characters!$1:$1,0)+1,FALSE)</f>
        <v>5</v>
      </c>
      <c r="H3" s="56" t="str">
        <f ca="1">VLOOKUP($A3,OFFSET([1]characters!$A$1,0,0,COUNTA([1]characters!$A:$A),MATCH(H$1,[1]characters!$1:$1,0)-MATCH($A$1,[1]characters!$1:$1,0)+1),MATCH(H$1,[1]characters!$1:$1,0)-MATCH($A$1,[1]characters!$1:$1,0)+1,FALSE)</f>
        <v>Drop2N</v>
      </c>
      <c r="I3" s="56" t="str">
        <f ca="1">VLOOKUP($A3,OFFSET([1]characters!$A$1,0,0,COUNTA([1]characters!$A:$A),MATCH(I$1,[1]characters!$1:$1,0)-MATCH($A$1,[1]characters!$1:$1,0)+1),MATCH(I$1,[1]characters!$1:$1,0)-MATCH($A$1,[1]characters!$1:$1,0)+1,FALSE)</f>
        <v>green</v>
      </c>
      <c r="J3" s="11">
        <f ca="1">VLOOKUP(I3,[1]属性!$A:$E,2,FALSE)</f>
        <v>1.02</v>
      </c>
      <c r="K3" s="11">
        <f ca="1">VLOOKUP(I3,[1]属性!$A:$E,3,FALSE)</f>
        <v>0.98</v>
      </c>
      <c r="L3" s="11">
        <f ca="1">VLOOKUP(I3,[1]属性!$A:$E,4,FALSE)</f>
        <v>1</v>
      </c>
      <c r="M3" s="11">
        <f ca="1">VLOOKUP(I3,[1]属性!$A:$E,5,FALSE)</f>
        <v>1</v>
      </c>
      <c r="N3" s="11">
        <f ca="1">INDEX(コスト!$A$1:$I$21,MATCH(H3,コスト!$A$1:$A$21,FALSE),MATCH(G3,コスト!$A$1:$I$1,FALSE))</f>
        <v>26</v>
      </c>
      <c r="O3" s="11">
        <f ca="1">INDEX(レベル!$A$1:$I$22,MATCH(H3,レベル!$A$1:$A$22,FALSE),MATCH(G3,レベル!$A$1:$I$1,FALSE))</f>
        <v>80</v>
      </c>
      <c r="P3" s="47">
        <f t="shared" ref="P3:P4" ca="1" si="5">IF(G3 &gt;= 6, 99,G3*15)</f>
        <v>75</v>
      </c>
      <c r="Q3" s="56" t="str">
        <f ca="1">VLOOKUP($A3,OFFSET([1]characters!$A$1,0,0,COUNTA([1]characters!$A:$A),MATCH(Q$1,[1]characters!$1:$1,0)-MATCH($A$1,[1]characters!$1:$1,0)+1),MATCH(Q$1,[1]characters!$1:$1,0)-MATCH($A$1,[1]characters!$1:$1,0)+1,FALSE)</f>
        <v>balance</v>
      </c>
      <c r="R3" s="5" t="str">
        <f ca="1">VLOOKUP(Q3,[1]character_type_i18n!$A:$H,3,FALSE)</f>
        <v>バランスタイプ</v>
      </c>
      <c r="S3" s="11">
        <f ca="1">VLOOKUP(Q3,[1]character_type_i18n!$A:$H,4,FALSE)</f>
        <v>1</v>
      </c>
      <c r="T3" s="11">
        <f ca="1">VLOOKUP(Q3,[1]character_type_i18n!$A:$H,5,FALSE)</f>
        <v>1</v>
      </c>
      <c r="U3" s="11">
        <f ca="1">VLOOKUP(Q3,[1]character_type_i18n!$A:$H,6,FALSE)</f>
        <v>1</v>
      </c>
      <c r="V3" s="11">
        <f ca="1">VLOOKUP(Q3,[1]character_type_i18n!$A:$H,7,FALSE)</f>
        <v>1</v>
      </c>
      <c r="W3" s="56" t="str">
        <f ca="1">VLOOKUP($A3,OFFSET([1]characters!$A$1,0,0,COUNTA([1]characters!$A:$A),MATCH(W$1,[1]characters!$1:$1,0)-MATCH($A$1,[1]characters!$1:$1,0)+1),MATCH(W$1,[1]characters!$1:$1,0)-MATCH($A$1,[1]characters!$1:$1,0)+1,FALSE)</f>
        <v>god</v>
      </c>
      <c r="X3" s="5" t="str">
        <f ca="1">VLOOKUP(W3,[1]character_tribe_i18n!$A:$H,3,FALSE)</f>
        <v>ゴッド</v>
      </c>
      <c r="Y3" s="56" t="str">
        <f ca="1">VLOOKUP($A3,OFFSET([1]characters!$A$1,0,0,COUNTA([1]characters!$A:$A),MATCH(Y$1,[1]characters!$1:$1,0)-MATCH($A$1,[1]characters!$1:$1,0)+1),MATCH(Y$1,[1]characters!$1:$1,0)-MATCH($A$1,[1]characters!$1:$1,0)+1,FALSE)</f>
        <v>animal</v>
      </c>
      <c r="Z3" s="5" t="str">
        <f ca="1">VLOOKUP(Y3,[1]character_tribe_i18n!$A:$H,3,FALSE)</f>
        <v>アニマル</v>
      </c>
      <c r="AA3" s="11">
        <f ca="1">VLOOKUP(W3,[1]character_tribe_i18n!$A:$H,4,FALSE)</f>
        <v>0.96</v>
      </c>
      <c r="AB3" s="11">
        <f ca="1">VLOOKUP(W3,[1]character_tribe_i18n!$A:$H,5,FALSE)</f>
        <v>1.02</v>
      </c>
      <c r="AC3" s="11">
        <f ca="1">VLOOKUP(W3,[1]character_tribe_i18n!$A:$H,6,FALSE)</f>
        <v>1</v>
      </c>
      <c r="AD3" s="11">
        <f ca="1">VLOOKUP(W3,[1]character_tribe_i18n!$A:$H,7,FALSE)</f>
        <v>1.02</v>
      </c>
      <c r="AE3" s="9" t="s">
        <v>183</v>
      </c>
      <c r="AF3" s="61" t="str">
        <f ca="1">IF(AE3="NULL","",VLOOKUP($AE3,OFFSET([1]characters!$A$1,0,0,COUNTA([1]characters!$A:$A),MATCH(AF$1,[1]characters!$1:$1,0)-MATCH($A$1,[1]characters!$1:$1,0)+1),MATCH(AF$1,[1]characters!$1:$1,0)-MATCH($A$1,[1]characters!$1:$1,0)+1,FALSE))</f>
        <v/>
      </c>
      <c r="AG3" s="5">
        <f t="shared" ca="1" si="0"/>
        <v>1059</v>
      </c>
      <c r="AH3" s="61" t="str">
        <f ca="1">VLOOKUP($AG3,OFFSET([1]characters!$A$1,0,0,COUNTA([1]characters!$A:$A),MATCH(AH$1,[1]characters!$1:$1,0)-MATCH($A$1,[1]characters!$1:$1,0)+1),MATCH(AH$1,[1]characters!$1:$1,0)-MATCH($A$1,[1]characters!$1:$1,0)+1,FALSE)</f>
        <v>パズズ</v>
      </c>
      <c r="AI3" s="11" t="str">
        <f>IF(AE3="NULL","NULL",VLOOKUP(G3,ビット!$A$2:$B$7,2))</f>
        <v>NULL</v>
      </c>
      <c r="AJ3" s="6">
        <v>2</v>
      </c>
      <c r="AK3" s="7" t="str">
        <f t="shared" si="1"/>
        <v>普通</v>
      </c>
      <c r="AL3" s="11" t="str">
        <f ca="1">INDEX(経験値!$A$1:$I$21,MATCH(H3,経験値!$A$1:$A$21,FALSE),MATCH(G3,経験値!$A$1:$I$1,FALSE))</f>
        <v>required_exp_200</v>
      </c>
      <c r="AM3" s="8">
        <f ca="1">VLOOKUP(G3,経験値!$A$28:$B$32,2)</f>
        <v>6400</v>
      </c>
      <c r="AN3" s="17">
        <f ca="1">VLOOKUP(G3,ビット!$G$2:$H$7,2)</f>
        <v>900</v>
      </c>
      <c r="AO3" s="44"/>
      <c r="AP3" s="66">
        <f t="shared" ref="AP3:AP17" si="6">A3</f>
        <v>1060</v>
      </c>
      <c r="AQ3" s="56" t="str">
        <f ca="1">VLOOKUP($AP3,OFFSET(unit_skills!$A$1,0,0,COUNTA(unit_skills!$A:$A),MATCH(AQ$1,unit_skills!$1:$1,0)-MATCH($AP$1,unit_skills!$1:$1,0)+1),MATCH(AQ$1,unit_skills!$1:$1,0)-MATCH($AP$1,unit_skills!$1:$1,0)+1,FALSE)</f>
        <v>インファント・タービュランス</v>
      </c>
      <c r="AR3" s="56" t="str">
        <f ca="1">VLOOKUP($AP3,OFFSET(unit_skills!$A$1,0,0,COUNTA(unit_skills!$A:$A),MATCH(AR$1,unit_skills!$1:$1,0)-MATCH($AP$1,unit_skills!$1:$1,0)+1),MATCH(AR$1,unit_skills!$1:$1,0)-MATCH($AP$1,unit_skills!$1:$1,0)+1,FALSE)</f>
        <v>時限式ダメージパネルを緑パネルに変換+1ターン敵全体の防御力を0にする</v>
      </c>
      <c r="AS3" s="56">
        <f ca="1">VLOOKUP($AP3,OFFSET(unit_skills!$A$1,0,0,COUNTA(unit_skills!$A:$A),MATCH(AS$1,unit_skills!$1:$1,0)-MATCH($AP$1,unit_skills!$1:$1,0)+1),MATCH(AS$1,unit_skills!$1:$1,0)-MATCH($AP$1,unit_skills!$1:$1,0)+1,FALSE)</f>
        <v>0</v>
      </c>
      <c r="AT3" s="40">
        <f t="shared" ref="AT3:AT17" si="7">A3</f>
        <v>1060</v>
      </c>
      <c r="AU3" s="56" t="str">
        <f ca="1">VLOOKUP($AT3,OFFSET(crash_skills!$A$1,0,0,COUNTA(crash_skills!$A:$A),MATCH(AU$1,crash_skills!$1:$1,0)-MATCH($AT$1,crash_skills!$1:$1,0)+1),MATCH(AU$1,crash_skills!$1:$1,0)-MATCH($AT$1,crash_skills!$1:$1,0)+1,FALSE)</f>
        <v>無責任な機動風射</v>
      </c>
      <c r="AV3" s="56" t="str">
        <f ca="1">VLOOKUP($AT3,OFFSET(crash_skills!$A$1,0,0,COUNTA(crash_skills!$A:$A),MATCH(AV$1,crash_skills!$1:$1,0)-MATCH($AT$1,crash_skills!$1:$1,0)+1),MATCH(AV$1,crash_skills!$1:$1,0)-MATCH($AT$1,crash_skills!$1:$1,0)+1,FALSE)</f>
        <v>1体に特大ダメージ</v>
      </c>
      <c r="AW3" s="56">
        <f ca="1">VLOOKUP($AT3,OFFSET(crash_skills!$A$1,0,0,COUNTA(crash_skills!$A:$A),MATCH(AW$1,crash_skills!$1:$1,0)-MATCH($AT$1,crash_skills!$1:$1,0)+1),MATCH(AW$1,crash_skills!$1:$1,0)-MATCH($AT$1,crash_skills!$1:$1,0)+1,FALSE)</f>
        <v>0</v>
      </c>
      <c r="AX3" s="57">
        <f ca="1">VLOOKUP($A3,OFFSET([1]characters!$A$1,0,0,COUNTA([1]characters!$A:$A),MATCH(AX$1,[1]characters!$1:$1,0)-MATCH($A$1,[1]characters!$1:$1,0)+1),MATCH(AX$1,[1]characters!$1:$1,0)-MATCH($A$1,[1]characters!$1:$1,0)+1,FALSE)</f>
        <v>3</v>
      </c>
      <c r="AY3" s="67">
        <v>1</v>
      </c>
      <c r="AZ3" s="67">
        <v>1.1299999999999999</v>
      </c>
      <c r="BA3" s="67">
        <v>0</v>
      </c>
      <c r="BB3" s="67">
        <v>1.23</v>
      </c>
      <c r="BC3" s="11">
        <f ca="1">INDEX('RC6SV'!$A$1:$G$21,MATCH(H3,'RC6SV'!$A$1:$A$21,FALSE),MATCH(G3,'RC6SV'!$A$1:$G$1,FALSE))</f>
        <v>7600</v>
      </c>
      <c r="BD3" s="47">
        <f t="shared" ca="1" si="2"/>
        <v>7600</v>
      </c>
      <c r="BE3" s="11">
        <f t="shared" ca="1" si="3"/>
        <v>5800</v>
      </c>
      <c r="BF3" s="11">
        <f t="shared" ca="1" si="4"/>
        <v>1</v>
      </c>
      <c r="BG3" s="16">
        <f ca="1">IF($BE3&lt;=0,ROUND(BK3*0.5,0), ROUND($BE3*S3*AA3*J3*AY3*0.8*[1]ステータス!$B$2,0))</f>
        <v>2272</v>
      </c>
      <c r="BH3" s="16">
        <f ca="1">IF($BE3&lt;=0,ROUND(BL3*0.5,0), ROUND($BE3*T3*AB3*K3*AZ3*0.8*[1]ステータス!$C$2,0))</f>
        <v>1572</v>
      </c>
      <c r="BI3" s="16">
        <f ca="1">IF($BE3&lt;=0,ROUND(BM3*0.5,0), ROUND($BE3*U3*AC3*L3*BA3*0.8*[1]ステータス!$D$2,0))</f>
        <v>0</v>
      </c>
      <c r="BJ3" s="16">
        <f ca="1">IF($BE3&lt;=0,ROUND(BN3*0.5,0), ROUND($BE3*V3*AD3*M3*BB3*0.8*[1]ステータス!$E$2,0))</f>
        <v>1455</v>
      </c>
      <c r="BK3" s="11">
        <f ca="1">ROUND(BD3*S3*AA3*J3*AY3*[1]ステータス!$B$2,0)</f>
        <v>3721</v>
      </c>
      <c r="BL3" s="11">
        <f ca="1">ROUND(BD3*T3*AB3*K3*AZ3*[1]ステータス!$C$2,0)</f>
        <v>2575</v>
      </c>
      <c r="BM3" s="11">
        <f ca="1">ROUND(BD3*U3*AC3*L3*BA3*[1]ステータス!$D$2,0)</f>
        <v>0</v>
      </c>
      <c r="BN3" s="11">
        <f ca="1">ROUND(BD3*V3*AD3*M3*BB3*[1]ステータス!$E$2,0)</f>
        <v>2384</v>
      </c>
      <c r="BO3" s="10">
        <v>0</v>
      </c>
      <c r="BP3" s="10">
        <v>1</v>
      </c>
      <c r="BQ3" s="10" t="s">
        <v>47</v>
      </c>
      <c r="BR3" s="10">
        <f ca="1">VLOOKUP(H3,ghosts_label!$A$2:$B$19,2,FALSE)</f>
        <v>1</v>
      </c>
    </row>
    <row r="4" spans="1:70" ht="26" customHeight="1" x14ac:dyDescent="0.15">
      <c r="A4" s="12">
        <v>1061</v>
      </c>
      <c r="B4" s="56" t="str">
        <f ca="1">VLOOKUP($A4,OFFSET([1]characters!$A$1,0,0,COUNTA([1]characters!$A:$A),MATCH(B$1,[1]characters!$1:$1,0)-MATCH($A$1,[1]characters!$1:$1,0)+1),MATCH(B$1,[1]characters!$1:$1,0)-MATCH($A$1,[1]characters!$1:$1,0)+1,FALSE)</f>
        <v>フンババ</v>
      </c>
      <c r="C4" s="56" t="str">
        <f ca="1">VLOOKUP($A4,OFFSET([1]characters!$A$1,0,0,COUNTA([1]characters!$A:$A),MATCH(C$1,[1]characters!$1:$1,0)-MATCH($A$1,[1]characters!$1:$1,0)+1),MATCH(C$1,[1]characters!$1:$1,0)-MATCH($A$1,[1]characters!$1:$1,0)+1,FALSE)</f>
        <v>イザナミ_分岐</v>
      </c>
      <c r="D4" s="56" t="str">
        <f ca="1">VLOOKUP($A4,OFFSET([1]characters!$A$1,0,0,COUNTA([1]characters!$A:$A),MATCH(D$1,[1]characters!$1:$1,0)-MATCH($A$1,[1]characters!$1:$1,0)+1),MATCH(D$1,[1]characters!$1:$1,0)-MATCH($A$1,[1]characters!$1:$1,0)+1,FALSE)</f>
        <v>執行者</v>
      </c>
      <c r="E4" s="56" t="str">
        <f ca="1">VLOOKUP($A4,OFFSET([1]characters!$A$1,0,0,COUNTA([1]characters!$A:$A),MATCH(E$1,[1]characters!$1:$1,0)-MATCH($A$1,[1]characters!$1:$1,0)+1),MATCH(E$1,[1]characters!$1:$1,0)-MATCH($A$1,[1]characters!$1:$1,0)+1,FALSE)</f>
        <v>格好いい</v>
      </c>
      <c r="F4" s="56" t="str">
        <f ca="1">VLOOKUP($A4,OFFSET([1]characters!$A$1,0,0,COUNTA([1]characters!$A:$A),MATCH(F$1,[1]characters!$1:$1,0)-MATCH($A$1,[1]characters!$1:$1,0)+1),MATCH(F$1,[1]characters!$1:$1,0)-MATCH($A$1,[1]characters!$1:$1,0)+1,FALSE)</f>
        <v>男性</v>
      </c>
      <c r="G4" s="56">
        <f ca="1">VLOOKUP($A4,OFFSET([1]characters!$A$1,0,0,COUNTA([1]characters!$A:$A),MATCH(G$1,[1]characters!$1:$1,0)-MATCH($A$1,[1]characters!$1:$1,0)+1),MATCH(G$1,[1]characters!$1:$1,0)-MATCH($A$1,[1]characters!$1:$1,0)+1,FALSE)</f>
        <v>4</v>
      </c>
      <c r="H4" s="56" t="str">
        <f ca="1">VLOOKUP($A4,OFFSET([1]characters!$A$1,0,0,COUNTA([1]characters!$A:$A),MATCH(H$1,[1]characters!$1:$1,0)-MATCH($A$1,[1]characters!$1:$1,0)+1),MATCH(H$1,[1]characters!$1:$1,0)-MATCH($A$1,[1]characters!$1:$1,0)+1,FALSE)</f>
        <v>Drop2N</v>
      </c>
      <c r="I4" s="56" t="str">
        <f ca="1">VLOOKUP($A4,OFFSET([1]characters!$A$1,0,0,COUNTA([1]characters!$A:$A),MATCH(I$1,[1]characters!$1:$1,0)-MATCH($A$1,[1]characters!$1:$1,0)+1),MATCH(I$1,[1]characters!$1:$1,0)-MATCH($A$1,[1]characters!$1:$1,0)+1,FALSE)</f>
        <v>yellow</v>
      </c>
      <c r="J4" s="11">
        <f ca="1">VLOOKUP(I4,[1]属性!$A:$E,2,FALSE)</f>
        <v>0.98</v>
      </c>
      <c r="K4" s="11">
        <f ca="1">VLOOKUP(I4,[1]属性!$A:$E,3,FALSE)</f>
        <v>1.01</v>
      </c>
      <c r="L4" s="11">
        <f ca="1">VLOOKUP(I4,[1]属性!$A:$E,4,FALSE)</f>
        <v>1</v>
      </c>
      <c r="M4" s="11">
        <f ca="1">VLOOKUP(I4,[1]属性!$A:$E,5,FALSE)</f>
        <v>1.01</v>
      </c>
      <c r="N4" s="11">
        <f ca="1">INDEX(コスト!$A$1:$I$21,MATCH(H4,コスト!$A$1:$A$21,FALSE),MATCH(G4,コスト!$A$1:$I$1,FALSE))</f>
        <v>17</v>
      </c>
      <c r="O4" s="11">
        <f ca="1">INDEX(レベル!$A$1:$I$22,MATCH(H4,レベル!$A$1:$A$22,FALSE),MATCH(G4,レベル!$A$1:$I$1,FALSE))</f>
        <v>60</v>
      </c>
      <c r="P4" s="47">
        <f t="shared" ca="1" si="5"/>
        <v>60</v>
      </c>
      <c r="Q4" s="56" t="str">
        <f ca="1">VLOOKUP($A4,OFFSET([1]characters!$A$1,0,0,COUNTA([1]characters!$A:$A),MATCH(Q$1,[1]characters!$1:$1,0)-MATCH($A$1,[1]characters!$1:$1,0)+1),MATCH(Q$1,[1]characters!$1:$1,0)-MATCH($A$1,[1]characters!$1:$1,0)+1,FALSE)</f>
        <v>hp</v>
      </c>
      <c r="R4" s="5" t="str">
        <f ca="1">VLOOKUP(Q4,[1]character_type_i18n!$A:$H,3,FALSE)</f>
        <v>体力タイプ</v>
      </c>
      <c r="S4" s="11">
        <f ca="1">VLOOKUP(Q4,[1]character_type_i18n!$A:$H,4,FALSE)</f>
        <v>1.45</v>
      </c>
      <c r="T4" s="11">
        <f ca="1">VLOOKUP(Q4,[1]character_type_i18n!$A:$H,5,FALSE)</f>
        <v>0.85</v>
      </c>
      <c r="U4" s="11">
        <f ca="1">VLOOKUP(Q4,[1]character_type_i18n!$A:$H,6,FALSE)</f>
        <v>1</v>
      </c>
      <c r="V4" s="11">
        <f ca="1">VLOOKUP(Q4,[1]character_type_i18n!$A:$H,7,FALSE)</f>
        <v>0.7</v>
      </c>
      <c r="W4" s="56" t="str">
        <f ca="1">VLOOKUP($A4,OFFSET([1]characters!$A$1,0,0,COUNTA([1]characters!$A:$A),MATCH(W$1,[1]characters!$1:$1,0)-MATCH($A$1,[1]characters!$1:$1,0)+1),MATCH(W$1,[1]characters!$1:$1,0)-MATCH($A$1,[1]characters!$1:$1,0)+1,FALSE)</f>
        <v>animal</v>
      </c>
      <c r="X4" s="5" t="str">
        <f ca="1">VLOOKUP(W4,[1]character_tribe_i18n!$A:$H,3,FALSE)</f>
        <v>アニマル</v>
      </c>
      <c r="Y4" s="56" t="str">
        <f ca="1">VLOOKUP($A4,OFFSET([1]characters!$A$1,0,0,COUNTA([1]characters!$A:$A),MATCH(Y$1,[1]characters!$1:$1,0)-MATCH($A$1,[1]characters!$1:$1,0)+1),MATCH(Y$1,[1]characters!$1:$1,0)-MATCH($A$1,[1]characters!$1:$1,0)+1,FALSE)</f>
        <v>machine</v>
      </c>
      <c r="Z4" s="5" t="str">
        <f ca="1">VLOOKUP(Y4,[1]character_tribe_i18n!$A:$H,3,FALSE)</f>
        <v>マシン</v>
      </c>
      <c r="AA4" s="11">
        <f ca="1">VLOOKUP(W4,[1]character_tribe_i18n!$A:$H,4,FALSE)</f>
        <v>1</v>
      </c>
      <c r="AB4" s="11">
        <f ca="1">VLOOKUP(W4,[1]character_tribe_i18n!$A:$H,5,FALSE)</f>
        <v>1.1000000000000001</v>
      </c>
      <c r="AC4" s="11">
        <f ca="1">VLOOKUP(W4,[1]character_tribe_i18n!$A:$H,6,FALSE)</f>
        <v>1</v>
      </c>
      <c r="AD4" s="11">
        <f ca="1">VLOOKUP(W4,[1]character_tribe_i18n!$A:$H,7,FALSE)</f>
        <v>0.9</v>
      </c>
      <c r="AE4" s="9">
        <f t="shared" ref="AE4" si="8">A5</f>
        <v>1062</v>
      </c>
      <c r="AF4" s="61" t="str">
        <f ca="1">IF(AE4="NULL","",VLOOKUP($AE4,OFFSET([1]characters!$A$1,0,0,COUNTA([1]characters!$A:$A),MATCH(AF$1,[1]characters!$1:$1,0)-MATCH($A$1,[1]characters!$1:$1,0)+1),MATCH(AF$1,[1]characters!$1:$1,0)-MATCH($A$1,[1]characters!$1:$1,0)+1,FALSE))</f>
        <v>停止不能の蛮躯 フンババ</v>
      </c>
      <c r="AG4" s="5">
        <f t="shared" ca="1" si="0"/>
        <v>1061</v>
      </c>
      <c r="AH4" s="61" t="str">
        <f ca="1">VLOOKUP($AG4,OFFSET([1]characters!$A$1,0,0,COUNTA([1]characters!$A:$A),MATCH(AH$1,[1]characters!$1:$1,0)-MATCH($A$1,[1]characters!$1:$1,0)+1),MATCH(AH$1,[1]characters!$1:$1,0)-MATCH($A$1,[1]characters!$1:$1,0)+1,FALSE)</f>
        <v>フンババ</v>
      </c>
      <c r="AI4" s="11">
        <f ca="1">IF(AE4="NULL","NULL",VLOOKUP(G4,ビット!$A$2:$B$7,2))</f>
        <v>50000</v>
      </c>
      <c r="AJ4" s="6">
        <v>2</v>
      </c>
      <c r="AK4" s="7" t="str">
        <f t="shared" ref="AK4:AK17" si="9">IF(AJ4=1,"早熟",IF(AJ4=2,"普通",IF(AJ4=3,"晩成","")))</f>
        <v>普通</v>
      </c>
      <c r="AL4" s="11" t="str">
        <f ca="1">INDEX(経験値!$A$1:$I$21,MATCH(H4,経験値!$A$1:$A$21,FALSE),MATCH(G4,経験値!$A$1:$I$1,FALSE))</f>
        <v>required_exp_200</v>
      </c>
      <c r="AM4" s="8">
        <f ca="1">VLOOKUP(G4,経験値!$A$28:$B$32,2)</f>
        <v>3400</v>
      </c>
      <c r="AN4" s="17">
        <f ca="1">VLOOKUP(G4,ビット!$G$2:$H$7,2)</f>
        <v>600</v>
      </c>
      <c r="AO4" s="44"/>
      <c r="AP4" s="66">
        <f t="shared" si="6"/>
        <v>1061</v>
      </c>
      <c r="AQ4" s="56" t="str">
        <f ca="1">VLOOKUP($AP4,OFFSET(unit_skills!$A$1,0,0,COUNTA(unit_skills!$A:$A),MATCH(AQ$1,unit_skills!$1:$1,0)-MATCH($AP$1,unit_skills!$1:$1,0)+1),MATCH(AQ$1,unit_skills!$1:$1,0)-MATCH($AP$1,unit_skills!$1:$1,0)+1,FALSE)</f>
        <v>サーチ・アンド・スマッシュ</v>
      </c>
      <c r="AR4" s="56" t="str">
        <f ca="1">VLOOKUP($AP4,OFFSET(unit_skills!$A$1,0,0,COUNTA(unit_skills!$A:$A),MATCH(AR$1,unit_skills!$1:$1,0)-MATCH($AP$1,unit_skills!$1:$1,0)+1),MATCH(AR$1,unit_skills!$1:$1,0)-MATCH($AP$1,unit_skills!$1:$1,0)+1,FALSE)</f>
        <v>お邪魔パネルを黄パネルに変換+2ターン黄属性の攻撃力特大UP</v>
      </c>
      <c r="AS4" s="56">
        <f ca="1">VLOOKUP($AP4,OFFSET(unit_skills!$A$1,0,0,COUNTA(unit_skills!$A:$A),MATCH(AS$1,unit_skills!$1:$1,0)-MATCH($AP$1,unit_skills!$1:$1,0)+1),MATCH(AS$1,unit_skills!$1:$1,0)-MATCH($AP$1,unit_skills!$1:$1,0)+1,FALSE)</f>
        <v>0</v>
      </c>
      <c r="AT4" s="40">
        <f t="shared" si="7"/>
        <v>1061</v>
      </c>
      <c r="AU4" s="56" t="str">
        <f ca="1">VLOOKUP($AT4,OFFSET(crash_skills!$A$1,0,0,COUNTA(crash_skills!$A:$A),MATCH(AU$1,crash_skills!$1:$1,0)-MATCH($AT$1,crash_skills!$1:$1,0)+1),MATCH(AU$1,crash_skills!$1:$1,0)-MATCH($AT$1,crash_skills!$1:$1,0)+1,FALSE)</f>
        <v>大衝突グレイトホーン</v>
      </c>
      <c r="AV4" s="56" t="str">
        <f ca="1">VLOOKUP($AT4,OFFSET(crash_skills!$A$1,0,0,COUNTA(crash_skills!$A:$A),MATCH(AV$1,crash_skills!$1:$1,0)-MATCH($AT$1,crash_skills!$1:$1,0)+1),MATCH(AV$1,crash_skills!$1:$1,0)-MATCH($AT$1,crash_skills!$1:$1,0)+1,FALSE)</f>
        <v>単体に2回中ダメージ</v>
      </c>
      <c r="AW4" s="56">
        <f ca="1">VLOOKUP($AT4,OFFSET(crash_skills!$A$1,0,0,COUNTA(crash_skills!$A:$A),MATCH(AW$1,crash_skills!$1:$1,0)-MATCH($AT$1,crash_skills!$1:$1,0)+1),MATCH(AW$1,crash_skills!$1:$1,0)-MATCH($AT$1,crash_skills!$1:$1,0)+1,FALSE)</f>
        <v>0</v>
      </c>
      <c r="AX4" s="57">
        <f ca="1">VLOOKUP($A4,OFFSET([1]characters!$A$1,0,0,COUNTA([1]characters!$A:$A),MATCH(AX$1,[1]characters!$1:$1,0)-MATCH($A$1,[1]characters!$1:$1,0)+1),MATCH(AX$1,[1]characters!$1:$1,0)-MATCH($A$1,[1]characters!$1:$1,0)+1,FALSE)</f>
        <v>3</v>
      </c>
      <c r="AY4" s="67">
        <v>1.1499999999999999</v>
      </c>
      <c r="AZ4" s="67">
        <v>1.17</v>
      </c>
      <c r="BA4" s="67">
        <v>0</v>
      </c>
      <c r="BB4" s="67">
        <v>1.2</v>
      </c>
      <c r="BC4" s="11">
        <f ca="1">INDEX('RC6SV'!$A$1:$G$21,MATCH(H4,'RC6SV'!$A$1:$A$21,FALSE),MATCH(G4,'RC6SV'!$A$1:$G$1,FALSE))</f>
        <v>5800</v>
      </c>
      <c r="BD4" s="47">
        <f t="shared" ref="BD4:BD17" ca="1" si="10">ROUND(BC4*IF(AJ4=1,0.95,IF(AJ4=2,1,IF(AJ4,1.05,0))),0)</f>
        <v>5800</v>
      </c>
      <c r="BE4" s="11">
        <f t="shared" ca="1" si="3"/>
        <v>0</v>
      </c>
      <c r="BF4" s="11">
        <f t="shared" ca="1" si="4"/>
        <v>1</v>
      </c>
      <c r="BG4" s="16">
        <f ca="1">IF($BE4&lt;=0,ROUND(BK4*0.5,0), ROUND($BE4*S4*AA4*J4*AY4*0.8*[1]ステータス!$B$2,0))</f>
        <v>2370</v>
      </c>
      <c r="BH4" s="16">
        <f ca="1">IF($BE4&lt;=0,ROUND(BL4*0.5,0), ROUND($BE4*T4*AB4*K4*AZ4*0.8*[1]ステータス!$C$2,0))</f>
        <v>962</v>
      </c>
      <c r="BI4" s="16">
        <f ca="1">IF($BE4&lt;=0,ROUND(BM4*0.5,0), ROUND($BE4*U4*AC4*L4*BA4*0.8*[1]ステータス!$D$2,0))</f>
        <v>0</v>
      </c>
      <c r="BJ4" s="16">
        <f ca="1">IF($BE4&lt;=0,ROUND(BN4*0.5,0), ROUND($BE4*V4*AD4*M4*BB4*0.8*[1]ステータス!$E$2,0))</f>
        <v>554</v>
      </c>
      <c r="BK4" s="11">
        <f ca="1">ROUND(BD4*S4*AA4*J4*AY4*[1]ステータス!$B$2,0)</f>
        <v>4739</v>
      </c>
      <c r="BL4" s="11">
        <f ca="1">ROUND(BD4*T4*AB4*K4*AZ4*[1]ステータス!$C$2,0)</f>
        <v>1923</v>
      </c>
      <c r="BM4" s="11">
        <f ca="1">ROUND(BD4*U4*AC4*L4*BA4*[1]ステータス!$D$2,0)</f>
        <v>0</v>
      </c>
      <c r="BN4" s="11">
        <f ca="1">ROUND(BD4*V4*AD4*M4*BB4*[1]ステータス!$E$2,0)</f>
        <v>1107</v>
      </c>
      <c r="BO4" s="10">
        <v>0</v>
      </c>
      <c r="BP4" s="10">
        <v>1</v>
      </c>
      <c r="BQ4" s="10" t="s">
        <v>47</v>
      </c>
      <c r="BR4" s="10">
        <f ca="1">VLOOKUP(H4,ghosts_label!$A$2:$B$19,2,FALSE)</f>
        <v>1</v>
      </c>
    </row>
    <row r="5" spans="1:70" ht="26" customHeight="1" x14ac:dyDescent="0.15">
      <c r="A5" s="12">
        <v>1062</v>
      </c>
      <c r="B5" s="56" t="str">
        <f ca="1">VLOOKUP($A5,OFFSET([1]characters!$A$1,0,0,COUNTA([1]characters!$A:$A),MATCH(B$1,[1]characters!$1:$1,0)-MATCH($A$1,[1]characters!$1:$1,0)+1),MATCH(B$1,[1]characters!$1:$1,0)-MATCH($A$1,[1]characters!$1:$1,0)+1,FALSE)</f>
        <v>停止不能の蛮躯 フンババ</v>
      </c>
      <c r="C5" s="56" t="str">
        <f ca="1">VLOOKUP($A5,OFFSET([1]characters!$A$1,0,0,COUNTA([1]characters!$A:$A),MATCH(C$1,[1]characters!$1:$1,0)-MATCH($A$1,[1]characters!$1:$1,0)+1),MATCH(C$1,[1]characters!$1:$1,0)-MATCH($A$1,[1]characters!$1:$1,0)+1,FALSE)</f>
        <v>イザナミ_分岐</v>
      </c>
      <c r="D5" s="56" t="str">
        <f ca="1">VLOOKUP($A5,OFFSET([1]characters!$A$1,0,0,COUNTA([1]characters!$A:$A),MATCH(D$1,[1]characters!$1:$1,0)-MATCH($A$1,[1]characters!$1:$1,0)+1),MATCH(D$1,[1]characters!$1:$1,0)-MATCH($A$1,[1]characters!$1:$1,0)+1,FALSE)</f>
        <v>執行者</v>
      </c>
      <c r="E5" s="56" t="str">
        <f ca="1">VLOOKUP($A5,OFFSET([1]characters!$A$1,0,0,COUNTA([1]characters!$A:$A),MATCH(E$1,[1]characters!$1:$1,0)-MATCH($A$1,[1]characters!$1:$1,0)+1),MATCH(E$1,[1]characters!$1:$1,0)-MATCH($A$1,[1]characters!$1:$1,0)+1,FALSE)</f>
        <v>格好いい</v>
      </c>
      <c r="F5" s="56" t="str">
        <f ca="1">VLOOKUP($A5,OFFSET([1]characters!$A$1,0,0,COUNTA([1]characters!$A:$A),MATCH(F$1,[1]characters!$1:$1,0)-MATCH($A$1,[1]characters!$1:$1,0)+1),MATCH(F$1,[1]characters!$1:$1,0)-MATCH($A$1,[1]characters!$1:$1,0)+1,FALSE)</f>
        <v>男性</v>
      </c>
      <c r="G5" s="56">
        <f ca="1">VLOOKUP($A5,OFFSET([1]characters!$A$1,0,0,COUNTA([1]characters!$A:$A),MATCH(G$1,[1]characters!$1:$1,0)-MATCH($A$1,[1]characters!$1:$1,0)+1),MATCH(G$1,[1]characters!$1:$1,0)-MATCH($A$1,[1]characters!$1:$1,0)+1,FALSE)</f>
        <v>5</v>
      </c>
      <c r="H5" s="56" t="str">
        <f ca="1">VLOOKUP($A5,OFFSET([1]characters!$A$1,0,0,COUNTA([1]characters!$A:$A),MATCH(H$1,[1]characters!$1:$1,0)-MATCH($A$1,[1]characters!$1:$1,0)+1),MATCH(H$1,[1]characters!$1:$1,0)-MATCH($A$1,[1]characters!$1:$1,0)+1,FALSE)</f>
        <v>Drop2N</v>
      </c>
      <c r="I5" s="56" t="str">
        <f ca="1">VLOOKUP($A5,OFFSET([1]characters!$A$1,0,0,COUNTA([1]characters!$A:$A),MATCH(I$1,[1]characters!$1:$1,0)-MATCH($A$1,[1]characters!$1:$1,0)+1),MATCH(I$1,[1]characters!$1:$1,0)-MATCH($A$1,[1]characters!$1:$1,0)+1,FALSE)</f>
        <v>yellow</v>
      </c>
      <c r="J5" s="11">
        <f ca="1">VLOOKUP(I5,[1]属性!$A:$E,2,FALSE)</f>
        <v>0.98</v>
      </c>
      <c r="K5" s="11">
        <f ca="1">VLOOKUP(I5,[1]属性!$A:$E,3,FALSE)</f>
        <v>1.01</v>
      </c>
      <c r="L5" s="11">
        <f ca="1">VLOOKUP(I5,[1]属性!$A:$E,4,FALSE)</f>
        <v>1</v>
      </c>
      <c r="M5" s="11">
        <f ca="1">VLOOKUP(I5,[1]属性!$A:$E,5,FALSE)</f>
        <v>1.01</v>
      </c>
      <c r="N5" s="11">
        <f ca="1">INDEX(コスト!$A$1:$I$21,MATCH(H5,コスト!$A$1:$A$21,FALSE),MATCH(G5,コスト!$A$1:$I$1,FALSE))</f>
        <v>26</v>
      </c>
      <c r="O5" s="11">
        <f ca="1">INDEX(レベル!$A$1:$I$22,MATCH(H5,レベル!$A$1:$A$22,FALSE),MATCH(G5,レベル!$A$1:$I$1,FALSE))</f>
        <v>80</v>
      </c>
      <c r="P5" s="47">
        <f t="shared" ref="P5:P17" ca="1" si="11">IF(G5 &gt;= 6, 99,G5*15)</f>
        <v>75</v>
      </c>
      <c r="Q5" s="56" t="str">
        <f ca="1">VLOOKUP($A5,OFFSET([1]characters!$A$1,0,0,COUNTA([1]characters!$A:$A),MATCH(Q$1,[1]characters!$1:$1,0)-MATCH($A$1,[1]characters!$1:$1,0)+1),MATCH(Q$1,[1]characters!$1:$1,0)-MATCH($A$1,[1]characters!$1:$1,0)+1,FALSE)</f>
        <v>hp</v>
      </c>
      <c r="R5" s="5" t="str">
        <f ca="1">VLOOKUP(Q5,[1]character_type_i18n!$A:$H,3,FALSE)</f>
        <v>体力タイプ</v>
      </c>
      <c r="S5" s="11">
        <f ca="1">VLOOKUP(Q5,[1]character_type_i18n!$A:$H,4,FALSE)</f>
        <v>1.45</v>
      </c>
      <c r="T5" s="11">
        <f ca="1">VLOOKUP(Q5,[1]character_type_i18n!$A:$H,5,FALSE)</f>
        <v>0.85</v>
      </c>
      <c r="U5" s="11">
        <f ca="1">VLOOKUP(Q5,[1]character_type_i18n!$A:$H,6,FALSE)</f>
        <v>1</v>
      </c>
      <c r="V5" s="11">
        <f ca="1">VLOOKUP(Q5,[1]character_type_i18n!$A:$H,7,FALSE)</f>
        <v>0.7</v>
      </c>
      <c r="W5" s="56" t="str">
        <f ca="1">VLOOKUP($A5,OFFSET([1]characters!$A$1,0,0,COUNTA([1]characters!$A:$A),MATCH(W$1,[1]characters!$1:$1,0)-MATCH($A$1,[1]characters!$1:$1,0)+1),MATCH(W$1,[1]characters!$1:$1,0)-MATCH($A$1,[1]characters!$1:$1,0)+1,FALSE)</f>
        <v>animal</v>
      </c>
      <c r="X5" s="5" t="str">
        <f ca="1">VLOOKUP(W5,[1]character_tribe_i18n!$A:$H,3,FALSE)</f>
        <v>アニマル</v>
      </c>
      <c r="Y5" s="56" t="str">
        <f ca="1">VLOOKUP($A5,OFFSET([1]characters!$A$1,0,0,COUNTA([1]characters!$A:$A),MATCH(Y$1,[1]characters!$1:$1,0)-MATCH($A$1,[1]characters!$1:$1,0)+1),MATCH(Y$1,[1]characters!$1:$1,0)-MATCH($A$1,[1]characters!$1:$1,0)+1,FALSE)</f>
        <v>machine</v>
      </c>
      <c r="Z5" s="5" t="str">
        <f ca="1">VLOOKUP(Y5,[1]character_tribe_i18n!$A:$H,3,FALSE)</f>
        <v>マシン</v>
      </c>
      <c r="AA5" s="11">
        <f ca="1">VLOOKUP(W5,[1]character_tribe_i18n!$A:$H,4,FALSE)</f>
        <v>1</v>
      </c>
      <c r="AB5" s="11">
        <f ca="1">VLOOKUP(W5,[1]character_tribe_i18n!$A:$H,5,FALSE)</f>
        <v>1.1000000000000001</v>
      </c>
      <c r="AC5" s="11">
        <f ca="1">VLOOKUP(W5,[1]character_tribe_i18n!$A:$H,6,FALSE)</f>
        <v>1</v>
      </c>
      <c r="AD5" s="11">
        <f ca="1">VLOOKUP(W5,[1]character_tribe_i18n!$A:$H,7,FALSE)</f>
        <v>0.9</v>
      </c>
      <c r="AE5" s="9" t="s">
        <v>183</v>
      </c>
      <c r="AF5" s="61" t="str">
        <f ca="1">IF(AE5="NULL","",VLOOKUP($AE5,OFFSET([1]characters!$A$1,0,0,COUNTA([1]characters!$A:$A),MATCH(AF$1,[1]characters!$1:$1,0)-MATCH($A$1,[1]characters!$1:$1,0)+1),MATCH(AF$1,[1]characters!$1:$1,0)-MATCH($A$1,[1]characters!$1:$1,0)+1,FALSE))</f>
        <v/>
      </c>
      <c r="AG5" s="5">
        <f ca="1">IF(ISNA(MATCH(A5,AE:AE,0)),A5,INDIRECT(ADDRESS(MATCH(A5,AE:AE,0),COLUMN())))</f>
        <v>1061</v>
      </c>
      <c r="AH5" s="61" t="str">
        <f ca="1">VLOOKUP($AG5,OFFSET([1]characters!$A$1,0,0,COUNTA([1]characters!$A:$A),MATCH(AH$1,[1]characters!$1:$1,0)-MATCH($A$1,[1]characters!$1:$1,0)+1),MATCH(AH$1,[1]characters!$1:$1,0)-MATCH($A$1,[1]characters!$1:$1,0)+1,FALSE)</f>
        <v>フンババ</v>
      </c>
      <c r="AI5" s="11" t="str">
        <f>IF(AE5="NULL","NULL",VLOOKUP(G5,ビット!$A$2:$B$7,2))</f>
        <v>NULL</v>
      </c>
      <c r="AJ5" s="6">
        <v>2</v>
      </c>
      <c r="AK5" s="7" t="str">
        <f t="shared" si="9"/>
        <v>普通</v>
      </c>
      <c r="AL5" s="11" t="str">
        <f ca="1">INDEX(経験値!$A$1:$I$21,MATCH(H5,経験値!$A$1:$A$21,FALSE),MATCH(G5,経験値!$A$1:$I$1,FALSE))</f>
        <v>required_exp_200</v>
      </c>
      <c r="AM5" s="8">
        <f ca="1">VLOOKUP(G5,経験値!$A$28:$B$32,2)</f>
        <v>6400</v>
      </c>
      <c r="AN5" s="17">
        <f ca="1">VLOOKUP(G5,ビット!$G$2:$H$7,2)</f>
        <v>900</v>
      </c>
      <c r="AO5" s="44"/>
      <c r="AP5" s="66">
        <f t="shared" si="6"/>
        <v>1062</v>
      </c>
      <c r="AQ5" s="56" t="str">
        <f ca="1">VLOOKUP($AP5,OFFSET(unit_skills!$A$1,0,0,COUNTA(unit_skills!$A:$A),MATCH(AQ$1,unit_skills!$1:$1,0)-MATCH($AP$1,unit_skills!$1:$1,0)+1),MATCH(AQ$1,unit_skills!$1:$1,0)-MATCH($AP$1,unit_skills!$1:$1,0)+1,FALSE)</f>
        <v>サーチ・アンド・デストロイ</v>
      </c>
      <c r="AR5" s="56" t="str">
        <f ca="1">VLOOKUP($AP5,OFFSET(unit_skills!$A$1,0,0,COUNTA(unit_skills!$A:$A),MATCH(AR$1,unit_skills!$1:$1,0)-MATCH($AP$1,unit_skills!$1:$1,0)+1),MATCH(AR$1,unit_skills!$1:$1,0)-MATCH($AP$1,unit_skills!$1:$1,0)+1,FALSE)</f>
        <v>お邪魔パネルを黄パネルに変換+3ターン黄属性の攻撃力特大UP</v>
      </c>
      <c r="AS5" s="56">
        <f ca="1">VLOOKUP($AP5,OFFSET(unit_skills!$A$1,0,0,COUNTA(unit_skills!$A:$A),MATCH(AS$1,unit_skills!$1:$1,0)-MATCH($AP$1,unit_skills!$1:$1,0)+1),MATCH(AS$1,unit_skills!$1:$1,0)-MATCH($AP$1,unit_skills!$1:$1,0)+1,FALSE)</f>
        <v>0</v>
      </c>
      <c r="AT5" s="40">
        <f t="shared" si="7"/>
        <v>1062</v>
      </c>
      <c r="AU5" s="56" t="str">
        <f ca="1">VLOOKUP($AT5,OFFSET(crash_skills!$A$1,0,0,COUNTA(crash_skills!$A:$A),MATCH(AU$1,crash_skills!$1:$1,0)-MATCH($AT$1,crash_skills!$1:$1,0)+1),MATCH(AU$1,crash_skills!$1:$1,0)-MATCH($AT$1,crash_skills!$1:$1,0)+1,FALSE)</f>
        <v>大衝突グレイトホーン</v>
      </c>
      <c r="AV5" s="56" t="str">
        <f ca="1">VLOOKUP($AT5,OFFSET(crash_skills!$A$1,0,0,COUNTA(crash_skills!$A:$A),MATCH(AV$1,crash_skills!$1:$1,0)-MATCH($AT$1,crash_skills!$1:$1,0)+1),MATCH(AV$1,crash_skills!$1:$1,0)-MATCH($AT$1,crash_skills!$1:$1,0)+1,FALSE)</f>
        <v>単体に2回中ダメージ</v>
      </c>
      <c r="AW5" s="56">
        <f ca="1">VLOOKUP($AT5,OFFSET(crash_skills!$A$1,0,0,COUNTA(crash_skills!$A:$A),MATCH(AW$1,crash_skills!$1:$1,0)-MATCH($AT$1,crash_skills!$1:$1,0)+1),MATCH(AW$1,crash_skills!$1:$1,0)-MATCH($AT$1,crash_skills!$1:$1,0)+1,FALSE)</f>
        <v>0</v>
      </c>
      <c r="AX5" s="57">
        <f ca="1">VLOOKUP($A5,OFFSET([1]characters!$A$1,0,0,COUNTA([1]characters!$A:$A),MATCH(AX$1,[1]characters!$1:$1,0)-MATCH($A$1,[1]characters!$1:$1,0)+1),MATCH(AX$1,[1]characters!$1:$1,0)-MATCH($A$1,[1]characters!$1:$1,0)+1,FALSE)</f>
        <v>3</v>
      </c>
      <c r="AY5" s="67">
        <v>1.1499999999999999</v>
      </c>
      <c r="AZ5" s="67">
        <v>1.17</v>
      </c>
      <c r="BA5" s="67">
        <v>0</v>
      </c>
      <c r="BB5" s="67">
        <v>1.2</v>
      </c>
      <c r="BC5" s="11">
        <f ca="1">INDEX('RC6SV'!$A$1:$G$21,MATCH(H5,'RC6SV'!$A$1:$A$21,FALSE),MATCH(G5,'RC6SV'!$A$1:$G$1,FALSE))</f>
        <v>7600</v>
      </c>
      <c r="BD5" s="47">
        <f t="shared" ca="1" si="10"/>
        <v>7600</v>
      </c>
      <c r="BE5" s="11">
        <f t="shared" ca="1" si="3"/>
        <v>5800</v>
      </c>
      <c r="BF5" s="11">
        <f t="shared" ca="1" si="4"/>
        <v>1</v>
      </c>
      <c r="BG5" s="16">
        <f ca="1">IF($BE5&lt;=0,ROUND(BK5*0.5,0), ROUND($BE5*S5*AA5*J5*AY5*0.8*[1]ステータス!$B$2,0))</f>
        <v>3791</v>
      </c>
      <c r="BH5" s="16">
        <f ca="1">IF($BE5&lt;=0,ROUND(BL5*0.5,0), ROUND($BE5*T5*AB5*K5*AZ5*0.8*[1]ステータス!$C$2,0))</f>
        <v>1538</v>
      </c>
      <c r="BI5" s="16">
        <f ca="1">IF($BE5&lt;=0,ROUND(BM5*0.5,0), ROUND($BE5*U5*AC5*L5*BA5*0.8*[1]ステータス!$D$2,0))</f>
        <v>0</v>
      </c>
      <c r="BJ5" s="16">
        <f ca="1">IF($BE5&lt;=0,ROUND(BN5*0.5,0), ROUND($BE5*V5*AD5*M5*BB5*0.8*[1]ステータス!$E$2,0))</f>
        <v>886</v>
      </c>
      <c r="BK5" s="11">
        <f ca="1">ROUND(BD5*S5*AA5*J5*AY5*[1]ステータス!$B$2,0)</f>
        <v>6210</v>
      </c>
      <c r="BL5" s="11">
        <f ca="1">ROUND(BD5*T5*AB5*K5*AZ5*[1]ステータス!$C$2,0)</f>
        <v>2519</v>
      </c>
      <c r="BM5" s="11">
        <f ca="1">ROUND(BD5*U5*AC5*L5*BA5*[1]ステータス!$D$2,0)</f>
        <v>0</v>
      </c>
      <c r="BN5" s="11">
        <f ca="1">ROUND(BD5*V5*AD5*M5*BB5*[1]ステータス!$E$2,0)</f>
        <v>1451</v>
      </c>
      <c r="BO5" s="10">
        <v>0</v>
      </c>
      <c r="BP5" s="10">
        <v>1</v>
      </c>
      <c r="BQ5" s="10" t="s">
        <v>47</v>
      </c>
      <c r="BR5" s="10">
        <f ca="1">VLOOKUP(H5,ghosts_label!$A$2:$B$19,2,FALSE)</f>
        <v>1</v>
      </c>
    </row>
    <row r="6" spans="1:70" ht="26" customHeight="1" x14ac:dyDescent="0.15">
      <c r="A6" s="12">
        <v>1063</v>
      </c>
      <c r="B6" s="56" t="str">
        <f ca="1">VLOOKUP($A6,OFFSET([1]characters!$A$1,0,0,COUNTA([1]characters!$A:$A),MATCH(B$1,[1]characters!$1:$1,0)-MATCH($A$1,[1]characters!$1:$1,0)+1),MATCH(B$1,[1]characters!$1:$1,0)-MATCH($A$1,[1]characters!$1:$1,0)+1,FALSE)</f>
        <v>ティアマト</v>
      </c>
      <c r="C6" s="56" t="str">
        <f ca="1">VLOOKUP($A6,OFFSET([1]characters!$A$1,0,0,COUNTA([1]characters!$A:$A),MATCH(C$1,[1]characters!$1:$1,0)-MATCH($A$1,[1]characters!$1:$1,0)+1),MATCH(C$1,[1]characters!$1:$1,0)-MATCH($A$1,[1]characters!$1:$1,0)+1,FALSE)</f>
        <v>イザナミ_分岐</v>
      </c>
      <c r="D6" s="56" t="str">
        <f ca="1">VLOOKUP($A6,OFFSET([1]characters!$A$1,0,0,COUNTA([1]characters!$A:$A),MATCH(D$1,[1]characters!$1:$1,0)-MATCH($A$1,[1]characters!$1:$1,0)+1),MATCH(D$1,[1]characters!$1:$1,0)-MATCH($A$1,[1]characters!$1:$1,0)+1,FALSE)</f>
        <v>執行者</v>
      </c>
      <c r="E6" s="56" t="str">
        <f ca="1">VLOOKUP($A6,OFFSET([1]characters!$A$1,0,0,COUNTA([1]characters!$A:$A),MATCH(E$1,[1]characters!$1:$1,0)-MATCH($A$1,[1]characters!$1:$1,0)+1),MATCH(E$1,[1]characters!$1:$1,0)-MATCH($A$1,[1]characters!$1:$1,0)+1,FALSE)</f>
        <v>格好いい</v>
      </c>
      <c r="F6" s="56" t="str">
        <f ca="1">VLOOKUP($A6,OFFSET([1]characters!$A$1,0,0,COUNTA([1]characters!$A:$A),MATCH(F$1,[1]characters!$1:$1,0)-MATCH($A$1,[1]characters!$1:$1,0)+1),MATCH(F$1,[1]characters!$1:$1,0)-MATCH($A$1,[1]characters!$1:$1,0)+1,FALSE)</f>
        <v>男性</v>
      </c>
      <c r="G6" s="56">
        <f ca="1">VLOOKUP($A6,OFFSET([1]characters!$A$1,0,0,COUNTA([1]characters!$A:$A),MATCH(G$1,[1]characters!$1:$1,0)-MATCH($A$1,[1]characters!$1:$1,0)+1),MATCH(G$1,[1]characters!$1:$1,0)-MATCH($A$1,[1]characters!$1:$1,0)+1,FALSE)</f>
        <v>5</v>
      </c>
      <c r="H6" s="56" t="str">
        <f ca="1">VLOOKUP($A6,OFFSET([1]characters!$A$1,0,0,COUNTA([1]characters!$A:$A),MATCH(H$1,[1]characters!$1:$1,0)-MATCH($A$1,[1]characters!$1:$1,0)+1),MATCH(H$1,[1]characters!$1:$1,0)-MATCH($A$1,[1]characters!$1:$1,0)+1,FALSE)</f>
        <v>DropWizS</v>
      </c>
      <c r="I6" s="56" t="str">
        <f ca="1">VLOOKUP($A6,OFFSET([1]characters!$A$1,0,0,COUNTA([1]characters!$A:$A),MATCH(I$1,[1]characters!$1:$1,0)-MATCH($A$1,[1]characters!$1:$1,0)+1),MATCH(I$1,[1]characters!$1:$1,0)-MATCH($A$1,[1]characters!$1:$1,0)+1,FALSE)</f>
        <v>blue</v>
      </c>
      <c r="J6" s="11">
        <f ca="1">VLOOKUP(I6,[1]属性!$A:$E,2,FALSE)</f>
        <v>1</v>
      </c>
      <c r="K6" s="11">
        <f ca="1">VLOOKUP(I6,[1]属性!$A:$E,3,FALSE)</f>
        <v>0.98</v>
      </c>
      <c r="L6" s="11">
        <f ca="1">VLOOKUP(I6,[1]属性!$A:$E,4,FALSE)</f>
        <v>1</v>
      </c>
      <c r="M6" s="11">
        <f ca="1">VLOOKUP(I6,[1]属性!$A:$E,5,FALSE)</f>
        <v>1.02</v>
      </c>
      <c r="N6" s="11">
        <f ca="1">INDEX(コスト!$A$1:$I$21,MATCH(H6,コスト!$A$1:$A$21,FALSE),MATCH(G6,コスト!$A$1:$I$1,FALSE))</f>
        <v>30</v>
      </c>
      <c r="O6" s="11">
        <f ca="1">INDEX(レベル!$A$1:$I$22,MATCH(H6,レベル!$A$1:$A$22,FALSE),MATCH(G6,レベル!$A$1:$I$1,FALSE))</f>
        <v>80</v>
      </c>
      <c r="P6" s="47">
        <f t="shared" ca="1" si="11"/>
        <v>75</v>
      </c>
      <c r="Q6" s="56" t="str">
        <f ca="1">VLOOKUP($A6,OFFSET([1]characters!$A$1,0,0,COUNTA([1]characters!$A:$A),MATCH(Q$1,[1]characters!$1:$1,0)-MATCH($A$1,[1]characters!$1:$1,0)+1),MATCH(Q$1,[1]characters!$1:$1,0)-MATCH($A$1,[1]characters!$1:$1,0)+1,FALSE)</f>
        <v>technical</v>
      </c>
      <c r="R6" s="5" t="str">
        <f ca="1">VLOOKUP(Q6,[1]character_type_i18n!$A:$H,3,FALSE)</f>
        <v>テクニカルタイプ</v>
      </c>
      <c r="S6" s="11">
        <f ca="1">VLOOKUP(Q6,[1]character_type_i18n!$A:$H,4,FALSE)</f>
        <v>0.9</v>
      </c>
      <c r="T6" s="11">
        <f ca="1">VLOOKUP(Q6,[1]character_type_i18n!$A:$H,5,FALSE)</f>
        <v>0.9</v>
      </c>
      <c r="U6" s="11">
        <f ca="1">VLOOKUP(Q6,[1]character_type_i18n!$A:$H,6,FALSE)</f>
        <v>1</v>
      </c>
      <c r="V6" s="11">
        <f ca="1">VLOOKUP(Q6,[1]character_type_i18n!$A:$H,7,FALSE)</f>
        <v>0.9</v>
      </c>
      <c r="W6" s="56" t="str">
        <f ca="1">VLOOKUP($A6,OFFSET([1]characters!$A$1,0,0,COUNTA([1]characters!$A:$A),MATCH(W$1,[1]characters!$1:$1,0)-MATCH($A$1,[1]characters!$1:$1,0)+1),MATCH(W$1,[1]characters!$1:$1,0)-MATCH($A$1,[1]characters!$1:$1,0)+1,FALSE)</f>
        <v>god</v>
      </c>
      <c r="X6" s="5" t="str">
        <f ca="1">VLOOKUP(W6,[1]character_tribe_i18n!$A:$H,3,FALSE)</f>
        <v>ゴッド</v>
      </c>
      <c r="Y6" s="56" t="str">
        <f ca="1">VLOOKUP($A6,OFFSET([1]characters!$A$1,0,0,COUNTA([1]characters!$A:$A),MATCH(Y$1,[1]characters!$1:$1,0)-MATCH($A$1,[1]characters!$1:$1,0)+1),MATCH(Y$1,[1]characters!$1:$1,0)-MATCH($A$1,[1]characters!$1:$1,0)+1,FALSE)</f>
        <v>dragon</v>
      </c>
      <c r="Z6" s="5" t="str">
        <f ca="1">VLOOKUP(Y6,[1]character_tribe_i18n!$A:$H,3,FALSE)</f>
        <v>ドラゴン</v>
      </c>
      <c r="AA6" s="11">
        <f ca="1">VLOOKUP(W6,[1]character_tribe_i18n!$A:$H,4,FALSE)</f>
        <v>0.96</v>
      </c>
      <c r="AB6" s="11">
        <f ca="1">VLOOKUP(W6,[1]character_tribe_i18n!$A:$H,5,FALSE)</f>
        <v>1.02</v>
      </c>
      <c r="AC6" s="11">
        <f ca="1">VLOOKUP(W6,[1]character_tribe_i18n!$A:$H,6,FALSE)</f>
        <v>1</v>
      </c>
      <c r="AD6" s="11">
        <f ca="1">VLOOKUP(W6,[1]character_tribe_i18n!$A:$H,7,FALSE)</f>
        <v>1.02</v>
      </c>
      <c r="AE6" s="9">
        <f t="shared" ref="AE6" si="12">A7</f>
        <v>1064</v>
      </c>
      <c r="AF6" s="61" t="str">
        <f ca="1">IF(AE6="NULL","",VLOOKUP($AE6,OFFSET([1]characters!$A$1,0,0,COUNTA([1]characters!$A:$A),MATCH(AF$1,[1]characters!$1:$1,0)-MATCH($A$1,[1]characters!$1:$1,0)+1),MATCH(AF$1,[1]characters!$1:$1,0)-MATCH($A$1,[1]characters!$1:$1,0)+1,FALSE))</f>
        <v>混沌の猛飛沫 ティアマト</v>
      </c>
      <c r="AG6" s="5">
        <f t="shared" ca="1" si="0"/>
        <v>1063</v>
      </c>
      <c r="AH6" s="61" t="str">
        <f ca="1">VLOOKUP($AG6,OFFSET([1]characters!$A$1,0,0,COUNTA([1]characters!$A:$A),MATCH(AH$1,[1]characters!$1:$1,0)-MATCH($A$1,[1]characters!$1:$1,0)+1),MATCH(AH$1,[1]characters!$1:$1,0)-MATCH($A$1,[1]characters!$1:$1,0)+1,FALSE)</f>
        <v>ティアマト</v>
      </c>
      <c r="AI6" s="11">
        <f ca="1">IF(AE6="NULL","NULL",VLOOKUP(G6,ビット!$A$2:$B$7,2))</f>
        <v>200000</v>
      </c>
      <c r="AJ6" s="6">
        <v>2</v>
      </c>
      <c r="AK6" s="7" t="str">
        <f t="shared" si="9"/>
        <v>普通</v>
      </c>
      <c r="AL6" s="11" t="str">
        <f ca="1">INDEX(経験値!$A$1:$I$21,MATCH(H6,経験値!$A$1:$A$21,FALSE),MATCH(G6,経験値!$A$1:$I$1,FALSE))</f>
        <v>required_exp_200</v>
      </c>
      <c r="AM6" s="8">
        <f ca="1">VLOOKUP(G6,経験値!$A$28:$B$32,2)</f>
        <v>6400</v>
      </c>
      <c r="AN6" s="17">
        <f ca="1">VLOOKUP(G6,ビット!$G$2:$H$7,2)</f>
        <v>900</v>
      </c>
      <c r="AO6" s="44"/>
      <c r="AP6" s="66">
        <f t="shared" si="6"/>
        <v>1063</v>
      </c>
      <c r="AQ6" s="56" t="str">
        <f ca="1">VLOOKUP($AP6,OFFSET(unit_skills!$A$1,0,0,COUNTA(unit_skills!$A:$A),MATCH(AQ$1,unit_skills!$1:$1,0)-MATCH($AP$1,unit_skills!$1:$1,0)+1),MATCH(AQ$1,unit_skills!$1:$1,0)-MATCH($AP$1,unit_skills!$1:$1,0)+1,FALSE)</f>
        <v>紺沌・ドラゴニックアイズ</v>
      </c>
      <c r="AR6" s="56" t="str">
        <f ca="1">VLOOKUP($AP6,OFFSET(unit_skills!$A$1,0,0,COUNTA(unit_skills!$A:$A),MATCH(AR$1,unit_skills!$1:$1,0)-MATCH($AP$1,unit_skills!$1:$1,0)+1),MATCH(AR$1,unit_skills!$1:$1,0)-MATCH($AP$1,unit_skills!$1:$1,0)+1,FALSE)</f>
        <v>3ターン青・緑属性の攻撃力を特大UP+赤パネルを緑パネルに、黄パネルを青パネルに変換する</v>
      </c>
      <c r="AS6" s="56">
        <f ca="1">VLOOKUP($AP6,OFFSET(unit_skills!$A$1,0,0,COUNTA(unit_skills!$A:$A),MATCH(AS$1,unit_skills!$1:$1,0)-MATCH($AP$1,unit_skills!$1:$1,0)+1),MATCH(AS$1,unit_skills!$1:$1,0)-MATCH($AP$1,unit_skills!$1:$1,0)+1,FALSE)</f>
        <v>0</v>
      </c>
      <c r="AT6" s="40">
        <f t="shared" si="7"/>
        <v>1063</v>
      </c>
      <c r="AU6" s="56" t="str">
        <f ca="1">VLOOKUP($AT6,OFFSET(crash_skills!$A$1,0,0,COUNTA(crash_skills!$A:$A),MATCH(AU$1,crash_skills!$1:$1,0)-MATCH($AT$1,crash_skills!$1:$1,0)+1),MATCH(AU$1,crash_skills!$1:$1,0)-MATCH($AT$1,crash_skills!$1:$1,0)+1,FALSE)</f>
        <v>創世のテリブル・ウォーター</v>
      </c>
      <c r="AV6" s="56" t="str">
        <f ca="1">VLOOKUP($AT6,OFFSET(crash_skills!$A$1,0,0,COUNTA(crash_skills!$A:$A),MATCH(AV$1,crash_skills!$1:$1,0)-MATCH($AT$1,crash_skills!$1:$1,0)+1),MATCH(AV$1,crash_skills!$1:$1,0)-MATCH($AT$1,crash_skills!$1:$1,0)+1,FALSE)</f>
        <v>1体に大ダメージ_x000D_Unknownに効果特大</v>
      </c>
      <c r="AW6" s="56">
        <f ca="1">VLOOKUP($AT6,OFFSET(crash_skills!$A$1,0,0,COUNTA(crash_skills!$A:$A),MATCH(AW$1,crash_skills!$1:$1,0)-MATCH($AT$1,crash_skills!$1:$1,0)+1),MATCH(AW$1,crash_skills!$1:$1,0)-MATCH($AT$1,crash_skills!$1:$1,0)+1,FALSE)</f>
        <v>0</v>
      </c>
      <c r="AX6" s="57">
        <f ca="1">VLOOKUP($A6,OFFSET([1]characters!$A$1,0,0,COUNTA([1]characters!$A:$A),MATCH(AX$1,[1]characters!$1:$1,0)-MATCH($A$1,[1]characters!$1:$1,0)+1),MATCH(AX$1,[1]characters!$1:$1,0)-MATCH($A$1,[1]characters!$1:$1,0)+1,FALSE)</f>
        <v>3</v>
      </c>
      <c r="AY6" s="67">
        <v>1.1000000000000001</v>
      </c>
      <c r="AZ6" s="67">
        <v>1.27</v>
      </c>
      <c r="BA6" s="67">
        <v>0</v>
      </c>
      <c r="BB6" s="67">
        <v>1.05</v>
      </c>
      <c r="BC6" s="11">
        <f ca="1">INDEX('RC6SV'!$A$1:$G$21,MATCH(H6,'RC6SV'!$A$1:$A$21,FALSE),MATCH(G6,'RC6SV'!$A$1:$G$1,FALSE))</f>
        <v>9000</v>
      </c>
      <c r="BD6" s="47">
        <f t="shared" ca="1" si="10"/>
        <v>9000</v>
      </c>
      <c r="BE6" s="11">
        <f t="shared" ca="1" si="3"/>
        <v>0</v>
      </c>
      <c r="BF6" s="11">
        <f t="shared" ca="1" si="4"/>
        <v>1</v>
      </c>
      <c r="BG6" s="16">
        <f ca="1">IF($BE6&lt;=0,ROUND(BK6*0.5,0), ROUND($BE6*S6*AA6*J6*AY6*0.8*[1]ステータス!$B$2,0))</f>
        <v>2139</v>
      </c>
      <c r="BH6" s="16">
        <f ca="1">IF($BE6&lt;=0,ROUND(BL6*0.5,0), ROUND($BE6*T6*AB6*K6*AZ6*0.8*[1]ステータス!$C$2,0))</f>
        <v>1543</v>
      </c>
      <c r="BI6" s="16">
        <f ca="1">IF($BE6&lt;=0,ROUND(BM6*0.5,0), ROUND($BE6*U6*AC6*L6*BA6*0.8*[1]ステータス!$D$2,0))</f>
        <v>0</v>
      </c>
      <c r="BJ6" s="16">
        <f ca="1">IF($BE6&lt;=0,ROUND(BN6*0.5,0), ROUND($BE6*V6*AD6*M6*BB6*0.8*[1]ステータス!$E$2,0))</f>
        <v>1106</v>
      </c>
      <c r="BK6" s="11">
        <f ca="1">ROUND(BD6*S6*AA6*J6*AY6*[1]ステータス!$B$2,0)</f>
        <v>4277</v>
      </c>
      <c r="BL6" s="11">
        <f ca="1">ROUND(BD6*T6*AB6*K6*AZ6*[1]ステータス!$C$2,0)</f>
        <v>3085</v>
      </c>
      <c r="BM6" s="11">
        <f ca="1">ROUND(BD6*U6*AC6*L6*BA6*[1]ステータス!$D$2,0)</f>
        <v>0</v>
      </c>
      <c r="BN6" s="11">
        <f ca="1">ROUND(BD6*V6*AD6*M6*BB6*[1]ステータス!$E$2,0)</f>
        <v>2212</v>
      </c>
      <c r="BO6" s="10">
        <v>0</v>
      </c>
      <c r="BP6" s="10">
        <v>1</v>
      </c>
      <c r="BQ6" s="10" t="s">
        <v>47</v>
      </c>
      <c r="BR6" s="10">
        <f ca="1">VLOOKUP(H6,ghosts_label!$A$2:$B$19,2,FALSE)</f>
        <v>1</v>
      </c>
    </row>
    <row r="7" spans="1:70" ht="26" customHeight="1" x14ac:dyDescent="0.15">
      <c r="A7" s="12">
        <v>1064</v>
      </c>
      <c r="B7" s="56" t="str">
        <f ca="1">VLOOKUP($A7,OFFSET([1]characters!$A$1,0,0,COUNTA([1]characters!$A:$A),MATCH(B$1,[1]characters!$1:$1,0)-MATCH($A$1,[1]characters!$1:$1,0)+1),MATCH(B$1,[1]characters!$1:$1,0)-MATCH($A$1,[1]characters!$1:$1,0)+1,FALSE)</f>
        <v>混沌の猛飛沫 ティアマト</v>
      </c>
      <c r="C7" s="56" t="str">
        <f ca="1">VLOOKUP($A7,OFFSET([1]characters!$A$1,0,0,COUNTA([1]characters!$A:$A),MATCH(C$1,[1]characters!$1:$1,0)-MATCH($A$1,[1]characters!$1:$1,0)+1),MATCH(C$1,[1]characters!$1:$1,0)-MATCH($A$1,[1]characters!$1:$1,0)+1,FALSE)</f>
        <v>イザナミ_分岐</v>
      </c>
      <c r="D7" s="56" t="str">
        <f ca="1">VLOOKUP($A7,OFFSET([1]characters!$A$1,0,0,COUNTA([1]characters!$A:$A),MATCH(D$1,[1]characters!$1:$1,0)-MATCH($A$1,[1]characters!$1:$1,0)+1),MATCH(D$1,[1]characters!$1:$1,0)-MATCH($A$1,[1]characters!$1:$1,0)+1,FALSE)</f>
        <v>執行者</v>
      </c>
      <c r="E7" s="56" t="str">
        <f ca="1">VLOOKUP($A7,OFFSET([1]characters!$A$1,0,0,COUNTA([1]characters!$A:$A),MATCH(E$1,[1]characters!$1:$1,0)-MATCH($A$1,[1]characters!$1:$1,0)+1),MATCH(E$1,[1]characters!$1:$1,0)-MATCH($A$1,[1]characters!$1:$1,0)+1,FALSE)</f>
        <v>格好いい</v>
      </c>
      <c r="F7" s="56" t="str">
        <f ca="1">VLOOKUP($A7,OFFSET([1]characters!$A$1,0,0,COUNTA([1]characters!$A:$A),MATCH(F$1,[1]characters!$1:$1,0)-MATCH($A$1,[1]characters!$1:$1,0)+1),MATCH(F$1,[1]characters!$1:$1,0)-MATCH($A$1,[1]characters!$1:$1,0)+1,FALSE)</f>
        <v>男性</v>
      </c>
      <c r="G7" s="56">
        <f ca="1">VLOOKUP($A7,OFFSET([1]characters!$A$1,0,0,COUNTA([1]characters!$A:$A),MATCH(G$1,[1]characters!$1:$1,0)-MATCH($A$1,[1]characters!$1:$1,0)+1),MATCH(G$1,[1]characters!$1:$1,0)-MATCH($A$1,[1]characters!$1:$1,0)+1,FALSE)</f>
        <v>6</v>
      </c>
      <c r="H7" s="56" t="str">
        <f ca="1">VLOOKUP($A7,OFFSET([1]characters!$A$1,0,0,COUNTA([1]characters!$A:$A),MATCH(H$1,[1]characters!$1:$1,0)-MATCH($A$1,[1]characters!$1:$1,0)+1),MATCH(H$1,[1]characters!$1:$1,0)-MATCH($A$1,[1]characters!$1:$1,0)+1,FALSE)</f>
        <v>DropWizS</v>
      </c>
      <c r="I7" s="56" t="str">
        <f ca="1">VLOOKUP($A7,OFFSET([1]characters!$A$1,0,0,COUNTA([1]characters!$A:$A),MATCH(I$1,[1]characters!$1:$1,0)-MATCH($A$1,[1]characters!$1:$1,0)+1),MATCH(I$1,[1]characters!$1:$1,0)-MATCH($A$1,[1]characters!$1:$1,0)+1,FALSE)</f>
        <v>blue</v>
      </c>
      <c r="J7" s="11">
        <f ca="1">VLOOKUP(I7,[1]属性!$A:$E,2,FALSE)</f>
        <v>1</v>
      </c>
      <c r="K7" s="11">
        <f ca="1">VLOOKUP(I7,[1]属性!$A:$E,3,FALSE)</f>
        <v>0.98</v>
      </c>
      <c r="L7" s="11">
        <f ca="1">VLOOKUP(I7,[1]属性!$A:$E,4,FALSE)</f>
        <v>1</v>
      </c>
      <c r="M7" s="11">
        <f ca="1">VLOOKUP(I7,[1]属性!$A:$E,5,FALSE)</f>
        <v>1.02</v>
      </c>
      <c r="N7" s="11">
        <f ca="1">INDEX(コスト!$A$1:$I$21,MATCH(H7,コスト!$A$1:$A$21,FALSE),MATCH(G7,コスト!$A$1:$I$1,FALSE))</f>
        <v>45</v>
      </c>
      <c r="O7" s="11">
        <f ca="1">INDEX(レベル!$A$1:$I$22,MATCH(H7,レベル!$A$1:$A$22,FALSE),MATCH(G7,レベル!$A$1:$I$1,FALSE))</f>
        <v>99</v>
      </c>
      <c r="P7" s="47">
        <f t="shared" ca="1" si="11"/>
        <v>99</v>
      </c>
      <c r="Q7" s="56" t="str">
        <f ca="1">VLOOKUP($A7,OFFSET([1]characters!$A$1,0,0,COUNTA([1]characters!$A:$A),MATCH(Q$1,[1]characters!$1:$1,0)-MATCH($A$1,[1]characters!$1:$1,0)+1),MATCH(Q$1,[1]characters!$1:$1,0)-MATCH($A$1,[1]characters!$1:$1,0)+1,FALSE)</f>
        <v>technical</v>
      </c>
      <c r="R7" s="5" t="str">
        <f ca="1">VLOOKUP(Q7,[1]character_type_i18n!$A:$H,3,FALSE)</f>
        <v>テクニカルタイプ</v>
      </c>
      <c r="S7" s="11">
        <f ca="1">VLOOKUP(Q7,[1]character_type_i18n!$A:$H,4,FALSE)</f>
        <v>0.9</v>
      </c>
      <c r="T7" s="11">
        <f ca="1">VLOOKUP(Q7,[1]character_type_i18n!$A:$H,5,FALSE)</f>
        <v>0.9</v>
      </c>
      <c r="U7" s="11">
        <f ca="1">VLOOKUP(Q7,[1]character_type_i18n!$A:$H,6,FALSE)</f>
        <v>1</v>
      </c>
      <c r="V7" s="11">
        <f ca="1">VLOOKUP(Q7,[1]character_type_i18n!$A:$H,7,FALSE)</f>
        <v>0.9</v>
      </c>
      <c r="W7" s="56" t="str">
        <f ca="1">VLOOKUP($A7,OFFSET([1]characters!$A$1,0,0,COUNTA([1]characters!$A:$A),MATCH(W$1,[1]characters!$1:$1,0)-MATCH($A$1,[1]characters!$1:$1,0)+1),MATCH(W$1,[1]characters!$1:$1,0)-MATCH($A$1,[1]characters!$1:$1,0)+1,FALSE)</f>
        <v>god</v>
      </c>
      <c r="X7" s="5" t="str">
        <f ca="1">VLOOKUP(W7,[1]character_tribe_i18n!$A:$H,3,FALSE)</f>
        <v>ゴッド</v>
      </c>
      <c r="Y7" s="56" t="str">
        <f ca="1">VLOOKUP($A7,OFFSET([1]characters!$A$1,0,0,COUNTA([1]characters!$A:$A),MATCH(Y$1,[1]characters!$1:$1,0)-MATCH($A$1,[1]characters!$1:$1,0)+1),MATCH(Y$1,[1]characters!$1:$1,0)-MATCH($A$1,[1]characters!$1:$1,0)+1,FALSE)</f>
        <v>dragon</v>
      </c>
      <c r="Z7" s="5" t="str">
        <f ca="1">VLOOKUP(Y7,[1]character_tribe_i18n!$A:$H,3,FALSE)</f>
        <v>ドラゴン</v>
      </c>
      <c r="AA7" s="11">
        <f ca="1">VLOOKUP(W7,[1]character_tribe_i18n!$A:$H,4,FALSE)</f>
        <v>0.96</v>
      </c>
      <c r="AB7" s="11">
        <f ca="1">VLOOKUP(W7,[1]character_tribe_i18n!$A:$H,5,FALSE)</f>
        <v>1.02</v>
      </c>
      <c r="AC7" s="11">
        <f ca="1">VLOOKUP(W7,[1]character_tribe_i18n!$A:$H,6,FALSE)</f>
        <v>1</v>
      </c>
      <c r="AD7" s="11">
        <f ca="1">VLOOKUP(W7,[1]character_tribe_i18n!$A:$H,7,FALSE)</f>
        <v>1.02</v>
      </c>
      <c r="AE7" s="9" t="s">
        <v>183</v>
      </c>
      <c r="AF7" s="61" t="str">
        <f ca="1">IF(AE7="NULL","",VLOOKUP($AE7,OFFSET([1]characters!$A$1,0,0,COUNTA([1]characters!$A:$A),MATCH(AF$1,[1]characters!$1:$1,0)-MATCH($A$1,[1]characters!$1:$1,0)+1),MATCH(AF$1,[1]characters!$1:$1,0)-MATCH($A$1,[1]characters!$1:$1,0)+1,FALSE))</f>
        <v/>
      </c>
      <c r="AG7" s="5">
        <f t="shared" ca="1" si="0"/>
        <v>1063</v>
      </c>
      <c r="AH7" s="61" t="str">
        <f ca="1">VLOOKUP($AG7,OFFSET([1]characters!$A$1,0,0,COUNTA([1]characters!$A:$A),MATCH(AH$1,[1]characters!$1:$1,0)-MATCH($A$1,[1]characters!$1:$1,0)+1),MATCH(AH$1,[1]characters!$1:$1,0)-MATCH($A$1,[1]characters!$1:$1,0)+1,FALSE)</f>
        <v>ティアマト</v>
      </c>
      <c r="AI7" s="11" t="str">
        <f>IF(AE7="NULL","NULL",VLOOKUP(G7,ビット!$A$2:$B$7,2))</f>
        <v>NULL</v>
      </c>
      <c r="AJ7" s="6">
        <v>2</v>
      </c>
      <c r="AK7" s="7" t="str">
        <f t="shared" si="9"/>
        <v>普通</v>
      </c>
      <c r="AL7" s="11" t="str">
        <f ca="1">INDEX(経験値!$A$1:$I$21,MATCH(H7,経験値!$A$1:$A$21,FALSE),MATCH(G7,経験値!$A$1:$I$1,FALSE))</f>
        <v>required_exp_250</v>
      </c>
      <c r="AM7" s="8">
        <f ca="1">VLOOKUP(G7,経験値!$A$28:$B$32,2)</f>
        <v>6400</v>
      </c>
      <c r="AN7" s="17">
        <f ca="1">VLOOKUP(G7,ビット!$G$2:$H$7,2)</f>
        <v>900</v>
      </c>
      <c r="AO7" s="44"/>
      <c r="AP7" s="66">
        <f t="shared" si="6"/>
        <v>1064</v>
      </c>
      <c r="AQ7" s="56" t="str">
        <f ca="1">VLOOKUP($AP7,OFFSET(unit_skills!$A$1,0,0,COUNTA(unit_skills!$A:$A),MATCH(AQ$1,unit_skills!$1:$1,0)-MATCH($AP$1,unit_skills!$1:$1,0)+1),MATCH(AQ$1,unit_skills!$1:$1,0)-MATCH($AP$1,unit_skills!$1:$1,0)+1,FALSE)</f>
        <v>聖婚・ドラゴニックスマイル</v>
      </c>
      <c r="AR7" s="56" t="str">
        <f ca="1">VLOOKUP($AP7,OFFSET(unit_skills!$A$1,0,0,COUNTA(unit_skills!$A:$A),MATCH(AR$1,unit_skills!$1:$1,0)-MATCH($AP$1,unit_skills!$1:$1,0)+1),MATCH(AR$1,unit_skills!$1:$1,0)-MATCH($AP$1,unit_skills!$1:$1,0)+1,FALSE)</f>
        <v>3ターン青・緑属性の攻撃力を特大UP+赤パネルを緑パネルに、黄パネルを青パネルに変換する</v>
      </c>
      <c r="AS7" s="56">
        <f ca="1">VLOOKUP($AP7,OFFSET(unit_skills!$A$1,0,0,COUNTA(unit_skills!$A:$A),MATCH(AS$1,unit_skills!$1:$1,0)-MATCH($AP$1,unit_skills!$1:$1,0)+1),MATCH(AS$1,unit_skills!$1:$1,0)-MATCH($AP$1,unit_skills!$1:$1,0)+1,FALSE)</f>
        <v>0</v>
      </c>
      <c r="AT7" s="40">
        <f t="shared" si="7"/>
        <v>1064</v>
      </c>
      <c r="AU7" s="56" t="str">
        <f ca="1">VLOOKUP($AT7,OFFSET(crash_skills!$A$1,0,0,COUNTA(crash_skills!$A:$A),MATCH(AU$1,crash_skills!$1:$1,0)-MATCH($AT$1,crash_skills!$1:$1,0)+1),MATCH(AU$1,crash_skills!$1:$1,0)-MATCH($AT$1,crash_skills!$1:$1,0)+1,FALSE)</f>
        <v>創世のテリブル・ウォーター</v>
      </c>
      <c r="AV7" s="56" t="str">
        <f ca="1">VLOOKUP($AT7,OFFSET(crash_skills!$A$1,0,0,COUNTA(crash_skills!$A:$A),MATCH(AV$1,crash_skills!$1:$1,0)-MATCH($AT$1,crash_skills!$1:$1,0)+1),MATCH(AV$1,crash_skills!$1:$1,0)-MATCH($AT$1,crash_skills!$1:$1,0)+1,FALSE)</f>
        <v>1体に大ダメージ_x000D_Unknownに効果超大</v>
      </c>
      <c r="AW7" s="56">
        <f ca="1">VLOOKUP($AT7,OFFSET(crash_skills!$A$1,0,0,COUNTA(crash_skills!$A:$A),MATCH(AW$1,crash_skills!$1:$1,0)-MATCH($AT$1,crash_skills!$1:$1,0)+1),MATCH(AW$1,crash_skills!$1:$1,0)-MATCH($AT$1,crash_skills!$1:$1,0)+1,FALSE)</f>
        <v>0</v>
      </c>
      <c r="AX7" s="57">
        <f ca="1">VLOOKUP($A7,OFFSET([1]characters!$A$1,0,0,COUNTA([1]characters!$A:$A),MATCH(AX$1,[1]characters!$1:$1,0)-MATCH($A$1,[1]characters!$1:$1,0)+1),MATCH(AX$1,[1]characters!$1:$1,0)-MATCH($A$1,[1]characters!$1:$1,0)+1,FALSE)</f>
        <v>3</v>
      </c>
      <c r="AY7" s="67">
        <v>1.1000000000000001</v>
      </c>
      <c r="AZ7" s="67">
        <v>1.27</v>
      </c>
      <c r="BA7" s="67">
        <v>0</v>
      </c>
      <c r="BB7" s="67">
        <v>1.05</v>
      </c>
      <c r="BC7" s="11">
        <f ca="1">INDEX('RC6SV'!$A$1:$G$21,MATCH(H7,'RC6SV'!$A$1:$A$21,FALSE),MATCH(G7,'RC6SV'!$A$1:$G$1,FALSE))</f>
        <v>12000</v>
      </c>
      <c r="BD7" s="47">
        <f t="shared" ca="1" si="10"/>
        <v>12000</v>
      </c>
      <c r="BE7" s="11">
        <f t="shared" ca="1" si="3"/>
        <v>9000</v>
      </c>
      <c r="BF7" s="11">
        <f t="shared" ca="1" si="4"/>
        <v>1</v>
      </c>
      <c r="BG7" s="16">
        <f ca="1">IF($BE7&lt;=0,ROUND(BK7*0.5,0), ROUND($BE7*S7*AA7*J7*AY7*0.8*[1]ステータス!$B$2,0))</f>
        <v>3421</v>
      </c>
      <c r="BH7" s="16">
        <f ca="1">IF($BE7&lt;=0,ROUND(BL7*0.5,0), ROUND($BE7*T7*AB7*K7*AZ7*0.8*[1]ステータス!$C$2,0))</f>
        <v>2468</v>
      </c>
      <c r="BI7" s="16">
        <f ca="1">IF($BE7&lt;=0,ROUND(BM7*0.5,0), ROUND($BE7*U7*AC7*L7*BA7*0.8*[1]ステータス!$D$2,0))</f>
        <v>0</v>
      </c>
      <c r="BJ7" s="16">
        <f ca="1">IF($BE7&lt;=0,ROUND(BN7*0.5,0), ROUND($BE7*V7*AD7*M7*BB7*0.8*[1]ステータス!$E$2,0))</f>
        <v>1770</v>
      </c>
      <c r="BK7" s="11">
        <f ca="1">ROUND(BD7*S7*AA7*J7*AY7*[1]ステータス!$B$2,0)</f>
        <v>5702</v>
      </c>
      <c r="BL7" s="11">
        <f ca="1">ROUND(BD7*T7*AB7*K7*AZ7*[1]ステータス!$C$2,0)</f>
        <v>4113</v>
      </c>
      <c r="BM7" s="11">
        <f ca="1">ROUND(BD7*U7*AC7*L7*BA7*[1]ステータス!$D$2,0)</f>
        <v>0</v>
      </c>
      <c r="BN7" s="11">
        <f ca="1">ROUND(BD7*V7*AD7*M7*BB7*[1]ステータス!$E$2,0)</f>
        <v>2950</v>
      </c>
      <c r="BO7" s="10">
        <v>0</v>
      </c>
      <c r="BP7" s="10">
        <v>1</v>
      </c>
      <c r="BQ7" s="10" t="s">
        <v>47</v>
      </c>
      <c r="BR7" s="10">
        <f ca="1">VLOOKUP(H7,ghosts_label!$A$2:$B$19,2,FALSE)</f>
        <v>1</v>
      </c>
    </row>
    <row r="8" spans="1:70" ht="26" customHeight="1" x14ac:dyDescent="0.15">
      <c r="A8" s="12">
        <v>1065</v>
      </c>
      <c r="B8" s="56" t="str">
        <f ca="1">VLOOKUP($A8,OFFSET([1]characters!$A$1,0,0,COUNTA([1]characters!$A:$A),MATCH(B$1,[1]characters!$1:$1,0)-MATCH($A$1,[1]characters!$1:$1,0)+1),MATCH(B$1,[1]characters!$1:$1,0)-MATCH($A$1,[1]characters!$1:$1,0)+1,FALSE)</f>
        <v>ギルガメッシュ</v>
      </c>
      <c r="C8" s="56" t="str">
        <f ca="1">VLOOKUP($A8,OFFSET([1]characters!$A$1,0,0,COUNTA([1]characters!$A:$A),MATCH(C$1,[1]characters!$1:$1,0)-MATCH($A$1,[1]characters!$1:$1,0)+1),MATCH(C$1,[1]characters!$1:$1,0)-MATCH($A$1,[1]characters!$1:$1,0)+1,FALSE)</f>
        <v>イザナミ_分岐</v>
      </c>
      <c r="D8" s="56" t="str">
        <f ca="1">VLOOKUP($A8,OFFSET([1]characters!$A$1,0,0,COUNTA([1]characters!$A:$A),MATCH(D$1,[1]characters!$1:$1,0)-MATCH($A$1,[1]characters!$1:$1,0)+1),MATCH(D$1,[1]characters!$1:$1,0)-MATCH($A$1,[1]characters!$1:$1,0)+1,FALSE)</f>
        <v>執行者</v>
      </c>
      <c r="E8" s="56" t="str">
        <f ca="1">VLOOKUP($A8,OFFSET([1]characters!$A$1,0,0,COUNTA([1]characters!$A:$A),MATCH(E$1,[1]characters!$1:$1,0)-MATCH($A$1,[1]characters!$1:$1,0)+1),MATCH(E$1,[1]characters!$1:$1,0)-MATCH($A$1,[1]characters!$1:$1,0)+1,FALSE)</f>
        <v>格好いい</v>
      </c>
      <c r="F8" s="56" t="str">
        <f ca="1">VLOOKUP($A8,OFFSET([1]characters!$A$1,0,0,COUNTA([1]characters!$A:$A),MATCH(F$1,[1]characters!$1:$1,0)-MATCH($A$1,[1]characters!$1:$1,0)+1),MATCH(F$1,[1]characters!$1:$1,0)-MATCH($A$1,[1]characters!$1:$1,0)+1,FALSE)</f>
        <v>男性</v>
      </c>
      <c r="G8" s="56">
        <f ca="1">VLOOKUP($A8,OFFSET([1]characters!$A$1,0,0,COUNTA([1]characters!$A:$A),MATCH(G$1,[1]characters!$1:$1,0)-MATCH($A$1,[1]characters!$1:$1,0)+1),MATCH(G$1,[1]characters!$1:$1,0)-MATCH($A$1,[1]characters!$1:$1,0)+1,FALSE)</f>
        <v>5</v>
      </c>
      <c r="H8" s="56" t="str">
        <f ca="1">VLOOKUP($A8,OFFSET([1]characters!$A$1,0,0,COUNTA([1]characters!$A:$A),MATCH(H$1,[1]characters!$1:$1,0)-MATCH($A$1,[1]characters!$1:$1,0)+1),MATCH(H$1,[1]characters!$1:$1,0)-MATCH($A$1,[1]characters!$1:$1,0)+1,FALSE)</f>
        <v>DropWizSS</v>
      </c>
      <c r="I8" s="56" t="str">
        <f ca="1">VLOOKUP($A8,OFFSET([1]characters!$A$1,0,0,COUNTA([1]characters!$A:$A),MATCH(I$1,[1]characters!$1:$1,0)-MATCH($A$1,[1]characters!$1:$1,0)+1),MATCH(I$1,[1]characters!$1:$1,0)-MATCH($A$1,[1]characters!$1:$1,0)+1,FALSE)</f>
        <v>red</v>
      </c>
      <c r="J8" s="11">
        <f ca="1">VLOOKUP(I8,[1]属性!$A:$E,2,FALSE)</f>
        <v>1</v>
      </c>
      <c r="K8" s="11">
        <f ca="1">VLOOKUP(I8,[1]属性!$A:$E,3,FALSE)</f>
        <v>1.02</v>
      </c>
      <c r="L8" s="11">
        <f ca="1">VLOOKUP(I8,[1]属性!$A:$E,4,FALSE)</f>
        <v>1</v>
      </c>
      <c r="M8" s="11">
        <f ca="1">VLOOKUP(I8,[1]属性!$A:$E,5,FALSE)</f>
        <v>0.98</v>
      </c>
      <c r="N8" s="11">
        <f ca="1">INDEX(コスト!$A$1:$I$21,MATCH(H8,コスト!$A$1:$A$21,FALSE),MATCH(G8,コスト!$A$1:$I$1,FALSE))</f>
        <v>35</v>
      </c>
      <c r="O8" s="11">
        <f ca="1">INDEX(レベル!$A$1:$I$22,MATCH(H8,レベル!$A$1:$A$22,FALSE),MATCH(G8,レベル!$A$1:$I$1,FALSE))</f>
        <v>80</v>
      </c>
      <c r="P8" s="47">
        <f t="shared" ca="1" si="11"/>
        <v>75</v>
      </c>
      <c r="Q8" s="56" t="str">
        <f ca="1">VLOOKUP($A8,OFFSET([1]characters!$A$1,0,0,COUNTA([1]characters!$A:$A),MATCH(Q$1,[1]characters!$1:$1,0)-MATCH($A$1,[1]characters!$1:$1,0)+1),MATCH(Q$1,[1]characters!$1:$1,0)-MATCH($A$1,[1]characters!$1:$1,0)+1,FALSE)</f>
        <v>attack</v>
      </c>
      <c r="R8" s="5" t="str">
        <f ca="1">VLOOKUP(Q8,[1]character_type_i18n!$A:$H,3,FALSE)</f>
        <v>攻撃タイプ</v>
      </c>
      <c r="S8" s="11">
        <f ca="1">VLOOKUP(Q8,[1]character_type_i18n!$A:$H,4,FALSE)</f>
        <v>1</v>
      </c>
      <c r="T8" s="11">
        <f ca="1">VLOOKUP(Q8,[1]character_type_i18n!$A:$H,5,FALSE)</f>
        <v>1.33</v>
      </c>
      <c r="U8" s="11">
        <f ca="1">VLOOKUP(Q8,[1]character_type_i18n!$A:$H,6,FALSE)</f>
        <v>1</v>
      </c>
      <c r="V8" s="11">
        <f ca="1">VLOOKUP(Q8,[1]character_type_i18n!$A:$H,7,FALSE)</f>
        <v>0.67</v>
      </c>
      <c r="W8" s="56" t="str">
        <f ca="1">VLOOKUP($A8,OFFSET([1]characters!$A$1,0,0,COUNTA([1]characters!$A:$A),MATCH(W$1,[1]characters!$1:$1,0)-MATCH($A$1,[1]characters!$1:$1,0)+1),MATCH(W$1,[1]characters!$1:$1,0)-MATCH($A$1,[1]characters!$1:$1,0)+1,FALSE)</f>
        <v>god</v>
      </c>
      <c r="X8" s="5" t="str">
        <f ca="1">VLOOKUP(W8,[1]character_tribe_i18n!$A:$H,3,FALSE)</f>
        <v>ゴッド</v>
      </c>
      <c r="Y8" s="56" t="str">
        <f ca="1">VLOOKUP($A8,OFFSET([1]characters!$A$1,0,0,COUNTA([1]characters!$A:$A),MATCH(Y$1,[1]characters!$1:$1,0)-MATCH($A$1,[1]characters!$1:$1,0)+1),MATCH(Y$1,[1]characters!$1:$1,0)-MATCH($A$1,[1]characters!$1:$1,0)+1,FALSE)</f>
        <v>human</v>
      </c>
      <c r="Z8" s="5" t="str">
        <f ca="1">VLOOKUP(Y8,[1]character_tribe_i18n!$A:$H,3,FALSE)</f>
        <v>ヒューマン</v>
      </c>
      <c r="AA8" s="11">
        <f ca="1">VLOOKUP(W8,[1]character_tribe_i18n!$A:$H,4,FALSE)</f>
        <v>0.96</v>
      </c>
      <c r="AB8" s="11">
        <f ca="1">VLOOKUP(W8,[1]character_tribe_i18n!$A:$H,5,FALSE)</f>
        <v>1.02</v>
      </c>
      <c r="AC8" s="11">
        <f ca="1">VLOOKUP(W8,[1]character_tribe_i18n!$A:$H,6,FALSE)</f>
        <v>1</v>
      </c>
      <c r="AD8" s="11">
        <f ca="1">VLOOKUP(W8,[1]character_tribe_i18n!$A:$H,7,FALSE)</f>
        <v>1.02</v>
      </c>
      <c r="AE8" s="9">
        <f t="shared" ref="AE8" si="13">A9</f>
        <v>1066</v>
      </c>
      <c r="AF8" s="61" t="str">
        <f ca="1">IF(AE8="NULL","",VLOOKUP($AE8,OFFSET([1]characters!$A$1,0,0,COUNTA([1]characters!$A:$A),MATCH(AF$1,[1]characters!$1:$1,0)-MATCH($A$1,[1]characters!$1:$1,0)+1),MATCH(AF$1,[1]characters!$1:$1,0)-MATCH($A$1,[1]characters!$1:$1,0)+1,FALSE))</f>
        <v>放縦の序獅子 ギルガメッシュ</v>
      </c>
      <c r="AG8" s="5">
        <f t="shared" ca="1" si="0"/>
        <v>1065</v>
      </c>
      <c r="AH8" s="61" t="str">
        <f ca="1">VLOOKUP($AG8,OFFSET([1]characters!$A$1,0,0,COUNTA([1]characters!$A:$A),MATCH(AH$1,[1]characters!$1:$1,0)-MATCH($A$1,[1]characters!$1:$1,0)+1),MATCH(AH$1,[1]characters!$1:$1,0)-MATCH($A$1,[1]characters!$1:$1,0)+1,FALSE)</f>
        <v>ギルガメッシュ</v>
      </c>
      <c r="AI8" s="11">
        <f ca="1">IF(AE8="NULL","NULL",VLOOKUP(G8,ビット!$A$2:$B$7,2))</f>
        <v>200000</v>
      </c>
      <c r="AJ8" s="6">
        <v>2</v>
      </c>
      <c r="AK8" s="7" t="str">
        <f t="shared" si="9"/>
        <v>普通</v>
      </c>
      <c r="AL8" s="11" t="str">
        <f ca="1">INDEX(経験値!$A$1:$I$21,MATCH(H8,経験値!$A$1:$A$21,FALSE),MATCH(G8,経験値!$A$1:$I$1,FALSE))</f>
        <v>required_exp_200</v>
      </c>
      <c r="AM8" s="8">
        <f ca="1">VLOOKUP(G8,経験値!$A$28:$B$32,2)</f>
        <v>6400</v>
      </c>
      <c r="AN8" s="17">
        <f ca="1">VLOOKUP(G8,ビット!$G$2:$H$7,2)</f>
        <v>900</v>
      </c>
      <c r="AO8" s="44"/>
      <c r="AP8" s="66">
        <f t="shared" si="6"/>
        <v>1065</v>
      </c>
      <c r="AQ8" s="56" t="str">
        <f ca="1">VLOOKUP($AP8,OFFSET(unit_skills!$A$1,0,0,COUNTA(unit_skills!$A:$A),MATCH(AQ$1,unit_skills!$1:$1,0)-MATCH($AP$1,unit_skills!$1:$1,0)+1),MATCH(AQ$1,unit_skills!$1:$1,0)-MATCH($AP$1,unit_skills!$1:$1,0)+1,FALSE)</f>
        <v>強制ステイル・メイト</v>
      </c>
      <c r="AR8" s="56" t="str">
        <f ca="1">VLOOKUP($AP8,OFFSET(unit_skills!$A$1,0,0,COUNTA(unit_skills!$A:$A),MATCH(AR$1,unit_skills!$1:$1,0)-MATCH($AP$1,unit_skills!$1:$1,0)+1),MATCH(AR$1,unit_skills!$1:$1,0)-MATCH($AP$1,unit_skills!$1:$1,0)+1,FALSE)</f>
        <v>ランダムでパネルをSCパネル(特大)に1つ、SCパネル(大)に1つ、Cパネル(大)に4つ変換</v>
      </c>
      <c r="AS8" s="56">
        <f ca="1">VLOOKUP($AP8,OFFSET(unit_skills!$A$1,0,0,COUNTA(unit_skills!$A:$A),MATCH(AS$1,unit_skills!$1:$1,0)-MATCH($AP$1,unit_skills!$1:$1,0)+1),MATCH(AS$1,unit_skills!$1:$1,0)-MATCH($AP$1,unit_skills!$1:$1,0)+1,FALSE)</f>
        <v>0</v>
      </c>
      <c r="AT8" s="40">
        <f t="shared" si="7"/>
        <v>1065</v>
      </c>
      <c r="AU8" s="56" t="str">
        <f ca="1">VLOOKUP($AT8,OFFSET(crash_skills!$A$1,0,0,COUNTA(crash_skills!$A:$A),MATCH(AU$1,crash_skills!$1:$1,0)-MATCH($AT$1,crash_skills!$1:$1,0)+1),MATCH(AU$1,crash_skills!$1:$1,0)-MATCH($AT$1,crash_skills!$1:$1,0)+1,FALSE)</f>
        <v>キングス・コマンド</v>
      </c>
      <c r="AV8" s="56" t="str">
        <f ca="1">VLOOKUP($AT8,OFFSET(crash_skills!$A$1,0,0,COUNTA(crash_skills!$A:$A),MATCH(AV$1,crash_skills!$1:$1,0)-MATCH($AT$1,crash_skills!$1:$1,0)+1),MATCH(AV$1,crash_skills!$1:$1,0)-MATCH($AT$1,crash_skills!$1:$1,0)+1,FALSE)</f>
        <v>1体に特大ダメージ</v>
      </c>
      <c r="AW8" s="56">
        <f ca="1">VLOOKUP($AT8,OFFSET(crash_skills!$A$1,0,0,COUNTA(crash_skills!$A:$A),MATCH(AW$1,crash_skills!$1:$1,0)-MATCH($AT$1,crash_skills!$1:$1,0)+1),MATCH(AW$1,crash_skills!$1:$1,0)-MATCH($AT$1,crash_skills!$1:$1,0)+1,FALSE)</f>
        <v>0</v>
      </c>
      <c r="AX8" s="57">
        <f ca="1">VLOOKUP($A8,OFFSET([1]characters!$A$1,0,0,COUNTA([1]characters!$A:$A),MATCH(AX$1,[1]characters!$1:$1,0)-MATCH($A$1,[1]characters!$1:$1,0)+1),MATCH(AX$1,[1]characters!$1:$1,0)-MATCH($A$1,[1]characters!$1:$1,0)+1,FALSE)</f>
        <v>3</v>
      </c>
      <c r="AY8" s="67">
        <v>1.03</v>
      </c>
      <c r="AZ8" s="67">
        <v>1.02</v>
      </c>
      <c r="BA8" s="67">
        <v>0</v>
      </c>
      <c r="BB8" s="67">
        <v>0.96</v>
      </c>
      <c r="BC8" s="11">
        <f ca="1">INDEX('RC6SV'!$A$1:$G$21,MATCH(H8,'RC6SV'!$A$1:$A$21,FALSE),MATCH(G8,'RC6SV'!$A$1:$G$1,FALSE))</f>
        <v>9500</v>
      </c>
      <c r="BD8" s="47">
        <f t="shared" ca="1" si="10"/>
        <v>9500</v>
      </c>
      <c r="BE8" s="11">
        <f t="shared" ca="1" si="3"/>
        <v>0</v>
      </c>
      <c r="BF8" s="11">
        <f t="shared" ca="1" si="4"/>
        <v>1</v>
      </c>
      <c r="BG8" s="16">
        <f ca="1">IF($BE8&lt;=0,ROUND(BK8*0.5,0), ROUND($BE8*S8*AA8*J8*AY8*0.8*[1]ステータス!$B$2,0))</f>
        <v>2349</v>
      </c>
      <c r="BH8" s="16">
        <f ca="1">IF($BE8&lt;=0,ROUND(BL8*0.5,0), ROUND($BE8*T8*AB8*K8*AZ8*0.8*[1]ステータス!$C$2,0))</f>
        <v>2012</v>
      </c>
      <c r="BI8" s="16">
        <f ca="1">IF($BE8&lt;=0,ROUND(BM8*0.5,0), ROUND($BE8*U8*AC8*L8*BA8*0.8*[1]ステータス!$D$2,0))</f>
        <v>0</v>
      </c>
      <c r="BJ8" s="16">
        <f ca="1">IF($BE8&lt;=0,ROUND(BN8*0.5,0), ROUND($BE8*V8*AD8*M8*BB8*0.8*[1]ステータス!$E$2,0))</f>
        <v>764</v>
      </c>
      <c r="BK8" s="11">
        <f ca="1">ROUND(BD8*S8*AA8*J8*AY8*[1]ステータス!$B$2,0)</f>
        <v>4697</v>
      </c>
      <c r="BL8" s="11">
        <f ca="1">ROUND(BD8*T8*AB8*K8*AZ8*[1]ステータス!$C$2,0)</f>
        <v>4023</v>
      </c>
      <c r="BM8" s="11">
        <f ca="1">ROUND(BD8*U8*AC8*L8*BA8*[1]ステータス!$D$2,0)</f>
        <v>0</v>
      </c>
      <c r="BN8" s="11">
        <f ca="1">ROUND(BD8*V8*AD8*M8*BB8*[1]ステータス!$E$2,0)</f>
        <v>1527</v>
      </c>
      <c r="BO8" s="10">
        <v>0</v>
      </c>
      <c r="BP8" s="10">
        <v>1</v>
      </c>
      <c r="BQ8" s="10" t="s">
        <v>47</v>
      </c>
      <c r="BR8" s="10">
        <f ca="1">VLOOKUP(H8,ghosts_label!$A$2:$B$19,2,FALSE)</f>
        <v>1</v>
      </c>
    </row>
    <row r="9" spans="1:70" ht="26" customHeight="1" x14ac:dyDescent="0.15">
      <c r="A9" s="12">
        <v>1066</v>
      </c>
      <c r="B9" s="56" t="str">
        <f ca="1">VLOOKUP($A9,OFFSET([1]characters!$A$1,0,0,COUNTA([1]characters!$A:$A),MATCH(B$1,[1]characters!$1:$1,0)-MATCH($A$1,[1]characters!$1:$1,0)+1),MATCH(B$1,[1]characters!$1:$1,0)-MATCH($A$1,[1]characters!$1:$1,0)+1,FALSE)</f>
        <v>放縦の序獅子 ギルガメッシュ</v>
      </c>
      <c r="C9" s="56" t="str">
        <f ca="1">VLOOKUP($A9,OFFSET([1]characters!$A$1,0,0,COUNTA([1]characters!$A:$A),MATCH(C$1,[1]characters!$1:$1,0)-MATCH($A$1,[1]characters!$1:$1,0)+1),MATCH(C$1,[1]characters!$1:$1,0)-MATCH($A$1,[1]characters!$1:$1,0)+1,FALSE)</f>
        <v>イザナミ_分岐</v>
      </c>
      <c r="D9" s="56" t="str">
        <f ca="1">VLOOKUP($A9,OFFSET([1]characters!$A$1,0,0,COUNTA([1]characters!$A:$A),MATCH(D$1,[1]characters!$1:$1,0)-MATCH($A$1,[1]characters!$1:$1,0)+1),MATCH(D$1,[1]characters!$1:$1,0)-MATCH($A$1,[1]characters!$1:$1,0)+1,FALSE)</f>
        <v>執行者</v>
      </c>
      <c r="E9" s="56" t="str">
        <f ca="1">VLOOKUP($A9,OFFSET([1]characters!$A$1,0,0,COUNTA([1]characters!$A:$A),MATCH(E$1,[1]characters!$1:$1,0)-MATCH($A$1,[1]characters!$1:$1,0)+1),MATCH(E$1,[1]characters!$1:$1,0)-MATCH($A$1,[1]characters!$1:$1,0)+1,FALSE)</f>
        <v>格好いい</v>
      </c>
      <c r="F9" s="56" t="str">
        <f ca="1">VLOOKUP($A9,OFFSET([1]characters!$A$1,0,0,COUNTA([1]characters!$A:$A),MATCH(F$1,[1]characters!$1:$1,0)-MATCH($A$1,[1]characters!$1:$1,0)+1),MATCH(F$1,[1]characters!$1:$1,0)-MATCH($A$1,[1]characters!$1:$1,0)+1,FALSE)</f>
        <v>男性</v>
      </c>
      <c r="G9" s="56">
        <f ca="1">VLOOKUP($A9,OFFSET([1]characters!$A$1,0,0,COUNTA([1]characters!$A:$A),MATCH(G$1,[1]characters!$1:$1,0)-MATCH($A$1,[1]characters!$1:$1,0)+1),MATCH(G$1,[1]characters!$1:$1,0)-MATCH($A$1,[1]characters!$1:$1,0)+1,FALSE)</f>
        <v>6</v>
      </c>
      <c r="H9" s="56" t="str">
        <f ca="1">VLOOKUP($A9,OFFSET([1]characters!$A$1,0,0,COUNTA([1]characters!$A:$A),MATCH(H$1,[1]characters!$1:$1,0)-MATCH($A$1,[1]characters!$1:$1,0)+1),MATCH(H$1,[1]characters!$1:$1,0)-MATCH($A$1,[1]characters!$1:$1,0)+1,FALSE)</f>
        <v>DropWizSS</v>
      </c>
      <c r="I9" s="56" t="str">
        <f ca="1">VLOOKUP($A9,OFFSET([1]characters!$A$1,0,0,COUNTA([1]characters!$A:$A),MATCH(I$1,[1]characters!$1:$1,0)-MATCH($A$1,[1]characters!$1:$1,0)+1),MATCH(I$1,[1]characters!$1:$1,0)-MATCH($A$1,[1]characters!$1:$1,0)+1,FALSE)</f>
        <v>red</v>
      </c>
      <c r="J9" s="11">
        <f ca="1">VLOOKUP(I9,[1]属性!$A:$E,2,FALSE)</f>
        <v>1</v>
      </c>
      <c r="K9" s="11">
        <f ca="1">VLOOKUP(I9,[1]属性!$A:$E,3,FALSE)</f>
        <v>1.02</v>
      </c>
      <c r="L9" s="11">
        <f ca="1">VLOOKUP(I9,[1]属性!$A:$E,4,FALSE)</f>
        <v>1</v>
      </c>
      <c r="M9" s="11">
        <f ca="1">VLOOKUP(I9,[1]属性!$A:$E,5,FALSE)</f>
        <v>0.98</v>
      </c>
      <c r="N9" s="11">
        <f ca="1">INDEX(コスト!$A$1:$I$21,MATCH(H9,コスト!$A$1:$A$21,FALSE),MATCH(G9,コスト!$A$1:$I$1,FALSE))</f>
        <v>50</v>
      </c>
      <c r="O9" s="11">
        <f ca="1">INDEX(レベル!$A$1:$I$22,MATCH(H9,レベル!$A$1:$A$22,FALSE),MATCH(G9,レベル!$A$1:$I$1,FALSE))</f>
        <v>99</v>
      </c>
      <c r="P9" s="47">
        <f t="shared" ca="1" si="11"/>
        <v>99</v>
      </c>
      <c r="Q9" s="56" t="str">
        <f ca="1">VLOOKUP($A9,OFFSET([1]characters!$A$1,0,0,COUNTA([1]characters!$A:$A),MATCH(Q$1,[1]characters!$1:$1,0)-MATCH($A$1,[1]characters!$1:$1,0)+1),MATCH(Q$1,[1]characters!$1:$1,0)-MATCH($A$1,[1]characters!$1:$1,0)+1,FALSE)</f>
        <v>attack</v>
      </c>
      <c r="R9" s="5" t="str">
        <f ca="1">VLOOKUP(Q9,[1]character_type_i18n!$A:$H,3,FALSE)</f>
        <v>攻撃タイプ</v>
      </c>
      <c r="S9" s="11">
        <f ca="1">VLOOKUP(Q9,[1]character_type_i18n!$A:$H,4,FALSE)</f>
        <v>1</v>
      </c>
      <c r="T9" s="11">
        <f ca="1">VLOOKUP(Q9,[1]character_type_i18n!$A:$H,5,FALSE)</f>
        <v>1.33</v>
      </c>
      <c r="U9" s="11">
        <f ca="1">VLOOKUP(Q9,[1]character_type_i18n!$A:$H,6,FALSE)</f>
        <v>1</v>
      </c>
      <c r="V9" s="11">
        <f ca="1">VLOOKUP(Q9,[1]character_type_i18n!$A:$H,7,FALSE)</f>
        <v>0.67</v>
      </c>
      <c r="W9" s="56" t="str">
        <f ca="1">VLOOKUP($A9,OFFSET([1]characters!$A$1,0,0,COUNTA([1]characters!$A:$A),MATCH(W$1,[1]characters!$1:$1,0)-MATCH($A$1,[1]characters!$1:$1,0)+1),MATCH(W$1,[1]characters!$1:$1,0)-MATCH($A$1,[1]characters!$1:$1,0)+1,FALSE)</f>
        <v>god</v>
      </c>
      <c r="X9" s="5" t="str">
        <f ca="1">VLOOKUP(W9,[1]character_tribe_i18n!$A:$H,3,FALSE)</f>
        <v>ゴッド</v>
      </c>
      <c r="Y9" s="56" t="str">
        <f ca="1">VLOOKUP($A9,OFFSET([1]characters!$A$1,0,0,COUNTA([1]characters!$A:$A),MATCH(Y$1,[1]characters!$1:$1,0)-MATCH($A$1,[1]characters!$1:$1,0)+1),MATCH(Y$1,[1]characters!$1:$1,0)-MATCH($A$1,[1]characters!$1:$1,0)+1,FALSE)</f>
        <v>human</v>
      </c>
      <c r="Z9" s="5" t="str">
        <f ca="1">VLOOKUP(Y9,[1]character_tribe_i18n!$A:$H,3,FALSE)</f>
        <v>ヒューマン</v>
      </c>
      <c r="AA9" s="11">
        <f ca="1">VLOOKUP(W9,[1]character_tribe_i18n!$A:$H,4,FALSE)</f>
        <v>0.96</v>
      </c>
      <c r="AB9" s="11">
        <f ca="1">VLOOKUP(W9,[1]character_tribe_i18n!$A:$H,5,FALSE)</f>
        <v>1.02</v>
      </c>
      <c r="AC9" s="11">
        <f ca="1">VLOOKUP(W9,[1]character_tribe_i18n!$A:$H,6,FALSE)</f>
        <v>1</v>
      </c>
      <c r="AD9" s="11">
        <f ca="1">VLOOKUP(W9,[1]character_tribe_i18n!$A:$H,7,FALSE)</f>
        <v>1.02</v>
      </c>
      <c r="AE9" s="9" t="s">
        <v>183</v>
      </c>
      <c r="AF9" s="61" t="str">
        <f ca="1">IF(AE9="NULL","",VLOOKUP($AE9,OFFSET([1]characters!$A$1,0,0,COUNTA([1]characters!$A:$A),MATCH(AF$1,[1]characters!$1:$1,0)-MATCH($A$1,[1]characters!$1:$1,0)+1),MATCH(AF$1,[1]characters!$1:$1,0)-MATCH($A$1,[1]characters!$1:$1,0)+1,FALSE))</f>
        <v/>
      </c>
      <c r="AG9" s="5">
        <f t="shared" ca="1" si="0"/>
        <v>1065</v>
      </c>
      <c r="AH9" s="61" t="str">
        <f ca="1">VLOOKUP($AG9,OFFSET([1]characters!$A$1,0,0,COUNTA([1]characters!$A:$A),MATCH(AH$1,[1]characters!$1:$1,0)-MATCH($A$1,[1]characters!$1:$1,0)+1),MATCH(AH$1,[1]characters!$1:$1,0)-MATCH($A$1,[1]characters!$1:$1,0)+1,FALSE)</f>
        <v>ギルガメッシュ</v>
      </c>
      <c r="AI9" s="11" t="str">
        <f>IF(AE9="NULL","NULL",VLOOKUP(G9,ビット!$A$2:$B$7,2))</f>
        <v>NULL</v>
      </c>
      <c r="AJ9" s="6">
        <v>2</v>
      </c>
      <c r="AK9" s="7" t="str">
        <f t="shared" si="9"/>
        <v>普通</v>
      </c>
      <c r="AL9" s="11" t="str">
        <f ca="1">INDEX(経験値!$A$1:$I$21,MATCH(H9,経験値!$A$1:$A$21,FALSE),MATCH(G9,経験値!$A$1:$I$1,FALSE))</f>
        <v>required_exp_250</v>
      </c>
      <c r="AM9" s="8">
        <f ca="1">VLOOKUP(G9,経験値!$A$28:$B$32,2)</f>
        <v>6400</v>
      </c>
      <c r="AN9" s="17">
        <f ca="1">VLOOKUP(G9,ビット!$G$2:$H$7,2)</f>
        <v>900</v>
      </c>
      <c r="AO9" s="44"/>
      <c r="AP9" s="66">
        <f t="shared" si="6"/>
        <v>1066</v>
      </c>
      <c r="AQ9" s="56" t="str">
        <f ca="1">VLOOKUP($AP9,OFFSET(unit_skills!$A$1,0,0,COUNTA(unit_skills!$A:$A),MATCH(AQ$1,unit_skills!$1:$1,0)-MATCH($AP$1,unit_skills!$1:$1,0)+1),MATCH(AQ$1,unit_skills!$1:$1,0)-MATCH($AP$1,unit_skills!$1:$1,0)+1,FALSE)</f>
        <v>凶性スマザード・メイト</v>
      </c>
      <c r="AR9" s="56" t="str">
        <f ca="1">VLOOKUP($AP9,OFFSET(unit_skills!$A$1,0,0,COUNTA(unit_skills!$A:$A),MATCH(AR$1,unit_skills!$1:$1,0)-MATCH($AP$1,unit_skills!$1:$1,0)+1),MATCH(AR$1,unit_skills!$1:$1,0)-MATCH($AP$1,unit_skills!$1:$1,0)+1,FALSE)</f>
        <v>ランダムでパネルをSCパネル(特大)に1つ、SCパネル(大)に1つ、Cパネル(大)に4つ変換</v>
      </c>
      <c r="AS9" s="56">
        <f ca="1">VLOOKUP($AP9,OFFSET(unit_skills!$A$1,0,0,COUNTA(unit_skills!$A:$A),MATCH(AS$1,unit_skills!$1:$1,0)-MATCH($AP$1,unit_skills!$1:$1,0)+1),MATCH(AS$1,unit_skills!$1:$1,0)-MATCH($AP$1,unit_skills!$1:$1,0)+1,FALSE)</f>
        <v>0</v>
      </c>
      <c r="AT9" s="40">
        <f t="shared" si="7"/>
        <v>1066</v>
      </c>
      <c r="AU9" s="56" t="str">
        <f ca="1">VLOOKUP($AT9,OFFSET(crash_skills!$A$1,0,0,COUNTA(crash_skills!$A:$A),MATCH(AU$1,crash_skills!$1:$1,0)-MATCH($AT$1,crash_skills!$1:$1,0)+1),MATCH(AU$1,crash_skills!$1:$1,0)-MATCH($AT$1,crash_skills!$1:$1,0)+1,FALSE)</f>
        <v>キングス・コマンド</v>
      </c>
      <c r="AV9" s="56" t="str">
        <f ca="1">VLOOKUP($AT9,OFFSET(crash_skills!$A$1,0,0,COUNTA(crash_skills!$A:$A),MATCH(AV$1,crash_skills!$1:$1,0)-MATCH($AT$1,crash_skills!$1:$1,0)+1),MATCH(AV$1,crash_skills!$1:$1,0)-MATCH($AT$1,crash_skills!$1:$1,0)+1,FALSE)</f>
        <v>1体に特大ダメージ</v>
      </c>
      <c r="AW9" s="56">
        <f ca="1">VLOOKUP($AT9,OFFSET(crash_skills!$A$1,0,0,COUNTA(crash_skills!$A:$A),MATCH(AW$1,crash_skills!$1:$1,0)-MATCH($AT$1,crash_skills!$1:$1,0)+1),MATCH(AW$1,crash_skills!$1:$1,0)-MATCH($AT$1,crash_skills!$1:$1,0)+1,FALSE)</f>
        <v>0</v>
      </c>
      <c r="AX9" s="57">
        <f ca="1">VLOOKUP($A9,OFFSET([1]characters!$A$1,0,0,COUNTA([1]characters!$A:$A),MATCH(AX$1,[1]characters!$1:$1,0)-MATCH($A$1,[1]characters!$1:$1,0)+1),MATCH(AX$1,[1]characters!$1:$1,0)-MATCH($A$1,[1]characters!$1:$1,0)+1,FALSE)</f>
        <v>3</v>
      </c>
      <c r="AY9" s="67">
        <v>1.03</v>
      </c>
      <c r="AZ9" s="67">
        <v>1.02</v>
      </c>
      <c r="BA9" s="67">
        <v>0</v>
      </c>
      <c r="BB9" s="67">
        <v>0.96</v>
      </c>
      <c r="BC9" s="11">
        <f ca="1">INDEX('RC6SV'!$A$1:$G$21,MATCH(H9,'RC6SV'!$A$1:$A$21,FALSE),MATCH(G9,'RC6SV'!$A$1:$G$1,FALSE))</f>
        <v>13000</v>
      </c>
      <c r="BD9" s="47">
        <f t="shared" ca="1" si="10"/>
        <v>13000</v>
      </c>
      <c r="BE9" s="11">
        <f t="shared" ca="1" si="3"/>
        <v>9500</v>
      </c>
      <c r="BF9" s="11">
        <f t="shared" ca="1" si="4"/>
        <v>1</v>
      </c>
      <c r="BG9" s="16">
        <f ca="1">IF($BE9&lt;=0,ROUND(BK9*0.5,0), ROUND($BE9*S9*AA9*J9*AY9*0.8*[1]ステータス!$B$2,0))</f>
        <v>3757</v>
      </c>
      <c r="BH9" s="16">
        <f ca="1">IF($BE9&lt;=0,ROUND(BL9*0.5,0), ROUND($BE9*T9*AB9*K9*AZ9*0.8*[1]ステータス!$C$2,0))</f>
        <v>3218</v>
      </c>
      <c r="BI9" s="16">
        <f ca="1">IF($BE9&lt;=0,ROUND(BM9*0.5,0), ROUND($BE9*U9*AC9*L9*BA9*0.8*[1]ステータス!$D$2,0))</f>
        <v>0</v>
      </c>
      <c r="BJ9" s="16">
        <f ca="1">IF($BE9&lt;=0,ROUND(BN9*0.5,0), ROUND($BE9*V9*AD9*M9*BB9*0.8*[1]ステータス!$E$2,0))</f>
        <v>1222</v>
      </c>
      <c r="BK9" s="11">
        <f ca="1">ROUND(BD9*S9*AA9*J9*AY9*[1]ステータス!$B$2,0)</f>
        <v>6427</v>
      </c>
      <c r="BL9" s="11">
        <f ca="1">ROUND(BD9*T9*AB9*K9*AZ9*[1]ステータス!$C$2,0)</f>
        <v>5504</v>
      </c>
      <c r="BM9" s="11">
        <f ca="1">ROUND(BD9*U9*AC9*L9*BA9*[1]ステータス!$D$2,0)</f>
        <v>0</v>
      </c>
      <c r="BN9" s="11">
        <f ca="1">ROUND(BD9*V9*AD9*M9*BB9*[1]ステータス!$E$2,0)</f>
        <v>2090</v>
      </c>
      <c r="BO9" s="10">
        <v>0</v>
      </c>
      <c r="BP9" s="10">
        <v>1</v>
      </c>
      <c r="BQ9" s="10" t="s">
        <v>47</v>
      </c>
      <c r="BR9" s="10">
        <f ca="1">VLOOKUP(H9,ghosts_label!$A$2:$B$19,2,FALSE)</f>
        <v>1</v>
      </c>
    </row>
    <row r="10" spans="1:70" ht="26" customHeight="1" x14ac:dyDescent="0.15">
      <c r="A10" s="12">
        <v>1067</v>
      </c>
      <c r="B10" s="56" t="str">
        <f ca="1">VLOOKUP($A10,OFFSET([1]characters!$A$1,0,0,COUNTA([1]characters!$A:$A),MATCH(B$1,[1]characters!$1:$1,0)-MATCH($A$1,[1]characters!$1:$1,0)+1),MATCH(B$1,[1]characters!$1:$1,0)-MATCH($A$1,[1]characters!$1:$1,0)+1,FALSE)</f>
        <v>ウシュムガル</v>
      </c>
      <c r="C10" s="56" t="str">
        <f ca="1">VLOOKUP($A10,OFFSET([1]characters!$A$1,0,0,COUNTA([1]characters!$A:$A),MATCH(C$1,[1]characters!$1:$1,0)-MATCH($A$1,[1]characters!$1:$1,0)+1),MATCH(C$1,[1]characters!$1:$1,0)-MATCH($A$1,[1]characters!$1:$1,0)+1,FALSE)</f>
        <v>イザナミ_分岐</v>
      </c>
      <c r="D10" s="56" t="str">
        <f ca="1">VLOOKUP($A10,OFFSET([1]characters!$A$1,0,0,COUNTA([1]characters!$A:$A),MATCH(D$1,[1]characters!$1:$1,0)-MATCH($A$1,[1]characters!$1:$1,0)+1),MATCH(D$1,[1]characters!$1:$1,0)-MATCH($A$1,[1]characters!$1:$1,0)+1,FALSE)</f>
        <v>執行者</v>
      </c>
      <c r="E10" s="56" t="str">
        <f ca="1">VLOOKUP($A10,OFFSET([1]characters!$A$1,0,0,COUNTA([1]characters!$A:$A),MATCH(E$1,[1]characters!$1:$1,0)-MATCH($A$1,[1]characters!$1:$1,0)+1),MATCH(E$1,[1]characters!$1:$1,0)-MATCH($A$1,[1]characters!$1:$1,0)+1,FALSE)</f>
        <v>格好いい</v>
      </c>
      <c r="F10" s="56" t="str">
        <f ca="1">VLOOKUP($A10,OFFSET([1]characters!$A$1,0,0,COUNTA([1]characters!$A:$A),MATCH(F$1,[1]characters!$1:$1,0)-MATCH($A$1,[1]characters!$1:$1,0)+1),MATCH(F$1,[1]characters!$1:$1,0)-MATCH($A$1,[1]characters!$1:$1,0)+1,FALSE)</f>
        <v>男性</v>
      </c>
      <c r="G10" s="56">
        <f ca="1">VLOOKUP($A10,OFFSET([1]characters!$A$1,0,0,COUNTA([1]characters!$A:$A),MATCH(G$1,[1]characters!$1:$1,0)-MATCH($A$1,[1]characters!$1:$1,0)+1),MATCH(G$1,[1]characters!$1:$1,0)-MATCH($A$1,[1]characters!$1:$1,0)+1,FALSE)</f>
        <v>4</v>
      </c>
      <c r="H10" s="56" t="str">
        <f ca="1">VLOOKUP($A10,OFFSET([1]characters!$A$1,0,0,COUNTA([1]characters!$A:$A),MATCH(H$1,[1]characters!$1:$1,0)-MATCH($A$1,[1]characters!$1:$1,0)+1),MATCH(H$1,[1]characters!$1:$1,0)-MATCH($A$1,[1]characters!$1:$1,0)+1,FALSE)</f>
        <v>PremiumS</v>
      </c>
      <c r="I10" s="56" t="str">
        <f ca="1">VLOOKUP($A10,OFFSET([1]characters!$A$1,0,0,COUNTA([1]characters!$A:$A),MATCH(I$1,[1]characters!$1:$1,0)-MATCH($A$1,[1]characters!$1:$1,0)+1),MATCH(I$1,[1]characters!$1:$1,0)-MATCH($A$1,[1]characters!$1:$1,0)+1,FALSE)</f>
        <v>red</v>
      </c>
      <c r="J10" s="11">
        <f ca="1">VLOOKUP(I10,[1]属性!$A:$E,2,FALSE)</f>
        <v>1</v>
      </c>
      <c r="K10" s="11">
        <f ca="1">VLOOKUP(I10,[1]属性!$A:$E,3,FALSE)</f>
        <v>1.02</v>
      </c>
      <c r="L10" s="11">
        <f ca="1">VLOOKUP(I10,[1]属性!$A:$E,4,FALSE)</f>
        <v>1</v>
      </c>
      <c r="M10" s="11">
        <f ca="1">VLOOKUP(I10,[1]属性!$A:$E,5,FALSE)</f>
        <v>0.98</v>
      </c>
      <c r="N10" s="11">
        <f ca="1">INDEX(コスト!$A$1:$I$21,MATCH(H10,コスト!$A$1:$A$21,FALSE),MATCH(G10,コスト!$A$1:$I$1,FALSE))</f>
        <v>20</v>
      </c>
      <c r="O10" s="11">
        <f ca="1">INDEX(レベル!$A$1:$I$22,MATCH(H10,レベル!$A$1:$A$22,FALSE),MATCH(G10,レベル!$A$1:$I$1,FALSE))</f>
        <v>60</v>
      </c>
      <c r="P10" s="47">
        <f t="shared" ca="1" si="11"/>
        <v>60</v>
      </c>
      <c r="Q10" s="56" t="str">
        <f ca="1">VLOOKUP($A10,OFFSET([1]characters!$A$1,0,0,COUNTA([1]characters!$A:$A),MATCH(Q$1,[1]characters!$1:$1,0)-MATCH($A$1,[1]characters!$1:$1,0)+1),MATCH(Q$1,[1]characters!$1:$1,0)-MATCH($A$1,[1]characters!$1:$1,0)+1,FALSE)</f>
        <v>balance</v>
      </c>
      <c r="R10" s="5" t="str">
        <f ca="1">VLOOKUP(Q10,[1]character_type_i18n!$A:$H,3,FALSE)</f>
        <v>バランスタイプ</v>
      </c>
      <c r="S10" s="11">
        <f ca="1">VLOOKUP(Q10,[1]character_type_i18n!$A:$H,4,FALSE)</f>
        <v>1</v>
      </c>
      <c r="T10" s="11">
        <f ca="1">VLOOKUP(Q10,[1]character_type_i18n!$A:$H,5,FALSE)</f>
        <v>1</v>
      </c>
      <c r="U10" s="11">
        <f ca="1">VLOOKUP(Q10,[1]character_type_i18n!$A:$H,6,FALSE)</f>
        <v>1</v>
      </c>
      <c r="V10" s="11">
        <f ca="1">VLOOKUP(Q10,[1]character_type_i18n!$A:$H,7,FALSE)</f>
        <v>1</v>
      </c>
      <c r="W10" s="56" t="str">
        <f ca="1">VLOOKUP($A10,OFFSET([1]characters!$A$1,0,0,COUNTA([1]characters!$A:$A),MATCH(W$1,[1]characters!$1:$1,0)-MATCH($A$1,[1]characters!$1:$1,0)+1),MATCH(W$1,[1]characters!$1:$1,0)-MATCH($A$1,[1]characters!$1:$1,0)+1,FALSE)</f>
        <v>dragon</v>
      </c>
      <c r="X10" s="5" t="str">
        <f ca="1">VLOOKUP(W10,[1]character_tribe_i18n!$A:$H,3,FALSE)</f>
        <v>ドラゴン</v>
      </c>
      <c r="Y10" s="56" t="str">
        <f ca="1">VLOOKUP($A10,OFFSET([1]characters!$A$1,0,0,COUNTA([1]characters!$A:$A),MATCH(Y$1,[1]characters!$1:$1,0)-MATCH($A$1,[1]characters!$1:$1,0)+1),MATCH(Y$1,[1]characters!$1:$1,0)-MATCH($A$1,[1]characters!$1:$1,0)+1,FALSE)</f>
        <v>animal</v>
      </c>
      <c r="Z10" s="5" t="str">
        <f ca="1">VLOOKUP(Y10,[1]character_tribe_i18n!$A:$H,3,FALSE)</f>
        <v>アニマル</v>
      </c>
      <c r="AA10" s="11">
        <f ca="1">VLOOKUP(W10,[1]character_tribe_i18n!$A:$H,4,FALSE)</f>
        <v>1.1499999999999999</v>
      </c>
      <c r="AB10" s="11">
        <f ca="1">VLOOKUP(W10,[1]character_tribe_i18n!$A:$H,5,FALSE)</f>
        <v>1.1000000000000001</v>
      </c>
      <c r="AC10" s="11">
        <f ca="1">VLOOKUP(W10,[1]character_tribe_i18n!$A:$H,6,FALSE)</f>
        <v>1</v>
      </c>
      <c r="AD10" s="11">
        <f ca="1">VLOOKUP(W10,[1]character_tribe_i18n!$A:$H,7,FALSE)</f>
        <v>0.75</v>
      </c>
      <c r="AE10" s="9">
        <f t="shared" ref="AE10" si="14">A11</f>
        <v>1068</v>
      </c>
      <c r="AF10" s="61" t="str">
        <f ca="1">IF(AE10="NULL","",VLOOKUP($AE10,OFFSET([1]characters!$A$1,0,0,COUNTA([1]characters!$A:$A),MATCH(AF$1,[1]characters!$1:$1,0)-MATCH($A$1,[1]characters!$1:$1,0)+1),MATCH(AF$1,[1]characters!$1:$1,0)-MATCH($A$1,[1]characters!$1:$1,0)+1,FALSE))</f>
        <v>想母の羽龍 ウシュムガル</v>
      </c>
      <c r="AG10" s="5">
        <f t="shared" ca="1" si="0"/>
        <v>1067</v>
      </c>
      <c r="AH10" s="61" t="str">
        <f ca="1">VLOOKUP($AG10,OFFSET([1]characters!$A$1,0,0,COUNTA([1]characters!$A:$A),MATCH(AH$1,[1]characters!$1:$1,0)-MATCH($A$1,[1]characters!$1:$1,0)+1),MATCH(AH$1,[1]characters!$1:$1,0)-MATCH($A$1,[1]characters!$1:$1,0)+1,FALSE)</f>
        <v>ウシュムガル</v>
      </c>
      <c r="AI10" s="11">
        <f ca="1">IF(AE10="NULL","NULL",VLOOKUP(G10,ビット!$A$2:$B$7,2))</f>
        <v>50000</v>
      </c>
      <c r="AJ10" s="6">
        <v>2</v>
      </c>
      <c r="AK10" s="7" t="str">
        <f t="shared" si="9"/>
        <v>普通</v>
      </c>
      <c r="AL10" s="11" t="str">
        <f ca="1">INDEX(経験値!$A$1:$I$21,MATCH(H10,経験値!$A$1:$A$21,FALSE),MATCH(G10,経験値!$A$1:$I$1,FALSE))</f>
        <v>required_exp_200</v>
      </c>
      <c r="AM10" s="8">
        <f ca="1">VLOOKUP(G10,経験値!$A$28:$B$32,2)</f>
        <v>3400</v>
      </c>
      <c r="AN10" s="17">
        <f ca="1">VLOOKUP(G10,ビット!$G$2:$H$7,2)</f>
        <v>600</v>
      </c>
      <c r="AO10" s="44"/>
      <c r="AP10" s="66">
        <f t="shared" si="6"/>
        <v>1067</v>
      </c>
      <c r="AQ10" s="56" t="str">
        <f ca="1">VLOOKUP($AP10,OFFSET(unit_skills!$A$1,0,0,COUNTA(unit_skills!$A:$A),MATCH(AQ$1,unit_skills!$1:$1,0)-MATCH($AP$1,unit_skills!$1:$1,0)+1),MATCH(AQ$1,unit_skills!$1:$1,0)-MATCH($AP$1,unit_skills!$1:$1,0)+1,FALSE)</f>
        <v>発光性ドラゴニック・ファング</v>
      </c>
      <c r="AR10" s="56" t="str">
        <f ca="1">VLOOKUP($AP10,OFFSET(unit_skills!$A$1,0,0,COUNTA(unit_skills!$A:$A),MATCH(AR$1,unit_skills!$1:$1,0)-MATCH($AP$1,unit_skills!$1:$1,0)+1),MATCH(AR$1,unit_skills!$1:$1,0)-MATCH($AP$1,unit_skills!$1:$1,0)+1,FALSE)</f>
        <v>黄パネルをハートボムパネルに変換+2ターンドラゴンの攻撃力を超大UP</v>
      </c>
      <c r="AS10" s="56">
        <f ca="1">VLOOKUP($AP10,OFFSET(unit_skills!$A$1,0,0,COUNTA(unit_skills!$A:$A),MATCH(AS$1,unit_skills!$1:$1,0)-MATCH($AP$1,unit_skills!$1:$1,0)+1),MATCH(AS$1,unit_skills!$1:$1,0)-MATCH($AP$1,unit_skills!$1:$1,0)+1,FALSE)</f>
        <v>0</v>
      </c>
      <c r="AT10" s="40">
        <f t="shared" si="7"/>
        <v>1067</v>
      </c>
      <c r="AU10" s="56" t="str">
        <f ca="1">VLOOKUP($AT10,OFFSET(crash_skills!$A$1,0,0,COUNTA(crash_skills!$A:$A),MATCH(AU$1,crash_skills!$1:$1,0)-MATCH($AT$1,crash_skills!$1:$1,0)+1),MATCH(AU$1,crash_skills!$1:$1,0)-MATCH($AT$1,crash_skills!$1:$1,0)+1,FALSE)</f>
        <v>11ハーツ</v>
      </c>
      <c r="AV10" s="56" t="str">
        <f ca="1">VLOOKUP($AT10,OFFSET(crash_skills!$A$1,0,0,COUNTA(crash_skills!$A:$A),MATCH(AV$1,crash_skills!$1:$1,0)-MATCH($AT$1,crash_skills!$1:$1,0)+1),MATCH(AV$1,crash_skills!$1:$1,0)-MATCH($AT$1,crash_skills!$1:$1,0)+1,FALSE)</f>
        <v>1体に大ダメージ</v>
      </c>
      <c r="AW10" s="56">
        <f ca="1">VLOOKUP($AT10,OFFSET(crash_skills!$A$1,0,0,COUNTA(crash_skills!$A:$A),MATCH(AW$1,crash_skills!$1:$1,0)-MATCH($AT$1,crash_skills!$1:$1,0)+1),MATCH(AW$1,crash_skills!$1:$1,0)-MATCH($AT$1,crash_skills!$1:$1,0)+1,FALSE)</f>
        <v>0</v>
      </c>
      <c r="AX10" s="57">
        <f ca="1">VLOOKUP($A10,OFFSET([1]characters!$A$1,0,0,COUNTA([1]characters!$A:$A),MATCH(AX$1,[1]characters!$1:$1,0)-MATCH($A$1,[1]characters!$1:$1,0)+1),MATCH(AX$1,[1]characters!$1:$1,0)-MATCH($A$1,[1]characters!$1:$1,0)+1,FALSE)</f>
        <v>3</v>
      </c>
      <c r="AY10" s="67">
        <v>1</v>
      </c>
      <c r="AZ10" s="67">
        <v>1</v>
      </c>
      <c r="BA10" s="67">
        <v>0</v>
      </c>
      <c r="BB10" s="67">
        <v>1.25</v>
      </c>
      <c r="BC10" s="11">
        <f ca="1">INDEX('RC6SV'!$A$1:$G$21,MATCH(H10,'RC6SV'!$A$1:$A$21,FALSE),MATCH(G10,'RC6SV'!$A$1:$G$1,FALSE))</f>
        <v>7000</v>
      </c>
      <c r="BD10" s="47">
        <f t="shared" ca="1" si="10"/>
        <v>7000</v>
      </c>
      <c r="BE10" s="11">
        <f t="shared" ca="1" si="3"/>
        <v>0</v>
      </c>
      <c r="BF10" s="11">
        <f t="shared" ca="1" si="4"/>
        <v>1</v>
      </c>
      <c r="BG10" s="16">
        <f ca="1">IF($BE10&lt;=0,ROUND(BK10*0.5,0), ROUND($BE10*S10*AA10*J10*AY10*0.8*[1]ステータス!$B$2,0))</f>
        <v>2013</v>
      </c>
      <c r="BH10" s="16">
        <f ca="1">IF($BE10&lt;=0,ROUND(BL10*0.5,0), ROUND($BE10*T10*AB10*K10*AZ10*0.8*[1]ステータス!$C$2,0))</f>
        <v>1178</v>
      </c>
      <c r="BI10" s="16">
        <f ca="1">IF($BE10&lt;=0,ROUND(BM10*0.5,0), ROUND($BE10*U10*AC10*L10*BA10*0.8*[1]ステータス!$D$2,0))</f>
        <v>0</v>
      </c>
      <c r="BJ10" s="16">
        <f ca="1">IF($BE10&lt;=0,ROUND(BN10*0.5,0), ROUND($BE10*V10*AD10*M10*BB10*0.8*[1]ステータス!$E$2,0))</f>
        <v>804</v>
      </c>
      <c r="BK10" s="11">
        <f ca="1">ROUND(BD10*S10*AA10*J10*AY10*[1]ステータス!$B$2,0)</f>
        <v>4025</v>
      </c>
      <c r="BL10" s="11">
        <f ca="1">ROUND(BD10*T10*AB10*K10*AZ10*[1]ステータス!$C$2,0)</f>
        <v>2356</v>
      </c>
      <c r="BM10" s="11">
        <f ca="1">ROUND(BD10*U10*AC10*L10*BA10*[1]ステータス!$D$2,0)</f>
        <v>0</v>
      </c>
      <c r="BN10" s="11">
        <f ca="1">ROUND(BD10*V10*AD10*M10*BB10*[1]ステータス!$E$2,0)</f>
        <v>1608</v>
      </c>
      <c r="BO10" s="10">
        <v>0</v>
      </c>
      <c r="BP10" s="10">
        <v>1</v>
      </c>
      <c r="BQ10" s="10" t="s">
        <v>47</v>
      </c>
      <c r="BR10" s="10">
        <f ca="1">VLOOKUP(H10,ghosts_label!$A$2:$B$19,2,FALSE)</f>
        <v>700</v>
      </c>
    </row>
    <row r="11" spans="1:70" ht="26" customHeight="1" x14ac:dyDescent="0.15">
      <c r="A11" s="12">
        <v>1068</v>
      </c>
      <c r="B11" s="56" t="str">
        <f ca="1">VLOOKUP($A11,OFFSET([1]characters!$A$1,0,0,COUNTA([1]characters!$A:$A),MATCH(B$1,[1]characters!$1:$1,0)-MATCH($A$1,[1]characters!$1:$1,0)+1),MATCH(B$1,[1]characters!$1:$1,0)-MATCH($A$1,[1]characters!$1:$1,0)+1,FALSE)</f>
        <v>想母の羽龍 ウシュムガル</v>
      </c>
      <c r="C11" s="56" t="str">
        <f ca="1">VLOOKUP($A11,OFFSET([1]characters!$A$1,0,0,COUNTA([1]characters!$A:$A),MATCH(C$1,[1]characters!$1:$1,0)-MATCH($A$1,[1]characters!$1:$1,0)+1),MATCH(C$1,[1]characters!$1:$1,0)-MATCH($A$1,[1]characters!$1:$1,0)+1,FALSE)</f>
        <v>イザナミ_分岐</v>
      </c>
      <c r="D11" s="56" t="str">
        <f ca="1">VLOOKUP($A11,OFFSET([1]characters!$A$1,0,0,COUNTA([1]characters!$A:$A),MATCH(D$1,[1]characters!$1:$1,0)-MATCH($A$1,[1]characters!$1:$1,0)+1),MATCH(D$1,[1]characters!$1:$1,0)-MATCH($A$1,[1]characters!$1:$1,0)+1,FALSE)</f>
        <v>執行者</v>
      </c>
      <c r="E11" s="56" t="str">
        <f ca="1">VLOOKUP($A11,OFFSET([1]characters!$A$1,0,0,COUNTA([1]characters!$A:$A),MATCH(E$1,[1]characters!$1:$1,0)-MATCH($A$1,[1]characters!$1:$1,0)+1),MATCH(E$1,[1]characters!$1:$1,0)-MATCH($A$1,[1]characters!$1:$1,0)+1,FALSE)</f>
        <v>格好いい</v>
      </c>
      <c r="F11" s="56" t="str">
        <f ca="1">VLOOKUP($A11,OFFSET([1]characters!$A$1,0,0,COUNTA([1]characters!$A:$A),MATCH(F$1,[1]characters!$1:$1,0)-MATCH($A$1,[1]characters!$1:$1,0)+1),MATCH(F$1,[1]characters!$1:$1,0)-MATCH($A$1,[1]characters!$1:$1,0)+1,FALSE)</f>
        <v>男性</v>
      </c>
      <c r="G11" s="56">
        <f ca="1">VLOOKUP($A11,OFFSET([1]characters!$A$1,0,0,COUNTA([1]characters!$A:$A),MATCH(G$1,[1]characters!$1:$1,0)-MATCH($A$1,[1]characters!$1:$1,0)+1),MATCH(G$1,[1]characters!$1:$1,0)-MATCH($A$1,[1]characters!$1:$1,0)+1,FALSE)</f>
        <v>5</v>
      </c>
      <c r="H11" s="56" t="str">
        <f ca="1">VLOOKUP($A11,OFFSET([1]characters!$A$1,0,0,COUNTA([1]characters!$A:$A),MATCH(H$1,[1]characters!$1:$1,0)-MATCH($A$1,[1]characters!$1:$1,0)+1),MATCH(H$1,[1]characters!$1:$1,0)-MATCH($A$1,[1]characters!$1:$1,0)+1,FALSE)</f>
        <v>PremiumS</v>
      </c>
      <c r="I11" s="56" t="str">
        <f ca="1">VLOOKUP($A11,OFFSET([1]characters!$A$1,0,0,COUNTA([1]characters!$A:$A),MATCH(I$1,[1]characters!$1:$1,0)-MATCH($A$1,[1]characters!$1:$1,0)+1),MATCH(I$1,[1]characters!$1:$1,0)-MATCH($A$1,[1]characters!$1:$1,0)+1,FALSE)</f>
        <v>red</v>
      </c>
      <c r="J11" s="11">
        <f ca="1">VLOOKUP(I11,[1]属性!$A:$E,2,FALSE)</f>
        <v>1</v>
      </c>
      <c r="K11" s="11">
        <f ca="1">VLOOKUP(I11,[1]属性!$A:$E,3,FALSE)</f>
        <v>1.02</v>
      </c>
      <c r="L11" s="11">
        <f ca="1">VLOOKUP(I11,[1]属性!$A:$E,4,FALSE)</f>
        <v>1</v>
      </c>
      <c r="M11" s="11">
        <f ca="1">VLOOKUP(I11,[1]属性!$A:$E,5,FALSE)</f>
        <v>0.98</v>
      </c>
      <c r="N11" s="11">
        <f ca="1">INDEX(コスト!$A$1:$I$21,MATCH(H11,コスト!$A$1:$A$21,FALSE),MATCH(G11,コスト!$A$1:$I$1,FALSE))</f>
        <v>30</v>
      </c>
      <c r="O11" s="11">
        <f ca="1">INDEX(レベル!$A$1:$I$22,MATCH(H11,レベル!$A$1:$A$22,FALSE),MATCH(G11,レベル!$A$1:$I$1,FALSE))</f>
        <v>80</v>
      </c>
      <c r="P11" s="47">
        <f t="shared" ca="1" si="11"/>
        <v>75</v>
      </c>
      <c r="Q11" s="56" t="str">
        <f ca="1">VLOOKUP($A11,OFFSET([1]characters!$A$1,0,0,COUNTA([1]characters!$A:$A),MATCH(Q$1,[1]characters!$1:$1,0)-MATCH($A$1,[1]characters!$1:$1,0)+1),MATCH(Q$1,[1]characters!$1:$1,0)-MATCH($A$1,[1]characters!$1:$1,0)+1,FALSE)</f>
        <v>balance</v>
      </c>
      <c r="R11" s="5" t="str">
        <f ca="1">VLOOKUP(Q11,[1]character_type_i18n!$A:$H,3,FALSE)</f>
        <v>バランスタイプ</v>
      </c>
      <c r="S11" s="11">
        <f ca="1">VLOOKUP(Q11,[1]character_type_i18n!$A:$H,4,FALSE)</f>
        <v>1</v>
      </c>
      <c r="T11" s="11">
        <f ca="1">VLOOKUP(Q11,[1]character_type_i18n!$A:$H,5,FALSE)</f>
        <v>1</v>
      </c>
      <c r="U11" s="11">
        <f ca="1">VLOOKUP(Q11,[1]character_type_i18n!$A:$H,6,FALSE)</f>
        <v>1</v>
      </c>
      <c r="V11" s="11">
        <f ca="1">VLOOKUP(Q11,[1]character_type_i18n!$A:$H,7,FALSE)</f>
        <v>1</v>
      </c>
      <c r="W11" s="56" t="str">
        <f ca="1">VLOOKUP($A11,OFFSET([1]characters!$A$1,0,0,COUNTA([1]characters!$A:$A),MATCH(W$1,[1]characters!$1:$1,0)-MATCH($A$1,[1]characters!$1:$1,0)+1),MATCH(W$1,[1]characters!$1:$1,0)-MATCH($A$1,[1]characters!$1:$1,0)+1,FALSE)</f>
        <v>dragon</v>
      </c>
      <c r="X11" s="5" t="str">
        <f ca="1">VLOOKUP(W11,[1]character_tribe_i18n!$A:$H,3,FALSE)</f>
        <v>ドラゴン</v>
      </c>
      <c r="Y11" s="56" t="str">
        <f ca="1">VLOOKUP($A11,OFFSET([1]characters!$A$1,0,0,COUNTA([1]characters!$A:$A),MATCH(Y$1,[1]characters!$1:$1,0)-MATCH($A$1,[1]characters!$1:$1,0)+1),MATCH(Y$1,[1]characters!$1:$1,0)-MATCH($A$1,[1]characters!$1:$1,0)+1,FALSE)</f>
        <v>animal</v>
      </c>
      <c r="Z11" s="5" t="str">
        <f ca="1">VLOOKUP(Y11,[1]character_tribe_i18n!$A:$H,3,FALSE)</f>
        <v>アニマル</v>
      </c>
      <c r="AA11" s="11">
        <f ca="1">VLOOKUP(W11,[1]character_tribe_i18n!$A:$H,4,FALSE)</f>
        <v>1.1499999999999999</v>
      </c>
      <c r="AB11" s="11">
        <f ca="1">VLOOKUP(W11,[1]character_tribe_i18n!$A:$H,5,FALSE)</f>
        <v>1.1000000000000001</v>
      </c>
      <c r="AC11" s="11">
        <f ca="1">VLOOKUP(W11,[1]character_tribe_i18n!$A:$H,6,FALSE)</f>
        <v>1</v>
      </c>
      <c r="AD11" s="11">
        <f ca="1">VLOOKUP(W11,[1]character_tribe_i18n!$A:$H,7,FALSE)</f>
        <v>0.75</v>
      </c>
      <c r="AE11" s="9" t="s">
        <v>183</v>
      </c>
      <c r="AF11" s="61" t="str">
        <f ca="1">IF(AE11="NULL","",VLOOKUP($AE11,OFFSET([1]characters!$A$1,0,0,COUNTA([1]characters!$A:$A),MATCH(AF$1,[1]characters!$1:$1,0)-MATCH($A$1,[1]characters!$1:$1,0)+1),MATCH(AF$1,[1]characters!$1:$1,0)-MATCH($A$1,[1]characters!$1:$1,0)+1,FALSE))</f>
        <v/>
      </c>
      <c r="AG11" s="5">
        <f t="shared" ca="1" si="0"/>
        <v>1067</v>
      </c>
      <c r="AH11" s="61" t="str">
        <f ca="1">VLOOKUP($AG11,OFFSET([1]characters!$A$1,0,0,COUNTA([1]characters!$A:$A),MATCH(AH$1,[1]characters!$1:$1,0)-MATCH($A$1,[1]characters!$1:$1,0)+1),MATCH(AH$1,[1]characters!$1:$1,0)-MATCH($A$1,[1]characters!$1:$1,0)+1,FALSE)</f>
        <v>ウシュムガル</v>
      </c>
      <c r="AI11" s="11" t="str">
        <f>IF(AE11="NULL","NULL",VLOOKUP(G11,ビット!$A$2:$B$7,2))</f>
        <v>NULL</v>
      </c>
      <c r="AJ11" s="6">
        <v>2</v>
      </c>
      <c r="AK11" s="7" t="str">
        <f t="shared" si="9"/>
        <v>普通</v>
      </c>
      <c r="AL11" s="11" t="str">
        <f ca="1">INDEX(経験値!$A$1:$I$21,MATCH(H11,経験値!$A$1:$A$21,FALSE),MATCH(G11,経験値!$A$1:$I$1,FALSE))</f>
        <v>required_exp_200</v>
      </c>
      <c r="AM11" s="8">
        <f ca="1">VLOOKUP(G11,経験値!$A$28:$B$32,2)</f>
        <v>6400</v>
      </c>
      <c r="AN11" s="17">
        <f ca="1">VLOOKUP(G11,ビット!$G$2:$H$7,2)</f>
        <v>900</v>
      </c>
      <c r="AO11" s="44"/>
      <c r="AP11" s="66">
        <f t="shared" si="6"/>
        <v>1068</v>
      </c>
      <c r="AQ11" s="56" t="str">
        <f ca="1">VLOOKUP($AP11,OFFSET(unit_skills!$A$1,0,0,COUNTA(unit_skills!$A:$A),MATCH(AQ$1,unit_skills!$1:$1,0)-MATCH($AP$1,unit_skills!$1:$1,0)+1),MATCH(AQ$1,unit_skills!$1:$1,0)-MATCH($AP$1,unit_skills!$1:$1,0)+1,FALSE)</f>
        <v>激昂性ドラゴニック・ファング</v>
      </c>
      <c r="AR11" s="56" t="str">
        <f ca="1">VLOOKUP($AP11,OFFSET(unit_skills!$A$1,0,0,COUNTA(unit_skills!$A:$A),MATCH(AR$1,unit_skills!$1:$1,0)-MATCH($AP$1,unit_skills!$1:$1,0)+1),MATCH(AR$1,unit_skills!$1:$1,0)-MATCH($AP$1,unit_skills!$1:$1,0)+1,FALSE)</f>
        <v>黄パネルをハートボムパネルに変換+2ターンドラゴンの攻撃力を超大UP</v>
      </c>
      <c r="AS11" s="56">
        <f ca="1">VLOOKUP($AP11,OFFSET(unit_skills!$A$1,0,0,COUNTA(unit_skills!$A:$A),MATCH(AS$1,unit_skills!$1:$1,0)-MATCH($AP$1,unit_skills!$1:$1,0)+1),MATCH(AS$1,unit_skills!$1:$1,0)-MATCH($AP$1,unit_skills!$1:$1,0)+1,FALSE)</f>
        <v>0</v>
      </c>
      <c r="AT11" s="40">
        <f t="shared" si="7"/>
        <v>1068</v>
      </c>
      <c r="AU11" s="56" t="str">
        <f ca="1">VLOOKUP($AT11,OFFSET(crash_skills!$A$1,0,0,COUNTA(crash_skills!$A:$A),MATCH(AU$1,crash_skills!$1:$1,0)-MATCH($AT$1,crash_skills!$1:$1,0)+1),MATCH(AU$1,crash_skills!$1:$1,0)-MATCH($AT$1,crash_skills!$1:$1,0)+1,FALSE)</f>
        <v>11ソウルズ・レイジング</v>
      </c>
      <c r="AV11" s="56" t="str">
        <f ca="1">VLOOKUP($AT11,OFFSET(crash_skills!$A$1,0,0,COUNTA(crash_skills!$A:$A),MATCH(AV$1,crash_skills!$1:$1,0)-MATCH($AT$1,crash_skills!$1:$1,0)+1),MATCH(AV$1,crash_skills!$1:$1,0)-MATCH($AT$1,crash_skills!$1:$1,0)+1,FALSE)</f>
        <v>1体に特大ダメージ</v>
      </c>
      <c r="AW11" s="56">
        <f ca="1">VLOOKUP($AT11,OFFSET(crash_skills!$A$1,0,0,COUNTA(crash_skills!$A:$A),MATCH(AW$1,crash_skills!$1:$1,0)-MATCH($AT$1,crash_skills!$1:$1,0)+1),MATCH(AW$1,crash_skills!$1:$1,0)-MATCH($AT$1,crash_skills!$1:$1,0)+1,FALSE)</f>
        <v>0</v>
      </c>
      <c r="AX11" s="57">
        <f ca="1">VLOOKUP($A11,OFFSET([1]characters!$A$1,0,0,COUNTA([1]characters!$A:$A),MATCH(AX$1,[1]characters!$1:$1,0)-MATCH($A$1,[1]characters!$1:$1,0)+1),MATCH(AX$1,[1]characters!$1:$1,0)-MATCH($A$1,[1]characters!$1:$1,0)+1,FALSE)</f>
        <v>3</v>
      </c>
      <c r="AY11" s="67">
        <v>1</v>
      </c>
      <c r="AZ11" s="67">
        <v>1</v>
      </c>
      <c r="BA11" s="67">
        <v>0</v>
      </c>
      <c r="BB11" s="67">
        <v>1.25</v>
      </c>
      <c r="BC11" s="11">
        <f ca="1">INDEX('RC6SV'!$A$1:$G$21,MATCH(H11,'RC6SV'!$A$1:$A$21,FALSE),MATCH(G11,'RC6SV'!$A$1:$G$1,FALSE))</f>
        <v>9000</v>
      </c>
      <c r="BD11" s="47">
        <f t="shared" ca="1" si="10"/>
        <v>9000</v>
      </c>
      <c r="BE11" s="11">
        <f t="shared" ca="1" si="3"/>
        <v>7000</v>
      </c>
      <c r="BF11" s="11">
        <f t="shared" ca="1" si="4"/>
        <v>1</v>
      </c>
      <c r="BG11" s="16">
        <f ca="1">IF($BE11&lt;=0,ROUND(BK11*0.5,0), ROUND($BE11*S11*AA11*J11*AY11*0.8*[1]ステータス!$B$2,0))</f>
        <v>3220</v>
      </c>
      <c r="BH11" s="16">
        <f ca="1">IF($BE11&lt;=0,ROUND(BL11*0.5,0), ROUND($BE11*T11*AB11*K11*AZ11*0.8*[1]ステータス!$C$2,0))</f>
        <v>1885</v>
      </c>
      <c r="BI11" s="16">
        <f ca="1">IF($BE11&lt;=0,ROUND(BM11*0.5,0), ROUND($BE11*U11*AC11*L11*BA11*0.8*[1]ステータス!$D$2,0))</f>
        <v>0</v>
      </c>
      <c r="BJ11" s="16">
        <f ca="1">IF($BE11&lt;=0,ROUND(BN11*0.5,0), ROUND($BE11*V11*AD11*M11*BB11*0.8*[1]ステータス!$E$2,0))</f>
        <v>1286</v>
      </c>
      <c r="BK11" s="11">
        <f ca="1">ROUND(BD11*S11*AA11*J11*AY11*[1]ステータス!$B$2,0)</f>
        <v>5175</v>
      </c>
      <c r="BL11" s="11">
        <f ca="1">ROUND(BD11*T11*AB11*K11*AZ11*[1]ステータス!$C$2,0)</f>
        <v>3029</v>
      </c>
      <c r="BM11" s="11">
        <f ca="1">ROUND(BD11*U11*AC11*L11*BA11*[1]ステータス!$D$2,0)</f>
        <v>0</v>
      </c>
      <c r="BN11" s="11">
        <f ca="1">ROUND(BD11*V11*AD11*M11*BB11*[1]ステータス!$E$2,0)</f>
        <v>2067</v>
      </c>
      <c r="BO11" s="10">
        <v>0</v>
      </c>
      <c r="BP11" s="10">
        <v>1</v>
      </c>
      <c r="BQ11" s="10" t="s">
        <v>47</v>
      </c>
      <c r="BR11" s="10">
        <f ca="1">VLOOKUP(H11,ghosts_label!$A$2:$B$19,2,FALSE)</f>
        <v>700</v>
      </c>
    </row>
    <row r="12" spans="1:70" ht="26" customHeight="1" x14ac:dyDescent="0.15">
      <c r="A12" s="12">
        <v>1069</v>
      </c>
      <c r="B12" s="56" t="str">
        <f ca="1">VLOOKUP($A12,OFFSET([1]characters!$A$1,0,0,COUNTA([1]characters!$A:$A),MATCH(B$1,[1]characters!$1:$1,0)-MATCH($A$1,[1]characters!$1:$1,0)+1),MATCH(B$1,[1]characters!$1:$1,0)-MATCH($A$1,[1]characters!$1:$1,0)+1,FALSE)</f>
        <v>イシュタル</v>
      </c>
      <c r="C12" s="56" t="str">
        <f ca="1">VLOOKUP($A12,OFFSET([1]characters!$A$1,0,0,COUNTA([1]characters!$A:$A),MATCH(C$1,[1]characters!$1:$1,0)-MATCH($A$1,[1]characters!$1:$1,0)+1),MATCH(C$1,[1]characters!$1:$1,0)-MATCH($A$1,[1]characters!$1:$1,0)+1,FALSE)</f>
        <v>イザナミ_分岐</v>
      </c>
      <c r="D12" s="56" t="str">
        <f ca="1">VLOOKUP($A12,OFFSET([1]characters!$A$1,0,0,COUNTA([1]characters!$A:$A),MATCH(D$1,[1]characters!$1:$1,0)-MATCH($A$1,[1]characters!$1:$1,0)+1),MATCH(D$1,[1]characters!$1:$1,0)-MATCH($A$1,[1]characters!$1:$1,0)+1,FALSE)</f>
        <v>執行者</v>
      </c>
      <c r="E12" s="56" t="str">
        <f ca="1">VLOOKUP($A12,OFFSET([1]characters!$A$1,0,0,COUNTA([1]characters!$A:$A),MATCH(E$1,[1]characters!$1:$1,0)-MATCH($A$1,[1]characters!$1:$1,0)+1),MATCH(E$1,[1]characters!$1:$1,0)-MATCH($A$1,[1]characters!$1:$1,0)+1,FALSE)</f>
        <v>格好いい</v>
      </c>
      <c r="F12" s="56" t="str">
        <f ca="1">VLOOKUP($A12,OFFSET([1]characters!$A$1,0,0,COUNTA([1]characters!$A:$A),MATCH(F$1,[1]characters!$1:$1,0)-MATCH($A$1,[1]characters!$1:$1,0)+1),MATCH(F$1,[1]characters!$1:$1,0)-MATCH($A$1,[1]characters!$1:$1,0)+1,FALSE)</f>
        <v>男性</v>
      </c>
      <c r="G12" s="56">
        <f ca="1">VLOOKUP($A12,OFFSET([1]characters!$A$1,0,0,COUNTA([1]characters!$A:$A),MATCH(G$1,[1]characters!$1:$1,0)-MATCH($A$1,[1]characters!$1:$1,0)+1),MATCH(G$1,[1]characters!$1:$1,0)-MATCH($A$1,[1]characters!$1:$1,0)+1,FALSE)</f>
        <v>5</v>
      </c>
      <c r="H12" s="56" t="str">
        <f ca="1">VLOOKUP($A12,OFFSET([1]characters!$A$1,0,0,COUNTA([1]characters!$A:$A),MATCH(H$1,[1]characters!$1:$1,0)-MATCH($A$1,[1]characters!$1:$1,0)+1),MATCH(H$1,[1]characters!$1:$1,0)-MATCH($A$1,[1]characters!$1:$1,0)+1,FALSE)</f>
        <v>PremiumSS</v>
      </c>
      <c r="I12" s="56" t="str">
        <f ca="1">VLOOKUP($A12,OFFSET([1]characters!$A$1,0,0,COUNTA([1]characters!$A:$A),MATCH(I$1,[1]characters!$1:$1,0)-MATCH($A$1,[1]characters!$1:$1,0)+1),MATCH(I$1,[1]characters!$1:$1,0)-MATCH($A$1,[1]characters!$1:$1,0)+1,FALSE)</f>
        <v>green</v>
      </c>
      <c r="J12" s="11">
        <f ca="1">VLOOKUP(I12,[1]属性!$A:$E,2,FALSE)</f>
        <v>1.02</v>
      </c>
      <c r="K12" s="11">
        <f ca="1">VLOOKUP(I12,[1]属性!$A:$E,3,FALSE)</f>
        <v>0.98</v>
      </c>
      <c r="L12" s="11">
        <f ca="1">VLOOKUP(I12,[1]属性!$A:$E,4,FALSE)</f>
        <v>1</v>
      </c>
      <c r="M12" s="11">
        <f ca="1">VLOOKUP(I12,[1]属性!$A:$E,5,FALSE)</f>
        <v>1</v>
      </c>
      <c r="N12" s="11">
        <f ca="1">INDEX(コスト!$A$1:$I$21,MATCH(H12,コスト!$A$1:$A$21,FALSE),MATCH(G12,コスト!$A$1:$I$1,FALSE))</f>
        <v>35</v>
      </c>
      <c r="O12" s="11">
        <f ca="1">INDEX(レベル!$A$1:$I$22,MATCH(H12,レベル!$A$1:$A$22,FALSE),MATCH(G12,レベル!$A$1:$I$1,FALSE))</f>
        <v>80</v>
      </c>
      <c r="P12" s="47">
        <f t="shared" ca="1" si="11"/>
        <v>75</v>
      </c>
      <c r="Q12" s="56" t="str">
        <f ca="1">VLOOKUP($A12,OFFSET([1]characters!$A$1,0,0,COUNTA([1]characters!$A:$A),MATCH(Q$1,[1]characters!$1:$1,0)-MATCH($A$1,[1]characters!$1:$1,0)+1),MATCH(Q$1,[1]characters!$1:$1,0)-MATCH($A$1,[1]characters!$1:$1,0)+1,FALSE)</f>
        <v>technical</v>
      </c>
      <c r="R12" s="5" t="str">
        <f ca="1">VLOOKUP(Q12,[1]character_type_i18n!$A:$H,3,FALSE)</f>
        <v>テクニカルタイプ</v>
      </c>
      <c r="S12" s="11">
        <f ca="1">VLOOKUP(Q12,[1]character_type_i18n!$A:$H,4,FALSE)</f>
        <v>0.9</v>
      </c>
      <c r="T12" s="11">
        <f ca="1">VLOOKUP(Q12,[1]character_type_i18n!$A:$H,5,FALSE)</f>
        <v>0.9</v>
      </c>
      <c r="U12" s="11">
        <f ca="1">VLOOKUP(Q12,[1]character_type_i18n!$A:$H,6,FALSE)</f>
        <v>1</v>
      </c>
      <c r="V12" s="11">
        <f ca="1">VLOOKUP(Q12,[1]character_type_i18n!$A:$H,7,FALSE)</f>
        <v>0.9</v>
      </c>
      <c r="W12" s="56" t="str">
        <f ca="1">VLOOKUP($A12,OFFSET([1]characters!$A$1,0,0,COUNTA([1]characters!$A:$A),MATCH(W$1,[1]characters!$1:$1,0)-MATCH($A$1,[1]characters!$1:$1,0)+1),MATCH(W$1,[1]characters!$1:$1,0)-MATCH($A$1,[1]characters!$1:$1,0)+1,FALSE)</f>
        <v>god</v>
      </c>
      <c r="X12" s="5" t="str">
        <f ca="1">VLOOKUP(W12,[1]character_tribe_i18n!$A:$H,3,FALSE)</f>
        <v>ゴッド</v>
      </c>
      <c r="Y12" s="56" t="str">
        <f ca="1">VLOOKUP($A12,OFFSET([1]characters!$A$1,0,0,COUNTA([1]characters!$A:$A),MATCH(Y$1,[1]characters!$1:$1,0)-MATCH($A$1,[1]characters!$1:$1,0)+1),MATCH(Y$1,[1]characters!$1:$1,0)-MATCH($A$1,[1]characters!$1:$1,0)+1,FALSE)</f>
        <v>none</v>
      </c>
      <c r="Z12" s="5" t="str">
        <f ca="1">VLOOKUP(Y12,[1]character_tribe_i18n!$A:$H,3,FALSE)</f>
        <v>種族なし</v>
      </c>
      <c r="AA12" s="11">
        <f ca="1">VLOOKUP(W12,[1]character_tribe_i18n!$A:$H,4,FALSE)</f>
        <v>0.96</v>
      </c>
      <c r="AB12" s="11">
        <f ca="1">VLOOKUP(W12,[1]character_tribe_i18n!$A:$H,5,FALSE)</f>
        <v>1.02</v>
      </c>
      <c r="AC12" s="11">
        <f ca="1">VLOOKUP(W12,[1]character_tribe_i18n!$A:$H,6,FALSE)</f>
        <v>1</v>
      </c>
      <c r="AD12" s="11">
        <f ca="1">VLOOKUP(W12,[1]character_tribe_i18n!$A:$H,7,FALSE)</f>
        <v>1.02</v>
      </c>
      <c r="AE12" s="9">
        <f t="shared" ref="AE12" si="15">A13</f>
        <v>1070</v>
      </c>
      <c r="AF12" s="61" t="str">
        <f ca="1">IF(AE12="NULL","",VLOOKUP($AE12,OFFSET([1]characters!$A$1,0,0,COUNTA([1]characters!$A:$A),MATCH(AF$1,[1]characters!$1:$1,0)-MATCH($A$1,[1]characters!$1:$1,0)+1),MATCH(AF$1,[1]characters!$1:$1,0)-MATCH($A$1,[1]characters!$1:$1,0)+1,FALSE))</f>
        <v>駆脳する造愛 イシュタル</v>
      </c>
      <c r="AG12" s="5">
        <f t="shared" ca="1" si="0"/>
        <v>1069</v>
      </c>
      <c r="AH12" s="61" t="str">
        <f ca="1">VLOOKUP($AG12,OFFSET([1]characters!$A$1,0,0,COUNTA([1]characters!$A:$A),MATCH(AH$1,[1]characters!$1:$1,0)-MATCH($A$1,[1]characters!$1:$1,0)+1),MATCH(AH$1,[1]characters!$1:$1,0)-MATCH($A$1,[1]characters!$1:$1,0)+1,FALSE)</f>
        <v>イシュタル</v>
      </c>
      <c r="AI12" s="11">
        <f ca="1">IF(AE12="NULL","NULL",VLOOKUP(G12,ビット!$A$2:$B$7,2))</f>
        <v>200000</v>
      </c>
      <c r="AJ12" s="6">
        <v>2</v>
      </c>
      <c r="AK12" s="7" t="str">
        <f t="shared" si="9"/>
        <v>普通</v>
      </c>
      <c r="AL12" s="11" t="str">
        <f ca="1">INDEX(経験値!$A$1:$I$21,MATCH(H12,経験値!$A$1:$A$21,FALSE),MATCH(G12,経験値!$A$1:$I$1,FALSE))</f>
        <v>required_exp_200</v>
      </c>
      <c r="AM12" s="8">
        <f ca="1">VLOOKUP(G12,経験値!$A$28:$B$32,2)</f>
        <v>6400</v>
      </c>
      <c r="AN12" s="17">
        <f ca="1">VLOOKUP(G12,ビット!$G$2:$H$7,2)</f>
        <v>900</v>
      </c>
      <c r="AO12" s="44"/>
      <c r="AP12" s="66">
        <f t="shared" si="6"/>
        <v>1069</v>
      </c>
      <c r="AQ12" s="56" t="str">
        <f ca="1">VLOOKUP($AP12,OFFSET(unit_skills!$A$1,0,0,COUNTA(unit_skills!$A:$A),MATCH(AQ$1,unit_skills!$1:$1,0)-MATCH($AP$1,unit_skills!$1:$1,0)+1),MATCH(AQ$1,unit_skills!$1:$1,0)-MATCH($AP$1,unit_skills!$1:$1,0)+1,FALSE)</f>
        <v>ヴァイオレット・ヴィーナス</v>
      </c>
      <c r="AR12" s="56" t="str">
        <f ca="1">VLOOKUP($AP12,OFFSET(unit_skills!$A$1,0,0,COUNTA(unit_skills!$A:$A),MATCH(AR$1,unit_skills!$1:$1,0)-MATCH($AP$1,unit_skills!$1:$1,0)+1),MATCH(AR$1,unit_skills!$1:$1,0)-MATCH($AP$1,unit_skills!$1:$1,0)+1,FALSE)</f>
        <v>敵1体の残りHPを30%減少+ハートパネルを緑パネルに変換</v>
      </c>
      <c r="AS12" s="56">
        <f ca="1">VLOOKUP($AP12,OFFSET(unit_skills!$A$1,0,0,COUNTA(unit_skills!$A:$A),MATCH(AS$1,unit_skills!$1:$1,0)-MATCH($AP$1,unit_skills!$1:$1,0)+1),MATCH(AS$1,unit_skills!$1:$1,0)-MATCH($AP$1,unit_skills!$1:$1,0)+1,FALSE)</f>
        <v>0</v>
      </c>
      <c r="AT12" s="40">
        <f t="shared" si="7"/>
        <v>1069</v>
      </c>
      <c r="AU12" s="56" t="str">
        <f ca="1">VLOOKUP($AT12,OFFSET(crash_skills!$A$1,0,0,COUNTA(crash_skills!$A:$A),MATCH(AU$1,crash_skills!$1:$1,0)-MATCH($AT$1,crash_skills!$1:$1,0)+1),MATCH(AU$1,crash_skills!$1:$1,0)-MATCH($AT$1,crash_skills!$1:$1,0)+1,FALSE)</f>
        <v>階段状ジッグラト</v>
      </c>
      <c r="AV12" s="56" t="str">
        <f ca="1">VLOOKUP($AT12,OFFSET(crash_skills!$A$1,0,0,COUNTA(crash_skills!$A:$A),MATCH(AV$1,crash_skills!$1:$1,0)-MATCH($AT$1,crash_skills!$1:$1,0)+1),MATCH(AV$1,crash_skills!$1:$1,0)-MATCH($AT$1,crash_skills!$1:$1,0)+1,FALSE)</f>
        <v>1体に特大ダメージ</v>
      </c>
      <c r="AW12" s="56">
        <f ca="1">VLOOKUP($AT12,OFFSET(crash_skills!$A$1,0,0,COUNTA(crash_skills!$A:$A),MATCH(AW$1,crash_skills!$1:$1,0)-MATCH($AT$1,crash_skills!$1:$1,0)+1),MATCH(AW$1,crash_skills!$1:$1,0)-MATCH($AT$1,crash_skills!$1:$1,0)+1,FALSE)</f>
        <v>0</v>
      </c>
      <c r="AX12" s="57">
        <f ca="1">VLOOKUP($A12,OFFSET([1]characters!$A$1,0,0,COUNTA([1]characters!$A:$A),MATCH(AX$1,[1]characters!$1:$1,0)-MATCH($A$1,[1]characters!$1:$1,0)+1),MATCH(AX$1,[1]characters!$1:$1,0)-MATCH($A$1,[1]characters!$1:$1,0)+1,FALSE)</f>
        <v>3</v>
      </c>
      <c r="AY12" s="67">
        <v>1.1299999999999999</v>
      </c>
      <c r="AZ12" s="67">
        <v>1.25</v>
      </c>
      <c r="BA12" s="67">
        <v>0</v>
      </c>
      <c r="BB12" s="67">
        <v>1.07</v>
      </c>
      <c r="BC12" s="11">
        <f ca="1">INDEX('RC6SV'!$A$1:$G$21,MATCH(H12,'RC6SV'!$A$1:$A$21,FALSE),MATCH(G12,'RC6SV'!$A$1:$G$1,FALSE))</f>
        <v>9500</v>
      </c>
      <c r="BD12" s="47">
        <f t="shared" ca="1" si="10"/>
        <v>9500</v>
      </c>
      <c r="BE12" s="11">
        <f t="shared" ca="1" si="3"/>
        <v>0</v>
      </c>
      <c r="BF12" s="11">
        <f t="shared" ca="1" si="4"/>
        <v>1</v>
      </c>
      <c r="BG12" s="16">
        <f ca="1">IF($BE12&lt;=0,ROUND(BK12*0.5,0), ROUND($BE12*S12*AA12*J12*AY12*0.8*[1]ステータス!$B$2,0))</f>
        <v>2365</v>
      </c>
      <c r="BH12" s="16">
        <f ca="1">IF($BE12&lt;=0,ROUND(BL12*0.5,0), ROUND($BE12*T12*AB12*K12*AZ12*0.8*[1]ステータス!$C$2,0))</f>
        <v>1603</v>
      </c>
      <c r="BI12" s="16">
        <f ca="1">IF($BE12&lt;=0,ROUND(BM12*0.5,0), ROUND($BE12*U12*AC12*L12*BA12*0.8*[1]ステータス!$D$2,0))</f>
        <v>0</v>
      </c>
      <c r="BJ12" s="16">
        <f ca="1">IF($BE12&lt;=0,ROUND(BN12*0.5,0), ROUND($BE12*V12*AD12*M12*BB12*0.8*[1]ステータス!$E$2,0))</f>
        <v>1167</v>
      </c>
      <c r="BK12" s="11">
        <f ca="1">ROUND(BD12*S12*AA12*J12*AY12*[1]ステータス!$B$2,0)</f>
        <v>4730</v>
      </c>
      <c r="BL12" s="11">
        <f ca="1">ROUND(BD12*T12*AB12*K12*AZ12*[1]ステータス!$C$2,0)</f>
        <v>3205</v>
      </c>
      <c r="BM12" s="11">
        <f ca="1">ROUND(BD12*U12*AC12*L12*BA12*[1]ステータス!$D$2,0)</f>
        <v>0</v>
      </c>
      <c r="BN12" s="11">
        <f ca="1">ROUND(BD12*V12*AD12*M12*BB12*[1]ステータス!$E$2,0)</f>
        <v>2333</v>
      </c>
      <c r="BO12" s="10">
        <v>0</v>
      </c>
      <c r="BP12" s="10">
        <v>1</v>
      </c>
      <c r="BQ12" s="10" t="s">
        <v>47</v>
      </c>
      <c r="BR12" s="10">
        <f ca="1">VLOOKUP(H12,ghosts_label!$A$2:$B$19,2,FALSE)</f>
        <v>5500</v>
      </c>
    </row>
    <row r="13" spans="1:70" ht="26" customHeight="1" x14ac:dyDescent="0.15">
      <c r="A13" s="12">
        <v>1070</v>
      </c>
      <c r="B13" s="56" t="str">
        <f ca="1">VLOOKUP($A13,OFFSET([1]characters!$A$1,0,0,COUNTA([1]characters!$A:$A),MATCH(B$1,[1]characters!$1:$1,0)-MATCH($A$1,[1]characters!$1:$1,0)+1),MATCH(B$1,[1]characters!$1:$1,0)-MATCH($A$1,[1]characters!$1:$1,0)+1,FALSE)</f>
        <v>駆脳する造愛 イシュタル</v>
      </c>
      <c r="C13" s="56" t="str">
        <f ca="1">VLOOKUP($A13,OFFSET([1]characters!$A$1,0,0,COUNTA([1]characters!$A:$A),MATCH(C$1,[1]characters!$1:$1,0)-MATCH($A$1,[1]characters!$1:$1,0)+1),MATCH(C$1,[1]characters!$1:$1,0)-MATCH($A$1,[1]characters!$1:$1,0)+1,FALSE)</f>
        <v>イザナミ_分岐</v>
      </c>
      <c r="D13" s="56" t="str">
        <f ca="1">VLOOKUP($A13,OFFSET([1]characters!$A$1,0,0,COUNTA([1]characters!$A:$A),MATCH(D$1,[1]characters!$1:$1,0)-MATCH($A$1,[1]characters!$1:$1,0)+1),MATCH(D$1,[1]characters!$1:$1,0)-MATCH($A$1,[1]characters!$1:$1,0)+1,FALSE)</f>
        <v>執行者</v>
      </c>
      <c r="E13" s="56" t="str">
        <f ca="1">VLOOKUP($A13,OFFSET([1]characters!$A$1,0,0,COUNTA([1]characters!$A:$A),MATCH(E$1,[1]characters!$1:$1,0)-MATCH($A$1,[1]characters!$1:$1,0)+1),MATCH(E$1,[1]characters!$1:$1,0)-MATCH($A$1,[1]characters!$1:$1,0)+1,FALSE)</f>
        <v>格好いい</v>
      </c>
      <c r="F13" s="56" t="str">
        <f ca="1">VLOOKUP($A13,OFFSET([1]characters!$A$1,0,0,COUNTA([1]characters!$A:$A),MATCH(F$1,[1]characters!$1:$1,0)-MATCH($A$1,[1]characters!$1:$1,0)+1),MATCH(F$1,[1]characters!$1:$1,0)-MATCH($A$1,[1]characters!$1:$1,0)+1,FALSE)</f>
        <v>男性</v>
      </c>
      <c r="G13" s="56">
        <f ca="1">VLOOKUP($A13,OFFSET([1]characters!$A$1,0,0,COUNTA([1]characters!$A:$A),MATCH(G$1,[1]characters!$1:$1,0)-MATCH($A$1,[1]characters!$1:$1,0)+1),MATCH(G$1,[1]characters!$1:$1,0)-MATCH($A$1,[1]characters!$1:$1,0)+1,FALSE)</f>
        <v>6</v>
      </c>
      <c r="H13" s="56" t="str">
        <f ca="1">VLOOKUP($A13,OFFSET([1]characters!$A$1,0,0,COUNTA([1]characters!$A:$A),MATCH(H$1,[1]characters!$1:$1,0)-MATCH($A$1,[1]characters!$1:$1,0)+1),MATCH(H$1,[1]characters!$1:$1,0)-MATCH($A$1,[1]characters!$1:$1,0)+1,FALSE)</f>
        <v>PremiumSS</v>
      </c>
      <c r="I13" s="56" t="str">
        <f ca="1">VLOOKUP($A13,OFFSET([1]characters!$A$1,0,0,COUNTA([1]characters!$A:$A),MATCH(I$1,[1]characters!$1:$1,0)-MATCH($A$1,[1]characters!$1:$1,0)+1),MATCH(I$1,[1]characters!$1:$1,0)-MATCH($A$1,[1]characters!$1:$1,0)+1,FALSE)</f>
        <v>green</v>
      </c>
      <c r="J13" s="11">
        <f ca="1">VLOOKUP(I13,[1]属性!$A:$E,2,FALSE)</f>
        <v>1.02</v>
      </c>
      <c r="K13" s="11">
        <f ca="1">VLOOKUP(I13,[1]属性!$A:$E,3,FALSE)</f>
        <v>0.98</v>
      </c>
      <c r="L13" s="11">
        <f ca="1">VLOOKUP(I13,[1]属性!$A:$E,4,FALSE)</f>
        <v>1</v>
      </c>
      <c r="M13" s="11">
        <f ca="1">VLOOKUP(I13,[1]属性!$A:$E,5,FALSE)</f>
        <v>1</v>
      </c>
      <c r="N13" s="11">
        <f ca="1">INDEX(コスト!$A$1:$I$21,MATCH(H13,コスト!$A$1:$A$21,FALSE),MATCH(G13,コスト!$A$1:$I$1,FALSE))</f>
        <v>50</v>
      </c>
      <c r="O13" s="11">
        <f ca="1">INDEX(レベル!$A$1:$I$22,MATCH(H13,レベル!$A$1:$A$22,FALSE),MATCH(G13,レベル!$A$1:$I$1,FALSE))</f>
        <v>99</v>
      </c>
      <c r="P13" s="47">
        <f t="shared" ca="1" si="11"/>
        <v>99</v>
      </c>
      <c r="Q13" s="56" t="str">
        <f ca="1">VLOOKUP($A13,OFFSET([1]characters!$A$1,0,0,COUNTA([1]characters!$A:$A),MATCH(Q$1,[1]characters!$1:$1,0)-MATCH($A$1,[1]characters!$1:$1,0)+1),MATCH(Q$1,[1]characters!$1:$1,0)-MATCH($A$1,[1]characters!$1:$1,0)+1,FALSE)</f>
        <v>technical</v>
      </c>
      <c r="R13" s="5" t="str">
        <f ca="1">VLOOKUP(Q13,[1]character_type_i18n!$A:$H,3,FALSE)</f>
        <v>テクニカルタイプ</v>
      </c>
      <c r="S13" s="11">
        <f ca="1">VLOOKUP(Q13,[1]character_type_i18n!$A:$H,4,FALSE)</f>
        <v>0.9</v>
      </c>
      <c r="T13" s="11">
        <f ca="1">VLOOKUP(Q13,[1]character_type_i18n!$A:$H,5,FALSE)</f>
        <v>0.9</v>
      </c>
      <c r="U13" s="11">
        <f ca="1">VLOOKUP(Q13,[1]character_type_i18n!$A:$H,6,FALSE)</f>
        <v>1</v>
      </c>
      <c r="V13" s="11">
        <f ca="1">VLOOKUP(Q13,[1]character_type_i18n!$A:$H,7,FALSE)</f>
        <v>0.9</v>
      </c>
      <c r="W13" s="56" t="str">
        <f ca="1">VLOOKUP($A13,OFFSET([1]characters!$A$1,0,0,COUNTA([1]characters!$A:$A),MATCH(W$1,[1]characters!$1:$1,0)-MATCH($A$1,[1]characters!$1:$1,0)+1),MATCH(W$1,[1]characters!$1:$1,0)-MATCH($A$1,[1]characters!$1:$1,0)+1,FALSE)</f>
        <v>god</v>
      </c>
      <c r="X13" s="5" t="str">
        <f ca="1">VLOOKUP(W13,[1]character_tribe_i18n!$A:$H,3,FALSE)</f>
        <v>ゴッド</v>
      </c>
      <c r="Y13" s="56" t="str">
        <f ca="1">VLOOKUP($A13,OFFSET([1]characters!$A$1,0,0,COUNTA([1]characters!$A:$A),MATCH(Y$1,[1]characters!$1:$1,0)-MATCH($A$1,[1]characters!$1:$1,0)+1),MATCH(Y$1,[1]characters!$1:$1,0)-MATCH($A$1,[1]characters!$1:$1,0)+1,FALSE)</f>
        <v>none</v>
      </c>
      <c r="Z13" s="5" t="str">
        <f ca="1">VLOOKUP(Y13,[1]character_tribe_i18n!$A:$H,3,FALSE)</f>
        <v>種族なし</v>
      </c>
      <c r="AA13" s="11">
        <f ca="1">VLOOKUP(W13,[1]character_tribe_i18n!$A:$H,4,FALSE)</f>
        <v>0.96</v>
      </c>
      <c r="AB13" s="11">
        <f ca="1">VLOOKUP(W13,[1]character_tribe_i18n!$A:$H,5,FALSE)</f>
        <v>1.02</v>
      </c>
      <c r="AC13" s="11">
        <f ca="1">VLOOKUP(W13,[1]character_tribe_i18n!$A:$H,6,FALSE)</f>
        <v>1</v>
      </c>
      <c r="AD13" s="11">
        <f ca="1">VLOOKUP(W13,[1]character_tribe_i18n!$A:$H,7,FALSE)</f>
        <v>1.02</v>
      </c>
      <c r="AE13" s="9" t="s">
        <v>183</v>
      </c>
      <c r="AF13" s="61" t="str">
        <f ca="1">IF(AE13="NULL","",VLOOKUP($AE13,OFFSET([1]characters!$A$1,0,0,COUNTA([1]characters!$A:$A),MATCH(AF$1,[1]characters!$1:$1,0)-MATCH($A$1,[1]characters!$1:$1,0)+1),MATCH(AF$1,[1]characters!$1:$1,0)-MATCH($A$1,[1]characters!$1:$1,0)+1,FALSE))</f>
        <v/>
      </c>
      <c r="AG13" s="5">
        <f t="shared" ca="1" si="0"/>
        <v>1069</v>
      </c>
      <c r="AH13" s="61" t="str">
        <f ca="1">VLOOKUP($AG13,OFFSET([1]characters!$A$1,0,0,COUNTA([1]characters!$A:$A),MATCH(AH$1,[1]characters!$1:$1,0)-MATCH($A$1,[1]characters!$1:$1,0)+1),MATCH(AH$1,[1]characters!$1:$1,0)-MATCH($A$1,[1]characters!$1:$1,0)+1,FALSE)</f>
        <v>イシュタル</v>
      </c>
      <c r="AI13" s="11" t="str">
        <f>IF(AE13="NULL","NULL",VLOOKUP(G13,ビット!$A$2:$B$7,2))</f>
        <v>NULL</v>
      </c>
      <c r="AJ13" s="6">
        <v>2</v>
      </c>
      <c r="AK13" s="7" t="str">
        <f t="shared" si="9"/>
        <v>普通</v>
      </c>
      <c r="AL13" s="11" t="str">
        <f ca="1">INDEX(経験値!$A$1:$I$21,MATCH(H13,経験値!$A$1:$A$21,FALSE),MATCH(G13,経験値!$A$1:$I$1,FALSE))</f>
        <v>required_exp_250</v>
      </c>
      <c r="AM13" s="8">
        <f ca="1">VLOOKUP(G13,経験値!$A$28:$B$32,2)</f>
        <v>6400</v>
      </c>
      <c r="AN13" s="17">
        <f ca="1">VLOOKUP(G13,ビット!$G$2:$H$7,2)</f>
        <v>900</v>
      </c>
      <c r="AO13" s="44"/>
      <c r="AP13" s="66">
        <f t="shared" si="6"/>
        <v>1070</v>
      </c>
      <c r="AQ13" s="56" t="str">
        <f ca="1">VLOOKUP($AP13,OFFSET(unit_skills!$A$1,0,0,COUNTA(unit_skills!$A:$A),MATCH(AQ$1,unit_skills!$1:$1,0)-MATCH($AP$1,unit_skills!$1:$1,0)+1),MATCH(AQ$1,unit_skills!$1:$1,0)-MATCH($AP$1,unit_skills!$1:$1,0)+1,FALSE)</f>
        <v>ヴァリアブル・ヴィーナス</v>
      </c>
      <c r="AR13" s="56" t="str">
        <f ca="1">VLOOKUP($AP13,OFFSET(unit_skills!$A$1,0,0,COUNTA(unit_skills!$A:$A),MATCH(AR$1,unit_skills!$1:$1,0)-MATCH($AP$1,unit_skills!$1:$1,0)+1),MATCH(AR$1,unit_skills!$1:$1,0)-MATCH($AP$1,unit_skills!$1:$1,0)+1,FALSE)</f>
        <v>敵1体の残りHPを30%減少+時限式ダメージパネルを緑ボムパネルに、ダメージパネルを黄パネルに変換</v>
      </c>
      <c r="AS13" s="56">
        <f ca="1">VLOOKUP($AP13,OFFSET(unit_skills!$A$1,0,0,COUNTA(unit_skills!$A:$A),MATCH(AS$1,unit_skills!$1:$1,0)-MATCH($AP$1,unit_skills!$1:$1,0)+1),MATCH(AS$1,unit_skills!$1:$1,0)-MATCH($AP$1,unit_skills!$1:$1,0)+1,FALSE)</f>
        <v>0</v>
      </c>
      <c r="AT13" s="40">
        <f t="shared" si="7"/>
        <v>1070</v>
      </c>
      <c r="AU13" s="56" t="str">
        <f ca="1">VLOOKUP($AT13,OFFSET(crash_skills!$A$1,0,0,COUNTA(crash_skills!$A:$A),MATCH(AU$1,crash_skills!$1:$1,0)-MATCH($AT$1,crash_skills!$1:$1,0)+1),MATCH(AU$1,crash_skills!$1:$1,0)-MATCH($AT$1,crash_skills!$1:$1,0)+1,FALSE)</f>
        <v>天段上ジッグラト</v>
      </c>
      <c r="AV13" s="56" t="str">
        <f ca="1">VLOOKUP($AT13,OFFSET(crash_skills!$A$1,0,0,COUNTA(crash_skills!$A:$A),MATCH(AV$1,crash_skills!$1:$1,0)-MATCH($AT$1,crash_skills!$1:$1,0)+1),MATCH(AV$1,crash_skills!$1:$1,0)-MATCH($AT$1,crash_skills!$1:$1,0)+1,FALSE)</f>
        <v>1体に超大ダメージ</v>
      </c>
      <c r="AW13" s="56">
        <f ca="1">VLOOKUP($AT13,OFFSET(crash_skills!$A$1,0,0,COUNTA(crash_skills!$A:$A),MATCH(AW$1,crash_skills!$1:$1,0)-MATCH($AT$1,crash_skills!$1:$1,0)+1),MATCH(AW$1,crash_skills!$1:$1,0)-MATCH($AT$1,crash_skills!$1:$1,0)+1,FALSE)</f>
        <v>0</v>
      </c>
      <c r="AX13" s="57">
        <f ca="1">VLOOKUP($A13,OFFSET([1]characters!$A$1,0,0,COUNTA([1]characters!$A:$A),MATCH(AX$1,[1]characters!$1:$1,0)-MATCH($A$1,[1]characters!$1:$1,0)+1),MATCH(AX$1,[1]characters!$1:$1,0)-MATCH($A$1,[1]characters!$1:$1,0)+1,FALSE)</f>
        <v>3</v>
      </c>
      <c r="AY13" s="67">
        <v>1.1299999999999999</v>
      </c>
      <c r="AZ13" s="67">
        <v>1.25</v>
      </c>
      <c r="BA13" s="67">
        <v>0</v>
      </c>
      <c r="BB13" s="67">
        <v>1.07</v>
      </c>
      <c r="BC13" s="11">
        <f ca="1">INDEX('RC6SV'!$A$1:$G$21,MATCH(H13,'RC6SV'!$A$1:$A$21,FALSE),MATCH(G13,'RC6SV'!$A$1:$G$1,FALSE))</f>
        <v>13000</v>
      </c>
      <c r="BD13" s="47">
        <f t="shared" ca="1" si="10"/>
        <v>13000</v>
      </c>
      <c r="BE13" s="11">
        <f t="shared" ca="1" si="3"/>
        <v>9500</v>
      </c>
      <c r="BF13" s="11">
        <f t="shared" ca="1" si="4"/>
        <v>1</v>
      </c>
      <c r="BG13" s="16">
        <f ca="1">IF($BE13&lt;=0,ROUND(BK13*0.5,0), ROUND($BE13*S13*AA13*J13*AY13*0.8*[1]ステータス!$B$2,0))</f>
        <v>3784</v>
      </c>
      <c r="BH13" s="16">
        <f ca="1">IF($BE13&lt;=0,ROUND(BL13*0.5,0), ROUND($BE13*T13*AB13*K13*AZ13*0.8*[1]ステータス!$C$2,0))</f>
        <v>2564</v>
      </c>
      <c r="BI13" s="16">
        <f ca="1">IF($BE13&lt;=0,ROUND(BM13*0.5,0), ROUND($BE13*U13*AC13*L13*BA13*0.8*[1]ステータス!$D$2,0))</f>
        <v>0</v>
      </c>
      <c r="BJ13" s="16">
        <f ca="1">IF($BE13&lt;=0,ROUND(BN13*0.5,0), ROUND($BE13*V13*AD13*M13*BB13*0.8*[1]ステータス!$E$2,0))</f>
        <v>1866</v>
      </c>
      <c r="BK13" s="11">
        <f ca="1">ROUND(BD13*S13*AA13*J13*AY13*[1]ステータス!$B$2,0)</f>
        <v>6473</v>
      </c>
      <c r="BL13" s="11">
        <f ca="1">ROUND(BD13*T13*AB13*K13*AZ13*[1]ステータス!$C$2,0)</f>
        <v>4386</v>
      </c>
      <c r="BM13" s="11">
        <f ca="1">ROUND(BD13*U13*AC13*L13*BA13*[1]ステータス!$D$2,0)</f>
        <v>0</v>
      </c>
      <c r="BN13" s="11">
        <f ca="1">ROUND(BD13*V13*AD13*M13*BB13*[1]ステータス!$E$2,0)</f>
        <v>3192</v>
      </c>
      <c r="BO13" s="10">
        <v>0</v>
      </c>
      <c r="BP13" s="10">
        <v>1</v>
      </c>
      <c r="BQ13" s="10" t="s">
        <v>47</v>
      </c>
      <c r="BR13" s="10">
        <f ca="1">VLOOKUP(H13,ghosts_label!$A$2:$B$19,2,FALSE)</f>
        <v>5500</v>
      </c>
    </row>
    <row r="14" spans="1:70" ht="26" customHeight="1" x14ac:dyDescent="0.15">
      <c r="A14" s="12">
        <v>1072</v>
      </c>
      <c r="B14" s="56" t="str">
        <f ca="1">VLOOKUP($A14,OFFSET([1]characters!$A$1,0,0,COUNTA([1]characters!$A:$A),MATCH(B$1,[1]characters!$1:$1,0)-MATCH($A$1,[1]characters!$1:$1,0)+1),MATCH(B$1,[1]characters!$1:$1,0)-MATCH($A$1,[1]characters!$1:$1,0)+1,FALSE)</f>
        <v>エンキドゥ</v>
      </c>
      <c r="C14" s="56" t="str">
        <f ca="1">VLOOKUP($A14,OFFSET([1]characters!$A$1,0,0,COUNTA([1]characters!$A:$A),MATCH(C$1,[1]characters!$1:$1,0)-MATCH($A$1,[1]characters!$1:$1,0)+1),MATCH(C$1,[1]characters!$1:$1,0)-MATCH($A$1,[1]characters!$1:$1,0)+1,FALSE)</f>
        <v>イザナミ_分岐</v>
      </c>
      <c r="D14" s="56" t="str">
        <f ca="1">VLOOKUP($A14,OFFSET([1]characters!$A$1,0,0,COUNTA([1]characters!$A:$A),MATCH(D$1,[1]characters!$1:$1,0)-MATCH($A$1,[1]characters!$1:$1,0)+1),MATCH(D$1,[1]characters!$1:$1,0)-MATCH($A$1,[1]characters!$1:$1,0)+1,FALSE)</f>
        <v>執行者</v>
      </c>
      <c r="E14" s="56" t="str">
        <f ca="1">VLOOKUP($A14,OFFSET([1]characters!$A$1,0,0,COUNTA([1]characters!$A:$A),MATCH(E$1,[1]characters!$1:$1,0)-MATCH($A$1,[1]characters!$1:$1,0)+1),MATCH(E$1,[1]characters!$1:$1,0)-MATCH($A$1,[1]characters!$1:$1,0)+1,FALSE)</f>
        <v>格好いい</v>
      </c>
      <c r="F14" s="56" t="str">
        <f ca="1">VLOOKUP($A14,OFFSET([1]characters!$A$1,0,0,COUNTA([1]characters!$A:$A),MATCH(F$1,[1]characters!$1:$1,0)-MATCH($A$1,[1]characters!$1:$1,0)+1),MATCH(F$1,[1]characters!$1:$1,0)-MATCH($A$1,[1]characters!$1:$1,0)+1,FALSE)</f>
        <v>男性</v>
      </c>
      <c r="G14" s="56">
        <f ca="1">VLOOKUP($A14,OFFSET([1]characters!$A$1,0,0,COUNTA([1]characters!$A:$A),MATCH(G$1,[1]characters!$1:$1,0)-MATCH($A$1,[1]characters!$1:$1,0)+1),MATCH(G$1,[1]characters!$1:$1,0)-MATCH($A$1,[1]characters!$1:$1,0)+1,FALSE)</f>
        <v>5</v>
      </c>
      <c r="H14" s="56" t="str">
        <f ca="1">VLOOKUP($A14,OFFSET([1]characters!$A$1,0,0,COUNTA([1]characters!$A:$A),MATCH(H$1,[1]characters!$1:$1,0)-MATCH($A$1,[1]characters!$1:$1,0)+1),MATCH(H$1,[1]characters!$1:$1,0)-MATCH($A$1,[1]characters!$1:$1,0)+1,FALSE)</f>
        <v>PremiumSSw</v>
      </c>
      <c r="I14" s="56" t="str">
        <f ca="1">VLOOKUP($A14,OFFSET([1]characters!$A$1,0,0,COUNTA([1]characters!$A:$A),MATCH(I$1,[1]characters!$1:$1,0)-MATCH($A$1,[1]characters!$1:$1,0)+1),MATCH(I$1,[1]characters!$1:$1,0)-MATCH($A$1,[1]characters!$1:$1,0)+1,FALSE)</f>
        <v>blue</v>
      </c>
      <c r="J14" s="11">
        <f ca="1">VLOOKUP(I14,[1]属性!$A:$E,2,FALSE)</f>
        <v>1</v>
      </c>
      <c r="K14" s="11">
        <f ca="1">VLOOKUP(I14,[1]属性!$A:$E,3,FALSE)</f>
        <v>0.98</v>
      </c>
      <c r="L14" s="11">
        <f ca="1">VLOOKUP(I14,[1]属性!$A:$E,4,FALSE)</f>
        <v>1</v>
      </c>
      <c r="M14" s="11">
        <f ca="1">VLOOKUP(I14,[1]属性!$A:$E,5,FALSE)</f>
        <v>1.02</v>
      </c>
      <c r="N14" s="11">
        <f ca="1">INDEX(コスト!$A$1:$I$21,MATCH(H14,コスト!$A$1:$A$21,FALSE),MATCH(G14,コスト!$A$1:$I$1,FALSE))</f>
        <v>38</v>
      </c>
      <c r="O14" s="11">
        <f ca="1">INDEX(レベル!$A$1:$I$22,MATCH(H14,レベル!$A$1:$A$22,FALSE),MATCH(G14,レベル!$A$1:$I$1,FALSE))</f>
        <v>80</v>
      </c>
      <c r="P14" s="47">
        <f t="shared" ca="1" si="11"/>
        <v>75</v>
      </c>
      <c r="Q14" s="56" t="str">
        <f ca="1">VLOOKUP($A14,OFFSET([1]characters!$A$1,0,0,COUNTA([1]characters!$A:$A),MATCH(Q$1,[1]characters!$1:$1,0)-MATCH($A$1,[1]characters!$1:$1,0)+1),MATCH(Q$1,[1]characters!$1:$1,0)-MATCH($A$1,[1]characters!$1:$1,0)+1,FALSE)</f>
        <v>attack</v>
      </c>
      <c r="R14" s="5" t="str">
        <f ca="1">VLOOKUP(Q14,[1]character_type_i18n!$A:$H,3,FALSE)</f>
        <v>攻撃タイプ</v>
      </c>
      <c r="S14" s="11">
        <f ca="1">VLOOKUP(Q14,[1]character_type_i18n!$A:$H,4,FALSE)</f>
        <v>1</v>
      </c>
      <c r="T14" s="11">
        <f ca="1">VLOOKUP(Q14,[1]character_type_i18n!$A:$H,5,FALSE)</f>
        <v>1.33</v>
      </c>
      <c r="U14" s="11">
        <f ca="1">VLOOKUP(Q14,[1]character_type_i18n!$A:$H,6,FALSE)</f>
        <v>1</v>
      </c>
      <c r="V14" s="11">
        <f ca="1">VLOOKUP(Q14,[1]character_type_i18n!$A:$H,7,FALSE)</f>
        <v>0.67</v>
      </c>
      <c r="W14" s="56" t="str">
        <f ca="1">VLOOKUP($A14,OFFSET([1]characters!$A$1,0,0,COUNTA([1]characters!$A:$A),MATCH(W$1,[1]characters!$1:$1,0)-MATCH($A$1,[1]characters!$1:$1,0)+1),MATCH(W$1,[1]characters!$1:$1,0)-MATCH($A$1,[1]characters!$1:$1,0)+1,FALSE)</f>
        <v>human</v>
      </c>
      <c r="X14" s="5" t="str">
        <f ca="1">VLOOKUP(W14,[1]character_tribe_i18n!$A:$H,3,FALSE)</f>
        <v>ヒューマン</v>
      </c>
      <c r="Y14" s="56" t="str">
        <f ca="1">VLOOKUP($A14,OFFSET([1]characters!$A$1,0,0,COUNTA([1]characters!$A:$A),MATCH(Y$1,[1]characters!$1:$1,0)-MATCH($A$1,[1]characters!$1:$1,0)+1),MATCH(Y$1,[1]characters!$1:$1,0)-MATCH($A$1,[1]characters!$1:$1,0)+1,FALSE)</f>
        <v>animal</v>
      </c>
      <c r="Z14" s="5" t="str">
        <f ca="1">VLOOKUP(Y14,[1]character_tribe_i18n!$A:$H,3,FALSE)</f>
        <v>アニマル</v>
      </c>
      <c r="AA14" s="11">
        <f ca="1">VLOOKUP(W14,[1]character_tribe_i18n!$A:$H,4,FALSE)</f>
        <v>0.94</v>
      </c>
      <c r="AB14" s="11">
        <f ca="1">VLOOKUP(W14,[1]character_tribe_i18n!$A:$H,5,FALSE)</f>
        <v>0.99</v>
      </c>
      <c r="AC14" s="11">
        <f ca="1">VLOOKUP(W14,[1]character_tribe_i18n!$A:$H,6,FALSE)</f>
        <v>1</v>
      </c>
      <c r="AD14" s="11">
        <f ca="1">VLOOKUP(W14,[1]character_tribe_i18n!$A:$H,7,FALSE)</f>
        <v>1.07</v>
      </c>
      <c r="AE14" s="9">
        <f t="shared" ref="AE14" si="16">A15</f>
        <v>1073</v>
      </c>
      <c r="AF14" s="61" t="str">
        <f ca="1">IF(AE14="NULL","",VLOOKUP($AE14,OFFSET([1]characters!$A$1,0,0,COUNTA([1]characters!$A:$A),MATCH(AF$1,[1]characters!$1:$1,0)-MATCH($A$1,[1]characters!$1:$1,0)+1),MATCH(AF$1,[1]characters!$1:$1,0)-MATCH($A$1,[1]characters!$1:$1,0)+1,FALSE))</f>
        <v>静穏なる獣勇 エンキドゥ</v>
      </c>
      <c r="AG14" s="5">
        <f t="shared" ca="1" si="0"/>
        <v>1072</v>
      </c>
      <c r="AH14" s="61" t="str">
        <f ca="1">VLOOKUP($AG14,OFFSET([1]characters!$A$1,0,0,COUNTA([1]characters!$A:$A),MATCH(AH$1,[1]characters!$1:$1,0)-MATCH($A$1,[1]characters!$1:$1,0)+1),MATCH(AH$1,[1]characters!$1:$1,0)-MATCH($A$1,[1]characters!$1:$1,0)+1,FALSE)</f>
        <v>エンキドゥ</v>
      </c>
      <c r="AI14" s="11">
        <f ca="1">IF(AE14="NULL","NULL",VLOOKUP(G14,ビット!$A$2:$B$7,2))</f>
        <v>200000</v>
      </c>
      <c r="AJ14" s="6">
        <v>2</v>
      </c>
      <c r="AK14" s="7" t="str">
        <f t="shared" si="9"/>
        <v>普通</v>
      </c>
      <c r="AL14" s="11" t="str">
        <f ca="1">INDEX(経験値!$A$1:$I$21,MATCH(H14,経験値!$A$1:$A$21,FALSE),MATCH(G14,経験値!$A$1:$I$1,FALSE))</f>
        <v>required_exp_200</v>
      </c>
      <c r="AM14" s="8">
        <f ca="1">VLOOKUP(G14,経験値!$A$28:$B$32,2)</f>
        <v>6400</v>
      </c>
      <c r="AN14" s="17">
        <f ca="1">VLOOKUP(G14,ビット!$G$2:$H$7,2)</f>
        <v>900</v>
      </c>
      <c r="AO14" s="44"/>
      <c r="AP14" s="66">
        <f t="shared" si="6"/>
        <v>1072</v>
      </c>
      <c r="AQ14" s="56" t="str">
        <f ca="1">VLOOKUP($AP14,OFFSET(unit_skills!$A$1,0,0,COUNTA(unit_skills!$A:$A),MATCH(AQ$1,unit_skills!$1:$1,0)-MATCH($AP$1,unit_skills!$1:$1,0)+1),MATCH(AQ$1,unit_skills!$1:$1,0)-MATCH($AP$1,unit_skills!$1:$1,0)+1,FALSE)</f>
        <v>両断ティアリング</v>
      </c>
      <c r="AR14" s="56" t="str">
        <f ca="1">VLOOKUP($AP14,OFFSET(unit_skills!$A$1,0,0,COUNTA(unit_skills!$A:$A),MATCH(AR$1,unit_skills!$1:$1,0)-MATCH($AP$1,unit_skills!$1:$1,0)+1),MATCH(AR$1,unit_skills!$1:$1,0)-MATCH($AP$1,unit_skills!$1:$1,0)+1,FALSE)</f>
        <v>ハートパネルを青パネルに変換+1ターン青属性の攻撃力をUP(黄パネルを吸収し効果超大UP)し、黄パネルが出現しなくなる</v>
      </c>
      <c r="AS14" s="56">
        <f ca="1">VLOOKUP($AP14,OFFSET(unit_skills!$A$1,0,0,COUNTA(unit_skills!$A:$A),MATCH(AS$1,unit_skills!$1:$1,0)-MATCH($AP$1,unit_skills!$1:$1,0)+1),MATCH(AS$1,unit_skills!$1:$1,0)-MATCH($AP$1,unit_skills!$1:$1,0)+1,FALSE)</f>
        <v>0</v>
      </c>
      <c r="AT14" s="40">
        <f t="shared" si="7"/>
        <v>1072</v>
      </c>
      <c r="AU14" s="56" t="str">
        <f ca="1">VLOOKUP($AT14,OFFSET(crash_skills!$A$1,0,0,COUNTA(crash_skills!$A:$A),MATCH(AU$1,crash_skills!$1:$1,0)-MATCH($AT$1,crash_skills!$1:$1,0)+1),MATCH(AU$1,crash_skills!$1:$1,0)-MATCH($AT$1,crash_skills!$1:$1,0)+1,FALSE)</f>
        <v>ニヌルタ直伝・斧剣勇技</v>
      </c>
      <c r="AV14" s="56" t="str">
        <f ca="1">VLOOKUP($AT14,OFFSET(crash_skills!$A$1,0,0,COUNTA(crash_skills!$A:$A),MATCH(AV$1,crash_skills!$1:$1,0)-MATCH($AT$1,crash_skills!$1:$1,0)+1),MATCH(AV$1,crash_skills!$1:$1,0)-MATCH($AT$1,crash_skills!$1:$1,0)+1,FALSE)</f>
        <v>1体に特大ダメージ</v>
      </c>
      <c r="AW14" s="56">
        <f ca="1">VLOOKUP($AT14,OFFSET(crash_skills!$A$1,0,0,COUNTA(crash_skills!$A:$A),MATCH(AW$1,crash_skills!$1:$1,0)-MATCH($AT$1,crash_skills!$1:$1,0)+1),MATCH(AW$1,crash_skills!$1:$1,0)-MATCH($AT$1,crash_skills!$1:$1,0)+1,FALSE)</f>
        <v>0</v>
      </c>
      <c r="AX14" s="57">
        <f ca="1">VLOOKUP($A14,OFFSET([1]characters!$A$1,0,0,COUNTA([1]characters!$A:$A),MATCH(AX$1,[1]characters!$1:$1,0)-MATCH($A$1,[1]characters!$1:$1,0)+1),MATCH(AX$1,[1]characters!$1:$1,0)-MATCH($A$1,[1]characters!$1:$1,0)+1,FALSE)</f>
        <v>3</v>
      </c>
      <c r="AY14" s="67">
        <v>1.03</v>
      </c>
      <c r="AZ14" s="67">
        <v>1.02</v>
      </c>
      <c r="BA14" s="67">
        <v>0</v>
      </c>
      <c r="BB14" s="67">
        <v>0.9</v>
      </c>
      <c r="BC14" s="11">
        <f ca="1">INDEX('RC6SV'!$A$1:$G$21,MATCH(H14,'RC6SV'!$A$1:$A$21,FALSE),MATCH(G14,'RC6SV'!$A$1:$G$1,FALSE))</f>
        <v>10000</v>
      </c>
      <c r="BD14" s="47">
        <f t="shared" ca="1" si="10"/>
        <v>10000</v>
      </c>
      <c r="BE14" s="11">
        <f t="shared" ca="1" si="3"/>
        <v>0</v>
      </c>
      <c r="BF14" s="11">
        <f t="shared" ca="1" si="4"/>
        <v>1</v>
      </c>
      <c r="BG14" s="16">
        <f ca="1">IF($BE14&lt;=0,ROUND(BK14*0.5,0), ROUND($BE14*S14*AA14*J14*AY14*0.8*[1]ステータス!$B$2,0))</f>
        <v>2421</v>
      </c>
      <c r="BH14" s="16">
        <f ca="1">IF($BE14&lt;=0,ROUND(BL14*0.5,0), ROUND($BE14*T14*AB14*K14*AZ14*0.8*[1]ステータス!$C$2,0))</f>
        <v>1975</v>
      </c>
      <c r="BI14" s="16">
        <f ca="1">IF($BE14&lt;=0,ROUND(BM14*0.5,0), ROUND($BE14*U14*AC14*L14*BA14*0.8*[1]ステータス!$D$2,0))</f>
        <v>0</v>
      </c>
      <c r="BJ14" s="16">
        <f ca="1">IF($BE14&lt;=0,ROUND(BN14*0.5,0), ROUND($BE14*V14*AD14*M14*BB14*0.8*[1]ステータス!$E$2,0))</f>
        <v>823</v>
      </c>
      <c r="BK14" s="11">
        <f ca="1">ROUND(BD14*S14*AA14*J14*AY14*[1]ステータス!$B$2,0)</f>
        <v>4841</v>
      </c>
      <c r="BL14" s="11">
        <f ca="1">ROUND(BD14*T14*AB14*K14*AZ14*[1]ステータス!$C$2,0)</f>
        <v>3949</v>
      </c>
      <c r="BM14" s="11">
        <f ca="1">ROUND(BD14*U14*AC14*L14*BA14*[1]ステータス!$D$2,0)</f>
        <v>0</v>
      </c>
      <c r="BN14" s="11">
        <f ca="1">ROUND(BD14*V14*AD14*M14*BB14*[1]ステータス!$E$2,0)</f>
        <v>1645</v>
      </c>
      <c r="BO14" s="10">
        <v>0</v>
      </c>
      <c r="BP14" s="10">
        <v>1</v>
      </c>
      <c r="BQ14" s="10" t="s">
        <v>47</v>
      </c>
      <c r="BR14" s="10">
        <f ca="1">VLOOKUP(H14,ghosts_label!$A$2:$B$19,2,FALSE)</f>
        <v>6000</v>
      </c>
    </row>
    <row r="15" spans="1:70" ht="26" customHeight="1" x14ac:dyDescent="0.15">
      <c r="A15" s="12">
        <v>1073</v>
      </c>
      <c r="B15" s="56" t="str">
        <f ca="1">VLOOKUP($A15,OFFSET([1]characters!$A$1,0,0,COUNTA([1]characters!$A:$A),MATCH(B$1,[1]characters!$1:$1,0)-MATCH($A$1,[1]characters!$1:$1,0)+1),MATCH(B$1,[1]characters!$1:$1,0)-MATCH($A$1,[1]characters!$1:$1,0)+1,FALSE)</f>
        <v>静穏なる獣勇 エンキドゥ</v>
      </c>
      <c r="C15" s="56" t="str">
        <f ca="1">VLOOKUP($A15,OFFSET([1]characters!$A$1,0,0,COUNTA([1]characters!$A:$A),MATCH(C$1,[1]characters!$1:$1,0)-MATCH($A$1,[1]characters!$1:$1,0)+1),MATCH(C$1,[1]characters!$1:$1,0)-MATCH($A$1,[1]characters!$1:$1,0)+1,FALSE)</f>
        <v>イザナミ_分岐</v>
      </c>
      <c r="D15" s="56" t="str">
        <f ca="1">VLOOKUP($A15,OFFSET([1]characters!$A$1,0,0,COUNTA([1]characters!$A:$A),MATCH(D$1,[1]characters!$1:$1,0)-MATCH($A$1,[1]characters!$1:$1,0)+1),MATCH(D$1,[1]characters!$1:$1,0)-MATCH($A$1,[1]characters!$1:$1,0)+1,FALSE)</f>
        <v>執行者</v>
      </c>
      <c r="E15" s="56" t="str">
        <f ca="1">VLOOKUP($A15,OFFSET([1]characters!$A$1,0,0,COUNTA([1]characters!$A:$A),MATCH(E$1,[1]characters!$1:$1,0)-MATCH($A$1,[1]characters!$1:$1,0)+1),MATCH(E$1,[1]characters!$1:$1,0)-MATCH($A$1,[1]characters!$1:$1,0)+1,FALSE)</f>
        <v>格好いい</v>
      </c>
      <c r="F15" s="56" t="str">
        <f ca="1">VLOOKUP($A15,OFFSET([1]characters!$A$1,0,0,COUNTA([1]characters!$A:$A),MATCH(F$1,[1]characters!$1:$1,0)-MATCH($A$1,[1]characters!$1:$1,0)+1),MATCH(F$1,[1]characters!$1:$1,0)-MATCH($A$1,[1]characters!$1:$1,0)+1,FALSE)</f>
        <v>男性</v>
      </c>
      <c r="G15" s="56">
        <f ca="1">VLOOKUP($A15,OFFSET([1]characters!$A$1,0,0,COUNTA([1]characters!$A:$A),MATCH(G$1,[1]characters!$1:$1,0)-MATCH($A$1,[1]characters!$1:$1,0)+1),MATCH(G$1,[1]characters!$1:$1,0)-MATCH($A$1,[1]characters!$1:$1,0)+1,FALSE)</f>
        <v>6</v>
      </c>
      <c r="H15" s="56" t="str">
        <f ca="1">VLOOKUP($A15,OFFSET([1]characters!$A$1,0,0,COUNTA([1]characters!$A:$A),MATCH(H$1,[1]characters!$1:$1,0)-MATCH($A$1,[1]characters!$1:$1,0)+1),MATCH(H$1,[1]characters!$1:$1,0)-MATCH($A$1,[1]characters!$1:$1,0)+1,FALSE)</f>
        <v>PremiumSSw</v>
      </c>
      <c r="I15" s="56" t="str">
        <f ca="1">VLOOKUP($A15,OFFSET([1]characters!$A$1,0,0,COUNTA([1]characters!$A:$A),MATCH(I$1,[1]characters!$1:$1,0)-MATCH($A$1,[1]characters!$1:$1,0)+1),MATCH(I$1,[1]characters!$1:$1,0)-MATCH($A$1,[1]characters!$1:$1,0)+1,FALSE)</f>
        <v>blue</v>
      </c>
      <c r="J15" s="11">
        <f ca="1">VLOOKUP(I15,[1]属性!$A:$E,2,FALSE)</f>
        <v>1</v>
      </c>
      <c r="K15" s="11">
        <f ca="1">VLOOKUP(I15,[1]属性!$A:$E,3,FALSE)</f>
        <v>0.98</v>
      </c>
      <c r="L15" s="11">
        <f ca="1">VLOOKUP(I15,[1]属性!$A:$E,4,FALSE)</f>
        <v>1</v>
      </c>
      <c r="M15" s="11">
        <f ca="1">VLOOKUP(I15,[1]属性!$A:$E,5,FALSE)</f>
        <v>1.02</v>
      </c>
      <c r="N15" s="11">
        <f ca="1">INDEX(コスト!$A$1:$I$21,MATCH(H15,コスト!$A$1:$A$21,FALSE),MATCH(G15,コスト!$A$1:$I$1,FALSE))</f>
        <v>53</v>
      </c>
      <c r="O15" s="11">
        <f ca="1">INDEX(レベル!$A$1:$I$22,MATCH(H15,レベル!$A$1:$A$22,FALSE),MATCH(G15,レベル!$A$1:$I$1,FALSE))</f>
        <v>99</v>
      </c>
      <c r="P15" s="47">
        <f t="shared" ca="1" si="11"/>
        <v>99</v>
      </c>
      <c r="Q15" s="56" t="str">
        <f ca="1">VLOOKUP($A15,OFFSET([1]characters!$A$1,0,0,COUNTA([1]characters!$A:$A),MATCH(Q$1,[1]characters!$1:$1,0)-MATCH($A$1,[1]characters!$1:$1,0)+1),MATCH(Q$1,[1]characters!$1:$1,0)-MATCH($A$1,[1]characters!$1:$1,0)+1,FALSE)</f>
        <v>attack</v>
      </c>
      <c r="R15" s="5" t="str">
        <f ca="1">VLOOKUP(Q15,[1]character_type_i18n!$A:$H,3,FALSE)</f>
        <v>攻撃タイプ</v>
      </c>
      <c r="S15" s="11">
        <f ca="1">VLOOKUP(Q15,[1]character_type_i18n!$A:$H,4,FALSE)</f>
        <v>1</v>
      </c>
      <c r="T15" s="11">
        <f ca="1">VLOOKUP(Q15,[1]character_type_i18n!$A:$H,5,FALSE)</f>
        <v>1.33</v>
      </c>
      <c r="U15" s="11">
        <f ca="1">VLOOKUP(Q15,[1]character_type_i18n!$A:$H,6,FALSE)</f>
        <v>1</v>
      </c>
      <c r="V15" s="11">
        <f ca="1">VLOOKUP(Q15,[1]character_type_i18n!$A:$H,7,FALSE)</f>
        <v>0.67</v>
      </c>
      <c r="W15" s="56" t="str">
        <f ca="1">VLOOKUP($A15,OFFSET([1]characters!$A$1,0,0,COUNTA([1]characters!$A:$A),MATCH(W$1,[1]characters!$1:$1,0)-MATCH($A$1,[1]characters!$1:$1,0)+1),MATCH(W$1,[1]characters!$1:$1,0)-MATCH($A$1,[1]characters!$1:$1,0)+1,FALSE)</f>
        <v>human</v>
      </c>
      <c r="X15" s="5" t="str">
        <f ca="1">VLOOKUP(W15,[1]character_tribe_i18n!$A:$H,3,FALSE)</f>
        <v>ヒューマン</v>
      </c>
      <c r="Y15" s="56" t="str">
        <f ca="1">VLOOKUP($A15,OFFSET([1]characters!$A$1,0,0,COUNTA([1]characters!$A:$A),MATCH(Y$1,[1]characters!$1:$1,0)-MATCH($A$1,[1]characters!$1:$1,0)+1),MATCH(Y$1,[1]characters!$1:$1,0)-MATCH($A$1,[1]characters!$1:$1,0)+1,FALSE)</f>
        <v>animal</v>
      </c>
      <c r="Z15" s="5" t="str">
        <f ca="1">VLOOKUP(Y15,[1]character_tribe_i18n!$A:$H,3,FALSE)</f>
        <v>アニマル</v>
      </c>
      <c r="AA15" s="11">
        <f ca="1">VLOOKUP(W15,[1]character_tribe_i18n!$A:$H,4,FALSE)</f>
        <v>0.94</v>
      </c>
      <c r="AB15" s="11">
        <f ca="1">VLOOKUP(W15,[1]character_tribe_i18n!$A:$H,5,FALSE)</f>
        <v>0.99</v>
      </c>
      <c r="AC15" s="11">
        <f ca="1">VLOOKUP(W15,[1]character_tribe_i18n!$A:$H,6,FALSE)</f>
        <v>1</v>
      </c>
      <c r="AD15" s="11">
        <f ca="1">VLOOKUP(W15,[1]character_tribe_i18n!$A:$H,7,FALSE)</f>
        <v>1.07</v>
      </c>
      <c r="AE15" s="9" t="s">
        <v>183</v>
      </c>
      <c r="AF15" s="61" t="str">
        <f ca="1">IF(AE15="NULL","",VLOOKUP($AE15,OFFSET([1]characters!$A$1,0,0,COUNTA([1]characters!$A:$A),MATCH(AF$1,[1]characters!$1:$1,0)-MATCH($A$1,[1]characters!$1:$1,0)+1),MATCH(AF$1,[1]characters!$1:$1,0)-MATCH($A$1,[1]characters!$1:$1,0)+1,FALSE))</f>
        <v/>
      </c>
      <c r="AG15" s="5">
        <f t="shared" ca="1" si="0"/>
        <v>1072</v>
      </c>
      <c r="AH15" s="61" t="str">
        <f ca="1">VLOOKUP($AG15,OFFSET([1]characters!$A$1,0,0,COUNTA([1]characters!$A:$A),MATCH(AH$1,[1]characters!$1:$1,0)-MATCH($A$1,[1]characters!$1:$1,0)+1),MATCH(AH$1,[1]characters!$1:$1,0)-MATCH($A$1,[1]characters!$1:$1,0)+1,FALSE)</f>
        <v>エンキドゥ</v>
      </c>
      <c r="AI15" s="11" t="str">
        <f>IF(AE15="NULL","NULL",VLOOKUP(G15,ビット!$A$2:$B$7,2))</f>
        <v>NULL</v>
      </c>
      <c r="AJ15" s="6">
        <v>2</v>
      </c>
      <c r="AK15" s="7" t="str">
        <f t="shared" si="9"/>
        <v>普通</v>
      </c>
      <c r="AL15" s="11" t="str">
        <f ca="1">INDEX(経験値!$A$1:$I$21,MATCH(H15,経験値!$A$1:$A$21,FALSE),MATCH(G15,経験値!$A$1:$I$1,FALSE))</f>
        <v>required_exp_250</v>
      </c>
      <c r="AM15" s="8">
        <f ca="1">VLOOKUP(G15,経験値!$A$28:$B$32,2)</f>
        <v>6400</v>
      </c>
      <c r="AN15" s="17">
        <f ca="1">VLOOKUP(G15,ビット!$G$2:$H$7,2)</f>
        <v>900</v>
      </c>
      <c r="AO15" s="44"/>
      <c r="AP15" s="66">
        <f t="shared" si="6"/>
        <v>1073</v>
      </c>
      <c r="AQ15" s="56" t="str">
        <f ca="1">VLOOKUP($AP15,OFFSET(unit_skills!$A$1,0,0,COUNTA(unit_skills!$A:$A),MATCH(AQ$1,unit_skills!$1:$1,0)-MATCH($AP$1,unit_skills!$1:$1,0)+1),MATCH(AQ$1,unit_skills!$1:$1,0)-MATCH($AP$1,unit_skills!$1:$1,0)+1,FALSE)</f>
        <v>一投猟断ティアリング</v>
      </c>
      <c r="AR15" s="56" t="str">
        <f ca="1">VLOOKUP($AP15,OFFSET(unit_skills!$A$1,0,0,COUNTA(unit_skills!$A:$A),MATCH(AR$1,unit_skills!$1:$1,0)-MATCH($AP$1,unit_skills!$1:$1,0)+1),MATCH(AR$1,unit_skills!$1:$1,0)-MATCH($AP$1,unit_skills!$1:$1,0)+1,FALSE)</f>
        <v>ハートパネルを青パネルに変換+1ターン青属性の攻撃力をUP(黄パネルを吸収し効果超大UP)し、黄パネルが出現しなくなる</v>
      </c>
      <c r="AS15" s="56">
        <f ca="1">VLOOKUP($AP15,OFFSET(unit_skills!$A$1,0,0,COUNTA(unit_skills!$A:$A),MATCH(AS$1,unit_skills!$1:$1,0)-MATCH($AP$1,unit_skills!$1:$1,0)+1),MATCH(AS$1,unit_skills!$1:$1,0)-MATCH($AP$1,unit_skills!$1:$1,0)+1,FALSE)</f>
        <v>0</v>
      </c>
      <c r="AT15" s="40">
        <f t="shared" si="7"/>
        <v>1073</v>
      </c>
      <c r="AU15" s="56" t="str">
        <f ca="1">VLOOKUP($AT15,OFFSET(crash_skills!$A$1,0,0,COUNTA(crash_skills!$A:$A),MATCH(AU$1,crash_skills!$1:$1,0)-MATCH($AT$1,crash_skills!$1:$1,0)+1),MATCH(AU$1,crash_skills!$1:$1,0)-MATCH($AT$1,crash_skills!$1:$1,0)+1,FALSE)</f>
        <v>ニヌルタ直伝・斧剣勇技</v>
      </c>
      <c r="AV15" s="56" t="str">
        <f ca="1">VLOOKUP($AT15,OFFSET(crash_skills!$A$1,0,0,COUNTA(crash_skills!$A:$A),MATCH(AV$1,crash_skills!$1:$1,0)-MATCH($AT$1,crash_skills!$1:$1,0)+1),MATCH(AV$1,crash_skills!$1:$1,0)-MATCH($AT$1,crash_skills!$1:$1,0)+1,FALSE)</f>
        <v>1体に特大ダメージ</v>
      </c>
      <c r="AW15" s="56">
        <f ca="1">VLOOKUP($AT15,OFFSET(crash_skills!$A$1,0,0,COUNTA(crash_skills!$A:$A),MATCH(AW$1,crash_skills!$1:$1,0)-MATCH($AT$1,crash_skills!$1:$1,0)+1),MATCH(AW$1,crash_skills!$1:$1,0)-MATCH($AT$1,crash_skills!$1:$1,0)+1,FALSE)</f>
        <v>0</v>
      </c>
      <c r="AX15" s="57">
        <f ca="1">VLOOKUP($A15,OFFSET([1]characters!$A$1,0,0,COUNTA([1]characters!$A:$A),MATCH(AX$1,[1]characters!$1:$1,0)-MATCH($A$1,[1]characters!$1:$1,0)+1),MATCH(AX$1,[1]characters!$1:$1,0)-MATCH($A$1,[1]characters!$1:$1,0)+1,FALSE)</f>
        <v>3</v>
      </c>
      <c r="AY15" s="67">
        <v>1.03</v>
      </c>
      <c r="AZ15" s="67">
        <v>1.02</v>
      </c>
      <c r="BA15" s="67">
        <v>0</v>
      </c>
      <c r="BB15" s="67">
        <v>0.9</v>
      </c>
      <c r="BC15" s="11">
        <f ca="1">INDEX('RC6SV'!$A$1:$G$21,MATCH(H15,'RC6SV'!$A$1:$A$21,FALSE),MATCH(G15,'RC6SV'!$A$1:$G$1,FALSE))</f>
        <v>14000</v>
      </c>
      <c r="BD15" s="47">
        <f t="shared" ca="1" si="10"/>
        <v>14000</v>
      </c>
      <c r="BE15" s="11">
        <f t="shared" ca="1" si="3"/>
        <v>10000</v>
      </c>
      <c r="BF15" s="11">
        <f t="shared" ca="1" si="4"/>
        <v>1</v>
      </c>
      <c r="BG15" s="16">
        <f ca="1">IF($BE15&lt;=0,ROUND(BK15*0.5,0), ROUND($BE15*S15*AA15*J15*AY15*0.8*[1]ステータス!$B$2,0))</f>
        <v>3873</v>
      </c>
      <c r="BH15" s="16">
        <f ca="1">IF($BE15&lt;=0,ROUND(BL15*0.5,0), ROUND($BE15*T15*AB15*K15*AZ15*0.8*[1]ステータス!$C$2,0))</f>
        <v>3159</v>
      </c>
      <c r="BI15" s="16">
        <f ca="1">IF($BE15&lt;=0,ROUND(BM15*0.5,0), ROUND($BE15*U15*AC15*L15*BA15*0.8*[1]ステータス!$D$2,0))</f>
        <v>0</v>
      </c>
      <c r="BJ15" s="16">
        <f ca="1">IF($BE15&lt;=0,ROUND(BN15*0.5,0), ROUND($BE15*V15*AD15*M15*BB15*0.8*[1]ステータス!$E$2,0))</f>
        <v>1316</v>
      </c>
      <c r="BK15" s="11">
        <f ca="1">ROUND(BD15*S15*AA15*J15*AY15*[1]ステータス!$B$2,0)</f>
        <v>6777</v>
      </c>
      <c r="BL15" s="11">
        <f ca="1">ROUND(BD15*T15*AB15*K15*AZ15*[1]ステータス!$C$2,0)</f>
        <v>5528</v>
      </c>
      <c r="BM15" s="11">
        <f ca="1">ROUND(BD15*U15*AC15*L15*BA15*[1]ステータス!$D$2,0)</f>
        <v>0</v>
      </c>
      <c r="BN15" s="11">
        <f ca="1">ROUND(BD15*V15*AD15*M15*BB15*[1]ステータス!$E$2,0)</f>
        <v>2303</v>
      </c>
      <c r="BO15" s="10">
        <v>0</v>
      </c>
      <c r="BP15" s="10">
        <v>1</v>
      </c>
      <c r="BQ15" s="10" t="s">
        <v>47</v>
      </c>
      <c r="BR15" s="10">
        <f ca="1">VLOOKUP(H15,ghosts_label!$A$2:$B$19,2,FALSE)</f>
        <v>6000</v>
      </c>
    </row>
    <row r="16" spans="1:70" ht="26" customHeight="1" x14ac:dyDescent="0.15">
      <c r="A16" s="12">
        <v>1074</v>
      </c>
      <c r="B16" s="56" t="str">
        <f ca="1">VLOOKUP($A16,OFFSET([1]characters!$A$1,0,0,COUNTA([1]characters!$A:$A),MATCH(B$1,[1]characters!$1:$1,0)-MATCH($A$1,[1]characters!$1:$1,0)+1),MATCH(B$1,[1]characters!$1:$1,0)-MATCH($A$1,[1]characters!$1:$1,0)+1,FALSE)</f>
        <v>マルドゥク</v>
      </c>
      <c r="C16" s="56" t="str">
        <f ca="1">VLOOKUP($A16,OFFSET([1]characters!$A$1,0,0,COUNTA([1]characters!$A:$A),MATCH(C$1,[1]characters!$1:$1,0)-MATCH($A$1,[1]characters!$1:$1,0)+1),MATCH(C$1,[1]characters!$1:$1,0)-MATCH($A$1,[1]characters!$1:$1,0)+1,FALSE)</f>
        <v>イザナミ_分岐</v>
      </c>
      <c r="D16" s="56" t="str">
        <f ca="1">VLOOKUP($A16,OFFSET([1]characters!$A$1,0,0,COUNTA([1]characters!$A:$A),MATCH(D$1,[1]characters!$1:$1,0)-MATCH($A$1,[1]characters!$1:$1,0)+1),MATCH(D$1,[1]characters!$1:$1,0)-MATCH($A$1,[1]characters!$1:$1,0)+1,FALSE)</f>
        <v>執行者</v>
      </c>
      <c r="E16" s="56" t="str">
        <f ca="1">VLOOKUP($A16,OFFSET([1]characters!$A$1,0,0,COUNTA([1]characters!$A:$A),MATCH(E$1,[1]characters!$1:$1,0)-MATCH($A$1,[1]characters!$1:$1,0)+1),MATCH(E$1,[1]characters!$1:$1,0)-MATCH($A$1,[1]characters!$1:$1,0)+1,FALSE)</f>
        <v>格好いい</v>
      </c>
      <c r="F16" s="56" t="str">
        <f ca="1">VLOOKUP($A16,OFFSET([1]characters!$A$1,0,0,COUNTA([1]characters!$A:$A),MATCH(F$1,[1]characters!$1:$1,0)-MATCH($A$1,[1]characters!$1:$1,0)+1),MATCH(F$1,[1]characters!$1:$1,0)-MATCH($A$1,[1]characters!$1:$1,0)+1,FALSE)</f>
        <v>男性</v>
      </c>
      <c r="G16" s="56">
        <f ca="1">VLOOKUP($A16,OFFSET([1]characters!$A$1,0,0,COUNTA([1]characters!$A:$A),MATCH(G$1,[1]characters!$1:$1,0)-MATCH($A$1,[1]characters!$1:$1,0)+1),MATCH(G$1,[1]characters!$1:$1,0)-MATCH($A$1,[1]characters!$1:$1,0)+1,FALSE)</f>
        <v>5</v>
      </c>
      <c r="H16" s="56" t="str">
        <f ca="1">VLOOKUP($A16,OFFSET([1]characters!$A$1,0,0,COUNTA([1]characters!$A:$A),MATCH(H$1,[1]characters!$1:$1,0)-MATCH($A$1,[1]characters!$1:$1,0)+1),MATCH(H$1,[1]characters!$1:$1,0)-MATCH($A$1,[1]characters!$1:$1,0)+1,FALSE)</f>
        <v>PremiumSS</v>
      </c>
      <c r="I16" s="56" t="str">
        <f ca="1">VLOOKUP($A16,OFFSET([1]characters!$A$1,0,0,COUNTA([1]characters!$A:$A),MATCH(I$1,[1]characters!$1:$1,0)-MATCH($A$1,[1]characters!$1:$1,0)+1),MATCH(I$1,[1]characters!$1:$1,0)-MATCH($A$1,[1]characters!$1:$1,0)+1,FALSE)</f>
        <v>yellow</v>
      </c>
      <c r="J16" s="11">
        <f ca="1">VLOOKUP(I16,[1]属性!$A:$E,2,FALSE)</f>
        <v>0.98</v>
      </c>
      <c r="K16" s="11">
        <f ca="1">VLOOKUP(I16,[1]属性!$A:$E,3,FALSE)</f>
        <v>1.01</v>
      </c>
      <c r="L16" s="11">
        <f ca="1">VLOOKUP(I16,[1]属性!$A:$E,4,FALSE)</f>
        <v>1</v>
      </c>
      <c r="M16" s="11">
        <f ca="1">VLOOKUP(I16,[1]属性!$A:$E,5,FALSE)</f>
        <v>1.01</v>
      </c>
      <c r="N16" s="11">
        <f ca="1">INDEX(コスト!$A$1:$I$21,MATCH(H16,コスト!$A$1:$A$21,FALSE),MATCH(G16,コスト!$A$1:$I$1,FALSE))</f>
        <v>35</v>
      </c>
      <c r="O16" s="11">
        <f ca="1">INDEX(レベル!$A$1:$I$22,MATCH(H16,レベル!$A$1:$A$22,FALSE),MATCH(G16,レベル!$A$1:$I$1,FALSE))</f>
        <v>80</v>
      </c>
      <c r="P16" s="47">
        <f t="shared" ca="1" si="11"/>
        <v>75</v>
      </c>
      <c r="Q16" s="208" t="s">
        <v>439</v>
      </c>
      <c r="R16" s="209" t="str">
        <f>VLOOKUP(Q16,[1]character_type_i18n!$A:$H,3,FALSE)</f>
        <v>バランスタイプ</v>
      </c>
      <c r="S16" s="11">
        <f>VLOOKUP(Q16,[1]character_type_i18n!$A:$H,4,FALSE)</f>
        <v>1</v>
      </c>
      <c r="T16" s="11">
        <f>VLOOKUP(Q16,[1]character_type_i18n!$A:$H,5,FALSE)</f>
        <v>1</v>
      </c>
      <c r="U16" s="11">
        <f>VLOOKUP(Q16,[1]character_type_i18n!$A:$H,6,FALSE)</f>
        <v>1</v>
      </c>
      <c r="V16" s="11">
        <f>VLOOKUP(Q16,[1]character_type_i18n!$A:$H,7,FALSE)</f>
        <v>1</v>
      </c>
      <c r="W16" s="56" t="str">
        <f ca="1">VLOOKUP($A16,OFFSET([1]characters!$A$1,0,0,COUNTA([1]characters!$A:$A),MATCH(W$1,[1]characters!$1:$1,0)-MATCH($A$1,[1]characters!$1:$1,0)+1),MATCH(W$1,[1]characters!$1:$1,0)-MATCH($A$1,[1]characters!$1:$1,0)+1,FALSE)</f>
        <v>god</v>
      </c>
      <c r="X16" s="5" t="str">
        <f ca="1">VLOOKUP(W16,[1]character_tribe_i18n!$A:$H,3,FALSE)</f>
        <v>ゴッド</v>
      </c>
      <c r="Y16" s="56" t="str">
        <f ca="1">VLOOKUP($A16,OFFSET([1]characters!$A$1,0,0,COUNTA([1]characters!$A:$A),MATCH(Y$1,[1]characters!$1:$1,0)-MATCH($A$1,[1]characters!$1:$1,0)+1),MATCH(Y$1,[1]characters!$1:$1,0)-MATCH($A$1,[1]characters!$1:$1,0)+1,FALSE)</f>
        <v>none</v>
      </c>
      <c r="Z16" s="5" t="str">
        <f ca="1">VLOOKUP(Y16,[1]character_tribe_i18n!$A:$H,3,FALSE)</f>
        <v>種族なし</v>
      </c>
      <c r="AA16" s="11">
        <f ca="1">VLOOKUP(W16,[1]character_tribe_i18n!$A:$H,4,FALSE)</f>
        <v>0.96</v>
      </c>
      <c r="AB16" s="11">
        <f ca="1">VLOOKUP(W16,[1]character_tribe_i18n!$A:$H,5,FALSE)</f>
        <v>1.02</v>
      </c>
      <c r="AC16" s="11">
        <f ca="1">VLOOKUP(W16,[1]character_tribe_i18n!$A:$H,6,FALSE)</f>
        <v>1</v>
      </c>
      <c r="AD16" s="11">
        <f ca="1">VLOOKUP(W16,[1]character_tribe_i18n!$A:$H,7,FALSE)</f>
        <v>1.02</v>
      </c>
      <c r="AE16" s="9">
        <f t="shared" ref="AE16" si="17">A17</f>
        <v>1075</v>
      </c>
      <c r="AF16" s="61" t="str">
        <f ca="1">IF(AE16="NULL","",VLOOKUP($AE16,OFFSET([1]characters!$A$1,0,0,COUNTA([1]characters!$A:$A),MATCH(AF$1,[1]characters!$1:$1,0)-MATCH($A$1,[1]characters!$1:$1,0)+1),MATCH(AF$1,[1]characters!$1:$1,0)-MATCH($A$1,[1]characters!$1:$1,0)+1,FALSE))</f>
        <v>虚塔の神王 マルドゥク</v>
      </c>
      <c r="AG16" s="5">
        <f t="shared" ca="1" si="0"/>
        <v>1074</v>
      </c>
      <c r="AH16" s="61" t="str">
        <f ca="1">VLOOKUP($AG16,OFFSET([1]characters!$A$1,0,0,COUNTA([1]characters!$A:$A),MATCH(AH$1,[1]characters!$1:$1,0)-MATCH($A$1,[1]characters!$1:$1,0)+1),MATCH(AH$1,[1]characters!$1:$1,0)-MATCH($A$1,[1]characters!$1:$1,0)+1,FALSE)</f>
        <v>マルドゥク</v>
      </c>
      <c r="AI16" s="11">
        <f ca="1">IF(AE16="NULL","NULL",VLOOKUP(G16,ビット!$A$2:$B$7,2))</f>
        <v>200000</v>
      </c>
      <c r="AJ16" s="6">
        <v>2</v>
      </c>
      <c r="AK16" s="7" t="str">
        <f t="shared" si="9"/>
        <v>普通</v>
      </c>
      <c r="AL16" s="11" t="str">
        <f ca="1">INDEX(経験値!$A$1:$I$21,MATCH(H16,経験値!$A$1:$A$21,FALSE),MATCH(G16,経験値!$A$1:$I$1,FALSE))</f>
        <v>required_exp_200</v>
      </c>
      <c r="AM16" s="8">
        <f ca="1">VLOOKUP(G16,経験値!$A$28:$B$32,2)</f>
        <v>6400</v>
      </c>
      <c r="AN16" s="17">
        <f ca="1">VLOOKUP(G16,ビット!$G$2:$H$7,2)</f>
        <v>900</v>
      </c>
      <c r="AO16" s="44"/>
      <c r="AP16" s="66">
        <f t="shared" si="6"/>
        <v>1074</v>
      </c>
      <c r="AQ16" s="56" t="str">
        <f ca="1">VLOOKUP($AP16,OFFSET(unit_skills!$A$1,0,0,COUNTA(unit_skills!$A:$A),MATCH(AQ$1,unit_skills!$1:$1,0)-MATCH($AP$1,unit_skills!$1:$1,0)+1),MATCH(AQ$1,unit_skills!$1:$1,0)-MATCH($AP$1,unit_skills!$1:$1,0)+1,FALSE)</f>
        <v>ジュディシャル・フェザース</v>
      </c>
      <c r="AR16" s="56" t="str">
        <f ca="1">VLOOKUP($AP16,OFFSET(unit_skills!$A$1,0,0,COUNTA(unit_skills!$A:$A),MATCH(AR$1,unit_skills!$1:$1,0)-MATCH($AP$1,unit_skills!$1:$1,0)+1),MATCH(AR$1,unit_skills!$1:$1,0)-MATCH($AP$1,unit_skills!$1:$1,0)+1,FALSE)</f>
        <v>2ターン黄属性の攻撃力、回復力を超大UPする+青・お邪魔パネルを吸収してHP大回復</v>
      </c>
      <c r="AS16" s="56">
        <f ca="1">VLOOKUP($AP16,OFFSET(unit_skills!$A$1,0,0,COUNTA(unit_skills!$A:$A),MATCH(AS$1,unit_skills!$1:$1,0)-MATCH($AP$1,unit_skills!$1:$1,0)+1),MATCH(AS$1,unit_skills!$1:$1,0)-MATCH($AP$1,unit_skills!$1:$1,0)+1,FALSE)</f>
        <v>0</v>
      </c>
      <c r="AT16" s="40">
        <f t="shared" si="7"/>
        <v>1074</v>
      </c>
      <c r="AU16" s="56" t="str">
        <f ca="1">VLOOKUP($AT16,OFFSET(crash_skills!$A$1,0,0,COUNTA(crash_skills!$A:$A),MATCH(AU$1,crash_skills!$1:$1,0)-MATCH($AT$1,crash_skills!$1:$1,0)+1),MATCH(AU$1,crash_skills!$1:$1,0)-MATCH($AT$1,crash_skills!$1:$1,0)+1,FALSE)</f>
        <v>承認強制マグネティックボール</v>
      </c>
      <c r="AV16" s="56" t="str">
        <f ca="1">VLOOKUP($AT16,OFFSET(crash_skills!$A$1,0,0,COUNTA(crash_skills!$A:$A),MATCH(AV$1,crash_skills!$1:$1,0)-MATCH($AT$1,crash_skills!$1:$1,0)+1),MATCH(AV$1,crash_skills!$1:$1,0)-MATCH($AT$1,crash_skills!$1:$1,0)+1,FALSE)</f>
        <v>1体に超大ダメージ+_x000D_1ターン黄属性の防御力UP</v>
      </c>
      <c r="AW16" s="56">
        <f ca="1">VLOOKUP($AT16,OFFSET(crash_skills!$A$1,0,0,COUNTA(crash_skills!$A:$A),MATCH(AW$1,crash_skills!$1:$1,0)-MATCH($AT$1,crash_skills!$1:$1,0)+1),MATCH(AW$1,crash_skills!$1:$1,0)-MATCH($AT$1,crash_skills!$1:$1,0)+1,FALSE)</f>
        <v>0</v>
      </c>
      <c r="AX16" s="57">
        <f ca="1">VLOOKUP($A16,OFFSET([1]characters!$A$1,0,0,COUNTA([1]characters!$A:$A),MATCH(AX$1,[1]characters!$1:$1,0)-MATCH($A$1,[1]characters!$1:$1,0)+1),MATCH(AX$1,[1]characters!$1:$1,0)-MATCH($A$1,[1]characters!$1:$1,0)+1,FALSE)</f>
        <v>3</v>
      </c>
      <c r="AY16" s="67">
        <v>1.02</v>
      </c>
      <c r="AZ16" s="67">
        <v>1</v>
      </c>
      <c r="BA16" s="67">
        <v>0</v>
      </c>
      <c r="BB16" s="67">
        <v>1.1000000000000001</v>
      </c>
      <c r="BC16" s="11">
        <f ca="1">INDEX('RC6SV'!$A$1:$G$21,MATCH(H16,'RC6SV'!$A$1:$A$21,FALSE),MATCH(G16,'RC6SV'!$A$1:$G$1,FALSE))</f>
        <v>9500</v>
      </c>
      <c r="BD16" s="47">
        <f t="shared" ca="1" si="10"/>
        <v>9500</v>
      </c>
      <c r="BE16" s="11">
        <f t="shared" ca="1" si="3"/>
        <v>0</v>
      </c>
      <c r="BF16" s="11">
        <f t="shared" ca="1" si="4"/>
        <v>1</v>
      </c>
      <c r="BG16" s="16">
        <f ca="1">IF($BE16&lt;=0,ROUND(BK16*0.5,0), ROUND($BE16*S16*AA16*J16*AY16*0.8*[1]ステータス!$B$2,0))</f>
        <v>2279</v>
      </c>
      <c r="BH16" s="16">
        <f ca="1">IF($BE16&lt;=0,ROUND(BL16*0.5,0), ROUND($BE16*T16*AB16*K16*AZ16*0.8*[1]ステータス!$C$2,0))</f>
        <v>1468</v>
      </c>
      <c r="BI16" s="16">
        <f ca="1">IF($BE16&lt;=0,ROUND(BM16*0.5,0), ROUND($BE16*U16*AC16*L16*BA16*0.8*[1]ステータス!$D$2,0))</f>
        <v>0</v>
      </c>
      <c r="BJ16" s="16">
        <f ca="1">IF($BE16&lt;=0,ROUND(BN16*0.5,0), ROUND($BE16*V16*AD16*M16*BB16*0.8*[1]ステータス!$E$2,0))</f>
        <v>1346</v>
      </c>
      <c r="BK16" s="11">
        <f ca="1">ROUND(BD16*S16*AA16*J16*AY16*[1]ステータス!$B$2,0)</f>
        <v>4558</v>
      </c>
      <c r="BL16" s="11">
        <f ca="1">ROUND(BD16*T16*AB16*K16*AZ16*[1]ステータス!$C$2,0)</f>
        <v>2936</v>
      </c>
      <c r="BM16" s="11">
        <f ca="1">ROUND(BD16*U16*AC16*L16*BA16*[1]ステータス!$D$2,0)</f>
        <v>0</v>
      </c>
      <c r="BN16" s="11">
        <f ca="1">ROUND(BD16*V16*AD16*M16*BB16*[1]ステータス!$E$2,0)</f>
        <v>2691</v>
      </c>
      <c r="BO16" s="10">
        <v>0</v>
      </c>
      <c r="BP16" s="10">
        <v>1</v>
      </c>
      <c r="BQ16" s="10" t="s">
        <v>47</v>
      </c>
      <c r="BR16" s="10">
        <f ca="1">VLOOKUP(H16,ghosts_label!$A$2:$B$19,2,FALSE)</f>
        <v>5500</v>
      </c>
    </row>
    <row r="17" spans="1:70" ht="26" customHeight="1" x14ac:dyDescent="0.15">
      <c r="A17" s="12">
        <v>1075</v>
      </c>
      <c r="B17" s="56" t="str">
        <f ca="1">VLOOKUP($A17,OFFSET([1]characters!$A$1,0,0,COUNTA([1]characters!$A:$A),MATCH(B$1,[1]characters!$1:$1,0)-MATCH($A$1,[1]characters!$1:$1,0)+1),MATCH(B$1,[1]characters!$1:$1,0)-MATCH($A$1,[1]characters!$1:$1,0)+1,FALSE)</f>
        <v>虚塔の神王 マルドゥク</v>
      </c>
      <c r="C17" s="56" t="str">
        <f ca="1">VLOOKUP($A17,OFFSET([1]characters!$A$1,0,0,COUNTA([1]characters!$A:$A),MATCH(C$1,[1]characters!$1:$1,0)-MATCH($A$1,[1]characters!$1:$1,0)+1),MATCH(C$1,[1]characters!$1:$1,0)-MATCH($A$1,[1]characters!$1:$1,0)+1,FALSE)</f>
        <v>イザナミ_分岐</v>
      </c>
      <c r="D17" s="56" t="str">
        <f ca="1">VLOOKUP($A17,OFFSET([1]characters!$A$1,0,0,COUNTA([1]characters!$A:$A),MATCH(D$1,[1]characters!$1:$1,0)-MATCH($A$1,[1]characters!$1:$1,0)+1),MATCH(D$1,[1]characters!$1:$1,0)-MATCH($A$1,[1]characters!$1:$1,0)+1,FALSE)</f>
        <v>執行者</v>
      </c>
      <c r="E17" s="56" t="str">
        <f ca="1">VLOOKUP($A17,OFFSET([1]characters!$A$1,0,0,COUNTA([1]characters!$A:$A),MATCH(E$1,[1]characters!$1:$1,0)-MATCH($A$1,[1]characters!$1:$1,0)+1),MATCH(E$1,[1]characters!$1:$1,0)-MATCH($A$1,[1]characters!$1:$1,0)+1,FALSE)</f>
        <v>格好いい</v>
      </c>
      <c r="F17" s="56" t="str">
        <f ca="1">VLOOKUP($A17,OFFSET([1]characters!$A$1,0,0,COUNTA([1]characters!$A:$A),MATCH(F$1,[1]characters!$1:$1,0)-MATCH($A$1,[1]characters!$1:$1,0)+1),MATCH(F$1,[1]characters!$1:$1,0)-MATCH($A$1,[1]characters!$1:$1,0)+1,FALSE)</f>
        <v>男性</v>
      </c>
      <c r="G17" s="56">
        <f ca="1">VLOOKUP($A17,OFFSET([1]characters!$A$1,0,0,COUNTA([1]characters!$A:$A),MATCH(G$1,[1]characters!$1:$1,0)-MATCH($A$1,[1]characters!$1:$1,0)+1),MATCH(G$1,[1]characters!$1:$1,0)-MATCH($A$1,[1]characters!$1:$1,0)+1,FALSE)</f>
        <v>6</v>
      </c>
      <c r="H17" s="56" t="str">
        <f ca="1">VLOOKUP($A17,OFFSET([1]characters!$A$1,0,0,COUNTA([1]characters!$A:$A),MATCH(H$1,[1]characters!$1:$1,0)-MATCH($A$1,[1]characters!$1:$1,0)+1),MATCH(H$1,[1]characters!$1:$1,0)-MATCH($A$1,[1]characters!$1:$1,0)+1,FALSE)</f>
        <v>PremiumSS</v>
      </c>
      <c r="I17" s="56" t="str">
        <f ca="1">VLOOKUP($A17,OFFSET([1]characters!$A$1,0,0,COUNTA([1]characters!$A:$A),MATCH(I$1,[1]characters!$1:$1,0)-MATCH($A$1,[1]characters!$1:$1,0)+1),MATCH(I$1,[1]characters!$1:$1,0)-MATCH($A$1,[1]characters!$1:$1,0)+1,FALSE)</f>
        <v>yellow</v>
      </c>
      <c r="J17" s="11">
        <f ca="1">VLOOKUP(I17,[1]属性!$A:$E,2,FALSE)</f>
        <v>0.98</v>
      </c>
      <c r="K17" s="11">
        <f ca="1">VLOOKUP(I17,[1]属性!$A:$E,3,FALSE)</f>
        <v>1.01</v>
      </c>
      <c r="L17" s="11">
        <f ca="1">VLOOKUP(I17,[1]属性!$A:$E,4,FALSE)</f>
        <v>1</v>
      </c>
      <c r="M17" s="11">
        <f ca="1">VLOOKUP(I17,[1]属性!$A:$E,5,FALSE)</f>
        <v>1.01</v>
      </c>
      <c r="N17" s="11">
        <f ca="1">INDEX(コスト!$A$1:$I$21,MATCH(H17,コスト!$A$1:$A$21,FALSE),MATCH(G17,コスト!$A$1:$I$1,FALSE))</f>
        <v>50</v>
      </c>
      <c r="O17" s="11">
        <f ca="1">INDEX(レベル!$A$1:$I$22,MATCH(H17,レベル!$A$1:$A$22,FALSE),MATCH(G17,レベル!$A$1:$I$1,FALSE))</f>
        <v>99</v>
      </c>
      <c r="P17" s="47">
        <f t="shared" ca="1" si="11"/>
        <v>99</v>
      </c>
      <c r="Q17" s="208" t="s">
        <v>439</v>
      </c>
      <c r="R17" s="209" t="str">
        <f>VLOOKUP(Q17,[1]character_type_i18n!$A:$H,3,FALSE)</f>
        <v>バランスタイプ</v>
      </c>
      <c r="S17" s="11">
        <f>VLOOKUP(Q17,[1]character_type_i18n!$A:$H,4,FALSE)</f>
        <v>1</v>
      </c>
      <c r="T17" s="11">
        <f>VLOOKUP(Q17,[1]character_type_i18n!$A:$H,5,FALSE)</f>
        <v>1</v>
      </c>
      <c r="U17" s="11">
        <f>VLOOKUP(Q17,[1]character_type_i18n!$A:$H,6,FALSE)</f>
        <v>1</v>
      </c>
      <c r="V17" s="11">
        <f>VLOOKUP(Q17,[1]character_type_i18n!$A:$H,7,FALSE)</f>
        <v>1</v>
      </c>
      <c r="W17" s="56" t="str">
        <f ca="1">VLOOKUP($A17,OFFSET([1]characters!$A$1,0,0,COUNTA([1]characters!$A:$A),MATCH(W$1,[1]characters!$1:$1,0)-MATCH($A$1,[1]characters!$1:$1,0)+1),MATCH(W$1,[1]characters!$1:$1,0)-MATCH($A$1,[1]characters!$1:$1,0)+1,FALSE)</f>
        <v>god</v>
      </c>
      <c r="X17" s="5" t="str">
        <f ca="1">VLOOKUP(W17,[1]character_tribe_i18n!$A:$H,3,FALSE)</f>
        <v>ゴッド</v>
      </c>
      <c r="Y17" s="56" t="str">
        <f ca="1">VLOOKUP($A17,OFFSET([1]characters!$A$1,0,0,COUNTA([1]characters!$A:$A),MATCH(Y$1,[1]characters!$1:$1,0)-MATCH($A$1,[1]characters!$1:$1,0)+1),MATCH(Y$1,[1]characters!$1:$1,0)-MATCH($A$1,[1]characters!$1:$1,0)+1,FALSE)</f>
        <v>none</v>
      </c>
      <c r="Z17" s="5" t="str">
        <f ca="1">VLOOKUP(Y17,[1]character_tribe_i18n!$A:$H,3,FALSE)</f>
        <v>種族なし</v>
      </c>
      <c r="AA17" s="11">
        <f ca="1">VLOOKUP(W17,[1]character_tribe_i18n!$A:$H,4,FALSE)</f>
        <v>0.96</v>
      </c>
      <c r="AB17" s="11">
        <f ca="1">VLOOKUP(W17,[1]character_tribe_i18n!$A:$H,5,FALSE)</f>
        <v>1.02</v>
      </c>
      <c r="AC17" s="11">
        <f ca="1">VLOOKUP(W17,[1]character_tribe_i18n!$A:$H,6,FALSE)</f>
        <v>1</v>
      </c>
      <c r="AD17" s="11">
        <f ca="1">VLOOKUP(W17,[1]character_tribe_i18n!$A:$H,7,FALSE)</f>
        <v>1.02</v>
      </c>
      <c r="AE17" s="9" t="s">
        <v>183</v>
      </c>
      <c r="AF17" s="61" t="str">
        <f ca="1">IF(AE17="NULL","",VLOOKUP($AE17,OFFSET([1]characters!$A$1,0,0,COUNTA([1]characters!$A:$A),MATCH(AF$1,[1]characters!$1:$1,0)-MATCH($A$1,[1]characters!$1:$1,0)+1),MATCH(AF$1,[1]characters!$1:$1,0)-MATCH($A$1,[1]characters!$1:$1,0)+1,FALSE))</f>
        <v/>
      </c>
      <c r="AG17" s="5">
        <f t="shared" ca="1" si="0"/>
        <v>1074</v>
      </c>
      <c r="AH17" s="61" t="str">
        <f ca="1">VLOOKUP($AG17,OFFSET([1]characters!$A$1,0,0,COUNTA([1]characters!$A:$A),MATCH(AH$1,[1]characters!$1:$1,0)-MATCH($A$1,[1]characters!$1:$1,0)+1),MATCH(AH$1,[1]characters!$1:$1,0)-MATCH($A$1,[1]characters!$1:$1,0)+1,FALSE)</f>
        <v>マルドゥク</v>
      </c>
      <c r="AI17" s="11" t="str">
        <f>IF(AE17="NULL","NULL",VLOOKUP(G17,ビット!$A$2:$B$7,2))</f>
        <v>NULL</v>
      </c>
      <c r="AJ17" s="6">
        <v>2</v>
      </c>
      <c r="AK17" s="7" t="str">
        <f t="shared" si="9"/>
        <v>普通</v>
      </c>
      <c r="AL17" s="11" t="str">
        <f ca="1">INDEX(経験値!$A$1:$I$21,MATCH(H17,経験値!$A$1:$A$21,FALSE),MATCH(G17,経験値!$A$1:$I$1,FALSE))</f>
        <v>required_exp_250</v>
      </c>
      <c r="AM17" s="8">
        <f ca="1">VLOOKUP(G17,経験値!$A$28:$B$32,2)</f>
        <v>6400</v>
      </c>
      <c r="AN17" s="17">
        <f ca="1">VLOOKUP(G17,ビット!$G$2:$H$7,2)</f>
        <v>900</v>
      </c>
      <c r="AO17" s="44"/>
      <c r="AP17" s="66">
        <f t="shared" si="6"/>
        <v>1075</v>
      </c>
      <c r="AQ17" s="56" t="str">
        <f ca="1">VLOOKUP($AP17,OFFSET(unit_skills!$A$1,0,0,COUNTA(unit_skills!$A:$A),MATCH(AQ$1,unit_skills!$1:$1,0)-MATCH($AP$1,unit_skills!$1:$1,0)+1),MATCH(AQ$1,unit_skills!$1:$1,0)-MATCH($AP$1,unit_skills!$1:$1,0)+1,FALSE)</f>
        <v>ジュディシャル・ウィングス</v>
      </c>
      <c r="AR17" s="56" t="str">
        <f ca="1">VLOOKUP($AP17,OFFSET(unit_skills!$A$1,0,0,COUNTA(unit_skills!$A:$A),MATCH(AR$1,unit_skills!$1:$1,0)-MATCH($AP$1,unit_skills!$1:$1,0)+1),MATCH(AR$1,unit_skills!$1:$1,0)-MATCH($AP$1,unit_skills!$1:$1,0)+1,FALSE)</f>
        <v>2ターン黄属性の攻撃力、回復力を超大UPする+青・お邪魔パネルを吸収してHP大回復</v>
      </c>
      <c r="AS17" s="56">
        <f ca="1">VLOOKUP($AP17,OFFSET(unit_skills!$A$1,0,0,COUNTA(unit_skills!$A:$A),MATCH(AS$1,unit_skills!$1:$1,0)-MATCH($AP$1,unit_skills!$1:$1,0)+1),MATCH(AS$1,unit_skills!$1:$1,0)-MATCH($AP$1,unit_skills!$1:$1,0)+1,FALSE)</f>
        <v>0</v>
      </c>
      <c r="AT17" s="40">
        <f t="shared" si="7"/>
        <v>1075</v>
      </c>
      <c r="AU17" s="56" t="str">
        <f ca="1">VLOOKUP($AT17,OFFSET(crash_skills!$A$1,0,0,COUNTA(crash_skills!$A:$A),MATCH(AU$1,crash_skills!$1:$1,0)-MATCH($AT$1,crash_skills!$1:$1,0)+1),MATCH(AU$1,crash_skills!$1:$1,0)-MATCH($AT$1,crash_skills!$1:$1,0)+1,FALSE)</f>
        <v>承認強制マグネティックボール</v>
      </c>
      <c r="AV17" s="56" t="str">
        <f ca="1">VLOOKUP($AT17,OFFSET(crash_skills!$A$1,0,0,COUNTA(crash_skills!$A:$A),MATCH(AV$1,crash_skills!$1:$1,0)-MATCH($AT$1,crash_skills!$1:$1,0)+1),MATCH(AV$1,crash_skills!$1:$1,0)-MATCH($AT$1,crash_skills!$1:$1,0)+1,FALSE)</f>
        <v>1体に超大ダメージ+_x000D_1ターン黄属性の防御力UP</v>
      </c>
      <c r="AW17" s="56">
        <f ca="1">VLOOKUP($AT17,OFFSET(crash_skills!$A$1,0,0,COUNTA(crash_skills!$A:$A),MATCH(AW$1,crash_skills!$1:$1,0)-MATCH($AT$1,crash_skills!$1:$1,0)+1),MATCH(AW$1,crash_skills!$1:$1,0)-MATCH($AT$1,crash_skills!$1:$1,0)+1,FALSE)</f>
        <v>0</v>
      </c>
      <c r="AX17" s="57">
        <f ca="1">VLOOKUP($A17,OFFSET([1]characters!$A$1,0,0,COUNTA([1]characters!$A:$A),MATCH(AX$1,[1]characters!$1:$1,0)-MATCH($A$1,[1]characters!$1:$1,0)+1),MATCH(AX$1,[1]characters!$1:$1,0)-MATCH($A$1,[1]characters!$1:$1,0)+1,FALSE)</f>
        <v>3</v>
      </c>
      <c r="AY17" s="67">
        <v>1.02</v>
      </c>
      <c r="AZ17" s="67">
        <v>1</v>
      </c>
      <c r="BA17" s="67">
        <v>0</v>
      </c>
      <c r="BB17" s="67">
        <v>1.1000000000000001</v>
      </c>
      <c r="BC17" s="11">
        <f ca="1">INDEX('RC6SV'!$A$1:$G$21,MATCH(H17,'RC6SV'!$A$1:$A$21,FALSE),MATCH(G17,'RC6SV'!$A$1:$G$1,FALSE))</f>
        <v>13000</v>
      </c>
      <c r="BD17" s="47">
        <f t="shared" ca="1" si="10"/>
        <v>13000</v>
      </c>
      <c r="BE17" s="11">
        <f t="shared" ca="1" si="3"/>
        <v>9500</v>
      </c>
      <c r="BF17" s="11">
        <f t="shared" ca="1" si="4"/>
        <v>1</v>
      </c>
      <c r="BG17" s="16">
        <f ca="1">IF($BE17&lt;=0,ROUND(BK17*0.5,0), ROUND($BE17*S17*AA17*J17*AY17*0.8*[1]ステータス!$B$2,0))</f>
        <v>3647</v>
      </c>
      <c r="BH17" s="16">
        <f ca="1">IF($BE17&lt;=0,ROUND(BL17*0.5,0), ROUND($BE17*T17*AB17*K17*AZ17*0.8*[1]ステータス!$C$2,0))</f>
        <v>2349</v>
      </c>
      <c r="BI17" s="16">
        <f ca="1">IF($BE17&lt;=0,ROUND(BM17*0.5,0), ROUND($BE17*U17*AC17*L17*BA17*0.8*[1]ステータス!$D$2,0))</f>
        <v>0</v>
      </c>
      <c r="BJ17" s="16">
        <f ca="1">IF($BE17&lt;=0,ROUND(BN17*0.5,0), ROUND($BE17*V17*AD17*M17*BB17*0.8*[1]ステータス!$E$2,0))</f>
        <v>2153</v>
      </c>
      <c r="BK17" s="11">
        <f ca="1">ROUND(BD17*S17*AA17*J17*AY17*[1]ステータス!$B$2,0)</f>
        <v>6238</v>
      </c>
      <c r="BL17" s="11">
        <f ca="1">ROUND(BD17*T17*AB17*K17*AZ17*[1]ステータス!$C$2,0)</f>
        <v>4018</v>
      </c>
      <c r="BM17" s="11">
        <f ca="1">ROUND(BD17*U17*AC17*L17*BA17*[1]ステータス!$D$2,0)</f>
        <v>0</v>
      </c>
      <c r="BN17" s="11">
        <f ca="1">ROUND(BD17*V17*AD17*M17*BB17*[1]ステータス!$E$2,0)</f>
        <v>3683</v>
      </c>
      <c r="BO17" s="10">
        <v>0</v>
      </c>
      <c r="BP17" s="10">
        <v>1</v>
      </c>
      <c r="BQ17" s="10" t="s">
        <v>47</v>
      </c>
      <c r="BR17" s="10">
        <f ca="1">VLOOKUP(H17,ghosts_label!$A$2:$B$19,2,FALSE)</f>
        <v>5500</v>
      </c>
    </row>
  </sheetData>
  <autoFilter ref="A1:BQ1"/>
  <phoneticPr fontId="10"/>
  <conditionalFormatting sqref="BO1">
    <cfRule type="cellIs" dxfId="31" priority="120" stopIfTrue="1" operator="equal">
      <formula>1</formula>
    </cfRule>
  </conditionalFormatting>
  <conditionalFormatting sqref="BQ1">
    <cfRule type="cellIs" dxfId="30"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7"/>
  <sheetViews>
    <sheetView showGridLines="0" zoomScale="108" workbookViewId="0">
      <pane xSplit="4" ySplit="1" topLeftCell="F2" activePane="bottomRight" state="frozen"/>
      <selection pane="topRight" activeCell="D1" sqref="D1"/>
      <selection pane="bottomLeft" activeCell="A2" sqref="A2"/>
      <selection pane="bottomRight" activeCell="D12" sqref="D12"/>
    </sheetView>
  </sheetViews>
  <sheetFormatPr baseColWidth="12" defaultColWidth="13" defaultRowHeight="21" customHeight="1" outlineLevelCol="1" x14ac:dyDescent="0.15"/>
  <cols>
    <col min="1" max="1" width="16.1640625" style="130" bestFit="1" customWidth="1"/>
    <col min="2" max="2" width="13" style="130" bestFit="1" customWidth="1"/>
    <col min="3" max="3" width="21.83203125" style="130" customWidth="1"/>
    <col min="4" max="4" width="41.83203125" style="130" customWidth="1"/>
    <col min="5" max="5" width="9" style="130" customWidth="1"/>
    <col min="6" max="6" width="7.83203125" style="130" bestFit="1" customWidth="1"/>
    <col min="7" max="7" width="8.1640625" style="130" bestFit="1" customWidth="1"/>
    <col min="8" max="8" width="13.6640625" style="130" bestFit="1" customWidth="1"/>
    <col min="9" max="10" width="51.6640625" style="130" customWidth="1"/>
    <col min="11" max="11" width="10.83203125" style="130" customWidth="1" outlineLevel="1"/>
    <col min="12" max="17" width="9.5" style="129" customWidth="1" outlineLevel="1"/>
    <col min="18" max="18" width="20.33203125" style="130" customWidth="1" outlineLevel="1"/>
    <col min="19" max="19" width="10.33203125" style="130" bestFit="1" customWidth="1"/>
    <col min="20" max="16384" width="13" style="130"/>
  </cols>
  <sheetData>
    <row r="1" spans="1:19" s="129" customFormat="1" ht="21" customHeight="1" x14ac:dyDescent="0.15">
      <c r="A1" s="118" t="s">
        <v>20</v>
      </c>
      <c r="B1" s="119" t="s">
        <v>134</v>
      </c>
      <c r="C1" s="120" t="s">
        <v>40</v>
      </c>
      <c r="D1" s="121" t="s">
        <v>163</v>
      </c>
      <c r="E1" s="121" t="s">
        <v>164</v>
      </c>
      <c r="F1" s="118" t="s">
        <v>146</v>
      </c>
      <c r="G1" s="122" t="s">
        <v>2</v>
      </c>
      <c r="H1" s="122" t="s">
        <v>165</v>
      </c>
      <c r="I1" s="122" t="s">
        <v>166</v>
      </c>
      <c r="J1" s="123" t="s">
        <v>184</v>
      </c>
      <c r="K1" s="122" t="s">
        <v>4</v>
      </c>
      <c r="L1" s="124" t="s">
        <v>167</v>
      </c>
      <c r="M1" s="125" t="s">
        <v>168</v>
      </c>
      <c r="N1" s="125" t="s">
        <v>169</v>
      </c>
      <c r="O1" s="125" t="s">
        <v>170</v>
      </c>
      <c r="P1" s="125" t="s">
        <v>171</v>
      </c>
      <c r="Q1" s="126" t="s">
        <v>172</v>
      </c>
      <c r="R1" s="127" t="s">
        <v>173</v>
      </c>
      <c r="S1" s="128" t="s">
        <v>174</v>
      </c>
    </row>
    <row r="2" spans="1:19" ht="21" customHeight="1" x14ac:dyDescent="0.15">
      <c r="A2" s="12">
        <v>1059</v>
      </c>
      <c r="B2" s="133" t="s">
        <v>185</v>
      </c>
      <c r="C2" s="203" t="s">
        <v>360</v>
      </c>
      <c r="D2" s="134" t="s">
        <v>335</v>
      </c>
      <c r="E2" s="135">
        <f t="shared" ref="E2" si="0">LEN(D2)</f>
        <v>35</v>
      </c>
      <c r="F2" s="117">
        <v>13</v>
      </c>
      <c r="G2" s="117">
        <v>5</v>
      </c>
      <c r="H2" s="136">
        <f>2001</f>
        <v>2001</v>
      </c>
      <c r="I2" s="136" t="s">
        <v>448</v>
      </c>
      <c r="J2" s="56" t="str">
        <f ca="1">VLOOKUP($A2,OFFSET([1]characters!$A$1,0,0,COUNTA([1]characters!$A:$A),MATCH("name",[1]characters!$1:$1,0)-MATCH("character_id",[1]characters!$1:$1,0)+1),MATCH("name",[1]characters!$1:$1,0)-MATCH("character_id",[1]characters!$1:$1,0)+1,FALSE)</f>
        <v>パズズ</v>
      </c>
      <c r="K2" s="137">
        <v>3</v>
      </c>
      <c r="L2" s="138"/>
      <c r="M2" s="139"/>
      <c r="N2" s="139"/>
      <c r="O2" s="139"/>
      <c r="P2" s="139"/>
      <c r="Q2" s="139"/>
      <c r="R2" s="134"/>
      <c r="S2" s="140"/>
    </row>
    <row r="3" spans="1:19" ht="21" customHeight="1" x14ac:dyDescent="0.15">
      <c r="A3" s="12">
        <v>1060</v>
      </c>
      <c r="B3" s="133" t="s">
        <v>185</v>
      </c>
      <c r="C3" s="203" t="s">
        <v>361</v>
      </c>
      <c r="D3" s="134" t="s">
        <v>335</v>
      </c>
      <c r="E3" s="135">
        <f t="shared" ref="E3:E13" si="1">LEN(D3)</f>
        <v>35</v>
      </c>
      <c r="F3" s="117">
        <v>12</v>
      </c>
      <c r="G3" s="117">
        <v>5</v>
      </c>
      <c r="H3" s="136">
        <f>2001</f>
        <v>2001</v>
      </c>
      <c r="I3" s="136" t="s">
        <v>336</v>
      </c>
      <c r="J3" s="56" t="str">
        <f ca="1">VLOOKUP($A3,OFFSET([1]characters!$A$1,0,0,COUNTA([1]characters!$A:$A),MATCH("name",[1]characters!$1:$1,0)-MATCH("character_id",[1]characters!$1:$1,0)+1),MATCH("name",[1]characters!$1:$1,0)-MATCH("character_id",[1]characters!$1:$1,0)+1,FALSE)</f>
        <v>熱扇風の幼魔 パズズ</v>
      </c>
      <c r="K3" s="137">
        <v>3</v>
      </c>
      <c r="L3" s="138"/>
      <c r="M3" s="139"/>
      <c r="N3" s="139"/>
      <c r="O3" s="139"/>
      <c r="P3" s="139"/>
      <c r="Q3" s="139"/>
      <c r="R3" s="134"/>
      <c r="S3" s="140"/>
    </row>
    <row r="4" spans="1:19" ht="21" customHeight="1" x14ac:dyDescent="0.15">
      <c r="A4" s="12">
        <v>1061</v>
      </c>
      <c r="B4" s="133" t="s">
        <v>185</v>
      </c>
      <c r="C4" s="204" t="s">
        <v>362</v>
      </c>
      <c r="D4" s="134" t="s">
        <v>346</v>
      </c>
      <c r="E4" s="135">
        <f t="shared" si="1"/>
        <v>30</v>
      </c>
      <c r="F4" s="117">
        <v>12</v>
      </c>
      <c r="G4" s="117">
        <v>5</v>
      </c>
      <c r="H4" s="136">
        <f>2001</f>
        <v>2001</v>
      </c>
      <c r="I4" s="136" t="s">
        <v>440</v>
      </c>
      <c r="J4" s="56" t="str">
        <f ca="1">VLOOKUP($A4,OFFSET([1]characters!$A$1,0,0,COUNTA([1]characters!$A:$A),MATCH("name",[1]characters!$1:$1,0)-MATCH("character_id",[1]characters!$1:$1,0)+1),MATCH("name",[1]characters!$1:$1,0)-MATCH("character_id",[1]characters!$1:$1,0)+1,FALSE)</f>
        <v>フンババ</v>
      </c>
      <c r="K4" s="137">
        <v>3</v>
      </c>
      <c r="L4" s="138"/>
      <c r="M4" s="139"/>
      <c r="N4" s="139"/>
      <c r="O4" s="139"/>
      <c r="P4" s="139"/>
      <c r="Q4" s="139"/>
      <c r="R4" s="134"/>
      <c r="S4" s="140"/>
    </row>
    <row r="5" spans="1:19" ht="21" customHeight="1" x14ac:dyDescent="0.15">
      <c r="A5" s="12">
        <v>1062</v>
      </c>
      <c r="B5" s="133" t="s">
        <v>185</v>
      </c>
      <c r="C5" s="203" t="s">
        <v>363</v>
      </c>
      <c r="D5" s="134" t="s">
        <v>347</v>
      </c>
      <c r="E5" s="135">
        <f t="shared" si="1"/>
        <v>30</v>
      </c>
      <c r="F5" s="117">
        <v>12</v>
      </c>
      <c r="G5" s="117">
        <v>5</v>
      </c>
      <c r="H5" s="136">
        <f>2001</f>
        <v>2001</v>
      </c>
      <c r="I5" s="136" t="s">
        <v>348</v>
      </c>
      <c r="J5" s="56" t="str">
        <f ca="1">VLOOKUP($A5,OFFSET([1]characters!$A$1,0,0,COUNTA([1]characters!$A:$A),MATCH("name",[1]characters!$1:$1,0)-MATCH("character_id",[1]characters!$1:$1,0)+1),MATCH("name",[1]characters!$1:$1,0)-MATCH("character_id",[1]characters!$1:$1,0)+1,FALSE)</f>
        <v>停止不能の蛮躯 フンババ</v>
      </c>
      <c r="K5" s="137">
        <v>3</v>
      </c>
      <c r="L5" s="138"/>
      <c r="M5" s="139"/>
      <c r="N5" s="139"/>
      <c r="O5" s="139"/>
      <c r="P5" s="139"/>
      <c r="Q5" s="139"/>
      <c r="R5" s="134"/>
      <c r="S5" s="140"/>
    </row>
    <row r="6" spans="1:19" ht="21" customHeight="1" x14ac:dyDescent="0.15">
      <c r="A6" s="12">
        <v>1063</v>
      </c>
      <c r="B6" s="133" t="s">
        <v>185</v>
      </c>
      <c r="C6" s="204" t="s">
        <v>364</v>
      </c>
      <c r="D6" s="134" t="s">
        <v>342</v>
      </c>
      <c r="E6" s="135">
        <f t="shared" si="1"/>
        <v>44</v>
      </c>
      <c r="F6" s="117">
        <v>15</v>
      </c>
      <c r="G6" s="117">
        <v>7</v>
      </c>
      <c r="H6" s="136">
        <f>2001</f>
        <v>2001</v>
      </c>
      <c r="I6" s="136" t="s">
        <v>462</v>
      </c>
      <c r="J6" s="56" t="str">
        <f ca="1">VLOOKUP($A6,OFFSET([1]characters!$A$1,0,0,COUNTA([1]characters!$A:$A),MATCH("name",[1]characters!$1:$1,0)-MATCH("character_id",[1]characters!$1:$1,0)+1),MATCH("name",[1]characters!$1:$1,0)-MATCH("character_id",[1]characters!$1:$1,0)+1,FALSE)</f>
        <v>ティアマト</v>
      </c>
      <c r="K6" s="137">
        <v>3</v>
      </c>
      <c r="L6" s="138"/>
      <c r="M6" s="139"/>
      <c r="N6" s="139"/>
      <c r="O6" s="139"/>
      <c r="P6" s="139"/>
      <c r="Q6" s="139"/>
      <c r="R6" s="134"/>
      <c r="S6" s="140"/>
    </row>
    <row r="7" spans="1:19" ht="21" customHeight="1" x14ac:dyDescent="0.15">
      <c r="A7" s="12">
        <v>1064</v>
      </c>
      <c r="B7" s="133" t="s">
        <v>185</v>
      </c>
      <c r="C7" s="204" t="s">
        <v>365</v>
      </c>
      <c r="D7" s="134" t="s">
        <v>342</v>
      </c>
      <c r="E7" s="135">
        <f t="shared" si="1"/>
        <v>44</v>
      </c>
      <c r="F7" s="117">
        <v>14</v>
      </c>
      <c r="G7" s="117">
        <v>7</v>
      </c>
      <c r="H7" s="136">
        <f>2001</f>
        <v>2001</v>
      </c>
      <c r="I7" s="136" t="s">
        <v>461</v>
      </c>
      <c r="J7" s="56" t="str">
        <f ca="1">VLOOKUP($A7,OFFSET([1]characters!$A$1,0,0,COUNTA([1]characters!$A:$A),MATCH("name",[1]characters!$1:$1,0)-MATCH("character_id",[1]characters!$1:$1,0)+1),MATCH("name",[1]characters!$1:$1,0)-MATCH("character_id",[1]characters!$1:$1,0)+1,FALSE)</f>
        <v>混沌の猛飛沫 ティアマト</v>
      </c>
      <c r="K7" s="137">
        <v>3</v>
      </c>
      <c r="L7" s="138"/>
      <c r="M7" s="139"/>
      <c r="N7" s="139"/>
      <c r="O7" s="139"/>
      <c r="P7" s="139"/>
      <c r="Q7" s="139"/>
      <c r="R7" s="134"/>
      <c r="S7" s="140"/>
    </row>
    <row r="8" spans="1:19" ht="21" customHeight="1" x14ac:dyDescent="0.15">
      <c r="A8" s="12">
        <v>1065</v>
      </c>
      <c r="B8" s="133" t="s">
        <v>185</v>
      </c>
      <c r="C8" s="203" t="s">
        <v>463</v>
      </c>
      <c r="D8" s="134" t="s">
        <v>474</v>
      </c>
      <c r="E8" s="135">
        <f>LEN(D8)</f>
        <v>46</v>
      </c>
      <c r="F8" s="117">
        <v>24</v>
      </c>
      <c r="G8" s="117">
        <v>17</v>
      </c>
      <c r="H8" s="136">
        <f>2001</f>
        <v>2001</v>
      </c>
      <c r="I8" s="136" t="s">
        <v>472</v>
      </c>
      <c r="J8" s="56" t="str">
        <f ca="1">VLOOKUP($A8,OFFSET([1]characters!$A$1,0,0,COUNTA([1]characters!$A:$A),MATCH("name",[1]characters!$1:$1,0)-MATCH("character_id",[1]characters!$1:$1,0)+1),MATCH("name",[1]characters!$1:$1,0)-MATCH("character_id",[1]characters!$1:$1,0)+1,FALSE)</f>
        <v>ギルガメッシュ</v>
      </c>
      <c r="K8" s="137">
        <v>3</v>
      </c>
      <c r="L8" s="138"/>
      <c r="M8" s="139"/>
      <c r="N8" s="139"/>
      <c r="O8" s="139"/>
      <c r="P8" s="139"/>
      <c r="Q8" s="139"/>
      <c r="R8" s="134"/>
      <c r="S8" s="140"/>
    </row>
    <row r="9" spans="1:19" ht="21" customHeight="1" x14ac:dyDescent="0.15">
      <c r="A9" s="12">
        <v>1066</v>
      </c>
      <c r="B9" s="133" t="s">
        <v>185</v>
      </c>
      <c r="C9" s="203" t="s">
        <v>464</v>
      </c>
      <c r="D9" s="134" t="s">
        <v>473</v>
      </c>
      <c r="E9" s="135">
        <f>LEN(D9)</f>
        <v>46</v>
      </c>
      <c r="F9" s="117">
        <v>23</v>
      </c>
      <c r="G9" s="117">
        <v>17</v>
      </c>
      <c r="H9" s="136">
        <f>2001</f>
        <v>2001</v>
      </c>
      <c r="I9" s="136" t="s">
        <v>472</v>
      </c>
      <c r="J9" s="56" t="str">
        <f ca="1">VLOOKUP($A9,OFFSET([1]characters!$A$1,0,0,COUNTA([1]characters!$A:$A),MATCH("name",[1]characters!$1:$1,0)-MATCH("character_id",[1]characters!$1:$1,0)+1),MATCH("name",[1]characters!$1:$1,0)-MATCH("character_id",[1]characters!$1:$1,0)+1,FALSE)</f>
        <v>放縦の序獅子 ギルガメッシュ</v>
      </c>
      <c r="K9" s="137">
        <v>3</v>
      </c>
      <c r="L9" s="138"/>
      <c r="M9" s="139"/>
      <c r="N9" s="139"/>
      <c r="O9" s="139"/>
      <c r="P9" s="139"/>
      <c r="Q9" s="139"/>
      <c r="R9" s="134"/>
      <c r="S9" s="140"/>
    </row>
    <row r="10" spans="1:19" ht="21" customHeight="1" x14ac:dyDescent="0.15">
      <c r="A10" s="12">
        <v>1067</v>
      </c>
      <c r="B10" s="133" t="s">
        <v>185</v>
      </c>
      <c r="C10" s="203" t="s">
        <v>358</v>
      </c>
      <c r="D10" s="134" t="s">
        <v>334</v>
      </c>
      <c r="E10" s="135">
        <f t="shared" si="1"/>
        <v>34</v>
      </c>
      <c r="F10" s="117">
        <v>12</v>
      </c>
      <c r="G10" s="117">
        <v>5</v>
      </c>
      <c r="H10" s="136">
        <f>2001</f>
        <v>2001</v>
      </c>
      <c r="I10" s="136" t="s">
        <v>443</v>
      </c>
      <c r="J10" s="56" t="str">
        <f ca="1">VLOOKUP($A10,OFFSET([1]characters!$A$1,0,0,COUNTA([1]characters!$A:$A),MATCH("name",[1]characters!$1:$1,0)-MATCH("character_id",[1]characters!$1:$1,0)+1),MATCH("name",[1]characters!$1:$1,0)-MATCH("character_id",[1]characters!$1:$1,0)+1,FALSE)</f>
        <v>ウシュムガル</v>
      </c>
      <c r="K10" s="137">
        <v>3</v>
      </c>
      <c r="L10" s="138"/>
      <c r="M10" s="139"/>
      <c r="N10" s="139"/>
      <c r="O10" s="139"/>
      <c r="P10" s="139"/>
      <c r="Q10" s="139"/>
      <c r="R10" s="134"/>
      <c r="S10" s="140"/>
    </row>
    <row r="11" spans="1:19" ht="21" customHeight="1" x14ac:dyDescent="0.15">
      <c r="A11" s="12">
        <v>1068</v>
      </c>
      <c r="B11" s="133" t="s">
        <v>185</v>
      </c>
      <c r="C11" s="203" t="s">
        <v>359</v>
      </c>
      <c r="D11" s="134" t="s">
        <v>334</v>
      </c>
      <c r="E11" s="135">
        <f t="shared" si="1"/>
        <v>34</v>
      </c>
      <c r="F11" s="117">
        <v>11</v>
      </c>
      <c r="G11" s="117">
        <v>5</v>
      </c>
      <c r="H11" s="136">
        <f>2001</f>
        <v>2001</v>
      </c>
      <c r="I11" s="136" t="s">
        <v>349</v>
      </c>
      <c r="J11" s="56" t="str">
        <f ca="1">VLOOKUP($A11,OFFSET([1]characters!$A$1,0,0,COUNTA([1]characters!$A:$A),MATCH("name",[1]characters!$1:$1,0)-MATCH("character_id",[1]characters!$1:$1,0)+1),MATCH("name",[1]characters!$1:$1,0)-MATCH("character_id",[1]characters!$1:$1,0)+1,FALSE)</f>
        <v>想母の羽龍 ウシュムガル</v>
      </c>
      <c r="K11" s="137">
        <v>3</v>
      </c>
      <c r="L11" s="138"/>
      <c r="M11" s="139"/>
      <c r="N11" s="139"/>
      <c r="O11" s="139"/>
      <c r="P11" s="139"/>
      <c r="Q11" s="139"/>
      <c r="R11" s="134"/>
      <c r="S11" s="140"/>
    </row>
    <row r="12" spans="1:19" ht="21" customHeight="1" x14ac:dyDescent="0.15">
      <c r="A12" s="12">
        <v>1069</v>
      </c>
      <c r="B12" s="133" t="s">
        <v>185</v>
      </c>
      <c r="C12" s="134" t="s">
        <v>352</v>
      </c>
      <c r="D12" s="134" t="s">
        <v>500</v>
      </c>
      <c r="E12" s="135">
        <f t="shared" si="1"/>
        <v>29</v>
      </c>
      <c r="F12" s="117">
        <v>12</v>
      </c>
      <c r="G12" s="117">
        <v>5</v>
      </c>
      <c r="H12" s="136">
        <f>2001</f>
        <v>2001</v>
      </c>
      <c r="I12" s="136" t="s">
        <v>452</v>
      </c>
      <c r="J12" s="56" t="str">
        <f ca="1">VLOOKUP($A12,OFFSET([1]characters!$A$1,0,0,COUNTA([1]characters!$A:$A),MATCH("name",[1]characters!$1:$1,0)-MATCH("character_id",[1]characters!$1:$1,0)+1),MATCH("name",[1]characters!$1:$1,0)-MATCH("character_id",[1]characters!$1:$1,0)+1,FALSE)</f>
        <v>イシュタル</v>
      </c>
      <c r="K12" s="137">
        <v>3</v>
      </c>
      <c r="L12" s="138"/>
      <c r="M12" s="139"/>
      <c r="N12" s="139"/>
      <c r="O12" s="139"/>
      <c r="P12" s="139"/>
      <c r="Q12" s="139"/>
      <c r="R12" s="134"/>
      <c r="S12" s="140"/>
    </row>
    <row r="13" spans="1:19" ht="21" customHeight="1" x14ac:dyDescent="0.15">
      <c r="A13" s="12">
        <v>1070</v>
      </c>
      <c r="B13" s="133" t="s">
        <v>185</v>
      </c>
      <c r="C13" s="134" t="s">
        <v>353</v>
      </c>
      <c r="D13" s="134" t="s">
        <v>501</v>
      </c>
      <c r="E13" s="135">
        <f t="shared" si="1"/>
        <v>49</v>
      </c>
      <c r="F13" s="117">
        <v>11</v>
      </c>
      <c r="G13" s="117">
        <v>5</v>
      </c>
      <c r="H13" s="136">
        <f>2001</f>
        <v>2001</v>
      </c>
      <c r="I13" s="136" t="s">
        <v>499</v>
      </c>
      <c r="J13" s="56" t="str">
        <f ca="1">VLOOKUP($A13,OFFSET([1]characters!$A$1,0,0,COUNTA([1]characters!$A:$A),MATCH("name",[1]characters!$1:$1,0)-MATCH("character_id",[1]characters!$1:$1,0)+1),MATCH("name",[1]characters!$1:$1,0)-MATCH("character_id",[1]characters!$1:$1,0)+1,FALSE)</f>
        <v>駆脳する造愛 イシュタル</v>
      </c>
      <c r="K13" s="137">
        <v>3</v>
      </c>
      <c r="L13" s="138"/>
      <c r="M13" s="139"/>
      <c r="N13" s="139"/>
      <c r="O13" s="139"/>
      <c r="P13" s="139"/>
      <c r="Q13" s="139"/>
      <c r="R13" s="134"/>
      <c r="S13" s="140"/>
    </row>
    <row r="14" spans="1:19" ht="21" customHeight="1" x14ac:dyDescent="0.15">
      <c r="A14" s="12">
        <v>1072</v>
      </c>
      <c r="B14" s="133" t="s">
        <v>185</v>
      </c>
      <c r="C14" s="203" t="s">
        <v>354</v>
      </c>
      <c r="D14" s="134" t="s">
        <v>449</v>
      </c>
      <c r="E14" s="135">
        <f t="shared" ref="E14:E17" si="2">LEN(D14)</f>
        <v>59</v>
      </c>
      <c r="F14" s="117">
        <v>13</v>
      </c>
      <c r="G14" s="117">
        <v>5</v>
      </c>
      <c r="H14" s="136">
        <f>2001</f>
        <v>2001</v>
      </c>
      <c r="I14" s="136" t="s">
        <v>451</v>
      </c>
      <c r="J14" s="56" t="str">
        <f ca="1">VLOOKUP($A14,OFFSET([1]characters!$A$1,0,0,COUNTA([1]characters!$A:$A),MATCH("name",[1]characters!$1:$1,0)-MATCH("character_id",[1]characters!$1:$1,0)+1),MATCH("name",[1]characters!$1:$1,0)-MATCH("character_id",[1]characters!$1:$1,0)+1,FALSE)</f>
        <v>エンキドゥ</v>
      </c>
      <c r="K14" s="137">
        <v>3</v>
      </c>
      <c r="L14" s="138"/>
      <c r="M14" s="139"/>
      <c r="N14" s="139"/>
      <c r="O14" s="139"/>
      <c r="P14" s="139"/>
      <c r="Q14" s="139"/>
      <c r="R14" s="134"/>
      <c r="S14" s="140"/>
    </row>
    <row r="15" spans="1:19" ht="21" customHeight="1" x14ac:dyDescent="0.15">
      <c r="A15" s="12">
        <v>1073</v>
      </c>
      <c r="B15" s="133" t="s">
        <v>185</v>
      </c>
      <c r="C15" s="203" t="s">
        <v>355</v>
      </c>
      <c r="D15" s="134" t="s">
        <v>450</v>
      </c>
      <c r="E15" s="135">
        <f t="shared" si="2"/>
        <v>59</v>
      </c>
      <c r="F15" s="117">
        <v>12</v>
      </c>
      <c r="G15" s="117">
        <v>5</v>
      </c>
      <c r="H15" s="136">
        <f>2001</f>
        <v>2001</v>
      </c>
      <c r="I15" s="136" t="s">
        <v>451</v>
      </c>
      <c r="J15" s="56" t="str">
        <f ca="1">VLOOKUP($A15,OFFSET([1]characters!$A$1,0,0,COUNTA([1]characters!$A:$A),MATCH("name",[1]characters!$1:$1,0)-MATCH("character_id",[1]characters!$1:$1,0)+1),MATCH("name",[1]characters!$1:$1,0)-MATCH("character_id",[1]characters!$1:$1,0)+1,FALSE)</f>
        <v>静穏なる獣勇 エンキドゥ</v>
      </c>
      <c r="K15" s="137">
        <v>3</v>
      </c>
      <c r="L15" s="138"/>
      <c r="M15" s="139"/>
      <c r="N15" s="139"/>
      <c r="O15" s="139"/>
      <c r="P15" s="139"/>
      <c r="Q15" s="139"/>
      <c r="R15" s="134"/>
      <c r="S15" s="140"/>
    </row>
    <row r="16" spans="1:19" ht="21" customHeight="1" x14ac:dyDescent="0.15">
      <c r="A16" s="12">
        <v>1074</v>
      </c>
      <c r="B16" s="133" t="s">
        <v>185</v>
      </c>
      <c r="C16" s="203" t="s">
        <v>356</v>
      </c>
      <c r="D16" s="134" t="s">
        <v>453</v>
      </c>
      <c r="E16" s="135">
        <f t="shared" si="2"/>
        <v>41</v>
      </c>
      <c r="F16" s="117">
        <v>12</v>
      </c>
      <c r="G16" s="117">
        <v>5</v>
      </c>
      <c r="H16" s="136">
        <f>2001</f>
        <v>2001</v>
      </c>
      <c r="I16" s="136" t="s">
        <v>455</v>
      </c>
      <c r="J16" s="56" t="str">
        <f ca="1">VLOOKUP($A16,OFFSET([1]characters!$A$1,0,0,COUNTA([1]characters!$A:$A),MATCH("name",[1]characters!$1:$1,0)-MATCH("character_id",[1]characters!$1:$1,0)+1),MATCH("name",[1]characters!$1:$1,0)-MATCH("character_id",[1]characters!$1:$1,0)+1,FALSE)</f>
        <v>マルドゥク</v>
      </c>
      <c r="K16" s="137">
        <v>3</v>
      </c>
      <c r="L16" s="138"/>
      <c r="M16" s="139"/>
      <c r="N16" s="139"/>
      <c r="O16" s="139"/>
      <c r="P16" s="139"/>
      <c r="Q16" s="139"/>
      <c r="R16" s="134"/>
      <c r="S16" s="140"/>
    </row>
    <row r="17" spans="1:19" ht="21" customHeight="1" x14ac:dyDescent="0.15">
      <c r="A17" s="12">
        <v>1075</v>
      </c>
      <c r="B17" s="133" t="s">
        <v>185</v>
      </c>
      <c r="C17" s="203" t="s">
        <v>357</v>
      </c>
      <c r="D17" s="134" t="s">
        <v>441</v>
      </c>
      <c r="E17" s="135">
        <f t="shared" si="2"/>
        <v>41</v>
      </c>
      <c r="F17" s="117">
        <v>11</v>
      </c>
      <c r="G17" s="117">
        <v>5</v>
      </c>
      <c r="H17" s="136">
        <f>2001</f>
        <v>2001</v>
      </c>
      <c r="I17" s="136" t="s">
        <v>454</v>
      </c>
      <c r="J17" s="56" t="str">
        <f ca="1">VLOOKUP($A17,OFFSET([1]characters!$A$1,0,0,COUNTA([1]characters!$A:$A),MATCH("name",[1]characters!$1:$1,0)-MATCH("character_id",[1]characters!$1:$1,0)+1),MATCH("name",[1]characters!$1:$1,0)-MATCH("character_id",[1]characters!$1:$1,0)+1,FALSE)</f>
        <v>虚塔の神王 マルドゥク</v>
      </c>
      <c r="K17" s="137">
        <v>3</v>
      </c>
      <c r="L17" s="138"/>
      <c r="M17" s="139"/>
      <c r="N17" s="139"/>
      <c r="O17" s="139"/>
      <c r="P17" s="139"/>
      <c r="Q17" s="139"/>
      <c r="R17" s="134"/>
      <c r="S17" s="140"/>
    </row>
  </sheetData>
  <sheetProtection selectLockedCells="1" selectUnlockedCells="1"/>
  <autoFilter ref="A1:S1">
    <sortState ref="A2:T432">
      <sortCondition ref="A1:A432"/>
    </sortState>
  </autoFilter>
  <phoneticPr fontId="22"/>
  <conditionalFormatting sqref="E1 E18:E1048576">
    <cfRule type="cellIs" dxfId="29" priority="7" operator="greaterThan">
      <formula>41</formula>
    </cfRule>
  </conditionalFormatting>
  <conditionalFormatting sqref="E2:E17">
    <cfRule type="cellIs" dxfId="28"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7"/>
  <sheetViews>
    <sheetView showGridLines="0" workbookViewId="0">
      <pane xSplit="4" ySplit="1" topLeftCell="G2" activePane="bottomRight" state="frozen"/>
      <selection pane="topRight" activeCell="D1" sqref="D1"/>
      <selection pane="bottomLeft" activeCell="A3" sqref="A3"/>
      <selection pane="bottomRight" activeCell="I13" sqref="I13"/>
    </sheetView>
  </sheetViews>
  <sheetFormatPr baseColWidth="12" defaultColWidth="13" defaultRowHeight="21" customHeight="1" x14ac:dyDescent="0.15"/>
  <cols>
    <col min="1" max="2" width="12.1640625" style="130" customWidth="1"/>
    <col min="3" max="3" width="48.83203125" style="131" customWidth="1"/>
    <col min="4" max="4" width="23.83203125" style="131" customWidth="1"/>
    <col min="5" max="5" width="10.5" style="131" customWidth="1"/>
    <col min="6" max="7" width="59.1640625" style="131" customWidth="1"/>
    <col min="8" max="8" width="6.83203125" style="130" bestFit="1" customWidth="1"/>
    <col min="9" max="9" width="20.33203125" style="130" customWidth="1"/>
    <col min="10" max="10" width="5" style="130" bestFit="1" customWidth="1"/>
    <col min="11" max="16384" width="13" style="130"/>
  </cols>
  <sheetData>
    <row r="1" spans="1:19" ht="21" customHeight="1" x14ac:dyDescent="0.15">
      <c r="A1" s="118" t="s">
        <v>182</v>
      </c>
      <c r="B1" s="119" t="s">
        <v>181</v>
      </c>
      <c r="C1" s="120" t="s">
        <v>180</v>
      </c>
      <c r="D1" s="121" t="s">
        <v>179</v>
      </c>
      <c r="E1" s="121" t="s">
        <v>178</v>
      </c>
      <c r="F1" s="122" t="s">
        <v>177</v>
      </c>
      <c r="G1" s="123" t="s">
        <v>184</v>
      </c>
      <c r="H1" s="122" t="s">
        <v>176</v>
      </c>
      <c r="I1" s="123" t="s">
        <v>175</v>
      </c>
      <c r="J1" s="127" t="s">
        <v>174</v>
      </c>
    </row>
    <row r="2" spans="1:19" ht="21" customHeight="1" x14ac:dyDescent="0.15">
      <c r="A2" s="12">
        <v>1059</v>
      </c>
      <c r="B2" s="133" t="s">
        <v>186</v>
      </c>
      <c r="C2" s="204" t="s">
        <v>372</v>
      </c>
      <c r="D2" s="134" t="s">
        <v>375</v>
      </c>
      <c r="E2" s="135">
        <f t="shared" ref="E2" si="0">LEN(D2)</f>
        <v>8</v>
      </c>
      <c r="F2" s="117" t="s">
        <v>442</v>
      </c>
      <c r="G2" s="56" t="str">
        <f ca="1">VLOOKUP($A2,OFFSET([1]characters!$A$1,0,0,COUNTA([1]characters!$A:$A),MATCH("name",[1]characters!$1:$1,0)-MATCH("character_id",[1]characters!$1:$1,0)+1),MATCH("name",[1]characters!$1:$1,0)-MATCH("character_id",[1]characters!$1:$1,0)+1,FALSE)</f>
        <v>パズズ</v>
      </c>
      <c r="H2" s="136">
        <v>3</v>
      </c>
      <c r="I2" s="136"/>
      <c r="J2" s="141"/>
      <c r="K2" s="137">
        <v>1</v>
      </c>
      <c r="L2" s="138"/>
      <c r="M2" s="139"/>
      <c r="N2" s="139"/>
      <c r="O2" s="139"/>
      <c r="P2" s="139"/>
      <c r="Q2" s="139"/>
      <c r="R2" s="134"/>
      <c r="S2" s="140"/>
    </row>
    <row r="3" spans="1:19" ht="21" customHeight="1" x14ac:dyDescent="0.15">
      <c r="A3" s="12">
        <v>1060</v>
      </c>
      <c r="B3" s="133" t="s">
        <v>186</v>
      </c>
      <c r="C3" s="204" t="s">
        <v>373</v>
      </c>
      <c r="D3" s="134" t="s">
        <v>339</v>
      </c>
      <c r="E3" s="135">
        <f t="shared" ref="E3:E17" si="1">LEN(D3)</f>
        <v>9</v>
      </c>
      <c r="F3" s="117" t="s">
        <v>351</v>
      </c>
      <c r="G3" s="56" t="str">
        <f ca="1">VLOOKUP($A3,OFFSET([1]characters!$A$1,0,0,COUNTA([1]characters!$A:$A),MATCH("name",[1]characters!$1:$1,0)-MATCH("character_id",[1]characters!$1:$1,0)+1),MATCH("name",[1]characters!$1:$1,0)-MATCH("character_id",[1]characters!$1:$1,0)+1,FALSE)</f>
        <v>熱扇風の幼魔 パズズ</v>
      </c>
      <c r="H3" s="136">
        <v>3</v>
      </c>
      <c r="I3" s="136"/>
      <c r="J3" s="141"/>
      <c r="K3" s="137">
        <v>1</v>
      </c>
      <c r="L3" s="138"/>
      <c r="M3" s="139"/>
      <c r="N3" s="139"/>
      <c r="O3" s="139"/>
      <c r="P3" s="139"/>
      <c r="Q3" s="139"/>
      <c r="R3" s="134"/>
      <c r="S3" s="140"/>
    </row>
    <row r="4" spans="1:19" ht="21" customHeight="1" x14ac:dyDescent="0.15">
      <c r="A4" s="12">
        <v>1061</v>
      </c>
      <c r="B4" s="133" t="s">
        <v>186</v>
      </c>
      <c r="C4" s="203" t="s">
        <v>376</v>
      </c>
      <c r="D4" s="134" t="s">
        <v>341</v>
      </c>
      <c r="E4" s="135">
        <f t="shared" si="1"/>
        <v>10</v>
      </c>
      <c r="F4" s="117" t="s">
        <v>445</v>
      </c>
      <c r="G4" s="56" t="str">
        <f ca="1">VLOOKUP($A4,OFFSET([1]characters!$A$1,0,0,COUNTA([1]characters!$A:$A),MATCH("name",[1]characters!$1:$1,0)-MATCH("character_id",[1]characters!$1:$1,0)+1),MATCH("name",[1]characters!$1:$1,0)-MATCH("character_id",[1]characters!$1:$1,0)+1,FALSE)</f>
        <v>フンババ</v>
      </c>
      <c r="H4" s="136">
        <v>3</v>
      </c>
      <c r="I4" s="136"/>
      <c r="J4" s="141"/>
      <c r="K4" s="137">
        <v>1</v>
      </c>
      <c r="L4" s="138"/>
      <c r="M4" s="139"/>
      <c r="N4" s="139"/>
      <c r="O4" s="139"/>
      <c r="P4" s="139"/>
      <c r="Q4" s="139"/>
      <c r="R4" s="134"/>
      <c r="S4" s="140"/>
    </row>
    <row r="5" spans="1:19" ht="21" customHeight="1" x14ac:dyDescent="0.15">
      <c r="A5" s="12">
        <v>1062</v>
      </c>
      <c r="B5" s="133" t="s">
        <v>186</v>
      </c>
      <c r="C5" s="203" t="s">
        <v>376</v>
      </c>
      <c r="D5" s="134" t="s">
        <v>341</v>
      </c>
      <c r="E5" s="135">
        <f t="shared" si="1"/>
        <v>10</v>
      </c>
      <c r="F5" s="117" t="s">
        <v>340</v>
      </c>
      <c r="G5" s="56" t="str">
        <f ca="1">VLOOKUP($A5,OFFSET([1]characters!$A$1,0,0,COUNTA([1]characters!$A:$A),MATCH("name",[1]characters!$1:$1,0)-MATCH("character_id",[1]characters!$1:$1,0)+1),MATCH("name",[1]characters!$1:$1,0)-MATCH("character_id",[1]characters!$1:$1,0)+1,FALSE)</f>
        <v>停止不能の蛮躯 フンババ</v>
      </c>
      <c r="H5" s="136">
        <v>3</v>
      </c>
      <c r="I5" s="136"/>
      <c r="J5" s="141"/>
      <c r="K5" s="137">
        <v>1</v>
      </c>
      <c r="L5" s="138"/>
      <c r="M5" s="139"/>
      <c r="N5" s="139"/>
      <c r="O5" s="139"/>
      <c r="P5" s="139"/>
      <c r="Q5" s="139"/>
      <c r="R5" s="134"/>
      <c r="S5" s="140"/>
    </row>
    <row r="6" spans="1:19" ht="21" customHeight="1" x14ac:dyDescent="0.15">
      <c r="A6" s="12">
        <v>1063</v>
      </c>
      <c r="B6" s="133" t="s">
        <v>186</v>
      </c>
      <c r="C6" s="134" t="s">
        <v>377</v>
      </c>
      <c r="D6" s="134" t="s">
        <v>344</v>
      </c>
      <c r="E6" s="135">
        <f t="shared" ref="E6" si="2">LEN(D6)</f>
        <v>21</v>
      </c>
      <c r="F6" s="117" t="s">
        <v>460</v>
      </c>
      <c r="G6" s="56" t="str">
        <f ca="1">VLOOKUP($A6,OFFSET([1]characters!$A$1,0,0,COUNTA([1]characters!$A:$A),MATCH("name",[1]characters!$1:$1,0)-MATCH("character_id",[1]characters!$1:$1,0)+1),MATCH("name",[1]characters!$1:$1,0)-MATCH("character_id",[1]characters!$1:$1,0)+1,FALSE)</f>
        <v>ティアマト</v>
      </c>
      <c r="H6" s="136">
        <v>3</v>
      </c>
      <c r="I6" s="136"/>
      <c r="J6" s="141"/>
      <c r="K6" s="137">
        <v>1</v>
      </c>
      <c r="L6" s="138"/>
      <c r="M6" s="139"/>
      <c r="N6" s="139"/>
      <c r="O6" s="139"/>
      <c r="P6" s="139"/>
      <c r="Q6" s="139"/>
      <c r="R6" s="134"/>
      <c r="S6" s="140"/>
    </row>
    <row r="7" spans="1:19" ht="21" customHeight="1" x14ac:dyDescent="0.15">
      <c r="A7" s="12">
        <v>1064</v>
      </c>
      <c r="B7" s="133" t="s">
        <v>186</v>
      </c>
      <c r="C7" s="134" t="s">
        <v>377</v>
      </c>
      <c r="D7" s="134" t="s">
        <v>343</v>
      </c>
      <c r="E7" s="135">
        <f t="shared" si="1"/>
        <v>21</v>
      </c>
      <c r="F7" s="117" t="s">
        <v>459</v>
      </c>
      <c r="G7" s="56" t="str">
        <f ca="1">VLOOKUP($A7,OFFSET([1]characters!$A$1,0,0,COUNTA([1]characters!$A:$A),MATCH("name",[1]characters!$1:$1,0)-MATCH("character_id",[1]characters!$1:$1,0)+1),MATCH("name",[1]characters!$1:$1,0)-MATCH("character_id",[1]characters!$1:$1,0)+1,FALSE)</f>
        <v>混沌の猛飛沫 ティアマト</v>
      </c>
      <c r="H7" s="136">
        <v>3</v>
      </c>
      <c r="I7" s="136"/>
      <c r="J7" s="141"/>
      <c r="K7" s="137">
        <v>1</v>
      </c>
      <c r="L7" s="138"/>
      <c r="M7" s="139"/>
      <c r="N7" s="139"/>
      <c r="O7" s="139"/>
      <c r="P7" s="139"/>
      <c r="Q7" s="139"/>
      <c r="R7" s="134"/>
      <c r="S7" s="140"/>
    </row>
    <row r="8" spans="1:19" ht="21" customHeight="1" x14ac:dyDescent="0.15">
      <c r="A8" s="12">
        <v>1065</v>
      </c>
      <c r="B8" s="133" t="s">
        <v>186</v>
      </c>
      <c r="C8" s="203" t="s">
        <v>465</v>
      </c>
      <c r="D8" s="134" t="s">
        <v>316</v>
      </c>
      <c r="E8" s="135">
        <f t="shared" si="1"/>
        <v>9</v>
      </c>
      <c r="F8" s="117" t="s">
        <v>317</v>
      </c>
      <c r="G8" s="56" t="str">
        <f ca="1">VLOOKUP($A8,OFFSET([1]characters!$A$1,0,0,COUNTA([1]characters!$A:$A),MATCH("name",[1]characters!$1:$1,0)-MATCH("character_id",[1]characters!$1:$1,0)+1),MATCH("name",[1]characters!$1:$1,0)-MATCH("character_id",[1]characters!$1:$1,0)+1,FALSE)</f>
        <v>ギルガメッシュ</v>
      </c>
      <c r="H8" s="136">
        <v>3</v>
      </c>
      <c r="I8" s="136"/>
      <c r="J8" s="141"/>
      <c r="K8" s="137">
        <v>1</v>
      </c>
      <c r="L8" s="138"/>
      <c r="M8" s="139"/>
      <c r="N8" s="139"/>
      <c r="O8" s="139"/>
      <c r="P8" s="139"/>
      <c r="Q8" s="139"/>
      <c r="R8" s="134"/>
      <c r="S8" s="140"/>
    </row>
    <row r="9" spans="1:19" ht="21" customHeight="1" x14ac:dyDescent="0.15">
      <c r="A9" s="12">
        <v>1066</v>
      </c>
      <c r="B9" s="133" t="s">
        <v>186</v>
      </c>
      <c r="C9" s="203" t="s">
        <v>465</v>
      </c>
      <c r="D9" s="134" t="s">
        <v>316</v>
      </c>
      <c r="E9" s="135">
        <f t="shared" si="1"/>
        <v>9</v>
      </c>
      <c r="F9" s="117" t="s">
        <v>317</v>
      </c>
      <c r="G9" s="56" t="str">
        <f ca="1">VLOOKUP($A9,OFFSET([1]characters!$A$1,0,0,COUNTA([1]characters!$A:$A),MATCH("name",[1]characters!$1:$1,0)-MATCH("character_id",[1]characters!$1:$1,0)+1),MATCH("name",[1]characters!$1:$1,0)-MATCH("character_id",[1]characters!$1:$1,0)+1,FALSE)</f>
        <v>放縦の序獅子 ギルガメッシュ</v>
      </c>
      <c r="H9" s="136">
        <v>3</v>
      </c>
      <c r="I9" s="136"/>
      <c r="J9" s="141"/>
      <c r="K9" s="137">
        <v>1</v>
      </c>
      <c r="L9" s="138"/>
      <c r="M9" s="139"/>
      <c r="N9" s="139"/>
      <c r="O9" s="139"/>
      <c r="P9" s="139"/>
      <c r="Q9" s="139"/>
      <c r="R9" s="134"/>
      <c r="S9" s="140"/>
    </row>
    <row r="10" spans="1:19" ht="21" customHeight="1" x14ac:dyDescent="0.15">
      <c r="A10" s="12">
        <v>1067</v>
      </c>
      <c r="B10" s="133" t="s">
        <v>186</v>
      </c>
      <c r="C10" s="205" t="s">
        <v>370</v>
      </c>
      <c r="D10" s="134" t="s">
        <v>374</v>
      </c>
      <c r="E10" s="135">
        <f t="shared" si="1"/>
        <v>8</v>
      </c>
      <c r="F10" s="117" t="s">
        <v>444</v>
      </c>
      <c r="G10" s="56" t="str">
        <f ca="1">VLOOKUP($A10,OFFSET([1]characters!$A$1,0,0,COUNTA([1]characters!$A:$A),MATCH("name",[1]characters!$1:$1,0)-MATCH("character_id",[1]characters!$1:$1,0)+1),MATCH("name",[1]characters!$1:$1,0)-MATCH("character_id",[1]characters!$1:$1,0)+1,FALSE)</f>
        <v>ウシュムガル</v>
      </c>
      <c r="H10" s="136">
        <v>3</v>
      </c>
      <c r="I10" s="136"/>
      <c r="J10" s="141"/>
      <c r="K10" s="137">
        <v>1</v>
      </c>
      <c r="L10" s="138"/>
      <c r="M10" s="139"/>
      <c r="N10" s="139"/>
      <c r="O10" s="139"/>
      <c r="P10" s="139"/>
      <c r="Q10" s="139"/>
      <c r="R10" s="134"/>
      <c r="S10" s="140"/>
    </row>
    <row r="11" spans="1:19" ht="21" customHeight="1" x14ac:dyDescent="0.15">
      <c r="A11" s="12">
        <v>1068</v>
      </c>
      <c r="B11" s="133" t="s">
        <v>186</v>
      </c>
      <c r="C11" s="204" t="s">
        <v>371</v>
      </c>
      <c r="D11" s="134" t="s">
        <v>316</v>
      </c>
      <c r="E11" s="135">
        <f t="shared" si="1"/>
        <v>9</v>
      </c>
      <c r="F11" s="117" t="s">
        <v>317</v>
      </c>
      <c r="G11" s="56" t="str">
        <f ca="1">VLOOKUP($A11,OFFSET([1]characters!$A$1,0,0,COUNTA([1]characters!$A:$A),MATCH("name",[1]characters!$1:$1,0)-MATCH("character_id",[1]characters!$1:$1,0)+1),MATCH("name",[1]characters!$1:$1,0)-MATCH("character_id",[1]characters!$1:$1,0)+1,FALSE)</f>
        <v>想母の羽龍 ウシュムガル</v>
      </c>
      <c r="H11" s="136">
        <v>3</v>
      </c>
      <c r="I11" s="136"/>
      <c r="J11" s="141"/>
      <c r="K11" s="137">
        <v>1</v>
      </c>
      <c r="L11" s="138"/>
      <c r="M11" s="139"/>
      <c r="N11" s="139"/>
      <c r="O11" s="139"/>
      <c r="P11" s="139"/>
      <c r="Q11" s="139"/>
      <c r="R11" s="134"/>
      <c r="S11" s="140"/>
    </row>
    <row r="12" spans="1:19" ht="21" customHeight="1" x14ac:dyDescent="0.15">
      <c r="A12" s="12">
        <v>1069</v>
      </c>
      <c r="B12" s="133" t="s">
        <v>186</v>
      </c>
      <c r="C12" s="203" t="s">
        <v>366</v>
      </c>
      <c r="D12" s="134" t="s">
        <v>316</v>
      </c>
      <c r="E12" s="135">
        <f t="shared" si="1"/>
        <v>9</v>
      </c>
      <c r="F12" s="117" t="s">
        <v>351</v>
      </c>
      <c r="G12" s="56" t="str">
        <f ca="1">VLOOKUP($A12,OFFSET([1]characters!$A$1,0,0,COUNTA([1]characters!$A:$A),MATCH("name",[1]characters!$1:$1,0)-MATCH("character_id",[1]characters!$1:$1,0)+1),MATCH("name",[1]characters!$1:$1,0)-MATCH("character_id",[1]characters!$1:$1,0)+1,FALSE)</f>
        <v>イシュタル</v>
      </c>
      <c r="H12" s="136">
        <v>3</v>
      </c>
      <c r="I12" s="136"/>
      <c r="J12" s="141"/>
      <c r="K12" s="137">
        <v>1</v>
      </c>
      <c r="L12" s="138"/>
      <c r="M12" s="139"/>
      <c r="N12" s="139"/>
      <c r="O12" s="139"/>
      <c r="P12" s="139"/>
      <c r="Q12" s="139"/>
      <c r="R12" s="134"/>
      <c r="S12" s="140"/>
    </row>
    <row r="13" spans="1:19" ht="21" customHeight="1" x14ac:dyDescent="0.15">
      <c r="A13" s="12">
        <v>1070</v>
      </c>
      <c r="B13" s="133" t="s">
        <v>186</v>
      </c>
      <c r="C13" s="203" t="s">
        <v>367</v>
      </c>
      <c r="D13" s="134" t="s">
        <v>350</v>
      </c>
      <c r="E13" s="135">
        <f t="shared" si="1"/>
        <v>9</v>
      </c>
      <c r="F13" s="117" t="s">
        <v>446</v>
      </c>
      <c r="G13" s="56" t="str">
        <f ca="1">VLOOKUP($A13,OFFSET([1]characters!$A$1,0,0,COUNTA([1]characters!$A:$A),MATCH("name",[1]characters!$1:$1,0)-MATCH("character_id",[1]characters!$1:$1,0)+1),MATCH("name",[1]characters!$1:$1,0)-MATCH("character_id",[1]characters!$1:$1,0)+1,FALSE)</f>
        <v>駆脳する造愛 イシュタル</v>
      </c>
      <c r="H13" s="136">
        <v>3</v>
      </c>
      <c r="I13" s="136"/>
      <c r="J13" s="141"/>
      <c r="K13" s="137">
        <v>1</v>
      </c>
      <c r="L13" s="138"/>
      <c r="M13" s="139"/>
      <c r="N13" s="139"/>
      <c r="O13" s="139"/>
      <c r="P13" s="139"/>
      <c r="Q13" s="139"/>
      <c r="R13" s="134"/>
      <c r="S13" s="140"/>
    </row>
    <row r="14" spans="1:19" ht="21" customHeight="1" x14ac:dyDescent="0.15">
      <c r="A14" s="12">
        <v>1072</v>
      </c>
      <c r="B14" s="133" t="s">
        <v>186</v>
      </c>
      <c r="C14" s="204" t="s">
        <v>368</v>
      </c>
      <c r="D14" s="134" t="s">
        <v>319</v>
      </c>
      <c r="E14" s="135">
        <f t="shared" si="1"/>
        <v>9</v>
      </c>
      <c r="F14" s="117" t="s">
        <v>318</v>
      </c>
      <c r="G14" s="56" t="str">
        <f ca="1">VLOOKUP($A14,OFFSET([1]characters!$A$1,0,0,COUNTA([1]characters!$A:$A),MATCH("name",[1]characters!$1:$1,0)-MATCH("character_id",[1]characters!$1:$1,0)+1),MATCH("name",[1]characters!$1:$1,0)-MATCH("character_id",[1]characters!$1:$1,0)+1,FALSE)</f>
        <v>エンキドゥ</v>
      </c>
      <c r="H14" s="136">
        <v>3</v>
      </c>
      <c r="I14" s="136"/>
      <c r="J14" s="141"/>
      <c r="K14" s="137">
        <v>1</v>
      </c>
      <c r="L14" s="138"/>
      <c r="M14" s="139"/>
      <c r="N14" s="139"/>
      <c r="O14" s="139"/>
      <c r="P14" s="139"/>
      <c r="Q14" s="139"/>
      <c r="R14" s="134"/>
      <c r="S14" s="140"/>
    </row>
    <row r="15" spans="1:19" ht="21" customHeight="1" x14ac:dyDescent="0.15">
      <c r="A15" s="12">
        <v>1073</v>
      </c>
      <c r="B15" s="133" t="s">
        <v>186</v>
      </c>
      <c r="C15" s="204" t="s">
        <v>368</v>
      </c>
      <c r="D15" s="134" t="s">
        <v>319</v>
      </c>
      <c r="E15" s="135">
        <f t="shared" si="1"/>
        <v>9</v>
      </c>
      <c r="F15" s="117" t="s">
        <v>318</v>
      </c>
      <c r="G15" s="56" t="str">
        <f ca="1">VLOOKUP($A15,OFFSET([1]characters!$A$1,0,0,COUNTA([1]characters!$A:$A),MATCH("name",[1]characters!$1:$1,0)-MATCH("character_id",[1]characters!$1:$1,0)+1),MATCH("name",[1]characters!$1:$1,0)-MATCH("character_id",[1]characters!$1:$1,0)+1,FALSE)</f>
        <v>静穏なる獣勇 エンキドゥ</v>
      </c>
      <c r="H15" s="136">
        <v>3</v>
      </c>
      <c r="I15" s="136"/>
      <c r="J15" s="141"/>
      <c r="K15" s="137">
        <v>1</v>
      </c>
      <c r="L15" s="138"/>
      <c r="M15" s="139"/>
      <c r="N15" s="139"/>
      <c r="O15" s="139"/>
      <c r="P15" s="139"/>
      <c r="Q15" s="139"/>
      <c r="R15" s="134"/>
      <c r="S15" s="140"/>
    </row>
    <row r="16" spans="1:19" ht="21" customHeight="1" x14ac:dyDescent="0.15">
      <c r="A16" s="12">
        <v>1074</v>
      </c>
      <c r="B16" s="133" t="s">
        <v>186</v>
      </c>
      <c r="C16" s="204" t="s">
        <v>369</v>
      </c>
      <c r="D16" s="134" t="s">
        <v>325</v>
      </c>
      <c r="E16" s="135">
        <f t="shared" si="1"/>
        <v>24</v>
      </c>
      <c r="F16" s="196" t="s">
        <v>447</v>
      </c>
      <c r="G16" s="56" t="str">
        <f ca="1">VLOOKUP($A16,OFFSET([1]characters!$A$1,0,0,COUNTA([1]characters!$A:$A),MATCH("name",[1]characters!$1:$1,0)-MATCH("character_id",[1]characters!$1:$1,0)+1),MATCH("name",[1]characters!$1:$1,0)-MATCH("character_id",[1]characters!$1:$1,0)+1,FALSE)</f>
        <v>マルドゥク</v>
      </c>
      <c r="H16" s="136">
        <v>3</v>
      </c>
      <c r="I16" s="136"/>
      <c r="J16" s="141"/>
      <c r="K16" s="137">
        <v>1</v>
      </c>
      <c r="L16" s="138"/>
      <c r="M16" s="139"/>
      <c r="N16" s="139"/>
      <c r="O16" s="139"/>
      <c r="P16" s="139"/>
      <c r="Q16" s="139"/>
      <c r="R16" s="134"/>
      <c r="S16" s="140"/>
    </row>
    <row r="17" spans="1:19" ht="21" customHeight="1" x14ac:dyDescent="0.15">
      <c r="A17" s="12">
        <v>1075</v>
      </c>
      <c r="B17" s="133" t="s">
        <v>186</v>
      </c>
      <c r="C17" s="204" t="s">
        <v>369</v>
      </c>
      <c r="D17" s="134" t="s">
        <v>325</v>
      </c>
      <c r="E17" s="135">
        <f t="shared" si="1"/>
        <v>24</v>
      </c>
      <c r="F17" s="196" t="s">
        <v>447</v>
      </c>
      <c r="G17" s="56" t="str">
        <f ca="1">VLOOKUP($A17,OFFSET([1]characters!$A$1,0,0,COUNTA([1]characters!$A:$A),MATCH("name",[1]characters!$1:$1,0)-MATCH("character_id",[1]characters!$1:$1,0)+1),MATCH("name",[1]characters!$1:$1,0)-MATCH("character_id",[1]characters!$1:$1,0)+1,FALSE)</f>
        <v>虚塔の神王 マルドゥク</v>
      </c>
      <c r="H17" s="136">
        <v>3</v>
      </c>
      <c r="I17" s="136"/>
      <c r="J17" s="141"/>
      <c r="K17" s="137">
        <v>1</v>
      </c>
      <c r="L17" s="138"/>
      <c r="M17" s="139"/>
      <c r="N17" s="139"/>
      <c r="O17" s="139"/>
      <c r="P17" s="139"/>
      <c r="Q17" s="139"/>
      <c r="R17" s="134"/>
      <c r="S17" s="140"/>
    </row>
  </sheetData>
  <sheetProtection selectLockedCells="1" selectUnlockedCells="1"/>
  <autoFilter ref="A1:J1"/>
  <phoneticPr fontId="22"/>
  <conditionalFormatting sqref="E2:E5 E7:E17">
    <cfRule type="cellIs" dxfId="27" priority="2" operator="greaterThan">
      <formula>41</formula>
    </cfRule>
  </conditionalFormatting>
  <conditionalFormatting sqref="E6">
    <cfRule type="cellIs" dxfId="26"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67"/>
  <sheetViews>
    <sheetView topLeftCell="A6" workbookViewId="0">
      <selection activeCell="K33" sqref="K33"/>
    </sheetView>
  </sheetViews>
  <sheetFormatPr baseColWidth="12" defaultRowHeight="15" outlineLevelCol="1" x14ac:dyDescent="0.15"/>
  <cols>
    <col min="2" max="2" width="12.83203125" style="143"/>
    <col min="4" max="4" width="12.83203125" style="143" customWidth="1" outlineLevel="1"/>
    <col min="5" max="5" width="12.83203125" style="143"/>
    <col min="8" max="8" width="32.1640625" customWidth="1"/>
  </cols>
  <sheetData>
    <row r="1" spans="1:8" x14ac:dyDescent="0.15">
      <c r="A1" s="114" t="s">
        <v>187</v>
      </c>
      <c r="B1" s="142" t="s">
        <v>188</v>
      </c>
      <c r="C1" s="114" t="s">
        <v>189</v>
      </c>
      <c r="D1" s="142" t="s">
        <v>191</v>
      </c>
      <c r="E1" s="142" t="s">
        <v>192</v>
      </c>
      <c r="F1" s="112" t="s">
        <v>193</v>
      </c>
      <c r="G1" s="114" t="s">
        <v>190</v>
      </c>
      <c r="H1" s="112" t="s">
        <v>194</v>
      </c>
    </row>
    <row r="2" spans="1:8" x14ac:dyDescent="0.15">
      <c r="A2" s="108">
        <v>1059</v>
      </c>
      <c r="B2" s="142" t="str">
        <f>VLOOKUP(A2,[1]characters!$A:$C,3,FALSE)</f>
        <v>パズズ</v>
      </c>
      <c r="C2" s="108" t="s">
        <v>195</v>
      </c>
      <c r="D2" s="142"/>
      <c r="E2" s="142" t="str">
        <f>A2&amp;+(COUNTIF(A2:A$25,A2)-1)</f>
        <v>10592</v>
      </c>
      <c r="F2" s="108" t="s">
        <v>196</v>
      </c>
      <c r="G2" s="203" t="s">
        <v>378</v>
      </c>
      <c r="H2" s="203" t="s">
        <v>379</v>
      </c>
    </row>
    <row r="3" spans="1:8" x14ac:dyDescent="0.15">
      <c r="A3" s="108">
        <v>1059</v>
      </c>
      <c r="B3" s="142" t="str">
        <f>VLOOKUP(A3,[1]characters!$A:$C,3,FALSE)</f>
        <v>パズズ</v>
      </c>
      <c r="C3" s="108" t="s">
        <v>197</v>
      </c>
      <c r="D3" s="142"/>
      <c r="E3" s="142" t="str">
        <f>A3&amp;+(COUNTIF(A3:A$25,A3)-1)</f>
        <v>10591</v>
      </c>
      <c r="F3" s="108" t="s">
        <v>196</v>
      </c>
      <c r="G3" s="203" t="s">
        <v>322</v>
      </c>
      <c r="H3" s="203" t="s">
        <v>419</v>
      </c>
    </row>
    <row r="4" spans="1:8" x14ac:dyDescent="0.15">
      <c r="A4" s="108">
        <v>1059</v>
      </c>
      <c r="B4" s="142" t="str">
        <f>VLOOKUP(A4,[1]characters!$A:$C,3,FALSE)</f>
        <v>パズズ</v>
      </c>
      <c r="C4" s="108" t="s">
        <v>197</v>
      </c>
      <c r="D4" s="142"/>
      <c r="E4" s="142" t="str">
        <f>A4&amp;+(COUNTIF(A4:A$25,A4)-1)</f>
        <v>10590</v>
      </c>
      <c r="F4" s="108" t="s">
        <v>196</v>
      </c>
      <c r="G4" s="203" t="s">
        <v>420</v>
      </c>
      <c r="H4" s="203" t="s">
        <v>421</v>
      </c>
    </row>
    <row r="5" spans="1:8" x14ac:dyDescent="0.15">
      <c r="A5" s="108">
        <v>1060</v>
      </c>
      <c r="B5" s="142" t="str">
        <f>VLOOKUP(A5,[1]characters!$A:$C,3,FALSE)</f>
        <v>熱扇風の幼魔 パズズ</v>
      </c>
      <c r="C5" s="108" t="s">
        <v>195</v>
      </c>
      <c r="D5" s="142"/>
      <c r="E5" s="142" t="str">
        <f>A5&amp;+(COUNTIF(A5:A$25,A5)-1)</f>
        <v>10603</v>
      </c>
      <c r="F5" s="108" t="s">
        <v>196</v>
      </c>
      <c r="G5" s="203" t="s">
        <v>380</v>
      </c>
      <c r="H5" s="203" t="s">
        <v>381</v>
      </c>
    </row>
    <row r="6" spans="1:8" x14ac:dyDescent="0.15">
      <c r="A6" s="108">
        <v>1060</v>
      </c>
      <c r="B6" s="142" t="str">
        <f>VLOOKUP(A6,[1]characters!$A:$C,3,FALSE)</f>
        <v>熱扇風の幼魔 パズズ</v>
      </c>
      <c r="C6" s="108" t="s">
        <v>197</v>
      </c>
      <c r="D6" s="142"/>
      <c r="E6" s="142" t="str">
        <f>A6&amp;+(COUNTIF(A6:A$25,A6)-1)</f>
        <v>10602</v>
      </c>
      <c r="F6" s="108" t="s">
        <v>196</v>
      </c>
      <c r="G6" s="203" t="s">
        <v>322</v>
      </c>
      <c r="H6" s="203" t="s">
        <v>419</v>
      </c>
    </row>
    <row r="7" spans="1:8" x14ac:dyDescent="0.15">
      <c r="A7" s="108">
        <v>1060</v>
      </c>
      <c r="B7" s="142" t="str">
        <f>VLOOKUP(A7,[1]characters!$A:$C,3,FALSE)</f>
        <v>熱扇風の幼魔 パズズ</v>
      </c>
      <c r="C7" s="108" t="s">
        <v>197</v>
      </c>
      <c r="D7" s="142"/>
      <c r="E7" s="142" t="str">
        <f>A7&amp;+(COUNTIF(A7:A$25,A7)-1)</f>
        <v>10601</v>
      </c>
      <c r="F7" s="108" t="s">
        <v>196</v>
      </c>
      <c r="G7" s="203" t="s">
        <v>420</v>
      </c>
      <c r="H7" s="203" t="s">
        <v>421</v>
      </c>
    </row>
    <row r="8" spans="1:8" x14ac:dyDescent="0.15">
      <c r="A8" s="108">
        <v>1060</v>
      </c>
      <c r="B8" s="142" t="str">
        <f>VLOOKUP(A8,[1]characters!$A:$C,3,FALSE)</f>
        <v>熱扇風の幼魔 パズズ</v>
      </c>
      <c r="C8" s="108" t="s">
        <v>197</v>
      </c>
      <c r="D8" s="142"/>
      <c r="E8" s="142" t="str">
        <f>A8&amp;+(COUNTIF(A8:A$25,A8)-1)</f>
        <v>10600</v>
      </c>
      <c r="F8" s="108" t="s">
        <v>196</v>
      </c>
      <c r="G8" s="203" t="s">
        <v>322</v>
      </c>
      <c r="H8" s="203" t="s">
        <v>422</v>
      </c>
    </row>
    <row r="9" spans="1:8" x14ac:dyDescent="0.15">
      <c r="A9" s="108">
        <v>1061</v>
      </c>
      <c r="B9" s="142" t="str">
        <f>VLOOKUP(A9,[1]characters!$A:$C,3,FALSE)</f>
        <v>フンババ</v>
      </c>
      <c r="C9" s="108" t="s">
        <v>195</v>
      </c>
      <c r="D9" s="142"/>
      <c r="E9" s="142" t="str">
        <f>A9&amp;+(COUNTIF(A9:A$25,A9)-1)</f>
        <v>10612</v>
      </c>
      <c r="F9" s="108" t="s">
        <v>196</v>
      </c>
      <c r="G9" s="203" t="s">
        <v>382</v>
      </c>
      <c r="H9" s="203" t="s">
        <v>383</v>
      </c>
    </row>
    <row r="10" spans="1:8" x14ac:dyDescent="0.15">
      <c r="A10" s="108">
        <v>1061</v>
      </c>
      <c r="B10" s="142" t="str">
        <f>VLOOKUP(A10,[1]characters!$A:$C,3,FALSE)</f>
        <v>フンババ</v>
      </c>
      <c r="C10" s="108" t="s">
        <v>197</v>
      </c>
      <c r="D10" s="142"/>
      <c r="E10" s="142" t="str">
        <f>A10&amp;+(COUNTIF(A10:A$25,A10)-1)</f>
        <v>10611</v>
      </c>
      <c r="F10" s="108" t="s">
        <v>196</v>
      </c>
      <c r="G10" s="203" t="s">
        <v>378</v>
      </c>
      <c r="H10" s="203" t="s">
        <v>423</v>
      </c>
    </row>
    <row r="11" spans="1:8" x14ac:dyDescent="0.15">
      <c r="A11" s="108">
        <v>1061</v>
      </c>
      <c r="B11" s="142" t="str">
        <f>VLOOKUP(A11,[1]characters!$A:$C,3,FALSE)</f>
        <v>フンババ</v>
      </c>
      <c r="C11" s="108" t="s">
        <v>197</v>
      </c>
      <c r="D11" s="142"/>
      <c r="E11" s="142" t="str">
        <f>A11&amp;+(COUNTIF(A11:A$25,A11)-1)</f>
        <v>10610</v>
      </c>
      <c r="F11" s="108" t="s">
        <v>196</v>
      </c>
      <c r="G11" s="203" t="s">
        <v>378</v>
      </c>
      <c r="H11" s="203" t="s">
        <v>424</v>
      </c>
    </row>
    <row r="12" spans="1:8" x14ac:dyDescent="0.15">
      <c r="A12" s="108">
        <v>1062</v>
      </c>
      <c r="B12" s="142" t="str">
        <f>VLOOKUP(A12,[1]characters!$A:$C,3,FALSE)</f>
        <v>停止不能の蛮躯 フンババ</v>
      </c>
      <c r="C12" s="108" t="s">
        <v>195</v>
      </c>
      <c r="D12" s="142"/>
      <c r="E12" s="142" t="str">
        <f>A12&amp;+(COUNTIF(A12:A$25,A12)-1)</f>
        <v>10623</v>
      </c>
      <c r="F12" s="108" t="s">
        <v>196</v>
      </c>
      <c r="G12" s="203" t="s">
        <v>322</v>
      </c>
      <c r="H12" s="203" t="s">
        <v>384</v>
      </c>
    </row>
    <row r="13" spans="1:8" x14ac:dyDescent="0.15">
      <c r="A13" s="108">
        <v>1062</v>
      </c>
      <c r="B13" s="142" t="str">
        <f>VLOOKUP(A13,[1]characters!$A:$C,3,FALSE)</f>
        <v>停止不能の蛮躯 フンババ</v>
      </c>
      <c r="C13" s="108" t="s">
        <v>197</v>
      </c>
      <c r="D13" s="142"/>
      <c r="E13" s="142" t="str">
        <f>A13&amp;+(COUNTIF(A13:A$25,A13)-1)</f>
        <v>10622</v>
      </c>
      <c r="F13" s="108" t="s">
        <v>196</v>
      </c>
      <c r="G13" s="203" t="s">
        <v>322</v>
      </c>
      <c r="H13" s="203" t="s">
        <v>425</v>
      </c>
    </row>
    <row r="14" spans="1:8" x14ac:dyDescent="0.15">
      <c r="A14" s="108">
        <v>1062</v>
      </c>
      <c r="B14" s="142" t="str">
        <f>VLOOKUP(A14,[1]characters!$A:$C,3,FALSE)</f>
        <v>停止不能の蛮躯 フンババ</v>
      </c>
      <c r="C14" s="108" t="s">
        <v>197</v>
      </c>
      <c r="D14" s="142"/>
      <c r="E14" s="142" t="str">
        <f>A14&amp;+(COUNTIF(A14:A$25,A14)-1)</f>
        <v>10621</v>
      </c>
      <c r="F14" s="108" t="s">
        <v>196</v>
      </c>
      <c r="G14" s="203" t="s">
        <v>322</v>
      </c>
      <c r="H14" s="203" t="s">
        <v>426</v>
      </c>
    </row>
    <row r="15" spans="1:8" x14ac:dyDescent="0.15">
      <c r="A15" s="108">
        <v>1062</v>
      </c>
      <c r="B15" s="142" t="str">
        <f>VLOOKUP(A15,[1]characters!$A:$C,3,FALSE)</f>
        <v>停止不能の蛮躯 フンババ</v>
      </c>
      <c r="C15" s="108" t="s">
        <v>197</v>
      </c>
      <c r="D15" s="142"/>
      <c r="E15" s="142" t="str">
        <f>A15&amp;+(COUNTIF(A15:A$25,A15)-1)</f>
        <v>10620</v>
      </c>
      <c r="F15" s="108" t="s">
        <v>196</v>
      </c>
      <c r="G15" s="203" t="s">
        <v>427</v>
      </c>
      <c r="H15" s="203" t="s">
        <v>428</v>
      </c>
    </row>
    <row r="16" spans="1:8" x14ac:dyDescent="0.15">
      <c r="A16" s="108">
        <v>1063</v>
      </c>
      <c r="B16" s="142" t="str">
        <f>VLOOKUP(A16,[1]characters!$A:$C,3,FALSE)</f>
        <v>ティアマト</v>
      </c>
      <c r="C16" s="108" t="s">
        <v>195</v>
      </c>
      <c r="D16" s="142"/>
      <c r="E16" s="142" t="str">
        <f>A16&amp;+(COUNTIF(A16:A$25,A16)-1)</f>
        <v>10633</v>
      </c>
      <c r="F16" s="108" t="s">
        <v>196</v>
      </c>
      <c r="G16" s="203" t="s">
        <v>322</v>
      </c>
      <c r="H16" s="203" t="s">
        <v>385</v>
      </c>
    </row>
    <row r="17" spans="1:8" x14ac:dyDescent="0.15">
      <c r="A17" s="108">
        <v>1063</v>
      </c>
      <c r="B17" s="142" t="str">
        <f>VLOOKUP(A17,[1]characters!$A:$C,3,FALSE)</f>
        <v>ティアマト</v>
      </c>
      <c r="C17" s="108" t="s">
        <v>197</v>
      </c>
      <c r="D17" s="142"/>
      <c r="E17" s="142" t="str">
        <f>A17&amp;+(COUNTIF(A17:A$25,A17)-1)</f>
        <v>10632</v>
      </c>
      <c r="F17" s="108" t="s">
        <v>196</v>
      </c>
      <c r="G17" s="203" t="s">
        <v>322</v>
      </c>
      <c r="H17" s="203" t="s">
        <v>429</v>
      </c>
    </row>
    <row r="18" spans="1:8" x14ac:dyDescent="0.15">
      <c r="A18" s="108">
        <v>1063</v>
      </c>
      <c r="B18" s="142" t="str">
        <f>VLOOKUP(A18,[1]characters!$A:$C,3,FALSE)</f>
        <v>ティアマト</v>
      </c>
      <c r="C18" s="108" t="s">
        <v>197</v>
      </c>
      <c r="D18" s="142"/>
      <c r="E18" s="142" t="str">
        <f>A18&amp;+(COUNTIF(A18:A$25,A18)-1)</f>
        <v>10631</v>
      </c>
      <c r="F18" s="108" t="s">
        <v>196</v>
      </c>
      <c r="G18" s="203" t="s">
        <v>388</v>
      </c>
      <c r="H18" s="203" t="s">
        <v>430</v>
      </c>
    </row>
    <row r="19" spans="1:8" x14ac:dyDescent="0.15">
      <c r="A19" s="108">
        <v>1063</v>
      </c>
      <c r="B19" s="142" t="str">
        <f>VLOOKUP(A19,[1]characters!$A:$C,3,FALSE)</f>
        <v>ティアマト</v>
      </c>
      <c r="C19" s="108" t="s">
        <v>197</v>
      </c>
      <c r="D19" s="142"/>
      <c r="E19" s="142" t="str">
        <f>A19&amp;+(COUNTIF(A19:A$25,A19)-1)</f>
        <v>10630</v>
      </c>
      <c r="F19" s="108" t="s">
        <v>196</v>
      </c>
      <c r="G19" s="203" t="s">
        <v>323</v>
      </c>
      <c r="H19" s="203" t="s">
        <v>431</v>
      </c>
    </row>
    <row r="20" spans="1:8" x14ac:dyDescent="0.15">
      <c r="A20" s="108">
        <v>1064</v>
      </c>
      <c r="B20" s="142" t="str">
        <f>VLOOKUP(A20,[1]characters!$A:$C,3,FALSE)</f>
        <v>混沌の猛飛沫 ティアマト</v>
      </c>
      <c r="C20" s="108" t="s">
        <v>195</v>
      </c>
      <c r="D20" s="142"/>
      <c r="E20" s="142" t="str">
        <f>A20&amp;+(COUNTIF(A20:A$25,A20)-1)</f>
        <v>10644</v>
      </c>
      <c r="F20" s="108" t="s">
        <v>196</v>
      </c>
      <c r="G20" s="203" t="s">
        <v>386</v>
      </c>
      <c r="H20" s="203" t="s">
        <v>387</v>
      </c>
    </row>
    <row r="21" spans="1:8" x14ac:dyDescent="0.15">
      <c r="A21" s="108">
        <v>1064</v>
      </c>
      <c r="B21" s="142" t="str">
        <f>VLOOKUP(A21,[1]characters!$A:$C,3,FALSE)</f>
        <v>混沌の猛飛沫 ティアマト</v>
      </c>
      <c r="C21" s="108" t="s">
        <v>197</v>
      </c>
      <c r="D21" s="142"/>
      <c r="E21" s="142" t="str">
        <f>A21&amp;+(COUNTIF(A21:A$25,A21)-1)</f>
        <v>10643</v>
      </c>
      <c r="F21" s="108" t="s">
        <v>196</v>
      </c>
      <c r="G21" s="203" t="s">
        <v>432</v>
      </c>
      <c r="H21" s="203" t="s">
        <v>433</v>
      </c>
    </row>
    <row r="22" spans="1:8" x14ac:dyDescent="0.15">
      <c r="A22" s="108">
        <v>1064</v>
      </c>
      <c r="B22" s="142" t="str">
        <f>VLOOKUP(A22,[1]characters!$A:$C,3,FALSE)</f>
        <v>混沌の猛飛沫 ティアマト</v>
      </c>
      <c r="C22" s="108" t="s">
        <v>197</v>
      </c>
      <c r="D22" s="142"/>
      <c r="E22" s="142" t="str">
        <f>A22&amp;+(COUNTIF(A22:A$25,A22)-1)</f>
        <v>10642</v>
      </c>
      <c r="F22" s="108" t="s">
        <v>196</v>
      </c>
      <c r="G22" s="203" t="s">
        <v>434</v>
      </c>
      <c r="H22" s="203" t="s">
        <v>435</v>
      </c>
    </row>
    <row r="23" spans="1:8" x14ac:dyDescent="0.15">
      <c r="A23" s="108">
        <v>1064</v>
      </c>
      <c r="B23" s="142" t="str">
        <f>VLOOKUP(A23,[1]characters!$A:$C,3,FALSE)</f>
        <v>混沌の猛飛沫 ティアマト</v>
      </c>
      <c r="C23" s="108" t="s">
        <v>197</v>
      </c>
      <c r="D23" s="142"/>
      <c r="E23" s="142" t="str">
        <f>A23&amp;+(COUNTIF(A23:A$25,A23)-1)</f>
        <v>10641</v>
      </c>
      <c r="F23" s="108" t="s">
        <v>196</v>
      </c>
      <c r="G23" s="203" t="s">
        <v>436</v>
      </c>
      <c r="H23" s="203" t="s">
        <v>437</v>
      </c>
    </row>
    <row r="24" spans="1:8" x14ac:dyDescent="0.15">
      <c r="A24" s="108">
        <v>1064</v>
      </c>
      <c r="B24" s="142" t="str">
        <f>VLOOKUP(A24,[1]characters!$A:$C,3,FALSE)</f>
        <v>混沌の猛飛沫 ティアマト</v>
      </c>
      <c r="C24" s="108" t="s">
        <v>197</v>
      </c>
      <c r="D24" s="142"/>
      <c r="E24" s="142" t="str">
        <f>A24&amp;+(COUNTIF(A24:A$25,A24)-1)</f>
        <v>10640</v>
      </c>
      <c r="F24" s="108" t="s">
        <v>196</v>
      </c>
      <c r="G24" s="203" t="s">
        <v>322</v>
      </c>
      <c r="H24" s="203" t="s">
        <v>438</v>
      </c>
    </row>
    <row r="25" spans="1:8" x14ac:dyDescent="0.15">
      <c r="A25" s="108">
        <v>1065</v>
      </c>
      <c r="B25" s="142" t="str">
        <f>VLOOKUP(A25,[1]characters!$A:$C,3,FALSE)</f>
        <v>ギルガメッシュ</v>
      </c>
      <c r="C25" s="108" t="s">
        <v>195</v>
      </c>
      <c r="D25" s="142"/>
      <c r="E25" s="142" t="str">
        <f>A25&amp;+(COUNTIF(A$25:A25,A25)-1)</f>
        <v>10650</v>
      </c>
      <c r="F25" s="108" t="s">
        <v>196</v>
      </c>
      <c r="G25" s="203" t="s">
        <v>386</v>
      </c>
      <c r="H25" s="203" t="s">
        <v>470</v>
      </c>
    </row>
    <row r="26" spans="1:8" x14ac:dyDescent="0.15">
      <c r="A26" s="108">
        <v>1065</v>
      </c>
      <c r="B26" s="142" t="str">
        <f>VLOOKUP(A26,[1]characters!$A:$C,3,FALSE)</f>
        <v>ギルガメッシュ</v>
      </c>
      <c r="C26" s="108" t="s">
        <v>197</v>
      </c>
      <c r="D26" s="142"/>
      <c r="E26" s="142" t="str">
        <f>A26&amp;+(COUNTIF(A$25:A26,A26)-1)</f>
        <v>10651</v>
      </c>
      <c r="F26" s="108" t="s">
        <v>196</v>
      </c>
      <c r="G26" s="203" t="s">
        <v>386</v>
      </c>
      <c r="H26" s="203" t="s">
        <v>466</v>
      </c>
    </row>
    <row r="27" spans="1:8" x14ac:dyDescent="0.15">
      <c r="A27" s="108">
        <v>1065</v>
      </c>
      <c r="B27" s="142" t="str">
        <f>VLOOKUP(A27,[1]characters!$A:$C,3,FALSE)</f>
        <v>ギルガメッシュ</v>
      </c>
      <c r="C27" s="108" t="s">
        <v>197</v>
      </c>
      <c r="D27" s="142"/>
      <c r="E27" s="142" t="str">
        <f>A27&amp;+(COUNTIF(A$25:A27,A27)-1)</f>
        <v>10652</v>
      </c>
      <c r="F27" s="108" t="s">
        <v>196</v>
      </c>
      <c r="G27" s="203" t="s">
        <v>322</v>
      </c>
      <c r="H27" s="203" t="s">
        <v>467</v>
      </c>
    </row>
    <row r="28" spans="1:8" x14ac:dyDescent="0.15">
      <c r="A28" s="108">
        <v>1065</v>
      </c>
      <c r="B28" s="142" t="str">
        <f>VLOOKUP(A28,[1]characters!$A:$C,3,FALSE)</f>
        <v>ギルガメッシュ</v>
      </c>
      <c r="C28" s="108" t="s">
        <v>197</v>
      </c>
      <c r="D28" s="142"/>
      <c r="E28" s="142" t="str">
        <f>A28&amp;+(COUNTIF(A$25:A28,A28)-1)</f>
        <v>10653</v>
      </c>
      <c r="F28" s="108" t="s">
        <v>196</v>
      </c>
      <c r="G28" s="203" t="s">
        <v>386</v>
      </c>
      <c r="H28" s="203" t="s">
        <v>468</v>
      </c>
    </row>
    <row r="29" spans="1:8" x14ac:dyDescent="0.15">
      <c r="A29" s="108">
        <v>1066</v>
      </c>
      <c r="B29" s="142" t="str">
        <f>VLOOKUP(A29,[1]characters!$A:$C,3,FALSE)</f>
        <v>放縦の序獅子 ギルガメッシュ</v>
      </c>
      <c r="C29" s="108" t="s">
        <v>195</v>
      </c>
      <c r="D29" s="142"/>
      <c r="E29" s="142" t="str">
        <f>A29&amp;+(COUNTIF(A$25:A29,A29)-1)</f>
        <v>10660</v>
      </c>
      <c r="F29" s="108" t="s">
        <v>196</v>
      </c>
      <c r="G29" s="203" t="s">
        <v>322</v>
      </c>
      <c r="H29" s="203" t="s">
        <v>471</v>
      </c>
    </row>
    <row r="30" spans="1:8" x14ac:dyDescent="0.15">
      <c r="A30" s="108">
        <v>1066</v>
      </c>
      <c r="B30" s="142" t="str">
        <f>VLOOKUP(A30,[1]characters!$A:$C,3,FALSE)</f>
        <v>放縦の序獅子 ギルガメッシュ</v>
      </c>
      <c r="C30" s="108" t="s">
        <v>197</v>
      </c>
      <c r="D30" s="142"/>
      <c r="E30" s="142" t="str">
        <f>A30&amp;+(COUNTIF(A$25:A30,A30)-1)</f>
        <v>10661</v>
      </c>
      <c r="F30" s="108" t="s">
        <v>196</v>
      </c>
      <c r="G30" s="203" t="s">
        <v>386</v>
      </c>
      <c r="H30" s="203" t="s">
        <v>466</v>
      </c>
    </row>
    <row r="31" spans="1:8" x14ac:dyDescent="0.15">
      <c r="A31" s="108">
        <v>1066</v>
      </c>
      <c r="B31" s="142" t="str">
        <f>VLOOKUP(A31,[1]characters!$A:$C,3,FALSE)</f>
        <v>放縦の序獅子 ギルガメッシュ</v>
      </c>
      <c r="C31" s="108" t="s">
        <v>197</v>
      </c>
      <c r="D31" s="142"/>
      <c r="E31" s="142" t="str">
        <f>A31&amp;+(COUNTIF(A$25:A31,A31)-1)</f>
        <v>10662</v>
      </c>
      <c r="F31" s="108" t="s">
        <v>196</v>
      </c>
      <c r="G31" s="203" t="s">
        <v>322</v>
      </c>
      <c r="H31" s="203" t="s">
        <v>467</v>
      </c>
    </row>
    <row r="32" spans="1:8" x14ac:dyDescent="0.15">
      <c r="A32" s="108">
        <v>1066</v>
      </c>
      <c r="B32" s="142" t="str">
        <f>VLOOKUP(A32,[1]characters!$A:$C,3,FALSE)</f>
        <v>放縦の序獅子 ギルガメッシュ</v>
      </c>
      <c r="C32" s="108" t="s">
        <v>197</v>
      </c>
      <c r="D32" s="142"/>
      <c r="E32" s="142" t="str">
        <f>A32&amp;+(COUNTIF(A$25:A32,A32)-1)</f>
        <v>10663</v>
      </c>
      <c r="F32" s="108" t="s">
        <v>196</v>
      </c>
      <c r="G32" s="203" t="s">
        <v>386</v>
      </c>
      <c r="H32" s="203" t="s">
        <v>468</v>
      </c>
    </row>
    <row r="33" spans="1:8" x14ac:dyDescent="0.15">
      <c r="A33" s="108">
        <v>1066</v>
      </c>
      <c r="B33" s="142" t="str">
        <f>VLOOKUP(A33,[1]characters!$A:$C,3,FALSE)</f>
        <v>放縦の序獅子 ギルガメッシュ</v>
      </c>
      <c r="C33" s="108" t="s">
        <v>197</v>
      </c>
      <c r="D33" s="142"/>
      <c r="E33" s="142" t="str">
        <f>A33&amp;+(COUNTIF(A$25:A33,A33)-1)</f>
        <v>10664</v>
      </c>
      <c r="F33" s="108" t="s">
        <v>196</v>
      </c>
      <c r="G33" s="203" t="s">
        <v>322</v>
      </c>
      <c r="H33" s="203" t="s">
        <v>469</v>
      </c>
    </row>
    <row r="34" spans="1:8" x14ac:dyDescent="0.15">
      <c r="A34" s="108">
        <v>1067</v>
      </c>
      <c r="B34" s="142" t="str">
        <f>VLOOKUP(A34,[1]characters!$A:$C,3,FALSE)</f>
        <v>ウシュムガル</v>
      </c>
      <c r="C34" s="108" t="s">
        <v>195</v>
      </c>
      <c r="D34" s="142"/>
      <c r="E34" s="142" t="str">
        <f>A34&amp;+(COUNTIF(A$25:A34,A34)-1)</f>
        <v>10670</v>
      </c>
      <c r="F34" s="108" t="s">
        <v>196</v>
      </c>
      <c r="G34" s="203" t="s">
        <v>388</v>
      </c>
      <c r="H34" s="203" t="s">
        <v>389</v>
      </c>
    </row>
    <row r="35" spans="1:8" x14ac:dyDescent="0.15">
      <c r="A35" s="108">
        <v>1067</v>
      </c>
      <c r="B35" s="142" t="str">
        <f>VLOOKUP(A35,[1]characters!$A:$C,3,FALSE)</f>
        <v>ウシュムガル</v>
      </c>
      <c r="C35" s="108" t="s">
        <v>197</v>
      </c>
      <c r="D35" s="142"/>
      <c r="E35" s="142" t="str">
        <f>A35&amp;+(COUNTIF(A$25:A35,A35)-1)</f>
        <v>10671</v>
      </c>
      <c r="F35" s="108" t="s">
        <v>196</v>
      </c>
      <c r="G35" s="203" t="s">
        <v>323</v>
      </c>
      <c r="H35" s="203" t="s">
        <v>415</v>
      </c>
    </row>
    <row r="36" spans="1:8" x14ac:dyDescent="0.15">
      <c r="A36" s="108">
        <v>1067</v>
      </c>
      <c r="B36" s="142" t="str">
        <f>VLOOKUP(A36,[1]characters!$A:$C,3,FALSE)</f>
        <v>ウシュムガル</v>
      </c>
      <c r="C36" s="108" t="s">
        <v>197</v>
      </c>
      <c r="D36" s="142"/>
      <c r="E36" s="142" t="str">
        <f>A36&amp;+(COUNTIF(A$25:A36,A36)-1)</f>
        <v>10672</v>
      </c>
      <c r="F36" s="108" t="s">
        <v>196</v>
      </c>
      <c r="G36" s="203" t="s">
        <v>322</v>
      </c>
      <c r="H36" s="203" t="s">
        <v>416</v>
      </c>
    </row>
    <row r="37" spans="1:8" x14ac:dyDescent="0.15">
      <c r="A37" s="108">
        <v>1068</v>
      </c>
      <c r="B37" s="142" t="str">
        <f>VLOOKUP(A37,[1]characters!$A:$C,3,FALSE)</f>
        <v>想母の羽龍 ウシュムガル</v>
      </c>
      <c r="C37" s="108" t="s">
        <v>195</v>
      </c>
      <c r="D37" s="142"/>
      <c r="E37" s="142" t="str">
        <f>A37&amp;+(COUNTIF(A$25:A37,A37)-1)</f>
        <v>10680</v>
      </c>
      <c r="F37" s="108" t="s">
        <v>196</v>
      </c>
      <c r="G37" s="203" t="s">
        <v>390</v>
      </c>
      <c r="H37" s="203" t="s">
        <v>391</v>
      </c>
    </row>
    <row r="38" spans="1:8" x14ac:dyDescent="0.15">
      <c r="A38" s="108">
        <v>1068</v>
      </c>
      <c r="B38" s="142" t="str">
        <f>VLOOKUP(A38,[1]characters!$A:$C,3,FALSE)</f>
        <v>想母の羽龍 ウシュムガル</v>
      </c>
      <c r="C38" s="108" t="s">
        <v>197</v>
      </c>
      <c r="D38" s="142"/>
      <c r="E38" s="142" t="str">
        <f>A38&amp;+(COUNTIF(A$25:A38,A38)-1)</f>
        <v>10681</v>
      </c>
      <c r="F38" s="108" t="s">
        <v>196</v>
      </c>
      <c r="G38" s="203" t="s">
        <v>323</v>
      </c>
      <c r="H38" s="203" t="s">
        <v>415</v>
      </c>
    </row>
    <row r="39" spans="1:8" x14ac:dyDescent="0.15">
      <c r="A39" s="108">
        <v>1068</v>
      </c>
      <c r="B39" s="142" t="str">
        <f>VLOOKUP(A39,[1]characters!$A:$C,3,FALSE)</f>
        <v>想母の羽龍 ウシュムガル</v>
      </c>
      <c r="C39" s="108" t="s">
        <v>197</v>
      </c>
      <c r="D39" s="142"/>
      <c r="E39" s="142" t="str">
        <f>A39&amp;+(COUNTIF(A$25:A39,A39)-1)</f>
        <v>10682</v>
      </c>
      <c r="F39" s="108" t="s">
        <v>196</v>
      </c>
      <c r="G39" s="203" t="s">
        <v>322</v>
      </c>
      <c r="H39" s="203" t="s">
        <v>416</v>
      </c>
    </row>
    <row r="40" spans="1:8" x14ac:dyDescent="0.15">
      <c r="A40" s="108">
        <v>1068</v>
      </c>
      <c r="B40" s="142" t="str">
        <f>VLOOKUP(A40,[1]characters!$A:$C,3,FALSE)</f>
        <v>想母の羽龍 ウシュムガル</v>
      </c>
      <c r="C40" s="108" t="s">
        <v>197</v>
      </c>
      <c r="D40" s="142"/>
      <c r="E40" s="142" t="str">
        <f>A40&amp;+(COUNTIF(A$25:A40,A40)-1)</f>
        <v>10683</v>
      </c>
      <c r="F40" s="108" t="s">
        <v>196</v>
      </c>
      <c r="G40" s="203" t="s">
        <v>417</v>
      </c>
      <c r="H40" s="203" t="s">
        <v>418</v>
      </c>
    </row>
    <row r="41" spans="1:8" x14ac:dyDescent="0.15">
      <c r="A41" s="108">
        <v>1069</v>
      </c>
      <c r="B41" s="142" t="str">
        <f>VLOOKUP(A41,[1]characters!$A:$C,3,FALSE)</f>
        <v>イシュタル</v>
      </c>
      <c r="C41" s="108" t="s">
        <v>195</v>
      </c>
      <c r="D41" s="142"/>
      <c r="E41" s="142" t="str">
        <f>A41&amp;+(COUNTIF(A$25:A41,A41)-1)</f>
        <v>10690</v>
      </c>
      <c r="F41" s="108" t="s">
        <v>196</v>
      </c>
      <c r="G41" s="203" t="s">
        <v>323</v>
      </c>
      <c r="H41" s="203" t="s">
        <v>397</v>
      </c>
    </row>
    <row r="42" spans="1:8" x14ac:dyDescent="0.15">
      <c r="A42" s="108">
        <v>1069</v>
      </c>
      <c r="B42" s="142" t="str">
        <f>VLOOKUP(A42,[1]characters!$A:$C,3,FALSE)</f>
        <v>イシュタル</v>
      </c>
      <c r="C42" s="108" t="s">
        <v>197</v>
      </c>
      <c r="D42" s="142"/>
      <c r="E42" s="142" t="str">
        <f>A42&amp;+(COUNTIF(A$25:A42,A42)-1)</f>
        <v>10691</v>
      </c>
      <c r="F42" s="108" t="s">
        <v>196</v>
      </c>
      <c r="G42" s="203" t="s">
        <v>400</v>
      </c>
      <c r="H42" s="203" t="s">
        <v>401</v>
      </c>
    </row>
    <row r="43" spans="1:8" x14ac:dyDescent="0.15">
      <c r="A43" s="108">
        <v>1069</v>
      </c>
      <c r="B43" s="142" t="str">
        <f>VLOOKUP(A43,[1]characters!$A:$C,3,FALSE)</f>
        <v>イシュタル</v>
      </c>
      <c r="C43" s="108" t="s">
        <v>197</v>
      </c>
      <c r="D43" s="142"/>
      <c r="E43" s="142" t="str">
        <f>A43&amp;+(COUNTIF(A$25:A43,A43)-1)</f>
        <v>10692</v>
      </c>
      <c r="F43" s="108" t="s">
        <v>185</v>
      </c>
      <c r="G43" s="207" t="s">
        <v>402</v>
      </c>
      <c r="H43" s="207" t="s">
        <v>403</v>
      </c>
    </row>
    <row r="44" spans="1:8" x14ac:dyDescent="0.15">
      <c r="A44" s="108">
        <v>1069</v>
      </c>
      <c r="B44" s="142" t="str">
        <f>VLOOKUP(A44,[1]characters!$A:$C,3,FALSE)</f>
        <v>イシュタル</v>
      </c>
      <c r="C44" s="108" t="s">
        <v>197</v>
      </c>
      <c r="D44" s="142"/>
      <c r="E44" s="142" t="str">
        <f>A44&amp;+(COUNTIF(A$25:A44,A44)-1)</f>
        <v>10693</v>
      </c>
      <c r="F44" s="108" t="s">
        <v>196</v>
      </c>
      <c r="G44" s="207" t="s">
        <v>404</v>
      </c>
      <c r="H44" s="207" t="s">
        <v>405</v>
      </c>
    </row>
    <row r="45" spans="1:8" x14ac:dyDescent="0.15">
      <c r="A45" s="108">
        <v>1070</v>
      </c>
      <c r="B45" s="142" t="str">
        <f>VLOOKUP(A45,[1]characters!$A:$C,3,FALSE)</f>
        <v>駆脳する造愛 イシュタル</v>
      </c>
      <c r="C45" s="108" t="s">
        <v>195</v>
      </c>
      <c r="D45" s="142"/>
      <c r="E45" s="142" t="str">
        <f>A45&amp;+(COUNTIF(A$25:A45,A45)-1)</f>
        <v>10700</v>
      </c>
      <c r="F45" s="108" t="s">
        <v>196</v>
      </c>
      <c r="G45" s="203" t="s">
        <v>398</v>
      </c>
      <c r="H45" s="203" t="s">
        <v>399</v>
      </c>
    </row>
    <row r="46" spans="1:8" x14ac:dyDescent="0.15">
      <c r="A46" s="108">
        <v>1070</v>
      </c>
      <c r="B46" s="142" t="str">
        <f>VLOOKUP(A46,[1]characters!$A:$C,3,FALSE)</f>
        <v>駆脳する造愛 イシュタル</v>
      </c>
      <c r="C46" s="108" t="s">
        <v>197</v>
      </c>
      <c r="D46" s="142"/>
      <c r="E46" s="142" t="str">
        <f>A46&amp;+(COUNTIF(A$25:A46,A46)-1)</f>
        <v>10701</v>
      </c>
      <c r="F46" s="108" t="s">
        <v>196</v>
      </c>
      <c r="G46" s="203" t="s">
        <v>400</v>
      </c>
      <c r="H46" s="203" t="s">
        <v>401</v>
      </c>
    </row>
    <row r="47" spans="1:8" x14ac:dyDescent="0.15">
      <c r="A47" s="108">
        <v>1070</v>
      </c>
      <c r="B47" s="142" t="str">
        <f>VLOOKUP(A47,[1]characters!$A:$C,3,FALSE)</f>
        <v>駆脳する造愛 イシュタル</v>
      </c>
      <c r="C47" s="108" t="s">
        <v>197</v>
      </c>
      <c r="D47" s="142"/>
      <c r="E47" s="142" t="str">
        <f>A47&amp;+(COUNTIF(A$25:A47,A47)-1)</f>
        <v>10702</v>
      </c>
      <c r="F47" s="108" t="s">
        <v>196</v>
      </c>
      <c r="G47" s="207" t="s">
        <v>402</v>
      </c>
      <c r="H47" s="207" t="s">
        <v>403</v>
      </c>
    </row>
    <row r="48" spans="1:8" x14ac:dyDescent="0.15">
      <c r="A48" s="108">
        <v>1070</v>
      </c>
      <c r="B48" s="142" t="str">
        <f>VLOOKUP(A48,[1]characters!$A:$C,3,FALSE)</f>
        <v>駆脳する造愛 イシュタル</v>
      </c>
      <c r="C48" s="108" t="s">
        <v>197</v>
      </c>
      <c r="D48" s="142"/>
      <c r="E48" s="142" t="str">
        <f>A48&amp;+(COUNTIF(A$25:A48,A48)-1)</f>
        <v>10703</v>
      </c>
      <c r="F48" s="108" t="s">
        <v>185</v>
      </c>
      <c r="G48" s="207" t="s">
        <v>404</v>
      </c>
      <c r="H48" s="207" t="s">
        <v>405</v>
      </c>
    </row>
    <row r="49" spans="1:8" x14ac:dyDescent="0.15">
      <c r="A49" s="108">
        <v>1070</v>
      </c>
      <c r="B49" s="142" t="str">
        <f>VLOOKUP(A49,[1]characters!$A:$C,3,FALSE)</f>
        <v>駆脳する造愛 イシュタル</v>
      </c>
      <c r="C49" s="108" t="s">
        <v>197</v>
      </c>
      <c r="D49" s="142"/>
      <c r="E49" s="142" t="str">
        <f>A49&amp;+(COUNTIF(A$25:A49,A49)-1)</f>
        <v>10704</v>
      </c>
      <c r="F49" s="108" t="s">
        <v>196</v>
      </c>
      <c r="G49" s="203" t="s">
        <v>322</v>
      </c>
      <c r="H49" s="203" t="s">
        <v>406</v>
      </c>
    </row>
    <row r="50" spans="1:8" x14ac:dyDescent="0.15">
      <c r="A50" s="108">
        <v>1072</v>
      </c>
      <c r="B50" s="142" t="str">
        <f>VLOOKUP(A50,[1]characters!$A:$C,3,FALSE)</f>
        <v>エンキドゥ</v>
      </c>
      <c r="C50" s="108" t="s">
        <v>195</v>
      </c>
      <c r="D50" s="142"/>
      <c r="E50" s="142" t="str">
        <f>A50&amp;+(COUNTIF(A$25:A50,A50)-1)</f>
        <v>10720</v>
      </c>
      <c r="F50" s="108" t="s">
        <v>196</v>
      </c>
      <c r="G50" s="203" t="s">
        <v>388</v>
      </c>
      <c r="H50" s="203" t="s">
        <v>395</v>
      </c>
    </row>
    <row r="51" spans="1:8" x14ac:dyDescent="0.15">
      <c r="A51" s="108">
        <v>1072</v>
      </c>
      <c r="B51" s="142" t="str">
        <f>VLOOKUP(A51,[1]characters!$A:$C,3,FALSE)</f>
        <v>エンキドゥ</v>
      </c>
      <c r="C51" s="108" t="s">
        <v>197</v>
      </c>
      <c r="D51" s="142"/>
      <c r="E51" s="142" t="str">
        <f>A51&amp;+(COUNTIF(A$25:A51,A51)-1)</f>
        <v>10721</v>
      </c>
      <c r="F51" s="108" t="s">
        <v>196</v>
      </c>
      <c r="G51" s="203" t="s">
        <v>388</v>
      </c>
      <c r="H51" s="206" t="s">
        <v>407</v>
      </c>
    </row>
    <row r="52" spans="1:8" x14ac:dyDescent="0.15">
      <c r="A52" s="108">
        <v>1072</v>
      </c>
      <c r="B52" s="142" t="str">
        <f>VLOOKUP(A52,[1]characters!$A:$C,3,FALSE)</f>
        <v>エンキドゥ</v>
      </c>
      <c r="C52" s="108" t="s">
        <v>197</v>
      </c>
      <c r="D52" s="142"/>
      <c r="E52" s="142" t="str">
        <f>A52&amp;+(COUNTIF(A$25:A52,A52)-1)</f>
        <v>10722</v>
      </c>
      <c r="F52" s="108" t="s">
        <v>196</v>
      </c>
      <c r="G52" s="203" t="s">
        <v>322</v>
      </c>
      <c r="H52" s="206" t="s">
        <v>408</v>
      </c>
    </row>
    <row r="53" spans="1:8" x14ac:dyDescent="0.15">
      <c r="A53" s="108">
        <v>1072</v>
      </c>
      <c r="B53" s="142" t="str">
        <f>VLOOKUP(A53,[1]characters!$A:$C,3,FALSE)</f>
        <v>エンキドゥ</v>
      </c>
      <c r="C53" s="108" t="s">
        <v>197</v>
      </c>
      <c r="D53" s="142"/>
      <c r="E53" s="142" t="str">
        <f>A53&amp;+(COUNTIF(A$25:A53,A53)-1)</f>
        <v>10723</v>
      </c>
      <c r="F53" s="108" t="s">
        <v>196</v>
      </c>
      <c r="G53" s="203" t="s">
        <v>322</v>
      </c>
      <c r="H53" s="206" t="s">
        <v>409</v>
      </c>
    </row>
    <row r="54" spans="1:8" x14ac:dyDescent="0.15">
      <c r="A54" s="108">
        <v>1073</v>
      </c>
      <c r="B54" s="142" t="str">
        <f>VLOOKUP(A54,[1]characters!$A:$C,3,FALSE)</f>
        <v>静穏なる獣勇 エンキドゥ</v>
      </c>
      <c r="C54" s="108" t="s">
        <v>195</v>
      </c>
      <c r="D54" s="142"/>
      <c r="E54" s="142" t="str">
        <f>A54&amp;+(COUNTIF(A$25:A54,A54)-1)</f>
        <v>10730</v>
      </c>
      <c r="F54" s="108" t="s">
        <v>196</v>
      </c>
      <c r="G54" s="203" t="s">
        <v>388</v>
      </c>
      <c r="H54" s="206" t="s">
        <v>396</v>
      </c>
    </row>
    <row r="55" spans="1:8" x14ac:dyDescent="0.15">
      <c r="A55" s="108">
        <v>1073</v>
      </c>
      <c r="B55" s="142" t="str">
        <f>VLOOKUP(A55,[1]characters!$A:$C,3,FALSE)</f>
        <v>静穏なる獣勇 エンキドゥ</v>
      </c>
      <c r="C55" s="108" t="s">
        <v>197</v>
      </c>
      <c r="D55" s="142"/>
      <c r="E55" s="142" t="str">
        <f>A55&amp;+(COUNTIF(A$25:A55,A55)-1)</f>
        <v>10731</v>
      </c>
      <c r="F55" s="108" t="s">
        <v>196</v>
      </c>
      <c r="G55" s="203" t="s">
        <v>388</v>
      </c>
      <c r="H55" s="206" t="s">
        <v>407</v>
      </c>
    </row>
    <row r="56" spans="1:8" x14ac:dyDescent="0.15">
      <c r="A56" s="108">
        <v>1073</v>
      </c>
      <c r="B56" s="142" t="str">
        <f>VLOOKUP(A56,[1]characters!$A:$C,3,FALSE)</f>
        <v>静穏なる獣勇 エンキドゥ</v>
      </c>
      <c r="C56" s="108" t="s">
        <v>197</v>
      </c>
      <c r="D56" s="142"/>
      <c r="E56" s="142" t="str">
        <f>A56&amp;+(COUNTIF(A$25:A56,A56)-1)</f>
        <v>10732</v>
      </c>
      <c r="F56" s="108" t="s">
        <v>196</v>
      </c>
      <c r="G56" s="203" t="s">
        <v>322</v>
      </c>
      <c r="H56" s="206" t="s">
        <v>408</v>
      </c>
    </row>
    <row r="57" spans="1:8" x14ac:dyDescent="0.15">
      <c r="A57" s="108">
        <v>1073</v>
      </c>
      <c r="B57" s="142" t="str">
        <f>VLOOKUP(A57,[1]characters!$A:$C,3,FALSE)</f>
        <v>静穏なる獣勇 エンキドゥ</v>
      </c>
      <c r="C57" s="108" t="s">
        <v>197</v>
      </c>
      <c r="D57" s="142"/>
      <c r="E57" s="142" t="str">
        <f>A57&amp;+(COUNTIF(A$25:A57,A57)-1)</f>
        <v>10733</v>
      </c>
      <c r="F57" s="108" t="s">
        <v>196</v>
      </c>
      <c r="G57" s="203" t="s">
        <v>322</v>
      </c>
      <c r="H57" s="206" t="s">
        <v>409</v>
      </c>
    </row>
    <row r="58" spans="1:8" x14ac:dyDescent="0.15">
      <c r="A58" s="108">
        <v>1073</v>
      </c>
      <c r="B58" s="142" t="str">
        <f>VLOOKUP(A58,[1]characters!$A:$C,3,FALSE)</f>
        <v>静穏なる獣勇 エンキドゥ</v>
      </c>
      <c r="C58" s="108" t="s">
        <v>197</v>
      </c>
      <c r="D58" s="142"/>
      <c r="E58" s="142" t="str">
        <f>A58&amp;+(COUNTIF(A$25:A58,A58)-1)</f>
        <v>10734</v>
      </c>
      <c r="F58" s="108" t="s">
        <v>196</v>
      </c>
      <c r="G58" s="203" t="s">
        <v>322</v>
      </c>
      <c r="H58" s="206" t="s">
        <v>410</v>
      </c>
    </row>
    <row r="59" spans="1:8" x14ac:dyDescent="0.15">
      <c r="A59" s="108">
        <v>1074</v>
      </c>
      <c r="B59" s="142" t="str">
        <f>VLOOKUP(A59,[1]characters!$A:$C,3,FALSE)</f>
        <v>マルドゥク</v>
      </c>
      <c r="C59" s="108" t="s">
        <v>195</v>
      </c>
      <c r="D59" s="142"/>
      <c r="E59" s="142" t="str">
        <f>A59&amp;+(COUNTIF(A$25:A59,A59)-1)</f>
        <v>10740</v>
      </c>
      <c r="F59" s="108" t="s">
        <v>185</v>
      </c>
      <c r="G59" s="203" t="s">
        <v>392</v>
      </c>
      <c r="H59" s="203" t="s">
        <v>393</v>
      </c>
    </row>
    <row r="60" spans="1:8" x14ac:dyDescent="0.15">
      <c r="A60" s="108">
        <v>1074</v>
      </c>
      <c r="B60" s="142" t="str">
        <f>VLOOKUP(A60,[1]characters!$A:$C,3,FALSE)</f>
        <v>マルドゥク</v>
      </c>
      <c r="C60" s="108" t="s">
        <v>197</v>
      </c>
      <c r="D60" s="142"/>
      <c r="E60" s="142" t="str">
        <f>A60&amp;+(COUNTIF(A$25:A60,A60)-1)</f>
        <v>10741</v>
      </c>
      <c r="F60" s="108" t="s">
        <v>185</v>
      </c>
      <c r="G60" s="203" t="s">
        <v>322</v>
      </c>
      <c r="H60" s="203" t="s">
        <v>411</v>
      </c>
    </row>
    <row r="61" spans="1:8" x14ac:dyDescent="0.15">
      <c r="A61" s="108">
        <v>1074</v>
      </c>
      <c r="B61" s="142" t="str">
        <f>VLOOKUP(A61,[1]characters!$A:$C,3,FALSE)</f>
        <v>マルドゥク</v>
      </c>
      <c r="C61" s="108" t="s">
        <v>197</v>
      </c>
      <c r="D61" s="142"/>
      <c r="E61" s="142" t="str">
        <f>A61&amp;+(COUNTIF(A$25:A61,A61)-1)</f>
        <v>10742</v>
      </c>
      <c r="F61" s="108" t="s">
        <v>185</v>
      </c>
      <c r="G61" s="203" t="s">
        <v>322</v>
      </c>
      <c r="H61" s="203" t="s">
        <v>412</v>
      </c>
    </row>
    <row r="62" spans="1:8" x14ac:dyDescent="0.15">
      <c r="A62" s="108">
        <v>1074</v>
      </c>
      <c r="B62" s="142" t="str">
        <f>VLOOKUP(A62,[1]characters!$A:$C,3,FALSE)</f>
        <v>マルドゥク</v>
      </c>
      <c r="C62" s="108" t="s">
        <v>197</v>
      </c>
      <c r="D62" s="142"/>
      <c r="E62" s="142" t="str">
        <f>A62&amp;+(COUNTIF(A$25:A62,A62)-1)</f>
        <v>10743</v>
      </c>
      <c r="F62" s="108" t="s">
        <v>185</v>
      </c>
      <c r="G62" s="203" t="s">
        <v>322</v>
      </c>
      <c r="H62" s="203" t="s">
        <v>413</v>
      </c>
    </row>
    <row r="63" spans="1:8" x14ac:dyDescent="0.15">
      <c r="A63" s="108">
        <v>1075</v>
      </c>
      <c r="B63" s="142" t="str">
        <f>VLOOKUP(A63,[1]characters!$A:$C,3,FALSE)</f>
        <v>虚塔の神王 マルドゥク</v>
      </c>
      <c r="C63" s="108" t="s">
        <v>195</v>
      </c>
      <c r="D63" s="142"/>
      <c r="E63" s="142" t="str">
        <f>A63&amp;+(COUNTIF(A$25:A63,A63)-1)</f>
        <v>10750</v>
      </c>
      <c r="F63" s="108" t="s">
        <v>185</v>
      </c>
      <c r="G63" s="203" t="s">
        <v>322</v>
      </c>
      <c r="H63" s="203" t="s">
        <v>394</v>
      </c>
    </row>
    <row r="64" spans="1:8" x14ac:dyDescent="0.15">
      <c r="A64" s="108">
        <v>1075</v>
      </c>
      <c r="B64" s="142" t="str">
        <f>VLOOKUP(A64,[1]characters!$A:$C,3,FALSE)</f>
        <v>虚塔の神王 マルドゥク</v>
      </c>
      <c r="C64" s="108" t="s">
        <v>197</v>
      </c>
      <c r="D64" s="142"/>
      <c r="E64" s="142" t="str">
        <f>A64&amp;+(COUNTIF(A$25:A64,A64)-1)</f>
        <v>10751</v>
      </c>
      <c r="F64" s="108" t="s">
        <v>185</v>
      </c>
      <c r="G64" s="203" t="s">
        <v>322</v>
      </c>
      <c r="H64" s="203" t="s">
        <v>411</v>
      </c>
    </row>
    <row r="65" spans="1:8" x14ac:dyDescent="0.15">
      <c r="A65" s="108">
        <v>1075</v>
      </c>
      <c r="B65" s="142" t="str">
        <f>VLOOKUP(A65,[1]characters!$A:$C,3,FALSE)</f>
        <v>虚塔の神王 マルドゥク</v>
      </c>
      <c r="C65" s="108" t="s">
        <v>197</v>
      </c>
      <c r="D65" s="142"/>
      <c r="E65" s="142" t="str">
        <f>A65&amp;+(COUNTIF(A$25:A65,A65)-1)</f>
        <v>10752</v>
      </c>
      <c r="F65" s="108" t="s">
        <v>185</v>
      </c>
      <c r="G65" s="203" t="s">
        <v>322</v>
      </c>
      <c r="H65" s="203" t="s">
        <v>412</v>
      </c>
    </row>
    <row r="66" spans="1:8" x14ac:dyDescent="0.15">
      <c r="A66" s="108">
        <v>1075</v>
      </c>
      <c r="B66" s="142" t="str">
        <f>VLOOKUP(A66,[1]characters!$A:$C,3,FALSE)</f>
        <v>虚塔の神王 マルドゥク</v>
      </c>
      <c r="C66" s="108" t="s">
        <v>197</v>
      </c>
      <c r="D66" s="142"/>
      <c r="E66" s="142" t="str">
        <f>A66&amp;+(COUNTIF(A$25:A66,A66)-1)</f>
        <v>10753</v>
      </c>
      <c r="F66" s="108" t="s">
        <v>185</v>
      </c>
      <c r="G66" s="203" t="s">
        <v>322</v>
      </c>
      <c r="H66" s="203" t="s">
        <v>413</v>
      </c>
    </row>
    <row r="67" spans="1:8" x14ac:dyDescent="0.15">
      <c r="A67" s="108">
        <v>1075</v>
      </c>
      <c r="B67" s="142" t="str">
        <f>VLOOKUP(A67,[1]characters!$A:$C,3,FALSE)</f>
        <v>虚塔の神王 マルドゥク</v>
      </c>
      <c r="C67" s="108" t="s">
        <v>197</v>
      </c>
      <c r="D67" s="142"/>
      <c r="E67" s="142" t="str">
        <f>A67&amp;+(COUNTIF(A$25:A67,A67)-1)</f>
        <v>10754</v>
      </c>
      <c r="F67" s="108" t="s">
        <v>185</v>
      </c>
      <c r="G67" s="203" t="s">
        <v>322</v>
      </c>
      <c r="H67" s="203" t="s">
        <v>414</v>
      </c>
    </row>
  </sheetData>
  <phoneticPr fontId="22"/>
  <dataValidations count="2">
    <dataValidation type="list" allowBlank="1" showInputMessage="1" showErrorMessage="1" sqref="G2:G67">
      <formula1>"maru,giza,kumo"</formula1>
    </dataValidation>
    <dataValidation type="list" allowBlank="1" showInputMessage="1" showErrorMessage="1" sqref="C2:C67">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W9"/>
  <sheetViews>
    <sheetView showGridLines="0" workbookViewId="0">
      <pane xSplit="9" ySplit="1" topLeftCell="P2" activePane="bottomRight" state="frozen"/>
      <selection pane="topRight" activeCell="J1" sqref="J1"/>
      <selection pane="bottomLeft" activeCell="A3" sqref="A3"/>
      <selection pane="bottomRight" activeCell="G15" sqref="G15"/>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3" ht="21" customHeight="1" x14ac:dyDescent="0.15">
      <c r="A1" s="80" t="s">
        <v>282</v>
      </c>
      <c r="B1" s="94" t="s">
        <v>40</v>
      </c>
      <c r="C1" s="85" t="s">
        <v>283</v>
      </c>
      <c r="D1" s="85" t="s">
        <v>284</v>
      </c>
      <c r="E1" s="85" t="s">
        <v>285</v>
      </c>
      <c r="F1" s="85" t="s">
        <v>286</v>
      </c>
      <c r="G1" s="85" t="s">
        <v>1</v>
      </c>
      <c r="H1" s="179" t="s">
        <v>19</v>
      </c>
      <c r="I1" s="85" t="s">
        <v>0</v>
      </c>
      <c r="J1" s="84" t="s">
        <v>287</v>
      </c>
      <c r="K1" s="85" t="s">
        <v>40</v>
      </c>
      <c r="L1" s="86" t="s">
        <v>49</v>
      </c>
      <c r="M1" s="86" t="s">
        <v>48</v>
      </c>
      <c r="N1" s="86" t="s">
        <v>288</v>
      </c>
      <c r="O1" s="86" t="s">
        <v>289</v>
      </c>
      <c r="P1" s="91" t="s">
        <v>290</v>
      </c>
      <c r="Q1" s="90" t="s">
        <v>291</v>
      </c>
      <c r="R1" s="79" t="s">
        <v>292</v>
      </c>
      <c r="S1" s="91" t="s">
        <v>293</v>
      </c>
      <c r="T1" s="79" t="s">
        <v>294</v>
      </c>
      <c r="U1" s="91" t="s">
        <v>295</v>
      </c>
    </row>
    <row r="2" spans="1:23" ht="21" customHeight="1" x14ac:dyDescent="0.15">
      <c r="A2" s="181">
        <v>1059</v>
      </c>
      <c r="B2" s="56" t="str">
        <f ca="1">VLOOKUP($A2,OFFSET([1]characters!$A$1,0,0,COUNTA([1]characters!$A:$A),MATCH(B$1,[1]characters!$1:$1,0)-MATCH($A$1,[1]characters!$1:$1,0)+1),MATCH(B$1,[1]characters!$1:$1,0)-MATCH($A$1,[1]characters!$1:$1,0)+1,FALSE)</f>
        <v>パズズ</v>
      </c>
      <c r="C2" s="56" t="str">
        <f ca="1">VLOOKUP($A2,OFFSET([1]characters!$A$1,0,0,COUNTA([1]characters!$A:$A),MATCH(C$1,[1]characters!$1:$1,0)-MATCH($A$1,[1]characters!$1:$1,0)+1),MATCH(C$1,[1]characters!$1:$1,0)-MATCH($A$1,[1]characters!$1:$1,0)+1,FALSE)</f>
        <v>イザナミ_分岐</v>
      </c>
      <c r="D2" s="56" t="str">
        <f ca="1">VLOOKUP($A2,OFFSET([1]characters!$A$1,0,0,COUNTA([1]characters!$A:$A),MATCH(D$1,[1]characters!$1:$1,0)-MATCH($A$1,[1]characters!$1:$1,0)+1),MATCH(D$1,[1]characters!$1:$1,0)-MATCH($A$1,[1]characters!$1:$1,0)+1,FALSE)</f>
        <v>執行者</v>
      </c>
      <c r="E2" s="56" t="str">
        <f ca="1">VLOOKUP($A2,OFFSET([1]characters!$A$1,0,0,COUNTA([1]characters!$A:$A),MATCH(E$1,[1]characters!$1:$1,0)-MATCH($A$1,[1]characters!$1:$1,0)+1),MATCH(E$1,[1]characters!$1:$1,0)-MATCH($A$1,[1]characters!$1:$1,0)+1,FALSE)</f>
        <v>格好いい</v>
      </c>
      <c r="F2" s="56" t="str">
        <f ca="1">VLOOKUP($A2,OFFSET([1]characters!$A$1,0,0,COUNTA([1]characters!$A:$A),MATCH(F$1,[1]characters!$1:$1,0)-MATCH($A$1,[1]characters!$1:$1,0)+1),MATCH(F$1,[1]characters!$1:$1,0)-MATCH($A$1,[1]characters!$1:$1,0)+1,FALSE)</f>
        <v>男性</v>
      </c>
      <c r="G2" s="56">
        <f ca="1">VLOOKUP($A2,OFFSET([1]characters!$A$1,0,0,COUNTA([1]characters!$A:$A),MATCH(G$1,[1]characters!$1:$1,0)-MATCH($A$1,[1]characters!$1:$1,0)+1),MATCH(G$1,[1]characters!$1:$1,0)-MATCH($A$1,[1]characters!$1:$1,0)+1,FALSE)</f>
        <v>4</v>
      </c>
      <c r="H2" s="56" t="str">
        <f ca="1">VLOOKUP($A2,OFFSET([1]characters!$A$1,0,0,COUNTA([1]characters!$A:$A),MATCH(H$1,[1]characters!$1:$1,0)-MATCH($A$1,[1]characters!$1:$1,0)+1),MATCH(H$1,[1]characters!$1:$1,0)-MATCH($A$1,[1]characters!$1:$1,0)+1,FALSE)</f>
        <v>Drop2N</v>
      </c>
      <c r="I2" s="56" t="str">
        <f ca="1">VLOOKUP($A2,OFFSET([1]characters!$A$1,0,0,COUNTA([1]characters!$A:$A),MATCH(I$1,[1]characters!$1:$1,0)-MATCH($A$1,[1]characters!$1:$1,0)+1),MATCH(I$1,[1]characters!$1:$1,0)-MATCH($A$1,[1]characters!$1:$1,0)+1,FALSE)</f>
        <v>green</v>
      </c>
      <c r="J2" s="56" t="str">
        <f ca="1">VLOOKUP($A2,OFFSET([1]characters!$A$1,0,0,COUNTA([1]characters!$A:$A),MATCH(J$1,[1]characters!$1:$1,0)-MATCH($A$1,[1]characters!$1:$1,0)+1),MATCH(J$1,[1]characters!$1:$1,0)-MATCH($A$1,[1]characters!$1:$1,0)+1,FALSE)</f>
        <v>animal</v>
      </c>
      <c r="K2" s="5" t="str">
        <f ca="1">VLOOKUP(J2,[1]character_tribe_i18n!$A:$H,3,FALSE)</f>
        <v>アニマル</v>
      </c>
      <c r="L2" s="11" t="e">
        <f>VLOOKUP(#REF!,[1]character_tribe_i18n!$A:$H,4,FALSE)</f>
        <v>#REF!</v>
      </c>
      <c r="M2" s="11" t="e">
        <f>VLOOKUP(#REF!,[1]character_tribe_i18n!$A:$H,5,FALSE)</f>
        <v>#REF!</v>
      </c>
      <c r="N2" s="11" t="e">
        <f>VLOOKUP(#REF!,[1]character_tribe_i18n!$A:$H,6,FALSE)</f>
        <v>#REF!</v>
      </c>
      <c r="O2" s="11" t="e">
        <f>VLOOKUP(#REF!,[1]character_tribe_i18n!$A:$H,7,FALSE)</f>
        <v>#REF!</v>
      </c>
      <c r="P2" s="180" t="s">
        <v>296</v>
      </c>
      <c r="Q2" s="108">
        <v>1060</v>
      </c>
      <c r="R2" s="190" t="str">
        <f ca="1">IF(Q2="NULL","",VLOOKUP($Q2,OFFSET([1]characters!$A$1,0,0,COUNTA([1]characters!$A:$A),MATCH(R$1,[1]characters!$1:$1,0)-MATCH($A$1,[1]characters!$1:$1,0)+1),MATCH(R$1,[1]characters!$1:$1,0)-MATCH($A$1,[1]characters!$1:$1,0)+1,FALSE))</f>
        <v>熱扇風の幼魔 パズズ</v>
      </c>
      <c r="S2" s="5">
        <f ca="1">IF(ISNA(MATCH(A2,Q:Q,0)),A2,INDIRECT(ADDRESS(MATCH(A2,Q:Q,0),COLUMN())))</f>
        <v>1059</v>
      </c>
      <c r="T2" s="61" t="str">
        <f ca="1">VLOOKUP($S2,OFFSET([1]characters!$A$1,0,0,COUNTA([1]characters!$A:$A),MATCH(T$1,[1]characters!$1:$1,0)-MATCH($A$1,[1]characters!$1:$1,0)+1),MATCH(T$1,[1]characters!$1:$1,0)-MATCH($A$1,[1]characters!$1:$1,0)+1,FALSE)</f>
        <v>パズズ</v>
      </c>
      <c r="U2" s="11">
        <f ca="1">IF(Q2="NULL","NULL",VLOOKUP(G2,[2]ビット!$A$2:$B$7,2))</f>
        <v>50000</v>
      </c>
      <c r="V2">
        <v>50000</v>
      </c>
      <c r="W2" s="12" t="str">
        <f t="shared" ref="W2:W9" ca="1" si="0">IF(U2=V2,"TRUE","FALSE")</f>
        <v>TRUE</v>
      </c>
    </row>
    <row r="3" spans="1:23" ht="21" customHeight="1" x14ac:dyDescent="0.15">
      <c r="A3" s="181">
        <v>1061</v>
      </c>
      <c r="B3" s="56" t="str">
        <f ca="1">VLOOKUP($A3,OFFSET([1]characters!$A$1,0,0,COUNTA([1]characters!$A:$A),MATCH(B$1,[1]characters!$1:$1,0)-MATCH($A$1,[1]characters!$1:$1,0)+1),MATCH(B$1,[1]characters!$1:$1,0)-MATCH($A$1,[1]characters!$1:$1,0)+1,FALSE)</f>
        <v>フンババ</v>
      </c>
      <c r="C3" s="56" t="str">
        <f ca="1">VLOOKUP($A3,OFFSET([1]characters!$A$1,0,0,COUNTA([1]characters!$A:$A),MATCH(C$1,[1]characters!$1:$1,0)-MATCH($A$1,[1]characters!$1:$1,0)+1),MATCH(C$1,[1]characters!$1:$1,0)-MATCH($A$1,[1]characters!$1:$1,0)+1,FALSE)</f>
        <v>イザナミ_分岐</v>
      </c>
      <c r="D3" s="56" t="str">
        <f ca="1">VLOOKUP($A3,OFFSET([1]characters!$A$1,0,0,COUNTA([1]characters!$A:$A),MATCH(D$1,[1]characters!$1:$1,0)-MATCH($A$1,[1]characters!$1:$1,0)+1),MATCH(D$1,[1]characters!$1:$1,0)-MATCH($A$1,[1]characters!$1:$1,0)+1,FALSE)</f>
        <v>執行者</v>
      </c>
      <c r="E3" s="56" t="str">
        <f ca="1">VLOOKUP($A3,OFFSET([1]characters!$A$1,0,0,COUNTA([1]characters!$A:$A),MATCH(E$1,[1]characters!$1:$1,0)-MATCH($A$1,[1]characters!$1:$1,0)+1),MATCH(E$1,[1]characters!$1:$1,0)-MATCH($A$1,[1]characters!$1:$1,0)+1,FALSE)</f>
        <v>格好いい</v>
      </c>
      <c r="F3" s="56" t="str">
        <f ca="1">VLOOKUP($A3,OFFSET([1]characters!$A$1,0,0,COUNTA([1]characters!$A:$A),MATCH(F$1,[1]characters!$1:$1,0)-MATCH($A$1,[1]characters!$1:$1,0)+1),MATCH(F$1,[1]characters!$1:$1,0)-MATCH($A$1,[1]characters!$1:$1,0)+1,FALSE)</f>
        <v>男性</v>
      </c>
      <c r="G3" s="56">
        <f ca="1">VLOOKUP($A3,OFFSET([1]characters!$A$1,0,0,COUNTA([1]characters!$A:$A),MATCH(G$1,[1]characters!$1:$1,0)-MATCH($A$1,[1]characters!$1:$1,0)+1),MATCH(G$1,[1]characters!$1:$1,0)-MATCH($A$1,[1]characters!$1:$1,0)+1,FALSE)</f>
        <v>4</v>
      </c>
      <c r="H3" s="56" t="str">
        <f ca="1">VLOOKUP($A3,OFFSET([1]characters!$A$1,0,0,COUNTA([1]characters!$A:$A),MATCH(H$1,[1]characters!$1:$1,0)-MATCH($A$1,[1]characters!$1:$1,0)+1),MATCH(H$1,[1]characters!$1:$1,0)-MATCH($A$1,[1]characters!$1:$1,0)+1,FALSE)</f>
        <v>Drop2N</v>
      </c>
      <c r="I3" s="56" t="str">
        <f ca="1">VLOOKUP($A3,OFFSET([1]characters!$A$1,0,0,COUNTA([1]characters!$A:$A),MATCH(I$1,[1]characters!$1:$1,0)-MATCH($A$1,[1]characters!$1:$1,0)+1),MATCH(I$1,[1]characters!$1:$1,0)-MATCH($A$1,[1]characters!$1:$1,0)+1,FALSE)</f>
        <v>yellow</v>
      </c>
      <c r="J3" s="56" t="str">
        <f ca="1">VLOOKUP($A3,OFFSET([1]characters!$A$1,0,0,COUNTA([1]characters!$A:$A),MATCH(J$1,[1]characters!$1:$1,0)-MATCH($A$1,[1]characters!$1:$1,0)+1),MATCH(J$1,[1]characters!$1:$1,0)-MATCH($A$1,[1]characters!$1:$1,0)+1,FALSE)</f>
        <v>machine</v>
      </c>
      <c r="K3" s="5" t="str">
        <f ca="1">VLOOKUP(J3,[1]character_tribe_i18n!$A:$H,3,FALSE)</f>
        <v>マシン</v>
      </c>
      <c r="L3" s="11" t="e">
        <f>VLOOKUP(#REF!,[1]character_tribe_i18n!$A:$H,4,FALSE)</f>
        <v>#REF!</v>
      </c>
      <c r="M3" s="11" t="e">
        <f>VLOOKUP(#REF!,[1]character_tribe_i18n!$A:$H,5,FALSE)</f>
        <v>#REF!</v>
      </c>
      <c r="N3" s="11" t="e">
        <f>VLOOKUP(#REF!,[1]character_tribe_i18n!$A:$H,6,FALSE)</f>
        <v>#REF!</v>
      </c>
      <c r="O3" s="11" t="e">
        <f>VLOOKUP(#REF!,[1]character_tribe_i18n!$A:$H,7,FALSE)</f>
        <v>#REF!</v>
      </c>
      <c r="P3" s="180" t="s">
        <v>296</v>
      </c>
      <c r="Q3" s="108">
        <v>1062</v>
      </c>
      <c r="R3" s="190" t="str">
        <f ca="1">IF(Q3="NULL","",VLOOKUP($Q3,OFFSET([1]characters!$A$1,0,0,COUNTA([1]characters!$A:$A),MATCH(R$1,[1]characters!$1:$1,0)-MATCH($A$1,[1]characters!$1:$1,0)+1),MATCH(R$1,[1]characters!$1:$1,0)-MATCH($A$1,[1]characters!$1:$1,0)+1,FALSE))</f>
        <v>停止不能の蛮躯 フンババ</v>
      </c>
      <c r="S3" s="5">
        <f t="shared" ref="S3:S9" ca="1" si="1">IF(ISNA(MATCH(A3,Q:Q,0)),A3,INDIRECT(ADDRESS(MATCH(A3,Q:Q,0),COLUMN())))</f>
        <v>1061</v>
      </c>
      <c r="T3" s="61" t="str">
        <f ca="1">VLOOKUP($S3,OFFSET([1]characters!$A$1,0,0,COUNTA([1]characters!$A:$A),MATCH(T$1,[1]characters!$1:$1,0)-MATCH($A$1,[1]characters!$1:$1,0)+1),MATCH(T$1,[1]characters!$1:$1,0)-MATCH($A$1,[1]characters!$1:$1,0)+1,FALSE)</f>
        <v>フンババ</v>
      </c>
      <c r="U3" s="11">
        <f ca="1">IF(Q3="NULL","NULL",VLOOKUP(G3,[2]ビット!$A$2:$B$7,2))</f>
        <v>50000</v>
      </c>
      <c r="V3">
        <v>50000</v>
      </c>
      <c r="W3" s="12" t="str">
        <f t="shared" ca="1" si="0"/>
        <v>TRUE</v>
      </c>
    </row>
    <row r="4" spans="1:23" ht="21" customHeight="1" x14ac:dyDescent="0.15">
      <c r="A4" s="181">
        <v>1063</v>
      </c>
      <c r="B4" s="56" t="str">
        <f ca="1">VLOOKUP($A4,OFFSET([1]characters!$A$1,0,0,COUNTA([1]characters!$A:$A),MATCH(B$1,[1]characters!$1:$1,0)-MATCH($A$1,[1]characters!$1:$1,0)+1),MATCH(B$1,[1]characters!$1:$1,0)-MATCH($A$1,[1]characters!$1:$1,0)+1,FALSE)</f>
        <v>ティアマト</v>
      </c>
      <c r="C4" s="56" t="str">
        <f ca="1">VLOOKUP($A4,OFFSET([1]characters!$A$1,0,0,COUNTA([1]characters!$A:$A),MATCH(C$1,[1]characters!$1:$1,0)-MATCH($A$1,[1]characters!$1:$1,0)+1),MATCH(C$1,[1]characters!$1:$1,0)-MATCH($A$1,[1]characters!$1:$1,0)+1,FALSE)</f>
        <v>イザナミ_分岐</v>
      </c>
      <c r="D4" s="56" t="str">
        <f ca="1">VLOOKUP($A4,OFFSET([1]characters!$A$1,0,0,COUNTA([1]characters!$A:$A),MATCH(D$1,[1]characters!$1:$1,0)-MATCH($A$1,[1]characters!$1:$1,0)+1),MATCH(D$1,[1]characters!$1:$1,0)-MATCH($A$1,[1]characters!$1:$1,0)+1,FALSE)</f>
        <v>執行者</v>
      </c>
      <c r="E4" s="56" t="str">
        <f ca="1">VLOOKUP($A4,OFFSET([1]characters!$A$1,0,0,COUNTA([1]characters!$A:$A),MATCH(E$1,[1]characters!$1:$1,0)-MATCH($A$1,[1]characters!$1:$1,0)+1),MATCH(E$1,[1]characters!$1:$1,0)-MATCH($A$1,[1]characters!$1:$1,0)+1,FALSE)</f>
        <v>格好いい</v>
      </c>
      <c r="F4" s="56" t="str">
        <f ca="1">VLOOKUP($A4,OFFSET([1]characters!$A$1,0,0,COUNTA([1]characters!$A:$A),MATCH(F$1,[1]characters!$1:$1,0)-MATCH($A$1,[1]characters!$1:$1,0)+1),MATCH(F$1,[1]characters!$1:$1,0)-MATCH($A$1,[1]characters!$1:$1,0)+1,FALSE)</f>
        <v>男性</v>
      </c>
      <c r="G4" s="56">
        <f ca="1">VLOOKUP($A4,OFFSET([1]characters!$A$1,0,0,COUNTA([1]characters!$A:$A),MATCH(G$1,[1]characters!$1:$1,0)-MATCH($A$1,[1]characters!$1:$1,0)+1),MATCH(G$1,[1]characters!$1:$1,0)-MATCH($A$1,[1]characters!$1:$1,0)+1,FALSE)</f>
        <v>5</v>
      </c>
      <c r="H4" s="56" t="str">
        <f ca="1">VLOOKUP($A4,OFFSET([1]characters!$A$1,0,0,COUNTA([1]characters!$A:$A),MATCH(H$1,[1]characters!$1:$1,0)-MATCH($A$1,[1]characters!$1:$1,0)+1),MATCH(H$1,[1]characters!$1:$1,0)-MATCH($A$1,[1]characters!$1:$1,0)+1,FALSE)</f>
        <v>DropWizS</v>
      </c>
      <c r="I4" s="56" t="str">
        <f ca="1">VLOOKUP($A4,OFFSET([1]characters!$A$1,0,0,COUNTA([1]characters!$A:$A),MATCH(I$1,[1]characters!$1:$1,0)-MATCH($A$1,[1]characters!$1:$1,0)+1),MATCH(I$1,[1]characters!$1:$1,0)-MATCH($A$1,[1]characters!$1:$1,0)+1,FALSE)</f>
        <v>blue</v>
      </c>
      <c r="J4" s="56" t="str">
        <f ca="1">VLOOKUP($A4,OFFSET([1]characters!$A$1,0,0,COUNTA([1]characters!$A:$A),MATCH(J$1,[1]characters!$1:$1,0)-MATCH($A$1,[1]characters!$1:$1,0)+1),MATCH(J$1,[1]characters!$1:$1,0)-MATCH($A$1,[1]characters!$1:$1,0)+1,FALSE)</f>
        <v>dragon</v>
      </c>
      <c r="K4" s="5" t="str">
        <f ca="1">VLOOKUP(J4,[1]character_tribe_i18n!$A:$H,3,FALSE)</f>
        <v>ドラゴン</v>
      </c>
      <c r="L4" s="11" t="e">
        <f>VLOOKUP(#REF!,[1]character_tribe_i18n!$A:$H,4,FALSE)</f>
        <v>#REF!</v>
      </c>
      <c r="M4" s="11" t="e">
        <f>VLOOKUP(#REF!,[1]character_tribe_i18n!$A:$H,5,FALSE)</f>
        <v>#REF!</v>
      </c>
      <c r="N4" s="11" t="e">
        <f>VLOOKUP(#REF!,[1]character_tribe_i18n!$A:$H,6,FALSE)</f>
        <v>#REF!</v>
      </c>
      <c r="O4" s="11" t="e">
        <f>VLOOKUP(#REF!,[1]character_tribe_i18n!$A:$H,7,FALSE)</f>
        <v>#REF!</v>
      </c>
      <c r="P4" s="180" t="s">
        <v>296</v>
      </c>
      <c r="Q4" s="108">
        <v>1064</v>
      </c>
      <c r="R4" s="190" t="str">
        <f ca="1">IF(Q4="NULL","",VLOOKUP($Q4,OFFSET([1]characters!$A$1,0,0,COUNTA([1]characters!$A:$A),MATCH(R$1,[1]characters!$1:$1,0)-MATCH($A$1,[1]characters!$1:$1,0)+1),MATCH(R$1,[1]characters!$1:$1,0)-MATCH($A$1,[1]characters!$1:$1,0)+1,FALSE))</f>
        <v>混沌の猛飛沫 ティアマト</v>
      </c>
      <c r="S4" s="5">
        <f t="shared" ca="1" si="1"/>
        <v>1063</v>
      </c>
      <c r="T4" s="61" t="str">
        <f ca="1">VLOOKUP($S4,OFFSET([1]characters!$A$1,0,0,COUNTA([1]characters!$A:$A),MATCH(T$1,[1]characters!$1:$1,0)-MATCH($A$1,[1]characters!$1:$1,0)+1),MATCH(T$1,[1]characters!$1:$1,0)-MATCH($A$1,[1]characters!$1:$1,0)+1,FALSE)</f>
        <v>ティアマト</v>
      </c>
      <c r="U4" s="11">
        <f ca="1">IF(Q4="NULL","NULL",VLOOKUP(G4,[2]ビット!$A$2:$B$7,2))</f>
        <v>200000</v>
      </c>
      <c r="V4">
        <v>200000</v>
      </c>
      <c r="W4" s="12" t="str">
        <f t="shared" ca="1" si="0"/>
        <v>TRUE</v>
      </c>
    </row>
    <row r="5" spans="1:23" ht="21" customHeight="1" x14ac:dyDescent="0.15">
      <c r="A5" s="181">
        <v>1065</v>
      </c>
      <c r="B5" s="56" t="str">
        <f ca="1">VLOOKUP($A5,OFFSET([1]characters!$A$1,0,0,COUNTA([1]characters!$A:$A),MATCH(B$1,[1]characters!$1:$1,0)-MATCH($A$1,[1]characters!$1:$1,0)+1),MATCH(B$1,[1]characters!$1:$1,0)-MATCH($A$1,[1]characters!$1:$1,0)+1,FALSE)</f>
        <v>ギルガメッシュ</v>
      </c>
      <c r="C5" s="56" t="str">
        <f ca="1">VLOOKUP($A5,OFFSET([1]characters!$A$1,0,0,COUNTA([1]characters!$A:$A),MATCH(C$1,[1]characters!$1:$1,0)-MATCH($A$1,[1]characters!$1:$1,0)+1),MATCH(C$1,[1]characters!$1:$1,0)-MATCH($A$1,[1]characters!$1:$1,0)+1,FALSE)</f>
        <v>イザナミ_分岐</v>
      </c>
      <c r="D5" s="56" t="str">
        <f ca="1">VLOOKUP($A5,OFFSET([1]characters!$A$1,0,0,COUNTA([1]characters!$A:$A),MATCH(D$1,[1]characters!$1:$1,0)-MATCH($A$1,[1]characters!$1:$1,0)+1),MATCH(D$1,[1]characters!$1:$1,0)-MATCH($A$1,[1]characters!$1:$1,0)+1,FALSE)</f>
        <v>執行者</v>
      </c>
      <c r="E5" s="56" t="str">
        <f ca="1">VLOOKUP($A5,OFFSET([1]characters!$A$1,0,0,COUNTA([1]characters!$A:$A),MATCH(E$1,[1]characters!$1:$1,0)-MATCH($A$1,[1]characters!$1:$1,0)+1),MATCH(E$1,[1]characters!$1:$1,0)-MATCH($A$1,[1]characters!$1:$1,0)+1,FALSE)</f>
        <v>格好いい</v>
      </c>
      <c r="F5" s="56" t="str">
        <f ca="1">VLOOKUP($A5,OFFSET([1]characters!$A$1,0,0,COUNTA([1]characters!$A:$A),MATCH(F$1,[1]characters!$1:$1,0)-MATCH($A$1,[1]characters!$1:$1,0)+1),MATCH(F$1,[1]characters!$1:$1,0)-MATCH($A$1,[1]characters!$1:$1,0)+1,FALSE)</f>
        <v>男性</v>
      </c>
      <c r="G5" s="56">
        <f ca="1">VLOOKUP($A5,OFFSET([1]characters!$A$1,0,0,COUNTA([1]characters!$A:$A),MATCH(G$1,[1]characters!$1:$1,0)-MATCH($A$1,[1]characters!$1:$1,0)+1),MATCH(G$1,[1]characters!$1:$1,0)-MATCH($A$1,[1]characters!$1:$1,0)+1,FALSE)</f>
        <v>5</v>
      </c>
      <c r="H5" s="56" t="str">
        <f ca="1">VLOOKUP($A5,OFFSET([1]characters!$A$1,0,0,COUNTA([1]characters!$A:$A),MATCH(H$1,[1]characters!$1:$1,0)-MATCH($A$1,[1]characters!$1:$1,0)+1),MATCH(H$1,[1]characters!$1:$1,0)-MATCH($A$1,[1]characters!$1:$1,0)+1,FALSE)</f>
        <v>DropWizSS</v>
      </c>
      <c r="I5" s="56" t="str">
        <f ca="1">VLOOKUP($A5,OFFSET([1]characters!$A$1,0,0,COUNTA([1]characters!$A:$A),MATCH(I$1,[1]characters!$1:$1,0)-MATCH($A$1,[1]characters!$1:$1,0)+1),MATCH(I$1,[1]characters!$1:$1,0)-MATCH($A$1,[1]characters!$1:$1,0)+1,FALSE)</f>
        <v>red</v>
      </c>
      <c r="J5" s="56" t="str">
        <f ca="1">VLOOKUP($A5,OFFSET([1]characters!$A$1,0,0,COUNTA([1]characters!$A:$A),MATCH(J$1,[1]characters!$1:$1,0)-MATCH($A$1,[1]characters!$1:$1,0)+1),MATCH(J$1,[1]characters!$1:$1,0)-MATCH($A$1,[1]characters!$1:$1,0)+1,FALSE)</f>
        <v>human</v>
      </c>
      <c r="K5" s="5" t="str">
        <f ca="1">VLOOKUP(J5,[1]character_tribe_i18n!$A:$H,3,FALSE)</f>
        <v>ヒューマン</v>
      </c>
      <c r="L5" s="11" t="e">
        <f>VLOOKUP(#REF!,[1]character_tribe_i18n!$A:$H,4,FALSE)</f>
        <v>#REF!</v>
      </c>
      <c r="M5" s="11" t="e">
        <f>VLOOKUP(#REF!,[1]character_tribe_i18n!$A:$H,5,FALSE)</f>
        <v>#REF!</v>
      </c>
      <c r="N5" s="11" t="e">
        <f>VLOOKUP(#REF!,[1]character_tribe_i18n!$A:$H,6,FALSE)</f>
        <v>#REF!</v>
      </c>
      <c r="O5" s="11" t="e">
        <f>VLOOKUP(#REF!,[1]character_tribe_i18n!$A:$H,7,FALSE)</f>
        <v>#REF!</v>
      </c>
      <c r="P5" s="180" t="s">
        <v>297</v>
      </c>
      <c r="Q5" s="108">
        <v>1066</v>
      </c>
      <c r="R5" s="190" t="str">
        <f ca="1">IF(Q5="NULL","",VLOOKUP($Q5,OFFSET([1]characters!$A$1,0,0,COUNTA([1]characters!$A:$A),MATCH(R$1,[1]characters!$1:$1,0)-MATCH($A$1,[1]characters!$1:$1,0)+1),MATCH(R$1,[1]characters!$1:$1,0)-MATCH($A$1,[1]characters!$1:$1,0)+1,FALSE))</f>
        <v>放縦の序獅子 ギルガメッシュ</v>
      </c>
      <c r="S5" s="5">
        <f t="shared" ca="1" si="1"/>
        <v>1065</v>
      </c>
      <c r="T5" s="61" t="str">
        <f ca="1">VLOOKUP($S5,OFFSET([1]characters!$A$1,0,0,COUNTA([1]characters!$A:$A),MATCH(T$1,[1]characters!$1:$1,0)-MATCH($A$1,[1]characters!$1:$1,0)+1),MATCH(T$1,[1]characters!$1:$1,0)-MATCH($A$1,[1]characters!$1:$1,0)+1,FALSE)</f>
        <v>ギルガメッシュ</v>
      </c>
      <c r="U5" s="11">
        <f ca="1">IF(Q5="NULL","NULL",VLOOKUP(G5,[2]ビット!$A$2:$B$7,2))</f>
        <v>200000</v>
      </c>
      <c r="V5">
        <v>200000</v>
      </c>
      <c r="W5" s="12" t="str">
        <f t="shared" ca="1" si="0"/>
        <v>TRUE</v>
      </c>
    </row>
    <row r="6" spans="1:23" ht="21" customHeight="1" x14ac:dyDescent="0.15">
      <c r="A6" s="181">
        <v>1067</v>
      </c>
      <c r="B6" s="56" t="str">
        <f ca="1">VLOOKUP($A6,OFFSET([1]characters!$A$1,0,0,COUNTA([1]characters!$A:$A),MATCH(B$1,[1]characters!$1:$1,0)-MATCH($A$1,[1]characters!$1:$1,0)+1),MATCH(B$1,[1]characters!$1:$1,0)-MATCH($A$1,[1]characters!$1:$1,0)+1,FALSE)</f>
        <v>ウシュムガル</v>
      </c>
      <c r="C6" s="56" t="str">
        <f ca="1">VLOOKUP($A6,OFFSET([1]characters!$A$1,0,0,COUNTA([1]characters!$A:$A),MATCH(C$1,[1]characters!$1:$1,0)-MATCH($A$1,[1]characters!$1:$1,0)+1),MATCH(C$1,[1]characters!$1:$1,0)-MATCH($A$1,[1]characters!$1:$1,0)+1,FALSE)</f>
        <v>イザナミ_分岐</v>
      </c>
      <c r="D6" s="56" t="str">
        <f ca="1">VLOOKUP($A6,OFFSET([1]characters!$A$1,0,0,COUNTA([1]characters!$A:$A),MATCH(D$1,[1]characters!$1:$1,0)-MATCH($A$1,[1]characters!$1:$1,0)+1),MATCH(D$1,[1]characters!$1:$1,0)-MATCH($A$1,[1]characters!$1:$1,0)+1,FALSE)</f>
        <v>執行者</v>
      </c>
      <c r="E6" s="56" t="str">
        <f ca="1">VLOOKUP($A6,OFFSET([1]characters!$A$1,0,0,COUNTA([1]characters!$A:$A),MATCH(E$1,[1]characters!$1:$1,0)-MATCH($A$1,[1]characters!$1:$1,0)+1),MATCH(E$1,[1]characters!$1:$1,0)-MATCH($A$1,[1]characters!$1:$1,0)+1,FALSE)</f>
        <v>格好いい</v>
      </c>
      <c r="F6" s="56" t="str">
        <f ca="1">VLOOKUP($A6,OFFSET([1]characters!$A$1,0,0,COUNTA([1]characters!$A:$A),MATCH(F$1,[1]characters!$1:$1,0)-MATCH($A$1,[1]characters!$1:$1,0)+1),MATCH(F$1,[1]characters!$1:$1,0)-MATCH($A$1,[1]characters!$1:$1,0)+1,FALSE)</f>
        <v>男性</v>
      </c>
      <c r="G6" s="56">
        <f ca="1">VLOOKUP($A6,OFFSET([1]characters!$A$1,0,0,COUNTA([1]characters!$A:$A),MATCH(G$1,[1]characters!$1:$1,0)-MATCH($A$1,[1]characters!$1:$1,0)+1),MATCH(G$1,[1]characters!$1:$1,0)-MATCH($A$1,[1]characters!$1:$1,0)+1,FALSE)</f>
        <v>4</v>
      </c>
      <c r="H6" s="56" t="str">
        <f ca="1">VLOOKUP($A6,OFFSET([1]characters!$A$1,0,0,COUNTA([1]characters!$A:$A),MATCH(H$1,[1]characters!$1:$1,0)-MATCH($A$1,[1]characters!$1:$1,0)+1),MATCH(H$1,[1]characters!$1:$1,0)-MATCH($A$1,[1]characters!$1:$1,0)+1,FALSE)</f>
        <v>PremiumS</v>
      </c>
      <c r="I6" s="56" t="str">
        <f ca="1">VLOOKUP($A6,OFFSET([1]characters!$A$1,0,0,COUNTA([1]characters!$A:$A),MATCH(I$1,[1]characters!$1:$1,0)-MATCH($A$1,[1]characters!$1:$1,0)+1),MATCH(I$1,[1]characters!$1:$1,0)-MATCH($A$1,[1]characters!$1:$1,0)+1,FALSE)</f>
        <v>red</v>
      </c>
      <c r="J6" s="56" t="str">
        <f ca="1">VLOOKUP($A6,OFFSET([1]characters!$A$1,0,0,COUNTA([1]characters!$A:$A),MATCH(J$1,[1]characters!$1:$1,0)-MATCH($A$1,[1]characters!$1:$1,0)+1),MATCH(J$1,[1]characters!$1:$1,0)-MATCH($A$1,[1]characters!$1:$1,0)+1,FALSE)</f>
        <v>animal</v>
      </c>
      <c r="K6" s="5" t="str">
        <f ca="1">VLOOKUP(J6,[1]character_tribe_i18n!$A:$H,3,FALSE)</f>
        <v>アニマル</v>
      </c>
      <c r="L6" s="11" t="e">
        <f>VLOOKUP(#REF!,[1]character_tribe_i18n!$A:$H,4,FALSE)</f>
        <v>#REF!</v>
      </c>
      <c r="M6" s="11" t="e">
        <f>VLOOKUP(#REF!,[1]character_tribe_i18n!$A:$H,5,FALSE)</f>
        <v>#REF!</v>
      </c>
      <c r="N6" s="11" t="e">
        <f>VLOOKUP(#REF!,[1]character_tribe_i18n!$A:$H,6,FALSE)</f>
        <v>#REF!</v>
      </c>
      <c r="O6" s="11" t="e">
        <f>VLOOKUP(#REF!,[1]character_tribe_i18n!$A:$H,7,FALSE)</f>
        <v>#REF!</v>
      </c>
      <c r="P6" s="180" t="s">
        <v>296</v>
      </c>
      <c r="Q6" s="108">
        <v>1068</v>
      </c>
      <c r="R6" s="190" t="str">
        <f ca="1">IF(Q6="NULL","",VLOOKUP($Q6,OFFSET([1]characters!$A$1,0,0,COUNTA([1]characters!$A:$A),MATCH(R$1,[1]characters!$1:$1,0)-MATCH($A$1,[1]characters!$1:$1,0)+1),MATCH(R$1,[1]characters!$1:$1,0)-MATCH($A$1,[1]characters!$1:$1,0)+1,FALSE))</f>
        <v>想母の羽龍 ウシュムガル</v>
      </c>
      <c r="S6" s="5">
        <f t="shared" ca="1" si="1"/>
        <v>1067</v>
      </c>
      <c r="T6" s="61" t="str">
        <f ca="1">VLOOKUP($S6,OFFSET([1]characters!$A$1,0,0,COUNTA([1]characters!$A:$A),MATCH(T$1,[1]characters!$1:$1,0)-MATCH($A$1,[1]characters!$1:$1,0)+1),MATCH(T$1,[1]characters!$1:$1,0)-MATCH($A$1,[1]characters!$1:$1,0)+1,FALSE)</f>
        <v>ウシュムガル</v>
      </c>
      <c r="U6" s="11">
        <f ca="1">IF(Q6="NULL","NULL",VLOOKUP(G6,[2]ビット!$A$2:$B$7,2))</f>
        <v>50000</v>
      </c>
      <c r="V6">
        <v>200000</v>
      </c>
      <c r="W6" s="12" t="str">
        <f t="shared" ca="1" si="0"/>
        <v>FALSE</v>
      </c>
    </row>
    <row r="7" spans="1:23" ht="21" customHeight="1" x14ac:dyDescent="0.15">
      <c r="A7" s="181">
        <v>1069</v>
      </c>
      <c r="B7" s="56" t="str">
        <f ca="1">VLOOKUP($A7,OFFSET([1]characters!$A$1,0,0,COUNTA([1]characters!$A:$A),MATCH(B$1,[1]characters!$1:$1,0)-MATCH($A$1,[1]characters!$1:$1,0)+1),MATCH(B$1,[1]characters!$1:$1,0)-MATCH($A$1,[1]characters!$1:$1,0)+1,FALSE)</f>
        <v>イシュタル</v>
      </c>
      <c r="C7" s="56" t="str">
        <f ca="1">VLOOKUP($A7,OFFSET([1]characters!$A$1,0,0,COUNTA([1]characters!$A:$A),MATCH(C$1,[1]characters!$1:$1,0)-MATCH($A$1,[1]characters!$1:$1,0)+1),MATCH(C$1,[1]characters!$1:$1,0)-MATCH($A$1,[1]characters!$1:$1,0)+1,FALSE)</f>
        <v>イザナミ_分岐</v>
      </c>
      <c r="D7" s="56" t="str">
        <f ca="1">VLOOKUP($A7,OFFSET([1]characters!$A$1,0,0,COUNTA([1]characters!$A:$A),MATCH(D$1,[1]characters!$1:$1,0)-MATCH($A$1,[1]characters!$1:$1,0)+1),MATCH(D$1,[1]characters!$1:$1,0)-MATCH($A$1,[1]characters!$1:$1,0)+1,FALSE)</f>
        <v>執行者</v>
      </c>
      <c r="E7" s="56" t="str">
        <f ca="1">VLOOKUP($A7,OFFSET([1]characters!$A$1,0,0,COUNTA([1]characters!$A:$A),MATCH(E$1,[1]characters!$1:$1,0)-MATCH($A$1,[1]characters!$1:$1,0)+1),MATCH(E$1,[1]characters!$1:$1,0)-MATCH($A$1,[1]characters!$1:$1,0)+1,FALSE)</f>
        <v>格好いい</v>
      </c>
      <c r="F7" s="56" t="str">
        <f ca="1">VLOOKUP($A7,OFFSET([1]characters!$A$1,0,0,COUNTA([1]characters!$A:$A),MATCH(F$1,[1]characters!$1:$1,0)-MATCH($A$1,[1]characters!$1:$1,0)+1),MATCH(F$1,[1]characters!$1:$1,0)-MATCH($A$1,[1]characters!$1:$1,0)+1,FALSE)</f>
        <v>男性</v>
      </c>
      <c r="G7" s="56">
        <f ca="1">VLOOKUP($A7,OFFSET([1]characters!$A$1,0,0,COUNTA([1]characters!$A:$A),MATCH(G$1,[1]characters!$1:$1,0)-MATCH($A$1,[1]characters!$1:$1,0)+1),MATCH(G$1,[1]characters!$1:$1,0)-MATCH($A$1,[1]characters!$1:$1,0)+1,FALSE)</f>
        <v>5</v>
      </c>
      <c r="H7" s="56" t="str">
        <f ca="1">VLOOKUP($A7,OFFSET([1]characters!$A$1,0,0,COUNTA([1]characters!$A:$A),MATCH(H$1,[1]characters!$1:$1,0)-MATCH($A$1,[1]characters!$1:$1,0)+1),MATCH(H$1,[1]characters!$1:$1,0)-MATCH($A$1,[1]characters!$1:$1,0)+1,FALSE)</f>
        <v>PremiumSS</v>
      </c>
      <c r="I7" s="56" t="str">
        <f ca="1">VLOOKUP($A7,OFFSET([1]characters!$A$1,0,0,COUNTA([1]characters!$A:$A),MATCH(I$1,[1]characters!$1:$1,0)-MATCH($A$1,[1]characters!$1:$1,0)+1),MATCH(I$1,[1]characters!$1:$1,0)-MATCH($A$1,[1]characters!$1:$1,0)+1,FALSE)</f>
        <v>green</v>
      </c>
      <c r="J7" s="56" t="str">
        <f ca="1">VLOOKUP($A7,OFFSET([1]characters!$A$1,0,0,COUNTA([1]characters!$A:$A),MATCH(J$1,[1]characters!$1:$1,0)-MATCH($A$1,[1]characters!$1:$1,0)+1),MATCH(J$1,[1]characters!$1:$1,0)-MATCH($A$1,[1]characters!$1:$1,0)+1,FALSE)</f>
        <v>none</v>
      </c>
      <c r="K7" s="5" t="str">
        <f ca="1">VLOOKUP(J7,[1]character_tribe_i18n!$A:$H,3,FALSE)</f>
        <v>種族なし</v>
      </c>
      <c r="L7" s="11" t="e">
        <f>VLOOKUP(#REF!,[1]character_tribe_i18n!$A:$H,4,FALSE)</f>
        <v>#REF!</v>
      </c>
      <c r="M7" s="11" t="e">
        <f>VLOOKUP(#REF!,[1]character_tribe_i18n!$A:$H,5,FALSE)</f>
        <v>#REF!</v>
      </c>
      <c r="N7" s="11" t="e">
        <f>VLOOKUP(#REF!,[1]character_tribe_i18n!$A:$H,6,FALSE)</f>
        <v>#REF!</v>
      </c>
      <c r="O7" s="11" t="e">
        <f>VLOOKUP(#REF!,[1]character_tribe_i18n!$A:$H,7,FALSE)</f>
        <v>#REF!</v>
      </c>
      <c r="P7" s="180" t="s">
        <v>296</v>
      </c>
      <c r="Q7" s="108">
        <v>1070</v>
      </c>
      <c r="R7" s="190" t="str">
        <f ca="1">IF(Q7="NULL","",VLOOKUP($Q7,OFFSET([1]characters!$A$1,0,0,COUNTA([1]characters!$A:$A),MATCH(R$1,[1]characters!$1:$1,0)-MATCH($A$1,[1]characters!$1:$1,0)+1),MATCH(R$1,[1]characters!$1:$1,0)-MATCH($A$1,[1]characters!$1:$1,0)+1,FALSE))</f>
        <v>駆脳する造愛 イシュタル</v>
      </c>
      <c r="S7" s="5">
        <f t="shared" ca="1" si="1"/>
        <v>1069</v>
      </c>
      <c r="T7" s="61" t="str">
        <f ca="1">VLOOKUP($S7,OFFSET([1]characters!$A$1,0,0,COUNTA([1]characters!$A:$A),MATCH(T$1,[1]characters!$1:$1,0)-MATCH($A$1,[1]characters!$1:$1,0)+1),MATCH(T$1,[1]characters!$1:$1,0)-MATCH($A$1,[1]characters!$1:$1,0)+1,FALSE)</f>
        <v>イシュタル</v>
      </c>
      <c r="U7" s="11">
        <f ca="1">IF(Q7="NULL","NULL",VLOOKUP(G7,[2]ビット!$A$2:$B$7,2))</f>
        <v>200000</v>
      </c>
      <c r="V7">
        <v>200000</v>
      </c>
      <c r="W7" s="12" t="str">
        <f t="shared" ca="1" si="0"/>
        <v>TRUE</v>
      </c>
    </row>
    <row r="8" spans="1:23" s="184" customFormat="1" ht="21" customHeight="1" x14ac:dyDescent="0.15">
      <c r="A8" s="181">
        <v>1072</v>
      </c>
      <c r="B8" s="56" t="str">
        <f ca="1">VLOOKUP($A8,OFFSET([1]characters!$A$1,0,0,COUNTA([1]characters!$A:$A),MATCH(B$1,[1]characters!$1:$1,0)-MATCH($A$1,[1]characters!$1:$1,0)+1),MATCH(B$1,[1]characters!$1:$1,0)-MATCH($A$1,[1]characters!$1:$1,0)+1,FALSE)</f>
        <v>エンキドゥ</v>
      </c>
      <c r="C8" s="56" t="str">
        <f ca="1">VLOOKUP($A8,OFFSET([1]characters!$A$1,0,0,COUNTA([1]characters!$A:$A),MATCH(C$1,[1]characters!$1:$1,0)-MATCH($A$1,[1]characters!$1:$1,0)+1),MATCH(C$1,[1]characters!$1:$1,0)-MATCH($A$1,[1]characters!$1:$1,0)+1,FALSE)</f>
        <v>イザナミ_分岐</v>
      </c>
      <c r="D8" s="56" t="str">
        <f ca="1">VLOOKUP($A8,OFFSET([1]characters!$A$1,0,0,COUNTA([1]characters!$A:$A),MATCH(D$1,[1]characters!$1:$1,0)-MATCH($A$1,[1]characters!$1:$1,0)+1),MATCH(D$1,[1]characters!$1:$1,0)-MATCH($A$1,[1]characters!$1:$1,0)+1,FALSE)</f>
        <v>執行者</v>
      </c>
      <c r="E8" s="56" t="str">
        <f ca="1">VLOOKUP($A8,OFFSET([1]characters!$A$1,0,0,COUNTA([1]characters!$A:$A),MATCH(E$1,[1]characters!$1:$1,0)-MATCH($A$1,[1]characters!$1:$1,0)+1),MATCH(E$1,[1]characters!$1:$1,0)-MATCH($A$1,[1]characters!$1:$1,0)+1,FALSE)</f>
        <v>格好いい</v>
      </c>
      <c r="F8" s="56" t="str">
        <f ca="1">VLOOKUP($A8,OFFSET([1]characters!$A$1,0,0,COUNTA([1]characters!$A:$A),MATCH(F$1,[1]characters!$1:$1,0)-MATCH($A$1,[1]characters!$1:$1,0)+1),MATCH(F$1,[1]characters!$1:$1,0)-MATCH($A$1,[1]characters!$1:$1,0)+1,FALSE)</f>
        <v>男性</v>
      </c>
      <c r="G8" s="56">
        <f ca="1">VLOOKUP($A8,OFFSET([1]characters!$A$1,0,0,COUNTA([1]characters!$A:$A),MATCH(G$1,[1]characters!$1:$1,0)-MATCH($A$1,[1]characters!$1:$1,0)+1),MATCH(G$1,[1]characters!$1:$1,0)-MATCH($A$1,[1]characters!$1:$1,0)+1,FALSE)</f>
        <v>5</v>
      </c>
      <c r="H8" s="56" t="str">
        <f ca="1">VLOOKUP($A8,OFFSET([1]characters!$A$1,0,0,COUNTA([1]characters!$A:$A),MATCH(H$1,[1]characters!$1:$1,0)-MATCH($A$1,[1]characters!$1:$1,0)+1),MATCH(H$1,[1]characters!$1:$1,0)-MATCH($A$1,[1]characters!$1:$1,0)+1,FALSE)</f>
        <v>PremiumSSw</v>
      </c>
      <c r="I8" s="56" t="str">
        <f ca="1">VLOOKUP($A8,OFFSET([1]characters!$A$1,0,0,COUNTA([1]characters!$A:$A),MATCH(I$1,[1]characters!$1:$1,0)-MATCH($A$1,[1]characters!$1:$1,0)+1),MATCH(I$1,[1]characters!$1:$1,0)-MATCH($A$1,[1]characters!$1:$1,0)+1,FALSE)</f>
        <v>blue</v>
      </c>
      <c r="J8" s="182" t="str">
        <f ca="1">VLOOKUP($A8,OFFSET([1]characters!$A$1,0,0,COUNTA([1]characters!$A:$A),MATCH(J$1,[1]characters!$1:$1,0)-MATCH($A$1,[1]characters!$1:$1,0)+1),MATCH(J$1,[1]characters!$1:$1,0)-MATCH($A$1,[1]characters!$1:$1,0)+1,FALSE)</f>
        <v>animal</v>
      </c>
      <c r="K8" s="183" t="str">
        <f ca="1">VLOOKUP(J8,[1]character_tribe_i18n!$A:$H,3,FALSE)</f>
        <v>アニマル</v>
      </c>
      <c r="L8" s="180" t="e">
        <f>VLOOKUP(#REF!,[1]character_tribe_i18n!$A:$H,4,FALSE)</f>
        <v>#REF!</v>
      </c>
      <c r="M8" s="180" t="e">
        <f>VLOOKUP(#REF!,[1]character_tribe_i18n!$A:$H,5,FALSE)</f>
        <v>#REF!</v>
      </c>
      <c r="N8" s="180" t="e">
        <f>VLOOKUP(#REF!,[1]character_tribe_i18n!$A:$H,6,FALSE)</f>
        <v>#REF!</v>
      </c>
      <c r="O8" s="180" t="e">
        <f>VLOOKUP(#REF!,[1]character_tribe_i18n!$A:$H,7,FALSE)</f>
        <v>#REF!</v>
      </c>
      <c r="P8" s="180" t="s">
        <v>296</v>
      </c>
      <c r="Q8" s="111">
        <v>1073</v>
      </c>
      <c r="R8" s="190" t="str">
        <f ca="1">IF(Q8="NULL","",VLOOKUP($Q8,OFFSET([1]characters!$A$1,0,0,COUNTA([1]characters!$A:$A),MATCH(R$1,[1]characters!$1:$1,0)-MATCH($A$1,[1]characters!$1:$1,0)+1),MATCH(R$1,[1]characters!$1:$1,0)-MATCH($A$1,[1]characters!$1:$1,0)+1,FALSE))</f>
        <v>静穏なる獣勇 エンキドゥ</v>
      </c>
      <c r="S8" s="5">
        <f t="shared" ca="1" si="1"/>
        <v>1072</v>
      </c>
      <c r="T8" s="61" t="str">
        <f ca="1">VLOOKUP($S8,OFFSET([1]characters!$A$1,0,0,COUNTA([1]characters!$A:$A),MATCH(T$1,[1]characters!$1:$1,0)-MATCH($A$1,[1]characters!$1:$1,0)+1),MATCH(T$1,[1]characters!$1:$1,0)-MATCH($A$1,[1]characters!$1:$1,0)+1,FALSE)</f>
        <v>エンキドゥ</v>
      </c>
      <c r="U8" s="11">
        <f ca="1">IF(Q8="NULL","NULL",VLOOKUP(G8,[2]ビット!$A$2:$B$7,2))</f>
        <v>200000</v>
      </c>
      <c r="V8" s="181">
        <v>50000</v>
      </c>
      <c r="W8" s="184" t="str">
        <f t="shared" ca="1" si="0"/>
        <v>FALSE</v>
      </c>
    </row>
    <row r="9" spans="1:23" ht="21" customHeight="1" x14ac:dyDescent="0.15">
      <c r="A9" s="181">
        <v>1074</v>
      </c>
      <c r="B9" s="56" t="str">
        <f ca="1">VLOOKUP($A9,OFFSET([1]characters!$A$1,0,0,COUNTA([1]characters!$A:$A),MATCH(B$1,[1]characters!$1:$1,0)-MATCH($A$1,[1]characters!$1:$1,0)+1),MATCH(B$1,[1]characters!$1:$1,0)-MATCH($A$1,[1]characters!$1:$1,0)+1,FALSE)</f>
        <v>マルドゥク</v>
      </c>
      <c r="C9" s="56" t="str">
        <f ca="1">VLOOKUP($A9,OFFSET([1]characters!$A$1,0,0,COUNTA([1]characters!$A:$A),MATCH(C$1,[1]characters!$1:$1,0)-MATCH($A$1,[1]characters!$1:$1,0)+1),MATCH(C$1,[1]characters!$1:$1,0)-MATCH($A$1,[1]characters!$1:$1,0)+1,FALSE)</f>
        <v>イザナミ_分岐</v>
      </c>
      <c r="D9" s="56" t="str">
        <f ca="1">VLOOKUP($A9,OFFSET([1]characters!$A$1,0,0,COUNTA([1]characters!$A:$A),MATCH(D$1,[1]characters!$1:$1,0)-MATCH($A$1,[1]characters!$1:$1,0)+1),MATCH(D$1,[1]characters!$1:$1,0)-MATCH($A$1,[1]characters!$1:$1,0)+1,FALSE)</f>
        <v>執行者</v>
      </c>
      <c r="E9" s="56" t="str">
        <f ca="1">VLOOKUP($A9,OFFSET([1]characters!$A$1,0,0,COUNTA([1]characters!$A:$A),MATCH(E$1,[1]characters!$1:$1,0)-MATCH($A$1,[1]characters!$1:$1,0)+1),MATCH(E$1,[1]characters!$1:$1,0)-MATCH($A$1,[1]characters!$1:$1,0)+1,FALSE)</f>
        <v>格好いい</v>
      </c>
      <c r="F9" s="56" t="str">
        <f ca="1">VLOOKUP($A9,OFFSET([1]characters!$A$1,0,0,COUNTA([1]characters!$A:$A),MATCH(F$1,[1]characters!$1:$1,0)-MATCH($A$1,[1]characters!$1:$1,0)+1),MATCH(F$1,[1]characters!$1:$1,0)-MATCH($A$1,[1]characters!$1:$1,0)+1,FALSE)</f>
        <v>男性</v>
      </c>
      <c r="G9" s="56">
        <f ca="1">VLOOKUP($A9,OFFSET([1]characters!$A$1,0,0,COUNTA([1]characters!$A:$A),MATCH(G$1,[1]characters!$1:$1,0)-MATCH($A$1,[1]characters!$1:$1,0)+1),MATCH(G$1,[1]characters!$1:$1,0)-MATCH($A$1,[1]characters!$1:$1,0)+1,FALSE)</f>
        <v>5</v>
      </c>
      <c r="H9" s="56" t="str">
        <f ca="1">VLOOKUP($A9,OFFSET([1]characters!$A$1,0,0,COUNTA([1]characters!$A:$A),MATCH(H$1,[1]characters!$1:$1,0)-MATCH($A$1,[1]characters!$1:$1,0)+1),MATCH(H$1,[1]characters!$1:$1,0)-MATCH($A$1,[1]characters!$1:$1,0)+1,FALSE)</f>
        <v>PremiumSS</v>
      </c>
      <c r="I9" s="56" t="str">
        <f ca="1">VLOOKUP($A9,OFFSET([1]characters!$A$1,0,0,COUNTA([1]characters!$A:$A),MATCH(I$1,[1]characters!$1:$1,0)-MATCH($A$1,[1]characters!$1:$1,0)+1),MATCH(I$1,[1]characters!$1:$1,0)-MATCH($A$1,[1]characters!$1:$1,0)+1,FALSE)</f>
        <v>yellow</v>
      </c>
      <c r="J9" s="56" t="str">
        <f ca="1">VLOOKUP($A9,OFFSET([1]characters!$A$1,0,0,COUNTA([1]characters!$A:$A),MATCH(J$1,[1]characters!$1:$1,0)-MATCH($A$1,[1]characters!$1:$1,0)+1),MATCH(J$1,[1]characters!$1:$1,0)-MATCH($A$1,[1]characters!$1:$1,0)+1,FALSE)</f>
        <v>none</v>
      </c>
      <c r="K9" s="5" t="str">
        <f ca="1">VLOOKUP(J9,[1]character_tribe_i18n!$A:$H,3,FALSE)</f>
        <v>種族なし</v>
      </c>
      <c r="L9" s="11" t="e">
        <f>VLOOKUP(#REF!,[1]character_tribe_i18n!$A:$H,4,FALSE)</f>
        <v>#REF!</v>
      </c>
      <c r="M9" s="11" t="e">
        <f>VLOOKUP(#REF!,[1]character_tribe_i18n!$A:$H,5,FALSE)</f>
        <v>#REF!</v>
      </c>
      <c r="N9" s="11" t="e">
        <f>VLOOKUP(#REF!,[1]character_tribe_i18n!$A:$H,6,FALSE)</f>
        <v>#REF!</v>
      </c>
      <c r="O9" s="11" t="e">
        <f>VLOOKUP(#REF!,[1]character_tribe_i18n!$A:$H,7,FALSE)</f>
        <v>#REF!</v>
      </c>
      <c r="P9" s="180" t="s">
        <v>296</v>
      </c>
      <c r="Q9" s="108">
        <v>1075</v>
      </c>
      <c r="R9" s="190" t="str">
        <f ca="1">IF(Q9="NULL","",VLOOKUP($Q9,OFFSET([1]characters!$A$1,0,0,COUNTA([1]characters!$A:$A),MATCH(R$1,[1]characters!$1:$1,0)-MATCH($A$1,[1]characters!$1:$1,0)+1),MATCH(R$1,[1]characters!$1:$1,0)-MATCH($A$1,[1]characters!$1:$1,0)+1,FALSE))</f>
        <v>虚塔の神王 マルドゥク</v>
      </c>
      <c r="S9" s="5">
        <f t="shared" ca="1" si="1"/>
        <v>1074</v>
      </c>
      <c r="T9" s="61" t="str">
        <f ca="1">VLOOKUP($S9,OFFSET([1]characters!$A$1,0,0,COUNTA([1]characters!$A:$A),MATCH(T$1,[1]characters!$1:$1,0)-MATCH($A$1,[1]characters!$1:$1,0)+1),MATCH(T$1,[1]characters!$1:$1,0)-MATCH($A$1,[1]characters!$1:$1,0)+1,FALSE)</f>
        <v>マルドゥク</v>
      </c>
      <c r="U9" s="11">
        <f ca="1">IF(Q9="NULL","NULL",VLOOKUP(G9,[2]ビット!$A$2:$B$7,2))</f>
        <v>200000</v>
      </c>
      <c r="V9">
        <v>200000</v>
      </c>
      <c r="W9" s="12" t="str">
        <f t="shared" ca="1" si="0"/>
        <v>TRUE</v>
      </c>
    </row>
  </sheetData>
  <autoFilter ref="A1:U9"/>
  <phoneticPr fontId="22"/>
  <conditionalFormatting sqref="W1:W1048576">
    <cfRule type="cellIs" dxfId="25"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M33"/>
  <sheetViews>
    <sheetView showGridLines="0" workbookViewId="0">
      <pane ySplit="1" topLeftCell="A2" activePane="bottomLeft" state="frozen"/>
      <selection pane="bottomLeft" activeCell="F2" sqref="E2:F2"/>
    </sheetView>
  </sheetViews>
  <sheetFormatPr baseColWidth="12" defaultColWidth="13" defaultRowHeight="15" x14ac:dyDescent="0.15"/>
  <cols>
    <col min="1" max="1" width="11.5" style="64"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7.1640625" style="2" customWidth="1"/>
    <col min="8" max="8" width="13.6640625" style="2" customWidth="1"/>
    <col min="9" max="9" width="21.33203125" style="2" bestFit="1" customWidth="1"/>
    <col min="10" max="10" width="13.5" style="2" bestFit="1" customWidth="1"/>
    <col min="11" max="11" width="17" style="1" bestFit="1" customWidth="1"/>
    <col min="12" max="16384" width="13" style="2"/>
  </cols>
  <sheetData>
    <row r="1" spans="1:13" ht="21" customHeight="1" x14ac:dyDescent="0.15">
      <c r="A1" s="64" t="s">
        <v>99</v>
      </c>
      <c r="B1" s="41" t="s">
        <v>38</v>
      </c>
      <c r="C1" s="185" t="s">
        <v>282</v>
      </c>
      <c r="D1" s="20" t="s">
        <v>40</v>
      </c>
      <c r="E1" s="20" t="s">
        <v>42</v>
      </c>
      <c r="F1" s="20" t="s">
        <v>43</v>
      </c>
      <c r="G1" s="187" t="s">
        <v>298</v>
      </c>
      <c r="H1" s="20" t="s">
        <v>299</v>
      </c>
      <c r="I1" s="42" t="s">
        <v>36</v>
      </c>
      <c r="J1" s="20" t="s">
        <v>41</v>
      </c>
      <c r="K1" s="19" t="s">
        <v>37</v>
      </c>
      <c r="L1" s="189" t="s">
        <v>127</v>
      </c>
      <c r="M1" s="187" t="s">
        <v>300</v>
      </c>
    </row>
    <row r="2" spans="1:13" ht="21" customHeight="1" x14ac:dyDescent="0.15">
      <c r="A2" s="64" t="str">
        <f>B2&amp;"_"&amp;I2</f>
        <v>1059_1059</v>
      </c>
      <c r="B2" s="181">
        <v>1059</v>
      </c>
      <c r="C2" s="186">
        <f>B2</f>
        <v>1059</v>
      </c>
      <c r="D2" s="56" t="str">
        <f ca="1">VLOOKUP($C2,OFFSET([1]characters!$A$1,0,0,COUNTA([1]characters!$A:$A),MATCH(D$1,[1]characters!$1:$1,0)-MATCH($C$1,[1]characters!$1:$1,0)+1),MATCH(D$1,[1]characters!$1:$1,0)-MATCH($C$1,[1]characters!$1:$1,0)+1,FALSE)</f>
        <v>パズズ</v>
      </c>
      <c r="E2" s="56">
        <f ca="1">VLOOKUP($C2,OFFSET([1]characters!$A$1,0,0,COUNTA([1]characters!$A:$A),MATCH(E$1,[1]characters!$1:$1,0)-MATCH($C$1,[1]characters!$1:$1,0)+1),MATCH(E$1,[1]characters!$1:$1,0)-MATCH($C$1,[1]characters!$1:$1,0)+1,FALSE)</f>
        <v>4</v>
      </c>
      <c r="F2" s="56" t="str">
        <f ca="1">VLOOKUP($C2,OFFSET([1]characters!$A$1,0,0,COUNTA([1]characters!$A:$A),MATCH(F$1,[1]characters!$1:$1,0)-MATCH($C$1,[1]characters!$1:$1,0)+1),MATCH(F$1,[1]characters!$1:$1,0)-MATCH($C$1,[1]characters!$1:$1,0)+1,FALSE)</f>
        <v>Drop2N</v>
      </c>
      <c r="G2" s="188">
        <v>1060</v>
      </c>
      <c r="H2" s="56" t="str">
        <f ca="1">VLOOKUP($G2,OFFSET([1]characters!$A$1,0,0,COUNTA([1]characters!$A:$A),MATCH(H$1,[1]characters!$1:$1,0)-MATCH($C$1,[1]characters!$1:$1,0)+1),MATCH(H$1,[1]characters!$1:$1,0)-MATCH($C$1,[1]characters!$1:$1,0)+1,FALSE)</f>
        <v>熱扇風の幼魔 パズズ</v>
      </c>
      <c r="I2" s="43">
        <v>1059</v>
      </c>
      <c r="J2" s="56" t="str">
        <f ca="1">VLOOKUP($I2,OFFSET([1]characters!$A$1,0,0,COUNTA([1]characters!$A:$A),MATCH(J$1,[1]characters!$1:$1,0)-MATCH($C$1,[1]characters!$1:$1,0)+1),MATCH(J$1,[1]characters!$1:$1,0)-MATCH($C$1,[1]characters!$1:$1,0)+1,FALSE)</f>
        <v>パズズ</v>
      </c>
      <c r="K2" s="18">
        <v>1</v>
      </c>
      <c r="L2" s="113">
        <v>10</v>
      </c>
      <c r="M2" s="113">
        <v>10</v>
      </c>
    </row>
    <row r="3" spans="1:13" ht="21" customHeight="1" x14ac:dyDescent="0.15">
      <c r="A3" s="64" t="str">
        <f>B3&amp;"_"&amp;I3</f>
        <v>1061_113</v>
      </c>
      <c r="B3" s="43">
        <v>1061</v>
      </c>
      <c r="C3" s="186">
        <f>B3</f>
        <v>1061</v>
      </c>
      <c r="D3" s="56" t="str">
        <f ca="1">VLOOKUP($C3,OFFSET([1]characters!$A$1,0,0,COUNTA([1]characters!$A:$A),MATCH(D$1,[1]characters!$1:$1,0)-MATCH($C$1,[1]characters!$1:$1,0)+1),MATCH(D$1,[1]characters!$1:$1,0)-MATCH($C$1,[1]characters!$1:$1,0)+1,FALSE)</f>
        <v>フンババ</v>
      </c>
      <c r="E3" s="56">
        <f ca="1">VLOOKUP($C3,OFFSET([1]characters!$A$1,0,0,COUNTA([1]characters!$A:$A),MATCH(E$1,[1]characters!$1:$1,0)-MATCH($C$1,[1]characters!$1:$1,0)+1),MATCH(E$1,[1]characters!$1:$1,0)-MATCH($C$1,[1]characters!$1:$1,0)+1,FALSE)</f>
        <v>4</v>
      </c>
      <c r="F3" s="56" t="str">
        <f ca="1">VLOOKUP($C3,OFFSET([1]characters!$A$1,0,0,COUNTA([1]characters!$A:$A),MATCH(F$1,[1]characters!$1:$1,0)-MATCH($C$1,[1]characters!$1:$1,0)+1),MATCH(F$1,[1]characters!$1:$1,0)-MATCH($C$1,[1]characters!$1:$1,0)+1,FALSE)</f>
        <v>Drop2N</v>
      </c>
      <c r="G3" s="188">
        <v>1062</v>
      </c>
      <c r="H3" s="56" t="str">
        <f ca="1">VLOOKUP($G3,OFFSET([1]characters!$A$1,0,0,COUNTA([1]characters!$A:$A),MATCH(H$1,[1]characters!$1:$1,0)-MATCH($C$1,[1]characters!$1:$1,0)+1),MATCH(H$1,[1]characters!$1:$1,0)-MATCH($C$1,[1]characters!$1:$1,0)+1,FALSE)</f>
        <v>停止不能の蛮躯 フンババ</v>
      </c>
      <c r="I3" s="43">
        <v>113</v>
      </c>
      <c r="J3" s="56" t="str">
        <f ca="1">VLOOKUP($I3,OFFSET([1]characters!$A$1,0,0,COUNTA([1]characters!$A:$A),MATCH(J$1,[1]characters!$1:$1,0)-MATCH($C$1,[1]characters!$1:$1,0)+1),MATCH(J$1,[1]characters!$1:$1,0)-MATCH($C$1,[1]characters!$1:$1,0)+1,FALSE)</f>
        <v>イエローチェシャ</v>
      </c>
      <c r="K3" s="18">
        <v>1</v>
      </c>
      <c r="L3" s="113">
        <v>1</v>
      </c>
      <c r="M3" s="113">
        <v>1</v>
      </c>
    </row>
    <row r="4" spans="1:13" x14ac:dyDescent="0.15">
      <c r="A4" s="64" t="str">
        <f t="shared" ref="A4:A6" si="0">B4&amp;"_"&amp;I4</f>
        <v>1061_114</v>
      </c>
      <c r="B4" s="43">
        <v>1061</v>
      </c>
      <c r="C4" s="186">
        <f t="shared" ref="C4:C28" si="1">B4</f>
        <v>1061</v>
      </c>
      <c r="D4" s="56" t="str">
        <f ca="1">VLOOKUP($C4,OFFSET([1]characters!$A$1,0,0,COUNTA([1]characters!$A:$A),MATCH(D$1,[1]characters!$1:$1,0)-MATCH($C$1,[1]characters!$1:$1,0)+1),MATCH(D$1,[1]characters!$1:$1,0)-MATCH($C$1,[1]characters!$1:$1,0)+1,FALSE)</f>
        <v>フンババ</v>
      </c>
      <c r="E4" s="56">
        <f ca="1">VLOOKUP($C4,OFFSET([1]characters!$A$1,0,0,COUNTA([1]characters!$A:$A),MATCH(E$1,[1]characters!$1:$1,0)-MATCH($C$1,[1]characters!$1:$1,0)+1),MATCH(E$1,[1]characters!$1:$1,0)-MATCH($C$1,[1]characters!$1:$1,0)+1,FALSE)</f>
        <v>4</v>
      </c>
      <c r="F4" s="56" t="str">
        <f ca="1">VLOOKUP($C4,OFFSET([1]characters!$A$1,0,0,COUNTA([1]characters!$A:$A),MATCH(F$1,[1]characters!$1:$1,0)-MATCH($C$1,[1]characters!$1:$1,0)+1),MATCH(F$1,[1]characters!$1:$1,0)-MATCH($C$1,[1]characters!$1:$1,0)+1,FALSE)</f>
        <v>Drop2N</v>
      </c>
      <c r="G4" s="188">
        <v>1062</v>
      </c>
      <c r="H4" s="56" t="str">
        <f ca="1">VLOOKUP($G4,OFFSET([1]characters!$A$1,0,0,COUNTA([1]characters!$A:$A),MATCH(H$1,[1]characters!$1:$1,0)-MATCH($C$1,[1]characters!$1:$1,0)+1),MATCH(H$1,[1]characters!$1:$1,0)-MATCH($C$1,[1]characters!$1:$1,0)+1,FALSE)</f>
        <v>停止不能の蛮躯 フンババ</v>
      </c>
      <c r="I4" s="43">
        <v>114</v>
      </c>
      <c r="J4" s="56" t="str">
        <f ca="1">VLOOKUP($I4,OFFSET([1]characters!$A$1,0,0,COUNTA([1]characters!$A:$A),MATCH(J$1,[1]characters!$1:$1,0)-MATCH($C$1,[1]characters!$1:$1,0)+1),MATCH(J$1,[1]characters!$1:$1,0)-MATCH($C$1,[1]characters!$1:$1,0)+1,FALSE)</f>
        <v>イエローラビット</v>
      </c>
      <c r="K4" s="18">
        <v>2</v>
      </c>
      <c r="L4" s="113">
        <v>1</v>
      </c>
      <c r="M4" s="113">
        <v>1</v>
      </c>
    </row>
    <row r="5" spans="1:13" x14ac:dyDescent="0.15">
      <c r="A5" s="64" t="str">
        <f t="shared" si="0"/>
        <v>1061_115</v>
      </c>
      <c r="B5" s="43">
        <v>1061</v>
      </c>
      <c r="C5" s="186">
        <f t="shared" si="1"/>
        <v>1061</v>
      </c>
      <c r="D5" s="56" t="str">
        <f ca="1">VLOOKUP($C5,OFFSET([1]characters!$A$1,0,0,COUNTA([1]characters!$A:$A),MATCH(D$1,[1]characters!$1:$1,0)-MATCH($C$1,[1]characters!$1:$1,0)+1),MATCH(D$1,[1]characters!$1:$1,0)-MATCH($C$1,[1]characters!$1:$1,0)+1,FALSE)</f>
        <v>フンババ</v>
      </c>
      <c r="E5" s="56">
        <f ca="1">VLOOKUP($C5,OFFSET([1]characters!$A$1,0,0,COUNTA([1]characters!$A:$A),MATCH(E$1,[1]characters!$1:$1,0)-MATCH($C$1,[1]characters!$1:$1,0)+1),MATCH(E$1,[1]characters!$1:$1,0)-MATCH($C$1,[1]characters!$1:$1,0)+1,FALSE)</f>
        <v>4</v>
      </c>
      <c r="F5" s="56" t="str">
        <f ca="1">VLOOKUP($C5,OFFSET([1]characters!$A$1,0,0,COUNTA([1]characters!$A:$A),MATCH(F$1,[1]characters!$1:$1,0)-MATCH($C$1,[1]characters!$1:$1,0)+1),MATCH(F$1,[1]characters!$1:$1,0)-MATCH($C$1,[1]characters!$1:$1,0)+1,FALSE)</f>
        <v>Drop2N</v>
      </c>
      <c r="G5" s="188">
        <v>1062</v>
      </c>
      <c r="H5" s="56" t="str">
        <f ca="1">VLOOKUP($G5,OFFSET([1]characters!$A$1,0,0,COUNTA([1]characters!$A:$A),MATCH(H$1,[1]characters!$1:$1,0)-MATCH($C$1,[1]characters!$1:$1,0)+1),MATCH(H$1,[1]characters!$1:$1,0)-MATCH($C$1,[1]characters!$1:$1,0)+1,FALSE)</f>
        <v>停止不能の蛮躯 フンババ</v>
      </c>
      <c r="I5" s="43">
        <v>115</v>
      </c>
      <c r="J5" s="56" t="str">
        <f ca="1">VLOOKUP($I5,OFFSET([1]characters!$A$1,0,0,COUNTA([1]characters!$A:$A),MATCH(J$1,[1]characters!$1:$1,0)-MATCH($C$1,[1]characters!$1:$1,0)+1),MATCH(J$1,[1]characters!$1:$1,0)-MATCH($C$1,[1]characters!$1:$1,0)+1,FALSE)</f>
        <v>イエローキャタップ</v>
      </c>
      <c r="K5" s="18">
        <v>1</v>
      </c>
      <c r="L5" s="113">
        <v>1</v>
      </c>
      <c r="M5" s="113">
        <v>1</v>
      </c>
    </row>
    <row r="6" spans="1:13" x14ac:dyDescent="0.15">
      <c r="A6" s="64" t="str">
        <f t="shared" si="0"/>
        <v>1061_116</v>
      </c>
      <c r="B6" s="43">
        <v>1061</v>
      </c>
      <c r="C6" s="186">
        <f t="shared" si="1"/>
        <v>1061</v>
      </c>
      <c r="D6" s="56" t="str">
        <f ca="1">VLOOKUP($C6,OFFSET([1]characters!$A$1,0,0,COUNTA([1]characters!$A:$A),MATCH(D$1,[1]characters!$1:$1,0)-MATCH($C$1,[1]characters!$1:$1,0)+1),MATCH(D$1,[1]characters!$1:$1,0)-MATCH($C$1,[1]characters!$1:$1,0)+1,FALSE)</f>
        <v>フンババ</v>
      </c>
      <c r="E6" s="56">
        <f ca="1">VLOOKUP($C6,OFFSET([1]characters!$A$1,0,0,COUNTA([1]characters!$A:$A),MATCH(E$1,[1]characters!$1:$1,0)-MATCH($C$1,[1]characters!$1:$1,0)+1),MATCH(E$1,[1]characters!$1:$1,0)-MATCH($C$1,[1]characters!$1:$1,0)+1,FALSE)</f>
        <v>4</v>
      </c>
      <c r="F6" s="56" t="str">
        <f ca="1">VLOOKUP($C6,OFFSET([1]characters!$A$1,0,0,COUNTA([1]characters!$A:$A),MATCH(F$1,[1]characters!$1:$1,0)-MATCH($C$1,[1]characters!$1:$1,0)+1),MATCH(F$1,[1]characters!$1:$1,0)-MATCH($C$1,[1]characters!$1:$1,0)+1,FALSE)</f>
        <v>Drop2N</v>
      </c>
      <c r="G6" s="188">
        <v>1062</v>
      </c>
      <c r="H6" s="56" t="str">
        <f ca="1">VLOOKUP($G6,OFFSET([1]characters!$A$1,0,0,COUNTA([1]characters!$A:$A),MATCH(H$1,[1]characters!$1:$1,0)-MATCH($C$1,[1]characters!$1:$1,0)+1),MATCH(H$1,[1]characters!$1:$1,0)-MATCH($C$1,[1]characters!$1:$1,0)+1,FALSE)</f>
        <v>停止不能の蛮躯 フンババ</v>
      </c>
      <c r="I6" s="43">
        <v>116</v>
      </c>
      <c r="J6" s="56" t="str">
        <f ca="1">VLOOKUP($I6,OFFSET([1]characters!$A$1,0,0,COUNTA([1]characters!$A:$A),MATCH(J$1,[1]characters!$1:$1,0)-MATCH($C$1,[1]characters!$1:$1,0)+1),MATCH(J$1,[1]characters!$1:$1,0)-MATCH($C$1,[1]characters!$1:$1,0)+1,FALSE)</f>
        <v>雷のマッドハッター</v>
      </c>
      <c r="K6" s="18">
        <v>1</v>
      </c>
      <c r="L6" s="113">
        <v>1</v>
      </c>
      <c r="M6" s="113">
        <v>1</v>
      </c>
    </row>
    <row r="7" spans="1:13" ht="21" customHeight="1" x14ac:dyDescent="0.15">
      <c r="A7" s="64" t="str">
        <f>B7&amp;"_"&amp;I7</f>
        <v>1063_1059</v>
      </c>
      <c r="B7" s="43">
        <v>1063</v>
      </c>
      <c r="C7" s="186">
        <f>B7</f>
        <v>1063</v>
      </c>
      <c r="D7" s="56" t="str">
        <f ca="1">VLOOKUP($C7,OFFSET([1]characters!$A$1,0,0,COUNTA([1]characters!$A:$A),MATCH(D$1,[1]characters!$1:$1,0)-MATCH($C$1,[1]characters!$1:$1,0)+1),MATCH(D$1,[1]characters!$1:$1,0)-MATCH($C$1,[1]characters!$1:$1,0)+1,FALSE)</f>
        <v>ティアマト</v>
      </c>
      <c r="E7" s="56">
        <f ca="1">VLOOKUP($C7,OFFSET([1]characters!$A$1,0,0,COUNTA([1]characters!$A:$A),MATCH(E$1,[1]characters!$1:$1,0)-MATCH($C$1,[1]characters!$1:$1,0)+1),MATCH(E$1,[1]characters!$1:$1,0)-MATCH($C$1,[1]characters!$1:$1,0)+1,FALSE)</f>
        <v>5</v>
      </c>
      <c r="F7" s="56" t="str">
        <f ca="1">VLOOKUP($C7,OFFSET([1]characters!$A$1,0,0,COUNTA([1]characters!$A:$A),MATCH(F$1,[1]characters!$1:$1,0)-MATCH($C$1,[1]characters!$1:$1,0)+1),MATCH(F$1,[1]characters!$1:$1,0)-MATCH($C$1,[1]characters!$1:$1,0)+1,FALSE)</f>
        <v>DropWizS</v>
      </c>
      <c r="G7" s="188">
        <v>1064</v>
      </c>
      <c r="H7" s="56" t="str">
        <f ca="1">VLOOKUP($G7,OFFSET([1]characters!$A$1,0,0,COUNTA([1]characters!$A:$A),MATCH(H$1,[1]characters!$1:$1,0)-MATCH($C$1,[1]characters!$1:$1,0)+1),MATCH(H$1,[1]characters!$1:$1,0)-MATCH($C$1,[1]characters!$1:$1,0)+1,FALSE)</f>
        <v>混沌の猛飛沫 ティアマト</v>
      </c>
      <c r="I7" s="43">
        <v>1059</v>
      </c>
      <c r="J7" s="56" t="str">
        <f ca="1">VLOOKUP($I7,OFFSET([1]characters!$A$1,0,0,COUNTA([1]characters!$A:$A),MATCH(J$1,[1]characters!$1:$1,0)-MATCH($C$1,[1]characters!$1:$1,0)+1),MATCH(J$1,[1]characters!$1:$1,0)-MATCH($C$1,[1]characters!$1:$1,0)+1,FALSE)</f>
        <v>パズズ</v>
      </c>
      <c r="K7" s="18">
        <v>1</v>
      </c>
      <c r="L7" s="113">
        <v>3</v>
      </c>
      <c r="M7" s="113">
        <v>10</v>
      </c>
    </row>
    <row r="8" spans="1:13" x14ac:dyDescent="0.15">
      <c r="A8" s="64" t="str">
        <f t="shared" ref="A8:A10" si="2">B8&amp;"_"&amp;I8</f>
        <v>1063_1061</v>
      </c>
      <c r="B8" s="43">
        <v>1063</v>
      </c>
      <c r="C8" s="186">
        <f t="shared" ref="C8:C10" si="3">B8</f>
        <v>1063</v>
      </c>
      <c r="D8" s="56" t="str">
        <f ca="1">VLOOKUP($C8,OFFSET([1]characters!$A$1,0,0,COUNTA([1]characters!$A:$A),MATCH(D$1,[1]characters!$1:$1,0)-MATCH($C$1,[1]characters!$1:$1,0)+1),MATCH(D$1,[1]characters!$1:$1,0)-MATCH($C$1,[1]characters!$1:$1,0)+1,FALSE)</f>
        <v>ティアマト</v>
      </c>
      <c r="E8" s="56">
        <f ca="1">VLOOKUP($C8,OFFSET([1]characters!$A$1,0,0,COUNTA([1]characters!$A:$A),MATCH(E$1,[1]characters!$1:$1,0)-MATCH($C$1,[1]characters!$1:$1,0)+1),MATCH(E$1,[1]characters!$1:$1,0)-MATCH($C$1,[1]characters!$1:$1,0)+1,FALSE)</f>
        <v>5</v>
      </c>
      <c r="F8" s="56" t="str">
        <f ca="1">VLOOKUP($C8,OFFSET([1]characters!$A$1,0,0,COUNTA([1]characters!$A:$A),MATCH(F$1,[1]characters!$1:$1,0)-MATCH($C$1,[1]characters!$1:$1,0)+1),MATCH(F$1,[1]characters!$1:$1,0)-MATCH($C$1,[1]characters!$1:$1,0)+1,FALSE)</f>
        <v>DropWizS</v>
      </c>
      <c r="G8" s="188">
        <v>1064</v>
      </c>
      <c r="H8" s="56" t="str">
        <f ca="1">VLOOKUP($G8,OFFSET([1]characters!$A$1,0,0,COUNTA([1]characters!$A:$A),MATCH(H$1,[1]characters!$1:$1,0)-MATCH($C$1,[1]characters!$1:$1,0)+1),MATCH(H$1,[1]characters!$1:$1,0)-MATCH($C$1,[1]characters!$1:$1,0)+1,FALSE)</f>
        <v>混沌の猛飛沫 ティアマト</v>
      </c>
      <c r="I8" s="43">
        <v>1061</v>
      </c>
      <c r="J8" s="56" t="str">
        <f ca="1">VLOOKUP($I8,OFFSET([1]characters!$A$1,0,0,COUNTA([1]characters!$A:$A),MATCH(J$1,[1]characters!$1:$1,0)-MATCH($C$1,[1]characters!$1:$1,0)+1),MATCH(J$1,[1]characters!$1:$1,0)-MATCH($C$1,[1]characters!$1:$1,0)+1,FALSE)</f>
        <v>フンババ</v>
      </c>
      <c r="K8" s="18">
        <v>1</v>
      </c>
      <c r="L8" s="113">
        <v>2</v>
      </c>
      <c r="M8" s="113">
        <v>10</v>
      </c>
    </row>
    <row r="9" spans="1:13" x14ac:dyDescent="0.15">
      <c r="A9" s="64" t="str">
        <f t="shared" si="2"/>
        <v>1063_837</v>
      </c>
      <c r="B9" s="43">
        <v>1063</v>
      </c>
      <c r="C9" s="186">
        <f t="shared" si="3"/>
        <v>1063</v>
      </c>
      <c r="D9" s="56" t="str">
        <f ca="1">VLOOKUP($C9,OFFSET([1]characters!$A$1,0,0,COUNTA([1]characters!$A:$A),MATCH(D$1,[1]characters!$1:$1,0)-MATCH($C$1,[1]characters!$1:$1,0)+1),MATCH(D$1,[1]characters!$1:$1,0)-MATCH($C$1,[1]characters!$1:$1,0)+1,FALSE)</f>
        <v>ティアマト</v>
      </c>
      <c r="E9" s="56">
        <f ca="1">VLOOKUP($C9,OFFSET([1]characters!$A$1,0,0,COUNTA([1]characters!$A:$A),MATCH(E$1,[1]characters!$1:$1,0)-MATCH($C$1,[1]characters!$1:$1,0)+1),MATCH(E$1,[1]characters!$1:$1,0)-MATCH($C$1,[1]characters!$1:$1,0)+1,FALSE)</f>
        <v>5</v>
      </c>
      <c r="F9" s="56" t="str">
        <f ca="1">VLOOKUP($C9,OFFSET([1]characters!$A$1,0,0,COUNTA([1]characters!$A:$A),MATCH(F$1,[1]characters!$1:$1,0)-MATCH($C$1,[1]characters!$1:$1,0)+1),MATCH(F$1,[1]characters!$1:$1,0)-MATCH($C$1,[1]characters!$1:$1,0)+1,FALSE)</f>
        <v>DropWizS</v>
      </c>
      <c r="G9" s="188">
        <v>1064</v>
      </c>
      <c r="H9" s="56" t="str">
        <f ca="1">VLOOKUP($G9,OFFSET([1]characters!$A$1,0,0,COUNTA([1]characters!$A:$A),MATCH(H$1,[1]characters!$1:$1,0)-MATCH($C$1,[1]characters!$1:$1,0)+1),MATCH(H$1,[1]characters!$1:$1,0)-MATCH($C$1,[1]characters!$1:$1,0)+1,FALSE)</f>
        <v>混沌の猛飛沫 ティアマト</v>
      </c>
      <c r="I9" s="43">
        <v>837</v>
      </c>
      <c r="J9" s="56" t="str">
        <f ca="1">VLOOKUP($I9,OFFSET([1]characters!$A$1,0,0,COUNTA([1]characters!$A:$A),MATCH(J$1,[1]characters!$1:$1,0)-MATCH($C$1,[1]characters!$1:$1,0)+1),MATCH(J$1,[1]characters!$1:$1,0)-MATCH($C$1,[1]characters!$1:$1,0)+1,FALSE)</f>
        <v>リトルハンプティ</v>
      </c>
      <c r="K9" s="18">
        <v>1</v>
      </c>
      <c r="L9" s="113">
        <v>1</v>
      </c>
      <c r="M9" s="113">
        <v>100</v>
      </c>
    </row>
    <row r="10" spans="1:13" x14ac:dyDescent="0.15">
      <c r="A10" s="64" t="str">
        <f t="shared" si="2"/>
        <v>1063_112</v>
      </c>
      <c r="B10" s="43">
        <v>1063</v>
      </c>
      <c r="C10" s="186">
        <f t="shared" si="3"/>
        <v>1063</v>
      </c>
      <c r="D10" s="56" t="str">
        <f ca="1">VLOOKUP($C10,OFFSET([1]characters!$A$1,0,0,COUNTA([1]characters!$A:$A),MATCH(D$1,[1]characters!$1:$1,0)-MATCH($C$1,[1]characters!$1:$1,0)+1),MATCH(D$1,[1]characters!$1:$1,0)-MATCH($C$1,[1]characters!$1:$1,0)+1,FALSE)</f>
        <v>ティアマト</v>
      </c>
      <c r="E10" s="56">
        <f ca="1">VLOOKUP($C10,OFFSET([1]characters!$A$1,0,0,COUNTA([1]characters!$A:$A),MATCH(E$1,[1]characters!$1:$1,0)-MATCH($C$1,[1]characters!$1:$1,0)+1),MATCH(E$1,[1]characters!$1:$1,0)-MATCH($C$1,[1]characters!$1:$1,0)+1,FALSE)</f>
        <v>5</v>
      </c>
      <c r="F10" s="56" t="str">
        <f ca="1">VLOOKUP($C10,OFFSET([1]characters!$A$1,0,0,COUNTA([1]characters!$A:$A),MATCH(F$1,[1]characters!$1:$1,0)-MATCH($C$1,[1]characters!$1:$1,0)+1),MATCH(F$1,[1]characters!$1:$1,0)-MATCH($C$1,[1]characters!$1:$1,0)+1,FALSE)</f>
        <v>DropWizS</v>
      </c>
      <c r="G10" s="188">
        <v>1064</v>
      </c>
      <c r="H10" s="56" t="str">
        <f ca="1">VLOOKUP($G10,OFFSET([1]characters!$A$1,0,0,COUNTA([1]characters!$A:$A),MATCH(H$1,[1]characters!$1:$1,0)-MATCH($C$1,[1]characters!$1:$1,0)+1),MATCH(H$1,[1]characters!$1:$1,0)-MATCH($C$1,[1]characters!$1:$1,0)+1,FALSE)</f>
        <v>混沌の猛飛沫 ティアマト</v>
      </c>
      <c r="I10" s="43">
        <v>112</v>
      </c>
      <c r="J10" s="56" t="str">
        <f ca="1">VLOOKUP($I10,OFFSET([1]characters!$A$1,0,0,COUNTA([1]characters!$A:$A),MATCH(J$1,[1]characters!$1:$1,0)-MATCH($C$1,[1]characters!$1:$1,0)+1),MATCH(J$1,[1]characters!$1:$1,0)-MATCH($C$1,[1]characters!$1:$1,0)+1,FALSE)</f>
        <v>水のマッドハッター</v>
      </c>
      <c r="K10" s="18">
        <v>1</v>
      </c>
      <c r="L10" s="113">
        <v>1</v>
      </c>
      <c r="M10" s="113">
        <v>1</v>
      </c>
    </row>
    <row r="11" spans="1:13" ht="21" customHeight="1" x14ac:dyDescent="0.15">
      <c r="A11" s="64" t="str">
        <f>B11&amp;"_"&amp;I11</f>
        <v>1065_472</v>
      </c>
      <c r="B11" s="43">
        <v>1065</v>
      </c>
      <c r="C11" s="186">
        <f>B11</f>
        <v>1065</v>
      </c>
      <c r="D11" s="56" t="str">
        <f ca="1">VLOOKUP($C11,OFFSET([1]characters!$A$1,0,0,COUNTA([1]characters!$A:$A),MATCH(D$1,[1]characters!$1:$1,0)-MATCH($C$1,[1]characters!$1:$1,0)+1),MATCH(D$1,[1]characters!$1:$1,0)-MATCH($C$1,[1]characters!$1:$1,0)+1,FALSE)</f>
        <v>ギルガメッシュ</v>
      </c>
      <c r="E11" s="56">
        <f ca="1">VLOOKUP($C11,OFFSET([1]characters!$A$1,0,0,COUNTA([1]characters!$A:$A),MATCH(E$1,[1]characters!$1:$1,0)-MATCH($C$1,[1]characters!$1:$1,0)+1),MATCH(E$1,[1]characters!$1:$1,0)-MATCH($C$1,[1]characters!$1:$1,0)+1,FALSE)</f>
        <v>5</v>
      </c>
      <c r="F11" s="56" t="str">
        <f ca="1">VLOOKUP($C11,OFFSET([1]characters!$A$1,0,0,COUNTA([1]characters!$A:$A),MATCH(F$1,[1]characters!$1:$1,0)-MATCH($C$1,[1]characters!$1:$1,0)+1),MATCH(F$1,[1]characters!$1:$1,0)-MATCH($C$1,[1]characters!$1:$1,0)+1,FALSE)</f>
        <v>DropWizSS</v>
      </c>
      <c r="G11" s="188">
        <v>1066</v>
      </c>
      <c r="H11" s="56" t="str">
        <f ca="1">VLOOKUP($G11,OFFSET([1]characters!$A$1,0,0,COUNTA([1]characters!$A:$A),MATCH(H$1,[1]characters!$1:$1,0)-MATCH($C$1,[1]characters!$1:$1,0)+1),MATCH(H$1,[1]characters!$1:$1,0)-MATCH($C$1,[1]characters!$1:$1,0)+1,FALSE)</f>
        <v>放縦の序獅子 ギルガメッシュ</v>
      </c>
      <c r="I11" s="43">
        <v>472</v>
      </c>
      <c r="J11" s="56" t="str">
        <f ca="1">VLOOKUP($I11,OFFSET([1]characters!$A$1,0,0,COUNTA([1]characters!$A:$A),MATCH(J$1,[1]characters!$1:$1,0)-MATCH($C$1,[1]characters!$1:$1,0)+1),MATCH(J$1,[1]characters!$1:$1,0)-MATCH($C$1,[1]characters!$1:$1,0)+1,FALSE)</f>
        <v>アーサー</v>
      </c>
      <c r="K11" s="18">
        <v>1</v>
      </c>
      <c r="L11" s="113">
        <v>1</v>
      </c>
      <c r="M11" s="113">
        <v>10</v>
      </c>
    </row>
    <row r="12" spans="1:13" x14ac:dyDescent="0.15">
      <c r="A12" s="64" t="str">
        <f t="shared" ref="A12:A15" si="4">B12&amp;"_"&amp;I12</f>
        <v>1065_768</v>
      </c>
      <c r="B12" s="43">
        <v>1065</v>
      </c>
      <c r="C12" s="186">
        <f t="shared" si="1"/>
        <v>1065</v>
      </c>
      <c r="D12" s="56" t="str">
        <f ca="1">VLOOKUP($C12,OFFSET([1]characters!$A$1,0,0,COUNTA([1]characters!$A:$A),MATCH(D$1,[1]characters!$1:$1,0)-MATCH($C$1,[1]characters!$1:$1,0)+1),MATCH(D$1,[1]characters!$1:$1,0)-MATCH($C$1,[1]characters!$1:$1,0)+1,FALSE)</f>
        <v>ギルガメッシュ</v>
      </c>
      <c r="E12" s="56">
        <f ca="1">VLOOKUP($C12,OFFSET([1]characters!$A$1,0,0,COUNTA([1]characters!$A:$A),MATCH(E$1,[1]characters!$1:$1,0)-MATCH($C$1,[1]characters!$1:$1,0)+1),MATCH(E$1,[1]characters!$1:$1,0)-MATCH($C$1,[1]characters!$1:$1,0)+1,FALSE)</f>
        <v>5</v>
      </c>
      <c r="F12" s="56" t="str">
        <f ca="1">VLOOKUP($C12,OFFSET([1]characters!$A$1,0,0,COUNTA([1]characters!$A:$A),MATCH(F$1,[1]characters!$1:$1,0)-MATCH($C$1,[1]characters!$1:$1,0)+1),MATCH(F$1,[1]characters!$1:$1,0)-MATCH($C$1,[1]characters!$1:$1,0)+1,FALSE)</f>
        <v>DropWizSS</v>
      </c>
      <c r="G12" s="188">
        <v>1066</v>
      </c>
      <c r="H12" s="56" t="str">
        <f ca="1">VLOOKUP($G12,OFFSET([1]characters!$A$1,0,0,COUNTA([1]characters!$A:$A),MATCH(H$1,[1]characters!$1:$1,0)-MATCH($C$1,[1]characters!$1:$1,0)+1),MATCH(H$1,[1]characters!$1:$1,0)-MATCH($C$1,[1]characters!$1:$1,0)+1,FALSE)</f>
        <v>放縦の序獅子 ギルガメッシュ</v>
      </c>
      <c r="I12" s="43">
        <v>768</v>
      </c>
      <c r="J12" s="56" t="str">
        <f ca="1">VLOOKUP($I12,OFFSET([1]characters!$A$1,0,0,COUNTA([1]characters!$A:$A),MATCH(J$1,[1]characters!$1:$1,0)-MATCH($C$1,[1]characters!$1:$1,0)+1),MATCH(J$1,[1]characters!$1:$1,0)-MATCH($C$1,[1]characters!$1:$1,0)+1,FALSE)</f>
        <v>ガレス</v>
      </c>
      <c r="K12" s="18">
        <v>1</v>
      </c>
      <c r="L12" s="113">
        <v>1</v>
      </c>
      <c r="M12" s="113">
        <v>10</v>
      </c>
    </row>
    <row r="13" spans="1:13" x14ac:dyDescent="0.15">
      <c r="A13" s="64" t="str">
        <f t="shared" si="4"/>
        <v>1065_1024</v>
      </c>
      <c r="B13" s="43">
        <v>1065</v>
      </c>
      <c r="C13" s="186">
        <f t="shared" si="1"/>
        <v>1065</v>
      </c>
      <c r="D13" s="56" t="str">
        <f ca="1">VLOOKUP($C13,OFFSET([1]characters!$A$1,0,0,COUNTA([1]characters!$A:$A),MATCH(D$1,[1]characters!$1:$1,0)-MATCH($C$1,[1]characters!$1:$1,0)+1),MATCH(D$1,[1]characters!$1:$1,0)-MATCH($C$1,[1]characters!$1:$1,0)+1,FALSE)</f>
        <v>ギルガメッシュ</v>
      </c>
      <c r="E13" s="56">
        <f ca="1">VLOOKUP($C13,OFFSET([1]characters!$A$1,0,0,COUNTA([1]characters!$A:$A),MATCH(E$1,[1]characters!$1:$1,0)-MATCH($C$1,[1]characters!$1:$1,0)+1),MATCH(E$1,[1]characters!$1:$1,0)-MATCH($C$1,[1]characters!$1:$1,0)+1,FALSE)</f>
        <v>5</v>
      </c>
      <c r="F13" s="56" t="str">
        <f ca="1">VLOOKUP($C13,OFFSET([1]characters!$A$1,0,0,COUNTA([1]characters!$A:$A),MATCH(F$1,[1]characters!$1:$1,0)-MATCH($C$1,[1]characters!$1:$1,0)+1),MATCH(F$1,[1]characters!$1:$1,0)-MATCH($C$1,[1]characters!$1:$1,0)+1,FALSE)</f>
        <v>DropWizSS</v>
      </c>
      <c r="G13" s="188">
        <v>1066</v>
      </c>
      <c r="H13" s="56" t="str">
        <f ca="1">VLOOKUP($G13,OFFSET([1]characters!$A$1,0,0,COUNTA([1]characters!$A:$A),MATCH(H$1,[1]characters!$1:$1,0)-MATCH($C$1,[1]characters!$1:$1,0)+1),MATCH(H$1,[1]characters!$1:$1,0)-MATCH($C$1,[1]characters!$1:$1,0)+1,FALSE)</f>
        <v>放縦の序獅子 ギルガメッシュ</v>
      </c>
      <c r="I13" s="43">
        <v>1024</v>
      </c>
      <c r="J13" s="56" t="str">
        <f ca="1">VLOOKUP($I13,OFFSET([1]characters!$A$1,0,0,COUNTA([1]characters!$A:$A),MATCH(J$1,[1]characters!$1:$1,0)-MATCH($C$1,[1]characters!$1:$1,0)+1),MATCH(J$1,[1]characters!$1:$1,0)-MATCH($C$1,[1]characters!$1:$1,0)+1,FALSE)</f>
        <v>武蔵坊弁慶</v>
      </c>
      <c r="K13" s="18">
        <v>1</v>
      </c>
      <c r="L13" s="113">
        <v>1</v>
      </c>
      <c r="M13" s="113">
        <v>10</v>
      </c>
    </row>
    <row r="14" spans="1:13" x14ac:dyDescent="0.15">
      <c r="A14" s="64" t="str">
        <f t="shared" ref="A14" si="5">B14&amp;"_"&amp;I14</f>
        <v>1065_1063</v>
      </c>
      <c r="B14" s="43">
        <v>1065</v>
      </c>
      <c r="C14" s="186">
        <f t="shared" ref="C14" si="6">B14</f>
        <v>1065</v>
      </c>
      <c r="D14" s="56" t="str">
        <f ca="1">VLOOKUP($C14,OFFSET([1]characters!$A$1,0,0,COUNTA([1]characters!$A:$A),MATCH(D$1,[1]characters!$1:$1,0)-MATCH($C$1,[1]characters!$1:$1,0)+1),MATCH(D$1,[1]characters!$1:$1,0)-MATCH($C$1,[1]characters!$1:$1,0)+1,FALSE)</f>
        <v>ギルガメッシュ</v>
      </c>
      <c r="E14" s="56">
        <f ca="1">VLOOKUP($C14,OFFSET([1]characters!$A$1,0,0,COUNTA([1]characters!$A:$A),MATCH(E$1,[1]characters!$1:$1,0)-MATCH($C$1,[1]characters!$1:$1,0)+1),MATCH(E$1,[1]characters!$1:$1,0)-MATCH($C$1,[1]characters!$1:$1,0)+1,FALSE)</f>
        <v>5</v>
      </c>
      <c r="F14" s="56" t="str">
        <f ca="1">VLOOKUP($C14,OFFSET([1]characters!$A$1,0,0,COUNTA([1]characters!$A:$A),MATCH(F$1,[1]characters!$1:$1,0)-MATCH($C$1,[1]characters!$1:$1,0)+1),MATCH(F$1,[1]characters!$1:$1,0)-MATCH($C$1,[1]characters!$1:$1,0)+1,FALSE)</f>
        <v>DropWizSS</v>
      </c>
      <c r="G14" s="188">
        <v>1066</v>
      </c>
      <c r="H14" s="56" t="str">
        <f ca="1">VLOOKUP($G14,OFFSET([1]characters!$A$1,0,0,COUNTA([1]characters!$A:$A),MATCH(H$1,[1]characters!$1:$1,0)-MATCH($C$1,[1]characters!$1:$1,0)+1),MATCH(H$1,[1]characters!$1:$1,0)-MATCH($C$1,[1]characters!$1:$1,0)+1,FALSE)</f>
        <v>放縦の序獅子 ギルガメッシュ</v>
      </c>
      <c r="I14" s="43">
        <v>1063</v>
      </c>
      <c r="J14" s="56" t="str">
        <f ca="1">VLOOKUP($I14,OFFSET([1]characters!$A$1,0,0,COUNTA([1]characters!$A:$A),MATCH(J$1,[1]characters!$1:$1,0)-MATCH($C$1,[1]characters!$1:$1,0)+1),MATCH(J$1,[1]characters!$1:$1,0)-MATCH($C$1,[1]characters!$1:$1,0)+1,FALSE)</f>
        <v>ティアマト</v>
      </c>
      <c r="K14" s="18">
        <v>1</v>
      </c>
      <c r="L14" s="113">
        <v>1</v>
      </c>
      <c r="M14" s="113">
        <v>10</v>
      </c>
    </row>
    <row r="15" spans="1:13" x14ac:dyDescent="0.15">
      <c r="A15" s="64" t="str">
        <f t="shared" si="4"/>
        <v>1065_837</v>
      </c>
      <c r="B15" s="43">
        <v>1065</v>
      </c>
      <c r="C15" s="186">
        <f t="shared" si="1"/>
        <v>1065</v>
      </c>
      <c r="D15" s="56" t="str">
        <f ca="1">VLOOKUP($C15,OFFSET([1]characters!$A$1,0,0,COUNTA([1]characters!$A:$A),MATCH(D$1,[1]characters!$1:$1,0)-MATCH($C$1,[1]characters!$1:$1,0)+1),MATCH(D$1,[1]characters!$1:$1,0)-MATCH($C$1,[1]characters!$1:$1,0)+1,FALSE)</f>
        <v>ギルガメッシュ</v>
      </c>
      <c r="E15" s="56">
        <f ca="1">VLOOKUP($C15,OFFSET([1]characters!$A$1,0,0,COUNTA([1]characters!$A:$A),MATCH(E$1,[1]characters!$1:$1,0)-MATCH($C$1,[1]characters!$1:$1,0)+1),MATCH(E$1,[1]characters!$1:$1,0)-MATCH($C$1,[1]characters!$1:$1,0)+1,FALSE)</f>
        <v>5</v>
      </c>
      <c r="F15" s="56" t="str">
        <f ca="1">VLOOKUP($C15,OFFSET([1]characters!$A$1,0,0,COUNTA([1]characters!$A:$A),MATCH(F$1,[1]characters!$1:$1,0)-MATCH($C$1,[1]characters!$1:$1,0)+1),MATCH(F$1,[1]characters!$1:$1,0)-MATCH($C$1,[1]characters!$1:$1,0)+1,FALSE)</f>
        <v>DropWizSS</v>
      </c>
      <c r="G15" s="188">
        <v>1066</v>
      </c>
      <c r="H15" s="56" t="str">
        <f ca="1">VLOOKUP($G15,OFFSET([1]characters!$A$1,0,0,COUNTA([1]characters!$A:$A),MATCH(H$1,[1]characters!$1:$1,0)-MATCH($C$1,[1]characters!$1:$1,0)+1),MATCH(H$1,[1]characters!$1:$1,0)-MATCH($C$1,[1]characters!$1:$1,0)+1,FALSE)</f>
        <v>放縦の序獅子 ギルガメッシュ</v>
      </c>
      <c r="I15" s="43">
        <v>837</v>
      </c>
      <c r="J15" s="56" t="str">
        <f ca="1">VLOOKUP($I15,OFFSET([1]characters!$A$1,0,0,COUNTA([1]characters!$A:$A),MATCH(J$1,[1]characters!$1:$1,0)-MATCH($C$1,[1]characters!$1:$1,0)+1),MATCH(J$1,[1]characters!$1:$1,0)-MATCH($C$1,[1]characters!$1:$1,0)+1,FALSE)</f>
        <v>リトルハンプティ</v>
      </c>
      <c r="K15" s="18">
        <v>1</v>
      </c>
      <c r="L15" s="113">
        <v>1</v>
      </c>
      <c r="M15" s="113">
        <v>100</v>
      </c>
    </row>
    <row r="16" spans="1:13" ht="21" customHeight="1" x14ac:dyDescent="0.15">
      <c r="A16" s="64" t="str">
        <f>B16&amp;"_"&amp;I16</f>
        <v>1067_102</v>
      </c>
      <c r="B16" s="43">
        <v>1067</v>
      </c>
      <c r="C16" s="186">
        <f>B16</f>
        <v>1067</v>
      </c>
      <c r="D16" s="56" t="str">
        <f ca="1">VLOOKUP($C16,OFFSET([1]characters!$A$1,0,0,COUNTA([1]characters!$A:$A),MATCH(D$1,[1]characters!$1:$1,0)-MATCH($C$1,[1]characters!$1:$1,0)+1),MATCH(D$1,[1]characters!$1:$1,0)-MATCH($C$1,[1]characters!$1:$1,0)+1,FALSE)</f>
        <v>ウシュムガル</v>
      </c>
      <c r="E16" s="56">
        <f ca="1">VLOOKUP($C16,OFFSET([1]characters!$A$1,0,0,COUNTA([1]characters!$A:$A),MATCH(E$1,[1]characters!$1:$1,0)-MATCH($C$1,[1]characters!$1:$1,0)+1),MATCH(E$1,[1]characters!$1:$1,0)-MATCH($C$1,[1]characters!$1:$1,0)+1,FALSE)</f>
        <v>4</v>
      </c>
      <c r="F16" s="56" t="str">
        <f ca="1">VLOOKUP($C16,OFFSET([1]characters!$A$1,0,0,COUNTA([1]characters!$A:$A),MATCH(F$1,[1]characters!$1:$1,0)-MATCH($C$1,[1]characters!$1:$1,0)+1),MATCH(F$1,[1]characters!$1:$1,0)-MATCH($C$1,[1]characters!$1:$1,0)+1,FALSE)</f>
        <v>PremiumS</v>
      </c>
      <c r="G16" s="188">
        <v>1068</v>
      </c>
      <c r="H16" s="56" t="str">
        <f ca="1">VLOOKUP($G16,OFFSET([1]characters!$A$1,0,0,COUNTA([1]characters!$A:$A),MATCH(H$1,[1]characters!$1:$1,0)-MATCH($C$1,[1]characters!$1:$1,0)+1),MATCH(H$1,[1]characters!$1:$1,0)-MATCH($C$1,[1]characters!$1:$1,0)+1,FALSE)</f>
        <v>想母の羽龍 ウシュムガル</v>
      </c>
      <c r="I16" s="43">
        <v>102</v>
      </c>
      <c r="J16" s="56" t="str">
        <f ca="1">VLOOKUP($I16,OFFSET([1]characters!$A$1,0,0,COUNTA([1]characters!$A:$A),MATCH(J$1,[1]characters!$1:$1,0)-MATCH($C$1,[1]characters!$1:$1,0)+1),MATCH(J$1,[1]characters!$1:$1,0)-MATCH($C$1,[1]characters!$1:$1,0)+1,FALSE)</f>
        <v>レッドラビット</v>
      </c>
      <c r="K16" s="18">
        <v>2</v>
      </c>
      <c r="L16" s="113">
        <v>1</v>
      </c>
      <c r="M16" s="113">
        <v>1</v>
      </c>
    </row>
    <row r="17" spans="1:13" x14ac:dyDescent="0.15">
      <c r="A17" s="64" t="str">
        <f t="shared" ref="A17:A24" si="7">B17&amp;"_"&amp;I17</f>
        <v>1067_103</v>
      </c>
      <c r="B17" s="43">
        <v>1067</v>
      </c>
      <c r="C17" s="186">
        <f t="shared" ref="C17:C18" si="8">B17</f>
        <v>1067</v>
      </c>
      <c r="D17" s="56" t="str">
        <f ca="1">VLOOKUP($C17,OFFSET([1]characters!$A$1,0,0,COUNTA([1]characters!$A:$A),MATCH(D$1,[1]characters!$1:$1,0)-MATCH($C$1,[1]characters!$1:$1,0)+1),MATCH(D$1,[1]characters!$1:$1,0)-MATCH($C$1,[1]characters!$1:$1,0)+1,FALSE)</f>
        <v>ウシュムガル</v>
      </c>
      <c r="E17" s="56">
        <f ca="1">VLOOKUP($C17,OFFSET([1]characters!$A$1,0,0,COUNTA([1]characters!$A:$A),MATCH(E$1,[1]characters!$1:$1,0)-MATCH($C$1,[1]characters!$1:$1,0)+1),MATCH(E$1,[1]characters!$1:$1,0)-MATCH($C$1,[1]characters!$1:$1,0)+1,FALSE)</f>
        <v>4</v>
      </c>
      <c r="F17" s="56" t="str">
        <f ca="1">VLOOKUP($C17,OFFSET([1]characters!$A$1,0,0,COUNTA([1]characters!$A:$A),MATCH(F$1,[1]characters!$1:$1,0)-MATCH($C$1,[1]characters!$1:$1,0)+1),MATCH(F$1,[1]characters!$1:$1,0)-MATCH($C$1,[1]characters!$1:$1,0)+1,FALSE)</f>
        <v>PremiumS</v>
      </c>
      <c r="G17" s="188">
        <v>1068</v>
      </c>
      <c r="H17" s="56" t="str">
        <f ca="1">VLOOKUP($G17,OFFSET([1]characters!$A$1,0,0,COUNTA([1]characters!$A:$A),MATCH(H$1,[1]characters!$1:$1,0)-MATCH($C$1,[1]characters!$1:$1,0)+1),MATCH(H$1,[1]characters!$1:$1,0)-MATCH($C$1,[1]characters!$1:$1,0)+1,FALSE)</f>
        <v>想母の羽龍 ウシュムガル</v>
      </c>
      <c r="I17" s="43">
        <v>103</v>
      </c>
      <c r="J17" s="56" t="str">
        <f ca="1">VLOOKUP($I17,OFFSET([1]characters!$A$1,0,0,COUNTA([1]characters!$A:$A),MATCH(J$1,[1]characters!$1:$1,0)-MATCH($C$1,[1]characters!$1:$1,0)+1),MATCH(J$1,[1]characters!$1:$1,0)-MATCH($C$1,[1]characters!$1:$1,0)+1,FALSE)</f>
        <v>レッドキャタップ</v>
      </c>
      <c r="K17" s="18">
        <v>2</v>
      </c>
      <c r="L17" s="113">
        <v>1</v>
      </c>
      <c r="M17" s="113">
        <v>1</v>
      </c>
    </row>
    <row r="18" spans="1:13" x14ac:dyDescent="0.15">
      <c r="A18" s="64" t="str">
        <f t="shared" si="7"/>
        <v>1067_104</v>
      </c>
      <c r="B18" s="43">
        <v>1067</v>
      </c>
      <c r="C18" s="186">
        <f t="shared" si="8"/>
        <v>1067</v>
      </c>
      <c r="D18" s="56" t="str">
        <f ca="1">VLOOKUP($C18,OFFSET([1]characters!$A$1,0,0,COUNTA([1]characters!$A:$A),MATCH(D$1,[1]characters!$1:$1,0)-MATCH($C$1,[1]characters!$1:$1,0)+1),MATCH(D$1,[1]characters!$1:$1,0)-MATCH($C$1,[1]characters!$1:$1,0)+1,FALSE)</f>
        <v>ウシュムガル</v>
      </c>
      <c r="E18" s="56">
        <f ca="1">VLOOKUP($C18,OFFSET([1]characters!$A$1,0,0,COUNTA([1]characters!$A:$A),MATCH(E$1,[1]characters!$1:$1,0)-MATCH($C$1,[1]characters!$1:$1,0)+1),MATCH(E$1,[1]characters!$1:$1,0)-MATCH($C$1,[1]characters!$1:$1,0)+1,FALSE)</f>
        <v>4</v>
      </c>
      <c r="F18" s="56" t="str">
        <f ca="1">VLOOKUP($C18,OFFSET([1]characters!$A$1,0,0,COUNTA([1]characters!$A:$A),MATCH(F$1,[1]characters!$1:$1,0)-MATCH($C$1,[1]characters!$1:$1,0)+1),MATCH(F$1,[1]characters!$1:$1,0)-MATCH($C$1,[1]characters!$1:$1,0)+1,FALSE)</f>
        <v>PremiumS</v>
      </c>
      <c r="G18" s="188">
        <v>1068</v>
      </c>
      <c r="H18" s="56" t="str">
        <f ca="1">VLOOKUP($G18,OFFSET([1]characters!$A$1,0,0,COUNTA([1]characters!$A:$A),MATCH(H$1,[1]characters!$1:$1,0)-MATCH($C$1,[1]characters!$1:$1,0)+1),MATCH(H$1,[1]characters!$1:$1,0)-MATCH($C$1,[1]characters!$1:$1,0)+1,FALSE)</f>
        <v>想母の羽龍 ウシュムガル</v>
      </c>
      <c r="I18" s="43">
        <v>104</v>
      </c>
      <c r="J18" s="56" t="str">
        <f ca="1">VLOOKUP($I18,OFFSET([1]characters!$A$1,0,0,COUNTA([1]characters!$A:$A),MATCH(J$1,[1]characters!$1:$1,0)-MATCH($C$1,[1]characters!$1:$1,0)+1),MATCH(J$1,[1]characters!$1:$1,0)-MATCH($C$1,[1]characters!$1:$1,0)+1,FALSE)</f>
        <v>炎のマッドハッター</v>
      </c>
      <c r="K18" s="18">
        <v>1</v>
      </c>
      <c r="L18" s="113">
        <v>1</v>
      </c>
      <c r="M18" s="113">
        <v>1</v>
      </c>
    </row>
    <row r="19" spans="1:13" ht="21" customHeight="1" x14ac:dyDescent="0.15">
      <c r="A19" s="64" t="str">
        <f>B19&amp;"_"&amp;I19</f>
        <v>1069_1059</v>
      </c>
      <c r="B19" s="43">
        <v>1069</v>
      </c>
      <c r="C19" s="186">
        <f>B19</f>
        <v>1069</v>
      </c>
      <c r="D19" s="56" t="str">
        <f ca="1">VLOOKUP($C19,OFFSET([1]characters!$A$1,0,0,COUNTA([1]characters!$A:$A),MATCH(D$1,[1]characters!$1:$1,0)-MATCH($C$1,[1]characters!$1:$1,0)+1),MATCH(D$1,[1]characters!$1:$1,0)-MATCH($C$1,[1]characters!$1:$1,0)+1,FALSE)</f>
        <v>イシュタル</v>
      </c>
      <c r="E19" s="56">
        <f ca="1">VLOOKUP($C19,OFFSET([1]characters!$A$1,0,0,COUNTA([1]characters!$A:$A),MATCH(E$1,[1]characters!$1:$1,0)-MATCH($C$1,[1]characters!$1:$1,0)+1),MATCH(E$1,[1]characters!$1:$1,0)-MATCH($C$1,[1]characters!$1:$1,0)+1,FALSE)</f>
        <v>5</v>
      </c>
      <c r="F19" s="56" t="str">
        <f ca="1">VLOOKUP($C19,OFFSET([1]characters!$A$1,0,0,COUNTA([1]characters!$A:$A),MATCH(F$1,[1]characters!$1:$1,0)-MATCH($C$1,[1]characters!$1:$1,0)+1),MATCH(F$1,[1]characters!$1:$1,0)-MATCH($C$1,[1]characters!$1:$1,0)+1,FALSE)</f>
        <v>PremiumSS</v>
      </c>
      <c r="G19" s="188">
        <v>1070</v>
      </c>
      <c r="H19" s="56" t="str">
        <f ca="1">VLOOKUP($G19,OFFSET([1]characters!$A$1,0,0,COUNTA([1]characters!$A:$A),MATCH(H$1,[1]characters!$1:$1,0)-MATCH($C$1,[1]characters!$1:$1,0)+1),MATCH(H$1,[1]characters!$1:$1,0)-MATCH($C$1,[1]characters!$1:$1,0)+1,FALSE)</f>
        <v>駆脳する造愛 イシュタル</v>
      </c>
      <c r="I19" s="43">
        <v>1059</v>
      </c>
      <c r="J19" s="56" t="str">
        <f ca="1">VLOOKUP($I19,OFFSET([1]characters!$A$1,0,0,COUNTA([1]characters!$A:$A),MATCH(J$1,[1]characters!$1:$1,0)-MATCH($C$1,[1]characters!$1:$1,0)+1),MATCH(J$1,[1]characters!$1:$1,0)-MATCH($C$1,[1]characters!$1:$1,0)+1,FALSE)</f>
        <v>パズズ</v>
      </c>
      <c r="K19" s="18">
        <v>1</v>
      </c>
      <c r="L19" s="113">
        <v>1</v>
      </c>
      <c r="M19" s="113">
        <v>10</v>
      </c>
    </row>
    <row r="20" spans="1:13" x14ac:dyDescent="0.15">
      <c r="A20" s="64" t="str">
        <f t="shared" ref="A20:A23" si="9">B20&amp;"_"&amp;I20</f>
        <v>1069_280</v>
      </c>
      <c r="B20" s="43">
        <v>1069</v>
      </c>
      <c r="C20" s="186">
        <f>B20</f>
        <v>1069</v>
      </c>
      <c r="D20" s="56" t="str">
        <f ca="1">VLOOKUP($C20,OFFSET([1]characters!$A$1,0,0,COUNTA([1]characters!$A:$A),MATCH(D$1,[1]characters!$1:$1,0)-MATCH($C$1,[1]characters!$1:$1,0)+1),MATCH(D$1,[1]characters!$1:$1,0)-MATCH($C$1,[1]characters!$1:$1,0)+1,FALSE)</f>
        <v>イシュタル</v>
      </c>
      <c r="E20" s="56">
        <f ca="1">VLOOKUP($C20,OFFSET([1]characters!$A$1,0,0,COUNTA([1]characters!$A:$A),MATCH(E$1,[1]characters!$1:$1,0)-MATCH($C$1,[1]characters!$1:$1,0)+1),MATCH(E$1,[1]characters!$1:$1,0)-MATCH($C$1,[1]characters!$1:$1,0)+1,FALSE)</f>
        <v>5</v>
      </c>
      <c r="F20" s="56" t="str">
        <f ca="1">VLOOKUP($C20,OFFSET([1]characters!$A$1,0,0,COUNTA([1]characters!$A:$A),MATCH(F$1,[1]characters!$1:$1,0)-MATCH($C$1,[1]characters!$1:$1,0)+1),MATCH(F$1,[1]characters!$1:$1,0)-MATCH($C$1,[1]characters!$1:$1,0)+1,FALSE)</f>
        <v>PremiumSS</v>
      </c>
      <c r="G20" s="188">
        <v>1070</v>
      </c>
      <c r="H20" s="56" t="str">
        <f ca="1">VLOOKUP($G20,OFFSET([1]characters!$A$1,0,0,COUNTA([1]characters!$A:$A),MATCH(H$1,[1]characters!$1:$1,0)-MATCH($C$1,[1]characters!$1:$1,0)+1),MATCH(H$1,[1]characters!$1:$1,0)-MATCH($C$1,[1]characters!$1:$1,0)+1,FALSE)</f>
        <v>駆脳する造愛 イシュタル</v>
      </c>
      <c r="I20" s="43">
        <v>280</v>
      </c>
      <c r="J20" s="56" t="str">
        <f ca="1">VLOOKUP($I20,OFFSET([1]characters!$A$1,0,0,COUNTA([1]characters!$A:$A),MATCH(J$1,[1]characters!$1:$1,0)-MATCH($C$1,[1]characters!$1:$1,0)+1),MATCH(J$1,[1]characters!$1:$1,0)-MATCH($C$1,[1]characters!$1:$1,0)+1,FALSE)</f>
        <v>リンドブルム</v>
      </c>
      <c r="K20" s="18">
        <v>1</v>
      </c>
      <c r="L20" s="113">
        <v>1</v>
      </c>
      <c r="M20" s="113">
        <v>10</v>
      </c>
    </row>
    <row r="21" spans="1:13" x14ac:dyDescent="0.15">
      <c r="A21" s="64" t="str">
        <f t="shared" si="9"/>
        <v>1069_837</v>
      </c>
      <c r="B21" s="43">
        <v>1069</v>
      </c>
      <c r="C21" s="186">
        <f t="shared" ref="C21:C23" si="10">B21</f>
        <v>1069</v>
      </c>
      <c r="D21" s="56" t="str">
        <f ca="1">VLOOKUP($C21,OFFSET([1]characters!$A$1,0,0,COUNTA([1]characters!$A:$A),MATCH(D$1,[1]characters!$1:$1,0)-MATCH($C$1,[1]characters!$1:$1,0)+1),MATCH(D$1,[1]characters!$1:$1,0)-MATCH($C$1,[1]characters!$1:$1,0)+1,FALSE)</f>
        <v>イシュタル</v>
      </c>
      <c r="E21" s="56">
        <f ca="1">VLOOKUP($C21,OFFSET([1]characters!$A$1,0,0,COUNTA([1]characters!$A:$A),MATCH(E$1,[1]characters!$1:$1,0)-MATCH($C$1,[1]characters!$1:$1,0)+1),MATCH(E$1,[1]characters!$1:$1,0)-MATCH($C$1,[1]characters!$1:$1,0)+1,FALSE)</f>
        <v>5</v>
      </c>
      <c r="F21" s="56" t="str">
        <f ca="1">VLOOKUP($C21,OFFSET([1]characters!$A$1,0,0,COUNTA([1]characters!$A:$A),MATCH(F$1,[1]characters!$1:$1,0)-MATCH($C$1,[1]characters!$1:$1,0)+1),MATCH(F$1,[1]characters!$1:$1,0)-MATCH($C$1,[1]characters!$1:$1,0)+1,FALSE)</f>
        <v>PremiumSS</v>
      </c>
      <c r="G21" s="188">
        <v>1070</v>
      </c>
      <c r="H21" s="56" t="str">
        <f ca="1">VLOOKUP($G21,OFFSET([1]characters!$A$1,0,0,COUNTA([1]characters!$A:$A),MATCH(H$1,[1]characters!$1:$1,0)-MATCH($C$1,[1]characters!$1:$1,0)+1),MATCH(H$1,[1]characters!$1:$1,0)-MATCH($C$1,[1]characters!$1:$1,0)+1,FALSE)</f>
        <v>駆脳する造愛 イシュタル</v>
      </c>
      <c r="I21" s="43">
        <v>837</v>
      </c>
      <c r="J21" s="56" t="str">
        <f ca="1">VLOOKUP($I21,OFFSET([1]characters!$A$1,0,0,COUNTA([1]characters!$A:$A),MATCH(J$1,[1]characters!$1:$1,0)-MATCH($C$1,[1]characters!$1:$1,0)+1),MATCH(J$1,[1]characters!$1:$1,0)-MATCH($C$1,[1]characters!$1:$1,0)+1,FALSE)</f>
        <v>リトルハンプティ</v>
      </c>
      <c r="K21" s="18">
        <v>1</v>
      </c>
      <c r="L21" s="113">
        <v>1</v>
      </c>
      <c r="M21" s="113">
        <v>100</v>
      </c>
    </row>
    <row r="22" spans="1:13" x14ac:dyDescent="0.15">
      <c r="A22" s="64" t="str">
        <f t="shared" ref="A22" si="11">B22&amp;"_"&amp;I22</f>
        <v>1069_107</v>
      </c>
      <c r="B22" s="43">
        <v>1069</v>
      </c>
      <c r="C22" s="186">
        <f t="shared" ref="C22" si="12">B22</f>
        <v>1069</v>
      </c>
      <c r="D22" s="56" t="str">
        <f ca="1">VLOOKUP($C22,OFFSET([1]characters!$A$1,0,0,COUNTA([1]characters!$A:$A),MATCH(D$1,[1]characters!$1:$1,0)-MATCH($C$1,[1]characters!$1:$1,0)+1),MATCH(D$1,[1]characters!$1:$1,0)-MATCH($C$1,[1]characters!$1:$1,0)+1,FALSE)</f>
        <v>イシュタル</v>
      </c>
      <c r="E22" s="56">
        <f ca="1">VLOOKUP($C22,OFFSET([1]characters!$A$1,0,0,COUNTA([1]characters!$A:$A),MATCH(E$1,[1]characters!$1:$1,0)-MATCH($C$1,[1]characters!$1:$1,0)+1),MATCH(E$1,[1]characters!$1:$1,0)-MATCH($C$1,[1]characters!$1:$1,0)+1,FALSE)</f>
        <v>5</v>
      </c>
      <c r="F22" s="56" t="str">
        <f ca="1">VLOOKUP($C22,OFFSET([1]characters!$A$1,0,0,COUNTA([1]characters!$A:$A),MATCH(F$1,[1]characters!$1:$1,0)-MATCH($C$1,[1]characters!$1:$1,0)+1),MATCH(F$1,[1]characters!$1:$1,0)-MATCH($C$1,[1]characters!$1:$1,0)+1,FALSE)</f>
        <v>PremiumSS</v>
      </c>
      <c r="G22" s="188">
        <v>1070</v>
      </c>
      <c r="H22" s="56" t="str">
        <f ca="1">VLOOKUP($G22,OFFSET([1]characters!$A$1,0,0,COUNTA([1]characters!$A:$A),MATCH(H$1,[1]characters!$1:$1,0)-MATCH($C$1,[1]characters!$1:$1,0)+1),MATCH(H$1,[1]characters!$1:$1,0)-MATCH($C$1,[1]characters!$1:$1,0)+1,FALSE)</f>
        <v>駆脳する造愛 イシュタル</v>
      </c>
      <c r="I22" s="43">
        <v>107</v>
      </c>
      <c r="J22" s="56" t="str">
        <f ca="1">VLOOKUP($I22,OFFSET([1]characters!$A$1,0,0,COUNTA([1]characters!$A:$A),MATCH(J$1,[1]characters!$1:$1,0)-MATCH($C$1,[1]characters!$1:$1,0)+1),MATCH(J$1,[1]characters!$1:$1,0)-MATCH($C$1,[1]characters!$1:$1,0)+1,FALSE)</f>
        <v>グリーンキャタップ</v>
      </c>
      <c r="K22" s="18">
        <v>1</v>
      </c>
      <c r="L22" s="113">
        <v>1</v>
      </c>
      <c r="M22" s="113">
        <v>1</v>
      </c>
    </row>
    <row r="23" spans="1:13" x14ac:dyDescent="0.15">
      <c r="A23" s="64" t="str">
        <f t="shared" si="9"/>
        <v>1069_108</v>
      </c>
      <c r="B23" s="43">
        <v>1069</v>
      </c>
      <c r="C23" s="186">
        <f t="shared" si="10"/>
        <v>1069</v>
      </c>
      <c r="D23" s="56" t="str">
        <f ca="1">VLOOKUP($C23,OFFSET([1]characters!$A$1,0,0,COUNTA([1]characters!$A:$A),MATCH(D$1,[1]characters!$1:$1,0)-MATCH($C$1,[1]characters!$1:$1,0)+1),MATCH(D$1,[1]characters!$1:$1,0)-MATCH($C$1,[1]characters!$1:$1,0)+1,FALSE)</f>
        <v>イシュタル</v>
      </c>
      <c r="E23" s="56">
        <f ca="1">VLOOKUP($C23,OFFSET([1]characters!$A$1,0,0,COUNTA([1]characters!$A:$A),MATCH(E$1,[1]characters!$1:$1,0)-MATCH($C$1,[1]characters!$1:$1,0)+1),MATCH(E$1,[1]characters!$1:$1,0)-MATCH($C$1,[1]characters!$1:$1,0)+1,FALSE)</f>
        <v>5</v>
      </c>
      <c r="F23" s="56" t="str">
        <f ca="1">VLOOKUP($C23,OFFSET([1]characters!$A$1,0,0,COUNTA([1]characters!$A:$A),MATCH(F$1,[1]characters!$1:$1,0)-MATCH($C$1,[1]characters!$1:$1,0)+1),MATCH(F$1,[1]characters!$1:$1,0)-MATCH($C$1,[1]characters!$1:$1,0)+1,FALSE)</f>
        <v>PremiumSS</v>
      </c>
      <c r="G23" s="188">
        <v>1070</v>
      </c>
      <c r="H23" s="56" t="str">
        <f ca="1">VLOOKUP($G23,OFFSET([1]characters!$A$1,0,0,COUNTA([1]characters!$A:$A),MATCH(H$1,[1]characters!$1:$1,0)-MATCH($C$1,[1]characters!$1:$1,0)+1),MATCH(H$1,[1]characters!$1:$1,0)-MATCH($C$1,[1]characters!$1:$1,0)+1,FALSE)</f>
        <v>駆脳する造愛 イシュタル</v>
      </c>
      <c r="I23" s="43">
        <v>108</v>
      </c>
      <c r="J23" s="56" t="str">
        <f ca="1">VLOOKUP($I23,OFFSET([1]characters!$A$1,0,0,COUNTA([1]characters!$A:$A),MATCH(J$1,[1]characters!$1:$1,0)-MATCH($C$1,[1]characters!$1:$1,0)+1),MATCH(J$1,[1]characters!$1:$1,0)-MATCH($C$1,[1]characters!$1:$1,0)+1,FALSE)</f>
        <v>森のマッドハッター</v>
      </c>
      <c r="K23" s="18">
        <v>1</v>
      </c>
      <c r="L23" s="113">
        <v>1</v>
      </c>
      <c r="M23" s="113">
        <v>1</v>
      </c>
    </row>
    <row r="24" spans="1:13" ht="21" customHeight="1" x14ac:dyDescent="0.15">
      <c r="A24" s="64" t="str">
        <f t="shared" si="7"/>
        <v>1072_111</v>
      </c>
      <c r="B24" s="43">
        <v>1072</v>
      </c>
      <c r="C24" s="186">
        <f>B24</f>
        <v>1072</v>
      </c>
      <c r="D24" s="56" t="str">
        <f ca="1">VLOOKUP($C24,OFFSET([1]characters!$A$1,0,0,COUNTA([1]characters!$A:$A),MATCH(D$1,[1]characters!$1:$1,0)-MATCH($C$1,[1]characters!$1:$1,0)+1),MATCH(D$1,[1]characters!$1:$1,0)-MATCH($C$1,[1]characters!$1:$1,0)+1,FALSE)</f>
        <v>エンキドゥ</v>
      </c>
      <c r="E24" s="56">
        <f ca="1">VLOOKUP($C24,OFFSET([1]characters!$A$1,0,0,COUNTA([1]characters!$A:$A),MATCH(E$1,[1]characters!$1:$1,0)-MATCH($C$1,[1]characters!$1:$1,0)+1),MATCH(E$1,[1]characters!$1:$1,0)-MATCH($C$1,[1]characters!$1:$1,0)+1,FALSE)</f>
        <v>5</v>
      </c>
      <c r="F24" s="56" t="str">
        <f ca="1">VLOOKUP($C24,OFFSET([1]characters!$A$1,0,0,COUNTA([1]characters!$A:$A),MATCH(F$1,[1]characters!$1:$1,0)-MATCH($C$1,[1]characters!$1:$1,0)+1),MATCH(F$1,[1]characters!$1:$1,0)-MATCH($C$1,[1]characters!$1:$1,0)+1,FALSE)</f>
        <v>PremiumSSw</v>
      </c>
      <c r="G24" s="43">
        <v>1073</v>
      </c>
      <c r="H24" s="56" t="str">
        <f ca="1">VLOOKUP($G24,OFFSET([1]characters!$A$1,0,0,COUNTA([1]characters!$A:$A),MATCH(H$1,[1]characters!$1:$1,0)-MATCH($C$1,[1]characters!$1:$1,0)+1),MATCH(H$1,[1]characters!$1:$1,0)-MATCH($C$1,[1]characters!$1:$1,0)+1,FALSE)</f>
        <v>静穏なる獣勇 エンキドゥ</v>
      </c>
      <c r="I24" s="43">
        <v>111</v>
      </c>
      <c r="J24" s="197" t="str">
        <f>VLOOKUP(I24,[1]characters!$A:$C,3,FALSE)</f>
        <v>ブルーキャタップ</v>
      </c>
      <c r="K24" s="18">
        <v>1</v>
      </c>
      <c r="L24" s="113">
        <v>1</v>
      </c>
      <c r="M24" s="113">
        <v>1</v>
      </c>
    </row>
    <row r="25" spans="1:13" ht="21" customHeight="1" x14ac:dyDescent="0.15">
      <c r="A25" s="64" t="str">
        <f>B25&amp;"_"&amp;I25</f>
        <v>1072_270</v>
      </c>
      <c r="B25" s="43">
        <v>1072</v>
      </c>
      <c r="C25" s="186">
        <f>B25</f>
        <v>1072</v>
      </c>
      <c r="D25" s="56" t="str">
        <f ca="1">VLOOKUP($C25,OFFSET([1]characters!$A$1,0,0,COUNTA([1]characters!$A:$A),MATCH(D$1,[1]characters!$1:$1,0)-MATCH($C$1,[1]characters!$1:$1,0)+1),MATCH(D$1,[1]characters!$1:$1,0)-MATCH($C$1,[1]characters!$1:$1,0)+1,FALSE)</f>
        <v>エンキドゥ</v>
      </c>
      <c r="E25" s="56">
        <f ca="1">VLOOKUP($C25,OFFSET([1]characters!$A$1,0,0,COUNTA([1]characters!$A:$A),MATCH(E$1,[1]characters!$1:$1,0)-MATCH($C$1,[1]characters!$1:$1,0)+1),MATCH(E$1,[1]characters!$1:$1,0)-MATCH($C$1,[1]characters!$1:$1,0)+1,FALSE)</f>
        <v>5</v>
      </c>
      <c r="F25" s="56" t="str">
        <f ca="1">VLOOKUP($C25,OFFSET([1]characters!$A$1,0,0,COUNTA([1]characters!$A:$A),MATCH(F$1,[1]characters!$1:$1,0)-MATCH($C$1,[1]characters!$1:$1,0)+1),MATCH(F$1,[1]characters!$1:$1,0)-MATCH($C$1,[1]characters!$1:$1,0)+1,FALSE)</f>
        <v>PremiumSSw</v>
      </c>
      <c r="G25" s="43">
        <v>1073</v>
      </c>
      <c r="H25" s="56" t="str">
        <f ca="1">VLOOKUP($G25,OFFSET([1]characters!$A$1,0,0,COUNTA([1]characters!$A:$A),MATCH(H$1,[1]characters!$1:$1,0)-MATCH($C$1,[1]characters!$1:$1,0)+1),MATCH(H$1,[1]characters!$1:$1,0)-MATCH($C$1,[1]characters!$1:$1,0)+1,FALSE)</f>
        <v>静穏なる獣勇 エンキドゥ</v>
      </c>
      <c r="I25" s="43">
        <v>270</v>
      </c>
      <c r="J25" s="56" t="str">
        <f ca="1">VLOOKUP($I25,OFFSET([1]characters!$A$1,0,0,COUNTA([1]characters!$A:$A),MATCH(J$1,[1]characters!$1:$1,0)-MATCH($C$1,[1]characters!$1:$1,0)+1),MATCH(J$1,[1]characters!$1:$1,0)-MATCH($C$1,[1]characters!$1:$1,0)+1,FALSE)</f>
        <v>風爪のミリー</v>
      </c>
      <c r="K25" s="18">
        <v>1</v>
      </c>
      <c r="L25" s="113">
        <v>1</v>
      </c>
      <c r="M25" s="113">
        <v>10</v>
      </c>
    </row>
    <row r="26" spans="1:13" x14ac:dyDescent="0.15">
      <c r="A26" s="64" t="str">
        <f t="shared" ref="A26:A29" si="13">B26&amp;"_"&amp;I26</f>
        <v>1072_1061</v>
      </c>
      <c r="B26" s="43">
        <v>1072</v>
      </c>
      <c r="C26" s="186">
        <f t="shared" si="1"/>
        <v>1072</v>
      </c>
      <c r="D26" s="56" t="str">
        <f ca="1">VLOOKUP($C26,OFFSET([1]characters!$A$1,0,0,COUNTA([1]characters!$A:$A),MATCH(D$1,[1]characters!$1:$1,0)-MATCH($C$1,[1]characters!$1:$1,0)+1),MATCH(D$1,[1]characters!$1:$1,0)-MATCH($C$1,[1]characters!$1:$1,0)+1,FALSE)</f>
        <v>エンキドゥ</v>
      </c>
      <c r="E26" s="56">
        <f ca="1">VLOOKUP($C26,OFFSET([1]characters!$A$1,0,0,COUNTA([1]characters!$A:$A),MATCH(E$1,[1]characters!$1:$1,0)-MATCH($C$1,[1]characters!$1:$1,0)+1),MATCH(E$1,[1]characters!$1:$1,0)-MATCH($C$1,[1]characters!$1:$1,0)+1,FALSE)</f>
        <v>5</v>
      </c>
      <c r="F26" s="56" t="str">
        <f ca="1">VLOOKUP($C26,OFFSET([1]characters!$A$1,0,0,COUNTA([1]characters!$A:$A),MATCH(F$1,[1]characters!$1:$1,0)-MATCH($C$1,[1]characters!$1:$1,0)+1),MATCH(F$1,[1]characters!$1:$1,0)-MATCH($C$1,[1]characters!$1:$1,0)+1,FALSE)</f>
        <v>PremiumSSw</v>
      </c>
      <c r="G26" s="43">
        <v>1073</v>
      </c>
      <c r="H26" s="56" t="str">
        <f ca="1">VLOOKUP($G26,OFFSET([1]characters!$A$1,0,0,COUNTA([1]characters!$A:$A),MATCH(H$1,[1]characters!$1:$1,0)-MATCH($C$1,[1]characters!$1:$1,0)+1),MATCH(H$1,[1]characters!$1:$1,0)-MATCH($C$1,[1]characters!$1:$1,0)+1,FALSE)</f>
        <v>静穏なる獣勇 エンキドゥ</v>
      </c>
      <c r="I26" s="43">
        <v>1061</v>
      </c>
      <c r="J26" s="56" t="str">
        <f ca="1">VLOOKUP($I26,OFFSET([1]characters!$A$1,0,0,COUNTA([1]characters!$A:$A),MATCH(J$1,[1]characters!$1:$1,0)-MATCH($C$1,[1]characters!$1:$1,0)+1),MATCH(J$1,[1]characters!$1:$1,0)-MATCH($C$1,[1]characters!$1:$1,0)+1,FALSE)</f>
        <v>フンババ</v>
      </c>
      <c r="K26" s="18">
        <v>1</v>
      </c>
      <c r="L26" s="113">
        <v>1</v>
      </c>
      <c r="M26" s="113">
        <v>10</v>
      </c>
    </row>
    <row r="27" spans="1:13" x14ac:dyDescent="0.15">
      <c r="A27" s="64" t="str">
        <f t="shared" si="13"/>
        <v>1072_837</v>
      </c>
      <c r="B27" s="43">
        <v>1072</v>
      </c>
      <c r="C27" s="186">
        <f t="shared" si="1"/>
        <v>1072</v>
      </c>
      <c r="D27" s="56" t="str">
        <f ca="1">VLOOKUP($C27,OFFSET([1]characters!$A$1,0,0,COUNTA([1]characters!$A:$A),MATCH(D$1,[1]characters!$1:$1,0)-MATCH($C$1,[1]characters!$1:$1,0)+1),MATCH(D$1,[1]characters!$1:$1,0)-MATCH($C$1,[1]characters!$1:$1,0)+1,FALSE)</f>
        <v>エンキドゥ</v>
      </c>
      <c r="E27" s="56">
        <f ca="1">VLOOKUP($C27,OFFSET([1]characters!$A$1,0,0,COUNTA([1]characters!$A:$A),MATCH(E$1,[1]characters!$1:$1,0)-MATCH($C$1,[1]characters!$1:$1,0)+1),MATCH(E$1,[1]characters!$1:$1,0)-MATCH($C$1,[1]characters!$1:$1,0)+1,FALSE)</f>
        <v>5</v>
      </c>
      <c r="F27" s="56" t="str">
        <f ca="1">VLOOKUP($C27,OFFSET([1]characters!$A$1,0,0,COUNTA([1]characters!$A:$A),MATCH(F$1,[1]characters!$1:$1,0)-MATCH($C$1,[1]characters!$1:$1,0)+1),MATCH(F$1,[1]characters!$1:$1,0)-MATCH($C$1,[1]characters!$1:$1,0)+1,FALSE)</f>
        <v>PremiumSSw</v>
      </c>
      <c r="G27" s="43">
        <v>1073</v>
      </c>
      <c r="H27" s="56" t="str">
        <f ca="1">VLOOKUP($G27,OFFSET([1]characters!$A$1,0,0,COUNTA([1]characters!$A:$A),MATCH(H$1,[1]characters!$1:$1,0)-MATCH($C$1,[1]characters!$1:$1,0)+1),MATCH(H$1,[1]characters!$1:$1,0)-MATCH($C$1,[1]characters!$1:$1,0)+1,FALSE)</f>
        <v>静穏なる獣勇 エンキドゥ</v>
      </c>
      <c r="I27" s="43">
        <v>837</v>
      </c>
      <c r="J27" s="56" t="str">
        <f ca="1">VLOOKUP($I27,OFFSET([1]characters!$A$1,0,0,COUNTA([1]characters!$A:$A),MATCH(J$1,[1]characters!$1:$1,0)-MATCH($C$1,[1]characters!$1:$1,0)+1),MATCH(J$1,[1]characters!$1:$1,0)-MATCH($C$1,[1]characters!$1:$1,0)+1,FALSE)</f>
        <v>リトルハンプティ</v>
      </c>
      <c r="K27" s="18">
        <v>1</v>
      </c>
      <c r="L27" s="113">
        <v>1</v>
      </c>
      <c r="M27" s="113">
        <v>100</v>
      </c>
    </row>
    <row r="28" spans="1:13" x14ac:dyDescent="0.15">
      <c r="A28" s="64" t="str">
        <f t="shared" si="13"/>
        <v>1072_112</v>
      </c>
      <c r="B28" s="43">
        <v>1072</v>
      </c>
      <c r="C28" s="186">
        <f t="shared" si="1"/>
        <v>1072</v>
      </c>
      <c r="D28" s="56" t="str">
        <f ca="1">VLOOKUP($C28,OFFSET([1]characters!$A$1,0,0,COUNTA([1]characters!$A:$A),MATCH(D$1,[1]characters!$1:$1,0)-MATCH($C$1,[1]characters!$1:$1,0)+1),MATCH(D$1,[1]characters!$1:$1,0)-MATCH($C$1,[1]characters!$1:$1,0)+1,FALSE)</f>
        <v>エンキドゥ</v>
      </c>
      <c r="E28" s="56">
        <f ca="1">VLOOKUP($C28,OFFSET([1]characters!$A$1,0,0,COUNTA([1]characters!$A:$A),MATCH(E$1,[1]characters!$1:$1,0)-MATCH($C$1,[1]characters!$1:$1,0)+1),MATCH(E$1,[1]characters!$1:$1,0)-MATCH($C$1,[1]characters!$1:$1,0)+1,FALSE)</f>
        <v>5</v>
      </c>
      <c r="F28" s="56" t="str">
        <f ca="1">VLOOKUP($C28,OFFSET([1]characters!$A$1,0,0,COUNTA([1]characters!$A:$A),MATCH(F$1,[1]characters!$1:$1,0)-MATCH($C$1,[1]characters!$1:$1,0)+1),MATCH(F$1,[1]characters!$1:$1,0)-MATCH($C$1,[1]characters!$1:$1,0)+1,FALSE)</f>
        <v>PremiumSSw</v>
      </c>
      <c r="G28" s="43">
        <v>1073</v>
      </c>
      <c r="H28" s="56" t="str">
        <f ca="1">VLOOKUP($G28,OFFSET([1]characters!$A$1,0,0,COUNTA([1]characters!$A:$A),MATCH(H$1,[1]characters!$1:$1,0)-MATCH($C$1,[1]characters!$1:$1,0)+1),MATCH(H$1,[1]characters!$1:$1,0)-MATCH($C$1,[1]characters!$1:$1,0)+1,FALSE)</f>
        <v>静穏なる獣勇 エンキドゥ</v>
      </c>
      <c r="I28" s="43">
        <v>112</v>
      </c>
      <c r="J28" s="56" t="str">
        <f ca="1">VLOOKUP($I28,OFFSET([1]characters!$A$1,0,0,COUNTA([1]characters!$A:$A),MATCH(J$1,[1]characters!$1:$1,0)-MATCH($C$1,[1]characters!$1:$1,0)+1),MATCH(J$1,[1]characters!$1:$1,0)-MATCH($C$1,[1]characters!$1:$1,0)+1,FALSE)</f>
        <v>水のマッドハッター</v>
      </c>
      <c r="K28" s="18">
        <v>1</v>
      </c>
      <c r="L28" s="113">
        <v>1</v>
      </c>
      <c r="M28" s="113">
        <v>1</v>
      </c>
    </row>
    <row r="29" spans="1:13" ht="21" customHeight="1" x14ac:dyDescent="0.15">
      <c r="A29" s="64" t="str">
        <f t="shared" si="13"/>
        <v>1074_115</v>
      </c>
      <c r="B29" s="188">
        <v>1074</v>
      </c>
      <c r="C29" s="186">
        <f>B29</f>
        <v>1074</v>
      </c>
      <c r="D29" s="56" t="str">
        <f ca="1">VLOOKUP($C29,OFFSET([1]characters!$A$1,0,0,COUNTA([1]characters!$A:$A),MATCH(D$1,[1]characters!$1:$1,0)-MATCH($C$1,[1]characters!$1:$1,0)+1),MATCH(D$1,[1]characters!$1:$1,0)-MATCH($C$1,[1]characters!$1:$1,0)+1,FALSE)</f>
        <v>マルドゥク</v>
      </c>
      <c r="E29" s="56">
        <f ca="1">VLOOKUP($C29,OFFSET([1]characters!$A$1,0,0,COUNTA([1]characters!$A:$A),MATCH(E$1,[1]characters!$1:$1,0)-MATCH($C$1,[1]characters!$1:$1,0)+1),MATCH(E$1,[1]characters!$1:$1,0)-MATCH($C$1,[1]characters!$1:$1,0)+1,FALSE)</f>
        <v>5</v>
      </c>
      <c r="F29" s="56" t="str">
        <f ca="1">VLOOKUP($C29,OFFSET([1]characters!$A$1,0,0,COUNTA([1]characters!$A:$A),MATCH(F$1,[1]characters!$1:$1,0)-MATCH($C$1,[1]characters!$1:$1,0)+1),MATCH(F$1,[1]characters!$1:$1,0)-MATCH($C$1,[1]characters!$1:$1,0)+1,FALSE)</f>
        <v>PremiumSS</v>
      </c>
      <c r="G29" s="188">
        <v>1075</v>
      </c>
      <c r="H29" s="56" t="str">
        <f ca="1">VLOOKUP($G29,OFFSET([1]characters!$A$1,0,0,COUNTA([1]characters!$A:$A),MATCH(H$1,[1]characters!$1:$1,0)-MATCH($C$1,[1]characters!$1:$1,0)+1),MATCH(H$1,[1]characters!$1:$1,0)-MATCH($C$1,[1]characters!$1:$1,0)+1,FALSE)</f>
        <v>虚塔の神王 マルドゥク</v>
      </c>
      <c r="I29" s="43">
        <v>115</v>
      </c>
      <c r="J29" s="197" t="str">
        <f>VLOOKUP(I29,[1]characters!$A:$C,3,FALSE)</f>
        <v>イエローキャタップ</v>
      </c>
      <c r="K29" s="18">
        <v>1</v>
      </c>
      <c r="L29" s="113">
        <v>1</v>
      </c>
      <c r="M29" s="113">
        <v>1</v>
      </c>
    </row>
    <row r="30" spans="1:13" ht="21" customHeight="1" x14ac:dyDescent="0.15">
      <c r="A30" s="64" t="str">
        <f>B30&amp;"_"&amp;I30</f>
        <v>1074_304</v>
      </c>
      <c r="B30" s="188">
        <v>1074</v>
      </c>
      <c r="C30" s="186">
        <f>B30</f>
        <v>1074</v>
      </c>
      <c r="D30" s="56" t="str">
        <f ca="1">VLOOKUP($C30,OFFSET([1]characters!$A$1,0,0,COUNTA([1]characters!$A:$A),MATCH(D$1,[1]characters!$1:$1,0)-MATCH($C$1,[1]characters!$1:$1,0)+1),MATCH(D$1,[1]characters!$1:$1,0)-MATCH($C$1,[1]characters!$1:$1,0)+1,FALSE)</f>
        <v>マルドゥク</v>
      </c>
      <c r="E30" s="56">
        <f ca="1">VLOOKUP($C30,OFFSET([1]characters!$A$1,0,0,COUNTA([1]characters!$A:$A),MATCH(E$1,[1]characters!$1:$1,0)-MATCH($C$1,[1]characters!$1:$1,0)+1),MATCH(E$1,[1]characters!$1:$1,0)-MATCH($C$1,[1]characters!$1:$1,0)+1,FALSE)</f>
        <v>5</v>
      </c>
      <c r="F30" s="56" t="str">
        <f ca="1">VLOOKUP($C30,OFFSET([1]characters!$A$1,0,0,COUNTA([1]characters!$A:$A),MATCH(F$1,[1]characters!$1:$1,0)-MATCH($C$1,[1]characters!$1:$1,0)+1),MATCH(F$1,[1]characters!$1:$1,0)-MATCH($C$1,[1]characters!$1:$1,0)+1,FALSE)</f>
        <v>PremiumSS</v>
      </c>
      <c r="G30" s="188">
        <v>1075</v>
      </c>
      <c r="H30" s="56" t="str">
        <f ca="1">VLOOKUP($G30,OFFSET([1]characters!$A$1,0,0,COUNTA([1]characters!$A:$A),MATCH(H$1,[1]characters!$1:$1,0)-MATCH($C$1,[1]characters!$1:$1,0)+1),MATCH(H$1,[1]characters!$1:$1,0)-MATCH($C$1,[1]characters!$1:$1,0)+1,FALSE)</f>
        <v>虚塔の神王 マルドゥク</v>
      </c>
      <c r="I30" s="43">
        <v>304</v>
      </c>
      <c r="J30" s="56" t="str">
        <f ca="1">VLOOKUP($I30,OFFSET([1]characters!$A$1,0,0,COUNTA([1]characters!$A:$A),MATCH(J$1,[1]characters!$1:$1,0)-MATCH($C$1,[1]characters!$1:$1,0)+1),MATCH(J$1,[1]characters!$1:$1,0)-MATCH($C$1,[1]characters!$1:$1,0)+1,FALSE)</f>
        <v>電殺のチエミ</v>
      </c>
      <c r="K30" s="18">
        <v>1</v>
      </c>
      <c r="L30" s="113">
        <v>1</v>
      </c>
      <c r="M30" s="113">
        <v>10</v>
      </c>
    </row>
    <row r="31" spans="1:13" x14ac:dyDescent="0.15">
      <c r="A31" s="64" t="str">
        <f t="shared" ref="A31:A33" si="14">B31&amp;"_"&amp;I31</f>
        <v>1074_1061</v>
      </c>
      <c r="B31" s="188">
        <v>1074</v>
      </c>
      <c r="C31" s="186">
        <f t="shared" ref="C31:C33" si="15">B31</f>
        <v>1074</v>
      </c>
      <c r="D31" s="56" t="str">
        <f ca="1">VLOOKUP($C31,OFFSET([1]characters!$A$1,0,0,COUNTA([1]characters!$A:$A),MATCH(D$1,[1]characters!$1:$1,0)-MATCH($C$1,[1]characters!$1:$1,0)+1),MATCH(D$1,[1]characters!$1:$1,0)-MATCH($C$1,[1]characters!$1:$1,0)+1,FALSE)</f>
        <v>マルドゥク</v>
      </c>
      <c r="E31" s="56">
        <f ca="1">VLOOKUP($C31,OFFSET([1]characters!$A$1,0,0,COUNTA([1]characters!$A:$A),MATCH(E$1,[1]characters!$1:$1,0)-MATCH($C$1,[1]characters!$1:$1,0)+1),MATCH(E$1,[1]characters!$1:$1,0)-MATCH($C$1,[1]characters!$1:$1,0)+1,FALSE)</f>
        <v>5</v>
      </c>
      <c r="F31" s="56" t="str">
        <f ca="1">VLOOKUP($C31,OFFSET([1]characters!$A$1,0,0,COUNTA([1]characters!$A:$A),MATCH(F$1,[1]characters!$1:$1,0)-MATCH($C$1,[1]characters!$1:$1,0)+1),MATCH(F$1,[1]characters!$1:$1,0)-MATCH($C$1,[1]characters!$1:$1,0)+1,FALSE)</f>
        <v>PremiumSS</v>
      </c>
      <c r="G31" s="188">
        <v>1075</v>
      </c>
      <c r="H31" s="56" t="str">
        <f ca="1">VLOOKUP($G31,OFFSET([1]characters!$A$1,0,0,COUNTA([1]characters!$A:$A),MATCH(H$1,[1]characters!$1:$1,0)-MATCH($C$1,[1]characters!$1:$1,0)+1),MATCH(H$1,[1]characters!$1:$1,0)-MATCH($C$1,[1]characters!$1:$1,0)+1,FALSE)</f>
        <v>虚塔の神王 マルドゥク</v>
      </c>
      <c r="I31" s="43">
        <v>1061</v>
      </c>
      <c r="J31" s="56" t="str">
        <f ca="1">VLOOKUP($I31,OFFSET([1]characters!$A$1,0,0,COUNTA([1]characters!$A:$A),MATCH(J$1,[1]characters!$1:$1,0)-MATCH($C$1,[1]characters!$1:$1,0)+1),MATCH(J$1,[1]characters!$1:$1,0)-MATCH($C$1,[1]characters!$1:$1,0)+1,FALSE)</f>
        <v>フンババ</v>
      </c>
      <c r="K31" s="18">
        <v>1</v>
      </c>
      <c r="L31" s="113">
        <v>1</v>
      </c>
      <c r="M31" s="113">
        <v>10</v>
      </c>
    </row>
    <row r="32" spans="1:13" x14ac:dyDescent="0.15">
      <c r="A32" s="64" t="str">
        <f t="shared" si="14"/>
        <v>1074_837</v>
      </c>
      <c r="B32" s="188">
        <v>1074</v>
      </c>
      <c r="C32" s="186">
        <f t="shared" si="15"/>
        <v>1074</v>
      </c>
      <c r="D32" s="56" t="str">
        <f ca="1">VLOOKUP($C32,OFFSET([1]characters!$A$1,0,0,COUNTA([1]characters!$A:$A),MATCH(D$1,[1]characters!$1:$1,0)-MATCH($C$1,[1]characters!$1:$1,0)+1),MATCH(D$1,[1]characters!$1:$1,0)-MATCH($C$1,[1]characters!$1:$1,0)+1,FALSE)</f>
        <v>マルドゥク</v>
      </c>
      <c r="E32" s="56">
        <f ca="1">VLOOKUP($C32,OFFSET([1]characters!$A$1,0,0,COUNTA([1]characters!$A:$A),MATCH(E$1,[1]characters!$1:$1,0)-MATCH($C$1,[1]characters!$1:$1,0)+1),MATCH(E$1,[1]characters!$1:$1,0)-MATCH($C$1,[1]characters!$1:$1,0)+1,FALSE)</f>
        <v>5</v>
      </c>
      <c r="F32" s="56" t="str">
        <f ca="1">VLOOKUP($C32,OFFSET([1]characters!$A$1,0,0,COUNTA([1]characters!$A:$A),MATCH(F$1,[1]characters!$1:$1,0)-MATCH($C$1,[1]characters!$1:$1,0)+1),MATCH(F$1,[1]characters!$1:$1,0)-MATCH($C$1,[1]characters!$1:$1,0)+1,FALSE)</f>
        <v>PremiumSS</v>
      </c>
      <c r="G32" s="188">
        <v>1075</v>
      </c>
      <c r="H32" s="56" t="str">
        <f ca="1">VLOOKUP($G32,OFFSET([1]characters!$A$1,0,0,COUNTA([1]characters!$A:$A),MATCH(H$1,[1]characters!$1:$1,0)-MATCH($C$1,[1]characters!$1:$1,0)+1),MATCH(H$1,[1]characters!$1:$1,0)-MATCH($C$1,[1]characters!$1:$1,0)+1,FALSE)</f>
        <v>虚塔の神王 マルドゥク</v>
      </c>
      <c r="I32" s="43">
        <v>837</v>
      </c>
      <c r="J32" s="56" t="str">
        <f ca="1">VLOOKUP($I32,OFFSET([1]characters!$A$1,0,0,COUNTA([1]characters!$A:$A),MATCH(J$1,[1]characters!$1:$1,0)-MATCH($C$1,[1]characters!$1:$1,0)+1),MATCH(J$1,[1]characters!$1:$1,0)-MATCH($C$1,[1]characters!$1:$1,0)+1,FALSE)</f>
        <v>リトルハンプティ</v>
      </c>
      <c r="K32" s="18">
        <v>1</v>
      </c>
      <c r="L32" s="113">
        <v>1</v>
      </c>
      <c r="M32" s="113">
        <v>100</v>
      </c>
    </row>
    <row r="33" spans="1:13" x14ac:dyDescent="0.15">
      <c r="A33" s="64" t="str">
        <f t="shared" si="14"/>
        <v>1074_116</v>
      </c>
      <c r="B33" s="188">
        <v>1074</v>
      </c>
      <c r="C33" s="186">
        <f t="shared" si="15"/>
        <v>1074</v>
      </c>
      <c r="D33" s="56" t="str">
        <f ca="1">VLOOKUP($C33,OFFSET([1]characters!$A$1,0,0,COUNTA([1]characters!$A:$A),MATCH(D$1,[1]characters!$1:$1,0)-MATCH($C$1,[1]characters!$1:$1,0)+1),MATCH(D$1,[1]characters!$1:$1,0)-MATCH($C$1,[1]characters!$1:$1,0)+1,FALSE)</f>
        <v>マルドゥク</v>
      </c>
      <c r="E33" s="56">
        <f ca="1">VLOOKUP($C33,OFFSET([1]characters!$A$1,0,0,COUNTA([1]characters!$A:$A),MATCH(E$1,[1]characters!$1:$1,0)-MATCH($C$1,[1]characters!$1:$1,0)+1),MATCH(E$1,[1]characters!$1:$1,0)-MATCH($C$1,[1]characters!$1:$1,0)+1,FALSE)</f>
        <v>5</v>
      </c>
      <c r="F33" s="56" t="str">
        <f ca="1">VLOOKUP($C33,OFFSET([1]characters!$A$1,0,0,COUNTA([1]characters!$A:$A),MATCH(F$1,[1]characters!$1:$1,0)-MATCH($C$1,[1]characters!$1:$1,0)+1),MATCH(F$1,[1]characters!$1:$1,0)-MATCH($C$1,[1]characters!$1:$1,0)+1,FALSE)</f>
        <v>PremiumSS</v>
      </c>
      <c r="G33" s="188">
        <v>1075</v>
      </c>
      <c r="H33" s="56" t="str">
        <f ca="1">VLOOKUP($G33,OFFSET([1]characters!$A$1,0,0,COUNTA([1]characters!$A:$A),MATCH(H$1,[1]characters!$1:$1,0)-MATCH($C$1,[1]characters!$1:$1,0)+1),MATCH(H$1,[1]characters!$1:$1,0)-MATCH($C$1,[1]characters!$1:$1,0)+1,FALSE)</f>
        <v>虚塔の神王 マルドゥク</v>
      </c>
      <c r="I33" s="43">
        <v>116</v>
      </c>
      <c r="J33" s="56" t="str">
        <f ca="1">VLOOKUP($I33,OFFSET([1]characters!$A$1,0,0,COUNTA([1]characters!$A:$A),MATCH(J$1,[1]characters!$1:$1,0)-MATCH($C$1,[1]characters!$1:$1,0)+1),MATCH(J$1,[1]characters!$1:$1,0)-MATCH($C$1,[1]characters!$1:$1,0)+1,FALSE)</f>
        <v>雷のマッドハッター</v>
      </c>
      <c r="K33" s="18">
        <v>1</v>
      </c>
      <c r="L33" s="113">
        <v>1</v>
      </c>
      <c r="M33" s="113">
        <v>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K3"/>
  <sheetViews>
    <sheetView zoomScale="113" workbookViewId="0">
      <selection activeCell="J4" sqref="J4"/>
    </sheetView>
  </sheetViews>
  <sheetFormatPr baseColWidth="12" defaultRowHeight="15" x14ac:dyDescent="0.15"/>
  <cols>
    <col min="3" max="3" width="16.5" customWidth="1"/>
    <col min="4" max="4" width="43.6640625" customWidth="1"/>
    <col min="5" max="5" width="10.1640625" customWidth="1"/>
    <col min="6" max="6" width="26" customWidth="1"/>
    <col min="7" max="7" width="66.5" customWidth="1"/>
    <col min="8" max="8" width="11.6640625" customWidth="1"/>
    <col min="9" max="9" width="140.33203125" customWidth="1"/>
    <col min="10" max="10" width="7.5" bestFit="1" customWidth="1"/>
  </cols>
  <sheetData>
    <row r="1" spans="1:11" s="23" customFormat="1" ht="21" customHeight="1" x14ac:dyDescent="0.15">
      <c r="A1" s="167" t="s">
        <v>254</v>
      </c>
      <c r="B1" s="119" t="s">
        <v>181</v>
      </c>
      <c r="C1" s="120" t="s">
        <v>40</v>
      </c>
      <c r="D1" s="121" t="s">
        <v>179</v>
      </c>
      <c r="E1" s="121" t="s">
        <v>312</v>
      </c>
      <c r="F1" s="121" t="s">
        <v>313</v>
      </c>
      <c r="G1" s="121" t="s">
        <v>314</v>
      </c>
      <c r="H1" s="121" t="s">
        <v>315</v>
      </c>
      <c r="I1" s="173" t="s">
        <v>255</v>
      </c>
      <c r="J1" s="173" t="s">
        <v>503</v>
      </c>
      <c r="K1" s="168" t="s">
        <v>256</v>
      </c>
    </row>
    <row r="2" spans="1:11" s="23" customFormat="1" ht="21" customHeight="1" x14ac:dyDescent="0.15">
      <c r="A2" s="65">
        <v>107301</v>
      </c>
      <c r="B2" s="169" t="s">
        <v>331</v>
      </c>
      <c r="C2" s="198" t="s">
        <v>326</v>
      </c>
      <c r="D2" s="199" t="s">
        <v>327</v>
      </c>
      <c r="E2" s="198" t="s">
        <v>328</v>
      </c>
      <c r="F2" s="198" t="s">
        <v>329</v>
      </c>
      <c r="G2" s="198" t="s">
        <v>330</v>
      </c>
      <c r="H2" s="198" t="s">
        <v>332</v>
      </c>
      <c r="I2" s="200" t="str">
        <f>"{"&amp;""""&amp;$E$1&amp;""""&amp;":"&amp;""""&amp;E2&amp;""""&amp;","&amp;""""&amp;"type"&amp;""""&amp;":"&amp;""""&amp;"ability"&amp;""""&amp;","&amp;""""&amp;$G$1&amp;""""&amp;":"&amp;""""&amp;G2&amp;""""&amp;","&amp;""""&amp;$F$1&amp;""""&amp;":"&amp;""""&amp;F2&amp;""""&amp;","&amp;""""&amp;$H$1&amp;""""&amp;":"&amp;H2&amp;"}"</f>
        <v>{"ver":"1.7.0","type":"ability","effects":"[effect:crash_condition, target:myself, val:-1, turn:1]","conditions":"[condition:active_unit]    ","priority":0}</v>
      </c>
      <c r="J2" s="200" t="s">
        <v>504</v>
      </c>
      <c r="K2" s="201">
        <v>1</v>
      </c>
    </row>
    <row r="3" spans="1:11" s="23" customFormat="1" ht="21" customHeight="1" x14ac:dyDescent="0.15">
      <c r="A3" s="65">
        <v>106601</v>
      </c>
      <c r="B3" s="169" t="s">
        <v>456</v>
      </c>
      <c r="C3" s="198" t="s">
        <v>502</v>
      </c>
      <c r="D3" s="198" t="s">
        <v>476</v>
      </c>
      <c r="E3" s="198" t="s">
        <v>328</v>
      </c>
      <c r="F3" s="198" t="s">
        <v>475</v>
      </c>
      <c r="G3" s="198" t="s">
        <v>457</v>
      </c>
      <c r="H3" s="198" t="s">
        <v>332</v>
      </c>
      <c r="I3" s="200" t="str">
        <f>"{"&amp;""""&amp;$E$1&amp;""""&amp;":"&amp;""""&amp;E3&amp;""""&amp;","&amp;""""&amp;"type"&amp;""""&amp;":"&amp;""""&amp;"ability"&amp;""""&amp;","&amp;""""&amp;$G$1&amp;""""&amp;":"&amp;""""&amp;G3&amp;""""&amp;","&amp;""""&amp;$F$1&amp;""""&amp;":"&amp;""""&amp;F3&amp;""""&amp;","&amp;""""&amp;$H$1&amp;""""&amp;":"&amp;H3&amp;"}"</f>
        <v>{"ver":"1.7.0","type":"ability","effects":"[effect:enhance_unit, target:myself, turn:1, status:attack, val:0.2, calc:mul, animation:enhance_unit_all_attack03]","conditions":"[condition:enclose,[condition:active_unit],[condition:panel_chain,count:12],logic:and]","priority":0}</v>
      </c>
      <c r="J3" s="200" t="s">
        <v>505</v>
      </c>
      <c r="K3" s="201">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H7"/>
  <sheetViews>
    <sheetView workbookViewId="0">
      <selection activeCell="C5" sqref="C5"/>
    </sheetView>
  </sheetViews>
  <sheetFormatPr baseColWidth="12" defaultRowHeight="15" x14ac:dyDescent="0.15"/>
  <cols>
    <col min="6" max="6" width="42.1640625" customWidth="1"/>
  </cols>
  <sheetData>
    <row r="1" spans="1:8" s="23" customFormat="1" ht="21" customHeight="1" x14ac:dyDescent="0.15">
      <c r="A1" s="167" t="s">
        <v>257</v>
      </c>
      <c r="B1" s="170" t="s">
        <v>258</v>
      </c>
      <c r="C1" s="119" t="s">
        <v>259</v>
      </c>
      <c r="D1" s="119" t="s">
        <v>260</v>
      </c>
      <c r="E1" s="171" t="s">
        <v>261</v>
      </c>
      <c r="F1" s="171" t="s">
        <v>262</v>
      </c>
      <c r="G1" s="122" t="s">
        <v>263</v>
      </c>
      <c r="H1" s="167" t="s">
        <v>264</v>
      </c>
    </row>
    <row r="2" spans="1:8" s="4" customFormat="1" ht="21" customHeight="1" x14ac:dyDescent="0.15">
      <c r="A2" s="65">
        <v>1064</v>
      </c>
      <c r="B2" s="172" t="str">
        <f>VLOOKUP(A2,[1]characters!$A:$C,3)</f>
        <v>混沌の猛飛沫 ティアマト</v>
      </c>
      <c r="C2" s="169">
        <v>1</v>
      </c>
      <c r="D2" s="65">
        <v>200</v>
      </c>
      <c r="E2" s="173" t="str">
        <f>IF(ISERROR(VLOOKUP(D2,[3]abilities!A:D,3,FALSE))=FALSE,VLOOKUP(D2,[3]abilities!A:D,3),IF(ISERROR(VLOOKUP(D2,[3]abilities!A:D,3,FALSE))=FALSE,VLOOKUP(D2,[3]abilities!A:D,3),"なし"))</f>
        <v>ウィルス無効</v>
      </c>
      <c r="F2" s="173" t="str">
        <f>IF(ISERROR(VLOOKUP(D2,[3]abilities!A:D,4,FALSE))=FALSE,VLOOKUP(D2,[3]abilities!A:D,4),IF(ISERROR(VLOOKUP(D2,[3]abilities!A:D,4,FALSE))=FALSE,VLOOKUP(D2,[3]abilities!A:D,4),"なし"))</f>
        <v>自身にかかるウィルスを無効化する</v>
      </c>
      <c r="G2" s="174" t="s">
        <v>320</v>
      </c>
      <c r="H2" s="174" t="s">
        <v>345</v>
      </c>
    </row>
    <row r="3" spans="1:8" s="4" customFormat="1" ht="21" customHeight="1" x14ac:dyDescent="0.15">
      <c r="A3" s="65">
        <v>1066</v>
      </c>
      <c r="B3" s="172" t="str">
        <f>VLOOKUP(A3,[1]characters!$A:$C,3)</f>
        <v>放縦の序獅子 ギルガメッシュ</v>
      </c>
      <c r="C3" s="169">
        <v>1</v>
      </c>
      <c r="D3" s="65">
        <v>200</v>
      </c>
      <c r="E3" s="173" t="str">
        <f>IF(ISERROR(VLOOKUP(D3,[3]abilities!A:D,3,FALSE))=FALSE,VLOOKUP(D3,[3]abilities!A:D,3),IF(ISERROR(VLOOKUP(D3,[3]abilities!A:D,3,FALSE))=FALSE,VLOOKUP(D3,[3]abilities!A:D,3),"なし"))</f>
        <v>ウィルス無効</v>
      </c>
      <c r="F3" s="173" t="str">
        <f>IF(ISERROR(VLOOKUP(D3,[3]abilities!A:D,4,FALSE))=FALSE,VLOOKUP(D3,[3]abilities!A:D,4),IF(ISERROR(VLOOKUP(D3,[3]abilities!A:D,4,FALSE))=FALSE,VLOOKUP(D3,[3]abilities!A:D,4),"なし"))</f>
        <v>自身にかかるウィルスを無効化する</v>
      </c>
      <c r="G3" s="174" t="s">
        <v>320</v>
      </c>
      <c r="H3" s="174" t="s">
        <v>321</v>
      </c>
    </row>
    <row r="4" spans="1:8" s="4" customFormat="1" ht="21" customHeight="1" x14ac:dyDescent="0.15">
      <c r="A4" s="65">
        <v>1066</v>
      </c>
      <c r="B4" s="172" t="str">
        <f>VLOOKUP(A4,[1]characters!$A:$C,3)</f>
        <v>放縦の序獅子 ギルガメッシュ</v>
      </c>
      <c r="C4" s="169">
        <v>2</v>
      </c>
      <c r="D4" s="65">
        <v>106601</v>
      </c>
      <c r="E4" s="173" t="e">
        <f>IF(ISERROR(VLOOKUP(D4,abilities!A:D,3,FALSE))=FALSE,VLOOKUP(D4,abilities!A:D,3),IF(ISERROR(VLOOKUP(D4,abilities!A:D,3,FALSE))=FALSE,VLOOKUP(D4,abilities!A:D,3),"なし"))</f>
        <v>#N/A</v>
      </c>
      <c r="F4" s="173" t="e">
        <f>IF(ISERROR(VLOOKUP(D4,abilities!A:D,4,FALSE))=FALSE,VLOOKUP(D4,abilities!A:D,4),IF(ISERROR(VLOOKUP(D4,abilities!A:D,4,FALSE))=FALSE,VLOOKUP(D4,abilities!A:D,4),"なし"))</f>
        <v>#N/A</v>
      </c>
      <c r="G4" s="174" t="s">
        <v>320</v>
      </c>
      <c r="H4" s="174" t="s">
        <v>458</v>
      </c>
    </row>
    <row r="5" spans="1:8" s="4" customFormat="1" ht="21" customHeight="1" x14ac:dyDescent="0.15">
      <c r="A5" s="65">
        <v>1073</v>
      </c>
      <c r="B5" s="172" t="str">
        <f>VLOOKUP(A5,[1]characters!$A:$C,3)</f>
        <v>静穏なる獣勇 エンキドゥ</v>
      </c>
      <c r="C5" s="169">
        <v>1</v>
      </c>
      <c r="D5" s="65">
        <v>204</v>
      </c>
      <c r="E5" s="173" t="str">
        <f>IF(ISERROR(VLOOKUP(D5,[3]abilities!A:D,3,FALSE))=FALSE,VLOOKUP(D5,[3]abilities!A:D,3),IF(ISERROR(VLOOKUP(D5,[3]abilities!A:D,3,FALSE))=FALSE,VLOOKUP(D5,[3]abilities!A:D,3),"なし"))</f>
        <v>爆風強化</v>
      </c>
      <c r="F5" s="173" t="str">
        <f>IF(ISERROR(VLOOKUP(D5,[3]abilities!A:D,4,FALSE))=FALSE,VLOOKUP(D5,[3]abilities!A:D,4),IF(ISERROR(VLOOKUP(D5,[3]abilities!A:D,4,FALSE))=FALSE,VLOOKUP(D5,[3]abilities!A:D,4),"なし"))</f>
        <v>自身が先頭の時、ボムの爆風を強化する</v>
      </c>
      <c r="G5" s="174" t="s">
        <v>320</v>
      </c>
      <c r="H5" s="174" t="s">
        <v>321</v>
      </c>
    </row>
    <row r="6" spans="1:8" s="4" customFormat="1" ht="21" customHeight="1" x14ac:dyDescent="0.15">
      <c r="A6" s="65">
        <v>1075</v>
      </c>
      <c r="B6" s="172" t="str">
        <f>VLOOKUP(A6,[1]characters!$A:$C,3)</f>
        <v>虚塔の神王 マルドゥク</v>
      </c>
      <c r="C6" s="169">
        <v>1</v>
      </c>
      <c r="D6" s="65">
        <v>103</v>
      </c>
      <c r="E6" s="173" t="str">
        <f>IF(ISERROR(VLOOKUP(D6,[3]abilities!A:D,3,FALSE))=FALSE,VLOOKUP(D6,[3]abilities!A:D,3),IF(ISERROR(VLOOKUP(D6,[3]abilities!A:D,3,FALSE))=FALSE,VLOOKUP(D6,[3]abilities!A:D,3),"なし"))</f>
        <v>お邪魔ブレイク</v>
      </c>
      <c r="F6" s="173" t="str">
        <f>IF(ISERROR(VLOOKUP(D6,[3]abilities!A:D,4,FALSE))=FALSE,VLOOKUP(D6,[3]abilities!A:D,4),IF(ISERROR(VLOOKUP(D6,[3]abilities!A:D,4,FALSE))=FALSE,VLOOKUP(D6,[3]abilities!A:D,4),"なし"))</f>
        <v>自身が先頭の時、お邪魔パネルを破壊できる</v>
      </c>
      <c r="G6" s="174" t="s">
        <v>320</v>
      </c>
      <c r="H6" s="174" t="s">
        <v>321</v>
      </c>
    </row>
    <row r="7" spans="1:8" s="4" customFormat="1" ht="21" customHeight="1" x14ac:dyDescent="0.15">
      <c r="A7" s="65">
        <v>1070</v>
      </c>
      <c r="B7" s="172" t="str">
        <f>VLOOKUP(A7,[1]characters!$A:$C,3)</f>
        <v>駆脳する造愛 イシュタル</v>
      </c>
      <c r="C7" s="169">
        <v>1</v>
      </c>
      <c r="D7" s="65">
        <v>200</v>
      </c>
      <c r="E7" s="173" t="str">
        <f>IF(ISERROR(VLOOKUP(D7,[3]abilities!A:D,3,FALSE))=FALSE,VLOOKUP(D7,[3]abilities!A:D,3),IF(ISERROR(VLOOKUP(D7,[3]abilities!A:D,3,FALSE))=FALSE,VLOOKUP(D7,[3]abilities!A:D,3),"なし"))</f>
        <v>ウィルス無効</v>
      </c>
      <c r="F7" s="173" t="str">
        <f>IF(ISERROR(VLOOKUP(D7,[3]abilities!A:D,4,FALSE))=FALSE,VLOOKUP(D7,[3]abilities!A:D,4),IF(ISERROR(VLOOKUP(D7,[3]abilities!A:D,4,FALSE))=FALSE,VLOOKUP(D7,[3]abilities!A:D,4),"なし"))</f>
        <v>自身にかかるウィルスを無効化する</v>
      </c>
      <c r="G7" s="174" t="s">
        <v>320</v>
      </c>
      <c r="H7" s="174" t="s">
        <v>321</v>
      </c>
    </row>
  </sheetData>
  <phoneticPr fontId="22"/>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K25" sqref="K25"/>
    </sheetView>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C9" sqref="C9"/>
    </sheetView>
  </sheetViews>
  <sheetFormatPr baseColWidth="12" defaultRowHeight="15" x14ac:dyDescent="0.15"/>
  <sheetData>
    <row r="1" spans="1:2" x14ac:dyDescent="0.15">
      <c r="A1" t="s">
        <v>479</v>
      </c>
      <c r="B1" t="s">
        <v>480</v>
      </c>
    </row>
    <row r="2" spans="1:2" x14ac:dyDescent="0.15">
      <c r="A2" t="s">
        <v>481</v>
      </c>
      <c r="B2">
        <v>1</v>
      </c>
    </row>
    <row r="3" spans="1:2" x14ac:dyDescent="0.15">
      <c r="A3" t="s">
        <v>482</v>
      </c>
      <c r="B3">
        <v>1</v>
      </c>
    </row>
    <row r="4" spans="1:2" x14ac:dyDescent="0.15">
      <c r="A4" t="s">
        <v>483</v>
      </c>
      <c r="B4">
        <v>1</v>
      </c>
    </row>
    <row r="5" spans="1:2" x14ac:dyDescent="0.15">
      <c r="A5" t="s">
        <v>484</v>
      </c>
      <c r="B5">
        <v>1</v>
      </c>
    </row>
    <row r="6" spans="1:2" x14ac:dyDescent="0.15">
      <c r="A6" t="s">
        <v>485</v>
      </c>
      <c r="B6">
        <v>1</v>
      </c>
    </row>
    <row r="7" spans="1:2" x14ac:dyDescent="0.15">
      <c r="A7" t="s">
        <v>486</v>
      </c>
      <c r="B7">
        <v>1</v>
      </c>
    </row>
    <row r="8" spans="1:2" x14ac:dyDescent="0.15">
      <c r="A8" t="s">
        <v>487</v>
      </c>
      <c r="B8">
        <v>1</v>
      </c>
    </row>
    <row r="9" spans="1:2" x14ac:dyDescent="0.15">
      <c r="A9" t="s">
        <v>488</v>
      </c>
      <c r="B9">
        <v>1</v>
      </c>
    </row>
    <row r="10" spans="1:2" x14ac:dyDescent="0.15">
      <c r="A10" t="s">
        <v>489</v>
      </c>
      <c r="B10">
        <v>1</v>
      </c>
    </row>
    <row r="11" spans="1:2" x14ac:dyDescent="0.15">
      <c r="A11" t="s">
        <v>490</v>
      </c>
      <c r="B11">
        <v>1</v>
      </c>
    </row>
    <row r="12" spans="1:2" x14ac:dyDescent="0.15">
      <c r="A12" t="s">
        <v>491</v>
      </c>
      <c r="B12">
        <v>1</v>
      </c>
    </row>
    <row r="13" spans="1:2" x14ac:dyDescent="0.15">
      <c r="A13" t="s">
        <v>492</v>
      </c>
      <c r="B13">
        <v>0</v>
      </c>
    </row>
    <row r="14" spans="1:2" x14ac:dyDescent="0.15">
      <c r="A14" t="s">
        <v>493</v>
      </c>
      <c r="B14">
        <v>500</v>
      </c>
    </row>
    <row r="15" spans="1:2" x14ac:dyDescent="0.15">
      <c r="A15" t="s">
        <v>494</v>
      </c>
      <c r="B15">
        <v>600</v>
      </c>
    </row>
    <row r="16" spans="1:2" x14ac:dyDescent="0.15">
      <c r="A16" t="s">
        <v>495</v>
      </c>
      <c r="B16">
        <v>700</v>
      </c>
    </row>
    <row r="17" spans="1:2" x14ac:dyDescent="0.15">
      <c r="A17" t="s">
        <v>496</v>
      </c>
      <c r="B17">
        <v>5500</v>
      </c>
    </row>
    <row r="18" spans="1:2" x14ac:dyDescent="0.15">
      <c r="A18" t="s">
        <v>497</v>
      </c>
      <c r="B18">
        <v>6000</v>
      </c>
    </row>
    <row r="19" spans="1:2" x14ac:dyDescent="0.15">
      <c r="A19" t="s">
        <v>498</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0" t="s">
        <v>233</v>
      </c>
      <c r="B1" s="32">
        <v>1</v>
      </c>
      <c r="C1" s="32">
        <v>2</v>
      </c>
      <c r="D1" s="32">
        <v>3</v>
      </c>
      <c r="E1" s="32">
        <v>4</v>
      </c>
      <c r="F1" s="32">
        <v>5</v>
      </c>
      <c r="G1" s="32">
        <v>6</v>
      </c>
      <c r="H1" s="32">
        <v>7</v>
      </c>
      <c r="I1" s="32">
        <v>8</v>
      </c>
    </row>
    <row r="2" spans="1:9" s="4" customFormat="1" ht="21" customHeight="1" x14ac:dyDescent="0.15">
      <c r="A2" s="145" t="s">
        <v>234</v>
      </c>
      <c r="B2" s="146"/>
      <c r="C2" s="147"/>
      <c r="D2" s="148" t="s">
        <v>235</v>
      </c>
      <c r="E2" s="148">
        <v>30</v>
      </c>
      <c r="F2" s="148">
        <v>40</v>
      </c>
      <c r="G2" s="148">
        <f>15+F2</f>
        <v>55</v>
      </c>
      <c r="H2" s="147"/>
      <c r="I2" s="147"/>
    </row>
    <row r="3" spans="1:9" s="4" customFormat="1" ht="21" customHeight="1" x14ac:dyDescent="0.15">
      <c r="A3" s="145" t="s">
        <v>236</v>
      </c>
      <c r="B3" s="149"/>
      <c r="C3" s="150"/>
      <c r="D3" s="151" t="s">
        <v>235</v>
      </c>
      <c r="E3" s="151">
        <v>25</v>
      </c>
      <c r="F3" s="151">
        <v>35</v>
      </c>
      <c r="G3" s="148">
        <f t="shared" ref="G3:G4" si="0">15+F3</f>
        <v>50</v>
      </c>
      <c r="H3" s="150"/>
      <c r="I3" s="150"/>
    </row>
    <row r="4" spans="1:9" s="4" customFormat="1" ht="21" customHeight="1" x14ac:dyDescent="0.15">
      <c r="A4" s="145" t="s">
        <v>237</v>
      </c>
      <c r="B4" s="152"/>
      <c r="C4" s="153"/>
      <c r="D4" s="154">
        <v>10</v>
      </c>
      <c r="E4" s="154">
        <v>20</v>
      </c>
      <c r="F4" s="154">
        <v>30</v>
      </c>
      <c r="G4" s="154">
        <f t="shared" si="0"/>
        <v>45</v>
      </c>
      <c r="H4" s="153"/>
      <c r="I4" s="153"/>
    </row>
    <row r="5" spans="1:9" s="4" customFormat="1" ht="21" customHeight="1" x14ac:dyDescent="0.15">
      <c r="A5" s="164" t="s">
        <v>238</v>
      </c>
      <c r="B5" s="159"/>
      <c r="C5" s="160"/>
      <c r="D5" s="28">
        <v>9</v>
      </c>
      <c r="E5" s="28">
        <v>18</v>
      </c>
      <c r="F5" s="28">
        <v>28</v>
      </c>
      <c r="G5" s="38">
        <v>38</v>
      </c>
      <c r="H5" s="160"/>
      <c r="I5" s="160"/>
    </row>
    <row r="6" spans="1:9" s="4" customFormat="1" ht="21" customHeight="1" x14ac:dyDescent="0.15">
      <c r="A6" s="164" t="s">
        <v>239</v>
      </c>
      <c r="B6" s="159"/>
      <c r="C6" s="160"/>
      <c r="D6" s="28">
        <v>7</v>
      </c>
      <c r="E6" s="28">
        <v>16</v>
      </c>
      <c r="F6" s="68" t="s">
        <v>11</v>
      </c>
      <c r="G6" s="68" t="s">
        <v>11</v>
      </c>
      <c r="H6" s="160"/>
      <c r="I6" s="160"/>
    </row>
    <row r="7" spans="1:9" ht="21" customHeight="1" x14ac:dyDescent="0.15">
      <c r="A7" s="73" t="s">
        <v>240</v>
      </c>
      <c r="B7" s="46" t="s">
        <v>11</v>
      </c>
      <c r="C7" s="46" t="s">
        <v>11</v>
      </c>
      <c r="D7" s="38" t="s">
        <v>235</v>
      </c>
      <c r="E7" s="38" t="s">
        <v>235</v>
      </c>
      <c r="F7" s="38" t="s">
        <v>235</v>
      </c>
      <c r="G7" s="38" t="s">
        <v>235</v>
      </c>
      <c r="H7" s="38" t="s">
        <v>235</v>
      </c>
      <c r="I7" s="38" t="s">
        <v>235</v>
      </c>
    </row>
    <row r="8" spans="1:9" ht="21" customHeight="1" x14ac:dyDescent="0.15">
      <c r="A8" s="74" t="s">
        <v>241</v>
      </c>
      <c r="B8" s="46" t="s">
        <v>11</v>
      </c>
      <c r="C8" s="46" t="s">
        <v>11</v>
      </c>
      <c r="D8" s="38" t="s">
        <v>235</v>
      </c>
      <c r="E8" s="38">
        <v>30</v>
      </c>
      <c r="F8" s="38">
        <v>40</v>
      </c>
      <c r="G8" s="38">
        <f>15+F8</f>
        <v>55</v>
      </c>
      <c r="H8" s="38" t="s">
        <v>235</v>
      </c>
      <c r="I8" s="38" t="s">
        <v>235</v>
      </c>
    </row>
    <row r="9" spans="1:9" s="45" customFormat="1" ht="21" customHeight="1" x14ac:dyDescent="0.15">
      <c r="A9" s="202" t="s">
        <v>338</v>
      </c>
      <c r="B9" s="28" t="s">
        <v>11</v>
      </c>
      <c r="C9" s="28" t="s">
        <v>11</v>
      </c>
      <c r="D9" s="105" t="s">
        <v>235</v>
      </c>
      <c r="E9" s="105" t="s">
        <v>235</v>
      </c>
      <c r="F9" s="105">
        <v>38</v>
      </c>
      <c r="G9" s="38">
        <f>15+F9</f>
        <v>53</v>
      </c>
      <c r="H9" s="105" t="s">
        <v>235</v>
      </c>
      <c r="I9" s="105" t="s">
        <v>235</v>
      </c>
    </row>
    <row r="10" spans="1:9" s="45" customFormat="1" ht="21" customHeight="1" x14ac:dyDescent="0.15">
      <c r="A10" s="75" t="s">
        <v>242</v>
      </c>
      <c r="B10" s="28" t="s">
        <v>11</v>
      </c>
      <c r="C10" s="28" t="s">
        <v>11</v>
      </c>
      <c r="D10" s="105" t="s">
        <v>235</v>
      </c>
      <c r="E10" s="105">
        <v>25</v>
      </c>
      <c r="F10" s="105">
        <v>35</v>
      </c>
      <c r="G10" s="38">
        <f t="shared" ref="G10:G11" si="1">15+F10</f>
        <v>50</v>
      </c>
      <c r="H10" s="105" t="s">
        <v>235</v>
      </c>
      <c r="I10" s="105" t="s">
        <v>235</v>
      </c>
    </row>
    <row r="11" spans="1:9" ht="21" customHeight="1" x14ac:dyDescent="0.15">
      <c r="A11" s="75" t="s">
        <v>9</v>
      </c>
      <c r="B11" s="68" t="s">
        <v>11</v>
      </c>
      <c r="C11" s="68" t="s">
        <v>11</v>
      </c>
      <c r="D11" s="28">
        <v>10</v>
      </c>
      <c r="E11" s="28">
        <v>20</v>
      </c>
      <c r="F11" s="28">
        <v>30</v>
      </c>
      <c r="G11" s="38">
        <f t="shared" si="1"/>
        <v>45</v>
      </c>
      <c r="H11" s="68" t="s">
        <v>11</v>
      </c>
      <c r="I11" s="68" t="s">
        <v>11</v>
      </c>
    </row>
    <row r="12" spans="1:9" ht="21" customHeight="1" x14ac:dyDescent="0.15">
      <c r="A12" s="75" t="s">
        <v>243</v>
      </c>
      <c r="B12" s="68" t="s">
        <v>11</v>
      </c>
      <c r="C12" s="68" t="s">
        <v>11</v>
      </c>
      <c r="D12" s="28">
        <v>9</v>
      </c>
      <c r="E12" s="28">
        <v>18</v>
      </c>
      <c r="F12" s="28">
        <v>28</v>
      </c>
      <c r="G12" s="38">
        <v>38</v>
      </c>
      <c r="H12" s="68" t="s">
        <v>11</v>
      </c>
      <c r="I12" s="68" t="s">
        <v>11</v>
      </c>
    </row>
    <row r="13" spans="1:9" ht="21" customHeight="1" x14ac:dyDescent="0.15">
      <c r="A13" s="75" t="s">
        <v>244</v>
      </c>
      <c r="B13" s="68" t="s">
        <v>11</v>
      </c>
      <c r="C13" s="68" t="s">
        <v>11</v>
      </c>
      <c r="D13" s="28">
        <v>7</v>
      </c>
      <c r="E13" s="28">
        <v>16</v>
      </c>
      <c r="F13" s="68" t="s">
        <v>11</v>
      </c>
      <c r="G13" s="68" t="s">
        <v>11</v>
      </c>
      <c r="H13" s="68" t="s">
        <v>11</v>
      </c>
      <c r="I13" s="68" t="s">
        <v>11</v>
      </c>
    </row>
    <row r="14" spans="1:9" ht="21" customHeight="1" x14ac:dyDescent="0.15">
      <c r="A14" s="104" t="s">
        <v>245</v>
      </c>
      <c r="B14" s="68" t="s">
        <v>11</v>
      </c>
      <c r="C14" s="68" t="s">
        <v>11</v>
      </c>
      <c r="D14" s="28">
        <v>8</v>
      </c>
      <c r="E14" s="28">
        <v>17</v>
      </c>
      <c r="F14" s="28">
        <v>26</v>
      </c>
      <c r="G14" s="68" t="s">
        <v>11</v>
      </c>
      <c r="H14" s="68" t="s">
        <v>11</v>
      </c>
      <c r="I14" s="68" t="s">
        <v>11</v>
      </c>
    </row>
    <row r="15" spans="1:9" ht="21" customHeight="1" x14ac:dyDescent="0.15">
      <c r="A15" s="75" t="s">
        <v>246</v>
      </c>
      <c r="B15" s="68" t="s">
        <v>11</v>
      </c>
      <c r="C15" s="68" t="s">
        <v>11</v>
      </c>
      <c r="D15" s="28">
        <v>8</v>
      </c>
      <c r="E15" s="28">
        <v>17</v>
      </c>
      <c r="F15" s="28">
        <v>26</v>
      </c>
      <c r="G15" s="68" t="s">
        <v>11</v>
      </c>
      <c r="H15" s="68" t="s">
        <v>11</v>
      </c>
      <c r="I15" s="68" t="s">
        <v>11</v>
      </c>
    </row>
    <row r="16" spans="1:9" ht="21" customHeight="1" x14ac:dyDescent="0.15">
      <c r="A16" s="75" t="s">
        <v>247</v>
      </c>
      <c r="B16" s="68" t="s">
        <v>11</v>
      </c>
      <c r="C16" s="68" t="s">
        <v>11</v>
      </c>
      <c r="D16" s="28">
        <v>6</v>
      </c>
      <c r="E16" s="28">
        <v>14</v>
      </c>
      <c r="F16" s="68" t="s">
        <v>11</v>
      </c>
      <c r="G16" s="68" t="s">
        <v>11</v>
      </c>
      <c r="H16" s="68" t="s">
        <v>11</v>
      </c>
      <c r="I16" s="68" t="s">
        <v>11</v>
      </c>
    </row>
    <row r="17" spans="1:9" ht="21" customHeight="1" x14ac:dyDescent="0.15">
      <c r="A17" s="75" t="s">
        <v>248</v>
      </c>
      <c r="B17" s="68" t="s">
        <v>11</v>
      </c>
      <c r="C17" s="28">
        <v>4</v>
      </c>
      <c r="D17" s="28">
        <v>6</v>
      </c>
      <c r="E17" s="28">
        <v>14</v>
      </c>
      <c r="F17" s="68" t="s">
        <v>11</v>
      </c>
      <c r="G17" s="68" t="s">
        <v>11</v>
      </c>
      <c r="H17" s="68" t="s">
        <v>11</v>
      </c>
      <c r="I17" s="68" t="s">
        <v>11</v>
      </c>
    </row>
    <row r="18" spans="1:9" ht="21" customHeight="1" x14ac:dyDescent="0.15">
      <c r="A18" s="75" t="s">
        <v>8</v>
      </c>
      <c r="B18" s="28">
        <v>2</v>
      </c>
      <c r="C18" s="28">
        <v>4</v>
      </c>
      <c r="D18" s="28">
        <v>6</v>
      </c>
      <c r="E18" s="68" t="s">
        <v>11</v>
      </c>
      <c r="F18" s="68" t="s">
        <v>11</v>
      </c>
      <c r="G18" s="68" t="s">
        <v>11</v>
      </c>
      <c r="H18" s="68" t="s">
        <v>11</v>
      </c>
      <c r="I18" s="68" t="s">
        <v>11</v>
      </c>
    </row>
    <row r="19" spans="1:9" ht="21" customHeight="1" x14ac:dyDescent="0.15">
      <c r="A19" s="76" t="s">
        <v>7</v>
      </c>
      <c r="B19" s="31">
        <v>1</v>
      </c>
      <c r="C19" s="31">
        <v>2</v>
      </c>
      <c r="D19" s="69" t="s">
        <v>11</v>
      </c>
      <c r="E19" s="69" t="s">
        <v>11</v>
      </c>
      <c r="F19" s="69" t="s">
        <v>11</v>
      </c>
      <c r="G19" s="69" t="s">
        <v>11</v>
      </c>
      <c r="H19" s="69" t="s">
        <v>11</v>
      </c>
      <c r="I19" s="69" t="s">
        <v>11</v>
      </c>
    </row>
    <row r="20" spans="1:9" ht="21" customHeight="1" x14ac:dyDescent="0.15">
      <c r="A20" s="77" t="s">
        <v>249</v>
      </c>
      <c r="B20" s="26">
        <v>1</v>
      </c>
      <c r="C20" s="26">
        <v>1</v>
      </c>
      <c r="D20" s="69" t="s">
        <v>11</v>
      </c>
      <c r="E20" s="69" t="s">
        <v>11</v>
      </c>
      <c r="F20" s="69" t="s">
        <v>11</v>
      </c>
      <c r="G20" s="69" t="s">
        <v>11</v>
      </c>
      <c r="H20" s="69" t="s">
        <v>11</v>
      </c>
      <c r="I20" s="69" t="s">
        <v>11</v>
      </c>
    </row>
    <row r="21" spans="1:9" ht="21" customHeight="1" x14ac:dyDescent="0.15">
      <c r="A21" s="37" t="s">
        <v>250</v>
      </c>
      <c r="B21" s="36">
        <v>99</v>
      </c>
      <c r="C21" s="36">
        <v>99</v>
      </c>
      <c r="D21" s="36">
        <v>99</v>
      </c>
      <c r="E21" s="36">
        <v>99</v>
      </c>
      <c r="F21" s="36">
        <v>99</v>
      </c>
      <c r="G21" s="36">
        <v>99</v>
      </c>
      <c r="H21" s="36">
        <v>99</v>
      </c>
      <c r="I21" s="36">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A9" sqref="A9"/>
    </sheetView>
  </sheetViews>
  <sheetFormatPr baseColWidth="12" defaultColWidth="13" defaultRowHeight="21" customHeight="1" x14ac:dyDescent="0.15"/>
  <cols>
    <col min="1" max="1" width="13" style="4"/>
    <col min="2" max="16384" width="13" style="23"/>
  </cols>
  <sheetData>
    <row r="1" spans="1:9" ht="21" customHeight="1" x14ac:dyDescent="0.15">
      <c r="A1" s="32" t="s">
        <v>10</v>
      </c>
      <c r="B1" s="22">
        <v>1</v>
      </c>
      <c r="C1" s="22">
        <v>2</v>
      </c>
      <c r="D1" s="22">
        <v>3</v>
      </c>
      <c r="E1" s="22">
        <v>4</v>
      </c>
      <c r="F1" s="22">
        <v>5</v>
      </c>
      <c r="G1" s="22">
        <v>6</v>
      </c>
      <c r="H1" s="22">
        <v>7</v>
      </c>
      <c r="I1" s="22">
        <v>8</v>
      </c>
    </row>
    <row r="2" spans="1:9" s="4" customFormat="1" ht="21" customHeight="1" x14ac:dyDescent="0.15">
      <c r="A2" s="145" t="s">
        <v>234</v>
      </c>
      <c r="B2" s="161"/>
      <c r="C2" s="147"/>
      <c r="D2" s="155" t="s">
        <v>109</v>
      </c>
      <c r="E2" s="155">
        <v>60</v>
      </c>
      <c r="F2" s="155">
        <v>80</v>
      </c>
      <c r="G2" s="155">
        <v>99</v>
      </c>
      <c r="H2" s="147"/>
      <c r="I2" s="147"/>
    </row>
    <row r="3" spans="1:9" s="4" customFormat="1" ht="21" customHeight="1" x14ac:dyDescent="0.15">
      <c r="A3" s="145" t="s">
        <v>236</v>
      </c>
      <c r="B3" s="162"/>
      <c r="C3" s="150"/>
      <c r="D3" s="155" t="s">
        <v>109</v>
      </c>
      <c r="E3" s="155">
        <v>60</v>
      </c>
      <c r="F3" s="155">
        <v>80</v>
      </c>
      <c r="G3" s="155">
        <v>99</v>
      </c>
      <c r="H3" s="150"/>
      <c r="I3" s="150"/>
    </row>
    <row r="4" spans="1:9" s="4" customFormat="1" ht="21" customHeight="1" x14ac:dyDescent="0.15">
      <c r="A4" s="145" t="s">
        <v>230</v>
      </c>
      <c r="B4" s="163"/>
      <c r="C4" s="153"/>
      <c r="D4" s="155">
        <v>40</v>
      </c>
      <c r="E4" s="155">
        <v>60</v>
      </c>
      <c r="F4" s="155">
        <v>80</v>
      </c>
      <c r="G4" s="155">
        <v>99</v>
      </c>
      <c r="H4" s="153"/>
      <c r="I4" s="153"/>
    </row>
    <row r="5" spans="1:9" s="4" customFormat="1" ht="21" customHeight="1" x14ac:dyDescent="0.15">
      <c r="A5" s="164" t="s">
        <v>238</v>
      </c>
      <c r="B5" s="159"/>
      <c r="C5" s="160"/>
      <c r="D5" s="155">
        <v>40</v>
      </c>
      <c r="E5" s="155">
        <v>60</v>
      </c>
      <c r="F5" s="155">
        <v>80</v>
      </c>
      <c r="G5" s="155">
        <v>99</v>
      </c>
      <c r="H5" s="160"/>
      <c r="I5" s="160"/>
    </row>
    <row r="6" spans="1:9" s="4" customFormat="1" ht="21" customHeight="1" x14ac:dyDescent="0.15">
      <c r="A6" s="164" t="s">
        <v>239</v>
      </c>
      <c r="B6" s="159"/>
      <c r="C6" s="160"/>
      <c r="D6" s="155">
        <v>40</v>
      </c>
      <c r="E6" s="155">
        <v>60</v>
      </c>
      <c r="F6" s="155" t="s">
        <v>109</v>
      </c>
      <c r="G6" s="155" t="s">
        <v>109</v>
      </c>
      <c r="H6" s="160"/>
      <c r="I6" s="160"/>
    </row>
    <row r="7" spans="1:9" ht="21" customHeight="1" x14ac:dyDescent="0.15">
      <c r="A7" s="73" t="s">
        <v>206</v>
      </c>
      <c r="B7" s="39" t="s">
        <v>109</v>
      </c>
      <c r="C7" s="39" t="s">
        <v>109</v>
      </c>
      <c r="D7" s="39" t="s">
        <v>109</v>
      </c>
      <c r="E7" s="39" t="s">
        <v>109</v>
      </c>
      <c r="F7" s="39" t="s">
        <v>109</v>
      </c>
      <c r="G7" s="39" t="s">
        <v>109</v>
      </c>
      <c r="H7" s="39" t="s">
        <v>109</v>
      </c>
      <c r="I7" s="39" t="s">
        <v>109</v>
      </c>
    </row>
    <row r="8" spans="1:9" ht="21" customHeight="1" x14ac:dyDescent="0.15">
      <c r="A8" s="74" t="s">
        <v>241</v>
      </c>
      <c r="B8" s="39" t="s">
        <v>109</v>
      </c>
      <c r="C8" s="39" t="s">
        <v>109</v>
      </c>
      <c r="D8" s="39" t="s">
        <v>109</v>
      </c>
      <c r="E8" s="39">
        <v>60</v>
      </c>
      <c r="F8" s="39">
        <v>80</v>
      </c>
      <c r="G8" s="39">
        <v>99</v>
      </c>
      <c r="H8" s="39" t="s">
        <v>109</v>
      </c>
      <c r="I8" s="39" t="s">
        <v>109</v>
      </c>
    </row>
    <row r="9" spans="1:9" s="45" customFormat="1" ht="21" customHeight="1" x14ac:dyDescent="0.15">
      <c r="A9" s="202" t="s">
        <v>337</v>
      </c>
      <c r="B9" s="65" t="s">
        <v>109</v>
      </c>
      <c r="C9" s="65" t="s">
        <v>109</v>
      </c>
      <c r="D9" s="65" t="s">
        <v>109</v>
      </c>
      <c r="E9" s="65" t="s">
        <v>109</v>
      </c>
      <c r="F9" s="65">
        <v>80</v>
      </c>
      <c r="G9" s="65">
        <v>99</v>
      </c>
      <c r="H9" s="65" t="s">
        <v>109</v>
      </c>
      <c r="I9" s="65" t="s">
        <v>109</v>
      </c>
    </row>
    <row r="10" spans="1:9" s="45" customFormat="1" ht="21" customHeight="1" x14ac:dyDescent="0.15">
      <c r="A10" s="75" t="s">
        <v>242</v>
      </c>
      <c r="B10" s="65" t="s">
        <v>109</v>
      </c>
      <c r="C10" s="65" t="s">
        <v>109</v>
      </c>
      <c r="D10" s="65" t="s">
        <v>109</v>
      </c>
      <c r="E10" s="65">
        <v>60</v>
      </c>
      <c r="F10" s="65">
        <v>80</v>
      </c>
      <c r="G10" s="65">
        <v>99</v>
      </c>
      <c r="H10" s="65" t="s">
        <v>109</v>
      </c>
      <c r="I10" s="65" t="s">
        <v>109</v>
      </c>
    </row>
    <row r="11" spans="1:9" ht="21" customHeight="1" x14ac:dyDescent="0.15">
      <c r="A11" s="75" t="s">
        <v>9</v>
      </c>
      <c r="B11" s="70" t="s">
        <v>109</v>
      </c>
      <c r="C11" s="70" t="s">
        <v>109</v>
      </c>
      <c r="D11" s="36">
        <v>40</v>
      </c>
      <c r="E11" s="36">
        <v>60</v>
      </c>
      <c r="F11" s="36">
        <v>80</v>
      </c>
      <c r="G11" s="39">
        <v>99</v>
      </c>
      <c r="H11" s="70" t="s">
        <v>109</v>
      </c>
      <c r="I11" s="70" t="s">
        <v>109</v>
      </c>
    </row>
    <row r="12" spans="1:9" ht="21" customHeight="1" x14ac:dyDescent="0.15">
      <c r="A12" s="75" t="s">
        <v>209</v>
      </c>
      <c r="B12" s="70" t="s">
        <v>109</v>
      </c>
      <c r="C12" s="70" t="s">
        <v>109</v>
      </c>
      <c r="D12" s="36">
        <v>40</v>
      </c>
      <c r="E12" s="36">
        <v>60</v>
      </c>
      <c r="F12" s="36">
        <v>80</v>
      </c>
      <c r="G12" s="65">
        <v>99</v>
      </c>
      <c r="H12" s="70" t="s">
        <v>109</v>
      </c>
      <c r="I12" s="70" t="s">
        <v>109</v>
      </c>
    </row>
    <row r="13" spans="1:9" ht="21" customHeight="1" x14ac:dyDescent="0.15">
      <c r="A13" s="75" t="s">
        <v>205</v>
      </c>
      <c r="B13" s="70" t="s">
        <v>109</v>
      </c>
      <c r="C13" s="70" t="s">
        <v>109</v>
      </c>
      <c r="D13" s="36">
        <v>40</v>
      </c>
      <c r="E13" s="36">
        <v>60</v>
      </c>
      <c r="F13" s="70" t="s">
        <v>109</v>
      </c>
      <c r="G13" s="70" t="s">
        <v>109</v>
      </c>
      <c r="H13" s="70" t="s">
        <v>109</v>
      </c>
      <c r="I13" s="70" t="s">
        <v>109</v>
      </c>
    </row>
    <row r="14" spans="1:9" ht="21" customHeight="1" x14ac:dyDescent="0.15">
      <c r="A14" s="104" t="s">
        <v>245</v>
      </c>
      <c r="B14" s="70" t="s">
        <v>109</v>
      </c>
      <c r="C14" s="70" t="s">
        <v>109</v>
      </c>
      <c r="D14" s="36">
        <v>40</v>
      </c>
      <c r="E14" s="36">
        <v>60</v>
      </c>
      <c r="F14" s="36">
        <v>80</v>
      </c>
      <c r="G14" s="70" t="s">
        <v>109</v>
      </c>
      <c r="H14" s="70" t="s">
        <v>109</v>
      </c>
      <c r="I14" s="70" t="s">
        <v>109</v>
      </c>
    </row>
    <row r="15" spans="1:9" ht="21" customHeight="1" x14ac:dyDescent="0.15">
      <c r="A15" s="75" t="s">
        <v>246</v>
      </c>
      <c r="B15" s="70" t="s">
        <v>109</v>
      </c>
      <c r="C15" s="70" t="s">
        <v>109</v>
      </c>
      <c r="D15" s="36">
        <v>40</v>
      </c>
      <c r="E15" s="36">
        <v>60</v>
      </c>
      <c r="F15" s="36">
        <v>80</v>
      </c>
      <c r="G15" s="70" t="s">
        <v>109</v>
      </c>
      <c r="H15" s="70" t="s">
        <v>109</v>
      </c>
      <c r="I15" s="70" t="s">
        <v>109</v>
      </c>
    </row>
    <row r="16" spans="1:9" ht="21" customHeight="1" x14ac:dyDescent="0.15">
      <c r="A16" s="75" t="s">
        <v>105</v>
      </c>
      <c r="B16" s="70" t="s">
        <v>109</v>
      </c>
      <c r="C16" s="36">
        <v>30</v>
      </c>
      <c r="D16" s="36">
        <v>40</v>
      </c>
      <c r="E16" s="36">
        <v>60</v>
      </c>
      <c r="F16" s="70" t="s">
        <v>109</v>
      </c>
      <c r="G16" s="70" t="s">
        <v>109</v>
      </c>
      <c r="H16" s="70" t="s">
        <v>109</v>
      </c>
      <c r="I16" s="70" t="s">
        <v>109</v>
      </c>
    </row>
    <row r="17" spans="1:9" ht="21" customHeight="1" x14ac:dyDescent="0.15">
      <c r="A17" s="75" t="s">
        <v>248</v>
      </c>
      <c r="B17" s="70" t="s">
        <v>109</v>
      </c>
      <c r="C17" s="36">
        <v>30</v>
      </c>
      <c r="D17" s="36">
        <v>40</v>
      </c>
      <c r="E17" s="36">
        <v>60</v>
      </c>
      <c r="F17" s="70" t="s">
        <v>109</v>
      </c>
      <c r="G17" s="70" t="s">
        <v>109</v>
      </c>
      <c r="H17" s="70" t="s">
        <v>109</v>
      </c>
      <c r="I17" s="70" t="s">
        <v>109</v>
      </c>
    </row>
    <row r="18" spans="1:9" ht="21" customHeight="1" x14ac:dyDescent="0.15">
      <c r="A18" s="75" t="s">
        <v>8</v>
      </c>
      <c r="B18" s="36">
        <v>15</v>
      </c>
      <c r="C18" s="36">
        <v>30</v>
      </c>
      <c r="D18" s="36">
        <v>40</v>
      </c>
      <c r="E18" s="70" t="s">
        <v>109</v>
      </c>
      <c r="F18" s="70" t="s">
        <v>109</v>
      </c>
      <c r="G18" s="70" t="s">
        <v>109</v>
      </c>
      <c r="H18" s="70" t="s">
        <v>109</v>
      </c>
      <c r="I18" s="70" t="s">
        <v>109</v>
      </c>
    </row>
    <row r="19" spans="1:9" ht="21" customHeight="1" x14ac:dyDescent="0.15">
      <c r="A19" s="76" t="s">
        <v>7</v>
      </c>
      <c r="B19" s="36">
        <v>15</v>
      </c>
      <c r="C19" s="36">
        <v>30</v>
      </c>
      <c r="D19" s="36">
        <v>40</v>
      </c>
      <c r="E19" s="70" t="s">
        <v>215</v>
      </c>
      <c r="F19" s="70" t="s">
        <v>215</v>
      </c>
      <c r="G19" s="70" t="s">
        <v>215</v>
      </c>
      <c r="H19" s="70" t="s">
        <v>215</v>
      </c>
      <c r="I19" s="70" t="s">
        <v>215</v>
      </c>
    </row>
    <row r="20" spans="1:9" ht="21" customHeight="1" x14ac:dyDescent="0.15">
      <c r="A20" s="77" t="s">
        <v>249</v>
      </c>
      <c r="B20" s="36">
        <v>10</v>
      </c>
      <c r="C20" s="36">
        <v>20</v>
      </c>
      <c r="D20" s="70" t="s">
        <v>215</v>
      </c>
      <c r="E20" s="70" t="s">
        <v>215</v>
      </c>
      <c r="F20" s="70" t="s">
        <v>215</v>
      </c>
      <c r="G20" s="70" t="s">
        <v>215</v>
      </c>
      <c r="H20" s="70" t="s">
        <v>215</v>
      </c>
      <c r="I20" s="70" t="s">
        <v>215</v>
      </c>
    </row>
    <row r="21" spans="1:9" ht="21" customHeight="1" x14ac:dyDescent="0.15">
      <c r="A21" s="37" t="s">
        <v>250</v>
      </c>
      <c r="B21" s="36">
        <v>1</v>
      </c>
      <c r="C21" s="36">
        <v>1</v>
      </c>
      <c r="D21" s="36">
        <v>1</v>
      </c>
      <c r="E21" s="36">
        <v>1</v>
      </c>
      <c r="F21" s="36">
        <v>1</v>
      </c>
      <c r="G21" s="36">
        <v>1</v>
      </c>
      <c r="H21" s="36">
        <v>1</v>
      </c>
      <c r="I21" s="36">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A9" sqref="A9"/>
    </sheetView>
  </sheetViews>
  <sheetFormatPr baseColWidth="12" defaultColWidth="13" defaultRowHeight="21" customHeight="1" x14ac:dyDescent="0.15"/>
  <cols>
    <col min="1" max="16384" width="13" style="23"/>
  </cols>
  <sheetData>
    <row r="1" spans="1:11" ht="21" customHeight="1" x14ac:dyDescent="0.15">
      <c r="A1" s="48" t="s">
        <v>10</v>
      </c>
      <c r="B1" s="49">
        <v>1</v>
      </c>
      <c r="C1" s="49">
        <v>2</v>
      </c>
      <c r="D1" s="49">
        <v>3</v>
      </c>
      <c r="E1" s="49">
        <v>4</v>
      </c>
      <c r="F1" s="49">
        <v>5</v>
      </c>
      <c r="G1" s="49">
        <v>6</v>
      </c>
      <c r="H1" s="49">
        <v>7</v>
      </c>
      <c r="I1" s="49">
        <v>8</v>
      </c>
    </row>
    <row r="2" spans="1:11" s="4" customFormat="1" ht="21" customHeight="1" x14ac:dyDescent="0.15">
      <c r="A2" s="145" t="s">
        <v>234</v>
      </c>
      <c r="B2" s="146"/>
      <c r="C2" s="147"/>
      <c r="D2" s="155" t="s">
        <v>109</v>
      </c>
      <c r="E2" s="156" t="s">
        <v>59</v>
      </c>
      <c r="F2" s="156" t="s">
        <v>59</v>
      </c>
      <c r="G2" s="156" t="s">
        <v>251</v>
      </c>
      <c r="H2" s="147"/>
      <c r="I2" s="147"/>
    </row>
    <row r="3" spans="1:11" s="4" customFormat="1" ht="21" customHeight="1" x14ac:dyDescent="0.15">
      <c r="A3" s="145" t="s">
        <v>236</v>
      </c>
      <c r="B3" s="149"/>
      <c r="C3" s="150"/>
      <c r="D3" s="156" t="s">
        <v>59</v>
      </c>
      <c r="E3" s="156" t="s">
        <v>59</v>
      </c>
      <c r="F3" s="156" t="s">
        <v>59</v>
      </c>
      <c r="G3" s="156" t="s">
        <v>229</v>
      </c>
      <c r="H3" s="150"/>
      <c r="I3" s="150"/>
    </row>
    <row r="4" spans="1:11" s="4" customFormat="1" ht="21" customHeight="1" x14ac:dyDescent="0.15">
      <c r="A4" s="145" t="s">
        <v>230</v>
      </c>
      <c r="B4" s="152"/>
      <c r="C4" s="153"/>
      <c r="D4" s="157" t="s">
        <v>59</v>
      </c>
      <c r="E4" s="157" t="s">
        <v>59</v>
      </c>
      <c r="F4" s="157" t="s">
        <v>59</v>
      </c>
      <c r="G4" s="156" t="s">
        <v>229</v>
      </c>
      <c r="H4" s="153"/>
      <c r="I4" s="153"/>
    </row>
    <row r="5" spans="1:11" s="4" customFormat="1" ht="21" customHeight="1" x14ac:dyDescent="0.15">
      <c r="A5" s="164" t="s">
        <v>238</v>
      </c>
      <c r="B5" s="159"/>
      <c r="C5" s="160"/>
      <c r="D5" s="157" t="s">
        <v>59</v>
      </c>
      <c r="E5" s="157" t="s">
        <v>59</v>
      </c>
      <c r="F5" s="157" t="s">
        <v>59</v>
      </c>
      <c r="G5" s="156" t="s">
        <v>219</v>
      </c>
      <c r="H5" s="160"/>
      <c r="I5" s="160"/>
    </row>
    <row r="6" spans="1:11" s="4" customFormat="1" ht="21" customHeight="1" x14ac:dyDescent="0.15">
      <c r="A6" s="164" t="s">
        <v>239</v>
      </c>
      <c r="B6" s="159"/>
      <c r="C6" s="160"/>
      <c r="D6" s="165" t="s">
        <v>60</v>
      </c>
      <c r="E6" s="165" t="s">
        <v>60</v>
      </c>
      <c r="F6" s="155" t="s">
        <v>109</v>
      </c>
      <c r="G6" s="155" t="s">
        <v>109</v>
      </c>
      <c r="H6" s="160"/>
      <c r="I6" s="160"/>
    </row>
    <row r="7" spans="1:11" ht="21" customHeight="1" x14ac:dyDescent="0.15">
      <c r="A7" s="73" t="s">
        <v>206</v>
      </c>
      <c r="B7" s="39" t="s">
        <v>109</v>
      </c>
      <c r="C7" s="39" t="s">
        <v>109</v>
      </c>
      <c r="D7" s="39" t="s">
        <v>109</v>
      </c>
      <c r="E7" s="39" t="s">
        <v>109</v>
      </c>
      <c r="F7" s="39" t="s">
        <v>109</v>
      </c>
      <c r="G7" s="39" t="s">
        <v>109</v>
      </c>
      <c r="H7" s="39" t="s">
        <v>109</v>
      </c>
      <c r="I7" s="39" t="s">
        <v>109</v>
      </c>
    </row>
    <row r="8" spans="1:11" ht="21" customHeight="1" x14ac:dyDescent="0.15">
      <c r="A8" s="74" t="s">
        <v>241</v>
      </c>
      <c r="B8" s="39" t="s">
        <v>109</v>
      </c>
      <c r="C8" s="39" t="s">
        <v>109</v>
      </c>
      <c r="D8" s="39" t="s">
        <v>216</v>
      </c>
      <c r="E8" s="51" t="s">
        <v>115</v>
      </c>
      <c r="F8" s="51" t="s">
        <v>115</v>
      </c>
      <c r="G8" s="51" t="s">
        <v>217</v>
      </c>
      <c r="H8" s="39" t="s">
        <v>216</v>
      </c>
      <c r="I8" s="39" t="s">
        <v>109</v>
      </c>
    </row>
    <row r="9" spans="1:11" s="45" customFormat="1" ht="21" customHeight="1" x14ac:dyDescent="0.15">
      <c r="A9" s="202" t="s">
        <v>338</v>
      </c>
      <c r="B9" s="65" t="s">
        <v>109</v>
      </c>
      <c r="C9" s="65" t="s">
        <v>109</v>
      </c>
      <c r="D9" s="65" t="s">
        <v>109</v>
      </c>
      <c r="E9" s="65" t="s">
        <v>109</v>
      </c>
      <c r="F9" s="51" t="s">
        <v>333</v>
      </c>
      <c r="G9" s="51" t="s">
        <v>115</v>
      </c>
      <c r="H9" s="65" t="s">
        <v>215</v>
      </c>
      <c r="I9" s="65" t="s">
        <v>215</v>
      </c>
    </row>
    <row r="10" spans="1:11" s="45" customFormat="1" ht="21" customHeight="1" x14ac:dyDescent="0.15">
      <c r="A10" s="75" t="s">
        <v>242</v>
      </c>
      <c r="B10" s="65" t="s">
        <v>109</v>
      </c>
      <c r="C10" s="65" t="s">
        <v>109</v>
      </c>
      <c r="D10" s="65" t="s">
        <v>109</v>
      </c>
      <c r="E10" s="51" t="s">
        <v>59</v>
      </c>
      <c r="F10" s="51" t="s">
        <v>333</v>
      </c>
      <c r="G10" s="51" t="s">
        <v>115</v>
      </c>
      <c r="H10" s="65" t="s">
        <v>218</v>
      </c>
      <c r="I10" s="65" t="s">
        <v>218</v>
      </c>
    </row>
    <row r="11" spans="1:11" ht="21" customHeight="1" x14ac:dyDescent="0.15">
      <c r="A11" s="75" t="s">
        <v>9</v>
      </c>
      <c r="B11" s="70" t="s">
        <v>109</v>
      </c>
      <c r="C11" s="70" t="s">
        <v>109</v>
      </c>
      <c r="D11" s="51" t="s">
        <v>59</v>
      </c>
      <c r="E11" s="51" t="s">
        <v>59</v>
      </c>
      <c r="F11" s="51" t="s">
        <v>59</v>
      </c>
      <c r="G11" s="51" t="s">
        <v>219</v>
      </c>
      <c r="H11" s="70" t="s">
        <v>218</v>
      </c>
      <c r="I11" s="70" t="s">
        <v>218</v>
      </c>
      <c r="K11" s="27" t="s">
        <v>12</v>
      </c>
    </row>
    <row r="12" spans="1:11" ht="21" customHeight="1" x14ac:dyDescent="0.15">
      <c r="A12" s="75" t="s">
        <v>209</v>
      </c>
      <c r="B12" s="70" t="s">
        <v>109</v>
      </c>
      <c r="C12" s="70" t="s">
        <v>109</v>
      </c>
      <c r="D12" s="52" t="s">
        <v>59</v>
      </c>
      <c r="E12" s="52" t="s">
        <v>59</v>
      </c>
      <c r="F12" s="52" t="s">
        <v>59</v>
      </c>
      <c r="G12" s="51" t="s">
        <v>219</v>
      </c>
      <c r="H12" s="70" t="s">
        <v>218</v>
      </c>
      <c r="I12" s="70" t="s">
        <v>218</v>
      </c>
      <c r="K12" s="29" t="s">
        <v>13</v>
      </c>
    </row>
    <row r="13" spans="1:11" ht="21" customHeight="1" x14ac:dyDescent="0.15">
      <c r="A13" s="75" t="s">
        <v>205</v>
      </c>
      <c r="B13" s="70" t="s">
        <v>109</v>
      </c>
      <c r="C13" s="70" t="s">
        <v>109</v>
      </c>
      <c r="D13" s="53" t="s">
        <v>60</v>
      </c>
      <c r="E13" s="53" t="s">
        <v>60</v>
      </c>
      <c r="F13" s="70" t="s">
        <v>109</v>
      </c>
      <c r="G13" s="70" t="s">
        <v>109</v>
      </c>
      <c r="H13" s="70" t="s">
        <v>109</v>
      </c>
      <c r="I13" s="70" t="s">
        <v>109</v>
      </c>
      <c r="K13" s="71" t="s">
        <v>35</v>
      </c>
    </row>
    <row r="14" spans="1:11" ht="21" customHeight="1" x14ac:dyDescent="0.15">
      <c r="A14" s="104" t="s">
        <v>245</v>
      </c>
      <c r="B14" s="70" t="s">
        <v>109</v>
      </c>
      <c r="C14" s="70" t="s">
        <v>109</v>
      </c>
      <c r="D14" s="54" t="s">
        <v>59</v>
      </c>
      <c r="E14" s="54" t="s">
        <v>59</v>
      </c>
      <c r="F14" s="54" t="s">
        <v>59</v>
      </c>
      <c r="G14" s="70" t="s">
        <v>109</v>
      </c>
      <c r="H14" s="70" t="s">
        <v>109</v>
      </c>
      <c r="I14" s="70" t="s">
        <v>109</v>
      </c>
      <c r="K14" s="72"/>
    </row>
    <row r="15" spans="1:11" ht="21" customHeight="1" x14ac:dyDescent="0.15">
      <c r="A15" s="75" t="s">
        <v>246</v>
      </c>
      <c r="B15" s="70" t="s">
        <v>109</v>
      </c>
      <c r="C15" s="70" t="s">
        <v>109</v>
      </c>
      <c r="D15" s="54" t="s">
        <v>59</v>
      </c>
      <c r="E15" s="54" t="s">
        <v>59</v>
      </c>
      <c r="F15" s="54" t="s">
        <v>59</v>
      </c>
      <c r="G15" s="70" t="s">
        <v>109</v>
      </c>
      <c r="H15" s="70" t="s">
        <v>109</v>
      </c>
      <c r="I15" s="70" t="s">
        <v>109</v>
      </c>
    </row>
    <row r="16" spans="1:11" ht="21" customHeight="1" x14ac:dyDescent="0.15">
      <c r="A16" s="75" t="s">
        <v>105</v>
      </c>
      <c r="B16" s="70" t="s">
        <v>109</v>
      </c>
      <c r="C16" s="70" t="s">
        <v>109</v>
      </c>
      <c r="D16" s="54" t="s">
        <v>60</v>
      </c>
      <c r="E16" s="54" t="s">
        <v>60</v>
      </c>
      <c r="F16" s="70" t="s">
        <v>109</v>
      </c>
      <c r="G16" s="70" t="s">
        <v>109</v>
      </c>
      <c r="H16" s="70" t="s">
        <v>109</v>
      </c>
      <c r="I16" s="70" t="s">
        <v>109</v>
      </c>
    </row>
    <row r="17" spans="1:9" ht="21" customHeight="1" x14ac:dyDescent="0.15">
      <c r="A17" s="75" t="s">
        <v>248</v>
      </c>
      <c r="B17" s="70" t="s">
        <v>109</v>
      </c>
      <c r="C17" s="54" t="s">
        <v>60</v>
      </c>
      <c r="D17" s="54" t="s">
        <v>60</v>
      </c>
      <c r="E17" s="54" t="s">
        <v>60</v>
      </c>
      <c r="F17" s="70" t="s">
        <v>109</v>
      </c>
      <c r="G17" s="70" t="s">
        <v>109</v>
      </c>
      <c r="H17" s="70" t="s">
        <v>109</v>
      </c>
      <c r="I17" s="70" t="s">
        <v>109</v>
      </c>
    </row>
    <row r="18" spans="1:9" ht="21" customHeight="1" x14ac:dyDescent="0.15">
      <c r="A18" s="75" t="s">
        <v>8</v>
      </c>
      <c r="B18" s="55" t="s">
        <v>61</v>
      </c>
      <c r="C18" s="55" t="s">
        <v>61</v>
      </c>
      <c r="D18" s="55" t="s">
        <v>61</v>
      </c>
      <c r="E18" s="70" t="s">
        <v>109</v>
      </c>
      <c r="F18" s="70" t="s">
        <v>109</v>
      </c>
      <c r="G18" s="70" t="s">
        <v>109</v>
      </c>
      <c r="H18" s="70" t="s">
        <v>109</v>
      </c>
      <c r="I18" s="70" t="s">
        <v>109</v>
      </c>
    </row>
    <row r="19" spans="1:9" ht="21" customHeight="1" x14ac:dyDescent="0.15">
      <c r="A19" s="76" t="s">
        <v>7</v>
      </c>
      <c r="B19" s="50" t="s">
        <v>62</v>
      </c>
      <c r="C19" s="50" t="s">
        <v>62</v>
      </c>
      <c r="D19" s="70" t="s">
        <v>109</v>
      </c>
      <c r="E19" s="70" t="s">
        <v>109</v>
      </c>
      <c r="F19" s="70" t="s">
        <v>109</v>
      </c>
      <c r="G19" s="70" t="s">
        <v>109</v>
      </c>
      <c r="H19" s="70" t="s">
        <v>109</v>
      </c>
      <c r="I19" s="70" t="s">
        <v>109</v>
      </c>
    </row>
    <row r="20" spans="1:9" ht="21" customHeight="1" x14ac:dyDescent="0.15">
      <c r="A20" s="77" t="s">
        <v>249</v>
      </c>
      <c r="B20" s="52" t="s">
        <v>63</v>
      </c>
      <c r="C20" s="52" t="s">
        <v>63</v>
      </c>
      <c r="D20" s="70" t="s">
        <v>109</v>
      </c>
      <c r="E20" s="70" t="s">
        <v>109</v>
      </c>
      <c r="F20" s="70" t="s">
        <v>109</v>
      </c>
      <c r="G20" s="70" t="s">
        <v>109</v>
      </c>
      <c r="H20" s="70" t="s">
        <v>109</v>
      </c>
      <c r="I20" s="70" t="s">
        <v>109</v>
      </c>
    </row>
    <row r="21" spans="1:9" ht="21" customHeight="1" x14ac:dyDescent="0.15">
      <c r="A21" s="37" t="s">
        <v>250</v>
      </c>
      <c r="B21" s="78" t="s">
        <v>47</v>
      </c>
      <c r="C21" s="78" t="s">
        <v>47</v>
      </c>
      <c r="D21" s="78" t="s">
        <v>47</v>
      </c>
      <c r="E21" s="78" t="s">
        <v>47</v>
      </c>
      <c r="F21" s="78" t="s">
        <v>47</v>
      </c>
      <c r="G21" s="78" t="s">
        <v>47</v>
      </c>
      <c r="H21" s="78" t="s">
        <v>47</v>
      </c>
      <c r="I21" s="78" t="s">
        <v>47</v>
      </c>
    </row>
    <row r="26" spans="1:9" ht="21" customHeight="1" x14ac:dyDescent="0.15">
      <c r="A26" s="23" t="s">
        <v>14</v>
      </c>
    </row>
    <row r="27" spans="1:9" ht="21" customHeight="1" x14ac:dyDescent="0.15">
      <c r="A27" s="21" t="s">
        <v>64</v>
      </c>
      <c r="B27" s="21" t="s">
        <v>65</v>
      </c>
    </row>
    <row r="28" spans="1:9" ht="21" customHeight="1" x14ac:dyDescent="0.15">
      <c r="A28" s="24">
        <v>1</v>
      </c>
      <c r="B28" s="24">
        <v>200</v>
      </c>
    </row>
    <row r="29" spans="1:9" ht="21" customHeight="1" x14ac:dyDescent="0.15">
      <c r="A29" s="24">
        <v>2</v>
      </c>
      <c r="B29" s="24">
        <v>600</v>
      </c>
    </row>
    <row r="30" spans="1:9" ht="21" customHeight="1" x14ac:dyDescent="0.15">
      <c r="A30" s="24">
        <v>3</v>
      </c>
      <c r="B30" s="24">
        <v>1500</v>
      </c>
    </row>
    <row r="31" spans="1:9" ht="21" customHeight="1" x14ac:dyDescent="0.15">
      <c r="A31" s="24">
        <v>4</v>
      </c>
      <c r="B31" s="24">
        <v>3400</v>
      </c>
    </row>
    <row r="32" spans="1:9" ht="21" customHeight="1" x14ac:dyDescent="0.15">
      <c r="A32" s="24">
        <v>5</v>
      </c>
      <c r="B32" s="24">
        <v>6400</v>
      </c>
    </row>
  </sheetData>
  <sheetProtection selectLockedCells="1" selectUnlockedCells="1"/>
  <phoneticPr fontId="9"/>
  <conditionalFormatting sqref="A35:I65541 J1:IV1 J11:J14 L11:IV14 J15:IV65541 J7:IV7">
    <cfRule type="cellIs" dxfId="24" priority="28" stopIfTrue="1" operator="equal">
      <formula>1</formula>
    </cfRule>
  </conditionalFormatting>
  <conditionalFormatting sqref="A25:B26 A33:B34 C25:I34">
    <cfRule type="cellIs" dxfId="23" priority="27" stopIfTrue="1" operator="equal">
      <formula>1</formula>
    </cfRule>
  </conditionalFormatting>
  <conditionalFormatting sqref="K11:K14">
    <cfRule type="cellIs" dxfId="22" priority="23" stopIfTrue="1" operator="equal">
      <formula>1</formula>
    </cfRule>
  </conditionalFormatting>
  <conditionalFormatting sqref="J8:IV8">
    <cfRule type="cellIs" dxfId="21" priority="22" stopIfTrue="1" operator="equal">
      <formula>1</formula>
    </cfRule>
  </conditionalFormatting>
  <conditionalFormatting sqref="J10:IV10">
    <cfRule type="cellIs" dxfId="20" priority="21" stopIfTrue="1" operator="equal">
      <formula>1</formula>
    </cfRule>
  </conditionalFormatting>
  <conditionalFormatting sqref="G20:I20">
    <cfRule type="cellIs" dxfId="19" priority="13" stopIfTrue="1" operator="equal">
      <formula>1</formula>
    </cfRule>
  </conditionalFormatting>
  <conditionalFormatting sqref="D19:G19 F16:G18 H16:I19">
    <cfRule type="cellIs" dxfId="18" priority="12" stopIfTrue="1" operator="equal">
      <formula>1</formula>
    </cfRule>
  </conditionalFormatting>
  <conditionalFormatting sqref="F18:G18">
    <cfRule type="cellIs" dxfId="17" priority="11" stopIfTrue="1" operator="equal">
      <formula>1</formula>
    </cfRule>
  </conditionalFormatting>
  <conditionalFormatting sqref="A21">
    <cfRule type="cellIs" dxfId="16" priority="10" stopIfTrue="1" operator="equal">
      <formula>1</formula>
    </cfRule>
  </conditionalFormatting>
  <conditionalFormatting sqref="G13:I15 H11:I12">
    <cfRule type="cellIs" dxfId="15" priority="9" stopIfTrue="1" operator="equal">
      <formula>1</formula>
    </cfRule>
  </conditionalFormatting>
  <conditionalFormatting sqref="B11:C16">
    <cfRule type="cellIs" dxfId="14" priority="8" stopIfTrue="1" operator="equal">
      <formula>1</formula>
    </cfRule>
  </conditionalFormatting>
  <conditionalFormatting sqref="B17">
    <cfRule type="cellIs" dxfId="13" priority="7" stopIfTrue="1" operator="equal">
      <formula>1</formula>
    </cfRule>
  </conditionalFormatting>
  <conditionalFormatting sqref="E18">
    <cfRule type="cellIs" dxfId="12" priority="6" stopIfTrue="1" operator="equal">
      <formula>1</formula>
    </cfRule>
  </conditionalFormatting>
  <conditionalFormatting sqref="F13">
    <cfRule type="cellIs" dxfId="11" priority="5"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F8" sqref="F8:G9"/>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2" t="s">
        <v>10</v>
      </c>
      <c r="B1" s="32">
        <v>1</v>
      </c>
      <c r="C1" s="32">
        <v>2</v>
      </c>
      <c r="D1" s="32">
        <v>3</v>
      </c>
      <c r="E1" s="32">
        <v>4</v>
      </c>
      <c r="F1" s="32">
        <v>5</v>
      </c>
      <c r="G1" s="32">
        <v>6</v>
      </c>
      <c r="H1" s="32">
        <v>7</v>
      </c>
      <c r="I1" s="32">
        <v>8</v>
      </c>
    </row>
    <row r="2" spans="1:9" s="4" customFormat="1" ht="21" customHeight="1" x14ac:dyDescent="0.15">
      <c r="A2" s="145" t="s">
        <v>227</v>
      </c>
      <c r="B2" s="146"/>
      <c r="C2" s="147"/>
      <c r="D2" s="158" t="s">
        <v>11</v>
      </c>
      <c r="E2" s="158">
        <v>8000</v>
      </c>
      <c r="F2" s="158">
        <v>10000</v>
      </c>
      <c r="G2" s="158">
        <v>14000</v>
      </c>
      <c r="H2" s="147"/>
      <c r="I2" s="147"/>
    </row>
    <row r="3" spans="1:9" s="4" customFormat="1" ht="21" customHeight="1" x14ac:dyDescent="0.15">
      <c r="A3" s="145" t="s">
        <v>228</v>
      </c>
      <c r="B3" s="149"/>
      <c r="C3" s="150"/>
      <c r="D3" s="158" t="s">
        <v>11</v>
      </c>
      <c r="E3" s="158">
        <v>7500</v>
      </c>
      <c r="F3" s="158">
        <v>9500</v>
      </c>
      <c r="G3" s="158">
        <v>13000</v>
      </c>
      <c r="H3" s="150"/>
      <c r="I3" s="150"/>
    </row>
    <row r="4" spans="1:9" s="4" customFormat="1" ht="21" customHeight="1" x14ac:dyDescent="0.15">
      <c r="A4" s="145" t="s">
        <v>230</v>
      </c>
      <c r="B4" s="152"/>
      <c r="C4" s="153"/>
      <c r="D4" s="158">
        <v>5000</v>
      </c>
      <c r="E4" s="158">
        <v>7000</v>
      </c>
      <c r="F4" s="158">
        <v>9000</v>
      </c>
      <c r="G4" s="158">
        <v>12000</v>
      </c>
      <c r="H4" s="153"/>
      <c r="I4" s="153"/>
    </row>
    <row r="5" spans="1:9" s="4" customFormat="1" ht="21" customHeight="1" x14ac:dyDescent="0.15">
      <c r="A5" s="164" t="s">
        <v>231</v>
      </c>
      <c r="B5" s="159"/>
      <c r="C5" s="160"/>
      <c r="D5" s="158">
        <v>4900</v>
      </c>
      <c r="E5" s="158">
        <v>6700</v>
      </c>
      <c r="F5" s="158">
        <v>8500</v>
      </c>
      <c r="G5" s="158">
        <v>11000</v>
      </c>
      <c r="H5" s="160"/>
      <c r="I5" s="160"/>
    </row>
    <row r="6" spans="1:9" s="4" customFormat="1" ht="21" customHeight="1" x14ac:dyDescent="0.15">
      <c r="A6" s="164" t="s">
        <v>232</v>
      </c>
      <c r="B6" s="159"/>
      <c r="C6" s="160"/>
      <c r="D6" s="158">
        <v>4800</v>
      </c>
      <c r="E6" s="158">
        <v>6600</v>
      </c>
      <c r="F6" s="158" t="s">
        <v>11</v>
      </c>
      <c r="G6" s="158" t="s">
        <v>11</v>
      </c>
      <c r="H6" s="160"/>
      <c r="I6" s="160"/>
    </row>
    <row r="7" spans="1:9" ht="21" customHeight="1" x14ac:dyDescent="0.15">
      <c r="A7" s="73" t="s">
        <v>206</v>
      </c>
      <c r="B7" s="46" t="s">
        <v>11</v>
      </c>
      <c r="C7" s="46" t="s">
        <v>11</v>
      </c>
      <c r="D7" s="46" t="s">
        <v>11</v>
      </c>
      <c r="E7" s="46" t="s">
        <v>11</v>
      </c>
      <c r="F7" s="46" t="s">
        <v>11</v>
      </c>
      <c r="G7" s="46" t="s">
        <v>11</v>
      </c>
      <c r="H7" s="46" t="s">
        <v>11</v>
      </c>
      <c r="I7" s="46" t="s">
        <v>11</v>
      </c>
    </row>
    <row r="8" spans="1:9" ht="21" customHeight="1" x14ac:dyDescent="0.15">
      <c r="A8" s="74" t="s">
        <v>207</v>
      </c>
      <c r="B8" s="46" t="s">
        <v>11</v>
      </c>
      <c r="C8" s="46" t="s">
        <v>11</v>
      </c>
      <c r="D8" s="46" t="s">
        <v>11</v>
      </c>
      <c r="E8" s="46">
        <v>8000</v>
      </c>
      <c r="F8" s="28">
        <v>10000</v>
      </c>
      <c r="G8" s="46">
        <v>14000</v>
      </c>
      <c r="H8" s="46" t="s">
        <v>11</v>
      </c>
      <c r="I8" s="46" t="s">
        <v>11</v>
      </c>
    </row>
    <row r="9" spans="1:9" s="45" customFormat="1" ht="21" customHeight="1" x14ac:dyDescent="0.15">
      <c r="A9" s="202" t="s">
        <v>338</v>
      </c>
      <c r="B9" s="28" t="s">
        <v>11</v>
      </c>
      <c r="C9" s="28" t="s">
        <v>11</v>
      </c>
      <c r="D9" s="28" t="s">
        <v>11</v>
      </c>
      <c r="E9" s="28" t="s">
        <v>11</v>
      </c>
      <c r="F9" s="28">
        <v>10000</v>
      </c>
      <c r="G9" s="46">
        <v>14000</v>
      </c>
      <c r="H9" s="28" t="s">
        <v>11</v>
      </c>
      <c r="I9" s="28" t="s">
        <v>11</v>
      </c>
    </row>
    <row r="10" spans="1:9" s="45" customFormat="1" ht="21" customHeight="1" x14ac:dyDescent="0.15">
      <c r="A10" s="75" t="s">
        <v>208</v>
      </c>
      <c r="B10" s="28" t="s">
        <v>11</v>
      </c>
      <c r="C10" s="28" t="s">
        <v>11</v>
      </c>
      <c r="D10" s="28" t="s">
        <v>11</v>
      </c>
      <c r="E10" s="28">
        <v>7500</v>
      </c>
      <c r="F10" s="28">
        <v>9500</v>
      </c>
      <c r="G10" s="46">
        <v>13000</v>
      </c>
      <c r="H10" s="28" t="s">
        <v>11</v>
      </c>
      <c r="I10" s="28" t="s">
        <v>11</v>
      </c>
    </row>
    <row r="11" spans="1:9" ht="21" customHeight="1" x14ac:dyDescent="0.15">
      <c r="A11" s="75" t="s">
        <v>9</v>
      </c>
      <c r="B11" s="68" t="s">
        <v>11</v>
      </c>
      <c r="C11" s="68" t="s">
        <v>11</v>
      </c>
      <c r="D11" s="28">
        <v>5000</v>
      </c>
      <c r="E11" s="28">
        <v>7000</v>
      </c>
      <c r="F11" s="28">
        <v>9000</v>
      </c>
      <c r="G11" s="46">
        <v>12000</v>
      </c>
      <c r="H11" s="68" t="s">
        <v>11</v>
      </c>
      <c r="I11" s="68" t="s">
        <v>11</v>
      </c>
    </row>
    <row r="12" spans="1:9" ht="21" customHeight="1" x14ac:dyDescent="0.15">
      <c r="A12" s="75" t="s">
        <v>209</v>
      </c>
      <c r="B12" s="68" t="s">
        <v>11</v>
      </c>
      <c r="C12" s="68" t="s">
        <v>11</v>
      </c>
      <c r="D12" s="28">
        <v>4900</v>
      </c>
      <c r="E12" s="28">
        <v>6700</v>
      </c>
      <c r="F12" s="28">
        <v>8500</v>
      </c>
      <c r="G12" s="46">
        <v>11000</v>
      </c>
      <c r="H12" s="68" t="s">
        <v>11</v>
      </c>
      <c r="I12" s="68" t="s">
        <v>11</v>
      </c>
    </row>
    <row r="13" spans="1:9" ht="21" customHeight="1" x14ac:dyDescent="0.15">
      <c r="A13" s="75" t="s">
        <v>106</v>
      </c>
      <c r="B13" s="68" t="s">
        <v>11</v>
      </c>
      <c r="C13" s="68" t="s">
        <v>11</v>
      </c>
      <c r="D13" s="28">
        <v>4800</v>
      </c>
      <c r="E13" s="28">
        <v>6600</v>
      </c>
      <c r="F13" s="68" t="s">
        <v>11</v>
      </c>
      <c r="G13" s="68" t="s">
        <v>11</v>
      </c>
      <c r="H13" s="68" t="s">
        <v>11</v>
      </c>
      <c r="I13" s="68" t="s">
        <v>11</v>
      </c>
    </row>
    <row r="14" spans="1:9" ht="21" customHeight="1" x14ac:dyDescent="0.15">
      <c r="A14" s="75" t="s">
        <v>210</v>
      </c>
      <c r="B14" s="68" t="s">
        <v>11</v>
      </c>
      <c r="C14" s="68" t="s">
        <v>11</v>
      </c>
      <c r="D14" s="68" t="s">
        <v>11</v>
      </c>
      <c r="E14" s="28">
        <v>6300</v>
      </c>
      <c r="F14" s="68" t="s">
        <v>11</v>
      </c>
      <c r="G14" s="68" t="s">
        <v>11</v>
      </c>
      <c r="H14" s="68" t="s">
        <v>11</v>
      </c>
      <c r="I14" s="68" t="s">
        <v>11</v>
      </c>
    </row>
    <row r="15" spans="1:9" ht="21" customHeight="1" x14ac:dyDescent="0.15">
      <c r="A15" s="75" t="s">
        <v>211</v>
      </c>
      <c r="B15" s="68" t="s">
        <v>11</v>
      </c>
      <c r="C15" s="68" t="s">
        <v>11</v>
      </c>
      <c r="D15" s="28">
        <v>4600</v>
      </c>
      <c r="E15" s="28">
        <v>5800</v>
      </c>
      <c r="F15" s="28">
        <v>7600</v>
      </c>
      <c r="G15" s="68" t="s">
        <v>11</v>
      </c>
      <c r="H15" s="68" t="s">
        <v>11</v>
      </c>
      <c r="I15" s="68" t="s">
        <v>11</v>
      </c>
    </row>
    <row r="16" spans="1:9" ht="21" customHeight="1" x14ac:dyDescent="0.15">
      <c r="A16" s="75" t="s">
        <v>105</v>
      </c>
      <c r="B16" s="68" t="s">
        <v>11</v>
      </c>
      <c r="C16" s="68" t="s">
        <v>11</v>
      </c>
      <c r="D16" s="28">
        <v>4400</v>
      </c>
      <c r="E16" s="28">
        <v>5600</v>
      </c>
      <c r="F16" s="68" t="s">
        <v>11</v>
      </c>
      <c r="G16" s="68" t="s">
        <v>11</v>
      </c>
      <c r="H16" s="68" t="s">
        <v>11</v>
      </c>
      <c r="I16" s="68" t="s">
        <v>11</v>
      </c>
    </row>
    <row r="17" spans="1:9" ht="21" customHeight="1" x14ac:dyDescent="0.15">
      <c r="A17" s="75" t="s">
        <v>212</v>
      </c>
      <c r="B17" s="68" t="s">
        <v>11</v>
      </c>
      <c r="C17" s="28">
        <v>3000</v>
      </c>
      <c r="D17" s="28">
        <v>4200</v>
      </c>
      <c r="E17" s="28">
        <v>5400</v>
      </c>
      <c r="F17" s="68" t="s">
        <v>11</v>
      </c>
      <c r="G17" s="68" t="s">
        <v>11</v>
      </c>
      <c r="H17" s="68" t="s">
        <v>11</v>
      </c>
      <c r="I17" s="68" t="s">
        <v>11</v>
      </c>
    </row>
    <row r="18" spans="1:9" ht="21" customHeight="1" x14ac:dyDescent="0.15">
      <c r="A18" s="75" t="s">
        <v>8</v>
      </c>
      <c r="B18" s="28">
        <v>2000</v>
      </c>
      <c r="C18" s="28">
        <v>2800</v>
      </c>
      <c r="D18" s="28">
        <v>4000</v>
      </c>
      <c r="E18" s="68" t="s">
        <v>11</v>
      </c>
      <c r="F18" s="68" t="s">
        <v>11</v>
      </c>
      <c r="G18" s="68" t="s">
        <v>11</v>
      </c>
      <c r="H18" s="68" t="s">
        <v>11</v>
      </c>
      <c r="I18" s="68" t="s">
        <v>11</v>
      </c>
    </row>
    <row r="19" spans="1:9" ht="21" customHeight="1" x14ac:dyDescent="0.15">
      <c r="A19" s="76" t="s">
        <v>7</v>
      </c>
      <c r="B19" s="28">
        <v>1750</v>
      </c>
      <c r="C19" s="28">
        <v>2550</v>
      </c>
      <c r="D19" s="68" t="s">
        <v>11</v>
      </c>
      <c r="E19" s="68" t="s">
        <v>11</v>
      </c>
      <c r="F19" s="68" t="s">
        <v>11</v>
      </c>
      <c r="G19" s="68" t="s">
        <v>11</v>
      </c>
      <c r="H19" s="68" t="s">
        <v>11</v>
      </c>
      <c r="I19" s="68" t="s">
        <v>11</v>
      </c>
    </row>
    <row r="20" spans="1:9" ht="21" customHeight="1" x14ac:dyDescent="0.15">
      <c r="A20" s="76" t="s">
        <v>213</v>
      </c>
      <c r="B20" s="28">
        <v>1500</v>
      </c>
      <c r="C20" s="28">
        <v>2300</v>
      </c>
      <c r="D20" s="68" t="s">
        <v>11</v>
      </c>
      <c r="E20" s="68" t="s">
        <v>11</v>
      </c>
      <c r="F20" s="68" t="s">
        <v>11</v>
      </c>
      <c r="G20" s="68" t="s">
        <v>11</v>
      </c>
      <c r="H20" s="68" t="s">
        <v>11</v>
      </c>
      <c r="I20" s="68" t="s">
        <v>11</v>
      </c>
    </row>
    <row r="21" spans="1:9" ht="21" customHeight="1" x14ac:dyDescent="0.15">
      <c r="A21" s="37" t="s">
        <v>214</v>
      </c>
      <c r="B21" s="36">
        <v>1000</v>
      </c>
      <c r="C21" s="36">
        <v>1000</v>
      </c>
      <c r="D21" s="36">
        <v>1000</v>
      </c>
      <c r="E21" s="36">
        <v>1000</v>
      </c>
      <c r="F21" s="36">
        <v>1000</v>
      </c>
      <c r="G21" s="36">
        <v>1000</v>
      </c>
      <c r="H21" s="36">
        <v>1000</v>
      </c>
      <c r="I21" s="36">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3"/>
  </cols>
  <sheetData>
    <row r="1" spans="1:8" ht="21" customHeight="1" x14ac:dyDescent="0.15">
      <c r="A1" s="23" t="s">
        <v>111</v>
      </c>
      <c r="G1" s="23" t="s">
        <v>112</v>
      </c>
    </row>
    <row r="2" spans="1:8" ht="21" customHeight="1" x14ac:dyDescent="0.15">
      <c r="A2" s="21" t="s">
        <v>15</v>
      </c>
      <c r="B2" s="21" t="s">
        <v>16</v>
      </c>
      <c r="G2" s="21" t="s">
        <v>15</v>
      </c>
      <c r="H2" s="21" t="s">
        <v>16</v>
      </c>
    </row>
    <row r="3" spans="1:8" ht="21" customHeight="1" x14ac:dyDescent="0.15">
      <c r="A3" s="24">
        <v>1</v>
      </c>
      <c r="B3" s="33">
        <v>5000</v>
      </c>
      <c r="G3" s="24">
        <v>1</v>
      </c>
      <c r="H3" s="24">
        <v>75</v>
      </c>
    </row>
    <row r="4" spans="1:8" ht="21" customHeight="1" x14ac:dyDescent="0.15">
      <c r="A4" s="24">
        <v>2</v>
      </c>
      <c r="B4" s="25">
        <v>10000</v>
      </c>
      <c r="G4" s="24">
        <v>2</v>
      </c>
      <c r="H4" s="24">
        <v>150</v>
      </c>
    </row>
    <row r="5" spans="1:8" ht="21" customHeight="1" x14ac:dyDescent="0.15">
      <c r="A5" s="24">
        <v>3</v>
      </c>
      <c r="B5" s="25">
        <v>20000</v>
      </c>
      <c r="G5" s="24">
        <v>3</v>
      </c>
      <c r="H5" s="24">
        <v>300</v>
      </c>
    </row>
    <row r="6" spans="1:8" ht="21" customHeight="1" x14ac:dyDescent="0.15">
      <c r="A6" s="24">
        <v>4</v>
      </c>
      <c r="B6" s="25">
        <v>50000</v>
      </c>
      <c r="G6" s="24">
        <v>4</v>
      </c>
      <c r="H6" s="24">
        <v>600</v>
      </c>
    </row>
    <row r="7" spans="1:8" ht="21" customHeight="1" x14ac:dyDescent="0.15">
      <c r="A7" s="24">
        <v>5</v>
      </c>
      <c r="B7" s="25">
        <v>200000</v>
      </c>
      <c r="G7" s="24">
        <v>5</v>
      </c>
      <c r="H7" s="24">
        <v>900</v>
      </c>
    </row>
    <row r="8" spans="1:8" ht="21" customHeight="1" x14ac:dyDescent="0.15">
      <c r="A8" s="24">
        <v>6</v>
      </c>
      <c r="B8" s="34">
        <v>0</v>
      </c>
      <c r="G8" s="24">
        <v>6</v>
      </c>
      <c r="H8" s="35">
        <v>1200</v>
      </c>
    </row>
    <row r="9" spans="1:8" ht="21" customHeight="1" x14ac:dyDescent="0.15">
      <c r="A9" s="24">
        <v>7</v>
      </c>
      <c r="B9" s="34"/>
      <c r="G9" s="24">
        <v>7</v>
      </c>
      <c r="H9" s="34"/>
    </row>
    <row r="10" spans="1:8" ht="21" customHeight="1" x14ac:dyDescent="0.15">
      <c r="A10" s="24">
        <v>8</v>
      </c>
      <c r="B10" s="34"/>
      <c r="G10" s="24">
        <v>8</v>
      </c>
      <c r="H10" s="34"/>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workbookViewId="0">
      <selection activeCell="H21" sqref="H21"/>
    </sheetView>
  </sheetViews>
  <sheetFormatPr baseColWidth="12" defaultRowHeight="15" x14ac:dyDescent="0.15"/>
  <sheetData>
    <row r="2" spans="1:4" x14ac:dyDescent="0.15">
      <c r="A2" t="s">
        <v>198</v>
      </c>
      <c r="B2" s="12">
        <v>591</v>
      </c>
    </row>
    <row r="3" spans="1:4" x14ac:dyDescent="0.15">
      <c r="A3" t="s">
        <v>199</v>
      </c>
      <c r="B3" s="132">
        <v>592</v>
      </c>
    </row>
    <row r="4" spans="1:4" x14ac:dyDescent="0.15">
      <c r="A4" t="s">
        <v>200</v>
      </c>
      <c r="B4" s="132">
        <v>593</v>
      </c>
    </row>
    <row r="7" spans="1:4" x14ac:dyDescent="0.15">
      <c r="A7" t="s">
        <v>201</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220</v>
      </c>
    </row>
    <row r="13" spans="1:4" x14ac:dyDescent="0.15">
      <c r="B13" t="s">
        <v>224</v>
      </c>
      <c r="C13" t="s">
        <v>225</v>
      </c>
      <c r="D13" t="s">
        <v>226</v>
      </c>
    </row>
    <row r="14" spans="1:4" x14ac:dyDescent="0.15">
      <c r="A14" t="s">
        <v>222</v>
      </c>
      <c r="B14" t="e">
        <f>VLOOKUP($B2,units!$A:$BN,63)</f>
        <v>#N/A</v>
      </c>
      <c r="C14" t="e">
        <f>VLOOKUP($B2,units!$A:$BN,64)</f>
        <v>#N/A</v>
      </c>
      <c r="D14" t="e">
        <f>VLOOKUP($B2,units!$A:$BN,66)</f>
        <v>#N/A</v>
      </c>
    </row>
    <row r="15" spans="1:4" x14ac:dyDescent="0.15">
      <c r="A15" t="s">
        <v>223</v>
      </c>
      <c r="B15" t="e">
        <f>VLOOKUP($B3,units!$A:$BN,63)</f>
        <v>#N/A</v>
      </c>
      <c r="C15" t="e">
        <f>VLOOKUP($B3,units!$A:$BN,64)</f>
        <v>#N/A</v>
      </c>
      <c r="D15" t="e">
        <f>VLOOKUP($B3,units!$A:$BN,66)</f>
        <v>#N/A</v>
      </c>
    </row>
    <row r="16" spans="1:4" x14ac:dyDescent="0.15">
      <c r="A16" t="s">
        <v>221</v>
      </c>
      <c r="B16" t="e">
        <f>VLOOKUP($B4,units!$A:$BN,63)</f>
        <v>#N/A</v>
      </c>
      <c r="C16" t="e">
        <f>VLOOKUP($B4,units!$A:$BN,64)</f>
        <v>#N/A</v>
      </c>
      <c r="D16" t="e">
        <f>VLOOKUP($B4,units!$A:$BN,66)</f>
        <v>#N/A</v>
      </c>
    </row>
    <row r="19" spans="1:1" ht="19" customHeight="1" x14ac:dyDescent="0.15">
      <c r="A19" t="s">
        <v>202</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203</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204</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4"/>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2017-06-06T09:14:24Z</dcterms:modified>
</cp:coreProperties>
</file>