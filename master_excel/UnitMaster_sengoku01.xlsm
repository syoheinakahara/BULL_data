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760" windowWidth="27700" windowHeight="1594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14" i="23"/>
  <c r="BR14" i="23"/>
  <c r="H15" i="23"/>
  <c r="BR15" i="23"/>
  <c r="H16" i="23"/>
  <c r="BR16" i="23"/>
  <c r="H17" i="23"/>
  <c r="BR17" i="23"/>
  <c r="H2" i="23"/>
  <c r="BR2" i="23"/>
  <c r="E9" i="52"/>
  <c r="E8" i="52"/>
  <c r="G10" i="23"/>
  <c r="B10" i="23"/>
  <c r="G4" i="23"/>
  <c r="D3" i="3"/>
  <c r="E3" i="3"/>
  <c r="D4" i="3"/>
  <c r="E4" i="3"/>
  <c r="D5" i="3"/>
  <c r="E5" i="3"/>
  <c r="D6" i="3"/>
  <c r="E6" i="3"/>
  <c r="G6" i="23"/>
  <c r="D7" i="3"/>
  <c r="E7" i="3"/>
  <c r="D8" i="3"/>
  <c r="E8" i="3"/>
  <c r="D9" i="3"/>
  <c r="E9" i="3"/>
  <c r="D10" i="3"/>
  <c r="E10" i="3"/>
  <c r="D11" i="3"/>
  <c r="E11" i="3"/>
  <c r="D12" i="3"/>
  <c r="E12" i="3"/>
  <c r="G12" i="23"/>
  <c r="D13" i="3"/>
  <c r="E13" i="3"/>
  <c r="D14" i="3"/>
  <c r="E14" i="3"/>
  <c r="D15" i="3"/>
  <c r="E15" i="3"/>
  <c r="G14" i="23"/>
  <c r="D16" i="3"/>
  <c r="E16" i="3"/>
  <c r="D17" i="3"/>
  <c r="E17" i="3"/>
  <c r="D18" i="3"/>
  <c r="E18" i="3"/>
  <c r="D19" i="3"/>
  <c r="E19" i="3"/>
  <c r="D20" i="3"/>
  <c r="E20" i="3"/>
  <c r="G16" i="23"/>
  <c r="D21" i="3"/>
  <c r="E21" i="3"/>
  <c r="D22" i="3"/>
  <c r="E22" i="3"/>
  <c r="D23" i="3"/>
  <c r="E23" i="3"/>
  <c r="D24" i="3"/>
  <c r="E24" i="3"/>
  <c r="D25" i="3"/>
  <c r="E25" i="3"/>
  <c r="G8" i="23"/>
  <c r="D26" i="3"/>
  <c r="E26" i="3"/>
  <c r="D27" i="3"/>
  <c r="E27" i="3"/>
  <c r="D28" i="3"/>
  <c r="E28" i="3"/>
  <c r="D29" i="3"/>
  <c r="E29" i="3"/>
  <c r="D30" i="3"/>
  <c r="E30" i="3"/>
  <c r="G30" i="3"/>
  <c r="B16" i="23"/>
  <c r="B8" i="23"/>
  <c r="C30" i="3"/>
  <c r="A30" i="3"/>
  <c r="G29" i="3"/>
  <c r="C29" i="3"/>
  <c r="A29" i="3"/>
  <c r="G28" i="3"/>
  <c r="C28" i="3"/>
  <c r="A28" i="3"/>
  <c r="G27" i="3"/>
  <c r="C27" i="3"/>
  <c r="A27" i="3"/>
  <c r="G26" i="3"/>
  <c r="C26" i="3"/>
  <c r="A26" i="3"/>
  <c r="G3" i="23"/>
  <c r="P3" i="23"/>
  <c r="P4" i="23"/>
  <c r="G5" i="23"/>
  <c r="P5" i="23"/>
  <c r="P6" i="23"/>
  <c r="G7" i="23"/>
  <c r="P7" i="23"/>
  <c r="P8" i="23"/>
  <c r="G9" i="23"/>
  <c r="P9" i="23"/>
  <c r="P10" i="23"/>
  <c r="G11" i="23"/>
  <c r="P11" i="23"/>
  <c r="P12" i="23"/>
  <c r="G13" i="23"/>
  <c r="P13" i="23"/>
  <c r="P14" i="23"/>
  <c r="G15" i="23"/>
  <c r="P15" i="23"/>
  <c r="P16" i="23"/>
  <c r="G17" i="23"/>
  <c r="P17" i="23"/>
  <c r="G2" i="23"/>
  <c r="P2" i="23"/>
  <c r="G6" i="3"/>
  <c r="G5" i="3"/>
  <c r="G4" i="3"/>
  <c r="G3" i="3"/>
  <c r="H14" i="54"/>
  <c r="G14" i="54"/>
  <c r="H13" i="54"/>
  <c r="G13" i="54"/>
  <c r="H7" i="54"/>
  <c r="H6" i="54"/>
  <c r="G7" i="54"/>
  <c r="G6" i="54"/>
  <c r="A61" i="54"/>
  <c r="A62" i="54"/>
  <c r="A65" i="54"/>
  <c r="A42" i="54"/>
  <c r="A43" i="54"/>
  <c r="A44" i="54"/>
  <c r="A45" i="54"/>
  <c r="A46" i="54"/>
  <c r="A47" i="54"/>
  <c r="A49" i="54"/>
  <c r="A50" i="54"/>
  <c r="A51" i="54"/>
  <c r="A52" i="54"/>
  <c r="A53" i="54"/>
  <c r="A54" i="54"/>
  <c r="A55" i="54"/>
  <c r="A56" i="54"/>
  <c r="A58" i="54"/>
  <c r="A59" i="54"/>
  <c r="A60" i="54"/>
  <c r="A63" i="54"/>
  <c r="A64" i="54"/>
  <c r="A10" i="54"/>
  <c r="A11" i="54"/>
  <c r="A12" i="54"/>
  <c r="A13" i="54"/>
  <c r="A14" i="54"/>
  <c r="A15" i="54"/>
  <c r="A17" i="54"/>
  <c r="A18" i="54"/>
  <c r="A19" i="54"/>
  <c r="A20" i="54"/>
  <c r="A21" i="54"/>
  <c r="A22" i="54"/>
  <c r="A23" i="54"/>
  <c r="A24" i="54"/>
  <c r="A26" i="54"/>
  <c r="A27" i="54"/>
  <c r="A28" i="54"/>
  <c r="A29" i="54"/>
  <c r="A30" i="54"/>
  <c r="A31" i="54"/>
  <c r="A32" i="54"/>
  <c r="A33" i="54"/>
  <c r="A35" i="54"/>
  <c r="A36" i="54"/>
  <c r="A37" i="54"/>
  <c r="A38" i="54"/>
  <c r="A39" i="54"/>
  <c r="A40" i="54"/>
  <c r="E65" i="54"/>
  <c r="B65" i="54"/>
  <c r="E64" i="54"/>
  <c r="B64" i="54"/>
  <c r="E63" i="54"/>
  <c r="B63" i="54"/>
  <c r="E62" i="54"/>
  <c r="B62" i="54"/>
  <c r="E61" i="54"/>
  <c r="B61" i="54"/>
  <c r="E60" i="54"/>
  <c r="B60" i="54"/>
  <c r="E59" i="54"/>
  <c r="B59" i="54"/>
  <c r="E58" i="54"/>
  <c r="B58" i="54"/>
  <c r="E57" i="54"/>
  <c r="B57" i="54"/>
  <c r="E56" i="54"/>
  <c r="B56" i="54"/>
  <c r="E55" i="54"/>
  <c r="B55" i="54"/>
  <c r="E54" i="54"/>
  <c r="B54" i="54"/>
  <c r="E53" i="54"/>
  <c r="B53" i="54"/>
  <c r="E52" i="54"/>
  <c r="B52" i="54"/>
  <c r="E51" i="54"/>
  <c r="B51" i="54"/>
  <c r="E50" i="54"/>
  <c r="B50" i="54"/>
  <c r="E49" i="54"/>
  <c r="B49" i="54"/>
  <c r="E48" i="54"/>
  <c r="B48" i="54"/>
  <c r="E47" i="54"/>
  <c r="B47" i="54"/>
  <c r="E46" i="54"/>
  <c r="B46" i="54"/>
  <c r="E45" i="54"/>
  <c r="B45" i="54"/>
  <c r="E44" i="54"/>
  <c r="B44" i="54"/>
  <c r="E43" i="54"/>
  <c r="B43" i="54"/>
  <c r="E42" i="54"/>
  <c r="B42" i="54"/>
  <c r="E41" i="54"/>
  <c r="B41" i="54"/>
  <c r="E40" i="54"/>
  <c r="B40" i="54"/>
  <c r="E39" i="54"/>
  <c r="B39" i="54"/>
  <c r="E38" i="54"/>
  <c r="B38" i="54"/>
  <c r="E37" i="54"/>
  <c r="B37" i="54"/>
  <c r="E36" i="54"/>
  <c r="B36" i="54"/>
  <c r="E35" i="54"/>
  <c r="B35" i="54"/>
  <c r="E34" i="54"/>
  <c r="B34" i="54"/>
  <c r="E33" i="54"/>
  <c r="B33" i="54"/>
  <c r="E32" i="54"/>
  <c r="B32" i="54"/>
  <c r="E31" i="54"/>
  <c r="B31" i="54"/>
  <c r="E30" i="54"/>
  <c r="B30" i="54"/>
  <c r="E29" i="54"/>
  <c r="B29" i="54"/>
  <c r="E28" i="54"/>
  <c r="B28" i="54"/>
  <c r="E27" i="54"/>
  <c r="B27" i="54"/>
  <c r="E26" i="54"/>
  <c r="B26" i="54"/>
  <c r="E25" i="54"/>
  <c r="B25" i="54"/>
  <c r="E24" i="54"/>
  <c r="B24" i="54"/>
  <c r="E19" i="54"/>
  <c r="B19" i="54"/>
  <c r="E23" i="54"/>
  <c r="B23" i="54"/>
  <c r="E22" i="54"/>
  <c r="B22" i="54"/>
  <c r="E21" i="54"/>
  <c r="B21" i="54"/>
  <c r="E20" i="54"/>
  <c r="B20" i="54"/>
  <c r="E18" i="54"/>
  <c r="B18" i="54"/>
  <c r="E17" i="54"/>
  <c r="B17" i="54"/>
  <c r="E16" i="54"/>
  <c r="B16" i="54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2" i="54"/>
  <c r="B15" i="54"/>
  <c r="B14" i="54"/>
  <c r="B13" i="54"/>
  <c r="B12" i="54"/>
  <c r="B11" i="54"/>
  <c r="B10" i="54"/>
  <c r="B9" i="54"/>
  <c r="B6" i="54"/>
  <c r="B7" i="54"/>
  <c r="B8" i="54"/>
  <c r="B5" i="54"/>
  <c r="B4" i="54"/>
  <c r="B3" i="54"/>
  <c r="B2" i="54"/>
  <c r="G18" i="3"/>
  <c r="G17" i="3"/>
  <c r="G16" i="3"/>
  <c r="B14" i="23"/>
  <c r="C17" i="3"/>
  <c r="A17" i="3"/>
  <c r="G24" i="3"/>
  <c r="G21" i="3"/>
  <c r="G23" i="3"/>
  <c r="G22" i="3"/>
  <c r="C23" i="3"/>
  <c r="A23" i="3"/>
  <c r="G10" i="3"/>
  <c r="G11" i="3"/>
  <c r="G12" i="3"/>
  <c r="G13" i="3"/>
  <c r="G14" i="3"/>
  <c r="G15" i="3"/>
  <c r="G19" i="3"/>
  <c r="G20" i="3"/>
  <c r="G25" i="3"/>
  <c r="B2" i="23"/>
  <c r="C2" i="3"/>
  <c r="B4" i="23"/>
  <c r="C3" i="3"/>
  <c r="C4" i="3"/>
  <c r="C5" i="3"/>
  <c r="C6" i="3"/>
  <c r="B6" i="23"/>
  <c r="C7" i="3"/>
  <c r="C8" i="3"/>
  <c r="C9" i="3"/>
  <c r="C10" i="3"/>
  <c r="C11" i="3"/>
  <c r="C12" i="3"/>
  <c r="B12" i="23"/>
  <c r="C13" i="3"/>
  <c r="C14" i="3"/>
  <c r="C15" i="3"/>
  <c r="C16" i="3"/>
  <c r="C18" i="3"/>
  <c r="C19" i="3"/>
  <c r="C20" i="3"/>
  <c r="C21" i="3"/>
  <c r="C22" i="3"/>
  <c r="C24" i="3"/>
  <c r="C25" i="3"/>
  <c r="A25" i="3"/>
  <c r="A24" i="3"/>
  <c r="A22" i="3"/>
  <c r="A21" i="3"/>
  <c r="A20" i="3"/>
  <c r="A19" i="3"/>
  <c r="A18" i="3"/>
  <c r="A16" i="3"/>
  <c r="A15" i="3"/>
  <c r="A14" i="3"/>
  <c r="A13" i="3"/>
  <c r="A12" i="3"/>
  <c r="A11" i="3"/>
  <c r="A10" i="3"/>
  <c r="G9" i="3"/>
  <c r="A9" i="3"/>
  <c r="G8" i="3"/>
  <c r="A8" i="3"/>
  <c r="G7" i="3"/>
  <c r="A7" i="3"/>
  <c r="J9" i="52"/>
  <c r="A6" i="3"/>
  <c r="A5" i="3"/>
  <c r="A4" i="3"/>
  <c r="A3" i="3"/>
  <c r="E6" i="52"/>
  <c r="J14" i="52"/>
  <c r="J15" i="52"/>
  <c r="G4" i="53"/>
  <c r="E4" i="53"/>
  <c r="G5" i="53"/>
  <c r="E5" i="53"/>
  <c r="G6" i="53"/>
  <c r="E6" i="53"/>
  <c r="G7" i="53"/>
  <c r="E7" i="53"/>
  <c r="G8" i="53"/>
  <c r="E8" i="53"/>
  <c r="G9" i="53"/>
  <c r="E9" i="53"/>
  <c r="G10" i="53"/>
  <c r="E10" i="53"/>
  <c r="G11" i="53"/>
  <c r="E11" i="53"/>
  <c r="G12" i="53"/>
  <c r="E12" i="53"/>
  <c r="G13" i="53"/>
  <c r="E13" i="53"/>
  <c r="G14" i="53"/>
  <c r="E14" i="53"/>
  <c r="G15" i="53"/>
  <c r="E15" i="53"/>
  <c r="G16" i="53"/>
  <c r="E16" i="53"/>
  <c r="G17" i="53"/>
  <c r="E17" i="53"/>
  <c r="G3" i="53"/>
  <c r="E3" i="53"/>
  <c r="J4" i="52"/>
  <c r="E4" i="52"/>
  <c r="H4" i="52"/>
  <c r="J5" i="52"/>
  <c r="E5" i="52"/>
  <c r="H5" i="52"/>
  <c r="J6" i="52"/>
  <c r="H6" i="52"/>
  <c r="J7" i="52"/>
  <c r="E7" i="52"/>
  <c r="H7" i="52"/>
  <c r="J8" i="52"/>
  <c r="H8" i="52"/>
  <c r="H9" i="52"/>
  <c r="J10" i="52"/>
  <c r="E10" i="52"/>
  <c r="H10" i="52"/>
  <c r="J11" i="52"/>
  <c r="E11" i="52"/>
  <c r="H11" i="52"/>
  <c r="J12" i="52"/>
  <c r="E12" i="52"/>
  <c r="H12" i="52"/>
  <c r="J13" i="52"/>
  <c r="E13" i="52"/>
  <c r="H13" i="52"/>
  <c r="E14" i="52"/>
  <c r="H14" i="52"/>
  <c r="E15" i="52"/>
  <c r="H15" i="52"/>
  <c r="J3" i="52"/>
  <c r="H3" i="52"/>
  <c r="E3" i="52"/>
  <c r="AT3" i="23"/>
  <c r="AT4" i="23"/>
  <c r="AT5" i="23"/>
  <c r="AT6" i="23"/>
  <c r="AT7" i="23"/>
  <c r="AT8" i="23"/>
  <c r="AT9" i="23"/>
  <c r="AT10" i="23"/>
  <c r="AT11" i="23"/>
  <c r="AT12" i="23"/>
  <c r="AT13" i="23"/>
  <c r="AT14" i="23"/>
  <c r="AT15" i="23"/>
  <c r="AT16" i="23"/>
  <c r="AT17" i="23"/>
  <c r="AT18" i="23"/>
  <c r="AT2" i="23"/>
  <c r="AP3" i="23"/>
  <c r="AP4" i="23"/>
  <c r="AP5" i="23"/>
  <c r="AP6" i="23"/>
  <c r="AP7" i="23"/>
  <c r="AP8" i="23"/>
  <c r="AP9" i="23"/>
  <c r="AP10" i="23"/>
  <c r="AP11" i="23"/>
  <c r="AP12" i="23"/>
  <c r="AP13" i="23"/>
  <c r="AP14" i="23"/>
  <c r="AP15" i="23"/>
  <c r="AP16" i="23"/>
  <c r="AP17" i="23"/>
  <c r="AP2" i="2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G3" i="23"/>
  <c r="AI2" i="23"/>
  <c r="AK2" i="23"/>
  <c r="AL2" i="23"/>
  <c r="AM2" i="23"/>
  <c r="AN2" i="23"/>
  <c r="J2" i="52"/>
  <c r="AQ2" i="23"/>
  <c r="AR2" i="23"/>
  <c r="AS2" i="23"/>
  <c r="G2" i="53"/>
  <c r="AU2" i="23"/>
  <c r="AV2" i="23"/>
  <c r="AW2" i="23"/>
  <c r="AX2" i="23"/>
  <c r="BC2" i="23"/>
  <c r="BD2" i="23"/>
  <c r="BC3" i="23"/>
  <c r="BE2" i="23"/>
  <c r="I3" i="23"/>
  <c r="J3" i="23"/>
  <c r="BF2" i="23"/>
  <c r="BK2" i="23"/>
  <c r="BG2" i="23"/>
  <c r="BL2" i="23"/>
  <c r="BH2" i="23"/>
  <c r="BM2" i="23"/>
  <c r="BI2" i="23"/>
  <c r="BN2" i="23"/>
  <c r="BJ2" i="23"/>
  <c r="B3" i="23"/>
  <c r="C3" i="23"/>
  <c r="D3" i="23"/>
  <c r="E3" i="23"/>
  <c r="F3" i="23"/>
  <c r="K3" i="23"/>
  <c r="L3" i="23"/>
  <c r="M3" i="2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D3" i="23"/>
  <c r="BE3" i="23"/>
  <c r="BF3" i="23"/>
  <c r="BK3" i="23"/>
  <c r="BG3" i="23"/>
  <c r="BL3" i="23"/>
  <c r="BH3" i="23"/>
  <c r="BM3" i="23"/>
  <c r="BI3" i="23"/>
  <c r="BN3" i="23"/>
  <c r="BJ3" i="23"/>
  <c r="C4" i="23"/>
  <c r="D4" i="23"/>
  <c r="E4" i="23"/>
  <c r="F4" i="23"/>
  <c r="I4" i="23"/>
  <c r="J4" i="23"/>
  <c r="K4" i="23"/>
  <c r="L4" i="23"/>
  <c r="M4" i="23"/>
  <c r="N4" i="23"/>
  <c r="O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I5" i="23"/>
  <c r="J5" i="23"/>
  <c r="K5" i="23"/>
  <c r="L5" i="23"/>
  <c r="M5" i="23"/>
  <c r="N5" i="23"/>
  <c r="O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C6" i="23"/>
  <c r="D6" i="23"/>
  <c r="E6" i="23"/>
  <c r="F6" i="23"/>
  <c r="I6" i="23"/>
  <c r="J6" i="23"/>
  <c r="K6" i="23"/>
  <c r="L6" i="23"/>
  <c r="M6" i="23"/>
  <c r="N6" i="23"/>
  <c r="O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B7" i="23"/>
  <c r="C7" i="23"/>
  <c r="D7" i="23"/>
  <c r="E7" i="23"/>
  <c r="F7" i="23"/>
  <c r="I7" i="23"/>
  <c r="J7" i="23"/>
  <c r="K7" i="23"/>
  <c r="L7" i="23"/>
  <c r="M7" i="23"/>
  <c r="G4" i="13"/>
  <c r="N7" i="23"/>
  <c r="O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C8" i="23"/>
  <c r="D8" i="23"/>
  <c r="E8" i="23"/>
  <c r="F8" i="23"/>
  <c r="I8" i="23"/>
  <c r="J8" i="23"/>
  <c r="K8" i="23"/>
  <c r="L8" i="23"/>
  <c r="M8" i="23"/>
  <c r="N8" i="23"/>
  <c r="O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B9" i="23"/>
  <c r="C9" i="23"/>
  <c r="D9" i="23"/>
  <c r="E9" i="23"/>
  <c r="F9" i="23"/>
  <c r="I9" i="23"/>
  <c r="J9" i="23"/>
  <c r="K9" i="23"/>
  <c r="L9" i="23"/>
  <c r="M9" i="23"/>
  <c r="G3" i="13"/>
  <c r="N9" i="23"/>
  <c r="O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C3" i="49"/>
  <c r="C4" i="49"/>
  <c r="C5" i="49"/>
  <c r="C6" i="49"/>
  <c r="C7" i="49"/>
  <c r="C8" i="49"/>
  <c r="C9" i="49"/>
  <c r="C10" i="49"/>
  <c r="G11" i="13"/>
  <c r="G10" i="13"/>
  <c r="G9" i="13"/>
  <c r="G8" i="13"/>
  <c r="G5" i="13"/>
  <c r="G2" i="13"/>
  <c r="C10" i="23"/>
  <c r="D10" i="23"/>
  <c r="E10" i="23"/>
  <c r="F10" i="23"/>
  <c r="I10" i="23"/>
  <c r="J10" i="23"/>
  <c r="K10" i="23"/>
  <c r="L10" i="23"/>
  <c r="M10" i="23"/>
  <c r="N10" i="23"/>
  <c r="O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I11" i="23"/>
  <c r="J11" i="23"/>
  <c r="K11" i="23"/>
  <c r="L11" i="23"/>
  <c r="M11" i="23"/>
  <c r="N11" i="23"/>
  <c r="O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C12" i="23"/>
  <c r="D12" i="23"/>
  <c r="E12" i="23"/>
  <c r="F12" i="23"/>
  <c r="I12" i="23"/>
  <c r="J12" i="23"/>
  <c r="K12" i="23"/>
  <c r="L12" i="23"/>
  <c r="M12" i="23"/>
  <c r="N12" i="23"/>
  <c r="O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B13" i="23"/>
  <c r="C13" i="23"/>
  <c r="D13" i="23"/>
  <c r="E13" i="23"/>
  <c r="F13" i="23"/>
  <c r="I13" i="23"/>
  <c r="J13" i="23"/>
  <c r="K13" i="23"/>
  <c r="L13" i="23"/>
  <c r="M13" i="23"/>
  <c r="N13" i="23"/>
  <c r="O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C14" i="23"/>
  <c r="D14" i="23"/>
  <c r="E14" i="23"/>
  <c r="F14" i="23"/>
  <c r="I14" i="23"/>
  <c r="J14" i="23"/>
  <c r="K14" i="23"/>
  <c r="L14" i="23"/>
  <c r="M14" i="23"/>
  <c r="N14" i="23"/>
  <c r="O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F14" i="23"/>
  <c r="AG14" i="23"/>
  <c r="AH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C14" i="23"/>
  <c r="BD14" i="23"/>
  <c r="BE14" i="23"/>
  <c r="BF14" i="23"/>
  <c r="BK14" i="23"/>
  <c r="BG14" i="23"/>
  <c r="BL14" i="23"/>
  <c r="BH14" i="23"/>
  <c r="BM14" i="23"/>
  <c r="BI14" i="23"/>
  <c r="BN14" i="23"/>
  <c r="BJ14" i="23"/>
  <c r="B15" i="23"/>
  <c r="C15" i="23"/>
  <c r="D15" i="23"/>
  <c r="E15" i="23"/>
  <c r="F15" i="23"/>
  <c r="I15" i="23"/>
  <c r="J15" i="23"/>
  <c r="K15" i="23"/>
  <c r="L15" i="23"/>
  <c r="M15" i="23"/>
  <c r="N15" i="23"/>
  <c r="O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F15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C15" i="23"/>
  <c r="BD15" i="23"/>
  <c r="BE15" i="23"/>
  <c r="BF15" i="23"/>
  <c r="BK15" i="23"/>
  <c r="BG15" i="23"/>
  <c r="BL15" i="23"/>
  <c r="BH15" i="23"/>
  <c r="BM15" i="23"/>
  <c r="BI15" i="23"/>
  <c r="BN15" i="23"/>
  <c r="BJ15" i="23"/>
  <c r="C16" i="23"/>
  <c r="D16" i="23"/>
  <c r="E16" i="23"/>
  <c r="F16" i="23"/>
  <c r="I16" i="23"/>
  <c r="J16" i="23"/>
  <c r="K16" i="23"/>
  <c r="L16" i="23"/>
  <c r="M16" i="23"/>
  <c r="N16" i="23"/>
  <c r="O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F16" i="23"/>
  <c r="AG16" i="23"/>
  <c r="AH16" i="23"/>
  <c r="AI16" i="23"/>
  <c r="AK16" i="23"/>
  <c r="AL16" i="23"/>
  <c r="AM16" i="23"/>
  <c r="AN16" i="23"/>
  <c r="AQ16" i="23"/>
  <c r="AR16" i="23"/>
  <c r="AS16" i="23"/>
  <c r="AU16" i="23"/>
  <c r="AV16" i="23"/>
  <c r="AW16" i="23"/>
  <c r="AX16" i="23"/>
  <c r="BC16" i="23"/>
  <c r="BD16" i="23"/>
  <c r="BE16" i="23"/>
  <c r="BF16" i="23"/>
  <c r="BK16" i="23"/>
  <c r="BG16" i="23"/>
  <c r="BL16" i="23"/>
  <c r="BH16" i="23"/>
  <c r="BM16" i="23"/>
  <c r="BI16" i="23"/>
  <c r="BN16" i="23"/>
  <c r="BJ16" i="23"/>
  <c r="B17" i="23"/>
  <c r="C17" i="23"/>
  <c r="D17" i="23"/>
  <c r="E17" i="23"/>
  <c r="F17" i="23"/>
  <c r="I17" i="23"/>
  <c r="J17" i="23"/>
  <c r="K17" i="23"/>
  <c r="L17" i="23"/>
  <c r="M17" i="23"/>
  <c r="N17" i="23"/>
  <c r="O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F17" i="23"/>
  <c r="AG17" i="23"/>
  <c r="AH17" i="23"/>
  <c r="AI17" i="23"/>
  <c r="AK17" i="23"/>
  <c r="AL17" i="23"/>
  <c r="AM17" i="23"/>
  <c r="AN17" i="23"/>
  <c r="AQ17" i="23"/>
  <c r="AR17" i="23"/>
  <c r="AS17" i="23"/>
  <c r="AU17" i="23"/>
  <c r="AV17" i="23"/>
  <c r="AW17" i="23"/>
  <c r="AX17" i="23"/>
  <c r="BC17" i="23"/>
  <c r="BD17" i="23"/>
  <c r="BE17" i="23"/>
  <c r="BF17" i="23"/>
  <c r="BK17" i="23"/>
  <c r="BG17" i="23"/>
  <c r="BL17" i="23"/>
  <c r="BH17" i="23"/>
  <c r="BM17" i="23"/>
  <c r="BI17" i="23"/>
  <c r="BN17" i="23"/>
  <c r="BJ17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G2" i="3"/>
  <c r="E8" i="49"/>
  <c r="E7" i="49"/>
  <c r="E6" i="49"/>
  <c r="E5" i="49"/>
  <c r="E9" i="49"/>
  <c r="E10" i="49"/>
  <c r="E3" i="49"/>
  <c r="E4" i="49"/>
  <c r="E2" i="49"/>
  <c r="E2" i="3"/>
  <c r="D2" i="3"/>
  <c r="AH2" i="23"/>
</calcChain>
</file>

<file path=xl/sharedStrings.xml><?xml version="1.0" encoding="utf-8"?>
<sst xmlns="http://schemas.openxmlformats.org/spreadsheetml/2006/main" count="1089" uniqueCount="408">
  <si>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</si>
  <si>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</si>
  <si>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</si>
  <si>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</si>
  <si>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</si>
  <si>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</si>
  <si>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</si>
  <si>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</si>
  <si>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</si>
  <si>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</si>
  <si>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</si>
  <si>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</si>
  <si>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</si>
  <si>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</si>
  <si>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</si>
  <si>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</si>
  <si>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</si>
  <si>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</si>
  <si>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</si>
  <si>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</si>
  <si>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</si>
  <si>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</si>
  <si>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</si>
  <si>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</si>
  <si>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</si>
  <si>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</si>
  <si>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</si>
  <si>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</si>
  <si>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</si>
  <si>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</si>
  <si>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</si>
  <si>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</si>
  <si>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</si>
  <si>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</si>
  <si>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</si>
  <si>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</si>
  <si>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</si>
  <si>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</si>
  <si>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</si>
  <si>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</si>
  <si>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</si>
  <si>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</si>
  <si>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</si>
  <si>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</si>
  <si>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</si>
  <si>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</si>
  <si>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</si>
  <si>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</si>
  <si>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</si>
  <si>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</si>
  <si>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</si>
  <si>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</si>
  <si>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</si>
  <si>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</si>
  <si>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</si>
  <si>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</si>
  <si>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</si>
  <si>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</si>
  <si>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</si>
  <si>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</si>
  <si>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</si>
  <si>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</si>
  <si>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</si>
  <si>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</si>
  <si>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</si>
  <si>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</si>
  <si>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</si>
  <si>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</si>
  <si>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</si>
  <si>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</si>
  <si>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</si>
  <si>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</si>
  <si>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</si>
  <si>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</si>
  <si>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</si>
  <si>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</si>
  <si>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</si>
  <si>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</si>
  <si>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</si>
  <si>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</si>
  <si>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</si>
  <si>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</si>
  <si>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</si>
  <si>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</si>
  <si>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</si>
  <si>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</si>
  <si>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</si>
  <si>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</si>
  <si>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</si>
  <si>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</si>
  <si>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</si>
  <si>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</si>
  <si>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</si>
  <si>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</si>
  <si>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</si>
  <si>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</si>
  <si>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</si>
  <si>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</si>
  <si>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</si>
  <si>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</si>
  <si>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</si>
  <si>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</si>
  <si>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</si>
  <si>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</si>
  <si>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</si>
  <si>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</si>
  <si>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</si>
  <si>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</si>
  <si>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</si>
  <si>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</si>
  <si>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</si>
  <si>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</si>
  <si>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</si>
  <si>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</si>
  <si>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</si>
  <si>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</si>
  <si>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</si>
  <si>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</si>
  <si>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</si>
  <si>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</si>
  <si>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</si>
  <si>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</si>
  <si>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</si>
  <si>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</si>
  <si>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</si>
  <si>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</si>
  <si>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</si>
  <si>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</si>
  <si>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</si>
  <si>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</si>
  <si>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</si>
  <si>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</si>
  <si>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</si>
  <si>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</si>
  <si>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</si>
  <si>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</si>
  <si>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</si>
  <si>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</si>
  <si>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</si>
  <si>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</si>
  <si>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</si>
  <si>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</si>
  <si>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</si>
  <si>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</si>
  <si>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</si>
  <si>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</si>
  <si>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</si>
  <si>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</si>
  <si>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</si>
  <si>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</si>
  <si>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</si>
  <si>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</si>
  <si>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</si>
  <si>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</si>
  <si>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</si>
  <si>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</si>
  <si>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</si>
  <si>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</si>
  <si>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</si>
  <si>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</si>
  <si>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</si>
  <si>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</si>
  <si>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</si>
  <si>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</si>
  <si>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</si>
  <si>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</si>
  <si>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</si>
  <si>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</si>
  <si>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</si>
  <si>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</si>
  <si>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</si>
  <si>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</si>
  <si>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</si>
  <si>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</si>
  <si>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</si>
  <si>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</si>
  <si>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</si>
  <si>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</si>
  <si>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</si>
  <si>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</si>
  <si>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</si>
  <si>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</si>
  <si>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</si>
  <si>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</si>
  <si>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</si>
  <si>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</si>
  <si>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</si>
  <si>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</si>
  <si>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</si>
  <si>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</si>
  <si>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</si>
  <si>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</si>
  <si>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</si>
  <si>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</si>
  <si>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</si>
  <si>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</si>
  <si>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</si>
  <si>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</si>
  <si>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</si>
  <si>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</si>
  <si>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</si>
  <si>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</si>
  <si>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</si>
  <si>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</si>
  <si>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</si>
  <si>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</si>
  <si>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</si>
  <si>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</si>
  <si>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</si>
  <si>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</si>
  <si>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</si>
  <si>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</si>
  <si>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</si>
  <si>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</si>
  <si>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</si>
  <si>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</si>
  <si>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</si>
  <si>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</si>
  <si>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</si>
  <si>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</si>
  <si>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</si>
  <si>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</si>
  <si>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</si>
  <si>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</si>
  <si>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</si>
  <si>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</si>
  <si>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</si>
  <si>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</si>
  <si>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</si>
  <si>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</si>
  <si>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</si>
  <si>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</si>
  <si>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</si>
  <si>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</si>
  <si>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</si>
  <si>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</si>
  <si>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</si>
  <si>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</si>
  <si>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</si>
  <si>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</si>
  <si>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</si>
  <si>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</si>
  <si>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</si>
  <si>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</si>
  <si>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</si>
  <si>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</si>
  <si>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</si>
  <si>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</si>
  <si>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</si>
  <si>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</si>
  <si>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</si>
  <si>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sengoku01</t>
    <phoneticPr fontId="22"/>
  </si>
  <si>
    <t>old</t>
  </si>
  <si>
    <t>3ターン青パネル出現率大UP+青属性の攻撃力を特大UP</t>
    <rPh sb="4" eb="8">
      <t>ア</t>
    </rPh>
    <rPh sb="8" eb="11">
      <t>シュt</t>
    </rPh>
    <rPh sb="11" eb="12">
      <t>ダ</t>
    </rPh>
    <rPh sb="15" eb="19">
      <t>ア</t>
    </rPh>
    <rPh sb="19" eb="23">
      <t>コウゲk</t>
    </rPh>
    <rPh sb="23" eb="25">
      <t>トk</t>
    </rPh>
    <phoneticPr fontId="22"/>
  </si>
  <si>
    <t>[effect:change_panel_ratio, turn:3, block_type:blue, val:0.7,animation:block_incidence04],[effect:enhance_unit, target:unit_blue, turn:3, status:attack, val:0.255, calc:mul, animation:enhance_unit_all_attack03]</t>
    <phoneticPr fontId="22"/>
  </si>
  <si>
    <t>[effect:damage, target:enemy_one, color:blue, val:2.0, animation:damage_one_blue04]</t>
    <phoneticPr fontId="22"/>
  </si>
  <si>
    <t>1体に大ダメージ
ヒューマンに効果特大</t>
    <rPh sb="1" eb="2">
      <t>タイニ</t>
    </rPh>
    <rPh sb="3" eb="4">
      <t>ダ</t>
    </rPh>
    <rPh sb="15" eb="17">
      <t>コウk</t>
    </rPh>
    <rPh sb="17" eb="19">
      <t>トk</t>
    </rPh>
    <phoneticPr fontId="22"/>
  </si>
  <si>
    <t>1体に特大ダメージ
ヒューマンに効果超大</t>
    <rPh sb="1" eb="2">
      <t>taini</t>
    </rPh>
    <rPh sb="3" eb="5">
      <t>トk</t>
    </rPh>
    <rPh sb="16" eb="18">
      <t>コウk</t>
    </rPh>
    <rPh sb="18" eb="20">
      <t>チョ</t>
    </rPh>
    <phoneticPr fontId="22"/>
  </si>
  <si>
    <t>1体に特大ダメージ</t>
    <rPh sb="1" eb="2">
      <t>タ</t>
    </rPh>
    <rPh sb="3" eb="5">
      <t>トk</t>
    </rPh>
    <phoneticPr fontId="22"/>
  </si>
  <si>
    <t>[effect:damage, target:enemy_one, color:blue, val:2.25, animation:damage_one_blue05]</t>
    <phoneticPr fontId="22"/>
  </si>
  <si>
    <t>[effect:damage, target:enemy_one, color:red, val:2.0, animation:damage_one_red05]</t>
    <phoneticPr fontId="22"/>
  </si>
  <si>
    <t>1体に大ダメージ</t>
    <rPh sb="1" eb="3">
      <t>タンタ</t>
    </rPh>
    <rPh sb="3" eb="8">
      <t>トクダ</t>
    </rPh>
    <phoneticPr fontId="22"/>
  </si>
  <si>
    <t>1体に特大ダメージ</t>
    <phoneticPr fontId="22"/>
  </si>
  <si>
    <t>1体に大ダメージ</t>
    <rPh sb="1" eb="2">
      <t>taini</t>
    </rPh>
    <rPh sb="3" eb="4">
      <t>ダ</t>
    </rPh>
    <phoneticPr fontId="22"/>
  </si>
  <si>
    <t>1体に特大ダメージ</t>
    <rPh sb="1" eb="2">
      <t>taini</t>
    </rPh>
    <rPh sb="3" eb="4">
      <t>トk</t>
    </rPh>
    <rPh sb="4" eb="5">
      <t>ダ</t>
    </rPh>
    <phoneticPr fontId="22"/>
  </si>
  <si>
    <t>1体に大ダメージ
ゴッドに効果特大</t>
    <rPh sb="1" eb="2">
      <t>タイニ</t>
    </rPh>
    <rPh sb="3" eb="4">
      <t>ダ</t>
    </rPh>
    <rPh sb="13" eb="15">
      <t>コウk</t>
    </rPh>
    <rPh sb="15" eb="17">
      <t>トk</t>
    </rPh>
    <phoneticPr fontId="22"/>
  </si>
  <si>
    <t>1体に特大ダメージ
ゴッドに効果超大</t>
    <rPh sb="1" eb="2">
      <t>taini</t>
    </rPh>
    <rPh sb="3" eb="5">
      <t>トk</t>
    </rPh>
    <rPh sb="14" eb="16">
      <t>コウk</t>
    </rPh>
    <rPh sb="16" eb="18">
      <t>チョ</t>
    </rPh>
    <phoneticPr fontId="22"/>
  </si>
  <si>
    <t>[effect:damage_anti_tribe, target:enemy_one, tribe:god, val1:3.375, val2:1.31, animation:damage_one_red05],</t>
    <phoneticPr fontId="22"/>
  </si>
  <si>
    <t>[effect:damage, target:enemy_one, color:yellow, val:2.0, animation:damage_one_yellow04]</t>
    <phoneticPr fontId="22"/>
  </si>
  <si>
    <t>[effect:counter_new,target:unit_all,invoke_condition:enemy_all,counter_target:attacker,turn:3, val:3.0],[effect:damage_status_break, target:enemy_one, status:counter, color:red, val1:10.32, val2:6.6 animation:damage_counter_break05]</t>
    <phoneticPr fontId="22"/>
  </si>
  <si>
    <t>[effect:regenerate, turn:3, val:0.405, animation:heal_unit],[effect:change_block, new_block:block_green, target:block_heart, count:0, val:0, animation:change_block]</t>
    <phoneticPr fontId="22"/>
  </si>
  <si>
    <t>[effect:damage, target:enemy_one, color:red, val:2.0, animation:damage_one_red05]</t>
    <phoneticPr fontId="22"/>
  </si>
  <si>
    <t>[effect:damage, target:enemy_one, color:red, val:2.25, animation:damage_one_red05]</t>
    <phoneticPr fontId="22"/>
  </si>
  <si>
    <t>愛の嵐</t>
  </si>
  <si>
    <t xml:space="preserve">HP小回復+ハートパネルを全て吸収して3ターン緑属性の攻撃力UP </t>
    <rPh sb="2" eb="5">
      <t>ショ</t>
    </rPh>
    <rPh sb="13" eb="14">
      <t>スベt</t>
    </rPh>
    <rPh sb="23" eb="24">
      <t>ミドr</t>
    </rPh>
    <rPh sb="24" eb="26">
      <t>ア</t>
    </rPh>
    <rPh sb="27" eb="30">
      <t>コウゲk</t>
    </rPh>
    <phoneticPr fontId="22"/>
  </si>
  <si>
    <t>[effect:break_enchance_unit, val:0.005, lowest_val:0.2, count :-1, status:attack, turn:3, block:block_heart, target:unit_green, calc:mul, animation:enhance_unit_all_attack04],,[effect:heal_ratio, val:0.75, animation:heal02_unit01]</t>
    <phoneticPr fontId="22"/>
  </si>
  <si>
    <t>[effect:break_enchance_unit, val:0.005, lowest_val:0.2, count :-1, status:attack, turn:3, block:block_heart, target:unit_green, calc:mul, animation:enhance_unit_all_attack04],,[effect:heal_ratio, val:0.75, animation:heal02_unit01]</t>
    <phoneticPr fontId="22"/>
  </si>
  <si>
    <t>セクレタリ・ナビゲーション</t>
    <phoneticPr fontId="22"/>
  </si>
  <si>
    <t>セクレタリ・ナビゲーション</t>
    <phoneticPr fontId="22"/>
  </si>
  <si>
    <t>風林火山</t>
    <phoneticPr fontId="22"/>
  </si>
  <si>
    <t>ブルートフォース・風林火山</t>
    <phoneticPr fontId="22"/>
  </si>
  <si>
    <t>双刀連舞奥義・孤虎</t>
    <phoneticPr fontId="22"/>
  </si>
  <si>
    <t>双刀連舞奥義・孤虎</t>
    <phoneticPr fontId="22"/>
  </si>
  <si>
    <t>デリート・ザ・ワールド</t>
    <phoneticPr fontId="22"/>
  </si>
  <si>
    <t>ルール・ザ・ワールド</t>
    <phoneticPr fontId="22"/>
  </si>
  <si>
    <t>エリ・エリ・レマ・サバクタニ</t>
    <phoneticPr fontId="22"/>
  </si>
  <si>
    <t>フェイスフル・アノニマス</t>
    <phoneticPr fontId="22"/>
  </si>
  <si>
    <t>インクレディブル・アノニマス</t>
    <phoneticPr fontId="22"/>
  </si>
  <si>
    <t>死線の機重刀・ミカヅキ</t>
    <rPh sb="0" eb="2">
      <t>シセン</t>
    </rPh>
    <phoneticPr fontId="22"/>
  </si>
  <si>
    <t>至戦の機重刀</t>
    <rPh sb="0" eb="1">
      <t>イタ</t>
    </rPh>
    <rPh sb="1" eb="2">
      <t>イクサ</t>
    </rPh>
    <rPh sb="3" eb="4">
      <t>キコウ</t>
    </rPh>
    <rPh sb="4" eb="5">
      <t>オモ</t>
    </rPh>
    <rPh sb="5" eb="6">
      <t>タチ</t>
    </rPh>
    <phoneticPr fontId="22"/>
  </si>
  <si>
    <t>ビシャモン・オンスロート</t>
    <phoneticPr fontId="22"/>
  </si>
  <si>
    <t>ビシャモン・アタック</t>
    <phoneticPr fontId="22"/>
  </si>
  <si>
    <t>プロミスド・ブレッシング</t>
    <phoneticPr fontId="22"/>
  </si>
  <si>
    <t>ダブル・トラジディ</t>
    <phoneticPr fontId="22"/>
  </si>
  <si>
    <t>ダブル・ミザリー</t>
    <phoneticPr fontId="22"/>
  </si>
  <si>
    <t>6thヘヴン・バーンダウン</t>
    <phoneticPr fontId="22"/>
  </si>
  <si>
    <t>6thヘヴン</t>
    <phoneticPr fontId="22"/>
  </si>
  <si>
    <t>制圧の軍配</t>
    <rPh sb="0" eb="2">
      <t>セイアツ</t>
    </rPh>
    <rPh sb="3" eb="5">
      <t>グンバイ</t>
    </rPh>
    <phoneticPr fontId="22"/>
  </si>
  <si>
    <t>必勝の軍配</t>
    <rPh sb="0" eb="2">
      <t>ヒッショウ</t>
    </rPh>
    <rPh sb="3" eb="5">
      <t>グンバイ</t>
    </rPh>
    <phoneticPr fontId="22"/>
  </si>
  <si>
    <t>瞬速ドッグ・オーバーラン</t>
    <rPh sb="0" eb="2">
      <t>シュンソク</t>
    </rPh>
    <phoneticPr fontId="22"/>
  </si>
  <si>
    <t>風陣のラヴ・アサルト</t>
    <rPh sb="0" eb="2">
      <t>フウジン</t>
    </rPh>
    <phoneticPr fontId="22"/>
  </si>
  <si>
    <t>1体に大ダメージ
+HP小回復</t>
    <rPh sb="1" eb="2">
      <t>taini</t>
    </rPh>
    <rPh sb="3" eb="4">
      <t>ダ</t>
    </rPh>
    <rPh sb="12" eb="15">
      <t>ショ</t>
    </rPh>
    <phoneticPr fontId="22"/>
  </si>
  <si>
    <t>1体に大ダメージ</t>
    <rPh sb="1" eb="2">
      <t>タ</t>
    </rPh>
    <rPh sb="3" eb="4">
      <t>トk</t>
    </rPh>
    <phoneticPr fontId="22"/>
  </si>
  <si>
    <t>cskill</t>
    <phoneticPr fontId="22"/>
  </si>
  <si>
    <t>cskill</t>
    <phoneticPr fontId="22"/>
  </si>
  <si>
    <t>maru</t>
    <phoneticPr fontId="22"/>
  </si>
  <si>
    <t>愛と憎は表裏一体だぜ</t>
    <rPh sb="0" eb="1">
      <t>アイ</t>
    </rPh>
    <rPh sb="2" eb="3">
      <t>ニク</t>
    </rPh>
    <rPh sb="4" eb="8">
      <t>ヒョウリイッタイ</t>
    </rPh>
    <phoneticPr fontId="22"/>
  </si>
  <si>
    <t>giza</t>
    <phoneticPr fontId="22"/>
  </si>
  <si>
    <t>ちょこまか動くなァ！</t>
    <rPh sb="5" eb="6">
      <t>ウゴ</t>
    </rPh>
    <phoneticPr fontId="22"/>
  </si>
  <si>
    <t>勝利を愛でるとするか</t>
    <rPh sb="0" eb="2">
      <t>ショウリ</t>
    </rPh>
    <rPh sb="3" eb="4">
      <t>メ</t>
    </rPh>
    <phoneticPr fontId="22"/>
  </si>
  <si>
    <t>この俺が油断などするか！</t>
    <phoneticPr fontId="22"/>
  </si>
  <si>
    <t>大きな心で包んでやる…！</t>
    <phoneticPr fontId="22"/>
  </si>
  <si>
    <t>運動不足解消するか！</t>
    <rPh sb="0" eb="4">
      <t>ウンドウブソク</t>
    </rPh>
    <rPh sb="4" eb="6">
      <t>カイショウ</t>
    </rPh>
    <phoneticPr fontId="22"/>
  </si>
  <si>
    <t>噛みつかれたら痛いぜ</t>
    <rPh sb="0" eb="1">
      <t>カ</t>
    </rPh>
    <rPh sb="7" eb="8">
      <t>イタ</t>
    </rPh>
    <phoneticPr fontId="22"/>
  </si>
  <si>
    <t>オレが逃がすと思う？</t>
    <rPh sb="3" eb="4">
      <t>ニ</t>
    </rPh>
    <rPh sb="7" eb="8">
      <t>オモ</t>
    </rPh>
    <phoneticPr fontId="22"/>
  </si>
  <si>
    <t>maru</t>
    <phoneticPr fontId="22"/>
  </si>
  <si>
    <t>心配せずオレに任せてよ</t>
    <rPh sb="0" eb="2">
      <t>シンパイ</t>
    </rPh>
    <rPh sb="7" eb="8">
      <t>マカ</t>
    </rPh>
    <phoneticPr fontId="22"/>
  </si>
  <si>
    <t>秘書を通してもらおうか！</t>
    <rPh sb="0" eb="2">
      <t>ヒショ</t>
    </rPh>
    <rPh sb="3" eb="4">
      <t>トオ</t>
    </rPh>
    <phoneticPr fontId="22"/>
  </si>
  <si>
    <t>俺は敗けねーんだよ！</t>
    <rPh sb="0" eb="1">
      <t>オレハナ</t>
    </rPh>
    <rPh sb="2" eb="3">
      <t>ハイボク</t>
    </rPh>
    <phoneticPr fontId="22"/>
  </si>
  <si>
    <t>崩し甲斐がありそうだ</t>
    <rPh sb="0" eb="1">
      <t>クズ</t>
    </rPh>
    <rPh sb="2" eb="4">
      <t>カイ</t>
    </rPh>
    <phoneticPr fontId="22"/>
  </si>
  <si>
    <t>ブッ壊すことにする！</t>
    <rPh sb="2" eb="3">
      <t>コワ</t>
    </rPh>
    <phoneticPr fontId="22"/>
  </si>
  <si>
    <t>チリひとつ残さねー！</t>
    <rPh sb="5" eb="6">
      <t>ノコ</t>
    </rPh>
    <phoneticPr fontId="22"/>
  </si>
  <si>
    <t>試し斬りに丁度いいな</t>
    <rPh sb="0" eb="1">
      <t>タメ</t>
    </rPh>
    <rPh sb="2" eb="4">
      <t>🌁</t>
    </rPh>
    <rPh sb="5" eb="7">
      <t>チョウド</t>
    </rPh>
    <phoneticPr fontId="22"/>
  </si>
  <si>
    <t>maru</t>
    <phoneticPr fontId="22"/>
  </si>
  <si>
    <t>屈服する顔を見せろよ</t>
    <rPh sb="0" eb="2">
      <t>クップク</t>
    </rPh>
    <rPh sb="4" eb="5">
      <t>カオ</t>
    </rPh>
    <rPh sb="6" eb="7">
      <t>ミ</t>
    </rPh>
    <phoneticPr fontId="22"/>
  </si>
  <si>
    <t>逆らう…ってわけか？</t>
    <rPh sb="0" eb="1">
      <t>サカ</t>
    </rPh>
    <phoneticPr fontId="22"/>
  </si>
  <si>
    <t>燃え落ちろ無能ども！</t>
    <rPh sb="0" eb="1">
      <t>モ</t>
    </rPh>
    <rPh sb="2" eb="3">
      <t>オ</t>
    </rPh>
    <rPh sb="5" eb="7">
      <t>ムノウ</t>
    </rPh>
    <phoneticPr fontId="22"/>
  </si>
  <si>
    <t>どうだ、禍々しいか？</t>
    <rPh sb="4" eb="8">
      <t>マガマ</t>
    </rPh>
    <phoneticPr fontId="22"/>
  </si>
  <si>
    <t>kumo</t>
    <phoneticPr fontId="22"/>
  </si>
  <si>
    <t>悲しみは止まらんか…</t>
    <rPh sb="0" eb="1">
      <t>カナ</t>
    </rPh>
    <rPh sb="4" eb="5">
      <t>ト</t>
    </rPh>
    <phoneticPr fontId="22"/>
  </si>
  <si>
    <t>心まで抉ってやろう！</t>
    <rPh sb="0" eb="1">
      <t>ココロ</t>
    </rPh>
    <rPh sb="3" eb="4">
      <t>エグ</t>
    </rPh>
    <phoneticPr fontId="22"/>
  </si>
  <si>
    <t>お祈りといきましょー</t>
    <rPh sb="1" eb="2">
      <t>イノ</t>
    </rPh>
    <phoneticPr fontId="22"/>
  </si>
  <si>
    <t>信じることが力ですよ</t>
    <rPh sb="0" eb="1">
      <t>シン</t>
    </rPh>
    <rPh sb="6" eb="7">
      <t>チカラ</t>
    </rPh>
    <phoneticPr fontId="22"/>
  </si>
  <si>
    <t>ほいっ！切り札です！</t>
    <rPh sb="4" eb="5">
      <t>キ</t>
    </rPh>
    <rPh sb="6" eb="7">
      <t>フダ</t>
    </rPh>
    <phoneticPr fontId="22"/>
  </si>
  <si>
    <t>maru</t>
    <phoneticPr fontId="22"/>
  </si>
  <si>
    <t>giza</t>
    <phoneticPr fontId="22"/>
  </si>
  <si>
    <t>背負ってる重みが違う</t>
    <rPh sb="0" eb="2">
      <t>ショ</t>
    </rPh>
    <rPh sb="5" eb="6">
      <t>オモ</t>
    </rPh>
    <rPh sb="8" eb="9">
      <t>チガ</t>
    </rPh>
    <phoneticPr fontId="22"/>
  </si>
  <si>
    <t>kumo</t>
    <phoneticPr fontId="22"/>
  </si>
  <si>
    <t>…どいつもこいつも！</t>
    <phoneticPr fontId="22"/>
  </si>
  <si>
    <t>防げるなどと思うな！</t>
    <rPh sb="0" eb="1">
      <t>フセ</t>
    </rPh>
    <rPh sb="6" eb="7">
      <t>オモ</t>
    </rPh>
    <phoneticPr fontId="22"/>
  </si>
  <si>
    <t>…どいつもこいつも！</t>
    <phoneticPr fontId="22"/>
  </si>
  <si>
    <t>近づけば斬り捨てる！</t>
    <phoneticPr fontId="22"/>
  </si>
  <si>
    <t>大怪我するぜこいつは</t>
    <rPh sb="0" eb="3">
      <t>オオケガ</t>
    </rPh>
    <phoneticPr fontId="22"/>
  </si>
  <si>
    <t>よーく見えてるんだぜ</t>
    <rPh sb="3" eb="4">
      <t>ミ</t>
    </rPh>
    <phoneticPr fontId="22"/>
  </si>
  <si>
    <t>命知らずな奴らだぜ！</t>
    <rPh sb="0" eb="2">
      <t>イノチシ</t>
    </rPh>
    <rPh sb="5" eb="6">
      <t>ヤツ</t>
    </rPh>
    <phoneticPr fontId="22"/>
  </si>
  <si>
    <t>骨ごとぶった斬るか！</t>
    <rPh sb="0" eb="1">
      <t>ホネ</t>
    </rPh>
    <rPh sb="6" eb="7">
      <t>ギ</t>
    </rPh>
    <phoneticPr fontId="22"/>
  </si>
  <si>
    <t>疼いてきちまったぜぇ！？</t>
    <rPh sb="0" eb="1">
      <t>ウズ</t>
    </rPh>
    <phoneticPr fontId="22"/>
  </si>
  <si>
    <t>ったく…マジにさせんなよ</t>
    <phoneticPr fontId="22"/>
  </si>
  <si>
    <t>全軍招集…覚悟するがいい</t>
    <rPh sb="0" eb="2">
      <t>ゼングン</t>
    </rPh>
    <rPh sb="2" eb="4">
      <t>ショウシュウ</t>
    </rPh>
    <rPh sb="5" eb="7">
      <t>カクゴ</t>
    </rPh>
    <phoneticPr fontId="22"/>
  </si>
  <si>
    <t>見ろ！私は一人ではない！</t>
    <rPh sb="0" eb="1">
      <t>ミ</t>
    </rPh>
    <rPh sb="3" eb="4">
      <t>ワタシ</t>
    </rPh>
    <rPh sb="5" eb="7">
      <t>ヒトリ</t>
    </rPh>
    <phoneticPr fontId="22"/>
  </si>
  <si>
    <t>ほいほいっ！おまかせを！</t>
    <phoneticPr fontId="22"/>
  </si>
  <si>
    <t>ほいっ！ばっきゅーん！</t>
    <phoneticPr fontId="22"/>
  </si>
  <si>
    <t>目覚めさせてしまったか！</t>
    <rPh sb="0" eb="2">
      <t>メザ</t>
    </rPh>
    <phoneticPr fontId="22"/>
  </si>
  <si>
    <t>なんとも脆そうな身体だな</t>
    <rPh sb="4" eb="5">
      <t>モロ</t>
    </rPh>
    <rPh sb="8" eb="10">
      <t>カラダ</t>
    </rPh>
    <phoneticPr fontId="22"/>
  </si>
  <si>
    <t>貴様らの存在は抹消される</t>
    <phoneticPr fontId="22"/>
  </si>
  <si>
    <t>治めるのは俺様だろうが？</t>
    <rPh sb="0" eb="1">
      <t>オサ</t>
    </rPh>
    <rPh sb="5" eb="6">
      <t>オレ</t>
    </rPh>
    <rPh sb="6" eb="7">
      <t>サマ</t>
    </rPh>
    <phoneticPr fontId="22"/>
  </si>
  <si>
    <t>総力戦と行こうじゃねーか</t>
    <rPh sb="0" eb="3">
      <t>ソウリョクセン</t>
    </rPh>
    <rPh sb="4" eb="5">
      <t>イ</t>
    </rPh>
    <phoneticPr fontId="22"/>
  </si>
  <si>
    <t>触らぬ虎に祟りなしだぜ？</t>
    <rPh sb="0" eb="9">
      <t>サワラ</t>
    </rPh>
    <phoneticPr fontId="22"/>
  </si>
  <si>
    <t>old</t>
    <phoneticPr fontId="22"/>
  </si>
  <si>
    <t>old</t>
    <phoneticPr fontId="22"/>
  </si>
  <si>
    <t>[effect:damage, target:enemy_one, color:green, val:1.5, animation:damage_one_green04],[effect:heal_ratio, val:0.18, animation:heal_unit, animation:heal_unit01]</t>
    <phoneticPr fontId="22"/>
  </si>
  <si>
    <t>[effect:damage, target:enemy_one, color:green, val:1.5, animation:damage_one_green04],[effect:heal_ratio, val:0.18, animation:heal_unit, animation:heal_unit01]</t>
    <phoneticPr fontId="22"/>
  </si>
  <si>
    <t>3ターンヒューマンの攻撃力を特大UP+タップ回数を1増やす</t>
    <rPh sb="10" eb="13">
      <t>コウゲk</t>
    </rPh>
    <rPh sb="14" eb="16">
      <t>トk</t>
    </rPh>
    <rPh sb="26" eb="27">
      <t>フヤs</t>
    </rPh>
    <phoneticPr fontId="22"/>
  </si>
  <si>
    <t>緑パネルを赤パネルに変換し、3ターンヒューマンの攻撃力を特大UP</t>
    <rPh sb="0" eb="1">
      <t>ミドr</t>
    </rPh>
    <rPh sb="5" eb="6">
      <t>アカパネルn</t>
    </rPh>
    <rPh sb="10" eb="12">
      <t>ヘn</t>
    </rPh>
    <rPh sb="24" eb="27">
      <t>コウゲキr</t>
    </rPh>
    <rPh sb="28" eb="30">
      <t>トk</t>
    </rPh>
    <phoneticPr fontId="22"/>
  </si>
  <si>
    <t>[effect:change_block, new_block:block_red, target:block_green, count:0, val:0, animation:change_block],[effect:enhance_unit, target:unit_human, turn:3, status:attack, val:0.255, calc:mul, animation:enhance_unit_all_attack03]</t>
    <phoneticPr fontId="22"/>
  </si>
  <si>
    <t>[effect:change_block, new_block:block_red, target:block_green, count:0, val:0, animation:change_block],[effect:enhance_unit, target:unit_human, turn:3, status:attack, val:0.255, calc:mul, animation:enhance_unit_all_attack03]</t>
    <phoneticPr fontId="22"/>
  </si>
  <si>
    <t>[effect:enhance_unit, target:unit_human, turn:3, status:attack, val:0.255, calc:mul, animation:enhance_unit_all_attack03],[effect:enhance_unit, target:unit_human, turn:3, status:action, val:1.0, calc:mul, animation:enhance_unit_one_action01]</t>
    <phoneticPr fontId="22"/>
  </si>
  <si>
    <t>[effect:enhance_unit, target:unit_human, turn:3, status:attack, val:0.255, calc:mul, animation:enhance_unit_all_attack03],[effect:enhance_unit, target:unit_human, turn:3, status:action, val:1.0, calc:mul, animation:enhance_unit_one_action01]</t>
    <phoneticPr fontId="22"/>
  </si>
  <si>
    <t>ハートパネルを緑パネルに変換し、3ターンHP小回復</t>
    <rPh sb="22" eb="25">
      <t>ショウカ</t>
    </rPh>
    <phoneticPr fontId="22"/>
  </si>
  <si>
    <t>ヒューマンに効果大のダメージ
+HP小回復</t>
    <rPh sb="6" eb="8">
      <t>コウk</t>
    </rPh>
    <rPh sb="8" eb="9">
      <t>ダ</t>
    </rPh>
    <rPh sb="18" eb="21">
      <t>ショ</t>
    </rPh>
    <phoneticPr fontId="22"/>
  </si>
  <si>
    <t>ヒューマンに効果特大のダメージ
+HP小回復</t>
    <rPh sb="6" eb="8">
      <t>コウk</t>
    </rPh>
    <rPh sb="8" eb="9">
      <t>トk</t>
    </rPh>
    <rPh sb="9" eb="10">
      <t>ダ</t>
    </rPh>
    <rPh sb="19" eb="22">
      <t>ショ</t>
    </rPh>
    <phoneticPr fontId="22"/>
  </si>
  <si>
    <t>[effect:damage_anti_tribe, target:enemy_one, tribe:human, val1:3.0, val2:1.13, animation:damage_one_green04],[effect:heal_ratio, val:0.18, animation:heal_unit, animation:heal_unit01]</t>
    <phoneticPr fontId="22"/>
  </si>
  <si>
    <t>[effect:damage_anti_tribe, target:enemy_one, tribe:human, val1:3.0, val2:1.13, animation:damage_one_green04],[effect:heal_ratio, val:0.18, animation:heal_unit, animation:heal_unit01]</t>
    <phoneticPr fontId="22"/>
  </si>
  <si>
    <t>[effect:damage_anti_tribe, target:enemy_one, tribe:god, val1:3.75, val2:1.5, animation:damage_one_red06],</t>
    <phoneticPr fontId="22"/>
  </si>
  <si>
    <t>[effect:attack_command, turn:1, target:unit_red, val:1.0, animation:unit_all_attack_command05],[effect:enhance_unit, target:unit_red, turn:1, status:attack, val:0.21, calc:mul, animation:enhance_unit_all_attack03],[effect:enhance_unit, target:unit_red, turn:1, status:action, val:1.0, calc:mul, animation:enhance_unit_one_action01]</t>
    <phoneticPr fontId="22"/>
  </si>
  <si>
    <t>[effect:attack_command, turn:1, target:unit_red, val:1.0, animation:unit_all_attack_command05],[effect:enhance_unit, target:unit_red, turn:1, status:attack, val:0.255, calc:mul, animation:enhance_unit_all_attack03],[effect:enhance_unit, target:unit_red, turn:1, status:action, val:2.0, calc:mul, animation:enhance_unit_one_action02]</t>
    <phoneticPr fontId="22"/>
  </si>
  <si>
    <t>1ターン赤属性の攻撃力を特大UPしタップ回数を1増やす+赤属性ユニット全員で攻撃</t>
    <rPh sb="12" eb="13">
      <t>トk</t>
    </rPh>
    <rPh sb="24" eb="25">
      <t>フヤs</t>
    </rPh>
    <phoneticPr fontId="22"/>
  </si>
  <si>
    <t>1ターン赤属性の攻撃力を超大UPしタップ回数を2増やす+赤属性ユニット全員で攻撃</t>
    <rPh sb="12" eb="13">
      <t>チョ</t>
    </rPh>
    <rPh sb="24" eb="25">
      <t>フヤs</t>
    </rPh>
    <phoneticPr fontId="22"/>
  </si>
  <si>
    <t>[effect:damage_anti_tribe, target:enemy_one, tribe:human, val1:3.375, val2:1.31, animation:damage_one_yellow04],</t>
    <phoneticPr fontId="22"/>
  </si>
  <si>
    <t>[effect:damage_anti_tribe, target:enemy_one, tribe:human, val1:3.75, val2:1.5, animation:damage_one_yellow04],</t>
    <phoneticPr fontId="22"/>
  </si>
  <si>
    <t>[effect:damage, target:enemy_one, color:yellow, val:2.0, animation:damage_one_yellow04]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</si>
  <si>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</si>
  <si>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</si>
  <si>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</si>
  <si>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</si>
  <si>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</si>
  <si>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</si>
  <si>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</si>
  <si>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</si>
  <si>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</si>
  <si>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</si>
  <si>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</si>
  <si>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</si>
  <si>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</si>
  <si>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</si>
  <si>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</si>
  <si>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</si>
  <si>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</si>
  <si>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</si>
  <si>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</si>
  <si>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</si>
  <si>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</si>
  <si>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</si>
  <si>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[effect:force_change_block, new_block:crack_bomb, target:block_yellow, color:block_blue, count:0, val:12, animation:change_block],[effect:change_panel_ratio, turn:3, block_type:blue, val:0.7,animation:block_incidence04],[effect:enhance_unit, target:unit_blue, turn:3, status:attack, val:0.25, calc:mul, animation:enhance_unit_all_attack03]</t>
    <phoneticPr fontId="22"/>
  </si>
  <si>
    <t>黄パネルを青ボムパネルに変換+3ターンの間、青パネルの出現率を大UPし、青属性ユニットの攻撃力を超大UP</t>
    <phoneticPr fontId="22"/>
  </si>
  <si>
    <t>[effect:counter_new,target:unit_all,invoke_condition:enemy_all,counter_target:attacker,turn:3, val:3.5, animation:counter_buff04],[effect:damage_status_break, target:enemy_one, status:counter, color:red, val1:15.28, val2:10.32 animation:damage_counter_break05],[effect:enhance_unit, target:unit_samurai/unit_human/or, turn:3, status:defense, val:720, calc:add, animation:enhance_unit_all_defense03]</t>
    <phoneticPr fontId="22"/>
  </si>
  <si>
    <t>1体に特大ダメージ(カウンターの敵に効果超大+カウンター解除)+3ターン特大カウンター</t>
    <phoneticPr fontId="22"/>
  </si>
  <si>
    <t>1体に特大ダメージ(カウンターの敵に効果超大+カウンター解除)+3ターン超大カウンター、種族サムライ・ヒューマン防御大UP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</si>
</sst>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FFCC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13" fillId="0" borderId="4" xfId="0" applyFont="1" applyBorder="1"/>
    <xf numFmtId="0" fontId="26" fillId="0" borderId="8" xfId="0" applyFont="1" applyBorder="1" applyAlignment="1">
      <alignment horizontal="left" vertical="top"/>
    </xf>
    <xf numFmtId="0" fontId="16" fillId="27" borderId="4" xfId="0" applyFont="1" applyFill="1" applyBorder="1" applyAlignment="1">
      <alignment horizontal="left" vertical="center"/>
    </xf>
    <xf numFmtId="0" fontId="16" fillId="28" borderId="4" xfId="0" applyFont="1" applyFill="1" applyBorder="1" applyAlignment="1">
      <alignment horizontal="left" vertical="center"/>
    </xf>
    <xf numFmtId="0" fontId="16" fillId="28" borderId="4" xfId="0" applyFont="1" applyFill="1" applyBorder="1" applyAlignment="1">
      <alignment vertical="center"/>
    </xf>
    <xf numFmtId="0" fontId="16" fillId="27" borderId="4" xfId="0" applyFont="1" applyFill="1" applyBorder="1" applyAlignment="1">
      <alignment vertical="center"/>
    </xf>
    <xf numFmtId="0" fontId="16" fillId="28" borderId="4" xfId="0" applyFont="1" applyFill="1" applyBorder="1" applyAlignment="1">
      <alignment vertical="center" wrapText="1"/>
    </xf>
  </cellXfs>
  <cellStyles count="458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赤字強調" xfId="4"/>
    <cellStyle name="青字強調" xfId="3"/>
  </cellStyles>
  <dxfs count="3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M1" workbookViewId="0">
      <selection activeCell="R12" sqref="R12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3" x14ac:dyDescent="0.15">
      <c r="A2" s="109" t="s">
        <v>252</v>
      </c>
      <c r="B2" s="109" t="s">
        <v>129</v>
      </c>
      <c r="C2" s="168" t="s">
        <v>251</v>
      </c>
      <c r="D2" s="109" t="s">
        <v>128</v>
      </c>
      <c r="E2" s="108" t="str">
        <f>B2&amp;C2&amp;D2</f>
        <v>units_sengoku01.tmp</v>
      </c>
      <c r="F2" s="109" t="s">
        <v>124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402</v>
      </c>
      <c r="S2" s="109"/>
      <c r="T2" s="109"/>
      <c r="U2" s="109"/>
      <c r="V2" s="109"/>
      <c r="W2" s="109"/>
    </row>
    <row r="3" spans="1:23" x14ac:dyDescent="0.15">
      <c r="A3" s="109" t="s">
        <v>359</v>
      </c>
      <c r="B3" s="109" t="s">
        <v>130</v>
      </c>
      <c r="C3" s="168" t="str">
        <f>C2</f>
        <v>sengoku01</v>
      </c>
      <c r="D3" s="109" t="s">
        <v>128</v>
      </c>
      <c r="E3" s="108" t="str">
        <f>B3&amp;C3&amp;D3</f>
        <v>awake_materials_sengoku01.tmp</v>
      </c>
      <c r="F3" s="109" t="s">
        <v>123</v>
      </c>
      <c r="G3" s="110" t="s">
        <v>38</v>
      </c>
      <c r="H3" s="111" t="s">
        <v>36</v>
      </c>
      <c r="I3" s="111" t="s">
        <v>37</v>
      </c>
      <c r="J3" s="113" t="s">
        <v>126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3" x14ac:dyDescent="0.15">
      <c r="A4" s="109" t="s">
        <v>252</v>
      </c>
      <c r="B4" s="109" t="s">
        <v>131</v>
      </c>
      <c r="C4" s="168" t="str">
        <f t="shared" ref="C4:C10" si="0">C3</f>
        <v>sengoku01</v>
      </c>
      <c r="D4" s="109" t="s">
        <v>132</v>
      </c>
      <c r="E4" s="108" t="str">
        <f t="shared" ref="E4" si="1">B4&amp;C4&amp;D4</f>
        <v>unit_levels_calc_sengoku01.tmp</v>
      </c>
      <c r="F4" s="109" t="s">
        <v>122</v>
      </c>
      <c r="G4" s="59" t="s">
        <v>17</v>
      </c>
      <c r="H4" s="60" t="s">
        <v>2</v>
      </c>
      <c r="I4" s="61" t="s">
        <v>79</v>
      </c>
      <c r="J4" s="61" t="s">
        <v>80</v>
      </c>
      <c r="K4" s="61" t="s">
        <v>81</v>
      </c>
      <c r="L4" s="61" t="s">
        <v>82</v>
      </c>
      <c r="M4" s="61" t="s">
        <v>87</v>
      </c>
      <c r="N4" s="61" t="s">
        <v>88</v>
      </c>
      <c r="O4" s="61" t="s">
        <v>89</v>
      </c>
      <c r="P4" s="61" t="s">
        <v>90</v>
      </c>
      <c r="Q4" s="61" t="s">
        <v>91</v>
      </c>
      <c r="R4" s="61" t="s">
        <v>94</v>
      </c>
      <c r="S4" s="61" t="s">
        <v>92</v>
      </c>
      <c r="T4" s="61" t="s">
        <v>93</v>
      </c>
      <c r="U4" s="61" t="s">
        <v>83</v>
      </c>
      <c r="V4" s="61" t="s">
        <v>84</v>
      </c>
      <c r="W4" s="61" t="s">
        <v>85</v>
      </c>
    </row>
    <row r="5" spans="1:23" x14ac:dyDescent="0.15">
      <c r="A5" s="109" t="s">
        <v>252</v>
      </c>
      <c r="B5" s="109" t="s">
        <v>143</v>
      </c>
      <c r="C5" s="168" t="str">
        <f t="shared" si="0"/>
        <v>sengoku01</v>
      </c>
      <c r="D5" s="109" t="s">
        <v>144</v>
      </c>
      <c r="E5" s="108" t="str">
        <f>B5&amp;C5&amp;D5</f>
        <v>unit_skills_data_sengoku01.tmp</v>
      </c>
      <c r="F5" s="109" t="s">
        <v>145</v>
      </c>
      <c r="G5" s="118" t="s">
        <v>20</v>
      </c>
      <c r="H5" s="118" t="s">
        <v>146</v>
      </c>
      <c r="I5" s="118" t="s">
        <v>2</v>
      </c>
      <c r="J5" s="118" t="s">
        <v>147</v>
      </c>
      <c r="K5" s="118" t="s">
        <v>148</v>
      </c>
      <c r="L5" s="118" t="s">
        <v>4</v>
      </c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</row>
    <row r="6" spans="1:23" x14ac:dyDescent="0.15">
      <c r="A6" s="109" t="s">
        <v>252</v>
      </c>
      <c r="B6" s="109" t="s">
        <v>149</v>
      </c>
      <c r="C6" s="168" t="str">
        <f t="shared" si="0"/>
        <v>sengoku01</v>
      </c>
      <c r="D6" s="109" t="s">
        <v>128</v>
      </c>
      <c r="E6" s="108" t="str">
        <f>B6&amp;C6&amp;D6</f>
        <v>unit_skills_i18n_sengoku01.tmp</v>
      </c>
      <c r="F6" s="109" t="s">
        <v>145</v>
      </c>
      <c r="G6" s="118" t="s">
        <v>150</v>
      </c>
      <c r="H6" s="118" t="s">
        <v>134</v>
      </c>
      <c r="I6" s="118" t="s">
        <v>151</v>
      </c>
      <c r="J6" s="118" t="s">
        <v>152</v>
      </c>
      <c r="K6" s="112"/>
      <c r="L6" s="112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</row>
    <row r="7" spans="1:23" x14ac:dyDescent="0.15">
      <c r="A7" s="109" t="s">
        <v>252</v>
      </c>
      <c r="B7" s="109" t="s">
        <v>153</v>
      </c>
      <c r="C7" s="168" t="str">
        <f t="shared" si="0"/>
        <v>sengoku01</v>
      </c>
      <c r="D7" s="109" t="s">
        <v>154</v>
      </c>
      <c r="E7" s="108" t="str">
        <f>B7&amp;C7&amp;D7</f>
        <v>crash_skills_data_sengoku01.tmp</v>
      </c>
      <c r="F7" s="109" t="s">
        <v>155</v>
      </c>
      <c r="G7" s="118" t="s">
        <v>156</v>
      </c>
      <c r="H7" s="118" t="s">
        <v>148</v>
      </c>
      <c r="I7" s="118" t="s">
        <v>4</v>
      </c>
      <c r="J7" s="112"/>
      <c r="K7" s="112"/>
      <c r="L7" s="112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3" x14ac:dyDescent="0.15">
      <c r="A8" s="109" t="s">
        <v>252</v>
      </c>
      <c r="B8" s="109" t="s">
        <v>157</v>
      </c>
      <c r="C8" s="168" t="str">
        <f t="shared" si="0"/>
        <v>sengoku01</v>
      </c>
      <c r="D8" s="109" t="s">
        <v>158</v>
      </c>
      <c r="E8" s="108" t="str">
        <f t="shared" ref="E8" si="2">B8&amp;C8&amp;D8</f>
        <v>crash_skills_i18n_sengoku01.tmp</v>
      </c>
      <c r="F8" s="109" t="s">
        <v>155</v>
      </c>
      <c r="G8" s="118" t="s">
        <v>159</v>
      </c>
      <c r="H8" s="118" t="s">
        <v>160</v>
      </c>
      <c r="I8" s="118" t="s">
        <v>161</v>
      </c>
      <c r="J8" s="118" t="s">
        <v>162</v>
      </c>
      <c r="K8" s="119"/>
      <c r="L8" s="119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3" x14ac:dyDescent="0.15">
      <c r="A9" s="109" t="s">
        <v>358</v>
      </c>
      <c r="B9" s="112" t="s">
        <v>135</v>
      </c>
      <c r="C9" s="168" t="str">
        <f t="shared" si="0"/>
        <v>sengoku01</v>
      </c>
      <c r="D9" s="109" t="s">
        <v>158</v>
      </c>
      <c r="E9" s="108" t="str">
        <f t="shared" ref="E9:E10" si="3">B9&amp;C9&amp;D9</f>
        <v>unit_serifs_data_sengoku01.tmp</v>
      </c>
      <c r="F9" s="112" t="s">
        <v>137</v>
      </c>
      <c r="G9" s="117" t="s">
        <v>138</v>
      </c>
      <c r="H9" s="118" t="s">
        <v>139</v>
      </c>
      <c r="I9" s="118" t="s">
        <v>133</v>
      </c>
      <c r="J9" s="116" t="s">
        <v>190</v>
      </c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</row>
    <row r="10" spans="1:23" x14ac:dyDescent="0.15">
      <c r="A10" s="109" t="s">
        <v>359</v>
      </c>
      <c r="B10" s="112" t="s">
        <v>136</v>
      </c>
      <c r="C10" s="168" t="str">
        <f t="shared" si="0"/>
        <v>sengoku01</v>
      </c>
      <c r="D10" s="109" t="s">
        <v>158</v>
      </c>
      <c r="E10" s="108" t="str">
        <f t="shared" si="3"/>
        <v>unit_serifs_i18n_sengoku01.tmp</v>
      </c>
      <c r="F10" s="112" t="s">
        <v>137</v>
      </c>
      <c r="G10" s="117" t="s">
        <v>140</v>
      </c>
      <c r="H10" s="118" t="s">
        <v>141</v>
      </c>
      <c r="I10" s="118" t="s">
        <v>142</v>
      </c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8"/>
  <sheetViews>
    <sheetView showGridLines="0" zoomScale="90" zoomScaleNormal="90" zoomScalePageLayoutView="90" workbookViewId="0">
      <pane xSplit="9" ySplit="1" topLeftCell="AU2" activePane="bottomRight" state="frozen"/>
      <selection pane="topRight" activeCell="J1" sqref="J1"/>
      <selection pane="bottomLeft" activeCell="A3" sqref="A3"/>
      <selection pane="bottomRight" activeCell="B6" sqref="B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/>
    <col min="10" max="10" width="59.5" style="13" customWidth="1" outlineLevel="1"/>
    <col min="11" max="13" width="13.6640625" style="13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82" t="s">
        <v>86</v>
      </c>
      <c r="BR1" s="10" t="s">
        <v>401</v>
      </c>
    </row>
    <row r="2" spans="1:70" ht="26" customHeight="1" x14ac:dyDescent="0.15">
      <c r="A2" s="12">
        <v>720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直江兼続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イベント:戦国01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1">
        <f ca="1">VLOOKUP(I2,[1]属性!$A:$E,2,FALSE)</f>
        <v>1.02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</v>
      </c>
      <c r="N2" s="11">
        <f ca="1">INDEX(コスト!$A$1:$I$20,MATCH(H2,コスト!$A$1:$A$20,FALSE),MATCH(G2,コスト!$A$1:$I$1,FALSE))</f>
        <v>17</v>
      </c>
      <c r="O2" s="11">
        <f ca="1">INDEX(レベル!$A$1:$I$21,MATCH(H2,レベル!$A$1:$A$21,FALSE),MATCH(G2,レベル!$A$1:$I$1,FALSE))</f>
        <v>60</v>
      </c>
      <c r="P2" s="48">
        <f ca="1">IF(G2=6,99, G2*15)</f>
        <v>60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hp</v>
      </c>
      <c r="R2" s="5" t="str">
        <f ca="1">VLOOKUP(Q2,[1]character_type_i18n!$A:$H,3,FALSE)</f>
        <v>体力タイプ</v>
      </c>
      <c r="S2" s="11">
        <f ca="1">VLOOKUP(Q2,[1]character_type_i18n!$A:$H,4,FALSE)</f>
        <v>1.45</v>
      </c>
      <c r="T2" s="11">
        <f ca="1">VLOOKUP(Q2,[1]character_type_i18n!$A:$H,5,FALSE)</f>
        <v>0.85</v>
      </c>
      <c r="U2" s="11">
        <f ca="1">VLOOKUP(Q2,[1]character_type_i18n!$A:$H,6,FALSE)</f>
        <v>1</v>
      </c>
      <c r="V2" s="11">
        <f ca="1">VLOOKUP(Q2,[1]character_type_i18n!$A:$H,7,FALSE)</f>
        <v>0.7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samurai</v>
      </c>
      <c r="Z2" s="5" t="str">
        <f ca="1">VLOOKUP(Y2,[1]character_tribe_i18n!$A:$H,3,FALSE)</f>
        <v>サムライ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9">
        <v>721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迎激の愛銃 直江兼続</v>
      </c>
      <c r="AG2" s="5">
        <f t="shared" ref="AG2:AG9" ca="1" si="0">IF(ISNA(MATCH(A2,AE:AE,0)),A2,INDIRECT(ADDRESS(MATCH(A2,AE:AE,0),COLUMN())))</f>
        <v>720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直江兼続</v>
      </c>
      <c r="AI2" s="11">
        <f ca="1">IF(AE2="NULL","NULL",VLOOKUP(G2,ビット!$A$2:$B$7,2))</f>
        <v>50000</v>
      </c>
      <c r="AJ2" s="6">
        <v>2</v>
      </c>
      <c r="AK2" s="7" t="str">
        <f t="shared" ref="AK2:AK9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5"/>
      <c r="AP2" s="67">
        <f>A2</f>
        <v>720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愛の嵐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 xml:space="preserve">HP小回復+ハートパネルを全て吸収して3ターン緑属性の攻撃力UP 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720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風陣のラヴ・アサルト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1体に大ダメージ_x000D_+HP小回復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</v>
      </c>
      <c r="AZ2" s="68">
        <v>1</v>
      </c>
      <c r="BA2" s="68">
        <v>0</v>
      </c>
      <c r="BB2" s="68">
        <v>1</v>
      </c>
      <c r="BC2" s="11">
        <f ca="1">INDEX('RC6SV'!$A$1:$G$20,MATCH(H2,'RC6SV'!$A$1:$A$20,FALSE),MATCH(G2,'RC6SV'!$A$1:$G$1,FALSE))</f>
        <v>5800</v>
      </c>
      <c r="BD2" s="48">
        <f t="shared" ref="BD2:BD9" ca="1" si="2">ROUND(BC2*IF(AJ2=1,0.95,IF(AJ2=2,1,IF(AJ2,1.05,0))),0)</f>
        <v>5800</v>
      </c>
      <c r="BE2" s="11">
        <f t="shared" ref="BE2:BE9" ca="1" si="3">ROUND(IFERROR(INDIRECT(ADDRESS(MATCH($A2,$AE:$AE,0),MATCH($BC$1,$1:$1,0))),0),0)</f>
        <v>0</v>
      </c>
      <c r="BF2" s="11">
        <f t="shared" ref="BF2:BF9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2016</v>
      </c>
      <c r="BH2" s="16">
        <f ca="1">IF($BE2&lt;=0,ROUND(BL2*0.5,0), ROUND($BE2*T2*AB2*K2*AZ2*0.8*[1]ステータス!$C$2,0))</f>
        <v>718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543</v>
      </c>
      <c r="BK2" s="11">
        <f ca="1">ROUND(BD2*S2*AA2*J2*AY2*[1]ステータス!$B$2,0)</f>
        <v>4032</v>
      </c>
      <c r="BL2" s="11">
        <f ca="1">ROUND(BD2*T2*AB2*K2*AZ2*[1]ステータス!$C$2,0)</f>
        <v>1435</v>
      </c>
      <c r="BM2" s="11">
        <f ca="1">ROUND(BD2*U2*AC2*L2*BA2*[1]ステータス!$D$2,0)</f>
        <v>0</v>
      </c>
      <c r="BN2" s="11">
        <f ca="1">ROUND(BD2*V2*AD2*M2*BB2*[1]ステータス!$E$2,0)</f>
        <v>1086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1</v>
      </c>
    </row>
    <row r="3" spans="1:70" ht="26" customHeight="1" x14ac:dyDescent="0.15">
      <c r="A3" s="12">
        <v>721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迎激の愛銃 直江兼続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イベント:戦国01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INDEX(コスト!$A$1:$I$20,MATCH(H3,コスト!$A$1:$A$20,FALSE),MATCH(G3,コスト!$A$1:$I$1,FALSE))</f>
        <v>26</v>
      </c>
      <c r="O3" s="11">
        <f ca="1">INDEX(レベル!$A$1:$I$21,MATCH(H3,レベル!$A$1:$A$21,FALSE),MATCH(G3,レベル!$A$1:$I$1,FALSE))</f>
        <v>80</v>
      </c>
      <c r="P3" s="48">
        <f t="shared" ref="P3:P17" ca="1" si="5">IF(G3=6,99, G3*15)</f>
        <v>75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1">
        <f ca="1">VLOOKUP(Q3,[1]character_type_i18n!$A:$H,4,FALSE)</f>
        <v>1.45</v>
      </c>
      <c r="T3" s="11">
        <f ca="1">VLOOKUP(Q3,[1]character_type_i18n!$A:$H,5,FALSE)</f>
        <v>0.85</v>
      </c>
      <c r="U3" s="11">
        <f ca="1">VLOOKUP(Q3,[1]character_type_i18n!$A:$H,6,FALSE)</f>
        <v>1</v>
      </c>
      <c r="V3" s="11">
        <f ca="1">VLOOKUP(Q3,[1]character_type_i18n!$A:$H,7,FALSE)</f>
        <v>0.7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samurai</v>
      </c>
      <c r="Z3" s="5" t="str">
        <f ca="1">VLOOKUP(Y3,[1]character_tribe_i18n!$A:$H,3,FALSE)</f>
        <v>サムライ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183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720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直江兼続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7">
        <f t="shared" ref="AP3:AP17" si="6">A3</f>
        <v>721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愛の嵐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 xml:space="preserve">HP小回復+ハートパネルを全て吸収して3ターン緑属性の攻撃力UP 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18" si="7">A3</f>
        <v>721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風陣のラヴ・アサルト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1体に大ダメージ_x000D_+HP小回復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</v>
      </c>
      <c r="AZ3" s="68">
        <v>1</v>
      </c>
      <c r="BA3" s="68">
        <v>0</v>
      </c>
      <c r="BB3" s="68">
        <v>1</v>
      </c>
      <c r="BC3" s="11">
        <f ca="1">INDEX('RC6SV'!$A$1:$G$20,MATCH(H3,'RC6SV'!$A$1:$A$20,FALSE),MATCH(G3,'RC6SV'!$A$1:$G$1,FALSE))</f>
        <v>7600</v>
      </c>
      <c r="BD3" s="48">
        <f t="shared" ca="1" si="2"/>
        <v>7600</v>
      </c>
      <c r="BE3" s="11">
        <f t="shared" ca="1" si="3"/>
        <v>5800</v>
      </c>
      <c r="BF3" s="11">
        <f t="shared" ca="1" si="4"/>
        <v>1</v>
      </c>
      <c r="BG3" s="16">
        <f ca="1">IF($BE3&lt;=0,ROUND(BK3*0.5,0), ROUND($BE3*S3*AA3*J3*AY3*0.8*[1]ステータス!$B$2,0))</f>
        <v>3225</v>
      </c>
      <c r="BH3" s="16">
        <f ca="1">IF($BE3&lt;=0,ROUND(BL3*0.5,0), ROUND($BE3*T3*AB3*K3*AZ3*0.8*[1]ステータス!$C$2,0))</f>
        <v>1148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869</v>
      </c>
      <c r="BK3" s="11">
        <f ca="1">ROUND(BD3*S3*AA3*J3*AY3*[1]ステータス!$B$2,0)</f>
        <v>5283</v>
      </c>
      <c r="BL3" s="11">
        <f ca="1">ROUND(BD3*T3*AB3*K3*AZ3*[1]ステータス!$C$2,0)</f>
        <v>1880</v>
      </c>
      <c r="BM3" s="11">
        <f ca="1">ROUND(BD3*U3*AC3*L3*BA3*[1]ステータス!$D$2,0)</f>
        <v>0</v>
      </c>
      <c r="BN3" s="11">
        <f ca="1">ROUND(BD3*V3*AD3*M3*BB3*[1]ステータス!$E$2,0)</f>
        <v>1423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1</v>
      </c>
    </row>
    <row r="4" spans="1:70" ht="26" customHeight="1" x14ac:dyDescent="0.15">
      <c r="A4" s="12">
        <v>722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森蘭丸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イベント:戦国01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1">
        <f ca="1">VLOOKUP(I4,[1]属性!$A:$E,2,FALSE)</f>
        <v>0.98</v>
      </c>
      <c r="K4" s="11">
        <f ca="1">VLOOKUP(I4,[1]属性!$A:$E,3,FALSE)</f>
        <v>1.01</v>
      </c>
      <c r="L4" s="11">
        <f ca="1">VLOOKUP(I4,[1]属性!$A:$E,4,FALSE)</f>
        <v>1</v>
      </c>
      <c r="M4" s="11">
        <f ca="1">VLOOKUP(I4,[1]属性!$A:$E,5,FALSE)</f>
        <v>1.01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8">
        <f t="shared" ca="1" si="5"/>
        <v>60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human</v>
      </c>
      <c r="X4" s="5" t="str">
        <f ca="1">VLOOKUP(W4,[1]character_tribe_i18n!$A:$H,3,FALSE)</f>
        <v>ヒューマン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samurai</v>
      </c>
      <c r="Z4" s="5" t="str">
        <f ca="1">VLOOKUP(Y4,[1]character_tribe_i18n!$A:$H,3,FALSE)</f>
        <v>サムライ</v>
      </c>
      <c r="AA4" s="11">
        <f ca="1">VLOOKUP(W4,[1]character_tribe_i18n!$A:$H,4,FALSE)</f>
        <v>0.94</v>
      </c>
      <c r="AB4" s="11">
        <f ca="1">VLOOKUP(W4,[1]character_tribe_i18n!$A:$H,5,FALSE)</f>
        <v>0.99</v>
      </c>
      <c r="AC4" s="11">
        <f ca="1">VLOOKUP(W4,[1]character_tribe_i18n!$A:$H,6,FALSE)</f>
        <v>1</v>
      </c>
      <c r="AD4" s="11">
        <f ca="1">VLOOKUP(W4,[1]character_tribe_i18n!$A:$H,7,FALSE)</f>
        <v>1.07</v>
      </c>
      <c r="AE4" s="9">
        <v>723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萌芽の密心  森蘭丸</v>
      </c>
      <c r="AG4" s="5">
        <f t="shared" ca="1" si="0"/>
        <v>722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森蘭丸</v>
      </c>
      <c r="AI4" s="11">
        <f ca="1">IF(AE4="NULL","NULL",VLOOKUP(G4,ビット!$A$2:$B$7,2))</f>
        <v>50000</v>
      </c>
      <c r="AJ4" s="6">
        <v>2</v>
      </c>
      <c r="AK4" s="7" t="str">
        <f t="shared" si="1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5"/>
      <c r="AP4" s="67">
        <f t="shared" si="6"/>
        <v>722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セクレタリ・ナビゲーション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3ターンヒューマンの攻撃力を特大UP+タップ回数を1増やす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7"/>
        <v>722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瞬速ドッグ・オーバーラン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1体に大ダメージ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1</v>
      </c>
      <c r="AZ4" s="68">
        <v>1</v>
      </c>
      <c r="BA4" s="68">
        <v>0</v>
      </c>
      <c r="BB4" s="68">
        <v>1</v>
      </c>
      <c r="BC4" s="11">
        <f ca="1">INDEX('RC6SV'!$A$1:$G$20,MATCH(H4,'RC6SV'!$A$1:$A$20,FALSE),MATCH(G4,'RC6SV'!$A$1:$G$1,FALSE))</f>
        <v>5800</v>
      </c>
      <c r="BD4" s="48">
        <f t="shared" ca="1" si="2"/>
        <v>5800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1336</v>
      </c>
      <c r="BH4" s="16">
        <f ca="1">IF($BE4&lt;=0,ROUND(BL4*0.5,0), ROUND($BE4*T4*AB4*K4*AZ4*0.8*[1]ステータス!$C$2,0))</f>
        <v>870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784</v>
      </c>
      <c r="BK4" s="11">
        <f ca="1">ROUND(BD4*S4*AA4*J4*AY4*[1]ステータス!$B$2,0)</f>
        <v>2671</v>
      </c>
      <c r="BL4" s="11">
        <f ca="1">ROUND(BD4*T4*AB4*K4*AZ4*[1]ステータス!$C$2,0)</f>
        <v>1740</v>
      </c>
      <c r="BM4" s="11">
        <f ca="1">ROUND(BD4*U4*AC4*L4*BA4*[1]ステータス!$D$2,0)</f>
        <v>0</v>
      </c>
      <c r="BN4" s="11">
        <f ca="1">ROUND(BD4*V4*AD4*M4*BB4*[1]ステータス!$E$2,0)</f>
        <v>1567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1</v>
      </c>
    </row>
    <row r="5" spans="1:70" ht="26" customHeight="1" x14ac:dyDescent="0.15">
      <c r="A5" s="12">
        <v>723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萌芽の密心  森蘭丸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イベント:戦国01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8">
        <f t="shared" ca="1" si="5"/>
        <v>75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human</v>
      </c>
      <c r="X5" s="5" t="str">
        <f ca="1">VLOOKUP(W5,[1]character_tribe_i18n!$A:$H,3,FALSE)</f>
        <v>ヒューマン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samurai</v>
      </c>
      <c r="Z5" s="5" t="str">
        <f ca="1">VLOOKUP(Y5,[1]character_tribe_i18n!$A:$H,3,FALSE)</f>
        <v>サムライ</v>
      </c>
      <c r="AA5" s="11">
        <f ca="1">VLOOKUP(W5,[1]character_tribe_i18n!$A:$H,4,FALSE)</f>
        <v>0.94</v>
      </c>
      <c r="AB5" s="11">
        <f ca="1">VLOOKUP(W5,[1]character_tribe_i18n!$A:$H,5,FALSE)</f>
        <v>0.99</v>
      </c>
      <c r="AC5" s="11">
        <f ca="1">VLOOKUP(W5,[1]character_tribe_i18n!$A:$H,6,FALSE)</f>
        <v>1</v>
      </c>
      <c r="AD5" s="11">
        <f ca="1">VLOOKUP(W5,[1]character_tribe_i18n!$A:$H,7,FALSE)</f>
        <v>1.07</v>
      </c>
      <c r="AE5" s="9" t="s">
        <v>183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722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森蘭丸</v>
      </c>
      <c r="AI5" s="11" t="str">
        <f>IF(AE5="NULL","NULL",VLOOKUP(G5,ビット!$A$2:$B$7,2))</f>
        <v>NULL</v>
      </c>
      <c r="AJ5" s="6">
        <v>2</v>
      </c>
      <c r="AK5" s="7" t="str">
        <f t="shared" si="1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7">
        <f t="shared" si="6"/>
        <v>723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セクレタリ・ナビゲーション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3ターンヒューマンの攻撃力を特大UP+タップ回数を1増やす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7"/>
        <v>723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瞬速ドッグ・オーバーラン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1体に大ダメージ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1</v>
      </c>
      <c r="AZ5" s="68">
        <v>1</v>
      </c>
      <c r="BA5" s="68">
        <v>0</v>
      </c>
      <c r="BB5" s="68">
        <v>1</v>
      </c>
      <c r="BC5" s="11">
        <f ca="1">INDEX('RC6SV'!$A$1:$G$20,MATCH(H5,'RC6SV'!$A$1:$A$20,FALSE),MATCH(G5,'RC6SV'!$A$1:$G$1,FALSE))</f>
        <v>7600</v>
      </c>
      <c r="BD5" s="48">
        <f t="shared" ca="1" si="2"/>
        <v>7600</v>
      </c>
      <c r="BE5" s="11">
        <f t="shared" ca="1" si="3"/>
        <v>5800</v>
      </c>
      <c r="BF5" s="11">
        <f t="shared" ca="1" si="4"/>
        <v>1</v>
      </c>
      <c r="BG5" s="16">
        <f ca="1">IF($BE5&lt;=0,ROUND(BK5*0.5,0), ROUND($BE5*S5*AA5*J5*AY5*0.8*[1]ステータス!$B$2,0))</f>
        <v>2137</v>
      </c>
      <c r="BH5" s="16">
        <f ca="1">IF($BE5&lt;=0,ROUND(BL5*0.5,0), ROUND($BE5*T5*AB5*K5*AZ5*0.8*[1]ステータス!$C$2,0))</f>
        <v>1392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1254</v>
      </c>
      <c r="BK5" s="11">
        <f ca="1">ROUND(BD5*S5*AA5*J5*AY5*[1]ステータス!$B$2,0)</f>
        <v>3501</v>
      </c>
      <c r="BL5" s="11">
        <f ca="1">ROUND(BD5*T5*AB5*K5*AZ5*[1]ステータス!$C$2,0)</f>
        <v>2280</v>
      </c>
      <c r="BM5" s="11">
        <f ca="1">ROUND(BD5*U5*AC5*L5*BA5*[1]ステータス!$D$2,0)</f>
        <v>0</v>
      </c>
      <c r="BN5" s="11">
        <f ca="1">ROUND(BD5*V5*AD5*M5*BB5*[1]ステータス!$E$2,0)</f>
        <v>2053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1</v>
      </c>
    </row>
    <row r="6" spans="1:70" ht="26" customHeight="1" x14ac:dyDescent="0.15">
      <c r="A6" s="12">
        <v>724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武田信玄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イベント:ウィザード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1">
        <f ca="1">VLOOKUP(I6,[1]属性!$A:$E,2,FALSE)</f>
        <v>1</v>
      </c>
      <c r="K6" s="11">
        <f ca="1">VLOOKUP(I6,[1]属性!$A:$E,3,FALSE)</f>
        <v>1.02</v>
      </c>
      <c r="L6" s="11">
        <f ca="1">VLOOKUP(I6,[1]属性!$A:$E,4,FALSE)</f>
        <v>1</v>
      </c>
      <c r="M6" s="11">
        <f ca="1">VLOOKUP(I6,[1]属性!$A:$E,5,FALSE)</f>
        <v>0.98</v>
      </c>
      <c r="N6" s="11">
        <f ca="1">INDEX(コスト!$A$1:$I$20,MATCH(H6,コスト!$A$1:$A$20,FALSE),MATCH(G6,コスト!$A$1:$I$1,FALSE))</f>
        <v>30</v>
      </c>
      <c r="O6" s="11">
        <f ca="1">INDEX(レベル!$A$1:$I$21,MATCH(H6,レベル!$A$1:$A$21,FALSE),MATCH(G6,レベル!$A$1:$I$1,FALSE))</f>
        <v>80</v>
      </c>
      <c r="P6" s="48">
        <f t="shared" ca="1" si="5"/>
        <v>75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samurai</v>
      </c>
      <c r="Z6" s="5" t="str">
        <f ca="1">VLOOKUP(Y6,[1]character_tribe_i18n!$A:$H,3,FALSE)</f>
        <v>サムライ</v>
      </c>
      <c r="AA6" s="11">
        <f ca="1">VLOOKUP(W6,[1]character_tribe_i18n!$A:$H,4,FALSE)</f>
        <v>0.94</v>
      </c>
      <c r="AB6" s="11">
        <f ca="1">VLOOKUP(W6,[1]character_tribe_i18n!$A:$H,5,FALSE)</f>
        <v>0.99</v>
      </c>
      <c r="AC6" s="11">
        <f ca="1">VLOOKUP(W6,[1]character_tribe_i18n!$A:$H,6,FALSE)</f>
        <v>1</v>
      </c>
      <c r="AD6" s="11">
        <f ca="1">VLOOKUP(W6,[1]character_tribe_i18n!$A:$H,7,FALSE)</f>
        <v>1.07</v>
      </c>
      <c r="AE6" s="9">
        <v>725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泰然の暴虎 武田信玄</v>
      </c>
      <c r="AG6" s="5">
        <f t="shared" ca="1" si="0"/>
        <v>724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武田信玄</v>
      </c>
      <c r="AI6" s="11">
        <f ca="1">IF(AE6="NULL","NULL",VLOOKUP(G6,ビット!$A$2:$B$7,2))</f>
        <v>200000</v>
      </c>
      <c r="AJ6" s="6">
        <v>2</v>
      </c>
      <c r="AK6" s="7" t="str">
        <f t="shared" si="1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6400</v>
      </c>
      <c r="AN6" s="17">
        <f ca="1">VLOOKUP(G6,ビット!$G$2:$H$7,2)</f>
        <v>900</v>
      </c>
      <c r="AO6" s="45"/>
      <c r="AP6" s="67">
        <f t="shared" si="6"/>
        <v>724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風林火山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1体に特大ダメージ(カウンターの敵に効果超大+カウンター解除)+3ターン特大カウンター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 t="shared" si="7"/>
        <v>724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必勝の軍配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1体に大ダメージ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8">
        <v>1.07</v>
      </c>
      <c r="AZ6" s="68">
        <v>1.04</v>
      </c>
      <c r="BA6" s="68">
        <v>0</v>
      </c>
      <c r="BB6" s="68">
        <v>0.89</v>
      </c>
      <c r="BC6" s="11">
        <f ca="1">INDEX('RC6SV'!$A$1:$G$20,MATCH(H6,'RC6SV'!$A$1:$A$20,FALSE),MATCH(G6,'RC6SV'!$A$1:$G$1,FALSE))</f>
        <v>9000</v>
      </c>
      <c r="BD6" s="48">
        <f t="shared" ca="1" si="2"/>
        <v>9000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2263</v>
      </c>
      <c r="BH6" s="16">
        <f ca="1">IF($BE6&lt;=0,ROUND(BL6*0.5,0), ROUND($BE6*T6*AB6*K6*AZ6*0.8*[1]ステータス!$C$2,0))</f>
        <v>1886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704</v>
      </c>
      <c r="BK6" s="11">
        <f ca="1">ROUND(BD6*S6*AA6*J6*AY6*[1]ステータス!$B$2,0)</f>
        <v>4526</v>
      </c>
      <c r="BL6" s="11">
        <f ca="1">ROUND(BD6*T6*AB6*K6*AZ6*[1]ステータス!$C$2,0)</f>
        <v>3771</v>
      </c>
      <c r="BM6" s="11">
        <f ca="1">ROUND(BD6*U6*AC6*L6*BA6*[1]ステータス!$D$2,0)</f>
        <v>0</v>
      </c>
      <c r="BN6" s="11">
        <f ca="1">ROUND(BD6*V6*AD6*M6*BB6*[1]ステータス!$E$2,0)</f>
        <v>1407</v>
      </c>
      <c r="BO6" s="10">
        <v>0</v>
      </c>
      <c r="BP6" s="10">
        <v>1</v>
      </c>
      <c r="BQ6" s="10" t="s">
        <v>47</v>
      </c>
      <c r="BR6" s="10">
        <f ca="1">VLOOKUP(H6,ghosts_label!$A$2:$B$19,2,FALSE)</f>
        <v>1</v>
      </c>
    </row>
    <row r="7" spans="1:70" ht="26" customHeight="1" x14ac:dyDescent="0.15">
      <c r="A7" s="12">
        <v>725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泰然の暴虎 武田信玄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イベント:ウィザード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1">
        <f ca="1">VLOOKUP(I7,[1]属性!$A:$E,2,FALSE)</f>
        <v>1</v>
      </c>
      <c r="K7" s="11">
        <f ca="1">VLOOKUP(I7,[1]属性!$A:$E,3,FALSE)</f>
        <v>1.02</v>
      </c>
      <c r="L7" s="11">
        <f ca="1">VLOOKUP(I7,[1]属性!$A:$E,4,FALSE)</f>
        <v>1</v>
      </c>
      <c r="M7" s="11">
        <f ca="1">VLOOKUP(I7,[1]属性!$A:$E,5,FALSE)</f>
        <v>0.98</v>
      </c>
      <c r="N7" s="11">
        <f ca="1">INDEX(コスト!$A$1:$I$20,MATCH(H7,コスト!$A$1:$A$20,FALSE),MATCH(G7,コスト!$A$1:$I$1,FALSE))</f>
        <v>45</v>
      </c>
      <c r="O7" s="11">
        <f ca="1">INDEX(レベル!$A$1:$I$21,MATCH(H7,レベル!$A$1:$A$21,FALSE),MATCH(G7,レベル!$A$1:$I$1,FALSE))</f>
        <v>99</v>
      </c>
      <c r="P7" s="48">
        <f t="shared" ca="1" si="5"/>
        <v>99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1">
        <f ca="1">VLOOKUP(Q7,[1]character_type_i18n!$A:$H,4,FALSE)</f>
        <v>1</v>
      </c>
      <c r="T7" s="11">
        <f ca="1">VLOOKUP(Q7,[1]character_type_i18n!$A:$H,5,FALSE)</f>
        <v>1.33</v>
      </c>
      <c r="U7" s="11">
        <f ca="1">VLOOKUP(Q7,[1]character_type_i18n!$A:$H,6,FALSE)</f>
        <v>1</v>
      </c>
      <c r="V7" s="11">
        <f ca="1">VLOOKUP(Q7,[1]character_type_i18n!$A:$H,7,FALSE)</f>
        <v>0.67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samurai</v>
      </c>
      <c r="Z7" s="5" t="str">
        <f ca="1">VLOOKUP(Y7,[1]character_tribe_i18n!$A:$H,3,FALSE)</f>
        <v>サムライ</v>
      </c>
      <c r="AA7" s="11">
        <f ca="1">VLOOKUP(W7,[1]character_tribe_i18n!$A:$H,4,FALSE)</f>
        <v>0.94</v>
      </c>
      <c r="AB7" s="11">
        <f ca="1">VLOOKUP(W7,[1]character_tribe_i18n!$A:$H,5,FALSE)</f>
        <v>0.99</v>
      </c>
      <c r="AC7" s="11">
        <f ca="1">VLOOKUP(W7,[1]character_tribe_i18n!$A:$H,6,FALSE)</f>
        <v>1</v>
      </c>
      <c r="AD7" s="11">
        <f ca="1">VLOOKUP(W7,[1]character_tribe_i18n!$A:$H,7,FALSE)</f>
        <v>1.07</v>
      </c>
      <c r="AE7" s="9" t="s">
        <v>183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724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武田信玄</v>
      </c>
      <c r="AI7" s="11" t="str">
        <f>IF(AE7="NULL","NULL",VLOOKUP(G7,ビット!$A$2:$B$7,2))</f>
        <v>NULL</v>
      </c>
      <c r="AJ7" s="6">
        <v>2</v>
      </c>
      <c r="AK7" s="7" t="str">
        <f t="shared" si="1"/>
        <v>普通</v>
      </c>
      <c r="AL7" s="11" t="str">
        <f ca="1">INDEX(経験値!$A$1:$I$20,MATCH(H7,経験値!$A$1:$A$20,FALSE),MATCH(G7,経験値!$A$1:$I$1,FALSE))</f>
        <v>required_exp_250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7">
        <f t="shared" si="6"/>
        <v>725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ブルートフォース・風林火山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1体に特大ダメージ(カウンターの敵に効果超大+カウンター解除)+3ターン超大カウンター、種族サムライ・ヒューマン防御大UP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si="7"/>
        <v>725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制圧の軍配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1体に特大ダメージ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8">
        <v>1.123</v>
      </c>
      <c r="AZ7" s="68">
        <v>1.04</v>
      </c>
      <c r="BA7" s="68">
        <v>0</v>
      </c>
      <c r="BB7" s="68">
        <v>0.89</v>
      </c>
      <c r="BC7" s="11">
        <f ca="1">INDEX('RC6SV'!$A$1:$G$20,MATCH(H7,'RC6SV'!$A$1:$A$20,FALSE),MATCH(G7,'RC6SV'!$A$1:$G$1,FALSE))</f>
        <v>12000</v>
      </c>
      <c r="BD7" s="48">
        <f t="shared" ca="1" si="2"/>
        <v>12000</v>
      </c>
      <c r="BE7" s="11">
        <f t="shared" ca="1" si="3"/>
        <v>9000</v>
      </c>
      <c r="BF7" s="11">
        <f t="shared" ca="1" si="4"/>
        <v>1</v>
      </c>
      <c r="BG7" s="16">
        <f ca="1">IF($BE7&lt;=0,ROUND(BK7*0.5,0), ROUND($BE7*S7*AA7*J7*AY7*0.8*[1]ステータス!$B$2,0))</f>
        <v>3800</v>
      </c>
      <c r="BH7" s="16">
        <f ca="1">IF($BE7&lt;=0,ROUND(BL7*0.5,0), ROUND($BE7*T7*AB7*K7*AZ7*0.8*[1]ステータス!$C$2,0))</f>
        <v>3017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1126</v>
      </c>
      <c r="BK7" s="11">
        <f ca="1">ROUND(BD7*S7*AA7*J7*AY7*[1]ステータス!$B$2,0)</f>
        <v>6334</v>
      </c>
      <c r="BL7" s="11">
        <f ca="1">ROUND(BD7*T7*AB7*K7*AZ7*[1]ステータス!$C$2,0)</f>
        <v>5028</v>
      </c>
      <c r="BM7" s="11">
        <f ca="1">ROUND(BD7*U7*AC7*L7*BA7*[1]ステータス!$D$2,0)</f>
        <v>0</v>
      </c>
      <c r="BN7" s="11">
        <f ca="1">ROUND(BD7*V7*AD7*M7*BB7*[1]ステータス!$E$2,0)</f>
        <v>1876</v>
      </c>
      <c r="BO7" s="10">
        <v>0</v>
      </c>
      <c r="BP7" s="10">
        <v>1</v>
      </c>
      <c r="BQ7" s="10" t="s">
        <v>47</v>
      </c>
      <c r="BR7" s="10">
        <f ca="1">VLOOKUP(H7,ghosts_label!$A$2:$B$19,2,FALSE)</f>
        <v>1</v>
      </c>
    </row>
    <row r="8" spans="1:70" ht="26" customHeight="1" x14ac:dyDescent="0.15">
      <c r="A8" s="12">
        <v>726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織田信長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イベント:超ウィザード03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DropWizSS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INDEX(コスト!$A$1:$I$20,MATCH(H8,コスト!$A$1:$A$20,FALSE),MATCH(G8,コスト!$A$1:$I$1,FALSE))</f>
        <v>35</v>
      </c>
      <c r="O8" s="11">
        <f ca="1">INDEX(レベル!$A$1:$I$21,MATCH(H8,レベル!$A$1:$A$21,FALSE),MATCH(G8,レベル!$A$1:$I$1,FALSE))</f>
        <v>80</v>
      </c>
      <c r="P8" s="48">
        <f t="shared" ca="1" si="5"/>
        <v>75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human</v>
      </c>
      <c r="X8" s="5" t="str">
        <f ca="1">VLOOKUP(W8,[1]character_tribe_i18n!$A:$H,3,FALSE)</f>
        <v>ヒューマン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samurai</v>
      </c>
      <c r="Z8" s="5" t="str">
        <f ca="1">VLOOKUP(Y8,[1]character_tribe_i18n!$A:$H,3,FALSE)</f>
        <v>サムライ</v>
      </c>
      <c r="AA8" s="11">
        <f ca="1">VLOOKUP(W8,[1]character_tribe_i18n!$A:$H,4,FALSE)</f>
        <v>0.94</v>
      </c>
      <c r="AB8" s="11">
        <f ca="1">VLOOKUP(W8,[1]character_tribe_i18n!$A:$H,5,FALSE)</f>
        <v>0.99</v>
      </c>
      <c r="AC8" s="11">
        <f ca="1">VLOOKUP(W8,[1]character_tribe_i18n!$A:$H,6,FALSE)</f>
        <v>1</v>
      </c>
      <c r="AD8" s="11">
        <f ca="1">VLOOKUP(W8,[1]character_tribe_i18n!$A:$H,7,FALSE)</f>
        <v>1.07</v>
      </c>
      <c r="AE8" s="9">
        <v>727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真鋭の征服者 織田信長</v>
      </c>
      <c r="AG8" s="5">
        <f t="shared" ca="1" si="0"/>
        <v>726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織田信長</v>
      </c>
      <c r="AI8" s="11">
        <f ca="1">IF(AE8="NULL","NULL",VLOOKUP(G8,ビット!$A$2:$B$7,2))</f>
        <v>200000</v>
      </c>
      <c r="AJ8" s="6">
        <v>2</v>
      </c>
      <c r="AK8" s="7" t="str">
        <f t="shared" si="1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6400</v>
      </c>
      <c r="AN8" s="17">
        <f ca="1">VLOOKUP(G8,ビット!$G$2:$H$7,2)</f>
        <v>900</v>
      </c>
      <c r="AO8" s="45"/>
      <c r="AP8" s="67">
        <f t="shared" si="6"/>
        <v>726</v>
      </c>
      <c r="AQ8" s="57" t="str">
        <f ca="1">VLOOKUP($AP8,OFFSET(unit_skills!$A$1,0,0,COUNTA(unit_skills!$A:$A),MATCH(AQ$1,unit_skills!$1:$1,0)-MATCH($AP$1,unit_skills!$1:$1,0)+1),MATCH(AQ$1,unit_skills!$1:$1,0)-MATCH($AP$1,unit_skills!$1:$1,0)+1,FALSE)</f>
        <v>ルール・ザ・ワールド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1ターン赤属性の攻撃力を特大UPしタップ回数を1増やす+赤属性ユニット全員で攻撃</v>
      </c>
      <c r="AS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f t="shared" si="7"/>
        <v>726</v>
      </c>
      <c r="AU8" s="57" t="str">
        <f ca="1">VLOOKUP($AT8,OFFSET(crash_skills!$A$1,0,0,COUNTA(crash_skills!$A:$A),MATCH(AU$1,crash_skills!$1:$1,0)-MATCH($AT$1,crash_skills!$1:$1,0)+1),MATCH(AU$1,crash_skills!$1:$1,0)-MATCH($AT$1,crash_skills!$1:$1,0)+1,FALSE)</f>
        <v>6thヘヴン</v>
      </c>
      <c r="AV8" s="57" t="str">
        <f ca="1">VLOOKUP($AT8,OFFSET(crash_skills!$A$1,0,0,COUNTA(crash_skills!$A:$A),MATCH(AV$1,crash_skills!$1:$1,0)-MATCH($AT$1,crash_skills!$1:$1,0)+1),MATCH(AV$1,crash_skills!$1:$1,0)-MATCH($AT$1,crash_skills!$1:$1,0)+1,FALSE)</f>
        <v>1体に大ダメージ_x000D_ゴッドに効果特大</v>
      </c>
      <c r="AW8" s="57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8">
        <v>1</v>
      </c>
      <c r="AZ8" s="68">
        <v>1</v>
      </c>
      <c r="BA8" s="68">
        <v>0</v>
      </c>
      <c r="BB8" s="68">
        <v>1</v>
      </c>
      <c r="BC8" s="11">
        <f ca="1">INDEX('RC6SV'!$A$1:$G$20,MATCH(H8,'RC6SV'!$A$1:$A$20,FALSE),MATCH(G8,'RC6SV'!$A$1:$G$1,FALSE))</f>
        <v>9500</v>
      </c>
      <c r="BD8" s="48">
        <f t="shared" ca="1" si="2"/>
        <v>9500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2233</v>
      </c>
      <c r="BH8" s="16">
        <f ca="1">IF($BE8&lt;=0,ROUND(BL8*0.5,0), ROUND($BE8*T8*AB8*K8*AZ8*0.8*[1]ステータス!$C$2,0))</f>
        <v>1439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1245</v>
      </c>
      <c r="BK8" s="11">
        <f ca="1">ROUND(BD8*S8*AA8*J8*AY8*[1]ステータス!$B$2,0)</f>
        <v>4465</v>
      </c>
      <c r="BL8" s="11">
        <f ca="1">ROUND(BD8*T8*AB8*K8*AZ8*[1]ステータス!$C$2,0)</f>
        <v>2878</v>
      </c>
      <c r="BM8" s="11">
        <f ca="1">ROUND(BD8*U8*AC8*L8*BA8*[1]ステータス!$D$2,0)</f>
        <v>0</v>
      </c>
      <c r="BN8" s="11">
        <f ca="1">ROUND(BD8*V8*AD8*M8*BB8*[1]ステータス!$E$2,0)</f>
        <v>2490</v>
      </c>
      <c r="BO8" s="10">
        <v>0</v>
      </c>
      <c r="BP8" s="10">
        <v>1</v>
      </c>
      <c r="BQ8" s="10" t="s">
        <v>47</v>
      </c>
      <c r="BR8" s="10">
        <f ca="1">VLOOKUP(H8,ghosts_label!$A$2:$B$19,2,FALSE)</f>
        <v>1</v>
      </c>
    </row>
    <row r="9" spans="1:70" ht="26" customHeight="1" x14ac:dyDescent="0.15">
      <c r="A9" s="12">
        <v>727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真鋭の征服者 織田信長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イベント:超ウィザード03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DropWizSS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INDEX(コスト!$A$1:$I$20,MATCH(H9,コスト!$A$1:$A$20,FALSE),MATCH(G9,コスト!$A$1:$I$1,FALSE))</f>
        <v>50</v>
      </c>
      <c r="O9" s="11">
        <f ca="1">INDEX(レベル!$A$1:$I$21,MATCH(H9,レベル!$A$1:$A$21,FALSE),MATCH(G9,レベル!$A$1:$I$1,FALSE))</f>
        <v>99</v>
      </c>
      <c r="P9" s="48">
        <f t="shared" ca="1" si="5"/>
        <v>99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samurai</v>
      </c>
      <c r="Z9" s="5" t="str">
        <f ca="1">VLOOKUP(Y9,[1]character_tribe_i18n!$A:$H,3,FALSE)</f>
        <v>サムライ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 t="s">
        <v>183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726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織田信長</v>
      </c>
      <c r="AI9" s="11" t="str">
        <f>IF(AE9="NULL","NULL",VLOOKUP(G9,ビット!$A$2:$B$7,2))</f>
        <v>NULL</v>
      </c>
      <c r="AJ9" s="6">
        <v>2</v>
      </c>
      <c r="AK9" s="7" t="str">
        <f t="shared" si="1"/>
        <v>普通</v>
      </c>
      <c r="AL9" s="11" t="str">
        <f ca="1">INDEX(経験値!$A$1:$I$20,MATCH(H9,経験値!$A$1:$A$20,FALSE),MATCH(G9,経験値!$A$1:$I$1,FALSE))</f>
        <v>required_exp_250</v>
      </c>
      <c r="AM9" s="8">
        <f ca="1">VLOOKUP(G9,経験値!$A$27:$B$31,2)</f>
        <v>6400</v>
      </c>
      <c r="AN9" s="17">
        <f ca="1">VLOOKUP(G9,ビット!$G$2:$H$7,2)</f>
        <v>900</v>
      </c>
      <c r="AO9" s="45"/>
      <c r="AP9" s="67">
        <f t="shared" si="6"/>
        <v>727</v>
      </c>
      <c r="AQ9" s="57" t="str">
        <f ca="1">VLOOKUP($AP9,OFFSET(unit_skills!$A$1,0,0,COUNTA(unit_skills!$A:$A),MATCH(AQ$1,unit_skills!$1:$1,0)-MATCH($AP$1,unit_skills!$1:$1,0)+1),MATCH(AQ$1,unit_skills!$1:$1,0)-MATCH($AP$1,unit_skills!$1:$1,0)+1,FALSE)</f>
        <v>デリート・ザ・ワールド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1ターン赤属性の攻撃力を超大UPしタップ回数を2増やす+赤属性ユニット全員で攻撃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f t="shared" si="7"/>
        <v>727</v>
      </c>
      <c r="AU9" s="57" t="str">
        <f ca="1">VLOOKUP($AT9,OFFSET(crash_skills!$A$1,0,0,COUNTA(crash_skills!$A:$A),MATCH(AU$1,crash_skills!$1:$1,0)-MATCH($AT$1,crash_skills!$1:$1,0)+1),MATCH(AU$1,crash_skills!$1:$1,0)-MATCH($AT$1,crash_skills!$1:$1,0)+1,FALSE)</f>
        <v>6thヘヴン・バーンダウン</v>
      </c>
      <c r="AV9" s="57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1体に特大ダメージ_x000D_ゴッドに効果超大</v>
      </c>
      <c r="AW9" s="57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8">
        <v>1.1000000000000001</v>
      </c>
      <c r="AZ9" s="68">
        <v>1.1000000000000001</v>
      </c>
      <c r="BA9" s="68">
        <v>0</v>
      </c>
      <c r="BB9" s="68">
        <v>1</v>
      </c>
      <c r="BC9" s="11">
        <f ca="1">INDEX('RC6SV'!$A$1:$G$20,MATCH(H9,'RC6SV'!$A$1:$A$20,FALSE),MATCH(G9,'RC6SV'!$A$1:$G$1,FALSE))</f>
        <v>13000</v>
      </c>
      <c r="BD9" s="48">
        <f t="shared" ca="1" si="2"/>
        <v>13000</v>
      </c>
      <c r="BE9" s="11">
        <f t="shared" ca="1" si="3"/>
        <v>9500</v>
      </c>
      <c r="BF9" s="11">
        <f t="shared" ca="1" si="4"/>
        <v>1</v>
      </c>
      <c r="BG9" s="16">
        <f ca="1">IF($BE9&lt;=0,ROUND(BK9*0.5,0), ROUND($BE9*S9*AA9*J9*AY9*0.8*[1]ステータス!$B$2,0))</f>
        <v>3929</v>
      </c>
      <c r="BH9" s="16">
        <f ca="1">IF($BE9&lt;=0,ROUND(BL9*0.5,0), ROUND($BE9*T9*AB9*K9*AZ9*0.8*[1]ステータス!$C$2,0))</f>
        <v>2533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1992</v>
      </c>
      <c r="BK9" s="11">
        <f ca="1">ROUND(BD9*S9*AA9*J9*AY9*[1]ステータス!$B$2,0)</f>
        <v>6721</v>
      </c>
      <c r="BL9" s="11">
        <f ca="1">ROUND(BD9*T9*AB9*K9*AZ9*[1]ステータス!$C$2,0)</f>
        <v>4332</v>
      </c>
      <c r="BM9" s="11">
        <f ca="1">ROUND(BD9*U9*AC9*L9*BA9*[1]ステータス!$D$2,0)</f>
        <v>0</v>
      </c>
      <c r="BN9" s="11">
        <f ca="1">ROUND(BD9*V9*AD9*M9*BB9*[1]ステータス!$E$2,0)</f>
        <v>3408</v>
      </c>
      <c r="BO9" s="10">
        <v>0</v>
      </c>
      <c r="BP9" s="10">
        <v>1</v>
      </c>
      <c r="BQ9" s="10" t="s">
        <v>47</v>
      </c>
      <c r="BR9" s="10">
        <f ca="1">VLOOKUP(H9,ghosts_label!$A$2:$B$19,2,FALSE)</f>
        <v>1</v>
      </c>
    </row>
    <row r="10" spans="1:70" ht="26" customHeight="1" x14ac:dyDescent="0.15">
      <c r="A10" s="12">
        <v>728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井伊直虎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ガチャ:戦国01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女性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INDEX(コスト!$A$1:$I$20,MATCH(H10,コスト!$A$1:$A$20,FALSE),MATCH(G10,コスト!$A$1:$I$1,FALSE))</f>
        <v>20</v>
      </c>
      <c r="O10" s="11">
        <f ca="1">INDEX(レベル!$A$1:$I$21,MATCH(H10,レベル!$A$1:$A$21,FALSE),MATCH(G10,レベル!$A$1:$I$1,FALSE))</f>
        <v>60</v>
      </c>
      <c r="P10" s="48">
        <f t="shared" ca="1" si="5"/>
        <v>60</v>
      </c>
      <c r="Q10" s="57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1">
        <f ca="1">VLOOKUP(Q10,[1]character_type_i18n!$A:$H,4,FALSE)</f>
        <v>1</v>
      </c>
      <c r="T10" s="11">
        <f ca="1">VLOOKUP(Q10,[1]character_type_i18n!$A:$H,5,FALSE)</f>
        <v>1</v>
      </c>
      <c r="U10" s="11">
        <f ca="1">VLOOKUP(Q10,[1]character_type_i18n!$A:$H,6,FALSE)</f>
        <v>1</v>
      </c>
      <c r="V10" s="11">
        <f ca="1">VLOOKUP(Q10,[1]character_type_i18n!$A:$H,7,FALSE)</f>
        <v>1</v>
      </c>
      <c r="W10" s="57" t="str">
        <f ca="1">VLOOKUP($A10,OFFSET([1]characters!$A$1,0,0,COUNTA([1]characters!$A:$A),MATCH(W$1,[1]characters!$1:$1,0)-MATCH($A$1,[1]characters!$1:$1,0)+1),MATCH(W$1,[1]characters!$1:$1,0)-MATCH($A$1,[1]characters!$1:$1,0)+1,FALSE)</f>
        <v>human</v>
      </c>
      <c r="X10" s="5" t="str">
        <f ca="1">VLOOKUP(W10,[1]character_tribe_i18n!$A:$H,3,FALSE)</f>
        <v>ヒューマン</v>
      </c>
      <c r="Y10" s="57" t="str">
        <f ca="1">VLOOKUP($A10,OFFSET([1]characters!$A$1,0,0,COUNTA([1]characters!$A:$A),MATCH(Y$1,[1]characters!$1:$1,0)-MATCH($A$1,[1]characters!$1:$1,0)+1),MATCH(Y$1,[1]characters!$1:$1,0)-MATCH($A$1,[1]characters!$1:$1,0)+1,FALSE)</f>
        <v>samurai</v>
      </c>
      <c r="Z10" s="5" t="str">
        <f ca="1">VLOOKUP(Y10,[1]character_tribe_i18n!$A:$H,3,FALSE)</f>
        <v>サムライ</v>
      </c>
      <c r="AA10" s="11">
        <f ca="1">VLOOKUP(W10,[1]character_tribe_i18n!$A:$H,4,FALSE)</f>
        <v>0.94</v>
      </c>
      <c r="AB10" s="11">
        <f ca="1">VLOOKUP(W10,[1]character_tribe_i18n!$A:$H,5,FALSE)</f>
        <v>0.99</v>
      </c>
      <c r="AC10" s="11">
        <f ca="1">VLOOKUP(W10,[1]character_tribe_i18n!$A:$H,6,FALSE)</f>
        <v>1</v>
      </c>
      <c r="AD10" s="11">
        <f ca="1">VLOOKUP(W10,[1]character_tribe_i18n!$A:$H,7,FALSE)</f>
        <v>1.07</v>
      </c>
      <c r="AE10" s="9">
        <v>729</v>
      </c>
      <c r="AF10" s="6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暗厄の双刀 井伊直虎</v>
      </c>
      <c r="AG10" s="5">
        <f t="shared" ref="AG10:AG17" ca="1" si="8">IF(ISNA(MATCH(A10,AE:AE,0)),A10,INDIRECT(ADDRESS(MATCH(A10,AE:AE,0),COLUMN())))</f>
        <v>728</v>
      </c>
      <c r="AH10" s="62" t="str">
        <f ca="1">VLOOKUP($AG10,OFFSET([1]characters!$A$1,0,0,COUNTA([1]characters!$A:$A),MATCH(AH$1,[1]characters!$1:$1,0)-MATCH($A$1,[1]characters!$1:$1,0)+1),MATCH(AH$1,[1]characters!$1:$1,0)-MATCH($A$1,[1]characters!$1:$1,0)+1,FALSE)</f>
        <v>井伊直虎</v>
      </c>
      <c r="AI10" s="11">
        <f ca="1">IF(AE10="NULL","NULL",VLOOKUP(G10,ビット!$A$2:$B$7,2))</f>
        <v>50000</v>
      </c>
      <c r="AJ10" s="6">
        <v>2</v>
      </c>
      <c r="AK10" s="7" t="str">
        <f t="shared" ref="AK10:AK17" si="9">IF(AJ10=1,"早熟",IF(AJ10=2,"普通",IF(AJ10=3,"晩成","")))</f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3400</v>
      </c>
      <c r="AN10" s="17">
        <f ca="1">VLOOKUP(G10,ビット!$G$2:$H$7,2)</f>
        <v>600</v>
      </c>
      <c r="AO10" s="45"/>
      <c r="AP10" s="67">
        <f t="shared" si="6"/>
        <v>728</v>
      </c>
      <c r="AQ10" s="57" t="str">
        <f ca="1">VLOOKUP($AP10,OFFSET(unit_skills!$A$1,0,0,COUNTA(unit_skills!$A:$A),MATCH(AQ$1,unit_skills!$1:$1,0)-MATCH($AP$1,unit_skills!$1:$1,0)+1),MATCH(AQ$1,unit_skills!$1:$1,0)-MATCH($AP$1,unit_skills!$1:$1,0)+1,FALSE)</f>
        <v>双刀連舞奥義・孤虎</v>
      </c>
      <c r="AR10" s="57" t="str">
        <f ca="1">VLOOKUP($AP10,OFFSET(unit_skills!$A$1,0,0,COUNTA(unit_skills!$A:$A),MATCH(AR$1,unit_skills!$1:$1,0)-MATCH($AP$1,unit_skills!$1:$1,0)+1),MATCH(AR$1,unit_skills!$1:$1,0)-MATCH($AP$1,unit_skills!$1:$1,0)+1,FALSE)</f>
        <v>緑パネルを赤パネルに変換し、3ターンヒューマンの攻撃力を特大UP</v>
      </c>
      <c r="AS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f t="shared" si="7"/>
        <v>728</v>
      </c>
      <c r="AU10" s="57" t="str">
        <f ca="1">VLOOKUP($AT10,OFFSET(crash_skills!$A$1,0,0,COUNTA(crash_skills!$A:$A),MATCH(AU$1,crash_skills!$1:$1,0)-MATCH($AT$1,crash_skills!$1:$1,0)+1),MATCH(AU$1,crash_skills!$1:$1,0)-MATCH($AT$1,crash_skills!$1:$1,0)+1,FALSE)</f>
        <v>ダブル・ミザリー</v>
      </c>
      <c r="AV10" s="57" t="str">
        <f ca="1">VLOOKUP($AT10,OFFSET(crash_skills!$A$1,0,0,COUNTA(crash_skills!$A:$A),MATCH(AV$1,crash_skills!$1:$1,0)-MATCH($AT$1,crash_skills!$1:$1,0)+1),MATCH(AV$1,crash_skills!$1:$1,0)-MATCH($AT$1,crash_skills!$1:$1,0)+1,FALSE)</f>
        <v>1体に大ダメージ</v>
      </c>
      <c r="AW10" s="57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8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8">
        <v>1</v>
      </c>
      <c r="AZ10" s="68">
        <v>1</v>
      </c>
      <c r="BA10" s="68">
        <v>0</v>
      </c>
      <c r="BB10" s="68">
        <v>1</v>
      </c>
      <c r="BC10" s="11">
        <f ca="1">INDEX('RC6SV'!$A$1:$G$20,MATCH(H10,'RC6SV'!$A$1:$A$20,FALSE),MATCH(G10,'RC6SV'!$A$1:$G$1,FALSE))</f>
        <v>7000</v>
      </c>
      <c r="BD10" s="48">
        <f t="shared" ref="BD10:BD17" ca="1" si="10">ROUND(BC10*IF(AJ10=1,0.95,IF(AJ10=2,1,IF(AJ10,1.05,0))),0)</f>
        <v>7000</v>
      </c>
      <c r="BE10" s="11">
        <f t="shared" ref="BE10:BE17" ca="1" si="11">ROUND(IFERROR(INDIRECT(ADDRESS(MATCH($A10,$AE:$AE,0),MATCH($BC$1,$1:$1,0))),0),0)</f>
        <v>0</v>
      </c>
      <c r="BF10" s="11">
        <f t="shared" ref="BF10:BF17" ca="1" si="12">ROUND(IFERROR(INDIRECT(ADDRESS(MATCH($A10,$AE:$AE,0),10)),INDIRECT(ADDRESS(MATCH($A10,$A:$A,0),10))),0)</f>
        <v>1</v>
      </c>
      <c r="BG10" s="16">
        <f ca="1">IF($BE10&lt;=0,ROUND(BK10*0.5,0), ROUND($BE10*S10*AA10*J10*AY10*0.8*[1]ステータス!$B$2,0))</f>
        <v>1645</v>
      </c>
      <c r="BH10" s="16">
        <f ca="1">IF($BE10&lt;=0,ROUND(BL10*0.5,0), ROUND($BE10*T10*AB10*K10*AZ10*0.8*[1]ステータス!$C$2,0))</f>
        <v>1061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918</v>
      </c>
      <c r="BK10" s="11">
        <f ca="1">ROUND(BD10*S10*AA10*J10*AY10*[1]ステータス!$B$2,0)</f>
        <v>3290</v>
      </c>
      <c r="BL10" s="11">
        <f ca="1">ROUND(BD10*T10*AB10*K10*AZ10*[1]ステータス!$C$2,0)</f>
        <v>2121</v>
      </c>
      <c r="BM10" s="11">
        <f ca="1">ROUND(BD10*U10*AC10*L10*BA10*[1]ステータス!$D$2,0)</f>
        <v>0</v>
      </c>
      <c r="BN10" s="11">
        <f ca="1">ROUND(BD10*V10*AD10*M10*BB10*[1]ステータス!$E$2,0)</f>
        <v>1835</v>
      </c>
      <c r="BO10" s="10">
        <v>0</v>
      </c>
      <c r="BP10" s="10">
        <v>1</v>
      </c>
      <c r="BQ10" s="10" t="s">
        <v>47</v>
      </c>
      <c r="BR10" s="10">
        <f ca="1">VLOOKUP(H10,ghosts_label!$A$2:$B$19,2,FALSE)</f>
        <v>700</v>
      </c>
    </row>
    <row r="11" spans="1:70" ht="26" customHeight="1" x14ac:dyDescent="0.15">
      <c r="A11" s="12">
        <v>729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暗厄の双刀 井伊直虎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ガチャ:戦国01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女性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red</v>
      </c>
      <c r="J11" s="11">
        <f ca="1">VLOOKUP(I11,[1]属性!$A:$E,2,FALSE)</f>
        <v>1</v>
      </c>
      <c r="K11" s="11">
        <f ca="1">VLOOKUP(I11,[1]属性!$A:$E,3,FALSE)</f>
        <v>1.02</v>
      </c>
      <c r="L11" s="11">
        <f ca="1">VLOOKUP(I11,[1]属性!$A:$E,4,FALSE)</f>
        <v>1</v>
      </c>
      <c r="M11" s="11">
        <f ca="1">VLOOKUP(I11,[1]属性!$A:$E,5,FALSE)</f>
        <v>0.98</v>
      </c>
      <c r="N11" s="11">
        <f ca="1">INDEX(コスト!$A$1:$I$20,MATCH(H11,コスト!$A$1:$A$20,FALSE),MATCH(G11,コスト!$A$1:$I$1,FALSE))</f>
        <v>30</v>
      </c>
      <c r="O11" s="11">
        <f ca="1">INDEX(レベル!$A$1:$I$21,MATCH(H11,レベル!$A$1:$A$21,FALSE),MATCH(G11,レベル!$A$1:$I$1,FALSE))</f>
        <v>80</v>
      </c>
      <c r="P11" s="48">
        <f t="shared" ca="1" si="5"/>
        <v>75</v>
      </c>
      <c r="Q11" s="57" t="str">
        <f ca="1">VLOOKUP($A11,OFFSET([1]characters!$A$1,0,0,COUNTA([1]characters!$A:$A),MATCH(Q$1,[1]characters!$1:$1,0)-MATCH($A$1,[1]characters!$1:$1,0)+1),MATCH(Q$1,[1]characters!$1:$1,0)-MATCH($A$1,[1]characters!$1:$1,0)+1,FALSE)</f>
        <v>balance</v>
      </c>
      <c r="R11" s="5" t="str">
        <f ca="1">VLOOKUP(Q11,[1]character_type_i18n!$A:$H,3,FALSE)</f>
        <v>バランスタイプ</v>
      </c>
      <c r="S11" s="11">
        <f ca="1">VLOOKUP(Q11,[1]character_type_i18n!$A:$H,4,FALSE)</f>
        <v>1</v>
      </c>
      <c r="T11" s="11">
        <f ca="1">VLOOKUP(Q11,[1]character_type_i18n!$A:$H,5,FALSE)</f>
        <v>1</v>
      </c>
      <c r="U11" s="11">
        <f ca="1">VLOOKUP(Q11,[1]character_type_i18n!$A:$H,6,FALSE)</f>
        <v>1</v>
      </c>
      <c r="V11" s="11">
        <f ca="1">VLOOKUP(Q11,[1]character_type_i18n!$A:$H,7,FALSE)</f>
        <v>1</v>
      </c>
      <c r="W11" s="57" t="str">
        <f ca="1">VLOOKUP($A11,OFFSET([1]characters!$A$1,0,0,COUNTA([1]characters!$A:$A),MATCH(W$1,[1]characters!$1:$1,0)-MATCH($A$1,[1]characters!$1:$1,0)+1),MATCH(W$1,[1]characters!$1:$1,0)-MATCH($A$1,[1]characters!$1:$1,0)+1,FALSE)</f>
        <v>human</v>
      </c>
      <c r="X11" s="5" t="str">
        <f ca="1">VLOOKUP(W11,[1]character_tribe_i18n!$A:$H,3,FALSE)</f>
        <v>ヒューマン</v>
      </c>
      <c r="Y11" s="57" t="str">
        <f ca="1">VLOOKUP($A11,OFFSET([1]characters!$A$1,0,0,COUNTA([1]characters!$A:$A),MATCH(Y$1,[1]characters!$1:$1,0)-MATCH($A$1,[1]characters!$1:$1,0)+1),MATCH(Y$1,[1]characters!$1:$1,0)-MATCH($A$1,[1]characters!$1:$1,0)+1,FALSE)</f>
        <v>samurai</v>
      </c>
      <c r="Z11" s="5" t="str">
        <f ca="1">VLOOKUP(Y11,[1]character_tribe_i18n!$A:$H,3,FALSE)</f>
        <v>サムライ</v>
      </c>
      <c r="AA11" s="11">
        <f ca="1">VLOOKUP(W11,[1]character_tribe_i18n!$A:$H,4,FALSE)</f>
        <v>0.94</v>
      </c>
      <c r="AB11" s="11">
        <f ca="1">VLOOKUP(W11,[1]character_tribe_i18n!$A:$H,5,FALSE)</f>
        <v>0.99</v>
      </c>
      <c r="AC11" s="11">
        <f ca="1">VLOOKUP(W11,[1]character_tribe_i18n!$A:$H,6,FALSE)</f>
        <v>1</v>
      </c>
      <c r="AD11" s="11">
        <f ca="1">VLOOKUP(W11,[1]character_tribe_i18n!$A:$H,7,FALSE)</f>
        <v>1.07</v>
      </c>
      <c r="AE11" s="9" t="s">
        <v>183</v>
      </c>
      <c r="AF11" s="6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8"/>
        <v>728</v>
      </c>
      <c r="AH11" s="62" t="str">
        <f ca="1">VLOOKUP($AG11,OFFSET([1]characters!$A$1,0,0,COUNTA([1]characters!$A:$A),MATCH(AH$1,[1]characters!$1:$1,0)-MATCH($A$1,[1]characters!$1:$1,0)+1),MATCH(AH$1,[1]characters!$1:$1,0)-MATCH($A$1,[1]characters!$1:$1,0)+1,FALSE)</f>
        <v>井伊直虎</v>
      </c>
      <c r="AI11" s="11" t="str">
        <f>IF(AE11="NULL","NULL",VLOOKUP(G11,ビット!$A$2:$B$7,2))</f>
        <v>NULL</v>
      </c>
      <c r="AJ11" s="6">
        <v>2</v>
      </c>
      <c r="AK11" s="7" t="str">
        <f t="shared" si="9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6400</v>
      </c>
      <c r="AN11" s="17">
        <f ca="1">VLOOKUP(G11,ビット!$G$2:$H$7,2)</f>
        <v>900</v>
      </c>
      <c r="AO11" s="45"/>
      <c r="AP11" s="67">
        <f t="shared" si="6"/>
        <v>729</v>
      </c>
      <c r="AQ11" s="57" t="str">
        <f ca="1">VLOOKUP($AP11,OFFSET(unit_skills!$A$1,0,0,COUNTA(unit_skills!$A:$A),MATCH(AQ$1,unit_skills!$1:$1,0)-MATCH($AP$1,unit_skills!$1:$1,0)+1),MATCH(AQ$1,unit_skills!$1:$1,0)-MATCH($AP$1,unit_skills!$1:$1,0)+1,FALSE)</f>
        <v>双刀連舞奥義・孤虎</v>
      </c>
      <c r="AR11" s="57" t="str">
        <f ca="1">VLOOKUP($AP11,OFFSET(unit_skills!$A$1,0,0,COUNTA(unit_skills!$A:$A),MATCH(AR$1,unit_skills!$1:$1,0)-MATCH($AP$1,unit_skills!$1:$1,0)+1),MATCH(AR$1,unit_skills!$1:$1,0)-MATCH($AP$1,unit_skills!$1:$1,0)+1,FALSE)</f>
        <v>緑パネルを赤パネルに変換し、3ターンヒューマンの攻撃力を特大UP</v>
      </c>
      <c r="AS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f t="shared" si="7"/>
        <v>729</v>
      </c>
      <c r="AU11" s="57" t="str">
        <f ca="1">VLOOKUP($AT11,OFFSET(crash_skills!$A$1,0,0,COUNTA(crash_skills!$A:$A),MATCH(AU$1,crash_skills!$1:$1,0)-MATCH($AT$1,crash_skills!$1:$1,0)+1),MATCH(AU$1,crash_skills!$1:$1,0)-MATCH($AT$1,crash_skills!$1:$1,0)+1,FALSE)</f>
        <v>ダブル・トラジディ</v>
      </c>
      <c r="AV11" s="57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</v>
      </c>
      <c r="AW11" s="57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8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8">
        <v>1</v>
      </c>
      <c r="AZ11" s="68">
        <v>1</v>
      </c>
      <c r="BA11" s="68">
        <v>0</v>
      </c>
      <c r="BB11" s="68">
        <v>1</v>
      </c>
      <c r="BC11" s="11">
        <f ca="1">INDEX('RC6SV'!$A$1:$G$20,MATCH(H11,'RC6SV'!$A$1:$A$20,FALSE),MATCH(G11,'RC6SV'!$A$1:$G$1,FALSE))</f>
        <v>9000</v>
      </c>
      <c r="BD11" s="48">
        <f t="shared" ca="1" si="10"/>
        <v>9000</v>
      </c>
      <c r="BE11" s="11">
        <f t="shared" ca="1" si="11"/>
        <v>7000</v>
      </c>
      <c r="BF11" s="11">
        <f t="shared" ca="1" si="12"/>
        <v>1</v>
      </c>
      <c r="BG11" s="16">
        <f ca="1">IF($BE11&lt;=0,ROUND(BK11*0.5,0), ROUND($BE11*S11*AA11*J11*AY11*0.8*[1]ステータス!$B$2,0))</f>
        <v>2632</v>
      </c>
      <c r="BH11" s="16">
        <f ca="1">IF($BE11&lt;=0,ROUND(BL11*0.5,0), ROUND($BE11*T11*AB11*K11*AZ11*0.8*[1]ステータス!$C$2,0))</f>
        <v>1696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1468</v>
      </c>
      <c r="BK11" s="11">
        <f ca="1">ROUND(BD11*S11*AA11*J11*AY11*[1]ステータス!$B$2,0)</f>
        <v>4230</v>
      </c>
      <c r="BL11" s="11">
        <f ca="1">ROUND(BD11*T11*AB11*K11*AZ11*[1]ステータス!$C$2,0)</f>
        <v>2726</v>
      </c>
      <c r="BM11" s="11">
        <f ca="1">ROUND(BD11*U11*AC11*L11*BA11*[1]ステータス!$D$2,0)</f>
        <v>0</v>
      </c>
      <c r="BN11" s="11">
        <f ca="1">ROUND(BD11*V11*AD11*M11*BB11*[1]ステータス!$E$2,0)</f>
        <v>2359</v>
      </c>
      <c r="BO11" s="10">
        <v>0</v>
      </c>
      <c r="BP11" s="10">
        <v>1</v>
      </c>
      <c r="BQ11" s="10" t="s">
        <v>47</v>
      </c>
      <c r="BR11" s="10">
        <f ca="1">VLOOKUP(H11,ghosts_label!$A$2:$B$19,2,FALSE)</f>
        <v>700</v>
      </c>
    </row>
    <row r="12" spans="1:70" ht="26" customHeight="1" x14ac:dyDescent="0.15">
      <c r="A12" s="12">
        <v>730</v>
      </c>
      <c r="B12" s="57" t="str">
        <f ca="1">VLOOKUP($A12,OFFSET([1]characters!$A$1,0,0,COUNTA([1]characters!$A:$A),MATCH(B$1,[1]characters!$1:$1,0)-MATCH($A$1,[1]characters!$1:$1,0)+1),MATCH(B$1,[1]characters!$1:$1,0)-MATCH($A$1,[1]characters!$1:$1,0)+1,FALSE)</f>
        <v>ガラシャ</v>
      </c>
      <c r="C12" s="57" t="str">
        <f ca="1">VLOOKUP($A12,OFFSET([1]characters!$A$1,0,0,COUNTA([1]characters!$A:$A),MATCH(C$1,[1]characters!$1:$1,0)-MATCH($A$1,[1]characters!$1:$1,0)+1),MATCH(C$1,[1]characters!$1:$1,0)-MATCH($A$1,[1]characters!$1:$1,0)+1,FALSE)</f>
        <v>ガチャ:戦国01</v>
      </c>
      <c r="D12" s="57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7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7" t="str">
        <f ca="1">VLOOKUP($A12,OFFSET([1]characters!$A$1,0,0,COUNTA([1]characters!$A:$A),MATCH(F$1,[1]characters!$1:$1,0)-MATCH($A$1,[1]characters!$1:$1,0)+1),MATCH(F$1,[1]characters!$1:$1,0)-MATCH($A$1,[1]characters!$1:$1,0)+1,FALSE)</f>
        <v>女性</v>
      </c>
      <c r="G12" s="57">
        <f ca="1">VLOOKUP($A12,OFFSET([1]characters!$A$1,0,0,COUNTA([1]characters!$A:$A),MATCH(G$1,[1]characters!$1:$1,0)-MATCH($A$1,[1]characters!$1:$1,0)+1),MATCH(G$1,[1]characters!$1:$1,0)-MATCH($A$1,[1]characters!$1:$1,0)+1,FALSE)</f>
        <v>4</v>
      </c>
      <c r="H12" s="57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7" t="str">
        <f ca="1">VLOOKUP($A12,OFFSET([1]characters!$A$1,0,0,COUNTA([1]characters!$A:$A),MATCH(I$1,[1]characters!$1:$1,0)-MATCH($A$1,[1]characters!$1:$1,0)+1),MATCH(I$1,[1]characters!$1:$1,0)-MATCH($A$1,[1]characters!$1:$1,0)+1,FALSE)</f>
        <v>green</v>
      </c>
      <c r="J12" s="11">
        <f ca="1">VLOOKUP(I12,[1]属性!$A:$E,2,FALSE)</f>
        <v>1.02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</v>
      </c>
      <c r="N12" s="11">
        <f ca="1">INDEX(コスト!$A$1:$I$20,MATCH(H12,コスト!$A$1:$A$20,FALSE),MATCH(G12,コスト!$A$1:$I$1,FALSE))</f>
        <v>20</v>
      </c>
      <c r="O12" s="11">
        <f ca="1">INDEX(レベル!$A$1:$I$21,MATCH(H12,レベル!$A$1:$A$21,FALSE),MATCH(G12,レベル!$A$1:$I$1,FALSE))</f>
        <v>60</v>
      </c>
      <c r="P12" s="48">
        <f t="shared" ca="1" si="5"/>
        <v>60</v>
      </c>
      <c r="Q12" s="57" t="str">
        <f ca="1">VLOOKUP($A12,OFFSET([1]characters!$A$1,0,0,COUNTA([1]characters!$A:$A),MATCH(Q$1,[1]characters!$1:$1,0)-MATCH($A$1,[1]characters!$1:$1,0)+1),MATCH(Q$1,[1]characters!$1:$1,0)-MATCH($A$1,[1]characters!$1:$1,0)+1,FALSE)</f>
        <v>heal</v>
      </c>
      <c r="R12" s="5" t="str">
        <f ca="1">VLOOKUP(Q12,[1]character_type_i18n!$A:$H,3,FALSE)</f>
        <v>回復タイプ</v>
      </c>
      <c r="S12" s="11">
        <f ca="1">VLOOKUP(Q12,[1]character_type_i18n!$A:$H,4,FALSE)</f>
        <v>0.8</v>
      </c>
      <c r="T12" s="11">
        <f ca="1">VLOOKUP(Q12,[1]character_type_i18n!$A:$H,5,FALSE)</f>
        <v>0.78</v>
      </c>
      <c r="U12" s="11">
        <f ca="1">VLOOKUP(Q12,[1]character_type_i18n!$A:$H,6,FALSE)</f>
        <v>1</v>
      </c>
      <c r="V12" s="11">
        <f ca="1">VLOOKUP(Q12,[1]character_type_i18n!$A:$H,7,FALSE)</f>
        <v>1.42</v>
      </c>
      <c r="W12" s="57" t="str">
        <f ca="1">VLOOKUP($A12,OFFSET([1]characters!$A$1,0,0,COUNTA([1]characters!$A:$A),MATCH(W$1,[1]characters!$1:$1,0)-MATCH($A$1,[1]characters!$1:$1,0)+1),MATCH(W$1,[1]characters!$1:$1,0)-MATCH($A$1,[1]characters!$1:$1,0)+1,FALSE)</f>
        <v>human</v>
      </c>
      <c r="X12" s="5" t="str">
        <f ca="1">VLOOKUP(W12,[1]character_tribe_i18n!$A:$H,3,FALSE)</f>
        <v>ヒューマン</v>
      </c>
      <c r="Y12" s="57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0.94</v>
      </c>
      <c r="AB12" s="11">
        <f ca="1">VLOOKUP(W12,[1]character_tribe_i18n!$A:$H,5,FALSE)</f>
        <v>0.99</v>
      </c>
      <c r="AC12" s="11">
        <f ca="1">VLOOKUP(W12,[1]character_tribe_i18n!$A:$H,6,FALSE)</f>
        <v>1</v>
      </c>
      <c r="AD12" s="11">
        <f ca="1">VLOOKUP(W12,[1]character_tribe_i18n!$A:$H,7,FALSE)</f>
        <v>1.07</v>
      </c>
      <c r="AE12" s="9">
        <v>731</v>
      </c>
      <c r="AF12" s="62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敬虔なる追銃 ガラシャ</v>
      </c>
      <c r="AG12" s="5">
        <f t="shared" ca="1" si="8"/>
        <v>730</v>
      </c>
      <c r="AH12" s="62" t="str">
        <f ca="1">VLOOKUP($AG12,OFFSET([1]characters!$A$1,0,0,COUNTA([1]characters!$A:$A),MATCH(AH$1,[1]characters!$1:$1,0)-MATCH($A$1,[1]characters!$1:$1,0)+1),MATCH(AH$1,[1]characters!$1:$1,0)-MATCH($A$1,[1]characters!$1:$1,0)+1,FALSE)</f>
        <v>ガラシャ</v>
      </c>
      <c r="AI12" s="11">
        <f ca="1">IF(AE12="NULL","NULL",VLOOKUP(G12,ビット!$A$2:$B$7,2))</f>
        <v>50000</v>
      </c>
      <c r="AJ12" s="6">
        <v>2</v>
      </c>
      <c r="AK12" s="7" t="str">
        <f t="shared" si="9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3400</v>
      </c>
      <c r="AN12" s="17">
        <f ca="1">VLOOKUP(G12,ビット!$G$2:$H$7,2)</f>
        <v>600</v>
      </c>
      <c r="AO12" s="45"/>
      <c r="AP12" s="67">
        <f t="shared" si="6"/>
        <v>730</v>
      </c>
      <c r="AQ12" s="57" t="str">
        <f ca="1">VLOOKUP($AP12,OFFSET(unit_skills!$A$1,0,0,COUNTA(unit_skills!$A:$A),MATCH(AQ$1,unit_skills!$1:$1,0)-MATCH($AP$1,unit_skills!$1:$1,0)+1),MATCH(AQ$1,unit_skills!$1:$1,0)-MATCH($AP$1,unit_skills!$1:$1,0)+1,FALSE)</f>
        <v>エリ・エリ・レマ・サバクタニ</v>
      </c>
      <c r="AR12" s="57" t="str">
        <f ca="1">VLOOKUP($AP12,OFFSET(unit_skills!$A$1,0,0,COUNTA(unit_skills!$A:$A),MATCH(AR$1,unit_skills!$1:$1,0)-MATCH($AP$1,unit_skills!$1:$1,0)+1),MATCH(AR$1,unit_skills!$1:$1,0)-MATCH($AP$1,unit_skills!$1:$1,0)+1,FALSE)</f>
        <v>ハートパネルを緑パネルに変換し、3ターンHP小回復</v>
      </c>
      <c r="AS12" s="57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1">
        <f t="shared" si="7"/>
        <v>730</v>
      </c>
      <c r="AU12" s="57" t="str">
        <f ca="1">VLOOKUP($AT12,OFFSET(crash_skills!$A$1,0,0,COUNTA(crash_skills!$A:$A),MATCH(AU$1,crash_skills!$1:$1,0)-MATCH($AT$1,crash_skills!$1:$1,0)+1),MATCH(AU$1,crash_skills!$1:$1,0)-MATCH($AT$1,crash_skills!$1:$1,0)+1,FALSE)</f>
        <v>プロミスド・ブレッシング</v>
      </c>
      <c r="AV12" s="57" t="str">
        <f ca="1">VLOOKUP($AT12,OFFSET(crash_skills!$A$1,0,0,COUNTA(crash_skills!$A:$A),MATCH(AV$1,crash_skills!$1:$1,0)-MATCH($AT$1,crash_skills!$1:$1,0)+1),MATCH(AV$1,crash_skills!$1:$1,0)-MATCH($AT$1,crash_skills!$1:$1,0)+1,FALSE)</f>
        <v>ヒューマンに効果大のダメージ_x000D_+HP小回復</v>
      </c>
      <c r="AW12" s="57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8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8">
        <v>1</v>
      </c>
      <c r="AZ12" s="68">
        <v>1</v>
      </c>
      <c r="BA12" s="68">
        <v>0</v>
      </c>
      <c r="BB12" s="68">
        <v>1</v>
      </c>
      <c r="BC12" s="11">
        <f ca="1">INDEX('RC6SV'!$A$1:$G$20,MATCH(H12,'RC6SV'!$A$1:$A$20,FALSE),MATCH(G12,'RC6SV'!$A$1:$G$1,FALSE))</f>
        <v>7000</v>
      </c>
      <c r="BD12" s="48">
        <f t="shared" ca="1" si="10"/>
        <v>7000</v>
      </c>
      <c r="BE12" s="11">
        <f t="shared" ca="1" si="11"/>
        <v>0</v>
      </c>
      <c r="BF12" s="11">
        <f t="shared" ca="1" si="12"/>
        <v>1</v>
      </c>
      <c r="BG12" s="16">
        <f ca="1">IF($BE12&lt;=0,ROUND(BK12*0.5,0), ROUND($BE12*S12*AA12*J12*AY12*0.8*[1]ステータス!$B$2,0))</f>
        <v>1343</v>
      </c>
      <c r="BH12" s="16">
        <f ca="1">IF($BE12&lt;=0,ROUND(BL12*0.5,0), ROUND($BE12*T12*AB12*K12*AZ12*0.8*[1]ステータス!$C$2,0))</f>
        <v>795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1330</v>
      </c>
      <c r="BK12" s="11">
        <f ca="1">ROUND(BD12*S12*AA12*J12*AY12*[1]ステータス!$B$2,0)</f>
        <v>2685</v>
      </c>
      <c r="BL12" s="11">
        <f ca="1">ROUND(BD12*T12*AB12*K12*AZ12*[1]ステータス!$C$2,0)</f>
        <v>1589</v>
      </c>
      <c r="BM12" s="11">
        <f ca="1">ROUND(BD12*U12*AC12*L12*BA12*[1]ステータス!$D$2,0)</f>
        <v>0</v>
      </c>
      <c r="BN12" s="11">
        <f ca="1">ROUND(BD12*V12*AD12*M12*BB12*[1]ステータス!$E$2,0)</f>
        <v>2659</v>
      </c>
      <c r="BO12" s="10">
        <v>0</v>
      </c>
      <c r="BP12" s="10">
        <v>1</v>
      </c>
      <c r="BQ12" s="10" t="s">
        <v>47</v>
      </c>
      <c r="BR12" s="10">
        <f ca="1">VLOOKUP(H12,ghosts_label!$A$2:$B$19,2,FALSE)</f>
        <v>700</v>
      </c>
    </row>
    <row r="13" spans="1:70" ht="26" customHeight="1" x14ac:dyDescent="0.15">
      <c r="A13" s="12">
        <v>731</v>
      </c>
      <c r="B13" s="57" t="str">
        <f ca="1">VLOOKUP($A13,OFFSET([1]characters!$A$1,0,0,COUNTA([1]characters!$A:$A),MATCH(B$1,[1]characters!$1:$1,0)-MATCH($A$1,[1]characters!$1:$1,0)+1),MATCH(B$1,[1]characters!$1:$1,0)-MATCH($A$1,[1]characters!$1:$1,0)+1,FALSE)</f>
        <v>敬虔なる追銃 ガラシャ</v>
      </c>
      <c r="C13" s="57" t="str">
        <f ca="1">VLOOKUP($A13,OFFSET([1]characters!$A$1,0,0,COUNTA([1]characters!$A:$A),MATCH(C$1,[1]characters!$1:$1,0)-MATCH($A$1,[1]characters!$1:$1,0)+1),MATCH(C$1,[1]characters!$1:$1,0)-MATCH($A$1,[1]characters!$1:$1,0)+1,FALSE)</f>
        <v>ガチャ:戦国01</v>
      </c>
      <c r="D13" s="57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7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7" t="str">
        <f ca="1">VLOOKUP($A13,OFFSET([1]characters!$A$1,0,0,COUNTA([1]characters!$A:$A),MATCH(F$1,[1]characters!$1:$1,0)-MATCH($A$1,[1]characters!$1:$1,0)+1),MATCH(F$1,[1]characters!$1:$1,0)-MATCH($A$1,[1]characters!$1:$1,0)+1,FALSE)</f>
        <v>女性</v>
      </c>
      <c r="G13" s="57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7" t="str">
        <f ca="1">VLOOKUP($A13,OFFSET([1]characters!$A$1,0,0,COUNTA([1]characters!$A:$A),MATCH(H$1,[1]characters!$1:$1,0)-MATCH($A$1,[1]characters!$1:$1,0)+1),MATCH(H$1,[1]characters!$1:$1,0)-MATCH($A$1,[1]characters!$1:$1,0)+1,FALSE)</f>
        <v>PremiumS</v>
      </c>
      <c r="I13" s="57" t="str">
        <f ca="1">VLOOKUP($A13,OFFSET([1]characters!$A$1,0,0,COUNTA([1]characters!$A:$A),MATCH(I$1,[1]characters!$1:$1,0)-MATCH($A$1,[1]characters!$1:$1,0)+1),MATCH(I$1,[1]characters!$1:$1,0)-MATCH($A$1,[1]characters!$1:$1,0)+1,FALSE)</f>
        <v>green</v>
      </c>
      <c r="J13" s="11">
        <f ca="1">VLOOKUP(I13,[1]属性!$A:$E,2,FALSE)</f>
        <v>1.02</v>
      </c>
      <c r="K13" s="11">
        <f ca="1">VLOOKUP(I13,[1]属性!$A:$E,3,FALSE)</f>
        <v>0.98</v>
      </c>
      <c r="L13" s="11">
        <f ca="1">VLOOKUP(I13,[1]属性!$A:$E,4,FALSE)</f>
        <v>1</v>
      </c>
      <c r="M13" s="11">
        <f ca="1">VLOOKUP(I13,[1]属性!$A:$E,5,FALSE)</f>
        <v>1</v>
      </c>
      <c r="N13" s="11">
        <f ca="1">INDEX(コスト!$A$1:$I$20,MATCH(H13,コスト!$A$1:$A$20,FALSE),MATCH(G13,コスト!$A$1:$I$1,FALSE))</f>
        <v>30</v>
      </c>
      <c r="O13" s="11">
        <f ca="1">INDEX(レベル!$A$1:$I$21,MATCH(H13,レベル!$A$1:$A$21,FALSE),MATCH(G13,レベル!$A$1:$I$1,FALSE))</f>
        <v>80</v>
      </c>
      <c r="P13" s="48">
        <f t="shared" ca="1" si="5"/>
        <v>75</v>
      </c>
      <c r="Q13" s="57" t="str">
        <f ca="1">VLOOKUP($A13,OFFSET([1]characters!$A$1,0,0,COUNTA([1]characters!$A:$A),MATCH(Q$1,[1]characters!$1:$1,0)-MATCH($A$1,[1]characters!$1:$1,0)+1),MATCH(Q$1,[1]characters!$1:$1,0)-MATCH($A$1,[1]characters!$1:$1,0)+1,FALSE)</f>
        <v>heal</v>
      </c>
      <c r="R13" s="5" t="str">
        <f ca="1">VLOOKUP(Q13,[1]character_type_i18n!$A:$H,3,FALSE)</f>
        <v>回復タイプ</v>
      </c>
      <c r="S13" s="11">
        <f ca="1">VLOOKUP(Q13,[1]character_type_i18n!$A:$H,4,FALSE)</f>
        <v>0.8</v>
      </c>
      <c r="T13" s="11">
        <f ca="1">VLOOKUP(Q13,[1]character_type_i18n!$A:$H,5,FALSE)</f>
        <v>0.78</v>
      </c>
      <c r="U13" s="11">
        <f ca="1">VLOOKUP(Q13,[1]character_type_i18n!$A:$H,6,FALSE)</f>
        <v>1</v>
      </c>
      <c r="V13" s="11">
        <f ca="1">VLOOKUP(Q13,[1]character_type_i18n!$A:$H,7,FALSE)</f>
        <v>1.42</v>
      </c>
      <c r="W13" s="57" t="str">
        <f ca="1">VLOOKUP($A13,OFFSET([1]characters!$A$1,0,0,COUNTA([1]characters!$A:$A),MATCH(W$1,[1]characters!$1:$1,0)-MATCH($A$1,[1]characters!$1:$1,0)+1),MATCH(W$1,[1]characters!$1:$1,0)-MATCH($A$1,[1]characters!$1:$1,0)+1,FALSE)</f>
        <v>human</v>
      </c>
      <c r="X13" s="5" t="str">
        <f ca="1">VLOOKUP(W13,[1]character_tribe_i18n!$A:$H,3,FALSE)</f>
        <v>ヒューマン</v>
      </c>
      <c r="Y13" s="57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0.94</v>
      </c>
      <c r="AB13" s="11">
        <f ca="1">VLOOKUP(W13,[1]character_tribe_i18n!$A:$H,5,FALSE)</f>
        <v>0.99</v>
      </c>
      <c r="AC13" s="11">
        <f ca="1">VLOOKUP(W13,[1]character_tribe_i18n!$A:$H,6,FALSE)</f>
        <v>1</v>
      </c>
      <c r="AD13" s="11">
        <f ca="1">VLOOKUP(W13,[1]character_tribe_i18n!$A:$H,7,FALSE)</f>
        <v>1.07</v>
      </c>
      <c r="AE13" s="9" t="s">
        <v>183</v>
      </c>
      <c r="AF13" s="62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8"/>
        <v>730</v>
      </c>
      <c r="AH13" s="62" t="str">
        <f ca="1">VLOOKUP($AG13,OFFSET([1]characters!$A$1,0,0,COUNTA([1]characters!$A:$A),MATCH(AH$1,[1]characters!$1:$1,0)-MATCH($A$1,[1]characters!$1:$1,0)+1),MATCH(AH$1,[1]characters!$1:$1,0)-MATCH($A$1,[1]characters!$1:$1,0)+1,FALSE)</f>
        <v>ガラシャ</v>
      </c>
      <c r="AI13" s="11" t="str">
        <f>IF(AE13="NULL","NULL",VLOOKUP(G13,ビット!$A$2:$B$7,2))</f>
        <v>NULL</v>
      </c>
      <c r="AJ13" s="6">
        <v>2</v>
      </c>
      <c r="AK13" s="7" t="str">
        <f t="shared" si="9"/>
        <v>普通</v>
      </c>
      <c r="AL13" s="11" t="str">
        <f ca="1">INDEX(経験値!$A$1:$I$20,MATCH(H13,経験値!$A$1:$A$20,FALSE),MATCH(G13,経験値!$A$1:$I$1,FALSE))</f>
        <v>required_exp_200</v>
      </c>
      <c r="AM13" s="8">
        <f ca="1">VLOOKUP(G13,経験値!$A$27:$B$31,2)</f>
        <v>6400</v>
      </c>
      <c r="AN13" s="17">
        <f ca="1">VLOOKUP(G13,ビット!$G$2:$H$7,2)</f>
        <v>900</v>
      </c>
      <c r="AO13" s="45"/>
      <c r="AP13" s="67">
        <f t="shared" si="6"/>
        <v>731</v>
      </c>
      <c r="AQ13" s="57" t="str">
        <f ca="1">VLOOKUP($AP13,OFFSET(unit_skills!$A$1,0,0,COUNTA(unit_skills!$A:$A),MATCH(AQ$1,unit_skills!$1:$1,0)-MATCH($AP$1,unit_skills!$1:$1,0)+1),MATCH(AQ$1,unit_skills!$1:$1,0)-MATCH($AP$1,unit_skills!$1:$1,0)+1,FALSE)</f>
        <v>エリ・エリ・レマ・サバクタニ</v>
      </c>
      <c r="AR13" s="57" t="str">
        <f ca="1">VLOOKUP($AP13,OFFSET(unit_skills!$A$1,0,0,COUNTA(unit_skills!$A:$A),MATCH(AR$1,unit_skills!$1:$1,0)-MATCH($AP$1,unit_skills!$1:$1,0)+1),MATCH(AR$1,unit_skills!$1:$1,0)-MATCH($AP$1,unit_skills!$1:$1,0)+1,FALSE)</f>
        <v>ハートパネルを緑パネルに変換し、3ターンHP小回復</v>
      </c>
      <c r="AS13" s="57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1">
        <f t="shared" si="7"/>
        <v>731</v>
      </c>
      <c r="AU13" s="57" t="str">
        <f ca="1">VLOOKUP($AT13,OFFSET(crash_skills!$A$1,0,0,COUNTA(crash_skills!$A:$A),MATCH(AU$1,crash_skills!$1:$1,0)-MATCH($AT$1,crash_skills!$1:$1,0)+1),MATCH(AU$1,crash_skills!$1:$1,0)-MATCH($AT$1,crash_skills!$1:$1,0)+1,FALSE)</f>
        <v>プロミスド・ブレッシング</v>
      </c>
      <c r="AV13" s="57" t="str">
        <f ca="1">VLOOKUP($AT13,OFFSET(crash_skills!$A$1,0,0,COUNTA(crash_skills!$A:$A),MATCH(AV$1,crash_skills!$1:$1,0)-MATCH($AT$1,crash_skills!$1:$1,0)+1),MATCH(AV$1,crash_skills!$1:$1,0)-MATCH($AT$1,crash_skills!$1:$1,0)+1,FALSE)</f>
        <v>ヒューマンに効果特大のダメージ_x000D_+HP小回復</v>
      </c>
      <c r="AW13" s="57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8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8">
        <v>1</v>
      </c>
      <c r="AZ13" s="68">
        <v>1</v>
      </c>
      <c r="BA13" s="68">
        <v>0</v>
      </c>
      <c r="BB13" s="68">
        <v>1</v>
      </c>
      <c r="BC13" s="11">
        <f ca="1">INDEX('RC6SV'!$A$1:$G$20,MATCH(H13,'RC6SV'!$A$1:$A$20,FALSE),MATCH(G13,'RC6SV'!$A$1:$G$1,FALSE))</f>
        <v>9000</v>
      </c>
      <c r="BD13" s="48">
        <f t="shared" ca="1" si="10"/>
        <v>9000</v>
      </c>
      <c r="BE13" s="11">
        <f t="shared" ca="1" si="11"/>
        <v>7000</v>
      </c>
      <c r="BF13" s="11">
        <f t="shared" ca="1" si="12"/>
        <v>1</v>
      </c>
      <c r="BG13" s="16">
        <f ca="1">IF($BE13&lt;=0,ROUND(BK13*0.5,0), ROUND($BE13*S13*AA13*J13*AY13*0.8*[1]ステータス!$B$2,0))</f>
        <v>2148</v>
      </c>
      <c r="BH13" s="16">
        <f ca="1">IF($BE13&lt;=0,ROUND(BL13*0.5,0), ROUND($BE13*T13*AB13*K13*AZ13*0.8*[1]ステータス!$C$2,0))</f>
        <v>1271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2127</v>
      </c>
      <c r="BK13" s="11">
        <f ca="1">ROUND(BD13*S13*AA13*J13*AY13*[1]ステータス!$B$2,0)</f>
        <v>3452</v>
      </c>
      <c r="BL13" s="11">
        <f ca="1">ROUND(BD13*T13*AB13*K13*AZ13*[1]ステータス!$C$2,0)</f>
        <v>2043</v>
      </c>
      <c r="BM13" s="11">
        <f ca="1">ROUND(BD13*U13*AC13*L13*BA13*[1]ステータス!$D$2,0)</f>
        <v>0</v>
      </c>
      <c r="BN13" s="11">
        <f ca="1">ROUND(BD13*V13*AD13*M13*BB13*[1]ステータス!$E$2,0)</f>
        <v>3419</v>
      </c>
      <c r="BO13" s="10">
        <v>0</v>
      </c>
      <c r="BP13" s="10">
        <v>1</v>
      </c>
      <c r="BQ13" s="10" t="s">
        <v>47</v>
      </c>
      <c r="BR13" s="10">
        <f ca="1">VLOOKUP(H13,ghosts_label!$A$2:$B$19,2,FALSE)</f>
        <v>700</v>
      </c>
    </row>
    <row r="14" spans="1:70" ht="26" customHeight="1" x14ac:dyDescent="0.15">
      <c r="A14" s="12">
        <v>732</v>
      </c>
      <c r="B14" s="57" t="str">
        <f ca="1">VLOOKUP($A14,OFFSET([1]characters!$A$1,0,0,COUNTA([1]characters!$A:$A),MATCH(B$1,[1]characters!$1:$1,0)-MATCH($A$1,[1]characters!$1:$1,0)+1),MATCH(B$1,[1]characters!$1:$1,0)-MATCH($A$1,[1]characters!$1:$1,0)+1,FALSE)</f>
        <v>上杉謙信</v>
      </c>
      <c r="C14" s="57" t="str">
        <f ca="1">VLOOKUP($A14,OFFSET([1]characters!$A$1,0,0,COUNTA([1]characters!$A:$A),MATCH(C$1,[1]characters!$1:$1,0)-MATCH($A$1,[1]characters!$1:$1,0)+1),MATCH(C$1,[1]characters!$1:$1,0)-MATCH($A$1,[1]characters!$1:$1,0)+1,FALSE)</f>
        <v>ガチャ:戦国01</v>
      </c>
      <c r="D14" s="57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7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7" t="str">
        <f ca="1">VLOOKUP($A14,OFFSET([1]characters!$A$1,0,0,COUNTA([1]characters!$A:$A),MATCH(F$1,[1]characters!$1:$1,0)-MATCH($A$1,[1]characters!$1:$1,0)+1),MATCH(F$1,[1]characters!$1:$1,0)-MATCH($A$1,[1]characters!$1:$1,0)+1,FALSE)</f>
        <v>女性</v>
      </c>
      <c r="G14" s="57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7" t="str">
        <f ca="1">VLOOKUP($A14,OFFSET([1]characters!$A$1,0,0,COUNTA([1]characters!$A:$A),MATCH(H$1,[1]characters!$1:$1,0)-MATCH($A$1,[1]characters!$1:$1,0)+1),MATCH(H$1,[1]characters!$1:$1,0)-MATCH($A$1,[1]characters!$1:$1,0)+1,FALSE)</f>
        <v>PremiumSS</v>
      </c>
      <c r="I14" s="57" t="str">
        <f ca="1">VLOOKUP($A14,OFFSET([1]characters!$A$1,0,0,COUNTA([1]characters!$A:$A),MATCH(I$1,[1]characters!$1:$1,0)-MATCH($A$1,[1]characters!$1:$1,0)+1),MATCH(I$1,[1]characters!$1:$1,0)-MATCH($A$1,[1]characters!$1:$1,0)+1,FALSE)</f>
        <v>blue</v>
      </c>
      <c r="J14" s="11">
        <f ca="1">VLOOKUP(I14,[1]属性!$A:$E,2,FALSE)</f>
        <v>1</v>
      </c>
      <c r="K14" s="11">
        <f ca="1">VLOOKUP(I14,[1]属性!$A:$E,3,FALSE)</f>
        <v>0.98</v>
      </c>
      <c r="L14" s="11">
        <f ca="1">VLOOKUP(I14,[1]属性!$A:$E,4,FALSE)</f>
        <v>1</v>
      </c>
      <c r="M14" s="11">
        <f ca="1">VLOOKUP(I14,[1]属性!$A:$E,5,FALSE)</f>
        <v>1.02</v>
      </c>
      <c r="N14" s="11">
        <f ca="1">INDEX(コスト!$A$1:$I$20,MATCH(H14,コスト!$A$1:$A$20,FALSE),MATCH(G14,コスト!$A$1:$I$1,FALSE))</f>
        <v>35</v>
      </c>
      <c r="O14" s="11">
        <f ca="1">INDEX(レベル!$A$1:$I$21,MATCH(H14,レベル!$A$1:$A$21,FALSE),MATCH(G14,レベル!$A$1:$I$1,FALSE))</f>
        <v>80</v>
      </c>
      <c r="P14" s="48">
        <f t="shared" ca="1" si="5"/>
        <v>75</v>
      </c>
      <c r="Q14" s="57" t="str">
        <f ca="1">VLOOKUP($A14,OFFSET([1]characters!$A$1,0,0,COUNTA([1]characters!$A:$A),MATCH(Q$1,[1]characters!$1:$1,0)-MATCH($A$1,[1]characters!$1:$1,0)+1),MATCH(Q$1,[1]characters!$1:$1,0)-MATCH($A$1,[1]characters!$1:$1,0)+1,FALSE)</f>
        <v>attack</v>
      </c>
      <c r="R14" s="5" t="str">
        <f ca="1">VLOOKUP(Q14,[1]character_type_i18n!$A:$H,3,FALSE)</f>
        <v>攻撃タイプ</v>
      </c>
      <c r="S14" s="11">
        <f ca="1">VLOOKUP(Q14,[1]character_type_i18n!$A:$H,4,FALSE)</f>
        <v>1</v>
      </c>
      <c r="T14" s="11">
        <f ca="1">VLOOKUP(Q14,[1]character_type_i18n!$A:$H,5,FALSE)</f>
        <v>1.33</v>
      </c>
      <c r="U14" s="11">
        <f ca="1">VLOOKUP(Q14,[1]character_type_i18n!$A:$H,6,FALSE)</f>
        <v>1</v>
      </c>
      <c r="V14" s="11">
        <f ca="1">VLOOKUP(Q14,[1]character_type_i18n!$A:$H,7,FALSE)</f>
        <v>0.67</v>
      </c>
      <c r="W14" s="57" t="str">
        <f ca="1">VLOOKUP($A14,OFFSET([1]characters!$A$1,0,0,COUNTA([1]characters!$A:$A),MATCH(W$1,[1]characters!$1:$1,0)-MATCH($A$1,[1]characters!$1:$1,0)+1),MATCH(W$1,[1]characters!$1:$1,0)-MATCH($A$1,[1]characters!$1:$1,0)+1,FALSE)</f>
        <v>human</v>
      </c>
      <c r="X14" s="5" t="str">
        <f ca="1">VLOOKUP(W14,[1]character_tribe_i18n!$A:$H,3,FALSE)</f>
        <v>ヒューマン</v>
      </c>
      <c r="Y14" s="57" t="str">
        <f ca="1">VLOOKUP($A14,OFFSET([1]characters!$A$1,0,0,COUNTA([1]characters!$A:$A),MATCH(Y$1,[1]characters!$1:$1,0)-MATCH($A$1,[1]characters!$1:$1,0)+1),MATCH(Y$1,[1]characters!$1:$1,0)-MATCH($A$1,[1]characters!$1:$1,0)+1,FALSE)</f>
        <v>samurai</v>
      </c>
      <c r="Z14" s="5" t="str">
        <f ca="1">VLOOKUP(Y14,[1]character_tribe_i18n!$A:$H,3,FALSE)</f>
        <v>サムライ</v>
      </c>
      <c r="AA14" s="11">
        <f ca="1">VLOOKUP(W14,[1]character_tribe_i18n!$A:$H,4,FALSE)</f>
        <v>0.94</v>
      </c>
      <c r="AB14" s="11">
        <f ca="1">VLOOKUP(W14,[1]character_tribe_i18n!$A:$H,5,FALSE)</f>
        <v>0.99</v>
      </c>
      <c r="AC14" s="11">
        <f ca="1">VLOOKUP(W14,[1]character_tribe_i18n!$A:$H,6,FALSE)</f>
        <v>1</v>
      </c>
      <c r="AD14" s="11">
        <f ca="1">VLOOKUP(W14,[1]character_tribe_i18n!$A:$H,7,FALSE)</f>
        <v>1.07</v>
      </c>
      <c r="AE14" s="9">
        <v>733</v>
      </c>
      <c r="AF14" s="62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>夢幻の千刃 上杉謙信</v>
      </c>
      <c r="AG14" s="5">
        <f t="shared" ca="1" si="8"/>
        <v>732</v>
      </c>
      <c r="AH14" s="62" t="str">
        <f ca="1">VLOOKUP($AG14,OFFSET([1]characters!$A$1,0,0,COUNTA([1]characters!$A:$A),MATCH(AH$1,[1]characters!$1:$1,0)-MATCH($A$1,[1]characters!$1:$1,0)+1),MATCH(AH$1,[1]characters!$1:$1,0)-MATCH($A$1,[1]characters!$1:$1,0)+1,FALSE)</f>
        <v>上杉謙信</v>
      </c>
      <c r="AI14" s="11">
        <f ca="1">IF(AE14="NULL","NULL",VLOOKUP(G14,ビット!$A$2:$B$7,2))</f>
        <v>200000</v>
      </c>
      <c r="AJ14" s="6">
        <v>2</v>
      </c>
      <c r="AK14" s="7" t="str">
        <f t="shared" si="9"/>
        <v>普通</v>
      </c>
      <c r="AL14" s="11" t="str">
        <f ca="1">INDEX(経験値!$A$1:$I$20,MATCH(H14,経験値!$A$1:$A$20,FALSE),MATCH(G14,経験値!$A$1:$I$1,FALSE))</f>
        <v>required_exp_200</v>
      </c>
      <c r="AM14" s="8">
        <f ca="1">VLOOKUP(G14,経験値!$A$27:$B$31,2)</f>
        <v>6400</v>
      </c>
      <c r="AN14" s="17">
        <f ca="1">VLOOKUP(G14,ビット!$G$2:$H$7,2)</f>
        <v>900</v>
      </c>
      <c r="AO14" s="45"/>
      <c r="AP14" s="67">
        <f t="shared" si="6"/>
        <v>732</v>
      </c>
      <c r="AQ14" s="57" t="str">
        <f ca="1">VLOOKUP($AP14,OFFSET(unit_skills!$A$1,0,0,COUNTA(unit_skills!$A:$A),MATCH(AQ$1,unit_skills!$1:$1,0)-MATCH($AP$1,unit_skills!$1:$1,0)+1),MATCH(AQ$1,unit_skills!$1:$1,0)-MATCH($AP$1,unit_skills!$1:$1,0)+1,FALSE)</f>
        <v>フェイスフル・アノニマス</v>
      </c>
      <c r="AR14" s="57" t="str">
        <f ca="1">VLOOKUP($AP14,OFFSET(unit_skills!$A$1,0,0,COUNTA(unit_skills!$A:$A),MATCH(AR$1,unit_skills!$1:$1,0)-MATCH($AP$1,unit_skills!$1:$1,0)+1),MATCH(AR$1,unit_skills!$1:$1,0)-MATCH($AP$1,unit_skills!$1:$1,0)+1,FALSE)</f>
        <v>3ターン青パネル出現率大UP+青属性の攻撃力を特大UP</v>
      </c>
      <c r="AS14" s="57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1">
        <f t="shared" si="7"/>
        <v>732</v>
      </c>
      <c r="AU14" s="57" t="str">
        <f ca="1">VLOOKUP($AT14,OFFSET(crash_skills!$A$1,0,0,COUNTA(crash_skills!$A:$A),MATCH(AU$1,crash_skills!$1:$1,0)-MATCH($AT$1,crash_skills!$1:$1,0)+1),MATCH(AU$1,crash_skills!$1:$1,0)-MATCH($AT$1,crash_skills!$1:$1,0)+1,FALSE)</f>
        <v>ビシャモン・アタック</v>
      </c>
      <c r="AV14" s="57" t="str">
        <f ca="1">VLOOKUP($AT14,OFFSET(crash_skills!$A$1,0,0,COUNTA(crash_skills!$A:$A),MATCH(AV$1,crash_skills!$1:$1,0)-MATCH($AT$1,crash_skills!$1:$1,0)+1),MATCH(AV$1,crash_skills!$1:$1,0)-MATCH($AT$1,crash_skills!$1:$1,0)+1,FALSE)</f>
        <v>1体に大ダメージ</v>
      </c>
      <c r="AW14" s="57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8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8">
        <v>1.07</v>
      </c>
      <c r="AZ14" s="68">
        <v>1.04</v>
      </c>
      <c r="BA14" s="68">
        <v>0</v>
      </c>
      <c r="BB14" s="68">
        <v>0.89</v>
      </c>
      <c r="BC14" s="11">
        <f ca="1">INDEX('RC6SV'!$A$1:$G$20,MATCH(H14,'RC6SV'!$A$1:$A$20,FALSE),MATCH(G14,'RC6SV'!$A$1:$G$1,FALSE))</f>
        <v>9500</v>
      </c>
      <c r="BD14" s="48">
        <f t="shared" ca="1" si="10"/>
        <v>9500</v>
      </c>
      <c r="BE14" s="11">
        <f t="shared" ca="1" si="11"/>
        <v>0</v>
      </c>
      <c r="BF14" s="11">
        <f t="shared" ca="1" si="12"/>
        <v>1</v>
      </c>
      <c r="BG14" s="16">
        <f ca="1">IF($BE14&lt;=0,ROUND(BK14*0.5,0), ROUND($BE14*S14*AA14*J14*AY14*0.8*[1]ステータス!$B$2,0))</f>
        <v>2389</v>
      </c>
      <c r="BH14" s="16">
        <f ca="1">IF($BE14&lt;=0,ROUND(BL14*0.5,0), ROUND($BE14*T14*AB14*K14*AZ14*0.8*[1]ステータス!$C$2,0))</f>
        <v>1913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773</v>
      </c>
      <c r="BK14" s="11">
        <f ca="1">ROUND(BD14*S14*AA14*J14*AY14*[1]ステータス!$B$2,0)</f>
        <v>4778</v>
      </c>
      <c r="BL14" s="11">
        <f ca="1">ROUND(BD14*T14*AB14*K14*AZ14*[1]ステータス!$C$2,0)</f>
        <v>3825</v>
      </c>
      <c r="BM14" s="11">
        <f ca="1">ROUND(BD14*U14*AC14*L14*BA14*[1]ステータス!$D$2,0)</f>
        <v>0</v>
      </c>
      <c r="BN14" s="11">
        <f ca="1">ROUND(BD14*V14*AD14*M14*BB14*[1]ステータス!$E$2,0)</f>
        <v>1546</v>
      </c>
      <c r="BO14" s="10">
        <v>0</v>
      </c>
      <c r="BP14" s="10">
        <v>1</v>
      </c>
      <c r="BQ14" s="10" t="s">
        <v>47</v>
      </c>
      <c r="BR14" s="10">
        <f ca="1">VLOOKUP(H14,ghosts_label!$A$2:$B$19,2,FALSE)</f>
        <v>5500</v>
      </c>
    </row>
    <row r="15" spans="1:70" ht="26" customHeight="1" x14ac:dyDescent="0.15">
      <c r="A15" s="12">
        <v>733</v>
      </c>
      <c r="B15" s="57" t="str">
        <f ca="1">VLOOKUP($A15,OFFSET([1]characters!$A$1,0,0,COUNTA([1]characters!$A:$A),MATCH(B$1,[1]characters!$1:$1,0)-MATCH($A$1,[1]characters!$1:$1,0)+1),MATCH(B$1,[1]characters!$1:$1,0)-MATCH($A$1,[1]characters!$1:$1,0)+1,FALSE)</f>
        <v>夢幻の千刃 上杉謙信</v>
      </c>
      <c r="C15" s="57" t="str">
        <f ca="1">VLOOKUP($A15,OFFSET([1]characters!$A$1,0,0,COUNTA([1]characters!$A:$A),MATCH(C$1,[1]characters!$1:$1,0)-MATCH($A$1,[1]characters!$1:$1,0)+1),MATCH(C$1,[1]characters!$1:$1,0)-MATCH($A$1,[1]characters!$1:$1,0)+1,FALSE)</f>
        <v>ガチャ:戦国01</v>
      </c>
      <c r="D15" s="57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7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7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7">
        <f ca="1">VLOOKUP($A15,OFFSET([1]characters!$A$1,0,0,COUNTA([1]characters!$A:$A),MATCH(G$1,[1]characters!$1:$1,0)-MATCH($A$1,[1]characters!$1:$1,0)+1),MATCH(G$1,[1]characters!$1:$1,0)-MATCH($A$1,[1]characters!$1:$1,0)+1,FALSE)</f>
        <v>6</v>
      </c>
      <c r="H15" s="57" t="str">
        <f ca="1">VLOOKUP($A15,OFFSET([1]characters!$A$1,0,0,COUNTA([1]characters!$A:$A),MATCH(H$1,[1]characters!$1:$1,0)-MATCH($A$1,[1]characters!$1:$1,0)+1),MATCH(H$1,[1]characters!$1:$1,0)-MATCH($A$1,[1]characters!$1:$1,0)+1,FALSE)</f>
        <v>PremiumSS</v>
      </c>
      <c r="I15" s="57" t="str">
        <f ca="1">VLOOKUP($A15,OFFSET([1]characters!$A$1,0,0,COUNTA([1]characters!$A:$A),MATCH(I$1,[1]characters!$1:$1,0)-MATCH($A$1,[1]characters!$1:$1,0)+1),MATCH(I$1,[1]characters!$1:$1,0)-MATCH($A$1,[1]characters!$1:$1,0)+1,FALSE)</f>
        <v>blue</v>
      </c>
      <c r="J15" s="11">
        <f ca="1">VLOOKUP(I15,[1]属性!$A:$E,2,FALSE)</f>
        <v>1</v>
      </c>
      <c r="K15" s="11">
        <f ca="1">VLOOKUP(I15,[1]属性!$A:$E,3,FALSE)</f>
        <v>0.98</v>
      </c>
      <c r="L15" s="11">
        <f ca="1">VLOOKUP(I15,[1]属性!$A:$E,4,FALSE)</f>
        <v>1</v>
      </c>
      <c r="M15" s="11">
        <f ca="1">VLOOKUP(I15,[1]属性!$A:$E,5,FALSE)</f>
        <v>1.02</v>
      </c>
      <c r="N15" s="11">
        <f ca="1">INDEX(コスト!$A$1:$I$20,MATCH(H15,コスト!$A$1:$A$20,FALSE),MATCH(G15,コスト!$A$1:$I$1,FALSE))</f>
        <v>50</v>
      </c>
      <c r="O15" s="11">
        <f ca="1">INDEX(レベル!$A$1:$I$21,MATCH(H15,レベル!$A$1:$A$21,FALSE),MATCH(G15,レベル!$A$1:$I$1,FALSE))</f>
        <v>99</v>
      </c>
      <c r="P15" s="48">
        <f t="shared" ca="1" si="5"/>
        <v>99</v>
      </c>
      <c r="Q15" s="57" t="str">
        <f ca="1">VLOOKUP($A15,OFFSET([1]characters!$A$1,0,0,COUNTA([1]characters!$A:$A),MATCH(Q$1,[1]characters!$1:$1,0)-MATCH($A$1,[1]characters!$1:$1,0)+1),MATCH(Q$1,[1]characters!$1:$1,0)-MATCH($A$1,[1]characters!$1:$1,0)+1,FALSE)</f>
        <v>attack</v>
      </c>
      <c r="R15" s="5" t="str">
        <f ca="1">VLOOKUP(Q15,[1]character_type_i18n!$A:$H,3,FALSE)</f>
        <v>攻撃タイプ</v>
      </c>
      <c r="S15" s="11">
        <f ca="1">VLOOKUP(Q15,[1]character_type_i18n!$A:$H,4,FALSE)</f>
        <v>1</v>
      </c>
      <c r="T15" s="11">
        <f ca="1">VLOOKUP(Q15,[1]character_type_i18n!$A:$H,5,FALSE)</f>
        <v>1.33</v>
      </c>
      <c r="U15" s="11">
        <f ca="1">VLOOKUP(Q15,[1]character_type_i18n!$A:$H,6,FALSE)</f>
        <v>1</v>
      </c>
      <c r="V15" s="11">
        <f ca="1">VLOOKUP(Q15,[1]character_type_i18n!$A:$H,7,FALSE)</f>
        <v>0.67</v>
      </c>
      <c r="W15" s="57" t="str">
        <f ca="1">VLOOKUP($A15,OFFSET([1]characters!$A$1,0,0,COUNTA([1]characters!$A:$A),MATCH(W$1,[1]characters!$1:$1,0)-MATCH($A$1,[1]characters!$1:$1,0)+1),MATCH(W$1,[1]characters!$1:$1,0)-MATCH($A$1,[1]characters!$1:$1,0)+1,FALSE)</f>
        <v>human</v>
      </c>
      <c r="X15" s="5" t="str">
        <f ca="1">VLOOKUP(W15,[1]character_tribe_i18n!$A:$H,3,FALSE)</f>
        <v>ヒューマン</v>
      </c>
      <c r="Y15" s="57" t="str">
        <f ca="1">VLOOKUP($A15,OFFSET([1]characters!$A$1,0,0,COUNTA([1]characters!$A:$A),MATCH(Y$1,[1]characters!$1:$1,0)-MATCH($A$1,[1]characters!$1:$1,0)+1),MATCH(Y$1,[1]characters!$1:$1,0)-MATCH($A$1,[1]characters!$1:$1,0)+1,FALSE)</f>
        <v>samurai</v>
      </c>
      <c r="Z15" s="5" t="str">
        <f ca="1">VLOOKUP(Y15,[1]character_tribe_i18n!$A:$H,3,FALSE)</f>
        <v>サムライ</v>
      </c>
      <c r="AA15" s="11">
        <f ca="1">VLOOKUP(W15,[1]character_tribe_i18n!$A:$H,4,FALSE)</f>
        <v>0.94</v>
      </c>
      <c r="AB15" s="11">
        <f ca="1">VLOOKUP(W15,[1]character_tribe_i18n!$A:$H,5,FALSE)</f>
        <v>0.99</v>
      </c>
      <c r="AC15" s="11">
        <f ca="1">VLOOKUP(W15,[1]character_tribe_i18n!$A:$H,6,FALSE)</f>
        <v>1</v>
      </c>
      <c r="AD15" s="11">
        <f ca="1">VLOOKUP(W15,[1]character_tribe_i18n!$A:$H,7,FALSE)</f>
        <v>1.07</v>
      </c>
      <c r="AE15" s="9" t="s">
        <v>183</v>
      </c>
      <c r="AF15" s="62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8"/>
        <v>732</v>
      </c>
      <c r="AH15" s="62" t="str">
        <f ca="1">VLOOKUP($AG15,OFFSET([1]characters!$A$1,0,0,COUNTA([1]characters!$A:$A),MATCH(AH$1,[1]characters!$1:$1,0)-MATCH($A$1,[1]characters!$1:$1,0)+1),MATCH(AH$1,[1]characters!$1:$1,0)-MATCH($A$1,[1]characters!$1:$1,0)+1,FALSE)</f>
        <v>上杉謙信</v>
      </c>
      <c r="AI15" s="11" t="str">
        <f>IF(AE15="NULL","NULL",VLOOKUP(G15,ビット!$A$2:$B$7,2))</f>
        <v>NULL</v>
      </c>
      <c r="AJ15" s="6">
        <v>2</v>
      </c>
      <c r="AK15" s="7" t="str">
        <f t="shared" si="9"/>
        <v>普通</v>
      </c>
      <c r="AL15" s="11" t="str">
        <f ca="1">INDEX(経験値!$A$1:$I$20,MATCH(H15,経験値!$A$1:$A$20,FALSE),MATCH(G15,経験値!$A$1:$I$1,FALSE))</f>
        <v>required_exp_250</v>
      </c>
      <c r="AM15" s="8">
        <f ca="1">VLOOKUP(G15,経験値!$A$27:$B$31,2)</f>
        <v>6400</v>
      </c>
      <c r="AN15" s="17">
        <f ca="1">VLOOKUP(G15,ビット!$G$2:$H$7,2)</f>
        <v>900</v>
      </c>
      <c r="AO15" s="45"/>
      <c r="AP15" s="67">
        <f t="shared" si="6"/>
        <v>733</v>
      </c>
      <c r="AQ15" s="57" t="str">
        <f ca="1">VLOOKUP($AP15,OFFSET(unit_skills!$A$1,0,0,COUNTA(unit_skills!$A:$A),MATCH(AQ$1,unit_skills!$1:$1,0)-MATCH($AP$1,unit_skills!$1:$1,0)+1),MATCH(AQ$1,unit_skills!$1:$1,0)-MATCH($AP$1,unit_skills!$1:$1,0)+1,FALSE)</f>
        <v>インクレディブル・アノニマス</v>
      </c>
      <c r="AR15" s="57" t="str">
        <f ca="1">VLOOKUP($AP15,OFFSET(unit_skills!$A$1,0,0,COUNTA(unit_skills!$A:$A),MATCH(AR$1,unit_skills!$1:$1,0)-MATCH($AP$1,unit_skills!$1:$1,0)+1),MATCH(AR$1,unit_skills!$1:$1,0)-MATCH($AP$1,unit_skills!$1:$1,0)+1,FALSE)</f>
        <v>黄パネルを青ボムパネルに変換+3ターンの間、青パネルの出現率を大UPし、青属性ユニットの攻撃力を超大UP</v>
      </c>
      <c r="AS15" s="57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1">
        <f t="shared" si="7"/>
        <v>733</v>
      </c>
      <c r="AU15" s="57" t="str">
        <f ca="1">VLOOKUP($AT15,OFFSET(crash_skills!$A$1,0,0,COUNTA(crash_skills!$A:$A),MATCH(AU$1,crash_skills!$1:$1,0)-MATCH($AT$1,crash_skills!$1:$1,0)+1),MATCH(AU$1,crash_skills!$1:$1,0)-MATCH($AT$1,crash_skills!$1:$1,0)+1,FALSE)</f>
        <v>ビシャモン・オンスロート</v>
      </c>
      <c r="AV15" s="57" t="str">
        <f ca="1">VLOOKUP($AT15,OFFSET(crash_skills!$A$1,0,0,COUNTA(crash_skills!$A:$A),MATCH(AV$1,crash_skills!$1:$1,0)-MATCH($AT$1,crash_skills!$1:$1,0)+1),MATCH(AV$1,crash_skills!$1:$1,0)-MATCH($AT$1,crash_skills!$1:$1,0)+1,FALSE)</f>
        <v>1体に特大ダメージ</v>
      </c>
      <c r="AW15" s="57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8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8">
        <v>1.07</v>
      </c>
      <c r="AZ15" s="68">
        <v>1.04</v>
      </c>
      <c r="BA15" s="68">
        <v>0</v>
      </c>
      <c r="BB15" s="68">
        <v>0.89</v>
      </c>
      <c r="BC15" s="11">
        <f ca="1">INDEX('RC6SV'!$A$1:$G$20,MATCH(H15,'RC6SV'!$A$1:$A$20,FALSE),MATCH(G15,'RC6SV'!$A$1:$G$1,FALSE))</f>
        <v>13000</v>
      </c>
      <c r="BD15" s="48">
        <f t="shared" ca="1" si="10"/>
        <v>13000</v>
      </c>
      <c r="BE15" s="11">
        <f t="shared" ca="1" si="11"/>
        <v>9500</v>
      </c>
      <c r="BF15" s="11">
        <f t="shared" ca="1" si="12"/>
        <v>1</v>
      </c>
      <c r="BG15" s="16">
        <f ca="1">IF($BE15&lt;=0,ROUND(BK15*0.5,0), ROUND($BE15*S15*AA15*J15*AY15*0.8*[1]ステータス!$B$2,0))</f>
        <v>3822</v>
      </c>
      <c r="BH15" s="16">
        <f ca="1">IF($BE15&lt;=0,ROUND(BL15*0.5,0), ROUND($BE15*T15*AB15*K15*AZ15*0.8*[1]ステータス!$C$2,0))</f>
        <v>3060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1237</v>
      </c>
      <c r="BK15" s="11">
        <f ca="1">ROUND(BD15*S15*AA15*J15*AY15*[1]ステータス!$B$2,0)</f>
        <v>6538</v>
      </c>
      <c r="BL15" s="11">
        <f ca="1">ROUND(BD15*T15*AB15*K15*AZ15*[1]ステータス!$C$2,0)</f>
        <v>5234</v>
      </c>
      <c r="BM15" s="11">
        <f ca="1">ROUND(BD15*U15*AC15*L15*BA15*[1]ステータス!$D$2,0)</f>
        <v>0</v>
      </c>
      <c r="BN15" s="11">
        <f ca="1">ROUND(BD15*V15*AD15*M15*BB15*[1]ステータス!$E$2,0)</f>
        <v>2115</v>
      </c>
      <c r="BO15" s="10">
        <v>0</v>
      </c>
      <c r="BP15" s="10">
        <v>1</v>
      </c>
      <c r="BQ15" s="10" t="s">
        <v>47</v>
      </c>
      <c r="BR15" s="10">
        <f ca="1">VLOOKUP(H15,ghosts_label!$A$2:$B$19,2,FALSE)</f>
        <v>5500</v>
      </c>
    </row>
    <row r="16" spans="1:70" ht="26" customHeight="1" x14ac:dyDescent="0.15">
      <c r="A16" s="12">
        <v>734</v>
      </c>
      <c r="B16" s="57" t="str">
        <f ca="1">VLOOKUP($A16,OFFSET([1]characters!$A$1,0,0,COUNTA([1]characters!$A:$A),MATCH(B$1,[1]characters!$1:$1,0)-MATCH($A$1,[1]characters!$1:$1,0)+1),MATCH(B$1,[1]characters!$1:$1,0)-MATCH($A$1,[1]characters!$1:$1,0)+1,FALSE)</f>
        <v>伊達政宗</v>
      </c>
      <c r="C16" s="57" t="str">
        <f ca="1">VLOOKUP($A16,OFFSET([1]characters!$A$1,0,0,COUNTA([1]characters!$A:$A),MATCH(C$1,[1]characters!$1:$1,0)-MATCH($A$1,[1]characters!$1:$1,0)+1),MATCH(C$1,[1]characters!$1:$1,0)-MATCH($A$1,[1]characters!$1:$1,0)+1,FALSE)</f>
        <v>ガチャ:戦国01</v>
      </c>
      <c r="D16" s="57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7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7" t="str">
        <f ca="1">VLOOKUP($A16,OFFSET([1]characters!$A$1,0,0,COUNTA([1]characters!$A:$A),MATCH(F$1,[1]characters!$1:$1,0)-MATCH($A$1,[1]characters!$1:$1,0)+1),MATCH(F$1,[1]characters!$1:$1,0)-MATCH($A$1,[1]characters!$1:$1,0)+1,FALSE)</f>
        <v>男性</v>
      </c>
      <c r="G16" s="57">
        <f ca="1">VLOOKUP($A16,OFFSET([1]characters!$A$1,0,0,COUNTA([1]characters!$A:$A),MATCH(G$1,[1]characters!$1:$1,0)-MATCH($A$1,[1]characters!$1:$1,0)+1),MATCH(G$1,[1]characters!$1:$1,0)-MATCH($A$1,[1]characters!$1:$1,0)+1,FALSE)</f>
        <v>5</v>
      </c>
      <c r="H16" s="57" t="str">
        <f ca="1">VLOOKUP($A16,OFFSET([1]characters!$A$1,0,0,COUNTA([1]characters!$A:$A),MATCH(H$1,[1]characters!$1:$1,0)-MATCH($A$1,[1]characters!$1:$1,0)+1),MATCH(H$1,[1]characters!$1:$1,0)-MATCH($A$1,[1]characters!$1:$1,0)+1,FALSE)</f>
        <v>PremiumSS</v>
      </c>
      <c r="I16" s="57" t="str">
        <f ca="1">VLOOKUP($A16,OFFSET([1]characters!$A$1,0,0,COUNTA([1]characters!$A:$A),MATCH(I$1,[1]characters!$1:$1,0)-MATCH($A$1,[1]characters!$1:$1,0)+1),MATCH(I$1,[1]characters!$1:$1,0)-MATCH($A$1,[1]characters!$1:$1,0)+1,FALSE)</f>
        <v>yellow</v>
      </c>
      <c r="J16" s="11">
        <f ca="1">VLOOKUP(I16,[1]属性!$A:$E,2,FALSE)</f>
        <v>0.98</v>
      </c>
      <c r="K16" s="11">
        <f ca="1">VLOOKUP(I16,[1]属性!$A:$E,3,FALSE)</f>
        <v>1.01</v>
      </c>
      <c r="L16" s="11">
        <f ca="1">VLOOKUP(I16,[1]属性!$A:$E,4,FALSE)</f>
        <v>1</v>
      </c>
      <c r="M16" s="11">
        <f ca="1">VLOOKUP(I16,[1]属性!$A:$E,5,FALSE)</f>
        <v>1.01</v>
      </c>
      <c r="N16" s="11">
        <f ca="1">INDEX(コスト!$A$1:$I$20,MATCH(H16,コスト!$A$1:$A$20,FALSE),MATCH(G16,コスト!$A$1:$I$1,FALSE))</f>
        <v>35</v>
      </c>
      <c r="O16" s="11">
        <f ca="1">INDEX(レベル!$A$1:$I$21,MATCH(H16,レベル!$A$1:$A$21,FALSE),MATCH(G16,レベル!$A$1:$I$1,FALSE))</f>
        <v>80</v>
      </c>
      <c r="P16" s="48">
        <f t="shared" ca="1" si="5"/>
        <v>75</v>
      </c>
      <c r="Q16" s="57" t="str">
        <f ca="1">VLOOKUP($A16,OFFSET([1]characters!$A$1,0,0,COUNTA([1]characters!$A:$A),MATCH(Q$1,[1]characters!$1:$1,0)-MATCH($A$1,[1]characters!$1:$1,0)+1),MATCH(Q$1,[1]characters!$1:$1,0)-MATCH($A$1,[1]characters!$1:$1,0)+1,FALSE)</f>
        <v>balance</v>
      </c>
      <c r="R16" s="5" t="str">
        <f ca="1">VLOOKUP(Q16,[1]character_type_i18n!$A:$H,3,FALSE)</f>
        <v>バランスタイプ</v>
      </c>
      <c r="S16" s="11">
        <f ca="1">VLOOKUP(Q16,[1]character_type_i18n!$A:$H,4,FALSE)</f>
        <v>1</v>
      </c>
      <c r="T16" s="11">
        <f ca="1">VLOOKUP(Q16,[1]character_type_i18n!$A:$H,5,FALSE)</f>
        <v>1</v>
      </c>
      <c r="U16" s="11">
        <f ca="1">VLOOKUP(Q16,[1]character_type_i18n!$A:$H,6,FALSE)</f>
        <v>1</v>
      </c>
      <c r="V16" s="11">
        <f ca="1">VLOOKUP(Q16,[1]character_type_i18n!$A:$H,7,FALSE)</f>
        <v>1</v>
      </c>
      <c r="W16" s="57" t="str">
        <f ca="1">VLOOKUP($A16,OFFSET([1]characters!$A$1,0,0,COUNTA([1]characters!$A:$A),MATCH(W$1,[1]characters!$1:$1,0)-MATCH($A$1,[1]characters!$1:$1,0)+1),MATCH(W$1,[1]characters!$1:$1,0)-MATCH($A$1,[1]characters!$1:$1,0)+1,FALSE)</f>
        <v>human</v>
      </c>
      <c r="X16" s="5" t="str">
        <f ca="1">VLOOKUP(W16,[1]character_tribe_i18n!$A:$H,3,FALSE)</f>
        <v>ヒューマン</v>
      </c>
      <c r="Y16" s="57" t="str">
        <f ca="1">VLOOKUP($A16,OFFSET([1]characters!$A$1,0,0,COUNTA([1]characters!$A:$A),MATCH(Y$1,[1]characters!$1:$1,0)-MATCH($A$1,[1]characters!$1:$1,0)+1),MATCH(Y$1,[1]characters!$1:$1,0)-MATCH($A$1,[1]characters!$1:$1,0)+1,FALSE)</f>
        <v>samurai</v>
      </c>
      <c r="Z16" s="5" t="str">
        <f ca="1">VLOOKUP(Y16,[1]character_tribe_i18n!$A:$H,3,FALSE)</f>
        <v>サムライ</v>
      </c>
      <c r="AA16" s="11">
        <f ca="1">VLOOKUP(W16,[1]character_tribe_i18n!$A:$H,4,FALSE)</f>
        <v>0.94</v>
      </c>
      <c r="AB16" s="11">
        <f ca="1">VLOOKUP(W16,[1]character_tribe_i18n!$A:$H,5,FALSE)</f>
        <v>0.99</v>
      </c>
      <c r="AC16" s="11">
        <f ca="1">VLOOKUP(W16,[1]character_tribe_i18n!$A:$H,6,FALSE)</f>
        <v>1</v>
      </c>
      <c r="AD16" s="11">
        <f ca="1">VLOOKUP(W16,[1]character_tribe_i18n!$A:$H,7,FALSE)</f>
        <v>1.07</v>
      </c>
      <c r="AE16" s="9">
        <v>735</v>
      </c>
      <c r="AF16" s="62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>破天の隻眼 伊達政宗</v>
      </c>
      <c r="AG16" s="5">
        <f t="shared" ca="1" si="8"/>
        <v>734</v>
      </c>
      <c r="AH16" s="62" t="str">
        <f ca="1">VLOOKUP($AG16,OFFSET([1]characters!$A$1,0,0,COUNTA([1]characters!$A:$A),MATCH(AH$1,[1]characters!$1:$1,0)-MATCH($A$1,[1]characters!$1:$1,0)+1),MATCH(AH$1,[1]characters!$1:$1,0)-MATCH($A$1,[1]characters!$1:$1,0)+1,FALSE)</f>
        <v>伊達政宗</v>
      </c>
      <c r="AI16" s="11">
        <f ca="1">IF(AE16="NULL","NULL",VLOOKUP(G16,ビット!$A$2:$B$7,2))</f>
        <v>200000</v>
      </c>
      <c r="AJ16" s="6">
        <v>2</v>
      </c>
      <c r="AK16" s="7" t="str">
        <f t="shared" si="9"/>
        <v>普通</v>
      </c>
      <c r="AL16" s="11" t="str">
        <f ca="1">INDEX(経験値!$A$1:$I$20,MATCH(H16,経験値!$A$1:$A$20,FALSE),MATCH(G16,経験値!$A$1:$I$1,FALSE))</f>
        <v>required_exp_200</v>
      </c>
      <c r="AM16" s="8">
        <f ca="1">VLOOKUP(G16,経験値!$A$27:$B$31,2)</f>
        <v>6400</v>
      </c>
      <c r="AN16" s="17">
        <f ca="1">VLOOKUP(G16,ビット!$G$2:$H$7,2)</f>
        <v>900</v>
      </c>
      <c r="AO16" s="45"/>
      <c r="AP16" s="67">
        <f t="shared" si="6"/>
        <v>734</v>
      </c>
      <c r="AQ16" s="57" t="e">
        <f ca="1">VLOOKUP($AP16,OFFSET(unit_skills!$A$1,0,0,COUNTA(unit_skills!$A:$A),MATCH(AQ$1,unit_skills!$1:$1,0)-MATCH($AP$1,unit_skills!$1:$1,0)+1),MATCH(AQ$1,unit_skills!$1:$1,0)-MATCH($AP$1,unit_skills!$1:$1,0)+1,FALSE)</f>
        <v>#N/A</v>
      </c>
      <c r="AR16" s="57" t="e">
        <f ca="1">VLOOKUP($AP16,OFFSET(unit_skills!$A$1,0,0,COUNTA(unit_skills!$A:$A),MATCH(AR$1,unit_skills!$1:$1,0)-MATCH($AP$1,unit_skills!$1:$1,0)+1),MATCH(AR$1,unit_skills!$1:$1,0)-MATCH($AP$1,unit_skills!$1:$1,0)+1,FALSE)</f>
        <v>#N/A</v>
      </c>
      <c r="AS16" s="57" t="e">
        <f ca="1">VLOOKUP($AP16,OFFSET(unit_skills!$A$1,0,0,COUNTA(unit_skills!$A:$A),MATCH(AS$1,unit_skills!$1:$1,0)-MATCH($AP$1,unit_skills!$1:$1,0)+1),MATCH(AS$1,unit_skills!$1:$1,0)-MATCH($AP$1,unit_skills!$1:$1,0)+1,FALSE)</f>
        <v>#N/A</v>
      </c>
      <c r="AT16" s="41">
        <f t="shared" si="7"/>
        <v>734</v>
      </c>
      <c r="AU16" s="57" t="str">
        <f ca="1">VLOOKUP($AT16,OFFSET(crash_skills!$A$1,0,0,COUNTA(crash_skills!$A:$A),MATCH(AU$1,crash_skills!$1:$1,0)-MATCH($AT$1,crash_skills!$1:$1,0)+1),MATCH(AU$1,crash_skills!$1:$1,0)-MATCH($AT$1,crash_skills!$1:$1,0)+1,FALSE)</f>
        <v>至戦の機重刀</v>
      </c>
      <c r="AV16" s="57" t="str">
        <f ca="1">VLOOKUP($AT16,OFFSET(crash_skills!$A$1,0,0,COUNTA(crash_skills!$A:$A),MATCH(AV$1,crash_skills!$1:$1,0)-MATCH($AT$1,crash_skills!$1:$1,0)+1),MATCH(AV$1,crash_skills!$1:$1,0)-MATCH($AT$1,crash_skills!$1:$1,0)+1,FALSE)</f>
        <v>1体に大ダメージ_x000D_ヒューマンに効果特大</v>
      </c>
      <c r="AW16" s="57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8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68">
        <v>1.07</v>
      </c>
      <c r="AZ16" s="68">
        <v>1</v>
      </c>
      <c r="BA16" s="68">
        <v>0</v>
      </c>
      <c r="BB16" s="68">
        <v>0.93799999999999994</v>
      </c>
      <c r="BC16" s="11">
        <f ca="1">INDEX('RC6SV'!$A$1:$G$20,MATCH(H16,'RC6SV'!$A$1:$A$20,FALSE),MATCH(G16,'RC6SV'!$A$1:$G$1,FALSE))</f>
        <v>9500</v>
      </c>
      <c r="BD16" s="48">
        <f t="shared" ca="1" si="10"/>
        <v>9500</v>
      </c>
      <c r="BE16" s="11">
        <f t="shared" ca="1" si="11"/>
        <v>0</v>
      </c>
      <c r="BF16" s="11">
        <f t="shared" ca="1" si="12"/>
        <v>1</v>
      </c>
      <c r="BG16" s="16">
        <f ca="1">IF($BE16&lt;=0,ROUND(BK16*0.5,0), ROUND($BE16*S16*AA16*J16*AY16*0.8*[1]ステータス!$B$2,0))</f>
        <v>2341</v>
      </c>
      <c r="BH16" s="16">
        <f ca="1">IF($BE16&lt;=0,ROUND(BL16*0.5,0), ROUND($BE16*T16*AB16*K16*AZ16*0.8*[1]ステータス!$C$2,0))</f>
        <v>1425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1204</v>
      </c>
      <c r="BK16" s="11">
        <f ca="1">ROUND(BD16*S16*AA16*J16*AY16*[1]ステータス!$B$2,0)</f>
        <v>4682</v>
      </c>
      <c r="BL16" s="11">
        <f ca="1">ROUND(BD16*T16*AB16*K16*AZ16*[1]ステータス!$C$2,0)</f>
        <v>2850</v>
      </c>
      <c r="BM16" s="11">
        <f ca="1">ROUND(BD16*U16*AC16*L16*BA16*[1]ステータス!$D$2,0)</f>
        <v>0</v>
      </c>
      <c r="BN16" s="11">
        <f ca="1">ROUND(BD16*V16*AD16*M16*BB16*[1]ステータス!$E$2,0)</f>
        <v>2408</v>
      </c>
      <c r="BO16" s="10">
        <v>0</v>
      </c>
      <c r="BP16" s="10">
        <v>1</v>
      </c>
      <c r="BQ16" s="10" t="s">
        <v>47</v>
      </c>
      <c r="BR16" s="10">
        <f ca="1">VLOOKUP(H16,ghosts_label!$A$2:$B$19,2,FALSE)</f>
        <v>5500</v>
      </c>
    </row>
    <row r="17" spans="1:70" ht="26" customHeight="1" x14ac:dyDescent="0.15">
      <c r="A17" s="12">
        <v>735</v>
      </c>
      <c r="B17" s="57" t="str">
        <f ca="1">VLOOKUP($A17,OFFSET([1]characters!$A$1,0,0,COUNTA([1]characters!$A:$A),MATCH(B$1,[1]characters!$1:$1,0)-MATCH($A$1,[1]characters!$1:$1,0)+1),MATCH(B$1,[1]characters!$1:$1,0)-MATCH($A$1,[1]characters!$1:$1,0)+1,FALSE)</f>
        <v>破天の隻眼 伊達政宗</v>
      </c>
      <c r="C17" s="57" t="str">
        <f ca="1">VLOOKUP($A17,OFFSET([1]characters!$A$1,0,0,COUNTA([1]characters!$A:$A),MATCH(C$1,[1]characters!$1:$1,0)-MATCH($A$1,[1]characters!$1:$1,0)+1),MATCH(C$1,[1]characters!$1:$1,0)-MATCH($A$1,[1]characters!$1:$1,0)+1,FALSE)</f>
        <v>ガチャ:戦国01</v>
      </c>
      <c r="D17" s="57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7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7" t="str">
        <f ca="1">VLOOKUP($A17,OFFSET([1]characters!$A$1,0,0,COUNTA([1]characters!$A:$A),MATCH(F$1,[1]characters!$1:$1,0)-MATCH($A$1,[1]characters!$1:$1,0)+1),MATCH(F$1,[1]characters!$1:$1,0)-MATCH($A$1,[1]characters!$1:$1,0)+1,FALSE)</f>
        <v>女性</v>
      </c>
      <c r="G17" s="57">
        <f ca="1">VLOOKUP($A17,OFFSET([1]characters!$A$1,0,0,COUNTA([1]characters!$A:$A),MATCH(G$1,[1]characters!$1:$1,0)-MATCH($A$1,[1]characters!$1:$1,0)+1),MATCH(G$1,[1]characters!$1:$1,0)-MATCH($A$1,[1]characters!$1:$1,0)+1,FALSE)</f>
        <v>6</v>
      </c>
      <c r="H17" s="57" t="str">
        <f ca="1">VLOOKUP($A17,OFFSET([1]characters!$A$1,0,0,COUNTA([1]characters!$A:$A),MATCH(H$1,[1]characters!$1:$1,0)-MATCH($A$1,[1]characters!$1:$1,0)+1),MATCH(H$1,[1]characters!$1:$1,0)-MATCH($A$1,[1]characters!$1:$1,0)+1,FALSE)</f>
        <v>PremiumSS</v>
      </c>
      <c r="I17" s="57" t="str">
        <f ca="1">VLOOKUP($A17,OFFSET([1]characters!$A$1,0,0,COUNTA([1]characters!$A:$A),MATCH(I$1,[1]characters!$1:$1,0)-MATCH($A$1,[1]characters!$1:$1,0)+1),MATCH(I$1,[1]characters!$1:$1,0)-MATCH($A$1,[1]characters!$1:$1,0)+1,FALSE)</f>
        <v>yellow</v>
      </c>
      <c r="J17" s="11">
        <f ca="1">VLOOKUP(I17,[1]属性!$A:$E,2,FALSE)</f>
        <v>0.98</v>
      </c>
      <c r="K17" s="11">
        <f ca="1">VLOOKUP(I17,[1]属性!$A:$E,3,FALSE)</f>
        <v>1.01</v>
      </c>
      <c r="L17" s="11">
        <f ca="1">VLOOKUP(I17,[1]属性!$A:$E,4,FALSE)</f>
        <v>1</v>
      </c>
      <c r="M17" s="11">
        <f ca="1">VLOOKUP(I17,[1]属性!$A:$E,5,FALSE)</f>
        <v>1.01</v>
      </c>
      <c r="N17" s="11">
        <f ca="1">INDEX(コスト!$A$1:$I$20,MATCH(H17,コスト!$A$1:$A$20,FALSE),MATCH(G17,コスト!$A$1:$I$1,FALSE))</f>
        <v>50</v>
      </c>
      <c r="O17" s="11">
        <f ca="1">INDEX(レベル!$A$1:$I$21,MATCH(H17,レベル!$A$1:$A$21,FALSE),MATCH(G17,レベル!$A$1:$I$1,FALSE))</f>
        <v>99</v>
      </c>
      <c r="P17" s="48">
        <f t="shared" ca="1" si="5"/>
        <v>99</v>
      </c>
      <c r="Q17" s="57" t="str">
        <f ca="1">VLOOKUP($A17,OFFSET([1]characters!$A$1,0,0,COUNTA([1]characters!$A:$A),MATCH(Q$1,[1]characters!$1:$1,0)-MATCH($A$1,[1]characters!$1:$1,0)+1),MATCH(Q$1,[1]characters!$1:$1,0)-MATCH($A$1,[1]characters!$1:$1,0)+1,FALSE)</f>
        <v>balance</v>
      </c>
      <c r="R17" s="5" t="str">
        <f ca="1">VLOOKUP(Q17,[1]character_type_i18n!$A:$H,3,FALSE)</f>
        <v>バランスタイプ</v>
      </c>
      <c r="S17" s="11">
        <f ca="1">VLOOKUP(Q17,[1]character_type_i18n!$A:$H,4,FALSE)</f>
        <v>1</v>
      </c>
      <c r="T17" s="11">
        <f ca="1">VLOOKUP(Q17,[1]character_type_i18n!$A:$H,5,FALSE)</f>
        <v>1</v>
      </c>
      <c r="U17" s="11">
        <f ca="1">VLOOKUP(Q17,[1]character_type_i18n!$A:$H,6,FALSE)</f>
        <v>1</v>
      </c>
      <c r="V17" s="11">
        <f ca="1">VLOOKUP(Q17,[1]character_type_i18n!$A:$H,7,FALSE)</f>
        <v>1</v>
      </c>
      <c r="W17" s="57" t="str">
        <f ca="1">VLOOKUP($A17,OFFSET([1]characters!$A$1,0,0,COUNTA([1]characters!$A:$A),MATCH(W$1,[1]characters!$1:$1,0)-MATCH($A$1,[1]characters!$1:$1,0)+1),MATCH(W$1,[1]characters!$1:$1,0)-MATCH($A$1,[1]characters!$1:$1,0)+1,FALSE)</f>
        <v>human</v>
      </c>
      <c r="X17" s="5" t="str">
        <f ca="1">VLOOKUP(W17,[1]character_tribe_i18n!$A:$H,3,FALSE)</f>
        <v>ヒューマン</v>
      </c>
      <c r="Y17" s="57" t="str">
        <f ca="1">VLOOKUP($A17,OFFSET([1]characters!$A$1,0,0,COUNTA([1]characters!$A:$A),MATCH(Y$1,[1]characters!$1:$1,0)-MATCH($A$1,[1]characters!$1:$1,0)+1),MATCH(Y$1,[1]characters!$1:$1,0)-MATCH($A$1,[1]characters!$1:$1,0)+1,FALSE)</f>
        <v>samurai</v>
      </c>
      <c r="Z17" s="5" t="str">
        <f ca="1">VLOOKUP(Y17,[1]character_tribe_i18n!$A:$H,3,FALSE)</f>
        <v>サムライ</v>
      </c>
      <c r="AA17" s="11">
        <f ca="1">VLOOKUP(W17,[1]character_tribe_i18n!$A:$H,4,FALSE)</f>
        <v>0.94</v>
      </c>
      <c r="AB17" s="11">
        <f ca="1">VLOOKUP(W17,[1]character_tribe_i18n!$A:$H,5,FALSE)</f>
        <v>0.99</v>
      </c>
      <c r="AC17" s="11">
        <f ca="1">VLOOKUP(W17,[1]character_tribe_i18n!$A:$H,6,FALSE)</f>
        <v>1</v>
      </c>
      <c r="AD17" s="11">
        <f ca="1">VLOOKUP(W17,[1]character_tribe_i18n!$A:$H,7,FALSE)</f>
        <v>1.07</v>
      </c>
      <c r="AE17" s="9" t="s">
        <v>183</v>
      </c>
      <c r="AF17" s="62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8"/>
        <v>734</v>
      </c>
      <c r="AH17" s="62" t="str">
        <f ca="1">VLOOKUP($AG17,OFFSET([1]characters!$A$1,0,0,COUNTA([1]characters!$A:$A),MATCH(AH$1,[1]characters!$1:$1,0)-MATCH($A$1,[1]characters!$1:$1,0)+1),MATCH(AH$1,[1]characters!$1:$1,0)-MATCH($A$1,[1]characters!$1:$1,0)+1,FALSE)</f>
        <v>伊達政宗</v>
      </c>
      <c r="AI17" s="11" t="str">
        <f>IF(AE17="NULL","NULL",VLOOKUP(G17,ビット!$A$2:$B$7,2))</f>
        <v>NULL</v>
      </c>
      <c r="AJ17" s="6">
        <v>2</v>
      </c>
      <c r="AK17" s="7" t="str">
        <f t="shared" si="9"/>
        <v>普通</v>
      </c>
      <c r="AL17" s="11" t="str">
        <f ca="1">INDEX(経験値!$A$1:$I$20,MATCH(H17,経験値!$A$1:$A$20,FALSE),MATCH(G17,経験値!$A$1:$I$1,FALSE))</f>
        <v>required_exp_250</v>
      </c>
      <c r="AM17" s="8">
        <f ca="1">VLOOKUP(G17,経験値!$A$27:$B$31,2)</f>
        <v>6400</v>
      </c>
      <c r="AN17" s="17">
        <f ca="1">VLOOKUP(G17,ビット!$G$2:$H$7,2)</f>
        <v>900</v>
      </c>
      <c r="AO17" s="45"/>
      <c r="AP17" s="67">
        <f t="shared" si="6"/>
        <v>735</v>
      </c>
      <c r="AQ17" s="57" t="e">
        <f ca="1">VLOOKUP($AP17,OFFSET(unit_skills!$A$1,0,0,COUNTA(unit_skills!$A:$A),MATCH(AQ$1,unit_skills!$1:$1,0)-MATCH($AP$1,unit_skills!$1:$1,0)+1),MATCH(AQ$1,unit_skills!$1:$1,0)-MATCH($AP$1,unit_skills!$1:$1,0)+1,FALSE)</f>
        <v>#N/A</v>
      </c>
      <c r="AR17" s="57" t="e">
        <f ca="1">VLOOKUP($AP17,OFFSET(unit_skills!$A$1,0,0,COUNTA(unit_skills!$A:$A),MATCH(AR$1,unit_skills!$1:$1,0)-MATCH($AP$1,unit_skills!$1:$1,0)+1),MATCH(AR$1,unit_skills!$1:$1,0)-MATCH($AP$1,unit_skills!$1:$1,0)+1,FALSE)</f>
        <v>#N/A</v>
      </c>
      <c r="AS17" s="57" t="e">
        <f ca="1">VLOOKUP($AP17,OFFSET(unit_skills!$A$1,0,0,COUNTA(unit_skills!$A:$A),MATCH(AS$1,unit_skills!$1:$1,0)-MATCH($AP$1,unit_skills!$1:$1,0)+1),MATCH(AS$1,unit_skills!$1:$1,0)-MATCH($AP$1,unit_skills!$1:$1,0)+1,FALSE)</f>
        <v>#N/A</v>
      </c>
      <c r="AT17" s="41">
        <f t="shared" si="7"/>
        <v>735</v>
      </c>
      <c r="AU17" s="57" t="str">
        <f ca="1">VLOOKUP($AT17,OFFSET(crash_skills!$A$1,0,0,COUNTA(crash_skills!$A:$A),MATCH(AU$1,crash_skills!$1:$1,0)-MATCH($AT$1,crash_skills!$1:$1,0)+1),MATCH(AU$1,crash_skills!$1:$1,0)-MATCH($AT$1,crash_skills!$1:$1,0)+1,FALSE)</f>
        <v>死線の機重刀・ミカヅキ</v>
      </c>
      <c r="AV17" s="57" t="str">
        <f ca="1">VLOOKUP($AT17,OFFSET(crash_skills!$A$1,0,0,COUNTA(crash_skills!$A:$A),MATCH(AV$1,crash_skills!$1:$1,0)-MATCH($AT$1,crash_skills!$1:$1,0)+1),MATCH(AV$1,crash_skills!$1:$1,0)-MATCH($AT$1,crash_skills!$1:$1,0)+1,FALSE)</f>
        <v>1体に特大ダメージ_x000D_ヒューマンに効果超大</v>
      </c>
      <c r="AW17" s="57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8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68">
        <v>1.171</v>
      </c>
      <c r="AZ17" s="68">
        <v>1</v>
      </c>
      <c r="BA17" s="68">
        <v>0</v>
      </c>
      <c r="BB17" s="68">
        <v>0.93799999999999994</v>
      </c>
      <c r="BC17" s="11">
        <f ca="1">INDEX('RC6SV'!$A$1:$G$20,MATCH(H17,'RC6SV'!$A$1:$A$20,FALSE),MATCH(G17,'RC6SV'!$A$1:$G$1,FALSE))</f>
        <v>13000</v>
      </c>
      <c r="BD17" s="48">
        <f t="shared" ca="1" si="10"/>
        <v>13000</v>
      </c>
      <c r="BE17" s="11">
        <f t="shared" ca="1" si="11"/>
        <v>9500</v>
      </c>
      <c r="BF17" s="11">
        <f t="shared" ca="1" si="12"/>
        <v>1</v>
      </c>
      <c r="BG17" s="16">
        <f ca="1">IF($BE17&lt;=0,ROUND(BK17*0.5,0), ROUND($BE17*S17*AA17*J17*AY17*0.8*[1]ステータス!$B$2,0))</f>
        <v>4099</v>
      </c>
      <c r="BH17" s="16">
        <f ca="1">IF($BE17&lt;=0,ROUND(BL17*0.5,0), ROUND($BE17*T17*AB17*K17*AZ17*0.8*[1]ステータス!$C$2,0))</f>
        <v>2280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1926</v>
      </c>
      <c r="BK17" s="11">
        <f ca="1">ROUND(BD17*S17*AA17*J17*AY17*[1]ステータス!$B$2,0)</f>
        <v>7012</v>
      </c>
      <c r="BL17" s="11">
        <f ca="1">ROUND(BD17*T17*AB17*K17*AZ17*[1]ステータス!$C$2,0)</f>
        <v>3900</v>
      </c>
      <c r="BM17" s="11">
        <f ca="1">ROUND(BD17*U17*AC17*L17*BA17*[1]ステータス!$D$2,0)</f>
        <v>0</v>
      </c>
      <c r="BN17" s="11">
        <f ca="1">ROUND(BD17*V17*AD17*M17*BB17*[1]ステータス!$E$2,0)</f>
        <v>3295</v>
      </c>
      <c r="BO17" s="10">
        <v>0</v>
      </c>
      <c r="BP17" s="10">
        <v>1</v>
      </c>
      <c r="BQ17" s="10" t="s">
        <v>47</v>
      </c>
      <c r="BR17" s="10">
        <f ca="1">VLOOKUP(H17,ghosts_label!$A$2:$B$19,2,FALSE)</f>
        <v>5500</v>
      </c>
    </row>
    <row r="18" spans="1:70" ht="21" customHeight="1" x14ac:dyDescent="0.15">
      <c r="AT18" s="41">
        <f t="shared" si="7"/>
        <v>0</v>
      </c>
    </row>
  </sheetData>
  <autoFilter ref="A1:BQ1"/>
  <phoneticPr fontId="10"/>
  <conditionalFormatting sqref="BO1">
    <cfRule type="cellIs" dxfId="29" priority="120" stopIfTrue="1" operator="equal">
      <formula>1</formula>
    </cfRule>
  </conditionalFormatting>
  <conditionalFormatting sqref="BQ1">
    <cfRule type="cellIs" dxfId="2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5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10" sqref="I10"/>
    </sheetView>
  </sheetViews>
  <sheetFormatPr baseColWidth="12" defaultColWidth="13" defaultRowHeight="21" customHeight="1" outlineLevelCol="1" x14ac:dyDescent="0.15"/>
  <cols>
    <col min="1" max="1" width="16.1640625" style="132" bestFit="1" customWidth="1"/>
    <col min="2" max="2" width="13" style="132" bestFit="1" customWidth="1"/>
    <col min="3" max="3" width="21.83203125" style="132" customWidth="1"/>
    <col min="4" max="4" width="41.83203125" style="132" customWidth="1"/>
    <col min="5" max="5" width="9" style="132" customWidth="1"/>
    <col min="6" max="6" width="7.83203125" style="132" bestFit="1" customWidth="1"/>
    <col min="7" max="7" width="8.1640625" style="132" bestFit="1" customWidth="1"/>
    <col min="8" max="8" width="13.6640625" style="132" bestFit="1" customWidth="1"/>
    <col min="9" max="10" width="51.6640625" style="132" customWidth="1"/>
    <col min="11" max="11" width="10.83203125" style="132" customWidth="1" outlineLevel="1"/>
    <col min="12" max="17" width="9.5" style="131" customWidth="1" outlineLevel="1"/>
    <col min="18" max="18" width="20.33203125" style="132" customWidth="1" outlineLevel="1"/>
    <col min="19" max="19" width="10.33203125" style="132" bestFit="1" customWidth="1"/>
    <col min="20" max="16384" width="13" style="132"/>
  </cols>
  <sheetData>
    <row r="1" spans="1:19" s="131" customFormat="1" ht="21" customHeight="1" x14ac:dyDescent="0.15">
      <c r="A1" s="120" t="s">
        <v>20</v>
      </c>
      <c r="B1" s="121" t="s">
        <v>134</v>
      </c>
      <c r="C1" s="122" t="s">
        <v>40</v>
      </c>
      <c r="D1" s="123" t="s">
        <v>163</v>
      </c>
      <c r="E1" s="123" t="s">
        <v>164</v>
      </c>
      <c r="F1" s="120" t="s">
        <v>146</v>
      </c>
      <c r="G1" s="124" t="s">
        <v>2</v>
      </c>
      <c r="H1" s="124" t="s">
        <v>165</v>
      </c>
      <c r="I1" s="124" t="s">
        <v>166</v>
      </c>
      <c r="J1" s="125" t="s">
        <v>184</v>
      </c>
      <c r="K1" s="124" t="s">
        <v>4</v>
      </c>
      <c r="L1" s="126" t="s">
        <v>167</v>
      </c>
      <c r="M1" s="127" t="s">
        <v>168</v>
      </c>
      <c r="N1" s="127" t="s">
        <v>169</v>
      </c>
      <c r="O1" s="127" t="s">
        <v>170</v>
      </c>
      <c r="P1" s="127" t="s">
        <v>171</v>
      </c>
      <c r="Q1" s="128" t="s">
        <v>172</v>
      </c>
      <c r="R1" s="129" t="s">
        <v>173</v>
      </c>
      <c r="S1" s="130" t="s">
        <v>174</v>
      </c>
    </row>
    <row r="2" spans="1:19" ht="21" customHeight="1" x14ac:dyDescent="0.15">
      <c r="A2" s="12">
        <v>720</v>
      </c>
      <c r="B2" s="135" t="s">
        <v>185</v>
      </c>
      <c r="C2" s="136" t="s">
        <v>273</v>
      </c>
      <c r="D2" s="136" t="s">
        <v>274</v>
      </c>
      <c r="E2" s="137">
        <f t="shared" ref="E2:E15" si="0">LEN(D2)</f>
        <v>33</v>
      </c>
      <c r="F2" s="119">
        <v>12</v>
      </c>
      <c r="G2" s="119">
        <v>5</v>
      </c>
      <c r="H2" s="138">
        <f>2001</f>
        <v>2001</v>
      </c>
      <c r="I2" s="170" t="s">
        <v>275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直江兼続</v>
      </c>
      <c r="K2" s="139">
        <v>3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721</v>
      </c>
      <c r="B3" s="135" t="s">
        <v>185</v>
      </c>
      <c r="C3" s="136" t="s">
        <v>273</v>
      </c>
      <c r="D3" s="136" t="s">
        <v>274</v>
      </c>
      <c r="E3" s="137">
        <f t="shared" si="0"/>
        <v>33</v>
      </c>
      <c r="F3" s="119">
        <v>12</v>
      </c>
      <c r="G3" s="119">
        <v>5</v>
      </c>
      <c r="H3" s="138">
        <f>2001</f>
        <v>2001</v>
      </c>
      <c r="I3" s="170" t="s">
        <v>276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迎激の愛銃 直江兼続</v>
      </c>
      <c r="K3" s="139">
        <v>3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722</v>
      </c>
      <c r="B4" s="135" t="s">
        <v>185</v>
      </c>
      <c r="C4" s="136" t="s">
        <v>277</v>
      </c>
      <c r="D4" s="136" t="s">
        <v>362</v>
      </c>
      <c r="E4" s="137">
        <f t="shared" si="0"/>
        <v>29</v>
      </c>
      <c r="F4" s="119">
        <v>12</v>
      </c>
      <c r="G4" s="119">
        <v>5</v>
      </c>
      <c r="H4" s="138">
        <f>2001</f>
        <v>2001</v>
      </c>
      <c r="I4" s="138" t="s">
        <v>366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森蘭丸</v>
      </c>
      <c r="K4" s="139">
        <v>3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723</v>
      </c>
      <c r="B5" s="135" t="s">
        <v>185</v>
      </c>
      <c r="C5" s="136" t="s">
        <v>278</v>
      </c>
      <c r="D5" s="136" t="s">
        <v>362</v>
      </c>
      <c r="E5" s="137">
        <f t="shared" si="0"/>
        <v>29</v>
      </c>
      <c r="F5" s="119">
        <v>12</v>
      </c>
      <c r="G5" s="119">
        <v>5</v>
      </c>
      <c r="H5" s="138">
        <f>2001</f>
        <v>2001</v>
      </c>
      <c r="I5" s="138" t="s">
        <v>367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萌芽の密心  森蘭丸</v>
      </c>
      <c r="K5" s="139">
        <v>3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724</v>
      </c>
      <c r="B6" s="135" t="s">
        <v>185</v>
      </c>
      <c r="C6" s="136" t="s">
        <v>279</v>
      </c>
      <c r="D6" s="136" t="s">
        <v>406</v>
      </c>
      <c r="E6" s="137">
        <f t="shared" si="0"/>
        <v>43</v>
      </c>
      <c r="F6" s="119">
        <v>15</v>
      </c>
      <c r="G6" s="119">
        <v>5</v>
      </c>
      <c r="H6" s="138">
        <f>2001</f>
        <v>2001</v>
      </c>
      <c r="I6" s="138" t="s">
        <v>269</v>
      </c>
      <c r="J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武田信玄</v>
      </c>
      <c r="K6" s="139">
        <v>3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725</v>
      </c>
      <c r="B7" s="135" t="s">
        <v>185</v>
      </c>
      <c r="C7" s="136" t="s">
        <v>280</v>
      </c>
      <c r="D7" s="136" t="s">
        <v>407</v>
      </c>
      <c r="E7" s="137">
        <f t="shared" si="0"/>
        <v>61</v>
      </c>
      <c r="F7" s="119">
        <v>13</v>
      </c>
      <c r="G7" s="119">
        <v>5</v>
      </c>
      <c r="H7" s="138">
        <f>2001</f>
        <v>2001</v>
      </c>
      <c r="I7" s="138" t="s">
        <v>405</v>
      </c>
      <c r="J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泰然の暴虎 武田信玄</v>
      </c>
      <c r="K7" s="139">
        <v>3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726</v>
      </c>
      <c r="B8" s="135" t="s">
        <v>185</v>
      </c>
      <c r="C8" s="171" t="s">
        <v>284</v>
      </c>
      <c r="D8" s="136" t="s">
        <v>376</v>
      </c>
      <c r="E8" s="137">
        <f t="shared" si="0"/>
        <v>40</v>
      </c>
      <c r="F8" s="119">
        <v>21</v>
      </c>
      <c r="G8" s="119">
        <v>16</v>
      </c>
      <c r="H8" s="138">
        <f>2001</f>
        <v>2001</v>
      </c>
      <c r="I8" s="138" t="s">
        <v>374</v>
      </c>
      <c r="J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織田信長</v>
      </c>
      <c r="K8" s="139">
        <v>3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15">
      <c r="A9" s="12">
        <v>727</v>
      </c>
      <c r="B9" s="135" t="s">
        <v>185</v>
      </c>
      <c r="C9" s="171" t="s">
        <v>283</v>
      </c>
      <c r="D9" s="136" t="s">
        <v>377</v>
      </c>
      <c r="E9" s="137">
        <f t="shared" si="0"/>
        <v>40</v>
      </c>
      <c r="F9" s="119">
        <v>22</v>
      </c>
      <c r="G9" s="119">
        <v>16</v>
      </c>
      <c r="H9" s="138">
        <f>2001</f>
        <v>2001</v>
      </c>
      <c r="I9" s="138" t="s">
        <v>375</v>
      </c>
      <c r="J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真鋭の征服者 織田信長</v>
      </c>
      <c r="K9" s="139">
        <v>3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15">
      <c r="A10" s="12">
        <v>728</v>
      </c>
      <c r="B10" s="135" t="s">
        <v>185</v>
      </c>
      <c r="C10" s="136" t="s">
        <v>281</v>
      </c>
      <c r="D10" s="136" t="s">
        <v>363</v>
      </c>
      <c r="E10" s="137">
        <f t="shared" si="0"/>
        <v>32</v>
      </c>
      <c r="F10" s="119">
        <v>12</v>
      </c>
      <c r="G10" s="119">
        <v>5</v>
      </c>
      <c r="H10" s="138">
        <f>2001</f>
        <v>2001</v>
      </c>
      <c r="I10" s="138" t="s">
        <v>364</v>
      </c>
      <c r="J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井伊直虎</v>
      </c>
      <c r="K10" s="139">
        <v>3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729</v>
      </c>
      <c r="B11" s="135" t="s">
        <v>185</v>
      </c>
      <c r="C11" s="136" t="s">
        <v>282</v>
      </c>
      <c r="D11" s="136" t="s">
        <v>363</v>
      </c>
      <c r="E11" s="137">
        <f t="shared" si="0"/>
        <v>32</v>
      </c>
      <c r="F11" s="119">
        <v>12</v>
      </c>
      <c r="G11" s="119">
        <v>5</v>
      </c>
      <c r="H11" s="138">
        <f>2001</f>
        <v>2001</v>
      </c>
      <c r="I11" s="138" t="s">
        <v>365</v>
      </c>
      <c r="J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暗厄の双刀 井伊直虎</v>
      </c>
      <c r="K11" s="139">
        <v>3</v>
      </c>
      <c r="L11" s="140"/>
      <c r="M11" s="141"/>
      <c r="N11" s="141"/>
      <c r="O11" s="141"/>
      <c r="P11" s="141"/>
      <c r="Q11" s="141"/>
      <c r="R11" s="136"/>
      <c r="S11" s="142"/>
    </row>
    <row r="12" spans="1:19" ht="21" customHeight="1" x14ac:dyDescent="0.15">
      <c r="A12" s="12">
        <v>730</v>
      </c>
      <c r="B12" s="135" t="s">
        <v>185</v>
      </c>
      <c r="C12" s="171" t="s">
        <v>285</v>
      </c>
      <c r="D12" s="136" t="s">
        <v>368</v>
      </c>
      <c r="E12" s="137">
        <f t="shared" si="0"/>
        <v>25</v>
      </c>
      <c r="F12" s="119">
        <v>13</v>
      </c>
      <c r="G12" s="119">
        <v>5</v>
      </c>
      <c r="H12" s="138">
        <f>2001</f>
        <v>2001</v>
      </c>
      <c r="I12" s="138" t="s">
        <v>270</v>
      </c>
      <c r="J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ガラシャ</v>
      </c>
      <c r="K12" s="139">
        <v>3</v>
      </c>
      <c r="L12" s="140"/>
      <c r="M12" s="141"/>
      <c r="N12" s="141"/>
      <c r="O12" s="141"/>
      <c r="P12" s="141"/>
      <c r="Q12" s="141"/>
      <c r="R12" s="136"/>
      <c r="S12" s="142"/>
    </row>
    <row r="13" spans="1:19" ht="21" customHeight="1" x14ac:dyDescent="0.15">
      <c r="A13" s="12">
        <v>731</v>
      </c>
      <c r="B13" s="135" t="s">
        <v>185</v>
      </c>
      <c r="C13" s="171" t="s">
        <v>285</v>
      </c>
      <c r="D13" s="136" t="s">
        <v>368</v>
      </c>
      <c r="E13" s="137">
        <f t="shared" si="0"/>
        <v>25</v>
      </c>
      <c r="F13" s="119">
        <v>13</v>
      </c>
      <c r="G13" s="119">
        <v>5</v>
      </c>
      <c r="H13" s="138">
        <f>2001</f>
        <v>2001</v>
      </c>
      <c r="I13" s="138" t="s">
        <v>270</v>
      </c>
      <c r="J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敬虔なる追銃 ガラシャ</v>
      </c>
      <c r="K13" s="139">
        <v>3</v>
      </c>
      <c r="L13" s="140"/>
      <c r="M13" s="141"/>
      <c r="N13" s="141"/>
      <c r="O13" s="141"/>
      <c r="P13" s="141"/>
      <c r="Q13" s="141"/>
      <c r="R13" s="136"/>
      <c r="S13" s="142"/>
    </row>
    <row r="14" spans="1:19" ht="21" customHeight="1" x14ac:dyDescent="0.15">
      <c r="A14" s="12">
        <v>732</v>
      </c>
      <c r="B14" s="135" t="s">
        <v>185</v>
      </c>
      <c r="C14" s="171" t="s">
        <v>286</v>
      </c>
      <c r="D14" s="136" t="s">
        <v>253</v>
      </c>
      <c r="E14" s="137">
        <f t="shared" si="0"/>
        <v>27</v>
      </c>
      <c r="F14" s="119">
        <v>12</v>
      </c>
      <c r="G14" s="119">
        <v>5</v>
      </c>
      <c r="H14" s="138">
        <f>2001</f>
        <v>2001</v>
      </c>
      <c r="I14" s="138" t="s">
        <v>254</v>
      </c>
      <c r="J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上杉謙信</v>
      </c>
      <c r="K14" s="139">
        <v>3</v>
      </c>
      <c r="L14" s="140"/>
      <c r="M14" s="141"/>
      <c r="N14" s="141"/>
      <c r="O14" s="141"/>
      <c r="P14" s="141"/>
      <c r="Q14" s="141"/>
      <c r="R14" s="136"/>
      <c r="S14" s="142"/>
    </row>
    <row r="15" spans="1:19" ht="21" customHeight="1" x14ac:dyDescent="0.15">
      <c r="A15" s="12">
        <v>733</v>
      </c>
      <c r="B15" s="135" t="s">
        <v>185</v>
      </c>
      <c r="C15" s="171" t="s">
        <v>287</v>
      </c>
      <c r="D15" s="136" t="s">
        <v>404</v>
      </c>
      <c r="E15" s="137">
        <f t="shared" si="0"/>
        <v>52</v>
      </c>
      <c r="F15" s="119">
        <v>13</v>
      </c>
      <c r="G15" s="119">
        <v>5</v>
      </c>
      <c r="H15" s="138">
        <f>2001</f>
        <v>2001</v>
      </c>
      <c r="I15" s="138" t="s">
        <v>403</v>
      </c>
      <c r="J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夢幻の千刃 上杉謙信</v>
      </c>
      <c r="K15" s="139">
        <v>3</v>
      </c>
      <c r="L15" s="140"/>
      <c r="M15" s="141"/>
      <c r="N15" s="141"/>
      <c r="O15" s="141"/>
      <c r="P15" s="141"/>
      <c r="Q15" s="141"/>
      <c r="R15" s="136"/>
      <c r="S15" s="142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8:E1048576">
    <cfRule type="cellIs" dxfId="27" priority="8" operator="greaterThan">
      <formula>41</formula>
    </cfRule>
  </conditionalFormatting>
  <conditionalFormatting sqref="E2 E4 E6 E8 E10 E12 E14">
    <cfRule type="cellIs" dxfId="26" priority="2" operator="greaterThan">
      <formula>41</formula>
    </cfRule>
  </conditionalFormatting>
  <conditionalFormatting sqref="E3 E5 E7 E9 E11 E13 E15">
    <cfRule type="cellIs" dxfId="25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7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16" sqref="F16"/>
    </sheetView>
  </sheetViews>
  <sheetFormatPr baseColWidth="12" defaultColWidth="13" defaultRowHeight="21" customHeight="1" x14ac:dyDescent="0.15"/>
  <cols>
    <col min="1" max="2" width="12.1640625" style="132" customWidth="1"/>
    <col min="3" max="3" width="48.83203125" style="133" customWidth="1"/>
    <col min="4" max="4" width="23.83203125" style="133" customWidth="1"/>
    <col min="5" max="5" width="10.5" style="133" customWidth="1"/>
    <col min="6" max="7" width="59.1640625" style="133" customWidth="1"/>
    <col min="8" max="8" width="6.83203125" style="132" bestFit="1" customWidth="1"/>
    <col min="9" max="9" width="20.33203125" style="132" customWidth="1"/>
    <col min="10" max="10" width="5" style="132" bestFit="1" customWidth="1"/>
    <col min="11" max="16384" width="13" style="132"/>
  </cols>
  <sheetData>
    <row r="1" spans="1:19" ht="21" customHeight="1" x14ac:dyDescent="0.15">
      <c r="A1" s="120" t="s">
        <v>182</v>
      </c>
      <c r="B1" s="121" t="s">
        <v>181</v>
      </c>
      <c r="C1" s="122" t="s">
        <v>180</v>
      </c>
      <c r="D1" s="123" t="s">
        <v>179</v>
      </c>
      <c r="E1" s="123" t="s">
        <v>178</v>
      </c>
      <c r="F1" s="124" t="s">
        <v>177</v>
      </c>
      <c r="G1" s="125" t="s">
        <v>184</v>
      </c>
      <c r="H1" s="124" t="s">
        <v>176</v>
      </c>
      <c r="I1" s="125" t="s">
        <v>175</v>
      </c>
      <c r="J1" s="129" t="s">
        <v>174</v>
      </c>
    </row>
    <row r="2" spans="1:19" ht="21" customHeight="1" x14ac:dyDescent="0.15">
      <c r="A2" s="12">
        <v>720</v>
      </c>
      <c r="B2" s="135" t="s">
        <v>186</v>
      </c>
      <c r="C2" s="171" t="s">
        <v>300</v>
      </c>
      <c r="D2" s="136" t="s">
        <v>301</v>
      </c>
      <c r="E2" s="137">
        <f t="shared" ref="E2" si="0">LEN(D2)</f>
        <v>15</v>
      </c>
      <c r="F2" s="119" t="s">
        <v>360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直江兼続</v>
      </c>
      <c r="H2" s="138">
        <v>3</v>
      </c>
      <c r="I2" s="138"/>
      <c r="J2" s="143"/>
      <c r="K2" s="139">
        <v>1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721</v>
      </c>
      <c r="B3" s="135" t="s">
        <v>186</v>
      </c>
      <c r="C3" s="171" t="s">
        <v>300</v>
      </c>
      <c r="D3" s="136" t="s">
        <v>301</v>
      </c>
      <c r="E3" s="137">
        <f t="shared" ref="E3:E4" si="1">LEN(D3)</f>
        <v>15</v>
      </c>
      <c r="F3" s="119" t="s">
        <v>361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迎激の愛銃 直江兼続</v>
      </c>
      <c r="H3" s="138">
        <v>3</v>
      </c>
      <c r="I3" s="138"/>
      <c r="J3" s="143"/>
      <c r="K3" s="139">
        <v>1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722</v>
      </c>
      <c r="B4" s="135" t="s">
        <v>186</v>
      </c>
      <c r="C4" s="171" t="s">
        <v>299</v>
      </c>
      <c r="D4" s="136" t="s">
        <v>263</v>
      </c>
      <c r="E4" s="137">
        <f t="shared" si="1"/>
        <v>8</v>
      </c>
      <c r="F4" s="119" t="s">
        <v>268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森蘭丸</v>
      </c>
      <c r="H4" s="138">
        <v>3</v>
      </c>
      <c r="I4" s="138"/>
      <c r="J4" s="143"/>
      <c r="K4" s="139">
        <v>1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723</v>
      </c>
      <c r="B5" s="135" t="s">
        <v>186</v>
      </c>
      <c r="C5" s="171" t="s">
        <v>299</v>
      </c>
      <c r="D5" s="136" t="s">
        <v>263</v>
      </c>
      <c r="E5" s="137">
        <f t="shared" ref="E5:E17" si="2">LEN(D5)</f>
        <v>8</v>
      </c>
      <c r="F5" s="119" t="s">
        <v>380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萌芽の密心  森蘭丸</v>
      </c>
      <c r="H5" s="138">
        <v>3</v>
      </c>
      <c r="I5" s="138"/>
      <c r="J5" s="143"/>
      <c r="K5" s="139">
        <v>1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724</v>
      </c>
      <c r="B6" s="135" t="s">
        <v>186</v>
      </c>
      <c r="C6" s="171" t="s">
        <v>298</v>
      </c>
      <c r="D6" s="136" t="s">
        <v>263</v>
      </c>
      <c r="E6" s="137">
        <f t="shared" si="2"/>
        <v>8</v>
      </c>
      <c r="F6" s="119" t="s">
        <v>271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武田信玄</v>
      </c>
      <c r="H6" s="138">
        <v>3</v>
      </c>
      <c r="I6" s="138"/>
      <c r="J6" s="143"/>
      <c r="K6" s="139">
        <v>1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725</v>
      </c>
      <c r="B7" s="135" t="s">
        <v>186</v>
      </c>
      <c r="C7" s="171" t="s">
        <v>297</v>
      </c>
      <c r="D7" s="136" t="s">
        <v>264</v>
      </c>
      <c r="E7" s="137">
        <f t="shared" si="2"/>
        <v>9</v>
      </c>
      <c r="F7" s="119" t="s">
        <v>272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泰然の暴虎 武田信玄</v>
      </c>
      <c r="H7" s="138">
        <v>3</v>
      </c>
      <c r="I7" s="138"/>
      <c r="J7" s="143"/>
      <c r="K7" s="139">
        <v>1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726</v>
      </c>
      <c r="B8" s="135" t="s">
        <v>186</v>
      </c>
      <c r="C8" s="171" t="s">
        <v>296</v>
      </c>
      <c r="D8" s="136" t="s">
        <v>265</v>
      </c>
      <c r="E8" s="137">
        <f t="shared" si="2"/>
        <v>17</v>
      </c>
      <c r="F8" s="119" t="s">
        <v>267</v>
      </c>
      <c r="G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織田信長</v>
      </c>
      <c r="H8" s="138">
        <v>3</v>
      </c>
      <c r="I8" s="138"/>
      <c r="J8" s="143"/>
      <c r="K8" s="139">
        <v>1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15">
      <c r="A9" s="12">
        <v>727</v>
      </c>
      <c r="B9" s="135" t="s">
        <v>186</v>
      </c>
      <c r="C9" s="171" t="s">
        <v>295</v>
      </c>
      <c r="D9" s="136" t="s">
        <v>266</v>
      </c>
      <c r="E9" s="137">
        <f t="shared" si="2"/>
        <v>18</v>
      </c>
      <c r="F9" s="119" t="s">
        <v>373</v>
      </c>
      <c r="G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真鋭の征服者 織田信長</v>
      </c>
      <c r="H9" s="138">
        <v>3</v>
      </c>
      <c r="I9" s="138"/>
      <c r="J9" s="143"/>
      <c r="K9" s="139">
        <v>1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15">
      <c r="A10" s="12">
        <v>728</v>
      </c>
      <c r="B10" s="135" t="s">
        <v>186</v>
      </c>
      <c r="C10" s="171" t="s">
        <v>294</v>
      </c>
      <c r="D10" s="136" t="s">
        <v>302</v>
      </c>
      <c r="E10" s="137">
        <f t="shared" si="2"/>
        <v>8</v>
      </c>
      <c r="F10" s="119" t="s">
        <v>260</v>
      </c>
      <c r="G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井伊直虎</v>
      </c>
      <c r="H10" s="138">
        <v>3</v>
      </c>
      <c r="I10" s="138"/>
      <c r="J10" s="143"/>
      <c r="K10" s="139">
        <v>1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729</v>
      </c>
      <c r="B11" s="135" t="s">
        <v>186</v>
      </c>
      <c r="C11" s="171" t="s">
        <v>293</v>
      </c>
      <c r="D11" s="136" t="s">
        <v>258</v>
      </c>
      <c r="E11" s="137">
        <f t="shared" si="2"/>
        <v>9</v>
      </c>
      <c r="F11" s="119" t="s">
        <v>272</v>
      </c>
      <c r="G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暗厄の双刀 井伊直虎</v>
      </c>
      <c r="H11" s="138">
        <v>3</v>
      </c>
      <c r="I11" s="138"/>
      <c r="J11" s="143"/>
      <c r="K11" s="139">
        <v>1</v>
      </c>
      <c r="L11" s="140"/>
      <c r="M11" s="141"/>
      <c r="N11" s="141"/>
      <c r="O11" s="141"/>
      <c r="P11" s="141"/>
      <c r="Q11" s="141"/>
      <c r="R11" s="136"/>
      <c r="S11" s="142"/>
    </row>
    <row r="12" spans="1:19" ht="21" customHeight="1" x14ac:dyDescent="0.15">
      <c r="A12" s="12">
        <v>730</v>
      </c>
      <c r="B12" s="135" t="s">
        <v>186</v>
      </c>
      <c r="C12" s="171" t="s">
        <v>292</v>
      </c>
      <c r="D12" s="136" t="s">
        <v>369</v>
      </c>
      <c r="E12" s="137">
        <f t="shared" si="2"/>
        <v>21</v>
      </c>
      <c r="F12" s="119" t="s">
        <v>371</v>
      </c>
      <c r="G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ガラシャ</v>
      </c>
      <c r="H12" s="138">
        <v>3</v>
      </c>
      <c r="I12" s="138"/>
      <c r="J12" s="143"/>
      <c r="K12" s="139">
        <v>1</v>
      </c>
      <c r="L12" s="140"/>
      <c r="M12" s="141"/>
      <c r="N12" s="141"/>
      <c r="O12" s="141"/>
      <c r="P12" s="141"/>
      <c r="Q12" s="141"/>
      <c r="R12" s="136"/>
      <c r="S12" s="142"/>
    </row>
    <row r="13" spans="1:19" ht="21" customHeight="1" x14ac:dyDescent="0.15">
      <c r="A13" s="12">
        <v>731</v>
      </c>
      <c r="B13" s="135" t="s">
        <v>186</v>
      </c>
      <c r="C13" s="171" t="s">
        <v>292</v>
      </c>
      <c r="D13" s="136" t="s">
        <v>370</v>
      </c>
      <c r="E13" s="137">
        <f t="shared" si="2"/>
        <v>22</v>
      </c>
      <c r="F13" s="119" t="s">
        <v>372</v>
      </c>
      <c r="G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敬虔なる追銃 ガラシャ</v>
      </c>
      <c r="H13" s="138">
        <v>3</v>
      </c>
      <c r="I13" s="138"/>
      <c r="J13" s="143"/>
      <c r="K13" s="139">
        <v>1</v>
      </c>
      <c r="L13" s="140"/>
      <c r="M13" s="141"/>
      <c r="N13" s="141"/>
      <c r="O13" s="141"/>
      <c r="P13" s="141"/>
      <c r="Q13" s="141"/>
      <c r="R13" s="136"/>
      <c r="S13" s="142"/>
    </row>
    <row r="14" spans="1:19" ht="21" customHeight="1" x14ac:dyDescent="0.15">
      <c r="A14" s="12">
        <v>732</v>
      </c>
      <c r="B14" s="135" t="s">
        <v>186</v>
      </c>
      <c r="C14" s="171" t="s">
        <v>291</v>
      </c>
      <c r="D14" s="136" t="s">
        <v>261</v>
      </c>
      <c r="E14" s="137">
        <f t="shared" si="2"/>
        <v>8</v>
      </c>
      <c r="F14" s="119" t="s">
        <v>255</v>
      </c>
      <c r="G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上杉謙信</v>
      </c>
      <c r="H14" s="138">
        <v>3</v>
      </c>
      <c r="I14" s="138"/>
      <c r="J14" s="143"/>
      <c r="K14" s="139">
        <v>1</v>
      </c>
      <c r="L14" s="140"/>
      <c r="M14" s="141"/>
      <c r="N14" s="141"/>
      <c r="O14" s="141"/>
      <c r="P14" s="141"/>
      <c r="Q14" s="141"/>
      <c r="R14" s="136"/>
      <c r="S14" s="142"/>
    </row>
    <row r="15" spans="1:19" ht="21" customHeight="1" x14ac:dyDescent="0.15">
      <c r="A15" s="12">
        <v>733</v>
      </c>
      <c r="B15" s="135" t="s">
        <v>186</v>
      </c>
      <c r="C15" s="171" t="s">
        <v>290</v>
      </c>
      <c r="D15" s="136" t="s">
        <v>262</v>
      </c>
      <c r="E15" s="137">
        <f t="shared" si="2"/>
        <v>9</v>
      </c>
      <c r="F15" s="119" t="s">
        <v>259</v>
      </c>
      <c r="G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夢幻の千刃 上杉謙信</v>
      </c>
      <c r="H15" s="138">
        <v>3</v>
      </c>
      <c r="I15" s="138"/>
      <c r="J15" s="143"/>
      <c r="K15" s="139">
        <v>1</v>
      </c>
      <c r="L15" s="140"/>
      <c r="M15" s="141"/>
      <c r="N15" s="141"/>
      <c r="O15" s="141"/>
      <c r="P15" s="141"/>
      <c r="Q15" s="141"/>
      <c r="R15" s="136"/>
      <c r="S15" s="142"/>
    </row>
    <row r="16" spans="1:19" ht="21" customHeight="1" x14ac:dyDescent="0.15">
      <c r="A16" s="12">
        <v>734</v>
      </c>
      <c r="B16" s="135" t="s">
        <v>186</v>
      </c>
      <c r="C16" s="171" t="s">
        <v>289</v>
      </c>
      <c r="D16" s="136" t="s">
        <v>256</v>
      </c>
      <c r="E16" s="137">
        <f t="shared" si="2"/>
        <v>19</v>
      </c>
      <c r="F16" s="119" t="s">
        <v>378</v>
      </c>
      <c r="G16" s="57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伊達政宗</v>
      </c>
      <c r="H16" s="138">
        <v>3</v>
      </c>
      <c r="I16" s="138"/>
      <c r="J16" s="143"/>
      <c r="K16" s="139">
        <v>1</v>
      </c>
      <c r="L16" s="140"/>
      <c r="M16" s="141"/>
      <c r="N16" s="141"/>
      <c r="O16" s="141"/>
      <c r="P16" s="141"/>
      <c r="Q16" s="141"/>
      <c r="R16" s="136"/>
      <c r="S16" s="142"/>
    </row>
    <row r="17" spans="1:19" ht="21" customHeight="1" x14ac:dyDescent="0.15">
      <c r="A17" s="12">
        <v>735</v>
      </c>
      <c r="B17" s="135" t="s">
        <v>186</v>
      </c>
      <c r="C17" s="171" t="s">
        <v>288</v>
      </c>
      <c r="D17" s="136" t="s">
        <v>257</v>
      </c>
      <c r="E17" s="137">
        <f t="shared" si="2"/>
        <v>20</v>
      </c>
      <c r="F17" s="119" t="s">
        <v>379</v>
      </c>
      <c r="G17" s="57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破天の隻眼 伊達政宗</v>
      </c>
      <c r="H17" s="138">
        <v>3</v>
      </c>
      <c r="I17" s="138"/>
      <c r="J17" s="143"/>
      <c r="K17" s="139">
        <v>1</v>
      </c>
      <c r="L17" s="140"/>
      <c r="M17" s="141"/>
      <c r="N17" s="141"/>
      <c r="O17" s="141"/>
      <c r="P17" s="141"/>
      <c r="Q17" s="141"/>
      <c r="R17" s="136"/>
      <c r="S17" s="142"/>
    </row>
  </sheetData>
  <sheetProtection selectLockedCells="1" selectUnlockedCells="1"/>
  <autoFilter ref="A1:J1"/>
  <phoneticPr fontId="22"/>
  <conditionalFormatting sqref="E2 E4 E6 E8 E10 E12 E14 E16">
    <cfRule type="cellIs" dxfId="24" priority="2" operator="greaterThan">
      <formula>41</formula>
    </cfRule>
  </conditionalFormatting>
  <conditionalFormatting sqref="E3 E5 E7 E9 E11 E13 E15 E17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65"/>
  <sheetViews>
    <sheetView workbookViewId="0">
      <selection activeCell="F34" sqref="F34"/>
    </sheetView>
  </sheetViews>
  <sheetFormatPr baseColWidth="12" defaultRowHeight="15" outlineLevelCol="1" x14ac:dyDescent="0.15"/>
  <cols>
    <col min="2" max="2" width="12.83203125" style="145"/>
    <col min="4" max="4" width="12.83203125" style="145" customWidth="1" outlineLevel="1"/>
    <col min="5" max="5" width="12.83203125" style="145"/>
    <col min="8" max="8" width="26.1640625" customWidth="1"/>
  </cols>
  <sheetData>
    <row r="1" spans="1:8" x14ac:dyDescent="0.15">
      <c r="A1" s="116" t="s">
        <v>187</v>
      </c>
      <c r="B1" s="144" t="s">
        <v>188</v>
      </c>
      <c r="C1" s="116" t="s">
        <v>189</v>
      </c>
      <c r="D1" s="144" t="s">
        <v>191</v>
      </c>
      <c r="E1" s="144" t="s">
        <v>192</v>
      </c>
      <c r="F1" s="113" t="s">
        <v>193</v>
      </c>
      <c r="G1" s="116" t="s">
        <v>190</v>
      </c>
      <c r="H1" s="113" t="s">
        <v>194</v>
      </c>
    </row>
    <row r="2" spans="1:8" x14ac:dyDescent="0.15">
      <c r="A2" s="12">
        <v>720</v>
      </c>
      <c r="B2" s="144" t="str">
        <f>VLOOKUP(A2,[1]characters!$A:$C,3,FALSE)</f>
        <v>直江兼続</v>
      </c>
      <c r="C2" s="109" t="s">
        <v>195</v>
      </c>
      <c r="D2" s="144"/>
      <c r="E2" s="144" t="str">
        <f>A2&amp;+(COUNTIF(A$2:A2,A2)-1)</f>
        <v>7200</v>
      </c>
      <c r="F2" s="109" t="s">
        <v>196</v>
      </c>
      <c r="G2" s="109" t="s">
        <v>307</v>
      </c>
      <c r="H2" s="109" t="s">
        <v>310</v>
      </c>
    </row>
    <row r="3" spans="1:8" x14ac:dyDescent="0.15">
      <c r="A3" s="12">
        <v>720</v>
      </c>
      <c r="B3" s="144" t="str">
        <f>VLOOKUP(A3,[1]characters!$A:$C,3,FALSE)</f>
        <v>直江兼続</v>
      </c>
      <c r="C3" s="109" t="s">
        <v>303</v>
      </c>
      <c r="D3" s="144"/>
      <c r="E3" s="144" t="str">
        <f>A3&amp;+(COUNTIF(A$2:A3,A3)-1)</f>
        <v>7201</v>
      </c>
      <c r="F3" s="109" t="s">
        <v>196</v>
      </c>
      <c r="G3" s="171" t="s">
        <v>305</v>
      </c>
      <c r="H3" s="171" t="s">
        <v>306</v>
      </c>
    </row>
    <row r="4" spans="1:8" x14ac:dyDescent="0.15">
      <c r="A4" s="12">
        <v>720</v>
      </c>
      <c r="B4" s="144" t="str">
        <f>VLOOKUP(A4,[1]characters!$A:$C,3,FALSE)</f>
        <v>直江兼続</v>
      </c>
      <c r="C4" s="109" t="s">
        <v>304</v>
      </c>
      <c r="D4" s="144"/>
      <c r="E4" s="144" t="str">
        <f>A4&amp;+(COUNTIF(A$2:A4,A4)-1)</f>
        <v>7202</v>
      </c>
      <c r="F4" s="109" t="s">
        <v>196</v>
      </c>
      <c r="G4" s="171" t="s">
        <v>307</v>
      </c>
      <c r="H4" s="171" t="s">
        <v>308</v>
      </c>
    </row>
    <row r="5" spans="1:8" x14ac:dyDescent="0.15">
      <c r="A5" s="12">
        <v>721</v>
      </c>
      <c r="B5" s="144" t="str">
        <f>VLOOKUP(A5,[1]characters!$A:$C,3,FALSE)</f>
        <v>迎激の愛銃 直江兼続</v>
      </c>
      <c r="C5" s="109" t="s">
        <v>195</v>
      </c>
      <c r="D5" s="144"/>
      <c r="E5" s="144" t="str">
        <f>A5&amp;+(COUNTIF(A$2:A5,A5)-1)</f>
        <v>7210</v>
      </c>
      <c r="F5" s="109" t="s">
        <v>196</v>
      </c>
      <c r="G5" s="171" t="s">
        <v>305</v>
      </c>
      <c r="H5" s="171" t="s">
        <v>311</v>
      </c>
    </row>
    <row r="6" spans="1:8" x14ac:dyDescent="0.15">
      <c r="A6" s="12">
        <v>721</v>
      </c>
      <c r="B6" s="144" t="str">
        <f>VLOOKUP(A6,[1]characters!$A:$C,3,FALSE)</f>
        <v>迎激の愛銃 直江兼続</v>
      </c>
      <c r="C6" s="109" t="s">
        <v>303</v>
      </c>
      <c r="D6" s="144"/>
      <c r="E6" s="144" t="str">
        <f>A6&amp;+(COUNTIF(A$2:A6,A6)-1)</f>
        <v>7211</v>
      </c>
      <c r="F6" s="109" t="s">
        <v>196</v>
      </c>
      <c r="G6" s="109" t="str">
        <f>G3</f>
        <v>maru</v>
      </c>
      <c r="H6" s="109" t="str">
        <f>H3</f>
        <v>愛と憎は表裏一体だぜ</v>
      </c>
    </row>
    <row r="7" spans="1:8" x14ac:dyDescent="0.15">
      <c r="A7" s="12">
        <v>721</v>
      </c>
      <c r="B7" s="144" t="str">
        <f>VLOOKUP(A7,[1]characters!$A:$C,3,FALSE)</f>
        <v>迎激の愛銃 直江兼続</v>
      </c>
      <c r="C7" s="109" t="s">
        <v>304</v>
      </c>
      <c r="D7" s="144"/>
      <c r="E7" s="144" t="str">
        <f>A7&amp;+(COUNTIF(A$2:A7,A7)-1)</f>
        <v>7212</v>
      </c>
      <c r="F7" s="109" t="s">
        <v>196</v>
      </c>
      <c r="G7" s="109" t="str">
        <f>G4</f>
        <v>giza</v>
      </c>
      <c r="H7" s="109" t="str">
        <f>H4</f>
        <v>ちょこまか動くなァ！</v>
      </c>
    </row>
    <row r="8" spans="1:8" x14ac:dyDescent="0.15">
      <c r="A8" s="12">
        <v>721</v>
      </c>
      <c r="B8" s="144" t="str">
        <f>VLOOKUP(A8,[1]characters!$A:$C,3,FALSE)</f>
        <v>迎激の愛銃 直江兼続</v>
      </c>
      <c r="C8" s="109" t="s">
        <v>197</v>
      </c>
      <c r="D8" s="144"/>
      <c r="E8" s="144" t="str">
        <f>A8&amp;+(COUNTIF(A$2:A8,A8)-1)</f>
        <v>7213</v>
      </c>
      <c r="F8" s="109" t="s">
        <v>196</v>
      </c>
      <c r="G8" s="171" t="s">
        <v>305</v>
      </c>
      <c r="H8" s="171" t="s">
        <v>309</v>
      </c>
    </row>
    <row r="9" spans="1:8" x14ac:dyDescent="0.15">
      <c r="A9" s="12">
        <v>722</v>
      </c>
      <c r="B9" s="144" t="str">
        <f>VLOOKUP(A9,[1]characters!$A:$C,3,FALSE)</f>
        <v>森蘭丸</v>
      </c>
      <c r="C9" s="109" t="s">
        <v>195</v>
      </c>
      <c r="D9" s="144"/>
      <c r="E9" s="144" t="str">
        <f>A9&amp;+(COUNTIF(A$2:A9,A9)-1)</f>
        <v>7220</v>
      </c>
      <c r="F9" s="109" t="s">
        <v>196</v>
      </c>
      <c r="G9" s="171" t="s">
        <v>315</v>
      </c>
      <c r="H9" s="173" t="s">
        <v>316</v>
      </c>
    </row>
    <row r="10" spans="1:8" x14ac:dyDescent="0.15">
      <c r="A10" s="12">
        <f>A9</f>
        <v>722</v>
      </c>
      <c r="B10" s="144" t="str">
        <f>VLOOKUP(A10,[1]characters!$A:$C,3,FALSE)</f>
        <v>森蘭丸</v>
      </c>
      <c r="C10" s="109" t="s">
        <v>303</v>
      </c>
      <c r="D10" s="144"/>
      <c r="E10" s="144" t="str">
        <f>A10&amp;+(COUNTIF(A$2:A10,A10)-1)</f>
        <v>7221</v>
      </c>
      <c r="F10" s="109" t="s">
        <v>196</v>
      </c>
      <c r="G10" s="171" t="s">
        <v>307</v>
      </c>
      <c r="H10" s="172" t="s">
        <v>312</v>
      </c>
    </row>
    <row r="11" spans="1:8" x14ac:dyDescent="0.15">
      <c r="A11" s="12">
        <f>A9</f>
        <v>722</v>
      </c>
      <c r="B11" s="144" t="str">
        <f>VLOOKUP(A11,[1]characters!$A:$C,3,FALSE)</f>
        <v>森蘭丸</v>
      </c>
      <c r="C11" s="109" t="s">
        <v>304</v>
      </c>
      <c r="D11" s="144"/>
      <c r="E11" s="144" t="str">
        <f>A11&amp;+(COUNTIF(A$2:A11,A11)-1)</f>
        <v>7222</v>
      </c>
      <c r="F11" s="109" t="s">
        <v>196</v>
      </c>
      <c r="G11" s="171" t="s">
        <v>305</v>
      </c>
      <c r="H11" s="172" t="s">
        <v>313</v>
      </c>
    </row>
    <row r="12" spans="1:8" x14ac:dyDescent="0.15">
      <c r="A12" s="12">
        <f>A9+1</f>
        <v>723</v>
      </c>
      <c r="B12" s="144" t="str">
        <f>VLOOKUP(A12,[1]characters!$A:$C,3,FALSE)</f>
        <v>萌芽の密心  森蘭丸</v>
      </c>
      <c r="C12" s="109" t="s">
        <v>195</v>
      </c>
      <c r="D12" s="144"/>
      <c r="E12" s="144" t="str">
        <f>A12&amp;+(COUNTIF(A$2:A12,A12)-1)</f>
        <v>7230</v>
      </c>
      <c r="F12" s="109" t="s">
        <v>196</v>
      </c>
      <c r="G12" s="171" t="s">
        <v>307</v>
      </c>
      <c r="H12" s="173" t="s">
        <v>317</v>
      </c>
    </row>
    <row r="13" spans="1:8" x14ac:dyDescent="0.15">
      <c r="A13" s="12">
        <f>A12</f>
        <v>723</v>
      </c>
      <c r="B13" s="144" t="str">
        <f>VLOOKUP(A13,[1]characters!$A:$C,3,FALSE)</f>
        <v>萌芽の密心  森蘭丸</v>
      </c>
      <c r="C13" s="109" t="s">
        <v>303</v>
      </c>
      <c r="D13" s="144"/>
      <c r="E13" s="144" t="str">
        <f>A13&amp;+(COUNTIF(A$2:A13,A13)-1)</f>
        <v>7231</v>
      </c>
      <c r="F13" s="109" t="s">
        <v>196</v>
      </c>
      <c r="G13" s="109" t="str">
        <f>G10</f>
        <v>giza</v>
      </c>
      <c r="H13" s="109" t="str">
        <f>H10</f>
        <v>運動不足解消するか！</v>
      </c>
    </row>
    <row r="14" spans="1:8" x14ac:dyDescent="0.15">
      <c r="A14" s="12">
        <f>A12</f>
        <v>723</v>
      </c>
      <c r="B14" s="144" t="str">
        <f>VLOOKUP(A14,[1]characters!$A:$C,3,FALSE)</f>
        <v>萌芽の密心  森蘭丸</v>
      </c>
      <c r="C14" s="109" t="s">
        <v>304</v>
      </c>
      <c r="D14" s="144"/>
      <c r="E14" s="144" t="str">
        <f>A14&amp;+(COUNTIF(A$2:A14,A14)-1)</f>
        <v>7232</v>
      </c>
      <c r="F14" s="109" t="s">
        <v>196</v>
      </c>
      <c r="G14" s="109" t="str">
        <f>G11</f>
        <v>maru</v>
      </c>
      <c r="H14" s="109" t="str">
        <f>H11</f>
        <v>噛みつかれたら痛いぜ</v>
      </c>
    </row>
    <row r="15" spans="1:8" x14ac:dyDescent="0.15">
      <c r="A15" s="12">
        <f>A12</f>
        <v>723</v>
      </c>
      <c r="B15" s="144" t="str">
        <f>VLOOKUP(A15,[1]characters!$A:$C,3,FALSE)</f>
        <v>萌芽の密心  森蘭丸</v>
      </c>
      <c r="C15" s="109" t="s">
        <v>197</v>
      </c>
      <c r="D15" s="144"/>
      <c r="E15" s="144" t="str">
        <f>A15&amp;+(COUNTIF(A$2:A15,A15)-1)</f>
        <v>7233</v>
      </c>
      <c r="F15" s="109" t="s">
        <v>196</v>
      </c>
      <c r="G15" s="171" t="s">
        <v>305</v>
      </c>
      <c r="H15" s="172" t="s">
        <v>314</v>
      </c>
    </row>
    <row r="16" spans="1:8" x14ac:dyDescent="0.15">
      <c r="A16" s="12">
        <v>724</v>
      </c>
      <c r="B16" s="144" t="str">
        <f>VLOOKUP(A16,[1]characters!$A:$C,3,FALSE)</f>
        <v>武田信玄</v>
      </c>
      <c r="C16" s="109" t="s">
        <v>195</v>
      </c>
      <c r="D16" s="144"/>
      <c r="E16" s="144" t="str">
        <f>A16&amp;+(COUNTIF(A$2:A16,A16)-1)</f>
        <v>7240</v>
      </c>
      <c r="F16" s="109" t="s">
        <v>196</v>
      </c>
      <c r="G16" s="171" t="s">
        <v>305</v>
      </c>
      <c r="H16" s="174" t="s">
        <v>357</v>
      </c>
    </row>
    <row r="17" spans="1:8" x14ac:dyDescent="0.15">
      <c r="A17" s="12">
        <f>A16</f>
        <v>724</v>
      </c>
      <c r="B17" s="144" t="str">
        <f>VLOOKUP(A17,[1]characters!$A:$C,3,FALSE)</f>
        <v>武田信玄</v>
      </c>
      <c r="C17" s="109" t="s">
        <v>303</v>
      </c>
      <c r="D17" s="144"/>
      <c r="E17" s="144" t="str">
        <f>A17&amp;+(COUNTIF(A$2:A17,A17)-1)</f>
        <v>7241</v>
      </c>
      <c r="F17" s="109" t="s">
        <v>196</v>
      </c>
      <c r="G17" s="171" t="s">
        <v>307</v>
      </c>
      <c r="H17" s="171" t="s">
        <v>318</v>
      </c>
    </row>
    <row r="18" spans="1:8" x14ac:dyDescent="0.15">
      <c r="A18" s="12">
        <f>A16</f>
        <v>724</v>
      </c>
      <c r="B18" s="144" t="str">
        <f>VLOOKUP(A18,[1]characters!$A:$C,3,FALSE)</f>
        <v>武田信玄</v>
      </c>
      <c r="C18" s="109" t="s">
        <v>304</v>
      </c>
      <c r="D18" s="144"/>
      <c r="E18" s="144" t="str">
        <f>A18&amp;+(COUNTIF(A$2:A18,A18)-1)</f>
        <v>7242</v>
      </c>
      <c r="F18" s="109" t="s">
        <v>196</v>
      </c>
      <c r="G18" s="171" t="s">
        <v>305</v>
      </c>
      <c r="H18" s="171" t="s">
        <v>319</v>
      </c>
    </row>
    <row r="19" spans="1:8" x14ac:dyDescent="0.15">
      <c r="A19" s="12">
        <f>A17</f>
        <v>724</v>
      </c>
      <c r="B19" s="144" t="str">
        <f>VLOOKUP(A19,[1]characters!$A:$C,3,FALSE)</f>
        <v>武田信玄</v>
      </c>
      <c r="C19" s="109" t="s">
        <v>304</v>
      </c>
      <c r="D19" s="144"/>
      <c r="E19" s="144" t="str">
        <f>A19&amp;+(COUNTIF(A$2:A19,A19)-1)</f>
        <v>7243</v>
      </c>
      <c r="F19" s="109" t="s">
        <v>196</v>
      </c>
      <c r="G19" s="171" t="s">
        <v>305</v>
      </c>
      <c r="H19" s="174" t="s">
        <v>320</v>
      </c>
    </row>
    <row r="20" spans="1:8" x14ac:dyDescent="0.15">
      <c r="A20" s="12">
        <f>A16+1</f>
        <v>725</v>
      </c>
      <c r="B20" s="144" t="str">
        <f>VLOOKUP(A20,[1]characters!$A:$C,3,FALSE)</f>
        <v>泰然の暴虎 武田信玄</v>
      </c>
      <c r="C20" s="109" t="s">
        <v>195</v>
      </c>
      <c r="D20" s="144"/>
      <c r="E20" s="144" t="str">
        <f>A20&amp;+(COUNTIF(A$2:A20,A20)-1)</f>
        <v>7250</v>
      </c>
      <c r="F20" s="109" t="s">
        <v>196</v>
      </c>
      <c r="G20" s="171" t="s">
        <v>307</v>
      </c>
      <c r="H20" s="174" t="s">
        <v>356</v>
      </c>
    </row>
    <row r="21" spans="1:8" x14ac:dyDescent="0.15">
      <c r="A21" s="12">
        <f>A20</f>
        <v>725</v>
      </c>
      <c r="B21" s="144" t="str">
        <f>VLOOKUP(A21,[1]characters!$A:$C,3,FALSE)</f>
        <v>泰然の暴虎 武田信玄</v>
      </c>
      <c r="C21" s="109" t="s">
        <v>303</v>
      </c>
      <c r="D21" s="144"/>
      <c r="E21" s="144" t="str">
        <f>A21&amp;+(COUNTIF(A$2:A21,A21)-1)</f>
        <v>7251</v>
      </c>
      <c r="F21" s="109" t="s">
        <v>196</v>
      </c>
      <c r="G21" s="171" t="s">
        <v>307</v>
      </c>
      <c r="H21" s="171" t="s">
        <v>318</v>
      </c>
    </row>
    <row r="22" spans="1:8" x14ac:dyDescent="0.15">
      <c r="A22" s="12">
        <f>A20</f>
        <v>725</v>
      </c>
      <c r="B22" s="144" t="str">
        <f>VLOOKUP(A22,[1]characters!$A:$C,3,FALSE)</f>
        <v>泰然の暴虎 武田信玄</v>
      </c>
      <c r="C22" s="109" t="s">
        <v>304</v>
      </c>
      <c r="D22" s="144"/>
      <c r="E22" s="144" t="str">
        <f>A22&amp;+(COUNTIF(A$2:A22,A22)-1)</f>
        <v>7252</v>
      </c>
      <c r="F22" s="109" t="s">
        <v>196</v>
      </c>
      <c r="G22" s="171" t="s">
        <v>305</v>
      </c>
      <c r="H22" s="171" t="s">
        <v>319</v>
      </c>
    </row>
    <row r="23" spans="1:8" x14ac:dyDescent="0.15">
      <c r="A23" s="12">
        <f>A20</f>
        <v>725</v>
      </c>
      <c r="B23" s="144" t="str">
        <f>VLOOKUP(A23,[1]characters!$A:$C,3,FALSE)</f>
        <v>泰然の暴虎 武田信玄</v>
      </c>
      <c r="C23" s="109" t="s">
        <v>197</v>
      </c>
      <c r="D23" s="144"/>
      <c r="E23" s="144" t="str">
        <f>A23&amp;+(COUNTIF(A$2:A23,A23)-1)</f>
        <v>7253</v>
      </c>
      <c r="F23" s="109" t="s">
        <v>196</v>
      </c>
      <c r="G23" s="171" t="s">
        <v>305</v>
      </c>
      <c r="H23" s="174" t="s">
        <v>320</v>
      </c>
    </row>
    <row r="24" spans="1:8" x14ac:dyDescent="0.15">
      <c r="A24" s="12">
        <f>A21</f>
        <v>725</v>
      </c>
      <c r="B24" s="144" t="str">
        <f>VLOOKUP(A24,[1]characters!$A:$C,3,FALSE)</f>
        <v>泰然の暴虎 武田信玄</v>
      </c>
      <c r="C24" s="109" t="s">
        <v>197</v>
      </c>
      <c r="D24" s="144"/>
      <c r="E24" s="144" t="str">
        <f>A24&amp;+(COUNTIF(A$2:A24,A24)-1)</f>
        <v>7254</v>
      </c>
      <c r="F24" s="109" t="s">
        <v>196</v>
      </c>
      <c r="G24" s="171" t="s">
        <v>307</v>
      </c>
      <c r="H24" s="174" t="s">
        <v>321</v>
      </c>
    </row>
    <row r="25" spans="1:8" x14ac:dyDescent="0.15">
      <c r="A25" s="12">
        <v>726</v>
      </c>
      <c r="B25" s="144" t="str">
        <f>VLOOKUP(A25,[1]characters!$A:$C,3,FALSE)</f>
        <v>織田信長</v>
      </c>
      <c r="C25" s="109" t="s">
        <v>195</v>
      </c>
      <c r="D25" s="144"/>
      <c r="E25" s="144" t="str">
        <f>A25&amp;+(COUNTIF(A$2:A25,A25)-1)</f>
        <v>7260</v>
      </c>
      <c r="F25" s="109" t="s">
        <v>196</v>
      </c>
      <c r="G25" s="171" t="s">
        <v>305</v>
      </c>
      <c r="H25" s="171" t="s">
        <v>355</v>
      </c>
    </row>
    <row r="26" spans="1:8" x14ac:dyDescent="0.15">
      <c r="A26" s="12">
        <f>A25</f>
        <v>726</v>
      </c>
      <c r="B26" s="144" t="str">
        <f>VLOOKUP(A26,[1]characters!$A:$C,3,FALSE)</f>
        <v>織田信長</v>
      </c>
      <c r="C26" s="109" t="s">
        <v>303</v>
      </c>
      <c r="D26" s="144"/>
      <c r="E26" s="144" t="str">
        <f>A26&amp;+(COUNTIF(A$2:A26,A26)-1)</f>
        <v>7261</v>
      </c>
      <c r="F26" s="109" t="s">
        <v>196</v>
      </c>
      <c r="G26" s="171" t="s">
        <v>305</v>
      </c>
      <c r="H26" s="171" t="s">
        <v>322</v>
      </c>
    </row>
    <row r="27" spans="1:8" x14ac:dyDescent="0.15">
      <c r="A27" s="12">
        <f>A25</f>
        <v>726</v>
      </c>
      <c r="B27" s="144" t="str">
        <f>VLOOKUP(A27,[1]characters!$A:$C,3,FALSE)</f>
        <v>織田信長</v>
      </c>
      <c r="C27" s="109" t="s">
        <v>304</v>
      </c>
      <c r="D27" s="144"/>
      <c r="E27" s="144" t="str">
        <f>A27&amp;+(COUNTIF(A$2:A27,A27)-1)</f>
        <v>7262</v>
      </c>
      <c r="F27" s="109" t="s">
        <v>196</v>
      </c>
      <c r="G27" s="171" t="s">
        <v>323</v>
      </c>
      <c r="H27" s="171" t="s">
        <v>324</v>
      </c>
    </row>
    <row r="28" spans="1:8" x14ac:dyDescent="0.15">
      <c r="A28" s="12">
        <f>A26</f>
        <v>726</v>
      </c>
      <c r="B28" s="144" t="str">
        <f>VLOOKUP(A28,[1]characters!$A:$C,3,FALSE)</f>
        <v>織田信長</v>
      </c>
      <c r="C28" s="109" t="s">
        <v>304</v>
      </c>
      <c r="D28" s="144"/>
      <c r="E28" s="144" t="str">
        <f>A28&amp;+(COUNTIF(A$2:A28,A28)-1)</f>
        <v>7263</v>
      </c>
      <c r="F28" s="109" t="s">
        <v>196</v>
      </c>
      <c r="G28" s="171" t="s">
        <v>323</v>
      </c>
      <c r="H28" s="171" t="s">
        <v>325</v>
      </c>
    </row>
    <row r="29" spans="1:8" x14ac:dyDescent="0.15">
      <c r="A29" s="12">
        <f>A25+1</f>
        <v>727</v>
      </c>
      <c r="B29" s="144" t="str">
        <f>VLOOKUP(A29,[1]characters!$A:$C,3,FALSE)</f>
        <v>真鋭の征服者 織田信長</v>
      </c>
      <c r="C29" s="109" t="s">
        <v>195</v>
      </c>
      <c r="D29" s="144"/>
      <c r="E29" s="144" t="str">
        <f>A29&amp;+(COUNTIF(A$2:A29,A29)-1)</f>
        <v>7270</v>
      </c>
      <c r="F29" s="109" t="s">
        <v>196</v>
      </c>
      <c r="G29" s="172" t="s">
        <v>334</v>
      </c>
      <c r="H29" s="175" t="s">
        <v>354</v>
      </c>
    </row>
    <row r="30" spans="1:8" x14ac:dyDescent="0.15">
      <c r="A30" s="12">
        <f>A29</f>
        <v>727</v>
      </c>
      <c r="B30" s="144" t="str">
        <f>VLOOKUP(A30,[1]characters!$A:$C,3,FALSE)</f>
        <v>真鋭の征服者 織田信長</v>
      </c>
      <c r="C30" s="109" t="s">
        <v>303</v>
      </c>
      <c r="D30" s="144"/>
      <c r="E30" s="144" t="str">
        <f>A30&amp;+(COUNTIF(A$2:A30,A30)-1)</f>
        <v>7271</v>
      </c>
      <c r="F30" s="109" t="s">
        <v>196</v>
      </c>
      <c r="G30" s="171" t="s">
        <v>305</v>
      </c>
      <c r="H30" s="171" t="s">
        <v>322</v>
      </c>
    </row>
    <row r="31" spans="1:8" x14ac:dyDescent="0.15">
      <c r="A31" s="12">
        <f>A29</f>
        <v>727</v>
      </c>
      <c r="B31" s="144" t="str">
        <f>VLOOKUP(A31,[1]characters!$A:$C,3,FALSE)</f>
        <v>真鋭の征服者 織田信長</v>
      </c>
      <c r="C31" s="109" t="s">
        <v>304</v>
      </c>
      <c r="D31" s="144"/>
      <c r="E31" s="144" t="str">
        <f>A31&amp;+(COUNTIF(A$2:A31,A31)-1)</f>
        <v>7272</v>
      </c>
      <c r="F31" s="109" t="s">
        <v>196</v>
      </c>
      <c r="G31" s="171" t="s">
        <v>323</v>
      </c>
      <c r="H31" s="171" t="s">
        <v>324</v>
      </c>
    </row>
    <row r="32" spans="1:8" x14ac:dyDescent="0.15">
      <c r="A32" s="12">
        <f>A29</f>
        <v>727</v>
      </c>
      <c r="B32" s="144" t="str">
        <f>VLOOKUP(A32,[1]characters!$A:$C,3,FALSE)</f>
        <v>真鋭の征服者 織田信長</v>
      </c>
      <c r="C32" s="109" t="s">
        <v>197</v>
      </c>
      <c r="D32" s="144"/>
      <c r="E32" s="144" t="str">
        <f>A32&amp;+(COUNTIF(A$2:A32,A32)-1)</f>
        <v>7273</v>
      </c>
      <c r="F32" s="109" t="s">
        <v>196</v>
      </c>
      <c r="G32" s="171" t="s">
        <v>323</v>
      </c>
      <c r="H32" s="171" t="s">
        <v>325</v>
      </c>
    </row>
    <row r="33" spans="1:8" x14ac:dyDescent="0.15">
      <c r="A33" s="12">
        <f>A30</f>
        <v>727</v>
      </c>
      <c r="B33" s="144" t="str">
        <f>VLOOKUP(A33,[1]characters!$A:$C,3,FALSE)</f>
        <v>真鋭の征服者 織田信長</v>
      </c>
      <c r="C33" s="109" t="s">
        <v>197</v>
      </c>
      <c r="D33" s="144"/>
      <c r="E33" s="144" t="str">
        <f>A33&amp;+(COUNTIF(A$2:A33,A33)-1)</f>
        <v>7274</v>
      </c>
      <c r="F33" s="109" t="s">
        <v>196</v>
      </c>
      <c r="G33" s="171" t="s">
        <v>307</v>
      </c>
      <c r="H33" s="171" t="s">
        <v>326</v>
      </c>
    </row>
    <row r="34" spans="1:8" x14ac:dyDescent="0.15">
      <c r="A34" s="12">
        <v>728</v>
      </c>
      <c r="B34" s="144" t="str">
        <f>VLOOKUP(A34,[1]characters!$A:$C,3,FALSE)</f>
        <v>井伊直虎</v>
      </c>
      <c r="C34" s="109" t="s">
        <v>195</v>
      </c>
      <c r="D34" s="144"/>
      <c r="E34" s="144" t="str">
        <f>A34&amp;+(COUNTIF(A$2:A34,A34)-1)</f>
        <v>7280</v>
      </c>
      <c r="F34" s="109" t="s">
        <v>196</v>
      </c>
      <c r="G34" s="171" t="s">
        <v>305</v>
      </c>
      <c r="H34" s="174" t="s">
        <v>353</v>
      </c>
    </row>
    <row r="35" spans="1:8" x14ac:dyDescent="0.15">
      <c r="A35" s="12">
        <f>A34</f>
        <v>728</v>
      </c>
      <c r="B35" s="144" t="str">
        <f>VLOOKUP(A35,[1]characters!$A:$C,3,FALSE)</f>
        <v>井伊直虎</v>
      </c>
      <c r="C35" s="109" t="s">
        <v>303</v>
      </c>
      <c r="D35" s="144"/>
      <c r="E35" s="144" t="str">
        <f>A35&amp;+(COUNTIF(A$2:A35,A35)-1)</f>
        <v>7281</v>
      </c>
      <c r="F35" s="109" t="s">
        <v>196</v>
      </c>
      <c r="G35" s="171" t="s">
        <v>305</v>
      </c>
      <c r="H35" s="171" t="s">
        <v>327</v>
      </c>
    </row>
    <row r="36" spans="1:8" x14ac:dyDescent="0.15">
      <c r="A36" s="12">
        <f>A34</f>
        <v>728</v>
      </c>
      <c r="B36" s="144" t="str">
        <f>VLOOKUP(A36,[1]characters!$A:$C,3,FALSE)</f>
        <v>井伊直虎</v>
      </c>
      <c r="C36" s="109" t="s">
        <v>304</v>
      </c>
      <c r="D36" s="144"/>
      <c r="E36" s="144" t="str">
        <f>A36&amp;+(COUNTIF(A$2:A36,A36)-1)</f>
        <v>7282</v>
      </c>
      <c r="F36" s="109" t="s">
        <v>196</v>
      </c>
      <c r="G36" s="171" t="s">
        <v>328</v>
      </c>
      <c r="H36" s="171" t="s">
        <v>329</v>
      </c>
    </row>
    <row r="37" spans="1:8" x14ac:dyDescent="0.15">
      <c r="A37" s="12">
        <f>A34+1</f>
        <v>729</v>
      </c>
      <c r="B37" s="144" t="str">
        <f>VLOOKUP(A37,[1]characters!$A:$C,3,FALSE)</f>
        <v>暗厄の双刀 井伊直虎</v>
      </c>
      <c r="C37" s="109" t="s">
        <v>195</v>
      </c>
      <c r="D37" s="144"/>
      <c r="E37" s="144" t="str">
        <f>A37&amp;+(COUNTIF(A$2:A37,A37)-1)</f>
        <v>7290</v>
      </c>
      <c r="F37" s="109" t="s">
        <v>196</v>
      </c>
      <c r="G37" s="171" t="s">
        <v>307</v>
      </c>
      <c r="H37" s="174" t="s">
        <v>352</v>
      </c>
    </row>
    <row r="38" spans="1:8" x14ac:dyDescent="0.15">
      <c r="A38" s="12">
        <f>A37</f>
        <v>729</v>
      </c>
      <c r="B38" s="144" t="str">
        <f>VLOOKUP(A38,[1]characters!$A:$C,3,FALSE)</f>
        <v>暗厄の双刀 井伊直虎</v>
      </c>
      <c r="C38" s="109" t="s">
        <v>303</v>
      </c>
      <c r="D38" s="144"/>
      <c r="E38" s="144" t="str">
        <f>A38&amp;+(COUNTIF(A$2:A38,A38)-1)</f>
        <v>7291</v>
      </c>
      <c r="F38" s="109" t="s">
        <v>196</v>
      </c>
      <c r="G38" s="171" t="s">
        <v>305</v>
      </c>
      <c r="H38" s="171" t="s">
        <v>327</v>
      </c>
    </row>
    <row r="39" spans="1:8" x14ac:dyDescent="0.15">
      <c r="A39" s="12">
        <f>A37</f>
        <v>729</v>
      </c>
      <c r="B39" s="144" t="str">
        <f>VLOOKUP(A39,[1]characters!$A:$C,3,FALSE)</f>
        <v>暗厄の双刀 井伊直虎</v>
      </c>
      <c r="C39" s="109" t="s">
        <v>304</v>
      </c>
      <c r="D39" s="144"/>
      <c r="E39" s="144" t="str">
        <f>A39&amp;+(COUNTIF(A$2:A39,A39)-1)</f>
        <v>7292</v>
      </c>
      <c r="F39" s="109" t="s">
        <v>196</v>
      </c>
      <c r="G39" s="171" t="s">
        <v>328</v>
      </c>
      <c r="H39" s="171" t="s">
        <v>329</v>
      </c>
    </row>
    <row r="40" spans="1:8" x14ac:dyDescent="0.15">
      <c r="A40" s="12">
        <f>A37</f>
        <v>729</v>
      </c>
      <c r="B40" s="144" t="str">
        <f>VLOOKUP(A40,[1]characters!$A:$C,3,FALSE)</f>
        <v>暗厄の双刀 井伊直虎</v>
      </c>
      <c r="C40" s="109" t="s">
        <v>197</v>
      </c>
      <c r="D40" s="144"/>
      <c r="E40" s="144" t="str">
        <f>A40&amp;+(COUNTIF(A$2:A40,A40)-1)</f>
        <v>7293</v>
      </c>
      <c r="F40" s="109" t="s">
        <v>196</v>
      </c>
      <c r="G40" s="171" t="s">
        <v>307</v>
      </c>
      <c r="H40" s="171" t="s">
        <v>330</v>
      </c>
    </row>
    <row r="41" spans="1:8" x14ac:dyDescent="0.15">
      <c r="A41" s="12">
        <v>730</v>
      </c>
      <c r="B41" s="144" t="str">
        <f>VLOOKUP(A41,[1]characters!$A:$C,3,FALSE)</f>
        <v>ガラシャ</v>
      </c>
      <c r="C41" s="109" t="s">
        <v>195</v>
      </c>
      <c r="D41" s="144"/>
      <c r="E41" s="144" t="str">
        <f>A41&amp;+(COUNTIF(A$2:A41,A41)-1)</f>
        <v>7300</v>
      </c>
      <c r="F41" s="109" t="s">
        <v>196</v>
      </c>
      <c r="G41" s="171" t="s">
        <v>305</v>
      </c>
      <c r="H41" s="174" t="s">
        <v>351</v>
      </c>
    </row>
    <row r="42" spans="1:8" x14ac:dyDescent="0.15">
      <c r="A42" s="12">
        <f>A41</f>
        <v>730</v>
      </c>
      <c r="B42" s="144" t="str">
        <f>VLOOKUP(A42,[1]characters!$A:$C,3,FALSE)</f>
        <v>ガラシャ</v>
      </c>
      <c r="C42" s="109" t="s">
        <v>303</v>
      </c>
      <c r="D42" s="144"/>
      <c r="E42" s="144" t="str">
        <f>A42&amp;+(COUNTIF(A$2:A42,A42)-1)</f>
        <v>7301</v>
      </c>
      <c r="F42" s="109" t="s">
        <v>196</v>
      </c>
      <c r="G42" s="171" t="s">
        <v>305</v>
      </c>
      <c r="H42" s="171" t="s">
        <v>331</v>
      </c>
    </row>
    <row r="43" spans="1:8" x14ac:dyDescent="0.15">
      <c r="A43" s="12">
        <f>A41</f>
        <v>730</v>
      </c>
      <c r="B43" s="144" t="str">
        <f>VLOOKUP(A43,[1]characters!$A:$C,3,FALSE)</f>
        <v>ガラシャ</v>
      </c>
      <c r="C43" s="109" t="s">
        <v>304</v>
      </c>
      <c r="D43" s="144"/>
      <c r="E43" s="144" t="str">
        <f>A43&amp;+(COUNTIF(A$2:A43,A43)-1)</f>
        <v>7302</v>
      </c>
      <c r="F43" s="109" t="s">
        <v>196</v>
      </c>
      <c r="G43" s="171" t="s">
        <v>305</v>
      </c>
      <c r="H43" s="171" t="s">
        <v>332</v>
      </c>
    </row>
    <row r="44" spans="1:8" x14ac:dyDescent="0.15">
      <c r="A44" s="12">
        <f>A41+1</f>
        <v>731</v>
      </c>
      <c r="B44" s="144" t="str">
        <f>VLOOKUP(A44,[1]characters!$A:$C,3,FALSE)</f>
        <v>敬虔なる追銃 ガラシャ</v>
      </c>
      <c r="C44" s="109" t="s">
        <v>195</v>
      </c>
      <c r="D44" s="144"/>
      <c r="E44" s="144" t="str">
        <f>A44&amp;+(COUNTIF(A$2:A44,A44)-1)</f>
        <v>7310</v>
      </c>
      <c r="F44" s="109" t="s">
        <v>196</v>
      </c>
      <c r="G44" s="171" t="s">
        <v>305</v>
      </c>
      <c r="H44" s="174" t="s">
        <v>350</v>
      </c>
    </row>
    <row r="45" spans="1:8" x14ac:dyDescent="0.15">
      <c r="A45" s="12">
        <f>A44</f>
        <v>731</v>
      </c>
      <c r="B45" s="144" t="str">
        <f>VLOOKUP(A45,[1]characters!$A:$C,3,FALSE)</f>
        <v>敬虔なる追銃 ガラシャ</v>
      </c>
      <c r="C45" s="109" t="s">
        <v>303</v>
      </c>
      <c r="D45" s="144"/>
      <c r="E45" s="144" t="str">
        <f>A45&amp;+(COUNTIF(A$2:A45,A45)-1)</f>
        <v>7311</v>
      </c>
      <c r="F45" s="109" t="s">
        <v>196</v>
      </c>
      <c r="G45" s="171" t="s">
        <v>334</v>
      </c>
      <c r="H45" s="171" t="s">
        <v>331</v>
      </c>
    </row>
    <row r="46" spans="1:8" x14ac:dyDescent="0.15">
      <c r="A46" s="12">
        <f>A44</f>
        <v>731</v>
      </c>
      <c r="B46" s="144" t="str">
        <f>VLOOKUP(A46,[1]characters!$A:$C,3,FALSE)</f>
        <v>敬虔なる追銃 ガラシャ</v>
      </c>
      <c r="C46" s="109" t="s">
        <v>304</v>
      </c>
      <c r="D46" s="144"/>
      <c r="E46" s="144" t="str">
        <f>A46&amp;+(COUNTIF(A$2:A46,A46)-1)</f>
        <v>7312</v>
      </c>
      <c r="F46" s="109" t="s">
        <v>196</v>
      </c>
      <c r="G46" s="171" t="s">
        <v>334</v>
      </c>
      <c r="H46" s="171" t="s">
        <v>332</v>
      </c>
    </row>
    <row r="47" spans="1:8" x14ac:dyDescent="0.15">
      <c r="A47" s="12">
        <f>A44</f>
        <v>731</v>
      </c>
      <c r="B47" s="144" t="str">
        <f>VLOOKUP(A47,[1]characters!$A:$C,3,FALSE)</f>
        <v>敬虔なる追銃 ガラシャ</v>
      </c>
      <c r="C47" s="109" t="s">
        <v>197</v>
      </c>
      <c r="D47" s="144"/>
      <c r="E47" s="144" t="str">
        <f>A47&amp;+(COUNTIF(A$2:A47,A47)-1)</f>
        <v>7313</v>
      </c>
      <c r="F47" s="109" t="s">
        <v>196</v>
      </c>
      <c r="G47" s="171" t="s">
        <v>335</v>
      </c>
      <c r="H47" s="171" t="s">
        <v>333</v>
      </c>
    </row>
    <row r="48" spans="1:8" x14ac:dyDescent="0.15">
      <c r="A48" s="12">
        <v>732</v>
      </c>
      <c r="B48" s="144" t="str">
        <f>VLOOKUP(A48,[1]characters!$A:$C,3,FALSE)</f>
        <v>上杉謙信</v>
      </c>
      <c r="C48" s="109" t="s">
        <v>195</v>
      </c>
      <c r="D48" s="144"/>
      <c r="E48" s="144" t="str">
        <f>A48&amp;+(COUNTIF(A$2:A48,A48)-1)</f>
        <v>7320</v>
      </c>
      <c r="F48" s="109" t="s">
        <v>196</v>
      </c>
      <c r="G48" s="171" t="s">
        <v>307</v>
      </c>
      <c r="H48" s="174" t="s">
        <v>349</v>
      </c>
    </row>
    <row r="49" spans="1:8" x14ac:dyDescent="0.15">
      <c r="A49" s="12">
        <f>A48</f>
        <v>732</v>
      </c>
      <c r="B49" s="144" t="str">
        <f>VLOOKUP(A49,[1]characters!$A:$C,3,FALSE)</f>
        <v>上杉謙信</v>
      </c>
      <c r="C49" s="109" t="s">
        <v>303</v>
      </c>
      <c r="D49" s="144"/>
      <c r="E49" s="144" t="str">
        <f>A49&amp;+(COUNTIF(A$2:A49,A49)-1)</f>
        <v>7321</v>
      </c>
      <c r="F49" s="109" t="s">
        <v>196</v>
      </c>
      <c r="G49" s="171" t="s">
        <v>334</v>
      </c>
      <c r="H49" s="171" t="s">
        <v>336</v>
      </c>
    </row>
    <row r="50" spans="1:8" x14ac:dyDescent="0.15">
      <c r="A50" s="12">
        <f>A48</f>
        <v>732</v>
      </c>
      <c r="B50" s="144" t="str">
        <f>VLOOKUP(A50,[1]characters!$A:$C,3,FALSE)</f>
        <v>上杉謙信</v>
      </c>
      <c r="C50" s="109" t="s">
        <v>304</v>
      </c>
      <c r="D50" s="144"/>
      <c r="E50" s="144" t="str">
        <f>A50&amp;+(COUNTIF(A$2:A50,A50)-1)</f>
        <v>7322</v>
      </c>
      <c r="F50" s="109" t="s">
        <v>196</v>
      </c>
      <c r="G50" s="171" t="s">
        <v>337</v>
      </c>
      <c r="H50" s="171" t="s">
        <v>338</v>
      </c>
    </row>
    <row r="51" spans="1:8" x14ac:dyDescent="0.15">
      <c r="A51" s="12">
        <f>A49</f>
        <v>732</v>
      </c>
      <c r="B51" s="144" t="str">
        <f>VLOOKUP(A51,[1]characters!$A:$C,3,FALSE)</f>
        <v>上杉謙信</v>
      </c>
      <c r="C51" s="109" t="s">
        <v>304</v>
      </c>
      <c r="D51" s="144"/>
      <c r="E51" s="144" t="str">
        <f>A51&amp;+(COUNTIF(A$2:A51,A51)-1)</f>
        <v>7323</v>
      </c>
      <c r="F51" s="109" t="s">
        <v>196</v>
      </c>
      <c r="G51" s="171" t="s">
        <v>335</v>
      </c>
      <c r="H51" s="171" t="s">
        <v>339</v>
      </c>
    </row>
    <row r="52" spans="1:8" x14ac:dyDescent="0.15">
      <c r="A52" s="12">
        <f>A48+1</f>
        <v>733</v>
      </c>
      <c r="B52" s="144" t="str">
        <f>VLOOKUP(A52,[1]characters!$A:$C,3,FALSE)</f>
        <v>夢幻の千刃 上杉謙信</v>
      </c>
      <c r="C52" s="109" t="s">
        <v>195</v>
      </c>
      <c r="D52" s="144"/>
      <c r="E52" s="144" t="str">
        <f>A52&amp;+(COUNTIF(A$2:A52,A52)-1)</f>
        <v>7330</v>
      </c>
      <c r="F52" s="109" t="s">
        <v>196</v>
      </c>
      <c r="G52" s="171" t="s">
        <v>305</v>
      </c>
      <c r="H52" s="174" t="s">
        <v>348</v>
      </c>
    </row>
    <row r="53" spans="1:8" x14ac:dyDescent="0.15">
      <c r="A53" s="12">
        <f>A52</f>
        <v>733</v>
      </c>
      <c r="B53" s="144" t="str">
        <f>VLOOKUP(A53,[1]characters!$A:$C,3,FALSE)</f>
        <v>夢幻の千刃 上杉謙信</v>
      </c>
      <c r="C53" s="109" t="s">
        <v>303</v>
      </c>
      <c r="D53" s="144"/>
      <c r="E53" s="144" t="str">
        <f>A53&amp;+(COUNTIF(A$2:A53,A53)-1)</f>
        <v>7331</v>
      </c>
      <c r="F53" s="109" t="s">
        <v>196</v>
      </c>
      <c r="G53" s="171" t="s">
        <v>305</v>
      </c>
      <c r="H53" s="171" t="s">
        <v>336</v>
      </c>
    </row>
    <row r="54" spans="1:8" x14ac:dyDescent="0.15">
      <c r="A54" s="12">
        <f>A52</f>
        <v>733</v>
      </c>
      <c r="B54" s="144" t="str">
        <f>VLOOKUP(A54,[1]characters!$A:$C,3,FALSE)</f>
        <v>夢幻の千刃 上杉謙信</v>
      </c>
      <c r="C54" s="109" t="s">
        <v>304</v>
      </c>
      <c r="D54" s="144"/>
      <c r="E54" s="144" t="str">
        <f>A54&amp;+(COUNTIF(A$2:A54,A54)-1)</f>
        <v>7332</v>
      </c>
      <c r="F54" s="109" t="s">
        <v>196</v>
      </c>
      <c r="G54" s="171" t="s">
        <v>328</v>
      </c>
      <c r="H54" s="171" t="s">
        <v>340</v>
      </c>
    </row>
    <row r="55" spans="1:8" x14ac:dyDescent="0.15">
      <c r="A55" s="12">
        <f>A52</f>
        <v>733</v>
      </c>
      <c r="B55" s="144" t="str">
        <f>VLOOKUP(A55,[1]characters!$A:$C,3,FALSE)</f>
        <v>夢幻の千刃 上杉謙信</v>
      </c>
      <c r="C55" s="109" t="s">
        <v>197</v>
      </c>
      <c r="D55" s="144"/>
      <c r="E55" s="144" t="str">
        <f>A55&amp;+(COUNTIF(A$2:A55,A55)-1)</f>
        <v>7333</v>
      </c>
      <c r="F55" s="109" t="s">
        <v>196</v>
      </c>
      <c r="G55" s="171" t="s">
        <v>307</v>
      </c>
      <c r="H55" s="171" t="s">
        <v>339</v>
      </c>
    </row>
    <row r="56" spans="1:8" x14ac:dyDescent="0.15">
      <c r="A56" s="12">
        <f>A53</f>
        <v>733</v>
      </c>
      <c r="B56" s="144" t="str">
        <f>VLOOKUP(A56,[1]characters!$A:$C,3,FALSE)</f>
        <v>夢幻の千刃 上杉謙信</v>
      </c>
      <c r="C56" s="109" t="s">
        <v>197</v>
      </c>
      <c r="D56" s="144"/>
      <c r="E56" s="144" t="str">
        <f>A56&amp;+(COUNTIF(A$2:A56,A56)-1)</f>
        <v>7334</v>
      </c>
      <c r="F56" s="109" t="s">
        <v>196</v>
      </c>
      <c r="G56" s="172" t="s">
        <v>305</v>
      </c>
      <c r="H56" s="172" t="s">
        <v>341</v>
      </c>
    </row>
    <row r="57" spans="1:8" x14ac:dyDescent="0.15">
      <c r="A57" s="12">
        <v>734</v>
      </c>
      <c r="B57" s="144" t="str">
        <f>VLOOKUP(A57,[1]characters!$A:$C,3,FALSE)</f>
        <v>伊達政宗</v>
      </c>
      <c r="C57" s="109" t="s">
        <v>195</v>
      </c>
      <c r="D57" s="144"/>
      <c r="E57" s="144" t="str">
        <f>A57&amp;+(COUNTIF(A$2:A57,A57)-1)</f>
        <v>7340</v>
      </c>
      <c r="F57" s="109" t="s">
        <v>196</v>
      </c>
      <c r="G57" s="171" t="s">
        <v>328</v>
      </c>
      <c r="H57" s="174" t="s">
        <v>347</v>
      </c>
    </row>
    <row r="58" spans="1:8" x14ac:dyDescent="0.15">
      <c r="A58" s="12">
        <f>A57</f>
        <v>734</v>
      </c>
      <c r="B58" s="144" t="str">
        <f>VLOOKUP(A58,[1]characters!$A:$C,3,FALSE)</f>
        <v>伊達政宗</v>
      </c>
      <c r="C58" s="109" t="s">
        <v>303</v>
      </c>
      <c r="D58" s="144"/>
      <c r="E58" s="144" t="str">
        <f>A58&amp;+(COUNTIF(A$2:A58,A58)-1)</f>
        <v>7341</v>
      </c>
      <c r="F58" s="109" t="s">
        <v>196</v>
      </c>
      <c r="G58" s="171" t="s">
        <v>305</v>
      </c>
      <c r="H58" s="171" t="s">
        <v>342</v>
      </c>
    </row>
    <row r="59" spans="1:8" x14ac:dyDescent="0.15">
      <c r="A59" s="12">
        <f>A57</f>
        <v>734</v>
      </c>
      <c r="B59" s="144" t="str">
        <f>VLOOKUP(A59,[1]characters!$A:$C,3,FALSE)</f>
        <v>伊達政宗</v>
      </c>
      <c r="C59" s="109" t="s">
        <v>304</v>
      </c>
      <c r="D59" s="144"/>
      <c r="E59" s="144" t="str">
        <f>A59&amp;+(COUNTIF(A$2:A59,A59)-1)</f>
        <v>7342</v>
      </c>
      <c r="F59" s="109" t="s">
        <v>196</v>
      </c>
      <c r="G59" s="171" t="s">
        <v>305</v>
      </c>
      <c r="H59" s="171" t="s">
        <v>343</v>
      </c>
    </row>
    <row r="60" spans="1:8" x14ac:dyDescent="0.15">
      <c r="A60" s="12">
        <f>A58</f>
        <v>734</v>
      </c>
      <c r="B60" s="144" t="str">
        <f>VLOOKUP(A60,[1]characters!$A:$C,3,FALSE)</f>
        <v>伊達政宗</v>
      </c>
      <c r="C60" s="109" t="s">
        <v>304</v>
      </c>
      <c r="D60" s="144"/>
      <c r="E60" s="144" t="str">
        <f>A60&amp;+(COUNTIF(A$2:A60,A60)-1)</f>
        <v>7343</v>
      </c>
      <c r="F60" s="109" t="s">
        <v>196</v>
      </c>
      <c r="G60" s="171" t="s">
        <v>307</v>
      </c>
      <c r="H60" s="171" t="s">
        <v>344</v>
      </c>
    </row>
    <row r="61" spans="1:8" x14ac:dyDescent="0.15">
      <c r="A61" s="12">
        <f>A57+1</f>
        <v>735</v>
      </c>
      <c r="B61" s="144" t="str">
        <f>VLOOKUP(A61,[1]characters!$A:$C,3,FALSE)</f>
        <v>破天の隻眼 伊達政宗</v>
      </c>
      <c r="C61" s="109" t="s">
        <v>195</v>
      </c>
      <c r="D61" s="144"/>
      <c r="E61" s="144" t="str">
        <f>A61&amp;+(COUNTIF(A$2:A61,A61)-1)</f>
        <v>7350</v>
      </c>
      <c r="F61" s="109" t="s">
        <v>196</v>
      </c>
      <c r="G61" s="171" t="s">
        <v>307</v>
      </c>
      <c r="H61" s="174" t="s">
        <v>346</v>
      </c>
    </row>
    <row r="62" spans="1:8" x14ac:dyDescent="0.15">
      <c r="A62" s="12">
        <f>A61</f>
        <v>735</v>
      </c>
      <c r="B62" s="144" t="str">
        <f>VLOOKUP(A62,[1]characters!$A:$C,3,FALSE)</f>
        <v>破天の隻眼 伊達政宗</v>
      </c>
      <c r="C62" s="109" t="s">
        <v>303</v>
      </c>
      <c r="D62" s="144"/>
      <c r="E62" s="144" t="str">
        <f>A62&amp;+(COUNTIF(A$2:A62,A62)-1)</f>
        <v>7351</v>
      </c>
      <c r="F62" s="109" t="s">
        <v>196</v>
      </c>
      <c r="G62" s="171" t="s">
        <v>305</v>
      </c>
      <c r="H62" s="171" t="s">
        <v>342</v>
      </c>
    </row>
    <row r="63" spans="1:8" x14ac:dyDescent="0.15">
      <c r="A63" s="12">
        <f>A61</f>
        <v>735</v>
      </c>
      <c r="B63" s="144" t="str">
        <f>VLOOKUP(A63,[1]characters!$A:$C,3,FALSE)</f>
        <v>破天の隻眼 伊達政宗</v>
      </c>
      <c r="C63" s="109" t="s">
        <v>304</v>
      </c>
      <c r="D63" s="144"/>
      <c r="E63" s="144" t="str">
        <f>A63&amp;+(COUNTIF(A$2:A63,A63)-1)</f>
        <v>7352</v>
      </c>
      <c r="F63" s="109" t="s">
        <v>196</v>
      </c>
      <c r="G63" s="171" t="s">
        <v>305</v>
      </c>
      <c r="H63" s="171" t="s">
        <v>343</v>
      </c>
    </row>
    <row r="64" spans="1:8" x14ac:dyDescent="0.15">
      <c r="A64" s="12">
        <f>A61</f>
        <v>735</v>
      </c>
      <c r="B64" s="144" t="str">
        <f>VLOOKUP(A64,[1]characters!$A:$C,3,FALSE)</f>
        <v>破天の隻眼 伊達政宗</v>
      </c>
      <c r="C64" s="109" t="s">
        <v>197</v>
      </c>
      <c r="D64" s="144"/>
      <c r="E64" s="144" t="str">
        <f>A64&amp;+(COUNTIF(A$2:A64,A64)-1)</f>
        <v>7353</v>
      </c>
      <c r="F64" s="109" t="s">
        <v>196</v>
      </c>
      <c r="G64" s="171" t="s">
        <v>307</v>
      </c>
      <c r="H64" s="171" t="s">
        <v>344</v>
      </c>
    </row>
    <row r="65" spans="1:8" x14ac:dyDescent="0.15">
      <c r="A65" s="12">
        <f>A62</f>
        <v>735</v>
      </c>
      <c r="B65" s="144" t="str">
        <f>VLOOKUP(A65,[1]characters!$A:$C,3,FALSE)</f>
        <v>破天の隻眼 伊達政宗</v>
      </c>
      <c r="C65" s="109" t="s">
        <v>197</v>
      </c>
      <c r="D65" s="144"/>
      <c r="E65" s="144" t="str">
        <f>A65&amp;+(COUNTIF(A$2:A65,A65)-1)</f>
        <v>7354</v>
      </c>
      <c r="F65" s="109" t="s">
        <v>196</v>
      </c>
      <c r="G65" s="171" t="s">
        <v>307</v>
      </c>
      <c r="H65" s="171" t="s">
        <v>345</v>
      </c>
    </row>
  </sheetData>
  <phoneticPr fontId="22"/>
  <dataValidations count="2">
    <dataValidation type="list" allowBlank="1" showInputMessage="1" showErrorMessage="1" sqref="G2:G5 G57:G61 G15:G20 G25:G32 G34:G37 G41:G44 G48:G52 G8:G12">
      <formula1>"maru,giza,kumo"</formula1>
    </dataValidation>
    <dataValidation type="list" allowBlank="1" showInputMessage="1" showErrorMessage="1" sqref="C2:C65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30"/>
  <sheetViews>
    <sheetView showGridLines="0" workbookViewId="0">
      <pane ySplit="1" topLeftCell="A2" activePane="bottomLeft" state="frozen"/>
      <selection pane="bottomLeft" activeCell="D25" sqref="D25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5" t="s">
        <v>99</v>
      </c>
      <c r="B1" s="42" t="s">
        <v>38</v>
      </c>
      <c r="C1" s="20" t="s">
        <v>40</v>
      </c>
      <c r="D1" s="20" t="s">
        <v>42</v>
      </c>
      <c r="E1" s="20" t="s">
        <v>43</v>
      </c>
      <c r="F1" s="43" t="s">
        <v>36</v>
      </c>
      <c r="G1" s="20" t="s">
        <v>41</v>
      </c>
      <c r="H1" s="19" t="s">
        <v>37</v>
      </c>
      <c r="I1" s="114" t="s">
        <v>127</v>
      </c>
    </row>
    <row r="2" spans="1:9" ht="21" customHeight="1" x14ac:dyDescent="0.15">
      <c r="A2" s="65" t="str">
        <f>B2&amp;"_"&amp;F2</f>
        <v>720_720</v>
      </c>
      <c r="B2" s="44">
        <v>720</v>
      </c>
      <c r="C2" s="21" t="str">
        <f ca="1">VLOOKUP(B2,units!A:B,2)</f>
        <v>直江兼続</v>
      </c>
      <c r="D2" s="21">
        <f ca="1">VLOOKUP($B2,OFFSET(units!$A$1,0,0,COUNTA(units!$A:$A),MATCH(D$1,units!$1:$1,0)-COLUMN(INDIRECT("character_id"))+1),MATCH(D$1,units!$1:$1,0)-COLUMN(INDIRECT("character_id"))+1,FALSE)</f>
        <v>4</v>
      </c>
      <c r="E2" s="21" t="str">
        <f ca="1">VLOOKUP($B2,OFFSET(units!$A$1,0,0,COUNTA(units!$A:$A),MATCH(E$1,units!$1:$1,0)-COLUMN(INDIRECT("character_id"))+1),MATCH(E$1,units!$1:$1,0)-COLUMN(INDIRECT("character_id"))+1,FALSE)</f>
        <v>Drop2N</v>
      </c>
      <c r="F2" s="44">
        <v>720</v>
      </c>
      <c r="G2" s="21" t="str">
        <f>VLOOKUP(F2,[1]characters!$A:$C,3,FALSE)</f>
        <v>直江兼続</v>
      </c>
      <c r="H2" s="18">
        <v>1</v>
      </c>
      <c r="I2" s="115">
        <v>10</v>
      </c>
    </row>
    <row r="3" spans="1:9" x14ac:dyDescent="0.15">
      <c r="A3" s="65" t="str">
        <f t="shared" ref="A3:A6" si="0">B3&amp;"_"&amp;F3</f>
        <v>722_116</v>
      </c>
      <c r="B3" s="169">
        <v>722</v>
      </c>
      <c r="C3" s="21" t="str">
        <f ca="1">VLOOKUP(B3,units!A:B,2)</f>
        <v>森蘭丸</v>
      </c>
      <c r="D3" s="21">
        <f ca="1">VLOOKUP($B3,OFFSET(units!$A$1,0,0,COUNTA(units!$A:$A),MATCH(D$1,units!$1:$1,0)-COLUMN(INDIRECT("character_id"))+1),MATCH(D$1,units!$1:$1,0)-COLUMN(INDIRECT("character_id"))+1,FALSE)</f>
        <v>4</v>
      </c>
      <c r="E3" s="21" t="str">
        <f ca="1">VLOOKUP($B3,OFFSET(units!$A$1,0,0,COUNTA(units!$A:$A),MATCH(E$1,units!$1:$1,0)-COLUMN(INDIRECT("character_id"))+1),MATCH(E$1,units!$1:$1,0)-COLUMN(INDIRECT("character_id"))+1,FALSE)</f>
        <v>Drop2N</v>
      </c>
      <c r="F3" s="44">
        <v>116</v>
      </c>
      <c r="G3" s="21" t="str">
        <f>VLOOKUP(F3,[1]characters!$A:$C,3,FALSE)</f>
        <v>雷のマッドハッター</v>
      </c>
      <c r="H3" s="18">
        <v>1</v>
      </c>
      <c r="I3" s="115">
        <v>1</v>
      </c>
    </row>
    <row r="4" spans="1:9" x14ac:dyDescent="0.15">
      <c r="A4" s="65" t="str">
        <f t="shared" si="0"/>
        <v>722_115</v>
      </c>
      <c r="B4" s="169">
        <v>722</v>
      </c>
      <c r="C4" s="21" t="str">
        <f ca="1">VLOOKUP(B4,units!A:B,2)</f>
        <v>森蘭丸</v>
      </c>
      <c r="D4" s="21">
        <f ca="1">VLOOKUP($B4,OFFSET(units!$A$1,0,0,COUNTA(units!$A:$A),MATCH(D$1,units!$1:$1,0)-COLUMN(INDIRECT("character_id"))+1),MATCH(D$1,units!$1:$1,0)-COLUMN(INDIRECT("character_id"))+1,FALSE)</f>
        <v>4</v>
      </c>
      <c r="E4" s="21" t="str">
        <f ca="1">VLOOKUP($B4,OFFSET(units!$A$1,0,0,COUNTA(units!$A:$A),MATCH(E$1,units!$1:$1,0)-COLUMN(INDIRECT("character_id"))+1),MATCH(E$1,units!$1:$1,0)-COLUMN(INDIRECT("character_id"))+1,FALSE)</f>
        <v>Drop2N</v>
      </c>
      <c r="F4" s="44">
        <v>115</v>
      </c>
      <c r="G4" s="21" t="str">
        <f>VLOOKUP(F4,[1]characters!$A:$C,3,FALSE)</f>
        <v>イエローキャタップ</v>
      </c>
      <c r="H4" s="18">
        <v>1</v>
      </c>
      <c r="I4" s="115">
        <v>1</v>
      </c>
    </row>
    <row r="5" spans="1:9" x14ac:dyDescent="0.15">
      <c r="A5" s="65" t="str">
        <f t="shared" si="0"/>
        <v>722_114</v>
      </c>
      <c r="B5" s="169">
        <v>722</v>
      </c>
      <c r="C5" s="21" t="str">
        <f ca="1">VLOOKUP(B5,units!A:B,2)</f>
        <v>森蘭丸</v>
      </c>
      <c r="D5" s="21">
        <f ca="1">VLOOKUP($B5,OFFSET(units!$A$1,0,0,COUNTA(units!$A:$A),MATCH(D$1,units!$1:$1,0)-COLUMN(INDIRECT("character_id"))+1),MATCH(D$1,units!$1:$1,0)-COLUMN(INDIRECT("character_id"))+1,FALSE)</f>
        <v>4</v>
      </c>
      <c r="E5" s="21" t="str">
        <f ca="1">VLOOKUP($B5,OFFSET(units!$A$1,0,0,COUNTA(units!$A:$A),MATCH(E$1,units!$1:$1,0)-COLUMN(INDIRECT("character_id"))+1),MATCH(E$1,units!$1:$1,0)-COLUMN(INDIRECT("character_id"))+1,FALSE)</f>
        <v>Drop2N</v>
      </c>
      <c r="F5" s="44">
        <v>114</v>
      </c>
      <c r="G5" s="21" t="str">
        <f>VLOOKUP(F5,[1]characters!$A:$C,3,FALSE)</f>
        <v>イエローラビット</v>
      </c>
      <c r="H5" s="18">
        <v>2</v>
      </c>
      <c r="I5" s="115">
        <v>1</v>
      </c>
    </row>
    <row r="6" spans="1:9" x14ac:dyDescent="0.15">
      <c r="A6" s="65" t="str">
        <f t="shared" si="0"/>
        <v>722_113</v>
      </c>
      <c r="B6" s="169">
        <v>722</v>
      </c>
      <c r="C6" s="21" t="str">
        <f ca="1">VLOOKUP(B6,units!A:B,2)</f>
        <v>森蘭丸</v>
      </c>
      <c r="D6" s="21">
        <f ca="1">VLOOKUP($B6,OFFSET(units!$A$1,0,0,COUNTA(units!$A:$A),MATCH(D$1,units!$1:$1,0)-COLUMN(INDIRECT("character_id"))+1),MATCH(D$1,units!$1:$1,0)-COLUMN(INDIRECT("character_id"))+1,FALSE)</f>
        <v>4</v>
      </c>
      <c r="E6" s="21" t="str">
        <f ca="1">VLOOKUP($B6,OFFSET(units!$A$1,0,0,COUNTA(units!$A:$A),MATCH(E$1,units!$1:$1,0)-COLUMN(INDIRECT("character_id"))+1),MATCH(E$1,units!$1:$1,0)-COLUMN(INDIRECT("character_id"))+1,FALSE)</f>
        <v>Drop2N</v>
      </c>
      <c r="F6" s="44">
        <v>113</v>
      </c>
      <c r="G6" s="21" t="str">
        <f>VLOOKUP(F6,[1]characters!$A:$C,3,FALSE)</f>
        <v>イエローチェシャ</v>
      </c>
      <c r="H6" s="18">
        <v>1</v>
      </c>
      <c r="I6" s="115">
        <v>1</v>
      </c>
    </row>
    <row r="7" spans="1:9" ht="21" customHeight="1" x14ac:dyDescent="0.15">
      <c r="A7" s="65" t="str">
        <f>B7&amp;"_"&amp;F7</f>
        <v>724_720</v>
      </c>
      <c r="B7" s="44">
        <v>724</v>
      </c>
      <c r="C7" s="21" t="str">
        <f ca="1">VLOOKUP(B7,units!A:B,2)</f>
        <v>武田信玄</v>
      </c>
      <c r="D7" s="21">
        <f ca="1">VLOOKUP($B7,OFFSET(units!$A$1,0,0,COUNTA(units!$A:$A),MATCH(D$1,units!$1:$1,0)-COLUMN(INDIRECT("character_id"))+1),MATCH(D$1,units!$1:$1,0)-COLUMN(INDIRECT("character_id"))+1,FALSE)</f>
        <v>5</v>
      </c>
      <c r="E7" s="21" t="str">
        <f ca="1">VLOOKUP($B7,OFFSET(units!$A$1,0,0,COUNTA(units!$A:$A),MATCH(E$1,units!$1:$1,0)-COLUMN(INDIRECT("character_id"))+1),MATCH(E$1,units!$1:$1,0)-COLUMN(INDIRECT("character_id"))+1,FALSE)</f>
        <v>DropWizS</v>
      </c>
      <c r="F7" s="44">
        <v>720</v>
      </c>
      <c r="G7" s="21" t="str">
        <f>VLOOKUP(F7,[1]characters!$A:$C,3,FALSE)</f>
        <v>直江兼続</v>
      </c>
      <c r="H7" s="18">
        <v>1</v>
      </c>
      <c r="I7" s="115">
        <v>3</v>
      </c>
    </row>
    <row r="8" spans="1:9" ht="21" customHeight="1" x14ac:dyDescent="0.15">
      <c r="A8" s="65" t="str">
        <f>B8&amp;"_"&amp;F8</f>
        <v>724_722</v>
      </c>
      <c r="B8" s="44">
        <v>724</v>
      </c>
      <c r="C8" s="21" t="str">
        <f ca="1">VLOOKUP(B8,units!A:B,2)</f>
        <v>武田信玄</v>
      </c>
      <c r="D8" s="21">
        <f ca="1">VLOOKUP($B8,OFFSET(units!$A$1,0,0,COUNTA(units!$A:$A),MATCH(D$1,units!$1:$1,0)-COLUMN(INDIRECT("character_id"))+1),MATCH(D$1,units!$1:$1,0)-COLUMN(INDIRECT("character_id"))+1,FALSE)</f>
        <v>5</v>
      </c>
      <c r="E8" s="21" t="str">
        <f ca="1">VLOOKUP($B8,OFFSET(units!$A$1,0,0,COUNTA(units!$A:$A),MATCH(E$1,units!$1:$1,0)-COLUMN(INDIRECT("character_id"))+1),MATCH(E$1,units!$1:$1,0)-COLUMN(INDIRECT("character_id"))+1,FALSE)</f>
        <v>DropWizS</v>
      </c>
      <c r="F8" s="44">
        <v>722</v>
      </c>
      <c r="G8" s="21" t="str">
        <f>VLOOKUP(F8,[1]characters!$A:$C,3,FALSE)</f>
        <v>森蘭丸</v>
      </c>
      <c r="H8" s="18">
        <v>1</v>
      </c>
      <c r="I8" s="115">
        <v>2</v>
      </c>
    </row>
    <row r="9" spans="1:9" ht="21" customHeight="1" x14ac:dyDescent="0.15">
      <c r="A9" s="65" t="str">
        <f t="shared" ref="A9:A25" si="1">B9&amp;"_"&amp;F9</f>
        <v>724_837</v>
      </c>
      <c r="B9" s="44">
        <v>724</v>
      </c>
      <c r="C9" s="21" t="str">
        <f ca="1">VLOOKUP(B9,units!A:B,2)</f>
        <v>武田信玄</v>
      </c>
      <c r="D9" s="21">
        <f ca="1">VLOOKUP($B9,OFFSET(units!$A$1,0,0,COUNTA(units!$A:$A),MATCH(D$1,units!$1:$1,0)-COLUMN(INDIRECT("character_id"))+1),MATCH(D$1,units!$1:$1,0)-COLUMN(INDIRECT("character_id"))+1,FALSE)</f>
        <v>5</v>
      </c>
      <c r="E9" s="21" t="str">
        <f ca="1">VLOOKUP($B9,OFFSET(units!$A$1,0,0,COUNTA(units!$A:$A),MATCH(E$1,units!$1:$1,0)-COLUMN(INDIRECT("character_id"))+1),MATCH(E$1,units!$1:$1,0)-COLUMN(INDIRECT("character_id"))+1,FALSE)</f>
        <v>DropWizS</v>
      </c>
      <c r="F9" s="44">
        <v>837</v>
      </c>
      <c r="G9" s="21" t="str">
        <f>VLOOKUP(F9,[1]characters!$A:$C,3,FALSE)</f>
        <v>リトルハンプティ</v>
      </c>
      <c r="H9" s="18">
        <v>1</v>
      </c>
      <c r="I9" s="115">
        <v>1</v>
      </c>
    </row>
    <row r="10" spans="1:9" ht="21" customHeight="1" x14ac:dyDescent="0.15">
      <c r="A10" s="65" t="str">
        <f t="shared" si="1"/>
        <v>728_104</v>
      </c>
      <c r="B10" s="44">
        <v>728</v>
      </c>
      <c r="C10" s="21" t="str">
        <f ca="1">VLOOKUP(B10,units!A:B,2)</f>
        <v>井伊直虎</v>
      </c>
      <c r="D10" s="21">
        <f ca="1">VLOOKUP($B10,OFFSET(units!$A$1,0,0,COUNTA(units!$A:$A),MATCH(D$1,units!$1:$1,0)-COLUMN(INDIRECT("character_id"))+1),MATCH(D$1,units!$1:$1,0)-COLUMN(INDIRECT("character_id"))+1,FALSE)</f>
        <v>4</v>
      </c>
      <c r="E10" s="21" t="str">
        <f ca="1">VLOOKUP($B10,OFFSET(units!$A$1,0,0,COUNTA(units!$A:$A),MATCH(E$1,units!$1:$1,0)-COLUMN(INDIRECT("character_id"))+1),MATCH(E$1,units!$1:$1,0)-COLUMN(INDIRECT("character_id"))+1,FALSE)</f>
        <v>PremiumS</v>
      </c>
      <c r="F10" s="44">
        <v>104</v>
      </c>
      <c r="G10" s="21" t="str">
        <f>VLOOKUP(F10,[1]characters!$A:$C,3,FALSE)</f>
        <v>炎のマッドハッター</v>
      </c>
      <c r="H10" s="18">
        <v>2</v>
      </c>
      <c r="I10" s="115">
        <v>1</v>
      </c>
    </row>
    <row r="11" spans="1:9" ht="21" customHeight="1" x14ac:dyDescent="0.15">
      <c r="A11" s="65" t="str">
        <f t="shared" si="1"/>
        <v>728_103</v>
      </c>
      <c r="B11" s="44">
        <v>728</v>
      </c>
      <c r="C11" s="21" t="str">
        <f ca="1">VLOOKUP(B11,units!A:B,2)</f>
        <v>井伊直虎</v>
      </c>
      <c r="D11" s="21">
        <f ca="1">VLOOKUP($B11,OFFSET(units!$A$1,0,0,COUNTA(units!$A:$A),MATCH(D$1,units!$1:$1,0)-COLUMN(INDIRECT("character_id"))+1),MATCH(D$1,units!$1:$1,0)-COLUMN(INDIRECT("character_id"))+1,FALSE)</f>
        <v>4</v>
      </c>
      <c r="E11" s="21" t="str">
        <f ca="1">VLOOKUP($B11,OFFSET(units!$A$1,0,0,COUNTA(units!$A:$A),MATCH(E$1,units!$1:$1,0)-COLUMN(INDIRECT("character_id"))+1),MATCH(E$1,units!$1:$1,0)-COLUMN(INDIRECT("character_id"))+1,FALSE)</f>
        <v>PremiumS</v>
      </c>
      <c r="F11" s="44">
        <v>103</v>
      </c>
      <c r="G11" s="21" t="str">
        <f>VLOOKUP(F11,[1]characters!$A:$C,3,FALSE)</f>
        <v>レッドキャタップ</v>
      </c>
      <c r="H11" s="18">
        <v>2</v>
      </c>
      <c r="I11" s="115">
        <v>1</v>
      </c>
    </row>
    <row r="12" spans="1:9" ht="21" customHeight="1" x14ac:dyDescent="0.15">
      <c r="A12" s="65" t="str">
        <f t="shared" si="1"/>
        <v>728_102</v>
      </c>
      <c r="B12" s="44">
        <v>728</v>
      </c>
      <c r="C12" s="21" t="str">
        <f ca="1">VLOOKUP(B12,units!A:B,2)</f>
        <v>井伊直虎</v>
      </c>
      <c r="D12" s="21">
        <f ca="1">VLOOKUP($B12,OFFSET(units!$A$1,0,0,COUNTA(units!$A:$A),MATCH(D$1,units!$1:$1,0)-COLUMN(INDIRECT("character_id"))+1),MATCH(D$1,units!$1:$1,0)-COLUMN(INDIRECT("character_id"))+1,FALSE)</f>
        <v>4</v>
      </c>
      <c r="E12" s="21" t="str">
        <f ca="1">VLOOKUP($B12,OFFSET(units!$A$1,0,0,COUNTA(units!$A:$A),MATCH(E$1,units!$1:$1,0)-COLUMN(INDIRECT("character_id"))+1),MATCH(E$1,units!$1:$1,0)-COLUMN(INDIRECT("character_id"))+1,FALSE)</f>
        <v>PremiumS</v>
      </c>
      <c r="F12" s="44">
        <v>102</v>
      </c>
      <c r="G12" s="21" t="str">
        <f>VLOOKUP(F12,[1]characters!$A:$C,3,FALSE)</f>
        <v>レッドラビット</v>
      </c>
      <c r="H12" s="18">
        <v>1</v>
      </c>
      <c r="I12" s="115">
        <v>1</v>
      </c>
    </row>
    <row r="13" spans="1:9" ht="21" customHeight="1" x14ac:dyDescent="0.15">
      <c r="A13" s="65" t="str">
        <f t="shared" si="1"/>
        <v>730_108</v>
      </c>
      <c r="B13" s="44">
        <v>730</v>
      </c>
      <c r="C13" s="21" t="str">
        <f ca="1">VLOOKUP(B13,units!A:B,2)</f>
        <v>ガラシャ</v>
      </c>
      <c r="D13" s="21">
        <f ca="1">VLOOKUP($B13,OFFSET(units!$A$1,0,0,COUNTA(units!$A:$A),MATCH(D$1,units!$1:$1,0)-COLUMN(INDIRECT("character_id"))+1),MATCH(D$1,units!$1:$1,0)-COLUMN(INDIRECT("character_id"))+1,FALSE)</f>
        <v>4</v>
      </c>
      <c r="E13" s="21" t="str">
        <f ca="1">VLOOKUP($B13,OFFSET(units!$A$1,0,0,COUNTA(units!$A:$A),MATCH(E$1,units!$1:$1,0)-COLUMN(INDIRECT("character_id"))+1),MATCH(E$1,units!$1:$1,0)-COLUMN(INDIRECT("character_id"))+1,FALSE)</f>
        <v>PremiumS</v>
      </c>
      <c r="F13" s="44">
        <v>108</v>
      </c>
      <c r="G13" s="21" t="str">
        <f>VLOOKUP(F13,[1]characters!$A:$C,3,FALSE)</f>
        <v>森のマッドハッター</v>
      </c>
      <c r="H13" s="18">
        <v>2</v>
      </c>
      <c r="I13" s="115">
        <v>1</v>
      </c>
    </row>
    <row r="14" spans="1:9" ht="21" customHeight="1" x14ac:dyDescent="0.15">
      <c r="A14" s="65" t="str">
        <f t="shared" si="1"/>
        <v>730_107</v>
      </c>
      <c r="B14" s="44">
        <v>730</v>
      </c>
      <c r="C14" s="21" t="str">
        <f ca="1">VLOOKUP(B14,units!A:B,2)</f>
        <v>ガラシャ</v>
      </c>
      <c r="D14" s="21">
        <f ca="1">VLOOKUP($B14,OFFSET(units!$A$1,0,0,COUNTA(units!$A:$A),MATCH(D$1,units!$1:$1,0)-COLUMN(INDIRECT("character_id"))+1),MATCH(D$1,units!$1:$1,0)-COLUMN(INDIRECT("character_id"))+1,FALSE)</f>
        <v>4</v>
      </c>
      <c r="E14" s="21" t="str">
        <f ca="1">VLOOKUP($B14,OFFSET(units!$A$1,0,0,COUNTA(units!$A:$A),MATCH(E$1,units!$1:$1,0)-COLUMN(INDIRECT("character_id"))+1),MATCH(E$1,units!$1:$1,0)-COLUMN(INDIRECT("character_id"))+1,FALSE)</f>
        <v>PremiumS</v>
      </c>
      <c r="F14" s="44">
        <v>107</v>
      </c>
      <c r="G14" s="21" t="str">
        <f>VLOOKUP(F14,[1]characters!$A:$C,3,FALSE)</f>
        <v>グリーンキャタップ</v>
      </c>
      <c r="H14" s="18">
        <v>2</v>
      </c>
      <c r="I14" s="115">
        <v>1</v>
      </c>
    </row>
    <row r="15" spans="1:9" ht="21" customHeight="1" x14ac:dyDescent="0.15">
      <c r="A15" s="65" t="str">
        <f t="shared" si="1"/>
        <v>730_106</v>
      </c>
      <c r="B15" s="44">
        <v>730</v>
      </c>
      <c r="C15" s="21" t="str">
        <f ca="1">VLOOKUP(B15,units!A:B,2)</f>
        <v>ガラシャ</v>
      </c>
      <c r="D15" s="21">
        <f ca="1">VLOOKUP($B15,OFFSET(units!$A$1,0,0,COUNTA(units!$A:$A),MATCH(D$1,units!$1:$1,0)-COLUMN(INDIRECT("character_id"))+1),MATCH(D$1,units!$1:$1,0)-COLUMN(INDIRECT("character_id"))+1,FALSE)</f>
        <v>4</v>
      </c>
      <c r="E15" s="21" t="str">
        <f ca="1">VLOOKUP($B15,OFFSET(units!$A$1,0,0,COUNTA(units!$A:$A),MATCH(E$1,units!$1:$1,0)-COLUMN(INDIRECT("character_id"))+1),MATCH(E$1,units!$1:$1,0)-COLUMN(INDIRECT("character_id"))+1,FALSE)</f>
        <v>PremiumS</v>
      </c>
      <c r="F15" s="44">
        <v>106</v>
      </c>
      <c r="G15" s="21" t="str">
        <f>VLOOKUP(F15,[1]characters!$A:$C,3,FALSE)</f>
        <v>グリーンラビット</v>
      </c>
      <c r="H15" s="18">
        <v>1</v>
      </c>
      <c r="I15" s="115">
        <v>1</v>
      </c>
    </row>
    <row r="16" spans="1:9" ht="21" customHeight="1" x14ac:dyDescent="0.15">
      <c r="A16" s="65" t="str">
        <f t="shared" si="1"/>
        <v>732_837</v>
      </c>
      <c r="B16" s="44">
        <v>732</v>
      </c>
      <c r="C16" s="21" t="str">
        <f ca="1">VLOOKUP(B16,units!A:B,2)</f>
        <v>上杉謙信</v>
      </c>
      <c r="D16" s="21">
        <f ca="1">VLOOKUP($B16,OFFSET(units!$A$1,0,0,COUNTA(units!$A:$A),MATCH(D$1,units!$1:$1,0)-COLUMN(INDIRECT("character_id"))+1),MATCH(D$1,units!$1:$1,0)-COLUMN(INDIRECT("character_id"))+1,FALSE)</f>
        <v>5</v>
      </c>
      <c r="E16" s="21" t="str">
        <f ca="1">VLOOKUP($B16,OFFSET(units!$A$1,0,0,COUNTA(units!$A:$A),MATCH(E$1,units!$1:$1,0)-COLUMN(INDIRECT("character_id"))+1),MATCH(E$1,units!$1:$1,0)-COLUMN(INDIRECT("character_id"))+1,FALSE)</f>
        <v>PremiumSS</v>
      </c>
      <c r="F16" s="44">
        <v>837</v>
      </c>
      <c r="G16" s="21" t="str">
        <f>VLOOKUP(F16,[1]characters!$A:$C,3,FALSE)</f>
        <v>リトルハンプティ</v>
      </c>
      <c r="H16" s="18">
        <v>1</v>
      </c>
      <c r="I16" s="115">
        <v>1</v>
      </c>
    </row>
    <row r="17" spans="1:9" ht="21" customHeight="1" x14ac:dyDescent="0.15">
      <c r="A17" s="65" t="str">
        <f t="shared" ref="A17" si="2">B17&amp;"_"&amp;F17</f>
        <v>732_112</v>
      </c>
      <c r="B17" s="44">
        <v>732</v>
      </c>
      <c r="C17" s="21" t="str">
        <f ca="1">VLOOKUP(B17,units!A:B,2)</f>
        <v>上杉謙信</v>
      </c>
      <c r="D17" s="21">
        <f ca="1">VLOOKUP($B17,OFFSET(units!$A$1,0,0,COUNTA(units!$A:$A),MATCH(D$1,units!$1:$1,0)-COLUMN(INDIRECT("character_id"))+1),MATCH(D$1,units!$1:$1,0)-COLUMN(INDIRECT("character_id"))+1,FALSE)</f>
        <v>5</v>
      </c>
      <c r="E17" s="21" t="str">
        <f ca="1">VLOOKUP($B17,OFFSET(units!$A$1,0,0,COUNTA(units!$A:$A),MATCH(E$1,units!$1:$1,0)-COLUMN(INDIRECT("character_id"))+1),MATCH(E$1,units!$1:$1,0)-COLUMN(INDIRECT("character_id"))+1,FALSE)</f>
        <v>PremiumSS</v>
      </c>
      <c r="F17" s="44">
        <v>112</v>
      </c>
      <c r="G17" s="21" t="str">
        <f>VLOOKUP(F17,[1]characters!$A:$C,3,FALSE)</f>
        <v>水のマッドハッター</v>
      </c>
      <c r="H17" s="18">
        <v>1</v>
      </c>
      <c r="I17" s="115">
        <v>1</v>
      </c>
    </row>
    <row r="18" spans="1:9" ht="21" customHeight="1" x14ac:dyDescent="0.15">
      <c r="A18" s="65" t="str">
        <f t="shared" si="1"/>
        <v>732_111</v>
      </c>
      <c r="B18" s="44">
        <v>732</v>
      </c>
      <c r="C18" s="21" t="str">
        <f ca="1">VLOOKUP(B18,units!A:B,2)</f>
        <v>上杉謙信</v>
      </c>
      <c r="D18" s="21">
        <f ca="1">VLOOKUP($B18,OFFSET(units!$A$1,0,0,COUNTA(units!$A:$A),MATCH(D$1,units!$1:$1,0)-COLUMN(INDIRECT("character_id"))+1),MATCH(D$1,units!$1:$1,0)-COLUMN(INDIRECT("character_id"))+1,FALSE)</f>
        <v>5</v>
      </c>
      <c r="E18" s="21" t="str">
        <f ca="1">VLOOKUP($B18,OFFSET(units!$A$1,0,0,COUNTA(units!$A:$A),MATCH(E$1,units!$1:$1,0)-COLUMN(INDIRECT("character_id"))+1),MATCH(E$1,units!$1:$1,0)-COLUMN(INDIRECT("character_id"))+1,FALSE)</f>
        <v>PremiumSS</v>
      </c>
      <c r="F18" s="44">
        <v>111</v>
      </c>
      <c r="G18" s="21" t="str">
        <f>VLOOKUP(F18,[1]characters!$A:$C,3,FALSE)</f>
        <v>ブルーキャタップ</v>
      </c>
      <c r="H18" s="18">
        <v>1</v>
      </c>
      <c r="I18" s="115">
        <v>1</v>
      </c>
    </row>
    <row r="19" spans="1:9" ht="21" customHeight="1" x14ac:dyDescent="0.15">
      <c r="A19" s="65" t="str">
        <f t="shared" si="1"/>
        <v>732_292</v>
      </c>
      <c r="B19" s="44">
        <v>732</v>
      </c>
      <c r="C19" s="21" t="str">
        <f ca="1">VLOOKUP(B19,units!A:B,2)</f>
        <v>上杉謙信</v>
      </c>
      <c r="D19" s="21">
        <f ca="1">VLOOKUP($B19,OFFSET(units!$A$1,0,0,COUNTA(units!$A:$A),MATCH(D$1,units!$1:$1,0)-COLUMN(INDIRECT("character_id"))+1),MATCH(D$1,units!$1:$1,0)-COLUMN(INDIRECT("character_id"))+1,FALSE)</f>
        <v>5</v>
      </c>
      <c r="E19" s="21" t="str">
        <f ca="1">VLOOKUP($B19,OFFSET(units!$A$1,0,0,COUNTA(units!$A:$A),MATCH(E$1,units!$1:$1,0)-COLUMN(INDIRECT("character_id"))+1),MATCH(E$1,units!$1:$1,0)-COLUMN(INDIRECT("character_id"))+1,FALSE)</f>
        <v>PremiumSS</v>
      </c>
      <c r="F19" s="44">
        <v>292</v>
      </c>
      <c r="G19" s="21" t="str">
        <f>VLOOKUP(F19,[1]characters!$A:$C,3,FALSE)</f>
        <v>アナスタシア</v>
      </c>
      <c r="H19" s="18">
        <v>1</v>
      </c>
      <c r="I19" s="115">
        <v>1</v>
      </c>
    </row>
    <row r="20" spans="1:9" ht="21" customHeight="1" x14ac:dyDescent="0.15">
      <c r="A20" s="65" t="str">
        <f t="shared" si="1"/>
        <v>732_720</v>
      </c>
      <c r="B20" s="44">
        <v>732</v>
      </c>
      <c r="C20" s="21" t="str">
        <f ca="1">VLOOKUP(B20,units!A:B,2)</f>
        <v>上杉謙信</v>
      </c>
      <c r="D20" s="21">
        <f ca="1">VLOOKUP($B20,OFFSET(units!$A$1,0,0,COUNTA(units!$A:$A),MATCH(D$1,units!$1:$1,0)-COLUMN(INDIRECT("character_id"))+1),MATCH(D$1,units!$1:$1,0)-COLUMN(INDIRECT("character_id"))+1,FALSE)</f>
        <v>5</v>
      </c>
      <c r="E20" s="21" t="str">
        <f ca="1">VLOOKUP($B20,OFFSET(units!$A$1,0,0,COUNTA(units!$A:$A),MATCH(E$1,units!$1:$1,0)-COLUMN(INDIRECT("character_id"))+1),MATCH(E$1,units!$1:$1,0)-COLUMN(INDIRECT("character_id"))+1,FALSE)</f>
        <v>PremiumSS</v>
      </c>
      <c r="F20" s="44">
        <v>720</v>
      </c>
      <c r="G20" s="21" t="str">
        <f>VLOOKUP(F20,[1]characters!$A:$C,3,FALSE)</f>
        <v>直江兼続</v>
      </c>
      <c r="H20" s="18">
        <v>1</v>
      </c>
      <c r="I20" s="115">
        <v>1</v>
      </c>
    </row>
    <row r="21" spans="1:9" ht="21" customHeight="1" x14ac:dyDescent="0.15">
      <c r="A21" s="65" t="str">
        <f t="shared" si="1"/>
        <v>734_837</v>
      </c>
      <c r="B21" s="44">
        <v>734</v>
      </c>
      <c r="C21" s="21" t="str">
        <f ca="1">VLOOKUP(B21,units!A:B,2)</f>
        <v>伊達政宗</v>
      </c>
      <c r="D21" s="21">
        <f ca="1">VLOOKUP($B21,OFFSET(units!$A$1,0,0,COUNTA(units!$A:$A),MATCH(D$1,units!$1:$1,0)-COLUMN(INDIRECT("character_id"))+1),MATCH(D$1,units!$1:$1,0)-COLUMN(INDIRECT("character_id"))+1,FALSE)</f>
        <v>5</v>
      </c>
      <c r="E21" s="21" t="str">
        <f ca="1">VLOOKUP($B21,OFFSET(units!$A$1,0,0,COUNTA(units!$A:$A),MATCH(E$1,units!$1:$1,0)-COLUMN(INDIRECT("character_id"))+1),MATCH(E$1,units!$1:$1,0)-COLUMN(INDIRECT("character_id"))+1,FALSE)</f>
        <v>PremiumSS</v>
      </c>
      <c r="F21" s="44">
        <v>837</v>
      </c>
      <c r="G21" s="21" t="str">
        <f>VLOOKUP(F21,[1]characters!$A:$C,3,FALSE)</f>
        <v>リトルハンプティ</v>
      </c>
      <c r="H21" s="18">
        <v>1</v>
      </c>
      <c r="I21" s="115">
        <v>1</v>
      </c>
    </row>
    <row r="22" spans="1:9" ht="21" customHeight="1" x14ac:dyDescent="0.15">
      <c r="A22" s="65" t="str">
        <f t="shared" si="1"/>
        <v>734_116</v>
      </c>
      <c r="B22" s="44">
        <v>734</v>
      </c>
      <c r="C22" s="21" t="str">
        <f ca="1">VLOOKUP(B22,units!A:B,2)</f>
        <v>伊達政宗</v>
      </c>
      <c r="D22" s="21">
        <f ca="1">VLOOKUP($B22,OFFSET(units!$A$1,0,0,COUNTA(units!$A:$A),MATCH(D$1,units!$1:$1,0)-COLUMN(INDIRECT("character_id"))+1),MATCH(D$1,units!$1:$1,0)-COLUMN(INDIRECT("character_id"))+1,FALSE)</f>
        <v>5</v>
      </c>
      <c r="E22" s="21" t="str">
        <f ca="1">VLOOKUP($B22,OFFSET(units!$A$1,0,0,COUNTA(units!$A:$A),MATCH(E$1,units!$1:$1,0)-COLUMN(INDIRECT("character_id"))+1),MATCH(E$1,units!$1:$1,0)-COLUMN(INDIRECT("character_id"))+1,FALSE)</f>
        <v>PremiumSS</v>
      </c>
      <c r="F22" s="44">
        <v>116</v>
      </c>
      <c r="G22" s="21" t="str">
        <f>VLOOKUP(F22,[1]characters!$A:$C,3,FALSE)</f>
        <v>雷のマッドハッター</v>
      </c>
      <c r="H22" s="18">
        <v>1</v>
      </c>
      <c r="I22" s="115">
        <v>1</v>
      </c>
    </row>
    <row r="23" spans="1:9" ht="21" customHeight="1" x14ac:dyDescent="0.15">
      <c r="A23" s="65" t="str">
        <f t="shared" ref="A23" si="3">B23&amp;"_"&amp;F23</f>
        <v>734_115</v>
      </c>
      <c r="B23" s="44">
        <v>734</v>
      </c>
      <c r="C23" s="21" t="str">
        <f ca="1">VLOOKUP(B23,units!A:B,2)</f>
        <v>伊達政宗</v>
      </c>
      <c r="D23" s="21">
        <f ca="1">VLOOKUP($B23,OFFSET(units!$A$1,0,0,COUNTA(units!$A:$A),MATCH(D$1,units!$1:$1,0)-COLUMN(INDIRECT("character_id"))+1),MATCH(D$1,units!$1:$1,0)-COLUMN(INDIRECT("character_id"))+1,FALSE)</f>
        <v>5</v>
      </c>
      <c r="E23" s="21" t="str">
        <f ca="1">VLOOKUP($B23,OFFSET(units!$A$1,0,0,COUNTA(units!$A:$A),MATCH(E$1,units!$1:$1,0)-COLUMN(INDIRECT("character_id"))+1),MATCH(E$1,units!$1:$1,0)-COLUMN(INDIRECT("character_id"))+1,FALSE)</f>
        <v>PremiumSS</v>
      </c>
      <c r="F23" s="44">
        <v>115</v>
      </c>
      <c r="G23" s="21" t="str">
        <f>VLOOKUP(F23,[1]characters!$A:$C,3,FALSE)</f>
        <v>イエローキャタップ</v>
      </c>
      <c r="H23" s="18">
        <v>1</v>
      </c>
      <c r="I23" s="115">
        <v>1</v>
      </c>
    </row>
    <row r="24" spans="1:9" ht="21" customHeight="1" x14ac:dyDescent="0.15">
      <c r="A24" s="65" t="str">
        <f t="shared" si="1"/>
        <v>734_722</v>
      </c>
      <c r="B24" s="44">
        <v>734</v>
      </c>
      <c r="C24" s="21" t="str">
        <f ca="1">VLOOKUP(B24,units!A:B,2)</f>
        <v>伊達政宗</v>
      </c>
      <c r="D24" s="21">
        <f ca="1">VLOOKUP($B24,OFFSET(units!$A$1,0,0,COUNTA(units!$A:$A),MATCH(D$1,units!$1:$1,0)-COLUMN(INDIRECT("character_id"))+1),MATCH(D$1,units!$1:$1,0)-COLUMN(INDIRECT("character_id"))+1,FALSE)</f>
        <v>5</v>
      </c>
      <c r="E24" s="21" t="str">
        <f ca="1">VLOOKUP($B24,OFFSET(units!$A$1,0,0,COUNTA(units!$A:$A),MATCH(E$1,units!$1:$1,0)-COLUMN(INDIRECT("character_id"))+1),MATCH(E$1,units!$1:$1,0)-COLUMN(INDIRECT("character_id"))+1,FALSE)</f>
        <v>PremiumSS</v>
      </c>
      <c r="F24" s="44">
        <v>722</v>
      </c>
      <c r="G24" s="21" t="str">
        <f>VLOOKUP(F24,[1]characters!$A:$C,3,FALSE)</f>
        <v>森蘭丸</v>
      </c>
      <c r="H24" s="18">
        <v>1</v>
      </c>
      <c r="I24" s="115">
        <v>1</v>
      </c>
    </row>
    <row r="25" spans="1:9" ht="21" customHeight="1" x14ac:dyDescent="0.15">
      <c r="A25" s="65" t="str">
        <f t="shared" si="1"/>
        <v>734_268</v>
      </c>
      <c r="B25" s="44">
        <v>734</v>
      </c>
      <c r="C25" s="21" t="str">
        <f ca="1">VLOOKUP(B25,units!A:B,2)</f>
        <v>伊達政宗</v>
      </c>
      <c r="D25" s="21">
        <f ca="1">VLOOKUP($B25,OFFSET(units!$A$1,0,0,COUNTA(units!$A:$A),MATCH(D$1,units!$1:$1,0)-COLUMN(INDIRECT("character_id"))+1),MATCH(D$1,units!$1:$1,0)-COLUMN(INDIRECT("character_id"))+1,FALSE)</f>
        <v>5</v>
      </c>
      <c r="E25" s="21" t="str">
        <f ca="1">VLOOKUP($B25,OFFSET(units!$A$1,0,0,COUNTA(units!$A:$A),MATCH(E$1,units!$1:$1,0)-COLUMN(INDIRECT("character_id"))+1),MATCH(E$1,units!$1:$1,0)-COLUMN(INDIRECT("character_id"))+1,FALSE)</f>
        <v>PremiumSS</v>
      </c>
      <c r="F25" s="44">
        <v>268</v>
      </c>
      <c r="G25" s="21" t="str">
        <f>VLOOKUP(F25,[1]characters!$A:$C,3,FALSE)</f>
        <v>鵺</v>
      </c>
      <c r="H25" s="18">
        <v>1</v>
      </c>
      <c r="I25" s="115">
        <v>1</v>
      </c>
    </row>
    <row r="26" spans="1:9" ht="21" customHeight="1" x14ac:dyDescent="0.15">
      <c r="A26" s="65" t="str">
        <f t="shared" ref="A26:A30" si="4">B26&amp;"_"&amp;F26</f>
        <v>726_837</v>
      </c>
      <c r="B26" s="44">
        <v>726</v>
      </c>
      <c r="C26" s="21" t="str">
        <f ca="1">VLOOKUP(B26,units!A:B,2)</f>
        <v>織田信長</v>
      </c>
      <c r="D26" s="21">
        <f ca="1">VLOOKUP($B26,OFFSET(units!$A$1,0,0,COUNTA(units!$A:$A),MATCH(D$1,units!$1:$1,0)-COLUMN(INDIRECT("character_id"))+1),MATCH(D$1,units!$1:$1,0)-COLUMN(INDIRECT("character_id"))+1,FALSE)</f>
        <v>5</v>
      </c>
      <c r="E26" s="21" t="str">
        <f ca="1">VLOOKUP($B26,OFFSET(units!$A$1,0,0,COUNTA(units!$A:$A),MATCH(E$1,units!$1:$1,0)-COLUMN(INDIRECT("character_id"))+1),MATCH(E$1,units!$1:$1,0)-COLUMN(INDIRECT("character_id"))+1,FALSE)</f>
        <v>DropWizSS</v>
      </c>
      <c r="F26" s="44">
        <v>837</v>
      </c>
      <c r="G26" s="21" t="str">
        <f>VLOOKUP(F26,[1]characters!$A:$C,3,FALSE)</f>
        <v>リトルハンプティ</v>
      </c>
      <c r="H26" s="18">
        <v>1</v>
      </c>
      <c r="I26" s="115">
        <v>1</v>
      </c>
    </row>
    <row r="27" spans="1:9" ht="21" customHeight="1" x14ac:dyDescent="0.15">
      <c r="A27" s="65" t="str">
        <f t="shared" si="4"/>
        <v>726_644</v>
      </c>
      <c r="B27" s="44">
        <v>726</v>
      </c>
      <c r="C27" s="21" t="str">
        <f ca="1">VLOOKUP(B27,units!A:B,2)</f>
        <v>織田信長</v>
      </c>
      <c r="D27" s="21">
        <f ca="1">VLOOKUP($B27,OFFSET(units!$A$1,0,0,COUNTA(units!$A:$A),MATCH(D$1,units!$1:$1,0)-COLUMN(INDIRECT("character_id"))+1),MATCH(D$1,units!$1:$1,0)-COLUMN(INDIRECT("character_id"))+1,FALSE)</f>
        <v>5</v>
      </c>
      <c r="E27" s="21" t="str">
        <f ca="1">VLOOKUP($B27,OFFSET(units!$A$1,0,0,COUNTA(units!$A:$A),MATCH(E$1,units!$1:$1,0)-COLUMN(INDIRECT("character_id"))+1),MATCH(E$1,units!$1:$1,0)-COLUMN(INDIRECT("character_id"))+1,FALSE)</f>
        <v>DropWizSS</v>
      </c>
      <c r="F27" s="44">
        <v>644</v>
      </c>
      <c r="G27" s="21" t="str">
        <f>VLOOKUP(F27,[1]characters!$A:$C,3,FALSE)</f>
        <v>滑瓢 ショウキ</v>
      </c>
      <c r="H27" s="18">
        <v>1</v>
      </c>
      <c r="I27" s="115">
        <v>1</v>
      </c>
    </row>
    <row r="28" spans="1:9" ht="21" customHeight="1" x14ac:dyDescent="0.15">
      <c r="A28" s="65" t="str">
        <f t="shared" si="4"/>
        <v>726_642</v>
      </c>
      <c r="B28" s="44">
        <v>726</v>
      </c>
      <c r="C28" s="21" t="str">
        <f ca="1">VLOOKUP(B28,units!A:B,2)</f>
        <v>織田信長</v>
      </c>
      <c r="D28" s="21">
        <f ca="1">VLOOKUP($B28,OFFSET(units!$A$1,0,0,COUNTA(units!$A:$A),MATCH(D$1,units!$1:$1,0)-COLUMN(INDIRECT("character_id"))+1),MATCH(D$1,units!$1:$1,0)-COLUMN(INDIRECT("character_id"))+1,FALSE)</f>
        <v>5</v>
      </c>
      <c r="E28" s="21" t="str">
        <f ca="1">VLOOKUP($B28,OFFSET(units!$A$1,0,0,COUNTA(units!$A:$A),MATCH(E$1,units!$1:$1,0)-COLUMN(INDIRECT("character_id"))+1),MATCH(E$1,units!$1:$1,0)-COLUMN(INDIRECT("character_id"))+1,FALSE)</f>
        <v>DropWizSS</v>
      </c>
      <c r="F28" s="44">
        <v>642</v>
      </c>
      <c r="G28" s="21" t="str">
        <f>VLOOKUP(F28,[1]characters!$A:$C,3,FALSE)</f>
        <v>カーマ</v>
      </c>
      <c r="H28" s="18">
        <v>1</v>
      </c>
      <c r="I28" s="115">
        <v>1</v>
      </c>
    </row>
    <row r="29" spans="1:9" ht="21" customHeight="1" x14ac:dyDescent="0.15">
      <c r="A29" s="65" t="str">
        <f t="shared" si="4"/>
        <v>726_654</v>
      </c>
      <c r="B29" s="44">
        <v>726</v>
      </c>
      <c r="C29" s="21" t="str">
        <f ca="1">VLOOKUP(B29,units!A:B,2)</f>
        <v>織田信長</v>
      </c>
      <c r="D29" s="21">
        <f ca="1">VLOOKUP($B29,OFFSET(units!$A$1,0,0,COUNTA(units!$A:$A),MATCH(D$1,units!$1:$1,0)-COLUMN(INDIRECT("character_id"))+1),MATCH(D$1,units!$1:$1,0)-COLUMN(INDIRECT("character_id"))+1,FALSE)</f>
        <v>5</v>
      </c>
      <c r="E29" s="21" t="str">
        <f ca="1">VLOOKUP($B29,OFFSET(units!$A$1,0,0,COUNTA(units!$A:$A),MATCH(E$1,units!$1:$1,0)-COLUMN(INDIRECT("character_id"))+1),MATCH(E$1,units!$1:$1,0)-COLUMN(INDIRECT("character_id"))+1,FALSE)</f>
        <v>DropWizSS</v>
      </c>
      <c r="F29" s="44">
        <v>654</v>
      </c>
      <c r="G29" s="21" t="str">
        <f>VLOOKUP(F29,[1]characters!$A:$C,3,FALSE)</f>
        <v>酒呑童子 ヨミ</v>
      </c>
      <c r="H29" s="18">
        <v>1</v>
      </c>
      <c r="I29" s="115">
        <v>1</v>
      </c>
    </row>
    <row r="30" spans="1:9" ht="21" customHeight="1" x14ac:dyDescent="0.15">
      <c r="A30" s="65" t="str">
        <f t="shared" si="4"/>
        <v>726_656</v>
      </c>
      <c r="B30" s="44">
        <v>726</v>
      </c>
      <c r="C30" s="21" t="str">
        <f ca="1">VLOOKUP(B30,units!A:B,2)</f>
        <v>織田信長</v>
      </c>
      <c r="D30" s="21">
        <f ca="1">VLOOKUP($B30,OFFSET(units!$A$1,0,0,COUNTA(units!$A:$A),MATCH(D$1,units!$1:$1,0)-COLUMN(INDIRECT("character_id"))+1),MATCH(D$1,units!$1:$1,0)-COLUMN(INDIRECT("character_id"))+1,FALSE)</f>
        <v>5</v>
      </c>
      <c r="E30" s="21" t="str">
        <f ca="1">VLOOKUP($B30,OFFSET(units!$A$1,0,0,COUNTA(units!$A:$A),MATCH(E$1,units!$1:$1,0)-COLUMN(INDIRECT("character_id"))+1),MATCH(E$1,units!$1:$1,0)-COLUMN(INDIRECT("character_id"))+1,FALSE)</f>
        <v>DropWizSS</v>
      </c>
      <c r="F30" s="44">
        <v>656</v>
      </c>
      <c r="G30" s="21" t="str">
        <f>VLOOKUP(F30,[1]characters!$A:$C,3,FALSE)</f>
        <v>シヴァ</v>
      </c>
      <c r="H30" s="18">
        <v>1</v>
      </c>
      <c r="I30" s="115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E8" sqref="E8"/>
    </sheetView>
  </sheetViews>
  <sheetFormatPr baseColWidth="12" defaultRowHeight="15" x14ac:dyDescent="0.15"/>
  <sheetData>
    <row r="1" spans="1:2" x14ac:dyDescent="0.15">
      <c r="A1" t="s">
        <v>381</v>
      </c>
      <c r="B1" t="s">
        <v>382</v>
      </c>
    </row>
    <row r="2" spans="1:2" x14ac:dyDescent="0.15">
      <c r="A2" t="s">
        <v>383</v>
      </c>
      <c r="B2">
        <v>1</v>
      </c>
    </row>
    <row r="3" spans="1:2" x14ac:dyDescent="0.15">
      <c r="A3" t="s">
        <v>384</v>
      </c>
      <c r="B3">
        <v>1</v>
      </c>
    </row>
    <row r="4" spans="1:2" x14ac:dyDescent="0.15">
      <c r="A4" t="s">
        <v>385</v>
      </c>
      <c r="B4">
        <v>1</v>
      </c>
    </row>
    <row r="5" spans="1:2" x14ac:dyDescent="0.15">
      <c r="A5" t="s">
        <v>386</v>
      </c>
      <c r="B5">
        <v>1</v>
      </c>
    </row>
    <row r="6" spans="1:2" x14ac:dyDescent="0.15">
      <c r="A6" t="s">
        <v>387</v>
      </c>
      <c r="B6">
        <v>1</v>
      </c>
    </row>
    <row r="7" spans="1:2" x14ac:dyDescent="0.15">
      <c r="A7" t="s">
        <v>388</v>
      </c>
      <c r="B7">
        <v>1</v>
      </c>
    </row>
    <row r="8" spans="1:2" x14ac:dyDescent="0.15">
      <c r="A8" t="s">
        <v>389</v>
      </c>
      <c r="B8">
        <v>1</v>
      </c>
    </row>
    <row r="9" spans="1:2" x14ac:dyDescent="0.15">
      <c r="A9" t="s">
        <v>390</v>
      </c>
      <c r="B9">
        <v>1</v>
      </c>
    </row>
    <row r="10" spans="1:2" x14ac:dyDescent="0.15">
      <c r="A10" t="s">
        <v>391</v>
      </c>
      <c r="B10">
        <v>1</v>
      </c>
    </row>
    <row r="11" spans="1:2" x14ac:dyDescent="0.15">
      <c r="A11" t="s">
        <v>392</v>
      </c>
      <c r="B11">
        <v>1</v>
      </c>
    </row>
    <row r="12" spans="1:2" x14ac:dyDescent="0.15">
      <c r="A12" t="s">
        <v>393</v>
      </c>
      <c r="B12">
        <v>1</v>
      </c>
    </row>
    <row r="13" spans="1:2" x14ac:dyDescent="0.15">
      <c r="A13" t="s">
        <v>394</v>
      </c>
      <c r="B13">
        <v>0</v>
      </c>
    </row>
    <row r="14" spans="1:2" x14ac:dyDescent="0.15">
      <c r="A14" t="s">
        <v>395</v>
      </c>
      <c r="B14">
        <v>500</v>
      </c>
    </row>
    <row r="15" spans="1:2" x14ac:dyDescent="0.15">
      <c r="A15" t="s">
        <v>396</v>
      </c>
      <c r="B15">
        <v>600</v>
      </c>
    </row>
    <row r="16" spans="1:2" x14ac:dyDescent="0.15">
      <c r="A16" t="s">
        <v>397</v>
      </c>
      <c r="B16">
        <v>700</v>
      </c>
    </row>
    <row r="17" spans="1:2" x14ac:dyDescent="0.15">
      <c r="A17" t="s">
        <v>398</v>
      </c>
      <c r="B17">
        <v>5500</v>
      </c>
    </row>
    <row r="18" spans="1:2" x14ac:dyDescent="0.15">
      <c r="A18" t="s">
        <v>399</v>
      </c>
      <c r="B18">
        <v>6000</v>
      </c>
    </row>
    <row r="19" spans="1:2" x14ac:dyDescent="0.15">
      <c r="A19" t="s">
        <v>400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233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7" t="s">
        <v>234</v>
      </c>
      <c r="B2" s="148"/>
      <c r="C2" s="149"/>
      <c r="D2" s="150" t="s">
        <v>235</v>
      </c>
      <c r="E2" s="150">
        <v>30</v>
      </c>
      <c r="F2" s="150">
        <v>40</v>
      </c>
      <c r="G2" s="150">
        <f>15+F2</f>
        <v>55</v>
      </c>
      <c r="H2" s="149"/>
      <c r="I2" s="149"/>
    </row>
    <row r="3" spans="1:9" s="4" customFormat="1" ht="21" customHeight="1" x14ac:dyDescent="0.15">
      <c r="A3" s="147" t="s">
        <v>236</v>
      </c>
      <c r="B3" s="151"/>
      <c r="C3" s="152"/>
      <c r="D3" s="153" t="s">
        <v>235</v>
      </c>
      <c r="E3" s="153">
        <v>25</v>
      </c>
      <c r="F3" s="153">
        <v>35</v>
      </c>
      <c r="G3" s="150">
        <f t="shared" ref="G3:G5" si="0">15+F3</f>
        <v>50</v>
      </c>
      <c r="H3" s="152"/>
      <c r="I3" s="152"/>
    </row>
    <row r="4" spans="1:9" s="4" customFormat="1" ht="21" customHeight="1" x14ac:dyDescent="0.15">
      <c r="A4" s="147" t="s">
        <v>237</v>
      </c>
      <c r="B4" s="154"/>
      <c r="C4" s="155"/>
      <c r="D4" s="156">
        <v>10</v>
      </c>
      <c r="E4" s="156">
        <v>20</v>
      </c>
      <c r="F4" s="156">
        <v>30</v>
      </c>
      <c r="G4" s="156">
        <f t="shared" si="0"/>
        <v>45</v>
      </c>
      <c r="H4" s="155"/>
      <c r="I4" s="155"/>
    </row>
    <row r="5" spans="1:9" s="4" customFormat="1" ht="21" customHeight="1" x14ac:dyDescent="0.15">
      <c r="A5" s="166" t="s">
        <v>238</v>
      </c>
      <c r="B5" s="161"/>
      <c r="C5" s="162"/>
      <c r="D5" s="29">
        <v>9</v>
      </c>
      <c r="E5" s="29">
        <v>18</v>
      </c>
      <c r="F5" s="29">
        <v>28</v>
      </c>
      <c r="G5" s="39">
        <f t="shared" si="0"/>
        <v>43</v>
      </c>
      <c r="H5" s="162"/>
      <c r="I5" s="162"/>
    </row>
    <row r="6" spans="1:9" s="4" customFormat="1" ht="21" customHeight="1" x14ac:dyDescent="0.15">
      <c r="A6" s="166" t="s">
        <v>239</v>
      </c>
      <c r="B6" s="161"/>
      <c r="C6" s="162"/>
      <c r="D6" s="29">
        <v>7</v>
      </c>
      <c r="E6" s="29">
        <v>16</v>
      </c>
      <c r="F6" s="69" t="s">
        <v>11</v>
      </c>
      <c r="G6" s="69" t="s">
        <v>11</v>
      </c>
      <c r="H6" s="162"/>
      <c r="I6" s="162"/>
    </row>
    <row r="7" spans="1:9" ht="21" customHeight="1" x14ac:dyDescent="0.15">
      <c r="A7" s="74" t="s">
        <v>240</v>
      </c>
      <c r="B7" s="47" t="s">
        <v>11</v>
      </c>
      <c r="C7" s="47" t="s">
        <v>11</v>
      </c>
      <c r="D7" s="39" t="s">
        <v>235</v>
      </c>
      <c r="E7" s="39" t="s">
        <v>235</v>
      </c>
      <c r="F7" s="39" t="s">
        <v>235</v>
      </c>
      <c r="G7" s="39" t="s">
        <v>235</v>
      </c>
      <c r="H7" s="39" t="s">
        <v>235</v>
      </c>
      <c r="I7" s="39" t="s">
        <v>235</v>
      </c>
    </row>
    <row r="8" spans="1:9" ht="21" customHeight="1" x14ac:dyDescent="0.15">
      <c r="A8" s="75" t="s">
        <v>241</v>
      </c>
      <c r="B8" s="47" t="s">
        <v>11</v>
      </c>
      <c r="C8" s="47" t="s">
        <v>11</v>
      </c>
      <c r="D8" s="39" t="s">
        <v>235</v>
      </c>
      <c r="E8" s="39">
        <v>30</v>
      </c>
      <c r="F8" s="39">
        <v>40</v>
      </c>
      <c r="G8" s="39">
        <f>15+F8</f>
        <v>55</v>
      </c>
      <c r="H8" s="39" t="s">
        <v>235</v>
      </c>
      <c r="I8" s="39" t="s">
        <v>235</v>
      </c>
    </row>
    <row r="9" spans="1:9" s="46" customFormat="1" ht="21" customHeight="1" x14ac:dyDescent="0.15">
      <c r="A9" s="76" t="s">
        <v>242</v>
      </c>
      <c r="B9" s="29" t="s">
        <v>11</v>
      </c>
      <c r="C9" s="29" t="s">
        <v>11</v>
      </c>
      <c r="D9" s="106" t="s">
        <v>235</v>
      </c>
      <c r="E9" s="106">
        <v>25</v>
      </c>
      <c r="F9" s="106">
        <v>35</v>
      </c>
      <c r="G9" s="39">
        <f t="shared" ref="G9:G11" si="1">15+F9</f>
        <v>50</v>
      </c>
      <c r="H9" s="106" t="s">
        <v>235</v>
      </c>
      <c r="I9" s="106" t="s">
        <v>235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69" t="s">
        <v>11</v>
      </c>
      <c r="I10" s="69" t="s">
        <v>11</v>
      </c>
    </row>
    <row r="11" spans="1:9" ht="21" customHeight="1" x14ac:dyDescent="0.15">
      <c r="A11" s="76" t="s">
        <v>243</v>
      </c>
      <c r="B11" s="69" t="s">
        <v>11</v>
      </c>
      <c r="C11" s="69" t="s">
        <v>11</v>
      </c>
      <c r="D11" s="29">
        <v>9</v>
      </c>
      <c r="E11" s="29">
        <v>18</v>
      </c>
      <c r="F11" s="29">
        <v>28</v>
      </c>
      <c r="G11" s="39">
        <f t="shared" si="1"/>
        <v>43</v>
      </c>
      <c r="H11" s="69" t="s">
        <v>11</v>
      </c>
      <c r="I11" s="69" t="s">
        <v>11</v>
      </c>
    </row>
    <row r="12" spans="1:9" ht="21" customHeight="1" x14ac:dyDescent="0.15">
      <c r="A12" s="76" t="s">
        <v>244</v>
      </c>
      <c r="B12" s="69" t="s">
        <v>11</v>
      </c>
      <c r="C12" s="69" t="s">
        <v>11</v>
      </c>
      <c r="D12" s="29">
        <v>7</v>
      </c>
      <c r="E12" s="29">
        <v>16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105" t="s">
        <v>245</v>
      </c>
      <c r="B13" s="69" t="s">
        <v>11</v>
      </c>
      <c r="C13" s="69" t="s">
        <v>11</v>
      </c>
      <c r="D13" s="29">
        <v>8</v>
      </c>
      <c r="E13" s="29">
        <v>17</v>
      </c>
      <c r="F13" s="29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246</v>
      </c>
      <c r="B14" s="69" t="s">
        <v>11</v>
      </c>
      <c r="C14" s="69" t="s">
        <v>11</v>
      </c>
      <c r="D14" s="29">
        <v>8</v>
      </c>
      <c r="E14" s="29">
        <v>17</v>
      </c>
      <c r="F14" s="29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247</v>
      </c>
      <c r="B15" s="69" t="s">
        <v>11</v>
      </c>
      <c r="C15" s="69" t="s">
        <v>11</v>
      </c>
      <c r="D15" s="29">
        <v>6</v>
      </c>
      <c r="E15" s="29">
        <v>14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248</v>
      </c>
      <c r="B16" s="69" t="s">
        <v>11</v>
      </c>
      <c r="C16" s="29">
        <v>4</v>
      </c>
      <c r="D16" s="29">
        <v>6</v>
      </c>
      <c r="E16" s="29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</v>
      </c>
      <c r="C17" s="29">
        <v>4</v>
      </c>
      <c r="D17" s="29">
        <v>6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32">
        <v>1</v>
      </c>
      <c r="C18" s="32">
        <v>2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78" t="s">
        <v>249</v>
      </c>
      <c r="B19" s="27">
        <v>1</v>
      </c>
      <c r="C19" s="27">
        <v>1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250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G30" sqref="G3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7" t="s">
        <v>234</v>
      </c>
      <c r="B2" s="163"/>
      <c r="C2" s="149"/>
      <c r="D2" s="157" t="s">
        <v>109</v>
      </c>
      <c r="E2" s="157">
        <v>60</v>
      </c>
      <c r="F2" s="157">
        <v>80</v>
      </c>
      <c r="G2" s="157">
        <v>99</v>
      </c>
      <c r="H2" s="149"/>
      <c r="I2" s="149"/>
    </row>
    <row r="3" spans="1:9" s="4" customFormat="1" ht="21" customHeight="1" x14ac:dyDescent="0.15">
      <c r="A3" s="147" t="s">
        <v>236</v>
      </c>
      <c r="B3" s="164"/>
      <c r="C3" s="152"/>
      <c r="D3" s="157" t="s">
        <v>109</v>
      </c>
      <c r="E3" s="157">
        <v>60</v>
      </c>
      <c r="F3" s="157">
        <v>80</v>
      </c>
      <c r="G3" s="157">
        <v>99</v>
      </c>
      <c r="H3" s="152"/>
      <c r="I3" s="152"/>
    </row>
    <row r="4" spans="1:9" s="4" customFormat="1" ht="21" customHeight="1" x14ac:dyDescent="0.15">
      <c r="A4" s="147" t="s">
        <v>230</v>
      </c>
      <c r="B4" s="165"/>
      <c r="C4" s="155"/>
      <c r="D4" s="157">
        <v>40</v>
      </c>
      <c r="E4" s="157">
        <v>60</v>
      </c>
      <c r="F4" s="157">
        <v>80</v>
      </c>
      <c r="G4" s="157">
        <v>99</v>
      </c>
      <c r="H4" s="155"/>
      <c r="I4" s="155"/>
    </row>
    <row r="5" spans="1:9" s="4" customFormat="1" ht="21" customHeight="1" x14ac:dyDescent="0.15">
      <c r="A5" s="166" t="s">
        <v>238</v>
      </c>
      <c r="B5" s="161"/>
      <c r="C5" s="162"/>
      <c r="D5" s="157">
        <v>40</v>
      </c>
      <c r="E5" s="157">
        <v>60</v>
      </c>
      <c r="F5" s="157">
        <v>80</v>
      </c>
      <c r="G5" s="157">
        <v>99</v>
      </c>
      <c r="H5" s="162"/>
      <c r="I5" s="162"/>
    </row>
    <row r="6" spans="1:9" s="4" customFormat="1" ht="21" customHeight="1" x14ac:dyDescent="0.15">
      <c r="A6" s="166" t="s">
        <v>239</v>
      </c>
      <c r="B6" s="161"/>
      <c r="C6" s="162"/>
      <c r="D6" s="157">
        <v>40</v>
      </c>
      <c r="E6" s="157">
        <v>60</v>
      </c>
      <c r="F6" s="157" t="s">
        <v>109</v>
      </c>
      <c r="G6" s="157" t="s">
        <v>109</v>
      </c>
      <c r="H6" s="162"/>
      <c r="I6" s="162"/>
    </row>
    <row r="7" spans="1:9" ht="21" customHeight="1" x14ac:dyDescent="0.15">
      <c r="A7" s="74" t="s">
        <v>206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5" t="s">
        <v>241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6" t="s">
        <v>242</v>
      </c>
      <c r="B9" s="66" t="s">
        <v>109</v>
      </c>
      <c r="C9" s="66" t="s">
        <v>109</v>
      </c>
      <c r="D9" s="66" t="s">
        <v>109</v>
      </c>
      <c r="E9" s="66">
        <v>60</v>
      </c>
      <c r="F9" s="66">
        <v>80</v>
      </c>
      <c r="G9" s="66">
        <v>99</v>
      </c>
      <c r="H9" s="66" t="s">
        <v>109</v>
      </c>
      <c r="I9" s="66" t="s">
        <v>109</v>
      </c>
    </row>
    <row r="10" spans="1:9" ht="21" customHeight="1" x14ac:dyDescent="0.15">
      <c r="A10" s="76" t="s">
        <v>9</v>
      </c>
      <c r="B10" s="71" t="s">
        <v>109</v>
      </c>
      <c r="C10" s="71" t="s">
        <v>109</v>
      </c>
      <c r="D10" s="37">
        <v>40</v>
      </c>
      <c r="E10" s="37">
        <v>60</v>
      </c>
      <c r="F10" s="37">
        <v>80</v>
      </c>
      <c r="G10" s="40">
        <v>99</v>
      </c>
      <c r="H10" s="71" t="s">
        <v>109</v>
      </c>
      <c r="I10" s="71" t="s">
        <v>109</v>
      </c>
    </row>
    <row r="11" spans="1:9" ht="21" customHeight="1" x14ac:dyDescent="0.15">
      <c r="A11" s="76" t="s">
        <v>209</v>
      </c>
      <c r="B11" s="71" t="s">
        <v>109</v>
      </c>
      <c r="C11" s="71" t="s">
        <v>109</v>
      </c>
      <c r="D11" s="37">
        <v>40</v>
      </c>
      <c r="E11" s="37">
        <v>60</v>
      </c>
      <c r="F11" s="37">
        <v>80</v>
      </c>
      <c r="G11" s="66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205</v>
      </c>
      <c r="B12" s="71" t="s">
        <v>109</v>
      </c>
      <c r="C12" s="71" t="s">
        <v>109</v>
      </c>
      <c r="D12" s="37">
        <v>40</v>
      </c>
      <c r="E12" s="37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</row>
    <row r="13" spans="1:9" ht="21" customHeight="1" x14ac:dyDescent="0.15">
      <c r="A13" s="105" t="s">
        <v>245</v>
      </c>
      <c r="B13" s="71" t="s">
        <v>109</v>
      </c>
      <c r="C13" s="71" t="s">
        <v>109</v>
      </c>
      <c r="D13" s="37">
        <v>40</v>
      </c>
      <c r="E13" s="37">
        <v>60</v>
      </c>
      <c r="F13" s="37">
        <v>80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76" t="s">
        <v>246</v>
      </c>
      <c r="B14" s="71" t="s">
        <v>109</v>
      </c>
      <c r="C14" s="71" t="s">
        <v>109</v>
      </c>
      <c r="D14" s="37">
        <v>40</v>
      </c>
      <c r="E14" s="37">
        <v>60</v>
      </c>
      <c r="F14" s="37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105</v>
      </c>
      <c r="B15" s="71" t="s">
        <v>109</v>
      </c>
      <c r="C15" s="37">
        <v>30</v>
      </c>
      <c r="D15" s="37">
        <v>40</v>
      </c>
      <c r="E15" s="37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248</v>
      </c>
      <c r="B16" s="71" t="s">
        <v>109</v>
      </c>
      <c r="C16" s="37">
        <v>30</v>
      </c>
      <c r="D16" s="37">
        <v>40</v>
      </c>
      <c r="E16" s="37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37">
        <v>15</v>
      </c>
      <c r="C17" s="37">
        <v>30</v>
      </c>
      <c r="D17" s="37">
        <v>40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37">
        <v>15</v>
      </c>
      <c r="C18" s="37">
        <v>30</v>
      </c>
      <c r="D18" s="37">
        <v>40</v>
      </c>
      <c r="E18" s="71" t="s">
        <v>215</v>
      </c>
      <c r="F18" s="71" t="s">
        <v>215</v>
      </c>
      <c r="G18" s="71" t="s">
        <v>215</v>
      </c>
      <c r="H18" s="71" t="s">
        <v>215</v>
      </c>
      <c r="I18" s="71" t="s">
        <v>215</v>
      </c>
    </row>
    <row r="19" spans="1:9" ht="21" customHeight="1" x14ac:dyDescent="0.15">
      <c r="A19" s="78" t="s">
        <v>249</v>
      </c>
      <c r="B19" s="37">
        <v>10</v>
      </c>
      <c r="C19" s="37">
        <v>20</v>
      </c>
      <c r="D19" s="71" t="s">
        <v>215</v>
      </c>
      <c r="E19" s="71" t="s">
        <v>215</v>
      </c>
      <c r="F19" s="71" t="s">
        <v>215</v>
      </c>
      <c r="G19" s="71" t="s">
        <v>215</v>
      </c>
      <c r="H19" s="71" t="s">
        <v>215</v>
      </c>
      <c r="I19" s="71" t="s">
        <v>215</v>
      </c>
    </row>
    <row r="20" spans="1:9" ht="21" customHeight="1" x14ac:dyDescent="0.15">
      <c r="A20" s="38" t="s">
        <v>250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7" t="s">
        <v>234</v>
      </c>
      <c r="B2" s="148"/>
      <c r="C2" s="149"/>
      <c r="D2" s="157" t="s">
        <v>109</v>
      </c>
      <c r="E2" s="158" t="s">
        <v>59</v>
      </c>
      <c r="F2" s="158" t="s">
        <v>59</v>
      </c>
      <c r="G2" s="158" t="s">
        <v>219</v>
      </c>
      <c r="H2" s="149"/>
      <c r="I2" s="149"/>
    </row>
    <row r="3" spans="1:11" s="4" customFormat="1" ht="21" customHeight="1" x14ac:dyDescent="0.15">
      <c r="A3" s="147" t="s">
        <v>236</v>
      </c>
      <c r="B3" s="151"/>
      <c r="C3" s="152"/>
      <c r="D3" s="158" t="s">
        <v>59</v>
      </c>
      <c r="E3" s="158" t="s">
        <v>59</v>
      </c>
      <c r="F3" s="158" t="s">
        <v>59</v>
      </c>
      <c r="G3" s="158" t="s">
        <v>229</v>
      </c>
      <c r="H3" s="152"/>
      <c r="I3" s="152"/>
    </row>
    <row r="4" spans="1:11" s="4" customFormat="1" ht="21" customHeight="1" x14ac:dyDescent="0.15">
      <c r="A4" s="147" t="s">
        <v>230</v>
      </c>
      <c r="B4" s="154"/>
      <c r="C4" s="155"/>
      <c r="D4" s="159" t="s">
        <v>59</v>
      </c>
      <c r="E4" s="159" t="s">
        <v>59</v>
      </c>
      <c r="F4" s="159" t="s">
        <v>59</v>
      </c>
      <c r="G4" s="158" t="s">
        <v>229</v>
      </c>
      <c r="H4" s="155"/>
      <c r="I4" s="155"/>
    </row>
    <row r="5" spans="1:11" s="4" customFormat="1" ht="21" customHeight="1" x14ac:dyDescent="0.15">
      <c r="A5" s="166" t="s">
        <v>238</v>
      </c>
      <c r="B5" s="161"/>
      <c r="C5" s="162"/>
      <c r="D5" s="159" t="s">
        <v>59</v>
      </c>
      <c r="E5" s="159" t="s">
        <v>59</v>
      </c>
      <c r="F5" s="159" t="s">
        <v>59</v>
      </c>
      <c r="G5" s="158" t="s">
        <v>219</v>
      </c>
      <c r="H5" s="162"/>
      <c r="I5" s="162"/>
    </row>
    <row r="6" spans="1:11" s="4" customFormat="1" ht="21" customHeight="1" x14ac:dyDescent="0.15">
      <c r="A6" s="166" t="s">
        <v>239</v>
      </c>
      <c r="B6" s="161"/>
      <c r="C6" s="162"/>
      <c r="D6" s="167" t="s">
        <v>60</v>
      </c>
      <c r="E6" s="167" t="s">
        <v>60</v>
      </c>
      <c r="F6" s="157" t="s">
        <v>109</v>
      </c>
      <c r="G6" s="157" t="s">
        <v>109</v>
      </c>
      <c r="H6" s="162"/>
      <c r="I6" s="162"/>
    </row>
    <row r="7" spans="1:11" ht="21" customHeight="1" x14ac:dyDescent="0.15">
      <c r="A7" s="74" t="s">
        <v>206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5" t="s">
        <v>241</v>
      </c>
      <c r="B8" s="40" t="s">
        <v>109</v>
      </c>
      <c r="C8" s="40" t="s">
        <v>109</v>
      </c>
      <c r="D8" s="40" t="s">
        <v>216</v>
      </c>
      <c r="E8" s="52" t="s">
        <v>115</v>
      </c>
      <c r="F8" s="52" t="s">
        <v>115</v>
      </c>
      <c r="G8" s="52" t="s">
        <v>217</v>
      </c>
      <c r="H8" s="40" t="s">
        <v>216</v>
      </c>
      <c r="I8" s="40" t="s">
        <v>109</v>
      </c>
    </row>
    <row r="9" spans="1:11" s="46" customFormat="1" ht="21" customHeight="1" x14ac:dyDescent="0.15">
      <c r="A9" s="76" t="s">
        <v>242</v>
      </c>
      <c r="B9" s="66" t="s">
        <v>109</v>
      </c>
      <c r="C9" s="66" t="s">
        <v>109</v>
      </c>
      <c r="D9" s="66" t="s">
        <v>109</v>
      </c>
      <c r="E9" s="52" t="s">
        <v>59</v>
      </c>
      <c r="F9" s="52" t="s">
        <v>59</v>
      </c>
      <c r="G9" s="52" t="s">
        <v>115</v>
      </c>
      <c r="H9" s="66" t="s">
        <v>218</v>
      </c>
      <c r="I9" s="66" t="s">
        <v>218</v>
      </c>
    </row>
    <row r="10" spans="1:11" ht="21" customHeight="1" x14ac:dyDescent="0.15">
      <c r="A10" s="76" t="s">
        <v>9</v>
      </c>
      <c r="B10" s="71" t="s">
        <v>109</v>
      </c>
      <c r="C10" s="71" t="s">
        <v>109</v>
      </c>
      <c r="D10" s="52" t="s">
        <v>59</v>
      </c>
      <c r="E10" s="52" t="s">
        <v>59</v>
      </c>
      <c r="F10" s="52" t="s">
        <v>59</v>
      </c>
      <c r="G10" s="52" t="s">
        <v>219</v>
      </c>
      <c r="H10" s="71" t="s">
        <v>218</v>
      </c>
      <c r="I10" s="71" t="s">
        <v>218</v>
      </c>
      <c r="K10" s="28" t="s">
        <v>12</v>
      </c>
    </row>
    <row r="11" spans="1:11" ht="21" customHeight="1" x14ac:dyDescent="0.15">
      <c r="A11" s="76" t="s">
        <v>209</v>
      </c>
      <c r="B11" s="71" t="s">
        <v>109</v>
      </c>
      <c r="C11" s="71" t="s">
        <v>109</v>
      </c>
      <c r="D11" s="53" t="s">
        <v>59</v>
      </c>
      <c r="E11" s="53" t="s">
        <v>59</v>
      </c>
      <c r="F11" s="53" t="s">
        <v>59</v>
      </c>
      <c r="G11" s="52" t="s">
        <v>219</v>
      </c>
      <c r="H11" s="71" t="s">
        <v>218</v>
      </c>
      <c r="I11" s="71" t="s">
        <v>218</v>
      </c>
      <c r="K11" s="30" t="s">
        <v>13</v>
      </c>
    </row>
    <row r="12" spans="1:11" ht="21" customHeight="1" x14ac:dyDescent="0.15">
      <c r="A12" s="76" t="s">
        <v>205</v>
      </c>
      <c r="B12" s="71" t="s">
        <v>109</v>
      </c>
      <c r="C12" s="71" t="s">
        <v>109</v>
      </c>
      <c r="D12" s="54" t="s">
        <v>60</v>
      </c>
      <c r="E12" s="54" t="s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  <c r="K12" s="72" t="s">
        <v>35</v>
      </c>
    </row>
    <row r="13" spans="1:11" ht="21" customHeight="1" x14ac:dyDescent="0.15">
      <c r="A13" s="105" t="s">
        <v>245</v>
      </c>
      <c r="B13" s="71" t="s">
        <v>109</v>
      </c>
      <c r="C13" s="71" t="s">
        <v>109</v>
      </c>
      <c r="D13" s="55" t="s">
        <v>59</v>
      </c>
      <c r="E13" s="55" t="s">
        <v>59</v>
      </c>
      <c r="F13" s="55" t="s">
        <v>59</v>
      </c>
      <c r="G13" s="71" t="s">
        <v>109</v>
      </c>
      <c r="H13" s="71" t="s">
        <v>109</v>
      </c>
      <c r="I13" s="71" t="s">
        <v>109</v>
      </c>
      <c r="K13" s="73"/>
    </row>
    <row r="14" spans="1:11" ht="21" customHeight="1" x14ac:dyDescent="0.15">
      <c r="A14" s="76" t="s">
        <v>246</v>
      </c>
      <c r="B14" s="71" t="s">
        <v>109</v>
      </c>
      <c r="C14" s="71" t="s">
        <v>109</v>
      </c>
      <c r="D14" s="55" t="s">
        <v>59</v>
      </c>
      <c r="E14" s="55" t="s">
        <v>59</v>
      </c>
      <c r="F14" s="55" t="s">
        <v>59</v>
      </c>
      <c r="G14" s="71" t="s">
        <v>109</v>
      </c>
      <c r="H14" s="71" t="s">
        <v>109</v>
      </c>
      <c r="I14" s="71" t="s">
        <v>109</v>
      </c>
    </row>
    <row r="15" spans="1:11" ht="21" customHeight="1" x14ac:dyDescent="0.15">
      <c r="A15" s="76" t="s">
        <v>105</v>
      </c>
      <c r="B15" s="71" t="s">
        <v>109</v>
      </c>
      <c r="C15" s="71" t="s">
        <v>109</v>
      </c>
      <c r="D15" s="55" t="s">
        <v>60</v>
      </c>
      <c r="E15" s="55" t="s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248</v>
      </c>
      <c r="B16" s="71" t="s">
        <v>109</v>
      </c>
      <c r="C16" s="55" t="s">
        <v>60</v>
      </c>
      <c r="D16" s="55" t="s">
        <v>60</v>
      </c>
      <c r="E16" s="55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56" t="s">
        <v>61</v>
      </c>
      <c r="C17" s="56" t="s">
        <v>61</v>
      </c>
      <c r="D17" s="56" t="s">
        <v>61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51" t="s">
        <v>62</v>
      </c>
      <c r="C18" s="51" t="s">
        <v>62</v>
      </c>
      <c r="D18" s="71" t="s">
        <v>109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8" t="s">
        <v>249</v>
      </c>
      <c r="B19" s="53" t="s">
        <v>63</v>
      </c>
      <c r="C19" s="53" t="s">
        <v>63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38" t="s">
        <v>250</v>
      </c>
      <c r="B20" s="79" t="s">
        <v>47</v>
      </c>
      <c r="C20" s="79" t="s">
        <v>47</v>
      </c>
      <c r="D20" s="79" t="s">
        <v>47</v>
      </c>
      <c r="E20" s="79" t="s">
        <v>47</v>
      </c>
      <c r="F20" s="79" t="s">
        <v>47</v>
      </c>
      <c r="G20" s="79" t="s">
        <v>47</v>
      </c>
      <c r="H20" s="79" t="s">
        <v>47</v>
      </c>
      <c r="I20" s="79" t="s">
        <v>47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64</v>
      </c>
      <c r="B26" s="22" t="s">
        <v>65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F10" sqref="F1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7" t="s">
        <v>227</v>
      </c>
      <c r="B2" s="148"/>
      <c r="C2" s="149"/>
      <c r="D2" s="160" t="s">
        <v>11</v>
      </c>
      <c r="E2" s="160">
        <v>8000</v>
      </c>
      <c r="F2" s="160">
        <v>10000</v>
      </c>
      <c r="G2" s="160">
        <v>14000</v>
      </c>
      <c r="H2" s="149"/>
      <c r="I2" s="149"/>
    </row>
    <row r="3" spans="1:9" s="4" customFormat="1" ht="21" customHeight="1" x14ac:dyDescent="0.15">
      <c r="A3" s="147" t="s">
        <v>228</v>
      </c>
      <c r="B3" s="151"/>
      <c r="C3" s="152"/>
      <c r="D3" s="160" t="s">
        <v>11</v>
      </c>
      <c r="E3" s="160">
        <v>7500</v>
      </c>
      <c r="F3" s="160">
        <v>9500</v>
      </c>
      <c r="G3" s="160">
        <v>13000</v>
      </c>
      <c r="H3" s="152"/>
      <c r="I3" s="152"/>
    </row>
    <row r="4" spans="1:9" s="4" customFormat="1" ht="21" customHeight="1" x14ac:dyDescent="0.15">
      <c r="A4" s="147" t="s">
        <v>230</v>
      </c>
      <c r="B4" s="154"/>
      <c r="C4" s="155"/>
      <c r="D4" s="160">
        <v>5000</v>
      </c>
      <c r="E4" s="160">
        <v>7000</v>
      </c>
      <c r="F4" s="160">
        <v>9000</v>
      </c>
      <c r="G4" s="160">
        <v>12000</v>
      </c>
      <c r="H4" s="155"/>
      <c r="I4" s="155"/>
    </row>
    <row r="5" spans="1:9" s="4" customFormat="1" ht="21" customHeight="1" x14ac:dyDescent="0.15">
      <c r="A5" s="166" t="s">
        <v>231</v>
      </c>
      <c r="B5" s="161"/>
      <c r="C5" s="162"/>
      <c r="D5" s="160">
        <v>4900</v>
      </c>
      <c r="E5" s="160">
        <v>6700</v>
      </c>
      <c r="F5" s="160">
        <v>8500</v>
      </c>
      <c r="G5" s="160">
        <v>11000</v>
      </c>
      <c r="H5" s="162"/>
      <c r="I5" s="162"/>
    </row>
    <row r="6" spans="1:9" s="4" customFormat="1" ht="21" customHeight="1" x14ac:dyDescent="0.15">
      <c r="A6" s="166" t="s">
        <v>232</v>
      </c>
      <c r="B6" s="161"/>
      <c r="C6" s="162"/>
      <c r="D6" s="160">
        <v>4800</v>
      </c>
      <c r="E6" s="160">
        <v>6600</v>
      </c>
      <c r="F6" s="160" t="s">
        <v>11</v>
      </c>
      <c r="G6" s="160" t="s">
        <v>11</v>
      </c>
      <c r="H6" s="162"/>
      <c r="I6" s="162"/>
    </row>
    <row r="7" spans="1:9" ht="21" customHeight="1" x14ac:dyDescent="0.15">
      <c r="A7" s="74" t="s">
        <v>206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207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76" t="s">
        <v>208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69" t="s">
        <v>11</v>
      </c>
      <c r="I10" s="69" t="s">
        <v>11</v>
      </c>
    </row>
    <row r="11" spans="1:9" ht="21" customHeight="1" x14ac:dyDescent="0.15">
      <c r="A11" s="76" t="s">
        <v>209</v>
      </c>
      <c r="B11" s="69" t="s">
        <v>11</v>
      </c>
      <c r="C11" s="69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69" t="s">
        <v>11</v>
      </c>
      <c r="I11" s="69" t="s">
        <v>11</v>
      </c>
    </row>
    <row r="12" spans="1:9" ht="21" customHeight="1" x14ac:dyDescent="0.15">
      <c r="A12" s="76" t="s">
        <v>106</v>
      </c>
      <c r="B12" s="69" t="s">
        <v>11</v>
      </c>
      <c r="C12" s="69" t="s">
        <v>11</v>
      </c>
      <c r="D12" s="29">
        <v>4800</v>
      </c>
      <c r="E12" s="29">
        <v>6600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76" t="s">
        <v>210</v>
      </c>
      <c r="B13" s="69" t="s">
        <v>11</v>
      </c>
      <c r="C13" s="69" t="s">
        <v>11</v>
      </c>
      <c r="D13" s="69" t="s">
        <v>11</v>
      </c>
      <c r="E13" s="29">
        <v>6300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211</v>
      </c>
      <c r="B14" s="69" t="s">
        <v>11</v>
      </c>
      <c r="C14" s="69" t="s">
        <v>11</v>
      </c>
      <c r="D14" s="29">
        <v>4600</v>
      </c>
      <c r="E14" s="29">
        <v>5800</v>
      </c>
      <c r="F14" s="29">
        <v>7600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105</v>
      </c>
      <c r="B15" s="69" t="s">
        <v>11</v>
      </c>
      <c r="C15" s="69" t="s">
        <v>11</v>
      </c>
      <c r="D15" s="29">
        <v>4400</v>
      </c>
      <c r="E15" s="29">
        <v>5600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212</v>
      </c>
      <c r="B16" s="69" t="s">
        <v>11</v>
      </c>
      <c r="C16" s="29">
        <v>3000</v>
      </c>
      <c r="D16" s="29">
        <v>4200</v>
      </c>
      <c r="E16" s="29">
        <v>5400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2000</v>
      </c>
      <c r="C17" s="29">
        <v>2800</v>
      </c>
      <c r="D17" s="29">
        <v>4000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29">
        <v>1750</v>
      </c>
      <c r="C18" s="29">
        <v>2550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213</v>
      </c>
      <c r="B19" s="29">
        <v>1500</v>
      </c>
      <c r="C19" s="29">
        <v>2300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8" t="s">
        <v>214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111</v>
      </c>
      <c r="G1" s="24" t="s">
        <v>112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198</v>
      </c>
      <c r="B2" s="12">
        <v>591</v>
      </c>
    </row>
    <row r="3" spans="1:4" x14ac:dyDescent="0.15">
      <c r="A3" t="s">
        <v>199</v>
      </c>
      <c r="B3" s="134">
        <v>592</v>
      </c>
    </row>
    <row r="4" spans="1:4" x14ac:dyDescent="0.15">
      <c r="A4" t="s">
        <v>200</v>
      </c>
      <c r="B4" s="134">
        <v>593</v>
      </c>
    </row>
    <row r="7" spans="1:4" x14ac:dyDescent="0.15">
      <c r="A7" t="s">
        <v>201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220</v>
      </c>
    </row>
    <row r="13" spans="1:4" x14ac:dyDescent="0.15">
      <c r="B13" t="s">
        <v>224</v>
      </c>
      <c r="C13" t="s">
        <v>225</v>
      </c>
      <c r="D13" t="s">
        <v>226</v>
      </c>
    </row>
    <row r="14" spans="1:4" x14ac:dyDescent="0.15">
      <c r="A14" t="s">
        <v>222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223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221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202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203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204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6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2017-06-06T09:55:46Z</dcterms:modified>
</cp:coreProperties>
</file>