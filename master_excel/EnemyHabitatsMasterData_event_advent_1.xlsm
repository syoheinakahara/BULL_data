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codeName="ThisWorkbook" autoCompressPictures="0"/>
  <bookViews>
    <workbookView xWindow="1720" yWindow="0" windowWidth="25600" windowHeight="14060" activeTab="1"/>
  </bookViews>
  <sheets>
    <sheet name="floors_advent_1" sheetId="2" r:id="rId1"/>
    <sheet name="enemy_habitats_advent_1" sheetId="1" r:id="rId2"/>
    <sheet name="floors_advent_1.tmp" sheetId="5" r:id="rId3"/>
    <sheet name="enemy_habitats_advent_1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enemy_habitats_advent_1!$B$1:$AE$2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J3" i="1"/>
  <c r="C1" i="6"/>
  <c r="A1" i="6"/>
  <c r="X9" i="1"/>
  <c r="A9" i="1"/>
  <c r="A10" i="6"/>
  <c r="X2" i="1"/>
  <c r="A2" i="1"/>
  <c r="X3" i="1"/>
  <c r="A3" i="1"/>
  <c r="X4" i="1"/>
  <c r="A4" i="1"/>
  <c r="X5" i="1"/>
  <c r="A5" i="1"/>
  <c r="X6" i="1"/>
  <c r="A6" i="1"/>
  <c r="X7" i="1"/>
  <c r="A7" i="1"/>
  <c r="B1" i="6"/>
  <c r="W10" i="6"/>
  <c r="V10" i="6"/>
  <c r="U10" i="6"/>
  <c r="T10" i="6"/>
  <c r="S10" i="6"/>
  <c r="R10" i="6"/>
  <c r="AA9" i="1"/>
  <c r="AD9" i="1"/>
  <c r="Q10" i="6"/>
  <c r="P10" i="6"/>
  <c r="O10" i="6"/>
  <c r="N10" i="6"/>
  <c r="M10" i="6"/>
  <c r="L10" i="6"/>
  <c r="K10" i="6"/>
  <c r="T9" i="1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A8" i="1"/>
  <c r="AD8" i="1"/>
  <c r="Q9" i="6"/>
  <c r="P9" i="6"/>
  <c r="O9" i="6"/>
  <c r="N9" i="6"/>
  <c r="M9" i="6"/>
  <c r="L9" i="6"/>
  <c r="K9" i="6"/>
  <c r="T8" i="1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A7" i="1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A6" i="1"/>
  <c r="AD6" i="1"/>
  <c r="Q7" i="6"/>
  <c r="P7" i="6"/>
  <c r="O7" i="6"/>
  <c r="N7" i="6"/>
  <c r="M7" i="6"/>
  <c r="L7" i="6"/>
  <c r="K7" i="6"/>
  <c r="T6" i="1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A5" i="1"/>
  <c r="AD5" i="1"/>
  <c r="Q6" i="6"/>
  <c r="P6" i="6"/>
  <c r="O6" i="6"/>
  <c r="N6" i="6"/>
  <c r="M6" i="6"/>
  <c r="L6" i="6"/>
  <c r="K6" i="6"/>
  <c r="T5" i="1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A4" i="1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A3" i="1"/>
  <c r="AD3" i="1"/>
  <c r="Q4" i="6"/>
  <c r="P4" i="6"/>
  <c r="O4" i="6"/>
  <c r="N4" i="6"/>
  <c r="M4" i="6"/>
  <c r="L4" i="6"/>
  <c r="K4" i="6"/>
  <c r="T3" i="1"/>
  <c r="J4" i="6"/>
  <c r="I4" i="6"/>
  <c r="H4" i="6"/>
  <c r="G4" i="6"/>
  <c r="F4" i="6"/>
  <c r="E4" i="6"/>
  <c r="D4" i="6"/>
  <c r="C4" i="6"/>
  <c r="B4" i="6"/>
  <c r="AB3" i="1"/>
  <c r="Z3" i="1"/>
  <c r="S3" i="1"/>
  <c r="M3" i="1"/>
  <c r="L3" i="1"/>
  <c r="K3" i="1"/>
  <c r="H3" i="1"/>
  <c r="D3" i="1"/>
  <c r="F3" i="1"/>
  <c r="E3" i="1"/>
  <c r="C1" i="5"/>
  <c r="A1" i="5"/>
  <c r="A7" i="5"/>
  <c r="B1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A8" i="1"/>
  <c r="AB9" i="1"/>
  <c r="Z9" i="1"/>
  <c r="S9" i="1"/>
  <c r="N9" i="1"/>
  <c r="M9" i="1"/>
  <c r="L9" i="1"/>
  <c r="K9" i="1"/>
  <c r="J9" i="1"/>
  <c r="H9" i="1"/>
  <c r="D9" i="1"/>
  <c r="F9" i="1"/>
  <c r="E9" i="1"/>
  <c r="AB8" i="1"/>
  <c r="Z8" i="1"/>
  <c r="S8" i="1"/>
  <c r="N8" i="1"/>
  <c r="M8" i="1"/>
  <c r="L8" i="1"/>
  <c r="K8" i="1"/>
  <c r="J8" i="1"/>
  <c r="H8" i="1"/>
  <c r="D8" i="1"/>
  <c r="F8" i="1"/>
  <c r="E8" i="1"/>
  <c r="AB7" i="1"/>
  <c r="Z7" i="1"/>
  <c r="S7" i="1"/>
  <c r="N7" i="1"/>
  <c r="M7" i="1"/>
  <c r="L7" i="1"/>
  <c r="K7" i="1"/>
  <c r="J7" i="1"/>
  <c r="H7" i="1"/>
  <c r="D7" i="1"/>
  <c r="F7" i="1"/>
  <c r="E7" i="1"/>
  <c r="AB6" i="1"/>
  <c r="Z6" i="1"/>
  <c r="S6" i="1"/>
  <c r="N6" i="1"/>
  <c r="M6" i="1"/>
  <c r="L6" i="1"/>
  <c r="K6" i="1"/>
  <c r="J6" i="1"/>
  <c r="H6" i="1"/>
  <c r="D6" i="1"/>
  <c r="F6" i="1"/>
  <c r="E6" i="1"/>
  <c r="AB5" i="1"/>
  <c r="Z5" i="1"/>
  <c r="S5" i="1"/>
  <c r="N5" i="1"/>
  <c r="M5" i="1"/>
  <c r="L5" i="1"/>
  <c r="K5" i="1"/>
  <c r="J5" i="1"/>
  <c r="H5" i="1"/>
  <c r="D5" i="1"/>
  <c r="F5" i="1"/>
  <c r="E5" i="1"/>
  <c r="AB4" i="1"/>
  <c r="Z4" i="1"/>
  <c r="S4" i="1"/>
  <c r="N4" i="1"/>
  <c r="M4" i="1"/>
  <c r="L4" i="1"/>
  <c r="K4" i="1"/>
  <c r="J4" i="1"/>
  <c r="H4" i="1"/>
  <c r="D4" i="1"/>
  <c r="F4" i="1"/>
  <c r="E4" i="1"/>
  <c r="H2" i="1"/>
  <c r="G6" i="2"/>
  <c r="H6" i="2"/>
  <c r="E6" i="2"/>
  <c r="D6" i="2"/>
  <c r="A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T2" i="1"/>
  <c r="S2" i="1"/>
  <c r="A3" i="6"/>
  <c r="I3" i="6"/>
  <c r="H3" i="6"/>
  <c r="G3" i="6"/>
  <c r="D2" i="1"/>
  <c r="F2" i="1"/>
  <c r="G2" i="2"/>
  <c r="H2" i="2"/>
  <c r="W3" i="6"/>
  <c r="V3" i="6"/>
  <c r="U3" i="6"/>
  <c r="T3" i="6"/>
  <c r="S3" i="6"/>
  <c r="AA2" i="1"/>
  <c r="AD2" i="1"/>
  <c r="A2" i="2"/>
  <c r="B2" i="2"/>
  <c r="AB2" i="1"/>
  <c r="Z2" i="1"/>
  <c r="E2" i="2"/>
  <c r="M2" i="1"/>
  <c r="N2" i="1"/>
  <c r="K2" i="1"/>
  <c r="L2" i="1"/>
  <c r="J2" i="1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<sst xmlns="http://schemas.openxmlformats.org/spreadsheetml/2006/main" count="76" uniqueCount="55">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</sst>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465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horizontal="center" vertical="center"/>
    </xf>
    <xf numFmtId="0" fontId="2" fillId="0" borderId="7" xfId="408" applyFont="1" applyFill="1" applyBorder="1" applyAlignment="1">
      <alignment horizontal="right" vertical="center"/>
    </xf>
    <xf numFmtId="0" fontId="4" fillId="10" borderId="3" xfId="0" applyFont="1" applyFill="1" applyBorder="1" applyAlignment="1">
      <alignment vertical="center"/>
    </xf>
  </cellXfs>
  <cellStyles count="46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標準" xfId="0" builtinId="0"/>
    <cellStyle name="標準 2 2" xfId="408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10090</v>
          </cell>
        </row>
        <row r="47">
          <cell r="A47">
            <v>10100</v>
          </cell>
        </row>
        <row r="48">
          <cell r="A48">
            <v>11001</v>
          </cell>
        </row>
        <row r="49">
          <cell r="A49">
            <v>11002</v>
          </cell>
        </row>
        <row r="50">
          <cell r="A50">
            <v>11003</v>
          </cell>
        </row>
        <row r="51">
          <cell r="A51">
            <v>11004</v>
          </cell>
        </row>
        <row r="52">
          <cell r="A52">
            <v>11005</v>
          </cell>
        </row>
        <row r="53">
          <cell r="A53">
            <v>11006</v>
          </cell>
        </row>
        <row r="54">
          <cell r="A54">
            <v>12001</v>
          </cell>
        </row>
        <row r="55">
          <cell r="A55">
            <v>13001</v>
          </cell>
        </row>
        <row r="56">
          <cell r="A56">
            <v>20001</v>
          </cell>
        </row>
        <row r="57">
          <cell r="A57">
            <v>20002</v>
          </cell>
        </row>
        <row r="58">
          <cell r="A58">
            <v>20003</v>
          </cell>
        </row>
        <row r="59">
          <cell r="A59">
            <v>20004</v>
          </cell>
        </row>
        <row r="60">
          <cell r="A60">
            <v>20005</v>
          </cell>
        </row>
        <row r="61">
          <cell r="A61">
            <v>20006</v>
          </cell>
        </row>
        <row r="62">
          <cell r="A62">
            <v>20007</v>
          </cell>
        </row>
        <row r="63">
          <cell r="A63">
            <v>20008</v>
          </cell>
        </row>
        <row r="64">
          <cell r="A64">
            <v>20009</v>
          </cell>
        </row>
        <row r="65">
          <cell r="A65">
            <v>20010</v>
          </cell>
        </row>
        <row r="66">
          <cell r="A66">
            <v>20011</v>
          </cell>
        </row>
        <row r="67">
          <cell r="A67">
            <v>20012</v>
          </cell>
        </row>
        <row r="68">
          <cell r="A68">
            <v>30001</v>
          </cell>
        </row>
        <row r="69">
          <cell r="A69">
            <v>30002</v>
          </cell>
        </row>
        <row r="70">
          <cell r="A70">
            <v>30003</v>
          </cell>
        </row>
        <row r="71">
          <cell r="A71">
            <v>30004</v>
          </cell>
        </row>
        <row r="72">
          <cell r="A72">
            <v>30005</v>
          </cell>
        </row>
        <row r="73">
          <cell r="A73">
            <v>30006</v>
          </cell>
        </row>
        <row r="74">
          <cell r="A74">
            <v>30007</v>
          </cell>
        </row>
        <row r="75">
          <cell r="A75">
            <v>30008</v>
          </cell>
        </row>
        <row r="76">
          <cell r="A76">
            <v>30009</v>
          </cell>
        </row>
        <row r="77">
          <cell r="A77">
            <v>30010</v>
          </cell>
        </row>
        <row r="78">
          <cell r="A78">
            <v>30011</v>
          </cell>
        </row>
        <row r="79">
          <cell r="A79">
            <v>30012</v>
          </cell>
        </row>
        <row r="80">
          <cell r="A80">
            <v>40001</v>
          </cell>
        </row>
        <row r="81">
          <cell r="A81">
            <v>40002</v>
          </cell>
        </row>
        <row r="82">
          <cell r="A82">
            <v>40003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10090_1</v>
          </cell>
        </row>
        <row r="194">
          <cell r="A194" t="str">
            <v>10100_1</v>
          </cell>
        </row>
        <row r="195">
          <cell r="A195" t="str">
            <v>11001_1</v>
          </cell>
        </row>
        <row r="196">
          <cell r="A196" t="str">
            <v>11001_2</v>
          </cell>
        </row>
        <row r="197">
          <cell r="A197" t="str">
            <v>11001_3</v>
          </cell>
        </row>
        <row r="198">
          <cell r="A198" t="str">
            <v>11002_1</v>
          </cell>
        </row>
        <row r="199">
          <cell r="A199" t="str">
            <v>11002_2</v>
          </cell>
        </row>
        <row r="200">
          <cell r="A200" t="str">
            <v>11002_3</v>
          </cell>
        </row>
        <row r="201">
          <cell r="A201" t="str">
            <v>11003_1</v>
          </cell>
        </row>
        <row r="202">
          <cell r="A202" t="str">
            <v>11003_2</v>
          </cell>
        </row>
        <row r="203">
          <cell r="A203" t="str">
            <v>11003_3</v>
          </cell>
        </row>
        <row r="204">
          <cell r="A204" t="str">
            <v>11004_1</v>
          </cell>
        </row>
        <row r="205">
          <cell r="A205" t="str">
            <v>11004_2</v>
          </cell>
        </row>
        <row r="206">
          <cell r="A206" t="str">
            <v>11004_3</v>
          </cell>
        </row>
        <row r="207">
          <cell r="A207" t="str">
            <v>11005_1</v>
          </cell>
        </row>
        <row r="208">
          <cell r="A208" t="str">
            <v>11005_2</v>
          </cell>
        </row>
        <row r="209">
          <cell r="A209" t="str">
            <v>11005_3</v>
          </cell>
        </row>
        <row r="210">
          <cell r="A210" t="str">
            <v>11005_4</v>
          </cell>
        </row>
        <row r="211">
          <cell r="A211" t="str">
            <v>11006_1</v>
          </cell>
        </row>
        <row r="212">
          <cell r="A212" t="str">
            <v>11006_2</v>
          </cell>
        </row>
        <row r="213">
          <cell r="A213" t="str">
            <v>11006_3</v>
          </cell>
        </row>
        <row r="214">
          <cell r="A214" t="str">
            <v>12001_1</v>
          </cell>
        </row>
        <row r="215">
          <cell r="A215" t="str">
            <v>12001_2</v>
          </cell>
        </row>
        <row r="216">
          <cell r="A216" t="str">
            <v>13001_1</v>
          </cell>
        </row>
        <row r="217">
          <cell r="A217" t="str">
            <v>13001_2</v>
          </cell>
        </row>
        <row r="218">
          <cell r="A218" t="str">
            <v>13001_3</v>
          </cell>
        </row>
        <row r="219">
          <cell r="A219" t="str">
            <v>13001_4</v>
          </cell>
        </row>
        <row r="220">
          <cell r="A220" t="str">
            <v>13001_5</v>
          </cell>
        </row>
        <row r="221">
          <cell r="A221" t="str">
            <v>13001_6</v>
          </cell>
        </row>
        <row r="222">
          <cell r="A222" t="str">
            <v>13001_7</v>
          </cell>
        </row>
        <row r="223">
          <cell r="A223" t="str">
            <v>13001_8</v>
          </cell>
        </row>
        <row r="224">
          <cell r="A224" t="str">
            <v>13001_9</v>
          </cell>
        </row>
        <row r="225">
          <cell r="A225" t="str">
            <v>13001_10</v>
          </cell>
        </row>
        <row r="226">
          <cell r="A226" t="str">
            <v>13001_11</v>
          </cell>
        </row>
        <row r="227">
          <cell r="A227" t="str">
            <v>13001_12</v>
          </cell>
        </row>
        <row r="228">
          <cell r="A228" t="str">
            <v>13001_13</v>
          </cell>
        </row>
        <row r="229">
          <cell r="A229" t="str">
            <v>13001_14</v>
          </cell>
        </row>
        <row r="230">
          <cell r="A230" t="str">
            <v>13001_15</v>
          </cell>
        </row>
        <row r="231">
          <cell r="A231" t="str">
            <v>13001_16</v>
          </cell>
        </row>
        <row r="232">
          <cell r="A232" t="str">
            <v>13001_17</v>
          </cell>
        </row>
        <row r="233">
          <cell r="A233" t="str">
            <v>13001_18</v>
          </cell>
        </row>
        <row r="234">
          <cell r="A234" t="str">
            <v>13001_19</v>
          </cell>
        </row>
        <row r="235">
          <cell r="A235" t="str">
            <v>13001_20</v>
          </cell>
        </row>
        <row r="236">
          <cell r="A236" t="str">
            <v>13001_21</v>
          </cell>
        </row>
        <row r="237">
          <cell r="A237" t="str">
            <v>13001_22</v>
          </cell>
        </row>
        <row r="238">
          <cell r="A238" t="str">
            <v>13001_23</v>
          </cell>
        </row>
        <row r="239">
          <cell r="A239" t="str">
            <v>13001_24</v>
          </cell>
        </row>
        <row r="240">
          <cell r="A240" t="str">
            <v>13001_25</v>
          </cell>
        </row>
        <row r="241">
          <cell r="A241" t="str">
            <v>20001_1</v>
          </cell>
        </row>
        <row r="242">
          <cell r="A242" t="str">
            <v>20001_2</v>
          </cell>
        </row>
        <row r="243">
          <cell r="A243" t="str">
            <v>20001_3</v>
          </cell>
        </row>
        <row r="244">
          <cell r="A244" t="str">
            <v>20002_1</v>
          </cell>
        </row>
        <row r="245">
          <cell r="A245" t="str">
            <v>20002_2</v>
          </cell>
        </row>
        <row r="246">
          <cell r="A246" t="str">
            <v>20002_3</v>
          </cell>
        </row>
        <row r="247">
          <cell r="A247" t="str">
            <v>20003_1</v>
          </cell>
        </row>
        <row r="248">
          <cell r="A248" t="str">
            <v>20003_2</v>
          </cell>
        </row>
        <row r="249">
          <cell r="A249" t="str">
            <v>20003_3</v>
          </cell>
        </row>
        <row r="250">
          <cell r="A250" t="str">
            <v>20004_1</v>
          </cell>
        </row>
        <row r="251">
          <cell r="A251" t="str">
            <v>20004_2</v>
          </cell>
        </row>
        <row r="252">
          <cell r="A252" t="str">
            <v>20004_3</v>
          </cell>
        </row>
        <row r="253">
          <cell r="A253" t="str">
            <v>20005_1</v>
          </cell>
        </row>
        <row r="254">
          <cell r="A254" t="str">
            <v>20005_2</v>
          </cell>
        </row>
        <row r="255">
          <cell r="A255" t="str">
            <v>20005_3</v>
          </cell>
        </row>
        <row r="256">
          <cell r="A256" t="str">
            <v>20006_1</v>
          </cell>
        </row>
        <row r="257">
          <cell r="A257" t="str">
            <v>20006_2</v>
          </cell>
        </row>
        <row r="258">
          <cell r="A258" t="str">
            <v>20006_3</v>
          </cell>
        </row>
        <row r="259">
          <cell r="A259" t="str">
            <v>20007_1</v>
          </cell>
        </row>
        <row r="260">
          <cell r="A260" t="str">
            <v>20007_2</v>
          </cell>
        </row>
        <row r="261">
          <cell r="A261" t="str">
            <v>20007_3</v>
          </cell>
        </row>
        <row r="262">
          <cell r="A262" t="str">
            <v>20008_1</v>
          </cell>
        </row>
        <row r="263">
          <cell r="A263" t="str">
            <v>20008_2</v>
          </cell>
        </row>
        <row r="264">
          <cell r="A264" t="str">
            <v>20008_3</v>
          </cell>
        </row>
        <row r="265">
          <cell r="A265" t="str">
            <v>20009_1</v>
          </cell>
        </row>
        <row r="266">
          <cell r="A266" t="str">
            <v>20009_2</v>
          </cell>
        </row>
        <row r="267">
          <cell r="A267" t="str">
            <v>20009_3</v>
          </cell>
        </row>
        <row r="268">
          <cell r="A268" t="str">
            <v>20010_1</v>
          </cell>
        </row>
        <row r="269">
          <cell r="A269" t="str">
            <v>20010_2</v>
          </cell>
        </row>
        <row r="270">
          <cell r="A270" t="str">
            <v>20010_3</v>
          </cell>
        </row>
        <row r="271">
          <cell r="A271" t="str">
            <v>20011_1</v>
          </cell>
        </row>
        <row r="272">
          <cell r="A272" t="str">
            <v>20011_2</v>
          </cell>
        </row>
        <row r="273">
          <cell r="A273" t="str">
            <v>20011_3</v>
          </cell>
        </row>
        <row r="274">
          <cell r="A274" t="str">
            <v>20012_1</v>
          </cell>
        </row>
        <row r="275">
          <cell r="A275" t="str">
            <v>20012_2</v>
          </cell>
        </row>
        <row r="276">
          <cell r="A276" t="str">
            <v>20012_3</v>
          </cell>
        </row>
        <row r="277">
          <cell r="A277" t="str">
            <v>30001_1</v>
          </cell>
        </row>
        <row r="278">
          <cell r="A278" t="str">
            <v>30001_2</v>
          </cell>
        </row>
        <row r="279">
          <cell r="A279" t="str">
            <v>30001_3</v>
          </cell>
        </row>
        <row r="280">
          <cell r="A280" t="str">
            <v>30002_1</v>
          </cell>
        </row>
        <row r="281">
          <cell r="A281" t="str">
            <v>30002_2</v>
          </cell>
        </row>
        <row r="282">
          <cell r="A282" t="str">
            <v>30002_3</v>
          </cell>
        </row>
        <row r="283">
          <cell r="A283" t="str">
            <v>30003_1</v>
          </cell>
        </row>
        <row r="284">
          <cell r="A284" t="str">
            <v>30003_2</v>
          </cell>
        </row>
        <row r="285">
          <cell r="A285" t="str">
            <v>30003_3</v>
          </cell>
        </row>
        <row r="286">
          <cell r="A286" t="str">
            <v>30004_1</v>
          </cell>
        </row>
        <row r="287">
          <cell r="A287" t="str">
            <v>30004_2</v>
          </cell>
        </row>
        <row r="288">
          <cell r="A288" t="str">
            <v>30004_3</v>
          </cell>
        </row>
        <row r="289">
          <cell r="A289" t="str">
            <v>30005_1</v>
          </cell>
        </row>
        <row r="290">
          <cell r="A290" t="str">
            <v>30005_2</v>
          </cell>
        </row>
        <row r="291">
          <cell r="A291" t="str">
            <v>30005_3</v>
          </cell>
        </row>
        <row r="292">
          <cell r="A292" t="str">
            <v>30006_1</v>
          </cell>
        </row>
        <row r="293">
          <cell r="A293" t="str">
            <v>30006_2</v>
          </cell>
        </row>
        <row r="294">
          <cell r="A294" t="str">
            <v>30006_3</v>
          </cell>
        </row>
        <row r="295">
          <cell r="A295" t="str">
            <v>30007_1</v>
          </cell>
        </row>
        <row r="296">
          <cell r="A296" t="str">
            <v>30007_2</v>
          </cell>
        </row>
        <row r="297">
          <cell r="A297" t="str">
            <v>30007_3</v>
          </cell>
        </row>
        <row r="298">
          <cell r="A298" t="str">
            <v>30008_1</v>
          </cell>
        </row>
        <row r="299">
          <cell r="A299" t="str">
            <v>30008_2</v>
          </cell>
        </row>
        <row r="300">
          <cell r="A300" t="str">
            <v>30008_3</v>
          </cell>
        </row>
        <row r="301">
          <cell r="A301" t="str">
            <v>30009_1</v>
          </cell>
        </row>
        <row r="302">
          <cell r="A302" t="str">
            <v>30009_2</v>
          </cell>
        </row>
        <row r="303">
          <cell r="A303" t="str">
            <v>30009_3</v>
          </cell>
        </row>
        <row r="304">
          <cell r="A304" t="str">
            <v>30010_1</v>
          </cell>
        </row>
        <row r="305">
          <cell r="A305" t="str">
            <v>30010_2</v>
          </cell>
        </row>
        <row r="306">
          <cell r="A306" t="str">
            <v>30010_3</v>
          </cell>
        </row>
        <row r="307">
          <cell r="A307" t="str">
            <v>30011_1</v>
          </cell>
        </row>
        <row r="308">
          <cell r="A308" t="str">
            <v>30011_2</v>
          </cell>
        </row>
        <row r="309">
          <cell r="A309" t="str">
            <v>30011_3</v>
          </cell>
        </row>
        <row r="310">
          <cell r="A310" t="str">
            <v>30012_1</v>
          </cell>
        </row>
        <row r="311">
          <cell r="A311" t="str">
            <v>30012_2</v>
          </cell>
        </row>
        <row r="312">
          <cell r="A312" t="str">
            <v>30012_3</v>
          </cell>
        </row>
        <row r="313">
          <cell r="A313" t="str">
            <v>40001_1</v>
          </cell>
        </row>
        <row r="314">
          <cell r="A314" t="str">
            <v>40002_1</v>
          </cell>
        </row>
        <row r="315">
          <cell r="A315" t="str">
            <v>40003_1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代表スキル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hp_threshold</v>
          </cell>
          <cell r="J1" t="str">
            <v>invoke_times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38</v>
          </cell>
        </row>
        <row r="16">
          <cell r="B16">
            <v>39</v>
          </cell>
        </row>
        <row r="17">
          <cell r="B17">
            <v>40</v>
          </cell>
        </row>
        <row r="18">
          <cell r="B18">
            <v>42</v>
          </cell>
        </row>
        <row r="19">
          <cell r="B19">
            <v>46</v>
          </cell>
        </row>
        <row r="20">
          <cell r="B20">
            <v>49</v>
          </cell>
        </row>
        <row r="21">
          <cell r="B21">
            <v>50</v>
          </cell>
        </row>
        <row r="22">
          <cell r="B22">
            <v>51</v>
          </cell>
        </row>
        <row r="23">
          <cell r="B23">
            <v>53</v>
          </cell>
        </row>
        <row r="24">
          <cell r="B24">
            <v>55</v>
          </cell>
        </row>
        <row r="25">
          <cell r="B25">
            <v>56</v>
          </cell>
        </row>
        <row r="26">
          <cell r="B26">
            <v>57</v>
          </cell>
        </row>
        <row r="27">
          <cell r="B27">
            <v>59</v>
          </cell>
        </row>
        <row r="28">
          <cell r="B28">
            <v>61</v>
          </cell>
        </row>
        <row r="29">
          <cell r="B29">
            <v>62</v>
          </cell>
        </row>
        <row r="30">
          <cell r="B30">
            <v>63</v>
          </cell>
        </row>
        <row r="31">
          <cell r="B31">
            <v>64</v>
          </cell>
        </row>
        <row r="32">
          <cell r="B32">
            <v>65</v>
          </cell>
        </row>
        <row r="33">
          <cell r="B33">
            <v>66</v>
          </cell>
        </row>
        <row r="34">
          <cell r="B34">
            <v>67</v>
          </cell>
        </row>
        <row r="35">
          <cell r="B35">
            <v>68</v>
          </cell>
        </row>
        <row r="36">
          <cell r="B36">
            <v>69</v>
          </cell>
        </row>
        <row r="37">
          <cell r="B37">
            <v>71</v>
          </cell>
        </row>
        <row r="38">
          <cell r="B38">
            <v>1071</v>
          </cell>
        </row>
        <row r="39">
          <cell r="B39">
            <v>72</v>
          </cell>
        </row>
        <row r="40">
          <cell r="B40">
            <v>74</v>
          </cell>
        </row>
        <row r="41">
          <cell r="B41">
            <v>75</v>
          </cell>
        </row>
        <row r="42">
          <cell r="B42">
            <v>76</v>
          </cell>
        </row>
        <row r="43">
          <cell r="B43">
            <v>77</v>
          </cell>
        </row>
        <row r="44">
          <cell r="B44">
            <v>79</v>
          </cell>
        </row>
        <row r="45">
          <cell r="B45">
            <v>81</v>
          </cell>
        </row>
        <row r="46">
          <cell r="B46">
            <v>83</v>
          </cell>
        </row>
        <row r="47">
          <cell r="B47">
            <v>85</v>
          </cell>
        </row>
        <row r="48">
          <cell r="B48">
            <v>86</v>
          </cell>
        </row>
        <row r="49">
          <cell r="B49">
            <v>88</v>
          </cell>
        </row>
        <row r="50">
          <cell r="B50">
            <v>89</v>
          </cell>
        </row>
        <row r="51">
          <cell r="B51">
            <v>11701</v>
          </cell>
        </row>
        <row r="52">
          <cell r="B52">
            <v>11701</v>
          </cell>
        </row>
        <row r="53">
          <cell r="B53">
            <v>11702</v>
          </cell>
        </row>
        <row r="54">
          <cell r="B54">
            <v>11703</v>
          </cell>
        </row>
        <row r="55">
          <cell r="B55">
            <v>11704</v>
          </cell>
        </row>
        <row r="56">
          <cell r="B56">
            <v>11801</v>
          </cell>
        </row>
        <row r="57">
          <cell r="B57">
            <v>11802</v>
          </cell>
        </row>
        <row r="58">
          <cell r="B58">
            <v>11803</v>
          </cell>
        </row>
        <row r="59">
          <cell r="B59">
            <v>11901</v>
          </cell>
        </row>
        <row r="60">
          <cell r="B60">
            <v>11902</v>
          </cell>
        </row>
        <row r="61">
          <cell r="B61">
            <v>11903</v>
          </cell>
        </row>
        <row r="62">
          <cell r="B62">
            <v>126</v>
          </cell>
        </row>
        <row r="63">
          <cell r="B63">
            <v>128</v>
          </cell>
        </row>
        <row r="64">
          <cell r="B64">
            <v>130</v>
          </cell>
        </row>
        <row r="65">
          <cell r="B65">
            <v>132</v>
          </cell>
        </row>
        <row r="66">
          <cell r="B66">
            <v>134</v>
          </cell>
        </row>
        <row r="67">
          <cell r="B67">
            <v>136</v>
          </cell>
        </row>
        <row r="68">
          <cell r="B68">
            <v>139</v>
          </cell>
        </row>
        <row r="69">
          <cell r="B69">
            <v>140</v>
          </cell>
        </row>
        <row r="70">
          <cell r="B70">
            <v>141</v>
          </cell>
        </row>
        <row r="71">
          <cell r="B71">
            <v>10141</v>
          </cell>
        </row>
        <row r="72">
          <cell r="B72">
            <v>146</v>
          </cell>
        </row>
        <row r="73">
          <cell r="B73">
            <v>14601</v>
          </cell>
        </row>
        <row r="74">
          <cell r="B74">
            <v>148</v>
          </cell>
        </row>
        <row r="75">
          <cell r="B75">
            <v>148</v>
          </cell>
        </row>
        <row r="76">
          <cell r="B76">
            <v>149</v>
          </cell>
        </row>
        <row r="77">
          <cell r="B77">
            <v>149</v>
          </cell>
        </row>
        <row r="78">
          <cell r="B78">
            <v>151</v>
          </cell>
        </row>
        <row r="79">
          <cell r="B79">
            <v>151</v>
          </cell>
        </row>
        <row r="80">
          <cell r="B80">
            <v>152</v>
          </cell>
        </row>
        <row r="81">
          <cell r="B81">
            <v>152</v>
          </cell>
        </row>
        <row r="82">
          <cell r="B82">
            <v>153</v>
          </cell>
        </row>
        <row r="83">
          <cell r="B83">
            <v>153</v>
          </cell>
        </row>
        <row r="84">
          <cell r="B84">
            <v>153</v>
          </cell>
        </row>
        <row r="85">
          <cell r="B85">
            <v>154</v>
          </cell>
        </row>
        <row r="86">
          <cell r="B86">
            <v>156</v>
          </cell>
        </row>
        <row r="87">
          <cell r="B87">
            <v>156</v>
          </cell>
        </row>
        <row r="88">
          <cell r="B88">
            <v>157</v>
          </cell>
        </row>
        <row r="89">
          <cell r="B89">
            <v>160</v>
          </cell>
        </row>
        <row r="90">
          <cell r="B90">
            <v>164</v>
          </cell>
        </row>
        <row r="91">
          <cell r="B91">
            <v>164</v>
          </cell>
        </row>
        <row r="92">
          <cell r="B92">
            <v>169</v>
          </cell>
        </row>
        <row r="93">
          <cell r="B93">
            <v>172</v>
          </cell>
        </row>
        <row r="94">
          <cell r="B94">
            <v>178</v>
          </cell>
        </row>
        <row r="95">
          <cell r="B95">
            <v>182</v>
          </cell>
        </row>
        <row r="96">
          <cell r="B96">
            <v>184</v>
          </cell>
        </row>
        <row r="97">
          <cell r="B97">
            <v>185</v>
          </cell>
        </row>
        <row r="98">
          <cell r="B98">
            <v>187</v>
          </cell>
        </row>
        <row r="99">
          <cell r="B99">
            <v>193</v>
          </cell>
        </row>
        <row r="100">
          <cell r="B100">
            <v>194</v>
          </cell>
        </row>
        <row r="101">
          <cell r="B101">
            <v>197</v>
          </cell>
        </row>
        <row r="102">
          <cell r="B102">
            <v>198</v>
          </cell>
        </row>
        <row r="103">
          <cell r="B103">
            <v>197</v>
          </cell>
        </row>
        <row r="104">
          <cell r="B104">
            <v>198</v>
          </cell>
        </row>
        <row r="105">
          <cell r="B105">
            <v>10197</v>
          </cell>
        </row>
        <row r="106">
          <cell r="B106">
            <v>199</v>
          </cell>
        </row>
        <row r="107">
          <cell r="B107">
            <v>200</v>
          </cell>
        </row>
        <row r="108">
          <cell r="B108">
            <v>202</v>
          </cell>
        </row>
        <row r="109">
          <cell r="B109">
            <v>203</v>
          </cell>
        </row>
        <row r="110">
          <cell r="B110">
            <v>206</v>
          </cell>
        </row>
        <row r="111">
          <cell r="B111">
            <v>211</v>
          </cell>
        </row>
        <row r="112">
          <cell r="B112">
            <v>212</v>
          </cell>
        </row>
        <row r="113">
          <cell r="B113">
            <v>215</v>
          </cell>
        </row>
        <row r="114">
          <cell r="B114">
            <v>215</v>
          </cell>
        </row>
        <row r="115">
          <cell r="B115">
            <v>219</v>
          </cell>
        </row>
        <row r="116">
          <cell r="B116">
            <v>224</v>
          </cell>
        </row>
        <row r="117">
          <cell r="B117">
            <v>224</v>
          </cell>
        </row>
        <row r="118">
          <cell r="B118">
            <v>229</v>
          </cell>
        </row>
        <row r="119">
          <cell r="B119">
            <v>230</v>
          </cell>
        </row>
        <row r="120">
          <cell r="B120">
            <v>231</v>
          </cell>
        </row>
        <row r="121">
          <cell r="B121">
            <v>232</v>
          </cell>
        </row>
        <row r="122">
          <cell r="B122">
            <v>233</v>
          </cell>
        </row>
        <row r="123">
          <cell r="B123">
            <v>241</v>
          </cell>
        </row>
        <row r="124">
          <cell r="B124">
            <v>254</v>
          </cell>
        </row>
        <row r="125">
          <cell r="B125">
            <v>254</v>
          </cell>
        </row>
        <row r="126">
          <cell r="B126">
            <v>256</v>
          </cell>
        </row>
        <row r="127">
          <cell r="B127">
            <v>257</v>
          </cell>
        </row>
        <row r="128">
          <cell r="B128">
            <v>317</v>
          </cell>
        </row>
        <row r="129">
          <cell r="B129">
            <v>317</v>
          </cell>
        </row>
        <row r="130">
          <cell r="B130">
            <v>317</v>
          </cell>
        </row>
        <row r="131">
          <cell r="B131">
            <v>317</v>
          </cell>
        </row>
        <row r="132">
          <cell r="B132">
            <v>317</v>
          </cell>
        </row>
        <row r="133">
          <cell r="B133">
            <v>317</v>
          </cell>
        </row>
        <row r="134">
          <cell r="B134">
            <v>317</v>
          </cell>
        </row>
        <row r="135">
          <cell r="B135">
            <v>319</v>
          </cell>
        </row>
        <row r="136">
          <cell r="B136">
            <v>319</v>
          </cell>
        </row>
        <row r="137">
          <cell r="B137">
            <v>319</v>
          </cell>
        </row>
        <row r="138">
          <cell r="B138">
            <v>319</v>
          </cell>
        </row>
        <row r="139">
          <cell r="B139">
            <v>319</v>
          </cell>
        </row>
        <row r="140">
          <cell r="B140">
            <v>319</v>
          </cell>
        </row>
        <row r="141">
          <cell r="B141">
            <v>2666</v>
          </cell>
        </row>
        <row r="142">
          <cell r="B142">
            <v>20011</v>
          </cell>
        </row>
        <row r="143">
          <cell r="B143">
            <v>263</v>
          </cell>
        </row>
        <row r="144">
          <cell r="B144">
            <v>266</v>
          </cell>
        </row>
        <row r="145">
          <cell r="B145">
            <v>272</v>
          </cell>
        </row>
        <row r="146">
          <cell r="B146">
            <v>272</v>
          </cell>
        </row>
        <row r="147">
          <cell r="B147">
            <v>272</v>
          </cell>
        </row>
        <row r="148">
          <cell r="B148">
            <v>272</v>
          </cell>
        </row>
        <row r="149">
          <cell r="B149">
            <v>274</v>
          </cell>
        </row>
        <row r="150">
          <cell r="B150">
            <v>275</v>
          </cell>
        </row>
        <row r="151">
          <cell r="B151">
            <v>275</v>
          </cell>
        </row>
        <row r="152">
          <cell r="B152">
            <v>268</v>
          </cell>
        </row>
        <row r="153">
          <cell r="B153">
            <v>264</v>
          </cell>
        </row>
        <row r="154">
          <cell r="B154">
            <v>270</v>
          </cell>
        </row>
        <row r="155">
          <cell r="B155">
            <v>271</v>
          </cell>
        </row>
        <row r="156">
          <cell r="B156">
            <v>271</v>
          </cell>
        </row>
        <row r="157">
          <cell r="B157">
            <v>276</v>
          </cell>
        </row>
        <row r="158">
          <cell r="B158">
            <v>276</v>
          </cell>
        </row>
        <row r="159">
          <cell r="B159">
            <v>277</v>
          </cell>
        </row>
        <row r="160">
          <cell r="B160">
            <v>277</v>
          </cell>
        </row>
        <row r="161">
          <cell r="B161">
            <v>277</v>
          </cell>
        </row>
        <row r="162">
          <cell r="B162">
            <v>1063</v>
          </cell>
        </row>
        <row r="163">
          <cell r="B163">
            <v>1055</v>
          </cell>
        </row>
        <row r="164">
          <cell r="B164">
            <v>2063</v>
          </cell>
        </row>
        <row r="165">
          <cell r="B165">
            <v>1123</v>
          </cell>
        </row>
        <row r="166">
          <cell r="B166">
            <v>1221</v>
          </cell>
        </row>
        <row r="167">
          <cell r="B167">
            <v>1221</v>
          </cell>
        </row>
        <row r="168">
          <cell r="B168">
            <v>1211</v>
          </cell>
        </row>
        <row r="169">
          <cell r="B169">
            <v>1231</v>
          </cell>
        </row>
        <row r="170">
          <cell r="B170">
            <v>1045</v>
          </cell>
        </row>
        <row r="171">
          <cell r="B171">
            <v>278</v>
          </cell>
        </row>
        <row r="172">
          <cell r="B172">
            <v>278</v>
          </cell>
        </row>
        <row r="173">
          <cell r="B173">
            <v>279</v>
          </cell>
        </row>
        <row r="174">
          <cell r="B174">
            <v>279</v>
          </cell>
        </row>
        <row r="175">
          <cell r="B175">
            <v>13501</v>
          </cell>
        </row>
        <row r="176">
          <cell r="B176">
            <v>13501</v>
          </cell>
        </row>
        <row r="177">
          <cell r="B177">
            <v>13501</v>
          </cell>
        </row>
        <row r="178">
          <cell r="B178">
            <v>13501</v>
          </cell>
        </row>
        <row r="179">
          <cell r="B179">
            <v>13501</v>
          </cell>
        </row>
        <row r="180">
          <cell r="B180">
            <v>192</v>
          </cell>
        </row>
        <row r="181">
          <cell r="B181">
            <v>266</v>
          </cell>
        </row>
        <row r="182">
          <cell r="B182">
            <v>266</v>
          </cell>
        </row>
        <row r="183">
          <cell r="B183">
            <v>266</v>
          </cell>
        </row>
        <row r="184">
          <cell r="B184">
            <v>266</v>
          </cell>
        </row>
        <row r="185">
          <cell r="B185">
            <v>28201</v>
          </cell>
        </row>
        <row r="186">
          <cell r="B186">
            <v>28202</v>
          </cell>
        </row>
        <row r="187">
          <cell r="B187">
            <v>28202</v>
          </cell>
        </row>
        <row r="188">
          <cell r="B188">
            <v>28201</v>
          </cell>
        </row>
        <row r="189">
          <cell r="B189">
            <v>28202</v>
          </cell>
        </row>
        <row r="190">
          <cell r="B190">
            <v>13201</v>
          </cell>
        </row>
        <row r="191">
          <cell r="B191">
            <v>286</v>
          </cell>
        </row>
        <row r="192">
          <cell r="B192">
            <v>286</v>
          </cell>
        </row>
        <row r="193">
          <cell r="B193">
            <v>286</v>
          </cell>
        </row>
        <row r="194">
          <cell r="B194">
            <v>22401</v>
          </cell>
        </row>
        <row r="195">
          <cell r="B195">
            <v>22401</v>
          </cell>
        </row>
        <row r="196">
          <cell r="B196">
            <v>22401</v>
          </cell>
        </row>
        <row r="197">
          <cell r="B197">
            <v>22401</v>
          </cell>
        </row>
        <row r="198">
          <cell r="B198">
            <v>20601</v>
          </cell>
        </row>
        <row r="199">
          <cell r="B199">
            <v>20601</v>
          </cell>
        </row>
        <row r="200">
          <cell r="B200">
            <v>20901</v>
          </cell>
        </row>
        <row r="201">
          <cell r="B201">
            <v>20901</v>
          </cell>
        </row>
        <row r="202">
          <cell r="B202">
            <v>20901</v>
          </cell>
        </row>
        <row r="203">
          <cell r="B203">
            <v>20901</v>
          </cell>
        </row>
        <row r="204">
          <cell r="B204">
            <v>20901</v>
          </cell>
        </row>
        <row r="205">
          <cell r="B205">
            <v>19101</v>
          </cell>
        </row>
        <row r="206">
          <cell r="B206">
            <v>19101</v>
          </cell>
        </row>
        <row r="207">
          <cell r="B207">
            <v>19101</v>
          </cell>
        </row>
        <row r="208">
          <cell r="B208">
            <v>19101</v>
          </cell>
        </row>
        <row r="209">
          <cell r="B209">
            <v>19101</v>
          </cell>
        </row>
        <row r="210">
          <cell r="B210">
            <v>12901</v>
          </cell>
        </row>
        <row r="211">
          <cell r="B211">
            <v>12901</v>
          </cell>
        </row>
        <row r="212">
          <cell r="B212">
            <v>14301</v>
          </cell>
        </row>
        <row r="213">
          <cell r="B213">
            <v>29001</v>
          </cell>
        </row>
        <row r="214">
          <cell r="B214">
            <v>29001</v>
          </cell>
        </row>
        <row r="215">
          <cell r="B215">
            <v>29002</v>
          </cell>
        </row>
        <row r="216">
          <cell r="B216">
            <v>29002</v>
          </cell>
        </row>
        <row r="217">
          <cell r="B217">
            <v>29002</v>
          </cell>
        </row>
        <row r="218">
          <cell r="B218">
            <v>292</v>
          </cell>
        </row>
        <row r="219">
          <cell r="B219">
            <v>29201</v>
          </cell>
        </row>
        <row r="220">
          <cell r="B220">
            <v>29201</v>
          </cell>
        </row>
        <row r="221">
          <cell r="B221">
            <v>293</v>
          </cell>
        </row>
        <row r="222">
          <cell r="B222">
            <v>293</v>
          </cell>
        </row>
        <row r="223">
          <cell r="B223">
            <v>293</v>
          </cell>
        </row>
        <row r="224">
          <cell r="B224">
            <v>14101</v>
          </cell>
        </row>
        <row r="225">
          <cell r="B225">
            <v>14101</v>
          </cell>
        </row>
        <row r="226">
          <cell r="B226">
            <v>3301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K5" sqref="K5"/>
    </sheetView>
  </sheetViews>
  <sheetFormatPr baseColWidth="12" defaultColWidth="13" defaultRowHeight="21" customHeight="1" outlineLevelCol="1" x14ac:dyDescent="0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9" t="s">
        <v>31</v>
      </c>
      <c r="B1" s="19" t="s">
        <v>38</v>
      </c>
      <c r="C1" s="1" t="s">
        <v>0</v>
      </c>
      <c r="D1" s="2" t="s">
        <v>18</v>
      </c>
      <c r="E1" s="18" t="s">
        <v>35</v>
      </c>
      <c r="F1" s="1" t="s">
        <v>1</v>
      </c>
      <c r="G1" s="27" t="s">
        <v>34</v>
      </c>
      <c r="H1" s="18" t="s">
        <v>36</v>
      </c>
      <c r="I1" s="1" t="s">
        <v>13</v>
      </c>
      <c r="J1" s="1" t="s">
        <v>14</v>
      </c>
      <c r="K1" s="1" t="s">
        <v>15</v>
      </c>
    </row>
    <row r="2" spans="1:11" ht="21" customHeight="1">
      <c r="A2" s="19" t="str">
        <f>G2&amp;"-"&amp;I2</f>
        <v>40001_1-1</v>
      </c>
      <c r="B2" s="19" t="str">
        <f>IF(COUNTIF(enemy_habitats_advent_1!$H:$H,A2),"OK","NG")</f>
        <v>OK</v>
      </c>
      <c r="C2" s="40">
        <v>40001</v>
      </c>
      <c r="D2" s="11" t="str">
        <f ca="1">VLOOKUP($C2,OFFSET([1]quests!$A$1,0,0,COUNTA([1]quests!$A:$A),MATCH(D$1,[1]quests!$1:$1,0)-MATCH($C$1,[1]quests!$1:$1,0)+1),MATCH(D$1,[1]quests!$1:$1,0)-MATCH($C$1,[1]quests!$1:$1,0)+1,FALSE)</f>
        <v>アマテラス襲来！</v>
      </c>
      <c r="E2" s="24" t="str">
        <f ca="1">VLOOKUP($C2,OFFSET([1]quests!$A$1,0,0,COUNTA([1]quests!$A:$A),MATCH(E$1,[1]quests!$1:$1,0)-MATCH($C$1,[1]quests!$1:$1,0)+1),MATCH(E$1,[1]quests!$1:$1,0)-MATCH($C$1,[1]quests!$1:$1,0)+1,FALSE)</f>
        <v>降臨1</v>
      </c>
      <c r="F2" s="41">
        <v>1</v>
      </c>
      <c r="G2" s="27" t="str">
        <f>C2&amp;"_"&amp;F2</f>
        <v>40001_1</v>
      </c>
      <c r="H2" s="18" t="str">
        <f ca="1">VLOOKUP($G2,OFFSET([1]stages!$A$1,0,0,COUNTA([1]stages!$A:$A),MATCH(H$1,[1]stages!$2:$2,0)-MATCH($G$1,[1]stages!$2:$2,0)+1),MATCH(H$1,[1]stages!$2:$2,0)-MATCH($G$1,[1]stages!$2:$2,0)+1,FALSE)</f>
        <v>アマテラス襲来 【ウィザード級】</v>
      </c>
      <c r="I2" s="41">
        <v>1</v>
      </c>
      <c r="J2" s="42">
        <v>60</v>
      </c>
      <c r="K2" s="42">
        <v>60</v>
      </c>
    </row>
    <row r="3" spans="1:11" ht="21" customHeight="1">
      <c r="A3" s="19" t="str">
        <f t="shared" ref="A3:A6" si="0">G3&amp;"-"&amp;I3</f>
        <v>40001_1-2</v>
      </c>
      <c r="B3" s="19" t="str">
        <f>IF(COUNTIF(enemy_habitats_advent_1!$H:$H,A3),"OK","NG")</f>
        <v>OK</v>
      </c>
      <c r="C3" s="40">
        <v>40001</v>
      </c>
      <c r="D3" s="11" t="str">
        <f ca="1">VLOOKUP($C3,OFFSET([1]quests!$A$1,0,0,COUNTA([1]quests!$A:$A),MATCH(D$1,[1]quests!$1:$1,0)-MATCH($C$1,[1]quests!$1:$1,0)+1),MATCH(D$1,[1]quests!$1:$1,0)-MATCH($C$1,[1]quests!$1:$1,0)+1,FALSE)</f>
        <v>アマテラス襲来！</v>
      </c>
      <c r="E3" s="24" t="str">
        <f ca="1">VLOOKUP($C3,OFFSET([1]quests!$A$1,0,0,COUNTA([1]quests!$A:$A),MATCH(E$1,[1]quests!$1:$1,0)-MATCH($C$1,[1]quests!$1:$1,0)+1),MATCH(E$1,[1]quests!$1:$1,0)-MATCH($C$1,[1]quests!$1:$1,0)+1,FALSE)</f>
        <v>降臨1</v>
      </c>
      <c r="F3" s="41">
        <v>1</v>
      </c>
      <c r="G3" s="27" t="str">
        <f t="shared" ref="G3:G6" si="1">C3&amp;"_"&amp;F3</f>
        <v>40001_1</v>
      </c>
      <c r="H3" s="18" t="str">
        <f ca="1">VLOOKUP($G3,OFFSET([1]stages!$A$1,0,0,COUNTA([1]stages!$A:$A),MATCH(H$1,[1]stages!$2:$2,0)-MATCH($G$1,[1]stages!$2:$2,0)+1),MATCH(H$1,[1]stages!$2:$2,0)-MATCH($G$1,[1]stages!$2:$2,0)+1,FALSE)</f>
        <v>アマテラス襲来 【ウィザード級】</v>
      </c>
      <c r="I3" s="41">
        <v>2</v>
      </c>
      <c r="J3" s="42">
        <v>45</v>
      </c>
      <c r="K3" s="42">
        <v>45</v>
      </c>
    </row>
    <row r="4" spans="1:11" ht="21" customHeight="1">
      <c r="A4" s="19" t="str">
        <f t="shared" si="0"/>
        <v>40001_1-3</v>
      </c>
      <c r="B4" s="19" t="str">
        <f>IF(COUNTIF(enemy_habitats_advent_1!$H:$H,A4),"OK","NG")</f>
        <v>OK</v>
      </c>
      <c r="C4" s="40">
        <v>40001</v>
      </c>
      <c r="D4" s="11" t="str">
        <f ca="1">VLOOKUP($C4,OFFSET([1]quests!$A$1,0,0,COUNTA([1]quests!$A:$A),MATCH(D$1,[1]quests!$1:$1,0)-MATCH($C$1,[1]quests!$1:$1,0)+1),MATCH(D$1,[1]quests!$1:$1,0)-MATCH($C$1,[1]quests!$1:$1,0)+1,FALSE)</f>
        <v>アマテラス襲来！</v>
      </c>
      <c r="E4" s="24" t="str">
        <f ca="1">VLOOKUP($C4,OFFSET([1]quests!$A$1,0,0,COUNTA([1]quests!$A:$A),MATCH(E$1,[1]quests!$1:$1,0)-MATCH($C$1,[1]quests!$1:$1,0)+1),MATCH(E$1,[1]quests!$1:$1,0)-MATCH($C$1,[1]quests!$1:$1,0)+1,FALSE)</f>
        <v>降臨1</v>
      </c>
      <c r="F4" s="41">
        <v>1</v>
      </c>
      <c r="G4" s="27" t="str">
        <f t="shared" si="1"/>
        <v>40001_1</v>
      </c>
      <c r="H4" s="18" t="str">
        <f ca="1">VLOOKUP($G4,OFFSET([1]stages!$A$1,0,0,COUNTA([1]stages!$A:$A),MATCH(H$1,[1]stages!$2:$2,0)-MATCH($G$1,[1]stages!$2:$2,0)+1),MATCH(H$1,[1]stages!$2:$2,0)-MATCH($G$1,[1]stages!$2:$2,0)+1,FALSE)</f>
        <v>アマテラス襲来 【ウィザード級】</v>
      </c>
      <c r="I4" s="41">
        <v>3</v>
      </c>
      <c r="J4" s="42">
        <v>60</v>
      </c>
      <c r="K4" s="42">
        <v>60</v>
      </c>
    </row>
    <row r="5" spans="1:11" ht="21" customHeight="1">
      <c r="A5" s="19" t="str">
        <f t="shared" si="0"/>
        <v>40001_1-4</v>
      </c>
      <c r="B5" s="19" t="str">
        <f>IF(COUNTIF(enemy_habitats_advent_1!$H:$H,A5),"OK","NG")</f>
        <v>OK</v>
      </c>
      <c r="C5" s="40">
        <v>40001</v>
      </c>
      <c r="D5" s="11" t="str">
        <f ca="1">VLOOKUP($C5,OFFSET([1]quests!$A$1,0,0,COUNTA([1]quests!$A:$A),MATCH(D$1,[1]quests!$1:$1,0)-MATCH($C$1,[1]quests!$1:$1,0)+1),MATCH(D$1,[1]quests!$1:$1,0)-MATCH($C$1,[1]quests!$1:$1,0)+1,FALSE)</f>
        <v>アマテラス襲来！</v>
      </c>
      <c r="E5" s="24" t="str">
        <f ca="1">VLOOKUP($C5,OFFSET([1]quests!$A$1,0,0,COUNTA([1]quests!$A:$A),MATCH(E$1,[1]quests!$1:$1,0)-MATCH($C$1,[1]quests!$1:$1,0)+1),MATCH(E$1,[1]quests!$1:$1,0)-MATCH($C$1,[1]quests!$1:$1,0)+1,FALSE)</f>
        <v>降臨1</v>
      </c>
      <c r="F5" s="41">
        <v>1</v>
      </c>
      <c r="G5" s="27" t="str">
        <f t="shared" si="1"/>
        <v>40001_1</v>
      </c>
      <c r="H5" s="18" t="str">
        <f ca="1">VLOOKUP($G5,OFFSET([1]stages!$A$1,0,0,COUNTA([1]stages!$A:$A),MATCH(H$1,[1]stages!$2:$2,0)-MATCH($G$1,[1]stages!$2:$2,0)+1),MATCH(H$1,[1]stages!$2:$2,0)-MATCH($G$1,[1]stages!$2:$2,0)+1,FALSE)</f>
        <v>アマテラス襲来 【ウィザード級】</v>
      </c>
      <c r="I5" s="41">
        <v>4</v>
      </c>
      <c r="J5" s="42">
        <v>60</v>
      </c>
      <c r="K5" s="42">
        <v>60</v>
      </c>
    </row>
    <row r="6" spans="1:11" ht="21" customHeight="1">
      <c r="A6" s="19" t="str">
        <f t="shared" si="0"/>
        <v>40001_1-5</v>
      </c>
      <c r="B6" s="19" t="str">
        <f>IF(COUNTIF(enemy_habitats_advent_1!$H:$H,A6),"OK","NG")</f>
        <v>OK</v>
      </c>
      <c r="C6" s="40">
        <v>40001</v>
      </c>
      <c r="D6" s="11" t="str">
        <f ca="1">VLOOKUP($C6,OFFSET([1]quests!$A$1,0,0,COUNTA([1]quests!$A:$A),MATCH(D$1,[1]quests!$1:$1,0)-MATCH($C$1,[1]quests!$1:$1,0)+1),MATCH(D$1,[1]quests!$1:$1,0)-MATCH($C$1,[1]quests!$1:$1,0)+1,FALSE)</f>
        <v>アマテラス襲来！</v>
      </c>
      <c r="E6" s="24" t="str">
        <f ca="1">VLOOKUP($C6,OFFSET([1]quests!$A$1,0,0,COUNTA([1]quests!$A:$A),MATCH(E$1,[1]quests!$1:$1,0)-MATCH($C$1,[1]quests!$1:$1,0)+1),MATCH(E$1,[1]quests!$1:$1,0)-MATCH($C$1,[1]quests!$1:$1,0)+1,FALSE)</f>
        <v>降臨1</v>
      </c>
      <c r="F6" s="41">
        <v>1</v>
      </c>
      <c r="G6" s="27" t="str">
        <f t="shared" si="1"/>
        <v>40001_1</v>
      </c>
      <c r="H6" s="18" t="str">
        <f ca="1">VLOOKUP($G6,OFFSET([1]stages!$A$1,0,0,COUNTA([1]stages!$A:$A),MATCH(H$1,[1]stages!$2:$2,0)-MATCH($G$1,[1]stages!$2:$2,0)+1),MATCH(H$1,[1]stages!$2:$2,0)-MATCH($G$1,[1]stages!$2:$2,0)+1,FALSE)</f>
        <v>アマテラス襲来 【ウィザード級】</v>
      </c>
      <c r="I6" s="41">
        <v>5</v>
      </c>
      <c r="J6" s="42">
        <v>60</v>
      </c>
      <c r="K6" s="4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9"/>
  <sheetViews>
    <sheetView showGridLines="0" tabSelected="1" workbookViewId="0">
      <pane xSplit="14" ySplit="1" topLeftCell="P2" activePane="bottomRight" state="frozen"/>
      <selection pane="topRight" activeCell="N1" sqref="N1"/>
      <selection pane="bottomLeft" activeCell="A2" sqref="A2"/>
      <selection pane="bottomRight" activeCell="N12" sqref="N12"/>
    </sheetView>
  </sheetViews>
  <sheetFormatPr baseColWidth="12" defaultColWidth="13" defaultRowHeight="21" customHeight="1" outlineLevelCol="1" x14ac:dyDescent="0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2" bestFit="1" customWidth="1" outlineLevel="1"/>
    <col min="27" max="27" width="8" style="13" bestFit="1" customWidth="1" outlineLevel="1"/>
    <col min="28" max="28" width="12" style="13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39" customFormat="1" ht="21" customHeight="1">
      <c r="A1" s="31" t="s">
        <v>29</v>
      </c>
      <c r="B1" s="32" t="s">
        <v>0</v>
      </c>
      <c r="C1" s="32" t="s">
        <v>1</v>
      </c>
      <c r="D1" s="33" t="s">
        <v>28</v>
      </c>
      <c r="E1" s="34" t="s">
        <v>20</v>
      </c>
      <c r="F1" s="34" t="s">
        <v>20</v>
      </c>
      <c r="G1" s="32" t="s">
        <v>19</v>
      </c>
      <c r="H1" s="33" t="s">
        <v>37</v>
      </c>
      <c r="I1" s="32" t="s">
        <v>2</v>
      </c>
      <c r="J1" s="35" t="s">
        <v>21</v>
      </c>
      <c r="K1" s="33" t="s">
        <v>24</v>
      </c>
      <c r="L1" s="33" t="s">
        <v>23</v>
      </c>
      <c r="M1" s="36" t="s">
        <v>26</v>
      </c>
      <c r="N1" s="34" t="s">
        <v>25</v>
      </c>
      <c r="O1" s="32" t="s">
        <v>3</v>
      </c>
      <c r="P1" s="30" t="s">
        <v>50</v>
      </c>
      <c r="Q1" s="30" t="s">
        <v>52</v>
      </c>
      <c r="R1" s="30" t="s">
        <v>54</v>
      </c>
      <c r="S1" s="33" t="s">
        <v>33</v>
      </c>
      <c r="T1" s="32" t="s">
        <v>4</v>
      </c>
      <c r="U1" s="32" t="s">
        <v>5</v>
      </c>
      <c r="V1" s="32" t="s">
        <v>6</v>
      </c>
      <c r="W1" s="32" t="s">
        <v>7</v>
      </c>
      <c r="X1" s="32" t="s">
        <v>8</v>
      </c>
      <c r="Y1" s="37" t="s">
        <v>9</v>
      </c>
      <c r="Z1" s="38" t="s">
        <v>16</v>
      </c>
      <c r="AA1" s="38" t="s">
        <v>17</v>
      </c>
      <c r="AB1" s="38" t="s">
        <v>27</v>
      </c>
      <c r="AC1" s="37" t="s">
        <v>10</v>
      </c>
      <c r="AD1" s="32" t="s">
        <v>11</v>
      </c>
      <c r="AE1" s="32" t="s">
        <v>12</v>
      </c>
      <c r="AF1" s="32" t="s">
        <v>40</v>
      </c>
      <c r="AG1" s="32" t="s">
        <v>42</v>
      </c>
      <c r="AH1" s="32" t="s">
        <v>44</v>
      </c>
      <c r="AI1" s="32" t="s">
        <v>46</v>
      </c>
      <c r="AJ1" s="32" t="s">
        <v>48</v>
      </c>
    </row>
    <row r="2" spans="1:36" ht="21" customHeight="1">
      <c r="A2" s="19" t="str">
        <f ca="1">B2&amp;"_"&amp;C2&amp;"-"&amp;G2&amp;"/"&amp;I2&amp;"&lt;lv"&amp;O2&amp;"&gt;s"&amp;X2</f>
        <v>40001_1-1/63&lt;lv45&gt;s2</v>
      </c>
      <c r="B2" s="26">
        <v>40001</v>
      </c>
      <c r="C2" s="41">
        <v>1</v>
      </c>
      <c r="D2" s="2" t="str">
        <f>B2&amp;"_"&amp;C2</f>
        <v>40001_1</v>
      </c>
      <c r="E2" s="4" t="str">
        <f ca="1">VLOOKUP($B2,OFFSET([1]quests!$A$1,0,0,COUNTA([1]quests!$A:$A),MATCH(E$1,[1]quests!$1:$1,0)-MATCH($B$1,[1]quests!$1:$1,0)+1),MATCH(E$1,[1]quests!$1:$1,0)-MATCH($B$1,[1]quests!$1:$1,0)+1,FALSE)</f>
        <v>アマテラス襲来！</v>
      </c>
      <c r="F2" s="4" t="str">
        <f ca="1">VLOOKUP($D2,OFFSET([1]stages!$A$1,0,0,COUNTA([1]stages!$A:$A),MATCH(F$1,[1]stages!$2:$2,0)-MATCH($D$1,[1]stages!$2:$2,0)+1),MATCH(F$1,[1]stages!$2:$2,0)-MATCH($D$1,[1]stages!$2:$2,0)+1,FALSE)</f>
        <v>アマテラス襲来 【ウィザード級】</v>
      </c>
      <c r="G2" s="43">
        <v>1</v>
      </c>
      <c r="H2" s="18" t="str">
        <f>B2&amp;"_"&amp;C2&amp;"-"&amp;G2</f>
        <v>40001_1-1</v>
      </c>
      <c r="I2" s="44">
        <v>63</v>
      </c>
      <c r="J2" s="22" t="str">
        <f ca="1">VLOOKUP($I2,OFFSET([2]enemies!$A$1,0,0,COUNTA([2]enemies!$A:$A),MATCH(J$1,[2]enemies!$2:$2,0)-MATCH($I$1,[2]enemies!$2:$2,0)+1),MATCH(J$1,[2]enemies!$2:$2,0)-MATCH($I$1,[2]enemies!$2:$2,0)+1,FALSE)</f>
        <v>トニー</v>
      </c>
      <c r="K2" s="24" t="str">
        <f ca="1">VLOOKUP($I2,OFFSET([2]enemies!$A$1,0,0,COUNTA([2]enemies!$A:$A),MATCH(K$1,[2]enemies!$2:$2,0)-MATCH($I$1,[2]enemies!$2:$2,0)+1),MATCH(K$1,[2]enemies!$2:$2,0)-MATCH($I$1,[2]enemies!$2:$2,0)+1,FALSE)</f>
        <v>yellow</v>
      </c>
      <c r="L2" s="24" t="str">
        <f ca="1">VLOOKUP($I2,OFFSET([3]characters!$A$1,0,0,COUNTA([3]characters!$A:$A),MATCH(L$1,[3]characters!$2:$2,0)-MATCH($I$1,[3]characters!$2:$2,0)+1),MATCH(L$1,[3]characters!$2:$2,0)-MATCH($I$1,[3]characters!$2:$2,0)+1,FALSE)</f>
        <v>Drop1N</v>
      </c>
      <c r="M2" s="23" t="str">
        <f ca="1">VLOOKUP($I2,OFFSET([3]characters!$A$1,0,0,COUNTA([3]characters!$A:$A),MATCH(M$1,[3]characters!$2:$2,0)-MATCH($I$1,[3]characters!$2:$2,0)+2),MATCH(M$1,[3]characters!$2:$2,0)-MATCH($I$1,[3]characters!$2:$2,0)+2,FALSE)</f>
        <v>アニマル</v>
      </c>
      <c r="N2" s="4">
        <f ca="1">VLOOKUP($I2,OFFSET([2]enemies!$A$1,0,0,COUNTA([2]enemies!$A:$A),MATCH(N$1,[2]enemies!$2:$2,0)-MATCH($I$1,[2]enemies!$2:$2,0)+1),MATCH(N$1,[2]enemies!$2:$2,0)-MATCH($I$1,[2]enemies!$2:$2,0)+1,FALSE)</f>
        <v>15</v>
      </c>
      <c r="O2" s="5">
        <v>45</v>
      </c>
      <c r="P2" s="29">
        <v>1.2</v>
      </c>
      <c r="Q2" s="29">
        <v>0.8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" s="4">
        <f ca="1">VLOOKUP($I2,OFFSET([2]enemies!$A$1,0,0,COUNTA([2]enemies!$A:$A),MATCH(T$1,[2]enemies!$2:$2,0)-MATCH($I$1,[2]enemies!$2:$2,0)+1),MATCH(T$1,[2]enemies!$2:$2,0)-MATCH($I$1,[2]enemies!$2:$2,0)+1,FALSE)</f>
        <v>63</v>
      </c>
      <c r="U2" s="6">
        <v>2</v>
      </c>
      <c r="V2" s="6">
        <v>100</v>
      </c>
      <c r="W2" s="6">
        <v>0</v>
      </c>
      <c r="X2" s="4">
        <f ca="1">VLOOKUP($I2,OFFSET([2]enemies!$A$1,0,0,COUNTA([2]enemies!$A:$A),MATCH(X$1,[2]enemies!$2:$2,0)-MATCH($I$1,[2]enemies!$2:$2,0)+1),MATCH(X$1,[2]enemies!$2:$2,0)-MATCH($I$1,[2]enemies!$2:$2,0)+1,FALSE)</f>
        <v>2</v>
      </c>
      <c r="Y2" s="44">
        <v>63</v>
      </c>
      <c r="Z2" s="4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" s="4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2</v>
      </c>
      <c r="AB2" s="4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" s="7">
        <v>1</v>
      </c>
      <c r="AD2" s="28">
        <f ca="1">AA2</f>
        <v>2</v>
      </c>
      <c r="AE2" s="8">
        <v>0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>
      <c r="A3" s="19" t="str">
        <f ca="1">B3&amp;"_"&amp;C3&amp;"-"&amp;G3&amp;"/"&amp;I3&amp;"&lt;lv"&amp;O3&amp;"&gt;s"&amp;X3</f>
        <v>40001_1-1/39&lt;lv45&gt;s3</v>
      </c>
      <c r="B3" s="26">
        <v>40001</v>
      </c>
      <c r="C3" s="41">
        <v>1</v>
      </c>
      <c r="D3" s="2" t="str">
        <f>B3&amp;"_"&amp;C3</f>
        <v>40001_1</v>
      </c>
      <c r="E3" s="4" t="str">
        <f ca="1">VLOOKUP($B3,OFFSET([1]quests!$A$1,0,0,COUNTA([1]quests!$A:$A),MATCH(E$1,[1]quests!$1:$1,0)-MATCH($B$1,[1]quests!$1:$1,0)+1),MATCH(E$1,[1]quests!$1:$1,0)-MATCH($B$1,[1]quests!$1:$1,0)+1,FALSE)</f>
        <v>アマテラス襲来！</v>
      </c>
      <c r="F3" s="4" t="str">
        <f ca="1">VLOOKUP($D3,OFFSET([1]stages!$A$1,0,0,COUNTA([1]stages!$A:$A),MATCH(F$1,[1]stages!$2:$2,0)-MATCH($D$1,[1]stages!$2:$2,0)+1),MATCH(F$1,[1]stages!$2:$2,0)-MATCH($D$1,[1]stages!$2:$2,0)+1,FALSE)</f>
        <v>アマテラス襲来 【ウィザード級】</v>
      </c>
      <c r="G3" s="43">
        <v>1</v>
      </c>
      <c r="H3" s="18" t="str">
        <f>B3&amp;"_"&amp;C3&amp;"-"&amp;G3</f>
        <v>40001_1-1</v>
      </c>
      <c r="I3" s="44">
        <v>39</v>
      </c>
      <c r="J3" s="22" t="str">
        <f ca="1">VLOOKUP($I3,OFFSET([2]enemies!$A$1,0,0,COUNTA([2]enemies!$A:$A),MATCH(J$1,[2]enemies!$2:$2,0)-MATCH($I$1,[2]enemies!$2:$2,0)+1),MATCH(J$1,[2]enemies!$2:$2,0)-MATCH($I$1,[2]enemies!$2:$2,0)+1,FALSE)</f>
        <v>マーロン</v>
      </c>
      <c r="K3" s="24" t="str">
        <f ca="1">VLOOKUP($I3,OFFSET([2]enemies!$A$1,0,0,COUNTA([2]enemies!$A:$A),MATCH(K$1,[2]enemies!$2:$2,0)-MATCH($I$1,[2]enemies!$2:$2,0)+1),MATCH(K$1,[2]enemies!$2:$2,0)-MATCH($I$1,[2]enemies!$2:$2,0)+1,FALSE)</f>
        <v>yellow</v>
      </c>
      <c r="L3" s="24" t="str">
        <f ca="1">VLOOKUP($I3,OFFSET([3]characters!$A$1,0,0,COUNTA([3]characters!$A:$A),MATCH(L$1,[3]characters!$2:$2,0)-MATCH($I$1,[3]characters!$2:$2,0)+1),MATCH(L$1,[3]characters!$2:$2,0)-MATCH($I$1,[3]characters!$2:$2,0)+1,FALSE)</f>
        <v>Drop1S</v>
      </c>
      <c r="M3" s="23" t="str">
        <f ca="1">VLOOKUP($I3,OFFSET([3]characters!$A$1,0,0,COUNTA([3]characters!$A:$A),MATCH(M$1,[3]characters!$2:$2,0)-MATCH($I$1,[3]characters!$2:$2,0)+2),MATCH(M$1,[3]characters!$2:$2,0)-MATCH($I$1,[3]characters!$2:$2,0)+2,FALSE)</f>
        <v>ヒューマン</v>
      </c>
      <c r="N3" s="4">
        <f ca="1">VLOOKUP($I3,OFFSET([2]enemies!$A$1,0,0,COUNTA([2]enemies!$A:$A),MATCH(N$1,[2]enemies!$2:$2,0)-MATCH($I$1,[2]enemies!$2:$2,0)+1),MATCH(N$1,[2]enemies!$2:$2,0)-MATCH($I$1,[2]enemies!$2:$2,0)+1,FALSE)</f>
        <v>15</v>
      </c>
      <c r="O3" s="5">
        <v>45</v>
      </c>
      <c r="P3" s="29">
        <v>1.2</v>
      </c>
      <c r="Q3" s="29">
        <v>0.8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3" s="4">
        <f ca="1">VLOOKUP($I3,OFFSET([2]enemies!$A$1,0,0,COUNTA([2]enemies!$A:$A),MATCH(T$1,[2]enemies!$2:$2,0)-MATCH($I$1,[2]enemies!$2:$2,0)+1),MATCH(T$1,[2]enemies!$2:$2,0)-MATCH($I$1,[2]enemies!$2:$2,0)+1,FALSE)</f>
        <v>39</v>
      </c>
      <c r="U3" s="6">
        <v>2</v>
      </c>
      <c r="V3" s="6">
        <v>100</v>
      </c>
      <c r="W3" s="6">
        <v>0</v>
      </c>
      <c r="X3" s="4">
        <f ca="1">VLOOKUP($I3,OFFSET([2]enemies!$A$1,0,0,COUNTA([2]enemies!$A:$A),MATCH(X$1,[2]enemies!$2:$2,0)-MATCH($I$1,[2]enemies!$2:$2,0)+1),MATCH(X$1,[2]enemies!$2:$2,0)-MATCH($I$1,[2]enemies!$2:$2,0)+1,FALSE)</f>
        <v>3</v>
      </c>
      <c r="Y3" s="44">
        <v>63</v>
      </c>
      <c r="Z3" s="4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" s="4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2</v>
      </c>
      <c r="AB3" s="4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" s="7">
        <v>1</v>
      </c>
      <c r="AD3" s="28">
        <f ca="1">AA3</f>
        <v>2</v>
      </c>
      <c r="AE3" s="8">
        <v>0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>
      <c r="A4" s="19" t="str">
        <f t="shared" ref="A4:A9" ca="1" si="0">B4&amp;"_"&amp;C4&amp;"-"&amp;G4&amp;"/"&amp;I4&amp;"&lt;lv"&amp;O4&amp;"&gt;s"&amp;X4</f>
        <v>40001_1-2/33&lt;lv60&gt;s2</v>
      </c>
      <c r="B4" s="26">
        <v>40001</v>
      </c>
      <c r="C4" s="41">
        <v>1</v>
      </c>
      <c r="D4" s="2" t="str">
        <f t="shared" ref="D4:D9" si="1">B4&amp;"_"&amp;C4</f>
        <v>40001_1</v>
      </c>
      <c r="E4" s="4" t="str">
        <f ca="1">VLOOKUP($B4,OFFSET([1]quests!$A$1,0,0,COUNTA([1]quests!$A:$A),MATCH(E$1,[1]quests!$1:$1,0)-MATCH($B$1,[1]quests!$1:$1,0)+1),MATCH(E$1,[1]quests!$1:$1,0)-MATCH($B$1,[1]quests!$1:$1,0)+1,FALSE)</f>
        <v>アマテラス襲来！</v>
      </c>
      <c r="F4" s="4" t="str">
        <f ca="1">VLOOKUP($D4,OFFSET([1]stages!$A$1,0,0,COUNTA([1]stages!$A:$A),MATCH(F$1,[1]stages!$2:$2,0)-MATCH($D$1,[1]stages!$2:$2,0)+1),MATCH(F$1,[1]stages!$2:$2,0)-MATCH($D$1,[1]stages!$2:$2,0)+1,FALSE)</f>
        <v>アマテラス襲来 【ウィザード級】</v>
      </c>
      <c r="G4" s="43">
        <v>2</v>
      </c>
      <c r="H4" s="18" t="str">
        <f t="shared" ref="H4:H9" si="2">B4&amp;"_"&amp;C4&amp;"-"&amp;G4</f>
        <v>40001_1-2</v>
      </c>
      <c r="I4" s="44">
        <v>33</v>
      </c>
      <c r="J4" s="22" t="str">
        <f ca="1">VLOOKUP($I4,OFFSET([2]enemies!$A$1,0,0,COUNTA([2]enemies!$A:$A),MATCH(J$1,[2]enemies!$2:$2,0)-MATCH($I$1,[2]enemies!$2:$2,0)+1),MATCH(J$1,[2]enemies!$2:$2,0)-MATCH($I$1,[2]enemies!$2:$2,0)+1,FALSE)</f>
        <v>ゴクウ</v>
      </c>
      <c r="K4" s="24" t="str">
        <f ca="1">VLOOKUP($I4,OFFSET([2]enemies!$A$1,0,0,COUNTA([2]enemies!$A:$A),MATCH(K$1,[2]enemies!$2:$2,0)-MATCH($I$1,[2]enemies!$2:$2,0)+1),MATCH(K$1,[2]enemies!$2:$2,0)-MATCH($I$1,[2]enemies!$2:$2,0)+1,FALSE)</f>
        <v>red</v>
      </c>
      <c r="L4" s="24" t="str">
        <f ca="1">VLOOKUP($I4,OFFSET([3]characters!$A$1,0,0,COUNTA([3]characters!$A:$A),MATCH(L$1,[3]characters!$2:$2,0)-MATCH($I$1,[3]characters!$2:$2,0)+1),MATCH(L$1,[3]characters!$2:$2,0)-MATCH($I$1,[3]characters!$2:$2,0)+1,FALSE)</f>
        <v>Drop1S</v>
      </c>
      <c r="M4" s="23" t="str">
        <f ca="1">VLOOKUP($I4,OFFSET([3]characters!$A$1,0,0,COUNTA([3]characters!$A:$A),MATCH(M$1,[3]characters!$2:$2,0)-MATCH($I$1,[3]characters!$2:$2,0)+2),MATCH(M$1,[3]characters!$2:$2,0)-MATCH($I$1,[3]characters!$2:$2,0)+2,FALSE)</f>
        <v>アニマル</v>
      </c>
      <c r="N4" s="4">
        <f ca="1">VLOOKUP($I4,OFFSET([2]enemies!$A$1,0,0,COUNTA([2]enemies!$A:$A),MATCH(N$1,[2]enemies!$2:$2,0)-MATCH($I$1,[2]enemies!$2:$2,0)+1),MATCH(N$1,[2]enemies!$2:$2,0)-MATCH($I$1,[2]enemies!$2:$2,0)+1,FALSE)</f>
        <v>15</v>
      </c>
      <c r="O4" s="5">
        <v>60</v>
      </c>
      <c r="P4" s="29">
        <v>1.5</v>
      </c>
      <c r="Q4" s="29">
        <v>1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次のターン超強力な攻撃</v>
      </c>
      <c r="T4" s="45">
        <v>3301</v>
      </c>
      <c r="U4" s="6">
        <v>1</v>
      </c>
      <c r="V4" s="6">
        <v>100</v>
      </c>
      <c r="W4" s="6">
        <v>0</v>
      </c>
      <c r="X4" s="4">
        <f ca="1">VLOOKUP($I4,OFFSET([2]enemies!$A$1,0,0,COUNTA([2]enemies!$A:$A),MATCH(X$1,[2]enemies!$2:$2,0)-MATCH($I$1,[2]enemies!$2:$2,0)+1),MATCH(X$1,[2]enemies!$2:$2,0)-MATCH($I$1,[2]enemies!$2:$2,0)+1,FALSE)</f>
        <v>2</v>
      </c>
      <c r="Y4" s="44">
        <v>33</v>
      </c>
      <c r="Z4" s="4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4" s="4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2</v>
      </c>
      <c r="AB4" s="4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4" s="7">
        <v>1</v>
      </c>
      <c r="AD4" s="28">
        <f t="shared" ref="AD4:AD9" ca="1" si="3">AA4</f>
        <v>2</v>
      </c>
      <c r="AE4" s="8">
        <v>0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>
      <c r="A5" s="19" t="str">
        <f t="shared" ca="1" si="0"/>
        <v>40001_1-2/57&lt;lv60&gt;s2</v>
      </c>
      <c r="B5" s="26">
        <v>40001</v>
      </c>
      <c r="C5" s="41">
        <v>1</v>
      </c>
      <c r="D5" s="2" t="str">
        <f t="shared" si="1"/>
        <v>40001_1</v>
      </c>
      <c r="E5" s="4" t="str">
        <f ca="1">VLOOKUP($B5,OFFSET([1]quests!$A$1,0,0,COUNTA([1]quests!$A:$A),MATCH(E$1,[1]quests!$1:$1,0)-MATCH($B$1,[1]quests!$1:$1,0)+1),MATCH(E$1,[1]quests!$1:$1,0)-MATCH($B$1,[1]quests!$1:$1,0)+1,FALSE)</f>
        <v>アマテラス襲来！</v>
      </c>
      <c r="F5" s="4" t="str">
        <f ca="1">VLOOKUP($D5,OFFSET([1]stages!$A$1,0,0,COUNTA([1]stages!$A:$A),MATCH(F$1,[1]stages!$2:$2,0)-MATCH($D$1,[1]stages!$2:$2,0)+1),MATCH(F$1,[1]stages!$2:$2,0)-MATCH($D$1,[1]stages!$2:$2,0)+1,FALSE)</f>
        <v>アマテラス襲来 【ウィザード級】</v>
      </c>
      <c r="G5" s="43">
        <v>2</v>
      </c>
      <c r="H5" s="18" t="str">
        <f t="shared" si="2"/>
        <v>40001_1-2</v>
      </c>
      <c r="I5" s="44">
        <v>57</v>
      </c>
      <c r="J5" s="22" t="str">
        <f ca="1">VLOOKUP($I5,OFFSET([2]enemies!$A$1,0,0,COUNTA([2]enemies!$A:$A),MATCH(J$1,[2]enemies!$2:$2,0)-MATCH($I$1,[2]enemies!$2:$2,0)+1),MATCH(J$1,[2]enemies!$2:$2,0)-MATCH($I$1,[2]enemies!$2:$2,0)+1,FALSE)</f>
        <v>チェン・リー</v>
      </c>
      <c r="K5" s="24" t="str">
        <f ca="1">VLOOKUP($I5,OFFSET([2]enemies!$A$1,0,0,COUNTA([2]enemies!$A:$A),MATCH(K$1,[2]enemies!$2:$2,0)-MATCH($I$1,[2]enemies!$2:$2,0)+1),MATCH(K$1,[2]enemies!$2:$2,0)-MATCH($I$1,[2]enemies!$2:$2,0)+1,FALSE)</f>
        <v>red</v>
      </c>
      <c r="L5" s="24" t="str">
        <f ca="1">VLOOKUP($I5,OFFSET([3]characters!$A$1,0,0,COUNTA([3]characters!$A:$A),MATCH(L$1,[3]characters!$2:$2,0)-MATCH($I$1,[3]characters!$2:$2,0)+1),MATCH(L$1,[3]characters!$2:$2,0)-MATCH($I$1,[3]characters!$2:$2,0)+1,FALSE)</f>
        <v>Drop1N</v>
      </c>
      <c r="M5" s="23" t="str">
        <f ca="1">VLOOKUP($I5,OFFSET([3]characters!$A$1,0,0,COUNTA([3]characters!$A:$A),MATCH(M$1,[3]characters!$2:$2,0)-MATCH($I$1,[3]characters!$2:$2,0)+2),MATCH(M$1,[3]characters!$2:$2,0)-MATCH($I$1,[3]characters!$2:$2,0)+2,FALSE)</f>
        <v>アニマル</v>
      </c>
      <c r="N5" s="4">
        <f ca="1">VLOOKUP($I5,OFFSET([2]enemies!$A$1,0,0,COUNTA([2]enemies!$A:$A),MATCH(N$1,[2]enemies!$2:$2,0)-MATCH($I$1,[2]enemies!$2:$2,0)+1),MATCH(N$1,[2]enemies!$2:$2,0)-MATCH($I$1,[2]enemies!$2:$2,0)+1,FALSE)</f>
        <v>15</v>
      </c>
      <c r="O5" s="5">
        <v>60</v>
      </c>
      <c r="P5" s="29">
        <v>1.5</v>
      </c>
      <c r="Q5" s="29">
        <v>1.2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" s="4">
        <f ca="1">VLOOKUP($I5,OFFSET([2]enemies!$A$1,0,0,COUNTA([2]enemies!$A:$A),MATCH(T$1,[2]enemies!$2:$2,0)-MATCH($I$1,[2]enemies!$2:$2,0)+1),MATCH(T$1,[2]enemies!$2:$2,0)-MATCH($I$1,[2]enemies!$2:$2,0)+1,FALSE)</f>
        <v>57</v>
      </c>
      <c r="U5" s="6">
        <v>1</v>
      </c>
      <c r="V5" s="6">
        <v>100</v>
      </c>
      <c r="W5" s="6">
        <v>0</v>
      </c>
      <c r="X5" s="4">
        <f ca="1">VLOOKUP($I5,OFFSET([2]enemies!$A$1,0,0,COUNTA([2]enemies!$A:$A),MATCH(X$1,[2]enemies!$2:$2,0)-MATCH($I$1,[2]enemies!$2:$2,0)+1),MATCH(X$1,[2]enemies!$2:$2,0)-MATCH($I$1,[2]enemies!$2:$2,0)+1,FALSE)</f>
        <v>2</v>
      </c>
      <c r="Y5" s="44">
        <v>57</v>
      </c>
      <c r="Z5" s="4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" s="4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2</v>
      </c>
      <c r="AB5" s="4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" s="7">
        <v>1</v>
      </c>
      <c r="AD5" s="28">
        <f t="shared" ca="1" si="3"/>
        <v>2</v>
      </c>
      <c r="AE5" s="8">
        <v>0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>
      <c r="A6" s="19" t="str">
        <f t="shared" ca="1" si="0"/>
        <v>40001_1-2/41&lt;lv60&gt;s1</v>
      </c>
      <c r="B6" s="26">
        <v>40001</v>
      </c>
      <c r="C6" s="41">
        <v>1</v>
      </c>
      <c r="D6" s="2" t="str">
        <f t="shared" si="1"/>
        <v>40001_1</v>
      </c>
      <c r="E6" s="4" t="str">
        <f ca="1">VLOOKUP($B6,OFFSET([1]quests!$A$1,0,0,COUNTA([1]quests!$A:$A),MATCH(E$1,[1]quests!$1:$1,0)-MATCH($B$1,[1]quests!$1:$1,0)+1),MATCH(E$1,[1]quests!$1:$1,0)-MATCH($B$1,[1]quests!$1:$1,0)+1,FALSE)</f>
        <v>アマテラス襲来！</v>
      </c>
      <c r="F6" s="4" t="str">
        <f ca="1">VLOOKUP($D6,OFFSET([1]stages!$A$1,0,0,COUNTA([1]stages!$A:$A),MATCH(F$1,[1]stages!$2:$2,0)-MATCH($D$1,[1]stages!$2:$2,0)+1),MATCH(F$1,[1]stages!$2:$2,0)-MATCH($D$1,[1]stages!$2:$2,0)+1,FALSE)</f>
        <v>アマテラス襲来 【ウィザード級】</v>
      </c>
      <c r="G6" s="43">
        <v>2</v>
      </c>
      <c r="H6" s="18" t="str">
        <f t="shared" si="2"/>
        <v>40001_1-2</v>
      </c>
      <c r="I6" s="44">
        <v>41</v>
      </c>
      <c r="J6" s="22" t="str">
        <f ca="1">VLOOKUP($I6,OFFSET([2]enemies!$A$1,0,0,COUNTA([2]enemies!$A:$A),MATCH(J$1,[2]enemies!$2:$2,0)-MATCH($I$1,[2]enemies!$2:$2,0)+1),MATCH(J$1,[2]enemies!$2:$2,0)-MATCH($I$1,[2]enemies!$2:$2,0)+1,FALSE)</f>
        <v>ヒュウガ</v>
      </c>
      <c r="K6" s="24" t="str">
        <f ca="1">VLOOKUP($I6,OFFSET([2]enemies!$A$1,0,0,COUNTA([2]enemies!$A:$A),MATCH(K$1,[2]enemies!$2:$2,0)-MATCH($I$1,[2]enemies!$2:$2,0)+1),MATCH(K$1,[2]enemies!$2:$2,0)-MATCH($I$1,[2]enemies!$2:$2,0)+1,FALSE)</f>
        <v>red</v>
      </c>
      <c r="L6" s="24" t="str">
        <f ca="1">VLOOKUP($I6,OFFSET([3]characters!$A$1,0,0,COUNTA([3]characters!$A:$A),MATCH(L$1,[3]characters!$2:$2,0)-MATCH($I$1,[3]characters!$2:$2,0)+1),MATCH(L$1,[3]characters!$2:$2,0)-MATCH($I$1,[3]characters!$2:$2,0)+1,FALSE)</f>
        <v>Drop1N</v>
      </c>
      <c r="M6" s="23" t="str">
        <f ca="1">VLOOKUP($I6,OFFSET([3]characters!$A$1,0,0,COUNTA([3]characters!$A:$A),MATCH(M$1,[3]characters!$2:$2,0)-MATCH($I$1,[3]characters!$2:$2,0)+2),MATCH(M$1,[3]characters!$2:$2,0)-MATCH($I$1,[3]characters!$2:$2,0)+2,FALSE)</f>
        <v>ドラゴン</v>
      </c>
      <c r="N6" s="4">
        <f ca="1">VLOOKUP($I6,OFFSET([2]enemies!$A$1,0,0,COUNTA([2]enemies!$A:$A),MATCH(N$1,[2]enemies!$2:$2,0)-MATCH($I$1,[2]enemies!$2:$2,0)+1),MATCH(N$1,[2]enemies!$2:$2,0)-MATCH($I$1,[2]enemies!$2:$2,0)+1,FALSE)</f>
        <v>15</v>
      </c>
      <c r="O6" s="5">
        <v>60</v>
      </c>
      <c r="P6" s="29">
        <v>1.5</v>
      </c>
      <c r="Q6" s="29">
        <v>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4">
        <f ca="1">VLOOKUP($I6,OFFSET([2]enemies!$A$1,0,0,COUNTA([2]enemies!$A:$A),MATCH(T$1,[2]enemies!$2:$2,0)-MATCH($I$1,[2]enemies!$2:$2,0)+1),MATCH(T$1,[2]enemies!$2:$2,0)-MATCH($I$1,[2]enemies!$2:$2,0)+1,FALSE)</f>
        <v>0</v>
      </c>
      <c r="U6" s="6">
        <v>1</v>
      </c>
      <c r="V6" s="6">
        <v>100</v>
      </c>
      <c r="W6" s="6">
        <v>0</v>
      </c>
      <c r="X6" s="4">
        <f ca="1">VLOOKUP($I6,OFFSET([2]enemies!$A$1,0,0,COUNTA([2]enemies!$A:$A),MATCH(X$1,[2]enemies!$2:$2,0)-MATCH($I$1,[2]enemies!$2:$2,0)+1),MATCH(X$1,[2]enemies!$2:$2,0)-MATCH($I$1,[2]enemies!$2:$2,0)+1,FALSE)</f>
        <v>1</v>
      </c>
      <c r="Y6" s="44">
        <v>41</v>
      </c>
      <c r="Z6" s="4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6" s="4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2</v>
      </c>
      <c r="AB6" s="4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" s="7">
        <v>1</v>
      </c>
      <c r="AD6" s="28">
        <f t="shared" ca="1" si="3"/>
        <v>2</v>
      </c>
      <c r="AE6" s="8">
        <v>0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>
      <c r="A7" s="19" t="str">
        <f t="shared" ca="1" si="0"/>
        <v>40001_1-3/135&lt;lv70&gt;s3</v>
      </c>
      <c r="B7" s="26">
        <v>40001</v>
      </c>
      <c r="C7" s="41">
        <v>1</v>
      </c>
      <c r="D7" s="2" t="str">
        <f t="shared" si="1"/>
        <v>40001_1</v>
      </c>
      <c r="E7" s="4" t="str">
        <f ca="1">VLOOKUP($B7,OFFSET([1]quests!$A$1,0,0,COUNTA([1]quests!$A:$A),MATCH(E$1,[1]quests!$1:$1,0)-MATCH($B$1,[1]quests!$1:$1,0)+1),MATCH(E$1,[1]quests!$1:$1,0)-MATCH($B$1,[1]quests!$1:$1,0)+1,FALSE)</f>
        <v>アマテラス襲来！</v>
      </c>
      <c r="F7" s="4" t="str">
        <f ca="1">VLOOKUP($D7,OFFSET([1]stages!$A$1,0,0,COUNTA([1]stages!$A:$A),MATCH(F$1,[1]stages!$2:$2,0)-MATCH($D$1,[1]stages!$2:$2,0)+1),MATCH(F$1,[1]stages!$2:$2,0)-MATCH($D$1,[1]stages!$2:$2,0)+1,FALSE)</f>
        <v>アマテラス襲来 【ウィザード級】</v>
      </c>
      <c r="G7" s="43">
        <v>3</v>
      </c>
      <c r="H7" s="18" t="str">
        <f t="shared" si="2"/>
        <v>40001_1-3</v>
      </c>
      <c r="I7" s="44">
        <v>135</v>
      </c>
      <c r="J7" s="22" t="str">
        <f ca="1">VLOOKUP($I7,OFFSET([2]enemies!$A$1,0,0,COUNTA([2]enemies!$A:$A),MATCH(J$1,[2]enemies!$2:$2,0)-MATCH($I$1,[2]enemies!$2:$2,0)+1),MATCH(J$1,[2]enemies!$2:$2,0)-MATCH($I$1,[2]enemies!$2:$2,0)+1,FALSE)</f>
        <v>京の炎華夕霧</v>
      </c>
      <c r="K7" s="24" t="str">
        <f ca="1">VLOOKUP($I7,OFFSET([2]enemies!$A$1,0,0,COUNTA([2]enemies!$A:$A),MATCH(K$1,[2]enemies!$2:$2,0)-MATCH($I$1,[2]enemies!$2:$2,0)+1),MATCH(K$1,[2]enemies!$2:$2,0)-MATCH($I$1,[2]enemies!$2:$2,0)+1,FALSE)</f>
        <v>red</v>
      </c>
      <c r="L7" s="24" t="str">
        <f ca="1">VLOOKUP($I7,OFFSET([3]characters!$A$1,0,0,COUNTA([3]characters!$A:$A),MATCH(L$1,[3]characters!$2:$2,0)-MATCH($I$1,[3]characters!$2:$2,0)+1),MATCH(L$1,[3]characters!$2:$2,0)-MATCH($I$1,[3]characters!$2:$2,0)+1,FALSE)</f>
        <v>PremiumW</v>
      </c>
      <c r="M7" s="23" t="str">
        <f ca="1">VLOOKUP($I7,OFFSET([3]characters!$A$1,0,0,COUNTA([3]characters!$A:$A),MATCH(M$1,[3]characters!$2:$2,0)-MATCH($I$1,[3]characters!$2:$2,0)+2),MATCH(M$1,[3]characters!$2:$2,0)-MATCH($I$1,[3]characters!$2:$2,0)+2,FALSE)</f>
        <v>ヒューマン</v>
      </c>
      <c r="N7" s="4">
        <f ca="1">VLOOKUP($I7,OFFSET([2]enemies!$A$1,0,0,COUNTA([2]enemies!$A:$A),MATCH(N$1,[2]enemies!$2:$2,0)-MATCH($I$1,[2]enemies!$2:$2,0)+1),MATCH(N$1,[2]enemies!$2:$2,0)-MATCH($I$1,[2]enemies!$2:$2,0)+1,FALSE)</f>
        <v>30</v>
      </c>
      <c r="O7" s="5">
        <v>70</v>
      </c>
      <c r="P7" s="29">
        <v>2</v>
      </c>
      <c r="Q7" s="29">
        <v>1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解除するまで毎ターンダメージを受ける</v>
      </c>
      <c r="T7" s="45">
        <v>13501</v>
      </c>
      <c r="U7" s="6">
        <v>1</v>
      </c>
      <c r="V7" s="6">
        <v>100</v>
      </c>
      <c r="W7" s="6">
        <v>1</v>
      </c>
      <c r="X7" s="4">
        <f ca="1">VLOOKUP($I7,OFFSET([2]enemies!$A$1,0,0,COUNTA([2]enemies!$A:$A),MATCH(X$1,[2]enemies!$2:$2,0)-MATCH($I$1,[2]enemies!$2:$2,0)+1),MATCH(X$1,[2]enemies!$2:$2,0)-MATCH($I$1,[2]enemies!$2:$2,0)+1,FALSE)</f>
        <v>3</v>
      </c>
      <c r="Y7" s="44">
        <v>134</v>
      </c>
      <c r="Z7" s="4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妖炎の夕霧</v>
      </c>
      <c r="AA7" s="4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3</v>
      </c>
      <c r="AB7" s="4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7" s="7">
        <v>1</v>
      </c>
      <c r="AD7" s="28">
        <f t="shared" ca="1" si="3"/>
        <v>3</v>
      </c>
      <c r="AE7" s="8">
        <v>0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>
      <c r="A8" s="19" t="str">
        <f t="shared" si="0"/>
        <v>40001_1-4/192&lt;lv68&gt;s1</v>
      </c>
      <c r="B8" s="26">
        <v>40001</v>
      </c>
      <c r="C8" s="41">
        <v>1</v>
      </c>
      <c r="D8" s="2" t="str">
        <f t="shared" si="1"/>
        <v>40001_1</v>
      </c>
      <c r="E8" s="4" t="str">
        <f ca="1">VLOOKUP($B8,OFFSET([1]quests!$A$1,0,0,COUNTA([1]quests!$A:$A),MATCH(E$1,[1]quests!$1:$1,0)-MATCH($B$1,[1]quests!$1:$1,0)+1),MATCH(E$1,[1]quests!$1:$1,0)-MATCH($B$1,[1]quests!$1:$1,0)+1,FALSE)</f>
        <v>アマテラス襲来！</v>
      </c>
      <c r="F8" s="4" t="str">
        <f ca="1">VLOOKUP($D8,OFFSET([1]stages!$A$1,0,0,COUNTA([1]stages!$A:$A),MATCH(F$1,[1]stages!$2:$2,0)-MATCH($D$1,[1]stages!$2:$2,0)+1),MATCH(F$1,[1]stages!$2:$2,0)-MATCH($D$1,[1]stages!$2:$2,0)+1,FALSE)</f>
        <v>アマテラス襲来 【ウィザード級】</v>
      </c>
      <c r="G8" s="43">
        <v>4</v>
      </c>
      <c r="H8" s="18" t="str">
        <f t="shared" si="2"/>
        <v>40001_1-4</v>
      </c>
      <c r="I8" s="44">
        <v>192</v>
      </c>
      <c r="J8" s="22" t="str">
        <f ca="1">VLOOKUP($I8,OFFSET([2]enemies!$A$1,0,0,COUNTA([2]enemies!$A:$A),MATCH(J$1,[2]enemies!$2:$2,0)-MATCH($I$1,[2]enemies!$2:$2,0)+1),MATCH(J$1,[2]enemies!$2:$2,0)-MATCH($I$1,[2]enemies!$2:$2,0)+1,FALSE)</f>
        <v>荘厳なる始祖帝 卑弥呼</v>
      </c>
      <c r="K8" s="24" t="str">
        <f ca="1">VLOOKUP($I8,OFFSET([2]enemies!$A$1,0,0,COUNTA([2]enemies!$A:$A),MATCH(K$1,[2]enemies!$2:$2,0)-MATCH($I$1,[2]enemies!$2:$2,0)+1),MATCH(K$1,[2]enemies!$2:$2,0)-MATCH($I$1,[2]enemies!$2:$2,0)+1,FALSE)</f>
        <v>red</v>
      </c>
      <c r="L8" s="24" t="str">
        <f ca="1">VLOOKUP($I8,OFFSET([3]characters!$A$1,0,0,COUNTA([3]characters!$A:$A),MATCH(L$1,[3]characters!$2:$2,0)-MATCH($I$1,[3]characters!$2:$2,0)+1),MATCH(L$1,[3]characters!$2:$2,0)-MATCH($I$1,[3]characters!$2:$2,0)+1,FALSE)</f>
        <v>PremiumN</v>
      </c>
      <c r="M8" s="23" t="str">
        <f ca="1">VLOOKUP($I8,OFFSET([3]characters!$A$1,0,0,COUNTA([3]characters!$A:$A),MATCH(M$1,[3]characters!$2:$2,0)-MATCH($I$1,[3]characters!$2:$2,0)+2),MATCH(M$1,[3]characters!$2:$2,0)-MATCH($I$1,[3]characters!$2:$2,0)+2,FALSE)</f>
        <v>ヒューマン</v>
      </c>
      <c r="N8" s="4">
        <f ca="1">VLOOKUP($I8,OFFSET([2]enemies!$A$1,0,0,COUNTA([2]enemies!$A:$A),MATCH(N$1,[2]enemies!$2:$2,0)-MATCH($I$1,[2]enemies!$2:$2,0)+1),MATCH(N$1,[2]enemies!$2:$2,0)-MATCH($I$1,[2]enemies!$2:$2,0)+1,FALSE)</f>
        <v>60</v>
      </c>
      <c r="O8" s="5">
        <v>68</v>
      </c>
      <c r="P8" s="29">
        <v>1.5</v>
      </c>
      <c r="Q8" s="29">
        <v>0.8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解除するまで回復力が100%DOWN</v>
      </c>
      <c r="T8" s="4">
        <f ca="1">VLOOKUP($I8,OFFSET([2]enemies!$A$1,0,0,COUNTA([2]enemies!$A:$A),MATCH(T$1,[2]enemies!$2:$2,0)-MATCH($I$1,[2]enemies!$2:$2,0)+1),MATCH(T$1,[2]enemies!$2:$2,0)-MATCH($I$1,[2]enemies!$2:$2,0)+1,FALSE)</f>
        <v>192</v>
      </c>
      <c r="U8" s="6">
        <v>1</v>
      </c>
      <c r="V8" s="6">
        <v>100</v>
      </c>
      <c r="W8" s="6">
        <v>1</v>
      </c>
      <c r="X8" s="45">
        <v>1</v>
      </c>
      <c r="Y8" s="44">
        <v>190</v>
      </c>
      <c r="Z8" s="4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卑弥呼</v>
      </c>
      <c r="AA8" s="4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3</v>
      </c>
      <c r="AB8" s="4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8" s="7">
        <v>1</v>
      </c>
      <c r="AD8" s="28">
        <f t="shared" ca="1" si="3"/>
        <v>3</v>
      </c>
      <c r="AE8" s="8">
        <v>0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>
      <c r="A9" s="19" t="str">
        <f t="shared" ca="1" si="0"/>
        <v>40001_1-5/279&lt;lv70&gt;s2</v>
      </c>
      <c r="B9" s="26">
        <v>40001</v>
      </c>
      <c r="C9" s="41">
        <v>1</v>
      </c>
      <c r="D9" s="2" t="str">
        <f t="shared" si="1"/>
        <v>40001_1</v>
      </c>
      <c r="E9" s="4" t="str">
        <f ca="1">VLOOKUP($B9,OFFSET([1]quests!$A$1,0,0,COUNTA([1]quests!$A:$A),MATCH(E$1,[1]quests!$1:$1,0)-MATCH($B$1,[1]quests!$1:$1,0)+1),MATCH(E$1,[1]quests!$1:$1,0)-MATCH($B$1,[1]quests!$1:$1,0)+1,FALSE)</f>
        <v>アマテラス襲来！</v>
      </c>
      <c r="F9" s="4" t="str">
        <f ca="1">VLOOKUP($D9,OFFSET([1]stages!$A$1,0,0,COUNTA([1]stages!$A:$A),MATCH(F$1,[1]stages!$2:$2,0)-MATCH($D$1,[1]stages!$2:$2,0)+1),MATCH(F$1,[1]stages!$2:$2,0)-MATCH($D$1,[1]stages!$2:$2,0)+1,FALSE)</f>
        <v>アマテラス襲来 【ウィザード級】</v>
      </c>
      <c r="G9" s="43">
        <v>5</v>
      </c>
      <c r="H9" s="18" t="str">
        <f t="shared" si="2"/>
        <v>40001_1-5</v>
      </c>
      <c r="I9" s="44">
        <v>279</v>
      </c>
      <c r="J9" s="22" t="str">
        <f ca="1">VLOOKUP($I9,OFFSET([2]enemies!$A$1,0,0,COUNTA([2]enemies!$A:$A),MATCH(J$1,[2]enemies!$2:$2,0)-MATCH($I$1,[2]enemies!$2:$2,0)+1),MATCH(J$1,[2]enemies!$2:$2,0)-MATCH($I$1,[2]enemies!$2:$2,0)+1,FALSE)</f>
        <v>統空大神 アマテラス</v>
      </c>
      <c r="K9" s="24" t="str">
        <f ca="1">VLOOKUP($I9,OFFSET([2]enemies!$A$1,0,0,COUNTA([2]enemies!$A:$A),MATCH(K$1,[2]enemies!$2:$2,0)-MATCH($I$1,[2]enemies!$2:$2,0)+1),MATCH(K$1,[2]enemies!$2:$2,0)-MATCH($I$1,[2]enemies!$2:$2,0)+1,FALSE)</f>
        <v>red</v>
      </c>
      <c r="L9" s="24" t="str">
        <f ca="1">VLOOKUP($I9,OFFSET([3]characters!$A$1,0,0,COUNTA([3]characters!$A:$A),MATCH(L$1,[3]characters!$2:$2,0)-MATCH($I$1,[3]characters!$2:$2,0)+1),MATCH(L$1,[3]characters!$2:$2,0)-MATCH($I$1,[3]characters!$2:$2,0)+1,FALSE)</f>
        <v>PremiumS</v>
      </c>
      <c r="M9" s="23" t="str">
        <f ca="1">VLOOKUP($I9,OFFSET([3]characters!$A$1,0,0,COUNTA([3]characters!$A:$A),MATCH(M$1,[3]characters!$2:$2,0)-MATCH($I$1,[3]characters!$2:$2,0)+2),MATCH(M$1,[3]characters!$2:$2,0)-MATCH($I$1,[3]characters!$2:$2,0)+2,FALSE)</f>
        <v>ゴッド</v>
      </c>
      <c r="N9" s="4">
        <f ca="1">VLOOKUP($I9,OFFSET([2]enemies!$A$1,0,0,COUNTA([2]enemies!$A:$A),MATCH(N$1,[2]enemies!$2:$2,0)-MATCH($I$1,[2]enemies!$2:$2,0)+1),MATCH(N$1,[2]enemies!$2:$2,0)-MATCH($I$1,[2]enemies!$2:$2,0)+1,FALSE)</f>
        <v>60</v>
      </c>
      <c r="O9" s="5">
        <v>70</v>
      </c>
      <c r="P9" s="29">
        <v>3</v>
      </c>
      <c r="Q9" s="29">
        <v>1.1000000000000001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解除するまで防御力超絶UP＆攻撃力UP</v>
      </c>
      <c r="T9" s="4">
        <f ca="1">VLOOKUP($I9,OFFSET([2]enemies!$A$1,0,0,COUNTA([2]enemies!$A:$A),MATCH(T$1,[2]enemies!$2:$2,0)-MATCH($I$1,[2]enemies!$2:$2,0)+1),MATCH(T$1,[2]enemies!$2:$2,0)-MATCH($I$1,[2]enemies!$2:$2,0)+1,FALSE)</f>
        <v>278</v>
      </c>
      <c r="U9" s="6">
        <v>1</v>
      </c>
      <c r="V9" s="6">
        <v>100</v>
      </c>
      <c r="W9" s="6">
        <v>1</v>
      </c>
      <c r="X9" s="4">
        <f ca="1">VLOOKUP($I9,OFFSET([2]enemies!$A$1,0,0,COUNTA([2]enemies!$A:$A),MATCH(X$1,[2]enemies!$2:$2,0)-MATCH($I$1,[2]enemies!$2:$2,0)+1),MATCH(X$1,[2]enemies!$2:$2,0)-MATCH($I$1,[2]enemies!$2:$2,0)+1,FALSE)</f>
        <v>2</v>
      </c>
      <c r="Y9" s="44">
        <v>278</v>
      </c>
      <c r="Z9" s="4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アマテラス</v>
      </c>
      <c r="AA9" s="4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4</v>
      </c>
      <c r="AB9" s="4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9" s="7">
        <v>1</v>
      </c>
      <c r="AD9" s="28">
        <f t="shared" ca="1" si="3"/>
        <v>4</v>
      </c>
      <c r="AE9" s="8">
        <v>100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</sheetData>
  <sheetProtection selectLockedCells="1" selectUnlockedCells="1"/>
  <autoFilter ref="B1:AE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7" sqref="F17"/>
    </sheetView>
  </sheetViews>
  <sheetFormatPr baseColWidth="12" defaultRowHeight="18" x14ac:dyDescent="0"/>
  <cols>
    <col min="1" max="1" width="10.1640625" style="20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4" customFormat="1">
      <c r="A1" s="14">
        <f>MATCH(A2,INDIRECT(C1&amp;"!A:A"),0)-2</f>
        <v>-1</v>
      </c>
      <c r="B1" s="15" t="str">
        <f>"$"&amp;2+$A$1&amp;":$"&amp;2+$A$1</f>
        <v>$1:$1</v>
      </c>
      <c r="C1" s="14" t="str">
        <f>SUBSTITUTE(RIGHT(CELL("filename",$C$1),LEN(CELL("filename",$C$1))-FIND("]",CELL("filename",$C$1))),".tmp","")</f>
        <v>floors_advent_1</v>
      </c>
    </row>
    <row r="2" spans="1:6" s="16" customFormat="1">
      <c r="A2" s="20" t="s">
        <v>32</v>
      </c>
      <c r="B2" s="16" t="s">
        <v>0</v>
      </c>
      <c r="C2" s="16" t="s">
        <v>1</v>
      </c>
      <c r="D2" s="16" t="s">
        <v>13</v>
      </c>
      <c r="E2" s="16" t="s">
        <v>14</v>
      </c>
      <c r="F2" s="16" t="s">
        <v>15</v>
      </c>
    </row>
    <row r="3" spans="1:6">
      <c r="A3" s="21" t="str">
        <f t="shared" ref="A3:A7" si="0">INDIRECT(ADDRESS(ROW()+$A$1,COLUMN(),1,TRUE,$C$1))</f>
        <v>40001_1-1</v>
      </c>
      <c r="B3" s="17">
        <f t="shared" ref="B3:F7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40001</v>
      </c>
      <c r="C3" s="17">
        <f t="shared" si="1"/>
        <v>1</v>
      </c>
      <c r="D3" s="17">
        <f t="shared" si="1"/>
        <v>1</v>
      </c>
      <c r="E3" s="17">
        <f t="shared" si="1"/>
        <v>60</v>
      </c>
      <c r="F3" s="17">
        <f t="shared" si="1"/>
        <v>60</v>
      </c>
    </row>
    <row r="4" spans="1:6">
      <c r="A4" s="21" t="str">
        <f t="shared" si="0"/>
        <v>40001_1-2</v>
      </c>
      <c r="B4" s="17">
        <f t="shared" si="1"/>
        <v>40001</v>
      </c>
      <c r="C4" s="17">
        <f t="shared" si="1"/>
        <v>1</v>
      </c>
      <c r="D4" s="17">
        <f t="shared" si="1"/>
        <v>2</v>
      </c>
      <c r="E4" s="17">
        <f t="shared" si="1"/>
        <v>45</v>
      </c>
      <c r="F4" s="17">
        <f t="shared" si="1"/>
        <v>45</v>
      </c>
    </row>
    <row r="5" spans="1:6">
      <c r="A5" s="21" t="str">
        <f t="shared" si="0"/>
        <v>40001_1-3</v>
      </c>
      <c r="B5" s="17">
        <f t="shared" si="1"/>
        <v>40001</v>
      </c>
      <c r="C5" s="17">
        <f t="shared" si="1"/>
        <v>1</v>
      </c>
      <c r="D5" s="17">
        <f t="shared" si="1"/>
        <v>3</v>
      </c>
      <c r="E5" s="17">
        <f t="shared" si="1"/>
        <v>60</v>
      </c>
      <c r="F5" s="17">
        <f t="shared" si="1"/>
        <v>60</v>
      </c>
    </row>
    <row r="6" spans="1:6">
      <c r="A6" s="21" t="str">
        <f t="shared" si="0"/>
        <v>40001_1-4</v>
      </c>
      <c r="B6" s="17">
        <f t="shared" si="1"/>
        <v>40001</v>
      </c>
      <c r="C6" s="17">
        <f t="shared" si="1"/>
        <v>1</v>
      </c>
      <c r="D6" s="17">
        <f t="shared" si="1"/>
        <v>4</v>
      </c>
      <c r="E6" s="17">
        <f t="shared" si="1"/>
        <v>60</v>
      </c>
      <c r="F6" s="17">
        <f t="shared" si="1"/>
        <v>60</v>
      </c>
    </row>
    <row r="7" spans="1:6">
      <c r="A7" s="21" t="str">
        <f t="shared" si="0"/>
        <v>40001_1-5</v>
      </c>
      <c r="B7" s="17">
        <f t="shared" si="1"/>
        <v>40001</v>
      </c>
      <c r="C7" s="17">
        <f t="shared" si="1"/>
        <v>1</v>
      </c>
      <c r="D7" s="17">
        <f t="shared" si="1"/>
        <v>5</v>
      </c>
      <c r="E7" s="17">
        <f t="shared" si="1"/>
        <v>60</v>
      </c>
      <c r="F7" s="17">
        <f t="shared" si="1"/>
        <v>60</v>
      </c>
    </row>
    <row r="8" spans="1:6">
      <c r="A8"/>
    </row>
    <row r="9" spans="1:6">
      <c r="A9"/>
    </row>
    <row r="10" spans="1:6">
      <c r="A10"/>
    </row>
    <row r="11" spans="1:6">
      <c r="A11"/>
    </row>
    <row r="12" spans="1:6">
      <c r="A12"/>
    </row>
    <row r="13" spans="1:6">
      <c r="A13"/>
    </row>
    <row r="14" spans="1:6">
      <c r="A14"/>
    </row>
    <row r="15" spans="1:6">
      <c r="A15"/>
    </row>
    <row r="16" spans="1:6">
      <c r="A16"/>
    </row>
    <row r="17" spans="1:1">
      <c r="A17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23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P7" sqref="P7"/>
    </sheetView>
  </sheetViews>
  <sheetFormatPr baseColWidth="12" defaultRowHeight="18" x14ac:dyDescent="0"/>
  <cols>
    <col min="1" max="1" width="13.5" style="20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4" customFormat="1">
      <c r="A1" s="14">
        <f>MATCH(A2,INDIRECT(C1&amp;"!A:A"),0)-2</f>
        <v>-1</v>
      </c>
      <c r="B1" s="15" t="str">
        <f>"$"&amp;2+$A$1&amp;":$"&amp;2+$A$1</f>
        <v>$1:$1</v>
      </c>
      <c r="C1" s="14" t="str">
        <f>SUBSTITUTE(RIGHT(CELL("filename",$C$1),LEN(CELL("filename",$C$1))-FIND("]",CELL("filename",$C$1))),".tmp","")</f>
        <v>enemy_habitats_advent_1</v>
      </c>
    </row>
    <row r="2" spans="1:23" s="16" customFormat="1">
      <c r="A2" s="20" t="s">
        <v>30</v>
      </c>
      <c r="B2" s="16" t="s">
        <v>0</v>
      </c>
      <c r="C2" s="16" t="s">
        <v>1</v>
      </c>
      <c r="D2" s="16" t="s">
        <v>13</v>
      </c>
      <c r="E2" s="16" t="s">
        <v>2</v>
      </c>
      <c r="F2" s="16" t="s">
        <v>3</v>
      </c>
      <c r="G2" s="16" t="s">
        <v>49</v>
      </c>
      <c r="H2" s="16" t="s">
        <v>51</v>
      </c>
      <c r="I2" s="16" t="s">
        <v>53</v>
      </c>
      <c r="J2" s="16" t="s">
        <v>22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6" t="s">
        <v>39</v>
      </c>
      <c r="T2" s="16" t="s">
        <v>41</v>
      </c>
      <c r="U2" s="16" t="s">
        <v>43</v>
      </c>
      <c r="V2" s="16" t="s">
        <v>45</v>
      </c>
      <c r="W2" s="16" t="s">
        <v>47</v>
      </c>
    </row>
    <row r="3" spans="1:23">
      <c r="A3" s="21" t="str">
        <f>INDIRECT(ADDRESS(ROW()+$A$1,COLUMN(),1,TRUE,$C$1))</f>
        <v>40001_1-1/63&lt;lv45&gt;s2</v>
      </c>
      <c r="B3" s="17">
        <f t="shared" ref="B3:W10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40001</v>
      </c>
      <c r="C3" s="17">
        <f t="shared" si="0"/>
        <v>1</v>
      </c>
      <c r="D3" s="17">
        <f t="shared" si="0"/>
        <v>1</v>
      </c>
      <c r="E3" s="17">
        <f t="shared" si="0"/>
        <v>63</v>
      </c>
      <c r="F3" s="17">
        <f t="shared" si="0"/>
        <v>45</v>
      </c>
      <c r="G3" s="17">
        <f t="shared" si="0"/>
        <v>1.2</v>
      </c>
      <c r="H3" s="17">
        <f t="shared" si="0"/>
        <v>0.8</v>
      </c>
      <c r="I3" s="17">
        <f t="shared" si="0"/>
        <v>0</v>
      </c>
      <c r="J3" s="17">
        <f t="shared" si="0"/>
        <v>63</v>
      </c>
      <c r="K3" s="17">
        <f t="shared" si="0"/>
        <v>2</v>
      </c>
      <c r="L3" s="17">
        <f t="shared" si="0"/>
        <v>100</v>
      </c>
      <c r="M3" s="17">
        <f t="shared" si="0"/>
        <v>0</v>
      </c>
      <c r="N3" s="17">
        <f t="shared" si="0"/>
        <v>2</v>
      </c>
      <c r="O3" s="17">
        <f t="shared" si="0"/>
        <v>63</v>
      </c>
      <c r="P3" s="17">
        <f t="shared" si="0"/>
        <v>1</v>
      </c>
      <c r="Q3" s="17">
        <f t="shared" si="0"/>
        <v>2</v>
      </c>
      <c r="R3" s="17">
        <f t="shared" si="0"/>
        <v>0</v>
      </c>
      <c r="S3" s="17">
        <f t="shared" si="0"/>
        <v>0</v>
      </c>
      <c r="T3" s="17">
        <f t="shared" si="0"/>
        <v>0</v>
      </c>
      <c r="U3" s="17">
        <f t="shared" si="0"/>
        <v>0</v>
      </c>
      <c r="V3" s="17">
        <f t="shared" si="0"/>
        <v>0</v>
      </c>
      <c r="W3" s="17">
        <f t="shared" si="0"/>
        <v>1</v>
      </c>
    </row>
    <row r="4" spans="1:23">
      <c r="A4" s="21" t="str">
        <f t="shared" ref="A4:A10" si="1">INDIRECT(ADDRESS(ROW()+$A$1,COLUMN(),1,TRUE,$C$1))</f>
        <v>40001_1-1/39&lt;lv45&gt;s3</v>
      </c>
      <c r="B4" s="17">
        <f t="shared" si="0"/>
        <v>40001</v>
      </c>
      <c r="C4" s="17">
        <f t="shared" si="0"/>
        <v>1</v>
      </c>
      <c r="D4" s="17">
        <f t="shared" si="0"/>
        <v>1</v>
      </c>
      <c r="E4" s="17">
        <f t="shared" si="0"/>
        <v>39</v>
      </c>
      <c r="F4" s="17">
        <f t="shared" si="0"/>
        <v>45</v>
      </c>
      <c r="G4" s="17">
        <f t="shared" si="0"/>
        <v>1.2</v>
      </c>
      <c r="H4" s="17">
        <f t="shared" si="0"/>
        <v>0.8</v>
      </c>
      <c r="I4" s="17">
        <f t="shared" si="0"/>
        <v>0</v>
      </c>
      <c r="J4" s="17">
        <f t="shared" si="0"/>
        <v>39</v>
      </c>
      <c r="K4" s="17">
        <f t="shared" si="0"/>
        <v>2</v>
      </c>
      <c r="L4" s="17">
        <f t="shared" si="0"/>
        <v>100</v>
      </c>
      <c r="M4" s="17">
        <f t="shared" si="0"/>
        <v>0</v>
      </c>
      <c r="N4" s="17">
        <f t="shared" si="0"/>
        <v>3</v>
      </c>
      <c r="O4" s="17">
        <f t="shared" si="0"/>
        <v>63</v>
      </c>
      <c r="P4" s="17">
        <f t="shared" si="0"/>
        <v>1</v>
      </c>
      <c r="Q4" s="17">
        <f t="shared" si="0"/>
        <v>2</v>
      </c>
      <c r="R4" s="17">
        <f t="shared" si="0"/>
        <v>0</v>
      </c>
      <c r="S4" s="17">
        <f t="shared" si="0"/>
        <v>0</v>
      </c>
      <c r="T4" s="17">
        <f t="shared" si="0"/>
        <v>0</v>
      </c>
      <c r="U4" s="17">
        <f t="shared" si="0"/>
        <v>0</v>
      </c>
      <c r="V4" s="17">
        <f t="shared" si="0"/>
        <v>0</v>
      </c>
      <c r="W4" s="17">
        <f t="shared" si="0"/>
        <v>1</v>
      </c>
    </row>
    <row r="5" spans="1:23">
      <c r="A5" s="21" t="str">
        <f t="shared" si="1"/>
        <v>40001_1-2/33&lt;lv60&gt;s2</v>
      </c>
      <c r="B5" s="17">
        <f t="shared" si="0"/>
        <v>40001</v>
      </c>
      <c r="C5" s="17">
        <f t="shared" si="0"/>
        <v>1</v>
      </c>
      <c r="D5" s="17">
        <f t="shared" si="0"/>
        <v>2</v>
      </c>
      <c r="E5" s="17">
        <f t="shared" si="0"/>
        <v>33</v>
      </c>
      <c r="F5" s="17">
        <f t="shared" si="0"/>
        <v>60</v>
      </c>
      <c r="G5" s="17">
        <f t="shared" si="0"/>
        <v>1</v>
      </c>
      <c r="H5" s="17">
        <f t="shared" si="0"/>
        <v>1</v>
      </c>
      <c r="I5" s="17">
        <f t="shared" si="0"/>
        <v>0</v>
      </c>
      <c r="J5" s="17">
        <f t="shared" si="0"/>
        <v>33</v>
      </c>
      <c r="K5" s="17">
        <f t="shared" si="0"/>
        <v>1</v>
      </c>
      <c r="L5" s="17">
        <f t="shared" si="0"/>
        <v>100</v>
      </c>
      <c r="M5" s="17">
        <f t="shared" si="0"/>
        <v>0</v>
      </c>
      <c r="N5" s="17">
        <f t="shared" si="0"/>
        <v>2</v>
      </c>
      <c r="O5" s="17">
        <f t="shared" si="0"/>
        <v>33</v>
      </c>
      <c r="P5" s="17">
        <f t="shared" si="0"/>
        <v>1</v>
      </c>
      <c r="Q5" s="17">
        <f t="shared" si="0"/>
        <v>2</v>
      </c>
      <c r="R5" s="17">
        <f t="shared" si="0"/>
        <v>0</v>
      </c>
      <c r="S5" s="17">
        <f t="shared" si="0"/>
        <v>0</v>
      </c>
      <c r="T5" s="17">
        <f t="shared" si="0"/>
        <v>0</v>
      </c>
      <c r="U5" s="17">
        <f t="shared" si="0"/>
        <v>0</v>
      </c>
      <c r="V5" s="17">
        <f t="shared" si="0"/>
        <v>0</v>
      </c>
      <c r="W5" s="17">
        <f t="shared" si="0"/>
        <v>1</v>
      </c>
    </row>
    <row r="6" spans="1:23">
      <c r="A6" s="21" t="str">
        <f t="shared" si="1"/>
        <v>40001_1-2/57&lt;lv60&gt;s2</v>
      </c>
      <c r="B6" s="17">
        <f t="shared" si="0"/>
        <v>40001</v>
      </c>
      <c r="C6" s="17">
        <f t="shared" si="0"/>
        <v>1</v>
      </c>
      <c r="D6" s="17">
        <f t="shared" si="0"/>
        <v>2</v>
      </c>
      <c r="E6" s="17">
        <f t="shared" si="0"/>
        <v>57</v>
      </c>
      <c r="F6" s="17">
        <f t="shared" si="0"/>
        <v>60</v>
      </c>
      <c r="G6" s="17">
        <f t="shared" si="0"/>
        <v>1</v>
      </c>
      <c r="H6" s="17">
        <f t="shared" si="0"/>
        <v>1</v>
      </c>
      <c r="I6" s="17">
        <f t="shared" si="0"/>
        <v>0</v>
      </c>
      <c r="J6" s="17">
        <f t="shared" si="0"/>
        <v>57</v>
      </c>
      <c r="K6" s="17">
        <f t="shared" si="0"/>
        <v>1</v>
      </c>
      <c r="L6" s="17">
        <f t="shared" si="0"/>
        <v>100</v>
      </c>
      <c r="M6" s="17">
        <f t="shared" si="0"/>
        <v>0</v>
      </c>
      <c r="N6" s="17">
        <f t="shared" si="0"/>
        <v>2</v>
      </c>
      <c r="O6" s="17">
        <f t="shared" si="0"/>
        <v>57</v>
      </c>
      <c r="P6" s="17">
        <f t="shared" si="0"/>
        <v>1</v>
      </c>
      <c r="Q6" s="17">
        <f t="shared" si="0"/>
        <v>2</v>
      </c>
      <c r="R6" s="17">
        <f t="shared" si="0"/>
        <v>0</v>
      </c>
      <c r="S6" s="17">
        <f t="shared" si="0"/>
        <v>0</v>
      </c>
      <c r="T6" s="17">
        <f t="shared" si="0"/>
        <v>0</v>
      </c>
      <c r="U6" s="17">
        <f t="shared" si="0"/>
        <v>0</v>
      </c>
      <c r="V6" s="17">
        <f t="shared" si="0"/>
        <v>0</v>
      </c>
      <c r="W6" s="17">
        <f t="shared" si="0"/>
        <v>1</v>
      </c>
    </row>
    <row r="7" spans="1:23">
      <c r="A7" s="21" t="str">
        <f t="shared" si="1"/>
        <v>40001_1-2/41&lt;lv60&gt;s1</v>
      </c>
      <c r="B7" s="17">
        <f t="shared" si="0"/>
        <v>40001</v>
      </c>
      <c r="C7" s="17">
        <f t="shared" si="0"/>
        <v>1</v>
      </c>
      <c r="D7" s="17">
        <f t="shared" si="0"/>
        <v>2</v>
      </c>
      <c r="E7" s="17">
        <f t="shared" si="0"/>
        <v>41</v>
      </c>
      <c r="F7" s="17">
        <f t="shared" si="0"/>
        <v>60</v>
      </c>
      <c r="G7" s="17">
        <f t="shared" si="0"/>
        <v>1</v>
      </c>
      <c r="H7" s="17">
        <f t="shared" si="0"/>
        <v>1</v>
      </c>
      <c r="I7" s="17">
        <f t="shared" si="0"/>
        <v>0</v>
      </c>
      <c r="J7" s="17">
        <f t="shared" si="0"/>
        <v>0</v>
      </c>
      <c r="K7" s="17">
        <f t="shared" si="0"/>
        <v>1</v>
      </c>
      <c r="L7" s="17">
        <f t="shared" si="0"/>
        <v>100</v>
      </c>
      <c r="M7" s="17">
        <f t="shared" si="0"/>
        <v>0</v>
      </c>
      <c r="N7" s="17">
        <f t="shared" si="0"/>
        <v>1</v>
      </c>
      <c r="O7" s="17">
        <f t="shared" si="0"/>
        <v>41</v>
      </c>
      <c r="P7" s="17">
        <f t="shared" si="0"/>
        <v>1</v>
      </c>
      <c r="Q7" s="17">
        <f t="shared" si="0"/>
        <v>2</v>
      </c>
      <c r="R7" s="17">
        <f t="shared" si="0"/>
        <v>0</v>
      </c>
      <c r="S7" s="17">
        <f t="shared" si="0"/>
        <v>0</v>
      </c>
      <c r="T7" s="17">
        <f t="shared" si="0"/>
        <v>0</v>
      </c>
      <c r="U7" s="17">
        <f t="shared" si="0"/>
        <v>0</v>
      </c>
      <c r="V7" s="17">
        <f t="shared" si="0"/>
        <v>0</v>
      </c>
      <c r="W7" s="17">
        <f t="shared" si="0"/>
        <v>1</v>
      </c>
    </row>
    <row r="8" spans="1:23">
      <c r="A8" s="21" t="str">
        <f t="shared" si="1"/>
        <v>40001_1-3/135&lt;lv70&gt;s3</v>
      </c>
      <c r="B8" s="17">
        <f t="shared" si="0"/>
        <v>40001</v>
      </c>
      <c r="C8" s="17">
        <f t="shared" si="0"/>
        <v>1</v>
      </c>
      <c r="D8" s="17">
        <f t="shared" si="0"/>
        <v>3</v>
      </c>
      <c r="E8" s="17">
        <f t="shared" si="0"/>
        <v>135</v>
      </c>
      <c r="F8" s="17">
        <f t="shared" si="0"/>
        <v>70</v>
      </c>
      <c r="G8" s="17">
        <f t="shared" si="0"/>
        <v>2</v>
      </c>
      <c r="H8" s="17">
        <f t="shared" si="0"/>
        <v>1</v>
      </c>
      <c r="I8" s="17">
        <f t="shared" si="0"/>
        <v>0</v>
      </c>
      <c r="J8" s="17">
        <f t="shared" si="0"/>
        <v>135</v>
      </c>
      <c r="K8" s="17">
        <f t="shared" si="0"/>
        <v>1</v>
      </c>
      <c r="L8" s="17">
        <f t="shared" si="0"/>
        <v>100</v>
      </c>
      <c r="M8" s="17">
        <f t="shared" si="0"/>
        <v>1</v>
      </c>
      <c r="N8" s="17">
        <f t="shared" si="0"/>
        <v>3</v>
      </c>
      <c r="O8" s="17">
        <f t="shared" si="0"/>
        <v>134</v>
      </c>
      <c r="P8" s="17">
        <f t="shared" si="0"/>
        <v>1</v>
      </c>
      <c r="Q8" s="17">
        <f t="shared" si="0"/>
        <v>3</v>
      </c>
      <c r="R8" s="17">
        <f t="shared" si="0"/>
        <v>0</v>
      </c>
      <c r="S8" s="17">
        <f t="shared" si="0"/>
        <v>0</v>
      </c>
      <c r="T8" s="17">
        <f t="shared" si="0"/>
        <v>0</v>
      </c>
      <c r="U8" s="17">
        <f t="shared" si="0"/>
        <v>0</v>
      </c>
      <c r="V8" s="17">
        <f t="shared" si="0"/>
        <v>0</v>
      </c>
      <c r="W8" s="17">
        <f t="shared" si="0"/>
        <v>1</v>
      </c>
    </row>
    <row r="9" spans="1:23">
      <c r="A9" s="21" t="str">
        <f t="shared" si="1"/>
        <v>40001_1-4/192&lt;lv68&gt;s1</v>
      </c>
      <c r="B9" s="17">
        <f t="shared" si="0"/>
        <v>40001</v>
      </c>
      <c r="C9" s="17">
        <f t="shared" si="0"/>
        <v>1</v>
      </c>
      <c r="D9" s="17">
        <f t="shared" si="0"/>
        <v>4</v>
      </c>
      <c r="E9" s="17">
        <f t="shared" si="0"/>
        <v>192</v>
      </c>
      <c r="F9" s="17">
        <f t="shared" si="0"/>
        <v>68</v>
      </c>
      <c r="G9" s="17">
        <f t="shared" si="0"/>
        <v>1.5</v>
      </c>
      <c r="H9" s="17">
        <f t="shared" si="0"/>
        <v>0.8</v>
      </c>
      <c r="I9" s="17">
        <f t="shared" si="0"/>
        <v>0</v>
      </c>
      <c r="J9" s="17">
        <f t="shared" si="0"/>
        <v>192</v>
      </c>
      <c r="K9" s="17">
        <f t="shared" si="0"/>
        <v>1</v>
      </c>
      <c r="L9" s="17">
        <f t="shared" si="0"/>
        <v>100</v>
      </c>
      <c r="M9" s="17">
        <f t="shared" si="0"/>
        <v>1</v>
      </c>
      <c r="N9" s="17">
        <f t="shared" si="0"/>
        <v>1</v>
      </c>
      <c r="O9" s="17">
        <f t="shared" si="0"/>
        <v>190</v>
      </c>
      <c r="P9" s="17">
        <f t="shared" si="0"/>
        <v>1</v>
      </c>
      <c r="Q9" s="17">
        <f t="shared" si="0"/>
        <v>3</v>
      </c>
      <c r="R9" s="17">
        <f t="shared" si="0"/>
        <v>0</v>
      </c>
      <c r="S9" s="17">
        <f t="shared" si="0"/>
        <v>0</v>
      </c>
      <c r="T9" s="17">
        <f t="shared" si="0"/>
        <v>0</v>
      </c>
      <c r="U9" s="17">
        <f t="shared" si="0"/>
        <v>0</v>
      </c>
      <c r="V9" s="17">
        <f t="shared" si="0"/>
        <v>0</v>
      </c>
      <c r="W9" s="17">
        <f t="shared" si="0"/>
        <v>1</v>
      </c>
    </row>
    <row r="10" spans="1:23">
      <c r="A10" s="21" t="str">
        <f t="shared" si="1"/>
        <v>40001_1-5/279&lt;lv70&gt;s2</v>
      </c>
      <c r="B10" s="17">
        <f t="shared" si="0"/>
        <v>40001</v>
      </c>
      <c r="C10" s="17">
        <f t="shared" si="0"/>
        <v>1</v>
      </c>
      <c r="D10" s="17">
        <f t="shared" si="0"/>
        <v>5</v>
      </c>
      <c r="E10" s="17">
        <f t="shared" si="0"/>
        <v>279</v>
      </c>
      <c r="F10" s="17">
        <f t="shared" si="0"/>
        <v>70</v>
      </c>
      <c r="G10" s="17">
        <f t="shared" si="0"/>
        <v>3</v>
      </c>
      <c r="H10" s="17">
        <f t="shared" si="0"/>
        <v>1.2</v>
      </c>
      <c r="I10" s="17">
        <f t="shared" si="0"/>
        <v>0</v>
      </c>
      <c r="J10" s="17">
        <f t="shared" si="0"/>
        <v>278</v>
      </c>
      <c r="K10" s="17">
        <f t="shared" si="0"/>
        <v>1</v>
      </c>
      <c r="L10" s="17">
        <f t="shared" si="0"/>
        <v>100</v>
      </c>
      <c r="M10" s="17">
        <f t="shared" si="0"/>
        <v>1</v>
      </c>
      <c r="N10" s="17">
        <f t="shared" si="0"/>
        <v>2</v>
      </c>
      <c r="O10" s="17">
        <f t="shared" si="0"/>
        <v>278</v>
      </c>
      <c r="P10" s="17">
        <f t="shared" si="0"/>
        <v>1</v>
      </c>
      <c r="Q10" s="17">
        <f t="shared" si="0"/>
        <v>4</v>
      </c>
      <c r="R10" s="17">
        <f t="shared" si="0"/>
        <v>100</v>
      </c>
      <c r="S10" s="17">
        <f t="shared" si="0"/>
        <v>0</v>
      </c>
      <c r="T10" s="17">
        <f t="shared" si="0"/>
        <v>0</v>
      </c>
      <c r="U10" s="17">
        <f t="shared" si="0"/>
        <v>0</v>
      </c>
      <c r="V10" s="17">
        <f t="shared" si="0"/>
        <v>0</v>
      </c>
      <c r="W10" s="17">
        <f t="shared" si="0"/>
        <v>1</v>
      </c>
    </row>
    <row r="11" spans="1:23">
      <c r="A11"/>
    </row>
    <row r="12" spans="1:23">
      <c r="A12"/>
    </row>
    <row r="13" spans="1:23">
      <c r="A13"/>
    </row>
    <row r="14" spans="1:23">
      <c r="A14"/>
    </row>
    <row r="15" spans="1:23">
      <c r="A15"/>
    </row>
    <row r="16" spans="1:23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floors_advent_1</vt:lpstr>
      <vt:lpstr>enemy_habitats_advent_1</vt:lpstr>
      <vt:lpstr>floors_advent_1.tmp</vt:lpstr>
      <vt:lpstr>enemy_habitats_advent_1.tmp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加藤 大輔</cp:lastModifiedBy>
  <dcterms:created xsi:type="dcterms:W3CDTF">2015-01-30T13:36:44Z</dcterms:created>
  <dcterms:modified xsi:type="dcterms:W3CDTF">2015-07-23T02:40:57Z</dcterms:modified>
</cp:coreProperties>
</file>